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  <sheet name="Options" sheetId="7" state="visible" r:id="rId7"/>
  </sheets>
  <externalReferences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0.0%;(0.0%);&quot;-&quot;"/>
    <numFmt numFmtId="165" formatCode="#,##0;(#,##0);&quot;-&quot;"/>
    <numFmt numFmtId="166" formatCode="yyyy-mm-dd"/>
    <numFmt numFmtId="167" formatCode="0%;(0%);&quot;-&quot;"/>
    <numFmt numFmtId="168" formatCode="#,##0.0;(#,##0.0);&quot;-&quot;"/>
    <numFmt numFmtId="169" formatCode="0.0%"/>
    <numFmt numFmtId="170" formatCode="0.000"/>
    <numFmt numFmtId="171" formatCode="$#,##0.00;($#,##0.00);&quot;-&quot;"/>
    <numFmt numFmtId="172" formatCode="0.000000"/>
    <numFmt numFmtId="173" formatCode="0.00x"/>
    <numFmt numFmtId="174" formatCode="$#,##0;($#,##0);&quot;-&quot;"/>
    <numFmt numFmtId="175" formatCode="#,##0.0"/>
  </numFmts>
  <fonts count="1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color rgb="00000000"/>
      <sz val="14"/>
    </font>
    <font>
      <name val="Aptos Narrow"/>
      <b val="1"/>
      <color rgb="00000000"/>
      <sz val="12"/>
    </font>
    <font>
      <name val="Aptos Narrow"/>
      <color rgb="000000FF"/>
      <sz val="12"/>
    </font>
    <font>
      <name val="Aptos Narrow"/>
      <i val="1"/>
      <color rgb="00000000"/>
      <sz val="12"/>
    </font>
    <font>
      <name val="Aptos Narrow"/>
      <color rgb="00000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color rgb="00008000"/>
      <sz val="12"/>
    </font>
    <font>
      <name val="Aptos Narrow"/>
      <b val="1"/>
      <color rgb="00000000"/>
      <sz val="13"/>
    </font>
    <font>
      <name val="Aptos Narrow"/>
      <i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95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6" fillId="0" borderId="0" pivotButton="0" quotePrefix="0" xfId="0"/>
    <xf numFmtId="175" fontId="6" fillId="0" borderId="0" pivotButton="0" quotePrefix="0" xfId="0"/>
    <xf numFmtId="0" fontId="6" fillId="0" borderId="0" pivotButton="0" quotePrefix="0" xfId="0"/>
    <xf numFmtId="169" fontId="6" fillId="0" borderId="0" pivotButton="0" quotePrefix="0" xfId="0"/>
    <xf numFmtId="166" fontId="6" fillId="0" borderId="0" pivotButton="0" quotePrefix="0" xfId="0"/>
    <xf numFmtId="9" fontId="6" fillId="0" borderId="0" pivotButton="0" quotePrefix="0" xfId="0"/>
    <xf numFmtId="0" fontId="3" fillId="0" borderId="1" pivotButton="0" quotePrefix="0" xfId="0"/>
    <xf numFmtId="168" fontId="6" fillId="0" borderId="0" pivotButton="0" quotePrefix="0" xfId="0"/>
    <xf numFmtId="0" fontId="6" fillId="0" borderId="2" pivotButton="0" quotePrefix="0" xfId="0"/>
    <xf numFmtId="0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4" fillId="2" borderId="0" pivotButton="0" quotePrefix="0" xfId="0"/>
    <xf numFmtId="165" fontId="4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pivotButton="0" quotePrefix="0" xfId="0"/>
    <xf numFmtId="0" fontId="0" fillId="4" borderId="0" pivotButton="0" quotePrefix="0" xfId="0"/>
    <xf numFmtId="166" fontId="7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0" fontId="10" fillId="0" borderId="0" pivotButton="0" quotePrefix="0" xfId="0"/>
    <xf numFmtId="165" fontId="11" fillId="0" borderId="0" pivotButton="0" quotePrefix="0" xfId="0"/>
    <xf numFmtId="171" fontId="11" fillId="0" borderId="0" pivotButton="0" quotePrefix="0" xfId="0"/>
    <xf numFmtId="164" fontId="11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  <xf numFmtId="165" fontId="6" fillId="0" borderId="0" pivotButton="0" quotePrefix="0" xfId="0"/>
    <xf numFmtId="171" fontId="6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5" fontId="3" fillId="0" borderId="0" pivotButton="0" quotePrefix="0" xfId="0"/>
    <xf numFmtId="171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7" fontId="5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" fontId="6" fillId="0" borderId="0" pivotButton="0" quotePrefix="0" xfId="0"/>
    <xf numFmtId="165" fontId="3" fillId="0" borderId="6" pivotButton="0" quotePrefix="0" xfId="0"/>
    <xf numFmtId="0" fontId="8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0" fontId="6" fillId="3" borderId="0" pivotButton="0" quotePrefix="0" xfId="0"/>
    <xf numFmtId="0" fontId="3" fillId="3" borderId="0" applyAlignment="1" pivotButton="0" quotePrefix="0" xfId="0">
      <alignment horizontal="right"/>
    </xf>
    <xf numFmtId="165" fontId="9" fillId="0" borderId="0" pivotButton="0" quotePrefix="0" xfId="0"/>
    <xf numFmtId="166" fontId="6" fillId="0" borderId="0" applyAlignment="1" pivotButton="0" quotePrefix="0" xfId="0">
      <alignment horizontal="right"/>
    </xf>
    <xf numFmtId="170" fontId="6" fillId="0" borderId="0" pivotButton="0" quotePrefix="0" xfId="0"/>
    <xf numFmtId="168" fontId="9" fillId="0" borderId="0" pivotButton="0" quotePrefix="0" xfId="0"/>
    <xf numFmtId="1" fontId="6" fillId="0" borderId="0" applyAlignment="1" pivotButton="0" quotePrefix="0" xfId="0">
      <alignment horizontal="center"/>
    </xf>
    <xf numFmtId="170" fontId="4" fillId="0" borderId="0" pivotButton="0" quotePrefix="0" xfId="0"/>
    <xf numFmtId="171" fontId="4" fillId="0" borderId="0" pivotButton="0" quotePrefix="0" xfId="0"/>
    <xf numFmtId="171" fontId="3" fillId="2" borderId="0" pivotButton="0" quotePrefix="0" xfId="0"/>
    <xf numFmtId="171" fontId="9" fillId="0" borderId="0" pivotButton="0" quotePrefix="0" xfId="0"/>
    <xf numFmtId="0" fontId="3" fillId="4" borderId="0" applyAlignment="1" pivotButton="0" quotePrefix="0" xfId="0">
      <alignment horizontal="right"/>
    </xf>
    <xf numFmtId="171" fontId="3" fillId="0" borderId="6" pivotButton="0" quotePrefix="0" xfId="0"/>
    <xf numFmtId="172" fontId="5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73" fontId="3" fillId="0" borderId="0" pivotButton="0" quotePrefix="0" xfId="0"/>
    <xf numFmtId="2" fontId="4" fillId="0" borderId="0" applyAlignment="1" pivotButton="0" quotePrefix="0" xfId="0">
      <alignment horizontal="center"/>
    </xf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74" fontId="6" fillId="0" borderId="0" pivotButton="0" quotePrefix="0" xfId="0"/>
    <xf numFmtId="174" fontId="6" fillId="0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4" fontId="3" fillId="0" borderId="0" pivotButton="0" quotePrefix="0" xfId="0"/>
    <xf numFmtId="171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P/L at expiry per contract (Jan 15, 2027)</a:t>
            </a:r>
          </a:p>
        </rich>
      </tx>
    </title>
    <plotArea>
      <scatterChart>
        <ser>
          <idx val="0"/>
          <order val="0"/>
          <tx>
            <strRef>
              <f>'Options'!B64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'Options'!$B$65:$B$95</f>
            </numRef>
          </yVal>
        </ser>
        <ser>
          <idx val="1"/>
          <order val="1"/>
          <tx>
            <strRef>
              <f>'Options'!C64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'Options'!$C$65:$C$95</f>
            </numRef>
          </yVal>
        </ser>
        <ser>
          <idx val="2"/>
          <order val="2"/>
          <tx>
            <strRef>
              <f>'Options'!D64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'Options'!$D$65:$D$95</f>
            </numRef>
          </yVal>
        </ser>
        <ser>
          <idx val="3"/>
          <order val="3"/>
          <tx>
            <strRef>
              <f>'Options'!E64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'Options'!$E$65:$E$95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PRAX price at expiry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1">
          <cell r="F1" t="str">
            <v>Close 2026-10-16</v>
          </cell>
        </row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SNY</v>
          </cell>
          <cell r="F15">
            <v>50.645</v>
          </cell>
        </row>
        <row r="16">
          <cell r="B16" t="str">
            <v>MRNA</v>
          </cell>
          <cell r="F16">
            <v>41.4</v>
          </cell>
        </row>
        <row r="17">
          <cell r="B17" t="str">
            <v>REGN</v>
          </cell>
          <cell r="F17">
            <v>242.08</v>
          </cell>
        </row>
        <row r="18">
          <cell r="B18" t="str">
            <v>NTRA</v>
          </cell>
          <cell r="F18">
            <v>807.48</v>
          </cell>
        </row>
        <row r="19">
          <cell r="B19" t="str">
            <v>ARGX</v>
          </cell>
          <cell r="F19">
            <v>20.08</v>
          </cell>
        </row>
        <row r="20">
          <cell r="B20" t="str">
            <v>TEVA</v>
          </cell>
          <cell r="F20">
            <v>405.92</v>
          </cell>
        </row>
        <row r="21">
          <cell r="B21" t="str">
            <v>HLN</v>
          </cell>
          <cell r="F21">
            <v>869.72</v>
          </cell>
        </row>
        <row r="22">
          <cell r="B22" t="str">
            <v>RVMD</v>
          </cell>
          <cell r="F22">
            <v>40.855</v>
          </cell>
        </row>
        <row r="23">
          <cell r="B23" t="str">
            <v>ONC</v>
          </cell>
          <cell r="F23">
            <v>10.17</v>
          </cell>
        </row>
        <row r="24">
          <cell r="B24" t="str">
            <v>BIIB</v>
          </cell>
          <cell r="F24">
            <v>384.5</v>
          </cell>
        </row>
        <row r="25">
          <cell r="B25" t="str">
            <v>RPRX</v>
          </cell>
          <cell r="F25">
            <v>196.55</v>
          </cell>
        </row>
        <row r="26">
          <cell r="B26" t="str">
            <v>ALNY</v>
          </cell>
          <cell r="F26">
            <v>62.25</v>
          </cell>
        </row>
        <row r="27">
          <cell r="B27" t="str">
            <v>ZTS</v>
          </cell>
          <cell r="F27">
            <v>243.1</v>
          </cell>
        </row>
        <row r="28">
          <cell r="B28" t="str">
            <v>ROIV</v>
          </cell>
          <cell r="F28">
            <v>80.04</v>
          </cell>
        </row>
        <row r="29">
          <cell r="B29" t="str">
            <v>BNTX</v>
          </cell>
          <cell r="F29">
            <v>230.71</v>
          </cell>
        </row>
        <row r="30">
          <cell r="B30" t="str">
            <v>GMAB</v>
          </cell>
          <cell r="F30">
            <v>34.92</v>
          </cell>
        </row>
        <row r="31">
          <cell r="B31" t="str">
            <v>UTHR</v>
          </cell>
          <cell r="F31">
            <v>39.07</v>
          </cell>
        </row>
        <row r="32">
          <cell r="B32" t="str">
            <v>INCY</v>
          </cell>
          <cell r="F32">
            <v>553.88</v>
          </cell>
        </row>
        <row r="33">
          <cell r="B33" t="str">
            <v>INSM</v>
          </cell>
          <cell r="F33">
            <v>116.615</v>
          </cell>
        </row>
        <row r="34">
          <cell r="B34" t="str">
            <v>VTRS</v>
          </cell>
          <cell r="F34">
            <v>91.17</v>
          </cell>
        </row>
        <row r="35">
          <cell r="B35" t="str">
            <v>EXEL</v>
          </cell>
          <cell r="F35">
            <v>18.65</v>
          </cell>
        </row>
        <row r="36">
          <cell r="B36" t="str">
            <v>NBIX</v>
          </cell>
          <cell r="F36">
            <v>95.67</v>
          </cell>
        </row>
        <row r="37">
          <cell r="B37" t="str">
            <v>JAZZ</v>
          </cell>
          <cell r="F37">
            <v>64.39</v>
          </cell>
        </row>
        <row r="38">
          <cell r="B38" t="str">
            <v>SMMT</v>
          </cell>
          <cell r="F38">
            <v>234.33</v>
          </cell>
        </row>
        <row r="39">
          <cell r="B39" t="str">
            <v>CORT</v>
          </cell>
          <cell r="F39">
            <v>124.37</v>
          </cell>
        </row>
        <row r="40">
          <cell r="B40" t="str">
            <v>BBIO</v>
          </cell>
          <cell r="F40">
            <v>142.0</v>
          </cell>
        </row>
        <row r="41">
          <cell r="B41" t="str">
            <v>HALO</v>
          </cell>
          <cell r="F41">
            <v>213.76</v>
          </cell>
        </row>
        <row r="42">
          <cell r="B42" t="str">
            <v>KNSA</v>
          </cell>
          <cell r="F42">
            <v>16.09</v>
          </cell>
        </row>
        <row r="43">
          <cell r="B43" t="str">
            <v>ELAN</v>
          </cell>
          <cell r="F43">
            <v>67.55</v>
          </cell>
        </row>
        <row r="44">
          <cell r="B44" t="str">
            <v>IBRX</v>
          </cell>
          <cell r="F44">
            <v>83.17</v>
          </cell>
        </row>
        <row r="45">
          <cell r="B45" t="str">
            <v>MDGL</v>
          </cell>
          <cell r="F45">
            <v>116.45</v>
          </cell>
        </row>
        <row r="46">
          <cell r="B46" t="str">
            <v>PCVX</v>
          </cell>
          <cell r="F46">
            <v>22.7</v>
          </cell>
        </row>
        <row r="47">
          <cell r="B47" t="str">
            <v>BMRN</v>
          </cell>
          <cell r="F47">
            <v>13.26</v>
          </cell>
        </row>
        <row r="48">
          <cell r="B48" t="str">
            <v>RDY</v>
          </cell>
          <cell r="F48">
            <v>56.44</v>
          </cell>
        </row>
        <row r="49">
          <cell r="B49" t="str">
            <v>TWST</v>
          </cell>
          <cell r="F49">
            <v>467.54</v>
          </cell>
        </row>
        <row r="50">
          <cell r="B50" t="str">
            <v>KRYS</v>
          </cell>
          <cell r="F50">
            <v>8.77</v>
          </cell>
        </row>
        <row r="51">
          <cell r="B51" t="str">
            <v>KYMR</v>
          </cell>
          <cell r="F51">
            <v>66.23</v>
          </cell>
        </row>
        <row r="52">
          <cell r="B52" t="str">
            <v>PTGX</v>
          </cell>
          <cell r="F52">
            <v>325.42</v>
          </cell>
        </row>
        <row r="53">
          <cell r="B53" t="str">
            <v>ARWR</v>
          </cell>
          <cell r="F53">
            <v>113.46</v>
          </cell>
        </row>
        <row r="54">
          <cell r="B54" t="str">
            <v>AXSM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TGTX</v>
          </cell>
          <cell r="F56">
            <v>159.58</v>
          </cell>
        </row>
        <row r="57">
          <cell r="B57" t="str">
            <v>CAI</v>
          </cell>
          <cell r="F57">
            <v>137.99</v>
          </cell>
        </row>
        <row r="58">
          <cell r="B58" t="str">
            <v>SYRE</v>
          </cell>
          <cell r="F58">
            <v>142.7</v>
          </cell>
        </row>
        <row r="59">
          <cell r="B59" t="str">
            <v>IONS</v>
          </cell>
          <cell r="F59">
            <v>54.53</v>
          </cell>
        </row>
        <row r="60">
          <cell r="B60" t="str">
            <v>PRAX</v>
          </cell>
          <cell r="F60">
            <v>58.92</v>
          </cell>
        </row>
        <row r="61">
          <cell r="B61" t="str">
            <v>ABVX</v>
          </cell>
          <cell r="F61">
            <v>45.4</v>
          </cell>
        </row>
        <row r="62">
          <cell r="B62" t="str">
            <v>ALKS</v>
          </cell>
          <cell r="F62">
            <v>264.49</v>
          </cell>
        </row>
        <row r="63">
          <cell r="B63" t="str">
            <v>IOVA</v>
          </cell>
          <cell r="F63">
            <v>91.4</v>
          </cell>
        </row>
        <row r="64">
          <cell r="B64" t="str">
            <v>AMRX</v>
          </cell>
          <cell r="F64">
            <v>92.59</v>
          </cell>
        </row>
        <row r="65">
          <cell r="B65" t="str">
            <v>IMVT</v>
          </cell>
          <cell r="F65">
            <v>44.11</v>
          </cell>
        </row>
        <row r="66">
          <cell r="B66" t="str">
            <v>GRAL</v>
          </cell>
          <cell r="F66">
            <v>14.86</v>
          </cell>
        </row>
        <row r="67">
          <cell r="B67" t="str">
            <v>KOD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BLTE</v>
          </cell>
          <cell r="F69">
            <v>306.4</v>
          </cell>
        </row>
        <row r="70">
          <cell r="B70" t="str">
            <v>LGND</v>
          </cell>
          <cell r="F70">
            <v>154.45</v>
          </cell>
        </row>
        <row r="71">
          <cell r="B71" t="str">
            <v>BLRX</v>
          </cell>
          <cell r="F71">
            <v>31.24</v>
          </cell>
        </row>
        <row r="72">
          <cell r="B72" t="str">
            <v>CGON</v>
          </cell>
          <cell r="F72">
            <v>28.59</v>
          </cell>
        </row>
        <row r="73">
          <cell r="B73" t="str">
            <v>ERAS</v>
          </cell>
          <cell r="F73">
            <v>92.97</v>
          </cell>
        </row>
        <row r="74">
          <cell r="B74" t="str">
            <v>MIRM</v>
          </cell>
          <cell r="F74">
            <v>61.93</v>
          </cell>
        </row>
        <row r="75">
          <cell r="B75" t="str">
            <v>MANE</v>
          </cell>
          <cell r="F75">
            <v>124.67</v>
          </cell>
        </row>
        <row r="76">
          <cell r="B76" t="str">
            <v>ORKA</v>
          </cell>
          <cell r="F76">
            <v>2.2145</v>
          </cell>
        </row>
        <row r="77">
          <cell r="B77" t="str">
            <v>PTCT</v>
          </cell>
          <cell r="F77">
            <v>85.07</v>
          </cell>
        </row>
        <row r="78">
          <cell r="B78" t="str">
            <v>COGT</v>
          </cell>
          <cell r="F78">
            <v>62.92</v>
          </cell>
        </row>
        <row r="79">
          <cell r="B79" t="str">
            <v>CRSP</v>
          </cell>
          <cell r="F79">
            <v>41.36</v>
          </cell>
        </row>
        <row r="80">
          <cell r="B80" t="str">
            <v>SRRK</v>
          </cell>
          <cell r="F80">
            <v>79.09</v>
          </cell>
        </row>
        <row r="81">
          <cell r="B81" t="str">
            <v>DFTX</v>
          </cell>
          <cell r="F81">
            <v>49.88</v>
          </cell>
        </row>
        <row r="82">
          <cell r="B82" t="str">
            <v>TVTX</v>
          </cell>
          <cell r="F82">
            <v>10.45</v>
          </cell>
        </row>
        <row r="83">
          <cell r="B83" t="str">
            <v>DNTH</v>
          </cell>
          <cell r="F83">
            <v>14.62</v>
          </cell>
        </row>
        <row r="84">
          <cell r="B84" t="str">
            <v>GOSS</v>
          </cell>
          <cell r="F84">
            <v>52.3</v>
          </cell>
        </row>
        <row r="85">
          <cell r="B85" t="str">
            <v>EWTX</v>
          </cell>
          <cell r="F85">
            <v>127.23</v>
          </cell>
        </row>
        <row r="86">
          <cell r="B86" t="str">
            <v>INDV</v>
          </cell>
          <cell r="F86">
            <v>35.09</v>
          </cell>
        </row>
        <row r="87">
          <cell r="B87" t="str">
            <v>TNGX</v>
          </cell>
          <cell r="F87">
            <v>9.58</v>
          </cell>
        </row>
        <row r="88">
          <cell r="B88" t="str">
            <v>RLAY</v>
          </cell>
          <cell r="F88">
            <v>39.75</v>
          </cell>
        </row>
        <row r="89">
          <cell r="B89" t="str">
            <v>RGC</v>
          </cell>
          <cell r="F89">
            <v>78.75</v>
          </cell>
        </row>
        <row r="90">
          <cell r="B90" t="str">
            <v>VCYT</v>
          </cell>
          <cell r="F90">
            <v>34.77</v>
          </cell>
        </row>
        <row r="91">
          <cell r="B91" t="str">
            <v>OGN</v>
          </cell>
          <cell r="F91">
            <v>25.255</v>
          </cell>
        </row>
        <row r="92">
          <cell r="B92" t="str">
            <v>XENE</v>
          </cell>
          <cell r="F92">
            <v>32.82</v>
          </cell>
        </row>
        <row r="93">
          <cell r="B93" t="str">
            <v>IDYA</v>
          </cell>
          <cell r="F93">
            <v>11.16</v>
          </cell>
        </row>
        <row r="94">
          <cell r="B94" t="str">
            <v>LEGN</v>
          </cell>
          <cell r="F94">
            <v>13.755</v>
          </cell>
        </row>
        <row r="95">
          <cell r="B95" t="str">
            <v>ACAD</v>
          </cell>
          <cell r="F95">
            <v>18.45</v>
          </cell>
        </row>
        <row r="96">
          <cell r="B96" t="str">
            <v>PBLS</v>
          </cell>
          <cell r="F96">
            <v>44.79</v>
          </cell>
        </row>
        <row r="97">
          <cell r="B97" t="str">
            <v>ARQT</v>
          </cell>
          <cell r="F97">
            <v>19.01</v>
          </cell>
        </row>
        <row r="98">
          <cell r="B98" t="str">
            <v>VKTX</v>
          </cell>
          <cell r="F98">
            <v>69.2</v>
          </cell>
        </row>
        <row r="99">
          <cell r="B99" t="str">
            <v>CELC</v>
          </cell>
          <cell r="F99">
            <v>20.44</v>
          </cell>
        </row>
        <row r="100">
          <cell r="B100" t="str">
            <v>CDNA</v>
          </cell>
          <cell r="F100">
            <v>36.27</v>
          </cell>
        </row>
        <row r="101">
          <cell r="B101" t="str">
            <v>TARS</v>
          </cell>
          <cell r="F101">
            <v>35.36</v>
          </cell>
        </row>
        <row r="102">
          <cell r="B102" t="str">
            <v>AMLX</v>
          </cell>
          <cell r="F102">
            <v>36.35</v>
          </cell>
        </row>
        <row r="103">
          <cell r="B103" t="str">
            <v>DNLI</v>
          </cell>
          <cell r="F103">
            <v>71.225</v>
          </cell>
        </row>
        <row r="104">
          <cell r="B104" t="str">
            <v>RCUS</v>
          </cell>
          <cell r="F104">
            <v>26.71</v>
          </cell>
        </row>
        <row r="105">
          <cell r="B105" t="str">
            <v>DYN</v>
          </cell>
          <cell r="F105">
            <v>28.77</v>
          </cell>
        </row>
        <row r="106">
          <cell r="B106" t="str">
            <v>ELVN</v>
          </cell>
          <cell r="F106">
            <v>23.75</v>
          </cell>
        </row>
        <row r="107">
          <cell r="B107" t="str">
            <v>ZLAB</v>
          </cell>
          <cell r="F107">
            <v>18.93</v>
          </cell>
        </row>
        <row r="108">
          <cell r="B108" t="str">
            <v>PGEN</v>
          </cell>
          <cell r="F108">
            <v>27.08</v>
          </cell>
        </row>
        <row r="109">
          <cell r="B109" t="str">
            <v>BEAM</v>
          </cell>
          <cell r="F109">
            <v>60.0</v>
          </cell>
        </row>
        <row r="110">
          <cell r="B110" t="str">
            <v>NAMS</v>
          </cell>
          <cell r="F110">
            <v>41.25</v>
          </cell>
        </row>
        <row r="111">
          <cell r="B111" t="str">
            <v>MBX</v>
          </cell>
          <cell r="F111">
            <v>16.27</v>
          </cell>
        </row>
        <row r="112">
          <cell r="B112" t="str">
            <v>SUPN</v>
          </cell>
          <cell r="F112">
            <v>25.08</v>
          </cell>
        </row>
        <row r="113">
          <cell r="B113" t="str">
            <v>HCM</v>
          </cell>
          <cell r="F113">
            <v>26.1</v>
          </cell>
        </row>
        <row r="114">
          <cell r="B114" t="str">
            <v>LQDA</v>
          </cell>
          <cell r="F114">
            <v>14.74</v>
          </cell>
        </row>
        <row r="115">
          <cell r="B115" t="str">
            <v>IRON</v>
          </cell>
          <cell r="F115">
            <v>24.93</v>
          </cell>
        </row>
        <row r="116">
          <cell r="B116" t="str">
            <v>SLS</v>
          </cell>
          <cell r="F116">
            <v>11.23</v>
          </cell>
        </row>
        <row r="117">
          <cell r="B117" t="str">
            <v>CLDX</v>
          </cell>
          <cell r="F117">
            <v>53.5</v>
          </cell>
        </row>
        <row r="118">
          <cell r="B118" t="str">
            <v>HRMY</v>
          </cell>
          <cell r="F118">
            <v>21.5</v>
          </cell>
        </row>
        <row r="119">
          <cell r="B119" t="str">
            <v>RXRX</v>
          </cell>
          <cell r="F119">
            <v>49.35</v>
          </cell>
        </row>
        <row r="120">
          <cell r="B120" t="str">
            <v>ADMA</v>
          </cell>
          <cell r="F120">
            <v>6.415</v>
          </cell>
        </row>
        <row r="121">
          <cell r="B121" t="str">
            <v>NRIX</v>
          </cell>
          <cell r="F121">
            <v>16.17</v>
          </cell>
        </row>
        <row r="122">
          <cell r="B122" t="str">
            <v>PBH</v>
          </cell>
          <cell r="F122">
            <v>6.83</v>
          </cell>
        </row>
        <row r="123">
          <cell r="B123" t="str">
            <v>BHC</v>
          </cell>
          <cell r="F123">
            <v>38.7</v>
          </cell>
        </row>
        <row r="124">
          <cell r="B124" t="str">
            <v>IMNM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PURR</v>
          </cell>
          <cell r="F126">
            <v>79.48</v>
          </cell>
        </row>
        <row r="127">
          <cell r="B127" t="str">
            <v>BCRX</v>
          </cell>
          <cell r="F127">
            <v>30.29</v>
          </cell>
        </row>
        <row r="128">
          <cell r="B128" t="str">
            <v>BGM</v>
          </cell>
          <cell r="F128">
            <v>22.43</v>
          </cell>
        </row>
        <row r="129">
          <cell r="B129" t="str">
            <v>VERA</v>
          </cell>
          <cell r="F129">
            <v>40.58</v>
          </cell>
        </row>
        <row r="130">
          <cell r="B130" t="str">
            <v>VRDN</v>
          </cell>
          <cell r="F130">
            <v>11.98</v>
          </cell>
        </row>
        <row r="131">
          <cell r="B131" t="str">
            <v>NVAX</v>
          </cell>
          <cell r="F131">
            <v>30.06</v>
          </cell>
        </row>
        <row r="132">
          <cell r="B132" t="str">
            <v>PRGO</v>
          </cell>
          <cell r="F132">
            <v>7.94</v>
          </cell>
        </row>
        <row r="133">
          <cell r="B133" t="str">
            <v>MLYS</v>
          </cell>
          <cell r="F133">
            <v>30.75</v>
          </cell>
        </row>
        <row r="134">
          <cell r="B134" t="str">
            <v>VCEL</v>
          </cell>
          <cell r="F134">
            <v>10.78</v>
          </cell>
        </row>
        <row r="135">
          <cell r="B135" t="str">
            <v>TRLV</v>
          </cell>
          <cell r="F135">
            <v>11.13</v>
          </cell>
        </row>
        <row r="136">
          <cell r="B136" t="str">
            <v>PHVS</v>
          </cell>
          <cell r="F136">
            <v>17.92</v>
          </cell>
        </row>
        <row r="137">
          <cell r="B137" t="str">
            <v>PVLA</v>
          </cell>
          <cell r="F137">
            <v>36.64</v>
          </cell>
        </row>
        <row r="138">
          <cell r="B138" t="str">
            <v>VIR</v>
          </cell>
          <cell r="F138">
            <v>8.97</v>
          </cell>
        </row>
        <row r="139">
          <cell r="B139" t="str">
            <v>LKFT</v>
          </cell>
          <cell r="F139">
            <v>11.43</v>
          </cell>
        </row>
        <row r="140">
          <cell r="B140" t="str">
            <v>XERS</v>
          </cell>
          <cell r="F140">
            <v>3.66</v>
          </cell>
        </row>
        <row r="141">
          <cell r="B141" t="str">
            <v>AGIO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TRVI</v>
          </cell>
          <cell r="F143">
            <v>21.58</v>
          </cell>
        </row>
        <row r="144">
          <cell r="B144" t="str">
            <v>MESO</v>
          </cell>
          <cell r="F144">
            <v>9.15</v>
          </cell>
        </row>
        <row r="145">
          <cell r="B145" t="str">
            <v>GENB</v>
          </cell>
          <cell r="F145">
            <v>26.91</v>
          </cell>
        </row>
        <row r="146">
          <cell r="B146" t="str">
            <v>NTLA</v>
          </cell>
          <cell r="F146">
            <v>39.35</v>
          </cell>
        </row>
        <row r="147">
          <cell r="B147" t="str">
            <v>XNCR</v>
          </cell>
          <cell r="F147">
            <v>123.92</v>
          </cell>
        </row>
        <row r="148">
          <cell r="B148" t="str">
            <v>ZYME</v>
          </cell>
          <cell r="F148">
            <v>12.41</v>
          </cell>
        </row>
        <row r="149">
          <cell r="B149" t="str">
            <v>BHVN</v>
          </cell>
          <cell r="F149">
            <v>24.94</v>
          </cell>
        </row>
        <row r="150">
          <cell r="B150" t="str">
            <v>GPCR</v>
          </cell>
          <cell r="F150">
            <v>12.83</v>
          </cell>
        </row>
        <row r="151">
          <cell r="B151" t="str">
            <v>ALVO</v>
          </cell>
          <cell r="F151">
            <v>35.01</v>
          </cell>
        </row>
        <row r="152">
          <cell r="B152" t="str">
            <v>BRVE</v>
          </cell>
          <cell r="F152">
            <v>10.74</v>
          </cell>
        </row>
        <row r="153">
          <cell r="B153" t="str">
            <v>URGN</v>
          </cell>
          <cell r="F153">
            <v>20.27</v>
          </cell>
        </row>
        <row r="154">
          <cell r="B154" t="str">
            <v>SEPN</v>
          </cell>
          <cell r="F154">
            <v>72.67</v>
          </cell>
        </row>
        <row r="155">
          <cell r="B155" t="str">
            <v>ZBIO</v>
          </cell>
          <cell r="F155">
            <v>11.82</v>
          </cell>
        </row>
        <row r="156">
          <cell r="B156" t="str">
            <v>NUVB</v>
          </cell>
          <cell r="F156">
            <v>28.18</v>
          </cell>
        </row>
        <row r="157">
          <cell r="B157" t="str">
            <v>ABSI</v>
          </cell>
          <cell r="F157">
            <v>11.84</v>
          </cell>
        </row>
        <row r="158">
          <cell r="B158" t="str">
            <v>ANIP</v>
          </cell>
          <cell r="F158">
            <v>38.8</v>
          </cell>
        </row>
        <row r="159">
          <cell r="B159" t="str">
            <v>CMPS</v>
          </cell>
          <cell r="F159">
            <v>5.03</v>
          </cell>
        </row>
        <row r="160">
          <cell r="B160" t="str">
            <v>OCUL</v>
          </cell>
          <cell r="F160">
            <v>26.61</v>
          </cell>
        </row>
        <row r="161">
          <cell r="B161" t="str">
            <v>STOK</v>
          </cell>
          <cell r="F161">
            <v>4.765</v>
          </cell>
        </row>
        <row r="162">
          <cell r="B162" t="str">
            <v>ETON</v>
          </cell>
          <cell r="F162">
            <v>12.9</v>
          </cell>
        </row>
        <row r="163">
          <cell r="B163" t="str">
            <v>PAHC</v>
          </cell>
          <cell r="F163">
            <v>32.45</v>
          </cell>
        </row>
        <row r="164">
          <cell r="B164" t="str">
            <v>INVA</v>
          </cell>
          <cell r="F164">
            <v>32.6</v>
          </cell>
        </row>
        <row r="165">
          <cell r="B165" t="str">
            <v>RARE</v>
          </cell>
          <cell r="F165">
            <v>6.65</v>
          </cell>
        </row>
        <row r="166">
          <cell r="B166" t="str">
            <v>SNDX</v>
          </cell>
          <cell r="F166">
            <v>22.88</v>
          </cell>
        </row>
        <row r="167">
          <cell r="B167" t="str">
            <v>IMCR</v>
          </cell>
          <cell r="F167">
            <v>21.28</v>
          </cell>
        </row>
        <row r="168">
          <cell r="B168" t="str">
            <v>MAZE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COAG</v>
          </cell>
          <cell r="F170">
            <v>36.38</v>
          </cell>
        </row>
        <row r="171">
          <cell r="B171" t="str">
            <v>RAPP</v>
          </cell>
          <cell r="F171">
            <v>50.19</v>
          </cell>
        </row>
        <row r="172">
          <cell r="B172" t="str">
            <v>TSHA</v>
          </cell>
          <cell r="F172">
            <v>15.89</v>
          </cell>
        </row>
        <row r="173">
          <cell r="B173" t="str">
            <v>PCRX</v>
          </cell>
          <cell r="F173">
            <v>16.02</v>
          </cell>
        </row>
        <row r="174">
          <cell r="B174" t="str">
            <v>OMER</v>
          </cell>
          <cell r="F174">
            <v>9.07</v>
          </cell>
        </row>
        <row r="175">
          <cell r="B175" t="str">
            <v>QURE</v>
          </cell>
          <cell r="F175">
            <v>34.17</v>
          </cell>
        </row>
        <row r="176">
          <cell r="B176" t="str">
            <v>NKTR</v>
          </cell>
          <cell r="F176">
            <v>45.43</v>
          </cell>
        </row>
        <row r="177">
          <cell r="B177" t="str">
            <v>INBX</v>
          </cell>
          <cell r="F177">
            <v>22.715</v>
          </cell>
        </row>
        <row r="178">
          <cell r="B178" t="str">
            <v>ANAB</v>
          </cell>
          <cell r="F178">
            <v>29.37</v>
          </cell>
        </row>
        <row r="179">
          <cell r="B179" t="str">
            <v>KARD</v>
          </cell>
          <cell r="F179">
            <v>95.3</v>
          </cell>
        </row>
        <row r="180">
          <cell r="B180" t="str">
            <v>GHRS</v>
          </cell>
          <cell r="F180">
            <v>13.78</v>
          </cell>
        </row>
        <row r="181">
          <cell r="B181" t="str">
            <v>DMRA</v>
          </cell>
          <cell r="F181">
            <v>41.25</v>
          </cell>
        </row>
        <row r="182">
          <cell r="B182" t="str">
            <v>REPL</v>
          </cell>
          <cell r="F182">
            <v>39.22</v>
          </cell>
        </row>
        <row r="183">
          <cell r="B183" t="str">
            <v>ORIC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TYRA</v>
          </cell>
          <cell r="F186">
            <v>4.11</v>
          </cell>
        </row>
        <row r="187">
          <cell r="B187" t="str">
            <v>VOR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NBTX</v>
          </cell>
          <cell r="F189">
            <v>13.25</v>
          </cell>
        </row>
        <row r="190">
          <cell r="B190" t="str">
            <v>AVLN</v>
          </cell>
          <cell r="F190">
            <v>19.03</v>
          </cell>
        </row>
        <row r="191">
          <cell r="B191" t="str">
            <v>TRAX</v>
          </cell>
          <cell r="F191">
            <v>20.67</v>
          </cell>
        </row>
        <row r="192">
          <cell r="B192" t="str">
            <v>AMPH</v>
          </cell>
          <cell r="F192">
            <v>4.76</v>
          </cell>
        </row>
        <row r="193">
          <cell r="B193" t="str">
            <v>JANX</v>
          </cell>
          <cell r="F193">
            <v>19.165</v>
          </cell>
        </row>
        <row r="194">
          <cell r="B194" t="str">
            <v>HROW</v>
          </cell>
          <cell r="F194">
            <v>20.47</v>
          </cell>
        </row>
        <row r="195">
          <cell r="B195" t="str">
            <v>LTGO</v>
          </cell>
          <cell r="F195">
            <v>25.94</v>
          </cell>
        </row>
        <row r="196">
          <cell r="B196" t="str">
            <v>MNKD</v>
          </cell>
          <cell r="F196">
            <v>24.63</v>
          </cell>
        </row>
        <row r="197">
          <cell r="B197" t="str">
            <v>MGTX</v>
          </cell>
          <cell r="F197">
            <v>24.14</v>
          </cell>
        </row>
        <row r="198">
          <cell r="B198" t="str">
            <v>SVRA</v>
          </cell>
          <cell r="F198">
            <v>11.42</v>
          </cell>
        </row>
        <row r="199">
          <cell r="B199" t="str">
            <v>CGEM</v>
          </cell>
          <cell r="F199">
            <v>28.07</v>
          </cell>
        </row>
        <row r="200">
          <cell r="B200" t="str">
            <v>IMTX</v>
          </cell>
          <cell r="F200">
            <v>16.74</v>
          </cell>
        </row>
        <row r="201">
          <cell r="B201" t="str">
            <v>SPTX</v>
          </cell>
          <cell r="F201">
            <v>3.1</v>
          </cell>
        </row>
        <row r="202">
          <cell r="B202" t="str">
            <v>AKTS</v>
          </cell>
          <cell r="F202">
            <v>19.28</v>
          </cell>
        </row>
        <row r="203">
          <cell r="B203" t="str">
            <v>ANRO</v>
          </cell>
          <cell r="F203">
            <v>6.2</v>
          </cell>
        </row>
        <row r="204">
          <cell r="B204" t="str">
            <v>KURA</v>
          </cell>
          <cell r="F204">
            <v>15.25</v>
          </cell>
        </row>
        <row r="205">
          <cell r="B205" t="str">
            <v>ALMS</v>
          </cell>
          <cell r="F205">
            <v>7.51</v>
          </cell>
        </row>
        <row r="206">
          <cell r="B206" t="str">
            <v>MLTX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JBIO</v>
          </cell>
          <cell r="F208">
            <v>24.415</v>
          </cell>
        </row>
        <row r="209">
          <cell r="B209" t="str">
            <v>ODTX</v>
          </cell>
          <cell r="F209">
            <v>14.86</v>
          </cell>
        </row>
        <row r="210">
          <cell r="B210" t="str">
            <v>CRVS</v>
          </cell>
          <cell r="F210">
            <v>18.99</v>
          </cell>
        </row>
        <row r="211">
          <cell r="B211" t="str">
            <v>GLUE</v>
          </cell>
          <cell r="F211">
            <v>4.33</v>
          </cell>
        </row>
        <row r="212">
          <cell r="B212" t="str">
            <v>SANA</v>
          </cell>
          <cell r="F212">
            <v>14.83</v>
          </cell>
        </row>
        <row r="213">
          <cell r="B213" t="str">
            <v>ABUS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ANNX</v>
          </cell>
          <cell r="F216">
            <v>3.21</v>
          </cell>
        </row>
        <row r="217">
          <cell r="B217" t="str">
            <v>GRML</v>
          </cell>
          <cell r="F217">
            <v>10.32</v>
          </cell>
        </row>
        <row r="218">
          <cell r="B218" t="str">
            <v>ARDX</v>
          </cell>
          <cell r="F218">
            <v>9.98</v>
          </cell>
        </row>
        <row r="219">
          <cell r="B219" t="str">
            <v>OBX</v>
          </cell>
          <cell r="F219">
            <v>16.08</v>
          </cell>
        </row>
        <row r="220">
          <cell r="B220" t="str">
            <v>GERN</v>
          </cell>
          <cell r="F220">
            <v>10.23</v>
          </cell>
        </row>
        <row r="221">
          <cell r="B221" t="str">
            <v>GYRE</v>
          </cell>
          <cell r="F221">
            <v>6.7</v>
          </cell>
        </row>
        <row r="222">
          <cell r="B222" t="str">
            <v>APMD</v>
          </cell>
          <cell r="F222">
            <v>9.34</v>
          </cell>
        </row>
        <row r="223">
          <cell r="B223" t="str">
            <v>ACHV</v>
          </cell>
          <cell r="F223">
            <v>18.51</v>
          </cell>
        </row>
        <row r="224">
          <cell r="B224" t="str">
            <v>CADL</v>
          </cell>
          <cell r="F224">
            <v>23.33</v>
          </cell>
        </row>
        <row r="225">
          <cell r="B225" t="str">
            <v>VSTM</v>
          </cell>
          <cell r="F225">
            <v>13.25</v>
          </cell>
        </row>
        <row r="226">
          <cell r="B226" t="str">
            <v>LXRX</v>
          </cell>
          <cell r="F226">
            <v>1.24</v>
          </cell>
        </row>
        <row r="227">
          <cell r="B227" t="str">
            <v>ATTO</v>
          </cell>
          <cell r="F227">
            <v>2.36</v>
          </cell>
        </row>
        <row r="228">
          <cell r="B228" t="str">
            <v>SLDB</v>
          </cell>
          <cell r="F228">
            <v>13.1</v>
          </cell>
        </row>
        <row r="229">
          <cell r="B229" t="str">
            <v>FDMT</v>
          </cell>
          <cell r="F229">
            <v>3.83</v>
          </cell>
        </row>
        <row r="230">
          <cell r="B230" t="str">
            <v>AVTX</v>
          </cell>
          <cell r="F230">
            <v>6.17</v>
          </cell>
        </row>
        <row r="231">
          <cell r="B231" t="str">
            <v>DSGN</v>
          </cell>
          <cell r="F231">
            <v>1.55</v>
          </cell>
        </row>
        <row r="232">
          <cell r="B232" t="str">
            <v>PRME</v>
          </cell>
          <cell r="F232">
            <v>14.04</v>
          </cell>
        </row>
        <row r="233">
          <cell r="B233" t="str">
            <v>COLL</v>
          </cell>
          <cell r="F233">
            <v>9.75</v>
          </cell>
        </row>
        <row r="234">
          <cell r="B234" t="str">
            <v>NVCT</v>
          </cell>
          <cell r="F234">
            <v>6.51</v>
          </cell>
        </row>
        <row r="235">
          <cell r="B235" t="str">
            <v>PHAR</v>
          </cell>
          <cell r="F235">
            <v>4.23</v>
          </cell>
        </row>
        <row r="236">
          <cell r="B236" t="str">
            <v>OLMA</v>
          </cell>
          <cell r="F236">
            <v>11.1</v>
          </cell>
        </row>
        <row r="237">
          <cell r="B237" t="str">
            <v>WVE</v>
          </cell>
          <cell r="F237">
            <v>12.36</v>
          </cell>
        </row>
        <row r="238">
          <cell r="B238" t="str">
            <v>MDXG</v>
          </cell>
          <cell r="F238">
            <v>6.56</v>
          </cell>
        </row>
        <row r="239">
          <cell r="B239" t="str">
            <v>AURA</v>
          </cell>
          <cell r="F239">
            <v>3.92</v>
          </cell>
        </row>
        <row r="240">
          <cell r="B240" t="str">
            <v>IMMX</v>
          </cell>
          <cell r="F240">
            <v>8.64</v>
          </cell>
        </row>
        <row r="241">
          <cell r="B241" t="str">
            <v>ZVRA</v>
          </cell>
          <cell r="F241">
            <v>10.8</v>
          </cell>
        </row>
        <row r="242">
          <cell r="B242" t="str">
            <v>FTH</v>
          </cell>
          <cell r="F242">
            <v>3.63</v>
          </cell>
        </row>
        <row r="243">
          <cell r="B243" t="str">
            <v>NNNN</v>
          </cell>
          <cell r="F243">
            <v>8.91</v>
          </cell>
        </row>
        <row r="244">
          <cell r="B244" t="str">
            <v>CLYM</v>
          </cell>
          <cell r="F244">
            <v>20.59</v>
          </cell>
        </row>
        <row r="245">
          <cell r="B245" t="str">
            <v>IRWD</v>
          </cell>
          <cell r="F245">
            <v>3.385</v>
          </cell>
        </row>
        <row r="246">
          <cell r="B246" t="str">
            <v>IVA</v>
          </cell>
          <cell r="F246">
            <v>10.47</v>
          </cell>
        </row>
        <row r="247">
          <cell r="B247" t="str">
            <v>AQST</v>
          </cell>
          <cell r="F247">
            <v>6.4</v>
          </cell>
        </row>
        <row r="248">
          <cell r="B248" t="str">
            <v>STTK</v>
          </cell>
          <cell r="F248">
            <v>7.25</v>
          </cell>
        </row>
        <row r="249">
          <cell r="B249" t="str">
            <v>PHAT</v>
          </cell>
          <cell r="F249">
            <v>3.26</v>
          </cell>
        </row>
        <row r="250">
          <cell r="B250" t="str">
            <v>DBVT</v>
          </cell>
          <cell r="F250">
            <v>7.57</v>
          </cell>
        </row>
        <row r="251">
          <cell r="B251" t="str">
            <v>CRMD</v>
          </cell>
          <cell r="F251">
            <v>7.31</v>
          </cell>
        </row>
        <row r="252">
          <cell r="B252" t="str">
            <v>ACRS</v>
          </cell>
          <cell r="F252">
            <v>5.84</v>
          </cell>
        </row>
        <row r="253">
          <cell r="B253" t="str">
            <v>CTMX</v>
          </cell>
          <cell r="F253">
            <v>9.48</v>
          </cell>
        </row>
        <row r="254">
          <cell r="B254" t="str">
            <v>BLSM</v>
          </cell>
          <cell r="F254">
            <v>5.69</v>
          </cell>
        </row>
        <row r="255">
          <cell r="B255" t="str">
            <v>SGMT</v>
          </cell>
          <cell r="F255">
            <v>4.05</v>
          </cell>
        </row>
        <row r="256">
          <cell r="B256" t="str">
            <v>CBIO</v>
          </cell>
          <cell r="F256">
            <v>9.74</v>
          </cell>
        </row>
        <row r="257">
          <cell r="B257" t="str">
            <v>RGNX</v>
          </cell>
          <cell r="F257">
            <v>10.76</v>
          </cell>
        </row>
        <row r="258">
          <cell r="B258" t="str">
            <v>PBYI</v>
          </cell>
          <cell r="F258">
            <v>2.51</v>
          </cell>
        </row>
        <row r="259">
          <cell r="B259" t="str">
            <v>IMMP</v>
          </cell>
          <cell r="F259">
            <v>20.79</v>
          </cell>
        </row>
        <row r="260">
          <cell r="B260" t="str">
            <v>MNPR</v>
          </cell>
          <cell r="F260">
            <v>3.48</v>
          </cell>
        </row>
        <row r="261">
          <cell r="B261" t="str">
            <v>NGNE</v>
          </cell>
          <cell r="F261">
            <v>14.4</v>
          </cell>
        </row>
        <row r="262">
          <cell r="B262" t="str">
            <v>PROK</v>
          </cell>
          <cell r="F262">
            <v>7.37</v>
          </cell>
        </row>
        <row r="263">
          <cell r="B263" t="str">
            <v>TLRY</v>
          </cell>
          <cell r="F263">
            <v>3.26</v>
          </cell>
        </row>
        <row r="264">
          <cell r="B264" t="str">
            <v>EOLS</v>
          </cell>
          <cell r="F264">
            <v>25.4</v>
          </cell>
        </row>
        <row r="265">
          <cell r="B265" t="str">
            <v>ALT</v>
          </cell>
          <cell r="F265">
            <v>74.23</v>
          </cell>
        </row>
        <row r="266">
          <cell r="B266" t="str">
            <v>ALLO</v>
          </cell>
          <cell r="F266">
            <v>3.02</v>
          </cell>
        </row>
        <row r="267">
          <cell r="B267" t="str">
            <v>VALN</v>
          </cell>
          <cell r="F267">
            <v>7.4</v>
          </cell>
        </row>
        <row r="268">
          <cell r="B268" t="str">
            <v>OCS</v>
          </cell>
          <cell r="F268">
            <v>7.66</v>
          </cell>
        </row>
        <row r="269">
          <cell r="B269" t="str">
            <v>ARVN</v>
          </cell>
          <cell r="F269">
            <v>1.33</v>
          </cell>
        </row>
        <row r="270">
          <cell r="B270" t="str">
            <v>AUTL</v>
          </cell>
          <cell r="F270">
            <v>3.73</v>
          </cell>
        </row>
        <row r="271">
          <cell r="B271" t="str">
            <v>OVID</v>
          </cell>
          <cell r="F271">
            <v>3.03</v>
          </cell>
        </row>
        <row r="272">
          <cell r="B272" t="str">
            <v>ASMB</v>
          </cell>
          <cell r="F272">
            <v>7.85</v>
          </cell>
        </row>
        <row r="273">
          <cell r="B273" t="str">
            <v>YDES</v>
          </cell>
          <cell r="F273">
            <v>19.61</v>
          </cell>
        </row>
        <row r="274">
          <cell r="B274" t="str">
            <v>RZLT</v>
          </cell>
          <cell r="F274">
            <v>13.07</v>
          </cell>
        </row>
        <row r="275">
          <cell r="B275" t="str">
            <v>KMDA</v>
          </cell>
          <cell r="F275">
            <v>7.49</v>
          </cell>
        </row>
        <row r="276">
          <cell r="B276" t="str">
            <v>SLN</v>
          </cell>
          <cell r="F276">
            <v>8.5</v>
          </cell>
        </row>
        <row r="277">
          <cell r="B277" t="str">
            <v>ENTX</v>
          </cell>
          <cell r="F277">
            <v>2.3</v>
          </cell>
        </row>
        <row r="278">
          <cell r="B278" t="str">
            <v>IBO</v>
          </cell>
          <cell r="F278">
            <v>1.66</v>
          </cell>
        </row>
        <row r="279">
          <cell r="B279" t="str">
            <v>TECX</v>
          </cell>
          <cell r="F279">
            <v>2.36</v>
          </cell>
        </row>
        <row r="280">
          <cell r="B280" t="str">
            <v>CAPR</v>
          </cell>
          <cell r="F280">
            <v>5.84</v>
          </cell>
        </row>
        <row r="281">
          <cell r="B281" t="str">
            <v>PRTA</v>
          </cell>
          <cell r="F281">
            <v>21.19</v>
          </cell>
        </row>
        <row r="282">
          <cell r="B282" t="str">
            <v>DMAC</v>
          </cell>
          <cell r="F282">
            <v>8.18</v>
          </cell>
        </row>
        <row r="283">
          <cell r="B283" t="str">
            <v>EDIT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AVIR</v>
          </cell>
          <cell r="F285">
            <v>21.825</v>
          </cell>
        </row>
        <row r="286">
          <cell r="B286" t="str">
            <v>MYGN</v>
          </cell>
          <cell r="F286">
            <v>13.8</v>
          </cell>
        </row>
        <row r="287">
          <cell r="B287" t="str">
            <v>RCEL</v>
          </cell>
          <cell r="F287">
            <v>1.44</v>
          </cell>
        </row>
        <row r="288">
          <cell r="B288" t="str">
            <v>EIKN</v>
          </cell>
          <cell r="F288">
            <v>19.81</v>
          </cell>
        </row>
        <row r="289">
          <cell r="B289" t="str">
            <v>MPLT</v>
          </cell>
          <cell r="F289">
            <v>6.755</v>
          </cell>
        </row>
        <row r="290">
          <cell r="B290" t="str">
            <v>SCTX</v>
          </cell>
          <cell r="F290">
            <v>5.54</v>
          </cell>
        </row>
        <row r="291">
          <cell r="B291" t="str">
            <v>GALT</v>
          </cell>
          <cell r="F291">
            <v>2.58</v>
          </cell>
        </row>
        <row r="292">
          <cell r="B292" t="str">
            <v>KYTX</v>
          </cell>
          <cell r="F292">
            <v>4.0</v>
          </cell>
        </row>
        <row r="293">
          <cell r="B293" t="str">
            <v>ARCT</v>
          </cell>
          <cell r="F293">
            <v>6.04</v>
          </cell>
        </row>
        <row r="294">
          <cell r="B294" t="str">
            <v>CCCC</v>
          </cell>
          <cell r="F294">
            <v>3.43</v>
          </cell>
        </row>
        <row r="295">
          <cell r="B295" t="str">
            <v>EPRX</v>
          </cell>
          <cell r="F295">
            <v>8.24</v>
          </cell>
        </row>
        <row r="296">
          <cell r="B296" t="str">
            <v>IRD</v>
          </cell>
          <cell r="F296">
            <v>4.465</v>
          </cell>
        </row>
        <row r="297">
          <cell r="B297" t="str">
            <v>ZURA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ENTA</v>
          </cell>
          <cell r="F299">
            <v>3.7</v>
          </cell>
        </row>
        <row r="300">
          <cell r="B300" t="str">
            <v>EBS</v>
          </cell>
          <cell r="F300">
            <v>10.47</v>
          </cell>
        </row>
        <row r="301">
          <cell r="B301" t="str">
            <v>RLMD</v>
          </cell>
          <cell r="F301">
            <v>7.59</v>
          </cell>
        </row>
        <row r="302">
          <cell r="B302" t="str">
            <v>TTRX</v>
          </cell>
          <cell r="F302">
            <v>3.36</v>
          </cell>
        </row>
        <row r="303">
          <cell r="B303" t="str">
            <v>CGC</v>
          </cell>
          <cell r="F303">
            <v>3.16</v>
          </cell>
        </row>
        <row r="304">
          <cell r="B304" t="str">
            <v>SRZN</v>
          </cell>
          <cell r="F304">
            <v>1.28</v>
          </cell>
        </row>
        <row r="305">
          <cell r="B305" t="str">
            <v>AGEN</v>
          </cell>
          <cell r="F305">
            <v>6.29</v>
          </cell>
        </row>
        <row r="306">
          <cell r="B306" t="str">
            <v>ARTV</v>
          </cell>
          <cell r="F306">
            <v>11.67</v>
          </cell>
        </row>
        <row r="307">
          <cell r="B307" t="str">
            <v>INDP</v>
          </cell>
          <cell r="F307">
            <v>4.01</v>
          </cell>
        </row>
        <row r="308">
          <cell r="B308" t="str">
            <v>CABA</v>
          </cell>
          <cell r="F308">
            <v>7.31</v>
          </cell>
        </row>
        <row r="309">
          <cell r="B309" t="str">
            <v>OCGN</v>
          </cell>
          <cell r="F309">
            <v>0.72</v>
          </cell>
        </row>
        <row r="310">
          <cell r="B310" t="str">
            <v>SNDL</v>
          </cell>
          <cell r="F310">
            <v>6.56</v>
          </cell>
        </row>
        <row r="311">
          <cell r="B311" t="str">
            <v>CYPH</v>
          </cell>
          <cell r="F311">
            <v>9.04</v>
          </cell>
        </row>
        <row r="312">
          <cell r="B312" t="str">
            <v>PRLD</v>
          </cell>
          <cell r="F312">
            <v>10.98</v>
          </cell>
        </row>
        <row r="313">
          <cell r="B313" t="str">
            <v>BNTC</v>
          </cell>
          <cell r="F313">
            <v>3.2</v>
          </cell>
        </row>
        <row r="314">
          <cell r="B314" t="str">
            <v>CTNM</v>
          </cell>
          <cell r="F314">
            <v>3.72</v>
          </cell>
        </row>
        <row r="315">
          <cell r="B315" t="str">
            <v>CATX</v>
          </cell>
          <cell r="F315">
            <v>2.81</v>
          </cell>
        </row>
        <row r="316">
          <cell r="B316" t="str">
            <v>GTBP</v>
          </cell>
          <cell r="F316">
            <v>25.14</v>
          </cell>
        </row>
        <row r="317">
          <cell r="B317" t="str">
            <v>EYPT</v>
          </cell>
          <cell r="F317">
            <v>6.42</v>
          </cell>
        </row>
        <row r="318">
          <cell r="B318" t="str">
            <v>BIOA</v>
          </cell>
          <cell r="F318">
            <v>1.43</v>
          </cell>
        </row>
        <row r="319">
          <cell r="B319" t="str">
            <v>XFOR</v>
          </cell>
          <cell r="F319">
            <v>20.44</v>
          </cell>
        </row>
        <row r="320">
          <cell r="B320" t="str">
            <v>FULC</v>
          </cell>
          <cell r="F320">
            <v>2.3</v>
          </cell>
        </row>
        <row r="321">
          <cell r="B321" t="str">
            <v>ABEO</v>
          </cell>
          <cell r="F321">
            <v>0.8125</v>
          </cell>
        </row>
        <row r="322">
          <cell r="B322" t="str">
            <v>RCKT</v>
          </cell>
          <cell r="F322">
            <v>3.02</v>
          </cell>
        </row>
        <row r="323">
          <cell r="B323" t="str">
            <v>LRMR</v>
          </cell>
          <cell r="F323">
            <v>3.53</v>
          </cell>
        </row>
        <row r="324">
          <cell r="B324" t="str">
            <v>VNDA</v>
          </cell>
          <cell r="F324">
            <v>2.34</v>
          </cell>
        </row>
        <row r="325">
          <cell r="B325" t="str">
            <v>IKT</v>
          </cell>
          <cell r="F325">
            <v>0.4052</v>
          </cell>
        </row>
        <row r="326">
          <cell r="B326" t="str">
            <v>BCYC</v>
          </cell>
          <cell r="F326">
            <v>4.43</v>
          </cell>
        </row>
        <row r="327">
          <cell r="B327" t="str">
            <v>SABS</v>
          </cell>
          <cell r="F327">
            <v>4.6</v>
          </cell>
        </row>
        <row r="328">
          <cell r="B328" t="str">
            <v>PALI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BBOT</v>
          </cell>
          <cell r="F330">
            <v>4.17</v>
          </cell>
        </row>
        <row r="331">
          <cell r="B331" t="str">
            <v>LXEO</v>
          </cell>
          <cell r="F331">
            <v>2.49</v>
          </cell>
        </row>
        <row r="332">
          <cell r="B332" t="str">
            <v>ANIK</v>
          </cell>
          <cell r="F332">
            <v>3.6</v>
          </cell>
        </row>
        <row r="333">
          <cell r="B333" t="str">
            <v>FATE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UPB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HELP</v>
          </cell>
          <cell r="F337">
            <v>1.71</v>
          </cell>
        </row>
        <row r="338">
          <cell r="B338" t="str">
            <v>ACIU</v>
          </cell>
          <cell r="F338">
            <v>2.88</v>
          </cell>
        </row>
        <row r="339">
          <cell r="B339" t="str">
            <v>AMRN</v>
          </cell>
          <cell r="F339">
            <v>10.94</v>
          </cell>
        </row>
        <row r="340">
          <cell r="B340" t="str">
            <v>LIMN</v>
          </cell>
          <cell r="F340">
            <v>3.15</v>
          </cell>
        </row>
        <row r="341">
          <cell r="B341" t="str">
            <v>ACB</v>
          </cell>
          <cell r="F341">
            <v>3.02</v>
          </cell>
        </row>
        <row r="342">
          <cell r="B342" t="str">
            <v>LCTX</v>
          </cell>
          <cell r="F342">
            <v>2.72</v>
          </cell>
        </row>
        <row r="343">
          <cell r="B343" t="str">
            <v>TLSI</v>
          </cell>
          <cell r="F343">
            <v>3.97</v>
          </cell>
        </row>
        <row r="344">
          <cell r="B344" t="str">
            <v>QTTB</v>
          </cell>
          <cell r="F344">
            <v>2.65</v>
          </cell>
        </row>
        <row r="345">
          <cell r="B345" t="str">
            <v>GLSI</v>
          </cell>
          <cell r="F345">
            <v>8.62</v>
          </cell>
        </row>
        <row r="346">
          <cell r="B346" t="str">
            <v>MGNX</v>
          </cell>
          <cell r="F346">
            <v>3.66</v>
          </cell>
        </row>
        <row r="347">
          <cell r="B347" t="str">
            <v>KROS</v>
          </cell>
          <cell r="F347">
            <v>5.28</v>
          </cell>
        </row>
        <row r="348">
          <cell r="B348" t="str">
            <v>STRO</v>
          </cell>
          <cell r="F348">
            <v>11.4</v>
          </cell>
        </row>
        <row r="349">
          <cell r="B349" t="str">
            <v>CAMP</v>
          </cell>
          <cell r="F349">
            <v>2.06</v>
          </cell>
        </row>
        <row r="350">
          <cell r="B350" t="str">
            <v>SIGA</v>
          </cell>
          <cell r="F350">
            <v>16.24</v>
          </cell>
        </row>
        <row r="351">
          <cell r="B351" t="str">
            <v>ALEC</v>
          </cell>
          <cell r="F351">
            <v>2.635</v>
          </cell>
        </row>
        <row r="352">
          <cell r="B352" t="str">
            <v>HITI</v>
          </cell>
          <cell r="F352">
            <v>3.49</v>
          </cell>
        </row>
        <row r="353">
          <cell r="B353" t="str">
            <v>EVMN</v>
          </cell>
          <cell r="F353">
            <v>2.44</v>
          </cell>
        </row>
        <row r="354">
          <cell r="B354" t="str">
            <v>PLX</v>
          </cell>
          <cell r="F354">
            <v>1.97</v>
          </cell>
        </row>
        <row r="355">
          <cell r="B355" t="str">
            <v>AKBA</v>
          </cell>
          <cell r="F355">
            <v>2.72</v>
          </cell>
        </row>
        <row r="356">
          <cell r="B356" t="str">
            <v>SION</v>
          </cell>
          <cell r="F356">
            <v>3.19</v>
          </cell>
        </row>
        <row r="357">
          <cell r="B357" t="str">
            <v>ADCT</v>
          </cell>
          <cell r="F357">
            <v>9.7</v>
          </cell>
        </row>
        <row r="358">
          <cell r="B358" t="str">
            <v>TRDA</v>
          </cell>
          <cell r="F358">
            <v>6.395</v>
          </cell>
        </row>
        <row r="359">
          <cell r="B359" t="str">
            <v>RNAC</v>
          </cell>
          <cell r="F359">
            <v>3.16</v>
          </cell>
        </row>
        <row r="360">
          <cell r="B360" t="str">
            <v>LYEL</v>
          </cell>
          <cell r="F360">
            <v>2.14</v>
          </cell>
        </row>
        <row r="361">
          <cell r="B361" t="str">
            <v>IVVD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ELDN</v>
          </cell>
          <cell r="F363">
            <v>4.99</v>
          </cell>
        </row>
        <row r="364">
          <cell r="B364" t="str">
            <v>CGEN</v>
          </cell>
          <cell r="F364">
            <v>0.6181</v>
          </cell>
        </row>
        <row r="365">
          <cell r="B365" t="str">
            <v>CUE</v>
          </cell>
          <cell r="F365">
            <v>2.255</v>
          </cell>
        </row>
        <row r="366">
          <cell r="B366" t="str">
            <v>WHWK</v>
          </cell>
          <cell r="F366">
            <v>0.6366</v>
          </cell>
        </row>
        <row r="367">
          <cell r="B367" t="str">
            <v>SLGL</v>
          </cell>
          <cell r="F367">
            <v>11.54</v>
          </cell>
        </row>
        <row r="368">
          <cell r="B368" t="str">
            <v>ACOG</v>
          </cell>
          <cell r="F368">
            <v>2.875</v>
          </cell>
        </row>
        <row r="369">
          <cell r="B369" t="str">
            <v>ZNTL</v>
          </cell>
          <cell r="F369">
            <v>1.53</v>
          </cell>
        </row>
        <row r="370">
          <cell r="B370" t="str">
            <v>DTIL</v>
          </cell>
          <cell r="F370">
            <v>65.81</v>
          </cell>
        </row>
        <row r="371">
          <cell r="B371" t="str">
            <v>PEPG</v>
          </cell>
          <cell r="F371">
            <v>8.58</v>
          </cell>
        </row>
        <row r="372">
          <cell r="B372" t="str">
            <v>ORMP</v>
          </cell>
          <cell r="F372">
            <v>4.15</v>
          </cell>
        </row>
        <row r="373">
          <cell r="B373" t="str">
            <v>CMPX</v>
          </cell>
          <cell r="F373">
            <v>4.15</v>
          </cell>
        </row>
        <row r="374">
          <cell r="B374" t="str">
            <v>DERM</v>
          </cell>
          <cell r="F374">
            <v>3.19</v>
          </cell>
        </row>
        <row r="375">
          <cell r="B375" t="str">
            <v>ALXO</v>
          </cell>
          <cell r="F375">
            <v>8.46</v>
          </cell>
        </row>
        <row r="376">
          <cell r="B376" t="str">
            <v>PRQR</v>
          </cell>
          <cell r="F376">
            <v>6.56</v>
          </cell>
        </row>
        <row r="377">
          <cell r="B377" t="str">
            <v>PYXS</v>
          </cell>
          <cell r="F377">
            <v>0.8333</v>
          </cell>
        </row>
        <row r="378">
          <cell r="B378" t="str">
            <v>CNTN</v>
          </cell>
          <cell r="F378">
            <v>1.0</v>
          </cell>
        </row>
        <row r="379">
          <cell r="B379" t="str">
            <v>CURX</v>
          </cell>
          <cell r="F379">
            <v>1.38</v>
          </cell>
        </row>
        <row r="380">
          <cell r="B380" t="str">
            <v>ANTX</v>
          </cell>
          <cell r="F380">
            <v>2.39</v>
          </cell>
        </row>
        <row r="381">
          <cell r="B381" t="str">
            <v>ORGO</v>
          </cell>
          <cell r="F381">
            <v>12.1</v>
          </cell>
        </row>
        <row r="382">
          <cell r="B382" t="str">
            <v>CHRS</v>
          </cell>
          <cell r="F382">
            <v>31.03</v>
          </cell>
        </row>
        <row r="383">
          <cell r="B383" t="str">
            <v>TARA</v>
          </cell>
          <cell r="F383">
            <v>2.82</v>
          </cell>
        </row>
        <row r="384">
          <cell r="B384" t="str">
            <v>NKTX</v>
          </cell>
          <cell r="F384">
            <v>1.86</v>
          </cell>
        </row>
        <row r="385">
          <cell r="B385" t="str">
            <v>NBP</v>
          </cell>
          <cell r="F385">
            <v>1.84</v>
          </cell>
        </row>
        <row r="386">
          <cell r="B386" t="str">
            <v>MDWD</v>
          </cell>
          <cell r="F386">
            <v>1.73</v>
          </cell>
        </row>
        <row r="387">
          <cell r="B387" t="str">
            <v>MENS</v>
          </cell>
          <cell r="F387">
            <v>1.14</v>
          </cell>
        </row>
        <row r="388">
          <cell r="B388" t="str">
            <v>KRSA</v>
          </cell>
          <cell r="F388">
            <v>1.425</v>
          </cell>
        </row>
        <row r="389">
          <cell r="B389" t="str">
            <v>MOLN</v>
          </cell>
          <cell r="F389">
            <v>4.92</v>
          </cell>
        </row>
        <row r="390">
          <cell r="B390" t="str">
            <v>ABOS</v>
          </cell>
          <cell r="F390">
            <v>3.7</v>
          </cell>
        </row>
        <row r="391">
          <cell r="B391" t="str">
            <v>NERV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VYGR</v>
          </cell>
          <cell r="F393">
            <v>2.56</v>
          </cell>
        </row>
        <row r="394">
          <cell r="B394" t="str">
            <v>KRRO</v>
          </cell>
          <cell r="F394">
            <v>7.98</v>
          </cell>
        </row>
        <row r="395">
          <cell r="B395" t="str">
            <v>OTLK</v>
          </cell>
          <cell r="F395">
            <v>1.74</v>
          </cell>
        </row>
        <row r="396">
          <cell r="B396" t="str">
            <v>RNA</v>
          </cell>
          <cell r="F396">
            <v>1.02</v>
          </cell>
        </row>
        <row r="397">
          <cell r="B397" t="str">
            <v>FRNM</v>
          </cell>
          <cell r="F397">
            <v>3.56</v>
          </cell>
        </row>
        <row r="398">
          <cell r="B398" t="str">
            <v>AVXL</v>
          </cell>
          <cell r="F398">
            <v>1.54</v>
          </cell>
        </row>
        <row r="399">
          <cell r="B399" t="str">
            <v>NGEN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TNYA</v>
          </cell>
          <cell r="F401">
            <v>9.44</v>
          </cell>
        </row>
        <row r="402">
          <cell r="B402" t="str">
            <v>SPRB</v>
          </cell>
          <cell r="F402">
            <v>2.015</v>
          </cell>
        </row>
        <row r="403">
          <cell r="B403" t="str">
            <v>CLLS</v>
          </cell>
          <cell r="F403">
            <v>1.36</v>
          </cell>
        </row>
        <row r="404">
          <cell r="B404" t="str">
            <v>TNXP</v>
          </cell>
          <cell r="F404">
            <v>17.04</v>
          </cell>
        </row>
        <row r="405">
          <cell r="B405" t="str">
            <v>HURA</v>
          </cell>
          <cell r="F405">
            <v>0.406</v>
          </cell>
        </row>
        <row r="406">
          <cell r="B406" t="str">
            <v>NRXP</v>
          </cell>
          <cell r="F406">
            <v>0.52</v>
          </cell>
        </row>
        <row r="407">
          <cell r="B407" t="str">
            <v>CRDL</v>
          </cell>
          <cell r="F407">
            <v>2.19</v>
          </cell>
        </row>
        <row r="408">
          <cell r="B408" t="str">
            <v>VTVT</v>
          </cell>
          <cell r="F408">
            <v>41.23</v>
          </cell>
        </row>
        <row r="409">
          <cell r="B409" t="str">
            <v>NRSN</v>
          </cell>
          <cell r="F409">
            <v>2.62</v>
          </cell>
        </row>
        <row r="410">
          <cell r="B410" t="str">
            <v>INO</v>
          </cell>
          <cell r="F410">
            <v>2.53</v>
          </cell>
        </row>
        <row r="411">
          <cell r="B411" t="str">
            <v>FHTX</v>
          </cell>
          <cell r="F411">
            <v>1.76</v>
          </cell>
        </row>
        <row r="412">
          <cell r="B412" t="str">
            <v>CBUS</v>
          </cell>
          <cell r="F412">
            <v>1.67</v>
          </cell>
        </row>
        <row r="413">
          <cell r="B413" t="str">
            <v>COYA</v>
          </cell>
          <cell r="F413">
            <v>1.15</v>
          </cell>
        </row>
        <row r="414">
          <cell r="B414" t="str">
            <v>ENGN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MSLE</v>
          </cell>
          <cell r="F416">
            <v>5.15</v>
          </cell>
        </row>
        <row r="417">
          <cell r="B417" t="str">
            <v>IFRX</v>
          </cell>
          <cell r="F417">
            <v>7.96</v>
          </cell>
        </row>
        <row r="418">
          <cell r="B418" t="str">
            <v>LENZ</v>
          </cell>
          <cell r="F418">
            <v>7.0</v>
          </cell>
        </row>
        <row r="419">
          <cell r="B419" t="str">
            <v>UNCY</v>
          </cell>
          <cell r="F419">
            <v>27.845</v>
          </cell>
        </row>
        <row r="420">
          <cell r="B420" t="str">
            <v>QUCY</v>
          </cell>
          <cell r="F420">
            <v>14.06</v>
          </cell>
        </row>
        <row r="421">
          <cell r="B421" t="str">
            <v>HUMA</v>
          </cell>
          <cell r="F421">
            <v>0.99</v>
          </cell>
        </row>
        <row r="422">
          <cell r="B422" t="str">
            <v>IMUX</v>
          </cell>
          <cell r="F422">
            <v>1.54</v>
          </cell>
        </row>
        <row r="423">
          <cell r="B423" t="str">
            <v>RANI</v>
          </cell>
          <cell r="F423">
            <v>5.78</v>
          </cell>
        </row>
        <row r="424">
          <cell r="B424" t="str">
            <v>IMDX</v>
          </cell>
          <cell r="F424">
            <v>3.19</v>
          </cell>
        </row>
        <row r="425">
          <cell r="B425" t="str">
            <v>CNXU</v>
          </cell>
          <cell r="F425">
            <v>1.01</v>
          </cell>
        </row>
        <row r="426">
          <cell r="B426" t="str">
            <v>CPIX</v>
          </cell>
          <cell r="F426">
            <v>4.21</v>
          </cell>
        </row>
        <row r="427">
          <cell r="B427" t="str">
            <v>BDTX</v>
          </cell>
          <cell r="F427">
            <v>1.39</v>
          </cell>
        </row>
        <row r="428">
          <cell r="B428" t="str">
            <v>AARD</v>
          </cell>
          <cell r="F428">
            <v>3.03</v>
          </cell>
        </row>
        <row r="429">
          <cell r="B429" t="str">
            <v>CRBP</v>
          </cell>
          <cell r="F429">
            <v>2.39</v>
          </cell>
        </row>
        <row r="430">
          <cell r="B430" t="str">
            <v>BMEA</v>
          </cell>
          <cell r="F430">
            <v>2.07</v>
          </cell>
        </row>
        <row r="431">
          <cell r="B431" t="str">
            <v>ANIX</v>
          </cell>
          <cell r="F431">
            <v>10.45</v>
          </cell>
        </row>
        <row r="432">
          <cell r="B432" t="str">
            <v>PLYX</v>
          </cell>
          <cell r="F432">
            <v>2.5</v>
          </cell>
        </row>
        <row r="433">
          <cell r="B433" t="str">
            <v>OKUR</v>
          </cell>
          <cell r="F433">
            <v>9.16</v>
          </cell>
        </row>
        <row r="434">
          <cell r="B434" t="str">
            <v>MIST</v>
          </cell>
          <cell r="F434">
            <v>7.41</v>
          </cell>
        </row>
        <row r="435">
          <cell r="B435" t="str">
            <v>ATRA</v>
          </cell>
          <cell r="F435">
            <v>1.91</v>
          </cell>
        </row>
        <row r="436">
          <cell r="B436" t="str">
            <v>ALP</v>
          </cell>
          <cell r="F436">
            <v>3.8</v>
          </cell>
        </row>
        <row r="437">
          <cell r="B437" t="str">
            <v>PYPD</v>
          </cell>
          <cell r="F437">
            <v>2.68</v>
          </cell>
        </row>
        <row r="438">
          <cell r="B438" t="str">
            <v>RLYB</v>
          </cell>
          <cell r="F438">
            <v>1.07</v>
          </cell>
        </row>
        <row r="439">
          <cell r="B439" t="str">
            <v>EQ</v>
          </cell>
          <cell r="F439">
            <v>0.41</v>
          </cell>
        </row>
        <row r="440">
          <cell r="B440" t="str">
            <v>NMRA</v>
          </cell>
          <cell r="F440">
            <v>0.6528</v>
          </cell>
        </row>
        <row r="441">
          <cell r="B441" t="str">
            <v>ICCC</v>
          </cell>
          <cell r="F441">
            <v>16.38</v>
          </cell>
        </row>
        <row r="442">
          <cell r="B442" t="str">
            <v>PMN</v>
          </cell>
          <cell r="F442">
            <v>0.465</v>
          </cell>
        </row>
        <row r="443">
          <cell r="B443" t="str">
            <v>CRDF</v>
          </cell>
          <cell r="F443">
            <v>0.7185</v>
          </cell>
        </row>
        <row r="444">
          <cell r="B444" t="str">
            <v>CGTX</v>
          </cell>
          <cell r="F444">
            <v>4.42</v>
          </cell>
        </row>
        <row r="445">
          <cell r="B445" t="str">
            <v>RFL</v>
          </cell>
          <cell r="F445">
            <v>2.99</v>
          </cell>
        </row>
        <row r="446">
          <cell r="B446" t="str">
            <v>LEXX</v>
          </cell>
          <cell r="F446">
            <v>2.36</v>
          </cell>
        </row>
        <row r="447">
          <cell r="B447" t="str">
            <v>ZYBT</v>
          </cell>
          <cell r="F447">
            <v>3.9</v>
          </cell>
        </row>
        <row r="448">
          <cell r="B448" t="str">
            <v>ACRV</v>
          </cell>
          <cell r="F448">
            <v>3.38</v>
          </cell>
        </row>
        <row r="449">
          <cell r="B449" t="str">
            <v>PMVP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LGVN</v>
          </cell>
          <cell r="F451">
            <v>1.38</v>
          </cell>
        </row>
        <row r="452">
          <cell r="B452" t="str">
            <v>PTHS</v>
          </cell>
          <cell r="F452">
            <v>1.37</v>
          </cell>
        </row>
        <row r="453">
          <cell r="B453" t="str">
            <v>CTOR</v>
          </cell>
          <cell r="F453">
            <v>8.09</v>
          </cell>
        </row>
        <row r="454">
          <cell r="B454" t="str">
            <v>SDEV</v>
          </cell>
          <cell r="F454">
            <v>1.01</v>
          </cell>
        </row>
        <row r="455">
          <cell r="B455" t="str">
            <v>PDSB</v>
          </cell>
          <cell r="F455">
            <v>1.31</v>
          </cell>
        </row>
        <row r="456">
          <cell r="B456" t="str">
            <v>HRTX</v>
          </cell>
          <cell r="F456">
            <v>0.671</v>
          </cell>
        </row>
        <row r="457">
          <cell r="B457" t="str">
            <v>TELO</v>
          </cell>
          <cell r="F457">
            <v>2.65</v>
          </cell>
        </row>
        <row r="458">
          <cell r="B458" t="str">
            <v>MNOV</v>
          </cell>
          <cell r="F458">
            <v>1.795</v>
          </cell>
        </row>
        <row r="459">
          <cell r="B459" t="str">
            <v>OSTX</v>
          </cell>
          <cell r="F459">
            <v>0.9315</v>
          </cell>
        </row>
        <row r="460">
          <cell r="B460" t="str">
            <v>OKYO</v>
          </cell>
          <cell r="F460">
            <v>2.77</v>
          </cell>
        </row>
        <row r="461">
          <cell r="B461" t="str">
            <v>MAIA</v>
          </cell>
          <cell r="F461">
            <v>1.36</v>
          </cell>
        </row>
        <row r="462">
          <cell r="B462" t="str">
            <v>NMAD</v>
          </cell>
          <cell r="F462">
            <v>0.7338</v>
          </cell>
        </row>
        <row r="463">
          <cell r="B463" t="str">
            <v>NTHI</v>
          </cell>
          <cell r="F463">
            <v>0.3545</v>
          </cell>
        </row>
        <row r="464">
          <cell r="B464" t="str">
            <v>GANX</v>
          </cell>
          <cell r="F464">
            <v>1.12</v>
          </cell>
        </row>
        <row r="465">
          <cell r="B465" t="str">
            <v>FBIO</v>
          </cell>
          <cell r="F465">
            <v>1.49</v>
          </cell>
        </row>
        <row r="466">
          <cell r="B466" t="str">
            <v>CING</v>
          </cell>
          <cell r="F466">
            <v>1.22</v>
          </cell>
        </row>
        <row r="467">
          <cell r="B467" t="str">
            <v>ONCY</v>
          </cell>
          <cell r="F467">
            <v>1.27</v>
          </cell>
        </row>
        <row r="468">
          <cell r="B468" t="str">
            <v>VRCA</v>
          </cell>
          <cell r="F468">
            <v>1.39</v>
          </cell>
        </row>
        <row r="469">
          <cell r="B469" t="str">
            <v>TENX</v>
          </cell>
          <cell r="F469">
            <v>2.02</v>
          </cell>
        </row>
        <row r="470">
          <cell r="B470" t="str">
            <v>SPRO</v>
          </cell>
          <cell r="F470">
            <v>0.4986</v>
          </cell>
        </row>
        <row r="471">
          <cell r="B471" t="str">
            <v>XBIT</v>
          </cell>
          <cell r="F471">
            <v>4.53</v>
          </cell>
        </row>
        <row r="472">
          <cell r="B472" t="str">
            <v>RNTX</v>
          </cell>
          <cell r="F472">
            <v>0.9605</v>
          </cell>
        </row>
        <row r="473">
          <cell r="B473" t="str">
            <v>PLRX</v>
          </cell>
          <cell r="F473">
            <v>3.72</v>
          </cell>
        </row>
        <row r="474">
          <cell r="B474" t="str">
            <v>ENLV</v>
          </cell>
          <cell r="F474">
            <v>1.94</v>
          </cell>
        </row>
        <row r="475">
          <cell r="B475" t="str">
            <v>SKYE</v>
          </cell>
          <cell r="F475">
            <v>3.47</v>
          </cell>
        </row>
        <row r="476">
          <cell r="B476" t="str">
            <v>XLO</v>
          </cell>
          <cell r="F476">
            <v>0.7356</v>
          </cell>
        </row>
        <row r="477">
          <cell r="B477" t="str">
            <v>RNXT</v>
          </cell>
          <cell r="F477">
            <v>1.19</v>
          </cell>
        </row>
        <row r="478">
          <cell r="B478" t="str">
            <v>BOLD</v>
          </cell>
          <cell r="F478">
            <v>0.8752</v>
          </cell>
        </row>
        <row r="479">
          <cell r="B479" t="str">
            <v>ATHE</v>
          </cell>
          <cell r="F479">
            <v>0.33</v>
          </cell>
        </row>
        <row r="480">
          <cell r="B480" t="str">
            <v>KLRS</v>
          </cell>
          <cell r="F480">
            <v>8.54</v>
          </cell>
        </row>
        <row r="481">
          <cell r="B481" t="str">
            <v>TLPH</v>
          </cell>
          <cell r="F481">
            <v>0.9124</v>
          </cell>
        </row>
        <row r="482">
          <cell r="B482" t="str">
            <v>IBIO</v>
          </cell>
          <cell r="F482">
            <v>1.07</v>
          </cell>
        </row>
        <row r="483">
          <cell r="B483" t="str">
            <v>MREO</v>
          </cell>
          <cell r="F483">
            <v>1.62</v>
          </cell>
        </row>
        <row r="484">
          <cell r="B484" t="str">
            <v>ALDX</v>
          </cell>
          <cell r="F484">
            <v>0.5951</v>
          </cell>
        </row>
        <row r="485">
          <cell r="B485" t="str">
            <v>CNTB</v>
          </cell>
          <cell r="F485">
            <v>1.2</v>
          </cell>
        </row>
        <row r="486">
          <cell r="B486" t="str">
            <v>INKT</v>
          </cell>
          <cell r="F486">
            <v>20.21</v>
          </cell>
        </row>
        <row r="487">
          <cell r="B487" t="str">
            <v>LONA</v>
          </cell>
          <cell r="F487">
            <v>2.43</v>
          </cell>
        </row>
        <row r="488">
          <cell r="B488" t="str">
            <v>HYPD</v>
          </cell>
          <cell r="F488">
            <v>2.07</v>
          </cell>
        </row>
        <row r="489">
          <cell r="B489" t="str">
            <v>YARW</v>
          </cell>
          <cell r="F489">
            <v>1.63</v>
          </cell>
        </row>
        <row r="490">
          <cell r="B490" t="str">
            <v>ACET</v>
          </cell>
          <cell r="F490">
            <v>9.86</v>
          </cell>
        </row>
        <row r="491">
          <cell r="B491" t="str">
            <v>INMB</v>
          </cell>
          <cell r="F491">
            <v>0.519</v>
          </cell>
        </row>
        <row r="492">
          <cell r="B492" t="str">
            <v>ANVS</v>
          </cell>
          <cell r="F492">
            <v>5.27</v>
          </cell>
        </row>
        <row r="493">
          <cell r="B493" t="str">
            <v>SER</v>
          </cell>
          <cell r="F493">
            <v>2.37</v>
          </cell>
        </row>
        <row r="494">
          <cell r="B494" t="str">
            <v>CELU</v>
          </cell>
          <cell r="F494">
            <v>0.821</v>
          </cell>
        </row>
        <row r="495">
          <cell r="B495" t="str">
            <v>ELTX</v>
          </cell>
          <cell r="F495">
            <v>2.975</v>
          </cell>
        </row>
        <row r="496">
          <cell r="B496" t="str">
            <v>CLNN</v>
          </cell>
          <cell r="F496">
            <v>0.2237</v>
          </cell>
        </row>
        <row r="497">
          <cell r="B497" t="str">
            <v>CRBU</v>
          </cell>
          <cell r="F497">
            <v>0.2951</v>
          </cell>
        </row>
        <row r="498">
          <cell r="B498" t="str">
            <v>EXOZ</v>
          </cell>
          <cell r="F498">
            <v>1.05</v>
          </cell>
        </row>
        <row r="499">
          <cell r="B499" t="str">
            <v>CRVO</v>
          </cell>
          <cell r="F499">
            <v>3.88</v>
          </cell>
        </row>
        <row r="500">
          <cell r="B500" t="str">
            <v>BRTX</v>
          </cell>
          <cell r="F500">
            <v>1.57</v>
          </cell>
        </row>
        <row r="501">
          <cell r="B501" t="str">
            <v>IMA</v>
          </cell>
          <cell r="F501">
            <v>22.0481</v>
          </cell>
        </row>
        <row r="502">
          <cell r="B502" t="str">
            <v>HOWL</v>
          </cell>
          <cell r="F502">
            <v>6.43</v>
          </cell>
        </row>
        <row r="503">
          <cell r="B503" t="str">
            <v>DWTX</v>
          </cell>
          <cell r="F503">
            <v>1.6</v>
          </cell>
        </row>
        <row r="504">
          <cell r="B504" t="str">
            <v>VBIO</v>
          </cell>
          <cell r="F504">
            <v>4.13</v>
          </cell>
        </row>
        <row r="505">
          <cell r="B505" t="str">
            <v>TIL</v>
          </cell>
          <cell r="F505">
            <v>1.66</v>
          </cell>
        </row>
        <row r="506">
          <cell r="B506" t="str">
            <v>CLGN</v>
          </cell>
          <cell r="F506">
            <v>0.8935</v>
          </cell>
        </row>
        <row r="507">
          <cell r="B507" t="str">
            <v>LNAI</v>
          </cell>
          <cell r="F507">
            <v>1.5</v>
          </cell>
        </row>
        <row r="508">
          <cell r="B508" t="str">
            <v>TVGN</v>
          </cell>
          <cell r="F508">
            <v>4.52</v>
          </cell>
        </row>
        <row r="509">
          <cell r="B509" t="str">
            <v>BSEM</v>
          </cell>
          <cell r="F509">
            <v>0.9932</v>
          </cell>
        </row>
        <row r="510">
          <cell r="B510" t="str">
            <v>GRCE</v>
          </cell>
          <cell r="F510">
            <v>0.6651</v>
          </cell>
        </row>
        <row r="511">
          <cell r="B511" t="str">
            <v>CALC</v>
          </cell>
          <cell r="F511">
            <v>1.15</v>
          </cell>
        </row>
        <row r="512">
          <cell r="B512" t="str">
            <v>MTNB</v>
          </cell>
          <cell r="F512">
            <v>1.26</v>
          </cell>
        </row>
        <row r="513">
          <cell r="B513" t="str">
            <v>VERU</v>
          </cell>
          <cell r="F513">
            <v>5.94</v>
          </cell>
        </row>
        <row r="514">
          <cell r="B514" t="str">
            <v>BTMD</v>
          </cell>
          <cell r="F514">
            <v>3.73</v>
          </cell>
        </row>
        <row r="515">
          <cell r="B515" t="str">
            <v>SCYX</v>
          </cell>
          <cell r="F515">
            <v>1.98</v>
          </cell>
        </row>
        <row r="516">
          <cell r="B516" t="str">
            <v>FLNA</v>
          </cell>
          <cell r="F516">
            <v>2.38</v>
          </cell>
        </row>
        <row r="517">
          <cell r="B517" t="str">
            <v>IXHL</v>
          </cell>
          <cell r="F517">
            <v>1.07</v>
          </cell>
        </row>
        <row r="518">
          <cell r="B518" t="str">
            <v>LITS</v>
          </cell>
          <cell r="F518">
            <v>1.56</v>
          </cell>
        </row>
        <row r="519">
          <cell r="B519" t="str">
            <v>BIAF</v>
          </cell>
          <cell r="F519">
            <v>4.12</v>
          </cell>
        </row>
        <row r="520">
          <cell r="B520" t="str">
            <v>MGX</v>
          </cell>
          <cell r="F520">
            <v>1.64</v>
          </cell>
        </row>
        <row r="521">
          <cell r="B521" t="str">
            <v>CPHI</v>
          </cell>
          <cell r="F521">
            <v>3.8</v>
          </cell>
        </row>
        <row r="522">
          <cell r="B522" t="str">
            <v>ELUT</v>
          </cell>
          <cell r="F522">
            <v>1.7</v>
          </cell>
        </row>
        <row r="523">
          <cell r="B523" t="str">
            <v>FFR</v>
          </cell>
          <cell r="F523">
            <v>1.065</v>
          </cell>
        </row>
        <row r="524">
          <cell r="B524" t="str">
            <v>GRDX</v>
          </cell>
          <cell r="F524">
            <v>2.78</v>
          </cell>
        </row>
        <row r="525">
          <cell r="B525" t="str">
            <v>ATNM</v>
          </cell>
          <cell r="F525">
            <v>1.5</v>
          </cell>
        </row>
        <row r="526">
          <cell r="B526" t="str">
            <v>CVM</v>
          </cell>
          <cell r="F526">
            <v>0.8105</v>
          </cell>
        </row>
        <row r="527">
          <cell r="B527" t="str">
            <v>BCTX</v>
          </cell>
          <cell r="F527">
            <v>1.19</v>
          </cell>
        </row>
        <row r="528">
          <cell r="B528" t="str">
            <v>EDSA</v>
          </cell>
          <cell r="F528">
            <v>0.6885</v>
          </cell>
        </row>
        <row r="529">
          <cell r="B529" t="str">
            <v>ALGS</v>
          </cell>
          <cell r="F529">
            <v>2.29</v>
          </cell>
        </row>
        <row r="530">
          <cell r="B530" t="str">
            <v>NNVC</v>
          </cell>
          <cell r="F530">
            <v>1.395</v>
          </cell>
        </row>
        <row r="531">
          <cell r="B531" t="str">
            <v>NXTC</v>
          </cell>
          <cell r="F531">
            <v>40.27</v>
          </cell>
        </row>
        <row r="532">
          <cell r="B532" t="str">
            <v>QNCX</v>
          </cell>
          <cell r="F532">
            <v>3.66</v>
          </cell>
        </row>
        <row r="533">
          <cell r="B533" t="str">
            <v>NSRX</v>
          </cell>
          <cell r="F533">
            <v>1.56</v>
          </cell>
        </row>
        <row r="534">
          <cell r="B534" t="str">
            <v>RNAZ</v>
          </cell>
          <cell r="F534">
            <v>5.03</v>
          </cell>
        </row>
        <row r="535">
          <cell r="B535" t="str">
            <v>MIRA</v>
          </cell>
          <cell r="F535">
            <v>4.63</v>
          </cell>
        </row>
        <row r="536">
          <cell r="B536" t="str">
            <v>MDXH</v>
          </cell>
          <cell r="F536">
            <v>0.8313</v>
          </cell>
        </row>
        <row r="537">
          <cell r="B537" t="str">
            <v>IGC</v>
          </cell>
          <cell r="F537">
            <v>3.46</v>
          </cell>
        </row>
        <row r="538">
          <cell r="B538" t="str">
            <v>CNTX</v>
          </cell>
          <cell r="F538">
            <v>0.7243</v>
          </cell>
        </row>
        <row r="539">
          <cell r="B539" t="str">
            <v>MCRB</v>
          </cell>
          <cell r="F539">
            <v>2.54</v>
          </cell>
        </row>
        <row r="540">
          <cell r="B540" t="str">
            <v>ABVC</v>
          </cell>
          <cell r="F540">
            <v>1.66</v>
          </cell>
        </row>
        <row r="541">
          <cell r="B541" t="str">
            <v>EVAX</v>
          </cell>
          <cell r="F541">
            <v>5.44</v>
          </cell>
        </row>
        <row r="542">
          <cell r="B542" t="str">
            <v>SHPH</v>
          </cell>
          <cell r="F542">
            <v>3.24</v>
          </cell>
        </row>
        <row r="543">
          <cell r="B543" t="str">
            <v>BYSI</v>
          </cell>
          <cell r="F543">
            <v>0.6501</v>
          </cell>
        </row>
        <row r="544">
          <cell r="B544" t="str">
            <v>SCLX</v>
          </cell>
          <cell r="F544">
            <v>4.91</v>
          </cell>
        </row>
        <row r="545">
          <cell r="B545" t="str">
            <v>JAGX</v>
          </cell>
          <cell r="F545">
            <v>0.245</v>
          </cell>
        </row>
        <row r="546">
          <cell r="B546" t="str">
            <v>KYNB</v>
          </cell>
          <cell r="F546">
            <v>1.19</v>
          </cell>
        </row>
        <row r="547">
          <cell r="B547" t="str">
            <v>ATOS</v>
          </cell>
          <cell r="F547">
            <v>2.31</v>
          </cell>
        </row>
        <row r="548">
          <cell r="B548" t="str">
            <v>ATYR</v>
          </cell>
          <cell r="F548">
            <v>2.82</v>
          </cell>
        </row>
        <row r="549">
          <cell r="B549" t="str">
            <v>TXMD</v>
          </cell>
          <cell r="F549">
            <v>0.515</v>
          </cell>
        </row>
        <row r="550">
          <cell r="B550" t="str">
            <v>AYTU</v>
          </cell>
          <cell r="F550">
            <v>0.93</v>
          </cell>
        </row>
        <row r="551">
          <cell r="B551" t="str">
            <v>COCP</v>
          </cell>
          <cell r="F551">
            <v>2.53</v>
          </cell>
        </row>
        <row r="552">
          <cell r="B552" t="str">
            <v>KAPA</v>
          </cell>
          <cell r="F552">
            <v>1.08</v>
          </cell>
        </row>
        <row r="553">
          <cell r="B553" t="str">
            <v>JSPR</v>
          </cell>
          <cell r="F553">
            <v>4.05</v>
          </cell>
        </row>
        <row r="554">
          <cell r="B554" t="str">
            <v>GNTA</v>
          </cell>
          <cell r="F554">
            <v>0.5227</v>
          </cell>
        </row>
        <row r="555">
          <cell r="B555" t="str">
            <v>NEUP</v>
          </cell>
          <cell r="F555">
            <v>0.2438</v>
          </cell>
        </row>
        <row r="556">
          <cell r="B556" t="str">
            <v>ESLA</v>
          </cell>
          <cell r="F556">
            <v>1.88</v>
          </cell>
        </row>
        <row r="557">
          <cell r="B557" t="str">
            <v>AKTX</v>
          </cell>
          <cell r="F557">
            <v>5.28</v>
          </cell>
        </row>
        <row r="558">
          <cell r="B558" t="str">
            <v>MRKR</v>
          </cell>
          <cell r="F558">
            <v>2.01</v>
          </cell>
        </row>
        <row r="559">
          <cell r="B559" t="str">
            <v>DYAI</v>
          </cell>
          <cell r="F559">
            <v>0.9429</v>
          </cell>
        </row>
        <row r="560">
          <cell r="B560" t="str">
            <v>RKTO</v>
          </cell>
          <cell r="F560">
            <v>0.4</v>
          </cell>
        </row>
        <row r="561">
          <cell r="B561" t="str">
            <v>TCRX</v>
          </cell>
          <cell r="F561">
            <v>2.63</v>
          </cell>
        </row>
        <row r="562">
          <cell r="B562" t="str">
            <v>ALLR</v>
          </cell>
          <cell r="F562">
            <v>1.94</v>
          </cell>
        </row>
        <row r="563">
          <cell r="B563" t="str">
            <v>BCDA</v>
          </cell>
          <cell r="F563">
            <v>3.39</v>
          </cell>
        </row>
        <row r="564">
          <cell r="B564" t="str">
            <v>KTTA</v>
          </cell>
          <cell r="F564">
            <v>1.16</v>
          </cell>
        </row>
        <row r="565">
          <cell r="B565" t="str">
            <v>PTN</v>
          </cell>
          <cell r="F565">
            <v>0.1733</v>
          </cell>
        </row>
        <row r="566">
          <cell r="B566" t="str">
            <v>ARTL</v>
          </cell>
          <cell r="F566">
            <v>9.29</v>
          </cell>
        </row>
        <row r="567">
          <cell r="B567" t="str">
            <v>HIND</v>
          </cell>
          <cell r="F567">
            <v>0.4999</v>
          </cell>
        </row>
        <row r="568">
          <cell r="B568" t="str">
            <v>ACTU</v>
          </cell>
          <cell r="F568">
            <v>0.5837</v>
          </cell>
        </row>
        <row r="569">
          <cell r="B569" t="str">
            <v>CNSY</v>
          </cell>
          <cell r="F569">
            <v>0.615</v>
          </cell>
        </row>
        <row r="570">
          <cell r="B570" t="str">
            <v>NCEL</v>
          </cell>
          <cell r="F570">
            <v>0.224</v>
          </cell>
        </row>
        <row r="571">
          <cell r="B571" t="str">
            <v>KZIA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BFRI</v>
          </cell>
          <cell r="F573">
            <v>0.6161</v>
          </cell>
        </row>
        <row r="574">
          <cell r="B574" t="str">
            <v>LPCN</v>
          </cell>
          <cell r="F574">
            <v>0.8758</v>
          </cell>
        </row>
        <row r="575">
          <cell r="B575" t="str">
            <v>AEON</v>
          </cell>
          <cell r="F575">
            <v>0.41</v>
          </cell>
        </row>
        <row r="576">
          <cell r="B576" t="str">
            <v>TVRD</v>
          </cell>
          <cell r="F576">
            <v>1.04</v>
          </cell>
        </row>
        <row r="577">
          <cell r="B577" t="str">
            <v>KPTI</v>
          </cell>
          <cell r="F577">
            <v>1.62</v>
          </cell>
        </row>
        <row r="578">
          <cell r="B578" t="str">
            <v>CTXR</v>
          </cell>
          <cell r="F578">
            <v>2.61</v>
          </cell>
        </row>
        <row r="579">
          <cell r="B579" t="str">
            <v>CLRB</v>
          </cell>
          <cell r="F579">
            <v>0.992</v>
          </cell>
        </row>
        <row r="580">
          <cell r="B580" t="str">
            <v>INAB</v>
          </cell>
          <cell r="F580">
            <v>0.5311</v>
          </cell>
        </row>
        <row r="581">
          <cell r="B581" t="str">
            <v>TPST</v>
          </cell>
          <cell r="F581">
            <v>1.84</v>
          </cell>
        </row>
        <row r="582">
          <cell r="B582" t="str">
            <v>PASG</v>
          </cell>
          <cell r="F582">
            <v>1.68</v>
          </cell>
        </row>
        <row r="583">
          <cell r="B583" t="str">
            <v>INTS</v>
          </cell>
          <cell r="F583">
            <v>0.4175</v>
          </cell>
        </row>
        <row r="584">
          <cell r="B584" t="str">
            <v>DARE</v>
          </cell>
          <cell r="F584">
            <v>2.62</v>
          </cell>
        </row>
        <row r="585">
          <cell r="B585" t="str">
            <v>PLUR</v>
          </cell>
          <cell r="F585">
            <v>0.804</v>
          </cell>
        </row>
        <row r="586">
          <cell r="B586" t="str">
            <v>ASBP</v>
          </cell>
          <cell r="F586">
            <v>0.2315</v>
          </cell>
        </row>
        <row r="587">
          <cell r="B587" t="str">
            <v>QNTM</v>
          </cell>
          <cell r="F587">
            <v>8.72</v>
          </cell>
        </row>
        <row r="588">
          <cell r="B588" t="str">
            <v>PBM</v>
          </cell>
          <cell r="F588">
            <v>7.88</v>
          </cell>
        </row>
        <row r="589">
          <cell r="B589" t="str">
            <v>PHIO</v>
          </cell>
          <cell r="F589">
            <v>0.4986</v>
          </cell>
        </row>
        <row r="590">
          <cell r="B590" t="str">
            <v>KPRX</v>
          </cell>
          <cell r="F590">
            <v>5.52</v>
          </cell>
        </row>
        <row r="591">
          <cell r="B591" t="str">
            <v>GDTC</v>
          </cell>
          <cell r="F591">
            <v>3.6</v>
          </cell>
        </row>
        <row r="592">
          <cell r="B592" t="str">
            <v>BIVI</v>
          </cell>
          <cell r="F592">
            <v>0.689</v>
          </cell>
        </row>
        <row r="593">
          <cell r="B593" t="str">
            <v>VTGN</v>
          </cell>
          <cell r="F593">
            <v>0.9</v>
          </cell>
        </row>
        <row r="594">
          <cell r="B594" t="str">
            <v>LTRN</v>
          </cell>
          <cell r="F594">
            <v>1.14</v>
          </cell>
        </row>
        <row r="595">
          <cell r="B595" t="str">
            <v>ENSC</v>
          </cell>
          <cell r="F595">
            <v>3.28</v>
          </cell>
        </row>
        <row r="596">
          <cell r="B596" t="str">
            <v>ADIL</v>
          </cell>
          <cell r="F596">
            <v>1.23</v>
          </cell>
        </row>
        <row r="597">
          <cell r="B597" t="str">
            <v>TOVX</v>
          </cell>
          <cell r="F597">
            <v>2.33</v>
          </cell>
        </row>
        <row r="598">
          <cell r="B598" t="str">
            <v>CMMB</v>
          </cell>
          <cell r="F598">
            <v>0.1944</v>
          </cell>
        </row>
        <row r="599">
          <cell r="B599" t="str">
            <v>SNTI</v>
          </cell>
          <cell r="F599">
            <v>2.43</v>
          </cell>
        </row>
        <row r="600">
          <cell r="B600" t="str">
            <v>LSTA</v>
          </cell>
          <cell r="F600">
            <v>0.8715</v>
          </cell>
        </row>
        <row r="601">
          <cell r="B601" t="str">
            <v>IMCC</v>
          </cell>
          <cell r="F601">
            <v>0.8921</v>
          </cell>
        </row>
        <row r="602">
          <cell r="B602" t="str">
            <v>MTVA</v>
          </cell>
          <cell r="F602">
            <v>0.5762</v>
          </cell>
        </row>
        <row r="603">
          <cell r="B603" t="str">
            <v>IMRN</v>
          </cell>
          <cell r="F603">
            <v>4.24</v>
          </cell>
        </row>
        <row r="604">
          <cell r="B604" t="str">
            <v>MBRX</v>
          </cell>
          <cell r="F604">
            <v>0.2047</v>
          </cell>
        </row>
        <row r="605">
          <cell r="B605" t="str">
            <v>RGNT</v>
          </cell>
          <cell r="F605">
            <v>1.04</v>
          </cell>
        </row>
        <row r="606">
          <cell r="B606" t="str">
            <v>BOLT</v>
          </cell>
          <cell r="F606">
            <v>1.18</v>
          </cell>
        </row>
        <row r="607">
          <cell r="B607" t="str">
            <v>SNGX</v>
          </cell>
          <cell r="F607">
            <v>3.82</v>
          </cell>
        </row>
        <row r="608">
          <cell r="B608" t="str">
            <v>AZTR</v>
          </cell>
          <cell r="F608">
            <v>1.29</v>
          </cell>
        </row>
        <row r="609">
          <cell r="B609" t="str">
            <v>CNSP</v>
          </cell>
          <cell r="F609">
            <v>0.1978</v>
          </cell>
        </row>
        <row r="610">
          <cell r="B610" t="str">
            <v>HLSQ</v>
          </cell>
          <cell r="F610">
            <v>0.3586</v>
          </cell>
        </row>
        <row r="611">
          <cell r="B611" t="str">
            <v>APRE</v>
          </cell>
          <cell r="F611">
            <v>0.6564</v>
          </cell>
        </row>
        <row r="612">
          <cell r="B612" t="str">
            <v>APUS</v>
          </cell>
          <cell r="F612">
            <v>1.37</v>
          </cell>
        </row>
        <row r="613">
          <cell r="B613" t="str">
            <v>FBLG</v>
          </cell>
          <cell r="F613">
            <v>1.4</v>
          </cell>
        </row>
        <row r="614">
          <cell r="B614" t="str">
            <v>INM</v>
          </cell>
          <cell r="F614">
            <v>4.31</v>
          </cell>
        </row>
        <row r="615">
          <cell r="B615" t="str">
            <v>XCUR</v>
          </cell>
          <cell r="F615">
            <v>1.47</v>
          </cell>
        </row>
        <row r="616">
          <cell r="B616" t="str">
            <v>TRAW</v>
          </cell>
          <cell r="F616">
            <v>0.9564</v>
          </cell>
        </row>
        <row r="617">
          <cell r="B617" t="str">
            <v>ACXP</v>
          </cell>
          <cell r="F617">
            <v>0.3546</v>
          </cell>
        </row>
        <row r="618">
          <cell r="B618" t="str">
            <v>ENVB</v>
          </cell>
          <cell r="F618">
            <v>0.5612</v>
          </cell>
        </row>
        <row r="619">
          <cell r="B619" t="str">
            <v>ALZN</v>
          </cell>
          <cell r="F619">
            <v>1.34</v>
          </cell>
        </row>
        <row r="620">
          <cell r="B620" t="str">
            <v>IMNN</v>
          </cell>
          <cell r="F620">
            <v>0.9987</v>
          </cell>
        </row>
        <row r="621">
          <cell r="B621" t="str">
            <v>SNOA</v>
          </cell>
          <cell r="F621">
            <v>4.99</v>
          </cell>
        </row>
        <row r="622">
          <cell r="B622" t="str">
            <v>MDCX</v>
          </cell>
          <cell r="F622">
            <v>0.2277</v>
          </cell>
        </row>
        <row r="623">
          <cell r="B623" t="str">
            <v>KALA</v>
          </cell>
          <cell r="F623">
            <v>2.97</v>
          </cell>
        </row>
        <row r="624">
          <cell r="B624" t="str">
            <v>BGMS</v>
          </cell>
          <cell r="F624">
            <v>0.9199</v>
          </cell>
        </row>
        <row r="625">
          <cell r="B625" t="str">
            <v>GELS</v>
          </cell>
          <cell r="F625">
            <v>1.3</v>
          </cell>
        </row>
        <row r="626">
          <cell r="B626" t="str">
            <v>CDIO</v>
          </cell>
          <cell r="F626">
            <v>0.3767</v>
          </cell>
        </row>
        <row r="627">
          <cell r="B627" t="str">
            <v>CELZ</v>
          </cell>
          <cell r="F627">
            <v>1.44</v>
          </cell>
        </row>
        <row r="628">
          <cell r="B628" t="str">
            <v>AIM</v>
          </cell>
          <cell r="F628">
            <v>0.94</v>
          </cell>
        </row>
        <row r="629">
          <cell r="B629" t="str">
            <v>AQB</v>
          </cell>
          <cell r="F629">
            <v>3.41</v>
          </cell>
        </row>
        <row r="630">
          <cell r="B630" t="str">
            <v>PULM</v>
          </cell>
          <cell r="F630">
            <v>0.2323</v>
          </cell>
        </row>
        <row r="631">
          <cell r="B631" t="str">
            <v>QCLS</v>
          </cell>
          <cell r="F631">
            <v>1.14</v>
          </cell>
        </row>
        <row r="632">
          <cell r="B632" t="str">
            <v>XBIO</v>
          </cell>
          <cell r="F632">
            <v>1.005</v>
          </cell>
        </row>
        <row r="633">
          <cell r="B633" t="str">
            <v>NCNA</v>
          </cell>
          <cell r="F633">
            <v>1.15</v>
          </cell>
        </row>
        <row r="634">
          <cell r="B634" t="str">
            <v>YCBD</v>
          </cell>
          <cell r="F634">
            <v>6.19</v>
          </cell>
        </row>
        <row r="635">
          <cell r="B635" t="str">
            <v>PMCB</v>
          </cell>
          <cell r="F635">
            <v>1.15</v>
          </cell>
        </row>
        <row r="636">
          <cell r="B636" t="str">
            <v>PCSA</v>
          </cell>
          <cell r="F636">
            <v>1.43</v>
          </cell>
        </row>
        <row r="637">
          <cell r="B637" t="str">
            <v>DRMA</v>
          </cell>
          <cell r="F637">
            <v>0.1679</v>
          </cell>
        </row>
        <row r="638">
          <cell r="B638" t="str">
            <v>SCNI</v>
          </cell>
          <cell r="F638">
            <v>1.72</v>
          </cell>
        </row>
        <row r="639">
          <cell r="B639" t="str">
            <v>ERNA</v>
          </cell>
          <cell r="F639">
            <v>0.7547</v>
          </cell>
        </row>
        <row r="640">
          <cell r="B640" t="str">
            <v>GRI</v>
          </cell>
          <cell r="F640">
            <v>0.448</v>
          </cell>
        </row>
        <row r="641">
          <cell r="B641" t="str">
            <v>SNES</v>
          </cell>
          <cell r="F641">
            <v>1.79</v>
          </cell>
        </row>
        <row r="642">
          <cell r="B642" t="str">
            <v>EOCN</v>
          </cell>
          <cell r="F642">
            <v>2.0</v>
          </cell>
        </row>
        <row r="643">
          <cell r="B643" t="str">
            <v>AKAN</v>
          </cell>
          <cell r="F643">
            <v>0.5</v>
          </cell>
        </row>
        <row r="644">
          <cell r="B644" t="str">
            <v>SXTP</v>
          </cell>
          <cell r="F644">
            <v>0.0715</v>
          </cell>
        </row>
        <row r="645">
          <cell r="B645" t="str">
            <v>EVGN</v>
          </cell>
          <cell r="F645">
            <v>1.0056</v>
          </cell>
        </row>
        <row r="646">
          <cell r="B646" t="str">
            <v>CVKD</v>
          </cell>
          <cell r="F646">
            <v>0.3873</v>
          </cell>
        </row>
        <row r="647">
          <cell r="B647" t="str">
            <v>APVO</v>
          </cell>
          <cell r="F647">
            <v>1.04</v>
          </cell>
        </row>
        <row r="648">
          <cell r="B648" t="str">
            <v>PPCB</v>
          </cell>
          <cell r="F648">
            <v>0.3422</v>
          </cell>
        </row>
        <row r="649">
          <cell r="B649" t="str">
            <v>MBIO</v>
          </cell>
          <cell r="F649">
            <v>0.1897</v>
          </cell>
        </row>
        <row r="650">
          <cell r="B650" t="str">
            <v>REVB</v>
          </cell>
          <cell r="F650">
            <v>2.24</v>
          </cell>
        </row>
        <row r="651">
          <cell r="B651" t="str">
            <v>HCWB</v>
          </cell>
          <cell r="F651">
            <v>0.6893</v>
          </cell>
        </row>
        <row r="652">
          <cell r="B652" t="str">
            <v>RDHL</v>
          </cell>
          <cell r="F652">
            <v>0.8699</v>
          </cell>
        </row>
        <row r="653">
          <cell r="B653" t="str">
            <v>VIVS</v>
          </cell>
          <cell r="F653">
            <v>0.3716</v>
          </cell>
        </row>
        <row r="654">
          <cell r="B654" t="str">
            <v>CLDI</v>
          </cell>
          <cell r="F654">
            <v>1.615</v>
          </cell>
        </row>
        <row r="655">
          <cell r="B655" t="str">
            <v>CANF</v>
          </cell>
          <cell r="F655">
            <v>0.9222</v>
          </cell>
        </row>
        <row r="656">
          <cell r="B656" t="str">
            <v>ONCO</v>
          </cell>
          <cell r="F656">
            <v>1.46</v>
          </cell>
        </row>
        <row r="657">
          <cell r="B657" t="str">
            <v>UPC</v>
          </cell>
          <cell r="F657">
            <v>3.07</v>
          </cell>
        </row>
        <row r="658">
          <cell r="B658" t="str">
            <v>SILO</v>
          </cell>
          <cell r="F658">
            <v>0.3795</v>
          </cell>
        </row>
        <row r="659">
          <cell r="B659" t="str">
            <v>GNPX</v>
          </cell>
          <cell r="F659">
            <v>0.6813</v>
          </cell>
        </row>
        <row r="660">
          <cell r="B660" t="str">
            <v>JUNS</v>
          </cell>
          <cell r="F660">
            <v>0.5073</v>
          </cell>
        </row>
        <row r="661">
          <cell r="B661" t="str">
            <v>GOVX</v>
          </cell>
          <cell r="F661">
            <v>1.89</v>
          </cell>
        </row>
        <row r="662">
          <cell r="B662" t="str">
            <v>OGEN</v>
          </cell>
          <cell r="F662">
            <v>1.08</v>
          </cell>
        </row>
        <row r="663">
          <cell r="B663" t="str">
            <v>TCRT</v>
          </cell>
          <cell r="F663">
            <v>3.54</v>
          </cell>
        </row>
        <row r="664">
          <cell r="B664" t="str">
            <v>LABT</v>
          </cell>
          <cell r="F664">
            <v>0.1713</v>
          </cell>
        </row>
        <row r="665">
          <cell r="B665" t="str">
            <v>SPRC</v>
          </cell>
          <cell r="F665">
            <v>1.23</v>
          </cell>
        </row>
        <row r="666">
          <cell r="B666" t="str">
            <v>CRIS</v>
          </cell>
          <cell r="F666">
            <v>0.77</v>
          </cell>
        </row>
        <row r="667">
          <cell r="B667" t="str">
            <v>SBFM</v>
          </cell>
          <cell r="F667">
            <v>2.8</v>
          </cell>
        </row>
        <row r="668">
          <cell r="B668" t="str">
            <v>BBLG</v>
          </cell>
          <cell r="F668">
            <v>0.321</v>
          </cell>
        </row>
        <row r="669">
          <cell r="B669" t="str">
            <v>PPBT</v>
          </cell>
          <cell r="F669">
            <v>0.434</v>
          </cell>
        </row>
        <row r="670">
          <cell r="B670" t="str">
            <v>SLXN</v>
          </cell>
          <cell r="F670">
            <v>3.75</v>
          </cell>
        </row>
        <row r="671">
          <cell r="B671" t="str">
            <v>CMND</v>
          </cell>
          <cell r="F671">
            <v>0.4064</v>
          </cell>
        </row>
        <row r="672">
          <cell r="B672" t="str">
            <v>BDRX</v>
          </cell>
          <cell r="F672">
            <v>1.2</v>
          </cell>
        </row>
        <row r="673">
          <cell r="B673" t="str">
            <v>DCOY</v>
          </cell>
          <cell r="F673">
            <v>0.2271</v>
          </cell>
        </row>
        <row r="674">
          <cell r="B674" t="str">
            <v>PRFX</v>
          </cell>
          <cell r="F674">
            <v>2.13</v>
          </cell>
        </row>
        <row r="675">
          <cell r="B675" t="str">
            <v>SXTC</v>
          </cell>
          <cell r="F675">
            <v>0.5775</v>
          </cell>
        </row>
        <row r="676">
          <cell r="B676" t="str">
            <v>AAPG</v>
          </cell>
          <cell r="F676">
            <v>0.43</v>
          </cell>
        </row>
        <row r="677">
          <cell r="B677" t="str">
            <v>ADAG</v>
          </cell>
          <cell r="F677">
            <v>1.085</v>
          </cell>
        </row>
        <row r="678">
          <cell r="B678" t="str">
            <v>ADRX</v>
          </cell>
          <cell r="F678">
            <v>0.3855</v>
          </cell>
        </row>
        <row r="679">
          <cell r="B679" t="str">
            <v>ADXN</v>
          </cell>
          <cell r="F679">
            <v>6.12</v>
          </cell>
        </row>
        <row r="680">
          <cell r="B680" t="str">
            <v>AGMB</v>
          </cell>
          <cell r="F680">
            <v>0.2418</v>
          </cell>
        </row>
        <row r="681">
          <cell r="B681" t="str">
            <v>ALPS</v>
          </cell>
          <cell r="F681">
            <v>0.3996</v>
          </cell>
        </row>
        <row r="682">
          <cell r="B682" t="str">
            <v>ANL</v>
          </cell>
          <cell r="F682">
            <v>0.153</v>
          </cell>
        </row>
        <row r="683">
          <cell r="B683" t="str">
            <v>APLM</v>
          </cell>
          <cell r="F683">
            <v>1.135</v>
          </cell>
        </row>
        <row r="684">
          <cell r="B684" t="str">
            <v>ASND</v>
          </cell>
          <cell r="F684">
            <v>0.7246</v>
          </cell>
        </row>
        <row r="685">
          <cell r="B685" t="str">
            <v>BNR</v>
          </cell>
          <cell r="F685">
            <v>1.33</v>
          </cell>
        </row>
        <row r="686">
          <cell r="B686" t="str">
            <v>CUVL</v>
          </cell>
          <cell r="F686">
            <v>0.0653</v>
          </cell>
        </row>
        <row r="687">
          <cell r="B687" t="str">
            <v>DRUG</v>
          </cell>
          <cell r="F687">
            <v>17.68</v>
          </cell>
        </row>
        <row r="688">
          <cell r="B688" t="str">
            <v>ETRA</v>
          </cell>
          <cell r="F688">
            <v>3.05</v>
          </cell>
        </row>
        <row r="689">
          <cell r="B689" t="str">
            <v>GRFS</v>
          </cell>
          <cell r="F689">
            <v>8.73</v>
          </cell>
        </row>
        <row r="690">
          <cell r="B690" t="str">
            <v>GSK</v>
          </cell>
          <cell r="F690">
            <v>10.64</v>
          </cell>
        </row>
        <row r="691">
          <cell r="B691" t="str">
            <v>INCR</v>
          </cell>
          <cell r="F691">
            <v>12.66</v>
          </cell>
        </row>
        <row r="692">
          <cell r="B692" t="str">
            <v>NIKI</v>
          </cell>
          <cell r="F692">
            <v>5.19</v>
          </cell>
        </row>
        <row r="693">
          <cell r="B693" t="str">
            <v>OGI</v>
          </cell>
          <cell r="F693">
            <v>55.2</v>
          </cell>
        </row>
        <row r="694">
          <cell r="B694" t="str">
            <v>OPTH</v>
          </cell>
          <cell r="F694">
            <v>8.81</v>
          </cell>
        </row>
        <row r="695">
          <cell r="B695" t="str">
            <v>QNRX</v>
          </cell>
          <cell r="F695">
            <v>7.64</v>
          </cell>
        </row>
        <row r="696">
          <cell r="B696" t="str">
            <v>RADX</v>
          </cell>
          <cell r="F696">
            <v>2.03</v>
          </cell>
        </row>
        <row r="697">
          <cell r="B697" t="str">
            <v>SERA</v>
          </cell>
          <cell r="F697">
            <v>0.937</v>
          </cell>
        </row>
        <row r="698">
          <cell r="B698" t="str">
            <v>SLBT</v>
          </cell>
          <cell r="F698">
            <v>3.36</v>
          </cell>
        </row>
        <row r="699">
          <cell r="B699" t="str">
            <v>TAK</v>
          </cell>
          <cell r="F699">
            <v>4.04</v>
          </cell>
        </row>
        <row r="700">
          <cell r="B700" t="str">
            <v>TLSA</v>
          </cell>
          <cell r="F700">
            <v>0.99</v>
          </cell>
        </row>
        <row r="701">
          <cell r="B701" t="str">
            <v>TLX</v>
          </cell>
          <cell r="F701">
            <v>2.03</v>
          </cell>
        </row>
        <row r="702">
          <cell r="B702" t="str">
            <v>VCRE</v>
          </cell>
          <cell r="F702">
            <v>1.5</v>
          </cell>
        </row>
        <row r="703">
          <cell r="B703" t="str">
            <v>VRXA</v>
          </cell>
          <cell r="F703">
            <v>9.0</v>
          </cell>
        </row>
        <row r="704">
          <cell r="B704" t="str">
            <v>XRTX</v>
          </cell>
          <cell r="F704">
            <v>1.01</v>
          </cell>
        </row>
        <row r="705">
          <cell r="B705" t="str">
            <v>XTLB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Praxis Precision Medicines, Inc.</t>
        </is>
      </c>
      <c r="C2" s="10" t="n"/>
    </row>
    <row r="3">
      <c r="B3" t="inlineStr">
        <is>
          <t>Price</t>
        </is>
      </c>
      <c r="C3" s="11">
        <f>INDEX([1]Pharma!$F$1:$F$1000,MATCH("PRAX",[1]Pharma!$B$1:$B$1000,0))</f>
        <v>264.49</v>
      </c>
      <c r="F3" s="1" t="n"/>
    </row>
    <row r="4">
      <c r="B4" t="inlineStr">
        <is>
          <t>Shares</t>
        </is>
      </c>
      <c r="C4" s="12">
        <f>27.919988+0.704225+0.221238+0.31847</f>
        <v>29.163921000000002</v>
      </c>
      <c r="F4" s="1" t="n"/>
    </row>
    <row r="5">
      <c r="B5" t="inlineStr">
        <is>
          <t>Market Cap.</t>
        </is>
      </c>
      <c r="C5" s="1">
        <f>C3*C4</f>
        <v>7713.565465290001</v>
      </c>
      <c r="F5" s="1" t="n"/>
    </row>
    <row r="6"/>
    <row r="7">
      <c r="B7" t="inlineStr">
        <is>
          <t>Cash</t>
        </is>
      </c>
      <c r="C7" s="12">
        <f>474.76+283.79+615.29</f>
        <v>1373.84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">
        <f>C5-C7+C8</f>
        <v>6339.725465290001</v>
      </c>
    </row>
    <row r="11">
      <c r="B11" s="13" t="inlineStr">
        <is>
          <t>rNPV / Share</t>
        </is>
      </c>
      <c r="C11" s="11">
        <f>NPV!C43</f>
        <v>272.58648743171324</v>
      </c>
    </row>
    <row r="12">
      <c r="B12" s="13" t="inlineStr">
        <is>
          <t>Upside</t>
        </is>
      </c>
      <c r="C12" s="14">
        <f>C11/C3-1</f>
        <v>0.030611695836187502</v>
      </c>
    </row>
    <row r="13">
      <c r="B13" s="13" t="inlineStr">
        <is>
          <t>Cash / Share</t>
        </is>
      </c>
      <c r="C13" s="11">
        <f>(C7-C8)/C4</f>
        <v>47.10752028165211</v>
      </c>
    </row>
    <row r="14">
      <c r="B14" s="13" t="inlineStr">
        <is>
          <t>Scenario</t>
        </is>
      </c>
      <c r="C14" s="13" t="str">
        <f>Assumptions!$C$4</f>
        <v>Base</v>
      </c>
    </row>
    <row r="16">
      <c r="B16" s="13" t="inlineStr">
        <is>
          <t>PDUFA Date</t>
        </is>
      </c>
      <c r="C16" s="15">
        <f>Assumptions!$B$30</f>
        <v>46383</v>
      </c>
    </row>
    <row r="17">
      <c r="B17" s="13" t="inlineStr">
        <is>
          <t>P(Approval)</t>
        </is>
      </c>
      <c r="C17" s="16">
        <f>Assumptions!$B$32</f>
        <v>0.9</v>
      </c>
    </row>
    <row r="18">
      <c r="B18" s="13" t="inlineStr">
        <is>
          <t>If Approved</t>
        </is>
      </c>
      <c r="C18" s="11">
        <f>Assumptions!$D$142</f>
        <v>275.37473386382953</v>
      </c>
    </row>
    <row r="19">
      <c r="B19" s="13" t="inlineStr">
        <is>
          <t>If CRL</t>
        </is>
      </c>
      <c r="C19" s="11">
        <f>Assumptions!$D$141</f>
        <v>247.23121062436994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17" t="n">
        <v>2026</v>
      </c>
      <c r="H1" s="17" t="n">
        <v>2027</v>
      </c>
      <c r="I1" s="17" t="n">
        <v>2028</v>
      </c>
      <c r="J1" s="17" t="n">
        <v>2029</v>
      </c>
      <c r="K1" s="17" t="n">
        <v>2030</v>
      </c>
      <c r="L1" s="17" t="n">
        <v>2031</v>
      </c>
      <c r="M1" s="17" t="n">
        <v>2032</v>
      </c>
      <c r="N1" s="17" t="n">
        <v>2033</v>
      </c>
      <c r="O1" s="17" t="n">
        <v>2034</v>
      </c>
      <c r="P1" s="17" t="n">
        <v>2035</v>
      </c>
      <c r="Q1" s="17" t="n">
        <v>2036</v>
      </c>
      <c r="R1" s="17" t="n">
        <v>2037</v>
      </c>
      <c r="S1" s="17" t="n">
        <v>2038</v>
      </c>
      <c r="T1" s="17" t="n">
        <v>2039</v>
      </c>
      <c r="U1" s="17" t="n">
        <v>2040</v>
      </c>
      <c r="V1" s="17" t="n">
        <v>2041</v>
      </c>
      <c r="W1" s="17" t="n">
        <v>2042</v>
      </c>
      <c r="X1" s="17" t="n">
        <v>2043</v>
      </c>
      <c r="Y1" s="17" t="n">
        <v>2044</v>
      </c>
      <c r="Z1" s="17" t="n">
        <v>2045</v>
      </c>
      <c r="AA1" s="17" t="n">
        <v>2046</v>
      </c>
      <c r="AB1" s="17" t="n">
        <v>2047</v>
      </c>
      <c r="AC1" s="17" t="n">
        <v>2048</v>
      </c>
      <c r="AD1" s="17" t="n">
        <v>2049</v>
      </c>
      <c r="AE1" s="17" t="n">
        <v>2050</v>
      </c>
    </row>
    <row r="2" customFormat="1" s="1">
      <c r="A2" s="5" t="inlineStr">
        <is>
          <t>Revenue</t>
        </is>
      </c>
      <c r="B2" s="18" t="n">
        <v>0</v>
      </c>
      <c r="C2" s="18" t="n">
        <v>0</v>
      </c>
      <c r="D2" s="18" t="n">
        <v>2.447</v>
      </c>
      <c r="E2" s="18" t="n">
        <v>8.553000000000001</v>
      </c>
      <c r="F2" s="18" t="n">
        <v>0</v>
      </c>
      <c r="G2" s="18">
        <f>SUM('Quarterly Model'!F2:I2)</f>
        <v>0.0</v>
      </c>
      <c r="H2" s="18">
        <f>Pipeline!C57</f>
        <v>471.0</v>
      </c>
      <c r="I2" s="18">
        <f>Pipeline!D57</f>
        <v>925.5</v>
      </c>
      <c r="J2" s="18">
        <f>Pipeline!E57</f>
        <v>1683.0</v>
      </c>
      <c r="K2" s="18">
        <f>Pipeline!F57</f>
        <v>2493.0</v>
      </c>
      <c r="L2" s="18">
        <f>Pipeline!G57</f>
        <v>3214.5</v>
      </c>
      <c r="M2" s="18">
        <f>Pipeline!H57</f>
        <v>3741.75</v>
      </c>
      <c r="N2" s="18">
        <f>Pipeline!I57</f>
        <v>4072.5</v>
      </c>
      <c r="O2" s="18">
        <f>Pipeline!J57</f>
        <v>4146.0</v>
      </c>
      <c r="P2" s="18">
        <f>Pipeline!K57</f>
        <v>4179.0</v>
      </c>
      <c r="Q2" s="18">
        <f>Pipeline!L57</f>
        <v>4200.0</v>
      </c>
      <c r="R2" s="18">
        <f>Pipeline!M57</f>
        <v>4200.0</v>
      </c>
      <c r="S2" s="18">
        <f>Pipeline!N57</f>
        <v>4200.0</v>
      </c>
      <c r="T2" s="18">
        <f>Pipeline!O57</f>
        <v>4200.0</v>
      </c>
      <c r="U2" s="18">
        <f>Pipeline!P57</f>
        <v>4200.0</v>
      </c>
      <c r="V2" s="18">
        <f>Pipeline!Q57</f>
        <v>4200.0</v>
      </c>
      <c r="W2" s="18">
        <f>Pipeline!R57</f>
        <v>1995.0</v>
      </c>
      <c r="X2" s="18">
        <f>Pipeline!S57</f>
        <v>1000.5</v>
      </c>
      <c r="Y2" s="18">
        <f>Pipeline!T57</f>
        <v>411.45</v>
      </c>
      <c r="Z2" s="18">
        <f>Pipeline!U57</f>
        <v>170.20499999999998</v>
      </c>
      <c r="AA2" s="18">
        <f>Pipeline!V57</f>
        <v>70.89450000000002</v>
      </c>
      <c r="AB2" s="18">
        <f>Pipeline!W57</f>
        <v>29.764050000000005</v>
      </c>
      <c r="AC2" s="18">
        <f>Pipeline!X57</f>
        <v>12.608745000000003</v>
      </c>
      <c r="AD2" s="18">
        <f>Pipeline!Y57</f>
        <v>5.395060500000001</v>
      </c>
      <c r="AE2" s="18">
        <f>Pipeline!Z57</f>
        <v>2.3338054500000007</v>
      </c>
    </row>
    <row r="3" customFormat="1" s="1">
      <c r="A3" s="5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>
        <f>SUM('Quarterly Model'!F3:I3)</f>
        <v>0.0</v>
      </c>
      <c r="H3" s="18">
        <f>Pipeline!C58</f>
        <v>13.440000000000001</v>
      </c>
      <c r="I3" s="18">
        <f>Pipeline!D58</f>
        <v>36.57</v>
      </c>
      <c r="J3" s="18">
        <f>Pipeline!E58</f>
        <v>68.67</v>
      </c>
      <c r="K3" s="18">
        <f>Pipeline!F58</f>
        <v>102.86999999999999</v>
      </c>
      <c r="L3" s="18">
        <f>Pipeline!G58</f>
        <v>133.53</v>
      </c>
      <c r="M3" s="18">
        <f>Pipeline!H58</f>
        <v>156.42000000000002</v>
      </c>
      <c r="N3" s="18">
        <f>Pipeline!I58</f>
        <v>171.0</v>
      </c>
      <c r="O3" s="18">
        <f>Pipeline!J58</f>
        <v>174.84</v>
      </c>
      <c r="P3" s="18">
        <f>Pipeline!K58</f>
        <v>176.16</v>
      </c>
      <c r="Q3" s="18">
        <f>Pipeline!L58</f>
        <v>177.0</v>
      </c>
      <c r="R3" s="18">
        <f>Pipeline!M58</f>
        <v>177.0</v>
      </c>
      <c r="S3" s="18">
        <f>Pipeline!N58</f>
        <v>177.0</v>
      </c>
      <c r="T3" s="18">
        <f>Pipeline!O58</f>
        <v>177.0</v>
      </c>
      <c r="U3" s="18">
        <f>Pipeline!P58</f>
        <v>177.0</v>
      </c>
      <c r="V3" s="18">
        <f>Pipeline!Q58</f>
        <v>177.0</v>
      </c>
      <c r="W3" s="18">
        <f>Pipeline!R58</f>
        <v>88.80000000000001</v>
      </c>
      <c r="X3" s="18">
        <f>Pipeline!S58</f>
        <v>44.519999999999996</v>
      </c>
      <c r="Y3" s="18">
        <f>Pipeline!T58</f>
        <v>18.708000000000002</v>
      </c>
      <c r="Z3" s="18">
        <f>Pipeline!U58</f>
        <v>7.9332</v>
      </c>
      <c r="AA3" s="18">
        <f>Pipeline!V58</f>
        <v>3.3982800000000006</v>
      </c>
      <c r="AB3" s="18">
        <f>Pipeline!W58</f>
        <v>1.4718120000000003</v>
      </c>
      <c r="AC3" s="18">
        <f>Pipeline!X58</f>
        <v>0.6449748000000002</v>
      </c>
      <c r="AD3" s="18">
        <f>Pipeline!Y58</f>
        <v>0.28611492000000005</v>
      </c>
      <c r="AE3" s="18">
        <f>Pipeline!Z58</f>
        <v>0.12850846800000004</v>
      </c>
    </row>
    <row r="4" customFormat="1" s="1">
      <c r="A4" s="5" t="inlineStr">
        <is>
          <t>Gross Margin</t>
        </is>
      </c>
      <c r="B4" s="18">
        <f>B2-B3</f>
        <v>0.0</v>
      </c>
      <c r="C4" s="18">
        <f>C2-C3</f>
        <v>0.0</v>
      </c>
      <c r="D4" s="18">
        <f>D2-D3</f>
        <v>2.447</v>
      </c>
      <c r="E4" s="18">
        <f>E2-E3</f>
        <v>8.553</v>
      </c>
      <c r="F4" s="18">
        <f>F2-F3</f>
        <v>0.0</v>
      </c>
      <c r="G4" s="18">
        <f>G2-G3</f>
        <v>0.0</v>
      </c>
      <c r="H4" s="18">
        <f>H2-H3</f>
        <v>457.56</v>
      </c>
      <c r="I4" s="18">
        <f>I2-I3</f>
        <v>888.93</v>
      </c>
      <c r="J4" s="18">
        <f>J2-J3</f>
        <v>1614.33</v>
      </c>
      <c r="K4" s="18">
        <f>K2-K3</f>
        <v>2390.13</v>
      </c>
      <c r="L4" s="18">
        <f>L2-L3</f>
        <v>3080.97</v>
      </c>
      <c r="M4" s="18">
        <f>M2-M3</f>
        <v>3585.33</v>
      </c>
      <c r="N4" s="18">
        <f>N2-N3</f>
        <v>3901.5</v>
      </c>
      <c r="O4" s="18">
        <f>O2-O3</f>
        <v>3971.16</v>
      </c>
      <c r="P4" s="18">
        <f>P2-P3</f>
        <v>4002.84</v>
      </c>
      <c r="Q4" s="18">
        <f>Q2-Q3</f>
        <v>4023.0</v>
      </c>
      <c r="R4" s="18">
        <f>R2-R3</f>
        <v>4023.0</v>
      </c>
      <c r="S4" s="18">
        <f>S2-S3</f>
        <v>4023.0</v>
      </c>
      <c r="T4" s="18">
        <f>T2-T3</f>
        <v>4023.0</v>
      </c>
      <c r="U4" s="18">
        <f>U2-U3</f>
        <v>4023.0</v>
      </c>
      <c r="V4" s="18">
        <f>V2-V3</f>
        <v>4023.0</v>
      </c>
      <c r="W4" s="18">
        <f>W2-W3</f>
        <v>1906.2</v>
      </c>
      <c r="X4" s="18">
        <f>X2-X3</f>
        <v>955.98</v>
      </c>
      <c r="Y4" s="18">
        <f>Y2-Y3</f>
        <v>392.74199999999996</v>
      </c>
      <c r="Z4" s="18">
        <f>Z2-Z3</f>
        <v>162.27179999999998</v>
      </c>
      <c r="AA4" s="18">
        <f>AA2-AA3</f>
        <v>67.49622000000002</v>
      </c>
      <c r="AB4" s="18">
        <f>AB2-AB3</f>
        <v>28.292238000000005</v>
      </c>
      <c r="AC4" s="18">
        <f>AC2-AC3</f>
        <v>11.963770200000003</v>
      </c>
      <c r="AD4" s="18">
        <f>AD2-AD3</f>
        <v>5.108945580000001</v>
      </c>
      <c r="AE4" s="18">
        <f>AE2-AE3</f>
        <v>2.2052969820000006</v>
      </c>
    </row>
    <row r="5">
      <c r="A5" s="2" t="inlineStr">
        <is>
          <t>Research &amp; Dev.</t>
        </is>
      </c>
      <c r="B5" s="18" t="n">
        <v>120.257</v>
      </c>
      <c r="C5" s="18" t="n">
        <v>155.04</v>
      </c>
      <c r="D5" s="18" t="n">
        <v>86.76600000000001</v>
      </c>
      <c r="E5" s="18" t="n">
        <v>152.413</v>
      </c>
      <c r="F5" s="18" t="n">
        <v>267.115</v>
      </c>
      <c r="G5" s="18">
        <f>SUM('Quarterly Model'!F5:I5)</f>
        <v>294.403</v>
      </c>
      <c r="H5" s="18">
        <f>Pipeline!C61</f>
        <v>305.0</v>
      </c>
      <c r="I5" s="18">
        <f>Pipeline!D61</f>
        <v>254.5</v>
      </c>
      <c r="J5" s="18">
        <f>Pipeline!E61</f>
        <v>221.95999999999998</v>
      </c>
      <c r="K5" s="18">
        <f>Pipeline!F61</f>
        <v>299.15999999999997</v>
      </c>
      <c r="L5" s="18">
        <f>Pipeline!G61</f>
        <v>385.74</v>
      </c>
      <c r="M5" s="18">
        <f>Pipeline!H61</f>
        <v>449.01</v>
      </c>
      <c r="N5" s="18">
        <f>Pipeline!I61</f>
        <v>488.7</v>
      </c>
      <c r="O5" s="18">
        <f>Pipeline!J61</f>
        <v>497.52</v>
      </c>
      <c r="P5" s="18">
        <f>Pipeline!K61</f>
        <v>501.47999999999996</v>
      </c>
      <c r="Q5" s="18">
        <f>Pipeline!L61</f>
        <v>504.0</v>
      </c>
      <c r="R5" s="18">
        <f>Pipeline!M61</f>
        <v>504.0</v>
      </c>
      <c r="S5" s="18">
        <f>Pipeline!N61</f>
        <v>504.0</v>
      </c>
      <c r="T5" s="18">
        <f>Pipeline!O61</f>
        <v>504.0</v>
      </c>
      <c r="U5" s="18">
        <f>Pipeline!P61</f>
        <v>504.0</v>
      </c>
      <c r="V5" s="18">
        <f>Pipeline!Q61</f>
        <v>504.0</v>
      </c>
      <c r="W5" s="18">
        <f>Pipeline!R61</f>
        <v>239.39999999999998</v>
      </c>
      <c r="X5" s="18">
        <f>Pipeline!S61</f>
        <v>120.06</v>
      </c>
      <c r="Y5" s="18">
        <f>Pipeline!T61</f>
        <v>49.373999999999995</v>
      </c>
      <c r="Z5" s="18">
        <f>Pipeline!U61</f>
        <v>20.424599999999998</v>
      </c>
      <c r="AA5" s="18">
        <f>Pipeline!V61</f>
        <v>8.507340000000003</v>
      </c>
      <c r="AB5" s="18">
        <f>Pipeline!W61</f>
        <v>3.5716860000000006</v>
      </c>
      <c r="AC5" s="18">
        <f>Pipeline!X61</f>
        <v>1.5130494000000003</v>
      </c>
      <c r="AD5" s="18">
        <f>Pipeline!Y61</f>
        <v>0.6474072600000002</v>
      </c>
      <c r="AE5" s="18">
        <f>Pipeline!Z61</f>
        <v>0.28005665400000007</v>
      </c>
    </row>
    <row r="6">
      <c r="A6" s="2" t="inlineStr">
        <is>
          <t>General &amp; Admin</t>
        </is>
      </c>
      <c r="B6" s="18" t="n">
        <v>47.075</v>
      </c>
      <c r="C6" s="18" t="n">
        <v>59.946</v>
      </c>
      <c r="D6" s="18" t="n">
        <v>42.054</v>
      </c>
      <c r="E6" s="18" t="n">
        <v>56.305</v>
      </c>
      <c r="F6" s="18" t="n">
        <v>59.083</v>
      </c>
      <c r="G6" s="18">
        <f>SUM('Quarterly Model'!F6:I6)</f>
        <v>125.361</v>
      </c>
      <c r="H6" s="18">
        <f>Pipeline!C64</f>
        <v>433.275</v>
      </c>
      <c r="I6" s="18">
        <f>Pipeline!D64</f>
        <v>663.9000000000001</v>
      </c>
      <c r="J6" s="18">
        <f>Pipeline!E64</f>
        <v>863.4275</v>
      </c>
      <c r="K6" s="18">
        <f>Pipeline!F64</f>
        <v>1058.4524999999999</v>
      </c>
      <c r="L6" s="18">
        <f>Pipeline!G64</f>
        <v>1251.69</v>
      </c>
      <c r="M6" s="18">
        <f>Pipeline!H64</f>
        <v>1401.21</v>
      </c>
      <c r="N6" s="18">
        <f>Pipeline!I64</f>
        <v>1464.15</v>
      </c>
      <c r="O6" s="18">
        <f>Pipeline!J64</f>
        <v>1469.73</v>
      </c>
      <c r="P6" s="18">
        <f>Pipeline!K64</f>
        <v>1482.27</v>
      </c>
      <c r="Q6" s="18">
        <f>Pipeline!L64</f>
        <v>1490.25</v>
      </c>
      <c r="R6" s="18">
        <f>Pipeline!M64</f>
        <v>1490.25</v>
      </c>
      <c r="S6" s="18">
        <f>Pipeline!N64</f>
        <v>1490.25</v>
      </c>
      <c r="T6" s="18">
        <f>Pipeline!O64</f>
        <v>1490.25</v>
      </c>
      <c r="U6" s="18">
        <f>Pipeline!P64</f>
        <v>1490.25</v>
      </c>
      <c r="V6" s="18">
        <f>Pipeline!Q64</f>
        <v>1490.25</v>
      </c>
      <c r="W6" s="18">
        <f>Pipeline!R64</f>
        <v>729.6560899920919</v>
      </c>
      <c r="X6" s="18">
        <f>Pipeline!S64</f>
        <v>355.62</v>
      </c>
      <c r="Y6" s="18">
        <f>Pipeline!T64</f>
        <v>145.398</v>
      </c>
      <c r="Z6" s="18">
        <f>Pipeline!U64</f>
        <v>59.7342</v>
      </c>
      <c r="AA6" s="18">
        <f>Pipeline!V64</f>
        <v>24.681180000000005</v>
      </c>
      <c r="AB6" s="18">
        <f>Pipeline!W64</f>
        <v>10.266222</v>
      </c>
      <c r="AC6" s="18">
        <f>Pipeline!X64</f>
        <v>4.3033638000000005</v>
      </c>
      <c r="AD6" s="18">
        <f>Pipeline!Y64</f>
        <v>1.8197830200000005</v>
      </c>
      <c r="AE6" s="18">
        <f>Pipeline!Z64</f>
        <v>0.7771319580000003</v>
      </c>
    </row>
    <row r="7">
      <c r="A7" s="2" t="inlineStr">
        <is>
          <t>Operating Expense</t>
        </is>
      </c>
      <c r="B7" s="18">
        <f>SUM(B5:B6)</f>
        <v>167.332</v>
      </c>
      <c r="C7" s="18">
        <f>SUM(C5:C6)</f>
        <v>214.986</v>
      </c>
      <c r="D7" s="18">
        <f>SUM(D5:D6)</f>
        <v>128.82</v>
      </c>
      <c r="E7" s="18">
        <f>SUM(E5:E6)</f>
        <v>208.71800000000002</v>
      </c>
      <c r="F7" s="18">
        <f>SUM(F5:F6)</f>
        <v>326.198</v>
      </c>
      <c r="G7" s="18">
        <f>SUM(G5:G6)</f>
        <v>419.764</v>
      </c>
      <c r="H7" s="18">
        <f>SUM(H5:H6)</f>
        <v>738.275</v>
      </c>
      <c r="I7" s="18">
        <f>SUM(I5:I6)</f>
        <v>918.4000000000001</v>
      </c>
      <c r="J7" s="18">
        <f>SUM(J5:J6)</f>
        <v>1085.3875</v>
      </c>
      <c r="K7" s="18">
        <f>SUM(K5:K6)</f>
        <v>1357.6124999999997</v>
      </c>
      <c r="L7" s="18">
        <f>SUM(L5:L6)</f>
        <v>1637.43</v>
      </c>
      <c r="M7" s="18">
        <f>SUM(M5:M6)</f>
        <v>1850.22</v>
      </c>
      <c r="N7" s="18">
        <f>SUM(N5:N6)</f>
        <v>1952.8500000000001</v>
      </c>
      <c r="O7" s="18">
        <f>SUM(O5:O6)</f>
        <v>1967.25</v>
      </c>
      <c r="P7" s="18">
        <f>SUM(P5:P6)</f>
        <v>1983.75</v>
      </c>
      <c r="Q7" s="18">
        <f>SUM(Q5:Q6)</f>
        <v>1994.25</v>
      </c>
      <c r="R7" s="18">
        <f>SUM(R5:R6)</f>
        <v>1994.25</v>
      </c>
      <c r="S7" s="18">
        <f>SUM(S5:S6)</f>
        <v>1994.25</v>
      </c>
      <c r="T7" s="18">
        <f>SUM(T5:T6)</f>
        <v>1994.25</v>
      </c>
      <c r="U7" s="18">
        <f>SUM(U5:U6)</f>
        <v>1994.25</v>
      </c>
      <c r="V7" s="18">
        <f>SUM(V5:V6)</f>
        <v>1994.25</v>
      </c>
      <c r="W7" s="18">
        <f>SUM(W5:W6)</f>
        <v>969.0560899920919</v>
      </c>
      <c r="X7" s="18">
        <f>SUM(X5:X6)</f>
        <v>475.68</v>
      </c>
      <c r="Y7" s="18">
        <f>SUM(Y5:Y6)</f>
        <v>194.772</v>
      </c>
      <c r="Z7" s="18">
        <f>SUM(Z5:Z6)</f>
        <v>80.1588</v>
      </c>
      <c r="AA7" s="18">
        <f>SUM(AA5:AA6)</f>
        <v>33.18852000000001</v>
      </c>
      <c r="AB7" s="18">
        <f>SUM(AB5:AB6)</f>
        <v>13.837908000000002</v>
      </c>
      <c r="AC7" s="18">
        <f>SUM(AC5:AC6)</f>
        <v>5.816413200000001</v>
      </c>
      <c r="AD7" s="18">
        <f>SUM(AD5:AD6)</f>
        <v>2.4671902800000005</v>
      </c>
      <c r="AE7" s="18">
        <f>SUM(AE5:AE6)</f>
        <v>1.0571886120000005</v>
      </c>
    </row>
    <row r="8">
      <c r="A8" s="2" t="inlineStr">
        <is>
          <t>Operating Income</t>
        </is>
      </c>
      <c r="B8" s="18">
        <f>B4-B7</f>
        <v>-167.332</v>
      </c>
      <c r="C8" s="18">
        <f>C4-C7</f>
        <v>-214.986</v>
      </c>
      <c r="D8" s="18">
        <f>D4-D7</f>
        <v>-126.37299999999999</v>
      </c>
      <c r="E8" s="18">
        <f>E4-E7</f>
        <v>-200.16500000000002</v>
      </c>
      <c r="F8" s="18">
        <f>F4-F7</f>
        <v>-326.198</v>
      </c>
      <c r="G8" s="18">
        <f>G4-G7</f>
        <v>-419.764</v>
      </c>
      <c r="H8" s="18">
        <f>H4-H7</f>
        <v>-280.715</v>
      </c>
      <c r="I8" s="18">
        <f>I4-I7</f>
        <v>-29.47000000000014</v>
      </c>
      <c r="J8" s="18">
        <f>J4-J7</f>
        <v>528.9424999999999</v>
      </c>
      <c r="K8" s="18">
        <f>K4-K7</f>
        <v>1032.5175000000004</v>
      </c>
      <c r="L8" s="18">
        <f>L4-L7</f>
        <v>1443.5399999999997</v>
      </c>
      <c r="M8" s="18">
        <f>M4-M7</f>
        <v>1735.11</v>
      </c>
      <c r="N8" s="18">
        <f>N4-N7</f>
        <v>1948.6499999999999</v>
      </c>
      <c r="O8" s="18">
        <f>O4-O7</f>
        <v>2003.9099999999999</v>
      </c>
      <c r="P8" s="18">
        <f>P4-P7</f>
        <v>2019.0900000000001</v>
      </c>
      <c r="Q8" s="18">
        <f>Q4-Q7</f>
        <v>2028.75</v>
      </c>
      <c r="R8" s="18">
        <f>R4-R7</f>
        <v>2028.75</v>
      </c>
      <c r="S8" s="18">
        <f>S4-S7</f>
        <v>2028.75</v>
      </c>
      <c r="T8" s="18">
        <f>T4-T7</f>
        <v>2028.75</v>
      </c>
      <c r="U8" s="18">
        <f>U4-U7</f>
        <v>2028.75</v>
      </c>
      <c r="V8" s="18">
        <f>V4-V7</f>
        <v>2028.75</v>
      </c>
      <c r="W8" s="18">
        <f>W4-W7</f>
        <v>937.1439100079082</v>
      </c>
      <c r="X8" s="18">
        <f>X4-X7</f>
        <v>480.3</v>
      </c>
      <c r="Y8" s="18">
        <f>Y4-Y7</f>
        <v>197.96999999999997</v>
      </c>
      <c r="Z8" s="18">
        <f>Z4-Z7</f>
        <v>82.11299999999999</v>
      </c>
      <c r="AA8" s="18">
        <f>AA4-AA7</f>
        <v>34.30770000000001</v>
      </c>
      <c r="AB8" s="18">
        <f>AB4-AB7</f>
        <v>14.454330000000002</v>
      </c>
      <c r="AC8" s="18">
        <f>AC4-AC7</f>
        <v>6.147357000000001</v>
      </c>
      <c r="AD8" s="18">
        <f>AD4-AD7</f>
        <v>2.6417553000000007</v>
      </c>
      <c r="AE8" s="18">
        <f>AE4-AE7</f>
        <v>1.14810837</v>
      </c>
    </row>
    <row r="9">
      <c r="A9" s="19" t="inlineStr">
        <is>
          <t>Interest &amp; Other</t>
        </is>
      </c>
      <c r="B9" s="18" t="n">
        <v>0.332</v>
      </c>
      <c r="C9" s="18" t="n">
        <v>0.986</v>
      </c>
      <c r="D9" s="18" t="n">
        <v>3.373</v>
      </c>
      <c r="E9" s="18" t="n">
        <v>17.165</v>
      </c>
      <c r="F9" s="18" t="n">
        <v>23.669</v>
      </c>
      <c r="G9" s="18">
        <f>SUM('Quarterly Model'!F9:I9)</f>
        <v>51.983</v>
      </c>
      <c r="H9" s="18">
        <f>Assumptions!$B$16*MAX(0,G20)-Assumptions!$B$17*Main!$C$8</f>
        <v>44.33774999999999</v>
      </c>
      <c r="I9" s="18">
        <f>Assumptions!$B$16*MAX(0,H20)-Assumptions!$B$17*Main!$C$8</f>
        <v>35.473603125</v>
      </c>
      <c r="J9" s="18">
        <f>Assumptions!$B$16*MAX(0,I20)-Assumptions!$B$17*Main!$C$8</f>
        <v>35.69873824218749</v>
      </c>
      <c r="K9" s="18">
        <f>Assumptions!$B$16*MAX(0,J20)-Assumptions!$B$17*Main!$C$8</f>
        <v>56.87278467626951</v>
      </c>
      <c r="L9" s="18">
        <f>Assumptions!$B$16*MAX(0,K20)-Assumptions!$B$17*Main!$C$8</f>
        <v>97.72492035162963</v>
      </c>
      <c r="M9" s="18">
        <f>Assumptions!$B$16*MAX(0,L20)-Assumptions!$B$17*Main!$C$8</f>
        <v>144.51986321820442</v>
      </c>
      <c r="N9" s="18">
        <f>Assumptions!$B$16*MAX(0,M20)-Assumptions!$B$17*Main!$C$8</f>
        <v>200.2038979160437</v>
      </c>
      <c r="O9" s="18">
        <f>Assumptions!$B$16*MAX(0,N20)-Assumptions!$B$17*Main!$C$8</f>
        <v>263.8636946418065</v>
      </c>
      <c r="P9" s="18">
        <f>Assumptions!$B$16*MAX(0,O20)-Assumptions!$B$17*Main!$C$8</f>
        <v>331.04649034557</v>
      </c>
      <c r="Q9" s="18">
        <f>Assumptions!$B$16*MAX(0,P20)-Assumptions!$B$17*Main!$C$8</f>
        <v>400.6692838720575</v>
      </c>
      <c r="R9" s="18">
        <f>Assumptions!$B$16*MAX(0,Q20)-Assumptions!$B$17*Main!$C$8</f>
        <v>472.64083015676715</v>
      </c>
      <c r="S9" s="18">
        <f>Assumptions!$B$16*MAX(0,R20)-Assumptions!$B$17*Main!$C$8</f>
        <v>546.7445335001614</v>
      </c>
      <c r="T9" s="18">
        <f>Assumptions!$B$16*MAX(0,S20)-Assumptions!$B$17*Main!$C$8</f>
        <v>623.0435590551036</v>
      </c>
      <c r="U9" s="18">
        <f>Assumptions!$B$16*MAX(0,T20)-Assumptions!$B$17*Main!$C$8</f>
        <v>701.6029432421111</v>
      </c>
      <c r="V9" s="18">
        <f>Assumptions!$B$16*MAX(0,U20)-Assumptions!$B$17*Main!$C$8</f>
        <v>782.4896491856587</v>
      </c>
      <c r="W9" s="18">
        <f>Assumptions!$B$16*MAX(0,V20)-Assumptions!$B$17*Main!$C$8</f>
        <v>865.7726237927839</v>
      </c>
      <c r="X9" s="18">
        <f>Assumptions!$B$16*MAX(0,W20)-Assumptions!$B$17*Main!$C$8</f>
        <v>919.1840261066294</v>
      </c>
      <c r="Y9" s="18">
        <f>Assumptions!$B$16*MAX(0,X20)-Assumptions!$B$17*Main!$C$8</f>
        <v>960.6437403800383</v>
      </c>
      <c r="Z9" s="18">
        <f>Assumptions!$B$16*MAX(0,Y20)-Assumptions!$B$17*Main!$C$8</f>
        <v>994.967672438797</v>
      </c>
      <c r="AA9" s="18">
        <f>Assumptions!$B$16*MAX(0,Z20)-Assumptions!$B$17*Main!$C$8</f>
        <v>1026.8761873597964</v>
      </c>
      <c r="AB9" s="18">
        <f>Assumptions!$B$16*MAX(0,AA20)-Assumptions!$B$17*Main!$C$8</f>
        <v>1058.3137600228304</v>
      </c>
      <c r="AC9" s="18">
        <f>Assumptions!$B$16*MAX(0,AB20)-Assumptions!$B$17*Main!$C$8</f>
        <v>1090.0945146897566</v>
      </c>
      <c r="AD9" s="18">
        <f>Assumptions!$B$16*MAX(0,AC20)-Assumptions!$B$17*Main!$C$8</f>
        <v>1122.5706801385656</v>
      </c>
      <c r="AE9" s="18">
        <f>Assumptions!$B$16*MAX(0,AD20)-Assumptions!$B$17*Main!$C$8</f>
        <v>1155.9050985384333</v>
      </c>
    </row>
    <row r="10">
      <c r="A10" s="2" t="inlineStr">
        <is>
          <t>Pretax</t>
        </is>
      </c>
      <c r="B10" s="18">
        <f>B8+B9</f>
        <v>-167.0</v>
      </c>
      <c r="C10" s="18">
        <f>C8+C9</f>
        <v>-214.0</v>
      </c>
      <c r="D10" s="18">
        <f>D8+D9</f>
        <v>-122.99999999999999</v>
      </c>
      <c r="E10" s="18">
        <f>E8+E9</f>
        <v>-183.00000000000003</v>
      </c>
      <c r="F10" s="18">
        <f>F8+F9</f>
        <v>-302.529</v>
      </c>
      <c r="G10" s="18">
        <f>G8+G9</f>
        <v>-367.781</v>
      </c>
      <c r="H10" s="18">
        <f>H8+H9</f>
        <v>-236.37724999999998</v>
      </c>
      <c r="I10" s="18">
        <f>I8+I9</f>
        <v>6.003603124999856</v>
      </c>
      <c r="J10" s="18">
        <f>J8+J9</f>
        <v>564.6412382421873</v>
      </c>
      <c r="K10" s="18">
        <f>K8+K9</f>
        <v>1089.3902846762699</v>
      </c>
      <c r="L10" s="18">
        <f>L8+L9</f>
        <v>1541.2649203516294</v>
      </c>
      <c r="M10" s="18">
        <f>M8+M9</f>
        <v>1879.6298632182043</v>
      </c>
      <c r="N10" s="18">
        <f>N8+N9</f>
        <v>2148.8538979160435</v>
      </c>
      <c r="O10" s="18">
        <f>O8+O9</f>
        <v>2267.7736946418063</v>
      </c>
      <c r="P10" s="18">
        <f>P8+P9</f>
        <v>2350.13649034557</v>
      </c>
      <c r="Q10" s="18">
        <f>Q8+Q9</f>
        <v>2429.4192838720573</v>
      </c>
      <c r="R10" s="18">
        <f>R8+R9</f>
        <v>2501.390830156767</v>
      </c>
      <c r="S10" s="18">
        <f>S8+S9</f>
        <v>2575.494533500161</v>
      </c>
      <c r="T10" s="18">
        <f>T8+T9</f>
        <v>2651.7935590551037</v>
      </c>
      <c r="U10" s="18">
        <f>U8+U9</f>
        <v>2730.352943242111</v>
      </c>
      <c r="V10" s="18">
        <f>V8+V9</f>
        <v>2811.239649185659</v>
      </c>
      <c r="W10" s="18">
        <f>W8+W9</f>
        <v>1802.916533800692</v>
      </c>
      <c r="X10" s="18">
        <f>X8+X9</f>
        <v>1399.4840261066295</v>
      </c>
      <c r="Y10" s="18">
        <f>Y8+Y9</f>
        <v>1158.6137403800383</v>
      </c>
      <c r="Z10" s="18">
        <f>Z8+Z9</f>
        <v>1077.080672438797</v>
      </c>
      <c r="AA10" s="18">
        <f>AA8+AA9</f>
        <v>1061.1838873597965</v>
      </c>
      <c r="AB10" s="18">
        <f>AB8+AB9</f>
        <v>1072.7680900228304</v>
      </c>
      <c r="AC10" s="18">
        <f>AC8+AC9</f>
        <v>1096.2418716897566</v>
      </c>
      <c r="AD10" s="18">
        <f>AD8+AD9</f>
        <v>1125.2124354385658</v>
      </c>
      <c r="AE10" s="18">
        <f>AE8+AE9</f>
        <v>1157.0532069084334</v>
      </c>
    </row>
    <row r="11">
      <c r="A11" s="2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0.471</v>
      </c>
      <c r="G11" s="18">
        <f>SUM('Quarterly Model'!F11:I11)</f>
        <v>0.0</v>
      </c>
      <c r="H11" s="18">
        <f>MAX(0,H10-G21)*Assumptions!$B$15</f>
        <v>0.0</v>
      </c>
      <c r="I11" s="18">
        <f>MAX(0,I10-H21)*Assumptions!$B$15</f>
        <v>0.0</v>
      </c>
      <c r="J11" s="18">
        <f>MAX(0,J10-I21)*Assumptions!$B$15</f>
        <v>0.0</v>
      </c>
      <c r="K11" s="18">
        <f>MAX(0,K10-J21)*Assumptions!$B$15</f>
        <v>0.0</v>
      </c>
      <c r="L11" s="18">
        <f>MAX(0,L10-K21)*Assumptions!$B$15</f>
        <v>293.3997772429682</v>
      </c>
      <c r="M11" s="18">
        <f>MAX(0,M10-L21)*Assumptions!$B$15</f>
        <v>394.7222712758229</v>
      </c>
      <c r="N11" s="18">
        <f>MAX(0,N10-M21)*Assumptions!$B$15</f>
        <v>451.2593185623691</v>
      </c>
      <c r="O11" s="18">
        <f>MAX(0,O10-N21)*Assumptions!$B$15</f>
        <v>476.2324758747793</v>
      </c>
      <c r="P11" s="18">
        <f>MAX(0,P10-O21)*Assumptions!$B$15</f>
        <v>493.5286629725697</v>
      </c>
      <c r="Q11" s="18">
        <f>MAX(0,Q10-P21)*Assumptions!$B$15</f>
        <v>510.17804961313203</v>
      </c>
      <c r="R11" s="18">
        <f>MAX(0,R10-Q21)*Assumptions!$B$15</f>
        <v>525.2920743329211</v>
      </c>
      <c r="S11" s="18">
        <f>MAX(0,S10-R21)*Assumptions!$B$15</f>
        <v>540.8538520350338</v>
      </c>
      <c r="T11" s="18">
        <f>MAX(0,T10-S21)*Assumptions!$B$15</f>
        <v>556.8766474015717</v>
      </c>
      <c r="U11" s="18">
        <f>MAX(0,U10-T21)*Assumptions!$B$15</f>
        <v>573.3741180808432</v>
      </c>
      <c r="V11" s="18">
        <f>MAX(0,V10-U21)*Assumptions!$B$15</f>
        <v>590.3603263289883</v>
      </c>
      <c r="W11" s="18">
        <f>MAX(0,W10-V21)*Assumptions!$B$15</f>
        <v>378.6124720981453</v>
      </c>
      <c r="X11" s="18">
        <f>MAX(0,X10-W21)*Assumptions!$B$15</f>
        <v>293.89164548239216</v>
      </c>
      <c r="Y11" s="18">
        <f>MAX(0,Y10-X21)*Assumptions!$B$15</f>
        <v>243.30888547980803</v>
      </c>
      <c r="Z11" s="18">
        <f>MAX(0,Z10-Y21)*Assumptions!$B$15</f>
        <v>226.18694121214733</v>
      </c>
      <c r="AA11" s="18">
        <f>MAX(0,AA10-Z21)*Assumptions!$B$15</f>
        <v>222.84861634555725</v>
      </c>
      <c r="AB11" s="18">
        <f>MAX(0,AB10-AA21)*Assumptions!$B$15</f>
        <v>225.28129890479437</v>
      </c>
      <c r="AC11" s="18">
        <f>MAX(0,AC10-AB21)*Assumptions!$B$15</f>
        <v>230.2107930548489</v>
      </c>
      <c r="AD11" s="18">
        <f>MAX(0,AD10-AC21)*Assumptions!$B$15</f>
        <v>236.2946114420988</v>
      </c>
      <c r="AE11" s="18">
        <f>MAX(0,AE10-AD21)*Assumptions!$B$15</f>
        <v>242.981173450771</v>
      </c>
    </row>
    <row r="12">
      <c r="A12" s="2" t="inlineStr">
        <is>
          <t>Net Income</t>
        </is>
      </c>
      <c r="B12" s="18" t="n">
        <v>-167</v>
      </c>
      <c r="C12" s="18" t="n">
        <v>-214</v>
      </c>
      <c r="D12" s="18" t="n">
        <v>-123</v>
      </c>
      <c r="E12" s="18" t="n">
        <v>-183</v>
      </c>
      <c r="F12" s="18" t="n">
        <v>-303</v>
      </c>
      <c r="G12" s="18">
        <f>G10-G11</f>
        <v>-367.781</v>
      </c>
      <c r="H12" s="18">
        <f>H10-H11</f>
        <v>-236.37724999999998</v>
      </c>
      <c r="I12" s="18">
        <f>I10-I11</f>
        <v>6.003603124999856</v>
      </c>
      <c r="J12" s="18">
        <f>J10-J11</f>
        <v>564.6412382421873</v>
      </c>
      <c r="K12" s="18">
        <f>K10-K11</f>
        <v>1089.3902846762699</v>
      </c>
      <c r="L12" s="18">
        <f>L10-L11</f>
        <v>1247.8651431086612</v>
      </c>
      <c r="M12" s="18">
        <f>M10-M11</f>
        <v>1484.9075919423813</v>
      </c>
      <c r="N12" s="18">
        <f>N10-N11</f>
        <v>1697.5945793536744</v>
      </c>
      <c r="O12" s="18">
        <f>O10-O11</f>
        <v>1791.541218767027</v>
      </c>
      <c r="P12" s="18">
        <f>P10-P11</f>
        <v>1856.6078273730004</v>
      </c>
      <c r="Q12" s="18">
        <f>Q10-Q11</f>
        <v>1919.2412342589253</v>
      </c>
      <c r="R12" s="18">
        <f>R10-R11</f>
        <v>1976.0987558238462</v>
      </c>
      <c r="S12" s="18">
        <f>S10-S11</f>
        <v>2034.6406814651273</v>
      </c>
      <c r="T12" s="18">
        <f>T10-T11</f>
        <v>2094.916911653532</v>
      </c>
      <c r="U12" s="18">
        <f>U10-U11</f>
        <v>2156.9788251612677</v>
      </c>
      <c r="V12" s="18">
        <f>V10-V11</f>
        <v>2220.8793228566706</v>
      </c>
      <c r="W12" s="18">
        <f>W10-W11</f>
        <v>1424.3040617025467</v>
      </c>
      <c r="X12" s="18">
        <f>X10-X11</f>
        <v>1105.5923806242372</v>
      </c>
      <c r="Y12" s="18">
        <f>Y10-Y11</f>
        <v>915.3048549002302</v>
      </c>
      <c r="Z12" s="18">
        <f>Z10-Z11</f>
        <v>850.8937312266496</v>
      </c>
      <c r="AA12" s="18">
        <f>AA10-AA11</f>
        <v>838.3352710142392</v>
      </c>
      <c r="AB12" s="18">
        <f>AB10-AB11</f>
        <v>847.4867911180361</v>
      </c>
      <c r="AC12" s="18">
        <f>AC10-AC11</f>
        <v>866.0310786349078</v>
      </c>
      <c r="AD12" s="18">
        <f>AD10-AD11</f>
        <v>888.917823996467</v>
      </c>
      <c r="AE12" s="18">
        <f>AE10-AE11</f>
        <v>914.0720334576624</v>
      </c>
    </row>
    <row r="13">
      <c r="A13" s="2" t="inlineStr">
        <is>
          <t>Earnings per Share</t>
        </is>
      </c>
      <c r="B13" s="11">
        <f>IFERROR(B12/B14,0)</f>
        <v>-59.01060070671378</v>
      </c>
      <c r="C13" s="11">
        <f>IFERROR(C12/C14,0)</f>
        <v>-69.6387894565571</v>
      </c>
      <c r="D13" s="11">
        <f>IFERROR(D12/D14,0)</f>
        <v>-18.653321201091902</v>
      </c>
      <c r="E13" s="11">
        <f>IFERROR(E12/E14,0)</f>
        <v>-10.219467247445133</v>
      </c>
      <c r="F13" s="11">
        <f>IFERROR(F12/F14,0)</f>
        <v>-13.463674738946901</v>
      </c>
      <c r="G13" s="11">
        <f>IFERROR(G12/G14,0)</f>
        <v>-12.626048148307085</v>
      </c>
      <c r="H13" s="11">
        <f>IFERROR(H12/H14,0)</f>
        <v>-8.105125850532923</v>
      </c>
      <c r="I13" s="11">
        <f>IFERROR(I12/I14,0)</f>
        <v>0.20585720023723336</v>
      </c>
      <c r="J13" s="11">
        <f>IFERROR(J12/J14,0)</f>
        <v>19.36095075289044</v>
      </c>
      <c r="K13" s="11">
        <f>IFERROR(K12/K14,0)</f>
        <v>37.354040448685545</v>
      </c>
      <c r="L13" s="11">
        <f>IFERROR(L12/L14,0)</f>
        <v>42.7879757015067</v>
      </c>
      <c r="M13" s="11">
        <f>IFERROR(M12/M14,0)</f>
        <v>50.91591051636648</v>
      </c>
      <c r="N13" s="11">
        <f>IFERROR(N12/N14,0)</f>
        <v>58.2087223235063</v>
      </c>
      <c r="O13" s="11">
        <f>IFERROR(O12/O14,0)</f>
        <v>61.430053207421146</v>
      </c>
      <c r="P13" s="11">
        <f>IFERROR(P12/P14,0)</f>
        <v>63.66111838572736</v>
      </c>
      <c r="Q13" s="11">
        <f>IFERROR(Q12/Q14,0)</f>
        <v>65.80875165101857</v>
      </c>
      <c r="R13" s="11">
        <f>IFERROR(R12/R14,0)</f>
        <v>67.75833591868</v>
      </c>
      <c r="S13" s="11">
        <f>IFERROR(S12/S14,0)</f>
        <v>69.76567662027088</v>
      </c>
      <c r="T13" s="11">
        <f>IFERROR(T12/T14,0)</f>
        <v>71.83248479014642</v>
      </c>
      <c r="U13" s="11">
        <f>IFERROR(U12/U14,0)</f>
        <v>73.96052215205451</v>
      </c>
      <c r="V13" s="11">
        <f>IFERROR(V12/V14,0)</f>
        <v>76.15160262080913</v>
      </c>
      <c r="W13" s="11">
        <f>IFERROR(W12/W14,0)</f>
        <v>48.83787957396218</v>
      </c>
      <c r="X13" s="11">
        <f>IFERROR(X12/X14,0)</f>
        <v>37.90959317933405</v>
      </c>
      <c r="Y13" s="11">
        <f>IFERROR(Y12/Y14,0)</f>
        <v>31.384835218152944</v>
      </c>
      <c r="Z13" s="11">
        <f>IFERROR(Z12/Z14,0)</f>
        <v>29.176245924772925</v>
      </c>
      <c r="AA13" s="11">
        <f>IFERROR(AA12/AA14,0)</f>
        <v>28.745629609072083</v>
      </c>
      <c r="AB13" s="11">
        <f>IFERROR(AB12/AB14,0)</f>
        <v>29.059425552484388</v>
      </c>
      <c r="AC13" s="11">
        <f>IFERROR(AC12/AC14,0)</f>
        <v>29.69528955434037</v>
      </c>
      <c r="AD13" s="11">
        <f>IFERROR(AD12/AD14,0)</f>
        <v>30.480051842016266</v>
      </c>
      <c r="AE13" s="11">
        <f>IFERROR(AE12/AE14,0)</f>
        <v>31.342563075028984</v>
      </c>
    </row>
    <row r="14">
      <c r="A14" s="2" t="inlineStr">
        <is>
          <t>Shares</t>
        </is>
      </c>
      <c r="B14" s="18" t="n">
        <v>2.83</v>
      </c>
      <c r="C14" s="18" t="n">
        <v>3.073</v>
      </c>
      <c r="D14" s="18" t="n">
        <v>6.594</v>
      </c>
      <c r="E14" s="18" t="n">
        <v>17.907</v>
      </c>
      <c r="F14" s="18" t="n">
        <v>22.505</v>
      </c>
      <c r="G14" s="18">
        <f>AVERAGE('Quarterly Model'!F14:I14)</f>
        <v>29.12875</v>
      </c>
      <c r="H14" s="18">
        <f>Main!$C$4*(1+Assumptions!$B$26)^(H1-2026)</f>
        <v>29.163921000000002</v>
      </c>
      <c r="I14" s="18">
        <f>Main!$C$4*(1+Assumptions!$B$26)^(I1-2026)</f>
        <v>29.163921000000002</v>
      </c>
      <c r="J14" s="18">
        <f>Main!$C$4*(1+Assumptions!$B$26)^(J1-2026)</f>
        <v>29.163921000000002</v>
      </c>
      <c r="K14" s="18">
        <f>Main!$C$4*(1+Assumptions!$B$26)^(K1-2026)</f>
        <v>29.163921000000002</v>
      </c>
      <c r="L14" s="18">
        <f>Main!$C$4*(1+Assumptions!$B$26)^(L1-2026)</f>
        <v>29.163921000000002</v>
      </c>
      <c r="M14" s="18">
        <f>Main!$C$4*(1+Assumptions!$B$26)^(M1-2026)</f>
        <v>29.163921000000002</v>
      </c>
      <c r="N14" s="18">
        <f>Main!$C$4*(1+Assumptions!$B$26)^(N1-2026)</f>
        <v>29.163921000000002</v>
      </c>
      <c r="O14" s="18">
        <f>Main!$C$4*(1+Assumptions!$B$26)^(O1-2026)</f>
        <v>29.163921000000002</v>
      </c>
      <c r="P14" s="18">
        <f>Main!$C$4*(1+Assumptions!$B$26)^(P1-2026)</f>
        <v>29.163921000000002</v>
      </c>
      <c r="Q14" s="18">
        <f>Main!$C$4*(1+Assumptions!$B$26)^(Q1-2026)</f>
        <v>29.163921000000002</v>
      </c>
      <c r="R14" s="18">
        <f>Main!$C$4*(1+Assumptions!$B$26)^(R1-2026)</f>
        <v>29.163921000000002</v>
      </c>
      <c r="S14" s="18">
        <f>Main!$C$4*(1+Assumptions!$B$26)^(S1-2026)</f>
        <v>29.163921000000002</v>
      </c>
      <c r="T14" s="18">
        <f>Main!$C$4*(1+Assumptions!$B$26)^(T1-2026)</f>
        <v>29.163921000000002</v>
      </c>
      <c r="U14" s="18">
        <f>Main!$C$4*(1+Assumptions!$B$26)^(U1-2026)</f>
        <v>29.163921000000002</v>
      </c>
      <c r="V14" s="18">
        <f>Main!$C$4*(1+Assumptions!$B$26)^(V1-2026)</f>
        <v>29.163921000000002</v>
      </c>
      <c r="W14" s="18">
        <f>Main!$C$4*(1+Assumptions!$B$26)^(W1-2026)</f>
        <v>29.163921000000002</v>
      </c>
      <c r="X14" s="18">
        <f>Main!$C$4*(1+Assumptions!$B$26)^(X1-2026)</f>
        <v>29.163921000000002</v>
      </c>
      <c r="Y14" s="18">
        <f>Main!$C$4*(1+Assumptions!$B$26)^(Y1-2026)</f>
        <v>29.163921000000002</v>
      </c>
      <c r="Z14" s="18">
        <f>Main!$C$4*(1+Assumptions!$B$26)^(Z1-2026)</f>
        <v>29.163921000000002</v>
      </c>
      <c r="AA14" s="18">
        <f>Main!$C$4*(1+Assumptions!$B$26)^(AA1-2026)</f>
        <v>29.163921000000002</v>
      </c>
      <c r="AB14" s="18">
        <f>Main!$C$4*(1+Assumptions!$B$26)^(AB1-2026)</f>
        <v>29.163921000000002</v>
      </c>
      <c r="AC14" s="18">
        <f>Main!$C$4*(1+Assumptions!$B$26)^(AC1-2026)</f>
        <v>29.163921000000002</v>
      </c>
      <c r="AD14" s="18">
        <f>Main!$C$4*(1+Assumptions!$B$26)^(AD1-2026)</f>
        <v>29.163921000000002</v>
      </c>
      <c r="AE14" s="18">
        <f>Main!$C$4*(1+Assumptions!$B$26)^(AE1-2026)</f>
        <v>29.163921000000002</v>
      </c>
    </row>
    <row r="15"/>
    <row r="16" customFormat="1" s="4">
      <c r="A16" s="3" t="inlineStr">
        <is>
          <t>Revenue Change</t>
        </is>
      </c>
      <c r="B16" s="4" t="n"/>
      <c r="C16" s="14">
        <f>IFERROR(C2/B2-1,"")</f>
        <v/>
      </c>
      <c r="D16" s="14">
        <f>IFERROR(D2/C2-1,"")</f>
        <v/>
      </c>
      <c r="E16" s="14">
        <f>IFERROR(E2/D2-1,"")</f>
        <v>2.495300367797303</v>
      </c>
      <c r="F16" s="14">
        <f>IFERROR(F2/E2-1,"")</f>
        <v>-1.0</v>
      </c>
      <c r="G16" s="14">
        <f>IFERROR(G2/F2-1,"")</f>
        <v/>
      </c>
      <c r="H16" s="14">
        <f>IFERROR(H2/G2-1,"")</f>
        <v/>
      </c>
      <c r="I16" s="14">
        <f>IFERROR(I2/H2-1,"")</f>
        <v>0.9649681528662419</v>
      </c>
      <c r="J16" s="14">
        <f>IFERROR(J2/I2-1,"")</f>
        <v>0.8184764991896272</v>
      </c>
      <c r="K16" s="14">
        <f>IFERROR(K2/J2-1,"")</f>
        <v>0.481283422459893</v>
      </c>
      <c r="L16" s="14">
        <f>IFERROR(L2/K2-1,"")</f>
        <v>0.289410348977136</v>
      </c>
      <c r="M16" s="14">
        <f>IFERROR(M2/L2-1,"")</f>
        <v>0.16402239850676614</v>
      </c>
      <c r="N16" s="14">
        <f>IFERROR(N2/M2-1,"")</f>
        <v>0.08839446782922433</v>
      </c>
      <c r="O16" s="14">
        <f>IFERROR(O2/N2-1,"")</f>
        <v>0.018047882136279947</v>
      </c>
      <c r="P16" s="14">
        <f>IFERROR(P2/O2-1,"")</f>
        <v>0.00795947901591898</v>
      </c>
      <c r="Q16" s="14">
        <f>IFERROR(Q2/P2-1,"")</f>
        <v>0.005025125628140614</v>
      </c>
      <c r="R16" s="14">
        <f>IFERROR(R2/Q2-1,"")</f>
        <v>0.0</v>
      </c>
      <c r="S16" s="14">
        <f>IFERROR(S2/R2-1,"")</f>
        <v>0.0</v>
      </c>
      <c r="T16" s="14">
        <f>IFERROR(T2/S2-1,"")</f>
        <v>0.0</v>
      </c>
      <c r="U16" s="14">
        <f>IFERROR(U2/T2-1,"")</f>
        <v>0.0</v>
      </c>
      <c r="V16" s="14">
        <f>IFERROR(V2/U2-1,"")</f>
        <v>0.0</v>
      </c>
      <c r="W16" s="14">
        <f>IFERROR(W2/V2-1,"")</f>
        <v>-0.525</v>
      </c>
      <c r="X16" s="14">
        <f>IFERROR(X2/W2-1,"")</f>
        <v>-0.49849624060150377</v>
      </c>
      <c r="Y16" s="14">
        <f>IFERROR(Y2/X2-1,"")</f>
        <v>-0.5887556221889055</v>
      </c>
      <c r="Z16" s="14">
        <f>IFERROR(Z2/Y2-1,"")</f>
        <v>-0.5863288370397375</v>
      </c>
      <c r="AA16" s="14">
        <f>IFERROR(AA2/Z2-1,"")</f>
        <v>-0.5834758085837665</v>
      </c>
      <c r="AB16" s="14">
        <f>IFERROR(AB2/AA2-1,"")</f>
        <v>-0.5801641876309165</v>
      </c>
      <c r="AC16" s="14">
        <f>IFERROR(AC2/AB2-1,"")</f>
        <v>-0.5763767027672645</v>
      </c>
      <c r="AD16" s="14">
        <f>IFERROR(AD2/AC2-1,"")</f>
        <v>-0.5721175660226295</v>
      </c>
      <c r="AE16" s="14">
        <f>IFERROR(AE2/AD2-1,"")</f>
        <v>-0.5674181132908518</v>
      </c>
    </row>
    <row r="17" customFormat="1" s="4">
      <c r="A17" s="3" t="inlineStr">
        <is>
          <t>Gross Margin</t>
        </is>
      </c>
      <c r="B17" s="14">
        <f>IFERROR(B4/B2,"")</f>
        <v/>
      </c>
      <c r="C17" s="14">
        <f>IFERROR(C4/C2,"")</f>
        <v/>
      </c>
      <c r="D17" s="14">
        <f>IFERROR(D4/D2,"")</f>
        <v>1.0</v>
      </c>
      <c r="E17" s="14">
        <f>IFERROR(E4/E2,"")</f>
        <v>1.0</v>
      </c>
      <c r="F17" s="14">
        <f>IFERROR(F4/F2,"")</f>
        <v/>
      </c>
      <c r="G17" s="14">
        <f>IFERROR(G4/G2,"")</f>
        <v/>
      </c>
      <c r="H17" s="14">
        <f>IFERROR(H4/H2,"")</f>
        <v>0.9714649681528662</v>
      </c>
      <c r="I17" s="14">
        <f>IFERROR(I4/I2,"")</f>
        <v>0.9604862236628848</v>
      </c>
      <c r="J17" s="14">
        <f>IFERROR(J4/J2,"")</f>
        <v>0.9591978609625668</v>
      </c>
      <c r="K17" s="14">
        <f>IFERROR(K4/K2,"")</f>
        <v>0.9587364620938629</v>
      </c>
      <c r="L17" s="14">
        <f>IFERROR(L4/L2,"")</f>
        <v>0.9584601026598226</v>
      </c>
      <c r="M17" s="14">
        <f>IFERROR(M4/M2,"")</f>
        <v>0.9581960312687913</v>
      </c>
      <c r="N17" s="14">
        <f>IFERROR(N4/N2,"")</f>
        <v>0.958011049723757</v>
      </c>
      <c r="O17" s="14">
        <f>IFERROR(O4/O2,"")</f>
        <v>0.9578292329956585</v>
      </c>
      <c r="P17" s="14">
        <f>IFERROR(P4/P2,"")</f>
        <v>0.9578463747307969</v>
      </c>
      <c r="Q17" s="14">
        <f>IFERROR(Q4/Q2,"")</f>
        <v>0.9578571428571429</v>
      </c>
      <c r="R17" s="14">
        <f>IFERROR(R4/R2,"")</f>
        <v>0.9578571428571429</v>
      </c>
      <c r="S17" s="14">
        <f>IFERROR(S4/S2,"")</f>
        <v>0.9578571428571429</v>
      </c>
      <c r="T17" s="14">
        <f>IFERROR(T4/T2,"")</f>
        <v>0.9578571428571429</v>
      </c>
      <c r="U17" s="14">
        <f>IFERROR(U4/U2,"")</f>
        <v>0.9578571428571429</v>
      </c>
      <c r="V17" s="14">
        <f>IFERROR(V4/V2,"")</f>
        <v>0.9578571428571429</v>
      </c>
      <c r="W17" s="14">
        <f>IFERROR(W4/W2,"")</f>
        <v>0.9554887218045113</v>
      </c>
      <c r="X17" s="14">
        <f>IFERROR(X4/X2,"")</f>
        <v>0.9555022488755622</v>
      </c>
      <c r="Y17" s="14">
        <f>IFERROR(Y4/Y2,"")</f>
        <v>0.9545315348158949</v>
      </c>
      <c r="Z17" s="14">
        <f>IFERROR(Z4/Z2,"")</f>
        <v>0.9533903234335066</v>
      </c>
      <c r="AA17" s="14">
        <f>IFERROR(AA4/AA2,"")</f>
        <v>0.9520656750523666</v>
      </c>
      <c r="AB17" s="14">
        <f>IFERROR(AB4/AB2,"")</f>
        <v>0.9505506811069058</v>
      </c>
      <c r="AC17" s="14">
        <f>IFERROR(AC4/AC2,"")</f>
        <v>0.9488470264090518</v>
      </c>
      <c r="AD17" s="14">
        <f>IFERROR(AD4/AD2,"")</f>
        <v>0.9469672453163407</v>
      </c>
      <c r="AE17" s="14">
        <f>IFERROR(AE4/AE2,"")</f>
        <v>0.9449360836825537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A+E</t>
        </is>
      </c>
      <c r="H19" s="20" t="inlineStr">
        <is>
          <t>E</t>
        </is>
      </c>
      <c r="I19" s="20" t="inlineStr">
        <is>
          <t>E</t>
        </is>
      </c>
      <c r="J19" s="20" t="inlineStr">
        <is>
          <t>E</t>
        </is>
      </c>
      <c r="K19" s="20" t="inlineStr">
        <is>
          <t>E</t>
        </is>
      </c>
      <c r="L19" s="20" t="inlineStr">
        <is>
          <t>E</t>
        </is>
      </c>
      <c r="M19" s="20" t="inlineStr">
        <is>
          <t>E</t>
        </is>
      </c>
      <c r="N19" s="20" t="inlineStr">
        <is>
          <t>E</t>
        </is>
      </c>
      <c r="O19" s="20" t="inlineStr">
        <is>
          <t>E</t>
        </is>
      </c>
      <c r="P19" s="20" t="inlineStr">
        <is>
          <t>E</t>
        </is>
      </c>
      <c r="Q19" s="20" t="inlineStr">
        <is>
          <t>E</t>
        </is>
      </c>
      <c r="R19" s="20" t="inlineStr">
        <is>
          <t>E</t>
        </is>
      </c>
      <c r="S19" s="20" t="inlineStr">
        <is>
          <t>E</t>
        </is>
      </c>
      <c r="T19" s="20" t="inlineStr">
        <is>
          <t>E</t>
        </is>
      </c>
      <c r="U19" s="20" t="inlineStr">
        <is>
          <t>E</t>
        </is>
      </c>
      <c r="V19" s="20" t="inlineStr">
        <is>
          <t>E</t>
        </is>
      </c>
      <c r="W19" s="20" t="inlineStr">
        <is>
          <t>E</t>
        </is>
      </c>
      <c r="X19" s="20" t="inlineStr">
        <is>
          <t>E</t>
        </is>
      </c>
      <c r="Y19" s="20" t="inlineStr">
        <is>
          <t>E</t>
        </is>
      </c>
      <c r="Z19" s="20" t="inlineStr">
        <is>
          <t>E</t>
        </is>
      </c>
      <c r="AA19" s="20" t="inlineStr">
        <is>
          <t>E</t>
        </is>
      </c>
      <c r="AB19" s="20" t="inlineStr">
        <is>
          <t>E</t>
        </is>
      </c>
      <c r="AC19" s="20" t="inlineStr">
        <is>
          <t>E</t>
        </is>
      </c>
      <c r="AD19" s="20" t="inlineStr">
        <is>
          <t>E</t>
        </is>
      </c>
      <c r="AE19" s="20" t="inlineStr">
        <is>
          <t>E</t>
        </is>
      </c>
    </row>
    <row r="20">
      <c r="A20" s="13" t="inlineStr">
        <is>
          <t>Cash &amp; Investments</t>
        </is>
      </c>
      <c r="G20" s="18">
        <f>'Quarterly Model'!I20</f>
        <v>1182.34</v>
      </c>
      <c r="H20" s="18">
        <f>G20+H12</f>
        <v>945.9627499999999</v>
      </c>
      <c r="I20" s="18">
        <f>H20+I12</f>
        <v>951.9663531249997</v>
      </c>
      <c r="J20" s="18">
        <f>I20+J12</f>
        <v>1516.607591367187</v>
      </c>
      <c r="K20" s="18">
        <f>J20+K12</f>
        <v>2605.997876043457</v>
      </c>
      <c r="L20" s="18">
        <f>K20+L12</f>
        <v>3853.863019152118</v>
      </c>
      <c r="M20" s="18">
        <f>L20+M12</f>
        <v>5338.770611094499</v>
      </c>
      <c r="N20" s="18">
        <f>M20+N12</f>
        <v>7036.365190448174</v>
      </c>
      <c r="O20" s="18">
        <f>N20+O12</f>
        <v>8827.9064092152</v>
      </c>
      <c r="P20" s="18">
        <f>O20+P12</f>
        <v>10684.5142365882</v>
      </c>
      <c r="Q20" s="18">
        <f>P20+Q12</f>
        <v>12603.755470847125</v>
      </c>
      <c r="R20" s="18">
        <f>Q20+R12</f>
        <v>14579.854226670972</v>
      </c>
      <c r="S20" s="18">
        <f>R20+S12</f>
        <v>16614.494908136097</v>
      </c>
      <c r="T20" s="18">
        <f>S20+T12</f>
        <v>18709.41181978963</v>
      </c>
      <c r="U20" s="18">
        <f>T20+U12</f>
        <v>20866.390644950898</v>
      </c>
      <c r="V20" s="18">
        <f>U20+V12</f>
        <v>23087.26996780757</v>
      </c>
      <c r="W20" s="18">
        <f>V20+W12</f>
        <v>24511.574029510117</v>
      </c>
      <c r="X20" s="18">
        <f>W20+X12</f>
        <v>25617.166410134356</v>
      </c>
      <c r="Y20" s="18">
        <f>X20+Y12</f>
        <v>26532.471265034586</v>
      </c>
      <c r="Z20" s="18">
        <f>Y20+Z12</f>
        <v>27383.364996261236</v>
      </c>
      <c r="AA20" s="18">
        <f>Z20+AA12</f>
        <v>28221.700267275475</v>
      </c>
      <c r="AB20" s="18">
        <f>AA20+AB12</f>
        <v>29069.187058393512</v>
      </c>
      <c r="AC20" s="18">
        <f>AB20+AC12</f>
        <v>29935.21813702842</v>
      </c>
      <c r="AD20" s="18">
        <f>AC20+AD12</f>
        <v>30824.135961024887</v>
      </c>
      <c r="AE20" s="18">
        <f>AD20+AE12</f>
        <v>31738.20799448255</v>
      </c>
    </row>
    <row r="21">
      <c r="A21" s="13" t="inlineStr">
        <is>
          <t>Tax-Loss Pool</t>
        </is>
      </c>
      <c r="F21" s="18">
        <f>Assumptions!$B$18</f>
        <v>1200</v>
      </c>
      <c r="G21" s="18">
        <f>F21-MIN(F21,MAX(0,G10))+MAX(0,-G10)</f>
        <v>1567.781</v>
      </c>
      <c r="H21" s="18">
        <f>G21-MIN(G21,MAX(0,H10))+MAX(0,-H10)</f>
        <v>1804.15825</v>
      </c>
      <c r="I21" s="18">
        <f>H21-MIN(H21,MAX(0,I10))+MAX(0,-I10)</f>
        <v>1798.154646875</v>
      </c>
      <c r="J21" s="18">
        <f>I21-MIN(I21,MAX(0,J10))+MAX(0,-J10)</f>
        <v>1233.5134086328126</v>
      </c>
      <c r="K21" s="18">
        <f>J21-MIN(J21,MAX(0,K10))+MAX(0,-K10)</f>
        <v>144.1231239565427</v>
      </c>
      <c r="L21" s="18">
        <f>K21-MIN(K21,MAX(0,L10))+MAX(0,-L10)</f>
        <v>0.0</v>
      </c>
      <c r="M21" s="18">
        <f>L21-MIN(L21,MAX(0,M10))+MAX(0,-M10)</f>
        <v>0.0</v>
      </c>
      <c r="N21" s="18">
        <f>M21-MIN(M21,MAX(0,N10))+MAX(0,-N10)</f>
        <v>0.0</v>
      </c>
      <c r="O21" s="18">
        <f>N21-MIN(N21,MAX(0,O10))+MAX(0,-O10)</f>
        <v>0.0</v>
      </c>
      <c r="P21" s="18">
        <f>O21-MIN(O21,MAX(0,P10))+MAX(0,-P10)</f>
        <v>0.0</v>
      </c>
      <c r="Q21" s="18">
        <f>P21-MIN(P21,MAX(0,Q10))+MAX(0,-Q10)</f>
        <v>0.0</v>
      </c>
      <c r="R21" s="18">
        <f>Q21-MIN(Q21,MAX(0,R10))+MAX(0,-R10)</f>
        <v>0.0</v>
      </c>
      <c r="S21" s="18">
        <f>R21-MIN(R21,MAX(0,S10))+MAX(0,-S10)</f>
        <v>0.0</v>
      </c>
      <c r="T21" s="18">
        <f>S21-MIN(S21,MAX(0,T10))+MAX(0,-T10)</f>
        <v>0.0</v>
      </c>
      <c r="U21" s="18">
        <f>T21-MIN(T21,MAX(0,U10))+MAX(0,-U10)</f>
        <v>0.0</v>
      </c>
      <c r="V21" s="18">
        <f>U21-MIN(U21,MAX(0,V10))+MAX(0,-V10)</f>
        <v>0.0</v>
      </c>
      <c r="W21" s="18">
        <f>V21-MIN(V21,MAX(0,W10))+MAX(0,-W10)</f>
        <v>0.0</v>
      </c>
      <c r="X21" s="18">
        <f>W21-MIN(W21,MAX(0,X10))+MAX(0,-X10)</f>
        <v>0.0</v>
      </c>
      <c r="Y21" s="18">
        <f>X21-MIN(X21,MAX(0,Y10))+MAX(0,-Y10)</f>
        <v>0.0</v>
      </c>
      <c r="Z21" s="18">
        <f>Y21-MIN(Y21,MAX(0,Z10))+MAX(0,-Z10)</f>
        <v>0.0</v>
      </c>
      <c r="AA21" s="18">
        <f>Z21-MIN(Z21,MAX(0,AA10))+MAX(0,-AA10)</f>
        <v>0.0</v>
      </c>
      <c r="AB21" s="18">
        <f>AA21-MIN(AA21,MAX(0,AB10))+MAX(0,-AB10)</f>
        <v>0.0</v>
      </c>
      <c r="AC21" s="18">
        <f>AB21-MIN(AB21,MAX(0,AC10))+MAX(0,-AC10)</f>
        <v>0.0</v>
      </c>
      <c r="AD21" s="18">
        <f>AC21-MIN(AC21,MAX(0,AD10))+MAX(0,-AD10)</f>
        <v>0.0</v>
      </c>
      <c r="AE21" s="18">
        <f>AD21-MIN(AD21,MAX(0,AE10))+MAX(0,-AE10)</f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10" defaultRowHeight="16"/>
  <cols>
    <col width="26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  <col width="10" customWidth="1" style="9" min="8" max="8"/>
    <col width="10" customWidth="1" style="9" min="9" max="9"/>
  </cols>
  <sheetData>
    <row r="1">
      <c r="B1" s="21" t="inlineStr">
        <is>
          <t>Q1 2025</t>
        </is>
      </c>
      <c r="C1" s="21" t="inlineStr">
        <is>
          <t>Q2 2025</t>
        </is>
      </c>
      <c r="D1" s="21" t="inlineStr">
        <is>
          <t>Q3 2025</t>
        </is>
      </c>
      <c r="E1" s="21" t="inlineStr">
        <is>
          <t>Q4 2025</t>
        </is>
      </c>
      <c r="F1" s="21" t="inlineStr">
        <is>
          <t>Q1 2026</t>
        </is>
      </c>
      <c r="G1" s="21" t="inlineStr">
        <is>
          <t>Q2 2026</t>
        </is>
      </c>
      <c r="H1" s="21" t="inlineStr">
        <is>
          <t>Q3 2026</t>
        </is>
      </c>
      <c r="I1" s="21" t="inlineStr">
        <is>
          <t>Q4 2026</t>
        </is>
      </c>
    </row>
    <row r="2">
      <c r="A2" s="13" t="inlineStr">
        <is>
          <t>Revenue</t>
        </is>
      </c>
      <c r="B2" s="18" t="n">
        <v>0</v>
      </c>
      <c r="C2" s="18" t="n">
        <v>0</v>
      </c>
      <c r="D2" s="18" t="n">
        <v>0</v>
      </c>
      <c r="E2" s="18" t="n">
        <v>0</v>
      </c>
      <c r="F2" s="18" t="n">
        <v>0</v>
      </c>
      <c r="G2" s="18" t="n">
        <v>0</v>
      </c>
      <c r="H2" s="18" t="n">
        <v>0</v>
      </c>
      <c r="I2" s="18" t="n">
        <v>0</v>
      </c>
    </row>
    <row r="3">
      <c r="A3" s="13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 t="n">
        <v>0</v>
      </c>
      <c r="H3" s="18">
        <f>H2*0.0</f>
        <v>0.0</v>
      </c>
      <c r="I3" s="18">
        <f>I2*0.0</f>
        <v>0.0</v>
      </c>
    </row>
    <row r="4">
      <c r="A4" s="13" t="inlineStr">
        <is>
          <t>Gross Margin</t>
        </is>
      </c>
      <c r="B4" s="18">
        <f>B2-B3</f>
        <v>0.0</v>
      </c>
      <c r="C4" s="18">
        <f>C2-C3</f>
        <v>0.0</v>
      </c>
      <c r="D4" s="18">
        <f>D2-D3</f>
        <v>0.0</v>
      </c>
      <c r="E4" s="18">
        <f>E2-E3</f>
        <v>0.0</v>
      </c>
      <c r="F4" s="18">
        <f>F2-F3</f>
        <v>0.0</v>
      </c>
      <c r="G4" s="18">
        <f>G2-G3</f>
        <v>0.0</v>
      </c>
      <c r="H4" s="18">
        <f>H2-H3</f>
        <v>0.0</v>
      </c>
      <c r="I4" s="18">
        <f>I2-I3</f>
        <v>0.0</v>
      </c>
    </row>
    <row r="5">
      <c r="A5" s="13" t="inlineStr">
        <is>
          <t>Research &amp; Dev.</t>
        </is>
      </c>
      <c r="B5" s="18" t="n">
        <v>60.806</v>
      </c>
      <c r="C5" s="18" t="n">
        <v>63.006</v>
      </c>
      <c r="D5" s="18" t="n">
        <v>65.797</v>
      </c>
      <c r="E5" s="18" t="n">
        <v>77.506</v>
      </c>
      <c r="F5" s="18" t="n">
        <v>77.98699999999999</v>
      </c>
      <c r="G5" s="18" t="n">
        <v>69.416</v>
      </c>
      <c r="H5" s="18" t="n">
        <v>72</v>
      </c>
      <c r="I5" s="18" t="n">
        <v>75</v>
      </c>
    </row>
    <row r="6">
      <c r="A6" s="13" t="inlineStr">
        <is>
          <t>General &amp; Admin</t>
        </is>
      </c>
      <c r="B6" s="18" t="n">
        <v>13.922</v>
      </c>
      <c r="C6" s="18" t="n">
        <v>13.061</v>
      </c>
      <c r="D6" s="18" t="n">
        <v>12.562</v>
      </c>
      <c r="E6" s="18" t="n">
        <v>19.538</v>
      </c>
      <c r="F6" s="18" t="n">
        <v>27.873</v>
      </c>
      <c r="G6" s="18" t="n">
        <v>27.488</v>
      </c>
      <c r="H6" s="18" t="n">
        <v>32</v>
      </c>
      <c r="I6" s="18" t="n">
        <v>38</v>
      </c>
    </row>
    <row r="7">
      <c r="A7" s="13" t="inlineStr">
        <is>
          <t>Operating Expense</t>
        </is>
      </c>
      <c r="B7" s="18">
        <f>SUM(B5:B6)</f>
        <v>74.728</v>
      </c>
      <c r="C7" s="18">
        <f>SUM(C5:C6)</f>
        <v>76.06700000000001</v>
      </c>
      <c r="D7" s="18">
        <f>SUM(D5:D6)</f>
        <v>78.359</v>
      </c>
      <c r="E7" s="18">
        <f>SUM(E5:E6)</f>
        <v>97.044</v>
      </c>
      <c r="F7" s="18">
        <f>SUM(F5:F6)</f>
        <v>105.86</v>
      </c>
      <c r="G7" s="18">
        <f>SUM(G5:G6)</f>
        <v>96.904</v>
      </c>
      <c r="H7" s="18">
        <f>SUM(H5:H6)</f>
        <v>104.0</v>
      </c>
      <c r="I7" s="18">
        <f>SUM(I5:I6)</f>
        <v>113.0</v>
      </c>
    </row>
    <row r="8">
      <c r="A8" s="13" t="inlineStr">
        <is>
          <t>Operating Income</t>
        </is>
      </c>
      <c r="B8" s="18">
        <f>B4-B7</f>
        <v>-74.728</v>
      </c>
      <c r="C8" s="18">
        <f>C4-C7</f>
        <v>-76.06700000000001</v>
      </c>
      <c r="D8" s="18">
        <f>D4-D7</f>
        <v>-78.359</v>
      </c>
      <c r="E8" s="18">
        <f>E4-E7</f>
        <v>-97.044</v>
      </c>
      <c r="F8" s="18">
        <f>F4-F7</f>
        <v>-105.86</v>
      </c>
      <c r="G8" s="18">
        <f>G4-G7</f>
        <v>-96.904</v>
      </c>
      <c r="H8" s="18">
        <f>H4-H7</f>
        <v>-104.0</v>
      </c>
      <c r="I8" s="18">
        <f>I4-I7</f>
        <v>-113.0</v>
      </c>
    </row>
    <row r="9">
      <c r="A9" s="13" t="inlineStr">
        <is>
          <t>Interest &amp; Other</t>
        </is>
      </c>
      <c r="B9" s="18" t="n">
        <v>5.432</v>
      </c>
      <c r="C9" s="18" t="n">
        <v>4.94</v>
      </c>
      <c r="D9" s="18" t="n">
        <v>4.425</v>
      </c>
      <c r="E9" s="18" t="n">
        <v>8.401</v>
      </c>
      <c r="F9" s="18" t="n">
        <v>13.299</v>
      </c>
      <c r="G9" s="18" t="n">
        <v>13.184</v>
      </c>
      <c r="H9" s="18" t="n">
        <v>13</v>
      </c>
      <c r="I9" s="18" t="n">
        <v>12.5</v>
      </c>
    </row>
    <row r="10">
      <c r="A10" s="13" t="inlineStr">
        <is>
          <t>Pretax</t>
        </is>
      </c>
      <c r="B10" s="18">
        <f>B8+B9</f>
        <v>-69.29599999999999</v>
      </c>
      <c r="C10" s="18">
        <f>C8+C9</f>
        <v>-71.12700000000001</v>
      </c>
      <c r="D10" s="18">
        <f>D8+D9</f>
        <v>-73.934</v>
      </c>
      <c r="E10" s="18">
        <f>E8+E9</f>
        <v>-88.643</v>
      </c>
      <c r="F10" s="18">
        <f>F8+F9</f>
        <v>-92.561</v>
      </c>
      <c r="G10" s="18">
        <f>G8+G9</f>
        <v>-83.72</v>
      </c>
      <c r="H10" s="18">
        <f>H8+H9</f>
        <v>-91.0</v>
      </c>
      <c r="I10" s="18">
        <f>I8+I9</f>
        <v>-100.5</v>
      </c>
    </row>
    <row r="11">
      <c r="A11" s="13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</row>
    <row r="12">
      <c r="A12" s="13" t="inlineStr">
        <is>
          <t>Net Income</t>
        </is>
      </c>
      <c r="B12" s="18">
        <f>B10-B11</f>
        <v>-69.29599999999999</v>
      </c>
      <c r="C12" s="18">
        <f>C10-C11</f>
        <v>-71.12700000000001</v>
      </c>
      <c r="D12" s="18">
        <f>D10-D11</f>
        <v>-73.934</v>
      </c>
      <c r="E12" s="18">
        <f>E10-E11</f>
        <v>-88.643</v>
      </c>
      <c r="F12" s="18">
        <f>F10-F11</f>
        <v>-92.561</v>
      </c>
      <c r="G12" s="18">
        <f>G10-G11</f>
        <v>-83.72</v>
      </c>
      <c r="H12" s="18">
        <f>H10-H11</f>
        <v>-91.0</v>
      </c>
      <c r="I12" s="18">
        <f>I10-I11</f>
        <v>-100.5</v>
      </c>
    </row>
    <row r="13">
      <c r="A13" s="13" t="inlineStr">
        <is>
          <t>Earnings per Share</t>
        </is>
      </c>
      <c r="B13" s="11">
        <f>IFERROR(B12/B14,0)</f>
        <v>-3.2910334346504553</v>
      </c>
      <c r="C13" s="11">
        <f>IFERROR(C12/C14,0)</f>
        <v>-3.312083818393481</v>
      </c>
      <c r="D13" s="11">
        <f>IFERROR(D12/D14,0)</f>
        <v>-3.3641534331346405</v>
      </c>
      <c r="E13" s="11">
        <f>IFERROR(E12/E14,0)</f>
        <v>-3.4746971894476895</v>
      </c>
      <c r="F13" s="11">
        <f>IFERROR(F12/F14,0)</f>
        <v>-3.2045769284032684</v>
      </c>
      <c r="G13" s="11">
        <f>IFERROR(G12/G14,0)</f>
        <v>-2.8739143867357795</v>
      </c>
      <c r="H13" s="11">
        <f>IFERROR(H12/H14,0)</f>
        <v>-3.116438356164384</v>
      </c>
      <c r="I13" s="11">
        <f>IFERROR(I12/I14,0)</f>
        <v>-3.4300341296928325</v>
      </c>
    </row>
    <row r="14">
      <c r="A14" s="13" t="inlineStr">
        <is>
          <t>Shares</t>
        </is>
      </c>
      <c r="B14" s="18" t="n">
        <v>21.056</v>
      </c>
      <c r="C14" s="18" t="n">
        <v>21.475</v>
      </c>
      <c r="D14" s="18" t="n">
        <v>21.977</v>
      </c>
      <c r="E14" s="18" t="n">
        <v>25.511</v>
      </c>
      <c r="F14" s="18" t="n">
        <v>28.884</v>
      </c>
      <c r="G14" s="18" t="n">
        <v>29.131</v>
      </c>
      <c r="H14" s="18" t="n">
        <v>29.2</v>
      </c>
      <c r="I14" s="18" t="n">
        <v>29.3</v>
      </c>
    </row>
    <row r="16">
      <c r="A16" s="13" t="inlineStr">
        <is>
          <t>Revenue Change (YoY)</t>
        </is>
      </c>
      <c r="F16" s="14">
        <f>IFERROR(F2/B2-1,"")</f>
        <v/>
      </c>
      <c r="G16" s="14">
        <f>IFERROR(G2/C2-1,"")</f>
        <v/>
      </c>
      <c r="H16" s="14">
        <f>IFERROR(H2/D2-1,"")</f>
        <v/>
      </c>
      <c r="I16" s="14">
        <f>IFERROR(I2/E2-1,"")</f>
        <v/>
      </c>
    </row>
    <row r="17">
      <c r="A17" s="13" t="inlineStr">
        <is>
          <t>Gross Margin</t>
        </is>
      </c>
      <c r="B17" s="14">
        <f>IFERROR(B4/B2,"")</f>
        <v/>
      </c>
      <c r="C17" s="14">
        <f>IFERROR(C4/C2,"")</f>
        <v/>
      </c>
      <c r="D17" s="14">
        <f>IFERROR(D4/D2,"")</f>
        <v/>
      </c>
      <c r="E17" s="14">
        <f>IFERROR(E4/E2,"")</f>
        <v/>
      </c>
      <c r="F17" s="14">
        <f>IFERROR(F4/F2,"")</f>
        <v/>
      </c>
      <c r="G17" s="14">
        <f>IFERROR(G4/G2,"")</f>
        <v/>
      </c>
      <c r="H17" s="14">
        <f>IFERROR(H4/H2,"")</f>
        <v/>
      </c>
      <c r="I17" s="14">
        <f>IFERROR(I4/I2,"")</f>
        <v/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E</t>
        </is>
      </c>
      <c r="I19" s="20" t="inlineStr">
        <is>
          <t>E</t>
        </is>
      </c>
    </row>
    <row r="20">
      <c r="A20" s="13" t="inlineStr">
        <is>
          <t>Cash &amp; Investments</t>
        </is>
      </c>
      <c r="G20" s="18" t="n">
        <v>1373.84</v>
      </c>
      <c r="H20" s="18">
        <f>G20+H12+H21</f>
        <v>1282.84</v>
      </c>
      <c r="I20" s="18">
        <f>H20+I12+I21</f>
        <v>1182.34</v>
      </c>
    </row>
    <row r="21">
      <c r="A21" s="13" t="inlineStr">
        <is>
          <t>Other Cash Flows (est.)</t>
        </is>
      </c>
      <c r="H21" s="18" t="n">
        <v>0</v>
      </c>
      <c r="I21" s="18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2" t="inlineStr">
        <is>
          <t>PRAX — rNPV assumptions ($mm unless noted)</t>
        </is>
      </c>
    </row>
    <row r="4">
      <c r="A4" s="23" t="inlineStr">
        <is>
          <t>Scenario (1 = Bear, 2 = Base, 3 = Bull)</t>
        </is>
      </c>
      <c r="B4" s="24" t="n">
        <v>2</v>
      </c>
      <c r="C4" s="23" t="str">
        <f>CHOOSE($B$4,"Bear","Base","Bull")</f>
        <v>Base</v>
      </c>
    </row>
    <row r="5">
      <c r="A5" s="25" t="inlineStr">
        <is>
          <t>Overrides (blank = scenario value; the sensitivity tables drive these)</t>
        </is>
      </c>
    </row>
    <row r="6">
      <c r="A6" s="13" t="inlineStr">
        <is>
          <t>Discount rate override</t>
        </is>
      </c>
      <c r="B6" s="26" t="n"/>
    </row>
    <row r="7">
      <c r="A7" s="13" t="inlineStr">
        <is>
          <t>PDUFA approval probability override</t>
        </is>
      </c>
      <c r="B7" s="26" t="n"/>
    </row>
    <row r="8">
      <c r="A8" s="13" t="inlineStr">
        <is>
          <t>PDUFA program peak sales override ($mm)</t>
        </is>
      </c>
      <c r="B8" s="27" t="n"/>
    </row>
    <row r="10">
      <c r="A10" s="28" t="inlineStr">
        <is>
          <t>Parameter</t>
        </is>
      </c>
      <c r="B10" s="29" t="inlineStr">
        <is>
          <t>Active</t>
        </is>
      </c>
      <c r="C10" s="29" t="inlineStr">
        <is>
          <t>Bear</t>
        </is>
      </c>
      <c r="D10" s="29" t="inlineStr">
        <is>
          <t>Base</t>
        </is>
      </c>
      <c r="E10" s="29" t="inlineStr">
        <is>
          <t>Bull</t>
        </is>
      </c>
    </row>
    <row r="12">
      <c r="A12" s="30" t="inlineStr">
        <is>
          <t>Valuation &amp; corporate</t>
        </is>
      </c>
      <c r="B12" s="31" t="n"/>
      <c r="C12" s="31" t="n"/>
      <c r="D12" s="31" t="n"/>
      <c r="E12" s="31" t="n"/>
    </row>
    <row r="13">
      <c r="A13" s="13" t="inlineStr">
        <is>
          <t>Valuation date</t>
        </is>
      </c>
      <c r="B13" s="32">
        <f>DATE(2026,10,16)</f>
        <v>46311</v>
      </c>
    </row>
    <row r="14">
      <c r="A14" s="13" t="inlineStr">
        <is>
          <t>Discount rate (cost of equity)</t>
        </is>
      </c>
      <c r="B14" s="33">
        <f>IF(ISNUMBER($B$6),$B$6,CHOOSE($B$4,C14,D14,E14))</f>
        <v>0.11</v>
      </c>
      <c r="C14" s="34" t="n">
        <v>0.125</v>
      </c>
      <c r="D14" s="34" t="n">
        <v>0.11</v>
      </c>
      <c r="E14" s="34" t="n">
        <v>0.095</v>
      </c>
    </row>
    <row r="15">
      <c r="A15" s="13" t="inlineStr">
        <is>
          <t>Tax rate</t>
        </is>
      </c>
      <c r="B15" s="33">
        <f>CHOOSE($B$4,C15,D15,E15)</f>
        <v>0.21</v>
      </c>
      <c r="C15" s="35" t="n">
        <v>0.21</v>
      </c>
      <c r="D15" s="35" t="n">
        <v>0.21</v>
      </c>
      <c r="E15" s="35" t="n">
        <v>0.21</v>
      </c>
    </row>
    <row r="16">
      <c r="A16" s="13" t="inlineStr">
        <is>
          <t>Interest yield on cash</t>
        </is>
      </c>
      <c r="B16" s="33">
        <f>CHOOSE($B$4,C16,D16,E16)</f>
        <v>0.0375</v>
      </c>
      <c r="C16" s="35" t="n">
        <v>0.0375</v>
      </c>
      <c r="D16" s="35" t="n">
        <v>0.0375</v>
      </c>
      <c r="E16" s="35" t="n">
        <v>0.0375</v>
      </c>
    </row>
    <row r="17">
      <c r="A17" s="13" t="inlineStr">
        <is>
          <t>Average cash cost of debt (P&amp;L display only)</t>
        </is>
      </c>
      <c r="B17" s="33">
        <f>CHOOSE($B$4,C17,D17,E17)</f>
        <v>0.025</v>
      </c>
      <c r="C17" s="35" t="n">
        <v>0.025</v>
      </c>
      <c r="D17" s="35" t="n">
        <v>0.025</v>
      </c>
      <c r="E17" s="35" t="n">
        <v>0.025</v>
      </c>
    </row>
    <row r="18">
      <c r="A18" s="13" t="inlineStr">
        <is>
          <t>Tax-loss pool at 12/31/2025</t>
        </is>
      </c>
      <c r="B18" s="36">
        <f>CHOOSE($B$4,C18,D18,E18)</f>
        <v>1200</v>
      </c>
      <c r="C18" s="37" t="n">
        <v>1200</v>
      </c>
      <c r="D18" s="37" t="n">
        <v>1200</v>
      </c>
      <c r="E18" s="37" t="n">
        <v>1200</v>
      </c>
    </row>
    <row r="19">
      <c r="A19" s="13" t="inlineStr">
        <is>
          <t>Corporate G&amp;A, 2027</t>
        </is>
      </c>
      <c r="B19" s="36">
        <f>CHOOSE($B$4,C19,D19,E19)</f>
        <v>120</v>
      </c>
      <c r="C19" s="37" t="n">
        <v>120</v>
      </c>
      <c r="D19" s="37" t="n">
        <v>120</v>
      </c>
      <c r="E19" s="37" t="n">
        <v>120</v>
      </c>
    </row>
    <row r="20">
      <c r="A20" s="13" t="inlineStr">
        <is>
          <t>Platform / unallocated R&amp;D, 2027</t>
        </is>
      </c>
      <c r="B20" s="36">
        <f>CHOOSE($B$4,C20,D20,E20)</f>
        <v>150</v>
      </c>
      <c r="C20" s="37" t="n">
        <v>150</v>
      </c>
      <c r="D20" s="37" t="n">
        <v>150</v>
      </c>
      <c r="E20" s="37" t="n">
        <v>150</v>
      </c>
    </row>
    <row r="21">
      <c r="A21" s="13" t="inlineStr">
        <is>
          <t>Cost inflation</t>
        </is>
      </c>
      <c r="B21" s="33">
        <f>CHOOSE($B$4,C21,D21,E21)</f>
        <v>0.03</v>
      </c>
      <c r="C21" s="35" t="n">
        <v>0.03</v>
      </c>
      <c r="D21" s="35" t="n">
        <v>0.03</v>
      </c>
      <c r="E21" s="35" t="n">
        <v>0.03</v>
      </c>
    </row>
    <row r="22">
      <c r="A22" s="13" t="inlineStr">
        <is>
          <t>Corporate G&amp;A floor, % of revenue</t>
        </is>
      </c>
      <c r="B22" s="33">
        <f>CHOOSE($B$4,C22,D22,E22)</f>
        <v>0.08</v>
      </c>
      <c r="C22" s="35" t="n">
        <v>0.08</v>
      </c>
      <c r="D22" s="35" t="n">
        <v>0.08</v>
      </c>
      <c r="E22" s="35" t="n">
        <v>0.08</v>
      </c>
    </row>
    <row r="23">
      <c r="A23" s="13" t="inlineStr">
        <is>
          <t>Platform R&amp;D floor, % of revenue</t>
        </is>
      </c>
      <c r="B23" s="33">
        <f>CHOOSE($B$4,C23,D23,E23)</f>
        <v>0.12</v>
      </c>
      <c r="C23" s="35" t="n">
        <v>0.12</v>
      </c>
      <c r="D23" s="35" t="n">
        <v>0.12</v>
      </c>
      <c r="E23" s="35" t="n">
        <v>0.12</v>
      </c>
    </row>
    <row r="24">
      <c r="A24" s="13" t="inlineStr">
        <is>
          <t>Corporate cost cut after a CRL (2027+)</t>
        </is>
      </c>
      <c r="B24" s="33">
        <f>CHOOSE($B$4,C24,D24,E24)</f>
        <v>0</v>
      </c>
      <c r="C24" s="35" t="n">
        <v>0</v>
      </c>
      <c r="D24" s="35" t="n">
        <v>0</v>
      </c>
      <c r="E24" s="35" t="n">
        <v>0</v>
      </c>
    </row>
    <row r="25">
      <c r="A25" s="13" t="inlineStr">
        <is>
          <t>Last year of base-level corporate costs (then % of revenue only)</t>
        </is>
      </c>
      <c r="B25" s="38">
        <f>CHOOSE($B$4,C25,D25,E25)</f>
        <v>2042</v>
      </c>
      <c r="C25" s="39" t="n">
        <v>2042</v>
      </c>
      <c r="D25" s="39" t="n">
        <v>2042</v>
      </c>
      <c r="E25" s="39" t="n">
        <v>2042</v>
      </c>
    </row>
    <row r="26">
      <c r="A26" s="13" t="inlineStr">
        <is>
          <t>Annual share count growth (EPS display only)</t>
        </is>
      </c>
      <c r="B26" s="33">
        <f>CHOOSE($B$4,C26,D26,E26)</f>
        <v>0</v>
      </c>
      <c r="C26" s="35" t="n">
        <v>0</v>
      </c>
      <c r="D26" s="35" t="n">
        <v>0</v>
      </c>
      <c r="E26" s="35" t="n">
        <v>0</v>
      </c>
    </row>
    <row r="27">
      <c r="A27" s="13" t="inlineStr">
        <is>
          <t>Wind-down cost for liquidation value</t>
        </is>
      </c>
      <c r="B27" s="36">
        <f>CHOOSE($B$4,C27,D27,E27)</f>
        <v>60</v>
      </c>
      <c r="C27" s="37" t="n">
        <v>60</v>
      </c>
      <c r="D27" s="37" t="n">
        <v>60</v>
      </c>
      <c r="E27" s="37" t="n">
        <v>60</v>
      </c>
    </row>
    <row r="29">
      <c r="A29" s="30" t="inlineStr">
        <is>
          <t>PDUFA event</t>
        </is>
      </c>
      <c r="B29" s="31" t="n"/>
      <c r="C29" s="31" t="n"/>
      <c r="D29" s="31" t="n"/>
      <c r="E29" s="31" t="n"/>
    </row>
    <row r="30">
      <c r="A30" s="13" t="inlineStr">
        <is>
          <t>PDUFA target action date</t>
        </is>
      </c>
      <c r="B30" s="32">
        <f>DATE(2026,12,27)</f>
        <v>46383</v>
      </c>
    </row>
    <row r="31">
      <c r="A31" s="13" t="inlineStr">
        <is>
          <t>Application</t>
        </is>
      </c>
      <c r="B31" s="25" t="inlineStr">
        <is>
          <t>Relutrigine NDA, SCN2A/SCN8A developmental &amp; epileptic encephalopathies</t>
        </is>
      </c>
    </row>
    <row r="32">
      <c r="A32" s="13" t="inlineStr">
        <is>
          <t>Probability of approval at this PDUFA</t>
        </is>
      </c>
      <c r="B32" s="33">
        <f>IF(ISNUMBER($B$7),$B$7,CHOOSE($B$4,C32,D32,E32))</f>
        <v>0.9</v>
      </c>
      <c r="C32" s="34" t="n">
        <v>0.82</v>
      </c>
      <c r="D32" s="34" t="n">
        <v>0.9</v>
      </c>
      <c r="E32" s="34" t="n">
        <v>0.95</v>
      </c>
    </row>
    <row r="33">
      <c r="A33" s="13" t="inlineStr">
        <is>
          <t>Probability of approval later, after a CRL</t>
        </is>
      </c>
      <c r="B33" s="33">
        <f>CHOOSE($B$4,C33,D33,E33)</f>
        <v>0.75</v>
      </c>
      <c r="C33" s="35" t="n">
        <v>0.7</v>
      </c>
      <c r="D33" s="35" t="n">
        <v>0.75</v>
      </c>
      <c r="E33" s="35" t="n">
        <v>0.8</v>
      </c>
    </row>
    <row r="34">
      <c r="A34" s="13" t="inlineStr">
        <is>
          <t>Launch delay after a CRL (years)</t>
        </is>
      </c>
      <c r="B34" s="38">
        <f>CHOOSE($B$4,C34,D34,E34)</f>
        <v>1</v>
      </c>
      <c r="C34" s="39" t="n">
        <v>1</v>
      </c>
      <c r="D34" s="39" t="n">
        <v>1</v>
      </c>
      <c r="E34" s="39" t="n">
        <v>1</v>
      </c>
    </row>
    <row r="35">
      <c r="A35" s="13" t="inlineStr">
        <is>
          <t>Probability of approval, scenario value (before override)</t>
        </is>
      </c>
      <c r="B35" s="40">
        <f>CHOOSE($B$4,C32,D32,E32)</f>
        <v>0.9</v>
      </c>
    </row>
    <row r="36">
      <c r="A36" s="13" t="inlineStr">
        <is>
          <t>Read-through: relative cut to other programs' PoS after a CRL</t>
        </is>
      </c>
      <c r="B36" s="33">
        <f>CHOOSE($B$4,C36,D36,E36)</f>
        <v>0.05</v>
      </c>
      <c r="C36" s="35" t="n">
        <v>0.05</v>
      </c>
      <c r="D36" s="35" t="n">
        <v>0.05</v>
      </c>
      <c r="E36" s="35" t="n">
        <v>0.05</v>
      </c>
    </row>
    <row r="37">
      <c r="A37" s="13" t="inlineStr">
        <is>
          <t>Read-through multiplier on other programs' PoS (1 = none)</t>
        </is>
      </c>
      <c r="B37" s="41">
        <f>1+$B$36*($B$32-$B$35)/$B$35</f>
        <v>1.0</v>
      </c>
    </row>
    <row r="38">
      <c r="A38" s="13" t="inlineStr">
        <is>
          <t>Expected corporate cost multiplier (2027+)</t>
        </is>
      </c>
      <c r="B38" s="41">
        <f>$B$32+(1-$B$32)*(1-$B$24)</f>
        <v>1.0</v>
      </c>
    </row>
    <row r="40">
      <c r="A40" s="30" t="inlineStr">
        <is>
          <t>Commercial curves (by year since launch)</t>
        </is>
      </c>
      <c r="B40" s="31" t="n"/>
      <c r="C40" s="31" t="n"/>
      <c r="D40" s="31" t="n"/>
      <c r="E40" s="31" t="n"/>
      <c r="F40" s="31" t="n"/>
      <c r="G40" s="31" t="n"/>
      <c r="H40" s="31" t="n"/>
    </row>
    <row r="41">
      <c r="A41" s="23" t="inlineStr">
        <is>
          <t>Year since launch</t>
        </is>
      </c>
      <c r="B41" s="42" t="n">
        <v>1</v>
      </c>
      <c r="C41" s="42" t="n">
        <v>2</v>
      </c>
      <c r="D41" s="42" t="n">
        <v>3</v>
      </c>
      <c r="E41" s="42" t="n">
        <v>4</v>
      </c>
      <c r="F41" s="42" t="n">
        <v>5</v>
      </c>
      <c r="G41" s="42" t="n">
        <v>6</v>
      </c>
      <c r="H41" s="42" t="n">
        <v>7</v>
      </c>
    </row>
    <row r="42">
      <c r="A42" s="13" t="inlineStr">
        <is>
          <t>Ramp 1 — standard launch, % of peak</t>
        </is>
      </c>
      <c r="B42" s="43" t="n">
        <v>0.1</v>
      </c>
      <c r="C42" s="43" t="n">
        <v>0.25</v>
      </c>
      <c r="D42" s="43" t="n">
        <v>0.45</v>
      </c>
      <c r="E42" s="43" t="n">
        <v>0.65</v>
      </c>
      <c r="F42" s="43" t="n">
        <v>0.82</v>
      </c>
      <c r="G42" s="43" t="n">
        <v>0.93</v>
      </c>
      <c r="H42" s="43" t="n">
        <v>1</v>
      </c>
    </row>
    <row r="43">
      <c r="A43" s="13" t="inlineStr">
        <is>
          <t>Ramp 2 — orphan-disease launch, % of peak</t>
        </is>
      </c>
      <c r="B43" s="43" t="n">
        <v>0.15</v>
      </c>
      <c r="C43" s="43" t="n">
        <v>0.35</v>
      </c>
      <c r="D43" s="43" t="n">
        <v>0.55</v>
      </c>
      <c r="E43" s="43" t="n">
        <v>0.75</v>
      </c>
      <c r="F43" s="43" t="n">
        <v>0.9</v>
      </c>
      <c r="G43" s="43" t="n">
        <v>1</v>
      </c>
      <c r="H43" s="43" t="n">
        <v>1</v>
      </c>
    </row>
    <row r="44">
      <c r="A44" s="13" t="inlineStr">
        <is>
          <t>Commercial SG&amp;A, % of sales (years 1–5; floor = program maturity %)</t>
        </is>
      </c>
      <c r="B44" s="43" t="n">
        <v>0.9</v>
      </c>
      <c r="C44" s="43" t="n">
        <v>0.55</v>
      </c>
      <c r="D44" s="43" t="n">
        <v>0.4</v>
      </c>
      <c r="E44" s="43" t="n">
        <v>0.32</v>
      </c>
      <c r="F44" s="43" t="n">
        <v>0.28</v>
      </c>
    </row>
    <row r="46">
      <c r="A46" s="30" t="inlineStr">
        <is>
          <t>Relutrigine — SCN2A / SCN8A DEE  (PDUFA)</t>
        </is>
      </c>
      <c r="B46" s="31" t="n"/>
      <c r="C46" s="31" t="n"/>
      <c r="D46" s="31" t="n"/>
      <c r="E46" s="31" t="n"/>
    </row>
    <row r="47">
      <c r="A47" s="13" t="inlineStr">
        <is>
          <t>Launch year (first full year of sales)</t>
        </is>
      </c>
      <c r="B47" s="38">
        <f>CHOOSE($B$4,C47,D47,E47)</f>
        <v>2027</v>
      </c>
      <c r="C47" s="39" t="n">
        <v>2027</v>
      </c>
      <c r="D47" s="39" t="n">
        <v>2027</v>
      </c>
      <c r="E47" s="39" t="n">
        <v>2027</v>
      </c>
    </row>
    <row r="48">
      <c r="A48" s="13" t="inlineStr">
        <is>
          <t>Peak net sales, unrisked</t>
        </is>
      </c>
      <c r="B48" s="36">
        <f>IF(ISNUMBER($B$8),$B$8,CHOOSE($B$4,C48,D48,E48))</f>
        <v>600</v>
      </c>
      <c r="C48" s="44" t="n">
        <v>300</v>
      </c>
      <c r="D48" s="44" t="n">
        <v>600</v>
      </c>
      <c r="E48" s="44" t="n">
        <v>1000</v>
      </c>
    </row>
    <row r="49">
      <c r="A49" s="13" t="inlineStr">
        <is>
          <t>Probability of approval (PDUFA event above)</t>
        </is>
      </c>
      <c r="B49" s="33">
        <f>$B$32</f>
        <v>0.9</v>
      </c>
    </row>
    <row r="50">
      <c r="A50" s="13" t="inlineStr">
        <is>
          <t>Company revenue, % of product net sales</t>
        </is>
      </c>
      <c r="B50" s="35" t="n">
        <v>1</v>
      </c>
    </row>
    <row r="51">
      <c r="A51" s="13" t="inlineStr">
        <is>
          <t>Cost of goods, % of product sales</t>
        </is>
      </c>
      <c r="B51" s="35" t="n">
        <v>0.04</v>
      </c>
    </row>
    <row r="52">
      <c r="A52" s="13" t="inlineStr">
        <is>
          <t>Royalties owed, % of product sales</t>
        </is>
      </c>
      <c r="B52" s="35" t="n">
        <v>0</v>
      </c>
    </row>
    <row r="53">
      <c r="A53" s="13" t="inlineStr">
        <is>
          <t>Commercial SG&amp;A at maturity, % of sales</t>
        </is>
      </c>
      <c r="B53" s="35" t="n">
        <v>0.25</v>
      </c>
    </row>
    <row r="54">
      <c r="A54" s="13" t="inlineStr">
        <is>
          <t>Pre-launch commercial spend, year before launch</t>
        </is>
      </c>
      <c r="B54" s="37" t="n">
        <v>25</v>
      </c>
    </row>
    <row r="55">
      <c r="A55" s="13" t="inlineStr">
        <is>
          <t>Launch ramp (1 = standard, 2 = orphan)</t>
        </is>
      </c>
      <c r="B55" s="39" t="n">
        <v>2</v>
      </c>
    </row>
    <row r="56">
      <c r="A56" s="13" t="inlineStr">
        <is>
          <t>Loss of exclusivity (year)</t>
        </is>
      </c>
      <c r="B56" s="38">
        <f>CHOOSE($B$4,C56,D56,E56)</f>
        <v>2041</v>
      </c>
      <c r="C56" s="39" t="n">
        <v>2041</v>
      </c>
      <c r="D56" s="39" t="n">
        <v>2041</v>
      </c>
      <c r="E56" s="39" t="n">
        <v>2041</v>
      </c>
    </row>
    <row r="57">
      <c r="A57" s="13" t="inlineStr">
        <is>
          <t>Post-LOE annual sales erosion</t>
        </is>
      </c>
      <c r="B57" s="35" t="n">
        <v>0.6</v>
      </c>
    </row>
    <row r="58">
      <c r="A58" s="25" t="inlineStr">
        <is>
          <t>Development spend, unrisked ($mm) by year</t>
        </is>
      </c>
      <c r="B58" s="42" t="n">
        <v>2027</v>
      </c>
      <c r="C58" s="42" t="n">
        <v>2028</v>
      </c>
      <c r="D58" s="42" t="n">
        <v>2029</v>
      </c>
      <c r="E58" s="42" t="n">
        <v>2030</v>
      </c>
      <c r="F58" s="42" t="n">
        <v>2031</v>
      </c>
      <c r="G58" s="42" t="n">
        <v>2032</v>
      </c>
      <c r="H58" s="42" t="n">
        <v>2033</v>
      </c>
      <c r="I58" s="42" t="n">
        <v>2034</v>
      </c>
    </row>
    <row r="59">
      <c r="A59" s="13" t="inlineStr">
        <is>
          <t xml:space="preserve">  Cost</t>
        </is>
      </c>
      <c r="B59" s="37" t="n">
        <v>10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</row>
    <row r="60">
      <c r="A60" s="13" t="inlineStr">
        <is>
          <t xml:space="preserve">  Probability the cost is incurred</t>
        </is>
      </c>
      <c r="B60" s="43" t="n">
        <v>1</v>
      </c>
      <c r="C60" s="43" t="n">
        <v>1</v>
      </c>
      <c r="D60" s="43" t="n">
        <v>1</v>
      </c>
      <c r="E60" s="43" t="n">
        <v>1</v>
      </c>
      <c r="F60" s="43" t="n">
        <v>1</v>
      </c>
      <c r="G60" s="43" t="n">
        <v>1</v>
      </c>
      <c r="H60" s="43" t="n">
        <v>1</v>
      </c>
      <c r="I60" s="43" t="n">
        <v>1</v>
      </c>
    </row>
    <row r="61">
      <c r="A61" s="25" t="inlineStr">
        <is>
          <t>Milestones / PRV received, by year relative to launch (on-time path)</t>
        </is>
      </c>
      <c r="B61" s="42" t="n">
        <v>0</v>
      </c>
      <c r="C61" s="42" t="n">
        <v>1</v>
      </c>
      <c r="D61" s="42" t="n">
        <v>2</v>
      </c>
      <c r="E61" s="42" t="n">
        <v>3</v>
      </c>
      <c r="F61" s="42" t="n">
        <v>4</v>
      </c>
      <c r="G61" s="42" t="n">
        <v>5</v>
      </c>
      <c r="H61" s="42" t="n">
        <v>6</v>
      </c>
      <c r="I61" s="42" t="n">
        <v>7</v>
      </c>
      <c r="J61" s="42" t="n">
        <v>8</v>
      </c>
      <c r="K61" s="42" t="n">
        <v>9</v>
      </c>
    </row>
    <row r="62">
      <c r="A62" s="13" t="inlineStr">
        <is>
          <t xml:space="preserve">  Amount ($mm, unrisked)</t>
        </is>
      </c>
      <c r="B62" s="37" t="n">
        <v>150</v>
      </c>
      <c r="C62" s="37" t="n">
        <v>0</v>
      </c>
      <c r="D62" s="37" t="n">
        <v>0</v>
      </c>
      <c r="E62" s="37" t="n">
        <v>0</v>
      </c>
      <c r="F62" s="37" t="n">
        <v>0</v>
      </c>
      <c r="G62" s="37" t="n">
        <v>0</v>
      </c>
      <c r="H62" s="37" t="n">
        <v>0</v>
      </c>
      <c r="I62" s="37" t="n">
        <v>0</v>
      </c>
      <c r="J62" s="37" t="n">
        <v>0</v>
      </c>
      <c r="K62" s="37" t="n">
        <v>0</v>
      </c>
    </row>
    <row r="64">
      <c r="A64" s="30" t="inlineStr">
        <is>
          <t>Ulixacaltamide — essential tremor (PDUFA Jan 29, 2027)  (pipeline)</t>
        </is>
      </c>
      <c r="B64" s="31" t="n"/>
      <c r="C64" s="31" t="n"/>
      <c r="D64" s="31" t="n"/>
      <c r="E64" s="31" t="n"/>
    </row>
    <row r="65">
      <c r="A65" s="13" t="inlineStr">
        <is>
          <t>Launch year (first full year of sales)</t>
        </is>
      </c>
      <c r="B65" s="38">
        <f>CHOOSE($B$4,C65,D65,E65)</f>
        <v>2027</v>
      </c>
      <c r="C65" s="39" t="n">
        <v>2027</v>
      </c>
      <c r="D65" s="39" t="n">
        <v>2027</v>
      </c>
      <c r="E65" s="39" t="n">
        <v>2027</v>
      </c>
    </row>
    <row r="66">
      <c r="A66" s="13" t="inlineStr">
        <is>
          <t>Peak net sales, unrisked</t>
        </is>
      </c>
      <c r="B66" s="36">
        <f>CHOOSE($B$4,C66,D66,E66)</f>
        <v>3000</v>
      </c>
      <c r="C66" s="44" t="n">
        <v>1500</v>
      </c>
      <c r="D66" s="44" t="n">
        <v>3000</v>
      </c>
      <c r="E66" s="44" t="n">
        <v>5000</v>
      </c>
    </row>
    <row r="67">
      <c r="A67" s="13" t="inlineStr">
        <is>
          <t>Probability of reaching market</t>
        </is>
      </c>
      <c r="B67" s="33">
        <f>CHOOSE($B$4,C67,D67,E67)</f>
        <v>0.85</v>
      </c>
      <c r="C67" s="34" t="n">
        <v>0.75</v>
      </c>
      <c r="D67" s="34" t="n">
        <v>0.85</v>
      </c>
      <c r="E67" s="34" t="n">
        <v>0.92</v>
      </c>
    </row>
    <row r="68">
      <c r="A68" s="13" t="inlineStr">
        <is>
          <t>Company revenue, % of product net sales</t>
        </is>
      </c>
      <c r="B68" s="35" t="n">
        <v>1</v>
      </c>
    </row>
    <row r="69">
      <c r="A69" s="13" t="inlineStr">
        <is>
          <t>Cost of goods, % of product sales</t>
        </is>
      </c>
      <c r="B69" s="35" t="n">
        <v>0.04</v>
      </c>
    </row>
    <row r="70">
      <c r="A70" s="13" t="inlineStr">
        <is>
          <t>Royalties owed, % of product sales</t>
        </is>
      </c>
      <c r="B70" s="35" t="n">
        <v>0</v>
      </c>
    </row>
    <row r="71">
      <c r="A71" s="13" t="inlineStr">
        <is>
          <t>Commercial SG&amp;A at maturity, % of sales</t>
        </is>
      </c>
      <c r="B71" s="35" t="n">
        <v>0.3</v>
      </c>
    </row>
    <row r="72">
      <c r="A72" s="13" t="inlineStr">
        <is>
          <t>Pre-launch commercial spend, year before launch</t>
        </is>
      </c>
      <c r="B72" s="37" t="n">
        <v>80</v>
      </c>
    </row>
    <row r="73">
      <c r="A73" s="13" t="inlineStr">
        <is>
          <t>Launch ramp (1 = standard, 2 = orphan)</t>
        </is>
      </c>
      <c r="B73" s="39" t="n">
        <v>1</v>
      </c>
    </row>
    <row r="74">
      <c r="A74" s="13" t="inlineStr">
        <is>
          <t>Loss of exclusivity (year)</t>
        </is>
      </c>
      <c r="B74" s="38">
        <f>CHOOSE($B$4,C74,D74,E74)</f>
        <v>2041</v>
      </c>
      <c r="C74" s="39" t="n">
        <v>2041</v>
      </c>
      <c r="D74" s="39" t="n">
        <v>2041</v>
      </c>
      <c r="E74" s="39" t="n">
        <v>2041</v>
      </c>
    </row>
    <row r="75">
      <c r="A75" s="13" t="inlineStr">
        <is>
          <t>Post-LOE annual sales erosion</t>
        </is>
      </c>
      <c r="B75" s="35" t="n">
        <v>0.6</v>
      </c>
    </row>
    <row r="76">
      <c r="A76" s="25" t="inlineStr">
        <is>
          <t>Development spend, unrisked ($mm) by year</t>
        </is>
      </c>
      <c r="B76" s="42" t="n">
        <v>2027</v>
      </c>
      <c r="C76" s="42" t="n">
        <v>2028</v>
      </c>
      <c r="D76" s="42" t="n">
        <v>2029</v>
      </c>
      <c r="E76" s="42" t="n">
        <v>2030</v>
      </c>
      <c r="F76" s="42" t="n">
        <v>2031</v>
      </c>
      <c r="G76" s="42" t="n">
        <v>2032</v>
      </c>
      <c r="H76" s="42" t="n">
        <v>2033</v>
      </c>
      <c r="I76" s="42" t="n">
        <v>2034</v>
      </c>
    </row>
    <row r="77">
      <c r="A77" s="13" t="inlineStr">
        <is>
          <t xml:space="preserve">  Cost</t>
        </is>
      </c>
      <c r="B77" s="37" t="n">
        <v>20</v>
      </c>
      <c r="C77" s="37" t="n">
        <v>0</v>
      </c>
      <c r="D77" s="37" t="n">
        <v>0</v>
      </c>
      <c r="E77" s="37" t="n">
        <v>0</v>
      </c>
      <c r="F77" s="37" t="n">
        <v>0</v>
      </c>
      <c r="G77" s="37" t="n">
        <v>0</v>
      </c>
      <c r="H77" s="37" t="n">
        <v>0</v>
      </c>
      <c r="I77" s="37" t="n">
        <v>0</v>
      </c>
    </row>
    <row r="78">
      <c r="A78" s="13" t="inlineStr">
        <is>
          <t xml:space="preserve">  Probability the cost is incurred</t>
        </is>
      </c>
      <c r="B78" s="43" t="n">
        <v>1</v>
      </c>
      <c r="C78" s="43" t="n">
        <v>1</v>
      </c>
      <c r="D78" s="43" t="n">
        <v>1</v>
      </c>
      <c r="E78" s="43" t="n">
        <v>1</v>
      </c>
      <c r="F78" s="43" t="n">
        <v>1</v>
      </c>
      <c r="G78" s="43" t="n">
        <v>1</v>
      </c>
      <c r="H78" s="43" t="n">
        <v>1</v>
      </c>
      <c r="I78" s="43" t="n">
        <v>1</v>
      </c>
    </row>
    <row r="80">
      <c r="A80" s="30" t="inlineStr">
        <is>
          <t>Relutrigine — broad DEEs (EMERALD, data Q4 2026)  (pipeline)</t>
        </is>
      </c>
      <c r="B80" s="31" t="n"/>
      <c r="C80" s="31" t="n"/>
      <c r="D80" s="31" t="n"/>
      <c r="E80" s="31" t="n"/>
    </row>
    <row r="81">
      <c r="A81" s="13" t="inlineStr">
        <is>
          <t>Launch year (first full year of sales)</t>
        </is>
      </c>
      <c r="B81" s="38">
        <f>CHOOSE($B$4,C81,D81,E81)</f>
        <v>2028</v>
      </c>
      <c r="C81" s="39" t="n">
        <v>2028</v>
      </c>
      <c r="D81" s="39" t="n">
        <v>2028</v>
      </c>
      <c r="E81" s="39" t="n">
        <v>2028</v>
      </c>
    </row>
    <row r="82">
      <c r="A82" s="13" t="inlineStr">
        <is>
          <t>Peak net sales, unrisked</t>
        </is>
      </c>
      <c r="B82" s="36">
        <f>CHOOSE($B$4,C82,D82,E82)</f>
        <v>1200</v>
      </c>
      <c r="C82" s="44" t="n">
        <v>500</v>
      </c>
      <c r="D82" s="44" t="n">
        <v>1200</v>
      </c>
      <c r="E82" s="44" t="n">
        <v>2500</v>
      </c>
    </row>
    <row r="83">
      <c r="A83" s="13" t="inlineStr">
        <is>
          <t>Probability of reaching market</t>
        </is>
      </c>
      <c r="B83" s="33">
        <f>CHOOSE($B$4,C83,D83,E83)</f>
        <v>0.45</v>
      </c>
      <c r="C83" s="34" t="n">
        <v>0.3</v>
      </c>
      <c r="D83" s="34" t="n">
        <v>0.45</v>
      </c>
      <c r="E83" s="34" t="n">
        <v>0.6</v>
      </c>
    </row>
    <row r="84">
      <c r="A84" s="13" t="inlineStr">
        <is>
          <t>Company revenue, % of product net sales</t>
        </is>
      </c>
      <c r="B84" s="35" t="n">
        <v>1</v>
      </c>
    </row>
    <row r="85">
      <c r="A85" s="13" t="inlineStr">
        <is>
          <t>Cost of goods, % of product sales</t>
        </is>
      </c>
      <c r="B85" s="35" t="n">
        <v>0.04</v>
      </c>
    </row>
    <row r="86">
      <c r="A86" s="13" t="inlineStr">
        <is>
          <t>Royalties owed, % of product sales</t>
        </is>
      </c>
      <c r="B86" s="35" t="n">
        <v>0</v>
      </c>
    </row>
    <row r="87">
      <c r="A87" s="13" t="inlineStr">
        <is>
          <t>Commercial SG&amp;A at maturity, % of sales</t>
        </is>
      </c>
      <c r="B87" s="35" t="n">
        <v>0.2</v>
      </c>
    </row>
    <row r="88">
      <c r="A88" s="13" t="inlineStr">
        <is>
          <t>Pre-launch commercial spend, year before launch</t>
        </is>
      </c>
      <c r="B88" s="37" t="n">
        <v>20</v>
      </c>
    </row>
    <row r="89">
      <c r="A89" s="13" t="inlineStr">
        <is>
          <t>Launch ramp (1 = standard, 2 = orphan)</t>
        </is>
      </c>
      <c r="B89" s="39" t="n">
        <v>2</v>
      </c>
    </row>
    <row r="90">
      <c r="A90" s="13" t="inlineStr">
        <is>
          <t>Loss of exclusivity (year)</t>
        </is>
      </c>
      <c r="B90" s="38">
        <f>CHOOSE($B$4,C90,D90,E90)</f>
        <v>2041</v>
      </c>
      <c r="C90" s="39" t="n">
        <v>2041</v>
      </c>
      <c r="D90" s="39" t="n">
        <v>2041</v>
      </c>
      <c r="E90" s="39" t="n">
        <v>2041</v>
      </c>
    </row>
    <row r="91">
      <c r="A91" s="13" t="inlineStr">
        <is>
          <t>Post-LOE annual sales erosion</t>
        </is>
      </c>
      <c r="B91" s="35" t="n">
        <v>0.6</v>
      </c>
    </row>
    <row r="92">
      <c r="A92" s="25" t="inlineStr">
        <is>
          <t>Development spend, unrisked ($mm) by year</t>
        </is>
      </c>
      <c r="B92" s="42" t="n">
        <v>2027</v>
      </c>
      <c r="C92" s="42" t="n">
        <v>2028</v>
      </c>
      <c r="D92" s="42" t="n">
        <v>2029</v>
      </c>
      <c r="E92" s="42" t="n">
        <v>2030</v>
      </c>
      <c r="F92" s="42" t="n">
        <v>2031</v>
      </c>
      <c r="G92" s="42" t="n">
        <v>2032</v>
      </c>
      <c r="H92" s="42" t="n">
        <v>2033</v>
      </c>
      <c r="I92" s="42" t="n">
        <v>2034</v>
      </c>
    </row>
    <row r="93">
      <c r="A93" s="13" t="inlineStr">
        <is>
          <t xml:space="preserve">  Cost</t>
        </is>
      </c>
      <c r="B93" s="37" t="n">
        <v>15</v>
      </c>
      <c r="C93" s="37" t="n">
        <v>0</v>
      </c>
      <c r="D93" s="37" t="n">
        <v>0</v>
      </c>
      <c r="E93" s="37" t="n">
        <v>0</v>
      </c>
      <c r="F93" s="37" t="n">
        <v>0</v>
      </c>
      <c r="G93" s="37" t="n">
        <v>0</v>
      </c>
      <c r="H93" s="37" t="n">
        <v>0</v>
      </c>
      <c r="I93" s="37" t="n">
        <v>0</v>
      </c>
    </row>
    <row r="94">
      <c r="A94" s="13" t="inlineStr">
        <is>
          <t xml:space="preserve">  Probability the cost is incurred</t>
        </is>
      </c>
      <c r="B94" s="43" t="n">
        <v>1</v>
      </c>
      <c r="C94" s="43" t="n">
        <v>1</v>
      </c>
      <c r="D94" s="43" t="n">
        <v>1</v>
      </c>
      <c r="E94" s="43" t="n">
        <v>1</v>
      </c>
      <c r="F94" s="43" t="n">
        <v>1</v>
      </c>
      <c r="G94" s="43" t="n">
        <v>1</v>
      </c>
      <c r="H94" s="43" t="n">
        <v>1</v>
      </c>
      <c r="I94" s="43" t="n">
        <v>1</v>
      </c>
    </row>
    <row r="96">
      <c r="A96" s="30" t="inlineStr">
        <is>
          <t>Vormatrigine — focal / generalized epilepsy (POWER2/3)  (pipeline)</t>
        </is>
      </c>
      <c r="B96" s="31" t="n"/>
      <c r="C96" s="31" t="n"/>
      <c r="D96" s="31" t="n"/>
      <c r="E96" s="31" t="n"/>
    </row>
    <row r="97">
      <c r="A97" s="13" t="inlineStr">
        <is>
          <t>Launch year (first full year of sales)</t>
        </is>
      </c>
      <c r="B97" s="38">
        <f>CHOOSE($B$4,C97,D97,E97)</f>
        <v>2030</v>
      </c>
      <c r="C97" s="39" t="n">
        <v>2030</v>
      </c>
      <c r="D97" s="39" t="n">
        <v>2030</v>
      </c>
      <c r="E97" s="39" t="n">
        <v>2030</v>
      </c>
    </row>
    <row r="98">
      <c r="A98" s="13" t="inlineStr">
        <is>
          <t>Peak net sales, unrisked</t>
        </is>
      </c>
      <c r="B98" s="36">
        <f>CHOOSE($B$4,C98,D98,E98)</f>
        <v>1500</v>
      </c>
      <c r="C98" s="44" t="n">
        <v>800</v>
      </c>
      <c r="D98" s="44" t="n">
        <v>1500</v>
      </c>
      <c r="E98" s="44" t="n">
        <v>2500</v>
      </c>
    </row>
    <row r="99">
      <c r="A99" s="13" t="inlineStr">
        <is>
          <t>Probability of reaching market</t>
        </is>
      </c>
      <c r="B99" s="33">
        <f>CHOOSE($B$4,C99,D99,E99)</f>
        <v>0.2</v>
      </c>
      <c r="C99" s="34" t="n">
        <v>0.15</v>
      </c>
      <c r="D99" s="34" t="n">
        <v>0.2</v>
      </c>
      <c r="E99" s="34" t="n">
        <v>0.3</v>
      </c>
    </row>
    <row r="100">
      <c r="A100" s="13" t="inlineStr">
        <is>
          <t>Company revenue, % of product net sales</t>
        </is>
      </c>
      <c r="B100" s="35" t="n">
        <v>1</v>
      </c>
    </row>
    <row r="101">
      <c r="A101" s="13" t="inlineStr">
        <is>
          <t>Cost of goods, % of product sales</t>
        </is>
      </c>
      <c r="B101" s="35" t="n">
        <v>0.04</v>
      </c>
    </row>
    <row r="102">
      <c r="A102" s="13" t="inlineStr">
        <is>
          <t>Royalties owed, % of product sales</t>
        </is>
      </c>
      <c r="B102" s="35" t="n">
        <v>0</v>
      </c>
    </row>
    <row r="103">
      <c r="A103" s="13" t="inlineStr">
        <is>
          <t>Commercial SG&amp;A at maturity, % of sales</t>
        </is>
      </c>
      <c r="B103" s="35" t="n">
        <v>0.3</v>
      </c>
    </row>
    <row r="104">
      <c r="A104" s="13" t="inlineStr">
        <is>
          <t>Pre-launch commercial spend, year before launch</t>
        </is>
      </c>
      <c r="B104" s="37" t="n">
        <v>40</v>
      </c>
    </row>
    <row r="105">
      <c r="A105" s="13" t="inlineStr">
        <is>
          <t>Launch ramp (1 = standard, 2 = orphan)</t>
        </is>
      </c>
      <c r="B105" s="39" t="n">
        <v>1</v>
      </c>
    </row>
    <row r="106">
      <c r="A106" s="13" t="inlineStr">
        <is>
          <t>Loss of exclusivity (year)</t>
        </is>
      </c>
      <c r="B106" s="38">
        <f>CHOOSE($B$4,C106,D106,E106)</f>
        <v>2043</v>
      </c>
      <c r="C106" s="39" t="n">
        <v>2043</v>
      </c>
      <c r="D106" s="39" t="n">
        <v>2043</v>
      </c>
      <c r="E106" s="39" t="n">
        <v>2043</v>
      </c>
    </row>
    <row r="107">
      <c r="A107" s="13" t="inlineStr">
        <is>
          <t>Post-LOE annual sales erosion</t>
        </is>
      </c>
      <c r="B107" s="35" t="n">
        <v>0.6</v>
      </c>
    </row>
    <row r="108">
      <c r="A108" s="25" t="inlineStr">
        <is>
          <t>Development spend, unrisked ($mm) by year</t>
        </is>
      </c>
      <c r="B108" s="42" t="n">
        <v>2027</v>
      </c>
      <c r="C108" s="42" t="n">
        <v>2028</v>
      </c>
      <c r="D108" s="42" t="n">
        <v>2029</v>
      </c>
      <c r="E108" s="42" t="n">
        <v>2030</v>
      </c>
      <c r="F108" s="42" t="n">
        <v>2031</v>
      </c>
      <c r="G108" s="42" t="n">
        <v>2032</v>
      </c>
      <c r="H108" s="42" t="n">
        <v>2033</v>
      </c>
      <c r="I108" s="42" t="n">
        <v>2034</v>
      </c>
    </row>
    <row r="109">
      <c r="A109" s="13" t="inlineStr">
        <is>
          <t xml:space="preserve">  Cost</t>
        </is>
      </c>
      <c r="B109" s="37" t="n">
        <v>80</v>
      </c>
      <c r="C109" s="37" t="n">
        <v>80</v>
      </c>
      <c r="D109" s="37" t="n">
        <v>40</v>
      </c>
      <c r="E109" s="37" t="n">
        <v>0</v>
      </c>
      <c r="F109" s="37" t="n">
        <v>0</v>
      </c>
      <c r="G109" s="37" t="n">
        <v>0</v>
      </c>
      <c r="H109" s="37" t="n">
        <v>0</v>
      </c>
      <c r="I109" s="37" t="n">
        <v>0</v>
      </c>
    </row>
    <row r="110">
      <c r="A110" s="13" t="inlineStr">
        <is>
          <t xml:space="preserve">  Probability the cost is incurred</t>
        </is>
      </c>
      <c r="B110" s="43" t="n">
        <v>1</v>
      </c>
      <c r="C110" s="43" t="n">
        <v>1</v>
      </c>
      <c r="D110" s="43" t="n">
        <v>0.5</v>
      </c>
      <c r="E110" s="43" t="n">
        <v>1</v>
      </c>
      <c r="F110" s="43" t="n">
        <v>1</v>
      </c>
      <c r="G110" s="43" t="n">
        <v>1</v>
      </c>
      <c r="H110" s="43" t="n">
        <v>1</v>
      </c>
      <c r="I110" s="43" t="n">
        <v>1</v>
      </c>
    </row>
    <row r="112">
      <c r="A112" s="30" t="inlineStr">
        <is>
          <t>Elsunersen — early-onset SCN2A DEE (ASO)  (pipeline)</t>
        </is>
      </c>
      <c r="B112" s="31" t="n"/>
      <c r="C112" s="31" t="n"/>
      <c r="D112" s="31" t="n"/>
      <c r="E112" s="31" t="n"/>
    </row>
    <row r="113">
      <c r="A113" s="13" t="inlineStr">
        <is>
          <t>Launch year (first full year of sales)</t>
        </is>
      </c>
      <c r="B113" s="38">
        <f>CHOOSE($B$4,C113,D113,E113)</f>
        <v>2029</v>
      </c>
      <c r="C113" s="39" t="n">
        <v>2029</v>
      </c>
      <c r="D113" s="39" t="n">
        <v>2029</v>
      </c>
      <c r="E113" s="39" t="n">
        <v>2029</v>
      </c>
    </row>
    <row r="114">
      <c r="A114" s="13" t="inlineStr">
        <is>
          <t>Peak net sales, unrisked</t>
        </is>
      </c>
      <c r="B114" s="36">
        <f>CHOOSE($B$4,C114,D114,E114)</f>
        <v>500</v>
      </c>
      <c r="C114" s="44" t="n">
        <v>200</v>
      </c>
      <c r="D114" s="44" t="n">
        <v>500</v>
      </c>
      <c r="E114" s="44" t="n">
        <v>800</v>
      </c>
    </row>
    <row r="115">
      <c r="A115" s="13" t="inlineStr">
        <is>
          <t>Probability of reaching market</t>
        </is>
      </c>
      <c r="B115" s="33">
        <f>CHOOSE($B$4,C115,D115,E115)</f>
        <v>0.45</v>
      </c>
      <c r="C115" s="34" t="n">
        <v>0.35</v>
      </c>
      <c r="D115" s="34" t="n">
        <v>0.45</v>
      </c>
      <c r="E115" s="34" t="n">
        <v>0.55</v>
      </c>
    </row>
    <row r="116">
      <c r="A116" s="13" t="inlineStr">
        <is>
          <t>Company revenue, % of product net sales</t>
        </is>
      </c>
      <c r="B116" s="35" t="n">
        <v>1</v>
      </c>
    </row>
    <row r="117">
      <c r="A117" s="13" t="inlineStr">
        <is>
          <t>Cost of goods, % of product sales</t>
        </is>
      </c>
      <c r="B117" s="35" t="n">
        <v>0.08</v>
      </c>
    </row>
    <row r="118">
      <c r="A118" s="13" t="inlineStr">
        <is>
          <t>Royalties owed, % of product sales</t>
        </is>
      </c>
      <c r="B118" s="35" t="n">
        <v>0</v>
      </c>
    </row>
    <row r="119">
      <c r="A119" s="13" t="inlineStr">
        <is>
          <t>Commercial SG&amp;A at maturity, % of sales</t>
        </is>
      </c>
      <c r="B119" s="35" t="n">
        <v>0.2</v>
      </c>
    </row>
    <row r="120">
      <c r="A120" s="13" t="inlineStr">
        <is>
          <t>Pre-launch commercial spend, year before launch</t>
        </is>
      </c>
      <c r="B120" s="37" t="n">
        <v>15</v>
      </c>
    </row>
    <row r="121">
      <c r="A121" s="13" t="inlineStr">
        <is>
          <t>Launch ramp (1 = standard, 2 = orphan)</t>
        </is>
      </c>
      <c r="B121" s="39" t="n">
        <v>2</v>
      </c>
    </row>
    <row r="122">
      <c r="A122" s="13" t="inlineStr">
        <is>
          <t>Loss of exclusivity (year)</t>
        </is>
      </c>
      <c r="B122" s="38">
        <f>CHOOSE($B$4,C122,D122,E122)</f>
        <v>2042</v>
      </c>
      <c r="C122" s="39" t="n">
        <v>2042</v>
      </c>
      <c r="D122" s="39" t="n">
        <v>2042</v>
      </c>
      <c r="E122" s="39" t="n">
        <v>2042</v>
      </c>
    </row>
    <row r="123">
      <c r="A123" s="13" t="inlineStr">
        <is>
          <t>Post-LOE annual sales erosion</t>
        </is>
      </c>
      <c r="B123" s="35" t="n">
        <v>0.5</v>
      </c>
    </row>
    <row r="124">
      <c r="A124" s="25" t="inlineStr">
        <is>
          <t>Development spend, unrisked ($mm) by year</t>
        </is>
      </c>
      <c r="B124" s="42" t="n">
        <v>2027</v>
      </c>
      <c r="C124" s="42" t="n">
        <v>2028</v>
      </c>
      <c r="D124" s="42" t="n">
        <v>2029</v>
      </c>
      <c r="E124" s="42" t="n">
        <v>2030</v>
      </c>
      <c r="F124" s="42" t="n">
        <v>2031</v>
      </c>
      <c r="G124" s="42" t="n">
        <v>2032</v>
      </c>
      <c r="H124" s="42" t="n">
        <v>2033</v>
      </c>
      <c r="I124" s="42" t="n">
        <v>2034</v>
      </c>
    </row>
    <row r="125">
      <c r="A125" s="13" t="inlineStr">
        <is>
          <t xml:space="preserve">  Cost</t>
        </is>
      </c>
      <c r="B125" s="37" t="n">
        <v>30</v>
      </c>
      <c r="C125" s="37" t="n">
        <v>20</v>
      </c>
      <c r="D125" s="37" t="n">
        <v>0</v>
      </c>
      <c r="E125" s="37" t="n">
        <v>0</v>
      </c>
      <c r="F125" s="37" t="n">
        <v>0</v>
      </c>
      <c r="G125" s="37" t="n">
        <v>0</v>
      </c>
      <c r="H125" s="37" t="n">
        <v>0</v>
      </c>
      <c r="I125" s="37" t="n">
        <v>0</v>
      </c>
    </row>
    <row r="126">
      <c r="A126" s="13" t="inlineStr">
        <is>
          <t xml:space="preserve">  Probability the cost is incurred</t>
        </is>
      </c>
      <c r="B126" s="43" t="n">
        <v>1</v>
      </c>
      <c r="C126" s="43" t="n">
        <v>1</v>
      </c>
      <c r="D126" s="43" t="n">
        <v>1</v>
      </c>
      <c r="E126" s="43" t="n">
        <v>1</v>
      </c>
      <c r="F126" s="43" t="n">
        <v>1</v>
      </c>
      <c r="G126" s="43" t="n">
        <v>1</v>
      </c>
      <c r="H126" s="43" t="n">
        <v>1</v>
      </c>
      <c r="I126" s="43" t="n">
        <v>1</v>
      </c>
    </row>
    <row r="129">
      <c r="A129" s="45" t="inlineStr">
        <is>
          <t>Sensitivity tables (Excel data tables)</t>
        </is>
      </c>
    </row>
    <row r="131">
      <c r="A131" s="30" t="inlineStr">
        <is>
          <t>Scenario summary</t>
        </is>
      </c>
    </row>
    <row r="132">
      <c r="A132" s="13" t="inlineStr">
        <is>
          <t>Scenario</t>
        </is>
      </c>
      <c r="B132" s="42" t="inlineStr">
        <is>
          <t>Case</t>
        </is>
      </c>
      <c r="C132" s="42" t="inlineStr">
        <is>
          <t>Equity value</t>
        </is>
      </c>
      <c r="D132" s="42" t="inlineStr">
        <is>
          <t>rNPV / share</t>
        </is>
      </c>
      <c r="E132" s="42" t="inlineStr">
        <is>
          <t>Upside</t>
        </is>
      </c>
      <c r="F132" s="42" t="inlineStr">
        <is>
          <t>Relutrigine PV / share</t>
        </is>
      </c>
      <c r="G132" s="42" t="inlineStr">
        <is>
          <t>P(approval)</t>
        </is>
      </c>
      <c r="H132" s="42" t="inlineStr">
        <is>
          <t>Discount rate</t>
        </is>
      </c>
    </row>
    <row r="133">
      <c r="A133" s="25" t="inlineStr">
        <is>
          <t>Live (active scenario)</t>
        </is>
      </c>
      <c r="C133" s="46">
        <f>NPV!C31</f>
        <v>8541.15822961537</v>
      </c>
      <c r="D133" s="47">
        <f>NPV!C43</f>
        <v>272.58648743171324</v>
      </c>
      <c r="E133" s="48">
        <f>NPV!C45</f>
        <v>0.030611695836187502</v>
      </c>
      <c r="F133" s="47">
        <f>NPV!C52</f>
        <v>72.42148257259848</v>
      </c>
      <c r="G133" s="49">
        <f>$B$32</f>
        <v>0.9</v>
      </c>
      <c r="H133" s="50">
        <f>$B$14</f>
        <v>0.11</v>
      </c>
    </row>
    <row r="134">
      <c r="A134" s="23" t="inlineStr">
        <is>
          <t>Bear</t>
        </is>
      </c>
      <c r="B134" s="51" t="n">
        <v>1</v>
      </c>
      <c r="C134" s="52">
        <f t="dataTable" ref="C134:H136" r1="B4"/>
        <v>3454.1708247053657</v>
      </c>
      <c r="D134" s="53">
        <v>112.2983814066021</v>
      </c>
      <c r="E134" s="54">
        <v>-0.5754153979106882</v>
      </c>
      <c r="F134" s="53">
        <v>34.006775212022355</v>
      </c>
      <c r="G134" s="55">
        <v>0.82</v>
      </c>
      <c r="H134" s="54">
        <v>0.125</v>
      </c>
    </row>
    <row r="135">
      <c r="A135" s="23" t="inlineStr">
        <is>
          <t>Base</t>
        </is>
      </c>
      <c r="B135" s="51" t="n">
        <v>2</v>
      </c>
      <c r="C135" s="56">
        <v>8541.15822961537</v>
      </c>
      <c r="D135" s="57">
        <v>272.58648743171324</v>
      </c>
      <c r="E135" s="58">
        <v>0.030611695836187502</v>
      </c>
      <c r="F135" s="57">
        <v>72.42148257259848</v>
      </c>
      <c r="G135" s="59">
        <v>0.9</v>
      </c>
      <c r="H135" s="58">
        <v>0.11</v>
      </c>
    </row>
    <row r="136">
      <c r="A136" s="23" t="inlineStr">
        <is>
          <t>Bull</t>
        </is>
      </c>
      <c r="B136" s="51" t="n">
        <v>3</v>
      </c>
      <c r="C136" s="52">
        <v>17738.655773723232</v>
      </c>
      <c r="D136" s="53">
        <v>562.4862696376543</v>
      </c>
      <c r="E136" s="54">
        <v>1.126682557516936</v>
      </c>
      <c r="F136" s="53">
        <v>133.06225371093413</v>
      </c>
      <c r="G136" s="55">
        <v>0.95</v>
      </c>
      <c r="H136" s="54">
        <v>0.095</v>
      </c>
    </row>
    <row r="138">
      <c r="A138" s="30" t="inlineStr">
        <is>
          <t>PDUFA outcome (Relutrigine): value if the FDA approves vs. issues a CRL</t>
        </is>
      </c>
    </row>
    <row r="139">
      <c r="A139" s="13" t="inlineStr">
        <is>
          <t>Outcome</t>
        </is>
      </c>
      <c r="B139" s="42" t="inlineStr">
        <is>
          <t>P(approval)</t>
        </is>
      </c>
      <c r="C139" s="42" t="inlineStr">
        <is>
          <t>Equity value</t>
        </is>
      </c>
      <c r="D139" s="42" t="inlineStr">
        <is>
          <t>rNPV / share</t>
        </is>
      </c>
      <c r="E139" s="42" t="inlineStr">
        <is>
          <t>Upside</t>
        </is>
      </c>
      <c r="F139" s="42" t="inlineStr">
        <is>
          <t>Relutrigine PV / share</t>
        </is>
      </c>
    </row>
    <row r="140">
      <c r="A140" s="25" t="inlineStr">
        <is>
          <t>Live (probability-weighted)</t>
        </is>
      </c>
      <c r="B140" s="60">
        <f>$B$32</f>
        <v>0.9</v>
      </c>
      <c r="C140" s="46">
        <f>NPV!C31</f>
        <v>8541.15822961537</v>
      </c>
      <c r="D140" s="47">
        <f>NPV!C43</f>
        <v>272.58648743171324</v>
      </c>
      <c r="E140" s="48">
        <f>NPV!C45</f>
        <v>0.030611695836187502</v>
      </c>
      <c r="F140" s="47">
        <f>NPV!C52</f>
        <v>72.42148257259848</v>
      </c>
    </row>
    <row r="141">
      <c r="A141" s="23" t="inlineStr">
        <is>
          <t>Complete response letter (CRL)</t>
        </is>
      </c>
      <c r="B141" s="61" t="n">
        <v>0</v>
      </c>
      <c r="C141" s="56">
        <f t="dataTable" ref="C141:F142" r1="B7"/>
        <v>7736.646432887926</v>
      </c>
      <c r="D141" s="57">
        <v>247.23121062436994</v>
      </c>
      <c r="E141" s="58">
        <v>-0.06525308849344047</v>
      </c>
      <c r="F141" s="57">
        <v>48.302088629414754</v>
      </c>
    </row>
    <row r="142">
      <c r="A142" s="23" t="inlineStr">
        <is>
          <t>Approved on time</t>
        </is>
      </c>
      <c r="B142" s="61" t="n">
        <v>1</v>
      </c>
      <c r="C142" s="56">
        <v>8629.626474003888</v>
      </c>
      <c r="D142" s="57">
        <v>275.37473386382953</v>
      </c>
      <c r="E142" s="58">
        <v>0.041153668811030775</v>
      </c>
      <c r="F142" s="57">
        <v>75.09877657803827</v>
      </c>
    </row>
    <row r="144">
      <c r="A144" s="30" t="inlineStr">
        <is>
          <t>rNPV / share: Relutrigine peak sales × probability of approval</t>
        </is>
      </c>
    </row>
    <row r="145">
      <c r="C145" s="25" t="inlineStr">
        <is>
          <t>Probability of approval →</t>
        </is>
      </c>
    </row>
    <row r="146">
      <c r="A146" s="25" t="inlineStr">
        <is>
          <t>Peak sales ($mm) ↓</t>
        </is>
      </c>
      <c r="B146" s="47">
        <f>NPV!C43</f>
        <v>272.58648743171324</v>
      </c>
      <c r="C146" s="62" t="n">
        <v>0</v>
      </c>
      <c r="D146" s="62" t="n">
        <v>0.25</v>
      </c>
      <c r="E146" s="62" t="n">
        <v>0.5</v>
      </c>
      <c r="F146" s="62" t="n">
        <v>0.75</v>
      </c>
      <c r="G146" s="62" t="n">
        <v>1</v>
      </c>
    </row>
    <row r="147">
      <c r="B147" s="56" t="n">
        <v>250</v>
      </c>
      <c r="C147" s="53">
        <f t="dataTable" ref="C147:G153" dt2D="1" r1="B7" r2="B8"/>
        <v>232.2011529822593</v>
      </c>
      <c r="D147" s="53">
        <v>237.09000028675516</v>
      </c>
      <c r="E147" s="53">
        <v>241.978890514339</v>
      </c>
      <c r="F147" s="53">
        <v>246.86782104354646</v>
      </c>
      <c r="G147" s="53">
        <v>251.75678946212332</v>
      </c>
    </row>
    <row r="148">
      <c r="B148" s="56" t="n">
        <v>350</v>
      </c>
      <c r="C148" s="53">
        <v>236.49541456827816</v>
      </c>
      <c r="D148" s="53">
        <v>242.0133057859485</v>
      </c>
      <c r="E148" s="53">
        <v>247.53124832630846</v>
      </c>
      <c r="F148" s="53">
        <v>253.04923874039656</v>
      </c>
      <c r="G148" s="53">
        <v>258.5672738815142</v>
      </c>
    </row>
    <row r="149">
      <c r="B149" s="56" t="n">
        <v>475</v>
      </c>
      <c r="C149" s="53">
        <v>241.8632882655316</v>
      </c>
      <c r="D149" s="53">
        <v>248.16749481708166</v>
      </c>
      <c r="E149" s="53">
        <v>254.4717633746384</v>
      </c>
      <c r="F149" s="53">
        <v>260.7760893223432</v>
      </c>
      <c r="G149" s="53">
        <v>266.99801436267455</v>
      </c>
    </row>
    <row r="150">
      <c r="B150" s="56" t="n">
        <v>600</v>
      </c>
      <c r="C150" s="53">
        <v>247.23121062436994</v>
      </c>
      <c r="D150" s="53">
        <v>254.32174293638195</v>
      </c>
      <c r="E150" s="53">
        <v>261.412347991273</v>
      </c>
      <c r="F150" s="53">
        <v>268.4041348971692</v>
      </c>
      <c r="G150" s="53">
        <v>275.37473386382953</v>
      </c>
    </row>
    <row r="151">
      <c r="B151" s="56" t="n">
        <v>750</v>
      </c>
      <c r="C151" s="53">
        <v>253.67277722041243</v>
      </c>
      <c r="D151" s="53">
        <v>261.7069126520747</v>
      </c>
      <c r="E151" s="53">
        <v>269.63659053190037</v>
      </c>
      <c r="F151" s="53">
        <v>277.53171158128464</v>
      </c>
      <c r="G151" s="53">
        <v>285.44973998642894</v>
      </c>
    </row>
    <row r="152">
      <c r="B152" s="56" t="n">
        <v>900</v>
      </c>
      <c r="C152" s="53">
        <v>260.11440431916014</v>
      </c>
      <c r="D152" s="53">
        <v>269.0200391564707</v>
      </c>
      <c r="E152" s="53">
        <v>277.8396669174447</v>
      </c>
      <c r="F152" s="53">
        <v>286.659380420325</v>
      </c>
      <c r="G152" s="53">
        <v>295.70835458839434</v>
      </c>
    </row>
    <row r="153">
      <c r="B153" s="56" t="n">
        <v>1200</v>
      </c>
      <c r="C153" s="53">
        <v>272.9085143721029</v>
      </c>
      <c r="D153" s="53">
        <v>283.57721616388613</v>
      </c>
      <c r="E153" s="53">
        <v>294.2460358284562</v>
      </c>
      <c r="F153" s="53">
        <v>305.131744864633</v>
      </c>
      <c r="G153" s="53">
        <v>315.73771568151705</v>
      </c>
    </row>
    <row r="155">
      <c r="A155" s="30" t="inlineStr">
        <is>
          <t>rNPV / share: discount rate × scenario</t>
        </is>
      </c>
    </row>
    <row r="156">
      <c r="C156" s="25" t="inlineStr">
        <is>
          <t>Scenario →</t>
        </is>
      </c>
    </row>
    <row r="157">
      <c r="A157" s="25" t="inlineStr">
        <is>
          <t>Discount rate ↓</t>
        </is>
      </c>
      <c r="B157" s="47">
        <f>NPV!C43</f>
        <v>272.58648743171324</v>
      </c>
      <c r="C157" s="38" t="n">
        <v>1</v>
      </c>
      <c r="D157" s="38" t="n">
        <v>2</v>
      </c>
      <c r="E157" s="38" t="n">
        <v>3</v>
      </c>
      <c r="F157" s="25" t="inlineStr">
        <is>
          <t>1 = Bear, 2 = Base, 3 = Bull</t>
        </is>
      </c>
    </row>
    <row r="158">
      <c r="B158" s="58" t="n">
        <v>0.08</v>
      </c>
      <c r="C158" s="53">
        <f t="dataTable" ref="C158:E164" dt2D="1" r1="B4" r2="B6"/>
        <v>147.166865486643</v>
      </c>
      <c r="D158" s="53">
        <v>336.2342754014324</v>
      </c>
      <c r="E158" s="53">
        <v>630.2643896416548</v>
      </c>
    </row>
    <row r="159">
      <c r="B159" s="58" t="n">
        <v>0.09</v>
      </c>
      <c r="C159" s="53">
        <v>137.99797920106533</v>
      </c>
      <c r="D159" s="53">
        <v>312.80809851629897</v>
      </c>
      <c r="E159" s="53">
        <v>583.9124608343138</v>
      </c>
    </row>
    <row r="160">
      <c r="B160" s="58" t="n">
        <v>0.1</v>
      </c>
      <c r="C160" s="53">
        <v>129.72057710633695</v>
      </c>
      <c r="D160" s="53">
        <v>291.6801151026361</v>
      </c>
      <c r="E160" s="53">
        <v>542.1340785175304</v>
      </c>
    </row>
    <row r="161">
      <c r="B161" s="58" t="n">
        <v>0.11</v>
      </c>
      <c r="C161" s="53">
        <v>122.2341101305995</v>
      </c>
      <c r="D161" s="53">
        <v>272.58648743171324</v>
      </c>
      <c r="E161" s="53">
        <v>504.4017253110635</v>
      </c>
    </row>
    <row r="162">
      <c r="B162" s="58" t="n">
        <v>0.12</v>
      </c>
      <c r="C162" s="53">
        <v>115.450772911267</v>
      </c>
      <c r="D162" s="53">
        <v>255.29738059131233</v>
      </c>
      <c r="E162" s="53">
        <v>470.25610960675505</v>
      </c>
    </row>
    <row r="163">
      <c r="B163" s="58" t="n">
        <v>0.13</v>
      </c>
      <c r="C163" s="53">
        <v>109.29373080198717</v>
      </c>
      <c r="D163" s="53">
        <v>239.61216448645558</v>
      </c>
      <c r="E163" s="53">
        <v>439.2965108963872</v>
      </c>
    </row>
    <row r="164">
      <c r="B164" s="58" t="n">
        <v>0.14</v>
      </c>
      <c r="C164" s="53">
        <v>103.69561334361285</v>
      </c>
      <c r="D164" s="53">
        <v>225.3553454067912</v>
      </c>
      <c r="E164" s="53">
        <v>411.17259683184176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style="9" min="1" max="1"/>
    <col width="2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</cols>
  <sheetData>
    <row r="1">
      <c r="A1" s="22" t="inlineStr">
        <is>
          <t>PRAX — risk-adjusted program build ($mm)</t>
        </is>
      </c>
    </row>
    <row r="2">
      <c r="A2" s="23" t="inlineStr">
        <is>
          <t>Year</t>
        </is>
      </c>
      <c r="C2" s="23" t="n">
        <v>2027</v>
      </c>
      <c r="D2" s="23" t="n">
        <v>2028</v>
      </c>
      <c r="E2" s="23" t="n">
        <v>2029</v>
      </c>
      <c r="F2" s="23" t="n">
        <v>2030</v>
      </c>
      <c r="G2" s="23" t="n">
        <v>2031</v>
      </c>
      <c r="H2" s="23" t="n">
        <v>2032</v>
      </c>
      <c r="I2" s="23" t="n">
        <v>2033</v>
      </c>
      <c r="J2" s="23" t="n">
        <v>2034</v>
      </c>
      <c r="K2" s="23" t="n">
        <v>2035</v>
      </c>
      <c r="L2" s="23" t="n">
        <v>2036</v>
      </c>
      <c r="M2" s="23" t="n">
        <v>2037</v>
      </c>
      <c r="N2" s="23" t="n">
        <v>2038</v>
      </c>
      <c r="O2" s="23" t="n">
        <v>2039</v>
      </c>
      <c r="P2" s="23" t="n">
        <v>2040</v>
      </c>
      <c r="Q2" s="23" t="n">
        <v>2041</v>
      </c>
      <c r="R2" s="23" t="n">
        <v>2042</v>
      </c>
      <c r="S2" s="23" t="n">
        <v>2043</v>
      </c>
      <c r="T2" s="23" t="n">
        <v>2044</v>
      </c>
      <c r="U2" s="23" t="n">
        <v>2045</v>
      </c>
      <c r="V2" s="23" t="n">
        <v>2046</v>
      </c>
      <c r="W2" s="23" t="n">
        <v>2047</v>
      </c>
      <c r="X2" s="23" t="n">
        <v>2048</v>
      </c>
      <c r="Y2" s="23" t="n">
        <v>2049</v>
      </c>
      <c r="Z2" s="23" t="n">
        <v>2050</v>
      </c>
    </row>
    <row r="4">
      <c r="A4" s="30" t="inlineStr">
        <is>
          <t>Relutrigine — SCN2A / SCN8A DEE</t>
        </is>
      </c>
    </row>
    <row r="5">
      <c r="A5" s="13" t="inlineStr">
        <is>
          <t>Years since launch (approved on time)</t>
        </is>
      </c>
      <c r="C5" s="63">
        <f>C$2-Assumptions!$B$47+1</f>
        <v>1.0</v>
      </c>
      <c r="D5" s="63">
        <f>D$2-Assumptions!$B$47+1</f>
        <v>2.0</v>
      </c>
      <c r="E5" s="63">
        <f>E$2-Assumptions!$B$47+1</f>
        <v>3.0</v>
      </c>
      <c r="F5" s="63">
        <f>F$2-Assumptions!$B$47+1</f>
        <v>4.0</v>
      </c>
      <c r="G5" s="63">
        <f>G$2-Assumptions!$B$47+1</f>
        <v>5.0</v>
      </c>
      <c r="H5" s="63">
        <f>H$2-Assumptions!$B$47+1</f>
        <v>6.0</v>
      </c>
      <c r="I5" s="63">
        <f>I$2-Assumptions!$B$47+1</f>
        <v>7.0</v>
      </c>
      <c r="J5" s="63">
        <f>J$2-Assumptions!$B$47+1</f>
        <v>8.0</v>
      </c>
      <c r="K5" s="63">
        <f>K$2-Assumptions!$B$47+1</f>
        <v>9.0</v>
      </c>
      <c r="L5" s="63">
        <f>L$2-Assumptions!$B$47+1</f>
        <v>10.0</v>
      </c>
      <c r="M5" s="63">
        <f>M$2-Assumptions!$B$47+1</f>
        <v>11.0</v>
      </c>
      <c r="N5" s="63">
        <f>N$2-Assumptions!$B$47+1</f>
        <v>12.0</v>
      </c>
      <c r="O5" s="63">
        <f>O$2-Assumptions!$B$47+1</f>
        <v>13.0</v>
      </c>
      <c r="P5" s="63">
        <f>P$2-Assumptions!$B$47+1</f>
        <v>14.0</v>
      </c>
      <c r="Q5" s="63">
        <f>Q$2-Assumptions!$B$47+1</f>
        <v>15.0</v>
      </c>
      <c r="R5" s="63">
        <f>R$2-Assumptions!$B$47+1</f>
        <v>16.0</v>
      </c>
      <c r="S5" s="63">
        <f>S$2-Assumptions!$B$47+1</f>
        <v>17.0</v>
      </c>
      <c r="T5" s="63">
        <f>T$2-Assumptions!$B$47+1</f>
        <v>18.0</v>
      </c>
      <c r="U5" s="63">
        <f>U$2-Assumptions!$B$47+1</f>
        <v>19.0</v>
      </c>
      <c r="V5" s="63">
        <f>V$2-Assumptions!$B$47+1</f>
        <v>20.0</v>
      </c>
      <c r="W5" s="63">
        <f>W$2-Assumptions!$B$47+1</f>
        <v>21.0</v>
      </c>
      <c r="X5" s="63">
        <f>X$2-Assumptions!$B$47+1</f>
        <v>22.0</v>
      </c>
      <c r="Y5" s="63">
        <f>Y$2-Assumptions!$B$47+1</f>
        <v>23.0</v>
      </c>
      <c r="Z5" s="63">
        <f>Z$2-Assumptions!$B$47+1</f>
        <v>24.0</v>
      </c>
    </row>
    <row r="6">
      <c r="A6" s="13" t="inlineStr">
        <is>
          <t>Net sales, unrisked (approved on time)</t>
        </is>
      </c>
      <c r="C6" s="52">
        <f>IF(C$2&gt;Assumptions!$B$56,0*(1-Assumptions!$B$57),IF(C5&gt;=1,Assumptions!$B$48*CHOOSE(Assumptions!$B$55,INDEX(Assumptions!$B$42:$H$42,MIN(C5,7)),INDEX(Assumptions!$B$43:$H$43,MIN(C5,7))),0))</f>
        <v>90.0</v>
      </c>
      <c r="D6" s="52">
        <f>IF(D$2&gt;Assumptions!$B$56,C6*(1-Assumptions!$B$57),IF(D5&gt;=1,Assumptions!$B$48*CHOOSE(Assumptions!$B$55,INDEX(Assumptions!$B$42:$H$42,MIN(D5,7)),INDEX(Assumptions!$B$43:$H$43,MIN(D5,7))),0))</f>
        <v>210.0</v>
      </c>
      <c r="E6" s="52">
        <f>IF(E$2&gt;Assumptions!$B$56,D6*(1-Assumptions!$B$57),IF(E5&gt;=1,Assumptions!$B$48*CHOOSE(Assumptions!$B$55,INDEX(Assumptions!$B$42:$H$42,MIN(E5,7)),INDEX(Assumptions!$B$43:$H$43,MIN(E5,7))),0))</f>
        <v>330.0</v>
      </c>
      <c r="F6" s="52">
        <f>IF(F$2&gt;Assumptions!$B$56,E6*(1-Assumptions!$B$57),IF(F5&gt;=1,Assumptions!$B$48*CHOOSE(Assumptions!$B$55,INDEX(Assumptions!$B$42:$H$42,MIN(F5,7)),INDEX(Assumptions!$B$43:$H$43,MIN(F5,7))),0))</f>
        <v>450.0</v>
      </c>
      <c r="G6" s="52">
        <f>IF(G$2&gt;Assumptions!$B$56,F6*(1-Assumptions!$B$57),IF(G5&gt;=1,Assumptions!$B$48*CHOOSE(Assumptions!$B$55,INDEX(Assumptions!$B$42:$H$42,MIN(G5,7)),INDEX(Assumptions!$B$43:$H$43,MIN(G5,7))),0))</f>
        <v>540.0</v>
      </c>
      <c r="H6" s="52">
        <f>IF(H$2&gt;Assumptions!$B$56,G6*(1-Assumptions!$B$57),IF(H5&gt;=1,Assumptions!$B$48*CHOOSE(Assumptions!$B$55,INDEX(Assumptions!$B$42:$H$42,MIN(H5,7)),INDEX(Assumptions!$B$43:$H$43,MIN(H5,7))),0))</f>
        <v>600.0</v>
      </c>
      <c r="I6" s="52">
        <f>IF(I$2&gt;Assumptions!$B$56,H6*(1-Assumptions!$B$57),IF(I5&gt;=1,Assumptions!$B$48*CHOOSE(Assumptions!$B$55,INDEX(Assumptions!$B$42:$H$42,MIN(I5,7)),INDEX(Assumptions!$B$43:$H$43,MIN(I5,7))),0))</f>
        <v>600.0</v>
      </c>
      <c r="J6" s="52">
        <f>IF(J$2&gt;Assumptions!$B$56,I6*(1-Assumptions!$B$57),IF(J5&gt;=1,Assumptions!$B$48*CHOOSE(Assumptions!$B$55,INDEX(Assumptions!$B$42:$H$42,MIN(J5,7)),INDEX(Assumptions!$B$43:$H$43,MIN(J5,7))),0))</f>
        <v>600.0</v>
      </c>
      <c r="K6" s="52">
        <f>IF(K$2&gt;Assumptions!$B$56,J6*(1-Assumptions!$B$57),IF(K5&gt;=1,Assumptions!$B$48*CHOOSE(Assumptions!$B$55,INDEX(Assumptions!$B$42:$H$42,MIN(K5,7)),INDEX(Assumptions!$B$43:$H$43,MIN(K5,7))),0))</f>
        <v>600.0</v>
      </c>
      <c r="L6" s="52">
        <f>IF(L$2&gt;Assumptions!$B$56,K6*(1-Assumptions!$B$57),IF(L5&gt;=1,Assumptions!$B$48*CHOOSE(Assumptions!$B$55,INDEX(Assumptions!$B$42:$H$42,MIN(L5,7)),INDEX(Assumptions!$B$43:$H$43,MIN(L5,7))),0))</f>
        <v>600.0</v>
      </c>
      <c r="M6" s="52">
        <f>IF(M$2&gt;Assumptions!$B$56,L6*(1-Assumptions!$B$57),IF(M5&gt;=1,Assumptions!$B$48*CHOOSE(Assumptions!$B$55,INDEX(Assumptions!$B$42:$H$42,MIN(M5,7)),INDEX(Assumptions!$B$43:$H$43,MIN(M5,7))),0))</f>
        <v>600.0</v>
      </c>
      <c r="N6" s="52">
        <f>IF(N$2&gt;Assumptions!$B$56,M6*(1-Assumptions!$B$57),IF(N5&gt;=1,Assumptions!$B$48*CHOOSE(Assumptions!$B$55,INDEX(Assumptions!$B$42:$H$42,MIN(N5,7)),INDEX(Assumptions!$B$43:$H$43,MIN(N5,7))),0))</f>
        <v>600.0</v>
      </c>
      <c r="O6" s="52">
        <f>IF(O$2&gt;Assumptions!$B$56,N6*(1-Assumptions!$B$57),IF(O5&gt;=1,Assumptions!$B$48*CHOOSE(Assumptions!$B$55,INDEX(Assumptions!$B$42:$H$42,MIN(O5,7)),INDEX(Assumptions!$B$43:$H$43,MIN(O5,7))),0))</f>
        <v>600.0</v>
      </c>
      <c r="P6" s="52">
        <f>IF(P$2&gt;Assumptions!$B$56,O6*(1-Assumptions!$B$57),IF(P5&gt;=1,Assumptions!$B$48*CHOOSE(Assumptions!$B$55,INDEX(Assumptions!$B$42:$H$42,MIN(P5,7)),INDEX(Assumptions!$B$43:$H$43,MIN(P5,7))),0))</f>
        <v>600.0</v>
      </c>
      <c r="Q6" s="52">
        <f>IF(Q$2&gt;Assumptions!$B$56,P6*(1-Assumptions!$B$57),IF(Q5&gt;=1,Assumptions!$B$48*CHOOSE(Assumptions!$B$55,INDEX(Assumptions!$B$42:$H$42,MIN(Q5,7)),INDEX(Assumptions!$B$43:$H$43,MIN(Q5,7))),0))</f>
        <v>600.0</v>
      </c>
      <c r="R6" s="52">
        <f>IF(R$2&gt;Assumptions!$B$56,Q6*(1-Assumptions!$B$57),IF(R5&gt;=1,Assumptions!$B$48*CHOOSE(Assumptions!$B$55,INDEX(Assumptions!$B$42:$H$42,MIN(R5,7)),INDEX(Assumptions!$B$43:$H$43,MIN(R5,7))),0))</f>
        <v>240.0</v>
      </c>
      <c r="S6" s="52">
        <f>IF(S$2&gt;Assumptions!$B$56,R6*(1-Assumptions!$B$57),IF(S5&gt;=1,Assumptions!$B$48*CHOOSE(Assumptions!$B$55,INDEX(Assumptions!$B$42:$H$42,MIN(S5,7)),INDEX(Assumptions!$B$43:$H$43,MIN(S5,7))),0))</f>
        <v>96.0</v>
      </c>
      <c r="T6" s="52">
        <f>IF(T$2&gt;Assumptions!$B$56,S6*(1-Assumptions!$B$57),IF(T5&gt;=1,Assumptions!$B$48*CHOOSE(Assumptions!$B$55,INDEX(Assumptions!$B$42:$H$42,MIN(T5,7)),INDEX(Assumptions!$B$43:$H$43,MIN(T5,7))),0))</f>
        <v>38.400000000000006</v>
      </c>
      <c r="U6" s="52">
        <f>IF(U$2&gt;Assumptions!$B$56,T6*(1-Assumptions!$B$57),IF(U5&gt;=1,Assumptions!$B$48*CHOOSE(Assumptions!$B$55,INDEX(Assumptions!$B$42:$H$42,MIN(U5,7)),INDEX(Assumptions!$B$43:$H$43,MIN(U5,7))),0))</f>
        <v>15.360000000000003</v>
      </c>
      <c r="V6" s="52">
        <f>IF(V$2&gt;Assumptions!$B$56,U6*(1-Assumptions!$B$57),IF(V5&gt;=1,Assumptions!$B$48*CHOOSE(Assumptions!$B$55,INDEX(Assumptions!$B$42:$H$42,MIN(V5,7)),INDEX(Assumptions!$B$43:$H$43,MIN(V5,7))),0))</f>
        <v>6.144000000000002</v>
      </c>
      <c r="W6" s="52">
        <f>IF(W$2&gt;Assumptions!$B$56,V6*(1-Assumptions!$B$57),IF(W5&gt;=1,Assumptions!$B$48*CHOOSE(Assumptions!$B$55,INDEX(Assumptions!$B$42:$H$42,MIN(W5,7)),INDEX(Assumptions!$B$43:$H$43,MIN(W5,7))),0))</f>
        <v>2.457600000000001</v>
      </c>
      <c r="X6" s="52">
        <f>IF(X$2&gt;Assumptions!$B$56,W6*(1-Assumptions!$B$57),IF(X5&gt;=1,Assumptions!$B$48*CHOOSE(Assumptions!$B$55,INDEX(Assumptions!$B$42:$H$42,MIN(X5,7)),INDEX(Assumptions!$B$43:$H$43,MIN(X5,7))),0))</f>
        <v>0.9830400000000005</v>
      </c>
      <c r="Y6" s="52">
        <f>IF(Y$2&gt;Assumptions!$B$56,X6*(1-Assumptions!$B$57),IF(Y5&gt;=1,Assumptions!$B$48*CHOOSE(Assumptions!$B$55,INDEX(Assumptions!$B$42:$H$42,MIN(Y5,7)),INDEX(Assumptions!$B$43:$H$43,MIN(Y5,7))),0))</f>
        <v>0.39321600000000023</v>
      </c>
      <c r="Z6" s="52">
        <f>IF(Z$2&gt;Assumptions!$B$56,Y6*(1-Assumptions!$B$57),IF(Z5&gt;=1,Assumptions!$B$48*CHOOSE(Assumptions!$B$55,INDEX(Assumptions!$B$42:$H$42,MIN(Z5,7)),INDEX(Assumptions!$B$43:$H$43,MIN(Z5,7))),0))</f>
        <v>0.1572864000000001</v>
      </c>
    </row>
    <row r="7">
      <c r="A7" s="13" t="inlineStr">
        <is>
          <t>Years since launch (approved after a CRL)</t>
        </is>
      </c>
      <c r="C7" s="63">
        <f>C$2-(Assumptions!$B$47+Assumptions!$B$34)+1</f>
        <v>0.0</v>
      </c>
      <c r="D7" s="63">
        <f>D$2-(Assumptions!$B$47+Assumptions!$B$34)+1</f>
        <v>1.0</v>
      </c>
      <c r="E7" s="63">
        <f>E$2-(Assumptions!$B$47+Assumptions!$B$34)+1</f>
        <v>2.0</v>
      </c>
      <c r="F7" s="63">
        <f>F$2-(Assumptions!$B$47+Assumptions!$B$34)+1</f>
        <v>3.0</v>
      </c>
      <c r="G7" s="63">
        <f>G$2-(Assumptions!$B$47+Assumptions!$B$34)+1</f>
        <v>4.0</v>
      </c>
      <c r="H7" s="63">
        <f>H$2-(Assumptions!$B$47+Assumptions!$B$34)+1</f>
        <v>5.0</v>
      </c>
      <c r="I7" s="63">
        <f>I$2-(Assumptions!$B$47+Assumptions!$B$34)+1</f>
        <v>6.0</v>
      </c>
      <c r="J7" s="63">
        <f>J$2-(Assumptions!$B$47+Assumptions!$B$34)+1</f>
        <v>7.0</v>
      </c>
      <c r="K7" s="63">
        <f>K$2-(Assumptions!$B$47+Assumptions!$B$34)+1</f>
        <v>8.0</v>
      </c>
      <c r="L7" s="63">
        <f>L$2-(Assumptions!$B$47+Assumptions!$B$34)+1</f>
        <v>9.0</v>
      </c>
      <c r="M7" s="63">
        <f>M$2-(Assumptions!$B$47+Assumptions!$B$34)+1</f>
        <v>10.0</v>
      </c>
      <c r="N7" s="63">
        <f>N$2-(Assumptions!$B$47+Assumptions!$B$34)+1</f>
        <v>11.0</v>
      </c>
      <c r="O7" s="63">
        <f>O$2-(Assumptions!$B$47+Assumptions!$B$34)+1</f>
        <v>12.0</v>
      </c>
      <c r="P7" s="63">
        <f>P$2-(Assumptions!$B$47+Assumptions!$B$34)+1</f>
        <v>13.0</v>
      </c>
      <c r="Q7" s="63">
        <f>Q$2-(Assumptions!$B$47+Assumptions!$B$34)+1</f>
        <v>14.0</v>
      </c>
      <c r="R7" s="63">
        <f>R$2-(Assumptions!$B$47+Assumptions!$B$34)+1</f>
        <v>15.0</v>
      </c>
      <c r="S7" s="63">
        <f>S$2-(Assumptions!$B$47+Assumptions!$B$34)+1</f>
        <v>16.0</v>
      </c>
      <c r="T7" s="63">
        <f>T$2-(Assumptions!$B$47+Assumptions!$B$34)+1</f>
        <v>17.0</v>
      </c>
      <c r="U7" s="63">
        <f>U$2-(Assumptions!$B$47+Assumptions!$B$34)+1</f>
        <v>18.0</v>
      </c>
      <c r="V7" s="63">
        <f>V$2-(Assumptions!$B$47+Assumptions!$B$34)+1</f>
        <v>19.0</v>
      </c>
      <c r="W7" s="63">
        <f>W$2-(Assumptions!$B$47+Assumptions!$B$34)+1</f>
        <v>20.0</v>
      </c>
      <c r="X7" s="63">
        <f>X$2-(Assumptions!$B$47+Assumptions!$B$34)+1</f>
        <v>21.0</v>
      </c>
      <c r="Y7" s="63">
        <f>Y$2-(Assumptions!$B$47+Assumptions!$B$34)+1</f>
        <v>22.0</v>
      </c>
      <c r="Z7" s="63">
        <f>Z$2-(Assumptions!$B$47+Assumptions!$B$34)+1</f>
        <v>23.0</v>
      </c>
    </row>
    <row r="8">
      <c r="A8" s="13" t="inlineStr">
        <is>
          <t>Net sales, unrisked (approved after a CRL)</t>
        </is>
      </c>
      <c r="C8" s="52">
        <f>IF(C$2&gt;Assumptions!$B$56,0*(1-Assumptions!$B$57),IF(C7&gt;=1,Assumptions!$B$48*CHOOSE(Assumptions!$B$55,INDEX(Assumptions!$B$42:$H$42,MIN(C7,7)),INDEX(Assumptions!$B$43:$H$43,MIN(C7,7))),0))</f>
        <v>0</v>
      </c>
      <c r="D8" s="52">
        <f>IF(D$2&gt;Assumptions!$B$56,C8*(1-Assumptions!$B$57),IF(D7&gt;=1,Assumptions!$B$48*CHOOSE(Assumptions!$B$55,INDEX(Assumptions!$B$42:$H$42,MIN(D7,7)),INDEX(Assumptions!$B$43:$H$43,MIN(D7,7))),0))</f>
        <v>90.0</v>
      </c>
      <c r="E8" s="52">
        <f>IF(E$2&gt;Assumptions!$B$56,D8*(1-Assumptions!$B$57),IF(E7&gt;=1,Assumptions!$B$48*CHOOSE(Assumptions!$B$55,INDEX(Assumptions!$B$42:$H$42,MIN(E7,7)),INDEX(Assumptions!$B$43:$H$43,MIN(E7,7))),0))</f>
        <v>210.0</v>
      </c>
      <c r="F8" s="52">
        <f>IF(F$2&gt;Assumptions!$B$56,E8*(1-Assumptions!$B$57),IF(F7&gt;=1,Assumptions!$B$48*CHOOSE(Assumptions!$B$55,INDEX(Assumptions!$B$42:$H$42,MIN(F7,7)),INDEX(Assumptions!$B$43:$H$43,MIN(F7,7))),0))</f>
        <v>330.0</v>
      </c>
      <c r="G8" s="52">
        <f>IF(G$2&gt;Assumptions!$B$56,F8*(1-Assumptions!$B$57),IF(G7&gt;=1,Assumptions!$B$48*CHOOSE(Assumptions!$B$55,INDEX(Assumptions!$B$42:$H$42,MIN(G7,7)),INDEX(Assumptions!$B$43:$H$43,MIN(G7,7))),0))</f>
        <v>450.0</v>
      </c>
      <c r="H8" s="52">
        <f>IF(H$2&gt;Assumptions!$B$56,G8*(1-Assumptions!$B$57),IF(H7&gt;=1,Assumptions!$B$48*CHOOSE(Assumptions!$B$55,INDEX(Assumptions!$B$42:$H$42,MIN(H7,7)),INDEX(Assumptions!$B$43:$H$43,MIN(H7,7))),0))</f>
        <v>540.0</v>
      </c>
      <c r="I8" s="52">
        <f>IF(I$2&gt;Assumptions!$B$56,H8*(1-Assumptions!$B$57),IF(I7&gt;=1,Assumptions!$B$48*CHOOSE(Assumptions!$B$55,INDEX(Assumptions!$B$42:$H$42,MIN(I7,7)),INDEX(Assumptions!$B$43:$H$43,MIN(I7,7))),0))</f>
        <v>600.0</v>
      </c>
      <c r="J8" s="52">
        <f>IF(J$2&gt;Assumptions!$B$56,I8*(1-Assumptions!$B$57),IF(J7&gt;=1,Assumptions!$B$48*CHOOSE(Assumptions!$B$55,INDEX(Assumptions!$B$42:$H$42,MIN(J7,7)),INDEX(Assumptions!$B$43:$H$43,MIN(J7,7))),0))</f>
        <v>600.0</v>
      </c>
      <c r="K8" s="52">
        <f>IF(K$2&gt;Assumptions!$B$56,J8*(1-Assumptions!$B$57),IF(K7&gt;=1,Assumptions!$B$48*CHOOSE(Assumptions!$B$55,INDEX(Assumptions!$B$42:$H$42,MIN(K7,7)),INDEX(Assumptions!$B$43:$H$43,MIN(K7,7))),0))</f>
        <v>600.0</v>
      </c>
      <c r="L8" s="52">
        <f>IF(L$2&gt;Assumptions!$B$56,K8*(1-Assumptions!$B$57),IF(L7&gt;=1,Assumptions!$B$48*CHOOSE(Assumptions!$B$55,INDEX(Assumptions!$B$42:$H$42,MIN(L7,7)),INDEX(Assumptions!$B$43:$H$43,MIN(L7,7))),0))</f>
        <v>600.0</v>
      </c>
      <c r="M8" s="52">
        <f>IF(M$2&gt;Assumptions!$B$56,L8*(1-Assumptions!$B$57),IF(M7&gt;=1,Assumptions!$B$48*CHOOSE(Assumptions!$B$55,INDEX(Assumptions!$B$42:$H$42,MIN(M7,7)),INDEX(Assumptions!$B$43:$H$43,MIN(M7,7))),0))</f>
        <v>600.0</v>
      </c>
      <c r="N8" s="52">
        <f>IF(N$2&gt;Assumptions!$B$56,M8*(1-Assumptions!$B$57),IF(N7&gt;=1,Assumptions!$B$48*CHOOSE(Assumptions!$B$55,INDEX(Assumptions!$B$42:$H$42,MIN(N7,7)),INDEX(Assumptions!$B$43:$H$43,MIN(N7,7))),0))</f>
        <v>600.0</v>
      </c>
      <c r="O8" s="52">
        <f>IF(O$2&gt;Assumptions!$B$56,N8*(1-Assumptions!$B$57),IF(O7&gt;=1,Assumptions!$B$48*CHOOSE(Assumptions!$B$55,INDEX(Assumptions!$B$42:$H$42,MIN(O7,7)),INDEX(Assumptions!$B$43:$H$43,MIN(O7,7))),0))</f>
        <v>600.0</v>
      </c>
      <c r="P8" s="52">
        <f>IF(P$2&gt;Assumptions!$B$56,O8*(1-Assumptions!$B$57),IF(P7&gt;=1,Assumptions!$B$48*CHOOSE(Assumptions!$B$55,INDEX(Assumptions!$B$42:$H$42,MIN(P7,7)),INDEX(Assumptions!$B$43:$H$43,MIN(P7,7))),0))</f>
        <v>600.0</v>
      </c>
      <c r="Q8" s="52">
        <f>IF(Q$2&gt;Assumptions!$B$56,P8*(1-Assumptions!$B$57),IF(Q7&gt;=1,Assumptions!$B$48*CHOOSE(Assumptions!$B$55,INDEX(Assumptions!$B$42:$H$42,MIN(Q7,7)),INDEX(Assumptions!$B$43:$H$43,MIN(Q7,7))),0))</f>
        <v>600.0</v>
      </c>
      <c r="R8" s="52">
        <f>IF(R$2&gt;Assumptions!$B$56,Q8*(1-Assumptions!$B$57),IF(R7&gt;=1,Assumptions!$B$48*CHOOSE(Assumptions!$B$55,INDEX(Assumptions!$B$42:$H$42,MIN(R7,7)),INDEX(Assumptions!$B$43:$H$43,MIN(R7,7))),0))</f>
        <v>240.0</v>
      </c>
      <c r="S8" s="52">
        <f>IF(S$2&gt;Assumptions!$B$56,R8*(1-Assumptions!$B$57),IF(S7&gt;=1,Assumptions!$B$48*CHOOSE(Assumptions!$B$55,INDEX(Assumptions!$B$42:$H$42,MIN(S7,7)),INDEX(Assumptions!$B$43:$H$43,MIN(S7,7))),0))</f>
        <v>96.0</v>
      </c>
      <c r="T8" s="52">
        <f>IF(T$2&gt;Assumptions!$B$56,S8*(1-Assumptions!$B$57),IF(T7&gt;=1,Assumptions!$B$48*CHOOSE(Assumptions!$B$55,INDEX(Assumptions!$B$42:$H$42,MIN(T7,7)),INDEX(Assumptions!$B$43:$H$43,MIN(T7,7))),0))</f>
        <v>38.400000000000006</v>
      </c>
      <c r="U8" s="52">
        <f>IF(U$2&gt;Assumptions!$B$56,T8*(1-Assumptions!$B$57),IF(U7&gt;=1,Assumptions!$B$48*CHOOSE(Assumptions!$B$55,INDEX(Assumptions!$B$42:$H$42,MIN(U7,7)),INDEX(Assumptions!$B$43:$H$43,MIN(U7,7))),0))</f>
        <v>15.360000000000003</v>
      </c>
      <c r="V8" s="52">
        <f>IF(V$2&gt;Assumptions!$B$56,U8*(1-Assumptions!$B$57),IF(V7&gt;=1,Assumptions!$B$48*CHOOSE(Assumptions!$B$55,INDEX(Assumptions!$B$42:$H$42,MIN(V7,7)),INDEX(Assumptions!$B$43:$H$43,MIN(V7,7))),0))</f>
        <v>6.144000000000002</v>
      </c>
      <c r="W8" s="52">
        <f>IF(W$2&gt;Assumptions!$B$56,V8*(1-Assumptions!$B$57),IF(W7&gt;=1,Assumptions!$B$48*CHOOSE(Assumptions!$B$55,INDEX(Assumptions!$B$42:$H$42,MIN(W7,7)),INDEX(Assumptions!$B$43:$H$43,MIN(W7,7))),0))</f>
        <v>2.457600000000001</v>
      </c>
      <c r="X8" s="52">
        <f>IF(X$2&gt;Assumptions!$B$56,W8*(1-Assumptions!$B$57),IF(X7&gt;=1,Assumptions!$B$48*CHOOSE(Assumptions!$B$55,INDEX(Assumptions!$B$42:$H$42,MIN(X7,7)),INDEX(Assumptions!$B$43:$H$43,MIN(X7,7))),0))</f>
        <v>0.9830400000000005</v>
      </c>
      <c r="Y8" s="52">
        <f>IF(Y$2&gt;Assumptions!$B$56,X8*(1-Assumptions!$B$57),IF(Y7&gt;=1,Assumptions!$B$48*CHOOSE(Assumptions!$B$55,INDEX(Assumptions!$B$42:$H$42,MIN(Y7,7)),INDEX(Assumptions!$B$43:$H$43,MIN(Y7,7))),0))</f>
        <v>0.39321600000000023</v>
      </c>
      <c r="Z8" s="52">
        <f>IF(Z$2&gt;Assumptions!$B$56,Y8*(1-Assumptions!$B$57),IF(Z7&gt;=1,Assumptions!$B$48*CHOOSE(Assumptions!$B$55,INDEX(Assumptions!$B$42:$H$42,MIN(Z7,7)),INDEX(Assumptions!$B$43:$H$43,MIN(Z7,7))),0))</f>
        <v>0.1572864000000001</v>
      </c>
    </row>
    <row r="9">
      <c r="A9" s="13" t="inlineStr">
        <is>
          <t>Product net sales, risk-adjusted</t>
        </is>
      </c>
      <c r="C9" s="52">
        <f>Assumptions!$B$32*C6+(1-Assumptions!$B$32)*Assumptions!$B$33*C8</f>
        <v>81.0</v>
      </c>
      <c r="D9" s="52">
        <f>Assumptions!$B$32*D6+(1-Assumptions!$B$32)*Assumptions!$B$33*D8</f>
        <v>195.75</v>
      </c>
      <c r="E9" s="52">
        <f>Assumptions!$B$32*E6+(1-Assumptions!$B$32)*Assumptions!$B$33*E8</f>
        <v>312.75</v>
      </c>
      <c r="F9" s="52">
        <f>Assumptions!$B$32*F6+(1-Assumptions!$B$32)*Assumptions!$B$33*F8</f>
        <v>429.75</v>
      </c>
      <c r="G9" s="52">
        <f>Assumptions!$B$32*G6+(1-Assumptions!$B$32)*Assumptions!$B$33*G8</f>
        <v>519.75</v>
      </c>
      <c r="H9" s="52">
        <f>Assumptions!$B$32*H6+(1-Assumptions!$B$32)*Assumptions!$B$33*H8</f>
        <v>580.5</v>
      </c>
      <c r="I9" s="52">
        <f>Assumptions!$B$32*I6+(1-Assumptions!$B$32)*Assumptions!$B$33*I8</f>
        <v>585.0</v>
      </c>
      <c r="J9" s="52">
        <f>Assumptions!$B$32*J6+(1-Assumptions!$B$32)*Assumptions!$B$33*J8</f>
        <v>585.0</v>
      </c>
      <c r="K9" s="52">
        <f>Assumptions!$B$32*K6+(1-Assumptions!$B$32)*Assumptions!$B$33*K8</f>
        <v>585.0</v>
      </c>
      <c r="L9" s="52">
        <f>Assumptions!$B$32*L6+(1-Assumptions!$B$32)*Assumptions!$B$33*L8</f>
        <v>585.0</v>
      </c>
      <c r="M9" s="52">
        <f>Assumptions!$B$32*M6+(1-Assumptions!$B$32)*Assumptions!$B$33*M8</f>
        <v>585.0</v>
      </c>
      <c r="N9" s="52">
        <f>Assumptions!$B$32*N6+(1-Assumptions!$B$32)*Assumptions!$B$33*N8</f>
        <v>585.0</v>
      </c>
      <c r="O9" s="52">
        <f>Assumptions!$B$32*O6+(1-Assumptions!$B$32)*Assumptions!$B$33*O8</f>
        <v>585.0</v>
      </c>
      <c r="P9" s="52">
        <f>Assumptions!$B$32*P6+(1-Assumptions!$B$32)*Assumptions!$B$33*P8</f>
        <v>585.0</v>
      </c>
      <c r="Q9" s="52">
        <f>Assumptions!$B$32*Q6+(1-Assumptions!$B$32)*Assumptions!$B$33*Q8</f>
        <v>585.0</v>
      </c>
      <c r="R9" s="52">
        <f>Assumptions!$B$32*R6+(1-Assumptions!$B$32)*Assumptions!$B$33*R8</f>
        <v>234.0</v>
      </c>
      <c r="S9" s="52">
        <f>Assumptions!$B$32*S6+(1-Assumptions!$B$32)*Assumptions!$B$33*S8</f>
        <v>93.60000000000001</v>
      </c>
      <c r="T9" s="52">
        <f>Assumptions!$B$32*T6+(1-Assumptions!$B$32)*Assumptions!$B$33*T8</f>
        <v>37.44000000000001</v>
      </c>
      <c r="U9" s="52">
        <f>Assumptions!$B$32*U6+(1-Assumptions!$B$32)*Assumptions!$B$33*U8</f>
        <v>14.976000000000003</v>
      </c>
      <c r="V9" s="52">
        <f>Assumptions!$B$32*V6+(1-Assumptions!$B$32)*Assumptions!$B$33*V8</f>
        <v>5.990400000000002</v>
      </c>
      <c r="W9" s="52">
        <f>Assumptions!$B$32*W6+(1-Assumptions!$B$32)*Assumptions!$B$33*W8</f>
        <v>2.396160000000001</v>
      </c>
      <c r="X9" s="52">
        <f>Assumptions!$B$32*X6+(1-Assumptions!$B$32)*Assumptions!$B$33*X8</f>
        <v>0.9584640000000004</v>
      </c>
      <c r="Y9" s="52">
        <f>Assumptions!$B$32*Y6+(1-Assumptions!$B$32)*Assumptions!$B$33*Y8</f>
        <v>0.3833856000000002</v>
      </c>
      <c r="Z9" s="52">
        <f>Assumptions!$B$32*Z6+(1-Assumptions!$B$32)*Assumptions!$B$33*Z8</f>
        <v>0.15335424000000009</v>
      </c>
    </row>
    <row r="10">
      <c r="A10" s="13" t="inlineStr">
        <is>
          <t>Company revenue, risk-adjusted (incl. milestones)</t>
        </is>
      </c>
      <c r="C10" s="52">
        <f>C9*Assumptions!$B$50+Assumptions!$B$32*IFERROR(INDEX(Assumptions!$B$62:$K$62,MATCH(C$2-Assumptions!$B$47,Assumptions!$B$61:$K$61,0)),0)+(1-Assumptions!$B$32)*Assumptions!$B$33*IFERROR(INDEX(Assumptions!$B$62:$K$62,MATCH(C$2-Assumptions!$B$47-Assumptions!$B$34,Assumptions!$B$61:$K$61,0)),0)</f>
        <v>216.0</v>
      </c>
      <c r="D10" s="52">
        <f>D9*Assumptions!$B$50+Assumptions!$B$32*IFERROR(INDEX(Assumptions!$B$62:$K$62,MATCH(D$2-Assumptions!$B$47,Assumptions!$B$61:$K$61,0)),0)+(1-Assumptions!$B$32)*Assumptions!$B$33*IFERROR(INDEX(Assumptions!$B$62:$K$62,MATCH(D$2-Assumptions!$B$47-Assumptions!$B$34,Assumptions!$B$61:$K$61,0)),0)</f>
        <v>207.0</v>
      </c>
      <c r="E10" s="52">
        <f>E9*Assumptions!$B$50+Assumptions!$B$32*IFERROR(INDEX(Assumptions!$B$62:$K$62,MATCH(E$2-Assumptions!$B$47,Assumptions!$B$61:$K$61,0)),0)+(1-Assumptions!$B$32)*Assumptions!$B$33*IFERROR(INDEX(Assumptions!$B$62:$K$62,MATCH(E$2-Assumptions!$B$47-Assumptions!$B$34,Assumptions!$B$61:$K$61,0)),0)</f>
        <v>312.75</v>
      </c>
      <c r="F10" s="52">
        <f>F9*Assumptions!$B$50+Assumptions!$B$32*IFERROR(INDEX(Assumptions!$B$62:$K$62,MATCH(F$2-Assumptions!$B$47,Assumptions!$B$61:$K$61,0)),0)+(1-Assumptions!$B$32)*Assumptions!$B$33*IFERROR(INDEX(Assumptions!$B$62:$K$62,MATCH(F$2-Assumptions!$B$47-Assumptions!$B$34,Assumptions!$B$61:$K$61,0)),0)</f>
        <v>429.75</v>
      </c>
      <c r="G10" s="52">
        <f>G9*Assumptions!$B$50+Assumptions!$B$32*IFERROR(INDEX(Assumptions!$B$62:$K$62,MATCH(G$2-Assumptions!$B$47,Assumptions!$B$61:$K$61,0)),0)+(1-Assumptions!$B$32)*Assumptions!$B$33*IFERROR(INDEX(Assumptions!$B$62:$K$62,MATCH(G$2-Assumptions!$B$47-Assumptions!$B$34,Assumptions!$B$61:$K$61,0)),0)</f>
        <v>519.75</v>
      </c>
      <c r="H10" s="52">
        <f>H9*Assumptions!$B$50+Assumptions!$B$32*IFERROR(INDEX(Assumptions!$B$62:$K$62,MATCH(H$2-Assumptions!$B$47,Assumptions!$B$61:$K$61,0)),0)+(1-Assumptions!$B$32)*Assumptions!$B$33*IFERROR(INDEX(Assumptions!$B$62:$K$62,MATCH(H$2-Assumptions!$B$47-Assumptions!$B$34,Assumptions!$B$61:$K$61,0)),0)</f>
        <v>580.5</v>
      </c>
      <c r="I10" s="52">
        <f>I9*Assumptions!$B$50+Assumptions!$B$32*IFERROR(INDEX(Assumptions!$B$62:$K$62,MATCH(I$2-Assumptions!$B$47,Assumptions!$B$61:$K$61,0)),0)+(1-Assumptions!$B$32)*Assumptions!$B$33*IFERROR(INDEX(Assumptions!$B$62:$K$62,MATCH(I$2-Assumptions!$B$47-Assumptions!$B$34,Assumptions!$B$61:$K$61,0)),0)</f>
        <v>585.0</v>
      </c>
      <c r="J10" s="52">
        <f>J9*Assumptions!$B$50+Assumptions!$B$32*IFERROR(INDEX(Assumptions!$B$62:$K$62,MATCH(J$2-Assumptions!$B$47,Assumptions!$B$61:$K$61,0)),0)+(1-Assumptions!$B$32)*Assumptions!$B$33*IFERROR(INDEX(Assumptions!$B$62:$K$62,MATCH(J$2-Assumptions!$B$47-Assumptions!$B$34,Assumptions!$B$61:$K$61,0)),0)</f>
        <v>585.0</v>
      </c>
      <c r="K10" s="52">
        <f>K9*Assumptions!$B$50+Assumptions!$B$32*IFERROR(INDEX(Assumptions!$B$62:$K$62,MATCH(K$2-Assumptions!$B$47,Assumptions!$B$61:$K$61,0)),0)+(1-Assumptions!$B$32)*Assumptions!$B$33*IFERROR(INDEX(Assumptions!$B$62:$K$62,MATCH(K$2-Assumptions!$B$47-Assumptions!$B$34,Assumptions!$B$61:$K$61,0)),0)</f>
        <v>585.0</v>
      </c>
      <c r="L10" s="52">
        <f>L9*Assumptions!$B$50+Assumptions!$B$32*IFERROR(INDEX(Assumptions!$B$62:$K$62,MATCH(L$2-Assumptions!$B$47,Assumptions!$B$61:$K$61,0)),0)+(1-Assumptions!$B$32)*Assumptions!$B$33*IFERROR(INDEX(Assumptions!$B$62:$K$62,MATCH(L$2-Assumptions!$B$47-Assumptions!$B$34,Assumptions!$B$61:$K$61,0)),0)</f>
        <v>585.0</v>
      </c>
      <c r="M10" s="52">
        <f>M9*Assumptions!$B$50+Assumptions!$B$32*IFERROR(INDEX(Assumptions!$B$62:$K$62,MATCH(M$2-Assumptions!$B$47,Assumptions!$B$61:$K$61,0)),0)+(1-Assumptions!$B$32)*Assumptions!$B$33*IFERROR(INDEX(Assumptions!$B$62:$K$62,MATCH(M$2-Assumptions!$B$47-Assumptions!$B$34,Assumptions!$B$61:$K$61,0)),0)</f>
        <v>585.0</v>
      </c>
      <c r="N10" s="52">
        <f>N9*Assumptions!$B$50+Assumptions!$B$32*IFERROR(INDEX(Assumptions!$B$62:$K$62,MATCH(N$2-Assumptions!$B$47,Assumptions!$B$61:$K$61,0)),0)+(1-Assumptions!$B$32)*Assumptions!$B$33*IFERROR(INDEX(Assumptions!$B$62:$K$62,MATCH(N$2-Assumptions!$B$47-Assumptions!$B$34,Assumptions!$B$61:$K$61,0)),0)</f>
        <v>585.0</v>
      </c>
      <c r="O10" s="52">
        <f>O9*Assumptions!$B$50+Assumptions!$B$32*IFERROR(INDEX(Assumptions!$B$62:$K$62,MATCH(O$2-Assumptions!$B$47,Assumptions!$B$61:$K$61,0)),0)+(1-Assumptions!$B$32)*Assumptions!$B$33*IFERROR(INDEX(Assumptions!$B$62:$K$62,MATCH(O$2-Assumptions!$B$47-Assumptions!$B$34,Assumptions!$B$61:$K$61,0)),0)</f>
        <v>585.0</v>
      </c>
      <c r="P10" s="52">
        <f>P9*Assumptions!$B$50+Assumptions!$B$32*IFERROR(INDEX(Assumptions!$B$62:$K$62,MATCH(P$2-Assumptions!$B$47,Assumptions!$B$61:$K$61,0)),0)+(1-Assumptions!$B$32)*Assumptions!$B$33*IFERROR(INDEX(Assumptions!$B$62:$K$62,MATCH(P$2-Assumptions!$B$47-Assumptions!$B$34,Assumptions!$B$61:$K$61,0)),0)</f>
        <v>585.0</v>
      </c>
      <c r="Q10" s="52">
        <f>Q9*Assumptions!$B$50+Assumptions!$B$32*IFERROR(INDEX(Assumptions!$B$62:$K$62,MATCH(Q$2-Assumptions!$B$47,Assumptions!$B$61:$K$61,0)),0)+(1-Assumptions!$B$32)*Assumptions!$B$33*IFERROR(INDEX(Assumptions!$B$62:$K$62,MATCH(Q$2-Assumptions!$B$47-Assumptions!$B$34,Assumptions!$B$61:$K$61,0)),0)</f>
        <v>585.0</v>
      </c>
      <c r="R10" s="52">
        <f>R9*Assumptions!$B$50+Assumptions!$B$32*IFERROR(INDEX(Assumptions!$B$62:$K$62,MATCH(R$2-Assumptions!$B$47,Assumptions!$B$61:$K$61,0)),0)+(1-Assumptions!$B$32)*Assumptions!$B$33*IFERROR(INDEX(Assumptions!$B$62:$K$62,MATCH(R$2-Assumptions!$B$47-Assumptions!$B$34,Assumptions!$B$61:$K$61,0)),0)</f>
        <v>234.0</v>
      </c>
      <c r="S10" s="52">
        <f>S9*Assumptions!$B$50+Assumptions!$B$32*IFERROR(INDEX(Assumptions!$B$62:$K$62,MATCH(S$2-Assumptions!$B$47,Assumptions!$B$61:$K$61,0)),0)+(1-Assumptions!$B$32)*Assumptions!$B$33*IFERROR(INDEX(Assumptions!$B$62:$K$62,MATCH(S$2-Assumptions!$B$47-Assumptions!$B$34,Assumptions!$B$61:$K$61,0)),0)</f>
        <v>93.60000000000001</v>
      </c>
      <c r="T10" s="52">
        <f>T9*Assumptions!$B$50+Assumptions!$B$32*IFERROR(INDEX(Assumptions!$B$62:$K$62,MATCH(T$2-Assumptions!$B$47,Assumptions!$B$61:$K$61,0)),0)+(1-Assumptions!$B$32)*Assumptions!$B$33*IFERROR(INDEX(Assumptions!$B$62:$K$62,MATCH(T$2-Assumptions!$B$47-Assumptions!$B$34,Assumptions!$B$61:$K$61,0)),0)</f>
        <v>37.44000000000001</v>
      </c>
      <c r="U10" s="52">
        <f>U9*Assumptions!$B$50+Assumptions!$B$32*IFERROR(INDEX(Assumptions!$B$62:$K$62,MATCH(U$2-Assumptions!$B$47,Assumptions!$B$61:$K$61,0)),0)+(1-Assumptions!$B$32)*Assumptions!$B$33*IFERROR(INDEX(Assumptions!$B$62:$K$62,MATCH(U$2-Assumptions!$B$47-Assumptions!$B$34,Assumptions!$B$61:$K$61,0)),0)</f>
        <v>14.976000000000003</v>
      </c>
      <c r="V10" s="52">
        <f>V9*Assumptions!$B$50+Assumptions!$B$32*IFERROR(INDEX(Assumptions!$B$62:$K$62,MATCH(V$2-Assumptions!$B$47,Assumptions!$B$61:$K$61,0)),0)+(1-Assumptions!$B$32)*Assumptions!$B$33*IFERROR(INDEX(Assumptions!$B$62:$K$62,MATCH(V$2-Assumptions!$B$47-Assumptions!$B$34,Assumptions!$B$61:$K$61,0)),0)</f>
        <v>5.990400000000002</v>
      </c>
      <c r="W10" s="52">
        <f>W9*Assumptions!$B$50+Assumptions!$B$32*IFERROR(INDEX(Assumptions!$B$62:$K$62,MATCH(W$2-Assumptions!$B$47,Assumptions!$B$61:$K$61,0)),0)+(1-Assumptions!$B$32)*Assumptions!$B$33*IFERROR(INDEX(Assumptions!$B$62:$K$62,MATCH(W$2-Assumptions!$B$47-Assumptions!$B$34,Assumptions!$B$61:$K$61,0)),0)</f>
        <v>2.396160000000001</v>
      </c>
      <c r="X10" s="52">
        <f>X9*Assumptions!$B$50+Assumptions!$B$32*IFERROR(INDEX(Assumptions!$B$62:$K$62,MATCH(X$2-Assumptions!$B$47,Assumptions!$B$61:$K$61,0)),0)+(1-Assumptions!$B$32)*Assumptions!$B$33*IFERROR(INDEX(Assumptions!$B$62:$K$62,MATCH(X$2-Assumptions!$B$47-Assumptions!$B$34,Assumptions!$B$61:$K$61,0)),0)</f>
        <v>0.9584640000000004</v>
      </c>
      <c r="Y10" s="52">
        <f>Y9*Assumptions!$B$50+Assumptions!$B$32*IFERROR(INDEX(Assumptions!$B$62:$K$62,MATCH(Y$2-Assumptions!$B$47,Assumptions!$B$61:$K$61,0)),0)+(1-Assumptions!$B$32)*Assumptions!$B$33*IFERROR(INDEX(Assumptions!$B$62:$K$62,MATCH(Y$2-Assumptions!$B$47-Assumptions!$B$34,Assumptions!$B$61:$K$61,0)),0)</f>
        <v>0.3833856000000002</v>
      </c>
      <c r="Z10" s="52">
        <f>Z9*Assumptions!$B$50+Assumptions!$B$32*IFERROR(INDEX(Assumptions!$B$62:$K$62,MATCH(Z$2-Assumptions!$B$47,Assumptions!$B$61:$K$61,0)),0)+(1-Assumptions!$B$32)*Assumptions!$B$33*IFERROR(INDEX(Assumptions!$B$62:$K$62,MATCH(Z$2-Assumptions!$B$47-Assumptions!$B$34,Assumptions!$B$61:$K$61,0)),0)</f>
        <v>0.15335424000000009</v>
      </c>
    </row>
    <row r="11">
      <c r="A11" s="13" t="inlineStr">
        <is>
          <t>COGS + royalties, risk-adjusted</t>
        </is>
      </c>
      <c r="C11" s="52">
        <f>C9*(Assumptions!$B$51+Assumptions!$B$52)</f>
        <v>3.24</v>
      </c>
      <c r="D11" s="52">
        <f>D9*(Assumptions!$B$51+Assumptions!$B$52)</f>
        <v>7.83</v>
      </c>
      <c r="E11" s="52">
        <f>E9*(Assumptions!$B$51+Assumptions!$B$52)</f>
        <v>12.51</v>
      </c>
      <c r="F11" s="52">
        <f>F9*(Assumptions!$B$51+Assumptions!$B$52)</f>
        <v>17.19</v>
      </c>
      <c r="G11" s="52">
        <f>G9*(Assumptions!$B$51+Assumptions!$B$52)</f>
        <v>20.79</v>
      </c>
      <c r="H11" s="52">
        <f>H9*(Assumptions!$B$51+Assumptions!$B$52)</f>
        <v>23.22</v>
      </c>
      <c r="I11" s="52">
        <f>I9*(Assumptions!$B$51+Assumptions!$B$52)</f>
        <v>23.400000000000002</v>
      </c>
      <c r="J11" s="52">
        <f>J9*(Assumptions!$B$51+Assumptions!$B$52)</f>
        <v>23.400000000000002</v>
      </c>
      <c r="K11" s="52">
        <f>K9*(Assumptions!$B$51+Assumptions!$B$52)</f>
        <v>23.400000000000002</v>
      </c>
      <c r="L11" s="52">
        <f>L9*(Assumptions!$B$51+Assumptions!$B$52)</f>
        <v>23.400000000000002</v>
      </c>
      <c r="M11" s="52">
        <f>M9*(Assumptions!$B$51+Assumptions!$B$52)</f>
        <v>23.400000000000002</v>
      </c>
      <c r="N11" s="52">
        <f>N9*(Assumptions!$B$51+Assumptions!$B$52)</f>
        <v>23.400000000000002</v>
      </c>
      <c r="O11" s="52">
        <f>O9*(Assumptions!$B$51+Assumptions!$B$52)</f>
        <v>23.400000000000002</v>
      </c>
      <c r="P11" s="52">
        <f>P9*(Assumptions!$B$51+Assumptions!$B$52)</f>
        <v>23.400000000000002</v>
      </c>
      <c r="Q11" s="52">
        <f>Q9*(Assumptions!$B$51+Assumptions!$B$52)</f>
        <v>23.400000000000002</v>
      </c>
      <c r="R11" s="52">
        <f>R9*(Assumptions!$B$51+Assumptions!$B$52)</f>
        <v>9.36</v>
      </c>
      <c r="S11" s="52">
        <f>S9*(Assumptions!$B$51+Assumptions!$B$52)</f>
        <v>3.744</v>
      </c>
      <c r="T11" s="52">
        <f>T9*(Assumptions!$B$51+Assumptions!$B$52)</f>
        <v>1.4976000000000005</v>
      </c>
      <c r="U11" s="52">
        <f>U9*(Assumptions!$B$51+Assumptions!$B$52)</f>
        <v>0.5990400000000001</v>
      </c>
      <c r="V11" s="52">
        <f>V9*(Assumptions!$B$51+Assumptions!$B$52)</f>
        <v>0.23961600000000008</v>
      </c>
      <c r="W11" s="52">
        <f>W9*(Assumptions!$B$51+Assumptions!$B$52)</f>
        <v>0.09584640000000004</v>
      </c>
      <c r="X11" s="52">
        <f>X9*(Assumptions!$B$51+Assumptions!$B$52)</f>
        <v>0.038338560000000015</v>
      </c>
      <c r="Y11" s="52">
        <f>Y9*(Assumptions!$B$51+Assumptions!$B$52)</f>
        <v>0.015335424000000009</v>
      </c>
      <c r="Z11" s="52">
        <f>Z9*(Assumptions!$B$51+Assumptions!$B$52)</f>
        <v>0.006134169600000004</v>
      </c>
    </row>
    <row r="12">
      <c r="A12" s="13" t="inlineStr">
        <is>
          <t>Commercial SG&amp;A, risk-adjusted</t>
        </is>
      </c>
      <c r="C12" s="52">
        <f>Assumptions!$B$32*IF(Assumptions!$B$53=0,0,IF(C5=0,Assumptions!$B$54,IF(C5&gt;=1,C6*IF(OR(Assumptions!$B$50&lt;1,C5&gt;5),Assumptions!$B$53,MAX(Assumptions!$B$53,INDEX(Assumptions!$B$44:$F$44,C5))),0)))+(1-Assumptions!$B$32)*Assumptions!$B$33*IF(Assumptions!$B$53=0,0,IF(C7=0,Assumptions!$B$54,IF(C7&gt;=1,C8*IF(OR(Assumptions!$B$50&lt;1,C7&gt;5),Assumptions!$B$53,MAX(Assumptions!$B$53,INDEX(Assumptions!$B$44:$F$44,C7))),0)))</f>
        <v>74.775</v>
      </c>
      <c r="D12" s="52">
        <f>Assumptions!$B$32*IF(Assumptions!$B$53=0,0,IF(D5=0,Assumptions!$B$54,IF(D5&gt;=1,D6*IF(OR(Assumptions!$B$50&lt;1,D5&gt;5),Assumptions!$B$53,MAX(Assumptions!$B$53,INDEX(Assumptions!$B$44:$F$44,D5))),0)))+(1-Assumptions!$B$32)*Assumptions!$B$33*IF(Assumptions!$B$53=0,0,IF(D7=0,Assumptions!$B$54,IF(D7&gt;=1,D8*IF(OR(Assumptions!$B$50&lt;1,D7&gt;5),Assumptions!$B$53,MAX(Assumptions!$B$53,INDEX(Assumptions!$B$44:$F$44,D7))),0)))</f>
        <v>110.02500000000002</v>
      </c>
      <c r="E12" s="52">
        <f>Assumptions!$B$32*IF(Assumptions!$B$53=0,0,IF(E5=0,Assumptions!$B$54,IF(E5&gt;=1,E6*IF(OR(Assumptions!$B$50&lt;1,E5&gt;5),Assumptions!$B$53,MAX(Assumptions!$B$53,INDEX(Assumptions!$B$44:$F$44,E5))),0)))+(1-Assumptions!$B$32)*Assumptions!$B$33*IF(Assumptions!$B$53=0,0,IF(E7=0,Assumptions!$B$54,IF(E7&gt;=1,E8*IF(OR(Assumptions!$B$50&lt;1,E7&gt;5),Assumptions!$B$53,MAX(Assumptions!$B$53,INDEX(Assumptions!$B$44:$F$44,E7))),0)))</f>
        <v>127.46249999999999</v>
      </c>
      <c r="F12" s="52">
        <f>Assumptions!$B$32*IF(Assumptions!$B$53=0,0,IF(F5=0,Assumptions!$B$54,IF(F5&gt;=1,F6*IF(OR(Assumptions!$B$50&lt;1,F5&gt;5),Assumptions!$B$53,MAX(Assumptions!$B$53,INDEX(Assumptions!$B$44:$F$44,F5))),0)))+(1-Assumptions!$B$32)*Assumptions!$B$33*IF(Assumptions!$B$53=0,0,IF(F7=0,Assumptions!$B$54,IF(F7&gt;=1,F8*IF(OR(Assumptions!$B$50&lt;1,F7&gt;5),Assumptions!$B$53,MAX(Assumptions!$B$53,INDEX(Assumptions!$B$44:$F$44,F7))),0)))</f>
        <v>139.5</v>
      </c>
      <c r="G12" s="52">
        <f>Assumptions!$B$32*IF(Assumptions!$B$53=0,0,IF(G5=0,Assumptions!$B$54,IF(G5&gt;=1,G6*IF(OR(Assumptions!$B$50&lt;1,G5&gt;5),Assumptions!$B$53,MAX(Assumptions!$B$53,INDEX(Assumptions!$B$44:$F$44,G5))),0)))+(1-Assumptions!$B$32)*Assumptions!$B$33*IF(Assumptions!$B$53=0,0,IF(G7=0,Assumptions!$B$54,IF(G7&gt;=1,G8*IF(OR(Assumptions!$B$50&lt;1,G7&gt;5),Assumptions!$B$53,MAX(Assumptions!$B$53,INDEX(Assumptions!$B$44:$F$44,G7))),0)))</f>
        <v>146.88</v>
      </c>
      <c r="H12" s="52">
        <f>Assumptions!$B$32*IF(Assumptions!$B$53=0,0,IF(H5=0,Assumptions!$B$54,IF(H5&gt;=1,H6*IF(OR(Assumptions!$B$50&lt;1,H5&gt;5),Assumptions!$B$53,MAX(Assumptions!$B$53,INDEX(Assumptions!$B$44:$F$44,H5))),0)))+(1-Assumptions!$B$32)*Assumptions!$B$33*IF(Assumptions!$B$53=0,0,IF(H7=0,Assumptions!$B$54,IF(H7&gt;=1,H8*IF(OR(Assumptions!$B$50&lt;1,H7&gt;5),Assumptions!$B$53,MAX(Assumptions!$B$53,INDEX(Assumptions!$B$44:$F$44,H7))),0)))</f>
        <v>146.34</v>
      </c>
      <c r="I12" s="52">
        <f>Assumptions!$B$32*IF(Assumptions!$B$53=0,0,IF(I5=0,Assumptions!$B$54,IF(I5&gt;=1,I6*IF(OR(Assumptions!$B$50&lt;1,I5&gt;5),Assumptions!$B$53,MAX(Assumptions!$B$53,INDEX(Assumptions!$B$44:$F$44,I5))),0)))+(1-Assumptions!$B$32)*Assumptions!$B$33*IF(Assumptions!$B$53=0,0,IF(I7=0,Assumptions!$B$54,IF(I7&gt;=1,I8*IF(OR(Assumptions!$B$50&lt;1,I7&gt;5),Assumptions!$B$53,MAX(Assumptions!$B$53,INDEX(Assumptions!$B$44:$F$44,I7))),0)))</f>
        <v>146.25</v>
      </c>
      <c r="J12" s="52">
        <f>Assumptions!$B$32*IF(Assumptions!$B$53=0,0,IF(J5=0,Assumptions!$B$54,IF(J5&gt;=1,J6*IF(OR(Assumptions!$B$50&lt;1,J5&gt;5),Assumptions!$B$53,MAX(Assumptions!$B$53,INDEX(Assumptions!$B$44:$F$44,J5))),0)))+(1-Assumptions!$B$32)*Assumptions!$B$33*IF(Assumptions!$B$53=0,0,IF(J7=0,Assumptions!$B$54,IF(J7&gt;=1,J8*IF(OR(Assumptions!$B$50&lt;1,J7&gt;5),Assumptions!$B$53,MAX(Assumptions!$B$53,INDEX(Assumptions!$B$44:$F$44,J7))),0)))</f>
        <v>146.25</v>
      </c>
      <c r="K12" s="52">
        <f>Assumptions!$B$32*IF(Assumptions!$B$53=0,0,IF(K5=0,Assumptions!$B$54,IF(K5&gt;=1,K6*IF(OR(Assumptions!$B$50&lt;1,K5&gt;5),Assumptions!$B$53,MAX(Assumptions!$B$53,INDEX(Assumptions!$B$44:$F$44,K5))),0)))+(1-Assumptions!$B$32)*Assumptions!$B$33*IF(Assumptions!$B$53=0,0,IF(K7=0,Assumptions!$B$54,IF(K7&gt;=1,K8*IF(OR(Assumptions!$B$50&lt;1,K7&gt;5),Assumptions!$B$53,MAX(Assumptions!$B$53,INDEX(Assumptions!$B$44:$F$44,K7))),0)))</f>
        <v>146.25</v>
      </c>
      <c r="L12" s="52">
        <f>Assumptions!$B$32*IF(Assumptions!$B$53=0,0,IF(L5=0,Assumptions!$B$54,IF(L5&gt;=1,L6*IF(OR(Assumptions!$B$50&lt;1,L5&gt;5),Assumptions!$B$53,MAX(Assumptions!$B$53,INDEX(Assumptions!$B$44:$F$44,L5))),0)))+(1-Assumptions!$B$32)*Assumptions!$B$33*IF(Assumptions!$B$53=0,0,IF(L7=0,Assumptions!$B$54,IF(L7&gt;=1,L8*IF(OR(Assumptions!$B$50&lt;1,L7&gt;5),Assumptions!$B$53,MAX(Assumptions!$B$53,INDEX(Assumptions!$B$44:$F$44,L7))),0)))</f>
        <v>146.25</v>
      </c>
      <c r="M12" s="52">
        <f>Assumptions!$B$32*IF(Assumptions!$B$53=0,0,IF(M5=0,Assumptions!$B$54,IF(M5&gt;=1,M6*IF(OR(Assumptions!$B$50&lt;1,M5&gt;5),Assumptions!$B$53,MAX(Assumptions!$B$53,INDEX(Assumptions!$B$44:$F$44,M5))),0)))+(1-Assumptions!$B$32)*Assumptions!$B$33*IF(Assumptions!$B$53=0,0,IF(M7=0,Assumptions!$B$54,IF(M7&gt;=1,M8*IF(OR(Assumptions!$B$50&lt;1,M7&gt;5),Assumptions!$B$53,MAX(Assumptions!$B$53,INDEX(Assumptions!$B$44:$F$44,M7))),0)))</f>
        <v>146.25</v>
      </c>
      <c r="N12" s="52">
        <f>Assumptions!$B$32*IF(Assumptions!$B$53=0,0,IF(N5=0,Assumptions!$B$54,IF(N5&gt;=1,N6*IF(OR(Assumptions!$B$50&lt;1,N5&gt;5),Assumptions!$B$53,MAX(Assumptions!$B$53,INDEX(Assumptions!$B$44:$F$44,N5))),0)))+(1-Assumptions!$B$32)*Assumptions!$B$33*IF(Assumptions!$B$53=0,0,IF(N7=0,Assumptions!$B$54,IF(N7&gt;=1,N8*IF(OR(Assumptions!$B$50&lt;1,N7&gt;5),Assumptions!$B$53,MAX(Assumptions!$B$53,INDEX(Assumptions!$B$44:$F$44,N7))),0)))</f>
        <v>146.25</v>
      </c>
      <c r="O12" s="52">
        <f>Assumptions!$B$32*IF(Assumptions!$B$53=0,0,IF(O5=0,Assumptions!$B$54,IF(O5&gt;=1,O6*IF(OR(Assumptions!$B$50&lt;1,O5&gt;5),Assumptions!$B$53,MAX(Assumptions!$B$53,INDEX(Assumptions!$B$44:$F$44,O5))),0)))+(1-Assumptions!$B$32)*Assumptions!$B$33*IF(Assumptions!$B$53=0,0,IF(O7=0,Assumptions!$B$54,IF(O7&gt;=1,O8*IF(OR(Assumptions!$B$50&lt;1,O7&gt;5),Assumptions!$B$53,MAX(Assumptions!$B$53,INDEX(Assumptions!$B$44:$F$44,O7))),0)))</f>
        <v>146.25</v>
      </c>
      <c r="P12" s="52">
        <f>Assumptions!$B$32*IF(Assumptions!$B$53=0,0,IF(P5=0,Assumptions!$B$54,IF(P5&gt;=1,P6*IF(OR(Assumptions!$B$50&lt;1,P5&gt;5),Assumptions!$B$53,MAX(Assumptions!$B$53,INDEX(Assumptions!$B$44:$F$44,P5))),0)))+(1-Assumptions!$B$32)*Assumptions!$B$33*IF(Assumptions!$B$53=0,0,IF(P7=0,Assumptions!$B$54,IF(P7&gt;=1,P8*IF(OR(Assumptions!$B$50&lt;1,P7&gt;5),Assumptions!$B$53,MAX(Assumptions!$B$53,INDEX(Assumptions!$B$44:$F$44,P7))),0)))</f>
        <v>146.25</v>
      </c>
      <c r="Q12" s="52">
        <f>Assumptions!$B$32*IF(Assumptions!$B$53=0,0,IF(Q5=0,Assumptions!$B$54,IF(Q5&gt;=1,Q6*IF(OR(Assumptions!$B$50&lt;1,Q5&gt;5),Assumptions!$B$53,MAX(Assumptions!$B$53,INDEX(Assumptions!$B$44:$F$44,Q5))),0)))+(1-Assumptions!$B$32)*Assumptions!$B$33*IF(Assumptions!$B$53=0,0,IF(Q7=0,Assumptions!$B$54,IF(Q7&gt;=1,Q8*IF(OR(Assumptions!$B$50&lt;1,Q7&gt;5),Assumptions!$B$53,MAX(Assumptions!$B$53,INDEX(Assumptions!$B$44:$F$44,Q7))),0)))</f>
        <v>146.25</v>
      </c>
      <c r="R12" s="52">
        <f>Assumptions!$B$32*IF(Assumptions!$B$53=0,0,IF(R5=0,Assumptions!$B$54,IF(R5&gt;=1,R6*IF(OR(Assumptions!$B$50&lt;1,R5&gt;5),Assumptions!$B$53,MAX(Assumptions!$B$53,INDEX(Assumptions!$B$44:$F$44,R5))),0)))+(1-Assumptions!$B$32)*Assumptions!$B$33*IF(Assumptions!$B$53=0,0,IF(R7=0,Assumptions!$B$54,IF(R7&gt;=1,R8*IF(OR(Assumptions!$B$50&lt;1,R7&gt;5),Assumptions!$B$53,MAX(Assumptions!$B$53,INDEX(Assumptions!$B$44:$F$44,R7))),0)))</f>
        <v>58.5</v>
      </c>
      <c r="S12" s="52">
        <f>Assumptions!$B$32*IF(Assumptions!$B$53=0,0,IF(S5=0,Assumptions!$B$54,IF(S5&gt;=1,S6*IF(OR(Assumptions!$B$50&lt;1,S5&gt;5),Assumptions!$B$53,MAX(Assumptions!$B$53,INDEX(Assumptions!$B$44:$F$44,S5))),0)))+(1-Assumptions!$B$32)*Assumptions!$B$33*IF(Assumptions!$B$53=0,0,IF(S7=0,Assumptions!$B$54,IF(S7&gt;=1,S8*IF(OR(Assumptions!$B$50&lt;1,S7&gt;5),Assumptions!$B$53,MAX(Assumptions!$B$53,INDEX(Assumptions!$B$44:$F$44,S7))),0)))</f>
        <v>23.400000000000002</v>
      </c>
      <c r="T12" s="52">
        <f>Assumptions!$B$32*IF(Assumptions!$B$53=0,0,IF(T5=0,Assumptions!$B$54,IF(T5&gt;=1,T6*IF(OR(Assumptions!$B$50&lt;1,T5&gt;5),Assumptions!$B$53,MAX(Assumptions!$B$53,INDEX(Assumptions!$B$44:$F$44,T5))),0)))+(1-Assumptions!$B$32)*Assumptions!$B$33*IF(Assumptions!$B$53=0,0,IF(T7=0,Assumptions!$B$54,IF(T7&gt;=1,T8*IF(OR(Assumptions!$B$50&lt;1,T7&gt;5),Assumptions!$B$53,MAX(Assumptions!$B$53,INDEX(Assumptions!$B$44:$F$44,T7))),0)))</f>
        <v>9.360000000000003</v>
      </c>
      <c r="U12" s="52">
        <f>Assumptions!$B$32*IF(Assumptions!$B$53=0,0,IF(U5=0,Assumptions!$B$54,IF(U5&gt;=1,U6*IF(OR(Assumptions!$B$50&lt;1,U5&gt;5),Assumptions!$B$53,MAX(Assumptions!$B$53,INDEX(Assumptions!$B$44:$F$44,U5))),0)))+(1-Assumptions!$B$32)*Assumptions!$B$33*IF(Assumptions!$B$53=0,0,IF(U7=0,Assumptions!$B$54,IF(U7&gt;=1,U8*IF(OR(Assumptions!$B$50&lt;1,U7&gt;5),Assumptions!$B$53,MAX(Assumptions!$B$53,INDEX(Assumptions!$B$44:$F$44,U7))),0)))</f>
        <v>3.7440000000000007</v>
      </c>
      <c r="V12" s="52">
        <f>Assumptions!$B$32*IF(Assumptions!$B$53=0,0,IF(V5=0,Assumptions!$B$54,IF(V5&gt;=1,V6*IF(OR(Assumptions!$B$50&lt;1,V5&gt;5),Assumptions!$B$53,MAX(Assumptions!$B$53,INDEX(Assumptions!$B$44:$F$44,V5))),0)))+(1-Assumptions!$B$32)*Assumptions!$B$33*IF(Assumptions!$B$53=0,0,IF(V7=0,Assumptions!$B$54,IF(V7&gt;=1,V8*IF(OR(Assumptions!$B$50&lt;1,V7&gt;5),Assumptions!$B$53,MAX(Assumptions!$B$53,INDEX(Assumptions!$B$44:$F$44,V7))),0)))</f>
        <v>1.4976000000000005</v>
      </c>
      <c r="W12" s="52">
        <f>Assumptions!$B$32*IF(Assumptions!$B$53=0,0,IF(W5=0,Assumptions!$B$54,IF(W5&gt;=1,W6*IF(OR(Assumptions!$B$50&lt;1,W5&gt;5),Assumptions!$B$53,MAX(Assumptions!$B$53,INDEX(Assumptions!$B$44:$F$44,W5))),0)))+(1-Assumptions!$B$32)*Assumptions!$B$33*IF(Assumptions!$B$53=0,0,IF(W7=0,Assumptions!$B$54,IF(W7&gt;=1,W8*IF(OR(Assumptions!$B$50&lt;1,W7&gt;5),Assumptions!$B$53,MAX(Assumptions!$B$53,INDEX(Assumptions!$B$44:$F$44,W7))),0)))</f>
        <v>0.5990400000000002</v>
      </c>
      <c r="X12" s="52">
        <f>Assumptions!$B$32*IF(Assumptions!$B$53=0,0,IF(X5=0,Assumptions!$B$54,IF(X5&gt;=1,X6*IF(OR(Assumptions!$B$50&lt;1,X5&gt;5),Assumptions!$B$53,MAX(Assumptions!$B$53,INDEX(Assumptions!$B$44:$F$44,X5))),0)))+(1-Assumptions!$B$32)*Assumptions!$B$33*IF(Assumptions!$B$53=0,0,IF(X7=0,Assumptions!$B$54,IF(X7&gt;=1,X8*IF(OR(Assumptions!$B$50&lt;1,X7&gt;5),Assumptions!$B$53,MAX(Assumptions!$B$53,INDEX(Assumptions!$B$44:$F$44,X7))),0)))</f>
        <v>0.2396160000000001</v>
      </c>
      <c r="Y12" s="52">
        <f>Assumptions!$B$32*IF(Assumptions!$B$53=0,0,IF(Y5=0,Assumptions!$B$54,IF(Y5&gt;=1,Y6*IF(OR(Assumptions!$B$50&lt;1,Y5&gt;5),Assumptions!$B$53,MAX(Assumptions!$B$53,INDEX(Assumptions!$B$44:$F$44,Y5))),0)))+(1-Assumptions!$B$32)*Assumptions!$B$33*IF(Assumptions!$B$53=0,0,IF(Y7=0,Assumptions!$B$54,IF(Y7&gt;=1,Y8*IF(OR(Assumptions!$B$50&lt;1,Y7&gt;5),Assumptions!$B$53,MAX(Assumptions!$B$53,INDEX(Assumptions!$B$44:$F$44,Y7))),0)))</f>
        <v>0.09584640000000005</v>
      </c>
      <c r="Z12" s="52">
        <f>Assumptions!$B$32*IF(Assumptions!$B$53=0,0,IF(Z5=0,Assumptions!$B$54,IF(Z5&gt;=1,Z6*IF(OR(Assumptions!$B$50&lt;1,Z5&gt;5),Assumptions!$B$53,MAX(Assumptions!$B$53,INDEX(Assumptions!$B$44:$F$44,Z5))),0)))+(1-Assumptions!$B$32)*Assumptions!$B$33*IF(Assumptions!$B$53=0,0,IF(Z7=0,Assumptions!$B$54,IF(Z7&gt;=1,Z8*IF(OR(Assumptions!$B$50&lt;1,Z7&gt;5),Assumptions!$B$53,MAX(Assumptions!$B$53,INDEX(Assumptions!$B$44:$F$44,Z7))),0)))</f>
        <v>0.03833856000000002</v>
      </c>
    </row>
    <row r="13">
      <c r="A13" s="13" t="inlineStr">
        <is>
          <t>Development R&amp;D, risk-adjusted</t>
        </is>
      </c>
      <c r="C13" s="52">
        <f>IFERROR(INDEX(Assumptions!$B$59:$I$59,MATCH(C$2,Assumptions!$B$58:$I$58,0))*INDEX(Assumptions!$B$60:$I$60,MATCH(C$2,Assumptions!$B$58:$I$58,0)),0)</f>
        <v>10.0</v>
      </c>
      <c r="D13" s="52">
        <f>IFERROR(INDEX(Assumptions!$B$59:$I$59,MATCH(D$2,Assumptions!$B$58:$I$58,0))*INDEX(Assumptions!$B$60:$I$60,MATCH(D$2,Assumptions!$B$58:$I$58,0)),0)</f>
        <v>0.0</v>
      </c>
      <c r="E13" s="52">
        <f>IFERROR(INDEX(Assumptions!$B$59:$I$59,MATCH(E$2,Assumptions!$B$58:$I$58,0))*INDEX(Assumptions!$B$60:$I$60,MATCH(E$2,Assumptions!$B$58:$I$58,0)),0)</f>
        <v>0.0</v>
      </c>
      <c r="F13" s="52">
        <f>IFERROR(INDEX(Assumptions!$B$59:$I$59,MATCH(F$2,Assumptions!$B$58:$I$58,0))*INDEX(Assumptions!$B$60:$I$60,MATCH(F$2,Assumptions!$B$58:$I$58,0)),0)</f>
        <v>0.0</v>
      </c>
      <c r="G13" s="52">
        <f>IFERROR(INDEX(Assumptions!$B$59:$I$59,MATCH(G$2,Assumptions!$B$58:$I$58,0))*INDEX(Assumptions!$B$60:$I$60,MATCH(G$2,Assumptions!$B$58:$I$58,0)),0)</f>
        <v>0.0</v>
      </c>
      <c r="H13" s="52">
        <f>IFERROR(INDEX(Assumptions!$B$59:$I$59,MATCH(H$2,Assumptions!$B$58:$I$58,0))*INDEX(Assumptions!$B$60:$I$60,MATCH(H$2,Assumptions!$B$58:$I$58,0)),0)</f>
        <v>0.0</v>
      </c>
      <c r="I13" s="52">
        <f>IFERROR(INDEX(Assumptions!$B$59:$I$59,MATCH(I$2,Assumptions!$B$58:$I$58,0))*INDEX(Assumptions!$B$60:$I$60,MATCH(I$2,Assumptions!$B$58:$I$58,0)),0)</f>
        <v>0.0</v>
      </c>
      <c r="J13" s="52">
        <f>IFERROR(INDEX(Assumptions!$B$59:$I$59,MATCH(J$2,Assumptions!$B$58:$I$58,0))*INDEX(Assumptions!$B$60:$I$60,MATCH(J$2,Assumptions!$B$58:$I$58,0)),0)</f>
        <v>0.0</v>
      </c>
      <c r="K13" s="52">
        <f>IFERROR(INDEX(Assumptions!$B$59:$I$59,MATCH(K$2,Assumptions!$B$58:$I$58,0))*INDEX(Assumptions!$B$60:$I$60,MATCH(K$2,Assumptions!$B$58:$I$58,0)),0)</f>
        <v>0</v>
      </c>
      <c r="L13" s="52">
        <f>IFERROR(INDEX(Assumptions!$B$59:$I$59,MATCH(L$2,Assumptions!$B$58:$I$58,0))*INDEX(Assumptions!$B$60:$I$60,MATCH(L$2,Assumptions!$B$58:$I$58,0)),0)</f>
        <v>0</v>
      </c>
      <c r="M13" s="52">
        <f>IFERROR(INDEX(Assumptions!$B$59:$I$59,MATCH(M$2,Assumptions!$B$58:$I$58,0))*INDEX(Assumptions!$B$60:$I$60,MATCH(M$2,Assumptions!$B$58:$I$58,0)),0)</f>
        <v>0</v>
      </c>
      <c r="N13" s="52">
        <f>IFERROR(INDEX(Assumptions!$B$59:$I$59,MATCH(N$2,Assumptions!$B$58:$I$58,0))*INDEX(Assumptions!$B$60:$I$60,MATCH(N$2,Assumptions!$B$58:$I$58,0)),0)</f>
        <v>0</v>
      </c>
      <c r="O13" s="52">
        <f>IFERROR(INDEX(Assumptions!$B$59:$I$59,MATCH(O$2,Assumptions!$B$58:$I$58,0))*INDEX(Assumptions!$B$60:$I$60,MATCH(O$2,Assumptions!$B$58:$I$58,0)),0)</f>
        <v>0</v>
      </c>
      <c r="P13" s="52">
        <f>IFERROR(INDEX(Assumptions!$B$59:$I$59,MATCH(P$2,Assumptions!$B$58:$I$58,0))*INDEX(Assumptions!$B$60:$I$60,MATCH(P$2,Assumptions!$B$58:$I$58,0)),0)</f>
        <v>0</v>
      </c>
      <c r="Q13" s="52">
        <f>IFERROR(INDEX(Assumptions!$B$59:$I$59,MATCH(Q$2,Assumptions!$B$58:$I$58,0))*INDEX(Assumptions!$B$60:$I$60,MATCH(Q$2,Assumptions!$B$58:$I$58,0)),0)</f>
        <v>0</v>
      </c>
      <c r="R13" s="52">
        <f>IFERROR(INDEX(Assumptions!$B$59:$I$59,MATCH(R$2,Assumptions!$B$58:$I$58,0))*INDEX(Assumptions!$B$60:$I$60,MATCH(R$2,Assumptions!$B$58:$I$58,0)),0)</f>
        <v>0</v>
      </c>
      <c r="S13" s="52">
        <f>IFERROR(INDEX(Assumptions!$B$59:$I$59,MATCH(S$2,Assumptions!$B$58:$I$58,0))*INDEX(Assumptions!$B$60:$I$60,MATCH(S$2,Assumptions!$B$58:$I$58,0)),0)</f>
        <v>0</v>
      </c>
      <c r="T13" s="52">
        <f>IFERROR(INDEX(Assumptions!$B$59:$I$59,MATCH(T$2,Assumptions!$B$58:$I$58,0))*INDEX(Assumptions!$B$60:$I$60,MATCH(T$2,Assumptions!$B$58:$I$58,0)),0)</f>
        <v>0</v>
      </c>
      <c r="U13" s="52">
        <f>IFERROR(INDEX(Assumptions!$B$59:$I$59,MATCH(U$2,Assumptions!$B$58:$I$58,0))*INDEX(Assumptions!$B$60:$I$60,MATCH(U$2,Assumptions!$B$58:$I$58,0)),0)</f>
        <v>0</v>
      </c>
      <c r="V13" s="52">
        <f>IFERROR(INDEX(Assumptions!$B$59:$I$59,MATCH(V$2,Assumptions!$B$58:$I$58,0))*INDEX(Assumptions!$B$60:$I$60,MATCH(V$2,Assumptions!$B$58:$I$58,0)),0)</f>
        <v>0</v>
      </c>
      <c r="W13" s="52">
        <f>IFERROR(INDEX(Assumptions!$B$59:$I$59,MATCH(W$2,Assumptions!$B$58:$I$58,0))*INDEX(Assumptions!$B$60:$I$60,MATCH(W$2,Assumptions!$B$58:$I$58,0)),0)</f>
        <v>0</v>
      </c>
      <c r="X13" s="52">
        <f>IFERROR(INDEX(Assumptions!$B$59:$I$59,MATCH(X$2,Assumptions!$B$58:$I$58,0))*INDEX(Assumptions!$B$60:$I$60,MATCH(X$2,Assumptions!$B$58:$I$58,0)),0)</f>
        <v>0</v>
      </c>
      <c r="Y13" s="52">
        <f>IFERROR(INDEX(Assumptions!$B$59:$I$59,MATCH(Y$2,Assumptions!$B$58:$I$58,0))*INDEX(Assumptions!$B$60:$I$60,MATCH(Y$2,Assumptions!$B$58:$I$58,0)),0)</f>
        <v>0</v>
      </c>
      <c r="Z13" s="52">
        <f>IFERROR(INDEX(Assumptions!$B$59:$I$59,MATCH(Z$2,Assumptions!$B$58:$I$58,0))*INDEX(Assumptions!$B$60:$I$60,MATCH(Z$2,Assumptions!$B$58:$I$58,0)),0)</f>
        <v>0</v>
      </c>
    </row>
    <row r="14">
      <c r="A14" s="23" t="inlineStr">
        <is>
          <t>Program contribution (pre-tax)</t>
        </is>
      </c>
      <c r="C14" s="56">
        <f>C10-C11-C12-C13</f>
        <v>127.98499999999999</v>
      </c>
      <c r="D14" s="56">
        <f>D10-D11-D12-D13</f>
        <v>89.14499999999997</v>
      </c>
      <c r="E14" s="56">
        <f>E10-E11-E12-E13</f>
        <v>172.77750000000003</v>
      </c>
      <c r="F14" s="56">
        <f>F10-F11-F12-F13</f>
        <v>273.06</v>
      </c>
      <c r="G14" s="56">
        <f>G10-G11-G12-G13</f>
        <v>352.08</v>
      </c>
      <c r="H14" s="56">
        <f>H10-H11-H12-H13</f>
        <v>410.93999999999994</v>
      </c>
      <c r="I14" s="56">
        <f>I10-I11-I12-I13</f>
        <v>415.35</v>
      </c>
      <c r="J14" s="56">
        <f>J10-J11-J12-J13</f>
        <v>415.35</v>
      </c>
      <c r="K14" s="56">
        <f>K10-K11-K12-K13</f>
        <v>415.35</v>
      </c>
      <c r="L14" s="56">
        <f>L10-L11-L12-L13</f>
        <v>415.35</v>
      </c>
      <c r="M14" s="56">
        <f>M10-M11-M12-M13</f>
        <v>415.35</v>
      </c>
      <c r="N14" s="56">
        <f>N10-N11-N12-N13</f>
        <v>415.35</v>
      </c>
      <c r="O14" s="56">
        <f>O10-O11-O12-O13</f>
        <v>415.35</v>
      </c>
      <c r="P14" s="56">
        <f>P10-P11-P12-P13</f>
        <v>415.35</v>
      </c>
      <c r="Q14" s="56">
        <f>Q10-Q11-Q12-Q13</f>
        <v>415.35</v>
      </c>
      <c r="R14" s="56">
        <f>R10-R11-R12-R13</f>
        <v>166.14</v>
      </c>
      <c r="S14" s="56">
        <f>S10-S11-S12-S13</f>
        <v>66.456</v>
      </c>
      <c r="T14" s="56">
        <f>T10-T11-T12-T13</f>
        <v>26.58240000000001</v>
      </c>
      <c r="U14" s="56">
        <f>U10-U11-U12-U13</f>
        <v>10.63296</v>
      </c>
      <c r="V14" s="56">
        <f>V10-V11-V12-V13</f>
        <v>4.253184000000002</v>
      </c>
      <c r="W14" s="56">
        <f>W10-W11-W12-W13</f>
        <v>1.7012736000000006</v>
      </c>
      <c r="X14" s="56">
        <f>X10-X11-X12-X13</f>
        <v>0.6805094400000002</v>
      </c>
      <c r="Y14" s="56">
        <f>Y10-Y11-Y12-Y13</f>
        <v>0.2722037760000002</v>
      </c>
      <c r="Z14" s="56">
        <f>Z10-Z11-Z12-Z13</f>
        <v>0.10888151040000005</v>
      </c>
    </row>
    <row r="16">
      <c r="A16" s="30" t="inlineStr">
        <is>
          <t>Ulixacaltamide — essential tremor (PDUFA Jan 29, 2027)</t>
        </is>
      </c>
    </row>
    <row r="17">
      <c r="A17" s="13" t="inlineStr">
        <is>
          <t>Years since launch</t>
        </is>
      </c>
      <c r="C17" s="63">
        <f>C$2-Assumptions!$B$65+1</f>
        <v>1.0</v>
      </c>
      <c r="D17" s="63">
        <f>D$2-Assumptions!$B$65+1</f>
        <v>2.0</v>
      </c>
      <c r="E17" s="63">
        <f>E$2-Assumptions!$B$65+1</f>
        <v>3.0</v>
      </c>
      <c r="F17" s="63">
        <f>F$2-Assumptions!$B$65+1</f>
        <v>4.0</v>
      </c>
      <c r="G17" s="63">
        <f>G$2-Assumptions!$B$65+1</f>
        <v>5.0</v>
      </c>
      <c r="H17" s="63">
        <f>H$2-Assumptions!$B$65+1</f>
        <v>6.0</v>
      </c>
      <c r="I17" s="63">
        <f>I$2-Assumptions!$B$65+1</f>
        <v>7.0</v>
      </c>
      <c r="J17" s="63">
        <f>J$2-Assumptions!$B$65+1</f>
        <v>8.0</v>
      </c>
      <c r="K17" s="63">
        <f>K$2-Assumptions!$B$65+1</f>
        <v>9.0</v>
      </c>
      <c r="L17" s="63">
        <f>L$2-Assumptions!$B$65+1</f>
        <v>10.0</v>
      </c>
      <c r="M17" s="63">
        <f>M$2-Assumptions!$B$65+1</f>
        <v>11.0</v>
      </c>
      <c r="N17" s="63">
        <f>N$2-Assumptions!$B$65+1</f>
        <v>12.0</v>
      </c>
      <c r="O17" s="63">
        <f>O$2-Assumptions!$B$65+1</f>
        <v>13.0</v>
      </c>
      <c r="P17" s="63">
        <f>P$2-Assumptions!$B$65+1</f>
        <v>14.0</v>
      </c>
      <c r="Q17" s="63">
        <f>Q$2-Assumptions!$B$65+1</f>
        <v>15.0</v>
      </c>
      <c r="R17" s="63">
        <f>R$2-Assumptions!$B$65+1</f>
        <v>16.0</v>
      </c>
      <c r="S17" s="63">
        <f>S$2-Assumptions!$B$65+1</f>
        <v>17.0</v>
      </c>
      <c r="T17" s="63">
        <f>T$2-Assumptions!$B$65+1</f>
        <v>18.0</v>
      </c>
      <c r="U17" s="63">
        <f>U$2-Assumptions!$B$65+1</f>
        <v>19.0</v>
      </c>
      <c r="V17" s="63">
        <f>V$2-Assumptions!$B$65+1</f>
        <v>20.0</v>
      </c>
      <c r="W17" s="63">
        <f>W$2-Assumptions!$B$65+1</f>
        <v>21.0</v>
      </c>
      <c r="X17" s="63">
        <f>X$2-Assumptions!$B$65+1</f>
        <v>22.0</v>
      </c>
      <c r="Y17" s="63">
        <f>Y$2-Assumptions!$B$65+1</f>
        <v>23.0</v>
      </c>
      <c r="Z17" s="63">
        <f>Z$2-Assumptions!$B$65+1</f>
        <v>24.0</v>
      </c>
    </row>
    <row r="18">
      <c r="A18" s="13" t="inlineStr">
        <is>
          <t>Net sales, unrisked</t>
        </is>
      </c>
      <c r="C18" s="52">
        <f>IF(C$2&gt;Assumptions!$B$74,0*(1-Assumptions!$B$75),IF(C17&gt;=1,Assumptions!$B$66*CHOOSE(Assumptions!$B$73,INDEX(Assumptions!$B$42:$H$42,MIN(C17,7)),INDEX(Assumptions!$B$43:$H$43,MIN(C17,7))),0))</f>
        <v>300.0</v>
      </c>
      <c r="D18" s="52">
        <f>IF(D$2&gt;Assumptions!$B$74,C18*(1-Assumptions!$B$75),IF(D17&gt;=1,Assumptions!$B$66*CHOOSE(Assumptions!$B$73,INDEX(Assumptions!$B$42:$H$42,MIN(D17,7)),INDEX(Assumptions!$B$43:$H$43,MIN(D17,7))),0))</f>
        <v>750.0</v>
      </c>
      <c r="E18" s="52">
        <f>IF(E$2&gt;Assumptions!$B$74,D18*(1-Assumptions!$B$75),IF(E17&gt;=1,Assumptions!$B$66*CHOOSE(Assumptions!$B$73,INDEX(Assumptions!$B$42:$H$42,MIN(E17,7)),INDEX(Assumptions!$B$43:$H$43,MIN(E17,7))),0))</f>
        <v>1350.0</v>
      </c>
      <c r="F18" s="52">
        <f>IF(F$2&gt;Assumptions!$B$74,E18*(1-Assumptions!$B$75),IF(F17&gt;=1,Assumptions!$B$66*CHOOSE(Assumptions!$B$73,INDEX(Assumptions!$B$42:$H$42,MIN(F17,7)),INDEX(Assumptions!$B$43:$H$43,MIN(F17,7))),0))</f>
        <v>1950.0</v>
      </c>
      <c r="G18" s="52">
        <f>IF(G$2&gt;Assumptions!$B$74,F18*(1-Assumptions!$B$75),IF(G17&gt;=1,Assumptions!$B$66*CHOOSE(Assumptions!$B$73,INDEX(Assumptions!$B$42:$H$42,MIN(G17,7)),INDEX(Assumptions!$B$43:$H$43,MIN(G17,7))),0))</f>
        <v>2460.0</v>
      </c>
      <c r="H18" s="52">
        <f>IF(H$2&gt;Assumptions!$B$74,G18*(1-Assumptions!$B$75),IF(H17&gt;=1,Assumptions!$B$66*CHOOSE(Assumptions!$B$73,INDEX(Assumptions!$B$42:$H$42,MIN(H17,7)),INDEX(Assumptions!$B$43:$H$43,MIN(H17,7))),0))</f>
        <v>2790.0</v>
      </c>
      <c r="I18" s="52">
        <f>IF(I$2&gt;Assumptions!$B$74,H18*(1-Assumptions!$B$75),IF(I17&gt;=1,Assumptions!$B$66*CHOOSE(Assumptions!$B$73,INDEX(Assumptions!$B$42:$H$42,MIN(I17,7)),INDEX(Assumptions!$B$43:$H$43,MIN(I17,7))),0))</f>
        <v>3000.0</v>
      </c>
      <c r="J18" s="52">
        <f>IF(J$2&gt;Assumptions!$B$74,I18*(1-Assumptions!$B$75),IF(J17&gt;=1,Assumptions!$B$66*CHOOSE(Assumptions!$B$73,INDEX(Assumptions!$B$42:$H$42,MIN(J17,7)),INDEX(Assumptions!$B$43:$H$43,MIN(J17,7))),0))</f>
        <v>3000.0</v>
      </c>
      <c r="K18" s="52">
        <f>IF(K$2&gt;Assumptions!$B$74,J18*(1-Assumptions!$B$75),IF(K17&gt;=1,Assumptions!$B$66*CHOOSE(Assumptions!$B$73,INDEX(Assumptions!$B$42:$H$42,MIN(K17,7)),INDEX(Assumptions!$B$43:$H$43,MIN(K17,7))),0))</f>
        <v>3000.0</v>
      </c>
      <c r="L18" s="52">
        <f>IF(L$2&gt;Assumptions!$B$74,K18*(1-Assumptions!$B$75),IF(L17&gt;=1,Assumptions!$B$66*CHOOSE(Assumptions!$B$73,INDEX(Assumptions!$B$42:$H$42,MIN(L17,7)),INDEX(Assumptions!$B$43:$H$43,MIN(L17,7))),0))</f>
        <v>3000.0</v>
      </c>
      <c r="M18" s="52">
        <f>IF(M$2&gt;Assumptions!$B$74,L18*(1-Assumptions!$B$75),IF(M17&gt;=1,Assumptions!$B$66*CHOOSE(Assumptions!$B$73,INDEX(Assumptions!$B$42:$H$42,MIN(M17,7)),INDEX(Assumptions!$B$43:$H$43,MIN(M17,7))),0))</f>
        <v>3000.0</v>
      </c>
      <c r="N18" s="52">
        <f>IF(N$2&gt;Assumptions!$B$74,M18*(1-Assumptions!$B$75),IF(N17&gt;=1,Assumptions!$B$66*CHOOSE(Assumptions!$B$73,INDEX(Assumptions!$B$42:$H$42,MIN(N17,7)),INDEX(Assumptions!$B$43:$H$43,MIN(N17,7))),0))</f>
        <v>3000.0</v>
      </c>
      <c r="O18" s="52">
        <f>IF(O$2&gt;Assumptions!$B$74,N18*(1-Assumptions!$B$75),IF(O17&gt;=1,Assumptions!$B$66*CHOOSE(Assumptions!$B$73,INDEX(Assumptions!$B$42:$H$42,MIN(O17,7)),INDEX(Assumptions!$B$43:$H$43,MIN(O17,7))),0))</f>
        <v>3000.0</v>
      </c>
      <c r="P18" s="52">
        <f>IF(P$2&gt;Assumptions!$B$74,O18*(1-Assumptions!$B$75),IF(P17&gt;=1,Assumptions!$B$66*CHOOSE(Assumptions!$B$73,INDEX(Assumptions!$B$42:$H$42,MIN(P17,7)),INDEX(Assumptions!$B$43:$H$43,MIN(P17,7))),0))</f>
        <v>3000.0</v>
      </c>
      <c r="Q18" s="52">
        <f>IF(Q$2&gt;Assumptions!$B$74,P18*(1-Assumptions!$B$75),IF(Q17&gt;=1,Assumptions!$B$66*CHOOSE(Assumptions!$B$73,INDEX(Assumptions!$B$42:$H$42,MIN(Q17,7)),INDEX(Assumptions!$B$43:$H$43,MIN(Q17,7))),0))</f>
        <v>3000.0</v>
      </c>
      <c r="R18" s="52">
        <f>IF(R$2&gt;Assumptions!$B$74,Q18*(1-Assumptions!$B$75),IF(R17&gt;=1,Assumptions!$B$66*CHOOSE(Assumptions!$B$73,INDEX(Assumptions!$B$42:$H$42,MIN(R17,7)),INDEX(Assumptions!$B$43:$H$43,MIN(R17,7))),0))</f>
        <v>1200.0</v>
      </c>
      <c r="S18" s="52">
        <f>IF(S$2&gt;Assumptions!$B$74,R18*(1-Assumptions!$B$75),IF(S17&gt;=1,Assumptions!$B$66*CHOOSE(Assumptions!$B$73,INDEX(Assumptions!$B$42:$H$42,MIN(S17,7)),INDEX(Assumptions!$B$43:$H$43,MIN(S17,7))),0))</f>
        <v>480.0</v>
      </c>
      <c r="T18" s="52">
        <f>IF(T$2&gt;Assumptions!$B$74,S18*(1-Assumptions!$B$75),IF(T17&gt;=1,Assumptions!$B$66*CHOOSE(Assumptions!$B$73,INDEX(Assumptions!$B$42:$H$42,MIN(T17,7)),INDEX(Assumptions!$B$43:$H$43,MIN(T17,7))),0))</f>
        <v>192.0</v>
      </c>
      <c r="U18" s="52">
        <f>IF(U$2&gt;Assumptions!$B$74,T18*(1-Assumptions!$B$75),IF(U17&gt;=1,Assumptions!$B$66*CHOOSE(Assumptions!$B$73,INDEX(Assumptions!$B$42:$H$42,MIN(U17,7)),INDEX(Assumptions!$B$43:$H$43,MIN(U17,7))),0))</f>
        <v>76.80000000000001</v>
      </c>
      <c r="V18" s="52">
        <f>IF(V$2&gt;Assumptions!$B$74,U18*(1-Assumptions!$B$75),IF(V17&gt;=1,Assumptions!$B$66*CHOOSE(Assumptions!$B$73,INDEX(Assumptions!$B$42:$H$42,MIN(V17,7)),INDEX(Assumptions!$B$43:$H$43,MIN(V17,7))),0))</f>
        <v>30.720000000000006</v>
      </c>
      <c r="W18" s="52">
        <f>IF(W$2&gt;Assumptions!$B$74,V18*(1-Assumptions!$B$75),IF(W17&gt;=1,Assumptions!$B$66*CHOOSE(Assumptions!$B$73,INDEX(Assumptions!$B$42:$H$42,MIN(W17,7)),INDEX(Assumptions!$B$43:$H$43,MIN(W17,7))),0))</f>
        <v>12.288000000000004</v>
      </c>
      <c r="X18" s="52">
        <f>IF(X$2&gt;Assumptions!$B$74,W18*(1-Assumptions!$B$75),IF(X17&gt;=1,Assumptions!$B$66*CHOOSE(Assumptions!$B$73,INDEX(Assumptions!$B$42:$H$42,MIN(X17,7)),INDEX(Assumptions!$B$43:$H$43,MIN(X17,7))),0))</f>
        <v>4.915200000000002</v>
      </c>
      <c r="Y18" s="52">
        <f>IF(Y$2&gt;Assumptions!$B$74,X18*(1-Assumptions!$B$75),IF(Y17&gt;=1,Assumptions!$B$66*CHOOSE(Assumptions!$B$73,INDEX(Assumptions!$B$42:$H$42,MIN(Y17,7)),INDEX(Assumptions!$B$43:$H$43,MIN(Y17,7))),0))</f>
        <v>1.966080000000001</v>
      </c>
      <c r="Z18" s="52">
        <f>IF(Z$2&gt;Assumptions!$B$74,Y18*(1-Assumptions!$B$75),IF(Z17&gt;=1,Assumptions!$B$66*CHOOSE(Assumptions!$B$73,INDEX(Assumptions!$B$42:$H$42,MIN(Z17,7)),INDEX(Assumptions!$B$43:$H$43,MIN(Z17,7))),0))</f>
        <v>0.7864320000000005</v>
      </c>
    </row>
    <row r="19">
      <c r="A19" s="13" t="inlineStr">
        <is>
          <t>Product net sales, risk-adjusted</t>
        </is>
      </c>
      <c r="C19" s="52">
        <f>C18*MIN(1,Assumptions!$B$67*Assumptions!$B$37)</f>
        <v>255.0</v>
      </c>
      <c r="D19" s="52">
        <f>D18*MIN(1,Assumptions!$B$67*Assumptions!$B$37)</f>
        <v>637.5</v>
      </c>
      <c r="E19" s="52">
        <f>E18*MIN(1,Assumptions!$B$67*Assumptions!$B$37)</f>
        <v>1147.5</v>
      </c>
      <c r="F19" s="52">
        <f>F18*MIN(1,Assumptions!$B$67*Assumptions!$B$37)</f>
        <v>1657.5</v>
      </c>
      <c r="G19" s="52">
        <f>G18*MIN(1,Assumptions!$B$67*Assumptions!$B$37)</f>
        <v>2091.0</v>
      </c>
      <c r="H19" s="52">
        <f>H18*MIN(1,Assumptions!$B$67*Assumptions!$B$37)</f>
        <v>2371.5</v>
      </c>
      <c r="I19" s="52">
        <f>I18*MIN(1,Assumptions!$B$67*Assumptions!$B$37)</f>
        <v>2550.0</v>
      </c>
      <c r="J19" s="52">
        <f>J18*MIN(1,Assumptions!$B$67*Assumptions!$B$37)</f>
        <v>2550.0</v>
      </c>
      <c r="K19" s="52">
        <f>K18*MIN(1,Assumptions!$B$67*Assumptions!$B$37)</f>
        <v>2550.0</v>
      </c>
      <c r="L19" s="52">
        <f>L18*MIN(1,Assumptions!$B$67*Assumptions!$B$37)</f>
        <v>2550.0</v>
      </c>
      <c r="M19" s="52">
        <f>M18*MIN(1,Assumptions!$B$67*Assumptions!$B$37)</f>
        <v>2550.0</v>
      </c>
      <c r="N19" s="52">
        <f>N18*MIN(1,Assumptions!$B$67*Assumptions!$B$37)</f>
        <v>2550.0</v>
      </c>
      <c r="O19" s="52">
        <f>O18*MIN(1,Assumptions!$B$67*Assumptions!$B$37)</f>
        <v>2550.0</v>
      </c>
      <c r="P19" s="52">
        <f>P18*MIN(1,Assumptions!$B$67*Assumptions!$B$37)</f>
        <v>2550.0</v>
      </c>
      <c r="Q19" s="52">
        <f>Q18*MIN(1,Assumptions!$B$67*Assumptions!$B$37)</f>
        <v>2550.0</v>
      </c>
      <c r="R19" s="52">
        <f>R18*MIN(1,Assumptions!$B$67*Assumptions!$B$37)</f>
        <v>1020.0</v>
      </c>
      <c r="S19" s="52">
        <f>S18*MIN(1,Assumptions!$B$67*Assumptions!$B$37)</f>
        <v>408.0</v>
      </c>
      <c r="T19" s="52">
        <f>T18*MIN(1,Assumptions!$B$67*Assumptions!$B$37)</f>
        <v>163.2</v>
      </c>
      <c r="U19" s="52">
        <f>U18*MIN(1,Assumptions!$B$67*Assumptions!$B$37)</f>
        <v>65.28</v>
      </c>
      <c r="V19" s="52">
        <f>V18*MIN(1,Assumptions!$B$67*Assumptions!$B$37)</f>
        <v>26.112000000000005</v>
      </c>
      <c r="W19" s="52">
        <f>W18*MIN(1,Assumptions!$B$67*Assumptions!$B$37)</f>
        <v>10.444800000000003</v>
      </c>
      <c r="X19" s="52">
        <f>X18*MIN(1,Assumptions!$B$67*Assumptions!$B$37)</f>
        <v>4.177920000000002</v>
      </c>
      <c r="Y19" s="52">
        <f>Y18*MIN(1,Assumptions!$B$67*Assumptions!$B$37)</f>
        <v>1.6711680000000007</v>
      </c>
      <c r="Z19" s="52">
        <f>Z18*MIN(1,Assumptions!$B$67*Assumptions!$B$37)</f>
        <v>0.6684672000000004</v>
      </c>
    </row>
    <row r="20">
      <c r="A20" s="13" t="inlineStr">
        <is>
          <t>Company revenue, risk-adjusted (incl. milestones)</t>
        </is>
      </c>
      <c r="C20" s="52">
        <f>C19*Assumptions!$B$68</f>
        <v>255.0</v>
      </c>
      <c r="D20" s="52">
        <f>D19*Assumptions!$B$68</f>
        <v>637.5</v>
      </c>
      <c r="E20" s="52">
        <f>E19*Assumptions!$B$68</f>
        <v>1147.5</v>
      </c>
      <c r="F20" s="52">
        <f>F19*Assumptions!$B$68</f>
        <v>1657.5</v>
      </c>
      <c r="G20" s="52">
        <f>G19*Assumptions!$B$68</f>
        <v>2091.0</v>
      </c>
      <c r="H20" s="52">
        <f>H19*Assumptions!$B$68</f>
        <v>2371.5</v>
      </c>
      <c r="I20" s="52">
        <f>I19*Assumptions!$B$68</f>
        <v>2550.0</v>
      </c>
      <c r="J20" s="52">
        <f>J19*Assumptions!$B$68</f>
        <v>2550.0</v>
      </c>
      <c r="K20" s="52">
        <f>K19*Assumptions!$B$68</f>
        <v>2550.0</v>
      </c>
      <c r="L20" s="52">
        <f>L19*Assumptions!$B$68</f>
        <v>2550.0</v>
      </c>
      <c r="M20" s="52">
        <f>M19*Assumptions!$B$68</f>
        <v>2550.0</v>
      </c>
      <c r="N20" s="52">
        <f>N19*Assumptions!$B$68</f>
        <v>2550.0</v>
      </c>
      <c r="O20" s="52">
        <f>O19*Assumptions!$B$68</f>
        <v>2550.0</v>
      </c>
      <c r="P20" s="52">
        <f>P19*Assumptions!$B$68</f>
        <v>2550.0</v>
      </c>
      <c r="Q20" s="52">
        <f>Q19*Assumptions!$B$68</f>
        <v>2550.0</v>
      </c>
      <c r="R20" s="52">
        <f>R19*Assumptions!$B$68</f>
        <v>1020.0</v>
      </c>
      <c r="S20" s="52">
        <f>S19*Assumptions!$B$68</f>
        <v>408.0</v>
      </c>
      <c r="T20" s="52">
        <f>T19*Assumptions!$B$68</f>
        <v>163.2</v>
      </c>
      <c r="U20" s="52">
        <f>U19*Assumptions!$B$68</f>
        <v>65.28</v>
      </c>
      <c r="V20" s="52">
        <f>V19*Assumptions!$B$68</f>
        <v>26.112000000000005</v>
      </c>
      <c r="W20" s="52">
        <f>W19*Assumptions!$B$68</f>
        <v>10.444800000000003</v>
      </c>
      <c r="X20" s="52">
        <f>X19*Assumptions!$B$68</f>
        <v>4.177920000000002</v>
      </c>
      <c r="Y20" s="52">
        <f>Y19*Assumptions!$B$68</f>
        <v>1.6711680000000007</v>
      </c>
      <c r="Z20" s="52">
        <f>Z19*Assumptions!$B$68</f>
        <v>0.6684672000000004</v>
      </c>
    </row>
    <row r="21">
      <c r="A21" s="13" t="inlineStr">
        <is>
          <t>COGS + royalties, risk-adjusted</t>
        </is>
      </c>
      <c r="C21" s="52">
        <f>C19*(Assumptions!$B$69+Assumptions!$B$70)</f>
        <v>10.200000000000001</v>
      </c>
      <c r="D21" s="52">
        <f>D19*(Assumptions!$B$69+Assumptions!$B$70)</f>
        <v>25.5</v>
      </c>
      <c r="E21" s="52">
        <f>E19*(Assumptions!$B$69+Assumptions!$B$70)</f>
        <v>45.9</v>
      </c>
      <c r="F21" s="52">
        <f>F19*(Assumptions!$B$69+Assumptions!$B$70)</f>
        <v>66.3</v>
      </c>
      <c r="G21" s="52">
        <f>G19*(Assumptions!$B$69+Assumptions!$B$70)</f>
        <v>83.64</v>
      </c>
      <c r="H21" s="52">
        <f>H19*(Assumptions!$B$69+Assumptions!$B$70)</f>
        <v>94.86</v>
      </c>
      <c r="I21" s="52">
        <f>I19*(Assumptions!$B$69+Assumptions!$B$70)</f>
        <v>102.0</v>
      </c>
      <c r="J21" s="52">
        <f>J19*(Assumptions!$B$69+Assumptions!$B$70)</f>
        <v>102.0</v>
      </c>
      <c r="K21" s="52">
        <f>K19*(Assumptions!$B$69+Assumptions!$B$70)</f>
        <v>102.0</v>
      </c>
      <c r="L21" s="52">
        <f>L19*(Assumptions!$B$69+Assumptions!$B$70)</f>
        <v>102.0</v>
      </c>
      <c r="M21" s="52">
        <f>M19*(Assumptions!$B$69+Assumptions!$B$70)</f>
        <v>102.0</v>
      </c>
      <c r="N21" s="52">
        <f>N19*(Assumptions!$B$69+Assumptions!$B$70)</f>
        <v>102.0</v>
      </c>
      <c r="O21" s="52">
        <f>O19*(Assumptions!$B$69+Assumptions!$B$70)</f>
        <v>102.0</v>
      </c>
      <c r="P21" s="52">
        <f>P19*(Assumptions!$B$69+Assumptions!$B$70)</f>
        <v>102.0</v>
      </c>
      <c r="Q21" s="52">
        <f>Q19*(Assumptions!$B$69+Assumptions!$B$70)</f>
        <v>102.0</v>
      </c>
      <c r="R21" s="52">
        <f>R19*(Assumptions!$B$69+Assumptions!$B$70)</f>
        <v>40.800000000000004</v>
      </c>
      <c r="S21" s="52">
        <f>S19*(Assumptions!$B$69+Assumptions!$B$70)</f>
        <v>16.32</v>
      </c>
      <c r="T21" s="52">
        <f>T19*(Assumptions!$B$69+Assumptions!$B$70)</f>
        <v>6.528</v>
      </c>
      <c r="U21" s="52">
        <f>U19*(Assumptions!$B$69+Assumptions!$B$70)</f>
        <v>2.6112</v>
      </c>
      <c r="V21" s="52">
        <f>V19*(Assumptions!$B$69+Assumptions!$B$70)</f>
        <v>1.0444800000000003</v>
      </c>
      <c r="W21" s="52">
        <f>W19*(Assumptions!$B$69+Assumptions!$B$70)</f>
        <v>0.4177920000000001</v>
      </c>
      <c r="X21" s="52">
        <f>X19*(Assumptions!$B$69+Assumptions!$B$70)</f>
        <v>0.1671168000000001</v>
      </c>
      <c r="Y21" s="52">
        <f>Y19*(Assumptions!$B$69+Assumptions!$B$70)</f>
        <v>0.06684672000000003</v>
      </c>
      <c r="Z21" s="52">
        <f>Z19*(Assumptions!$B$69+Assumptions!$B$70)</f>
        <v>0.026738688000000014</v>
      </c>
    </row>
    <row r="22">
      <c r="A22" s="13" t="inlineStr">
        <is>
          <t>Commercial SG&amp;A, risk-adjusted</t>
        </is>
      </c>
      <c r="C22" s="52">
        <f>MIN(1,Assumptions!$B$67*Assumptions!$B$37)*IF(Assumptions!$B$71=0,0,IF(C17=0,Assumptions!$B$72,IF(C17&gt;=1,C18*IF(OR(Assumptions!$B$68&lt;1,C17&gt;5),Assumptions!$B$71,MAX(Assumptions!$B$71,INDEX(Assumptions!$B$44:$F$44,C17))),0)))</f>
        <v>229.5</v>
      </c>
      <c r="D22" s="52">
        <f>MIN(1,Assumptions!$B$67*Assumptions!$B$37)*IF(Assumptions!$B$71=0,0,IF(D17=0,Assumptions!$B$72,IF(D17&gt;=1,D18*IF(OR(Assumptions!$B$68&lt;1,D17&gt;5),Assumptions!$B$71,MAX(Assumptions!$B$71,INDEX(Assumptions!$B$44:$F$44,D17))),0)))</f>
        <v>350.62500000000006</v>
      </c>
      <c r="E22" s="52">
        <f>MIN(1,Assumptions!$B$67*Assumptions!$B$37)*IF(Assumptions!$B$71=0,0,IF(E17=0,Assumptions!$B$72,IF(E17&gt;=1,E18*IF(OR(Assumptions!$B$68&lt;1,E17&gt;5),Assumptions!$B$71,MAX(Assumptions!$B$71,INDEX(Assumptions!$B$44:$F$44,E17))),0)))</f>
        <v>459.0</v>
      </c>
      <c r="F22" s="52">
        <f>MIN(1,Assumptions!$B$67*Assumptions!$B$37)*IF(Assumptions!$B$71=0,0,IF(F17=0,Assumptions!$B$72,IF(F17&gt;=1,F18*IF(OR(Assumptions!$B$68&lt;1,F17&gt;5),Assumptions!$B$71,MAX(Assumptions!$B$71,INDEX(Assumptions!$B$44:$F$44,F17))),0)))</f>
        <v>530.4</v>
      </c>
      <c r="G22" s="52">
        <f>MIN(1,Assumptions!$B$67*Assumptions!$B$37)*IF(Assumptions!$B$71=0,0,IF(G17=0,Assumptions!$B$72,IF(G17&gt;=1,G18*IF(OR(Assumptions!$B$68&lt;1,G17&gt;5),Assumptions!$B$71,MAX(Assumptions!$B$71,INDEX(Assumptions!$B$44:$F$44,G17))),0)))</f>
        <v>627.3</v>
      </c>
      <c r="H22" s="52">
        <f>MIN(1,Assumptions!$B$67*Assumptions!$B$37)*IF(Assumptions!$B$71=0,0,IF(H17=0,Assumptions!$B$72,IF(H17&gt;=1,H18*IF(OR(Assumptions!$B$68&lt;1,H17&gt;5),Assumptions!$B$71,MAX(Assumptions!$B$71,INDEX(Assumptions!$B$44:$F$44,H17))),0)))</f>
        <v>711.4499999999999</v>
      </c>
      <c r="I22" s="52">
        <f>MIN(1,Assumptions!$B$67*Assumptions!$B$37)*IF(Assumptions!$B$71=0,0,IF(I17=0,Assumptions!$B$72,IF(I17&gt;=1,I18*IF(OR(Assumptions!$B$68&lt;1,I17&gt;5),Assumptions!$B$71,MAX(Assumptions!$B$71,INDEX(Assumptions!$B$44:$F$44,I17))),0)))</f>
        <v>765.0</v>
      </c>
      <c r="J22" s="52">
        <f>MIN(1,Assumptions!$B$67*Assumptions!$B$37)*IF(Assumptions!$B$71=0,0,IF(J17=0,Assumptions!$B$72,IF(J17&gt;=1,J18*IF(OR(Assumptions!$B$68&lt;1,J17&gt;5),Assumptions!$B$71,MAX(Assumptions!$B$71,INDEX(Assumptions!$B$44:$F$44,J17))),0)))</f>
        <v>765.0</v>
      </c>
      <c r="K22" s="52">
        <f>MIN(1,Assumptions!$B$67*Assumptions!$B$37)*IF(Assumptions!$B$71=0,0,IF(K17=0,Assumptions!$B$72,IF(K17&gt;=1,K18*IF(OR(Assumptions!$B$68&lt;1,K17&gt;5),Assumptions!$B$71,MAX(Assumptions!$B$71,INDEX(Assumptions!$B$44:$F$44,K17))),0)))</f>
        <v>765.0</v>
      </c>
      <c r="L22" s="52">
        <f>MIN(1,Assumptions!$B$67*Assumptions!$B$37)*IF(Assumptions!$B$71=0,0,IF(L17=0,Assumptions!$B$72,IF(L17&gt;=1,L18*IF(OR(Assumptions!$B$68&lt;1,L17&gt;5),Assumptions!$B$71,MAX(Assumptions!$B$71,INDEX(Assumptions!$B$44:$F$44,L17))),0)))</f>
        <v>765.0</v>
      </c>
      <c r="M22" s="52">
        <f>MIN(1,Assumptions!$B$67*Assumptions!$B$37)*IF(Assumptions!$B$71=0,0,IF(M17=0,Assumptions!$B$72,IF(M17&gt;=1,M18*IF(OR(Assumptions!$B$68&lt;1,M17&gt;5),Assumptions!$B$71,MAX(Assumptions!$B$71,INDEX(Assumptions!$B$44:$F$44,M17))),0)))</f>
        <v>765.0</v>
      </c>
      <c r="N22" s="52">
        <f>MIN(1,Assumptions!$B$67*Assumptions!$B$37)*IF(Assumptions!$B$71=0,0,IF(N17=0,Assumptions!$B$72,IF(N17&gt;=1,N18*IF(OR(Assumptions!$B$68&lt;1,N17&gt;5),Assumptions!$B$71,MAX(Assumptions!$B$71,INDEX(Assumptions!$B$44:$F$44,N17))),0)))</f>
        <v>765.0</v>
      </c>
      <c r="O22" s="52">
        <f>MIN(1,Assumptions!$B$67*Assumptions!$B$37)*IF(Assumptions!$B$71=0,0,IF(O17=0,Assumptions!$B$72,IF(O17&gt;=1,O18*IF(OR(Assumptions!$B$68&lt;1,O17&gt;5),Assumptions!$B$71,MAX(Assumptions!$B$71,INDEX(Assumptions!$B$44:$F$44,O17))),0)))</f>
        <v>765.0</v>
      </c>
      <c r="P22" s="52">
        <f>MIN(1,Assumptions!$B$67*Assumptions!$B$37)*IF(Assumptions!$B$71=0,0,IF(P17=0,Assumptions!$B$72,IF(P17&gt;=1,P18*IF(OR(Assumptions!$B$68&lt;1,P17&gt;5),Assumptions!$B$71,MAX(Assumptions!$B$71,INDEX(Assumptions!$B$44:$F$44,P17))),0)))</f>
        <v>765.0</v>
      </c>
      <c r="Q22" s="52">
        <f>MIN(1,Assumptions!$B$67*Assumptions!$B$37)*IF(Assumptions!$B$71=0,0,IF(Q17=0,Assumptions!$B$72,IF(Q17&gt;=1,Q18*IF(OR(Assumptions!$B$68&lt;1,Q17&gt;5),Assumptions!$B$71,MAX(Assumptions!$B$71,INDEX(Assumptions!$B$44:$F$44,Q17))),0)))</f>
        <v>765.0</v>
      </c>
      <c r="R22" s="52">
        <f>MIN(1,Assumptions!$B$67*Assumptions!$B$37)*IF(Assumptions!$B$71=0,0,IF(R17=0,Assumptions!$B$72,IF(R17&gt;=1,R18*IF(OR(Assumptions!$B$68&lt;1,R17&gt;5),Assumptions!$B$71,MAX(Assumptions!$B$71,INDEX(Assumptions!$B$44:$F$44,R17))),0)))</f>
        <v>306.0</v>
      </c>
      <c r="S22" s="52">
        <f>MIN(1,Assumptions!$B$67*Assumptions!$B$37)*IF(Assumptions!$B$71=0,0,IF(S17=0,Assumptions!$B$72,IF(S17&gt;=1,S18*IF(OR(Assumptions!$B$68&lt;1,S17&gt;5),Assumptions!$B$71,MAX(Assumptions!$B$71,INDEX(Assumptions!$B$44:$F$44,S17))),0)))</f>
        <v>122.39999999999999</v>
      </c>
      <c r="T22" s="52">
        <f>MIN(1,Assumptions!$B$67*Assumptions!$B$37)*IF(Assumptions!$B$71=0,0,IF(T17=0,Assumptions!$B$72,IF(T17&gt;=1,T18*IF(OR(Assumptions!$B$68&lt;1,T17&gt;5),Assumptions!$B$71,MAX(Assumptions!$B$71,INDEX(Assumptions!$B$44:$F$44,T17))),0)))</f>
        <v>48.959999999999994</v>
      </c>
      <c r="U22" s="52">
        <f>MIN(1,Assumptions!$B$67*Assumptions!$B$37)*IF(Assumptions!$B$71=0,0,IF(U17=0,Assumptions!$B$72,IF(U17&gt;=1,U18*IF(OR(Assumptions!$B$68&lt;1,U17&gt;5),Assumptions!$B$71,MAX(Assumptions!$B$71,INDEX(Assumptions!$B$44:$F$44,U17))),0)))</f>
        <v>19.584000000000003</v>
      </c>
      <c r="V22" s="52">
        <f>MIN(1,Assumptions!$B$67*Assumptions!$B$37)*IF(Assumptions!$B$71=0,0,IF(V17=0,Assumptions!$B$72,IF(V17&gt;=1,V18*IF(OR(Assumptions!$B$68&lt;1,V17&gt;5),Assumptions!$B$71,MAX(Assumptions!$B$71,INDEX(Assumptions!$B$44:$F$44,V17))),0)))</f>
        <v>7.833600000000001</v>
      </c>
      <c r="W22" s="52">
        <f>MIN(1,Assumptions!$B$67*Assumptions!$B$37)*IF(Assumptions!$B$71=0,0,IF(W17=0,Assumptions!$B$72,IF(W17&gt;=1,W18*IF(OR(Assumptions!$B$68&lt;1,W17&gt;5),Assumptions!$B$71,MAX(Assumptions!$B$71,INDEX(Assumptions!$B$44:$F$44,W17))),0)))</f>
        <v>3.1334400000000007</v>
      </c>
      <c r="X22" s="52">
        <f>MIN(1,Assumptions!$B$67*Assumptions!$B$37)*IF(Assumptions!$B$71=0,0,IF(X17=0,Assumptions!$B$72,IF(X17&gt;=1,X18*IF(OR(Assumptions!$B$68&lt;1,X17&gt;5),Assumptions!$B$71,MAX(Assumptions!$B$71,INDEX(Assumptions!$B$44:$F$44,X17))),0)))</f>
        <v>1.2533760000000005</v>
      </c>
      <c r="Y22" s="52">
        <f>MIN(1,Assumptions!$B$67*Assumptions!$B$37)*IF(Assumptions!$B$71=0,0,IF(Y17=0,Assumptions!$B$72,IF(Y17&gt;=1,Y18*IF(OR(Assumptions!$B$68&lt;1,Y17&gt;5),Assumptions!$B$71,MAX(Assumptions!$B$71,INDEX(Assumptions!$B$44:$F$44,Y17))),0)))</f>
        <v>0.5013504000000002</v>
      </c>
      <c r="Z22" s="52">
        <f>MIN(1,Assumptions!$B$67*Assumptions!$B$37)*IF(Assumptions!$B$71=0,0,IF(Z17=0,Assumptions!$B$72,IF(Z17&gt;=1,Z18*IF(OR(Assumptions!$B$68&lt;1,Z17&gt;5),Assumptions!$B$71,MAX(Assumptions!$B$71,INDEX(Assumptions!$B$44:$F$44,Z17))),0)))</f>
        <v>0.2005401600000001</v>
      </c>
    </row>
    <row r="23">
      <c r="A23" s="13" t="inlineStr">
        <is>
          <t>Development R&amp;D, risk-adjusted</t>
        </is>
      </c>
      <c r="C23" s="52">
        <f>IFERROR(INDEX(Assumptions!$B$77:$I$77,MATCH(C$2,Assumptions!$B$76:$I$76,0))*INDEX(Assumptions!$B$78:$I$78,MATCH(C$2,Assumptions!$B$76:$I$76,0)),0)</f>
        <v>20.0</v>
      </c>
      <c r="D23" s="52">
        <f>IFERROR(INDEX(Assumptions!$B$77:$I$77,MATCH(D$2,Assumptions!$B$76:$I$76,0))*INDEX(Assumptions!$B$78:$I$78,MATCH(D$2,Assumptions!$B$76:$I$76,0)),0)</f>
        <v>0.0</v>
      </c>
      <c r="E23" s="52">
        <f>IFERROR(INDEX(Assumptions!$B$77:$I$77,MATCH(E$2,Assumptions!$B$76:$I$76,0))*INDEX(Assumptions!$B$78:$I$78,MATCH(E$2,Assumptions!$B$76:$I$76,0)),0)</f>
        <v>0.0</v>
      </c>
      <c r="F23" s="52">
        <f>IFERROR(INDEX(Assumptions!$B$77:$I$77,MATCH(F$2,Assumptions!$B$76:$I$76,0))*INDEX(Assumptions!$B$78:$I$78,MATCH(F$2,Assumptions!$B$76:$I$76,0)),0)</f>
        <v>0.0</v>
      </c>
      <c r="G23" s="52">
        <f>IFERROR(INDEX(Assumptions!$B$77:$I$77,MATCH(G$2,Assumptions!$B$76:$I$76,0))*INDEX(Assumptions!$B$78:$I$78,MATCH(G$2,Assumptions!$B$76:$I$76,0)),0)</f>
        <v>0.0</v>
      </c>
      <c r="H23" s="52">
        <f>IFERROR(INDEX(Assumptions!$B$77:$I$77,MATCH(H$2,Assumptions!$B$76:$I$76,0))*INDEX(Assumptions!$B$78:$I$78,MATCH(H$2,Assumptions!$B$76:$I$76,0)),0)</f>
        <v>0.0</v>
      </c>
      <c r="I23" s="52">
        <f>IFERROR(INDEX(Assumptions!$B$77:$I$77,MATCH(I$2,Assumptions!$B$76:$I$76,0))*INDEX(Assumptions!$B$78:$I$78,MATCH(I$2,Assumptions!$B$76:$I$76,0)),0)</f>
        <v>0.0</v>
      </c>
      <c r="J23" s="52">
        <f>IFERROR(INDEX(Assumptions!$B$77:$I$77,MATCH(J$2,Assumptions!$B$76:$I$76,0))*INDEX(Assumptions!$B$78:$I$78,MATCH(J$2,Assumptions!$B$76:$I$76,0)),0)</f>
        <v>0.0</v>
      </c>
      <c r="K23" s="52">
        <f>IFERROR(INDEX(Assumptions!$B$77:$I$77,MATCH(K$2,Assumptions!$B$76:$I$76,0))*INDEX(Assumptions!$B$78:$I$78,MATCH(K$2,Assumptions!$B$76:$I$76,0)),0)</f>
        <v>0</v>
      </c>
      <c r="L23" s="52">
        <f>IFERROR(INDEX(Assumptions!$B$77:$I$77,MATCH(L$2,Assumptions!$B$76:$I$76,0))*INDEX(Assumptions!$B$78:$I$78,MATCH(L$2,Assumptions!$B$76:$I$76,0)),0)</f>
        <v>0</v>
      </c>
      <c r="M23" s="52">
        <f>IFERROR(INDEX(Assumptions!$B$77:$I$77,MATCH(M$2,Assumptions!$B$76:$I$76,0))*INDEX(Assumptions!$B$78:$I$78,MATCH(M$2,Assumptions!$B$76:$I$76,0)),0)</f>
        <v>0</v>
      </c>
      <c r="N23" s="52">
        <f>IFERROR(INDEX(Assumptions!$B$77:$I$77,MATCH(N$2,Assumptions!$B$76:$I$76,0))*INDEX(Assumptions!$B$78:$I$78,MATCH(N$2,Assumptions!$B$76:$I$76,0)),0)</f>
        <v>0</v>
      </c>
      <c r="O23" s="52">
        <f>IFERROR(INDEX(Assumptions!$B$77:$I$77,MATCH(O$2,Assumptions!$B$76:$I$76,0))*INDEX(Assumptions!$B$78:$I$78,MATCH(O$2,Assumptions!$B$76:$I$76,0)),0)</f>
        <v>0</v>
      </c>
      <c r="P23" s="52">
        <f>IFERROR(INDEX(Assumptions!$B$77:$I$77,MATCH(P$2,Assumptions!$B$76:$I$76,0))*INDEX(Assumptions!$B$78:$I$78,MATCH(P$2,Assumptions!$B$76:$I$76,0)),0)</f>
        <v>0</v>
      </c>
      <c r="Q23" s="52">
        <f>IFERROR(INDEX(Assumptions!$B$77:$I$77,MATCH(Q$2,Assumptions!$B$76:$I$76,0))*INDEX(Assumptions!$B$78:$I$78,MATCH(Q$2,Assumptions!$B$76:$I$76,0)),0)</f>
        <v>0</v>
      </c>
      <c r="R23" s="52">
        <f>IFERROR(INDEX(Assumptions!$B$77:$I$77,MATCH(R$2,Assumptions!$B$76:$I$76,0))*INDEX(Assumptions!$B$78:$I$78,MATCH(R$2,Assumptions!$B$76:$I$76,0)),0)</f>
        <v>0</v>
      </c>
      <c r="S23" s="52">
        <f>IFERROR(INDEX(Assumptions!$B$77:$I$77,MATCH(S$2,Assumptions!$B$76:$I$76,0))*INDEX(Assumptions!$B$78:$I$78,MATCH(S$2,Assumptions!$B$76:$I$76,0)),0)</f>
        <v>0</v>
      </c>
      <c r="T23" s="52">
        <f>IFERROR(INDEX(Assumptions!$B$77:$I$77,MATCH(T$2,Assumptions!$B$76:$I$76,0))*INDEX(Assumptions!$B$78:$I$78,MATCH(T$2,Assumptions!$B$76:$I$76,0)),0)</f>
        <v>0</v>
      </c>
      <c r="U23" s="52">
        <f>IFERROR(INDEX(Assumptions!$B$77:$I$77,MATCH(U$2,Assumptions!$B$76:$I$76,0))*INDEX(Assumptions!$B$78:$I$78,MATCH(U$2,Assumptions!$B$76:$I$76,0)),0)</f>
        <v>0</v>
      </c>
      <c r="V23" s="52">
        <f>IFERROR(INDEX(Assumptions!$B$77:$I$77,MATCH(V$2,Assumptions!$B$76:$I$76,0))*INDEX(Assumptions!$B$78:$I$78,MATCH(V$2,Assumptions!$B$76:$I$76,0)),0)</f>
        <v>0</v>
      </c>
      <c r="W23" s="52">
        <f>IFERROR(INDEX(Assumptions!$B$77:$I$77,MATCH(W$2,Assumptions!$B$76:$I$76,0))*INDEX(Assumptions!$B$78:$I$78,MATCH(W$2,Assumptions!$B$76:$I$76,0)),0)</f>
        <v>0</v>
      </c>
      <c r="X23" s="52">
        <f>IFERROR(INDEX(Assumptions!$B$77:$I$77,MATCH(X$2,Assumptions!$B$76:$I$76,0))*INDEX(Assumptions!$B$78:$I$78,MATCH(X$2,Assumptions!$B$76:$I$76,0)),0)</f>
        <v>0</v>
      </c>
      <c r="Y23" s="52">
        <f>IFERROR(INDEX(Assumptions!$B$77:$I$77,MATCH(Y$2,Assumptions!$B$76:$I$76,0))*INDEX(Assumptions!$B$78:$I$78,MATCH(Y$2,Assumptions!$B$76:$I$76,0)),0)</f>
        <v>0</v>
      </c>
      <c r="Z23" s="52">
        <f>IFERROR(INDEX(Assumptions!$B$77:$I$77,MATCH(Z$2,Assumptions!$B$76:$I$76,0))*INDEX(Assumptions!$B$78:$I$78,MATCH(Z$2,Assumptions!$B$76:$I$76,0)),0)</f>
        <v>0</v>
      </c>
    </row>
    <row r="24">
      <c r="A24" s="23" t="inlineStr">
        <is>
          <t>Program contribution (pre-tax)</t>
        </is>
      </c>
      <c r="C24" s="56">
        <f>C20-C21-C22-C23</f>
        <v>-4.699999999999989</v>
      </c>
      <c r="D24" s="56">
        <f>D20-D21-D22-D23</f>
        <v>261.37499999999994</v>
      </c>
      <c r="E24" s="56">
        <f>E20-E21-E22-E23</f>
        <v>642.5999999999999</v>
      </c>
      <c r="F24" s="56">
        <f>F20-F21-F22-F23</f>
        <v>1060.8000000000002</v>
      </c>
      <c r="G24" s="56">
        <f>G20-G21-G22-G23</f>
        <v>1380.06</v>
      </c>
      <c r="H24" s="56">
        <f>H20-H21-H22-H23</f>
        <v>1565.19</v>
      </c>
      <c r="I24" s="56">
        <f>I20-I21-I22-I23</f>
        <v>1683.0</v>
      </c>
      <c r="J24" s="56">
        <f>J20-J21-J22-J23</f>
        <v>1683.0</v>
      </c>
      <c r="K24" s="56">
        <f>K20-K21-K22-K23</f>
        <v>1683.0</v>
      </c>
      <c r="L24" s="56">
        <f>L20-L21-L22-L23</f>
        <v>1683.0</v>
      </c>
      <c r="M24" s="56">
        <f>M20-M21-M22-M23</f>
        <v>1683.0</v>
      </c>
      <c r="N24" s="56">
        <f>N20-N21-N22-N23</f>
        <v>1683.0</v>
      </c>
      <c r="O24" s="56">
        <f>O20-O21-O22-O23</f>
        <v>1683.0</v>
      </c>
      <c r="P24" s="56">
        <f>P20-P21-P22-P23</f>
        <v>1683.0</v>
      </c>
      <c r="Q24" s="56">
        <f>Q20-Q21-Q22-Q23</f>
        <v>1683.0</v>
      </c>
      <c r="R24" s="56">
        <f>R20-R21-R22-R23</f>
        <v>673.2</v>
      </c>
      <c r="S24" s="56">
        <f>S20-S21-S22-S23</f>
        <v>269.28000000000003</v>
      </c>
      <c r="T24" s="56">
        <f>T20-T21-T22-T23</f>
        <v>107.712</v>
      </c>
      <c r="U24" s="56">
        <f>U20-U21-U22-U23</f>
        <v>43.0848</v>
      </c>
      <c r="V24" s="56">
        <f>V20-V21-V22-V23</f>
        <v>17.233920000000005</v>
      </c>
      <c r="W24" s="56">
        <f>W20-W21-W22-W23</f>
        <v>6.893568000000002</v>
      </c>
      <c r="X24" s="56">
        <f>X20-X21-X22-X23</f>
        <v>2.7574272000000013</v>
      </c>
      <c r="Y24" s="56">
        <f>Y20-Y21-Y22-Y23</f>
        <v>1.1029708800000004</v>
      </c>
      <c r="Z24" s="56">
        <f>Z20-Z21-Z22-Z23</f>
        <v>0.4411883520000003</v>
      </c>
    </row>
    <row r="26">
      <c r="A26" s="30" t="inlineStr">
        <is>
          <t>Relutrigine — broad DEEs (EMERALD, data Q4 2026)</t>
        </is>
      </c>
    </row>
    <row r="27">
      <c r="A27" s="13" t="inlineStr">
        <is>
          <t>Years since launch</t>
        </is>
      </c>
      <c r="C27" s="63">
        <f>C$2-Assumptions!$B$81+1</f>
        <v>0.0</v>
      </c>
      <c r="D27" s="63">
        <f>D$2-Assumptions!$B$81+1</f>
        <v>1.0</v>
      </c>
      <c r="E27" s="63">
        <f>E$2-Assumptions!$B$81+1</f>
        <v>2.0</v>
      </c>
      <c r="F27" s="63">
        <f>F$2-Assumptions!$B$81+1</f>
        <v>3.0</v>
      </c>
      <c r="G27" s="63">
        <f>G$2-Assumptions!$B$81+1</f>
        <v>4.0</v>
      </c>
      <c r="H27" s="63">
        <f>H$2-Assumptions!$B$81+1</f>
        <v>5.0</v>
      </c>
      <c r="I27" s="63">
        <f>I$2-Assumptions!$B$81+1</f>
        <v>6.0</v>
      </c>
      <c r="J27" s="63">
        <f>J$2-Assumptions!$B$81+1</f>
        <v>7.0</v>
      </c>
      <c r="K27" s="63">
        <f>K$2-Assumptions!$B$81+1</f>
        <v>8.0</v>
      </c>
      <c r="L27" s="63">
        <f>L$2-Assumptions!$B$81+1</f>
        <v>9.0</v>
      </c>
      <c r="M27" s="63">
        <f>M$2-Assumptions!$B$81+1</f>
        <v>10.0</v>
      </c>
      <c r="N27" s="63">
        <f>N$2-Assumptions!$B$81+1</f>
        <v>11.0</v>
      </c>
      <c r="O27" s="63">
        <f>O$2-Assumptions!$B$81+1</f>
        <v>12.0</v>
      </c>
      <c r="P27" s="63">
        <f>P$2-Assumptions!$B$81+1</f>
        <v>13.0</v>
      </c>
      <c r="Q27" s="63">
        <f>Q$2-Assumptions!$B$81+1</f>
        <v>14.0</v>
      </c>
      <c r="R27" s="63">
        <f>R$2-Assumptions!$B$81+1</f>
        <v>15.0</v>
      </c>
      <c r="S27" s="63">
        <f>S$2-Assumptions!$B$81+1</f>
        <v>16.0</v>
      </c>
      <c r="T27" s="63">
        <f>T$2-Assumptions!$B$81+1</f>
        <v>17.0</v>
      </c>
      <c r="U27" s="63">
        <f>U$2-Assumptions!$B$81+1</f>
        <v>18.0</v>
      </c>
      <c r="V27" s="63">
        <f>V$2-Assumptions!$B$81+1</f>
        <v>19.0</v>
      </c>
      <c r="W27" s="63">
        <f>W$2-Assumptions!$B$81+1</f>
        <v>20.0</v>
      </c>
      <c r="X27" s="63">
        <f>X$2-Assumptions!$B$81+1</f>
        <v>21.0</v>
      </c>
      <c r="Y27" s="63">
        <f>Y$2-Assumptions!$B$81+1</f>
        <v>22.0</v>
      </c>
      <c r="Z27" s="63">
        <f>Z$2-Assumptions!$B$81+1</f>
        <v>23.0</v>
      </c>
    </row>
    <row r="28">
      <c r="A28" s="13" t="inlineStr">
        <is>
          <t>Net sales, unrisked</t>
        </is>
      </c>
      <c r="C28" s="52">
        <f>IF(C$2&gt;Assumptions!$B$90,0*(1-Assumptions!$B$91),IF(C27&gt;=1,Assumptions!$B$82*CHOOSE(Assumptions!$B$89,INDEX(Assumptions!$B$42:$H$42,MIN(C27,7)),INDEX(Assumptions!$B$43:$H$43,MIN(C27,7))),0))</f>
        <v>0</v>
      </c>
      <c r="D28" s="52">
        <f>IF(D$2&gt;Assumptions!$B$90,C28*(1-Assumptions!$B$91),IF(D27&gt;=1,Assumptions!$B$82*CHOOSE(Assumptions!$B$89,INDEX(Assumptions!$B$42:$H$42,MIN(D27,7)),INDEX(Assumptions!$B$43:$H$43,MIN(D27,7))),0))</f>
        <v>180.0</v>
      </c>
      <c r="E28" s="52">
        <f>IF(E$2&gt;Assumptions!$B$90,D28*(1-Assumptions!$B$91),IF(E27&gt;=1,Assumptions!$B$82*CHOOSE(Assumptions!$B$89,INDEX(Assumptions!$B$42:$H$42,MIN(E27,7)),INDEX(Assumptions!$B$43:$H$43,MIN(E27,7))),0))</f>
        <v>420.0</v>
      </c>
      <c r="F28" s="52">
        <f>IF(F$2&gt;Assumptions!$B$90,E28*(1-Assumptions!$B$91),IF(F27&gt;=1,Assumptions!$B$82*CHOOSE(Assumptions!$B$89,INDEX(Assumptions!$B$42:$H$42,MIN(F27,7)),INDEX(Assumptions!$B$43:$H$43,MIN(F27,7))),0))</f>
        <v>660.0</v>
      </c>
      <c r="G28" s="52">
        <f>IF(G$2&gt;Assumptions!$B$90,F28*(1-Assumptions!$B$91),IF(G27&gt;=1,Assumptions!$B$82*CHOOSE(Assumptions!$B$89,INDEX(Assumptions!$B$42:$H$42,MIN(G27,7)),INDEX(Assumptions!$B$43:$H$43,MIN(G27,7))),0))</f>
        <v>900.0</v>
      </c>
      <c r="H28" s="52">
        <f>IF(H$2&gt;Assumptions!$B$90,G28*(1-Assumptions!$B$91),IF(H27&gt;=1,Assumptions!$B$82*CHOOSE(Assumptions!$B$89,INDEX(Assumptions!$B$42:$H$42,MIN(H27,7)),INDEX(Assumptions!$B$43:$H$43,MIN(H27,7))),0))</f>
        <v>1080.0</v>
      </c>
      <c r="I28" s="52">
        <f>IF(I$2&gt;Assumptions!$B$90,H28*(1-Assumptions!$B$91),IF(I27&gt;=1,Assumptions!$B$82*CHOOSE(Assumptions!$B$89,INDEX(Assumptions!$B$42:$H$42,MIN(I27,7)),INDEX(Assumptions!$B$43:$H$43,MIN(I27,7))),0))</f>
        <v>1200.0</v>
      </c>
      <c r="J28" s="52">
        <f>IF(J$2&gt;Assumptions!$B$90,I28*(1-Assumptions!$B$91),IF(J27&gt;=1,Assumptions!$B$82*CHOOSE(Assumptions!$B$89,INDEX(Assumptions!$B$42:$H$42,MIN(J27,7)),INDEX(Assumptions!$B$43:$H$43,MIN(J27,7))),0))</f>
        <v>1200.0</v>
      </c>
      <c r="K28" s="52">
        <f>IF(K$2&gt;Assumptions!$B$90,J28*(1-Assumptions!$B$91),IF(K27&gt;=1,Assumptions!$B$82*CHOOSE(Assumptions!$B$89,INDEX(Assumptions!$B$42:$H$42,MIN(K27,7)),INDEX(Assumptions!$B$43:$H$43,MIN(K27,7))),0))</f>
        <v>1200.0</v>
      </c>
      <c r="L28" s="52">
        <f>IF(L$2&gt;Assumptions!$B$90,K28*(1-Assumptions!$B$91),IF(L27&gt;=1,Assumptions!$B$82*CHOOSE(Assumptions!$B$89,INDEX(Assumptions!$B$42:$H$42,MIN(L27,7)),INDEX(Assumptions!$B$43:$H$43,MIN(L27,7))),0))</f>
        <v>1200.0</v>
      </c>
      <c r="M28" s="52">
        <f>IF(M$2&gt;Assumptions!$B$90,L28*(1-Assumptions!$B$91),IF(M27&gt;=1,Assumptions!$B$82*CHOOSE(Assumptions!$B$89,INDEX(Assumptions!$B$42:$H$42,MIN(M27,7)),INDEX(Assumptions!$B$43:$H$43,MIN(M27,7))),0))</f>
        <v>1200.0</v>
      </c>
      <c r="N28" s="52">
        <f>IF(N$2&gt;Assumptions!$B$90,M28*(1-Assumptions!$B$91),IF(N27&gt;=1,Assumptions!$B$82*CHOOSE(Assumptions!$B$89,INDEX(Assumptions!$B$42:$H$42,MIN(N27,7)),INDEX(Assumptions!$B$43:$H$43,MIN(N27,7))),0))</f>
        <v>1200.0</v>
      </c>
      <c r="O28" s="52">
        <f>IF(O$2&gt;Assumptions!$B$90,N28*(1-Assumptions!$B$91),IF(O27&gt;=1,Assumptions!$B$82*CHOOSE(Assumptions!$B$89,INDEX(Assumptions!$B$42:$H$42,MIN(O27,7)),INDEX(Assumptions!$B$43:$H$43,MIN(O27,7))),0))</f>
        <v>1200.0</v>
      </c>
      <c r="P28" s="52">
        <f>IF(P$2&gt;Assumptions!$B$90,O28*(1-Assumptions!$B$91),IF(P27&gt;=1,Assumptions!$B$82*CHOOSE(Assumptions!$B$89,INDEX(Assumptions!$B$42:$H$42,MIN(P27,7)),INDEX(Assumptions!$B$43:$H$43,MIN(P27,7))),0))</f>
        <v>1200.0</v>
      </c>
      <c r="Q28" s="52">
        <f>IF(Q$2&gt;Assumptions!$B$90,P28*(1-Assumptions!$B$91),IF(Q27&gt;=1,Assumptions!$B$82*CHOOSE(Assumptions!$B$89,INDEX(Assumptions!$B$42:$H$42,MIN(Q27,7)),INDEX(Assumptions!$B$43:$H$43,MIN(Q27,7))),0))</f>
        <v>1200.0</v>
      </c>
      <c r="R28" s="52">
        <f>IF(R$2&gt;Assumptions!$B$90,Q28*(1-Assumptions!$B$91),IF(R27&gt;=1,Assumptions!$B$82*CHOOSE(Assumptions!$B$89,INDEX(Assumptions!$B$42:$H$42,MIN(R27,7)),INDEX(Assumptions!$B$43:$H$43,MIN(R27,7))),0))</f>
        <v>480.0</v>
      </c>
      <c r="S28" s="52">
        <f>IF(S$2&gt;Assumptions!$B$90,R28*(1-Assumptions!$B$91),IF(S27&gt;=1,Assumptions!$B$82*CHOOSE(Assumptions!$B$89,INDEX(Assumptions!$B$42:$H$42,MIN(S27,7)),INDEX(Assumptions!$B$43:$H$43,MIN(S27,7))),0))</f>
        <v>192.0</v>
      </c>
      <c r="T28" s="52">
        <f>IF(T$2&gt;Assumptions!$B$90,S28*(1-Assumptions!$B$91),IF(T27&gt;=1,Assumptions!$B$82*CHOOSE(Assumptions!$B$89,INDEX(Assumptions!$B$42:$H$42,MIN(T27,7)),INDEX(Assumptions!$B$43:$H$43,MIN(T27,7))),0))</f>
        <v>76.80000000000001</v>
      </c>
      <c r="U28" s="52">
        <f>IF(U$2&gt;Assumptions!$B$90,T28*(1-Assumptions!$B$91),IF(U27&gt;=1,Assumptions!$B$82*CHOOSE(Assumptions!$B$89,INDEX(Assumptions!$B$42:$H$42,MIN(U27,7)),INDEX(Assumptions!$B$43:$H$43,MIN(U27,7))),0))</f>
        <v>30.720000000000006</v>
      </c>
      <c r="V28" s="52">
        <f>IF(V$2&gt;Assumptions!$B$90,U28*(1-Assumptions!$B$91),IF(V27&gt;=1,Assumptions!$B$82*CHOOSE(Assumptions!$B$89,INDEX(Assumptions!$B$42:$H$42,MIN(V27,7)),INDEX(Assumptions!$B$43:$H$43,MIN(V27,7))),0))</f>
        <v>12.288000000000004</v>
      </c>
      <c r="W28" s="52">
        <f>IF(W$2&gt;Assumptions!$B$90,V28*(1-Assumptions!$B$91),IF(W27&gt;=1,Assumptions!$B$82*CHOOSE(Assumptions!$B$89,INDEX(Assumptions!$B$42:$H$42,MIN(W27,7)),INDEX(Assumptions!$B$43:$H$43,MIN(W27,7))),0))</f>
        <v>4.915200000000002</v>
      </c>
      <c r="X28" s="52">
        <f>IF(X$2&gt;Assumptions!$B$90,W28*(1-Assumptions!$B$91),IF(X27&gt;=1,Assumptions!$B$82*CHOOSE(Assumptions!$B$89,INDEX(Assumptions!$B$42:$H$42,MIN(X27,7)),INDEX(Assumptions!$B$43:$H$43,MIN(X27,7))),0))</f>
        <v>1.966080000000001</v>
      </c>
      <c r="Y28" s="52">
        <f>IF(Y$2&gt;Assumptions!$B$90,X28*(1-Assumptions!$B$91),IF(Y27&gt;=1,Assumptions!$B$82*CHOOSE(Assumptions!$B$89,INDEX(Assumptions!$B$42:$H$42,MIN(Y27,7)),INDEX(Assumptions!$B$43:$H$43,MIN(Y27,7))),0))</f>
        <v>0.7864320000000005</v>
      </c>
      <c r="Z28" s="52">
        <f>IF(Z$2&gt;Assumptions!$B$90,Y28*(1-Assumptions!$B$91),IF(Z27&gt;=1,Assumptions!$B$82*CHOOSE(Assumptions!$B$89,INDEX(Assumptions!$B$42:$H$42,MIN(Z27,7)),INDEX(Assumptions!$B$43:$H$43,MIN(Z27,7))),0))</f>
        <v>0.3145728000000002</v>
      </c>
    </row>
    <row r="29">
      <c r="A29" s="13" t="inlineStr">
        <is>
          <t>Product net sales, risk-adjusted</t>
        </is>
      </c>
      <c r="C29" s="52">
        <f>C28*MIN(1,Assumptions!$B$83*Assumptions!$B$37)</f>
        <v>0.0</v>
      </c>
      <c r="D29" s="52">
        <f>D28*MIN(1,Assumptions!$B$83*Assumptions!$B$37)</f>
        <v>81.0</v>
      </c>
      <c r="E29" s="52">
        <f>E28*MIN(1,Assumptions!$B$83*Assumptions!$B$37)</f>
        <v>189.0</v>
      </c>
      <c r="F29" s="52">
        <f>F28*MIN(1,Assumptions!$B$83*Assumptions!$B$37)</f>
        <v>297.0</v>
      </c>
      <c r="G29" s="52">
        <f>G28*MIN(1,Assumptions!$B$83*Assumptions!$B$37)</f>
        <v>405.0</v>
      </c>
      <c r="H29" s="52">
        <f>H28*MIN(1,Assumptions!$B$83*Assumptions!$B$37)</f>
        <v>486.0</v>
      </c>
      <c r="I29" s="52">
        <f>I28*MIN(1,Assumptions!$B$83*Assumptions!$B$37)</f>
        <v>540.0</v>
      </c>
      <c r="J29" s="52">
        <f>J28*MIN(1,Assumptions!$B$83*Assumptions!$B$37)</f>
        <v>540.0</v>
      </c>
      <c r="K29" s="52">
        <f>K28*MIN(1,Assumptions!$B$83*Assumptions!$B$37)</f>
        <v>540.0</v>
      </c>
      <c r="L29" s="52">
        <f>L28*MIN(1,Assumptions!$B$83*Assumptions!$B$37)</f>
        <v>540.0</v>
      </c>
      <c r="M29" s="52">
        <f>M28*MIN(1,Assumptions!$B$83*Assumptions!$B$37)</f>
        <v>540.0</v>
      </c>
      <c r="N29" s="52">
        <f>N28*MIN(1,Assumptions!$B$83*Assumptions!$B$37)</f>
        <v>540.0</v>
      </c>
      <c r="O29" s="52">
        <f>O28*MIN(1,Assumptions!$B$83*Assumptions!$B$37)</f>
        <v>540.0</v>
      </c>
      <c r="P29" s="52">
        <f>P28*MIN(1,Assumptions!$B$83*Assumptions!$B$37)</f>
        <v>540.0</v>
      </c>
      <c r="Q29" s="52">
        <f>Q28*MIN(1,Assumptions!$B$83*Assumptions!$B$37)</f>
        <v>540.0</v>
      </c>
      <c r="R29" s="52">
        <f>R28*MIN(1,Assumptions!$B$83*Assumptions!$B$37)</f>
        <v>216.0</v>
      </c>
      <c r="S29" s="52">
        <f>S28*MIN(1,Assumptions!$B$83*Assumptions!$B$37)</f>
        <v>86.4</v>
      </c>
      <c r="T29" s="52">
        <f>T28*MIN(1,Assumptions!$B$83*Assumptions!$B$37)</f>
        <v>34.56000000000001</v>
      </c>
      <c r="U29" s="52">
        <f>U28*MIN(1,Assumptions!$B$83*Assumptions!$B$37)</f>
        <v>13.824000000000003</v>
      </c>
      <c r="V29" s="52">
        <f>V28*MIN(1,Assumptions!$B$83*Assumptions!$B$37)</f>
        <v>5.529600000000002</v>
      </c>
      <c r="W29" s="52">
        <f>W28*MIN(1,Assumptions!$B$83*Assumptions!$B$37)</f>
        <v>2.211840000000001</v>
      </c>
      <c r="X29" s="52">
        <f>X28*MIN(1,Assumptions!$B$83*Assumptions!$B$37)</f>
        <v>0.8847360000000004</v>
      </c>
      <c r="Y29" s="52">
        <f>Y28*MIN(1,Assumptions!$B$83*Assumptions!$B$37)</f>
        <v>0.3538944000000002</v>
      </c>
      <c r="Z29" s="52">
        <f>Z28*MIN(1,Assumptions!$B$83*Assumptions!$B$37)</f>
        <v>0.1415577600000001</v>
      </c>
    </row>
    <row r="30">
      <c r="A30" s="13" t="inlineStr">
        <is>
          <t>Company revenue, risk-adjusted (incl. milestones)</t>
        </is>
      </c>
      <c r="C30" s="52">
        <f>C29*Assumptions!$B$84</f>
        <v>0.0</v>
      </c>
      <c r="D30" s="52">
        <f>D29*Assumptions!$B$84</f>
        <v>81.0</v>
      </c>
      <c r="E30" s="52">
        <f>E29*Assumptions!$B$84</f>
        <v>189.0</v>
      </c>
      <c r="F30" s="52">
        <f>F29*Assumptions!$B$84</f>
        <v>297.0</v>
      </c>
      <c r="G30" s="52">
        <f>G29*Assumptions!$B$84</f>
        <v>405.0</v>
      </c>
      <c r="H30" s="52">
        <f>H29*Assumptions!$B$84</f>
        <v>486.0</v>
      </c>
      <c r="I30" s="52">
        <f>I29*Assumptions!$B$84</f>
        <v>540.0</v>
      </c>
      <c r="J30" s="52">
        <f>J29*Assumptions!$B$84</f>
        <v>540.0</v>
      </c>
      <c r="K30" s="52">
        <f>K29*Assumptions!$B$84</f>
        <v>540.0</v>
      </c>
      <c r="L30" s="52">
        <f>L29*Assumptions!$B$84</f>
        <v>540.0</v>
      </c>
      <c r="M30" s="52">
        <f>M29*Assumptions!$B$84</f>
        <v>540.0</v>
      </c>
      <c r="N30" s="52">
        <f>N29*Assumptions!$B$84</f>
        <v>540.0</v>
      </c>
      <c r="O30" s="52">
        <f>O29*Assumptions!$B$84</f>
        <v>540.0</v>
      </c>
      <c r="P30" s="52">
        <f>P29*Assumptions!$B$84</f>
        <v>540.0</v>
      </c>
      <c r="Q30" s="52">
        <f>Q29*Assumptions!$B$84</f>
        <v>540.0</v>
      </c>
      <c r="R30" s="52">
        <f>R29*Assumptions!$B$84</f>
        <v>216.0</v>
      </c>
      <c r="S30" s="52">
        <f>S29*Assumptions!$B$84</f>
        <v>86.4</v>
      </c>
      <c r="T30" s="52">
        <f>T29*Assumptions!$B$84</f>
        <v>34.56000000000001</v>
      </c>
      <c r="U30" s="52">
        <f>U29*Assumptions!$B$84</f>
        <v>13.824000000000003</v>
      </c>
      <c r="V30" s="52">
        <f>V29*Assumptions!$B$84</f>
        <v>5.529600000000002</v>
      </c>
      <c r="W30" s="52">
        <f>W29*Assumptions!$B$84</f>
        <v>2.211840000000001</v>
      </c>
      <c r="X30" s="52">
        <f>X29*Assumptions!$B$84</f>
        <v>0.8847360000000004</v>
      </c>
      <c r="Y30" s="52">
        <f>Y29*Assumptions!$B$84</f>
        <v>0.3538944000000002</v>
      </c>
      <c r="Z30" s="52">
        <f>Z29*Assumptions!$B$84</f>
        <v>0.1415577600000001</v>
      </c>
    </row>
    <row r="31">
      <c r="A31" s="13" t="inlineStr">
        <is>
          <t>COGS + royalties, risk-adjusted</t>
        </is>
      </c>
      <c r="C31" s="52">
        <f>C29*(Assumptions!$B$85+Assumptions!$B$86)</f>
        <v>0.0</v>
      </c>
      <c r="D31" s="52">
        <f>D29*(Assumptions!$B$85+Assumptions!$B$86)</f>
        <v>3.24</v>
      </c>
      <c r="E31" s="52">
        <f>E29*(Assumptions!$B$85+Assumptions!$B$86)</f>
        <v>7.5600000000000005</v>
      </c>
      <c r="F31" s="52">
        <f>F29*(Assumptions!$B$85+Assumptions!$B$86)</f>
        <v>11.88</v>
      </c>
      <c r="G31" s="52">
        <f>G29*(Assumptions!$B$85+Assumptions!$B$86)</f>
        <v>16.2</v>
      </c>
      <c r="H31" s="52">
        <f>H29*(Assumptions!$B$85+Assumptions!$B$86)</f>
        <v>19.44</v>
      </c>
      <c r="I31" s="52">
        <f>I29*(Assumptions!$B$85+Assumptions!$B$86)</f>
        <v>21.6</v>
      </c>
      <c r="J31" s="52">
        <f>J29*(Assumptions!$B$85+Assumptions!$B$86)</f>
        <v>21.6</v>
      </c>
      <c r="K31" s="52">
        <f>K29*(Assumptions!$B$85+Assumptions!$B$86)</f>
        <v>21.6</v>
      </c>
      <c r="L31" s="52">
        <f>L29*(Assumptions!$B$85+Assumptions!$B$86)</f>
        <v>21.6</v>
      </c>
      <c r="M31" s="52">
        <f>M29*(Assumptions!$B$85+Assumptions!$B$86)</f>
        <v>21.6</v>
      </c>
      <c r="N31" s="52">
        <f>N29*(Assumptions!$B$85+Assumptions!$B$86)</f>
        <v>21.6</v>
      </c>
      <c r="O31" s="52">
        <f>O29*(Assumptions!$B$85+Assumptions!$B$86)</f>
        <v>21.6</v>
      </c>
      <c r="P31" s="52">
        <f>P29*(Assumptions!$B$85+Assumptions!$B$86)</f>
        <v>21.6</v>
      </c>
      <c r="Q31" s="52">
        <f>Q29*(Assumptions!$B$85+Assumptions!$B$86)</f>
        <v>21.6</v>
      </c>
      <c r="R31" s="52">
        <f>R29*(Assumptions!$B$85+Assumptions!$B$86)</f>
        <v>8.64</v>
      </c>
      <c r="S31" s="52">
        <f>S29*(Assumptions!$B$85+Assumptions!$B$86)</f>
        <v>3.4560000000000004</v>
      </c>
      <c r="T31" s="52">
        <f>T29*(Assumptions!$B$85+Assumptions!$B$86)</f>
        <v>1.3824000000000003</v>
      </c>
      <c r="U31" s="52">
        <f>U29*(Assumptions!$B$85+Assumptions!$B$86)</f>
        <v>0.5529600000000001</v>
      </c>
      <c r="V31" s="52">
        <f>V29*(Assumptions!$B$85+Assumptions!$B$86)</f>
        <v>0.22118400000000007</v>
      </c>
      <c r="W31" s="52">
        <f>W29*(Assumptions!$B$85+Assumptions!$B$86)</f>
        <v>0.08847360000000004</v>
      </c>
      <c r="X31" s="52">
        <f>X29*(Assumptions!$B$85+Assumptions!$B$86)</f>
        <v>0.035389440000000015</v>
      </c>
      <c r="Y31" s="52">
        <f>Y29*(Assumptions!$B$85+Assumptions!$B$86)</f>
        <v>0.014155776000000009</v>
      </c>
      <c r="Z31" s="52">
        <f>Z29*(Assumptions!$B$85+Assumptions!$B$86)</f>
        <v>0.005662310400000004</v>
      </c>
    </row>
    <row r="32">
      <c r="A32" s="13" t="inlineStr">
        <is>
          <t>Commercial SG&amp;A, risk-adjusted</t>
        </is>
      </c>
      <c r="C32" s="52">
        <f>MIN(1,Assumptions!$B$83*Assumptions!$B$37)*IF(Assumptions!$B$87=0,0,IF(C27=0,Assumptions!$B$88,IF(C27&gt;=1,C28*IF(OR(Assumptions!$B$84&lt;1,C27&gt;5),Assumptions!$B$87,MAX(Assumptions!$B$87,INDEX(Assumptions!$B$44:$F$44,C27))),0)))</f>
        <v>9.0</v>
      </c>
      <c r="D32" s="52">
        <f>MIN(1,Assumptions!$B$83*Assumptions!$B$37)*IF(Assumptions!$B$87=0,0,IF(D27=0,Assumptions!$B$88,IF(D27&gt;=1,D28*IF(OR(Assumptions!$B$84&lt;1,D27&gt;5),Assumptions!$B$87,MAX(Assumptions!$B$87,INDEX(Assumptions!$B$44:$F$44,D27))),0)))</f>
        <v>72.9</v>
      </c>
      <c r="E32" s="52">
        <f>MIN(1,Assumptions!$B$83*Assumptions!$B$37)*IF(Assumptions!$B$87=0,0,IF(E27=0,Assumptions!$B$88,IF(E27&gt;=1,E28*IF(OR(Assumptions!$B$84&lt;1,E27&gt;5),Assumptions!$B$87,MAX(Assumptions!$B$87,INDEX(Assumptions!$B$44:$F$44,E27))),0)))</f>
        <v>103.95000000000002</v>
      </c>
      <c r="F32" s="52">
        <f>MIN(1,Assumptions!$B$83*Assumptions!$B$37)*IF(Assumptions!$B$87=0,0,IF(F27=0,Assumptions!$B$88,IF(F27&gt;=1,F28*IF(OR(Assumptions!$B$84&lt;1,F27&gt;5),Assumptions!$B$87,MAX(Assumptions!$B$87,INDEX(Assumptions!$B$44:$F$44,F27))),0)))</f>
        <v>118.8</v>
      </c>
      <c r="G32" s="52">
        <f>MIN(1,Assumptions!$B$83*Assumptions!$B$37)*IF(Assumptions!$B$87=0,0,IF(G27=0,Assumptions!$B$88,IF(G27&gt;=1,G28*IF(OR(Assumptions!$B$84&lt;1,G27&gt;5),Assumptions!$B$87,MAX(Assumptions!$B$87,INDEX(Assumptions!$B$44:$F$44,G27))),0)))</f>
        <v>129.6</v>
      </c>
      <c r="H32" s="52">
        <f>MIN(1,Assumptions!$B$83*Assumptions!$B$37)*IF(Assumptions!$B$87=0,0,IF(H27=0,Assumptions!$B$88,IF(H27&gt;=1,H28*IF(OR(Assumptions!$B$84&lt;1,H27&gt;5),Assumptions!$B$87,MAX(Assumptions!$B$87,INDEX(Assumptions!$B$44:$F$44,H27))),0)))</f>
        <v>136.08</v>
      </c>
      <c r="I32" s="52">
        <f>MIN(1,Assumptions!$B$83*Assumptions!$B$37)*IF(Assumptions!$B$87=0,0,IF(I27=0,Assumptions!$B$88,IF(I27&gt;=1,I28*IF(OR(Assumptions!$B$84&lt;1,I27&gt;5),Assumptions!$B$87,MAX(Assumptions!$B$87,INDEX(Assumptions!$B$44:$F$44,I27))),0)))</f>
        <v>108.0</v>
      </c>
      <c r="J32" s="52">
        <f>MIN(1,Assumptions!$B$83*Assumptions!$B$37)*IF(Assumptions!$B$87=0,0,IF(J27=0,Assumptions!$B$88,IF(J27&gt;=1,J28*IF(OR(Assumptions!$B$84&lt;1,J27&gt;5),Assumptions!$B$87,MAX(Assumptions!$B$87,INDEX(Assumptions!$B$44:$F$44,J27))),0)))</f>
        <v>108.0</v>
      </c>
      <c r="K32" s="52">
        <f>MIN(1,Assumptions!$B$83*Assumptions!$B$37)*IF(Assumptions!$B$87=0,0,IF(K27=0,Assumptions!$B$88,IF(K27&gt;=1,K28*IF(OR(Assumptions!$B$84&lt;1,K27&gt;5),Assumptions!$B$87,MAX(Assumptions!$B$87,INDEX(Assumptions!$B$44:$F$44,K27))),0)))</f>
        <v>108.0</v>
      </c>
      <c r="L32" s="52">
        <f>MIN(1,Assumptions!$B$83*Assumptions!$B$37)*IF(Assumptions!$B$87=0,0,IF(L27=0,Assumptions!$B$88,IF(L27&gt;=1,L28*IF(OR(Assumptions!$B$84&lt;1,L27&gt;5),Assumptions!$B$87,MAX(Assumptions!$B$87,INDEX(Assumptions!$B$44:$F$44,L27))),0)))</f>
        <v>108.0</v>
      </c>
      <c r="M32" s="52">
        <f>MIN(1,Assumptions!$B$83*Assumptions!$B$37)*IF(Assumptions!$B$87=0,0,IF(M27=0,Assumptions!$B$88,IF(M27&gt;=1,M28*IF(OR(Assumptions!$B$84&lt;1,M27&gt;5),Assumptions!$B$87,MAX(Assumptions!$B$87,INDEX(Assumptions!$B$44:$F$44,M27))),0)))</f>
        <v>108.0</v>
      </c>
      <c r="N32" s="52">
        <f>MIN(1,Assumptions!$B$83*Assumptions!$B$37)*IF(Assumptions!$B$87=0,0,IF(N27=0,Assumptions!$B$88,IF(N27&gt;=1,N28*IF(OR(Assumptions!$B$84&lt;1,N27&gt;5),Assumptions!$B$87,MAX(Assumptions!$B$87,INDEX(Assumptions!$B$44:$F$44,N27))),0)))</f>
        <v>108.0</v>
      </c>
      <c r="O32" s="52">
        <f>MIN(1,Assumptions!$B$83*Assumptions!$B$37)*IF(Assumptions!$B$87=0,0,IF(O27=0,Assumptions!$B$88,IF(O27&gt;=1,O28*IF(OR(Assumptions!$B$84&lt;1,O27&gt;5),Assumptions!$B$87,MAX(Assumptions!$B$87,INDEX(Assumptions!$B$44:$F$44,O27))),0)))</f>
        <v>108.0</v>
      </c>
      <c r="P32" s="52">
        <f>MIN(1,Assumptions!$B$83*Assumptions!$B$37)*IF(Assumptions!$B$87=0,0,IF(P27=0,Assumptions!$B$88,IF(P27&gt;=1,P28*IF(OR(Assumptions!$B$84&lt;1,P27&gt;5),Assumptions!$B$87,MAX(Assumptions!$B$87,INDEX(Assumptions!$B$44:$F$44,P27))),0)))</f>
        <v>108.0</v>
      </c>
      <c r="Q32" s="52">
        <f>MIN(1,Assumptions!$B$83*Assumptions!$B$37)*IF(Assumptions!$B$87=0,0,IF(Q27=0,Assumptions!$B$88,IF(Q27&gt;=1,Q28*IF(OR(Assumptions!$B$84&lt;1,Q27&gt;5),Assumptions!$B$87,MAX(Assumptions!$B$87,INDEX(Assumptions!$B$44:$F$44,Q27))),0)))</f>
        <v>108.0</v>
      </c>
      <c r="R32" s="52">
        <f>MIN(1,Assumptions!$B$83*Assumptions!$B$37)*IF(Assumptions!$B$87=0,0,IF(R27=0,Assumptions!$B$88,IF(R27&gt;=1,R28*IF(OR(Assumptions!$B$84&lt;1,R27&gt;5),Assumptions!$B$87,MAX(Assumptions!$B$87,INDEX(Assumptions!$B$44:$F$44,R27))),0)))</f>
        <v>43.2</v>
      </c>
      <c r="S32" s="52">
        <f>MIN(1,Assumptions!$B$83*Assumptions!$B$37)*IF(Assumptions!$B$87=0,0,IF(S27=0,Assumptions!$B$88,IF(S27&gt;=1,S28*IF(OR(Assumptions!$B$84&lt;1,S27&gt;5),Assumptions!$B$87,MAX(Assumptions!$B$87,INDEX(Assumptions!$B$44:$F$44,S27))),0)))</f>
        <v>17.280000000000005</v>
      </c>
      <c r="T32" s="52">
        <f>MIN(1,Assumptions!$B$83*Assumptions!$B$37)*IF(Assumptions!$B$87=0,0,IF(T27=0,Assumptions!$B$88,IF(T27&gt;=1,T28*IF(OR(Assumptions!$B$84&lt;1,T27&gt;5),Assumptions!$B$87,MAX(Assumptions!$B$87,INDEX(Assumptions!$B$44:$F$44,T27))),0)))</f>
        <v>6.912000000000002</v>
      </c>
      <c r="U32" s="52">
        <f>MIN(1,Assumptions!$B$83*Assumptions!$B$37)*IF(Assumptions!$B$87=0,0,IF(U27=0,Assumptions!$B$88,IF(U27&gt;=1,U28*IF(OR(Assumptions!$B$84&lt;1,U27&gt;5),Assumptions!$B$87,MAX(Assumptions!$B$87,INDEX(Assumptions!$B$44:$F$44,U27))),0)))</f>
        <v>2.764800000000001</v>
      </c>
      <c r="V32" s="52">
        <f>MIN(1,Assumptions!$B$83*Assumptions!$B$37)*IF(Assumptions!$B$87=0,0,IF(V27=0,Assumptions!$B$88,IF(V27&gt;=1,V28*IF(OR(Assumptions!$B$84&lt;1,V27&gt;5),Assumptions!$B$87,MAX(Assumptions!$B$87,INDEX(Assumptions!$B$44:$F$44,V27))),0)))</f>
        <v>1.1059200000000005</v>
      </c>
      <c r="W32" s="52">
        <f>MIN(1,Assumptions!$B$83*Assumptions!$B$37)*IF(Assumptions!$B$87=0,0,IF(W27=0,Assumptions!$B$88,IF(W27&gt;=1,W28*IF(OR(Assumptions!$B$84&lt;1,W27&gt;5),Assumptions!$B$87,MAX(Assumptions!$B$87,INDEX(Assumptions!$B$44:$F$44,W27))),0)))</f>
        <v>0.4423680000000002</v>
      </c>
      <c r="X32" s="52">
        <f>MIN(1,Assumptions!$B$83*Assumptions!$B$37)*IF(Assumptions!$B$87=0,0,IF(X27=0,Assumptions!$B$88,IF(X27&gt;=1,X28*IF(OR(Assumptions!$B$84&lt;1,X27&gt;5),Assumptions!$B$87,MAX(Assumptions!$B$87,INDEX(Assumptions!$B$44:$F$44,X27))),0)))</f>
        <v>0.1769472000000001</v>
      </c>
      <c r="Y32" s="52">
        <f>MIN(1,Assumptions!$B$83*Assumptions!$B$37)*IF(Assumptions!$B$87=0,0,IF(Y27=0,Assumptions!$B$88,IF(Y27&gt;=1,Y28*IF(OR(Assumptions!$B$84&lt;1,Y27&gt;5),Assumptions!$B$87,MAX(Assumptions!$B$87,INDEX(Assumptions!$B$44:$F$44,Y27))),0)))</f>
        <v>0.07077888000000004</v>
      </c>
      <c r="Z32" s="52">
        <f>MIN(1,Assumptions!$B$83*Assumptions!$B$37)*IF(Assumptions!$B$87=0,0,IF(Z27=0,Assumptions!$B$88,IF(Z27&gt;=1,Z28*IF(OR(Assumptions!$B$84&lt;1,Z27&gt;5),Assumptions!$B$87,MAX(Assumptions!$B$87,INDEX(Assumptions!$B$44:$F$44,Z27))),0)))</f>
        <v>0.028311552000000025</v>
      </c>
    </row>
    <row r="33">
      <c r="A33" s="13" t="inlineStr">
        <is>
          <t>Development R&amp;D, risk-adjusted</t>
        </is>
      </c>
      <c r="C33" s="52">
        <f>IFERROR(INDEX(Assumptions!$B$93:$I$93,MATCH(C$2,Assumptions!$B$92:$I$92,0))*INDEX(Assumptions!$B$94:$I$94,MATCH(C$2,Assumptions!$B$92:$I$92,0)),0)</f>
        <v>15.0</v>
      </c>
      <c r="D33" s="52">
        <f>IFERROR(INDEX(Assumptions!$B$93:$I$93,MATCH(D$2,Assumptions!$B$92:$I$92,0))*INDEX(Assumptions!$B$94:$I$94,MATCH(D$2,Assumptions!$B$92:$I$92,0)),0)</f>
        <v>0.0</v>
      </c>
      <c r="E33" s="52">
        <f>IFERROR(INDEX(Assumptions!$B$93:$I$93,MATCH(E$2,Assumptions!$B$92:$I$92,0))*INDEX(Assumptions!$B$94:$I$94,MATCH(E$2,Assumptions!$B$92:$I$92,0)),0)</f>
        <v>0.0</v>
      </c>
      <c r="F33" s="52">
        <f>IFERROR(INDEX(Assumptions!$B$93:$I$93,MATCH(F$2,Assumptions!$B$92:$I$92,0))*INDEX(Assumptions!$B$94:$I$94,MATCH(F$2,Assumptions!$B$92:$I$92,0)),0)</f>
        <v>0.0</v>
      </c>
      <c r="G33" s="52">
        <f>IFERROR(INDEX(Assumptions!$B$93:$I$93,MATCH(G$2,Assumptions!$B$92:$I$92,0))*INDEX(Assumptions!$B$94:$I$94,MATCH(G$2,Assumptions!$B$92:$I$92,0)),0)</f>
        <v>0.0</v>
      </c>
      <c r="H33" s="52">
        <f>IFERROR(INDEX(Assumptions!$B$93:$I$93,MATCH(H$2,Assumptions!$B$92:$I$92,0))*INDEX(Assumptions!$B$94:$I$94,MATCH(H$2,Assumptions!$B$92:$I$92,0)),0)</f>
        <v>0.0</v>
      </c>
      <c r="I33" s="52">
        <f>IFERROR(INDEX(Assumptions!$B$93:$I$93,MATCH(I$2,Assumptions!$B$92:$I$92,0))*INDEX(Assumptions!$B$94:$I$94,MATCH(I$2,Assumptions!$B$92:$I$92,0)),0)</f>
        <v>0.0</v>
      </c>
      <c r="J33" s="52">
        <f>IFERROR(INDEX(Assumptions!$B$93:$I$93,MATCH(J$2,Assumptions!$B$92:$I$92,0))*INDEX(Assumptions!$B$94:$I$94,MATCH(J$2,Assumptions!$B$92:$I$92,0)),0)</f>
        <v>0.0</v>
      </c>
      <c r="K33" s="52">
        <f>IFERROR(INDEX(Assumptions!$B$93:$I$93,MATCH(K$2,Assumptions!$B$92:$I$92,0))*INDEX(Assumptions!$B$94:$I$94,MATCH(K$2,Assumptions!$B$92:$I$92,0)),0)</f>
        <v>0</v>
      </c>
      <c r="L33" s="52">
        <f>IFERROR(INDEX(Assumptions!$B$93:$I$93,MATCH(L$2,Assumptions!$B$92:$I$92,0))*INDEX(Assumptions!$B$94:$I$94,MATCH(L$2,Assumptions!$B$92:$I$92,0)),0)</f>
        <v>0</v>
      </c>
      <c r="M33" s="52">
        <f>IFERROR(INDEX(Assumptions!$B$93:$I$93,MATCH(M$2,Assumptions!$B$92:$I$92,0))*INDEX(Assumptions!$B$94:$I$94,MATCH(M$2,Assumptions!$B$92:$I$92,0)),0)</f>
        <v>0</v>
      </c>
      <c r="N33" s="52">
        <f>IFERROR(INDEX(Assumptions!$B$93:$I$93,MATCH(N$2,Assumptions!$B$92:$I$92,0))*INDEX(Assumptions!$B$94:$I$94,MATCH(N$2,Assumptions!$B$92:$I$92,0)),0)</f>
        <v>0</v>
      </c>
      <c r="O33" s="52">
        <f>IFERROR(INDEX(Assumptions!$B$93:$I$93,MATCH(O$2,Assumptions!$B$92:$I$92,0))*INDEX(Assumptions!$B$94:$I$94,MATCH(O$2,Assumptions!$B$92:$I$92,0)),0)</f>
        <v>0</v>
      </c>
      <c r="P33" s="52">
        <f>IFERROR(INDEX(Assumptions!$B$93:$I$93,MATCH(P$2,Assumptions!$B$92:$I$92,0))*INDEX(Assumptions!$B$94:$I$94,MATCH(P$2,Assumptions!$B$92:$I$92,0)),0)</f>
        <v>0</v>
      </c>
      <c r="Q33" s="52">
        <f>IFERROR(INDEX(Assumptions!$B$93:$I$93,MATCH(Q$2,Assumptions!$B$92:$I$92,0))*INDEX(Assumptions!$B$94:$I$94,MATCH(Q$2,Assumptions!$B$92:$I$92,0)),0)</f>
        <v>0</v>
      </c>
      <c r="R33" s="52">
        <f>IFERROR(INDEX(Assumptions!$B$93:$I$93,MATCH(R$2,Assumptions!$B$92:$I$92,0))*INDEX(Assumptions!$B$94:$I$94,MATCH(R$2,Assumptions!$B$92:$I$92,0)),0)</f>
        <v>0</v>
      </c>
      <c r="S33" s="52">
        <f>IFERROR(INDEX(Assumptions!$B$93:$I$93,MATCH(S$2,Assumptions!$B$92:$I$92,0))*INDEX(Assumptions!$B$94:$I$94,MATCH(S$2,Assumptions!$B$92:$I$92,0)),0)</f>
        <v>0</v>
      </c>
      <c r="T33" s="52">
        <f>IFERROR(INDEX(Assumptions!$B$93:$I$93,MATCH(T$2,Assumptions!$B$92:$I$92,0))*INDEX(Assumptions!$B$94:$I$94,MATCH(T$2,Assumptions!$B$92:$I$92,0)),0)</f>
        <v>0</v>
      </c>
      <c r="U33" s="52">
        <f>IFERROR(INDEX(Assumptions!$B$93:$I$93,MATCH(U$2,Assumptions!$B$92:$I$92,0))*INDEX(Assumptions!$B$94:$I$94,MATCH(U$2,Assumptions!$B$92:$I$92,0)),0)</f>
        <v>0</v>
      </c>
      <c r="V33" s="52">
        <f>IFERROR(INDEX(Assumptions!$B$93:$I$93,MATCH(V$2,Assumptions!$B$92:$I$92,0))*INDEX(Assumptions!$B$94:$I$94,MATCH(V$2,Assumptions!$B$92:$I$92,0)),0)</f>
        <v>0</v>
      </c>
      <c r="W33" s="52">
        <f>IFERROR(INDEX(Assumptions!$B$93:$I$93,MATCH(W$2,Assumptions!$B$92:$I$92,0))*INDEX(Assumptions!$B$94:$I$94,MATCH(W$2,Assumptions!$B$92:$I$92,0)),0)</f>
        <v>0</v>
      </c>
      <c r="X33" s="52">
        <f>IFERROR(INDEX(Assumptions!$B$93:$I$93,MATCH(X$2,Assumptions!$B$92:$I$92,0))*INDEX(Assumptions!$B$94:$I$94,MATCH(X$2,Assumptions!$B$92:$I$92,0)),0)</f>
        <v>0</v>
      </c>
      <c r="Y33" s="52">
        <f>IFERROR(INDEX(Assumptions!$B$93:$I$93,MATCH(Y$2,Assumptions!$B$92:$I$92,0))*INDEX(Assumptions!$B$94:$I$94,MATCH(Y$2,Assumptions!$B$92:$I$92,0)),0)</f>
        <v>0</v>
      </c>
      <c r="Z33" s="52">
        <f>IFERROR(INDEX(Assumptions!$B$93:$I$93,MATCH(Z$2,Assumptions!$B$92:$I$92,0))*INDEX(Assumptions!$B$94:$I$94,MATCH(Z$2,Assumptions!$B$92:$I$92,0)),0)</f>
        <v>0</v>
      </c>
    </row>
    <row r="34">
      <c r="A34" s="23" t="inlineStr">
        <is>
          <t>Program contribution (pre-tax)</t>
        </is>
      </c>
      <c r="C34" s="56">
        <f>C30-C31-C32-C33</f>
        <v>-24.0</v>
      </c>
      <c r="D34" s="56">
        <f>D30-D31-D32-D33</f>
        <v>4.859999999999999</v>
      </c>
      <c r="E34" s="56">
        <f>E30-E31-E32-E33</f>
        <v>77.48999999999998</v>
      </c>
      <c r="F34" s="56">
        <f>F30-F31-F32-F33</f>
        <v>166.32</v>
      </c>
      <c r="G34" s="56">
        <f>G30-G31-G32-G33</f>
        <v>259.20000000000005</v>
      </c>
      <c r="H34" s="56">
        <f>H30-H31-H32-H33</f>
        <v>330.48</v>
      </c>
      <c r="I34" s="56">
        <f>I30-I31-I32-I33</f>
        <v>410.4</v>
      </c>
      <c r="J34" s="56">
        <f>J30-J31-J32-J33</f>
        <v>410.4</v>
      </c>
      <c r="K34" s="56">
        <f>K30-K31-K32-K33</f>
        <v>410.4</v>
      </c>
      <c r="L34" s="56">
        <f>L30-L31-L32-L33</f>
        <v>410.4</v>
      </c>
      <c r="M34" s="56">
        <f>M30-M31-M32-M33</f>
        <v>410.4</v>
      </c>
      <c r="N34" s="56">
        <f>N30-N31-N32-N33</f>
        <v>410.4</v>
      </c>
      <c r="O34" s="56">
        <f>O30-O31-O32-O33</f>
        <v>410.4</v>
      </c>
      <c r="P34" s="56">
        <f>P30-P31-P32-P33</f>
        <v>410.4</v>
      </c>
      <c r="Q34" s="56">
        <f>Q30-Q31-Q32-Q33</f>
        <v>410.4</v>
      </c>
      <c r="R34" s="56">
        <f>R30-R31-R32-R33</f>
        <v>164.16000000000003</v>
      </c>
      <c r="S34" s="56">
        <f>S30-S31-S32-S33</f>
        <v>65.664</v>
      </c>
      <c r="T34" s="56">
        <f>T30-T31-T32-T33</f>
        <v>26.26560000000001</v>
      </c>
      <c r="U34" s="56">
        <f>U30-U31-U32-U33</f>
        <v>10.506240000000002</v>
      </c>
      <c r="V34" s="56">
        <f>V30-V31-V32-V33</f>
        <v>4.202496000000002</v>
      </c>
      <c r="W34" s="56">
        <f>W30-W31-W32-W33</f>
        <v>1.680998400000001</v>
      </c>
      <c r="X34" s="56">
        <f>X30-X31-X32-X33</f>
        <v>0.6723993600000003</v>
      </c>
      <c r="Y34" s="56">
        <f>Y30-Y31-Y32-Y33</f>
        <v>0.26895974400000017</v>
      </c>
      <c r="Z34" s="56">
        <f>Z30-Z31-Z32-Z33</f>
        <v>0.10758389760000006</v>
      </c>
    </row>
    <row r="36">
      <c r="A36" s="30" t="inlineStr">
        <is>
          <t>Vormatrigine — focal / generalized epilepsy (POWER2/3)</t>
        </is>
      </c>
    </row>
    <row r="37">
      <c r="A37" s="13" t="inlineStr">
        <is>
          <t>Years since launch</t>
        </is>
      </c>
      <c r="C37" s="63">
        <f>C$2-Assumptions!$B$97+1</f>
        <v>-2.0</v>
      </c>
      <c r="D37" s="63">
        <f>D$2-Assumptions!$B$97+1</f>
        <v>-1.0</v>
      </c>
      <c r="E37" s="63">
        <f>E$2-Assumptions!$B$97+1</f>
        <v>0.0</v>
      </c>
      <c r="F37" s="63">
        <f>F$2-Assumptions!$B$97+1</f>
        <v>1.0</v>
      </c>
      <c r="G37" s="63">
        <f>G$2-Assumptions!$B$97+1</f>
        <v>2.0</v>
      </c>
      <c r="H37" s="63">
        <f>H$2-Assumptions!$B$97+1</f>
        <v>3.0</v>
      </c>
      <c r="I37" s="63">
        <f>I$2-Assumptions!$B$97+1</f>
        <v>4.0</v>
      </c>
      <c r="J37" s="63">
        <f>J$2-Assumptions!$B$97+1</f>
        <v>5.0</v>
      </c>
      <c r="K37" s="63">
        <f>K$2-Assumptions!$B$97+1</f>
        <v>6.0</v>
      </c>
      <c r="L37" s="63">
        <f>L$2-Assumptions!$B$97+1</f>
        <v>7.0</v>
      </c>
      <c r="M37" s="63">
        <f>M$2-Assumptions!$B$97+1</f>
        <v>8.0</v>
      </c>
      <c r="N37" s="63">
        <f>N$2-Assumptions!$B$97+1</f>
        <v>9.0</v>
      </c>
      <c r="O37" s="63">
        <f>O$2-Assumptions!$B$97+1</f>
        <v>10.0</v>
      </c>
      <c r="P37" s="63">
        <f>P$2-Assumptions!$B$97+1</f>
        <v>11.0</v>
      </c>
      <c r="Q37" s="63">
        <f>Q$2-Assumptions!$B$97+1</f>
        <v>12.0</v>
      </c>
      <c r="R37" s="63">
        <f>R$2-Assumptions!$B$97+1</f>
        <v>13.0</v>
      </c>
      <c r="S37" s="63">
        <f>S$2-Assumptions!$B$97+1</f>
        <v>14.0</v>
      </c>
      <c r="T37" s="63">
        <f>T$2-Assumptions!$B$97+1</f>
        <v>15.0</v>
      </c>
      <c r="U37" s="63">
        <f>U$2-Assumptions!$B$97+1</f>
        <v>16.0</v>
      </c>
      <c r="V37" s="63">
        <f>V$2-Assumptions!$B$97+1</f>
        <v>17.0</v>
      </c>
      <c r="W37" s="63">
        <f>W$2-Assumptions!$B$97+1</f>
        <v>18.0</v>
      </c>
      <c r="X37" s="63">
        <f>X$2-Assumptions!$B$97+1</f>
        <v>19.0</v>
      </c>
      <c r="Y37" s="63">
        <f>Y$2-Assumptions!$B$97+1</f>
        <v>20.0</v>
      </c>
      <c r="Z37" s="63">
        <f>Z$2-Assumptions!$B$97+1</f>
        <v>21.0</v>
      </c>
    </row>
    <row r="38">
      <c r="A38" s="13" t="inlineStr">
        <is>
          <t>Net sales, unrisked</t>
        </is>
      </c>
      <c r="C38" s="52">
        <f>IF(C$2&gt;Assumptions!$B$106,0*(1-Assumptions!$B$107),IF(C37&gt;=1,Assumptions!$B$98*CHOOSE(Assumptions!$B$105,INDEX(Assumptions!$B$42:$H$42,MIN(C37,7)),INDEX(Assumptions!$B$43:$H$43,MIN(C37,7))),0))</f>
        <v>0</v>
      </c>
      <c r="D38" s="52">
        <f>IF(D$2&gt;Assumptions!$B$106,C38*(1-Assumptions!$B$107),IF(D37&gt;=1,Assumptions!$B$98*CHOOSE(Assumptions!$B$105,INDEX(Assumptions!$B$42:$H$42,MIN(D37,7)),INDEX(Assumptions!$B$43:$H$43,MIN(D37,7))),0))</f>
        <v>0</v>
      </c>
      <c r="E38" s="52">
        <f>IF(E$2&gt;Assumptions!$B$106,D38*(1-Assumptions!$B$107),IF(E37&gt;=1,Assumptions!$B$98*CHOOSE(Assumptions!$B$105,INDEX(Assumptions!$B$42:$H$42,MIN(E37,7)),INDEX(Assumptions!$B$43:$H$43,MIN(E37,7))),0))</f>
        <v>0</v>
      </c>
      <c r="F38" s="52">
        <f>IF(F$2&gt;Assumptions!$B$106,E38*(1-Assumptions!$B$107),IF(F37&gt;=1,Assumptions!$B$98*CHOOSE(Assumptions!$B$105,INDEX(Assumptions!$B$42:$H$42,MIN(F37,7)),INDEX(Assumptions!$B$43:$H$43,MIN(F37,7))),0))</f>
        <v>150.0</v>
      </c>
      <c r="G38" s="52">
        <f>IF(G$2&gt;Assumptions!$B$106,F38*(1-Assumptions!$B$107),IF(G37&gt;=1,Assumptions!$B$98*CHOOSE(Assumptions!$B$105,INDEX(Assumptions!$B$42:$H$42,MIN(G37,7)),INDEX(Assumptions!$B$43:$H$43,MIN(G37,7))),0))</f>
        <v>375.0</v>
      </c>
      <c r="H38" s="52">
        <f>IF(H$2&gt;Assumptions!$B$106,G38*(1-Assumptions!$B$107),IF(H37&gt;=1,Assumptions!$B$98*CHOOSE(Assumptions!$B$105,INDEX(Assumptions!$B$42:$H$42,MIN(H37,7)),INDEX(Assumptions!$B$43:$H$43,MIN(H37,7))),0))</f>
        <v>675.0</v>
      </c>
      <c r="I38" s="52">
        <f>IF(I$2&gt;Assumptions!$B$106,H38*(1-Assumptions!$B$107),IF(I37&gt;=1,Assumptions!$B$98*CHOOSE(Assumptions!$B$105,INDEX(Assumptions!$B$42:$H$42,MIN(I37,7)),INDEX(Assumptions!$B$43:$H$43,MIN(I37,7))),0))</f>
        <v>975.0</v>
      </c>
      <c r="J38" s="52">
        <f>IF(J$2&gt;Assumptions!$B$106,I38*(1-Assumptions!$B$107),IF(J37&gt;=1,Assumptions!$B$98*CHOOSE(Assumptions!$B$105,INDEX(Assumptions!$B$42:$H$42,MIN(J37,7)),INDEX(Assumptions!$B$43:$H$43,MIN(J37,7))),0))</f>
        <v>1230.0</v>
      </c>
      <c r="K38" s="52">
        <f>IF(K$2&gt;Assumptions!$B$106,J38*(1-Assumptions!$B$107),IF(K37&gt;=1,Assumptions!$B$98*CHOOSE(Assumptions!$B$105,INDEX(Assumptions!$B$42:$H$42,MIN(K37,7)),INDEX(Assumptions!$B$43:$H$43,MIN(K37,7))),0))</f>
        <v>1395.0</v>
      </c>
      <c r="L38" s="52">
        <f>IF(L$2&gt;Assumptions!$B$106,K38*(1-Assumptions!$B$107),IF(L37&gt;=1,Assumptions!$B$98*CHOOSE(Assumptions!$B$105,INDEX(Assumptions!$B$42:$H$42,MIN(L37,7)),INDEX(Assumptions!$B$43:$H$43,MIN(L37,7))),0))</f>
        <v>1500.0</v>
      </c>
      <c r="M38" s="52">
        <f>IF(M$2&gt;Assumptions!$B$106,L38*(1-Assumptions!$B$107),IF(M37&gt;=1,Assumptions!$B$98*CHOOSE(Assumptions!$B$105,INDEX(Assumptions!$B$42:$H$42,MIN(M37,7)),INDEX(Assumptions!$B$43:$H$43,MIN(M37,7))),0))</f>
        <v>1500.0</v>
      </c>
      <c r="N38" s="52">
        <f>IF(N$2&gt;Assumptions!$B$106,M38*(1-Assumptions!$B$107),IF(N37&gt;=1,Assumptions!$B$98*CHOOSE(Assumptions!$B$105,INDEX(Assumptions!$B$42:$H$42,MIN(N37,7)),INDEX(Assumptions!$B$43:$H$43,MIN(N37,7))),0))</f>
        <v>1500.0</v>
      </c>
      <c r="O38" s="52">
        <f>IF(O$2&gt;Assumptions!$B$106,N38*(1-Assumptions!$B$107),IF(O37&gt;=1,Assumptions!$B$98*CHOOSE(Assumptions!$B$105,INDEX(Assumptions!$B$42:$H$42,MIN(O37,7)),INDEX(Assumptions!$B$43:$H$43,MIN(O37,7))),0))</f>
        <v>1500.0</v>
      </c>
      <c r="P38" s="52">
        <f>IF(P$2&gt;Assumptions!$B$106,O38*(1-Assumptions!$B$107),IF(P37&gt;=1,Assumptions!$B$98*CHOOSE(Assumptions!$B$105,INDEX(Assumptions!$B$42:$H$42,MIN(P37,7)),INDEX(Assumptions!$B$43:$H$43,MIN(P37,7))),0))</f>
        <v>1500.0</v>
      </c>
      <c r="Q38" s="52">
        <f>IF(Q$2&gt;Assumptions!$B$106,P38*(1-Assumptions!$B$107),IF(Q37&gt;=1,Assumptions!$B$98*CHOOSE(Assumptions!$B$105,INDEX(Assumptions!$B$42:$H$42,MIN(Q37,7)),INDEX(Assumptions!$B$43:$H$43,MIN(Q37,7))),0))</f>
        <v>1500.0</v>
      </c>
      <c r="R38" s="52">
        <f>IF(R$2&gt;Assumptions!$B$106,Q38*(1-Assumptions!$B$107),IF(R37&gt;=1,Assumptions!$B$98*CHOOSE(Assumptions!$B$105,INDEX(Assumptions!$B$42:$H$42,MIN(R37,7)),INDEX(Assumptions!$B$43:$H$43,MIN(R37,7))),0))</f>
        <v>1500.0</v>
      </c>
      <c r="S38" s="52">
        <f>IF(S$2&gt;Assumptions!$B$106,R38*(1-Assumptions!$B$107),IF(S37&gt;=1,Assumptions!$B$98*CHOOSE(Assumptions!$B$105,INDEX(Assumptions!$B$42:$H$42,MIN(S37,7)),INDEX(Assumptions!$B$43:$H$43,MIN(S37,7))),0))</f>
        <v>1500.0</v>
      </c>
      <c r="T38" s="52">
        <f>IF(T$2&gt;Assumptions!$B$106,S38*(1-Assumptions!$B$107),IF(T37&gt;=1,Assumptions!$B$98*CHOOSE(Assumptions!$B$105,INDEX(Assumptions!$B$42:$H$42,MIN(T37,7)),INDEX(Assumptions!$B$43:$H$43,MIN(T37,7))),0))</f>
        <v>600.0</v>
      </c>
      <c r="U38" s="52">
        <f>IF(U$2&gt;Assumptions!$B$106,T38*(1-Assumptions!$B$107),IF(U37&gt;=1,Assumptions!$B$98*CHOOSE(Assumptions!$B$105,INDEX(Assumptions!$B$42:$H$42,MIN(U37,7)),INDEX(Assumptions!$B$43:$H$43,MIN(U37,7))),0))</f>
        <v>240.0</v>
      </c>
      <c r="V38" s="52">
        <f>IF(V$2&gt;Assumptions!$B$106,U38*(1-Assumptions!$B$107),IF(V37&gt;=1,Assumptions!$B$98*CHOOSE(Assumptions!$B$105,INDEX(Assumptions!$B$42:$H$42,MIN(V37,7)),INDEX(Assumptions!$B$43:$H$43,MIN(V37,7))),0))</f>
        <v>96.0</v>
      </c>
      <c r="W38" s="52">
        <f>IF(W$2&gt;Assumptions!$B$106,V38*(1-Assumptions!$B$107),IF(W37&gt;=1,Assumptions!$B$98*CHOOSE(Assumptions!$B$105,INDEX(Assumptions!$B$42:$H$42,MIN(W37,7)),INDEX(Assumptions!$B$43:$H$43,MIN(W37,7))),0))</f>
        <v>38.400000000000006</v>
      </c>
      <c r="X38" s="52">
        <f>IF(X$2&gt;Assumptions!$B$106,W38*(1-Assumptions!$B$107),IF(X37&gt;=1,Assumptions!$B$98*CHOOSE(Assumptions!$B$105,INDEX(Assumptions!$B$42:$H$42,MIN(X37,7)),INDEX(Assumptions!$B$43:$H$43,MIN(X37,7))),0))</f>
        <v>15.360000000000003</v>
      </c>
      <c r="Y38" s="52">
        <f>IF(Y$2&gt;Assumptions!$B$106,X38*(1-Assumptions!$B$107),IF(Y37&gt;=1,Assumptions!$B$98*CHOOSE(Assumptions!$B$105,INDEX(Assumptions!$B$42:$H$42,MIN(Y37,7)),INDEX(Assumptions!$B$43:$H$43,MIN(Y37,7))),0))</f>
        <v>6.144000000000002</v>
      </c>
      <c r="Z38" s="52">
        <f>IF(Z$2&gt;Assumptions!$B$106,Y38*(1-Assumptions!$B$107),IF(Z37&gt;=1,Assumptions!$B$98*CHOOSE(Assumptions!$B$105,INDEX(Assumptions!$B$42:$H$42,MIN(Z37,7)),INDEX(Assumptions!$B$43:$H$43,MIN(Z37,7))),0))</f>
        <v>2.457600000000001</v>
      </c>
    </row>
    <row r="39">
      <c r="A39" s="13" t="inlineStr">
        <is>
          <t>Product net sales, risk-adjusted</t>
        </is>
      </c>
      <c r="C39" s="52">
        <f>C38*MIN(1,Assumptions!$B$99*Assumptions!$B$37)</f>
        <v>0.0</v>
      </c>
      <c r="D39" s="52">
        <f>D38*MIN(1,Assumptions!$B$99*Assumptions!$B$37)</f>
        <v>0.0</v>
      </c>
      <c r="E39" s="52">
        <f>E38*MIN(1,Assumptions!$B$99*Assumptions!$B$37)</f>
        <v>0.0</v>
      </c>
      <c r="F39" s="52">
        <f>F38*MIN(1,Assumptions!$B$99*Assumptions!$B$37)</f>
        <v>30.0</v>
      </c>
      <c r="G39" s="52">
        <f>G38*MIN(1,Assumptions!$B$99*Assumptions!$B$37)</f>
        <v>75.0</v>
      </c>
      <c r="H39" s="52">
        <f>H38*MIN(1,Assumptions!$B$99*Assumptions!$B$37)</f>
        <v>135.0</v>
      </c>
      <c r="I39" s="52">
        <f>I38*MIN(1,Assumptions!$B$99*Assumptions!$B$37)</f>
        <v>195.0</v>
      </c>
      <c r="J39" s="52">
        <f>J38*MIN(1,Assumptions!$B$99*Assumptions!$B$37)</f>
        <v>246.0</v>
      </c>
      <c r="K39" s="52">
        <f>K38*MIN(1,Assumptions!$B$99*Assumptions!$B$37)</f>
        <v>279.0</v>
      </c>
      <c r="L39" s="52">
        <f>L38*MIN(1,Assumptions!$B$99*Assumptions!$B$37)</f>
        <v>300.0</v>
      </c>
      <c r="M39" s="52">
        <f>M38*MIN(1,Assumptions!$B$99*Assumptions!$B$37)</f>
        <v>300.0</v>
      </c>
      <c r="N39" s="52">
        <f>N38*MIN(1,Assumptions!$B$99*Assumptions!$B$37)</f>
        <v>300.0</v>
      </c>
      <c r="O39" s="52">
        <f>O38*MIN(1,Assumptions!$B$99*Assumptions!$B$37)</f>
        <v>300.0</v>
      </c>
      <c r="P39" s="52">
        <f>P38*MIN(1,Assumptions!$B$99*Assumptions!$B$37)</f>
        <v>300.0</v>
      </c>
      <c r="Q39" s="52">
        <f>Q38*MIN(1,Assumptions!$B$99*Assumptions!$B$37)</f>
        <v>300.0</v>
      </c>
      <c r="R39" s="52">
        <f>R38*MIN(1,Assumptions!$B$99*Assumptions!$B$37)</f>
        <v>300.0</v>
      </c>
      <c r="S39" s="52">
        <f>S38*MIN(1,Assumptions!$B$99*Assumptions!$B$37)</f>
        <v>300.0</v>
      </c>
      <c r="T39" s="52">
        <f>T38*MIN(1,Assumptions!$B$99*Assumptions!$B$37)</f>
        <v>120.0</v>
      </c>
      <c r="U39" s="52">
        <f>U38*MIN(1,Assumptions!$B$99*Assumptions!$B$37)</f>
        <v>48.0</v>
      </c>
      <c r="V39" s="52">
        <f>V38*MIN(1,Assumptions!$B$99*Assumptions!$B$37)</f>
        <v>19.200000000000003</v>
      </c>
      <c r="W39" s="52">
        <f>W38*MIN(1,Assumptions!$B$99*Assumptions!$B$37)</f>
        <v>7.6800000000000015</v>
      </c>
      <c r="X39" s="52">
        <f>X38*MIN(1,Assumptions!$B$99*Assumptions!$B$37)</f>
        <v>3.072000000000001</v>
      </c>
      <c r="Y39" s="52">
        <f>Y38*MIN(1,Assumptions!$B$99*Assumptions!$B$37)</f>
        <v>1.2288000000000006</v>
      </c>
      <c r="Z39" s="52">
        <f>Z38*MIN(1,Assumptions!$B$99*Assumptions!$B$37)</f>
        <v>0.49152000000000023</v>
      </c>
    </row>
    <row r="40">
      <c r="A40" s="13" t="inlineStr">
        <is>
          <t>Company revenue, risk-adjusted (incl. milestones)</t>
        </is>
      </c>
      <c r="C40" s="52">
        <f>C39*Assumptions!$B$100</f>
        <v>0.0</v>
      </c>
      <c r="D40" s="52">
        <f>D39*Assumptions!$B$100</f>
        <v>0.0</v>
      </c>
      <c r="E40" s="52">
        <f>E39*Assumptions!$B$100</f>
        <v>0.0</v>
      </c>
      <c r="F40" s="52">
        <f>F39*Assumptions!$B$100</f>
        <v>30.0</v>
      </c>
      <c r="G40" s="52">
        <f>G39*Assumptions!$B$100</f>
        <v>75.0</v>
      </c>
      <c r="H40" s="52">
        <f>H39*Assumptions!$B$100</f>
        <v>135.0</v>
      </c>
      <c r="I40" s="52">
        <f>I39*Assumptions!$B$100</f>
        <v>195.0</v>
      </c>
      <c r="J40" s="52">
        <f>J39*Assumptions!$B$100</f>
        <v>246.0</v>
      </c>
      <c r="K40" s="52">
        <f>K39*Assumptions!$B$100</f>
        <v>279.0</v>
      </c>
      <c r="L40" s="52">
        <f>L39*Assumptions!$B$100</f>
        <v>300.0</v>
      </c>
      <c r="M40" s="52">
        <f>M39*Assumptions!$B$100</f>
        <v>300.0</v>
      </c>
      <c r="N40" s="52">
        <f>N39*Assumptions!$B$100</f>
        <v>300.0</v>
      </c>
      <c r="O40" s="52">
        <f>O39*Assumptions!$B$100</f>
        <v>300.0</v>
      </c>
      <c r="P40" s="52">
        <f>P39*Assumptions!$B$100</f>
        <v>300.0</v>
      </c>
      <c r="Q40" s="52">
        <f>Q39*Assumptions!$B$100</f>
        <v>300.0</v>
      </c>
      <c r="R40" s="52">
        <f>R39*Assumptions!$B$100</f>
        <v>300.0</v>
      </c>
      <c r="S40" s="52">
        <f>S39*Assumptions!$B$100</f>
        <v>300.0</v>
      </c>
      <c r="T40" s="52">
        <f>T39*Assumptions!$B$100</f>
        <v>120.0</v>
      </c>
      <c r="U40" s="52">
        <f>U39*Assumptions!$B$100</f>
        <v>48.0</v>
      </c>
      <c r="V40" s="52">
        <f>V39*Assumptions!$B$100</f>
        <v>19.200000000000003</v>
      </c>
      <c r="W40" s="52">
        <f>W39*Assumptions!$B$100</f>
        <v>7.6800000000000015</v>
      </c>
      <c r="X40" s="52">
        <f>X39*Assumptions!$B$100</f>
        <v>3.072000000000001</v>
      </c>
      <c r="Y40" s="52">
        <f>Y39*Assumptions!$B$100</f>
        <v>1.2288000000000006</v>
      </c>
      <c r="Z40" s="52">
        <f>Z39*Assumptions!$B$100</f>
        <v>0.49152000000000023</v>
      </c>
    </row>
    <row r="41">
      <c r="A41" s="13" t="inlineStr">
        <is>
          <t>COGS + royalties, risk-adjusted</t>
        </is>
      </c>
      <c r="C41" s="52">
        <f>C39*(Assumptions!$B$101+Assumptions!$B$102)</f>
        <v>0.0</v>
      </c>
      <c r="D41" s="52">
        <f>D39*(Assumptions!$B$101+Assumptions!$B$102)</f>
        <v>0.0</v>
      </c>
      <c r="E41" s="52">
        <f>E39*(Assumptions!$B$101+Assumptions!$B$102)</f>
        <v>0.0</v>
      </c>
      <c r="F41" s="52">
        <f>F39*(Assumptions!$B$101+Assumptions!$B$102)</f>
        <v>1.2</v>
      </c>
      <c r="G41" s="52">
        <f>G39*(Assumptions!$B$101+Assumptions!$B$102)</f>
        <v>3.0</v>
      </c>
      <c r="H41" s="52">
        <f>H39*(Assumptions!$B$101+Assumptions!$B$102)</f>
        <v>5.4</v>
      </c>
      <c r="I41" s="52">
        <f>I39*(Assumptions!$B$101+Assumptions!$B$102)</f>
        <v>7.8</v>
      </c>
      <c r="J41" s="52">
        <f>J39*(Assumptions!$B$101+Assumptions!$B$102)</f>
        <v>9.84</v>
      </c>
      <c r="K41" s="52">
        <f>K39*(Assumptions!$B$101+Assumptions!$B$102)</f>
        <v>11.16</v>
      </c>
      <c r="L41" s="52">
        <f>L39*(Assumptions!$B$101+Assumptions!$B$102)</f>
        <v>12.0</v>
      </c>
      <c r="M41" s="52">
        <f>M39*(Assumptions!$B$101+Assumptions!$B$102)</f>
        <v>12.0</v>
      </c>
      <c r="N41" s="52">
        <f>N39*(Assumptions!$B$101+Assumptions!$B$102)</f>
        <v>12.0</v>
      </c>
      <c r="O41" s="52">
        <f>O39*(Assumptions!$B$101+Assumptions!$B$102)</f>
        <v>12.0</v>
      </c>
      <c r="P41" s="52">
        <f>P39*(Assumptions!$B$101+Assumptions!$B$102)</f>
        <v>12.0</v>
      </c>
      <c r="Q41" s="52">
        <f>Q39*(Assumptions!$B$101+Assumptions!$B$102)</f>
        <v>12.0</v>
      </c>
      <c r="R41" s="52">
        <f>R39*(Assumptions!$B$101+Assumptions!$B$102)</f>
        <v>12.0</v>
      </c>
      <c r="S41" s="52">
        <f>S39*(Assumptions!$B$101+Assumptions!$B$102)</f>
        <v>12.0</v>
      </c>
      <c r="T41" s="52">
        <f>T39*(Assumptions!$B$101+Assumptions!$B$102)</f>
        <v>4.8</v>
      </c>
      <c r="U41" s="52">
        <f>U39*(Assumptions!$B$101+Assumptions!$B$102)</f>
        <v>1.92</v>
      </c>
      <c r="V41" s="52">
        <f>V39*(Assumptions!$B$101+Assumptions!$B$102)</f>
        <v>0.7680000000000001</v>
      </c>
      <c r="W41" s="52">
        <f>W39*(Assumptions!$B$101+Assumptions!$B$102)</f>
        <v>0.3072000000000001</v>
      </c>
      <c r="X41" s="52">
        <f>X39*(Assumptions!$B$101+Assumptions!$B$102)</f>
        <v>0.12288000000000004</v>
      </c>
      <c r="Y41" s="52">
        <f>Y39*(Assumptions!$B$101+Assumptions!$B$102)</f>
        <v>0.04915200000000002</v>
      </c>
      <c r="Z41" s="52">
        <f>Z39*(Assumptions!$B$101+Assumptions!$B$102)</f>
        <v>0.01966080000000001</v>
      </c>
    </row>
    <row r="42">
      <c r="A42" s="13" t="inlineStr">
        <is>
          <t>Commercial SG&amp;A, risk-adjusted</t>
        </is>
      </c>
      <c r="C42" s="52">
        <f>MIN(1,Assumptions!$B$99*Assumptions!$B$37)*IF(Assumptions!$B$103=0,0,IF(C37=0,Assumptions!$B$104,IF(C37&gt;=1,C38*IF(OR(Assumptions!$B$100&lt;1,C37&gt;5),Assumptions!$B$103,MAX(Assumptions!$B$103,INDEX(Assumptions!$B$44:$F$44,C37))),0)))</f>
        <v>0.0</v>
      </c>
      <c r="D42" s="52">
        <f>MIN(1,Assumptions!$B$99*Assumptions!$B$37)*IF(Assumptions!$B$103=0,0,IF(D37=0,Assumptions!$B$104,IF(D37&gt;=1,D38*IF(OR(Assumptions!$B$100&lt;1,D37&gt;5),Assumptions!$B$103,MAX(Assumptions!$B$103,INDEX(Assumptions!$B$44:$F$44,D37))),0)))</f>
        <v>0.0</v>
      </c>
      <c r="E42" s="52">
        <f>MIN(1,Assumptions!$B$99*Assumptions!$B$37)*IF(Assumptions!$B$103=0,0,IF(E37=0,Assumptions!$B$104,IF(E37&gt;=1,E38*IF(OR(Assumptions!$B$100&lt;1,E37&gt;5),Assumptions!$B$103,MAX(Assumptions!$B$103,INDEX(Assumptions!$B$44:$F$44,E37))),0)))</f>
        <v>8.0</v>
      </c>
      <c r="F42" s="52">
        <f>MIN(1,Assumptions!$B$99*Assumptions!$B$37)*IF(Assumptions!$B$103=0,0,IF(F37=0,Assumptions!$B$104,IF(F37&gt;=1,F38*IF(OR(Assumptions!$B$100&lt;1,F37&gt;5),Assumptions!$B$103,MAX(Assumptions!$B$103,INDEX(Assumptions!$B$44:$F$44,F37))),0)))</f>
        <v>27.0</v>
      </c>
      <c r="G42" s="52">
        <f>MIN(1,Assumptions!$B$99*Assumptions!$B$37)*IF(Assumptions!$B$103=0,0,IF(G37=0,Assumptions!$B$104,IF(G37&gt;=1,G38*IF(OR(Assumptions!$B$100&lt;1,G37&gt;5),Assumptions!$B$103,MAX(Assumptions!$B$103,INDEX(Assumptions!$B$44:$F$44,G37))),0)))</f>
        <v>41.25000000000001</v>
      </c>
      <c r="H42" s="52">
        <f>MIN(1,Assumptions!$B$99*Assumptions!$B$37)*IF(Assumptions!$B$103=0,0,IF(H37=0,Assumptions!$B$104,IF(H37&gt;=1,H38*IF(OR(Assumptions!$B$100&lt;1,H37&gt;5),Assumptions!$B$103,MAX(Assumptions!$B$103,INDEX(Assumptions!$B$44:$F$44,H37))),0)))</f>
        <v>54.0</v>
      </c>
      <c r="I42" s="52">
        <f>MIN(1,Assumptions!$B$99*Assumptions!$B$37)*IF(Assumptions!$B$103=0,0,IF(I37=0,Assumptions!$B$104,IF(I37&gt;=1,I38*IF(OR(Assumptions!$B$100&lt;1,I37&gt;5),Assumptions!$B$103,MAX(Assumptions!$B$103,INDEX(Assumptions!$B$44:$F$44,I37))),0)))</f>
        <v>62.400000000000006</v>
      </c>
      <c r="J42" s="52">
        <f>MIN(1,Assumptions!$B$99*Assumptions!$B$37)*IF(Assumptions!$B$103=0,0,IF(J37=0,Assumptions!$B$104,IF(J37&gt;=1,J38*IF(OR(Assumptions!$B$100&lt;1,J37&gt;5),Assumptions!$B$103,MAX(Assumptions!$B$103,INDEX(Assumptions!$B$44:$F$44,J37))),0)))</f>
        <v>73.8</v>
      </c>
      <c r="K42" s="52">
        <f>MIN(1,Assumptions!$B$99*Assumptions!$B$37)*IF(Assumptions!$B$103=0,0,IF(K37=0,Assumptions!$B$104,IF(K37&gt;=1,K38*IF(OR(Assumptions!$B$100&lt;1,K37&gt;5),Assumptions!$B$103,MAX(Assumptions!$B$103,INDEX(Assumptions!$B$44:$F$44,K37))),0)))</f>
        <v>83.7</v>
      </c>
      <c r="L42" s="52">
        <f>MIN(1,Assumptions!$B$99*Assumptions!$B$37)*IF(Assumptions!$B$103=0,0,IF(L37=0,Assumptions!$B$104,IF(L37&gt;=1,L38*IF(OR(Assumptions!$B$100&lt;1,L37&gt;5),Assumptions!$B$103,MAX(Assumptions!$B$103,INDEX(Assumptions!$B$44:$F$44,L37))),0)))</f>
        <v>90.0</v>
      </c>
      <c r="M42" s="52">
        <f>MIN(1,Assumptions!$B$99*Assumptions!$B$37)*IF(Assumptions!$B$103=0,0,IF(M37=0,Assumptions!$B$104,IF(M37&gt;=1,M38*IF(OR(Assumptions!$B$100&lt;1,M37&gt;5),Assumptions!$B$103,MAX(Assumptions!$B$103,INDEX(Assumptions!$B$44:$F$44,M37))),0)))</f>
        <v>90.0</v>
      </c>
      <c r="N42" s="52">
        <f>MIN(1,Assumptions!$B$99*Assumptions!$B$37)*IF(Assumptions!$B$103=0,0,IF(N37=0,Assumptions!$B$104,IF(N37&gt;=1,N38*IF(OR(Assumptions!$B$100&lt;1,N37&gt;5),Assumptions!$B$103,MAX(Assumptions!$B$103,INDEX(Assumptions!$B$44:$F$44,N37))),0)))</f>
        <v>90.0</v>
      </c>
      <c r="O42" s="52">
        <f>MIN(1,Assumptions!$B$99*Assumptions!$B$37)*IF(Assumptions!$B$103=0,0,IF(O37=0,Assumptions!$B$104,IF(O37&gt;=1,O38*IF(OR(Assumptions!$B$100&lt;1,O37&gt;5),Assumptions!$B$103,MAX(Assumptions!$B$103,INDEX(Assumptions!$B$44:$F$44,O37))),0)))</f>
        <v>90.0</v>
      </c>
      <c r="P42" s="52">
        <f>MIN(1,Assumptions!$B$99*Assumptions!$B$37)*IF(Assumptions!$B$103=0,0,IF(P37=0,Assumptions!$B$104,IF(P37&gt;=1,P38*IF(OR(Assumptions!$B$100&lt;1,P37&gt;5),Assumptions!$B$103,MAX(Assumptions!$B$103,INDEX(Assumptions!$B$44:$F$44,P37))),0)))</f>
        <v>90.0</v>
      </c>
      <c r="Q42" s="52">
        <f>MIN(1,Assumptions!$B$99*Assumptions!$B$37)*IF(Assumptions!$B$103=0,0,IF(Q37=0,Assumptions!$B$104,IF(Q37&gt;=1,Q38*IF(OR(Assumptions!$B$100&lt;1,Q37&gt;5),Assumptions!$B$103,MAX(Assumptions!$B$103,INDEX(Assumptions!$B$44:$F$44,Q37))),0)))</f>
        <v>90.0</v>
      </c>
      <c r="R42" s="52">
        <f>MIN(1,Assumptions!$B$99*Assumptions!$B$37)*IF(Assumptions!$B$103=0,0,IF(R37=0,Assumptions!$B$104,IF(R37&gt;=1,R38*IF(OR(Assumptions!$B$100&lt;1,R37&gt;5),Assumptions!$B$103,MAX(Assumptions!$B$103,INDEX(Assumptions!$B$44:$F$44,R37))),0)))</f>
        <v>90.0</v>
      </c>
      <c r="S42" s="52">
        <f>MIN(1,Assumptions!$B$99*Assumptions!$B$37)*IF(Assumptions!$B$103=0,0,IF(S37=0,Assumptions!$B$104,IF(S37&gt;=1,S38*IF(OR(Assumptions!$B$100&lt;1,S37&gt;5),Assumptions!$B$103,MAX(Assumptions!$B$103,INDEX(Assumptions!$B$44:$F$44,S37))),0)))</f>
        <v>90.0</v>
      </c>
      <c r="T42" s="52">
        <f>MIN(1,Assumptions!$B$99*Assumptions!$B$37)*IF(Assumptions!$B$103=0,0,IF(T37=0,Assumptions!$B$104,IF(T37&gt;=1,T38*IF(OR(Assumptions!$B$100&lt;1,T37&gt;5),Assumptions!$B$103,MAX(Assumptions!$B$103,INDEX(Assumptions!$B$44:$F$44,T37))),0)))</f>
        <v>36.0</v>
      </c>
      <c r="U42" s="52">
        <f>MIN(1,Assumptions!$B$99*Assumptions!$B$37)*IF(Assumptions!$B$103=0,0,IF(U37=0,Assumptions!$B$104,IF(U37&gt;=1,U38*IF(OR(Assumptions!$B$100&lt;1,U37&gt;5),Assumptions!$B$103,MAX(Assumptions!$B$103,INDEX(Assumptions!$B$44:$F$44,U37))),0)))</f>
        <v>14.4</v>
      </c>
      <c r="V42" s="52">
        <f>MIN(1,Assumptions!$B$99*Assumptions!$B$37)*IF(Assumptions!$B$103=0,0,IF(V37=0,Assumptions!$B$104,IF(V37&gt;=1,V38*IF(OR(Assumptions!$B$100&lt;1,V37&gt;5),Assumptions!$B$103,MAX(Assumptions!$B$103,INDEX(Assumptions!$B$44:$F$44,V37))),0)))</f>
        <v>5.76</v>
      </c>
      <c r="W42" s="52">
        <f>MIN(1,Assumptions!$B$99*Assumptions!$B$37)*IF(Assumptions!$B$103=0,0,IF(W37=0,Assumptions!$B$104,IF(W37&gt;=1,W38*IF(OR(Assumptions!$B$100&lt;1,W37&gt;5),Assumptions!$B$103,MAX(Assumptions!$B$103,INDEX(Assumptions!$B$44:$F$44,W37))),0)))</f>
        <v>2.3040000000000003</v>
      </c>
      <c r="X42" s="52">
        <f>MIN(1,Assumptions!$B$99*Assumptions!$B$37)*IF(Assumptions!$B$103=0,0,IF(X37=0,Assumptions!$B$104,IF(X37&gt;=1,X38*IF(OR(Assumptions!$B$100&lt;1,X37&gt;5),Assumptions!$B$103,MAX(Assumptions!$B$103,INDEX(Assumptions!$B$44:$F$44,X37))),0)))</f>
        <v>0.9216000000000002</v>
      </c>
      <c r="Y42" s="52">
        <f>MIN(1,Assumptions!$B$99*Assumptions!$B$37)*IF(Assumptions!$B$103=0,0,IF(Y37=0,Assumptions!$B$104,IF(Y37&gt;=1,Y38*IF(OR(Assumptions!$B$100&lt;1,Y37&gt;5),Assumptions!$B$103,MAX(Assumptions!$B$103,INDEX(Assumptions!$B$44:$F$44,Y37))),0)))</f>
        <v>0.3686400000000001</v>
      </c>
      <c r="Z42" s="52">
        <f>MIN(1,Assumptions!$B$99*Assumptions!$B$37)*IF(Assumptions!$B$103=0,0,IF(Z37=0,Assumptions!$B$104,IF(Z37&gt;=1,Z38*IF(OR(Assumptions!$B$100&lt;1,Z37&gt;5),Assumptions!$B$103,MAX(Assumptions!$B$103,INDEX(Assumptions!$B$44:$F$44,Z37))),0)))</f>
        <v>0.14745600000000006</v>
      </c>
    </row>
    <row r="43">
      <c r="A43" s="13" t="inlineStr">
        <is>
          <t>Development R&amp;D, risk-adjusted</t>
        </is>
      </c>
      <c r="C43" s="52">
        <f>IFERROR(INDEX(Assumptions!$B$109:$I$109,MATCH(C$2,Assumptions!$B$108:$I$108,0))*INDEX(Assumptions!$B$110:$I$110,MATCH(C$2,Assumptions!$B$108:$I$108,0)),0)</f>
        <v>80.0</v>
      </c>
      <c r="D43" s="52">
        <f>IFERROR(INDEX(Assumptions!$B$109:$I$109,MATCH(D$2,Assumptions!$B$108:$I$108,0))*INDEX(Assumptions!$B$110:$I$110,MATCH(D$2,Assumptions!$B$108:$I$108,0)),0)</f>
        <v>80.0</v>
      </c>
      <c r="E43" s="52">
        <f>IFERROR(INDEX(Assumptions!$B$109:$I$109,MATCH(E$2,Assumptions!$B$108:$I$108,0))*INDEX(Assumptions!$B$110:$I$110,MATCH(E$2,Assumptions!$B$108:$I$108,0)),0)</f>
        <v>20.0</v>
      </c>
      <c r="F43" s="52">
        <f>IFERROR(INDEX(Assumptions!$B$109:$I$109,MATCH(F$2,Assumptions!$B$108:$I$108,0))*INDEX(Assumptions!$B$110:$I$110,MATCH(F$2,Assumptions!$B$108:$I$108,0)),0)</f>
        <v>0.0</v>
      </c>
      <c r="G43" s="52">
        <f>IFERROR(INDEX(Assumptions!$B$109:$I$109,MATCH(G$2,Assumptions!$B$108:$I$108,0))*INDEX(Assumptions!$B$110:$I$110,MATCH(G$2,Assumptions!$B$108:$I$108,0)),0)</f>
        <v>0.0</v>
      </c>
      <c r="H43" s="52">
        <f>IFERROR(INDEX(Assumptions!$B$109:$I$109,MATCH(H$2,Assumptions!$B$108:$I$108,0))*INDEX(Assumptions!$B$110:$I$110,MATCH(H$2,Assumptions!$B$108:$I$108,0)),0)</f>
        <v>0.0</v>
      </c>
      <c r="I43" s="52">
        <f>IFERROR(INDEX(Assumptions!$B$109:$I$109,MATCH(I$2,Assumptions!$B$108:$I$108,0))*INDEX(Assumptions!$B$110:$I$110,MATCH(I$2,Assumptions!$B$108:$I$108,0)),0)</f>
        <v>0.0</v>
      </c>
      <c r="J43" s="52">
        <f>IFERROR(INDEX(Assumptions!$B$109:$I$109,MATCH(J$2,Assumptions!$B$108:$I$108,0))*INDEX(Assumptions!$B$110:$I$110,MATCH(J$2,Assumptions!$B$108:$I$108,0)),0)</f>
        <v>0.0</v>
      </c>
      <c r="K43" s="52">
        <f>IFERROR(INDEX(Assumptions!$B$109:$I$109,MATCH(K$2,Assumptions!$B$108:$I$108,0))*INDEX(Assumptions!$B$110:$I$110,MATCH(K$2,Assumptions!$B$108:$I$108,0)),0)</f>
        <v>0</v>
      </c>
      <c r="L43" s="52">
        <f>IFERROR(INDEX(Assumptions!$B$109:$I$109,MATCH(L$2,Assumptions!$B$108:$I$108,0))*INDEX(Assumptions!$B$110:$I$110,MATCH(L$2,Assumptions!$B$108:$I$108,0)),0)</f>
        <v>0</v>
      </c>
      <c r="M43" s="52">
        <f>IFERROR(INDEX(Assumptions!$B$109:$I$109,MATCH(M$2,Assumptions!$B$108:$I$108,0))*INDEX(Assumptions!$B$110:$I$110,MATCH(M$2,Assumptions!$B$108:$I$108,0)),0)</f>
        <v>0</v>
      </c>
      <c r="N43" s="52">
        <f>IFERROR(INDEX(Assumptions!$B$109:$I$109,MATCH(N$2,Assumptions!$B$108:$I$108,0))*INDEX(Assumptions!$B$110:$I$110,MATCH(N$2,Assumptions!$B$108:$I$108,0)),0)</f>
        <v>0</v>
      </c>
      <c r="O43" s="52">
        <f>IFERROR(INDEX(Assumptions!$B$109:$I$109,MATCH(O$2,Assumptions!$B$108:$I$108,0))*INDEX(Assumptions!$B$110:$I$110,MATCH(O$2,Assumptions!$B$108:$I$108,0)),0)</f>
        <v>0</v>
      </c>
      <c r="P43" s="52">
        <f>IFERROR(INDEX(Assumptions!$B$109:$I$109,MATCH(P$2,Assumptions!$B$108:$I$108,0))*INDEX(Assumptions!$B$110:$I$110,MATCH(P$2,Assumptions!$B$108:$I$108,0)),0)</f>
        <v>0</v>
      </c>
      <c r="Q43" s="52">
        <f>IFERROR(INDEX(Assumptions!$B$109:$I$109,MATCH(Q$2,Assumptions!$B$108:$I$108,0))*INDEX(Assumptions!$B$110:$I$110,MATCH(Q$2,Assumptions!$B$108:$I$108,0)),0)</f>
        <v>0</v>
      </c>
      <c r="R43" s="52">
        <f>IFERROR(INDEX(Assumptions!$B$109:$I$109,MATCH(R$2,Assumptions!$B$108:$I$108,0))*INDEX(Assumptions!$B$110:$I$110,MATCH(R$2,Assumptions!$B$108:$I$108,0)),0)</f>
        <v>0</v>
      </c>
      <c r="S43" s="52">
        <f>IFERROR(INDEX(Assumptions!$B$109:$I$109,MATCH(S$2,Assumptions!$B$108:$I$108,0))*INDEX(Assumptions!$B$110:$I$110,MATCH(S$2,Assumptions!$B$108:$I$108,0)),0)</f>
        <v>0</v>
      </c>
      <c r="T43" s="52">
        <f>IFERROR(INDEX(Assumptions!$B$109:$I$109,MATCH(T$2,Assumptions!$B$108:$I$108,0))*INDEX(Assumptions!$B$110:$I$110,MATCH(T$2,Assumptions!$B$108:$I$108,0)),0)</f>
        <v>0</v>
      </c>
      <c r="U43" s="52">
        <f>IFERROR(INDEX(Assumptions!$B$109:$I$109,MATCH(U$2,Assumptions!$B$108:$I$108,0))*INDEX(Assumptions!$B$110:$I$110,MATCH(U$2,Assumptions!$B$108:$I$108,0)),0)</f>
        <v>0</v>
      </c>
      <c r="V43" s="52">
        <f>IFERROR(INDEX(Assumptions!$B$109:$I$109,MATCH(V$2,Assumptions!$B$108:$I$108,0))*INDEX(Assumptions!$B$110:$I$110,MATCH(V$2,Assumptions!$B$108:$I$108,0)),0)</f>
        <v>0</v>
      </c>
      <c r="W43" s="52">
        <f>IFERROR(INDEX(Assumptions!$B$109:$I$109,MATCH(W$2,Assumptions!$B$108:$I$108,0))*INDEX(Assumptions!$B$110:$I$110,MATCH(W$2,Assumptions!$B$108:$I$108,0)),0)</f>
        <v>0</v>
      </c>
      <c r="X43" s="52">
        <f>IFERROR(INDEX(Assumptions!$B$109:$I$109,MATCH(X$2,Assumptions!$B$108:$I$108,0))*INDEX(Assumptions!$B$110:$I$110,MATCH(X$2,Assumptions!$B$108:$I$108,0)),0)</f>
        <v>0</v>
      </c>
      <c r="Y43" s="52">
        <f>IFERROR(INDEX(Assumptions!$B$109:$I$109,MATCH(Y$2,Assumptions!$B$108:$I$108,0))*INDEX(Assumptions!$B$110:$I$110,MATCH(Y$2,Assumptions!$B$108:$I$108,0)),0)</f>
        <v>0</v>
      </c>
      <c r="Z43" s="52">
        <f>IFERROR(INDEX(Assumptions!$B$109:$I$109,MATCH(Z$2,Assumptions!$B$108:$I$108,0))*INDEX(Assumptions!$B$110:$I$110,MATCH(Z$2,Assumptions!$B$108:$I$108,0)),0)</f>
        <v>0</v>
      </c>
    </row>
    <row r="44">
      <c r="A44" s="23" t="inlineStr">
        <is>
          <t>Program contribution (pre-tax)</t>
        </is>
      </c>
      <c r="C44" s="56">
        <f>C40-C41-C42-C43</f>
        <v>-80.0</v>
      </c>
      <c r="D44" s="56">
        <f>D40-D41-D42-D43</f>
        <v>-80.0</v>
      </c>
      <c r="E44" s="56">
        <f>E40-E41-E42-E43</f>
        <v>-28.0</v>
      </c>
      <c r="F44" s="56">
        <f>F40-F41-F42-F43</f>
        <v>1.8000000000000007</v>
      </c>
      <c r="G44" s="56">
        <f>G40-G41-G42-G43</f>
        <v>30.749999999999993</v>
      </c>
      <c r="H44" s="56">
        <f>H40-H41-H42-H43</f>
        <v>75.6</v>
      </c>
      <c r="I44" s="56">
        <f>I40-I41-I42-I43</f>
        <v>124.79999999999998</v>
      </c>
      <c r="J44" s="56">
        <f>J40-J41-J42-J43</f>
        <v>162.36</v>
      </c>
      <c r="K44" s="56">
        <f>K40-K41-K42-K43</f>
        <v>184.14</v>
      </c>
      <c r="L44" s="56">
        <f>L40-L41-L42-L43</f>
        <v>198.0</v>
      </c>
      <c r="M44" s="56">
        <f>M40-M41-M42-M43</f>
        <v>198.0</v>
      </c>
      <c r="N44" s="56">
        <f>N40-N41-N42-N43</f>
        <v>198.0</v>
      </c>
      <c r="O44" s="56">
        <f>O40-O41-O42-O43</f>
        <v>198.0</v>
      </c>
      <c r="P44" s="56">
        <f>P40-P41-P42-P43</f>
        <v>198.0</v>
      </c>
      <c r="Q44" s="56">
        <f>Q40-Q41-Q42-Q43</f>
        <v>198.0</v>
      </c>
      <c r="R44" s="56">
        <f>R40-R41-R42-R43</f>
        <v>198.0</v>
      </c>
      <c r="S44" s="56">
        <f>S40-S41-S42-S43</f>
        <v>198.0</v>
      </c>
      <c r="T44" s="56">
        <f>T40-T41-T42-T43</f>
        <v>79.2</v>
      </c>
      <c r="U44" s="56">
        <f>U40-U41-U42-U43</f>
        <v>31.68</v>
      </c>
      <c r="V44" s="56">
        <f>V40-V41-V42-V43</f>
        <v>12.672000000000002</v>
      </c>
      <c r="W44" s="56">
        <f>W40-W41-W42-W43</f>
        <v>5.068800000000001</v>
      </c>
      <c r="X44" s="56">
        <f>X40-X41-X42-X43</f>
        <v>2.027520000000001</v>
      </c>
      <c r="Y44" s="56">
        <f>Y40-Y41-Y42-Y43</f>
        <v>0.8110080000000004</v>
      </c>
      <c r="Z44" s="56">
        <f>Z40-Z41-Z42-Z43</f>
        <v>0.3244032000000001</v>
      </c>
    </row>
    <row r="46">
      <c r="A46" s="30" t="inlineStr">
        <is>
          <t>Elsunersen — early-onset SCN2A DEE (ASO)</t>
        </is>
      </c>
    </row>
    <row r="47">
      <c r="A47" s="13" t="inlineStr">
        <is>
          <t>Years since launch</t>
        </is>
      </c>
      <c r="C47" s="63">
        <f>C$2-Assumptions!$B$113+1</f>
        <v>-1.0</v>
      </c>
      <c r="D47" s="63">
        <f>D$2-Assumptions!$B$113+1</f>
        <v>0.0</v>
      </c>
      <c r="E47" s="63">
        <f>E$2-Assumptions!$B$113+1</f>
        <v>1.0</v>
      </c>
      <c r="F47" s="63">
        <f>F$2-Assumptions!$B$113+1</f>
        <v>2.0</v>
      </c>
      <c r="G47" s="63">
        <f>G$2-Assumptions!$B$113+1</f>
        <v>3.0</v>
      </c>
      <c r="H47" s="63">
        <f>H$2-Assumptions!$B$113+1</f>
        <v>4.0</v>
      </c>
      <c r="I47" s="63">
        <f>I$2-Assumptions!$B$113+1</f>
        <v>5.0</v>
      </c>
      <c r="J47" s="63">
        <f>J$2-Assumptions!$B$113+1</f>
        <v>6.0</v>
      </c>
      <c r="K47" s="63">
        <f>K$2-Assumptions!$B$113+1</f>
        <v>7.0</v>
      </c>
      <c r="L47" s="63">
        <f>L$2-Assumptions!$B$113+1</f>
        <v>8.0</v>
      </c>
      <c r="M47" s="63">
        <f>M$2-Assumptions!$B$113+1</f>
        <v>9.0</v>
      </c>
      <c r="N47" s="63">
        <f>N$2-Assumptions!$B$113+1</f>
        <v>10.0</v>
      </c>
      <c r="O47" s="63">
        <f>O$2-Assumptions!$B$113+1</f>
        <v>11.0</v>
      </c>
      <c r="P47" s="63">
        <f>P$2-Assumptions!$B$113+1</f>
        <v>12.0</v>
      </c>
      <c r="Q47" s="63">
        <f>Q$2-Assumptions!$B$113+1</f>
        <v>13.0</v>
      </c>
      <c r="R47" s="63">
        <f>R$2-Assumptions!$B$113+1</f>
        <v>14.0</v>
      </c>
      <c r="S47" s="63">
        <f>S$2-Assumptions!$B$113+1</f>
        <v>15.0</v>
      </c>
      <c r="T47" s="63">
        <f>T$2-Assumptions!$B$113+1</f>
        <v>16.0</v>
      </c>
      <c r="U47" s="63">
        <f>U$2-Assumptions!$B$113+1</f>
        <v>17.0</v>
      </c>
      <c r="V47" s="63">
        <f>V$2-Assumptions!$B$113+1</f>
        <v>18.0</v>
      </c>
      <c r="W47" s="63">
        <f>W$2-Assumptions!$B$113+1</f>
        <v>19.0</v>
      </c>
      <c r="X47" s="63">
        <f>X$2-Assumptions!$B$113+1</f>
        <v>20.0</v>
      </c>
      <c r="Y47" s="63">
        <f>Y$2-Assumptions!$B$113+1</f>
        <v>21.0</v>
      </c>
      <c r="Z47" s="63">
        <f>Z$2-Assumptions!$B$113+1</f>
        <v>22.0</v>
      </c>
    </row>
    <row r="48">
      <c r="A48" s="13" t="inlineStr">
        <is>
          <t>Net sales, unrisked</t>
        </is>
      </c>
      <c r="C48" s="52">
        <f>IF(C$2&gt;Assumptions!$B$122,0*(1-Assumptions!$B$123),IF(C47&gt;=1,Assumptions!$B$114*CHOOSE(Assumptions!$B$121,INDEX(Assumptions!$B$42:$H$42,MIN(C47,7)),INDEX(Assumptions!$B$43:$H$43,MIN(C47,7))),0))</f>
        <v>0</v>
      </c>
      <c r="D48" s="52">
        <f>IF(D$2&gt;Assumptions!$B$122,C48*(1-Assumptions!$B$123),IF(D47&gt;=1,Assumptions!$B$114*CHOOSE(Assumptions!$B$121,INDEX(Assumptions!$B$42:$H$42,MIN(D47,7)),INDEX(Assumptions!$B$43:$H$43,MIN(D47,7))),0))</f>
        <v>0</v>
      </c>
      <c r="E48" s="52">
        <f>IF(E$2&gt;Assumptions!$B$122,D48*(1-Assumptions!$B$123),IF(E47&gt;=1,Assumptions!$B$114*CHOOSE(Assumptions!$B$121,INDEX(Assumptions!$B$42:$H$42,MIN(E47,7)),INDEX(Assumptions!$B$43:$H$43,MIN(E47,7))),0))</f>
        <v>75.0</v>
      </c>
      <c r="F48" s="52">
        <f>IF(F$2&gt;Assumptions!$B$122,E48*(1-Assumptions!$B$123),IF(F47&gt;=1,Assumptions!$B$114*CHOOSE(Assumptions!$B$121,INDEX(Assumptions!$B$42:$H$42,MIN(F47,7)),INDEX(Assumptions!$B$43:$H$43,MIN(F47,7))),0))</f>
        <v>175.0</v>
      </c>
      <c r="G48" s="52">
        <f>IF(G$2&gt;Assumptions!$B$122,F48*(1-Assumptions!$B$123),IF(G47&gt;=1,Assumptions!$B$114*CHOOSE(Assumptions!$B$121,INDEX(Assumptions!$B$42:$H$42,MIN(G47,7)),INDEX(Assumptions!$B$43:$H$43,MIN(G47,7))),0))</f>
        <v>275.0</v>
      </c>
      <c r="H48" s="52">
        <f>IF(H$2&gt;Assumptions!$B$122,G48*(1-Assumptions!$B$123),IF(H47&gt;=1,Assumptions!$B$114*CHOOSE(Assumptions!$B$121,INDEX(Assumptions!$B$42:$H$42,MIN(H47,7)),INDEX(Assumptions!$B$43:$H$43,MIN(H47,7))),0))</f>
        <v>375.0</v>
      </c>
      <c r="I48" s="52">
        <f>IF(I$2&gt;Assumptions!$B$122,H48*(1-Assumptions!$B$123),IF(I47&gt;=1,Assumptions!$B$114*CHOOSE(Assumptions!$B$121,INDEX(Assumptions!$B$42:$H$42,MIN(I47,7)),INDEX(Assumptions!$B$43:$H$43,MIN(I47,7))),0))</f>
        <v>450.0</v>
      </c>
      <c r="J48" s="52">
        <f>IF(J$2&gt;Assumptions!$B$122,I48*(1-Assumptions!$B$123),IF(J47&gt;=1,Assumptions!$B$114*CHOOSE(Assumptions!$B$121,INDEX(Assumptions!$B$42:$H$42,MIN(J47,7)),INDEX(Assumptions!$B$43:$H$43,MIN(J47,7))),0))</f>
        <v>500.0</v>
      </c>
      <c r="K48" s="52">
        <f>IF(K$2&gt;Assumptions!$B$122,J48*(1-Assumptions!$B$123),IF(K47&gt;=1,Assumptions!$B$114*CHOOSE(Assumptions!$B$121,INDEX(Assumptions!$B$42:$H$42,MIN(K47,7)),INDEX(Assumptions!$B$43:$H$43,MIN(K47,7))),0))</f>
        <v>500.0</v>
      </c>
      <c r="L48" s="52">
        <f>IF(L$2&gt;Assumptions!$B$122,K48*(1-Assumptions!$B$123),IF(L47&gt;=1,Assumptions!$B$114*CHOOSE(Assumptions!$B$121,INDEX(Assumptions!$B$42:$H$42,MIN(L47,7)),INDEX(Assumptions!$B$43:$H$43,MIN(L47,7))),0))</f>
        <v>500.0</v>
      </c>
      <c r="M48" s="52">
        <f>IF(M$2&gt;Assumptions!$B$122,L48*(1-Assumptions!$B$123),IF(M47&gt;=1,Assumptions!$B$114*CHOOSE(Assumptions!$B$121,INDEX(Assumptions!$B$42:$H$42,MIN(M47,7)),INDEX(Assumptions!$B$43:$H$43,MIN(M47,7))),0))</f>
        <v>500.0</v>
      </c>
      <c r="N48" s="52">
        <f>IF(N$2&gt;Assumptions!$B$122,M48*(1-Assumptions!$B$123),IF(N47&gt;=1,Assumptions!$B$114*CHOOSE(Assumptions!$B$121,INDEX(Assumptions!$B$42:$H$42,MIN(N47,7)),INDEX(Assumptions!$B$43:$H$43,MIN(N47,7))),0))</f>
        <v>500.0</v>
      </c>
      <c r="O48" s="52">
        <f>IF(O$2&gt;Assumptions!$B$122,N48*(1-Assumptions!$B$123),IF(O47&gt;=1,Assumptions!$B$114*CHOOSE(Assumptions!$B$121,INDEX(Assumptions!$B$42:$H$42,MIN(O47,7)),INDEX(Assumptions!$B$43:$H$43,MIN(O47,7))),0))</f>
        <v>500.0</v>
      </c>
      <c r="P48" s="52">
        <f>IF(P$2&gt;Assumptions!$B$122,O48*(1-Assumptions!$B$123),IF(P47&gt;=1,Assumptions!$B$114*CHOOSE(Assumptions!$B$121,INDEX(Assumptions!$B$42:$H$42,MIN(P47,7)),INDEX(Assumptions!$B$43:$H$43,MIN(P47,7))),0))</f>
        <v>500.0</v>
      </c>
      <c r="Q48" s="52">
        <f>IF(Q$2&gt;Assumptions!$B$122,P48*(1-Assumptions!$B$123),IF(Q47&gt;=1,Assumptions!$B$114*CHOOSE(Assumptions!$B$121,INDEX(Assumptions!$B$42:$H$42,MIN(Q47,7)),INDEX(Assumptions!$B$43:$H$43,MIN(Q47,7))),0))</f>
        <v>500.0</v>
      </c>
      <c r="R48" s="52">
        <f>IF(R$2&gt;Assumptions!$B$122,Q48*(1-Assumptions!$B$123),IF(R47&gt;=1,Assumptions!$B$114*CHOOSE(Assumptions!$B$121,INDEX(Assumptions!$B$42:$H$42,MIN(R47,7)),INDEX(Assumptions!$B$43:$H$43,MIN(R47,7))),0))</f>
        <v>500.0</v>
      </c>
      <c r="S48" s="52">
        <f>IF(S$2&gt;Assumptions!$B$122,R48*(1-Assumptions!$B$123),IF(S47&gt;=1,Assumptions!$B$114*CHOOSE(Assumptions!$B$121,INDEX(Assumptions!$B$42:$H$42,MIN(S47,7)),INDEX(Assumptions!$B$43:$H$43,MIN(S47,7))),0))</f>
        <v>250.0</v>
      </c>
      <c r="T48" s="52">
        <f>IF(T$2&gt;Assumptions!$B$122,S48*(1-Assumptions!$B$123),IF(T47&gt;=1,Assumptions!$B$114*CHOOSE(Assumptions!$B$121,INDEX(Assumptions!$B$42:$H$42,MIN(T47,7)),INDEX(Assumptions!$B$43:$H$43,MIN(T47,7))),0))</f>
        <v>125.0</v>
      </c>
      <c r="U48" s="52">
        <f>IF(U$2&gt;Assumptions!$B$122,T48*(1-Assumptions!$B$123),IF(U47&gt;=1,Assumptions!$B$114*CHOOSE(Assumptions!$B$121,INDEX(Assumptions!$B$42:$H$42,MIN(U47,7)),INDEX(Assumptions!$B$43:$H$43,MIN(U47,7))),0))</f>
        <v>62.5</v>
      </c>
      <c r="V48" s="52">
        <f>IF(V$2&gt;Assumptions!$B$122,U48*(1-Assumptions!$B$123),IF(V47&gt;=1,Assumptions!$B$114*CHOOSE(Assumptions!$B$121,INDEX(Assumptions!$B$42:$H$42,MIN(V47,7)),INDEX(Assumptions!$B$43:$H$43,MIN(V47,7))),0))</f>
        <v>31.25</v>
      </c>
      <c r="W48" s="52">
        <f>IF(W$2&gt;Assumptions!$B$122,V48*(1-Assumptions!$B$123),IF(W47&gt;=1,Assumptions!$B$114*CHOOSE(Assumptions!$B$121,INDEX(Assumptions!$B$42:$H$42,MIN(W47,7)),INDEX(Assumptions!$B$43:$H$43,MIN(W47,7))),0))</f>
        <v>15.625</v>
      </c>
      <c r="X48" s="52">
        <f>IF(X$2&gt;Assumptions!$B$122,W48*(1-Assumptions!$B$123),IF(X47&gt;=1,Assumptions!$B$114*CHOOSE(Assumptions!$B$121,INDEX(Assumptions!$B$42:$H$42,MIN(X47,7)),INDEX(Assumptions!$B$43:$H$43,MIN(X47,7))),0))</f>
        <v>7.8125</v>
      </c>
      <c r="Y48" s="52">
        <f>IF(Y$2&gt;Assumptions!$B$122,X48*(1-Assumptions!$B$123),IF(Y47&gt;=1,Assumptions!$B$114*CHOOSE(Assumptions!$B$121,INDEX(Assumptions!$B$42:$H$42,MIN(Y47,7)),INDEX(Assumptions!$B$43:$H$43,MIN(Y47,7))),0))</f>
        <v>3.90625</v>
      </c>
      <c r="Z48" s="52">
        <f>IF(Z$2&gt;Assumptions!$B$122,Y48*(1-Assumptions!$B$123),IF(Z47&gt;=1,Assumptions!$B$114*CHOOSE(Assumptions!$B$121,INDEX(Assumptions!$B$42:$H$42,MIN(Z47,7)),INDEX(Assumptions!$B$43:$H$43,MIN(Z47,7))),0))</f>
        <v>1.953125</v>
      </c>
    </row>
    <row r="49">
      <c r="A49" s="13" t="inlineStr">
        <is>
          <t>Product net sales, risk-adjusted</t>
        </is>
      </c>
      <c r="C49" s="52">
        <f>C48*MIN(1,Assumptions!$B$115*Assumptions!$B$37)</f>
        <v>0.0</v>
      </c>
      <c r="D49" s="52">
        <f>D48*MIN(1,Assumptions!$B$115*Assumptions!$B$37)</f>
        <v>0.0</v>
      </c>
      <c r="E49" s="52">
        <f>E48*MIN(1,Assumptions!$B$115*Assumptions!$B$37)</f>
        <v>33.75</v>
      </c>
      <c r="F49" s="52">
        <f>F48*MIN(1,Assumptions!$B$115*Assumptions!$B$37)</f>
        <v>78.75</v>
      </c>
      <c r="G49" s="52">
        <f>G48*MIN(1,Assumptions!$B$115*Assumptions!$B$37)</f>
        <v>123.75</v>
      </c>
      <c r="H49" s="52">
        <f>H48*MIN(1,Assumptions!$B$115*Assumptions!$B$37)</f>
        <v>168.75</v>
      </c>
      <c r="I49" s="52">
        <f>I48*MIN(1,Assumptions!$B$115*Assumptions!$B$37)</f>
        <v>202.5</v>
      </c>
      <c r="J49" s="52">
        <f>J48*MIN(1,Assumptions!$B$115*Assumptions!$B$37)</f>
        <v>225.0</v>
      </c>
      <c r="K49" s="52">
        <f>K48*MIN(1,Assumptions!$B$115*Assumptions!$B$37)</f>
        <v>225.0</v>
      </c>
      <c r="L49" s="52">
        <f>L48*MIN(1,Assumptions!$B$115*Assumptions!$B$37)</f>
        <v>225.0</v>
      </c>
      <c r="M49" s="52">
        <f>M48*MIN(1,Assumptions!$B$115*Assumptions!$B$37)</f>
        <v>225.0</v>
      </c>
      <c r="N49" s="52">
        <f>N48*MIN(1,Assumptions!$B$115*Assumptions!$B$37)</f>
        <v>225.0</v>
      </c>
      <c r="O49" s="52">
        <f>O48*MIN(1,Assumptions!$B$115*Assumptions!$B$37)</f>
        <v>225.0</v>
      </c>
      <c r="P49" s="52">
        <f>P48*MIN(1,Assumptions!$B$115*Assumptions!$B$37)</f>
        <v>225.0</v>
      </c>
      <c r="Q49" s="52">
        <f>Q48*MIN(1,Assumptions!$B$115*Assumptions!$B$37)</f>
        <v>225.0</v>
      </c>
      <c r="R49" s="52">
        <f>R48*MIN(1,Assumptions!$B$115*Assumptions!$B$37)</f>
        <v>225.0</v>
      </c>
      <c r="S49" s="52">
        <f>S48*MIN(1,Assumptions!$B$115*Assumptions!$B$37)</f>
        <v>112.5</v>
      </c>
      <c r="T49" s="52">
        <f>T48*MIN(1,Assumptions!$B$115*Assumptions!$B$37)</f>
        <v>56.25</v>
      </c>
      <c r="U49" s="52">
        <f>U48*MIN(1,Assumptions!$B$115*Assumptions!$B$37)</f>
        <v>28.125</v>
      </c>
      <c r="V49" s="52">
        <f>V48*MIN(1,Assumptions!$B$115*Assumptions!$B$37)</f>
        <v>14.0625</v>
      </c>
      <c r="W49" s="52">
        <f>W48*MIN(1,Assumptions!$B$115*Assumptions!$B$37)</f>
        <v>7.03125</v>
      </c>
      <c r="X49" s="52">
        <f>X48*MIN(1,Assumptions!$B$115*Assumptions!$B$37)</f>
        <v>3.515625</v>
      </c>
      <c r="Y49" s="52">
        <f>Y48*MIN(1,Assumptions!$B$115*Assumptions!$B$37)</f>
        <v>1.7578125</v>
      </c>
      <c r="Z49" s="52">
        <f>Z48*MIN(1,Assumptions!$B$115*Assumptions!$B$37)</f>
        <v>0.87890625</v>
      </c>
    </row>
    <row r="50">
      <c r="A50" s="13" t="inlineStr">
        <is>
          <t>Company revenue, risk-adjusted (incl. milestones)</t>
        </is>
      </c>
      <c r="C50" s="52">
        <f>C49*Assumptions!$B$116</f>
        <v>0.0</v>
      </c>
      <c r="D50" s="52">
        <f>D49*Assumptions!$B$116</f>
        <v>0.0</v>
      </c>
      <c r="E50" s="52">
        <f>E49*Assumptions!$B$116</f>
        <v>33.75</v>
      </c>
      <c r="F50" s="52">
        <f>F49*Assumptions!$B$116</f>
        <v>78.75</v>
      </c>
      <c r="G50" s="52">
        <f>G49*Assumptions!$B$116</f>
        <v>123.75</v>
      </c>
      <c r="H50" s="52">
        <f>H49*Assumptions!$B$116</f>
        <v>168.75</v>
      </c>
      <c r="I50" s="52">
        <f>I49*Assumptions!$B$116</f>
        <v>202.5</v>
      </c>
      <c r="J50" s="52">
        <f>J49*Assumptions!$B$116</f>
        <v>225.0</v>
      </c>
      <c r="K50" s="52">
        <f>K49*Assumptions!$B$116</f>
        <v>225.0</v>
      </c>
      <c r="L50" s="52">
        <f>L49*Assumptions!$B$116</f>
        <v>225.0</v>
      </c>
      <c r="M50" s="52">
        <f>M49*Assumptions!$B$116</f>
        <v>225.0</v>
      </c>
      <c r="N50" s="52">
        <f>N49*Assumptions!$B$116</f>
        <v>225.0</v>
      </c>
      <c r="O50" s="52">
        <f>O49*Assumptions!$B$116</f>
        <v>225.0</v>
      </c>
      <c r="P50" s="52">
        <f>P49*Assumptions!$B$116</f>
        <v>225.0</v>
      </c>
      <c r="Q50" s="52">
        <f>Q49*Assumptions!$B$116</f>
        <v>225.0</v>
      </c>
      <c r="R50" s="52">
        <f>R49*Assumptions!$B$116</f>
        <v>225.0</v>
      </c>
      <c r="S50" s="52">
        <f>S49*Assumptions!$B$116</f>
        <v>112.5</v>
      </c>
      <c r="T50" s="52">
        <f>T49*Assumptions!$B$116</f>
        <v>56.25</v>
      </c>
      <c r="U50" s="52">
        <f>U49*Assumptions!$B$116</f>
        <v>28.125</v>
      </c>
      <c r="V50" s="52">
        <f>V49*Assumptions!$B$116</f>
        <v>14.0625</v>
      </c>
      <c r="W50" s="52">
        <f>W49*Assumptions!$B$116</f>
        <v>7.03125</v>
      </c>
      <c r="X50" s="52">
        <f>X49*Assumptions!$B$116</f>
        <v>3.515625</v>
      </c>
      <c r="Y50" s="52">
        <f>Y49*Assumptions!$B$116</f>
        <v>1.7578125</v>
      </c>
      <c r="Z50" s="52">
        <f>Z49*Assumptions!$B$116</f>
        <v>0.87890625</v>
      </c>
    </row>
    <row r="51">
      <c r="A51" s="13" t="inlineStr">
        <is>
          <t>COGS + royalties, risk-adjusted</t>
        </is>
      </c>
      <c r="C51" s="52">
        <f>C49*(Assumptions!$B$117+Assumptions!$B$118)</f>
        <v>0.0</v>
      </c>
      <c r="D51" s="52">
        <f>D49*(Assumptions!$B$117+Assumptions!$B$118)</f>
        <v>0.0</v>
      </c>
      <c r="E51" s="52">
        <f>E49*(Assumptions!$B$117+Assumptions!$B$118)</f>
        <v>2.7</v>
      </c>
      <c r="F51" s="52">
        <f>F49*(Assumptions!$B$117+Assumptions!$B$118)</f>
        <v>6.3</v>
      </c>
      <c r="G51" s="52">
        <f>G49*(Assumptions!$B$117+Assumptions!$B$118)</f>
        <v>9.9</v>
      </c>
      <c r="H51" s="52">
        <f>H49*(Assumptions!$B$117+Assumptions!$B$118)</f>
        <v>13.5</v>
      </c>
      <c r="I51" s="52">
        <f>I49*(Assumptions!$B$117+Assumptions!$B$118)</f>
        <v>16.2</v>
      </c>
      <c r="J51" s="52">
        <f>J49*(Assumptions!$B$117+Assumptions!$B$118)</f>
        <v>18.0</v>
      </c>
      <c r="K51" s="52">
        <f>K49*(Assumptions!$B$117+Assumptions!$B$118)</f>
        <v>18.0</v>
      </c>
      <c r="L51" s="52">
        <f>L49*(Assumptions!$B$117+Assumptions!$B$118)</f>
        <v>18.0</v>
      </c>
      <c r="M51" s="52">
        <f>M49*(Assumptions!$B$117+Assumptions!$B$118)</f>
        <v>18.0</v>
      </c>
      <c r="N51" s="52">
        <f>N49*(Assumptions!$B$117+Assumptions!$B$118)</f>
        <v>18.0</v>
      </c>
      <c r="O51" s="52">
        <f>O49*(Assumptions!$B$117+Assumptions!$B$118)</f>
        <v>18.0</v>
      </c>
      <c r="P51" s="52">
        <f>P49*(Assumptions!$B$117+Assumptions!$B$118)</f>
        <v>18.0</v>
      </c>
      <c r="Q51" s="52">
        <f>Q49*(Assumptions!$B$117+Assumptions!$B$118)</f>
        <v>18.0</v>
      </c>
      <c r="R51" s="52">
        <f>R49*(Assumptions!$B$117+Assumptions!$B$118)</f>
        <v>18.0</v>
      </c>
      <c r="S51" s="52">
        <f>S49*(Assumptions!$B$117+Assumptions!$B$118)</f>
        <v>9.0</v>
      </c>
      <c r="T51" s="52">
        <f>T49*(Assumptions!$B$117+Assumptions!$B$118)</f>
        <v>4.5</v>
      </c>
      <c r="U51" s="52">
        <f>U49*(Assumptions!$B$117+Assumptions!$B$118)</f>
        <v>2.25</v>
      </c>
      <c r="V51" s="52">
        <f>V49*(Assumptions!$B$117+Assumptions!$B$118)</f>
        <v>1.125</v>
      </c>
      <c r="W51" s="52">
        <f>W49*(Assumptions!$B$117+Assumptions!$B$118)</f>
        <v>0.5625</v>
      </c>
      <c r="X51" s="52">
        <f>X49*(Assumptions!$B$117+Assumptions!$B$118)</f>
        <v>0.28125</v>
      </c>
      <c r="Y51" s="52">
        <f>Y49*(Assumptions!$B$117+Assumptions!$B$118)</f>
        <v>0.140625</v>
      </c>
      <c r="Z51" s="52">
        <f>Z49*(Assumptions!$B$117+Assumptions!$B$118)</f>
        <v>0.0703125</v>
      </c>
    </row>
    <row r="52">
      <c r="A52" s="13" t="inlineStr">
        <is>
          <t>Commercial SG&amp;A, risk-adjusted</t>
        </is>
      </c>
      <c r="C52" s="52">
        <f>MIN(1,Assumptions!$B$115*Assumptions!$B$37)*IF(Assumptions!$B$119=0,0,IF(C47=0,Assumptions!$B$120,IF(C47&gt;=1,C48*IF(OR(Assumptions!$B$116&lt;1,C47&gt;5),Assumptions!$B$119,MAX(Assumptions!$B$119,INDEX(Assumptions!$B$44:$F$44,C47))),0)))</f>
        <v>0.0</v>
      </c>
      <c r="D52" s="52">
        <f>MIN(1,Assumptions!$B$115*Assumptions!$B$37)*IF(Assumptions!$B$119=0,0,IF(D47=0,Assumptions!$B$120,IF(D47&gt;=1,D48*IF(OR(Assumptions!$B$116&lt;1,D47&gt;5),Assumptions!$B$119,MAX(Assumptions!$B$119,INDEX(Assumptions!$B$44:$F$44,D47))),0)))</f>
        <v>6.75</v>
      </c>
      <c r="E52" s="52">
        <f>MIN(1,Assumptions!$B$115*Assumptions!$B$37)*IF(Assumptions!$B$119=0,0,IF(E47=0,Assumptions!$B$120,IF(E47&gt;=1,E48*IF(OR(Assumptions!$B$116&lt;1,E47&gt;5),Assumptions!$B$119,MAX(Assumptions!$B$119,INDEX(Assumptions!$B$44:$F$44,E47))),0)))</f>
        <v>30.375</v>
      </c>
      <c r="F52" s="52">
        <f>MIN(1,Assumptions!$B$115*Assumptions!$B$37)*IF(Assumptions!$B$119=0,0,IF(F47=0,Assumptions!$B$120,IF(F47&gt;=1,F48*IF(OR(Assumptions!$B$116&lt;1,F47&gt;5),Assumptions!$B$119,MAX(Assumptions!$B$119,INDEX(Assumptions!$B$44:$F$44,F47))),0)))</f>
        <v>43.31250000000001</v>
      </c>
      <c r="G52" s="52">
        <f>MIN(1,Assumptions!$B$115*Assumptions!$B$37)*IF(Assumptions!$B$119=0,0,IF(G47=0,Assumptions!$B$120,IF(G47&gt;=1,G48*IF(OR(Assumptions!$B$116&lt;1,G47&gt;5),Assumptions!$B$119,MAX(Assumptions!$B$119,INDEX(Assumptions!$B$44:$F$44,G47))),0)))</f>
        <v>49.5</v>
      </c>
      <c r="H52" s="52">
        <f>MIN(1,Assumptions!$B$115*Assumptions!$B$37)*IF(Assumptions!$B$119=0,0,IF(H47=0,Assumptions!$B$120,IF(H47&gt;=1,H48*IF(OR(Assumptions!$B$116&lt;1,H47&gt;5),Assumptions!$B$119,MAX(Assumptions!$B$119,INDEX(Assumptions!$B$44:$F$44,H47))),0)))</f>
        <v>54.0</v>
      </c>
      <c r="I52" s="52">
        <f>MIN(1,Assumptions!$B$115*Assumptions!$B$37)*IF(Assumptions!$B$119=0,0,IF(I47=0,Assumptions!$B$120,IF(I47&gt;=1,I48*IF(OR(Assumptions!$B$116&lt;1,I47&gt;5),Assumptions!$B$119,MAX(Assumptions!$B$119,INDEX(Assumptions!$B$44:$F$44,I47))),0)))</f>
        <v>56.70000000000001</v>
      </c>
      <c r="J52" s="52">
        <f>MIN(1,Assumptions!$B$115*Assumptions!$B$37)*IF(Assumptions!$B$119=0,0,IF(J47=0,Assumptions!$B$120,IF(J47&gt;=1,J48*IF(OR(Assumptions!$B$116&lt;1,J47&gt;5),Assumptions!$B$119,MAX(Assumptions!$B$119,INDEX(Assumptions!$B$44:$F$44,J47))),0)))</f>
        <v>45.0</v>
      </c>
      <c r="K52" s="52">
        <f>MIN(1,Assumptions!$B$115*Assumptions!$B$37)*IF(Assumptions!$B$119=0,0,IF(K47=0,Assumptions!$B$120,IF(K47&gt;=1,K48*IF(OR(Assumptions!$B$116&lt;1,K47&gt;5),Assumptions!$B$119,MAX(Assumptions!$B$119,INDEX(Assumptions!$B$44:$F$44,K47))),0)))</f>
        <v>45.0</v>
      </c>
      <c r="L52" s="52">
        <f>MIN(1,Assumptions!$B$115*Assumptions!$B$37)*IF(Assumptions!$B$119=0,0,IF(L47=0,Assumptions!$B$120,IF(L47&gt;=1,L48*IF(OR(Assumptions!$B$116&lt;1,L47&gt;5),Assumptions!$B$119,MAX(Assumptions!$B$119,INDEX(Assumptions!$B$44:$F$44,L47))),0)))</f>
        <v>45.0</v>
      </c>
      <c r="M52" s="52">
        <f>MIN(1,Assumptions!$B$115*Assumptions!$B$37)*IF(Assumptions!$B$119=0,0,IF(M47=0,Assumptions!$B$120,IF(M47&gt;=1,M48*IF(OR(Assumptions!$B$116&lt;1,M47&gt;5),Assumptions!$B$119,MAX(Assumptions!$B$119,INDEX(Assumptions!$B$44:$F$44,M47))),0)))</f>
        <v>45.0</v>
      </c>
      <c r="N52" s="52">
        <f>MIN(1,Assumptions!$B$115*Assumptions!$B$37)*IF(Assumptions!$B$119=0,0,IF(N47=0,Assumptions!$B$120,IF(N47&gt;=1,N48*IF(OR(Assumptions!$B$116&lt;1,N47&gt;5),Assumptions!$B$119,MAX(Assumptions!$B$119,INDEX(Assumptions!$B$44:$F$44,N47))),0)))</f>
        <v>45.0</v>
      </c>
      <c r="O52" s="52">
        <f>MIN(1,Assumptions!$B$115*Assumptions!$B$37)*IF(Assumptions!$B$119=0,0,IF(O47=0,Assumptions!$B$120,IF(O47&gt;=1,O48*IF(OR(Assumptions!$B$116&lt;1,O47&gt;5),Assumptions!$B$119,MAX(Assumptions!$B$119,INDEX(Assumptions!$B$44:$F$44,O47))),0)))</f>
        <v>45.0</v>
      </c>
      <c r="P52" s="52">
        <f>MIN(1,Assumptions!$B$115*Assumptions!$B$37)*IF(Assumptions!$B$119=0,0,IF(P47=0,Assumptions!$B$120,IF(P47&gt;=1,P48*IF(OR(Assumptions!$B$116&lt;1,P47&gt;5),Assumptions!$B$119,MAX(Assumptions!$B$119,INDEX(Assumptions!$B$44:$F$44,P47))),0)))</f>
        <v>45.0</v>
      </c>
      <c r="Q52" s="52">
        <f>MIN(1,Assumptions!$B$115*Assumptions!$B$37)*IF(Assumptions!$B$119=0,0,IF(Q47=0,Assumptions!$B$120,IF(Q47&gt;=1,Q48*IF(OR(Assumptions!$B$116&lt;1,Q47&gt;5),Assumptions!$B$119,MAX(Assumptions!$B$119,INDEX(Assumptions!$B$44:$F$44,Q47))),0)))</f>
        <v>45.0</v>
      </c>
      <c r="R52" s="52">
        <f>MIN(1,Assumptions!$B$115*Assumptions!$B$37)*IF(Assumptions!$B$119=0,0,IF(R47=0,Assumptions!$B$120,IF(R47&gt;=1,R48*IF(OR(Assumptions!$B$116&lt;1,R47&gt;5),Assumptions!$B$119,MAX(Assumptions!$B$119,INDEX(Assumptions!$B$44:$F$44,R47))),0)))</f>
        <v>45.0</v>
      </c>
      <c r="S52" s="52">
        <f>MIN(1,Assumptions!$B$115*Assumptions!$B$37)*IF(Assumptions!$B$119=0,0,IF(S47=0,Assumptions!$B$120,IF(S47&gt;=1,S48*IF(OR(Assumptions!$B$116&lt;1,S47&gt;5),Assumptions!$B$119,MAX(Assumptions!$B$119,INDEX(Assumptions!$B$44:$F$44,S47))),0)))</f>
        <v>22.5</v>
      </c>
      <c r="T52" s="52">
        <f>MIN(1,Assumptions!$B$115*Assumptions!$B$37)*IF(Assumptions!$B$119=0,0,IF(T47=0,Assumptions!$B$120,IF(T47&gt;=1,T48*IF(OR(Assumptions!$B$116&lt;1,T47&gt;5),Assumptions!$B$119,MAX(Assumptions!$B$119,INDEX(Assumptions!$B$44:$F$44,T47))),0)))</f>
        <v>11.25</v>
      </c>
      <c r="U52" s="52">
        <f>MIN(1,Assumptions!$B$115*Assumptions!$B$37)*IF(Assumptions!$B$119=0,0,IF(U47=0,Assumptions!$B$120,IF(U47&gt;=1,U48*IF(OR(Assumptions!$B$116&lt;1,U47&gt;5),Assumptions!$B$119,MAX(Assumptions!$B$119,INDEX(Assumptions!$B$44:$F$44,U47))),0)))</f>
        <v>5.625</v>
      </c>
      <c r="V52" s="52">
        <f>MIN(1,Assumptions!$B$115*Assumptions!$B$37)*IF(Assumptions!$B$119=0,0,IF(V47=0,Assumptions!$B$120,IF(V47&gt;=1,V48*IF(OR(Assumptions!$B$116&lt;1,V47&gt;5),Assumptions!$B$119,MAX(Assumptions!$B$119,INDEX(Assumptions!$B$44:$F$44,V47))),0)))</f>
        <v>2.8125</v>
      </c>
      <c r="W52" s="52">
        <f>MIN(1,Assumptions!$B$115*Assumptions!$B$37)*IF(Assumptions!$B$119=0,0,IF(W47=0,Assumptions!$B$120,IF(W47&gt;=1,W48*IF(OR(Assumptions!$B$116&lt;1,W47&gt;5),Assumptions!$B$119,MAX(Assumptions!$B$119,INDEX(Assumptions!$B$44:$F$44,W47))),0)))</f>
        <v>1.40625</v>
      </c>
      <c r="X52" s="52">
        <f>MIN(1,Assumptions!$B$115*Assumptions!$B$37)*IF(Assumptions!$B$119=0,0,IF(X47=0,Assumptions!$B$120,IF(X47&gt;=1,X48*IF(OR(Assumptions!$B$116&lt;1,X47&gt;5),Assumptions!$B$119,MAX(Assumptions!$B$119,INDEX(Assumptions!$B$44:$F$44,X47))),0)))</f>
        <v>0.703125</v>
      </c>
      <c r="Y52" s="52">
        <f>MIN(1,Assumptions!$B$115*Assumptions!$B$37)*IF(Assumptions!$B$119=0,0,IF(Y47=0,Assumptions!$B$120,IF(Y47&gt;=1,Y48*IF(OR(Assumptions!$B$116&lt;1,Y47&gt;5),Assumptions!$B$119,MAX(Assumptions!$B$119,INDEX(Assumptions!$B$44:$F$44,Y47))),0)))</f>
        <v>0.3515625</v>
      </c>
      <c r="Z52" s="52">
        <f>MIN(1,Assumptions!$B$115*Assumptions!$B$37)*IF(Assumptions!$B$119=0,0,IF(Z47=0,Assumptions!$B$120,IF(Z47&gt;=1,Z48*IF(OR(Assumptions!$B$116&lt;1,Z47&gt;5),Assumptions!$B$119,MAX(Assumptions!$B$119,INDEX(Assumptions!$B$44:$F$44,Z47))),0)))</f>
        <v>0.17578125</v>
      </c>
    </row>
    <row r="53">
      <c r="A53" s="13" t="inlineStr">
        <is>
          <t>Development R&amp;D, risk-adjusted</t>
        </is>
      </c>
      <c r="C53" s="52">
        <f>IFERROR(INDEX(Assumptions!$B$125:$I$125,MATCH(C$2,Assumptions!$B$124:$I$124,0))*INDEX(Assumptions!$B$126:$I$126,MATCH(C$2,Assumptions!$B$124:$I$124,0)),0)</f>
        <v>30.0</v>
      </c>
      <c r="D53" s="52">
        <f>IFERROR(INDEX(Assumptions!$B$125:$I$125,MATCH(D$2,Assumptions!$B$124:$I$124,0))*INDEX(Assumptions!$B$126:$I$126,MATCH(D$2,Assumptions!$B$124:$I$124,0)),0)</f>
        <v>20.0</v>
      </c>
      <c r="E53" s="52">
        <f>IFERROR(INDEX(Assumptions!$B$125:$I$125,MATCH(E$2,Assumptions!$B$124:$I$124,0))*INDEX(Assumptions!$B$126:$I$126,MATCH(E$2,Assumptions!$B$124:$I$124,0)),0)</f>
        <v>0.0</v>
      </c>
      <c r="F53" s="52">
        <f>IFERROR(INDEX(Assumptions!$B$125:$I$125,MATCH(F$2,Assumptions!$B$124:$I$124,0))*INDEX(Assumptions!$B$126:$I$126,MATCH(F$2,Assumptions!$B$124:$I$124,0)),0)</f>
        <v>0.0</v>
      </c>
      <c r="G53" s="52">
        <f>IFERROR(INDEX(Assumptions!$B$125:$I$125,MATCH(G$2,Assumptions!$B$124:$I$124,0))*INDEX(Assumptions!$B$126:$I$126,MATCH(G$2,Assumptions!$B$124:$I$124,0)),0)</f>
        <v>0.0</v>
      </c>
      <c r="H53" s="52">
        <f>IFERROR(INDEX(Assumptions!$B$125:$I$125,MATCH(H$2,Assumptions!$B$124:$I$124,0))*INDEX(Assumptions!$B$126:$I$126,MATCH(H$2,Assumptions!$B$124:$I$124,0)),0)</f>
        <v>0.0</v>
      </c>
      <c r="I53" s="52">
        <f>IFERROR(INDEX(Assumptions!$B$125:$I$125,MATCH(I$2,Assumptions!$B$124:$I$124,0))*INDEX(Assumptions!$B$126:$I$126,MATCH(I$2,Assumptions!$B$124:$I$124,0)),0)</f>
        <v>0.0</v>
      </c>
      <c r="J53" s="52">
        <f>IFERROR(INDEX(Assumptions!$B$125:$I$125,MATCH(J$2,Assumptions!$B$124:$I$124,0))*INDEX(Assumptions!$B$126:$I$126,MATCH(J$2,Assumptions!$B$124:$I$124,0)),0)</f>
        <v>0.0</v>
      </c>
      <c r="K53" s="52">
        <f>IFERROR(INDEX(Assumptions!$B$125:$I$125,MATCH(K$2,Assumptions!$B$124:$I$124,0))*INDEX(Assumptions!$B$126:$I$126,MATCH(K$2,Assumptions!$B$124:$I$124,0)),0)</f>
        <v>0</v>
      </c>
      <c r="L53" s="52">
        <f>IFERROR(INDEX(Assumptions!$B$125:$I$125,MATCH(L$2,Assumptions!$B$124:$I$124,0))*INDEX(Assumptions!$B$126:$I$126,MATCH(L$2,Assumptions!$B$124:$I$124,0)),0)</f>
        <v>0</v>
      </c>
      <c r="M53" s="52">
        <f>IFERROR(INDEX(Assumptions!$B$125:$I$125,MATCH(M$2,Assumptions!$B$124:$I$124,0))*INDEX(Assumptions!$B$126:$I$126,MATCH(M$2,Assumptions!$B$124:$I$124,0)),0)</f>
        <v>0</v>
      </c>
      <c r="N53" s="52">
        <f>IFERROR(INDEX(Assumptions!$B$125:$I$125,MATCH(N$2,Assumptions!$B$124:$I$124,0))*INDEX(Assumptions!$B$126:$I$126,MATCH(N$2,Assumptions!$B$124:$I$124,0)),0)</f>
        <v>0</v>
      </c>
      <c r="O53" s="52">
        <f>IFERROR(INDEX(Assumptions!$B$125:$I$125,MATCH(O$2,Assumptions!$B$124:$I$124,0))*INDEX(Assumptions!$B$126:$I$126,MATCH(O$2,Assumptions!$B$124:$I$124,0)),0)</f>
        <v>0</v>
      </c>
      <c r="P53" s="52">
        <f>IFERROR(INDEX(Assumptions!$B$125:$I$125,MATCH(P$2,Assumptions!$B$124:$I$124,0))*INDEX(Assumptions!$B$126:$I$126,MATCH(P$2,Assumptions!$B$124:$I$124,0)),0)</f>
        <v>0</v>
      </c>
      <c r="Q53" s="52">
        <f>IFERROR(INDEX(Assumptions!$B$125:$I$125,MATCH(Q$2,Assumptions!$B$124:$I$124,0))*INDEX(Assumptions!$B$126:$I$126,MATCH(Q$2,Assumptions!$B$124:$I$124,0)),0)</f>
        <v>0</v>
      </c>
      <c r="R53" s="52">
        <f>IFERROR(INDEX(Assumptions!$B$125:$I$125,MATCH(R$2,Assumptions!$B$124:$I$124,0))*INDEX(Assumptions!$B$126:$I$126,MATCH(R$2,Assumptions!$B$124:$I$124,0)),0)</f>
        <v>0</v>
      </c>
      <c r="S53" s="52">
        <f>IFERROR(INDEX(Assumptions!$B$125:$I$125,MATCH(S$2,Assumptions!$B$124:$I$124,0))*INDEX(Assumptions!$B$126:$I$126,MATCH(S$2,Assumptions!$B$124:$I$124,0)),0)</f>
        <v>0</v>
      </c>
      <c r="T53" s="52">
        <f>IFERROR(INDEX(Assumptions!$B$125:$I$125,MATCH(T$2,Assumptions!$B$124:$I$124,0))*INDEX(Assumptions!$B$126:$I$126,MATCH(T$2,Assumptions!$B$124:$I$124,0)),0)</f>
        <v>0</v>
      </c>
      <c r="U53" s="52">
        <f>IFERROR(INDEX(Assumptions!$B$125:$I$125,MATCH(U$2,Assumptions!$B$124:$I$124,0))*INDEX(Assumptions!$B$126:$I$126,MATCH(U$2,Assumptions!$B$124:$I$124,0)),0)</f>
        <v>0</v>
      </c>
      <c r="V53" s="52">
        <f>IFERROR(INDEX(Assumptions!$B$125:$I$125,MATCH(V$2,Assumptions!$B$124:$I$124,0))*INDEX(Assumptions!$B$126:$I$126,MATCH(V$2,Assumptions!$B$124:$I$124,0)),0)</f>
        <v>0</v>
      </c>
      <c r="W53" s="52">
        <f>IFERROR(INDEX(Assumptions!$B$125:$I$125,MATCH(W$2,Assumptions!$B$124:$I$124,0))*INDEX(Assumptions!$B$126:$I$126,MATCH(W$2,Assumptions!$B$124:$I$124,0)),0)</f>
        <v>0</v>
      </c>
      <c r="X53" s="52">
        <f>IFERROR(INDEX(Assumptions!$B$125:$I$125,MATCH(X$2,Assumptions!$B$124:$I$124,0))*INDEX(Assumptions!$B$126:$I$126,MATCH(X$2,Assumptions!$B$124:$I$124,0)),0)</f>
        <v>0</v>
      </c>
      <c r="Y53" s="52">
        <f>IFERROR(INDEX(Assumptions!$B$125:$I$125,MATCH(Y$2,Assumptions!$B$124:$I$124,0))*INDEX(Assumptions!$B$126:$I$126,MATCH(Y$2,Assumptions!$B$124:$I$124,0)),0)</f>
        <v>0</v>
      </c>
      <c r="Z53" s="52">
        <f>IFERROR(INDEX(Assumptions!$B$125:$I$125,MATCH(Z$2,Assumptions!$B$124:$I$124,0))*INDEX(Assumptions!$B$126:$I$126,MATCH(Z$2,Assumptions!$B$124:$I$124,0)),0)</f>
        <v>0</v>
      </c>
    </row>
    <row r="54">
      <c r="A54" s="23" t="inlineStr">
        <is>
          <t>Program contribution (pre-tax)</t>
        </is>
      </c>
      <c r="C54" s="56">
        <f>C50-C51-C52-C53</f>
        <v>-30.0</v>
      </c>
      <c r="D54" s="56">
        <f>D50-D51-D52-D53</f>
        <v>-26.75</v>
      </c>
      <c r="E54" s="56">
        <f>E50-E51-E52-E53</f>
        <v>0.6750000000000007</v>
      </c>
      <c r="F54" s="56">
        <f>F50-F51-F52-F53</f>
        <v>29.137499999999996</v>
      </c>
      <c r="G54" s="56">
        <f>G50-G51-G52-G53</f>
        <v>64.35</v>
      </c>
      <c r="H54" s="56">
        <f>H50-H51-H52-H53</f>
        <v>101.25</v>
      </c>
      <c r="I54" s="56">
        <f>I50-I51-I52-I53</f>
        <v>129.6</v>
      </c>
      <c r="J54" s="56">
        <f>J50-J51-J52-J53</f>
        <v>162.0</v>
      </c>
      <c r="K54" s="56">
        <f>K50-K51-K52-K53</f>
        <v>162.0</v>
      </c>
      <c r="L54" s="56">
        <f>L50-L51-L52-L53</f>
        <v>162.0</v>
      </c>
      <c r="M54" s="56">
        <f>M50-M51-M52-M53</f>
        <v>162.0</v>
      </c>
      <c r="N54" s="56">
        <f>N50-N51-N52-N53</f>
        <v>162.0</v>
      </c>
      <c r="O54" s="56">
        <f>O50-O51-O52-O53</f>
        <v>162.0</v>
      </c>
      <c r="P54" s="56">
        <f>P50-P51-P52-P53</f>
        <v>162.0</v>
      </c>
      <c r="Q54" s="56">
        <f>Q50-Q51-Q52-Q53</f>
        <v>162.0</v>
      </c>
      <c r="R54" s="56">
        <f>R50-R51-R52-R53</f>
        <v>162.0</v>
      </c>
      <c r="S54" s="56">
        <f>S50-S51-S52-S53</f>
        <v>81.0</v>
      </c>
      <c r="T54" s="56">
        <f>T50-T51-T52-T53</f>
        <v>40.5</v>
      </c>
      <c r="U54" s="56">
        <f>U50-U51-U52-U53</f>
        <v>20.25</v>
      </c>
      <c r="V54" s="56">
        <f>V50-V51-V52-V53</f>
        <v>10.125</v>
      </c>
      <c r="W54" s="56">
        <f>W50-W51-W52-W53</f>
        <v>5.0625</v>
      </c>
      <c r="X54" s="56">
        <f>X50-X51-X52-X53</f>
        <v>2.53125</v>
      </c>
      <c r="Y54" s="56">
        <f>Y50-Y51-Y52-Y53</f>
        <v>1.265625</v>
      </c>
      <c r="Z54" s="56">
        <f>Z50-Z51-Z52-Z53</f>
        <v>0.6328125</v>
      </c>
    </row>
    <row r="56">
      <c r="A56" s="30" t="inlineStr">
        <is>
          <t>Company totals (risk-adjusted)</t>
        </is>
      </c>
    </row>
    <row r="57">
      <c r="A57" s="23" t="inlineStr">
        <is>
          <t>Revenue</t>
        </is>
      </c>
      <c r="C57" s="56">
        <f>C10+C20+C30+C40+C50</f>
        <v>471.0</v>
      </c>
      <c r="D57" s="56">
        <f>D10+D20+D30+D40+D50</f>
        <v>925.5</v>
      </c>
      <c r="E57" s="56">
        <f>E10+E20+E30+E40+E50</f>
        <v>1683.0</v>
      </c>
      <c r="F57" s="56">
        <f>F10+F20+F30+F40+F50</f>
        <v>2493.0</v>
      </c>
      <c r="G57" s="56">
        <f>G10+G20+G30+G40+G50</f>
        <v>3214.5</v>
      </c>
      <c r="H57" s="56">
        <f>H10+H20+H30+H40+H50</f>
        <v>3741.75</v>
      </c>
      <c r="I57" s="56">
        <f>I10+I20+I30+I40+I50</f>
        <v>4072.5</v>
      </c>
      <c r="J57" s="56">
        <f>J10+J20+J30+J40+J50</f>
        <v>4146.0</v>
      </c>
      <c r="K57" s="56">
        <f>K10+K20+K30+K40+K50</f>
        <v>4179.0</v>
      </c>
      <c r="L57" s="56">
        <f>L10+L20+L30+L40+L50</f>
        <v>4200.0</v>
      </c>
      <c r="M57" s="56">
        <f>M10+M20+M30+M40+M50</f>
        <v>4200.0</v>
      </c>
      <c r="N57" s="56">
        <f>N10+N20+N30+N40+N50</f>
        <v>4200.0</v>
      </c>
      <c r="O57" s="56">
        <f>O10+O20+O30+O40+O50</f>
        <v>4200.0</v>
      </c>
      <c r="P57" s="56">
        <f>P10+P20+P30+P40+P50</f>
        <v>4200.0</v>
      </c>
      <c r="Q57" s="56">
        <f>Q10+Q20+Q30+Q40+Q50</f>
        <v>4200.0</v>
      </c>
      <c r="R57" s="56">
        <f>R10+R20+R30+R40+R50</f>
        <v>1995.0</v>
      </c>
      <c r="S57" s="56">
        <f>S10+S20+S30+S40+S50</f>
        <v>1000.5</v>
      </c>
      <c r="T57" s="56">
        <f>T10+T20+T30+T40+T50</f>
        <v>411.45</v>
      </c>
      <c r="U57" s="56">
        <f>U10+U20+U30+U40+U50</f>
        <v>170.20499999999998</v>
      </c>
      <c r="V57" s="56">
        <f>V10+V20+V30+V40+V50</f>
        <v>70.89450000000002</v>
      </c>
      <c r="W57" s="56">
        <f>W10+W20+W30+W40+W50</f>
        <v>29.764050000000005</v>
      </c>
      <c r="X57" s="56">
        <f>X10+X20+X30+X40+X50</f>
        <v>12.608745000000003</v>
      </c>
      <c r="Y57" s="56">
        <f>Y10+Y20+Y30+Y40+Y50</f>
        <v>5.395060500000001</v>
      </c>
      <c r="Z57" s="56">
        <f>Z10+Z20+Z30+Z40+Z50</f>
        <v>2.3338054500000007</v>
      </c>
    </row>
    <row r="58">
      <c r="A58" s="13" t="inlineStr">
        <is>
          <t>Cost of sales (COGS + royalties)</t>
        </is>
      </c>
      <c r="C58" s="52">
        <f>C11+C21+C31+C41+C51</f>
        <v>13.440000000000001</v>
      </c>
      <c r="D58" s="52">
        <f>D11+D21+D31+D41+D51</f>
        <v>36.57</v>
      </c>
      <c r="E58" s="52">
        <f>E11+E21+E31+E41+E51</f>
        <v>68.67</v>
      </c>
      <c r="F58" s="52">
        <f>F11+F21+F31+F41+F51</f>
        <v>102.86999999999999</v>
      </c>
      <c r="G58" s="52">
        <f>G11+G21+G31+G41+G51</f>
        <v>133.53</v>
      </c>
      <c r="H58" s="52">
        <f>H11+H21+H31+H41+H51</f>
        <v>156.42000000000002</v>
      </c>
      <c r="I58" s="52">
        <f>I11+I21+I31+I41+I51</f>
        <v>171.0</v>
      </c>
      <c r="J58" s="52">
        <f>J11+J21+J31+J41+J51</f>
        <v>174.84</v>
      </c>
      <c r="K58" s="52">
        <f>K11+K21+K31+K41+K51</f>
        <v>176.16</v>
      </c>
      <c r="L58" s="52">
        <f>L11+L21+L31+L41+L51</f>
        <v>177.0</v>
      </c>
      <c r="M58" s="52">
        <f>M11+M21+M31+M41+M51</f>
        <v>177.0</v>
      </c>
      <c r="N58" s="52">
        <f>N11+N21+N31+N41+N51</f>
        <v>177.0</v>
      </c>
      <c r="O58" s="52">
        <f>O11+O21+O31+O41+O51</f>
        <v>177.0</v>
      </c>
      <c r="P58" s="52">
        <f>P11+P21+P31+P41+P51</f>
        <v>177.0</v>
      </c>
      <c r="Q58" s="52">
        <f>Q11+Q21+Q31+Q41+Q51</f>
        <v>177.0</v>
      </c>
      <c r="R58" s="52">
        <f>R11+R21+R31+R41+R51</f>
        <v>88.80000000000001</v>
      </c>
      <c r="S58" s="52">
        <f>S11+S21+S31+S41+S51</f>
        <v>44.519999999999996</v>
      </c>
      <c r="T58" s="52">
        <f>T11+T21+T31+T41+T51</f>
        <v>18.708000000000002</v>
      </c>
      <c r="U58" s="52">
        <f>U11+U21+U31+U41+U51</f>
        <v>7.9332</v>
      </c>
      <c r="V58" s="52">
        <f>V11+V21+V31+V41+V51</f>
        <v>3.3982800000000006</v>
      </c>
      <c r="W58" s="52">
        <f>W11+W21+W31+W41+W51</f>
        <v>1.4718120000000003</v>
      </c>
      <c r="X58" s="52">
        <f>X11+X21+X31+X41+X51</f>
        <v>0.6449748000000002</v>
      </c>
      <c r="Y58" s="52">
        <f>Y11+Y21+Y31+Y41+Y51</f>
        <v>0.28611492000000005</v>
      </c>
      <c r="Z58" s="52">
        <f>Z11+Z21+Z31+Z41+Z51</f>
        <v>0.12850846800000004</v>
      </c>
    </row>
    <row r="59">
      <c r="A59" s="13" t="inlineStr">
        <is>
          <t>Program development R&amp;D</t>
        </is>
      </c>
      <c r="C59" s="52">
        <f>C13+C23+C33+C43+C53</f>
        <v>155.0</v>
      </c>
      <c r="D59" s="52">
        <f>D13+D23+D33+D43+D53</f>
        <v>100.0</v>
      </c>
      <c r="E59" s="52">
        <f>E13+E23+E33+E43+E53</f>
        <v>20.0</v>
      </c>
      <c r="F59" s="52">
        <f>F13+F23+F33+F43+F53</f>
        <v>0.0</v>
      </c>
      <c r="G59" s="52">
        <f>G13+G23+G33+G43+G53</f>
        <v>0.0</v>
      </c>
      <c r="H59" s="52">
        <f>H13+H23+H33+H43+H53</f>
        <v>0.0</v>
      </c>
      <c r="I59" s="52">
        <f>I13+I23+I33+I43+I53</f>
        <v>0.0</v>
      </c>
      <c r="J59" s="52">
        <f>J13+J23+J33+J43+J53</f>
        <v>0.0</v>
      </c>
      <c r="K59" s="52">
        <f>K13+K23+K33+K43+K53</f>
        <v>0.0</v>
      </c>
      <c r="L59" s="52">
        <f>L13+L23+L33+L43+L53</f>
        <v>0.0</v>
      </c>
      <c r="M59" s="52">
        <f>M13+M23+M33+M43+M53</f>
        <v>0.0</v>
      </c>
      <c r="N59" s="52">
        <f>N13+N23+N33+N43+N53</f>
        <v>0.0</v>
      </c>
      <c r="O59" s="52">
        <f>O13+O23+O33+O43+O53</f>
        <v>0.0</v>
      </c>
      <c r="P59" s="52">
        <f>P13+P23+P33+P43+P53</f>
        <v>0.0</v>
      </c>
      <c r="Q59" s="52">
        <f>Q13+Q23+Q33+Q43+Q53</f>
        <v>0.0</v>
      </c>
      <c r="R59" s="52">
        <f>R13+R23+R33+R43+R53</f>
        <v>0.0</v>
      </c>
      <c r="S59" s="52">
        <f>S13+S23+S33+S43+S53</f>
        <v>0.0</v>
      </c>
      <c r="T59" s="52">
        <f>T13+T23+T33+T43+T53</f>
        <v>0.0</v>
      </c>
      <c r="U59" s="52">
        <f>U13+U23+U33+U43+U53</f>
        <v>0.0</v>
      </c>
      <c r="V59" s="52">
        <f>V13+V23+V33+V43+V53</f>
        <v>0.0</v>
      </c>
      <c r="W59" s="52">
        <f>W13+W23+W33+W43+W53</f>
        <v>0.0</v>
      </c>
      <c r="X59" s="52">
        <f>X13+X23+X33+X43+X53</f>
        <v>0.0</v>
      </c>
      <c r="Y59" s="52">
        <f>Y13+Y23+Y33+Y43+Y53</f>
        <v>0.0</v>
      </c>
      <c r="Z59" s="52">
        <f>Z13+Z23+Z33+Z43+Z53</f>
        <v>0.0</v>
      </c>
    </row>
    <row r="60">
      <c r="A60" s="13" t="inlineStr">
        <is>
          <t>Platform / unallocated R&amp;D</t>
        </is>
      </c>
      <c r="C60" s="52">
        <f>IF(C$2&gt;Assumptions!$B$25,Assumptions!$B$23*C57,MAX(Assumptions!$B$20*(1+Assumptions!$B$21)^(C$2-2027)*Assumptions!$B$38,Assumptions!$B$23*C57))</f>
        <v>150.0</v>
      </c>
      <c r="D60" s="52">
        <f>IF(D$2&gt;Assumptions!$B$25,Assumptions!$B$23*D57,MAX(Assumptions!$B$20*(1+Assumptions!$B$21)^(D$2-2027)*Assumptions!$B$38,Assumptions!$B$23*D57))</f>
        <v>154.5</v>
      </c>
      <c r="E60" s="52">
        <f>IF(E$2&gt;Assumptions!$B$25,Assumptions!$B$23*E57,MAX(Assumptions!$B$20*(1+Assumptions!$B$21)^(E$2-2027)*Assumptions!$B$38,Assumptions!$B$23*E57))</f>
        <v>201.95999999999998</v>
      </c>
      <c r="F60" s="52">
        <f>IF(F$2&gt;Assumptions!$B$25,Assumptions!$B$23*F57,MAX(Assumptions!$B$20*(1+Assumptions!$B$21)^(F$2-2027)*Assumptions!$B$38,Assumptions!$B$23*F57))</f>
        <v>299.15999999999997</v>
      </c>
      <c r="G60" s="52">
        <f>IF(G$2&gt;Assumptions!$B$25,Assumptions!$B$23*G57,MAX(Assumptions!$B$20*(1+Assumptions!$B$21)^(G$2-2027)*Assumptions!$B$38,Assumptions!$B$23*G57))</f>
        <v>385.74</v>
      </c>
      <c r="H60" s="52">
        <f>IF(H$2&gt;Assumptions!$B$25,Assumptions!$B$23*H57,MAX(Assumptions!$B$20*(1+Assumptions!$B$21)^(H$2-2027)*Assumptions!$B$38,Assumptions!$B$23*H57))</f>
        <v>449.01</v>
      </c>
      <c r="I60" s="52">
        <f>IF(I$2&gt;Assumptions!$B$25,Assumptions!$B$23*I57,MAX(Assumptions!$B$20*(1+Assumptions!$B$21)^(I$2-2027)*Assumptions!$B$38,Assumptions!$B$23*I57))</f>
        <v>488.7</v>
      </c>
      <c r="J60" s="52">
        <f>IF(J$2&gt;Assumptions!$B$25,Assumptions!$B$23*J57,MAX(Assumptions!$B$20*(1+Assumptions!$B$21)^(J$2-2027)*Assumptions!$B$38,Assumptions!$B$23*J57))</f>
        <v>497.52</v>
      </c>
      <c r="K60" s="52">
        <f>IF(K$2&gt;Assumptions!$B$25,Assumptions!$B$23*K57,MAX(Assumptions!$B$20*(1+Assumptions!$B$21)^(K$2-2027)*Assumptions!$B$38,Assumptions!$B$23*K57))</f>
        <v>501.47999999999996</v>
      </c>
      <c r="L60" s="52">
        <f>IF(L$2&gt;Assumptions!$B$25,Assumptions!$B$23*L57,MAX(Assumptions!$B$20*(1+Assumptions!$B$21)^(L$2-2027)*Assumptions!$B$38,Assumptions!$B$23*L57))</f>
        <v>504.0</v>
      </c>
      <c r="M60" s="52">
        <f>IF(M$2&gt;Assumptions!$B$25,Assumptions!$B$23*M57,MAX(Assumptions!$B$20*(1+Assumptions!$B$21)^(M$2-2027)*Assumptions!$B$38,Assumptions!$B$23*M57))</f>
        <v>504.0</v>
      </c>
      <c r="N60" s="52">
        <f>IF(N$2&gt;Assumptions!$B$25,Assumptions!$B$23*N57,MAX(Assumptions!$B$20*(1+Assumptions!$B$21)^(N$2-2027)*Assumptions!$B$38,Assumptions!$B$23*N57))</f>
        <v>504.0</v>
      </c>
      <c r="O60" s="52">
        <f>IF(O$2&gt;Assumptions!$B$25,Assumptions!$B$23*O57,MAX(Assumptions!$B$20*(1+Assumptions!$B$21)^(O$2-2027)*Assumptions!$B$38,Assumptions!$B$23*O57))</f>
        <v>504.0</v>
      </c>
      <c r="P60" s="52">
        <f>IF(P$2&gt;Assumptions!$B$25,Assumptions!$B$23*P57,MAX(Assumptions!$B$20*(1+Assumptions!$B$21)^(P$2-2027)*Assumptions!$B$38,Assumptions!$B$23*P57))</f>
        <v>504.0</v>
      </c>
      <c r="Q60" s="52">
        <f>IF(Q$2&gt;Assumptions!$B$25,Assumptions!$B$23*Q57,MAX(Assumptions!$B$20*(1+Assumptions!$B$21)^(Q$2-2027)*Assumptions!$B$38,Assumptions!$B$23*Q57))</f>
        <v>504.0</v>
      </c>
      <c r="R60" s="52">
        <f>IF(R$2&gt;Assumptions!$B$25,Assumptions!$B$23*R57,MAX(Assumptions!$B$20*(1+Assumptions!$B$21)^(R$2-2027)*Assumptions!$B$38,Assumptions!$B$23*R57))</f>
        <v>239.39999999999998</v>
      </c>
      <c r="S60" s="52">
        <f>IF(S$2&gt;Assumptions!$B$25,Assumptions!$B$23*S57,MAX(Assumptions!$B$20*(1+Assumptions!$B$21)^(S$2-2027)*Assumptions!$B$38,Assumptions!$B$23*S57))</f>
        <v>120.06</v>
      </c>
      <c r="T60" s="52">
        <f>IF(T$2&gt;Assumptions!$B$25,Assumptions!$B$23*T57,MAX(Assumptions!$B$20*(1+Assumptions!$B$21)^(T$2-2027)*Assumptions!$B$38,Assumptions!$B$23*T57))</f>
        <v>49.373999999999995</v>
      </c>
      <c r="U60" s="52">
        <f>IF(U$2&gt;Assumptions!$B$25,Assumptions!$B$23*U57,MAX(Assumptions!$B$20*(1+Assumptions!$B$21)^(U$2-2027)*Assumptions!$B$38,Assumptions!$B$23*U57))</f>
        <v>20.424599999999998</v>
      </c>
      <c r="V60" s="52">
        <f>IF(V$2&gt;Assumptions!$B$25,Assumptions!$B$23*V57,MAX(Assumptions!$B$20*(1+Assumptions!$B$21)^(V$2-2027)*Assumptions!$B$38,Assumptions!$B$23*V57))</f>
        <v>8.507340000000003</v>
      </c>
      <c r="W60" s="52">
        <f>IF(W$2&gt;Assumptions!$B$25,Assumptions!$B$23*W57,MAX(Assumptions!$B$20*(1+Assumptions!$B$21)^(W$2-2027)*Assumptions!$B$38,Assumptions!$B$23*W57))</f>
        <v>3.5716860000000006</v>
      </c>
      <c r="X60" s="52">
        <f>IF(X$2&gt;Assumptions!$B$25,Assumptions!$B$23*X57,MAX(Assumptions!$B$20*(1+Assumptions!$B$21)^(X$2-2027)*Assumptions!$B$38,Assumptions!$B$23*X57))</f>
        <v>1.5130494000000003</v>
      </c>
      <c r="Y60" s="52">
        <f>IF(Y$2&gt;Assumptions!$B$25,Assumptions!$B$23*Y57,MAX(Assumptions!$B$20*(1+Assumptions!$B$21)^(Y$2-2027)*Assumptions!$B$38,Assumptions!$B$23*Y57))</f>
        <v>0.6474072600000002</v>
      </c>
      <c r="Z60" s="52">
        <f>IF(Z$2&gt;Assumptions!$B$25,Assumptions!$B$23*Z57,MAX(Assumptions!$B$20*(1+Assumptions!$B$21)^(Z$2-2027)*Assumptions!$B$38,Assumptions!$B$23*Z57))</f>
        <v>0.28005665400000007</v>
      </c>
    </row>
    <row r="61">
      <c r="A61" s="13" t="inlineStr">
        <is>
          <t>Total R&amp;D</t>
        </is>
      </c>
      <c r="C61" s="52">
        <f>C59+C60</f>
        <v>305.0</v>
      </c>
      <c r="D61" s="52">
        <f>D59+D60</f>
        <v>254.5</v>
      </c>
      <c r="E61" s="52">
        <f>E59+E60</f>
        <v>221.95999999999998</v>
      </c>
      <c r="F61" s="52">
        <f>F59+F60</f>
        <v>299.15999999999997</v>
      </c>
      <c r="G61" s="52">
        <f>G59+G60</f>
        <v>385.74</v>
      </c>
      <c r="H61" s="52">
        <f>H59+H60</f>
        <v>449.01</v>
      </c>
      <c r="I61" s="52">
        <f>I59+I60</f>
        <v>488.7</v>
      </c>
      <c r="J61" s="52">
        <f>J59+J60</f>
        <v>497.52</v>
      </c>
      <c r="K61" s="52">
        <f>K59+K60</f>
        <v>501.47999999999996</v>
      </c>
      <c r="L61" s="52">
        <f>L59+L60</f>
        <v>504.0</v>
      </c>
      <c r="M61" s="52">
        <f>M59+M60</f>
        <v>504.0</v>
      </c>
      <c r="N61" s="52">
        <f>N59+N60</f>
        <v>504.0</v>
      </c>
      <c r="O61" s="52">
        <f>O59+O60</f>
        <v>504.0</v>
      </c>
      <c r="P61" s="52">
        <f>P59+P60</f>
        <v>504.0</v>
      </c>
      <c r="Q61" s="52">
        <f>Q59+Q60</f>
        <v>504.0</v>
      </c>
      <c r="R61" s="52">
        <f>R59+R60</f>
        <v>239.39999999999998</v>
      </c>
      <c r="S61" s="52">
        <f>S59+S60</f>
        <v>120.06</v>
      </c>
      <c r="T61" s="52">
        <f>T59+T60</f>
        <v>49.373999999999995</v>
      </c>
      <c r="U61" s="52">
        <f>U59+U60</f>
        <v>20.424599999999998</v>
      </c>
      <c r="V61" s="52">
        <f>V59+V60</f>
        <v>8.507340000000003</v>
      </c>
      <c r="W61" s="52">
        <f>W59+W60</f>
        <v>3.5716860000000006</v>
      </c>
      <c r="X61" s="52">
        <f>X59+X60</f>
        <v>1.5130494000000003</v>
      </c>
      <c r="Y61" s="52">
        <f>Y59+Y60</f>
        <v>0.6474072600000002</v>
      </c>
      <c r="Z61" s="52">
        <f>Z59+Z60</f>
        <v>0.28005665400000007</v>
      </c>
    </row>
    <row r="62">
      <c r="A62" s="13" t="inlineStr">
        <is>
          <t>Commercial SG&amp;A</t>
        </is>
      </c>
      <c r="C62" s="52">
        <f>C12+C22+C32+C42+C52</f>
        <v>313.275</v>
      </c>
      <c r="D62" s="52">
        <f>D12+D22+D32+D42+D52</f>
        <v>540.3000000000001</v>
      </c>
      <c r="E62" s="52">
        <f>E12+E22+E32+E42+E52</f>
        <v>728.7875</v>
      </c>
      <c r="F62" s="52">
        <f>F12+F22+F32+F42+F52</f>
        <v>859.0124999999999</v>
      </c>
      <c r="G62" s="52">
        <f>G12+G22+G32+G42+G52</f>
        <v>994.53</v>
      </c>
      <c r="H62" s="52">
        <f>H12+H22+H32+H42+H52</f>
        <v>1101.87</v>
      </c>
      <c r="I62" s="52">
        <f>I12+I22+I32+I42+I52</f>
        <v>1138.3500000000001</v>
      </c>
      <c r="J62" s="52">
        <f>J12+J22+J32+J42+J52</f>
        <v>1138.05</v>
      </c>
      <c r="K62" s="52">
        <f>K12+K22+K32+K42+K52</f>
        <v>1147.95</v>
      </c>
      <c r="L62" s="52">
        <f>L12+L22+L32+L42+L52</f>
        <v>1154.25</v>
      </c>
      <c r="M62" s="52">
        <f>M12+M22+M32+M42+M52</f>
        <v>1154.25</v>
      </c>
      <c r="N62" s="52">
        <f>N12+N22+N32+N42+N52</f>
        <v>1154.25</v>
      </c>
      <c r="O62" s="52">
        <f>O12+O22+O32+O42+O52</f>
        <v>1154.25</v>
      </c>
      <c r="P62" s="52">
        <f>P12+P22+P32+P42+P52</f>
        <v>1154.25</v>
      </c>
      <c r="Q62" s="52">
        <f>Q12+Q22+Q32+Q42+Q52</f>
        <v>1154.25</v>
      </c>
      <c r="R62" s="52">
        <f>R12+R22+R32+R42+R52</f>
        <v>542.7</v>
      </c>
      <c r="S62" s="52">
        <f>S12+S22+S32+S42+S52</f>
        <v>275.58</v>
      </c>
      <c r="T62" s="52">
        <f>T12+T22+T32+T42+T52</f>
        <v>112.482</v>
      </c>
      <c r="U62" s="52">
        <f>U12+U22+U32+U42+U52</f>
        <v>46.1178</v>
      </c>
      <c r="V62" s="52">
        <f>V12+V22+V32+V42+V52</f>
        <v>19.00962</v>
      </c>
      <c r="W62" s="52">
        <f>W12+W22+W32+W42+W52</f>
        <v>7.885098000000001</v>
      </c>
      <c r="X62" s="52">
        <f>X12+X22+X32+X42+X52</f>
        <v>3.2946642000000006</v>
      </c>
      <c r="Y62" s="52">
        <f>Y12+Y22+Y32+Y42+Y52</f>
        <v>1.3881781800000004</v>
      </c>
      <c r="Z62" s="52">
        <f>Z12+Z22+Z32+Z42+Z52</f>
        <v>0.5904275220000003</v>
      </c>
    </row>
    <row r="63">
      <c r="A63" s="13" t="inlineStr">
        <is>
          <t>Corporate G&amp;A</t>
        </is>
      </c>
      <c r="C63" s="52">
        <f>IF(C$2&gt;Assumptions!$B$25,Assumptions!$B$22*C57,MAX(Assumptions!$B$19*(1+Assumptions!$B$21)^(C$2-2027)*Assumptions!$B$38,Assumptions!$B$22*C57))</f>
        <v>120.0</v>
      </c>
      <c r="D63" s="52">
        <f>IF(D$2&gt;Assumptions!$B$25,Assumptions!$B$22*D57,MAX(Assumptions!$B$19*(1+Assumptions!$B$21)^(D$2-2027)*Assumptions!$B$38,Assumptions!$B$22*D57))</f>
        <v>123.60000000000001</v>
      </c>
      <c r="E63" s="52">
        <f>IF(E$2&gt;Assumptions!$B$25,Assumptions!$B$22*E57,MAX(Assumptions!$B$19*(1+Assumptions!$B$21)^(E$2-2027)*Assumptions!$B$38,Assumptions!$B$22*E57))</f>
        <v>134.64000000000001</v>
      </c>
      <c r="F63" s="52">
        <f>IF(F$2&gt;Assumptions!$B$25,Assumptions!$B$22*F57,MAX(Assumptions!$B$19*(1+Assumptions!$B$21)^(F$2-2027)*Assumptions!$B$38,Assumptions!$B$22*F57))</f>
        <v>199.44</v>
      </c>
      <c r="G63" s="52">
        <f>IF(G$2&gt;Assumptions!$B$25,Assumptions!$B$22*G57,MAX(Assumptions!$B$19*(1+Assumptions!$B$21)^(G$2-2027)*Assumptions!$B$38,Assumptions!$B$22*G57))</f>
        <v>257.16</v>
      </c>
      <c r="H63" s="52">
        <f>IF(H$2&gt;Assumptions!$B$25,Assumptions!$B$22*H57,MAX(Assumptions!$B$19*(1+Assumptions!$B$21)^(H$2-2027)*Assumptions!$B$38,Assumptions!$B$22*H57))</f>
        <v>299.34000000000003</v>
      </c>
      <c r="I63" s="52">
        <f>IF(I$2&gt;Assumptions!$B$25,Assumptions!$B$22*I57,MAX(Assumptions!$B$19*(1+Assumptions!$B$21)^(I$2-2027)*Assumptions!$B$38,Assumptions!$B$22*I57))</f>
        <v>325.8</v>
      </c>
      <c r="J63" s="52">
        <f>IF(J$2&gt;Assumptions!$B$25,Assumptions!$B$22*J57,MAX(Assumptions!$B$19*(1+Assumptions!$B$21)^(J$2-2027)*Assumptions!$B$38,Assumptions!$B$22*J57))</f>
        <v>331.68</v>
      </c>
      <c r="K63" s="52">
        <f>IF(K$2&gt;Assumptions!$B$25,Assumptions!$B$22*K57,MAX(Assumptions!$B$19*(1+Assumptions!$B$21)^(K$2-2027)*Assumptions!$B$38,Assumptions!$B$22*K57))</f>
        <v>334.32</v>
      </c>
      <c r="L63" s="52">
        <f>IF(L$2&gt;Assumptions!$B$25,Assumptions!$B$22*L57,MAX(Assumptions!$B$19*(1+Assumptions!$B$21)^(L$2-2027)*Assumptions!$B$38,Assumptions!$B$22*L57))</f>
        <v>336.0</v>
      </c>
      <c r="M63" s="52">
        <f>IF(M$2&gt;Assumptions!$B$25,Assumptions!$B$22*M57,MAX(Assumptions!$B$19*(1+Assumptions!$B$21)^(M$2-2027)*Assumptions!$B$38,Assumptions!$B$22*M57))</f>
        <v>336.0</v>
      </c>
      <c r="N63" s="52">
        <f>IF(N$2&gt;Assumptions!$B$25,Assumptions!$B$22*N57,MAX(Assumptions!$B$19*(1+Assumptions!$B$21)^(N$2-2027)*Assumptions!$B$38,Assumptions!$B$22*N57))</f>
        <v>336.0</v>
      </c>
      <c r="O63" s="52">
        <f>IF(O$2&gt;Assumptions!$B$25,Assumptions!$B$22*O57,MAX(Assumptions!$B$19*(1+Assumptions!$B$21)^(O$2-2027)*Assumptions!$B$38,Assumptions!$B$22*O57))</f>
        <v>336.0</v>
      </c>
      <c r="P63" s="52">
        <f>IF(P$2&gt;Assumptions!$B$25,Assumptions!$B$22*P57,MAX(Assumptions!$B$19*(1+Assumptions!$B$21)^(P$2-2027)*Assumptions!$B$38,Assumptions!$B$22*P57))</f>
        <v>336.0</v>
      </c>
      <c r="Q63" s="52">
        <f>IF(Q$2&gt;Assumptions!$B$25,Assumptions!$B$22*Q57,MAX(Assumptions!$B$19*(1+Assumptions!$B$21)^(Q$2-2027)*Assumptions!$B$38,Assumptions!$B$22*Q57))</f>
        <v>336.0</v>
      </c>
      <c r="R63" s="52">
        <f>IF(R$2&gt;Assumptions!$B$25,Assumptions!$B$22*R57,MAX(Assumptions!$B$19*(1+Assumptions!$B$21)^(R$2-2027)*Assumptions!$B$38,Assumptions!$B$22*R57))</f>
        <v>186.95608999209182</v>
      </c>
      <c r="S63" s="52">
        <f>IF(S$2&gt;Assumptions!$B$25,Assumptions!$B$22*S57,MAX(Assumptions!$B$19*(1+Assumptions!$B$21)^(S$2-2027)*Assumptions!$B$38,Assumptions!$B$22*S57))</f>
        <v>80.04</v>
      </c>
      <c r="T63" s="52">
        <f>IF(T$2&gt;Assumptions!$B$25,Assumptions!$B$22*T57,MAX(Assumptions!$B$19*(1+Assumptions!$B$21)^(T$2-2027)*Assumptions!$B$38,Assumptions!$B$22*T57))</f>
        <v>32.916</v>
      </c>
      <c r="U63" s="52">
        <f>IF(U$2&gt;Assumptions!$B$25,Assumptions!$B$22*U57,MAX(Assumptions!$B$19*(1+Assumptions!$B$21)^(U$2-2027)*Assumptions!$B$38,Assumptions!$B$22*U57))</f>
        <v>13.616399999999999</v>
      </c>
      <c r="V63" s="52">
        <f>IF(V$2&gt;Assumptions!$B$25,Assumptions!$B$22*V57,MAX(Assumptions!$B$19*(1+Assumptions!$B$21)^(V$2-2027)*Assumptions!$B$38,Assumptions!$B$22*V57))</f>
        <v>5.671560000000002</v>
      </c>
      <c r="W63" s="52">
        <f>IF(W$2&gt;Assumptions!$B$25,Assumptions!$B$22*W57,MAX(Assumptions!$B$19*(1+Assumptions!$B$21)^(W$2-2027)*Assumptions!$B$38,Assumptions!$B$22*W57))</f>
        <v>2.3811240000000002</v>
      </c>
      <c r="X63" s="52">
        <f>IF(X$2&gt;Assumptions!$B$25,Assumptions!$B$22*X57,MAX(Assumptions!$B$19*(1+Assumptions!$B$21)^(X$2-2027)*Assumptions!$B$38,Assumptions!$B$22*X57))</f>
        <v>1.0086996000000001</v>
      </c>
      <c r="Y63" s="52">
        <f>IF(Y$2&gt;Assumptions!$B$25,Assumptions!$B$22*Y57,MAX(Assumptions!$B$19*(1+Assumptions!$B$21)^(Y$2-2027)*Assumptions!$B$38,Assumptions!$B$22*Y57))</f>
        <v>0.4316048400000001</v>
      </c>
      <c r="Z63" s="52">
        <f>IF(Z$2&gt;Assumptions!$B$25,Assumptions!$B$22*Z57,MAX(Assumptions!$B$19*(1+Assumptions!$B$21)^(Z$2-2027)*Assumptions!$B$38,Assumptions!$B$22*Z57))</f>
        <v>0.18670443600000006</v>
      </c>
    </row>
    <row r="64">
      <c r="A64" s="13" t="inlineStr">
        <is>
          <t>Total G&amp;A incl. SG&amp;A</t>
        </is>
      </c>
      <c r="C64" s="52">
        <f>C62+C63</f>
        <v>433.275</v>
      </c>
      <c r="D64" s="52">
        <f>D62+D63</f>
        <v>663.9000000000001</v>
      </c>
      <c r="E64" s="52">
        <f>E62+E63</f>
        <v>863.4275</v>
      </c>
      <c r="F64" s="52">
        <f>F62+F63</f>
        <v>1058.4524999999999</v>
      </c>
      <c r="G64" s="52">
        <f>G62+G63</f>
        <v>1251.69</v>
      </c>
      <c r="H64" s="52">
        <f>H62+H63</f>
        <v>1401.21</v>
      </c>
      <c r="I64" s="52">
        <f>I62+I63</f>
        <v>1464.15</v>
      </c>
      <c r="J64" s="52">
        <f>J62+J63</f>
        <v>1469.73</v>
      </c>
      <c r="K64" s="52">
        <f>K62+K63</f>
        <v>1482.27</v>
      </c>
      <c r="L64" s="52">
        <f>L62+L63</f>
        <v>1490.25</v>
      </c>
      <c r="M64" s="52">
        <f>M62+M63</f>
        <v>1490.25</v>
      </c>
      <c r="N64" s="52">
        <f>N62+N63</f>
        <v>1490.25</v>
      </c>
      <c r="O64" s="52">
        <f>O62+O63</f>
        <v>1490.25</v>
      </c>
      <c r="P64" s="52">
        <f>P62+P63</f>
        <v>1490.25</v>
      </c>
      <c r="Q64" s="52">
        <f>Q62+Q63</f>
        <v>1490.25</v>
      </c>
      <c r="R64" s="52">
        <f>R62+R63</f>
        <v>729.6560899920919</v>
      </c>
      <c r="S64" s="52">
        <f>S62+S63</f>
        <v>355.62</v>
      </c>
      <c r="T64" s="52">
        <f>T62+T63</f>
        <v>145.398</v>
      </c>
      <c r="U64" s="52">
        <f>U62+U63</f>
        <v>59.7342</v>
      </c>
      <c r="V64" s="52">
        <f>V62+V63</f>
        <v>24.681180000000005</v>
      </c>
      <c r="W64" s="52">
        <f>W62+W63</f>
        <v>10.266222</v>
      </c>
      <c r="X64" s="52">
        <f>X62+X63</f>
        <v>4.3033638000000005</v>
      </c>
      <c r="Y64" s="52">
        <f>Y62+Y63</f>
        <v>1.8197830200000005</v>
      </c>
      <c r="Z64" s="52">
        <f>Z62+Z63</f>
        <v>0.7771319580000003</v>
      </c>
    </row>
    <row r="65">
      <c r="A65" s="23" t="inlineStr">
        <is>
          <t>Operating income (EBIT)</t>
        </is>
      </c>
      <c r="C65" s="64">
        <f>C57-C58-C61-C64</f>
        <v>-280.715</v>
      </c>
      <c r="D65" s="64">
        <f>D57-D58-D61-D64</f>
        <v>-29.47000000000014</v>
      </c>
      <c r="E65" s="64">
        <f>E57-E58-E61-E64</f>
        <v>528.9424999999999</v>
      </c>
      <c r="F65" s="64">
        <f>F57-F58-F61-F64</f>
        <v>1032.5175000000004</v>
      </c>
      <c r="G65" s="64">
        <f>G57-G58-G61-G64</f>
        <v>1443.5399999999995</v>
      </c>
      <c r="H65" s="64">
        <f>H57-H58-H61-H64</f>
        <v>1735.1099999999997</v>
      </c>
      <c r="I65" s="64">
        <f>I57-I58-I61-I64</f>
        <v>1948.65</v>
      </c>
      <c r="J65" s="64">
        <f>J57-J58-J61-J64</f>
        <v>2003.9099999999999</v>
      </c>
      <c r="K65" s="64">
        <f>K57-K58-K61-K64</f>
        <v>2019.0900000000001</v>
      </c>
      <c r="L65" s="64">
        <f>L57-L58-L61-L64</f>
        <v>2028.75</v>
      </c>
      <c r="M65" s="64">
        <f>M57-M58-M61-M64</f>
        <v>2028.75</v>
      </c>
      <c r="N65" s="64">
        <f>N57-N58-N61-N64</f>
        <v>2028.75</v>
      </c>
      <c r="O65" s="64">
        <f>O57-O58-O61-O64</f>
        <v>2028.75</v>
      </c>
      <c r="P65" s="64">
        <f>P57-P58-P61-P64</f>
        <v>2028.75</v>
      </c>
      <c r="Q65" s="64">
        <f>Q57-Q58-Q61-Q64</f>
        <v>2028.75</v>
      </c>
      <c r="R65" s="64">
        <f>R57-R58-R61-R64</f>
        <v>937.1439100079083</v>
      </c>
      <c r="S65" s="64">
        <f>S57-S58-S61-S64</f>
        <v>480.30000000000007</v>
      </c>
      <c r="T65" s="64">
        <f>T57-T58-T61-T64</f>
        <v>197.96999999999994</v>
      </c>
      <c r="U65" s="64">
        <f>U57-U58-U61-U64</f>
        <v>82.11299999999999</v>
      </c>
      <c r="V65" s="64">
        <f>V57-V58-V61-V64</f>
        <v>34.30770000000002</v>
      </c>
      <c r="W65" s="64">
        <f>W57-W58-W61-W64</f>
        <v>14.454330000000004</v>
      </c>
      <c r="X65" s="64">
        <f>X57-X58-X61-X64</f>
        <v>6.147357000000002</v>
      </c>
      <c r="Y65" s="64">
        <f>Y57-Y58-Y61-Y64</f>
        <v>2.6417553000000003</v>
      </c>
      <c r="Z65" s="64">
        <f>Z57-Z58-Z61-Z64</f>
        <v>1.14810837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style="9" min="1" max="1"/>
    <col width="12" customWidth="1" style="9" min="2" max="2"/>
    <col width="12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</cols>
  <sheetData>
    <row r="1">
      <c r="A1" s="22" t="inlineStr">
        <is>
          <t>PRAX — risk-adjusted NPV (rNPV), $mm except per share</t>
        </is>
      </c>
    </row>
    <row r="3">
      <c r="A3" s="13" t="inlineStr">
        <is>
          <t>Scenario</t>
        </is>
      </c>
      <c r="B3" s="65" t="str">
        <f>Assumptions!$C$4</f>
        <v>Base</v>
      </c>
    </row>
    <row r="4">
      <c r="A4" s="13" t="inlineStr">
        <is>
          <t>Valuation date</t>
        </is>
      </c>
      <c r="B4" s="66">
        <f>Assumptions!$B$13</f>
        <v>46311</v>
      </c>
    </row>
    <row r="5">
      <c r="A5" s="13" t="inlineStr">
        <is>
          <t>Discount rate</t>
        </is>
      </c>
      <c r="B5" s="67">
        <f>Assumptions!$B$14</f>
        <v>0.11</v>
      </c>
    </row>
    <row r="7">
      <c r="A7" s="28" t="inlineStr">
        <is>
          <t>Period</t>
        </is>
      </c>
      <c r="B7" s="68" t="inlineStr"/>
      <c r="C7" s="69" t="inlineStr">
        <is>
          <t>2H 2026</t>
        </is>
      </c>
      <c r="D7" s="28" t="n">
        <v>2027</v>
      </c>
      <c r="E7" s="28" t="n">
        <v>2028</v>
      </c>
      <c r="F7" s="28" t="n">
        <v>2029</v>
      </c>
      <c r="G7" s="28" t="n">
        <v>2030</v>
      </c>
      <c r="H7" s="28" t="n">
        <v>2031</v>
      </c>
      <c r="I7" s="28" t="n">
        <v>2032</v>
      </c>
      <c r="J7" s="28" t="n">
        <v>2033</v>
      </c>
      <c r="K7" s="28" t="n">
        <v>2034</v>
      </c>
      <c r="L7" s="28" t="n">
        <v>2035</v>
      </c>
      <c r="M7" s="28" t="n">
        <v>2036</v>
      </c>
      <c r="N7" s="28" t="n">
        <v>2037</v>
      </c>
      <c r="O7" s="28" t="n">
        <v>2038</v>
      </c>
      <c r="P7" s="28" t="n">
        <v>2039</v>
      </c>
      <c r="Q7" s="28" t="n">
        <v>2040</v>
      </c>
      <c r="R7" s="28" t="n">
        <v>2041</v>
      </c>
      <c r="S7" s="28" t="n">
        <v>2042</v>
      </c>
      <c r="T7" s="28" t="n">
        <v>2043</v>
      </c>
      <c r="U7" s="28" t="n">
        <v>2044</v>
      </c>
      <c r="V7" s="28" t="n">
        <v>2045</v>
      </c>
      <c r="W7" s="28" t="n">
        <v>2046</v>
      </c>
      <c r="X7" s="28" t="n">
        <v>2047</v>
      </c>
      <c r="Y7" s="28" t="n">
        <v>2048</v>
      </c>
      <c r="Z7" s="28" t="n">
        <v>2049</v>
      </c>
      <c r="AA7" s="28" t="n">
        <v>2050</v>
      </c>
    </row>
    <row r="8">
      <c r="A8" s="13" t="inlineStr">
        <is>
          <t>Revenue, risk-adjusted</t>
        </is>
      </c>
      <c r="C8" s="52">
        <f>SUM('Quarterly Model'!H2:I2)</f>
        <v>0.0</v>
      </c>
      <c r="D8" s="70">
        <f>'Yearly Model'!H2</f>
        <v>471.0</v>
      </c>
      <c r="E8" s="70">
        <f>'Yearly Model'!I2</f>
        <v>925.5</v>
      </c>
      <c r="F8" s="70">
        <f>'Yearly Model'!J2</f>
        <v>1683.0</v>
      </c>
      <c r="G8" s="70">
        <f>'Yearly Model'!K2</f>
        <v>2493.0</v>
      </c>
      <c r="H8" s="70">
        <f>'Yearly Model'!L2</f>
        <v>3214.5</v>
      </c>
      <c r="I8" s="70">
        <f>'Yearly Model'!M2</f>
        <v>3741.75</v>
      </c>
      <c r="J8" s="70">
        <f>'Yearly Model'!N2</f>
        <v>4072.5</v>
      </c>
      <c r="K8" s="70">
        <f>'Yearly Model'!O2</f>
        <v>4146.0</v>
      </c>
      <c r="L8" s="70">
        <f>'Yearly Model'!P2</f>
        <v>4179.0</v>
      </c>
      <c r="M8" s="70">
        <f>'Yearly Model'!Q2</f>
        <v>4200.0</v>
      </c>
      <c r="N8" s="70">
        <f>'Yearly Model'!R2</f>
        <v>4200.0</v>
      </c>
      <c r="O8" s="70">
        <f>'Yearly Model'!S2</f>
        <v>4200.0</v>
      </c>
      <c r="P8" s="70">
        <f>'Yearly Model'!T2</f>
        <v>4200.0</v>
      </c>
      <c r="Q8" s="70">
        <f>'Yearly Model'!U2</f>
        <v>4200.0</v>
      </c>
      <c r="R8" s="70">
        <f>'Yearly Model'!V2</f>
        <v>4200.0</v>
      </c>
      <c r="S8" s="70">
        <f>'Yearly Model'!W2</f>
        <v>1995.0</v>
      </c>
      <c r="T8" s="70">
        <f>'Yearly Model'!X2</f>
        <v>1000.5</v>
      </c>
      <c r="U8" s="70">
        <f>'Yearly Model'!Y2</f>
        <v>411.45</v>
      </c>
      <c r="V8" s="70">
        <f>'Yearly Model'!Z2</f>
        <v>170.20499999999998</v>
      </c>
      <c r="W8" s="70">
        <f>'Yearly Model'!AA2</f>
        <v>70.89450000000002</v>
      </c>
      <c r="X8" s="70">
        <f>'Yearly Model'!AB2</f>
        <v>29.764050000000005</v>
      </c>
      <c r="Y8" s="70">
        <f>'Yearly Model'!AC2</f>
        <v>12.608745000000003</v>
      </c>
      <c r="Z8" s="70">
        <f>'Yearly Model'!AD2</f>
        <v>5.395060500000001</v>
      </c>
      <c r="AA8" s="70">
        <f>'Yearly Model'!AE2</f>
        <v>2.3338054500000007</v>
      </c>
    </row>
    <row r="9">
      <c r="A9" s="13" t="inlineStr">
        <is>
          <t>Operating income (EBIT)</t>
        </is>
      </c>
      <c r="C9" s="52">
        <f>SUM('Quarterly Model'!H8:I8)</f>
        <v>-217.0</v>
      </c>
      <c r="D9" s="70">
        <f>'Yearly Model'!H8</f>
        <v>-280.715</v>
      </c>
      <c r="E9" s="70">
        <f>'Yearly Model'!I8</f>
        <v>-29.47000000000014</v>
      </c>
      <c r="F9" s="70">
        <f>'Yearly Model'!J8</f>
        <v>528.9424999999999</v>
      </c>
      <c r="G9" s="70">
        <f>'Yearly Model'!K8</f>
        <v>1032.5175000000004</v>
      </c>
      <c r="H9" s="70">
        <f>'Yearly Model'!L8</f>
        <v>1443.5399999999997</v>
      </c>
      <c r="I9" s="70">
        <f>'Yearly Model'!M8</f>
        <v>1735.11</v>
      </c>
      <c r="J9" s="70">
        <f>'Yearly Model'!N8</f>
        <v>1948.6499999999999</v>
      </c>
      <c r="K9" s="70">
        <f>'Yearly Model'!O8</f>
        <v>2003.9099999999999</v>
      </c>
      <c r="L9" s="70">
        <f>'Yearly Model'!P8</f>
        <v>2019.0900000000001</v>
      </c>
      <c r="M9" s="70">
        <f>'Yearly Model'!Q8</f>
        <v>2028.75</v>
      </c>
      <c r="N9" s="70">
        <f>'Yearly Model'!R8</f>
        <v>2028.75</v>
      </c>
      <c r="O9" s="70">
        <f>'Yearly Model'!S8</f>
        <v>2028.75</v>
      </c>
      <c r="P9" s="70">
        <f>'Yearly Model'!T8</f>
        <v>2028.75</v>
      </c>
      <c r="Q9" s="70">
        <f>'Yearly Model'!U8</f>
        <v>2028.75</v>
      </c>
      <c r="R9" s="70">
        <f>'Yearly Model'!V8</f>
        <v>2028.75</v>
      </c>
      <c r="S9" s="70">
        <f>'Yearly Model'!W8</f>
        <v>937.1439100079082</v>
      </c>
      <c r="T9" s="70">
        <f>'Yearly Model'!X8</f>
        <v>480.3</v>
      </c>
      <c r="U9" s="70">
        <f>'Yearly Model'!Y8</f>
        <v>197.96999999999997</v>
      </c>
      <c r="V9" s="70">
        <f>'Yearly Model'!Z8</f>
        <v>82.11299999999999</v>
      </c>
      <c r="W9" s="70">
        <f>'Yearly Model'!AA8</f>
        <v>34.30770000000001</v>
      </c>
      <c r="X9" s="70">
        <f>'Yearly Model'!AB8</f>
        <v>14.454330000000002</v>
      </c>
      <c r="Y9" s="70">
        <f>'Yearly Model'!AC8</f>
        <v>6.147357000000001</v>
      </c>
      <c r="Z9" s="70">
        <f>'Yearly Model'!AD8</f>
        <v>2.6417553000000007</v>
      </c>
      <c r="AA9" s="70">
        <f>'Yearly Model'!AE8</f>
        <v>1.14810837</v>
      </c>
    </row>
    <row r="10">
      <c r="A10" s="13" t="inlineStr">
        <is>
          <t>Taxes on EBIT (after tax-loss pool)</t>
        </is>
      </c>
      <c r="C10" s="52" t="n">
        <v>0</v>
      </c>
      <c r="D10" s="52">
        <f>IF(D9&gt;0,MAX(0,D9-'Yearly Model'!G21)*Assumptions!$B$15,0)</f>
        <v>0</v>
      </c>
      <c r="E10" s="52">
        <f>IF(E9&gt;0,MAX(0,E9-'Yearly Model'!H21)*Assumptions!$B$15,0)</f>
        <v>0</v>
      </c>
      <c r="F10" s="52">
        <f>IF(F9&gt;0,MAX(0,F9-'Yearly Model'!I21)*Assumptions!$B$15,0)</f>
        <v>0.0</v>
      </c>
      <c r="G10" s="52">
        <f>IF(G9&gt;0,MAX(0,G9-'Yearly Model'!J21)*Assumptions!$B$15,0)</f>
        <v>0.0</v>
      </c>
      <c r="H10" s="52">
        <f>IF(H9&gt;0,MAX(0,H9-'Yearly Model'!K21)*Assumptions!$B$15,0)</f>
        <v>272.87754396912595</v>
      </c>
      <c r="I10" s="52">
        <f>IF(I9&gt;0,MAX(0,I9-'Yearly Model'!L21)*Assumptions!$B$15,0)</f>
        <v>364.37309999999997</v>
      </c>
      <c r="J10" s="52">
        <f>IF(J9&gt;0,MAX(0,J9-'Yearly Model'!M21)*Assumptions!$B$15,0)</f>
        <v>409.21649999999994</v>
      </c>
      <c r="K10" s="52">
        <f>IF(K9&gt;0,MAX(0,K9-'Yearly Model'!N21)*Assumptions!$B$15,0)</f>
        <v>420.82109999999994</v>
      </c>
      <c r="L10" s="52">
        <f>IF(L9&gt;0,MAX(0,L9-'Yearly Model'!O21)*Assumptions!$B$15,0)</f>
        <v>424.00890000000004</v>
      </c>
      <c r="M10" s="52">
        <f>IF(M9&gt;0,MAX(0,M9-'Yearly Model'!P21)*Assumptions!$B$15,0)</f>
        <v>426.03749999999997</v>
      </c>
      <c r="N10" s="52">
        <f>IF(N9&gt;0,MAX(0,N9-'Yearly Model'!Q21)*Assumptions!$B$15,0)</f>
        <v>426.03749999999997</v>
      </c>
      <c r="O10" s="52">
        <f>IF(O9&gt;0,MAX(0,O9-'Yearly Model'!R21)*Assumptions!$B$15,0)</f>
        <v>426.03749999999997</v>
      </c>
      <c r="P10" s="52">
        <f>IF(P9&gt;0,MAX(0,P9-'Yearly Model'!S21)*Assumptions!$B$15,0)</f>
        <v>426.03749999999997</v>
      </c>
      <c r="Q10" s="52">
        <f>IF(Q9&gt;0,MAX(0,Q9-'Yearly Model'!T21)*Assumptions!$B$15,0)</f>
        <v>426.03749999999997</v>
      </c>
      <c r="R10" s="52">
        <f>IF(R9&gt;0,MAX(0,R9-'Yearly Model'!U21)*Assumptions!$B$15,0)</f>
        <v>426.03749999999997</v>
      </c>
      <c r="S10" s="52">
        <f>IF(S9&gt;0,MAX(0,S9-'Yearly Model'!V21)*Assumptions!$B$15,0)</f>
        <v>196.8002211016607</v>
      </c>
      <c r="T10" s="52">
        <f>IF(T9&gt;0,MAX(0,T9-'Yearly Model'!W21)*Assumptions!$B$15,0)</f>
        <v>100.863</v>
      </c>
      <c r="U10" s="52">
        <f>IF(U9&gt;0,MAX(0,U9-'Yearly Model'!X21)*Assumptions!$B$15,0)</f>
        <v>41.573699999999995</v>
      </c>
      <c r="V10" s="52">
        <f>IF(V9&gt;0,MAX(0,V9-'Yearly Model'!Y21)*Assumptions!$B$15,0)</f>
        <v>17.243729999999996</v>
      </c>
      <c r="W10" s="52">
        <f>IF(W9&gt;0,MAX(0,W9-'Yearly Model'!Z21)*Assumptions!$B$15,0)</f>
        <v>7.2046170000000025</v>
      </c>
      <c r="X10" s="52">
        <f>IF(X9&gt;0,MAX(0,X9-'Yearly Model'!AA21)*Assumptions!$B$15,0)</f>
        <v>3.0354093000000004</v>
      </c>
      <c r="Y10" s="52">
        <f>IF(Y9&gt;0,MAX(0,Y9-'Yearly Model'!AB21)*Assumptions!$B$15,0)</f>
        <v>1.2909449700000002</v>
      </c>
      <c r="Z10" s="52">
        <f>IF(Z9&gt;0,MAX(0,Z9-'Yearly Model'!AC21)*Assumptions!$B$15,0)</f>
        <v>0.5547686130000001</v>
      </c>
      <c r="AA10" s="52">
        <f>IF(AA9&gt;0,MAX(0,AA9-'Yearly Model'!AD21)*Assumptions!$B$15,0)</f>
        <v>0.2411027577</v>
      </c>
    </row>
    <row r="11">
      <c r="A11" s="23" t="inlineStr">
        <is>
          <t>Unlevered free cash flow</t>
        </is>
      </c>
      <c r="C11" s="56">
        <f>C9-C10</f>
        <v>-217.0</v>
      </c>
      <c r="D11" s="56">
        <f>D9-D10</f>
        <v>-280.715</v>
      </c>
      <c r="E11" s="56">
        <f>E9-E10</f>
        <v>-29.47000000000014</v>
      </c>
      <c r="F11" s="56">
        <f>F9-F10</f>
        <v>528.9424999999999</v>
      </c>
      <c r="G11" s="56">
        <f>G9-G10</f>
        <v>1032.5175000000004</v>
      </c>
      <c r="H11" s="56">
        <f>H9-H10</f>
        <v>1170.6624560308737</v>
      </c>
      <c r="I11" s="56">
        <f>I9-I10</f>
        <v>1370.7368999999999</v>
      </c>
      <c r="J11" s="56">
        <f>J9-J10</f>
        <v>1539.4334999999999</v>
      </c>
      <c r="K11" s="56">
        <f>K9-K10</f>
        <v>1583.0889</v>
      </c>
      <c r="L11" s="56">
        <f>L9-L10</f>
        <v>1595.0811</v>
      </c>
      <c r="M11" s="56">
        <f>M9-M10</f>
        <v>1602.7125</v>
      </c>
      <c r="N11" s="56">
        <f>N9-N10</f>
        <v>1602.7125</v>
      </c>
      <c r="O11" s="56">
        <f>O9-O10</f>
        <v>1602.7125</v>
      </c>
      <c r="P11" s="56">
        <f>P9-P10</f>
        <v>1602.7125</v>
      </c>
      <c r="Q11" s="56">
        <f>Q9-Q10</f>
        <v>1602.7125</v>
      </c>
      <c r="R11" s="56">
        <f>R9-R10</f>
        <v>1602.7125</v>
      </c>
      <c r="S11" s="56">
        <f>S9-S10</f>
        <v>740.3436889062475</v>
      </c>
      <c r="T11" s="56">
        <f>T9-T10</f>
        <v>379.437</v>
      </c>
      <c r="U11" s="56">
        <f>U9-U10</f>
        <v>156.39629999999997</v>
      </c>
      <c r="V11" s="56">
        <f>V9-V10</f>
        <v>64.86926999999999</v>
      </c>
      <c r="W11" s="56">
        <f>W9-W10</f>
        <v>27.10308300000001</v>
      </c>
      <c r="X11" s="56">
        <f>X9-X10</f>
        <v>11.418920700000001</v>
      </c>
      <c r="Y11" s="56">
        <f>Y9-Y10</f>
        <v>4.856412030000001</v>
      </c>
      <c r="Z11" s="56">
        <f>Z9-Z10</f>
        <v>2.0869866870000005</v>
      </c>
      <c r="AA11" s="56">
        <f>AA9-AA10</f>
        <v>0.9070056123000001</v>
      </c>
    </row>
    <row r="12">
      <c r="A12" s="13" t="inlineStr">
        <is>
          <t>Cash-flow date (mid-period)</t>
        </is>
      </c>
      <c r="C12" s="71">
        <f>DATE(2026,10,1)</f>
        <v>46296</v>
      </c>
      <c r="D12" s="71">
        <f>DATE(D7,7,1)</f>
        <v>46569</v>
      </c>
      <c r="E12" s="71">
        <f>DATE(E7,7,1)</f>
        <v>46935</v>
      </c>
      <c r="F12" s="71">
        <f>DATE(F7,7,1)</f>
        <v>47300</v>
      </c>
      <c r="G12" s="71">
        <f>DATE(G7,7,1)</f>
        <v>47665</v>
      </c>
      <c r="H12" s="71">
        <f>DATE(H7,7,1)</f>
        <v>48030</v>
      </c>
      <c r="I12" s="71">
        <f>DATE(I7,7,1)</f>
        <v>48396</v>
      </c>
      <c r="J12" s="71">
        <f>DATE(J7,7,1)</f>
        <v>48761</v>
      </c>
      <c r="K12" s="71">
        <f>DATE(K7,7,1)</f>
        <v>49126</v>
      </c>
      <c r="L12" s="71">
        <f>DATE(L7,7,1)</f>
        <v>49491</v>
      </c>
      <c r="M12" s="71">
        <f>DATE(M7,7,1)</f>
        <v>49857</v>
      </c>
      <c r="N12" s="71">
        <f>DATE(N7,7,1)</f>
        <v>50222</v>
      </c>
      <c r="O12" s="71">
        <f>DATE(O7,7,1)</f>
        <v>50587</v>
      </c>
      <c r="P12" s="71">
        <f>DATE(P7,7,1)</f>
        <v>50952</v>
      </c>
      <c r="Q12" s="71">
        <f>DATE(Q7,7,1)</f>
        <v>51318</v>
      </c>
      <c r="R12" s="71">
        <f>DATE(R7,7,1)</f>
        <v>51683</v>
      </c>
      <c r="S12" s="71">
        <f>DATE(S7,7,1)</f>
        <v>52048</v>
      </c>
      <c r="T12" s="71">
        <f>DATE(T7,7,1)</f>
        <v>52413</v>
      </c>
      <c r="U12" s="71">
        <f>DATE(U7,7,1)</f>
        <v>52779</v>
      </c>
      <c r="V12" s="71">
        <f>DATE(V7,7,1)</f>
        <v>53144</v>
      </c>
      <c r="W12" s="71">
        <f>DATE(W7,7,1)</f>
        <v>53509</v>
      </c>
      <c r="X12" s="71">
        <f>DATE(X7,7,1)</f>
        <v>53874</v>
      </c>
      <c r="Y12" s="71">
        <f>DATE(Y7,7,1)</f>
        <v>54240</v>
      </c>
      <c r="Z12" s="71">
        <f>DATE(Z7,7,1)</f>
        <v>54605</v>
      </c>
      <c r="AA12" s="71">
        <f>DATE(AA7,7,1)</f>
        <v>54970</v>
      </c>
    </row>
    <row r="13">
      <c r="A13" s="13" t="inlineStr">
        <is>
          <t>Years from valuation date</t>
        </is>
      </c>
      <c r="C13" s="11">
        <f>MAX(0,(C12-$B$4)/365.25)</f>
        <v>0</v>
      </c>
      <c r="D13" s="11">
        <f>MAX(0,(D12-$B$4)/365.25)</f>
        <v>0.7063655030800822</v>
      </c>
      <c r="E13" s="11">
        <f>MAX(0,(E12-$B$4)/365.25)</f>
        <v>1.7084188911704312</v>
      </c>
      <c r="F13" s="11">
        <f>MAX(0,(F12-$B$4)/365.25)</f>
        <v>2.707734428473648</v>
      </c>
      <c r="G13" s="11">
        <f>MAX(0,(G12-$B$4)/365.25)</f>
        <v>3.707049965776865</v>
      </c>
      <c r="H13" s="11">
        <f>MAX(0,(H12-$B$4)/365.25)</f>
        <v>4.706365503080082</v>
      </c>
      <c r="I13" s="11">
        <f>MAX(0,(I12-$B$4)/365.25)</f>
        <v>5.708418891170431</v>
      </c>
      <c r="J13" s="11">
        <f>MAX(0,(J12-$B$4)/365.25)</f>
        <v>6.707734428473648</v>
      </c>
      <c r="K13" s="11">
        <f>MAX(0,(K12-$B$4)/365.25)</f>
        <v>7.707049965776865</v>
      </c>
      <c r="L13" s="11">
        <f>MAX(0,(L12-$B$4)/365.25)</f>
        <v>8.706365503080082</v>
      </c>
      <c r="M13" s="11">
        <f>MAX(0,(M12-$B$4)/365.25)</f>
        <v>9.708418891170432</v>
      </c>
      <c r="N13" s="11">
        <f>MAX(0,(N12-$B$4)/365.25)</f>
        <v>10.707734428473648</v>
      </c>
      <c r="O13" s="11">
        <f>MAX(0,(O12-$B$4)/365.25)</f>
        <v>11.707049965776864</v>
      </c>
      <c r="P13" s="11">
        <f>MAX(0,(P12-$B$4)/365.25)</f>
        <v>12.706365503080082</v>
      </c>
      <c r="Q13" s="11">
        <f>MAX(0,(Q12-$B$4)/365.25)</f>
        <v>13.708418891170432</v>
      </c>
      <c r="R13" s="11">
        <f>MAX(0,(R12-$B$4)/365.25)</f>
        <v>14.707734428473648</v>
      </c>
      <c r="S13" s="11">
        <f>MAX(0,(S12-$B$4)/365.25)</f>
        <v>15.707049965776864</v>
      </c>
      <c r="T13" s="11">
        <f>MAX(0,(T12-$B$4)/365.25)</f>
        <v>16.706365503080082</v>
      </c>
      <c r="U13" s="11">
        <f>MAX(0,(U12-$B$4)/365.25)</f>
        <v>17.70841889117043</v>
      </c>
      <c r="V13" s="11">
        <f>MAX(0,(V12-$B$4)/365.25)</f>
        <v>18.70773442847365</v>
      </c>
      <c r="W13" s="11">
        <f>MAX(0,(W12-$B$4)/365.25)</f>
        <v>19.707049965776864</v>
      </c>
      <c r="X13" s="11">
        <f>MAX(0,(X12-$B$4)/365.25)</f>
        <v>20.706365503080082</v>
      </c>
      <c r="Y13" s="11">
        <f>MAX(0,(Y12-$B$4)/365.25)</f>
        <v>21.70841889117043</v>
      </c>
      <c r="Z13" s="11">
        <f>MAX(0,(Z12-$B$4)/365.25)</f>
        <v>22.70773442847365</v>
      </c>
      <c r="AA13" s="11">
        <f>MAX(0,(AA12-$B$4)/365.25)</f>
        <v>23.707049965776864</v>
      </c>
    </row>
    <row r="14">
      <c r="A14" s="13" t="inlineStr">
        <is>
          <t>Discount factor</t>
        </is>
      </c>
      <c r="C14" s="72">
        <f>1/(1+$B$5)^C13</f>
        <v>1.0</v>
      </c>
      <c r="D14" s="72">
        <f>1/(1+$B$5)^D13</f>
        <v>0.9289351816972986</v>
      </c>
      <c r="E14" s="72">
        <f>1/(1+$B$5)^E13</f>
        <v>0.8366992252310619</v>
      </c>
      <c r="F14" s="72">
        <f>1/(1+$B$5)^F13</f>
        <v>0.7538369308478127</v>
      </c>
      <c r="G14" s="72">
        <f>1/(1+$B$5)^G13</f>
        <v>0.679180882656031</v>
      </c>
      <c r="H14" s="72">
        <f>1/(1+$B$5)^H13</f>
        <v>0.6119183771570241</v>
      </c>
      <c r="I14" s="72">
        <f>1/(1+$B$5)^I13</f>
        <v>0.5511596957028242</v>
      </c>
      <c r="J14" s="72">
        <f>1/(1+$B$5)^J13</f>
        <v>0.49657573580385667</v>
      </c>
      <c r="K14" s="72">
        <f>1/(1+$B$5)^K13</f>
        <v>0.4473974844526683</v>
      </c>
      <c r="L14" s="72">
        <f>1/(1+$B$5)^L13</f>
        <v>0.40308958868187406</v>
      </c>
      <c r="M14" s="72">
        <f>1/(1+$B$5)^M13</f>
        <v>0.3630659632597832</v>
      </c>
      <c r="N14" s="72">
        <f>1/(1+$B$5)^N13</f>
        <v>0.32710981818284474</v>
      </c>
      <c r="O14" s="72">
        <f>1/(1+$B$5)^O13</f>
        <v>0.29471458076352874</v>
      </c>
      <c r="P14" s="72">
        <f>1/(1+$B$5)^P13</f>
        <v>0.2655275974201183</v>
      </c>
      <c r="Q14" s="72">
        <f>1/(1+$B$5)^Q13</f>
        <v>0.2391627956570098</v>
      </c>
      <c r="R14" s="72">
        <f>1/(1+$B$5)^R13</f>
        <v>0.21547736918397917</v>
      </c>
      <c r="S14" s="72">
        <f>1/(1+$B$5)^S13</f>
        <v>0.1941376228810946</v>
      </c>
      <c r="T14" s="72">
        <f>1/(1+$B$5)^T13</f>
        <v>0.17491125291093593</v>
      </c>
      <c r="U14" s="72">
        <f>1/(1+$B$5)^U13</f>
        <v>0.15754394136238364</v>
      </c>
      <c r="V14" s="72">
        <f>1/(1+$B$5)^V13</f>
        <v>0.14194161730876437</v>
      </c>
      <c r="W14" s="72">
        <f>1/(1+$B$5)^W13</f>
        <v>0.12788446543865808</v>
      </c>
      <c r="X14" s="72">
        <f>1/(1+$B$5)^X13</f>
        <v>0.11521946001894331</v>
      </c>
      <c r="Y14" s="72">
        <f>1/(1+$B$5)^Y13</f>
        <v>0.10377907396428576</v>
      </c>
      <c r="Z14" s="72">
        <f>1/(1+$B$5)^Z13</f>
        <v>0.09350133984151916</v>
      </c>
      <c r="AA14" s="72">
        <f>1/(1+$B$5)^AA13</f>
        <v>0.08424145849641984</v>
      </c>
    </row>
    <row r="15">
      <c r="A15" s="23" t="inlineStr">
        <is>
          <t>PV of free cash flow</t>
        </is>
      </c>
      <c r="C15" s="56">
        <f>C11*C14</f>
        <v>-217.0</v>
      </c>
      <c r="D15" s="56">
        <f>D11*D14</f>
        <v>-260.7660395301572</v>
      </c>
      <c r="E15" s="56">
        <f>E11*E14</f>
        <v>-24.65752616755951</v>
      </c>
      <c r="F15" s="56">
        <f>F11*F14</f>
        <v>398.73639079496905</v>
      </c>
      <c r="G15" s="56">
        <f>G11*G14</f>
        <v>701.2661470077988</v>
      </c>
      <c r="H15" s="56">
        <f>H11*H14</f>
        <v>716.3498702930684</v>
      </c>
      <c r="I15" s="56">
        <f>I11*I14</f>
        <v>755.4949326926325</v>
      </c>
      <c r="J15" s="56">
        <f>J11*J14</f>
        <v>764.4453229836063</v>
      </c>
      <c r="K15" s="56">
        <f>K11*K14</f>
        <v>708.2699915249417</v>
      </c>
      <c r="L15" s="56">
        <f>L11*L14</f>
        <v>642.9605845132313</v>
      </c>
      <c r="M15" s="56">
        <f>M11*M14</f>
        <v>581.8903576409953</v>
      </c>
      <c r="N15" s="56">
        <f>N11*N14</f>
        <v>524.2629944743726</v>
      </c>
      <c r="O15" s="56">
        <f>O11*O14</f>
        <v>472.34274252196707</v>
      </c>
      <c r="P15" s="56">
        <f>P11*P14</f>
        <v>425.56439948019135</v>
      </c>
      <c r="Q15" s="56">
        <f>Q11*Q14</f>
        <v>383.30920213443534</v>
      </c>
      <c r="R15" s="56">
        <f>R11*R14</f>
        <v>345.3482730582782</v>
      </c>
      <c r="S15" s="56">
        <f>S11*S14</f>
        <v>143.7285638792795</v>
      </c>
      <c r="T15" s="56">
        <f>T11*T14</f>
        <v>66.3678010707668</v>
      </c>
      <c r="U15" s="56">
        <f>U11*U14</f>
        <v>24.639289516493758</v>
      </c>
      <c r="V15" s="56">
        <f>V11*V14</f>
        <v>9.207649097438907</v>
      </c>
      <c r="W15" s="56">
        <f>W11*W14</f>
        <v>3.4660632811945824</v>
      </c>
      <c r="X15" s="56">
        <f>X11*X14</f>
        <v>1.3156818770531342</v>
      </c>
      <c r="Y15" s="56">
        <f>Y11*Y14</f>
        <v>0.5039939432624173</v>
      </c>
      <c r="Z15" s="56">
        <f>Z11*Z14</f>
        <v>0.19513605146591323</v>
      </c>
      <c r="AA15" s="56">
        <f>AA11*AA14</f>
        <v>0.07640747564459033</v>
      </c>
    </row>
    <row r="17">
      <c r="A17" s="30" t="inlineStr">
        <is>
          <t>Valuation summary</t>
        </is>
      </c>
      <c r="B17" s="31" t="n"/>
      <c r="C17" s="31" t="n"/>
    </row>
    <row r="18">
      <c r="A18" s="13" t="inlineStr">
        <is>
          <t>PV of risk-adjusted free cash flows</t>
        </is>
      </c>
      <c r="C18" s="52">
        <f>SUM(C15:AA15)</f>
        <v>7167.318229615371</v>
      </c>
    </row>
    <row r="19">
      <c r="A19" s="13" t="inlineStr">
        <is>
          <t>Cash &amp; investments (Main; incl. post-quarter financing)</t>
        </is>
      </c>
      <c r="C19" s="70">
        <f>Main!C7</f>
        <v>1373.84</v>
      </c>
    </row>
    <row r="20">
      <c r="A20" s="13" t="inlineStr">
        <is>
          <t>Debt, convertibles &amp; preferred at face (Main)</t>
        </is>
      </c>
      <c r="C20" s="70">
        <f>Main!C8</f>
        <v>0</v>
      </c>
    </row>
    <row r="21">
      <c r="A21" s="13" t="inlineStr">
        <is>
          <t>Equity value, all claims treated as debt</t>
        </is>
      </c>
      <c r="C21" s="52">
        <f>C18+C19-C20</f>
        <v>8541.15822961537</v>
      </c>
    </row>
    <row r="22">
      <c r="A22" s="13" t="inlineStr">
        <is>
          <t>Basic shares incl. pre-funded / as-converted (Main)</t>
        </is>
      </c>
      <c r="C22" s="73">
        <f>Main!C4</f>
        <v>29.163921000000002</v>
      </c>
    </row>
    <row r="23">
      <c r="A23" s="13" t="inlineStr">
        <is>
          <t>Value / share before conversions</t>
        </is>
      </c>
      <c r="C23" s="53">
        <f>C21/C22</f>
        <v>292.86728041868474</v>
      </c>
    </row>
    <row r="25">
      <c r="A25" s="28" t="inlineStr">
        <is>
          <t>Convertible instruments (converted if value / share before conversions &gt; conversion price)</t>
        </is>
      </c>
      <c r="B25" s="29" t="inlineStr">
        <is>
          <t>Face ($mm)</t>
        </is>
      </c>
      <c r="C25" s="29" t="inlineStr">
        <is>
          <t>Shares (mm)</t>
        </is>
      </c>
      <c r="D25" s="29" t="inlineStr">
        <is>
          <t>Conv. price</t>
        </is>
      </c>
      <c r="E25" s="29" t="inlineStr">
        <is>
          <t>Converted?</t>
        </is>
      </c>
    </row>
    <row r="26">
      <c r="A26" s="13" t="inlineStr">
        <is>
          <t>—</t>
        </is>
      </c>
      <c r="B26" s="63" t="n">
        <v>0</v>
      </c>
      <c r="C26" s="63" t="n">
        <v>0</v>
      </c>
      <c r="D26" s="63" t="n">
        <v>0</v>
      </c>
      <c r="E26" s="74">
        <f>IF(AND(C26&gt;0,$C$23&gt;D26),1,0)</f>
        <v>0</v>
      </c>
    </row>
    <row r="27">
      <c r="A27" s="13" t="inlineStr">
        <is>
          <t>—</t>
        </is>
      </c>
      <c r="B27" s="63" t="n">
        <v>0</v>
      </c>
      <c r="C27" s="63" t="n">
        <v>0</v>
      </c>
      <c r="D27" s="63" t="n">
        <v>0</v>
      </c>
      <c r="E27" s="74">
        <f>IF(AND(C27&gt;0,$C$23&gt;D27),1,0)</f>
        <v>0</v>
      </c>
    </row>
    <row r="28">
      <c r="A28" s="13" t="inlineStr">
        <is>
          <t>—</t>
        </is>
      </c>
      <c r="B28" s="63" t="n">
        <v>0</v>
      </c>
      <c r="C28" s="63" t="n">
        <v>0</v>
      </c>
      <c r="D28" s="63" t="n">
        <v>0</v>
      </c>
      <c r="E28" s="74">
        <f>IF(AND(C28&gt;0,$C$23&gt;D28),1,0)</f>
        <v>0</v>
      </c>
    </row>
    <row r="29">
      <c r="A29" s="13" t="inlineStr">
        <is>
          <t>—</t>
        </is>
      </c>
      <c r="B29" s="63" t="n">
        <v>0</v>
      </c>
      <c r="C29" s="63" t="n">
        <v>0</v>
      </c>
      <c r="D29" s="63" t="n">
        <v>0</v>
      </c>
      <c r="E29" s="74">
        <f>IF(AND(C29&gt;0,$C$23&gt;D29),1,0)</f>
        <v>0</v>
      </c>
    </row>
    <row r="30">
      <c r="A30" s="13" t="inlineStr">
        <is>
          <t>—</t>
        </is>
      </c>
      <c r="B30" s="63" t="n">
        <v>0</v>
      </c>
      <c r="C30" s="63" t="n">
        <v>0</v>
      </c>
      <c r="D30" s="63" t="n">
        <v>0</v>
      </c>
      <c r="E30" s="74">
        <f>IF(AND(C30&gt;0,$C$23&gt;D30),1,0)</f>
        <v>0</v>
      </c>
    </row>
    <row r="31">
      <c r="A31" s="23" t="inlineStr">
        <is>
          <t>Equity value (rNPV) after conversions</t>
        </is>
      </c>
      <c r="C31" s="56">
        <f>C21+SUMPRODUCT(B26:B30,E26:E30)</f>
        <v>8541.15822961537</v>
      </c>
    </row>
    <row r="32">
      <c r="A32" s="13" t="inlineStr">
        <is>
          <t>Shares after conversions (mm)</t>
        </is>
      </c>
      <c r="C32" s="18">
        <f>C22+SUMPRODUCT(C26:C30,E26:E30)</f>
        <v>29.163921000000002</v>
      </c>
    </row>
    <row r="33">
      <c r="A33" s="13" t="inlineStr">
        <is>
          <t>Value / share before options &amp; warrants</t>
        </is>
      </c>
      <c r="C33" s="53">
        <f>C31/C32</f>
        <v>292.86728041868474</v>
      </c>
    </row>
    <row r="35">
      <c r="A35" s="28" t="inlineStr">
        <is>
          <t>Options, warrants &amp; RSUs (treasury-stock method)</t>
        </is>
      </c>
      <c r="B35" s="29" t="inlineStr">
        <is>
          <t>Count (mm)</t>
        </is>
      </c>
      <c r="C35" s="29" t="inlineStr">
        <is>
          <t>Strike</t>
        </is>
      </c>
      <c r="D35" s="29" t="inlineStr">
        <is>
          <t>Dilution (mm)</t>
        </is>
      </c>
    </row>
    <row r="36">
      <c r="A36" s="13" t="inlineStr">
        <is>
          <t>Options (strike assumed)</t>
        </is>
      </c>
      <c r="B36" s="75" t="n">
        <v>1.905404</v>
      </c>
      <c r="C36" s="76" t="n">
        <v>60</v>
      </c>
      <c r="D36" s="72">
        <f>IF(AND(B36&gt;0,$C$33&gt;C36),B36*(1-C36/$C$33),0)</f>
        <v>1.5150420591353142</v>
      </c>
    </row>
    <row r="37">
      <c r="A37" s="13" t="inlineStr">
        <is>
          <t>RSUs / PSUs</t>
        </is>
      </c>
      <c r="B37" s="75" t="n">
        <v>0.654792</v>
      </c>
      <c r="C37" s="76" t="n">
        <v>0</v>
      </c>
      <c r="D37" s="72">
        <f>IF(AND(B37&gt;0,$C$33&gt;C37),B37*(1-C37/$C$33),0)</f>
        <v>0.654792</v>
      </c>
    </row>
    <row r="38">
      <c r="A38" s="13" t="inlineStr">
        <is>
          <t>—</t>
        </is>
      </c>
      <c r="B38" s="63" t="n">
        <v>0</v>
      </c>
      <c r="C38" s="63" t="n">
        <v>0</v>
      </c>
      <c r="D38" s="72">
        <f>IF(AND(B38&gt;0,$C$33&gt;C38),B38*(1-C38/$C$33),0)</f>
        <v>0</v>
      </c>
    </row>
    <row r="39">
      <c r="A39" s="13" t="inlineStr">
        <is>
          <t>—</t>
        </is>
      </c>
      <c r="B39" s="63" t="n">
        <v>0</v>
      </c>
      <c r="C39" s="63" t="n">
        <v>0</v>
      </c>
      <c r="D39" s="72">
        <f>IF(AND(B39&gt;0,$C$33&gt;C39),B39*(1-C39/$C$33),0)</f>
        <v>0</v>
      </c>
    </row>
    <row r="40">
      <c r="A40" s="13" t="inlineStr">
        <is>
          <t>—</t>
        </is>
      </c>
      <c r="B40" s="63" t="n">
        <v>0</v>
      </c>
      <c r="C40" s="63" t="n">
        <v>0</v>
      </c>
      <c r="D40" s="72">
        <f>IF(AND(B40&gt;0,$C$33&gt;C40),B40*(1-C40/$C$33),0)</f>
        <v>0</v>
      </c>
    </row>
    <row r="41">
      <c r="A41" s="13" t="inlineStr">
        <is>
          <t>—</t>
        </is>
      </c>
      <c r="B41" s="63" t="n">
        <v>0</v>
      </c>
      <c r="C41" s="63" t="n">
        <v>0</v>
      </c>
      <c r="D41" s="72">
        <f>IF(AND(B41&gt;0,$C$33&gt;C41),B41*(1-C41/$C$33),0)</f>
        <v>0</v>
      </c>
    </row>
    <row r="42">
      <c r="A42" s="13" t="inlineStr">
        <is>
          <t>Diluted shares (mm)</t>
        </is>
      </c>
      <c r="C42" s="18">
        <f>C32+SUM(D36:D41)</f>
        <v>31.333755059135317</v>
      </c>
    </row>
    <row r="43">
      <c r="A43" s="23" t="inlineStr">
        <is>
          <t>rNPV / share, diluted</t>
        </is>
      </c>
      <c r="C43" s="77">
        <f>C31/C42</f>
        <v>272.58648743171324</v>
      </c>
    </row>
    <row r="44">
      <c r="A44" s="13" t="inlineStr">
        <is>
          <t>Current price (Main)</t>
        </is>
      </c>
      <c r="C44" s="78">
        <f>Main!C3</f>
        <v>264.49</v>
      </c>
    </row>
    <row r="45">
      <c r="A45" s="23" t="inlineStr">
        <is>
          <t>Upside / (downside) to rNPV</t>
        </is>
      </c>
      <c r="C45" s="58">
        <f>C43/C44-1</f>
        <v>0.030611695836187502</v>
      </c>
    </row>
    <row r="46">
      <c r="A46" s="13" t="inlineStr">
        <is>
          <t>Net cash / share</t>
        </is>
      </c>
      <c r="C46" s="53">
        <f>(C19-C20)/C22</f>
        <v>47.10752028165211</v>
      </c>
    </row>
    <row r="47">
      <c r="A47" s="13" t="inlineStr">
        <is>
          <t>Est. cash &amp; investments at 12/31/2026</t>
        </is>
      </c>
      <c r="C47" s="70">
        <f>'Quarterly Model'!I20</f>
        <v>1182.34</v>
      </c>
    </row>
    <row r="48">
      <c r="A48" s="13" t="inlineStr">
        <is>
          <t>Liquidation value / share (12/31/2026E cash − debt − wind-down)</t>
        </is>
      </c>
      <c r="C48" s="53">
        <f>MAX(0,C47-C20-Assumptions!$B$27)/C22</f>
        <v>38.48385133123903</v>
      </c>
    </row>
    <row r="49">
      <c r="A49" s="13" t="inlineStr">
        <is>
          <t>Market-implied value of pipeline (market cap − net cash)</t>
        </is>
      </c>
      <c r="C49" s="52">
        <f>Main!C5-(C19-C20)</f>
        <v>6339.725465290001</v>
      </c>
    </row>
    <row r="51">
      <c r="A51" s="30" t="inlineStr">
        <is>
          <t>Sum of the parts (PV)</t>
        </is>
      </c>
      <c r="B51" s="79" t="inlineStr">
        <is>
          <t>$mm</t>
        </is>
      </c>
      <c r="C51" s="79" t="inlineStr">
        <is>
          <t>$ / share</t>
        </is>
      </c>
    </row>
    <row r="52">
      <c r="A52" s="13" t="inlineStr">
        <is>
          <t>Relutrigine — SCN2A / SCN8A DEE</t>
        </is>
      </c>
      <c r="B52" s="52">
        <f>SUMPRODUCT(Pipeline!C14:Z14,$D$14:$AA$14)</f>
        <v>2269.2369959492376</v>
      </c>
      <c r="C52" s="53">
        <f>B52/$C$42</f>
        <v>72.42148257259848</v>
      </c>
    </row>
    <row r="53">
      <c r="A53" s="13" t="inlineStr">
        <is>
          <t>Ulixacaltamide — essential tremor (PDUFA Jan 29, 2027)</t>
        </is>
      </c>
      <c r="B53" s="52">
        <f>SUMPRODUCT(Pipeline!C24:Z24,$D$14:$AA$14)</f>
        <v>8467.393339131977</v>
      </c>
      <c r="C53" s="53">
        <f>B53/$C$42</f>
        <v>270.232320484784</v>
      </c>
    </row>
    <row r="54">
      <c r="A54" s="13" t="inlineStr">
        <is>
          <t>Relutrigine — broad DEEs (EMERALD, data Q4 2026)</t>
        </is>
      </c>
      <c r="B54" s="52">
        <f>SUMPRODUCT(Pipeline!C34:Z34,$D$14:$AA$14)</f>
        <v>1796.3144060264717</v>
      </c>
      <c r="C54" s="53">
        <f>B54/$C$42</f>
        <v>57.32841156881255</v>
      </c>
    </row>
    <row r="55">
      <c r="A55" s="13" t="inlineStr">
        <is>
          <t>Vormatrigine — focal / generalized epilepsy (POWER2/3)</t>
        </is>
      </c>
      <c r="B55" s="52">
        <f>SUMPRODUCT(Pipeline!C44:Z44,$D$14:$AA$14)</f>
        <v>538.3510519973627</v>
      </c>
      <c r="C55" s="53">
        <f>B55/$C$42</f>
        <v>17.181185305793953</v>
      </c>
    </row>
    <row r="56">
      <c r="A56" s="13" t="inlineStr">
        <is>
          <t>Elsunersen — early-onset SCN2A DEE (ASO)</t>
        </is>
      </c>
      <c r="B56" s="52">
        <f>SUMPRODUCT(Pipeline!C54:Z54,$D$14:$AA$14)</f>
        <v>600.7705372617786</v>
      </c>
      <c r="C56" s="53">
        <f>B56/$C$42</f>
        <v>19.173269725507243</v>
      </c>
    </row>
    <row r="57">
      <c r="A57" s="13" t="inlineStr">
        <is>
          <t>Corporate G&amp;A + platform R&amp;D (2027+)</t>
        </is>
      </c>
      <c r="B57" s="52">
        <f>-SUMPRODUCT(Pipeline!C60:Z60,$D$14:$AA$14)-SUMPRODUCT(Pipeline!C63:Z63,$D$14:$AA$14)</f>
        <v>-4564.805049395144</v>
      </c>
      <c r="C57" s="53">
        <f>B57/$C$42</f>
        <v>-145.6833067335886</v>
      </c>
    </row>
    <row r="58">
      <c r="A58" s="13" t="inlineStr">
        <is>
          <t>2H 2026 operating result</t>
        </is>
      </c>
      <c r="B58" s="52">
        <f>C11*C14</f>
        <v>-217.0</v>
      </c>
      <c r="C58" s="53">
        <f>B58/$C$42</f>
        <v>-6.925438703100283</v>
      </c>
    </row>
    <row r="59">
      <c r="A59" s="13" t="inlineStr">
        <is>
          <t>Taxes</t>
        </is>
      </c>
      <c r="B59" s="52">
        <f>-SUMPRODUCT(D10:AA10,D14:AA14)</f>
        <v>-1722.943051356312</v>
      </c>
      <c r="C59" s="53">
        <f>B59/$C$42</f>
        <v>-54.98680410645484</v>
      </c>
    </row>
    <row r="60">
      <c r="A60" s="13" t="inlineStr">
        <is>
          <t>Net cash (cash − all claims at face)</t>
        </is>
      </c>
      <c r="B60" s="52">
        <f>C19-C20</f>
        <v>1373.84</v>
      </c>
      <c r="C60" s="53">
        <f>B60/$C$42</f>
        <v>43.84536731736079</v>
      </c>
    </row>
    <row r="61">
      <c r="A61" s="13" t="inlineStr">
        <is>
          <t>Add back converted claims</t>
        </is>
      </c>
      <c r="B61" s="52">
        <f>SUMPRODUCT(B26:B30,E26:E30)</f>
        <v>0.0</v>
      </c>
      <c r="C61" s="53">
        <f>B61/$C$42</f>
        <v>0.0</v>
      </c>
    </row>
    <row r="62">
      <c r="A62" s="23" t="inlineStr">
        <is>
          <t>Equity value</t>
        </is>
      </c>
      <c r="B62" s="64">
        <f>SUM(B52:B61)</f>
        <v>8541.15822961537</v>
      </c>
      <c r="C62" s="80">
        <f>B62/$C$42</f>
        <v>272.58648743171324</v>
      </c>
    </row>
    <row r="63">
      <c r="A63" s="25" t="inlineStr">
        <is>
          <t>Check vs. equity value above (should be 0)</t>
        </is>
      </c>
      <c r="B63" s="81">
        <f>ROUND(B62-C31,6)</f>
        <v>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3" customWidth="1" style="9" min="11" max="11"/>
    <col width="13" customWidth="1" style="9" min="12" max="12"/>
  </cols>
  <sheetData>
    <row r="1">
      <c r="A1" s="22" t="inlineStr">
        <is>
          <t>PRAX — PDUFA options analysis (per contract = 100 shares)</t>
        </is>
      </c>
    </row>
    <row r="3">
      <c r="A3" s="30" t="inlineStr">
        <is>
          <t>Inputs</t>
        </is>
      </c>
      <c r="B3" s="31" t="n"/>
    </row>
    <row r="4">
      <c r="A4" s="13" t="inlineStr">
        <is>
          <t>Spot price (close 10/16/2026)</t>
        </is>
      </c>
      <c r="B4" s="76" t="n">
        <v>241.76</v>
      </c>
    </row>
    <row r="5">
      <c r="A5" s="13" t="inlineStr">
        <is>
          <t>Pricing date</t>
        </is>
      </c>
      <c r="B5" s="82">
        <f>DATE(2026,10,16)</f>
        <v>46311</v>
      </c>
    </row>
    <row r="6">
      <c r="A6" s="13" t="inlineStr">
        <is>
          <t>PDUFA date</t>
        </is>
      </c>
      <c r="B6" s="66">
        <f>Assumptions!$B$30</f>
        <v>46383</v>
      </c>
    </row>
    <row r="7">
      <c r="A7" s="13" t="inlineStr">
        <is>
          <t>Expiry (first monthly after the PDUFA date)</t>
        </is>
      </c>
      <c r="B7" s="82">
        <f>DATE(2027,1,15)</f>
        <v>46402</v>
      </c>
    </row>
    <row r="8">
      <c r="A8" s="13" t="inlineStr">
        <is>
          <t>Years to expiry (T)</t>
        </is>
      </c>
      <c r="B8" s="72">
        <f>(B7-B5)/365</f>
        <v>0.2493150684931507</v>
      </c>
    </row>
    <row r="9">
      <c r="A9" s="13" t="inlineStr">
        <is>
          <t>Risk-free rate</t>
        </is>
      </c>
      <c r="B9" s="83" t="n">
        <v>0.04</v>
      </c>
    </row>
    <row r="10">
      <c r="A10" s="13" t="inlineStr">
        <is>
          <t>Reference IV for wide quotes (theo prices)</t>
        </is>
      </c>
      <c r="B10" s="83" t="n">
        <v>0.8404</v>
      </c>
    </row>
    <row r="11">
      <c r="A11" s="13" t="inlineStr">
        <is>
          <t>Contract multiplier</t>
        </is>
      </c>
      <c r="B11" s="84" t="n">
        <v>100</v>
      </c>
    </row>
    <row r="13">
      <c r="A13" s="30" t="inlineStr">
        <is>
          <t>Event model (two outcomes at the PDUFA)</t>
        </is>
      </c>
      <c r="B13" s="31" t="n"/>
      <c r="C13" s="31" t="n"/>
    </row>
    <row r="14">
      <c r="A14" s="13" t="inlineStr">
        <is>
          <t>Model value / share, probability-weighted</t>
        </is>
      </c>
      <c r="B14" s="78">
        <f>NPV!C43</f>
        <v>272.58648743171324</v>
      </c>
    </row>
    <row r="15">
      <c r="A15" s="13" t="inlineStr">
        <is>
          <t>Model value / share if approved</t>
        </is>
      </c>
      <c r="B15" s="78">
        <f>Assumptions!$D$142</f>
        <v>275.37473386382953</v>
      </c>
    </row>
    <row r="16">
      <c r="A16" s="13" t="inlineStr">
        <is>
          <t>Model value / share if CRL</t>
        </is>
      </c>
      <c r="B16" s="78">
        <f>Assumptions!$D$141</f>
        <v>247.23121062436994</v>
      </c>
    </row>
    <row r="17">
      <c r="A17" s="13" t="inlineStr">
        <is>
          <t>Model probability of approval</t>
        </is>
      </c>
      <c r="B17" s="67">
        <f>Assumptions!$B$32</f>
        <v>0.9</v>
      </c>
    </row>
    <row r="18">
      <c r="A18" s="13" t="inlineStr">
        <is>
          <t>Event-move scale (share of model jump priced at expiry)</t>
        </is>
      </c>
      <c r="B18" s="26" t="n">
        <v>1</v>
      </c>
    </row>
    <row r="19">
      <c r="A19" s="13" t="inlineStr">
        <is>
          <t>Floor after a CRL, % of est. 12/31/2026 net cash / share</t>
        </is>
      </c>
      <c r="B19" s="26" t="n">
        <v>0.5</v>
      </c>
    </row>
    <row r="20">
      <c r="A20" s="13" t="inlineStr">
        <is>
          <t>Floor price after a CRL</t>
        </is>
      </c>
      <c r="B20" s="53">
        <f>MAX(0,B19*(NPV!C47-NPV!C20)/NPV!C22)</f>
        <v>20.270593930082306</v>
      </c>
    </row>
    <row r="21">
      <c r="A21" s="23" t="inlineStr">
        <is>
          <t>Price if approved (center of outcome)</t>
        </is>
      </c>
      <c r="B21" s="57">
        <f>IF(B14&gt;0,B4*(1+B18*(B15/B14-1)),B4+B18*(B15-B14))</f>
        <v>244.23292690030098</v>
      </c>
    </row>
    <row r="22">
      <c r="A22" s="23" t="inlineStr">
        <is>
          <t>Price if CRL (center of outcome)</t>
        </is>
      </c>
      <c r="B22" s="57">
        <f>MAX(B20,IF(B14&gt;0,B4*(1+B18*(B16/B14-1)),B4+B18*(B16-B14)))</f>
        <v>219.27212182709923</v>
      </c>
    </row>
    <row r="23">
      <c r="A23" s="13" t="inlineStr">
        <is>
          <t>Model expected price after the decision</t>
        </is>
      </c>
      <c r="B23" s="53">
        <f>B17*B21+(1-B17)*B22</f>
        <v>241.73684639298082</v>
      </c>
    </row>
    <row r="24">
      <c r="A24" s="13" t="inlineStr">
        <is>
          <t>Non-event volatility (6-month realized, 3 largest days removed)</t>
        </is>
      </c>
      <c r="B24" s="26" t="n">
        <v>0.492</v>
      </c>
    </row>
    <row r="25">
      <c r="A25" s="13" t="inlineStr">
        <is>
          <t>Model fair ATM straddle, % of spot (jump + non-event volatility)</t>
        </is>
      </c>
      <c r="B25" s="58">
        <f>(B17*((B21*NORMSDIST(((LN(B21/240.0)+$B$24^2*$B$8/2)/($B$24*SQRT($B$8))))-240.0*NORMSDIST((((LN(B21/240.0)+$B$24^2*$B$8/2)/($B$24*SQRT($B$8)))-$B$24*SQRT($B$8))))+(240.0*NORMSDIST(-(((LN(B21/240.0)+$B$24^2*$B$8/2)/($B$24*SQRT($B$8)))-$B$24*SQRT($B$8)))-B21*NORMSDIST(-((LN(B21/240.0)+$B$24^2*$B$8/2)/($B$24*SQRT($B$8))))))+(1-B17)*((B22*NORMSDIST(((LN(B22/240.0)+$B$24^2*$B$8/2)/($B$24*SQRT($B$8))))-240.0*NORMSDIST((((LN(B22/240.0)+$B$24^2*$B$8/2)/($B$24*SQRT($B$8)))-$B$24*SQRT($B$8))))+(240.0*NORMSDIST(-(((LN(B22/240.0)+$B$24^2*$B$8/2)/($B$24*SQRT($B$8)))-$B$24*SQRT($B$8)))-B22*NORMSDIST(-((LN(B22/240.0)+$B$24^2*$B$8/2)/($B$24*SQRT($B$8)))))))/B4</f>
        <v>0.19647566208152883</v>
      </c>
    </row>
    <row r="26">
      <c r="A26" s="13" t="inlineStr">
        <is>
          <t>Market ATM straddle, % of spot</t>
        </is>
      </c>
      <c r="B26" s="58">
        <f>($G$43+$G$44)/B4</f>
        <v>0.33152713434811387</v>
      </c>
    </row>
    <row r="27">
      <c r="A27" s="23" t="inlineStr">
        <is>
          <t>Options richness (market straddle ÷ model straddle)</t>
        </is>
      </c>
      <c r="B27" s="85">
        <f>B26/B25</f>
        <v>1.6873699817870804</v>
      </c>
    </row>
    <row r="28">
      <c r="A28" s="30" t="inlineStr">
        <is>
          <t>Market snapshot — 1/15/2027 expiry (Cboe delayed quotes, 10/16/2026 close)</t>
        </is>
      </c>
    </row>
    <row r="29">
      <c r="A29" s="29" t="inlineStr">
        <is>
          <t>Strike</t>
        </is>
      </c>
      <c r="B29" s="29" t="inlineStr">
        <is>
          <t>Call bid</t>
        </is>
      </c>
      <c r="C29" s="29" t="inlineStr">
        <is>
          <t>Call ask</t>
        </is>
      </c>
      <c r="D29" s="29" t="inlineStr">
        <is>
          <t>Call mid</t>
        </is>
      </c>
      <c r="E29" s="29" t="inlineStr">
        <is>
          <t>Call IV</t>
        </is>
      </c>
      <c r="F29" s="29" t="inlineStr">
        <is>
          <t>Put bid</t>
        </is>
      </c>
      <c r="G29" s="29" t="inlineStr">
        <is>
          <t>Put ask</t>
        </is>
      </c>
      <c r="H29" s="29" t="inlineStr">
        <is>
          <t>Put mid</t>
        </is>
      </c>
      <c r="I29" s="29" t="inlineStr">
        <is>
          <t>Put IV</t>
        </is>
      </c>
      <c r="J29" s="29" t="inlineStr">
        <is>
          <t>Call OI</t>
        </is>
      </c>
      <c r="K29" s="29" t="inlineStr">
        <is>
          <t>Put OI</t>
        </is>
      </c>
    </row>
    <row r="30">
      <c r="A30" s="86" t="n">
        <v>160</v>
      </c>
      <c r="B30" s="76" t="n">
        <v>88</v>
      </c>
      <c r="C30" s="76" t="n">
        <v>97</v>
      </c>
      <c r="D30" s="53">
        <f>(B30+C30)/2</f>
        <v>92.5</v>
      </c>
      <c r="E30" s="83" t="n">
        <v>0.9104</v>
      </c>
      <c r="F30" s="76" t="n">
        <v>3</v>
      </c>
      <c r="G30" s="76" t="n">
        <v>12.9</v>
      </c>
      <c r="H30" s="53">
        <f>(F30+G30)/2</f>
        <v>7.95</v>
      </c>
      <c r="I30" s="83" t="n">
        <v>0.8994</v>
      </c>
      <c r="J30" s="87" t="n">
        <v>0</v>
      </c>
      <c r="K30" s="87" t="n">
        <v>20</v>
      </c>
    </row>
    <row r="31">
      <c r="A31" s="86" t="n">
        <v>210</v>
      </c>
      <c r="B31" s="76" t="n">
        <v>54.4</v>
      </c>
      <c r="C31" s="76" t="n">
        <v>63</v>
      </c>
      <c r="D31" s="53">
        <f>(B31+C31)/2</f>
        <v>58.7</v>
      </c>
      <c r="E31" s="83" t="n">
        <v>0.873</v>
      </c>
      <c r="F31" s="76" t="n">
        <v>18</v>
      </c>
      <c r="G31" s="76" t="n">
        <v>25</v>
      </c>
      <c r="H31" s="53">
        <f>(F31+G31)/2</f>
        <v>21.5</v>
      </c>
      <c r="I31" s="83" t="n">
        <v>0.8129999999999999</v>
      </c>
      <c r="J31" s="87" t="n">
        <v>0</v>
      </c>
      <c r="K31" s="87" t="n">
        <v>0</v>
      </c>
    </row>
    <row r="32">
      <c r="A32" s="86" t="n">
        <v>220</v>
      </c>
      <c r="B32" s="76" t="n">
        <v>48.3</v>
      </c>
      <c r="C32" s="76" t="n">
        <v>57</v>
      </c>
      <c r="D32" s="53">
        <f>(B32+C32)/2</f>
        <v>52.65</v>
      </c>
      <c r="E32" s="83" t="n">
        <v>0.8551</v>
      </c>
      <c r="F32" s="76" t="n">
        <v>23</v>
      </c>
      <c r="G32" s="76" t="n">
        <v>32</v>
      </c>
      <c r="H32" s="53">
        <f>(F32+G32)/2</f>
        <v>27.5</v>
      </c>
      <c r="I32" s="83" t="n">
        <v>0.8475</v>
      </c>
      <c r="J32" s="87" t="n">
        <v>1</v>
      </c>
      <c r="K32" s="87" t="n">
        <v>0</v>
      </c>
    </row>
    <row r="33">
      <c r="A33" s="86" t="n">
        <v>230</v>
      </c>
      <c r="B33" s="76" t="n">
        <v>43.1</v>
      </c>
      <c r="C33" s="76" t="n">
        <v>52</v>
      </c>
      <c r="D33" s="53">
        <f>(B33+C33)/2</f>
        <v>47.55</v>
      </c>
      <c r="E33" s="83" t="n">
        <v>0.8506</v>
      </c>
      <c r="F33" s="76" t="n">
        <v>27</v>
      </c>
      <c r="G33" s="76" t="n">
        <v>36.7</v>
      </c>
      <c r="H33" s="53">
        <f>(F33+G33)/2</f>
        <v>31.85</v>
      </c>
      <c r="I33" s="83" t="n">
        <v>0.8332000000000001</v>
      </c>
      <c r="J33" s="87" t="n">
        <v>0</v>
      </c>
      <c r="K33" s="87" t="n">
        <v>10</v>
      </c>
    </row>
    <row r="34">
      <c r="A34" s="86" t="n">
        <v>240</v>
      </c>
      <c r="B34" s="76" t="n">
        <v>38.6</v>
      </c>
      <c r="C34" s="76" t="n">
        <v>47</v>
      </c>
      <c r="D34" s="53">
        <f>(B34+C34)/2</f>
        <v>42.8</v>
      </c>
      <c r="E34" s="83" t="n">
        <v>0.8454</v>
      </c>
      <c r="F34" s="76" t="n">
        <v>33</v>
      </c>
      <c r="G34" s="76" t="n">
        <v>41.7</v>
      </c>
      <c r="H34" s="53">
        <f>(F34+G34)/2</f>
        <v>37.35</v>
      </c>
      <c r="I34" s="83" t="n">
        <v>0.8353</v>
      </c>
      <c r="J34" s="87" t="n">
        <v>2</v>
      </c>
      <c r="K34" s="87" t="n">
        <v>1</v>
      </c>
    </row>
    <row r="35">
      <c r="A35" s="86" t="n">
        <v>250</v>
      </c>
      <c r="B35" s="76" t="n">
        <v>34</v>
      </c>
      <c r="C35" s="76" t="n">
        <v>43</v>
      </c>
      <c r="D35" s="53">
        <f>(B35+C35)/2</f>
        <v>38.5</v>
      </c>
      <c r="E35" s="83" t="n">
        <v>0.8418</v>
      </c>
      <c r="F35" s="76" t="n">
        <v>38</v>
      </c>
      <c r="G35" s="76" t="n">
        <v>47.7</v>
      </c>
      <c r="H35" s="53">
        <f>(F35+G35)/2</f>
        <v>42.85</v>
      </c>
      <c r="I35" s="83" t="n">
        <v>0.829</v>
      </c>
      <c r="J35" s="87" t="n">
        <v>4</v>
      </c>
      <c r="K35" s="87" t="n">
        <v>1</v>
      </c>
    </row>
    <row r="36">
      <c r="A36" s="86" t="n">
        <v>260</v>
      </c>
      <c r="B36" s="76" t="n">
        <v>30.2</v>
      </c>
      <c r="C36" s="76" t="n">
        <v>39</v>
      </c>
      <c r="D36" s="53">
        <f>(B36+C36)/2</f>
        <v>34.6</v>
      </c>
      <c r="E36" s="83" t="n">
        <v>0.839</v>
      </c>
      <c r="F36" s="76" t="n">
        <v>45</v>
      </c>
      <c r="G36" s="76" t="n">
        <v>53.4</v>
      </c>
      <c r="H36" s="53">
        <f>(F36+G36)/2</f>
        <v>49.2</v>
      </c>
      <c r="I36" s="83" t="n">
        <v>0.8328</v>
      </c>
      <c r="J36" s="87" t="n">
        <v>1</v>
      </c>
      <c r="K36" s="87" t="n">
        <v>8</v>
      </c>
    </row>
    <row r="37">
      <c r="A37" s="86" t="n">
        <v>270</v>
      </c>
      <c r="B37" s="76" t="n">
        <v>26.1</v>
      </c>
      <c r="C37" s="76" t="n">
        <v>36</v>
      </c>
      <c r="D37" s="53">
        <f>(B37+C37)/2</f>
        <v>31.05</v>
      </c>
      <c r="E37" s="83" t="n">
        <v>0.8376</v>
      </c>
      <c r="F37" s="76" t="n">
        <v>51</v>
      </c>
      <c r="G37" s="76" t="n">
        <v>60.7</v>
      </c>
      <c r="H37" s="53">
        <f>(F37+G37)/2</f>
        <v>55.85</v>
      </c>
      <c r="I37" s="83" t="n">
        <v>0.8354</v>
      </c>
      <c r="J37" s="87" t="n">
        <v>6</v>
      </c>
      <c r="K37" s="87" t="n">
        <v>4</v>
      </c>
    </row>
    <row r="38">
      <c r="A38" s="86" t="n">
        <v>280</v>
      </c>
      <c r="B38" s="76" t="n">
        <v>23.1</v>
      </c>
      <c r="C38" s="76" t="n">
        <v>33</v>
      </c>
      <c r="D38" s="53">
        <f>(B38+C38)/2</f>
        <v>28.05</v>
      </c>
      <c r="E38" s="83" t="n">
        <v>0.8389</v>
      </c>
      <c r="F38" s="76" t="n">
        <v>58</v>
      </c>
      <c r="G38" s="76" t="n">
        <v>66.90000000000001</v>
      </c>
      <c r="H38" s="53">
        <f>(F38+G38)/2</f>
        <v>62.45</v>
      </c>
      <c r="I38" s="83" t="n">
        <v>0.8303</v>
      </c>
      <c r="J38" s="87" t="n">
        <v>17</v>
      </c>
      <c r="K38" s="87" t="n">
        <v>5</v>
      </c>
    </row>
    <row r="39">
      <c r="A39" s="86" t="n">
        <v>320</v>
      </c>
      <c r="B39" s="76" t="n">
        <v>17</v>
      </c>
      <c r="C39" s="76" t="n">
        <v>22</v>
      </c>
      <c r="D39" s="53">
        <f>(B39+C39)/2</f>
        <v>19.5</v>
      </c>
      <c r="E39" s="83" t="n">
        <v>0.8662</v>
      </c>
      <c r="F39" s="76" t="n">
        <v>88</v>
      </c>
      <c r="G39" s="76" t="n">
        <v>96.90000000000001</v>
      </c>
      <c r="H39" s="53">
        <f>(F39+G39)/2</f>
        <v>92.45</v>
      </c>
      <c r="I39" s="83" t="n">
        <v>0.8259</v>
      </c>
      <c r="J39" s="87" t="n">
        <v>5</v>
      </c>
      <c r="K39" s="87" t="n">
        <v>6</v>
      </c>
    </row>
    <row r="41">
      <c r="A41" s="30" t="inlineStr">
        <is>
          <t>Legs (premium = mid when the market is tight, else Black-Scholes at the reference IV)</t>
        </is>
      </c>
    </row>
    <row r="42">
      <c r="A42" s="29" t="inlineStr">
        <is>
          <t>Leg</t>
        </is>
      </c>
      <c r="B42" s="29" t="inlineStr">
        <is>
          <t>Type</t>
        </is>
      </c>
      <c r="C42" s="29" t="inlineStr">
        <is>
          <t>Strike</t>
        </is>
      </c>
      <c r="D42" s="29" t="inlineStr">
        <is>
          <t>Mid</t>
        </is>
      </c>
      <c r="E42" s="29" t="inlineStr">
        <is>
          <t>Spread % of mid</t>
        </is>
      </c>
      <c r="F42" s="29" t="inlineStr">
        <is>
          <t>BS value</t>
        </is>
      </c>
      <c r="G42" s="29" t="inlineStr">
        <is>
          <t>Premium used</t>
        </is>
      </c>
      <c r="H42" s="29" t="inlineStr">
        <is>
          <t>Source</t>
        </is>
      </c>
      <c r="I42" s="29" t="inlineStr">
        <is>
          <t>d1</t>
        </is>
      </c>
      <c r="J42" s="29" t="inlineStr">
        <is>
          <t>Delta</t>
        </is>
      </c>
      <c r="K42" s="29" t="inlineStr">
        <is>
          <t>E[payoff] if approved</t>
        </is>
      </c>
      <c r="L42" s="29" t="inlineStr">
        <is>
          <t>E[payoff] if CRL</t>
        </is>
      </c>
    </row>
    <row r="43">
      <c r="A43" s="13" t="inlineStr">
        <is>
          <t>Jan-27 $240 call</t>
        </is>
      </c>
      <c r="B43" s="88" t="inlineStr">
        <is>
          <t>C</t>
        </is>
      </c>
      <c r="C43" s="11">
        <f>A34</f>
        <v>240</v>
      </c>
      <c r="D43" s="53">
        <f>(B34+C34)/2</f>
        <v>42.8</v>
      </c>
      <c r="E43" s="55">
        <f>IF(B34&gt;0,(C34-B34)/D43,9.99)</f>
        <v>0.19626168224299062</v>
      </c>
      <c r="F43" s="53">
        <f>IF(B43="C",$B$4*NORMSDIST((LN($B$4/C43)+($B$9+$B$10^2/2)*$B$8)/($B$10*SQRT($B$8)))-C43*EXP(-$B$9*$B$8)*NORMSDIST((LN($B$4/C43)+($B$9+$B$10^2/2)*$B$8)/($B$10*SQRT($B$8))-$B$10*SQRT($B$8)),C43*EXP(-$B$9*$B$8)*NORMSDIST(-((LN($B$4/C43)+($B$9+$B$10^2/2)*$B$8)/($B$10*SQRT($B$8))-$B$10*SQRT($B$8)))-$B$4*NORMSDIST(-(LN($B$4/C43)+($B$9+$B$10^2/2)*$B$8)/($B$10*SQRT($B$8))))</f>
        <v>41.93693371238197</v>
      </c>
      <c r="G43" s="57">
        <f>IF(AND(B34&gt;0,E43&lt;=0.6),D43,F43)</f>
        <v>42.8</v>
      </c>
      <c r="H43" s="51" t="str">
        <f>IF(AND(B34&gt;0,E43&lt;=0.6),"market","theo")</f>
        <v>market</v>
      </c>
      <c r="I43" s="72">
        <f>(LN($B$4/C43)+($B$9+$B$10^2/2)*$B$8)/($B$10*SQRT($B$8))</f>
        <v>0.2509897592015423</v>
      </c>
      <c r="J43" s="11">
        <f>IF(B43="C",NORMSDIST(I43),NORMSDIST(I43)-1)</f>
        <v>0.5990889866022681</v>
      </c>
      <c r="K43" s="53">
        <f>IF(B43="C",($B$21*NORMSDIST(((LN($B$21/C43)+$B$24^2*$B$8/2)/($B$24*SQRT($B$8))))-C43*NORMSDIST((((LN($B$21/C43)+$B$24^2*$B$8/2)/($B$24*SQRT($B$8)))-$B$24*SQRT($B$8)))),(C43*NORMSDIST(-(((LN($B$21/C43)+$B$24^2*$B$8/2)/($B$24*SQRT($B$8)))-$B$24*SQRT($B$8)))-$B$21*NORMSDIST(-((LN($B$21/C43)+$B$24^2*$B$8/2)/($B$24*SQRT($B$8))))))</f>
        <v>25.845233606639226</v>
      </c>
      <c r="L43" s="53">
        <f>IF(B43="C",($B$22*NORMSDIST(((LN($B$22/C43)+$B$24^2*$B$8/2)/($B$24*SQRT($B$8))))-C43*NORMSDIST((((LN($B$22/C43)+$B$24^2*$B$8/2)/($B$24*SQRT($B$8)))-$B$24*SQRT($B$8)))),(C43*NORMSDIST(-(((LN($B$22/C43)+$B$24^2*$B$8/2)/($B$24*SQRT($B$8)))-$B$24*SQRT($B$8)))-$B$22*NORMSDIST(-((LN($B$22/C43)+$B$24^2*$B$8/2)/($B$24*SQRT($B$8))))))</f>
        <v>13.576909829303005</v>
      </c>
    </row>
    <row r="44">
      <c r="A44" s="13" t="inlineStr">
        <is>
          <t>Jan-27 $240 put</t>
        </is>
      </c>
      <c r="B44" s="88" t="inlineStr">
        <is>
          <t>P</t>
        </is>
      </c>
      <c r="C44" s="11">
        <f>A34</f>
        <v>240</v>
      </c>
      <c r="D44" s="53">
        <f>(F34+G34)/2</f>
        <v>37.35</v>
      </c>
      <c r="E44" s="55">
        <f>IF(F34&gt;0,(G34-F34)/D44,9.99)</f>
        <v>0.2329317269076306</v>
      </c>
      <c r="F44" s="53">
        <f>IF(B44="C",$B$4*NORMSDIST((LN($B$4/C44)+($B$9+$B$10^2/2)*$B$8)/($B$10*SQRT($B$8)))-C44*EXP(-$B$9*$B$8)*NORMSDIST((LN($B$4/C44)+($B$9+$B$10^2/2)*$B$8)/($B$10*SQRT($B$8))-$B$10*SQRT($B$8)),C44*EXP(-$B$9*$B$8)*NORMSDIST(-((LN($B$4/C44)+($B$9+$B$10^2/2)*$B$8)/($B$10*SQRT($B$8))-$B$10*SQRT($B$8)))-$B$4*NORMSDIST(-(LN($B$4/C44)+($B$9+$B$10^2/2)*$B$8)/($B$10*SQRT($B$8))))</f>
        <v>37.795403818075144</v>
      </c>
      <c r="G44" s="57">
        <f>IF(AND(F34&gt;0,E44&lt;=0.6),D44,F44)</f>
        <v>37.35</v>
      </c>
      <c r="H44" s="51" t="str">
        <f>IF(AND(F34&gt;0,E44&lt;=0.6),"market","theo")</f>
        <v>market</v>
      </c>
      <c r="I44" s="72">
        <f>(LN($B$4/C44)+($B$9+$B$10^2/2)*$B$8)/($B$10*SQRT($B$8))</f>
        <v>0.2509897592015423</v>
      </c>
      <c r="J44" s="11">
        <f>IF(B44="C",NORMSDIST(I44),NORMSDIST(I44)-1)</f>
        <v>-0.40091101339773194</v>
      </c>
      <c r="K44" s="53">
        <f>IF(B44="C",($B$21*NORMSDIST(((LN($B$21/C44)+$B$24^2*$B$8/2)/($B$24*SQRT($B$8))))-C44*NORMSDIST((((LN($B$21/C44)+$B$24^2*$B$8/2)/($B$24*SQRT($B$8)))-$B$24*SQRT($B$8)))),(C44*NORMSDIST(-(((LN($B$21/C44)+$B$24^2*$B$8/2)/($B$24*SQRT($B$8)))-$B$24*SQRT($B$8)))-$B$21*NORMSDIST(-((LN($B$21/C44)+$B$24^2*$B$8/2)/($B$24*SQRT($B$8))))))</f>
        <v>21.612306706338245</v>
      </c>
      <c r="L44" s="53">
        <f>IF(B44="C",($B$22*NORMSDIST(((LN($B$22/C44)+$B$24^2*$B$8/2)/($B$24*SQRT($B$8))))-C44*NORMSDIST((((LN($B$22/C44)+$B$24^2*$B$8/2)/($B$24*SQRT($B$8)))-$B$24*SQRT($B$8)))),(C44*NORMSDIST(-(((LN($B$22/C44)+$B$24^2*$B$8/2)/($B$24*SQRT($B$8)))-$B$24*SQRT($B$8)))-$B$22*NORMSDIST(-((LN($B$22/C44)+$B$24^2*$B$8/2)/($B$24*SQRT($B$8))))))</f>
        <v>34.30478800220379</v>
      </c>
    </row>
    <row r="45">
      <c r="A45" s="13" t="inlineStr">
        <is>
          <t>Jan-27 $320 call</t>
        </is>
      </c>
      <c r="B45" s="88" t="inlineStr">
        <is>
          <t>C</t>
        </is>
      </c>
      <c r="C45" s="11">
        <f>A39</f>
        <v>320</v>
      </c>
      <c r="D45" s="53">
        <f>(B39+C39)/2</f>
        <v>19.5</v>
      </c>
      <c r="E45" s="55">
        <f>IF(B39&gt;0,(C39-B39)/D45,9.99)</f>
        <v>0.2564102564102564</v>
      </c>
      <c r="F45" s="53">
        <f>IF(B45="C",$B$4*NORMSDIST((LN($B$4/C45)+($B$9+$B$10^2/2)*$B$8)/($B$10*SQRT($B$8)))-C45*EXP(-$B$9*$B$8)*NORMSDIST((LN($B$4/C45)+($B$9+$B$10^2/2)*$B$8)/($B$10*SQRT($B$8))-$B$10*SQRT($B$8)),C45*EXP(-$B$9*$B$8)*NORMSDIST(-((LN($B$4/C45)+($B$9+$B$10^2/2)*$B$8)/($B$10*SQRT($B$8))-$B$10*SQRT($B$8)))-$B$4*NORMSDIST(-(LN($B$4/C45)+($B$9+$B$10^2/2)*$B$8)/($B$10*SQRT($B$8))))</f>
        <v>17.993513334710492</v>
      </c>
      <c r="G45" s="57">
        <f>IF(AND(B39&gt;0,E45&lt;=0.6),D45,F45)</f>
        <v>19.5</v>
      </c>
      <c r="H45" s="51" t="str">
        <f>IF(AND(B39&gt;0,E45&lt;=0.6),"market","theo")</f>
        <v>market</v>
      </c>
      <c r="I45" s="72">
        <f>(LN($B$4/C45)+($B$9+$B$10^2/2)*$B$8)/($B$10*SQRT($B$8))</f>
        <v>-0.43458132385299647</v>
      </c>
      <c r="J45" s="11">
        <f>IF(B45="C",NORMSDIST(I45),NORMSDIST(I45)-1)</f>
        <v>0.33193317681522405</v>
      </c>
      <c r="K45" s="53">
        <f>IF(B45="C",($B$21*NORMSDIST(((LN($B$21/C45)+$B$24^2*$B$8/2)/($B$24*SQRT($B$8))))-C45*NORMSDIST((((LN($B$21/C45)+$B$24^2*$B$8/2)/($B$24*SQRT($B$8)))-$B$24*SQRT($B$8)))),(C45*NORMSDIST(-(((LN($B$21/C45)+$B$24^2*$B$8/2)/($B$24*SQRT($B$8)))-$B$24*SQRT($B$8)))-$B$21*NORMSDIST(-((LN($B$21/C45)+$B$24^2*$B$8/2)/($B$24*SQRT($B$8))))))</f>
        <v>4.690568583570233</v>
      </c>
      <c r="L45" s="53">
        <f>IF(B45="C",($B$22*NORMSDIST(((LN($B$22/C45)+$B$24^2*$B$8/2)/($B$24*SQRT($B$8))))-C45*NORMSDIST((((LN($B$22/C45)+$B$24^2*$B$8/2)/($B$24*SQRT($B$8)))-$B$24*SQRT($B$8)))),(C45*NORMSDIST(-(((LN($B$22/C45)+$B$24^2*$B$8/2)/($B$24*SQRT($B$8)))-$B$24*SQRT($B$8)))-$B$22*NORMSDIST(-((LN($B$22/C45)+$B$24^2*$B$8/2)/($B$24*SQRT($B$8))))))</f>
        <v>1.7353836178905162</v>
      </c>
    </row>
    <row r="46">
      <c r="A46" s="13" t="inlineStr">
        <is>
          <t>Jan-27 $160 put</t>
        </is>
      </c>
      <c r="B46" s="88" t="inlineStr">
        <is>
          <t>P</t>
        </is>
      </c>
      <c r="C46" s="11">
        <f>A30</f>
        <v>160</v>
      </c>
      <c r="D46" s="53">
        <f>(F30+G30)/2</f>
        <v>7.95</v>
      </c>
      <c r="E46" s="55">
        <f>IF(F30&gt;0,(G30-F30)/D46,9.99)</f>
        <v>1.2452830188679245</v>
      </c>
      <c r="F46" s="53">
        <f>IF(B46="C",$B$4*NORMSDIST((LN($B$4/C46)+($B$9+$B$10^2/2)*$B$8)/($B$10*SQRT($B$8)))-C46*EXP(-$B$9*$B$8)*NORMSDIST((LN($B$4/C46)+($B$9+$B$10^2/2)*$B$8)/($B$10*SQRT($B$8))-$B$10*SQRT($B$8)),C46*EXP(-$B$9*$B$8)*NORMSDIST(-((LN($B$4/C46)+($B$9+$B$10^2/2)*$B$8)/($B$10*SQRT($B$8))-$B$10*SQRT($B$8)))-$B$4*NORMSDIST(-(LN($B$4/C46)+($B$9+$B$10^2/2)*$B$8)/($B$10*SQRT($B$8))))</f>
        <v>6.651769820504992</v>
      </c>
      <c r="G46" s="57">
        <f>IF(AND(F30&gt;0,E46&lt;=0.6),D46,F46)</f>
        <v>6.651769820504992</v>
      </c>
      <c r="H46" s="51" t="str">
        <f>IF(AND(F30&gt;0,E46&lt;=0.6),"market","theo")</f>
        <v>theo</v>
      </c>
      <c r="I46" s="72">
        <f>(LN($B$4/C46)+($B$9+$B$10^2/2)*$B$8)/($B$10*SQRT($B$8))</f>
        <v>1.2172479307222306</v>
      </c>
      <c r="J46" s="11">
        <f>IF(B46="C",NORMSDIST(I46),NORMSDIST(I46)-1)</f>
        <v>-0.11175494937345531</v>
      </c>
      <c r="K46" s="53">
        <f>IF(B46="C",($B$21*NORMSDIST(((LN($B$21/C46)+$B$24^2*$B$8/2)/($B$24*SQRT($B$8))))-C46*NORMSDIST((((LN($B$21/C46)+$B$24^2*$B$8/2)/($B$24*SQRT($B$8)))-$B$24*SQRT($B$8)))),(C46*NORMSDIST(-(((LN($B$21/C46)+$B$24^2*$B$8/2)/($B$24*SQRT($B$8)))-$B$24*SQRT($B$8)))-$B$21*NORMSDIST(-((LN($B$21/C46)+$B$24^2*$B$8/2)/($B$24*SQRT($B$8))))))</f>
        <v>0.8375018841999244</v>
      </c>
      <c r="L46" s="53">
        <f>IF(B46="C",($B$22*NORMSDIST(((LN($B$22/C46)+$B$24^2*$B$8/2)/($B$24*SQRT($B$8))))-C46*NORMSDIST((((LN($B$22/C46)+$B$24^2*$B$8/2)/($B$24*SQRT($B$8)))-$B$24*SQRT($B$8)))),(C46*NORMSDIST(-(((LN($B$22/C46)+$B$24^2*$B$8/2)/($B$24*SQRT($B$8)))-$B$24*SQRT($B$8)))-$B$22*NORMSDIST(-((LN($B$22/C46)+$B$24^2*$B$8/2)/($B$24*SQRT($B$8))))))</f>
        <v>2.1613996146394747</v>
      </c>
    </row>
    <row r="48">
      <c r="A48" s="30" t="inlineStr">
        <is>
          <t>Strategies (+ = credit received, − = debit paid; per share unless noted)</t>
        </is>
      </c>
    </row>
    <row r="49">
      <c r="A49" s="29" t="inlineStr">
        <is>
          <t>Metric</t>
        </is>
      </c>
      <c r="B49" s="29" t="inlineStr">
        <is>
          <t>Long straddle</t>
        </is>
      </c>
      <c r="C49" s="29" t="inlineStr">
        <is>
          <t>Bull call spread</t>
        </is>
      </c>
      <c r="D49" s="29" t="inlineStr">
        <is>
          <t>Bear put spread</t>
        </is>
      </c>
      <c r="E49" s="29" t="inlineStr">
        <is>
          <t>Iron butterfly</t>
        </is>
      </c>
    </row>
    <row r="50" ht="50" customHeight="1" s="9">
      <c r="A50" s="13" t="inlineStr">
        <is>
          <t>Structure</t>
        </is>
      </c>
      <c r="B50" s="89" t="inlineStr">
        <is>
          <t>Buy $240 call + $240 put</t>
        </is>
      </c>
      <c r="C50" s="89" t="inlineStr">
        <is>
          <t>Buy $240 / sell $320 call</t>
        </is>
      </c>
      <c r="D50" s="89" t="inlineStr">
        <is>
          <t>Buy $240 / sell $160 put</t>
        </is>
      </c>
      <c r="E50" s="89" t="inlineStr">
        <is>
          <t>Sell $240 straddle, buy $160 put + $320 call</t>
        </is>
      </c>
    </row>
    <row r="51">
      <c r="A51" s="13" t="inlineStr">
        <is>
          <t>Net premium</t>
        </is>
      </c>
      <c r="B51" s="53">
        <f>-$G$43-$G$44</f>
        <v>-80.15</v>
      </c>
      <c r="C51" s="53">
        <f>-$G$43+$G$45</f>
        <v>-23.299999999999997</v>
      </c>
      <c r="D51" s="53">
        <f>-$G$44+$G$46</f>
        <v>-30.69823017949501</v>
      </c>
      <c r="E51" s="53">
        <f>$G$43+$G$44-$G$45-$G$46</f>
        <v>53.99823017949501</v>
      </c>
    </row>
    <row r="52">
      <c r="A52" s="13" t="inlineStr">
        <is>
          <t>Net premium / contract</t>
        </is>
      </c>
      <c r="B52" s="90">
        <f>B51*$B$11</f>
        <v>-8015.000000000001</v>
      </c>
      <c r="C52" s="90">
        <f>C51*$B$11</f>
        <v>-2329.9999999999995</v>
      </c>
      <c r="D52" s="90">
        <f>D51*$B$11</f>
        <v>-3069.823017949501</v>
      </c>
      <c r="E52" s="90">
        <f>E51*$B$11</f>
        <v>5399.823017949501</v>
      </c>
    </row>
    <row r="53">
      <c r="A53" s="13" t="inlineStr">
        <is>
          <t>Max profit / contract</t>
        </is>
      </c>
      <c r="B53" s="91" t="str">
        <f>"Unlimited"</f>
        <v>Unlimited</v>
      </c>
      <c r="C53" s="91">
        <f>(320.0-240.0+C51)*$B$11</f>
        <v>5670.0</v>
      </c>
      <c r="D53" s="91">
        <f>(240.0-160.0+D51)*$B$11</f>
        <v>4930.176982050499</v>
      </c>
      <c r="E53" s="91">
        <f>E51*$B$11</f>
        <v>5399.823017949501</v>
      </c>
    </row>
    <row r="54">
      <c r="A54" s="13" t="inlineStr">
        <is>
          <t>Max loss / contract</t>
        </is>
      </c>
      <c r="B54" s="90">
        <f>B51*$B$11</f>
        <v>-8015.000000000001</v>
      </c>
      <c r="C54" s="90">
        <f>C51*$B$11</f>
        <v>-2329.9999999999995</v>
      </c>
      <c r="D54" s="90">
        <f>D51*$B$11</f>
        <v>-3069.823017949501</v>
      </c>
      <c r="E54" s="90">
        <f>-(MAX(320.0-240.0,240.0-160.0)-E51)*$B$11</f>
        <v>-2600.1769820504987</v>
      </c>
    </row>
    <row r="55">
      <c r="A55" s="13" t="inlineStr">
        <is>
          <t>Breakeven (low)</t>
        </is>
      </c>
      <c r="B55" s="92">
        <f>240.0+B51</f>
        <v>159.85</v>
      </c>
      <c r="C55" s="92" t="str">
        <f>"—"</f>
        <v>—</v>
      </c>
      <c r="D55" s="92">
        <f>240.0+D51</f>
        <v>209.301769820505</v>
      </c>
      <c r="E55" s="92">
        <f>240.0-E51</f>
        <v>186.001769820505</v>
      </c>
    </row>
    <row r="56">
      <c r="A56" s="13" t="inlineStr">
        <is>
          <t>Breakeven (high)</t>
        </is>
      </c>
      <c r="B56" s="92">
        <f>240.0-B51</f>
        <v>320.15</v>
      </c>
      <c r="C56" s="92">
        <f>240.0-C51</f>
        <v>263.3</v>
      </c>
      <c r="D56" s="92" t="str">
        <f>"—"</f>
        <v>—</v>
      </c>
      <c r="E56" s="92">
        <f>240.0+E51</f>
        <v>293.998230179495</v>
      </c>
    </row>
    <row r="57">
      <c r="A57" s="13" t="inlineStr">
        <is>
          <t>Prob. of profit (market-implied, lognormal)</t>
        </is>
      </c>
      <c r="B57" s="54">
        <f>(1-NORMSDIST((LN($B$4/B55)+($B$9-IF((($E$34+$I$34)/2)&gt;0,(($E$34+$I$34)/2),$B$10)^2/2)*$B$8)/(IF((($E$34+$I$34)/2)&gt;0,(($E$34+$I$34)/2),$B$10)*SQRT($B$8))))+NORMSDIST((LN($B$4/B56)+($B$9-IF((($E$34+$I$34)/2)&gt;0,(($E$34+$I$34)/2),$B$10)^2/2)*$B$8)/(IF((($E$34+$I$34)/2)&gt;0,(($E$34+$I$34)/2),$B$10)*SQRT($B$8)))</f>
        <v>0.4080544359038053</v>
      </c>
      <c r="C57" s="54">
        <f>NORMSDIST((LN($B$4/C56)+($B$9-IF((($E$34+$I$34)/2)&gt;0,(($E$34+$I$34)/2),$B$10)^2/2)*$B$8)/(IF((($E$34+$I$34)/2)&gt;0,(($E$34+$I$34)/2),$B$10)*SQRT($B$8)))</f>
        <v>0.34847623215605383</v>
      </c>
      <c r="D57" s="54">
        <f>1-NORMSDIST((LN($B$4/D55)+($B$9-IF((($E$34+$I$34)/2)&gt;0,(($E$34+$I$34)/2),$B$10)^2/2)*$B$8)/(IF((($E$34+$I$34)/2)&gt;0,(($E$34+$I$34)/2),$B$10)*SQRT($B$8)))</f>
        <v>0.43740427563065665</v>
      </c>
      <c r="E57" s="54">
        <f>MAX(0,NORMSDIST((LN($B$4/E55)+($B$9-IF((($E$34+$I$34)/2)&gt;0,(($E$34+$I$34)/2),$B$10)^2/2)*$B$8)/(IF((($E$34+$I$34)/2)&gt;0,(($E$34+$I$34)/2),$B$10)*SQRT($B$8)))-NORMSDIST((LN($B$4/E56)+($B$9-IF((($E$34+$I$34)/2)&gt;0,(($E$34+$I$34)/2),$B$10)^2/2)*$B$8)/(IF((($E$34+$I$34)/2)&gt;0,(($E$34+$I$34)/2),$B$10)*SQRT($B$8))))</f>
        <v>0.4124885768759622</v>
      </c>
    </row>
    <row r="58">
      <c r="A58" s="13" t="inlineStr">
        <is>
          <t>Expected P/L if approved</t>
        </is>
      </c>
      <c r="B58" s="90">
        <f>((1)*$K$43+(1)*$K$44+B51)*$B$11</f>
        <v>-3269.2459687022533</v>
      </c>
      <c r="C58" s="90">
        <f>((1)*$K$43+(-1)*$K$45+C51)*$B$11</f>
        <v>-214.53349769310037</v>
      </c>
      <c r="D58" s="90">
        <f>((1)*$K$44+(-1)*$K$46+D51)*$B$11</f>
        <v>-992.3425357356688</v>
      </c>
      <c r="E58" s="90">
        <f>((-1)*$K$43+(-1)*$K$44+(1)*$K$45+(1)*$K$46+E51)*$B$11</f>
        <v>1206.8760334287695</v>
      </c>
    </row>
    <row r="59">
      <c r="A59" s="13" t="inlineStr">
        <is>
          <t>Expected P/L if CRL</t>
        </is>
      </c>
      <c r="B59" s="90">
        <f>((1)*$L$43+(1)*$L$44+B51)*$B$11</f>
        <v>-3226.8302168493205</v>
      </c>
      <c r="C59" s="90">
        <f>((1)*$L$43+(-1)*$L$45+C51)*$B$11</f>
        <v>-1145.8473788587507</v>
      </c>
      <c r="D59" s="90">
        <f>((1)*$L$44+(-1)*$L$46+D51)*$B$11</f>
        <v>144.5158208069305</v>
      </c>
      <c r="E59" s="90">
        <f>((-1)*$L$43+(-1)*$L$44+(1)*$L$45+(1)*$L$46+E51)*$B$11</f>
        <v>1001.331558051821</v>
      </c>
    </row>
    <row r="60">
      <c r="A60" s="23" t="inlineStr">
        <is>
          <t>Model expected P/L</t>
        </is>
      </c>
      <c r="B60" s="93">
        <f>$B$17*B58+(1-$B$17)*B59</f>
        <v>-3265.00439351696</v>
      </c>
      <c r="C60" s="93">
        <f>$B$17*C58+(1-$B$17)*C59</f>
        <v>-307.6648858096654</v>
      </c>
      <c r="D60" s="93">
        <f>$B$17*D58+(1-$B$17)*D59</f>
        <v>-878.6567000814089</v>
      </c>
      <c r="E60" s="93">
        <f>$B$17*E58+(1-$B$17)*E59</f>
        <v>1186.3215858910746</v>
      </c>
    </row>
    <row r="61">
      <c r="A61" s="13" t="inlineStr">
        <is>
          <t>Expected P/L ÷ max loss</t>
        </is>
      </c>
      <c r="B61" s="54">
        <f>B60/-B54</f>
        <v>-0.4073617459160274</v>
      </c>
      <c r="C61" s="54">
        <f>C60/-C54</f>
        <v>-0.13204501536895513</v>
      </c>
      <c r="D61" s="54">
        <f>D60/-D54</f>
        <v>-0.2862238946492462</v>
      </c>
      <c r="E61" s="54">
        <f>E60/-E54</f>
        <v>0.45624647632852355</v>
      </c>
    </row>
    <row r="63">
      <c r="A63" s="30" t="inlineStr">
        <is>
          <t>Payoff at expiry per contract ($)</t>
        </is>
      </c>
    </row>
    <row r="64">
      <c r="A64" s="29" t="inlineStr">
        <is>
          <t>Price at expiry</t>
        </is>
      </c>
      <c r="B64" s="29" t="inlineStr">
        <is>
          <t>Long straddle</t>
        </is>
      </c>
      <c r="C64" s="29" t="inlineStr">
        <is>
          <t>Bull call spread</t>
        </is>
      </c>
      <c r="D64" s="29" t="inlineStr">
        <is>
          <t>Bear put spread</t>
        </is>
      </c>
      <c r="E64" s="29" t="inlineStr">
        <is>
          <t>Iron butterfly</t>
        </is>
      </c>
    </row>
    <row r="65">
      <c r="A65" s="94" t="n">
        <v>1.3</v>
      </c>
      <c r="B65" s="52">
        <f>(MAX($A65-240.0,0)+MAX(240.0-$A65,0)-$G$43-$G$44)*$B$11</f>
        <v>15854.999999999998</v>
      </c>
      <c r="C65" s="52">
        <f>(MAX($A65-240.0,0)-MAX($A65-320.0,0)-$G$43+$G$45)*$B$11</f>
        <v>-2329.9999999999995</v>
      </c>
      <c r="D65" s="52">
        <f>(MAX(240.0-$A65,0)-MAX(160.0-$A65,0)-$G$44+$G$46)*$B$11</f>
        <v>4930.176982050499</v>
      </c>
      <c r="E65" s="52">
        <f>($G$43+$G$44-$G$45-$G$46-MAX($A65-240.0,0)-MAX(240.0-$A65,0)+MAX($A65-320.0,0)+MAX(160.0-$A65,0))*$B$11</f>
        <v>-2600.1769820504987</v>
      </c>
    </row>
    <row r="66">
      <c r="A66" s="94" t="n">
        <v>17.3</v>
      </c>
      <c r="B66" s="52">
        <f>(MAX($A66-240.0,0)+MAX(240.0-$A66,0)-$G$43-$G$44)*$B$11</f>
        <v>14254.999999999998</v>
      </c>
      <c r="C66" s="52">
        <f>(MAX($A66-240.0,0)-MAX($A66-320.0,0)-$G$43+$G$45)*$B$11</f>
        <v>-2329.9999999999995</v>
      </c>
      <c r="D66" s="52">
        <f>(MAX(240.0-$A66,0)-MAX(160.0-$A66,0)-$G$44+$G$46)*$B$11</f>
        <v>4930.176982050499</v>
      </c>
      <c r="E66" s="52">
        <f>($G$43+$G$44-$G$45-$G$46-MAX($A66-240.0,0)-MAX(240.0-$A66,0)+MAX($A66-320.0,0)+MAX(160.0-$A66,0))*$B$11</f>
        <v>-2600.1769820504987</v>
      </c>
    </row>
    <row r="67">
      <c r="A67" s="94" t="n">
        <v>33.4</v>
      </c>
      <c r="B67" s="52">
        <f>(MAX($A67-240.0,0)+MAX(240.0-$A67,0)-$G$43-$G$44)*$B$11</f>
        <v>12645.000000000002</v>
      </c>
      <c r="C67" s="52">
        <f>(MAX($A67-240.0,0)-MAX($A67-320.0,0)-$G$43+$G$45)*$B$11</f>
        <v>-2329.9999999999995</v>
      </c>
      <c r="D67" s="52">
        <f>(MAX(240.0-$A67,0)-MAX(160.0-$A67,0)-$G$44+$G$46)*$B$11</f>
        <v>4930.176982050499</v>
      </c>
      <c r="E67" s="52">
        <f>($G$43+$G$44-$G$45-$G$46-MAX($A67-240.0,0)-MAX(240.0-$A67,0)+MAX($A67-320.0,0)+MAX(160.0-$A67,0))*$B$11</f>
        <v>-2600.1769820504987</v>
      </c>
    </row>
    <row r="68">
      <c r="A68" s="94" t="n">
        <v>49.4</v>
      </c>
      <c r="B68" s="52">
        <f>(MAX($A68-240.0,0)+MAX(240.0-$A68,0)-$G$43-$G$44)*$B$11</f>
        <v>11045.000000000002</v>
      </c>
      <c r="C68" s="52">
        <f>(MAX($A68-240.0,0)-MAX($A68-320.0,0)-$G$43+$G$45)*$B$11</f>
        <v>-2329.9999999999995</v>
      </c>
      <c r="D68" s="52">
        <f>(MAX(240.0-$A68,0)-MAX(160.0-$A68,0)-$G$44+$G$46)*$B$11</f>
        <v>4930.176982050499</v>
      </c>
      <c r="E68" s="52">
        <f>($G$43+$G$44-$G$45-$G$46-MAX($A68-240.0,0)-MAX(240.0-$A68,0)+MAX($A68-320.0,0)+MAX(160.0-$A68,0))*$B$11</f>
        <v>-2600.1769820504987</v>
      </c>
    </row>
    <row r="69">
      <c r="A69" s="94" t="n">
        <v>65.40000000000001</v>
      </c>
      <c r="B69" s="52">
        <f>(MAX($A69-240.0,0)+MAX(240.0-$A69,0)-$G$43-$G$44)*$B$11</f>
        <v>9445.000000000002</v>
      </c>
      <c r="C69" s="52">
        <f>(MAX($A69-240.0,0)-MAX($A69-320.0,0)-$G$43+$G$45)*$B$11</f>
        <v>-2329.9999999999995</v>
      </c>
      <c r="D69" s="52">
        <f>(MAX(240.0-$A69,0)-MAX(160.0-$A69,0)-$G$44+$G$46)*$B$11</f>
        <v>4930.176982050499</v>
      </c>
      <c r="E69" s="52">
        <f>($G$43+$G$44-$G$45-$G$46-MAX($A69-240.0,0)-MAX(240.0-$A69,0)+MAX($A69-320.0,0)+MAX(160.0-$A69,0))*$B$11</f>
        <v>-2600.1769820504987</v>
      </c>
    </row>
    <row r="70">
      <c r="A70" s="94" t="n">
        <v>81.5</v>
      </c>
      <c r="B70" s="52">
        <f>(MAX($A70-240.0,0)+MAX(240.0-$A70,0)-$G$43-$G$44)*$B$11</f>
        <v>7834.999999999999</v>
      </c>
      <c r="C70" s="52">
        <f>(MAX($A70-240.0,0)-MAX($A70-320.0,0)-$G$43+$G$45)*$B$11</f>
        <v>-2329.9999999999995</v>
      </c>
      <c r="D70" s="52">
        <f>(MAX(240.0-$A70,0)-MAX(160.0-$A70,0)-$G$44+$G$46)*$B$11</f>
        <v>4930.176982050499</v>
      </c>
      <c r="E70" s="52">
        <f>($G$43+$G$44-$G$45-$G$46-MAX($A70-240.0,0)-MAX(240.0-$A70,0)+MAX($A70-320.0,0)+MAX(160.0-$A70,0))*$B$11</f>
        <v>-2600.1769820504987</v>
      </c>
    </row>
    <row r="71">
      <c r="A71" s="94" t="n">
        <v>97.5</v>
      </c>
      <c r="B71" s="52">
        <f>(MAX($A71-240.0,0)+MAX(240.0-$A71,0)-$G$43-$G$44)*$B$11</f>
        <v>6235.0</v>
      </c>
      <c r="C71" s="52">
        <f>(MAX($A71-240.0,0)-MAX($A71-320.0,0)-$G$43+$G$45)*$B$11</f>
        <v>-2329.9999999999995</v>
      </c>
      <c r="D71" s="52">
        <f>(MAX(240.0-$A71,0)-MAX(160.0-$A71,0)-$G$44+$G$46)*$B$11</f>
        <v>4930.176982050499</v>
      </c>
      <c r="E71" s="52">
        <f>($G$43+$G$44-$G$45-$G$46-MAX($A71-240.0,0)-MAX(240.0-$A71,0)+MAX($A71-320.0,0)+MAX(160.0-$A71,0))*$B$11</f>
        <v>-2600.1769820504987</v>
      </c>
    </row>
    <row r="72">
      <c r="A72" s="94" t="n">
        <v>113.5</v>
      </c>
      <c r="B72" s="52">
        <f>(MAX($A72-240.0,0)+MAX(240.0-$A72,0)-$G$43-$G$44)*$B$11</f>
        <v>4635.0</v>
      </c>
      <c r="C72" s="52">
        <f>(MAX($A72-240.0,0)-MAX($A72-320.0,0)-$G$43+$G$45)*$B$11</f>
        <v>-2329.9999999999995</v>
      </c>
      <c r="D72" s="52">
        <f>(MAX(240.0-$A72,0)-MAX(160.0-$A72,0)-$G$44+$G$46)*$B$11</f>
        <v>4930.176982050499</v>
      </c>
      <c r="E72" s="52">
        <f>($G$43+$G$44-$G$45-$G$46-MAX($A72-240.0,0)-MAX(240.0-$A72,0)+MAX($A72-320.0,0)+MAX(160.0-$A72,0))*$B$11</f>
        <v>-2600.1769820504987</v>
      </c>
    </row>
    <row r="73">
      <c r="A73" s="94" t="n">
        <v>129.6</v>
      </c>
      <c r="B73" s="52">
        <f>(MAX($A73-240.0,0)+MAX(240.0-$A73,0)-$G$43-$G$44)*$B$11</f>
        <v>3025.000000000001</v>
      </c>
      <c r="C73" s="52">
        <f>(MAX($A73-240.0,0)-MAX($A73-320.0,0)-$G$43+$G$45)*$B$11</f>
        <v>-2329.9999999999995</v>
      </c>
      <c r="D73" s="52">
        <f>(MAX(240.0-$A73,0)-MAX(160.0-$A73,0)-$G$44+$G$46)*$B$11</f>
        <v>4930.176982050499</v>
      </c>
      <c r="E73" s="52">
        <f>($G$43+$G$44-$G$45-$G$46-MAX($A73-240.0,0)-MAX(240.0-$A73,0)+MAX($A73-320.0,0)+MAX(160.0-$A73,0))*$B$11</f>
        <v>-2600.1769820504987</v>
      </c>
    </row>
    <row r="74">
      <c r="A74" s="94" t="n">
        <v>145.6</v>
      </c>
      <c r="B74" s="52">
        <f>(MAX($A74-240.0,0)+MAX(240.0-$A74,0)-$G$43-$G$44)*$B$11</f>
        <v>1425.0000000000007</v>
      </c>
      <c r="C74" s="52">
        <f>(MAX($A74-240.0,0)-MAX($A74-320.0,0)-$G$43+$G$45)*$B$11</f>
        <v>-2329.9999999999995</v>
      </c>
      <c r="D74" s="52">
        <f>(MAX(240.0-$A74,0)-MAX(160.0-$A74,0)-$G$44+$G$46)*$B$11</f>
        <v>4930.176982050499</v>
      </c>
      <c r="E74" s="52">
        <f>($G$43+$G$44-$G$45-$G$46-MAX($A74-240.0,0)-MAX(240.0-$A74,0)+MAX($A74-320.0,0)+MAX(160.0-$A74,0))*$B$11</f>
        <v>-2600.1769820504987</v>
      </c>
    </row>
    <row r="75">
      <c r="A75" s="94" t="n">
        <v>161.6</v>
      </c>
      <c r="B75" s="52">
        <f>(MAX($A75-240.0,0)+MAX(240.0-$A75,0)-$G$43-$G$44)*$B$11</f>
        <v>-174.9999999999993</v>
      </c>
      <c r="C75" s="52">
        <f>(MAX($A75-240.0,0)-MAX($A75-320.0,0)-$G$43+$G$45)*$B$11</f>
        <v>-2329.9999999999995</v>
      </c>
      <c r="D75" s="52">
        <f>(MAX(240.0-$A75,0)-MAX(160.0-$A75,0)-$G$44+$G$46)*$B$11</f>
        <v>4770.1769820505</v>
      </c>
      <c r="E75" s="52">
        <f>($G$43+$G$44-$G$45-$G$46-MAX($A75-240.0,0)-MAX(240.0-$A75,0)+MAX($A75-320.0,0)+MAX(160.0-$A75,0))*$B$11</f>
        <v>-2440.1769820504996</v>
      </c>
    </row>
    <row r="76">
      <c r="A76" s="94" t="n">
        <v>177.6</v>
      </c>
      <c r="B76" s="52">
        <f>(MAX($A76-240.0,0)+MAX(240.0-$A76,0)-$G$43-$G$44)*$B$11</f>
        <v>-1774.9999999999993</v>
      </c>
      <c r="C76" s="52">
        <f>(MAX($A76-240.0,0)-MAX($A76-320.0,0)-$G$43+$G$45)*$B$11</f>
        <v>-2329.9999999999995</v>
      </c>
      <c r="D76" s="52">
        <f>(MAX(240.0-$A76,0)-MAX(160.0-$A76,0)-$G$44+$G$46)*$B$11</f>
        <v>3170.1769820504996</v>
      </c>
      <c r="E76" s="52">
        <f>($G$43+$G$44-$G$45-$G$46-MAX($A76-240.0,0)-MAX(240.0-$A76,0)+MAX($A76-320.0,0)+MAX(160.0-$A76,0))*$B$11</f>
        <v>-840.1769820504995</v>
      </c>
    </row>
    <row r="77">
      <c r="A77" s="94" t="n">
        <v>193.7</v>
      </c>
      <c r="B77" s="52">
        <f>(MAX($A77-240.0,0)+MAX(240.0-$A77,0)-$G$43-$G$44)*$B$11</f>
        <v>-3384.9999999999986</v>
      </c>
      <c r="C77" s="52">
        <f>(MAX($A77-240.0,0)-MAX($A77-320.0,0)-$G$43+$G$45)*$B$11</f>
        <v>-2329.9999999999995</v>
      </c>
      <c r="D77" s="52">
        <f>(MAX(240.0-$A77,0)-MAX(160.0-$A77,0)-$G$44+$G$46)*$B$11</f>
        <v>1560.1769820505</v>
      </c>
      <c r="E77" s="52">
        <f>($G$43+$G$44-$G$45-$G$46-MAX($A77-240.0,0)-MAX(240.0-$A77,0)+MAX($A77-320.0,0)+MAX(160.0-$A77,0))*$B$11</f>
        <v>769.8230179494999</v>
      </c>
    </row>
    <row r="78">
      <c r="A78" s="94" t="n">
        <v>209.7</v>
      </c>
      <c r="B78" s="52">
        <f>(MAX($A78-240.0,0)+MAX(240.0-$A78,0)-$G$43-$G$44)*$B$11</f>
        <v>-4984.999999999999</v>
      </c>
      <c r="C78" s="52">
        <f>(MAX($A78-240.0,0)-MAX($A78-320.0,0)-$G$43+$G$45)*$B$11</f>
        <v>-2329.9999999999995</v>
      </c>
      <c r="D78" s="52">
        <f>(MAX(240.0-$A78,0)-MAX(160.0-$A78,0)-$G$44+$G$46)*$B$11</f>
        <v>-39.82301794949983</v>
      </c>
      <c r="E78" s="52">
        <f>($G$43+$G$44-$G$45-$G$46-MAX($A78-240.0,0)-MAX(240.0-$A78,0)+MAX($A78-320.0,0)+MAX(160.0-$A78,0))*$B$11</f>
        <v>2369.8230179495</v>
      </c>
    </row>
    <row r="79">
      <c r="A79" s="94" t="n">
        <v>225.7</v>
      </c>
      <c r="B79" s="52">
        <f>(MAX($A79-240.0,0)+MAX(240.0-$A79,0)-$G$43-$G$44)*$B$11</f>
        <v>-6584.999999999999</v>
      </c>
      <c r="C79" s="52">
        <f>(MAX($A79-240.0,0)-MAX($A79-320.0,0)-$G$43+$G$45)*$B$11</f>
        <v>-2329.9999999999995</v>
      </c>
      <c r="D79" s="52">
        <f>(MAX(240.0-$A79,0)-MAX(160.0-$A79,0)-$G$44+$G$46)*$B$11</f>
        <v>-1639.8230179495</v>
      </c>
      <c r="E79" s="52">
        <f>($G$43+$G$44-$G$45-$G$46-MAX($A79-240.0,0)-MAX(240.0-$A79,0)+MAX($A79-320.0,0)+MAX(160.0-$A79,0))*$B$11</f>
        <v>3969.8230179495</v>
      </c>
    </row>
    <row r="80">
      <c r="A80" s="94" t="n">
        <v>241.8</v>
      </c>
      <c r="B80" s="52">
        <f>(MAX($A80-240.0,0)+MAX(240.0-$A80,0)-$G$43-$G$44)*$B$11</f>
        <v>-7834.999999999999</v>
      </c>
      <c r="C80" s="52">
        <f>(MAX($A80-240.0,0)-MAX($A80-320.0,0)-$G$43+$G$45)*$B$11</f>
        <v>-2149.9999999999986</v>
      </c>
      <c r="D80" s="52">
        <f>(MAX(240.0-$A80,0)-MAX(160.0-$A80,0)-$G$44+$G$46)*$B$11</f>
        <v>-3069.823017949501</v>
      </c>
      <c r="E80" s="52">
        <f>($G$43+$G$44-$G$45-$G$46-MAX($A80-240.0,0)-MAX(240.0-$A80,0)+MAX($A80-320.0,0)+MAX(160.0-$A80,0))*$B$11</f>
        <v>5219.8230179495</v>
      </c>
    </row>
    <row r="81">
      <c r="A81" s="94" t="n">
        <v>257.8</v>
      </c>
      <c r="B81" s="52">
        <f>(MAX($A81-240.0,0)+MAX(240.0-$A81,0)-$G$43-$G$44)*$B$11</f>
        <v>-6234.999999999999</v>
      </c>
      <c r="C81" s="52">
        <f>(MAX($A81-240.0,0)-MAX($A81-320.0,0)-$G$43+$G$45)*$B$11</f>
        <v>-549.9999999999986</v>
      </c>
      <c r="D81" s="52">
        <f>(MAX(240.0-$A81,0)-MAX(160.0-$A81,0)-$G$44+$G$46)*$B$11</f>
        <v>-3069.823017949501</v>
      </c>
      <c r="E81" s="52">
        <f>($G$43+$G$44-$G$45-$G$46-MAX($A81-240.0,0)-MAX(240.0-$A81,0)+MAX($A81-320.0,0)+MAX(160.0-$A81,0))*$B$11</f>
        <v>3619.8230179495</v>
      </c>
    </row>
    <row r="82">
      <c r="A82" s="94" t="n">
        <v>273.8</v>
      </c>
      <c r="B82" s="52">
        <f>(MAX($A82-240.0,0)+MAX(240.0-$A82,0)-$G$43-$G$44)*$B$11</f>
        <v>-4634.999999999999</v>
      </c>
      <c r="C82" s="52">
        <f>(MAX($A82-240.0,0)-MAX($A82-320.0,0)-$G$43+$G$45)*$B$11</f>
        <v>1050.0000000000014</v>
      </c>
      <c r="D82" s="52">
        <f>(MAX(240.0-$A82,0)-MAX(160.0-$A82,0)-$G$44+$G$46)*$B$11</f>
        <v>-3069.823017949501</v>
      </c>
      <c r="E82" s="52">
        <f>($G$43+$G$44-$G$45-$G$46-MAX($A82-240.0,0)-MAX(240.0-$A82,0)+MAX($A82-320.0,0)+MAX(160.0-$A82,0))*$B$11</f>
        <v>2019.8230179495</v>
      </c>
    </row>
    <row r="83">
      <c r="A83" s="94" t="n">
        <v>289.9</v>
      </c>
      <c r="B83" s="52">
        <f>(MAX($A83-240.0,0)+MAX(240.0-$A83,0)-$G$43-$G$44)*$B$11</f>
        <v>-3025.0000000000023</v>
      </c>
      <c r="C83" s="52">
        <f>(MAX($A83-240.0,0)-MAX($A83-320.0,0)-$G$43+$G$45)*$B$11</f>
        <v>2659.999999999998</v>
      </c>
      <c r="D83" s="52">
        <f>(MAX(240.0-$A83,0)-MAX(160.0-$A83,0)-$G$44+$G$46)*$B$11</f>
        <v>-3069.823017949501</v>
      </c>
      <c r="E83" s="52">
        <f>($G$43+$G$44-$G$45-$G$46-MAX($A83-240.0,0)-MAX(240.0-$A83,0)+MAX($A83-320.0,0)+MAX(160.0-$A83,0))*$B$11</f>
        <v>409.8230179495033</v>
      </c>
    </row>
    <row r="84">
      <c r="A84" s="94" t="n">
        <v>305.9</v>
      </c>
      <c r="B84" s="52">
        <f>(MAX($A84-240.0,0)+MAX(240.0-$A84,0)-$G$43-$G$44)*$B$11</f>
        <v>-1425.000000000002</v>
      </c>
      <c r="C84" s="52">
        <f>(MAX($A84-240.0,0)-MAX($A84-320.0,0)-$G$43+$G$45)*$B$11</f>
        <v>4259.999999999998</v>
      </c>
      <c r="D84" s="52">
        <f>(MAX(240.0-$A84,0)-MAX(160.0-$A84,0)-$G$44+$G$46)*$B$11</f>
        <v>-3069.823017949501</v>
      </c>
      <c r="E84" s="52">
        <f>($G$43+$G$44-$G$45-$G$46-MAX($A84-240.0,0)-MAX(240.0-$A84,0)+MAX($A84-320.0,0)+MAX(160.0-$A84,0))*$B$11</f>
        <v>-1190.1769820504967</v>
      </c>
    </row>
    <row r="85">
      <c r="A85" s="94" t="n">
        <v>321.9</v>
      </c>
      <c r="B85" s="52">
        <f>(MAX($A85-240.0,0)+MAX(240.0-$A85,0)-$G$43-$G$44)*$B$11</f>
        <v>174.99999999999787</v>
      </c>
      <c r="C85" s="52">
        <f>(MAX($A85-240.0,0)-MAX($A85-320.0,0)-$G$43+$G$45)*$B$11</f>
        <v>5670.0</v>
      </c>
      <c r="D85" s="52">
        <f>(MAX(240.0-$A85,0)-MAX(160.0-$A85,0)-$G$44+$G$46)*$B$11</f>
        <v>-3069.823017949501</v>
      </c>
      <c r="E85" s="52">
        <f>($G$43+$G$44-$G$45-$G$46-MAX($A85-240.0,0)-MAX(240.0-$A85,0)+MAX($A85-320.0,0)+MAX(160.0-$A85,0))*$B$11</f>
        <v>-2600.1769820504987</v>
      </c>
    </row>
    <row r="86">
      <c r="A86" s="94" t="n">
        <v>337.9</v>
      </c>
      <c r="B86" s="52">
        <f>(MAX($A86-240.0,0)+MAX(240.0-$A86,0)-$G$43-$G$44)*$B$11</f>
        <v>1774.999999999998</v>
      </c>
      <c r="C86" s="52">
        <f>(MAX($A86-240.0,0)-MAX($A86-320.0,0)-$G$43+$G$45)*$B$11</f>
        <v>5670.0</v>
      </c>
      <c r="D86" s="52">
        <f>(MAX(240.0-$A86,0)-MAX(160.0-$A86,0)-$G$44+$G$46)*$B$11</f>
        <v>-3069.823017949501</v>
      </c>
      <c r="E86" s="52">
        <f>($G$43+$G$44-$G$45-$G$46-MAX($A86-240.0,0)-MAX(240.0-$A86,0)+MAX($A86-320.0,0)+MAX(160.0-$A86,0))*$B$11</f>
        <v>-2600.1769820504987</v>
      </c>
    </row>
    <row r="87">
      <c r="A87" s="94" t="n">
        <v>354</v>
      </c>
      <c r="B87" s="52">
        <f>(MAX($A87-240.0,0)+MAX(240.0-$A87,0)-$G$43-$G$44)*$B$11</f>
        <v>3385.0</v>
      </c>
      <c r="C87" s="52">
        <f>(MAX($A87-240.0,0)-MAX($A87-320.0,0)-$G$43+$G$45)*$B$11</f>
        <v>5670.0</v>
      </c>
      <c r="D87" s="52">
        <f>(MAX(240.0-$A87,0)-MAX(160.0-$A87,0)-$G$44+$G$46)*$B$11</f>
        <v>-3069.823017949501</v>
      </c>
      <c r="E87" s="52">
        <f>($G$43+$G$44-$G$45-$G$46-MAX($A87-240.0,0)-MAX(240.0-$A87,0)+MAX($A87-320.0,0)+MAX(160.0-$A87,0))*$B$11</f>
        <v>-2600.1769820504987</v>
      </c>
    </row>
    <row r="88">
      <c r="A88" s="94" t="n">
        <v>370</v>
      </c>
      <c r="B88" s="52">
        <f>(MAX($A88-240.0,0)+MAX(240.0-$A88,0)-$G$43-$G$44)*$B$11</f>
        <v>4985.0</v>
      </c>
      <c r="C88" s="52">
        <f>(MAX($A88-240.0,0)-MAX($A88-320.0,0)-$G$43+$G$45)*$B$11</f>
        <v>5670.0</v>
      </c>
      <c r="D88" s="52">
        <f>(MAX(240.0-$A88,0)-MAX(160.0-$A88,0)-$G$44+$G$46)*$B$11</f>
        <v>-3069.823017949501</v>
      </c>
      <c r="E88" s="52">
        <f>($G$43+$G$44-$G$45-$G$46-MAX($A88-240.0,0)-MAX(240.0-$A88,0)+MAX($A88-320.0,0)+MAX(160.0-$A88,0))*$B$11</f>
        <v>-2600.1769820504987</v>
      </c>
    </row>
    <row r="89">
      <c r="A89" s="94" t="n">
        <v>386</v>
      </c>
      <c r="B89" s="52">
        <f>(MAX($A89-240.0,0)+MAX(240.0-$A89,0)-$G$43-$G$44)*$B$11</f>
        <v>6584.999999999999</v>
      </c>
      <c r="C89" s="52">
        <f>(MAX($A89-240.0,0)-MAX($A89-320.0,0)-$G$43+$G$45)*$B$11</f>
        <v>5670.0</v>
      </c>
      <c r="D89" s="52">
        <f>(MAX(240.0-$A89,0)-MAX(160.0-$A89,0)-$G$44+$G$46)*$B$11</f>
        <v>-3069.823017949501</v>
      </c>
      <c r="E89" s="52">
        <f>($G$43+$G$44-$G$45-$G$46-MAX($A89-240.0,0)-MAX(240.0-$A89,0)+MAX($A89-320.0,0)+MAX(160.0-$A89,0))*$B$11</f>
        <v>-2600.1769820504987</v>
      </c>
    </row>
    <row r="90">
      <c r="A90" s="94" t="n">
        <v>402.1</v>
      </c>
      <c r="B90" s="52">
        <f>(MAX($A90-240.0,0)+MAX(240.0-$A90,0)-$G$43-$G$44)*$B$11</f>
        <v>8195.000000000002</v>
      </c>
      <c r="C90" s="52">
        <f>(MAX($A90-240.0,0)-MAX($A90-320.0,0)-$G$43+$G$45)*$B$11</f>
        <v>5670.0</v>
      </c>
      <c r="D90" s="52">
        <f>(MAX(240.0-$A90,0)-MAX(160.0-$A90,0)-$G$44+$G$46)*$B$11</f>
        <v>-3069.823017949501</v>
      </c>
      <c r="E90" s="52">
        <f>($G$43+$G$44-$G$45-$G$46-MAX($A90-240.0,0)-MAX(240.0-$A90,0)+MAX($A90-320.0,0)+MAX(160.0-$A90,0))*$B$11</f>
        <v>-2600.1769820504987</v>
      </c>
    </row>
    <row r="91">
      <c r="A91" s="94" t="n">
        <v>418.1</v>
      </c>
      <c r="B91" s="52">
        <f>(MAX($A91-240.0,0)+MAX(240.0-$A91,0)-$G$43-$G$44)*$B$11</f>
        <v>9795.000000000002</v>
      </c>
      <c r="C91" s="52">
        <f>(MAX($A91-240.0,0)-MAX($A91-320.0,0)-$G$43+$G$45)*$B$11</f>
        <v>5670.0</v>
      </c>
      <c r="D91" s="52">
        <f>(MAX(240.0-$A91,0)-MAX(160.0-$A91,0)-$G$44+$G$46)*$B$11</f>
        <v>-3069.823017949501</v>
      </c>
      <c r="E91" s="52">
        <f>($G$43+$G$44-$G$45-$G$46-MAX($A91-240.0,0)-MAX(240.0-$A91,0)+MAX($A91-320.0,0)+MAX(160.0-$A91,0))*$B$11</f>
        <v>-2600.1769820504987</v>
      </c>
    </row>
    <row r="92">
      <c r="A92" s="94" t="n">
        <v>434.1</v>
      </c>
      <c r="B92" s="52">
        <f>(MAX($A92-240.0,0)+MAX(240.0-$A92,0)-$G$43-$G$44)*$B$11</f>
        <v>11395.000000000002</v>
      </c>
      <c r="C92" s="52">
        <f>(MAX($A92-240.0,0)-MAX($A92-320.0,0)-$G$43+$G$45)*$B$11</f>
        <v>5670.0</v>
      </c>
      <c r="D92" s="52">
        <f>(MAX(240.0-$A92,0)-MAX(160.0-$A92,0)-$G$44+$G$46)*$B$11</f>
        <v>-3069.823017949501</v>
      </c>
      <c r="E92" s="52">
        <f>($G$43+$G$44-$G$45-$G$46-MAX($A92-240.0,0)-MAX(240.0-$A92,0)+MAX($A92-320.0,0)+MAX(160.0-$A92,0))*$B$11</f>
        <v>-2600.1769820504987</v>
      </c>
    </row>
    <row r="93">
      <c r="A93" s="94" t="n">
        <v>450.2</v>
      </c>
      <c r="B93" s="52">
        <f>(MAX($A93-240.0,0)+MAX(240.0-$A93,0)-$G$43-$G$44)*$B$11</f>
        <v>13004.999999999998</v>
      </c>
      <c r="C93" s="52">
        <f>(MAX($A93-240.0,0)-MAX($A93-320.0,0)-$G$43+$G$45)*$B$11</f>
        <v>5670.0</v>
      </c>
      <c r="D93" s="52">
        <f>(MAX(240.0-$A93,0)-MAX(160.0-$A93,0)-$G$44+$G$46)*$B$11</f>
        <v>-3069.823017949501</v>
      </c>
      <c r="E93" s="52">
        <f>($G$43+$G$44-$G$45-$G$46-MAX($A93-240.0,0)-MAX(240.0-$A93,0)+MAX($A93-320.0,0)+MAX(160.0-$A93,0))*$B$11</f>
        <v>-2600.1769820504987</v>
      </c>
    </row>
    <row r="94">
      <c r="A94" s="94" t="n">
        <v>466.2</v>
      </c>
      <c r="B94" s="52">
        <f>(MAX($A94-240.0,0)+MAX(240.0-$A94,0)-$G$43-$G$44)*$B$11</f>
        <v>14604.999999999998</v>
      </c>
      <c r="C94" s="52">
        <f>(MAX($A94-240.0,0)-MAX($A94-320.0,0)-$G$43+$G$45)*$B$11</f>
        <v>5670.0</v>
      </c>
      <c r="D94" s="52">
        <f>(MAX(240.0-$A94,0)-MAX(160.0-$A94,0)-$G$44+$G$46)*$B$11</f>
        <v>-3069.823017949501</v>
      </c>
      <c r="E94" s="52">
        <f>($G$43+$G$44-$G$45-$G$46-MAX($A94-240.0,0)-MAX(240.0-$A94,0)+MAX($A94-320.0,0)+MAX(160.0-$A94,0))*$B$11</f>
        <v>-2600.1769820504987</v>
      </c>
    </row>
    <row r="95">
      <c r="A95" s="94" t="n">
        <v>482.2</v>
      </c>
      <c r="B95" s="52">
        <f>(MAX($A95-240.0,0)+MAX(240.0-$A95,0)-$G$43-$G$44)*$B$11</f>
        <v>16204.999999999998</v>
      </c>
      <c r="C95" s="52">
        <f>(MAX($A95-240.0,0)-MAX($A95-320.0,0)-$G$43+$G$45)*$B$11</f>
        <v>5670.0</v>
      </c>
      <c r="D95" s="52">
        <f>(MAX(240.0-$A95,0)-MAX(160.0-$A95,0)-$G$44+$G$46)*$B$11</f>
        <v>-3069.823017949501</v>
      </c>
      <c r="E95" s="52">
        <f>($G$43+$G$44-$G$45-$G$46-MAX($A95-240.0,0)-MAX(240.0-$A95,0)+MAX($A95-320.0,0)+MAX(160.0-$A95,0))*$B$11</f>
        <v>-2600.1769820504987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2026-10-19T17:16:26Z</dcterms:modified>
  <cp:lastModifiedBy>Wang, Eric</cp:lastModifiedBy>
</cp:coreProperties>
</file>