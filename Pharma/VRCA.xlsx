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Verrica Pharmaceuticals Inc</t>
        </is>
      </c>
      <c r="C2" s="10" t="n"/>
    </row>
    <row r="3">
      <c r="B3" t="inlineStr">
        <is>
          <t>Price</t>
        </is>
      </c>
      <c r="C3" s="11">
        <f>INDEX([1]Pharma!$F$1:$F$1000,MATCH("VRCA",[1]Pharma!$B$1:$B$1000,0))</f>
        <v>3.47</v>
      </c>
      <c r="F3" s="1" t="n"/>
    </row>
    <row r="4">
      <c r="B4" t="inlineStr">
        <is>
          <t>Shares</t>
        </is>
      </c>
      <c r="C4" s="21" t="n">
        <v>17.178786</v>
      </c>
      <c r="F4" s="1" t="n"/>
    </row>
    <row r="5">
      <c r="B5" t="inlineStr">
        <is>
          <t>Market Cap.</t>
        </is>
      </c>
      <c r="C5" s="13">
        <f>C3*C4</f>
        <v>59.61038742</v>
      </c>
      <c r="F5" s="1" t="n"/>
    </row>
    <row r="6"/>
    <row r="7">
      <c r="B7" t="inlineStr">
        <is>
          <t>Cash</t>
        </is>
      </c>
      <c r="C7" s="21" t="n">
        <v>11.198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48.41238742</v>
      </c>
    </row>
    <row r="10"/>
    <row r="11">
      <c r="B11" s="14" t="inlineStr">
        <is>
          <t>Net Cash / Share</t>
        </is>
      </c>
      <c r="C11" s="11">
        <f>(C7-C8)/C4</f>
        <v>0.6518504858259484</v>
      </c>
    </row>
    <row r="12">
      <c r="B12" s="14" t="inlineStr">
        <is>
          <t>Upside</t>
        </is>
      </c>
      <c r="C12" s="15">
        <f>IFERROR(C11/C3-1,"")</f>
        <v>-0.8121468340559227</v>
      </c>
    </row>
    <row r="13">
      <c r="B13" s="14" t="inlineStr">
        <is>
          <t>Cash / Share</t>
        </is>
      </c>
      <c r="C13" s="11">
        <f>IFERROR((C7-C8)/C4,"")</f>
        <v>0.6518504858259484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-13.347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0.8389900352139058</v>
      </c>
    </row>
    <row r="19">
      <c r="B19" s="14" t="inlineStr">
        <is>
          <t>Implied Pipeline Value</t>
        </is>
      </c>
      <c r="C19" s="13">
        <f>C9</f>
        <v>48.41238742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12</v>
      </c>
      <c r="G2" s="23" t="n">
        <v>9.032</v>
      </c>
      <c r="H2" s="23" t="n">
        <v>5.124</v>
      </c>
      <c r="I2" s="23" t="n">
        <v>7.566</v>
      </c>
      <c r="J2" s="23" t="n">
        <v>35.577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0.5</v>
      </c>
      <c r="I3" s="23" t="n">
        <v>2.6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12.0</v>
      </c>
      <c r="G4" s="23">
        <f>G2-G3</f>
        <v>9.032</v>
      </c>
      <c r="H4" s="23">
        <f>H2-H3</f>
        <v>4.624</v>
      </c>
      <c r="I4" s="23">
        <f>I2-I3</f>
        <v>4.965999999999999</v>
      </c>
      <c r="J4" s="23">
        <f>J2-J3</f>
        <v>35.577</v>
      </c>
      <c r="K4" s="1" t="n"/>
    </row>
    <row r="5">
      <c r="A5" s="2" t="inlineStr">
        <is>
          <t>Research &amp; Dev.</t>
        </is>
      </c>
      <c r="B5" s="23" t="n">
        <v>3.73</v>
      </c>
      <c r="C5" s="23" t="n">
        <v>12.826</v>
      </c>
      <c r="D5" s="23" t="n">
        <v>15.436</v>
      </c>
      <c r="E5" s="23" t="n">
        <v>15.673</v>
      </c>
      <c r="F5" s="23" t="n">
        <v>15.929</v>
      </c>
      <c r="G5" s="23" t="n">
        <v>12.198</v>
      </c>
      <c r="H5" s="23" t="n">
        <v>20.295</v>
      </c>
      <c r="I5" s="23" t="n">
        <v>11.84</v>
      </c>
      <c r="J5" s="23" t="n">
        <v>8.855</v>
      </c>
      <c r="K5" s="1" t="n"/>
    </row>
    <row r="6">
      <c r="A6" s="19" t="inlineStr">
        <is>
          <t>SG&amp;A &amp; Other</t>
        </is>
      </c>
      <c r="B6" s="23" t="n">
        <v>0.727</v>
      </c>
      <c r="C6" s="23" t="n">
        <v>9.052</v>
      </c>
      <c r="D6" s="23" t="n">
        <v>14.644</v>
      </c>
      <c r="E6" s="23" t="n">
        <v>24.508</v>
      </c>
      <c r="F6" s="23" t="n">
        <v>26.979</v>
      </c>
      <c r="G6" s="23" t="n">
        <v>18.13</v>
      </c>
      <c r="H6" s="23" t="n">
        <v>50.088</v>
      </c>
      <c r="I6" s="23" t="n">
        <v>59.045</v>
      </c>
      <c r="J6" s="23" t="n">
        <v>38.907</v>
      </c>
      <c r="K6" s="1" t="n"/>
    </row>
    <row r="7">
      <c r="A7" s="2" t="inlineStr">
        <is>
          <t>Operating Expense</t>
        </is>
      </c>
      <c r="B7" s="23">
        <f>SUM(B5:B6)</f>
        <v>4.457</v>
      </c>
      <c r="C7" s="23">
        <f>SUM(C5:C6)</f>
        <v>21.878</v>
      </c>
      <c r="D7" s="23">
        <f>SUM(D5:D6)</f>
        <v>30.08</v>
      </c>
      <c r="E7" s="23">
        <f>SUM(E5:E6)</f>
        <v>40.181</v>
      </c>
      <c r="F7" s="23">
        <f>SUM(F5:F6)</f>
        <v>42.908</v>
      </c>
      <c r="G7" s="23">
        <f>SUM(G5:G6)</f>
        <v>30.328</v>
      </c>
      <c r="H7" s="23">
        <f>SUM(H5:H6)</f>
        <v>70.38300000000001</v>
      </c>
      <c r="I7" s="23">
        <f>SUM(I5:I6)</f>
        <v>70.885</v>
      </c>
      <c r="J7" s="23">
        <f>SUM(J5:J6)</f>
        <v>47.762</v>
      </c>
      <c r="K7" s="1" t="n"/>
    </row>
    <row r="8">
      <c r="A8" s="2" t="inlineStr">
        <is>
          <t>Operating Income</t>
        </is>
      </c>
      <c r="B8" s="23">
        <f>B4-B7</f>
        <v>-4.457</v>
      </c>
      <c r="C8" s="23">
        <f>C4-C7</f>
        <v>-21.878</v>
      </c>
      <c r="D8" s="23">
        <f>D4-D7</f>
        <v>-30.08</v>
      </c>
      <c r="E8" s="23">
        <f>E4-E7</f>
        <v>-40.181</v>
      </c>
      <c r="F8" s="23">
        <f>F4-F7</f>
        <v>-30.908</v>
      </c>
      <c r="G8" s="23">
        <f>G4-G7</f>
        <v>-21.296</v>
      </c>
      <c r="H8" s="23">
        <f>H4-H7</f>
        <v>-65.75900000000001</v>
      </c>
      <c r="I8" s="23">
        <f>I4-I7</f>
        <v>-65.91900000000001</v>
      </c>
      <c r="J8" s="23">
        <f>J4-J7</f>
        <v>-12.185000000000002</v>
      </c>
      <c r="K8" s="1" t="n"/>
    </row>
    <row r="9">
      <c r="A9" s="19" t="inlineStr">
        <is>
          <t>Interest &amp; Other</t>
        </is>
      </c>
      <c r="B9" s="23" t="n">
        <v>-0.002</v>
      </c>
      <c r="C9" s="23" t="n">
        <v>1.23</v>
      </c>
      <c r="D9" s="23" t="n">
        <v>1.873</v>
      </c>
      <c r="E9" s="23" t="n">
        <v>-2.513</v>
      </c>
      <c r="F9" s="23" t="n">
        <v>-4.172</v>
      </c>
      <c r="G9" s="23" t="n">
        <v>-3.191</v>
      </c>
      <c r="H9" s="23" t="n">
        <v>-1.241</v>
      </c>
      <c r="I9" s="23" t="n">
        <v>-10.681</v>
      </c>
      <c r="J9" s="23" t="n">
        <v>-5.715</v>
      </c>
    </row>
    <row r="10">
      <c r="A10" s="2" t="inlineStr">
        <is>
          <t>Pretax</t>
        </is>
      </c>
      <c r="B10" s="23">
        <f>B8+B9</f>
        <v>-4.459</v>
      </c>
      <c r="C10" s="23">
        <f>C8+C9</f>
        <v>-20.648</v>
      </c>
      <c r="D10" s="23">
        <f>D8+D9</f>
        <v>-28.206999999999997</v>
      </c>
      <c r="E10" s="23">
        <f>E8+E9</f>
        <v>-42.693999999999996</v>
      </c>
      <c r="F10" s="23">
        <f>F8+F9</f>
        <v>-35.08</v>
      </c>
      <c r="G10" s="23">
        <f>G8+G9</f>
        <v>-24.487</v>
      </c>
      <c r="H10" s="23">
        <f>H8+H9</f>
        <v>-67.00000000000001</v>
      </c>
      <c r="I10" s="23">
        <f>I8+I9</f>
        <v>-76.60000000000001</v>
      </c>
      <c r="J10" s="23">
        <f>J8+J9</f>
        <v>-17.900000000000002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</row>
    <row r="12">
      <c r="A12" s="2" t="inlineStr">
        <is>
          <t>Net Income</t>
        </is>
      </c>
      <c r="B12" s="23" t="n">
        <v>-4.459</v>
      </c>
      <c r="C12" s="23" t="n">
        <v>-20.648</v>
      </c>
      <c r="D12" s="23" t="n">
        <v>-28.207</v>
      </c>
      <c r="E12" s="23" t="n">
        <v>-42.694</v>
      </c>
      <c r="F12" s="23" t="n">
        <v>-35.08</v>
      </c>
      <c r="G12" s="23" t="n">
        <v>-24.487</v>
      </c>
      <c r="H12" s="23" t="n">
        <v>-67</v>
      </c>
      <c r="I12" s="23" t="n">
        <v>-76.59999999999999</v>
      </c>
      <c r="J12" s="23" t="n">
        <v>-17.9</v>
      </c>
      <c r="K12" s="1" t="n"/>
    </row>
    <row r="13">
      <c r="A13" s="2" t="inlineStr">
        <is>
          <t>Earnings per Share</t>
        </is>
      </c>
      <c r="B13" s="11">
        <f>IFERROR(B12/B14,0)</f>
        <v>-1.5645614035087718</v>
      </c>
      <c r="C13" s="11">
        <f>IFERROR(C12/C14,0)</f>
        <v>-1.4081702243742753</v>
      </c>
      <c r="D13" s="11">
        <f>IFERROR(D12/D14,0)</f>
        <v>-1.132902241143867</v>
      </c>
      <c r="E13" s="11">
        <f>IFERROR(E12/E14,0)</f>
        <v>-1.7080332853256524</v>
      </c>
      <c r="F13" s="11">
        <f>IFERROR(F12/F14,0)</f>
        <v>-1.2971453926933885</v>
      </c>
      <c r="G13" s="11">
        <f>IFERROR(G12/G14,0)</f>
        <v>-0.7167696045429266</v>
      </c>
      <c r="H13" s="11">
        <f>IFERROR(H12/H14,0)</f>
        <v>-1.4776586828988576</v>
      </c>
      <c r="I13" s="11">
        <f>IFERROR(I12/I14,0)</f>
        <v>-14.784790580968924</v>
      </c>
      <c r="J13" s="11">
        <f>IFERROR(J12/J14,0)</f>
        <v>-1.6804355989485542</v>
      </c>
    </row>
    <row r="14">
      <c r="A14" s="2" t="inlineStr">
        <is>
          <t>Shares</t>
        </is>
      </c>
      <c r="B14" s="23" t="n">
        <v>2.85</v>
      </c>
      <c r="C14" s="23" t="n">
        <v>14.663</v>
      </c>
      <c r="D14" s="23" t="n">
        <v>24.898</v>
      </c>
      <c r="E14" s="23" t="n">
        <v>24.996</v>
      </c>
      <c r="F14" s="23" t="n">
        <v>27.044</v>
      </c>
      <c r="G14" s="23" t="n">
        <v>34.163</v>
      </c>
      <c r="H14" s="23" t="n">
        <v>45.342</v>
      </c>
      <c r="I14" s="23" t="n">
        <v>5.181</v>
      </c>
      <c r="J14" s="23" t="n">
        <v>10.652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-0.2473333333333333</v>
      </c>
      <c r="H16" s="15">
        <f>IFERROR(H2/G2-1,"")</f>
        <v>-0.43268379096545617</v>
      </c>
      <c r="I16" s="15">
        <f>IFERROR(I2/H2-1,"")</f>
        <v>0.4765807962529274</v>
      </c>
      <c r="J16" s="15">
        <f>IFERROR(J2/I2-1,"")</f>
        <v>3.702220459952419</v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0.9024199843871975</v>
      </c>
      <c r="I17" s="15">
        <f>IFERROR(I4/I2,"")</f>
        <v>0.6563573883161511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-2.5756666666666668</v>
      </c>
      <c r="G18" s="15">
        <f>IFERROR(G8/G2,"")</f>
        <v>-2.357838795394154</v>
      </c>
      <c r="H18" s="15">
        <f>IFERROR(H8/H2,"")</f>
        <v>-12.833528493364563</v>
      </c>
      <c r="I18" s="15">
        <f>IFERROR(I8/I2,"")</f>
        <v>-8.712529738302935</v>
      </c>
      <c r="J18" s="15">
        <f>IFERROR(J8/J2,"")</f>
        <v>-0.34249655676420165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2026-10-21T01:06:07Z</dcterms:modified>
  <cp:lastModifiedBy>Wang, Eric</cp:lastModifiedBy>
</cp:coreProperties>
</file>