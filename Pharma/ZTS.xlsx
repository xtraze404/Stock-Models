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  <sheet name="Options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2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$#,##0;($#,##0);&quot;-&quot;"/>
    <numFmt numFmtId="175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00FF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7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72" fontId="2" fillId="0" borderId="0" pivotButton="0" quotePrefix="0" xfId="0"/>
    <xf numFmtId="170" fontId="10" fillId="0" borderId="0" pivotButton="0" quotePrefix="0" xfId="0"/>
    <xf numFmtId="171" fontId="10" fillId="0" borderId="0" pivotButton="0" quotePrefix="0" xfId="0"/>
    <xf numFmtId="167" fontId="10" fillId="0" borderId="0" pivotButton="0" quotePrefix="0" xfId="0"/>
    <xf numFmtId="167" fontId="7" fillId="2" borderId="0" pivotButton="0" quotePrefix="0" xfId="0"/>
    <xf numFmtId="167" fontId="7" fillId="2" borderId="0" applyAlignment="1" pivotButton="0" quotePrefix="0" xfId="0">
      <alignment horizontal="right"/>
    </xf>
    <xf numFmtId="1" fontId="7" fillId="2" borderId="0" applyAlignment="1" pivotButton="0" quotePrefix="0" xfId="0">
      <alignment horizontal="right"/>
    </xf>
    <xf numFmtId="1" fontId="8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71" fontId="5" fillId="0" borderId="0" pivotButton="0" quotePrefix="0" xfId="0"/>
    <xf numFmtId="171" fontId="2" fillId="0" borderId="0" pivotButton="0" quotePrefix="0" xfId="0"/>
    <xf numFmtId="0" fontId="3" fillId="2" borderId="0" applyAlignment="1" pivotButton="0" quotePrefix="0" xfId="0">
      <alignment horizontal="center"/>
    </xf>
    <xf numFmtId="3" fontId="5" fillId="0" borderId="0" pivotButton="0" quotePrefix="0" xfId="0"/>
    <xf numFmtId="174" fontId="2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72" fontId="2" fillId="0" borderId="0" pivotButton="0" quotePrefix="0" xfId="0"/>
    <xf numFmtId="170" fontId="10" fillId="0" borderId="0" pivotButton="0" quotePrefix="0" xfId="0"/>
    <xf numFmtId="167" fontId="10" fillId="0" borderId="0" pivotButton="0" quotePrefix="0" xfId="0"/>
    <xf numFmtId="167" fontId="7" fillId="2" borderId="0" pivotButton="0" quotePrefix="0" xfId="0"/>
    <xf numFmtId="167" fontId="7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4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Zoetis Inc</t>
        </is>
      </c>
      <c r="C2" s="10" t="n"/>
    </row>
    <row r="3">
      <c r="B3" t="inlineStr">
        <is>
          <t>Price</t>
        </is>
      </c>
      <c r="C3" s="11">
        <f>INDEX([1]Pharma!$F$1:$F$1000,MATCH("ZTS",[1]Pharma!$B$1:$B$1000,0))</f>
        <v>80.04</v>
      </c>
      <c r="F3" s="1" t="n"/>
    </row>
    <row r="4">
      <c r="B4" t="inlineStr">
        <is>
          <t>Shares</t>
        </is>
      </c>
      <c r="C4" s="57" t="n">
        <v>413.223602</v>
      </c>
      <c r="F4" s="1" t="n"/>
    </row>
    <row r="5">
      <c r="B5" t="inlineStr">
        <is>
          <t>Market Cap.</t>
        </is>
      </c>
      <c r="C5" s="13">
        <f>C3*C4</f>
        <v>33074.41710408001</v>
      </c>
      <c r="F5" s="1" t="n"/>
    </row>
    <row r="6"/>
    <row r="7">
      <c r="B7" t="inlineStr">
        <is>
          <t>Cash</t>
        </is>
      </c>
      <c r="C7" s="57">
        <f>1476+200</f>
        <v>1676.0</v>
      </c>
    </row>
    <row r="8">
      <c r="B8" t="inlineStr">
        <is>
          <t>Debt</t>
        </is>
      </c>
      <c r="C8" s="57" t="n">
        <v>9048</v>
      </c>
    </row>
    <row r="9">
      <c r="B9" t="inlineStr">
        <is>
          <t>Enterprise V.</t>
        </is>
      </c>
      <c r="C9" s="13">
        <f>C5-C7+C8</f>
        <v>40446.41710408001</v>
      </c>
    </row>
    <row r="10"/>
    <row r="11">
      <c r="B11" s="14" t="inlineStr">
        <is>
          <t>NPV / Share</t>
        </is>
      </c>
      <c r="C11" s="11">
        <f>NPV!B28</f>
        <v>103.19817392209127</v>
      </c>
    </row>
    <row r="12">
      <c r="B12" s="14" t="inlineStr">
        <is>
          <t>Upside</t>
        </is>
      </c>
      <c r="C12" s="15">
        <f>IFERROR(C11/C3-1,"")</f>
        <v>0.2893325077722546</v>
      </c>
    </row>
    <row r="13">
      <c r="B13" s="14" t="inlineStr">
        <is>
          <t>Cash / Share</t>
        </is>
      </c>
      <c r="C13" s="11">
        <f>IFERROR((C7-C8)/C4,"")</f>
        <v>-17.84022007532861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Reviewed 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2011</v>
      </c>
      <c r="C1" s="16" t="n">
        <v>2012</v>
      </c>
      <c r="D1" s="16" t="n">
        <v>2013</v>
      </c>
      <c r="E1" s="16" t="n">
        <v>2014</v>
      </c>
      <c r="F1" s="16" t="n">
        <v>2015</v>
      </c>
      <c r="G1" s="16" t="n">
        <v>2016</v>
      </c>
      <c r="H1" s="16" t="n">
        <v>2017</v>
      </c>
      <c r="I1" s="16" t="n">
        <v>2018</v>
      </c>
      <c r="J1" s="16" t="n">
        <v>2019</v>
      </c>
      <c r="K1" s="16" t="n">
        <v>2020</v>
      </c>
      <c r="L1" s="16" t="n">
        <v>2021</v>
      </c>
      <c r="M1" s="16" t="n">
        <v>2022</v>
      </c>
      <c r="N1" s="16" t="n">
        <v>2023</v>
      </c>
      <c r="O1" s="16" t="n">
        <v>2024</v>
      </c>
      <c r="P1" s="16" t="n">
        <v>2025</v>
      </c>
      <c r="Q1" s="16" t="n">
        <v>2026</v>
      </c>
      <c r="R1" s="16" t="n">
        <v>2027</v>
      </c>
      <c r="S1" s="16" t="n">
        <v>2028</v>
      </c>
      <c r="T1" s="16" t="n">
        <v>2029</v>
      </c>
      <c r="U1" s="16" t="n">
        <v>2030</v>
      </c>
      <c r="V1" s="16" t="n">
        <v>2031</v>
      </c>
      <c r="W1" s="16" t="n">
        <v>2032</v>
      </c>
      <c r="X1" s="16" t="n">
        <v>2033</v>
      </c>
      <c r="Y1" s="16" t="n">
        <v>2034</v>
      </c>
      <c r="Z1" s="16" t="n">
        <v>2035</v>
      </c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8" t="n">
        <v>4233</v>
      </c>
      <c r="C2" s="58" t="n">
        <v>4336</v>
      </c>
      <c r="D2" s="58" t="n">
        <v>4561</v>
      </c>
      <c r="E2" s="58" t="n">
        <v>4785</v>
      </c>
      <c r="F2" s="58" t="n">
        <v>4765</v>
      </c>
      <c r="G2" s="58" t="n">
        <v>4888</v>
      </c>
      <c r="H2" s="58" t="n">
        <v>5307</v>
      </c>
      <c r="I2" s="58" t="n">
        <v>5825</v>
      </c>
      <c r="J2" s="58" t="n">
        <v>6260</v>
      </c>
      <c r="K2" s="58" t="n">
        <v>6675</v>
      </c>
      <c r="L2" s="58" t="n">
        <v>7776</v>
      </c>
      <c r="M2" s="58" t="n">
        <v>8080</v>
      </c>
      <c r="N2" s="58" t="n">
        <v>8544</v>
      </c>
      <c r="O2" s="58" t="n">
        <v>9256</v>
      </c>
      <c r="P2" s="58" t="n">
        <v>9467</v>
      </c>
      <c r="Q2" s="58">
        <f>P2*(1+NPV!C5)</f>
        <v>9220.858</v>
      </c>
      <c r="R2" s="58">
        <f>Q2*(1+NPV!D5)</f>
        <v>9405.275160000001</v>
      </c>
      <c r="S2" s="58">
        <f>R2*(1+NPV!E5)</f>
        <v>9781.486166400002</v>
      </c>
      <c r="T2" s="58">
        <f>S2*(1+NPV!F5)</f>
        <v>10270.560474720003</v>
      </c>
      <c r="U2" s="58">
        <f>T2*(1+NPV!G5)</f>
        <v>10784.088498456003</v>
      </c>
      <c r="V2" s="58">
        <f>U2*(1+NPV!H5)</f>
        <v>11269.372480886523</v>
      </c>
      <c r="W2" s="58">
        <f>V2*(1+NPV!I5)</f>
        <v>11720.147380121984</v>
      </c>
      <c r="X2" s="58">
        <f>W2*(1+NPV!J5)</f>
        <v>12130.352538426252</v>
      </c>
      <c r="Y2" s="58">
        <f>X2*(1+NPV!K5)</f>
        <v>12494.26311457904</v>
      </c>
      <c r="Z2" s="58">
        <f>Y2*(1+NPV!L5)</f>
        <v>12806.619692443515</v>
      </c>
    </row>
    <row r="3" customFormat="1" s="1">
      <c r="A3" s="5" t="inlineStr">
        <is>
          <t>Cost of Sales</t>
        </is>
      </c>
      <c r="B3" s="58" t="n">
        <v>1652</v>
      </c>
      <c r="C3" s="58" t="n">
        <v>1563</v>
      </c>
      <c r="D3" s="58" t="n">
        <v>1669</v>
      </c>
      <c r="E3" s="58" t="n">
        <v>1717</v>
      </c>
      <c r="F3" s="58" t="n">
        <v>1738</v>
      </c>
      <c r="G3" s="58" t="n">
        <v>1666</v>
      </c>
      <c r="H3" s="58" t="n">
        <v>1775</v>
      </c>
      <c r="I3" s="58" t="n">
        <v>1911</v>
      </c>
      <c r="J3" s="58" t="n">
        <v>1992</v>
      </c>
      <c r="K3" s="58" t="n">
        <v>2057</v>
      </c>
      <c r="L3" s="58" t="n">
        <v>2303</v>
      </c>
      <c r="M3" s="58" t="n">
        <v>2454</v>
      </c>
      <c r="N3" s="58" t="n">
        <v>2561</v>
      </c>
      <c r="O3" s="58" t="n">
        <v>2719</v>
      </c>
      <c r="P3" s="58" t="n">
        <v>2666</v>
      </c>
      <c r="Q3" s="58">
        <f>Q2*(1-Assumptions!$B$19)</f>
        <v>2596.5936128</v>
      </c>
      <c r="R3" s="58">
        <f>R2*(1-Assumptions!$B$19)</f>
        <v>2648.525485056</v>
      </c>
      <c r="S3" s="58">
        <f>S2*(1-Assumptions!$B$19)</f>
        <v>2754.4665044582403</v>
      </c>
      <c r="T3" s="58">
        <f>T2*(1-Assumptions!$B$19)</f>
        <v>2892.1898296811523</v>
      </c>
      <c r="U3" s="58">
        <f>U2*(1-Assumptions!$B$19)</f>
        <v>3036.79932116521</v>
      </c>
      <c r="V3" s="58">
        <f>V2*(1-Assumptions!$B$19)</f>
        <v>3173.4552906176446</v>
      </c>
      <c r="W3" s="58">
        <f>W2*(1-Assumptions!$B$19)</f>
        <v>3300.39350224235</v>
      </c>
      <c r="X3" s="58">
        <f>X2*(1-Assumptions!$B$19)</f>
        <v>3415.9072748208323</v>
      </c>
      <c r="Y3" s="58">
        <f>Y2*(1-Assumptions!$B$19)</f>
        <v>3518.3844930654573</v>
      </c>
      <c r="Z3" s="58">
        <f>Z2*(1-Assumptions!$B$19)</f>
        <v>3606.3441053920933</v>
      </c>
    </row>
    <row r="4" customFormat="1" s="1">
      <c r="A4" s="5" t="inlineStr">
        <is>
          <t>Gross Margin</t>
        </is>
      </c>
      <c r="B4" s="58">
        <f>B2-B3</f>
        <v>2581.0</v>
      </c>
      <c r="C4" s="58">
        <f>C2-C3</f>
        <v>2773.0</v>
      </c>
      <c r="D4" s="58">
        <f>D2-D3</f>
        <v>2892.0</v>
      </c>
      <c r="E4" s="58">
        <f>E2-E3</f>
        <v>3068.0</v>
      </c>
      <c r="F4" s="58">
        <f>F2-F3</f>
        <v>3027.0</v>
      </c>
      <c r="G4" s="58">
        <f>G2-G3</f>
        <v>3222.0</v>
      </c>
      <c r="H4" s="58">
        <f>H2-H3</f>
        <v>3532.0</v>
      </c>
      <c r="I4" s="58">
        <f>I2-I3</f>
        <v>3914.0</v>
      </c>
      <c r="J4" s="58">
        <f>J2-J3</f>
        <v>4268.0</v>
      </c>
      <c r="K4" s="58">
        <f>K2-K3</f>
        <v>4618.0</v>
      </c>
      <c r="L4" s="58">
        <f>L2-L3</f>
        <v>5473.0</v>
      </c>
      <c r="M4" s="58">
        <f>M2-M3</f>
        <v>5626.0</v>
      </c>
      <c r="N4" s="58">
        <f>N2-N3</f>
        <v>5983.0</v>
      </c>
      <c r="O4" s="58">
        <f>O2-O3</f>
        <v>6537.0</v>
      </c>
      <c r="P4" s="58">
        <f>P2-P3</f>
        <v>6801.0</v>
      </c>
      <c r="Q4" s="58">
        <f>Q2-Q3</f>
        <v>6624.264387200001</v>
      </c>
      <c r="R4" s="58">
        <f>R2-R3</f>
        <v>6756.7496749440015</v>
      </c>
      <c r="S4" s="58">
        <f>S2-S3</f>
        <v>7027.019661941762</v>
      </c>
      <c r="T4" s="58">
        <f>T2-T3</f>
        <v>7378.370645038851</v>
      </c>
      <c r="U4" s="58">
        <f>U2-U3</f>
        <v>7747.289177290793</v>
      </c>
      <c r="V4" s="58">
        <f>V2-V3</f>
        <v>8095.917190268878</v>
      </c>
      <c r="W4" s="58">
        <f>W2-W3</f>
        <v>8419.753877879633</v>
      </c>
      <c r="X4" s="58">
        <f>X2-X3</f>
        <v>8714.44526360542</v>
      </c>
      <c r="Y4" s="58">
        <f>Y2-Y3</f>
        <v>8975.878621513582</v>
      </c>
      <c r="Z4" s="58">
        <f>Z2-Z3</f>
        <v>9200.275587051423</v>
      </c>
    </row>
    <row r="5">
      <c r="A5" s="2" t="inlineStr">
        <is>
          <t>Research &amp; Dev.</t>
        </is>
      </c>
      <c r="B5" s="58" t="n">
        <v>427</v>
      </c>
      <c r="C5" s="58" t="n">
        <v>409</v>
      </c>
      <c r="D5" s="58" t="n">
        <v>399</v>
      </c>
      <c r="E5" s="58" t="n">
        <v>396</v>
      </c>
      <c r="F5" s="58" t="n">
        <v>364</v>
      </c>
      <c r="G5" s="58" t="n">
        <v>376</v>
      </c>
      <c r="H5" s="58" t="n">
        <v>382</v>
      </c>
      <c r="I5" s="58" t="n">
        <v>432</v>
      </c>
      <c r="J5" s="58" t="n">
        <v>457</v>
      </c>
      <c r="K5" s="58" t="n">
        <v>463</v>
      </c>
      <c r="L5" s="58" t="n">
        <v>508</v>
      </c>
      <c r="M5" s="58" t="n">
        <v>539</v>
      </c>
      <c r="N5" s="58" t="n">
        <v>614</v>
      </c>
      <c r="O5" s="58" t="n">
        <v>686</v>
      </c>
      <c r="P5" s="58" t="n">
        <v>698</v>
      </c>
      <c r="Q5" s="58">
        <f>Q7*Assumptions!$B$20</f>
        <v>768.6789387054802</v>
      </c>
      <c r="R5" s="58">
        <f>R7*Assumptions!$B$20</f>
        <v>781.9184605457858</v>
      </c>
      <c r="S5" s="58">
        <f>S7*Assumptions!$B$20</f>
        <v>810.9757797564612</v>
      </c>
      <c r="T5" s="58">
        <f>T7*Assumptions!$B$20</f>
        <v>849.1941785725703</v>
      </c>
      <c r="U5" s="58">
        <f>U7*Assumptions!$B$20</f>
        <v>889.2069778208992</v>
      </c>
      <c r="V5" s="58">
        <f>V7*Assumptions!$B$20</f>
        <v>926.6642712069262</v>
      </c>
      <c r="W5" s="58">
        <f>W7*Assumptions!$B$20</f>
        <v>961.0715406146537</v>
      </c>
      <c r="X5" s="58">
        <f>X7*Assumptions!$B$20</f>
        <v>991.9566675451974</v>
      </c>
      <c r="Y5" s="58">
        <f>Y7*Assumptions!$B$20</f>
        <v>1018.8804192708556</v>
      </c>
      <c r="Z5" s="58">
        <f>Z7*Assumptions!$B$20</f>
        <v>1041.4466077444117</v>
      </c>
    </row>
    <row r="6">
      <c r="A6" s="18" t="inlineStr">
        <is>
          <t>SG&amp;A &amp; Other</t>
        </is>
      </c>
      <c r="B6" s="58" t="n">
        <v>1453</v>
      </c>
      <c r="C6" s="58" t="n">
        <v>1470</v>
      </c>
      <c r="D6" s="58" t="n">
        <v>1613</v>
      </c>
      <c r="E6" s="58" t="n">
        <v>1643</v>
      </c>
      <c r="F6" s="58" t="n">
        <v>1532</v>
      </c>
      <c r="G6" s="58" t="n">
        <v>1364</v>
      </c>
      <c r="H6" s="58" t="n">
        <v>1334</v>
      </c>
      <c r="I6" s="58" t="n">
        <v>1484</v>
      </c>
      <c r="J6" s="58" t="n">
        <v>1638</v>
      </c>
      <c r="K6" s="58" t="n">
        <v>1726</v>
      </c>
      <c r="L6" s="58" t="n">
        <v>2001</v>
      </c>
      <c r="M6" s="58" t="n">
        <v>2009</v>
      </c>
      <c r="N6" s="58" t="n">
        <v>2151</v>
      </c>
      <c r="O6" s="58" t="n">
        <v>2318</v>
      </c>
      <c r="P6" s="58" t="n">
        <v>2378</v>
      </c>
      <c r="Q6" s="58">
        <f>Q7-Q5</f>
        <v>2619.0642904945207</v>
      </c>
      <c r="R6" s="58">
        <f>R7-R5</f>
        <v>2664.1743580782154</v>
      </c>
      <c r="S6" s="58">
        <f>S7-S5</f>
        <v>2763.1792654461005</v>
      </c>
      <c r="T6" s="58">
        <f>T7-T5</f>
        <v>2893.3980584153996</v>
      </c>
      <c r="U6" s="58">
        <f>U7-U5</f>
        <v>3029.730782518013</v>
      </c>
      <c r="V6" s="58">
        <f>V7-V5</f>
        <v>3157.3563158663496</v>
      </c>
      <c r="W6" s="58">
        <f>W7-W5</f>
        <v>3274.5897225614317</v>
      </c>
      <c r="X6" s="58">
        <f>X7-X5</f>
        <v>3379.8223873036236</v>
      </c>
      <c r="Y6" s="58">
        <f>Y7-Y5</f>
        <v>3471.5577441088517</v>
      </c>
      <c r="Z6" s="58">
        <f>Z7-Z5</f>
        <v>3548.445890027346</v>
      </c>
    </row>
    <row r="7">
      <c r="A7" s="2" t="inlineStr">
        <is>
          <t>Operating Expense</t>
        </is>
      </c>
      <c r="B7" s="58">
        <f>SUM(B5:B6)</f>
        <v>1880.0</v>
      </c>
      <c r="C7" s="58">
        <f>SUM(C5:C6)</f>
        <v>1879.0</v>
      </c>
      <c r="D7" s="58">
        <f>SUM(D5:D6)</f>
        <v>2012.0</v>
      </c>
      <c r="E7" s="58">
        <f>SUM(E5:E6)</f>
        <v>2039.0</v>
      </c>
      <c r="F7" s="58">
        <f>SUM(F5:F6)</f>
        <v>1896.0</v>
      </c>
      <c r="G7" s="58">
        <f>SUM(G5:G6)</f>
        <v>1740.0</v>
      </c>
      <c r="H7" s="58">
        <f>SUM(H5:H6)</f>
        <v>1716.0</v>
      </c>
      <c r="I7" s="58">
        <f>SUM(I5:I6)</f>
        <v>1916.0</v>
      </c>
      <c r="J7" s="58">
        <f>SUM(J5:J6)</f>
        <v>2095.0</v>
      </c>
      <c r="K7" s="58">
        <f>SUM(K5:K6)</f>
        <v>2189.0</v>
      </c>
      <c r="L7" s="58">
        <f>SUM(L5:L6)</f>
        <v>2509.0</v>
      </c>
      <c r="M7" s="58">
        <f>SUM(M5:M6)</f>
        <v>2548.0</v>
      </c>
      <c r="N7" s="58">
        <f>SUM(N5:N6)</f>
        <v>2765.0</v>
      </c>
      <c r="O7" s="58">
        <f>SUM(O5:O6)</f>
        <v>3004.0</v>
      </c>
      <c r="P7" s="58">
        <f>SUM(P5:P6)</f>
        <v>3076.0</v>
      </c>
      <c r="Q7" s="58">
        <f>Q4-Q2*NPV!C6</f>
        <v>3387.7432292000008</v>
      </c>
      <c r="R7" s="58">
        <f>R4-R2*NPV!D6</f>
        <v>3446.092818624001</v>
      </c>
      <c r="S7" s="58">
        <f>S4-S2*NPV!E6</f>
        <v>3574.1550452025617</v>
      </c>
      <c r="T7" s="58">
        <f>T4-T2*NPV!F6</f>
        <v>3742.59223698797</v>
      </c>
      <c r="U7" s="58">
        <f>U4-U2*NPV!G6</f>
        <v>3918.937760338912</v>
      </c>
      <c r="V7" s="58">
        <f>V4-V2*NPV!H6</f>
        <v>4084.0205870732757</v>
      </c>
      <c r="W7" s="58">
        <f>W4-W2*NPV!I6</f>
        <v>4235.661263176085</v>
      </c>
      <c r="X7" s="58">
        <f>X4-X2*NPV!J6</f>
        <v>4371.779054848821</v>
      </c>
      <c r="Y7" s="58">
        <f>Y4-Y2*NPV!K6</f>
        <v>4490.4381633797075</v>
      </c>
      <c r="Z7" s="58">
        <f>Z4-Z2*NPV!L6</f>
        <v>4589.892497771758</v>
      </c>
    </row>
    <row r="8">
      <c r="A8" s="2" t="inlineStr">
        <is>
          <t>Operating Income</t>
        </is>
      </c>
      <c r="B8" s="58">
        <f>B4-B7</f>
        <v>701.0</v>
      </c>
      <c r="C8" s="58">
        <f>C4-C7</f>
        <v>894.0</v>
      </c>
      <c r="D8" s="58">
        <f>D4-D7</f>
        <v>880.0</v>
      </c>
      <c r="E8" s="58">
        <f>E4-E7</f>
        <v>1029.0</v>
      </c>
      <c r="F8" s="58">
        <f>F4-F7</f>
        <v>1131.0</v>
      </c>
      <c r="G8" s="58">
        <f>G4-G7</f>
        <v>1482.0</v>
      </c>
      <c r="H8" s="58">
        <f>H4-H7</f>
        <v>1816.0</v>
      </c>
      <c r="I8" s="58">
        <f>I4-I7</f>
        <v>1998.0</v>
      </c>
      <c r="J8" s="58">
        <f>J4-J7</f>
        <v>2173.0</v>
      </c>
      <c r="K8" s="58">
        <f>K4-K7</f>
        <v>2429.0</v>
      </c>
      <c r="L8" s="58">
        <f>L4-L7</f>
        <v>2964.0</v>
      </c>
      <c r="M8" s="58">
        <f>M4-M7</f>
        <v>3078.0</v>
      </c>
      <c r="N8" s="58">
        <f>N4-N7</f>
        <v>3218.0</v>
      </c>
      <c r="O8" s="58">
        <f>O4-O7</f>
        <v>3533.0</v>
      </c>
      <c r="P8" s="58">
        <f>P4-P7</f>
        <v>3725.0</v>
      </c>
      <c r="Q8" s="58">
        <f>Q4-Q7</f>
        <v>3236.521158</v>
      </c>
      <c r="R8" s="58">
        <f>R4-R7</f>
        <v>3310.6568563200003</v>
      </c>
      <c r="S8" s="58">
        <f>S4-S7</f>
        <v>3452.8646167392003</v>
      </c>
      <c r="T8" s="58">
        <f>T4-T7</f>
        <v>3635.778408050881</v>
      </c>
      <c r="U8" s="58">
        <f>U4-U7</f>
        <v>3828.351416951881</v>
      </c>
      <c r="V8" s="58">
        <f>V4-V7</f>
        <v>4011.896603195602</v>
      </c>
      <c r="W8" s="58">
        <f>W4-W7</f>
        <v>4184.092614703548</v>
      </c>
      <c r="X8" s="58">
        <f>X4-X7</f>
        <v>4342.666208756598</v>
      </c>
      <c r="Y8" s="58">
        <f>Y4-Y7</f>
        <v>4485.440458133875</v>
      </c>
      <c r="Z8" s="58">
        <f>Z4-Z7</f>
        <v>4610.383089279665</v>
      </c>
    </row>
    <row r="9">
      <c r="A9" s="18" t="inlineStr">
        <is>
          <t>Interest &amp; Other</t>
        </is>
      </c>
      <c r="B9" s="58" t="n">
        <v>-310</v>
      </c>
      <c r="C9" s="58" t="n">
        <v>-184</v>
      </c>
      <c r="D9" s="58" t="n">
        <v>-189</v>
      </c>
      <c r="E9" s="58" t="n">
        <v>-213</v>
      </c>
      <c r="F9" s="58" t="n">
        <v>-586</v>
      </c>
      <c r="G9" s="58" t="n">
        <v>-252</v>
      </c>
      <c r="H9" s="58" t="n">
        <v>-289</v>
      </c>
      <c r="I9" s="58" t="n">
        <v>-304</v>
      </c>
      <c r="J9" s="58" t="n">
        <v>-372</v>
      </c>
      <c r="K9" s="58" t="n">
        <v>-431</v>
      </c>
      <c r="L9" s="58" t="n">
        <v>-473</v>
      </c>
      <c r="M9" s="58" t="n">
        <v>-419</v>
      </c>
      <c r="N9" s="58" t="n">
        <v>-278</v>
      </c>
      <c r="O9" s="58" t="n">
        <v>-410</v>
      </c>
      <c r="P9" s="58" t="n">
        <v>-365</v>
      </c>
      <c r="Q9" s="58" t="n">
        <v>0</v>
      </c>
      <c r="R9" s="58" t="n">
        <v>0</v>
      </c>
      <c r="S9" s="58" t="n">
        <v>0</v>
      </c>
      <c r="T9" s="58" t="n">
        <v>0</v>
      </c>
      <c r="U9" s="58" t="n">
        <v>0</v>
      </c>
      <c r="V9" s="58" t="n">
        <v>0</v>
      </c>
      <c r="W9" s="58" t="n">
        <v>0</v>
      </c>
      <c r="X9" s="58" t="n">
        <v>0</v>
      </c>
      <c r="Y9" s="58" t="n">
        <v>0</v>
      </c>
      <c r="Z9" s="58" t="n">
        <v>0</v>
      </c>
    </row>
    <row r="10">
      <c r="A10" s="2" t="inlineStr">
        <is>
          <t>Pretax</t>
        </is>
      </c>
      <c r="B10" s="58">
        <f>B8+B9</f>
        <v>391.0</v>
      </c>
      <c r="C10" s="58">
        <f>C8+C9</f>
        <v>710.0</v>
      </c>
      <c r="D10" s="58">
        <f>D8+D9</f>
        <v>691.0</v>
      </c>
      <c r="E10" s="58">
        <f>E8+E9</f>
        <v>816.0</v>
      </c>
      <c r="F10" s="58">
        <f>F8+F9</f>
        <v>545.0</v>
      </c>
      <c r="G10" s="58">
        <f>G8+G9</f>
        <v>1230.0</v>
      </c>
      <c r="H10" s="58">
        <f>H8+H9</f>
        <v>1527.0</v>
      </c>
      <c r="I10" s="58">
        <f>I8+I9</f>
        <v>1694.0</v>
      </c>
      <c r="J10" s="58">
        <f>J8+J9</f>
        <v>1801.0</v>
      </c>
      <c r="K10" s="58">
        <f>K8+K9</f>
        <v>1998.0</v>
      </c>
      <c r="L10" s="58">
        <f>L8+L9</f>
        <v>2491.0</v>
      </c>
      <c r="M10" s="58">
        <f>M8+M9</f>
        <v>2659.0</v>
      </c>
      <c r="N10" s="58">
        <f>N8+N9</f>
        <v>2940.0</v>
      </c>
      <c r="O10" s="58">
        <f>O8+O9</f>
        <v>3123.0</v>
      </c>
      <c r="P10" s="58">
        <f>P8+P9</f>
        <v>3360.0</v>
      </c>
      <c r="Q10" s="58">
        <f>Q8+Q9</f>
        <v>3236.521158</v>
      </c>
      <c r="R10" s="58">
        <f>R8+R9</f>
        <v>3310.6568563200003</v>
      </c>
      <c r="S10" s="58">
        <f>S8+S9</f>
        <v>3452.8646167392003</v>
      </c>
      <c r="T10" s="58">
        <f>T8+T9</f>
        <v>3635.778408050881</v>
      </c>
      <c r="U10" s="58">
        <f>U8+U9</f>
        <v>3828.351416951881</v>
      </c>
      <c r="V10" s="58">
        <f>V8+V9</f>
        <v>4011.896603195602</v>
      </c>
      <c r="W10" s="58">
        <f>W8+W9</f>
        <v>4184.092614703548</v>
      </c>
      <c r="X10" s="58">
        <f>X8+X9</f>
        <v>4342.666208756598</v>
      </c>
      <c r="Y10" s="58">
        <f>Y8+Y9</f>
        <v>4485.440458133875</v>
      </c>
      <c r="Z10" s="58">
        <f>Z8+Z9</f>
        <v>4610.383089279665</v>
      </c>
    </row>
    <row r="11">
      <c r="A11" s="2" t="inlineStr">
        <is>
          <t>Taxes</t>
        </is>
      </c>
      <c r="B11" s="58" t="n">
        <v>146</v>
      </c>
      <c r="C11" s="58" t="n">
        <v>274</v>
      </c>
      <c r="D11" s="58" t="n">
        <v>187</v>
      </c>
      <c r="E11" s="58" t="n">
        <v>233</v>
      </c>
      <c r="F11" s="58" t="n">
        <v>206</v>
      </c>
      <c r="G11" s="58" t="n">
        <v>409</v>
      </c>
      <c r="H11" s="58" t="n">
        <v>663</v>
      </c>
      <c r="I11" s="58" t="n">
        <v>266</v>
      </c>
      <c r="J11" s="58" t="n">
        <v>301</v>
      </c>
      <c r="K11" s="58" t="n">
        <v>360</v>
      </c>
      <c r="L11" s="58" t="n">
        <v>454</v>
      </c>
      <c r="M11" s="58" t="n">
        <v>545</v>
      </c>
      <c r="N11" s="58" t="n">
        <v>596</v>
      </c>
      <c r="O11" s="58" t="n">
        <v>637</v>
      </c>
      <c r="P11" s="58" t="n">
        <v>687</v>
      </c>
      <c r="Q11" s="58">
        <f>MAX(0,Q10)*Assumptions!$E$14</f>
        <v>550.2085968600001</v>
      </c>
      <c r="R11" s="58">
        <f>MAX(0,R10)*Assumptions!$E$14</f>
        <v>562.8116655744001</v>
      </c>
      <c r="S11" s="58">
        <f>MAX(0,S10)*Assumptions!$E$14</f>
        <v>586.9869848456641</v>
      </c>
      <c r="T11" s="58">
        <f>MAX(0,T10)*Assumptions!$E$14</f>
        <v>618.0823293686498</v>
      </c>
      <c r="U11" s="58">
        <f>MAX(0,U10)*Assumptions!$E$14</f>
        <v>650.8197408818198</v>
      </c>
      <c r="V11" s="58">
        <f>MAX(0,V10)*Assumptions!$E$14</f>
        <v>682.0224225432523</v>
      </c>
      <c r="W11" s="58">
        <f>MAX(0,W10)*Assumptions!$E$14</f>
        <v>711.2957444996032</v>
      </c>
      <c r="X11" s="58">
        <f>MAX(0,X10)*Assumptions!$E$14</f>
        <v>738.2532554886218</v>
      </c>
      <c r="Y11" s="58">
        <f>MAX(0,Y10)*Assumptions!$E$14</f>
        <v>762.5248778827588</v>
      </c>
      <c r="Z11" s="58">
        <f>MAX(0,Z10)*Assumptions!$E$14</f>
        <v>783.7651251775432</v>
      </c>
    </row>
    <row r="12">
      <c r="A12" s="2" t="inlineStr">
        <is>
          <t>Net Income</t>
        </is>
      </c>
      <c r="B12" s="58" t="n">
        <v>245</v>
      </c>
      <c r="C12" s="58" t="n">
        <v>436</v>
      </c>
      <c r="D12" s="58" t="n">
        <v>504</v>
      </c>
      <c r="E12" s="58" t="n">
        <v>583</v>
      </c>
      <c r="F12" s="58" t="n">
        <v>339</v>
      </c>
      <c r="G12" s="58" t="n">
        <v>821</v>
      </c>
      <c r="H12" s="58" t="n">
        <v>864</v>
      </c>
      <c r="I12" s="58" t="n">
        <v>1428</v>
      </c>
      <c r="J12" s="58" t="n">
        <v>1500</v>
      </c>
      <c r="K12" s="58" t="n">
        <v>1638</v>
      </c>
      <c r="L12" s="58" t="n">
        <v>2037</v>
      </c>
      <c r="M12" s="58" t="n">
        <v>2114</v>
      </c>
      <c r="N12" s="58" t="n">
        <v>2344</v>
      </c>
      <c r="O12" s="58" t="n">
        <v>2486</v>
      </c>
      <c r="P12" s="58" t="n">
        <v>2673</v>
      </c>
      <c r="Q12" s="58">
        <f>Q10-Q11</f>
        <v>2686.31256114</v>
      </c>
      <c r="R12" s="58">
        <f>R10-R11</f>
        <v>2747.8451907456</v>
      </c>
      <c r="S12" s="58">
        <f>S10-S11</f>
        <v>2865.877631893536</v>
      </c>
      <c r="T12" s="58">
        <f>T10-T11</f>
        <v>3017.696078682231</v>
      </c>
      <c r="U12" s="58">
        <f>U10-U11</f>
        <v>3177.5316760700616</v>
      </c>
      <c r="V12" s="58">
        <f>V10-V11</f>
        <v>3329.8741806523494</v>
      </c>
      <c r="W12" s="58">
        <f>W10-W11</f>
        <v>3472.7968702039448</v>
      </c>
      <c r="X12" s="58">
        <f>X10-X11</f>
        <v>3604.4129532679763</v>
      </c>
      <c r="Y12" s="58">
        <f>Y10-Y11</f>
        <v>3722.915580251116</v>
      </c>
      <c r="Z12" s="58">
        <f>Z10-Z11</f>
        <v>3826.6179641021217</v>
      </c>
    </row>
    <row r="13">
      <c r="A13" s="2" t="inlineStr">
        <is>
          <t>Earnings per Share</t>
        </is>
      </c>
      <c r="B13" s="11">
        <f>IFERROR(B12/B14,0)</f>
        <v>0.49</v>
      </c>
      <c r="C13" s="11">
        <f>IFERROR(C12/C14,0)</f>
        <v>0.872</v>
      </c>
      <c r="D13" s="11">
        <f>IFERROR(D12/D14,0)</f>
        <v>1.007361332914932</v>
      </c>
      <c r="E13" s="11">
        <f>IFERROR(E12/E14,0)</f>
        <v>1.161296748169912</v>
      </c>
      <c r="F13" s="11">
        <f>IFERROR(F12/F14,0)</f>
        <v>0.6752732466301076</v>
      </c>
      <c r="G13" s="11">
        <f>IFERROR(G12/G14,0)</f>
        <v>1.6478498670279491</v>
      </c>
      <c r="H13" s="11">
        <f>IFERROR(H12/H14,0)</f>
        <v>1.7519633547664961</v>
      </c>
      <c r="I13" s="11">
        <f>IFERROR(I12/I14,0)</f>
        <v>2.9328524660195767</v>
      </c>
      <c r="J13" s="11">
        <f>IFERROR(J12/J14,0)</f>
        <v>3.1134090376037546</v>
      </c>
      <c r="K13" s="11">
        <f>IFERROR(K12/K14,0)</f>
        <v>3.4227039361095266</v>
      </c>
      <c r="L13" s="11">
        <f>IFERROR(L12/L14,0)</f>
        <v>4.272975371132139</v>
      </c>
      <c r="M13" s="11">
        <f>IFERROR(M12/M14,0)</f>
        <v>4.494190928707336</v>
      </c>
      <c r="N13" s="11">
        <f>IFERROR(N12/N14,0)</f>
        <v>5.0706406875650325</v>
      </c>
      <c r="O13" s="11">
        <f>IFERROR(O12/O14,0)</f>
        <v>5.465562121851695</v>
      </c>
      <c r="P13" s="11">
        <f>IFERROR(P12/P14,0)</f>
        <v>6.022508364594951</v>
      </c>
      <c r="Q13" s="11">
        <f>IFERROR(Q12/Q14,0)</f>
        <v>6.500869137528112</v>
      </c>
      <c r="R13" s="11">
        <f>IFERROR(R12/R14,0)</f>
        <v>6.649777934866363</v>
      </c>
      <c r="S13" s="11">
        <f>IFERROR(S12/S14,0)</f>
        <v>6.935416123432214</v>
      </c>
      <c r="T13" s="11">
        <f>IFERROR(T12/T14,0)</f>
        <v>7.302816354333581</v>
      </c>
      <c r="U13" s="11">
        <f>IFERROR(U12/U14,0)</f>
        <v>7.689618068016506</v>
      </c>
      <c r="V13" s="11">
        <f>IFERROR(V12/V14,0)</f>
        <v>8.05828651736197</v>
      </c>
      <c r="W13" s="11">
        <f>IFERROR(W12/W14,0)</f>
        <v>8.404159039792564</v>
      </c>
      <c r="X13" s="11">
        <f>IFERROR(X12/X14,0)</f>
        <v>8.72266960508218</v>
      </c>
      <c r="Y13" s="11">
        <f>IFERROR(Y12/Y14,0)</f>
        <v>9.009445642098429</v>
      </c>
      <c r="Z13" s="11">
        <f>IFERROR(Z12/Z14,0)</f>
        <v>9.260405130736268</v>
      </c>
    </row>
    <row r="14">
      <c r="A14" s="2" t="inlineStr">
        <is>
          <t>Shares</t>
        </is>
      </c>
      <c r="B14" s="58" t="n">
        <v>500</v>
      </c>
      <c r="C14" s="58" t="n">
        <v>500</v>
      </c>
      <c r="D14" s="58" t="n">
        <v>500.317</v>
      </c>
      <c r="E14" s="58" t="n">
        <v>502.025</v>
      </c>
      <c r="F14" s="58" t="n">
        <v>502.019</v>
      </c>
      <c r="G14" s="58" t="n">
        <v>498.225</v>
      </c>
      <c r="H14" s="58" t="n">
        <v>493.161</v>
      </c>
      <c r="I14" s="58" t="n">
        <v>486.898</v>
      </c>
      <c r="J14" s="58" t="n">
        <v>481.787</v>
      </c>
      <c r="K14" s="58" t="n">
        <v>478.569</v>
      </c>
      <c r="L14" s="58" t="n">
        <v>476.717</v>
      </c>
      <c r="M14" s="58" t="n">
        <v>470.385</v>
      </c>
      <c r="N14" s="58" t="n">
        <v>462.269</v>
      </c>
      <c r="O14" s="58" t="n">
        <v>454.848</v>
      </c>
      <c r="P14" s="58" t="n">
        <v>443.835</v>
      </c>
      <c r="Q14" s="58">
        <f>Main!$C$4</f>
        <v>413.223602</v>
      </c>
      <c r="R14" s="58">
        <f>Main!$C$4</f>
        <v>413.223602</v>
      </c>
      <c r="S14" s="58">
        <f>Main!$C$4</f>
        <v>413.223602</v>
      </c>
      <c r="T14" s="58">
        <f>Main!$C$4</f>
        <v>413.223602</v>
      </c>
      <c r="U14" s="58">
        <f>Main!$C$4</f>
        <v>413.223602</v>
      </c>
      <c r="V14" s="58">
        <f>Main!$C$4</f>
        <v>413.223602</v>
      </c>
      <c r="W14" s="58">
        <f>Main!$C$4</f>
        <v>413.223602</v>
      </c>
      <c r="X14" s="58">
        <f>Main!$C$4</f>
        <v>413.223602</v>
      </c>
      <c r="Y14" s="58">
        <f>Main!$C$4</f>
        <v>413.223602</v>
      </c>
      <c r="Z14" s="58">
        <f>Main!$C$4</f>
        <v>413.223602</v>
      </c>
    </row>
    <row r="15"/>
    <row r="16" customFormat="1" s="4">
      <c r="A16" s="3" t="inlineStr">
        <is>
          <t>Revenue Change</t>
        </is>
      </c>
      <c r="C16" s="15">
        <f>IFERROR(C2/B2-1,"")</f>
        <v>0.02433262461611152</v>
      </c>
      <c r="D16" s="15">
        <f>IFERROR(D2/C2-1,"")</f>
        <v>0.05189114391143912</v>
      </c>
      <c r="E16" s="15">
        <f>IFERROR(E2/D2-1,"")</f>
        <v>0.04911203683402765</v>
      </c>
      <c r="F16" s="15">
        <f>IFERROR(F2/E2-1,"")</f>
        <v>-0.004179728317659337</v>
      </c>
      <c r="G16" s="15">
        <f>IFERROR(G2/F2-1,"")</f>
        <v>0.025813221406085995</v>
      </c>
      <c r="H16" s="15">
        <f>IFERROR(H2/G2-1,"")</f>
        <v>0.08572013093289699</v>
      </c>
      <c r="I16" s="15">
        <f>IFERROR(I2/H2-1,"")</f>
        <v>0.0976069342377992</v>
      </c>
      <c r="J16" s="15">
        <f>IFERROR(J2/I2-1,"")</f>
        <v>0.07467811158798288</v>
      </c>
      <c r="K16" s="15">
        <f>IFERROR(K2/J2-1,"")</f>
        <v>0.06629392971246006</v>
      </c>
      <c r="L16" s="15">
        <f>IFERROR(L2/K2-1,"")</f>
        <v>0.1649438202247191</v>
      </c>
      <c r="M16" s="15">
        <f>IFERROR(M2/L2-1,"")</f>
        <v>0.039094650205761416</v>
      </c>
      <c r="N16" s="15">
        <f>IFERROR(N2/M2-1,"")</f>
        <v>0.05742574257425748</v>
      </c>
      <c r="O16" s="15">
        <f>IFERROR(O2/N2-1,"")</f>
        <v>0.08333333333333326</v>
      </c>
      <c r="P16" s="15">
        <f>IFERROR(P2/O2-1,"")</f>
        <v>0.022796024200518517</v>
      </c>
      <c r="Q16" s="15">
        <f>IFERROR(Q2/P2-1,"")</f>
        <v>-0.026000000000000023</v>
      </c>
      <c r="R16" s="15">
        <f>IFERROR(R2/Q2-1,"")</f>
        <v>0.020000000000000018</v>
      </c>
      <c r="S16" s="15">
        <f>IFERROR(S2/R2-1,"")</f>
        <v>0.040000000000000036</v>
      </c>
      <c r="T16" s="15">
        <f>IFERROR(T2/S2-1,"")</f>
        <v>0.050000000000000044</v>
      </c>
      <c r="U16" s="15">
        <f>IFERROR(U2/T2-1,"")</f>
        <v>0.050000000000000044</v>
      </c>
      <c r="V16" s="15">
        <f>IFERROR(V2/U2-1,"")</f>
        <v>0.04499999999999993</v>
      </c>
      <c r="W16" s="15">
        <f>IFERROR(W2/V2-1,"")</f>
        <v>0.040000000000000036</v>
      </c>
      <c r="X16" s="15">
        <f>IFERROR(X2/W2-1,"")</f>
        <v>0.03499999999999992</v>
      </c>
      <c r="Y16" s="15">
        <f>IFERROR(Y2/X2-1,"")</f>
        <v>0.030000000000000027</v>
      </c>
      <c r="Z16" s="15">
        <f>IFERROR(Z2/Y2-1,"")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0.6097330498464446</v>
      </c>
      <c r="C17" s="15">
        <f>IFERROR(C4/C2,"")</f>
        <v>0.6395295202952029</v>
      </c>
      <c r="D17" s="15">
        <f>IFERROR(D4/D2,"")</f>
        <v>0.6340714755536067</v>
      </c>
      <c r="E17" s="15">
        <f>IFERROR(E4/E2,"")</f>
        <v>0.6411703239289446</v>
      </c>
      <c r="F17" s="15">
        <f>IFERROR(F4/F2,"")</f>
        <v>0.6352570828961175</v>
      </c>
      <c r="G17" s="15">
        <f>IFERROR(G4/G2,"")</f>
        <v>0.6591653027823241</v>
      </c>
      <c r="H17" s="15">
        <f>IFERROR(H4/H2,"")</f>
        <v>0.665536084416808</v>
      </c>
      <c r="I17" s="15">
        <f>IFERROR(I4/I2,"")</f>
        <v>0.671931330472103</v>
      </c>
      <c r="J17" s="15">
        <f>IFERROR(J4/J2,"")</f>
        <v>0.6817891373801916</v>
      </c>
      <c r="K17" s="15">
        <f>IFERROR(K4/K2,"")</f>
        <v>0.6918352059925094</v>
      </c>
      <c r="L17" s="15">
        <f>IFERROR(L4/L2,"")</f>
        <v>0.7038323045267489</v>
      </c>
      <c r="M17" s="15">
        <f>IFERROR(M4/M2,"")</f>
        <v>0.6962871287128712</v>
      </c>
      <c r="N17" s="15">
        <f>IFERROR(N4/N2,"")</f>
        <v>0.7002574906367042</v>
      </c>
      <c r="O17" s="15">
        <f>IFERROR(O4/O2,"")</f>
        <v>0.7062445980985307</v>
      </c>
      <c r="P17" s="15">
        <f>IFERROR(P4/P2,"")</f>
        <v>0.7183901975282561</v>
      </c>
      <c r="Q17" s="15">
        <f>IFERROR(Q4/Q2,"")</f>
        <v>0.7184</v>
      </c>
      <c r="R17" s="15">
        <f>IFERROR(R4/R2,"")</f>
        <v>0.7184</v>
      </c>
      <c r="S17" s="15">
        <f>IFERROR(S4/S2,"")</f>
        <v>0.7184</v>
      </c>
      <c r="T17" s="15">
        <f>IFERROR(T4/T2,"")</f>
        <v>0.7184</v>
      </c>
      <c r="U17" s="15">
        <f>IFERROR(U4/U2,"")</f>
        <v>0.7184</v>
      </c>
      <c r="V17" s="15">
        <f>IFERROR(V4/V2,"")</f>
        <v>0.7183999999999999</v>
      </c>
      <c r="W17" s="15">
        <f>IFERROR(W4/W2,"")</f>
        <v>0.7184</v>
      </c>
      <c r="X17" s="15">
        <f>IFERROR(X4/X2,"")</f>
        <v>0.7184</v>
      </c>
      <c r="Y17" s="15">
        <f>IFERROR(Y4/Y2,"")</f>
        <v>0.7184</v>
      </c>
      <c r="Z17" s="15">
        <f>IFERROR(Z4/Z2,"")</f>
        <v>0.7184000000000001</v>
      </c>
    </row>
    <row r="18">
      <c r="A18" s="14" t="inlineStr">
        <is>
          <t>Operating Margin</t>
        </is>
      </c>
      <c r="B18" s="15">
        <f>IFERROR(B8/B2,"")</f>
        <v>0.16560359083392392</v>
      </c>
      <c r="C18" s="15">
        <f>IFERROR(C8/C2,"")</f>
        <v>0.2061808118081181</v>
      </c>
      <c r="D18" s="15">
        <f>IFERROR(D8/D2,"")</f>
        <v>0.19294014470510853</v>
      </c>
      <c r="E18" s="15">
        <f>IFERROR(E8/E2,"")</f>
        <v>0.21504702194357367</v>
      </c>
      <c r="F18" s="15">
        <f>IFERROR(F8/F2,"")</f>
        <v>0.2373557187827912</v>
      </c>
      <c r="G18" s="15">
        <f>IFERROR(G8/G2,"")</f>
        <v>0.30319148936170215</v>
      </c>
      <c r="H18" s="15">
        <f>IFERROR(H8/H2,"")</f>
        <v>0.3421895609572263</v>
      </c>
      <c r="I18" s="15">
        <f>IFERROR(I8/I2,"")</f>
        <v>0.3430042918454936</v>
      </c>
      <c r="J18" s="15">
        <f>IFERROR(J8/J2,"")</f>
        <v>0.34712460063897765</v>
      </c>
      <c r="K18" s="15">
        <f>IFERROR(K8/K2,"")</f>
        <v>0.3638951310861423</v>
      </c>
      <c r="L18" s="15">
        <f>IFERROR(L8/L2,"")</f>
        <v>0.38117283950617287</v>
      </c>
      <c r="M18" s="15">
        <f>IFERROR(M8/M2,"")</f>
        <v>0.38094059405940595</v>
      </c>
      <c r="N18" s="15">
        <f>IFERROR(N8/N2,"")</f>
        <v>0.37663857677902624</v>
      </c>
      <c r="O18" s="15">
        <f>IFERROR(O8/O2,"")</f>
        <v>0.3816983578219533</v>
      </c>
      <c r="P18" s="15">
        <f>IFERROR(P8/P2,"")</f>
        <v>0.3934720608429281</v>
      </c>
      <c r="Q18" s="15">
        <f>IFERROR(Q8/Q2,"")</f>
        <v>0.351</v>
      </c>
      <c r="R18" s="15">
        <f>IFERROR(R8/R2,"")</f>
        <v>0.352</v>
      </c>
      <c r="S18" s="15">
        <f>IFERROR(S8/S2,"")</f>
        <v>0.353</v>
      </c>
      <c r="T18" s="15">
        <f>IFERROR(T8/T2,"")</f>
        <v>0.354</v>
      </c>
      <c r="U18" s="15">
        <f>IFERROR(U8/U2,"")</f>
        <v>0.355</v>
      </c>
      <c r="V18" s="15">
        <f>IFERROR(V8/V2,"")</f>
        <v>0.356</v>
      </c>
      <c r="W18" s="15">
        <f>IFERROR(W8/W2,"")</f>
        <v>0.357</v>
      </c>
      <c r="X18" s="15">
        <f>IFERROR(X8/X2,"")</f>
        <v>0.358</v>
      </c>
      <c r="Y18" s="15">
        <f>IFERROR(Y8/Y2,"")</f>
        <v>0.359</v>
      </c>
      <c r="Z18" s="15">
        <f>IFERROR(Z8/Z2,"")</f>
        <v>0.36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Zoetis Inc: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9" t="n"/>
    </row>
    <row r="7">
      <c r="A7" s="14" t="inlineStr">
        <is>
          <t>Terminal growth override (blank = scenario)</t>
        </is>
      </c>
      <c r="B7" s="59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9" t="n">
        <v>0.095</v>
      </c>
      <c r="C10" s="59" t="n">
        <v>0.08500000000000001</v>
      </c>
      <c r="D10" s="59" t="n">
        <v>0.075</v>
      </c>
      <c r="E10" s="60">
        <f>IF(ISNUMBER($B$6),$B$6,CHOOSE($B$4,B10,C10,D10))</f>
        <v>0.085</v>
      </c>
    </row>
    <row r="11">
      <c r="A11" s="14" t="inlineStr">
        <is>
          <t>Terminal growth</t>
        </is>
      </c>
      <c r="B11" s="59" t="n">
        <v>0.02</v>
      </c>
      <c r="C11" s="59" t="n">
        <v>0.025</v>
      </c>
      <c r="D11" s="59" t="n">
        <v>0.03</v>
      </c>
      <c r="E11" s="60">
        <f>IF(ISNUMBER($B$7),$B$7,CHOOSE($B$4,B11,C11,D11))</f>
        <v>0.025</v>
      </c>
    </row>
    <row r="12">
      <c r="A12" s="14" t="inlineStr">
        <is>
          <t>Revenue growth, first forecast year</t>
        </is>
      </c>
      <c r="B12" s="59" t="n">
        <v>-0.076</v>
      </c>
      <c r="C12" s="59" t="n">
        <v>-0.026</v>
      </c>
      <c r="D12" s="59" t="n">
        <v>0.024</v>
      </c>
      <c r="E12" s="60">
        <f>CHOOSE($B$4,B12,C12,D12)</f>
        <v>-0.026</v>
      </c>
    </row>
    <row r="13">
      <c r="A13" s="14" t="inlineStr">
        <is>
          <t>Operating margin, year 10</t>
        </is>
      </c>
      <c r="B13" s="59" t="n">
        <v>0.32</v>
      </c>
      <c r="C13" s="59" t="n">
        <v>0.36</v>
      </c>
      <c r="D13" s="59" t="n">
        <v>0.39</v>
      </c>
      <c r="E13" s="60">
        <f>CHOOSE($B$4,B13,C13,D13)</f>
        <v>0.36</v>
      </c>
    </row>
    <row r="14">
      <c r="A14" s="14" t="inlineStr">
        <is>
          <t>Tax rate on operating income</t>
        </is>
      </c>
      <c r="B14" s="59" t="n">
        <v>0.17</v>
      </c>
      <c r="C14" s="59" t="n">
        <v>0.17</v>
      </c>
      <c r="D14" s="59" t="n">
        <v>0.17</v>
      </c>
      <c r="E14" s="60">
        <f>CHOOSE($B$4,B14,C14,D14)</f>
        <v>0.17</v>
      </c>
    </row>
    <row r="15">
      <c r="A15" s="14" t="inlineStr">
        <is>
          <t>Reinvestment, % of revenue increase</t>
        </is>
      </c>
      <c r="B15" s="59" t="n">
        <v>0.25</v>
      </c>
      <c r="C15" s="59" t="n">
        <v>0.25</v>
      </c>
      <c r="D15" s="59" t="n">
        <v>0.25</v>
      </c>
      <c r="E15" s="60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9" t="n">
        <v>0.35</v>
      </c>
    </row>
    <row r="19">
      <c r="A19" s="14" t="inlineStr">
        <is>
          <t>Gross margin (forecast)</t>
        </is>
      </c>
      <c r="B19" s="59" t="n">
        <v>0.7184</v>
      </c>
    </row>
    <row r="20">
      <c r="A20" s="14" t="inlineStr">
        <is>
          <t>R&amp;D share of operating expense (forecast)</t>
        </is>
      </c>
      <c r="B20" s="59" t="n">
        <v>0.2269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61">
        <f>'Yearly Model'!P2</f>
        <v>9467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62">
        <f>NPV!B23</f>
        <v>50015.92114790902</v>
      </c>
      <c r="C29" s="62">
        <f>NPV!B26</f>
        <v>42643.92114790902</v>
      </c>
      <c r="D29" s="35">
        <f>NPV!B28</f>
        <v>103.19817392209127</v>
      </c>
      <c r="E29" s="63">
        <f>NPV!B30</f>
        <v>0.2893325077722546</v>
      </c>
    </row>
    <row r="30">
      <c r="A30" s="64" t="n">
        <v>1</v>
      </c>
      <c r="B30" s="65">
        <f t="dataTable" ref="B30:E32" r1="B4"/>
        <v>30792.072791133516</v>
      </c>
      <c r="C30" s="65">
        <v>23420.072791133516</v>
      </c>
      <c r="D30" s="39">
        <v>56.676512855946484</v>
      </c>
      <c r="E30" s="66">
        <v>-0.29189764048042877</v>
      </c>
    </row>
    <row r="31">
      <c r="A31" s="64" t="n">
        <v>2</v>
      </c>
      <c r="B31" s="65">
        <v>50015.92114790902</v>
      </c>
      <c r="C31" s="65">
        <v>42643.92114790902</v>
      </c>
      <c r="D31" s="39">
        <v>103.19817392209127</v>
      </c>
      <c r="E31" s="66">
        <v>0.2893325077722546</v>
      </c>
    </row>
    <row r="32">
      <c r="A32" s="64" t="n">
        <v>3</v>
      </c>
      <c r="B32" s="65">
        <v>85662.81844008062</v>
      </c>
      <c r="C32" s="65">
        <v>78290.81844008062</v>
      </c>
      <c r="D32" s="39">
        <v>189.46356902450265</v>
      </c>
      <c r="E32" s="66">
        <v>1.367111057277644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103.19817392209127</v>
      </c>
      <c r="B36" s="67" t="n">
        <v>0.015</v>
      </c>
      <c r="C36" s="67" t="n">
        <v>0.02</v>
      </c>
      <c r="D36" s="67" t="n">
        <v>0.025</v>
      </c>
      <c r="E36" s="67" t="n">
        <v>0.03</v>
      </c>
      <c r="F36" s="67" t="n">
        <v>0.035</v>
      </c>
    </row>
    <row r="37">
      <c r="A37" s="68" t="n">
        <v>0.065</v>
      </c>
      <c r="B37" s="39">
        <f t="dataTable" ref="B37:F41" dt2D="1" r1="B7" r2="B6"/>
        <v>138.23101711691567</v>
      </c>
      <c r="C37" s="39">
        <v>149.66164661415814</v>
      </c>
      <c r="D37" s="39">
        <v>163.94993348571117</v>
      </c>
      <c r="E37" s="39">
        <v>182.32058803485074</v>
      </c>
      <c r="F37" s="39">
        <v>206.81479410037022</v>
      </c>
    </row>
    <row r="38">
      <c r="A38" s="68" t="n">
        <v>0.075</v>
      </c>
      <c r="B38" s="39">
        <v>111.74375842830638</v>
      </c>
      <c r="C38" s="39">
        <v>118.88648821697292</v>
      </c>
      <c r="D38" s="39">
        <v>127.45776396337278</v>
      </c>
      <c r="E38" s="39">
        <v>137.93376765341702</v>
      </c>
      <c r="F38" s="39">
        <v>151.02877226597232</v>
      </c>
    </row>
    <row r="39">
      <c r="A39" s="68" t="n">
        <v>0.08500000000000001</v>
      </c>
      <c r="B39" s="39">
        <v>92.90284044586956</v>
      </c>
      <c r="C39" s="39">
        <v>97.65453281951037</v>
      </c>
      <c r="D39" s="39">
        <v>103.19817392209127</v>
      </c>
      <c r="E39" s="39">
        <v>109.74974977059598</v>
      </c>
      <c r="F39" s="39">
        <v>117.6116407888016</v>
      </c>
    </row>
    <row r="40">
      <c r="A40" s="68" t="n">
        <v>0.095</v>
      </c>
      <c r="B40" s="39">
        <v>78.83291700765521</v>
      </c>
      <c r="C40" s="39">
        <v>82.1407191365646</v>
      </c>
      <c r="D40" s="39">
        <v>85.92106442674675</v>
      </c>
      <c r="E40" s="39">
        <v>90.28300130003386</v>
      </c>
      <c r="F40" s="39">
        <v>95.37192765220212</v>
      </c>
    </row>
    <row r="41">
      <c r="A41" s="68" t="n">
        <v>0.105</v>
      </c>
      <c r="B41" s="39">
        <v>67.93745383751302</v>
      </c>
      <c r="C41" s="39">
        <v>70.32089004651596</v>
      </c>
      <c r="D41" s="39">
        <v>73.00225578164422</v>
      </c>
      <c r="E41" s="39">
        <v>76.04113694812295</v>
      </c>
      <c r="F41" s="39">
        <v>79.5141439955272</v>
      </c>
    </row>
    <row r="44">
      <c r="A44" s="27" t="inlineStr">
        <is>
          <t>Reviewed revenue growth by year (base case; blank = fade formula)</t>
        </is>
      </c>
    </row>
    <row r="45">
      <c r="A45" s="14" t="inlineStr">
        <is>
          <t>Fiscal year</t>
        </is>
      </c>
      <c r="B45" s="43" t="n">
        <v>2026</v>
      </c>
      <c r="C45" s="43" t="n">
        <v>2027</v>
      </c>
      <c r="D45" s="43" t="n">
        <v>2028</v>
      </c>
      <c r="E45" s="43" t="n">
        <v>2029</v>
      </c>
      <c r="F45" s="43" t="n">
        <v>2030</v>
      </c>
      <c r="G45" s="43" t="n">
        <v>2031</v>
      </c>
      <c r="H45" s="43" t="n">
        <v>2032</v>
      </c>
      <c r="I45" s="43" t="n">
        <v>2033</v>
      </c>
      <c r="J45" s="43" t="n">
        <v>2034</v>
      </c>
      <c r="K45" s="43" t="n">
        <v>2035</v>
      </c>
    </row>
    <row r="46">
      <c r="A46" s="14" t="inlineStr">
        <is>
          <t>Growth (bear/bull shift by the row-12 gap, fading to 0 by year 10)</t>
        </is>
      </c>
      <c r="B46" s="59" t="n">
        <v>-0.026</v>
      </c>
      <c r="C46" s="59" t="n">
        <v>0.02</v>
      </c>
      <c r="D46" s="59" t="n">
        <v>0.04</v>
      </c>
      <c r="E46" s="59" t="n">
        <v>0.05</v>
      </c>
      <c r="F46" s="59" t="n">
        <v>0.05</v>
      </c>
      <c r="G46" s="59" t="n">
        <v>0.045</v>
      </c>
      <c r="H46" s="59" t="n">
        <v>0.04</v>
      </c>
      <c r="I46" s="59" t="n">
        <v>0.035</v>
      </c>
      <c r="J46" s="59" t="n">
        <v>0.03</v>
      </c>
      <c r="K46" s="59" t="n">
        <v>0.025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Zoetis Inc: free-cash-flow DCF ($mm)</t>
        </is>
      </c>
    </row>
    <row r="3">
      <c r="A3" s="20" t="inlineStr">
        <is>
          <t>Fiscal year</t>
        </is>
      </c>
      <c r="B3" s="44">
        <f>'Yearly Model'!P1</f>
        <v>2025</v>
      </c>
      <c r="C3" s="44">
        <f>'Yearly Model'!Q1</f>
        <v>2026</v>
      </c>
      <c r="D3" s="44">
        <f>'Yearly Model'!R1</f>
        <v>2027</v>
      </c>
      <c r="E3" s="44">
        <f>'Yearly Model'!S1</f>
        <v>2028</v>
      </c>
      <c r="F3" s="44">
        <f>'Yearly Model'!T1</f>
        <v>2029</v>
      </c>
      <c r="G3" s="44">
        <f>'Yearly Model'!U1</f>
        <v>2030</v>
      </c>
      <c r="H3" s="44">
        <f>'Yearly Model'!V1</f>
        <v>2031</v>
      </c>
      <c r="I3" s="44">
        <f>'Yearly Model'!W1</f>
        <v>2032</v>
      </c>
      <c r="J3" s="44">
        <f>'Yearly Model'!X1</f>
        <v>2033</v>
      </c>
      <c r="K3" s="44">
        <f>'Yearly Model'!Y1</f>
        <v>2034</v>
      </c>
      <c r="L3" s="44">
        <f>'Yearly Model'!Z1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9">
        <f>IF(ISNUMBER(Assumptions!B$46),Assumptions!B$46+(Assumptions!$E$12-Assumptions!$C$12)*(Assumptions!$B$21-C4)/(Assumptions!$B$21-1),Assumptions!$E$12+(Assumptions!$E$11-Assumptions!$E$12)*(C4-1)/(Assumptions!$B$21-1))</f>
        <v>-0.026</v>
      </c>
      <c r="D5" s="69">
        <f>IF(ISNUMBER(Assumptions!C$46),Assumptions!C$46+(Assumptions!$E$12-Assumptions!$C$12)*(Assumptions!$B$21-D4)/(Assumptions!$B$21-1),Assumptions!$E$12+(Assumptions!$E$11-Assumptions!$E$12)*(D4-1)/(Assumptions!$B$21-1))</f>
        <v>0.02</v>
      </c>
      <c r="E5" s="69">
        <f>IF(ISNUMBER(Assumptions!D$46),Assumptions!D$46+(Assumptions!$E$12-Assumptions!$C$12)*(Assumptions!$B$21-E4)/(Assumptions!$B$21-1),Assumptions!$E$12+(Assumptions!$E$11-Assumptions!$E$12)*(E4-1)/(Assumptions!$B$21-1))</f>
        <v>0.04</v>
      </c>
      <c r="F5" s="69">
        <f>IF(ISNUMBER(Assumptions!E$46),Assumptions!E$46+(Assumptions!$E$12-Assumptions!$C$12)*(Assumptions!$B$21-F4)/(Assumptions!$B$21-1),Assumptions!$E$12+(Assumptions!$E$11-Assumptions!$E$12)*(F4-1)/(Assumptions!$B$21-1))</f>
        <v>0.05</v>
      </c>
      <c r="G5" s="69">
        <f>IF(ISNUMBER(Assumptions!F$46),Assumptions!F$46+(Assumptions!$E$12-Assumptions!$C$12)*(Assumptions!$B$21-G4)/(Assumptions!$B$21-1),Assumptions!$E$12+(Assumptions!$E$11-Assumptions!$E$12)*(G4-1)/(Assumptions!$B$21-1))</f>
        <v>0.05</v>
      </c>
      <c r="H5" s="69">
        <f>IF(ISNUMBER(Assumptions!G$46),Assumptions!G$46+(Assumptions!$E$12-Assumptions!$C$12)*(Assumptions!$B$21-H4)/(Assumptions!$B$21-1),Assumptions!$E$12+(Assumptions!$E$11-Assumptions!$E$12)*(H4-1)/(Assumptions!$B$21-1))</f>
        <v>0.045</v>
      </c>
      <c r="I5" s="69">
        <f>IF(ISNUMBER(Assumptions!H$46),Assumptions!H$46+(Assumptions!$E$12-Assumptions!$C$12)*(Assumptions!$B$21-I4)/(Assumptions!$B$21-1),Assumptions!$E$12+(Assumptions!$E$11-Assumptions!$E$12)*(I4-1)/(Assumptions!$B$21-1))</f>
        <v>0.04</v>
      </c>
      <c r="J5" s="69">
        <f>IF(ISNUMBER(Assumptions!I$46),Assumptions!I$46+(Assumptions!$E$12-Assumptions!$C$12)*(Assumptions!$B$21-J4)/(Assumptions!$B$21-1),Assumptions!$E$12+(Assumptions!$E$11-Assumptions!$E$12)*(J4-1)/(Assumptions!$B$21-1))</f>
        <v>0.035</v>
      </c>
      <c r="K5" s="69">
        <f>IF(ISNUMBER(Assumptions!J$46),Assumptions!J$46+(Assumptions!$E$12-Assumptions!$C$12)*(Assumptions!$B$21-K4)/(Assumptions!$B$21-1),Assumptions!$E$12+(Assumptions!$E$11-Assumptions!$E$12)*(K4-1)/(Assumptions!$B$21-1))</f>
        <v>0.03</v>
      </c>
      <c r="L5" s="69">
        <f>IF(ISNUMBER(Assumptions!K$46),Assumptions!K$46+(Assumptions!$E$12-Assumptions!$C$12)*(Assumptions!$B$21-L4)/(Assumptions!$B$21-1),Assumptions!$E$12+(Assumptions!$E$11-Assumptions!$E$12)*(L4-1)/(Assumptions!$B$21-1))</f>
        <v>0.025</v>
      </c>
    </row>
    <row r="6">
      <c r="A6" s="14" t="inlineStr">
        <is>
          <t>Operating margin</t>
        </is>
      </c>
      <c r="B6" s="69">
        <f>IFERROR(B8/B7,0)</f>
        <v>0.3934720608429281</v>
      </c>
      <c r="C6" s="69">
        <f>Assumptions!$B$18+(Assumptions!$E$13-Assumptions!$B$18)*C4/Assumptions!$B$21</f>
        <v>0.351</v>
      </c>
      <c r="D6" s="69">
        <f>Assumptions!$B$18+(Assumptions!$E$13-Assumptions!$B$18)*D4/Assumptions!$B$21</f>
        <v>0.352</v>
      </c>
      <c r="E6" s="69">
        <f>Assumptions!$B$18+(Assumptions!$E$13-Assumptions!$B$18)*E4/Assumptions!$B$21</f>
        <v>0.353</v>
      </c>
      <c r="F6" s="69">
        <f>Assumptions!$B$18+(Assumptions!$E$13-Assumptions!$B$18)*F4/Assumptions!$B$21</f>
        <v>0.354</v>
      </c>
      <c r="G6" s="69">
        <f>Assumptions!$B$18+(Assumptions!$E$13-Assumptions!$B$18)*G4/Assumptions!$B$21</f>
        <v>0.355</v>
      </c>
      <c r="H6" s="69">
        <f>Assumptions!$B$18+(Assumptions!$E$13-Assumptions!$B$18)*H4/Assumptions!$B$21</f>
        <v>0.356</v>
      </c>
      <c r="I6" s="69">
        <f>Assumptions!$B$18+(Assumptions!$E$13-Assumptions!$B$18)*I4/Assumptions!$B$21</f>
        <v>0.357</v>
      </c>
      <c r="J6" s="69">
        <f>Assumptions!$B$18+(Assumptions!$E$13-Assumptions!$B$18)*J4/Assumptions!$B$21</f>
        <v>0.358</v>
      </c>
      <c r="K6" s="69">
        <f>Assumptions!$B$18+(Assumptions!$E$13-Assumptions!$B$18)*K4/Assumptions!$B$21</f>
        <v>0.359</v>
      </c>
      <c r="L6" s="69">
        <f>Assumptions!$B$18+(Assumptions!$E$13-Assumptions!$B$18)*L4/Assumptions!$B$21</f>
        <v>0.36</v>
      </c>
    </row>
    <row r="7">
      <c r="A7" s="14" t="inlineStr">
        <is>
          <t>Revenue</t>
        </is>
      </c>
      <c r="B7" s="61">
        <f>'Yearly Model'!P2</f>
        <v>9467</v>
      </c>
      <c r="C7" s="61">
        <f>'Yearly Model'!Q2</f>
        <v>9220.858</v>
      </c>
      <c r="D7" s="61">
        <f>'Yearly Model'!R2</f>
        <v>9405.275160000001</v>
      </c>
      <c r="E7" s="61">
        <f>'Yearly Model'!S2</f>
        <v>9781.486166400002</v>
      </c>
      <c r="F7" s="61">
        <f>'Yearly Model'!T2</f>
        <v>10270.560474720003</v>
      </c>
      <c r="G7" s="61">
        <f>'Yearly Model'!U2</f>
        <v>10784.088498456003</v>
      </c>
      <c r="H7" s="61">
        <f>'Yearly Model'!V2</f>
        <v>11269.372480886523</v>
      </c>
      <c r="I7" s="61">
        <f>'Yearly Model'!W2</f>
        <v>11720.147380121984</v>
      </c>
      <c r="J7" s="61">
        <f>'Yearly Model'!X2</f>
        <v>12130.352538426252</v>
      </c>
      <c r="K7" s="61">
        <f>'Yearly Model'!Y2</f>
        <v>12494.26311457904</v>
      </c>
      <c r="L7" s="61">
        <f>'Yearly Model'!Z2</f>
        <v>12806.619692443515</v>
      </c>
    </row>
    <row r="8">
      <c r="A8" s="14" t="inlineStr">
        <is>
          <t>Operating income</t>
        </is>
      </c>
      <c r="B8" s="61">
        <f>'Yearly Model'!P8</f>
        <v>3725.0</v>
      </c>
      <c r="C8" s="61">
        <f>'Yearly Model'!Q8</f>
        <v>3236.521158</v>
      </c>
      <c r="D8" s="61">
        <f>'Yearly Model'!R8</f>
        <v>3310.6568563200003</v>
      </c>
      <c r="E8" s="61">
        <f>'Yearly Model'!S8</f>
        <v>3452.8646167392003</v>
      </c>
      <c r="F8" s="61">
        <f>'Yearly Model'!T8</f>
        <v>3635.778408050881</v>
      </c>
      <c r="G8" s="61">
        <f>'Yearly Model'!U8</f>
        <v>3828.351416951881</v>
      </c>
      <c r="H8" s="61">
        <f>'Yearly Model'!V8</f>
        <v>4011.896603195602</v>
      </c>
      <c r="I8" s="61">
        <f>'Yearly Model'!W8</f>
        <v>4184.092614703548</v>
      </c>
      <c r="J8" s="61">
        <f>'Yearly Model'!X8</f>
        <v>4342.666208756598</v>
      </c>
      <c r="K8" s="61">
        <f>'Yearly Model'!Y8</f>
        <v>4485.440458133875</v>
      </c>
      <c r="L8" s="61">
        <f>'Yearly Model'!Z8</f>
        <v>4610.383089279665</v>
      </c>
    </row>
    <row r="9">
      <c r="A9" s="14" t="inlineStr">
        <is>
          <t>Tax on operating income</t>
        </is>
      </c>
      <c r="C9" s="58">
        <f>MAX(0,C8)*Assumptions!$E$14</f>
        <v>550.2085968600001</v>
      </c>
      <c r="D9" s="58">
        <f>MAX(0,D8)*Assumptions!$E$14</f>
        <v>562.8116655744001</v>
      </c>
      <c r="E9" s="58">
        <f>MAX(0,E8)*Assumptions!$E$14</f>
        <v>586.9869848456641</v>
      </c>
      <c r="F9" s="58">
        <f>MAX(0,F8)*Assumptions!$E$14</f>
        <v>618.0823293686498</v>
      </c>
      <c r="G9" s="58">
        <f>MAX(0,G8)*Assumptions!$E$14</f>
        <v>650.8197408818198</v>
      </c>
      <c r="H9" s="58">
        <f>MAX(0,H8)*Assumptions!$E$14</f>
        <v>682.0224225432523</v>
      </c>
      <c r="I9" s="58">
        <f>MAX(0,I8)*Assumptions!$E$14</f>
        <v>711.2957444996032</v>
      </c>
      <c r="J9" s="58">
        <f>MAX(0,J8)*Assumptions!$E$14</f>
        <v>738.2532554886218</v>
      </c>
      <c r="K9" s="58">
        <f>MAX(0,K8)*Assumptions!$E$14</f>
        <v>762.5248778827588</v>
      </c>
      <c r="L9" s="58">
        <f>MAX(0,L8)*Assumptions!$E$14</f>
        <v>783.7651251775432</v>
      </c>
    </row>
    <row r="10">
      <c r="A10" s="14" t="inlineStr">
        <is>
          <t>NOPAT</t>
        </is>
      </c>
      <c r="C10" s="58">
        <f>C8-C9</f>
        <v>2686.31256114</v>
      </c>
      <c r="D10" s="58">
        <f>D8-D9</f>
        <v>2747.8451907456</v>
      </c>
      <c r="E10" s="58">
        <f>E8-E9</f>
        <v>2865.877631893536</v>
      </c>
      <c r="F10" s="58">
        <f>F8-F9</f>
        <v>3017.696078682231</v>
      </c>
      <c r="G10" s="58">
        <f>G8-G9</f>
        <v>3177.5316760700616</v>
      </c>
      <c r="H10" s="58">
        <f>H8-H9</f>
        <v>3329.8741806523494</v>
      </c>
      <c r="I10" s="58">
        <f>I8-I9</f>
        <v>3472.7968702039448</v>
      </c>
      <c r="J10" s="58">
        <f>J8-J9</f>
        <v>3604.4129532679763</v>
      </c>
      <c r="K10" s="58">
        <f>K8-K9</f>
        <v>3722.915580251116</v>
      </c>
      <c r="L10" s="58">
        <f>L8-L9</f>
        <v>3826.6179641021217</v>
      </c>
    </row>
    <row r="11">
      <c r="A11" s="14" t="inlineStr">
        <is>
          <t>Reinvestment</t>
        </is>
      </c>
      <c r="C11" s="58">
        <f>(C7-B7)*Assumptions!$E$15</f>
        <v>-61.535499999999956</v>
      </c>
      <c r="D11" s="58">
        <f>(D7-C7)*Assumptions!$E$15</f>
        <v>46.10429000000022</v>
      </c>
      <c r="E11" s="58">
        <f>(E7-D7)*Assumptions!$E$15</f>
        <v>94.05275160000019</v>
      </c>
      <c r="F11" s="58">
        <f>(F7-E7)*Assumptions!$E$15</f>
        <v>122.26857708000034</v>
      </c>
      <c r="G11" s="58">
        <f>(G7-F7)*Assumptions!$E$15</f>
        <v>128.38200593400006</v>
      </c>
      <c r="H11" s="58">
        <f>(H7-G7)*Assumptions!$E$15</f>
        <v>121.32099560762981</v>
      </c>
      <c r="I11" s="58">
        <f>(I7-H7)*Assumptions!$E$15</f>
        <v>112.69372480886523</v>
      </c>
      <c r="J11" s="58">
        <f>(J7-I7)*Assumptions!$E$15</f>
        <v>102.55128957606712</v>
      </c>
      <c r="K11" s="58">
        <f>(K7-J7)*Assumptions!$E$15</f>
        <v>90.97764403819701</v>
      </c>
      <c r="L11" s="58">
        <f>(L7-K7)*Assumptions!$E$15</f>
        <v>78.0891444661188</v>
      </c>
    </row>
    <row r="12">
      <c r="A12" s="20" t="inlineStr">
        <is>
          <t>Free cash flow</t>
        </is>
      </c>
      <c r="C12" s="70">
        <f>C10-C11</f>
        <v>2747.84806114</v>
      </c>
      <c r="D12" s="70">
        <f>D10-D11</f>
        <v>2701.7409007456</v>
      </c>
      <c r="E12" s="70">
        <f>E10-E11</f>
        <v>2771.824880293536</v>
      </c>
      <c r="F12" s="70">
        <f>F10-F11</f>
        <v>2895.4275016022307</v>
      </c>
      <c r="G12" s="70">
        <f>G10-G11</f>
        <v>3049.1496701360616</v>
      </c>
      <c r="H12" s="70">
        <f>H10-H11</f>
        <v>3208.5531850447196</v>
      </c>
      <c r="I12" s="70">
        <f>I10-I11</f>
        <v>3360.1031453950795</v>
      </c>
      <c r="J12" s="70">
        <f>J10-J11</f>
        <v>3501.861663691909</v>
      </c>
      <c r="K12" s="70">
        <f>K10-K11</f>
        <v>3631.937936212919</v>
      </c>
      <c r="L12" s="70">
        <f>L10-L11</f>
        <v>3748.528819636003</v>
      </c>
    </row>
    <row r="13">
      <c r="A13" s="14" t="inlineStr">
        <is>
          <t>Year fraction</t>
        </is>
      </c>
      <c r="C13" s="47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71">
        <f>1/(1+Assumptions!$E$10)^C14</f>
        <v>0.9796477254942977</v>
      </c>
      <c r="D15" s="71">
        <f>1/(1+Assumptions!$E$10)^D14</f>
        <v>0.9213507631196715</v>
      </c>
      <c r="E15" s="71">
        <f>1/(1+Assumptions!$E$10)^E14</f>
        <v>0.849171210248545</v>
      </c>
      <c r="F15" s="71">
        <f>1/(1+Assumptions!$E$10)^F14</f>
        <v>0.7826462767267697</v>
      </c>
      <c r="G15" s="71">
        <f>1/(1+Assumptions!$E$10)^G14</f>
        <v>0.7213329739417232</v>
      </c>
      <c r="H15" s="71">
        <f>1/(1+Assumptions!$E$10)^H14</f>
        <v>0.6648230174578095</v>
      </c>
      <c r="I15" s="71">
        <f>1/(1+Assumptions!$E$10)^I14</f>
        <v>0.6127401082560456</v>
      </c>
      <c r="J15" s="71">
        <f>1/(1+Assumptions!$E$10)^J14</f>
        <v>0.5647374269640973</v>
      </c>
      <c r="K15" s="71">
        <f>1/(1+Assumptions!$E$10)^K14</f>
        <v>0.5204953243908731</v>
      </c>
      <c r="L15" s="71">
        <f>1/(1+Assumptions!$E$10)^L14</f>
        <v>0.47971919298697985</v>
      </c>
    </row>
    <row r="16">
      <c r="A16" s="20" t="inlineStr">
        <is>
          <t>PV of free cash flow</t>
        </is>
      </c>
      <c r="C16" s="70">
        <f>C12*C13*C15</f>
        <v>1356.9984362725672</v>
      </c>
      <c r="D16" s="70">
        <f>D12*D13*D15</f>
        <v>2489.251040653587</v>
      </c>
      <c r="E16" s="70">
        <f>E12*E13*E15</f>
        <v>2353.7538881958903</v>
      </c>
      <c r="F16" s="70">
        <f>F12*F13*F15</f>
        <v>2266.0955536612787</v>
      </c>
      <c r="G16" s="70">
        <f>G12*G13*G15</f>
        <v>2199.4521995526698</v>
      </c>
      <c r="H16" s="70">
        <f>H12*H13*H15</f>
        <v>2133.120010155296</v>
      </c>
      <c r="I16" s="70">
        <f>I12*I13*I15</f>
        <v>2058.8699650608605</v>
      </c>
      <c r="J16" s="70">
        <f>J12*J13*J15</f>
        <v>1977.632345537582</v>
      </c>
      <c r="K16" s="70">
        <f>K12*K13*K15</f>
        <v>1890.4067142766614</v>
      </c>
      <c r="L16" s="70">
        <f>L12*L13*L15</f>
        <v>1798.2412202442194</v>
      </c>
    </row>
    <row r="19">
      <c r="A19" s="14" t="inlineStr">
        <is>
          <t>PV of forecast free cash flow</t>
        </is>
      </c>
      <c r="B19" s="58">
        <f>SUM(C16:L16)</f>
        <v>20523.821373610615</v>
      </c>
    </row>
    <row r="20">
      <c r="A20" s="14" t="inlineStr">
        <is>
          <t>Terminal free cash flow (year 11)</t>
        </is>
      </c>
      <c r="B20" s="58">
        <f>L10*(1+Assumptions!$E$11)-L7*Assumptions!$E$11*Assumptions!$E$15</f>
        <v>3842.242040126903</v>
      </c>
    </row>
    <row r="21">
      <c r="A21" s="14" t="inlineStr">
        <is>
          <t>Terminal value</t>
        </is>
      </c>
      <c r="B21" s="58">
        <f>B20/(Assumptions!$E$10-Assumptions!$E$11)</f>
        <v>64037.367335448376</v>
      </c>
    </row>
    <row r="22">
      <c r="A22" s="14" t="inlineStr">
        <is>
          <t>PV of terminal value</t>
        </is>
      </c>
      <c r="B22" s="58">
        <f>B21/(1+Assumptions!$E$10)^(L14+0.5)</f>
        <v>29492.099774298407</v>
      </c>
    </row>
    <row r="23">
      <c r="A23" s="20" t="inlineStr">
        <is>
          <t>Enterprise value</t>
        </is>
      </c>
      <c r="B23" s="72">
        <f>B19+B22</f>
        <v>50015.92114790902</v>
      </c>
    </row>
    <row r="24">
      <c r="A24" s="14" t="inlineStr">
        <is>
          <t>Cash &amp; investments</t>
        </is>
      </c>
      <c r="B24" s="61">
        <f>Main!C7</f>
        <v>1676.0</v>
      </c>
    </row>
    <row r="25">
      <c r="A25" s="14" t="inlineStr">
        <is>
          <t>Debt</t>
        </is>
      </c>
      <c r="B25" s="61">
        <f>Main!C8</f>
        <v>9048</v>
      </c>
    </row>
    <row r="26">
      <c r="A26" s="20" t="inlineStr">
        <is>
          <t>Equity value</t>
        </is>
      </c>
      <c r="B26" s="72">
        <f>B23+B24-B25</f>
        <v>42643.92114790902</v>
      </c>
    </row>
    <row r="27">
      <c r="A27" s="14" t="inlineStr">
        <is>
          <t>Shares (mm)</t>
        </is>
      </c>
      <c r="B27" s="61">
        <f>Main!C4</f>
        <v>413.223602</v>
      </c>
    </row>
    <row r="28">
      <c r="A28" s="20" t="inlineStr">
        <is>
          <t>NPV / share</t>
        </is>
      </c>
      <c r="B28" s="50">
        <f>B26/B27</f>
        <v>103.19817392209127</v>
      </c>
    </row>
    <row r="29">
      <c r="A29" s="14" t="inlineStr">
        <is>
          <t>Price</t>
        </is>
      </c>
      <c r="B29" s="51">
        <f>Main!C3</f>
        <v>80.04</v>
      </c>
    </row>
    <row r="30">
      <c r="A30" s="14" t="inlineStr">
        <is>
          <t>Upside</t>
        </is>
      </c>
      <c r="B30" s="69">
        <f>B28/B29-1</f>
        <v>0.2893325077722546</v>
      </c>
    </row>
    <row r="31">
      <c r="A31" s="14" t="inlineStr">
        <is>
          <t>Terminal value, % of EV</t>
        </is>
      </c>
      <c r="B31" s="69">
        <f>IFERROR(B22/B23,0)</f>
        <v>0.5896542360398247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2" customWidth="1" style="9" min="2" max="2"/>
    <col width="12" customWidth="1" style="9" min="3" max="3"/>
    <col width="12" customWidth="1" style="9" min="4" max="4"/>
    <col width="12" customWidth="1" style="9" min="5" max="5"/>
    <col width="12" customWidth="1" style="9" min="6" max="6"/>
    <col width="12" customWidth="1" style="9" min="7" max="7"/>
    <col width="12" customWidth="1" style="9" min="8" max="8"/>
    <col width="12" customWidth="1" style="9" min="9" max="9"/>
    <col width="12" customWidth="1" style="9" min="10" max="10"/>
    <col width="12" customWidth="1" style="9" min="11" max="11"/>
    <col width="12" customWidth="1" style="9" min="12" max="12"/>
  </cols>
  <sheetData>
    <row r="1">
      <c r="A1" s="20" t="inlineStr">
        <is>
          <t>ZTS: options vs. the reviewed DCF (per contract = 100 shares)</t>
        </is>
      </c>
    </row>
    <row r="2">
      <c r="A2" s="21" t="inlineStr">
        <is>
          <t>Market prices are Cboe delayed quotes; blue = input. Probabilities are risk-neutral (lognormal at ATM IV).</t>
        </is>
      </c>
    </row>
    <row r="3">
      <c r="A3" s="27" t="inlineStr">
        <is>
          <t>Inputs</t>
        </is>
      </c>
    </row>
    <row r="4">
      <c r="A4" s="14" t="inlineStr">
        <is>
          <t>Spot (close 2026-10-20)</t>
        </is>
      </c>
      <c r="B4" s="52" t="n">
        <v>80.04000000000001</v>
      </c>
    </row>
    <row r="5">
      <c r="A5" s="14" t="inlineStr">
        <is>
          <t>Pricing date</t>
        </is>
      </c>
      <c r="B5" s="31" t="n">
        <v>46315</v>
      </c>
    </row>
    <row r="6">
      <c r="A6" s="14" t="inlineStr">
        <is>
          <t>Near expiry</t>
        </is>
      </c>
      <c r="B6" s="31" t="n">
        <v>46402</v>
      </c>
    </row>
    <row r="7">
      <c r="A7" s="14" t="inlineStr">
        <is>
          <t>Long expiry</t>
        </is>
      </c>
      <c r="B7" s="31" t="n">
        <v>46773</v>
      </c>
    </row>
    <row r="8">
      <c r="A8" s="14" t="inlineStr">
        <is>
          <t>Years to near expiry</t>
        </is>
      </c>
      <c r="B8" s="71">
        <f>(B6-B5)/365</f>
        <v>0.23835616438356164</v>
      </c>
    </row>
    <row r="9">
      <c r="A9" s="14" t="inlineStr">
        <is>
          <t>Years to long expiry</t>
        </is>
      </c>
      <c r="B9" s="71">
        <f>(B7-B5)/365</f>
        <v>1.2547945205479452</v>
      </c>
    </row>
    <row r="10">
      <c r="A10" s="14" t="inlineStr">
        <is>
          <t>Risk-free rate</t>
        </is>
      </c>
      <c r="B10" s="59" t="n">
        <v>0.04</v>
      </c>
    </row>
    <row r="11">
      <c r="A11" s="14" t="inlineStr">
        <is>
          <t>Dividend yield</t>
        </is>
      </c>
      <c r="B11" s="59" t="n">
        <v>0.025</v>
      </c>
    </row>
    <row r="12">
      <c r="A12" s="14" t="inlineStr">
        <is>
          <t>ATM implied volatility, near</t>
        </is>
      </c>
      <c r="B12" s="59" t="n">
        <v>0.3796</v>
      </c>
    </row>
    <row r="13">
      <c r="A13" s="14" t="inlineStr">
        <is>
          <t>ATM implied volatility, long</t>
        </is>
      </c>
      <c r="B13" s="59" t="n">
        <v>0.3901</v>
      </c>
    </row>
    <row r="14">
      <c r="A14" s="14" t="inlineStr">
        <is>
          <t>Contract multiplier</t>
        </is>
      </c>
      <c r="B14" s="22" t="n">
        <v>100</v>
      </c>
    </row>
    <row r="16">
      <c r="A16" s="27" t="inlineStr">
        <is>
          <t>Market expectations, near expiry</t>
        </is>
      </c>
    </row>
    <row r="17">
      <c r="A17" s="14" t="inlineStr">
        <is>
          <t>ATM strike</t>
        </is>
      </c>
      <c r="B17" s="30" t="n">
        <v>80</v>
      </c>
    </row>
    <row r="18">
      <c r="A18" s="14" t="inlineStr">
        <is>
          <t>ATM call (mid)</t>
        </is>
      </c>
      <c r="B18" s="52" t="n">
        <v>5.9</v>
      </c>
    </row>
    <row r="19">
      <c r="A19" s="14" t="inlineStr">
        <is>
          <t>ATM put (mid)</t>
        </is>
      </c>
      <c r="B19" s="52" t="n">
        <v>5.9</v>
      </c>
    </row>
    <row r="20">
      <c r="A20" s="14" t="inlineStr">
        <is>
          <t>Straddle, % of spot (expected move)</t>
        </is>
      </c>
      <c r="B20" s="69">
        <f>(B18+B19)/B4</f>
        <v>0.14742628685657172</v>
      </c>
    </row>
    <row r="21">
      <c r="A21" s="14" t="inlineStr">
        <is>
          <t>Expected range, low</t>
        </is>
      </c>
      <c r="B21" s="53">
        <f>B4*(1-B20)</f>
        <v>68.24000000000001</v>
      </c>
    </row>
    <row r="22">
      <c r="A22" s="14" t="inlineStr">
        <is>
          <t>Expected range, high</t>
        </is>
      </c>
      <c r="B22" s="53">
        <f>B4*(1+B20)</f>
        <v>91.84</v>
      </c>
    </row>
    <row r="23">
      <c r="A23" s="14" t="inlineStr">
        <is>
          <t>1-SD move by long expiry (ATM IV)</t>
        </is>
      </c>
      <c r="B23" s="69">
        <f>B13*SQRT(B9)</f>
        <v>0.4369807010565689</v>
      </c>
    </row>
    <row r="25">
      <c r="A25" s="27" t="inlineStr">
        <is>
          <t>Model vs. market at the long expiry</t>
        </is>
      </c>
    </row>
    <row r="26">
      <c r="A26" s="24" t="inlineStr">
        <is>
          <t>Case</t>
        </is>
      </c>
      <c r="B26" s="25" t="inlineStr">
        <is>
          <t>Value / share</t>
        </is>
      </c>
      <c r="C26" s="25" t="inlineStr">
        <is>
          <t>vs. spot</t>
        </is>
      </c>
      <c r="D26" s="25" t="inlineStr">
        <is>
          <t>Annual return needed</t>
        </is>
      </c>
      <c r="E26" s="25" t="inlineStr">
        <is>
          <t>Market P(above)</t>
        </is>
      </c>
    </row>
    <row r="27">
      <c r="A27" s="14" t="inlineStr">
        <is>
          <t>Forward price at long expiry</t>
        </is>
      </c>
      <c r="B27" s="53">
        <f>B4*EXP((B10-B11)*B9)</f>
        <v>81.56077334070143</v>
      </c>
    </row>
    <row r="28">
      <c r="A28" s="14" t="inlineStr">
        <is>
          <t>Bear</t>
        </is>
      </c>
      <c r="B28" s="51">
        <f>Assumptions!D30</f>
        <v>56.676512855946484</v>
      </c>
      <c r="C28" s="69">
        <f>B28/$B$4-1</f>
        <v>-0.29189764048042877</v>
      </c>
      <c r="D28" s="69">
        <f>IF(B28&gt;0,(B28/$B$4)^(1/$B$9)-1,"")</f>
        <v>-0.24048727424175176</v>
      </c>
      <c r="E28" s="69">
        <f>IF(B28&gt;0,NORMSDIST((LN($B$27/B28)-$B$13^2*$B$9/2)/($B$13*SQRT($B$9))),1)</f>
        <v>0.730548314827963</v>
      </c>
    </row>
    <row r="29">
      <c r="A29" s="14" t="inlineStr">
        <is>
          <t>Base (reviewed)</t>
        </is>
      </c>
      <c r="B29" s="51">
        <f>Assumptions!D31</f>
        <v>103.19817392209127</v>
      </c>
      <c r="C29" s="69">
        <f>B29/$B$4-1</f>
        <v>0.2893325077722546</v>
      </c>
      <c r="D29" s="69">
        <f>IF(B29&gt;0,(B29/$B$4)^(1/$B$9)-1,"")</f>
        <v>0.22448814842987996</v>
      </c>
      <c r="E29" s="69">
        <f>IF(B29&gt;0,NORMSDIST((LN($B$27/B29)-$B$13^2*$B$9/2)/($B$13*SQRT($B$9))),1)</f>
        <v>0.22453562071306957</v>
      </c>
    </row>
    <row r="30">
      <c r="A30" s="14" t="inlineStr">
        <is>
          <t>Bull</t>
        </is>
      </c>
      <c r="B30" s="51">
        <f>Assumptions!D32</f>
        <v>189.46356902450265</v>
      </c>
      <c r="C30" s="69">
        <f>B30/$B$4-1</f>
        <v>1.367111057277644</v>
      </c>
      <c r="D30" s="69">
        <f>IF(B30&gt;0,(B30/$B$4)^(1/$B$9)-1,"")</f>
        <v>0.9871516310793018</v>
      </c>
      <c r="E30" s="69">
        <f>IF(B30&gt;0,NORMSDIST((LN($B$27/B30)-$B$13^2*$B$9/2)/($B$13*SQRT($B$9))),1)</f>
        <v>0.015885090927686387</v>
      </c>
    </row>
    <row r="32">
      <c r="A32" s="27" t="inlineStr">
        <is>
          <t>Chain, 2028-01-21 expiry</t>
        </is>
      </c>
    </row>
    <row r="33">
      <c r="A33" s="54" t="inlineStr">
        <is>
          <t>Strike</t>
        </is>
      </c>
      <c r="B33" s="54" t="inlineStr">
        <is>
          <t>Call bid</t>
        </is>
      </c>
      <c r="C33" s="54" t="inlineStr">
        <is>
          <t>Call ask</t>
        </is>
      </c>
      <c r="D33" s="54" t="inlineStr">
        <is>
          <t>Call IV</t>
        </is>
      </c>
      <c r="E33" s="54" t="inlineStr">
        <is>
          <t>Put bid</t>
        </is>
      </c>
      <c r="F33" s="54" t="inlineStr">
        <is>
          <t>Put ask</t>
        </is>
      </c>
      <c r="G33" s="54" t="inlineStr">
        <is>
          <t>Put IV</t>
        </is>
      </c>
      <c r="H33" s="54" t="inlineStr">
        <is>
          <t>Call OI</t>
        </is>
      </c>
      <c r="I33" s="54" t="inlineStr">
        <is>
          <t>Put OI</t>
        </is>
      </c>
    </row>
    <row r="34">
      <c r="A34" s="11" t="n">
        <v>55</v>
      </c>
      <c r="B34" s="52" t="n">
        <v>27.7</v>
      </c>
      <c r="C34" s="52" t="n">
        <v>30.5</v>
      </c>
      <c r="D34" s="59" t="n">
        <v>0.3993</v>
      </c>
      <c r="E34" s="52" t="n">
        <v>2.45</v>
      </c>
      <c r="F34" s="52" t="n">
        <v>3.7</v>
      </c>
      <c r="G34" s="59" t="n">
        <v>0.4171</v>
      </c>
      <c r="H34" s="55" t="n">
        <v>122</v>
      </c>
      <c r="I34" s="55" t="n">
        <v>89</v>
      </c>
    </row>
    <row r="35">
      <c r="A35" s="11" t="n">
        <v>65</v>
      </c>
      <c r="B35" s="52" t="n">
        <v>21.2</v>
      </c>
      <c r="C35" s="52" t="n">
        <v>24.3</v>
      </c>
      <c r="D35" s="59" t="n">
        <v>0.4066</v>
      </c>
      <c r="E35" s="52" t="n">
        <v>5.1</v>
      </c>
      <c r="F35" s="52" t="n">
        <v>6.6</v>
      </c>
      <c r="G35" s="59" t="n">
        <v>0.4047</v>
      </c>
      <c r="H35" s="55" t="n">
        <v>90</v>
      </c>
      <c r="I35" s="55" t="n">
        <v>149</v>
      </c>
    </row>
    <row r="36">
      <c r="A36" s="11" t="n">
        <v>70</v>
      </c>
      <c r="B36" s="52" t="n">
        <v>18.3</v>
      </c>
      <c r="C36" s="52" t="n">
        <v>20.4</v>
      </c>
      <c r="D36" s="59" t="n">
        <v>0.3854</v>
      </c>
      <c r="E36" s="52" t="n">
        <v>7.1</v>
      </c>
      <c r="F36" s="52" t="n">
        <v>8.300000000000001</v>
      </c>
      <c r="G36" s="59" t="n">
        <v>0.4004</v>
      </c>
      <c r="H36" s="55" t="n">
        <v>318</v>
      </c>
      <c r="I36" s="55" t="n">
        <v>544</v>
      </c>
    </row>
    <row r="37">
      <c r="A37" s="11" t="n">
        <v>75</v>
      </c>
      <c r="B37" s="52" t="n">
        <v>16.8</v>
      </c>
      <c r="C37" s="52" t="n">
        <v>17.7</v>
      </c>
      <c r="D37" s="59" t="n">
        <v>0.3998</v>
      </c>
      <c r="E37" s="52" t="n">
        <v>9</v>
      </c>
      <c r="F37" s="52" t="n">
        <v>10</v>
      </c>
      <c r="G37" s="59" t="n">
        <v>0.3854</v>
      </c>
      <c r="H37" s="55" t="n">
        <v>36774</v>
      </c>
      <c r="I37" s="55" t="n">
        <v>798</v>
      </c>
    </row>
    <row r="38">
      <c r="A38" s="11" t="n">
        <v>80</v>
      </c>
      <c r="B38" s="52" t="n">
        <v>14.4</v>
      </c>
      <c r="C38" s="52" t="n">
        <v>15.4</v>
      </c>
      <c r="D38" s="59" t="n">
        <v>0.3959</v>
      </c>
      <c r="E38" s="52" t="n">
        <v>11.5</v>
      </c>
      <c r="F38" s="52" t="n">
        <v>12.5</v>
      </c>
      <c r="G38" s="59" t="n">
        <v>0.3842</v>
      </c>
      <c r="H38" s="55" t="n">
        <v>520</v>
      </c>
      <c r="I38" s="55" t="n">
        <v>416</v>
      </c>
    </row>
    <row r="39">
      <c r="A39" s="11" t="n">
        <v>85</v>
      </c>
      <c r="B39" s="52" t="n">
        <v>12.2</v>
      </c>
      <c r="C39" s="52" t="n">
        <v>13.3</v>
      </c>
      <c r="D39" s="59" t="n">
        <v>0.3907</v>
      </c>
      <c r="E39" s="52" t="n">
        <v>14.3</v>
      </c>
      <c r="F39" s="52" t="n">
        <v>17.1</v>
      </c>
      <c r="G39" s="59" t="n">
        <v>0.3815</v>
      </c>
      <c r="H39" s="55" t="n">
        <v>128</v>
      </c>
      <c r="I39" s="55" t="n">
        <v>317</v>
      </c>
    </row>
    <row r="40">
      <c r="A40" s="11" t="n">
        <v>90</v>
      </c>
      <c r="B40" s="52" t="n">
        <v>9.6</v>
      </c>
      <c r="C40" s="52" t="n">
        <v>12.2</v>
      </c>
      <c r="D40" s="59" t="n">
        <v>0.3918</v>
      </c>
      <c r="E40" s="52" t="n">
        <v>17.5</v>
      </c>
      <c r="F40" s="52" t="n">
        <v>18.8</v>
      </c>
      <c r="G40" s="59" t="n">
        <v>0.3824</v>
      </c>
      <c r="H40" s="55" t="n">
        <v>982</v>
      </c>
      <c r="I40" s="55" t="n">
        <v>355</v>
      </c>
    </row>
    <row r="41">
      <c r="A41" s="11" t="n">
        <v>95</v>
      </c>
      <c r="B41" s="52" t="n">
        <v>9.199999999999999</v>
      </c>
      <c r="C41" s="52" t="n">
        <v>9.699999999999999</v>
      </c>
      <c r="D41" s="59" t="n">
        <v>0.3893</v>
      </c>
      <c r="E41" s="52" t="n">
        <v>20.7</v>
      </c>
      <c r="F41" s="52" t="n">
        <v>22.6</v>
      </c>
      <c r="G41" s="59" t="n">
        <v>0.3936</v>
      </c>
      <c r="H41" s="55" t="n">
        <v>249</v>
      </c>
      <c r="I41" s="55" t="n">
        <v>100</v>
      </c>
    </row>
    <row r="42">
      <c r="A42" s="11" t="n">
        <v>100</v>
      </c>
      <c r="B42" s="52" t="n">
        <v>7.6</v>
      </c>
      <c r="C42" s="52" t="n">
        <v>8.300000000000001</v>
      </c>
      <c r="D42" s="59" t="n">
        <v>0.3838</v>
      </c>
      <c r="E42" s="52" t="n">
        <v>24.3</v>
      </c>
      <c r="F42" s="52" t="n">
        <v>26.1</v>
      </c>
      <c r="G42" s="59" t="n">
        <v>0.3919</v>
      </c>
      <c r="H42" s="55" t="n">
        <v>962</v>
      </c>
      <c r="I42" s="55" t="n">
        <v>304</v>
      </c>
    </row>
    <row r="43">
      <c r="A43" s="11" t="n">
        <v>105</v>
      </c>
      <c r="B43" s="52" t="n">
        <v>6.4</v>
      </c>
      <c r="C43" s="52" t="n">
        <v>7.4</v>
      </c>
      <c r="D43" s="59" t="n">
        <v>0.382</v>
      </c>
      <c r="E43" s="52" t="n">
        <v>28</v>
      </c>
      <c r="F43" s="52" t="n">
        <v>30</v>
      </c>
      <c r="G43" s="59" t="n">
        <v>0.3914</v>
      </c>
      <c r="H43" s="55" t="n">
        <v>900</v>
      </c>
      <c r="I43" s="55" t="n">
        <v>44</v>
      </c>
    </row>
    <row r="44">
      <c r="A44" s="11" t="n">
        <v>190</v>
      </c>
      <c r="B44" s="52" t="n">
        <v>0</v>
      </c>
      <c r="C44" s="52" t="n">
        <v>1</v>
      </c>
      <c r="D44" s="59" t="n">
        <v>0.3838</v>
      </c>
      <c r="E44" s="52" t="n">
        <v>108</v>
      </c>
      <c r="F44" s="52" t="n">
        <v>112.5</v>
      </c>
      <c r="G44" s="59" t="n">
        <v>0.5545</v>
      </c>
      <c r="H44" s="55" t="n">
        <v>319</v>
      </c>
      <c r="I44" s="55" t="n">
        <v>0</v>
      </c>
    </row>
    <row r="46">
      <c r="A46" s="27" t="inlineStr">
        <is>
          <t>Strategies, 2028-01-21 expiry (premium: + = credit; P/L at expiry per contract)</t>
        </is>
      </c>
    </row>
    <row r="47">
      <c r="A47" s="20" t="inlineStr">
        <is>
          <t>Leg prices</t>
        </is>
      </c>
    </row>
    <row r="48">
      <c r="A48" s="14" t="inlineStr">
        <is>
          <t>ATM call (mid)</t>
        </is>
      </c>
      <c r="B48" s="30" t="n">
        <v>80</v>
      </c>
      <c r="C48" s="52" t="n">
        <v>14.9</v>
      </c>
    </row>
    <row r="49">
      <c r="A49" s="14" t="inlineStr">
        <is>
          <t>Upper call (mid)</t>
        </is>
      </c>
      <c r="B49" s="30" t="n">
        <v>105</v>
      </c>
      <c r="C49" s="52" t="n">
        <v>6.9</v>
      </c>
    </row>
    <row r="50">
      <c r="A50" s="14" t="inlineStr">
        <is>
          <t>ATM put (mid)</t>
        </is>
      </c>
      <c r="B50" s="30" t="n">
        <v>80</v>
      </c>
      <c r="C50" s="52" t="n">
        <v>12</v>
      </c>
    </row>
    <row r="51">
      <c r="A51" s="14" t="inlineStr">
        <is>
          <t>Lower put (theo)</t>
        </is>
      </c>
      <c r="B51" s="30" t="n">
        <v>55</v>
      </c>
      <c r="C51" s="52" t="n">
        <v>2.7455</v>
      </c>
    </row>
    <row r="52">
      <c r="A52" s="14" t="inlineStr">
        <is>
          <t>Short-put strike (mid)</t>
        </is>
      </c>
      <c r="B52" s="30" t="n">
        <v>70</v>
      </c>
      <c r="C52" s="52" t="n">
        <v>7.7</v>
      </c>
    </row>
    <row r="54">
      <c r="A54" s="24" t="inlineStr">
        <is>
          <t>Strategy</t>
        </is>
      </c>
      <c r="B54" s="25" t="inlineStr">
        <is>
          <t>Premium</t>
        </is>
      </c>
      <c r="C54" s="25" t="inlineStr">
        <is>
          <t>Max profit</t>
        </is>
      </c>
      <c r="D54" s="25" t="inlineStr">
        <is>
          <t>Max loss</t>
        </is>
      </c>
      <c r="E54" s="25" t="inlineStr">
        <is>
          <t>Breakeven</t>
        </is>
      </c>
      <c r="F54" s="25" t="inlineStr">
        <is>
          <t>P/L at bear</t>
        </is>
      </c>
      <c r="G54" s="25" t="inlineStr">
        <is>
          <t>P/L at spot</t>
        </is>
      </c>
      <c r="H54" s="25" t="inlineStr">
        <is>
          <t>P/L at base</t>
        </is>
      </c>
      <c r="I54" s="25" t="inlineStr">
        <is>
          <t>P/L at bull</t>
        </is>
      </c>
      <c r="J54" s="25" t="inlineStr">
        <is>
          <t>Market P(profit)</t>
        </is>
      </c>
    </row>
    <row r="55">
      <c r="A55" s="14" t="inlineStr">
        <is>
          <t>Long ATM call</t>
        </is>
      </c>
      <c r="B55" s="73">
        <f>-$C$48*$B$14</f>
        <v>-1490.0</v>
      </c>
      <c r="C55" s="73" t="str">
        <f>"Unlimited"</f>
        <v>Unlimited</v>
      </c>
      <c r="D55" s="73">
        <f>B55</f>
        <v>-1490.0</v>
      </c>
      <c r="E55" s="53">
        <f>$B$48+$C$48</f>
        <v>94.9</v>
      </c>
      <c r="F55" s="73">
        <f>(MAX($B$28-$B$48,0)-$C$48)*$B$14</f>
        <v>-1490.0</v>
      </c>
      <c r="G55" s="73">
        <f>(MAX($B$4-$B$48,0)-$C$48)*$B$14</f>
        <v>-1485.9999999999993</v>
      </c>
      <c r="H55" s="73">
        <f>(MAX($B$29-$B$48,0)-$C$48)*$B$14</f>
        <v>829.8173922091271</v>
      </c>
      <c r="I55" s="73">
        <f>(MAX($B$30-$B$48,0)-$C$48)*$B$14</f>
        <v>9456.356902450265</v>
      </c>
      <c r="J55" s="69">
        <f>NORMSDIST((LN($B$27/(E55))-$B$13^2*$B$9/2)/($B$13*SQRT($B$9)))</f>
        <v>0.28599232904970995</v>
      </c>
    </row>
    <row r="56">
      <c r="A56" s="14" t="inlineStr">
        <is>
          <t>Bull call spread (ATM / upper)</t>
        </is>
      </c>
      <c r="B56" s="73">
        <f>-($C$48-$C$49)*$B$14</f>
        <v>-800.0</v>
      </c>
      <c r="C56" s="73">
        <f>($B$49-$B$48)*$B$14+B56</f>
        <v>1700.0</v>
      </c>
      <c r="D56" s="73">
        <f>B56</f>
        <v>-800.0</v>
      </c>
      <c r="E56" s="53">
        <f>$B$48+$C$48-$C$49</f>
        <v>88.0</v>
      </c>
      <c r="F56" s="73">
        <f>(MAX($B$28-$B$48,0)-MAX($B$28-$B$49,0)-$C$48+$C$49)*$B$14</f>
        <v>-800.0</v>
      </c>
      <c r="G56" s="73">
        <f>(MAX($B$4-$B$48,0)-MAX($B$4-$B$49,0)-$C$48+$C$49)*$B$14</f>
        <v>-795.9999999999993</v>
      </c>
      <c r="H56" s="73">
        <f>(MAX($B$29-$B$48,0)-MAX($B$29-$B$49,0)-$C$48+$C$49)*$B$14</f>
        <v>1519.817392209127</v>
      </c>
      <c r="I56" s="73">
        <f>(MAX($B$30-$B$48,0)-MAX($B$30-$B$49,0)-$C$48+$C$49)*$B$14</f>
        <v>1700.0</v>
      </c>
      <c r="J56" s="69">
        <f>NORMSDIST((LN($B$27/(E56))-$B$13^2*$B$9/2)/($B$13*SQRT($B$9)))</f>
        <v>0.34738706877132425</v>
      </c>
    </row>
    <row r="57">
      <c r="A57" s="14" t="inlineStr">
        <is>
          <t>Cash-secured put (~10% below spot)</t>
        </is>
      </c>
      <c r="B57" s="73">
        <f>$C$52*$B$14</f>
        <v>770.0</v>
      </c>
      <c r="C57" s="73">
        <f>B57</f>
        <v>770.0</v>
      </c>
      <c r="D57" s="73">
        <f>-($B$52*$B$14-B57)</f>
        <v>-6230.0</v>
      </c>
      <c r="E57" s="53">
        <f>$B$52-$C$52</f>
        <v>62.3</v>
      </c>
      <c r="F57" s="73">
        <f>($C$52-MAX($B$52-$B$28,0))*$B$14</f>
        <v>-562.3487144053515</v>
      </c>
      <c r="G57" s="73">
        <f>($C$52-MAX($B$52-$B$4,0))*$B$14</f>
        <v>770.0</v>
      </c>
      <c r="H57" s="73">
        <f>($C$52-MAX($B$52-$B$29,0))*$B$14</f>
        <v>770.0</v>
      </c>
      <c r="I57" s="73">
        <f>($C$52-MAX($B$52-$B$30,0))*$B$14</f>
        <v>770.0</v>
      </c>
      <c r="J57" s="69">
        <f>NORMSDIST((LN($B$27/(E57))-$B$13^2*$B$9/2)/($B$13*SQRT($B$9)))</f>
        <v>0.6546786793294022</v>
      </c>
    </row>
    <row r="58">
      <c r="A58" s="14" t="inlineStr">
        <is>
          <t>Covered call (100 shares + upper call, incl. dividends)</t>
        </is>
      </c>
      <c r="B58" s="73">
        <f>$C$49*$B$14</f>
        <v>690.0</v>
      </c>
      <c r="C58" s="73">
        <f>($B$49-$B$4)*$B$14+B58+$B$4*$B$11*$B$9*$B$14</f>
        <v>3437.0843835616433</v>
      </c>
      <c r="D58" s="73">
        <f>-($B$4*$B$14-B58-$B$4*$B$11*$B$9*$B$14)</f>
        <v>-7062.915616438357</v>
      </c>
      <c r="E58" s="53">
        <f>$B$4-$C$49-$B$4*$B$11*$B$9</f>
        <v>70.62915616438356</v>
      </c>
      <c r="F58" s="73">
        <f>($B$28-$B$4+$C$49-MAX($B$28-$B$49,0)+$B$4*$B$11*$B$9)*$B$14</f>
        <v>-1395.2643308437086</v>
      </c>
      <c r="G58" s="73">
        <f>($B$4-$B$4+$C$49-MAX($B$4-$B$49,0)+$B$4*$B$11*$B$9)*$B$14</f>
        <v>941.084383561644</v>
      </c>
      <c r="H58" s="73">
        <f>($B$29-$B$4+$C$49-MAX($B$29-$B$49,0)+$B$4*$B$11*$B$9)*$B$14</f>
        <v>3256.9017757707707</v>
      </c>
      <c r="I58" s="73">
        <f>($B$30-$B$4+$C$49-MAX($B$30-$B$49,0)+$B$4*$B$11*$B$9)*$B$14</f>
        <v>3437.0843835616442</v>
      </c>
      <c r="J58" s="69">
        <f>NORMSDIST((LN($B$27/(E58))-$B$13^2*$B$9/2)/($B$13*SQRT($B$9)))</f>
        <v>0.5441232915753014</v>
      </c>
    </row>
    <row r="59">
      <c r="A59" s="14" t="inlineStr">
        <is>
          <t>Bear put spread (ATM / lower)</t>
        </is>
      </c>
      <c r="B59" s="73">
        <f>-($C$50-$C$51)*$B$14</f>
        <v>-925.45</v>
      </c>
      <c r="C59" s="73">
        <f>($B$50-$B$51)*$B$14+B59</f>
        <v>1574.55</v>
      </c>
      <c r="D59" s="73">
        <f>B59</f>
        <v>-925.45</v>
      </c>
      <c r="E59" s="53">
        <f>$B$50-$C$50+$C$51</f>
        <v>70.74549999999999</v>
      </c>
      <c r="F59" s="73">
        <f>(MAX($B$50-$B$28,0)-MAX($B$51-$B$28,0)-$C$50+$C$51)*$B$14</f>
        <v>1406.8987144053515</v>
      </c>
      <c r="G59" s="73">
        <f>(MAX($B$50-$B$4,0)-MAX($B$51-$B$4,0)-$C$50+$C$51)*$B$14</f>
        <v>-925.45</v>
      </c>
      <c r="H59" s="73">
        <f>(MAX($B$50-$B$29,0)-MAX($B$51-$B$29,0)-$C$50+$C$51)*$B$14</f>
        <v>-925.45</v>
      </c>
      <c r="I59" s="73">
        <f>(MAX($B$50-$B$30,0)-MAX($B$51-$B$30,0)-$C$50+$C$51)*$B$14</f>
        <v>-925.45</v>
      </c>
      <c r="J59" s="69">
        <f>1-NORMSDIST((LN($B$27/(E59))-$B$13^2*$B$9/2)/($B$13*SQRT($B$9)))</f>
        <v>0.45737043873488803</v>
      </c>
    </row>
    <row r="61">
      <c r="A61" s="21" t="inlineStr">
        <is>
          <t>Model output, not a recommendation. Not a licensed advisor.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2026-10-21T06:21:11Z</dcterms:modified>
  <cp:lastModifiedBy>Wang, Eric</cp:lastModifiedBy>
</cp:coreProperties>
</file>