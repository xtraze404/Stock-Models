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Immunocore Holdings PLC</t>
        </is>
      </c>
      <c r="C2" s="10" t="n"/>
    </row>
    <row r="3">
      <c r="B3" t="inlineStr">
        <is>
          <t>Price</t>
        </is>
      </c>
      <c r="C3" s="11">
        <f>INDEX([1]Pharma!$F$1:$F$1000,MATCH("IMCR",[1]Pharma!$B$1:$B$1000,0))</f>
        <v>32.6</v>
      </c>
      <c r="F3" s="1" t="n"/>
    </row>
    <row r="4">
      <c r="B4" t="inlineStr">
        <is>
          <t>Shares</t>
        </is>
      </c>
      <c r="C4" s="51" t="n">
        <v>51.498617</v>
      </c>
      <c r="F4" s="1" t="n"/>
    </row>
    <row r="5">
      <c r="B5" t="inlineStr">
        <is>
          <t>Market Cap.</t>
        </is>
      </c>
      <c r="C5" s="13">
        <f>C3*C4</f>
        <v>1678.8549142000002</v>
      </c>
      <c r="F5" s="1" t="n"/>
    </row>
    <row r="6"/>
    <row r="7">
      <c r="B7" t="inlineStr">
        <is>
          <t>Cash</t>
        </is>
      </c>
      <c r="C7" s="51">
        <f>484.92+395.291</f>
        <v>880.211</v>
      </c>
    </row>
    <row r="8">
      <c r="B8" t="inlineStr">
        <is>
          <t>Debt</t>
        </is>
      </c>
      <c r="C8" s="51" t="n">
        <v>0</v>
      </c>
    </row>
    <row r="9">
      <c r="B9" t="inlineStr">
        <is>
          <t>Enterprise V.</t>
        </is>
      </c>
      <c r="C9" s="13">
        <f>C5-C7+C8</f>
        <v>798.6439142000002</v>
      </c>
    </row>
    <row r="10"/>
    <row r="11">
      <c r="B11" s="14" t="inlineStr">
        <is>
          <t>NPV / Share</t>
        </is>
      </c>
      <c r="C11" s="11">
        <f>NPV!B28</f>
        <v>34.81077332746206</v>
      </c>
    </row>
    <row r="12">
      <c r="B12" s="14" t="inlineStr">
        <is>
          <t>Upside</t>
        </is>
      </c>
      <c r="C12" s="15">
        <f>IFERROR(C11/C3-1,"")</f>
        <v>0.0678151327442349</v>
      </c>
    </row>
    <row r="13">
      <c r="B13" s="14" t="inlineStr">
        <is>
          <t>Cash / Share</t>
        </is>
      </c>
      <c r="C13" s="11">
        <f>IFERROR((C7-C8)/C4,"")</f>
        <v>17.091934721276107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2018</v>
      </c>
      <c r="C1" s="16" t="n">
        <v>2019</v>
      </c>
      <c r="D1" s="16" t="n">
        <v>2020</v>
      </c>
      <c r="E1" s="16" t="n">
        <v>2021</v>
      </c>
      <c r="F1" s="16" t="n">
        <v>2022</v>
      </c>
      <c r="G1" s="16" t="n">
        <v>2023</v>
      </c>
      <c r="H1" s="16" t="n">
        <v>2024</v>
      </c>
      <c r="I1" s="16" t="n">
        <v>2025</v>
      </c>
      <c r="J1" s="16" t="n">
        <v>2026</v>
      </c>
      <c r="K1" s="16" t="n">
        <v>2027</v>
      </c>
      <c r="L1" s="16" t="n">
        <v>2028</v>
      </c>
      <c r="M1" s="16" t="n">
        <v>2029</v>
      </c>
      <c r="N1" s="16" t="n">
        <v>2030</v>
      </c>
      <c r="O1" s="16" t="n">
        <v>2031</v>
      </c>
      <c r="P1" s="16" t="n">
        <v>2032</v>
      </c>
      <c r="Q1" s="16" t="n">
        <v>2033</v>
      </c>
      <c r="R1" s="16" t="n">
        <v>2034</v>
      </c>
      <c r="S1" s="16" t="n">
        <v>2035</v>
      </c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31.543</v>
      </c>
      <c r="C2" s="52" t="n">
        <v>34.23</v>
      </c>
      <c r="D2" s="52" t="n">
        <v>40.158</v>
      </c>
      <c r="E2" s="52" t="n">
        <v>36.484</v>
      </c>
      <c r="F2" s="52" t="n">
        <v>191.677</v>
      </c>
      <c r="G2" s="52" t="n">
        <v>249.428</v>
      </c>
      <c r="H2" s="52" t="n">
        <v>310.202</v>
      </c>
      <c r="I2" s="52" t="n">
        <v>400.016</v>
      </c>
      <c r="J2" s="52">
        <f>I2*(1+NPV!C5)</f>
        <v>464.1385648</v>
      </c>
      <c r="K2" s="52">
        <f>J2*(1+NPV!D5)</f>
        <v>531.5624269799466</v>
      </c>
      <c r="L2" s="52">
        <f>K2*(1+NPV!E5)</f>
        <v>600.7895737203017</v>
      </c>
      <c r="M2" s="52">
        <f>L2*(1+NPV!F5)</f>
        <v>670.0005326128805</v>
      </c>
      <c r="N2" s="52">
        <f>M2*(1+NPV!G5)</f>
        <v>737.1122526296041</v>
      </c>
      <c r="O2" s="52">
        <f>N2*(1+NPV!H5)</f>
        <v>799.8650757368043</v>
      </c>
      <c r="P2" s="52">
        <f>O2*(1+NPV!I5)</f>
        <v>855.9356175459543</v>
      </c>
      <c r="Q2" s="52">
        <f>P2*(1+NPV!J5)</f>
        <v>903.0691388854848</v>
      </c>
      <c r="R2" s="52">
        <f>Q2*(1+NPV!K5)</f>
        <v>939.2220067455337</v>
      </c>
      <c r="S2" s="52">
        <f>R2*(1+NPV!L5)</f>
        <v>962.702556914172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1.089</v>
      </c>
      <c r="G3" s="52" t="n">
        <v>1.037</v>
      </c>
      <c r="H3" s="52" t="n">
        <v>2.731</v>
      </c>
      <c r="I3" s="52" t="n">
        <v>5.087</v>
      </c>
      <c r="J3" s="52">
        <f>J2*(1-Assumptions!$B$19)</f>
        <v>5.8945597729600205</v>
      </c>
      <c r="K3" s="52">
        <f>K2*(1-Assumptions!$B$19)</f>
        <v>6.750842822645346</v>
      </c>
      <c r="L3" s="52">
        <f>L2*(1-Assumptions!$B$19)</f>
        <v>7.630027586247859</v>
      </c>
      <c r="M3" s="52">
        <f>M2*(1-Assumptions!$B$19)</f>
        <v>8.509006764183612</v>
      </c>
      <c r="N3" s="52">
        <f>N2*(1-Assumptions!$B$19)</f>
        <v>9.361325608396005</v>
      </c>
      <c r="O3" s="52">
        <f>O2*(1-Assumptions!$B$19)</f>
        <v>10.15828646185745</v>
      </c>
      <c r="P3" s="52">
        <f>P2*(1-Assumptions!$B$19)</f>
        <v>10.870382342833658</v>
      </c>
      <c r="Q3" s="52">
        <f>Q2*(1-Assumptions!$B$19)</f>
        <v>11.468978063845697</v>
      </c>
      <c r="R3" s="52">
        <f>R2*(1-Assumptions!$B$19)</f>
        <v>11.92811948566832</v>
      </c>
      <c r="S3" s="52">
        <f>S2*(1-Assumptions!$B$19)</f>
        <v>12.226322472810027</v>
      </c>
    </row>
    <row r="4" customFormat="1" s="1">
      <c r="A4" s="5" t="inlineStr">
        <is>
          <t>Gross Margin</t>
        </is>
      </c>
      <c r="B4" s="52">
        <f>B2-B3</f>
        <v>31.543</v>
      </c>
      <c r="C4" s="52">
        <f>C2-C3</f>
        <v>34.23</v>
      </c>
      <c r="D4" s="52">
        <f>D2-D3</f>
        <v>40.158</v>
      </c>
      <c r="E4" s="52">
        <f>E2-E3</f>
        <v>36.484</v>
      </c>
      <c r="F4" s="52">
        <f>F2-F3</f>
        <v>190.588</v>
      </c>
      <c r="G4" s="52">
        <f>G2-G3</f>
        <v>248.391</v>
      </c>
      <c r="H4" s="52">
        <f>H2-H3</f>
        <v>307.471</v>
      </c>
      <c r="I4" s="52">
        <f>I2-I3</f>
        <v>394.92900000000003</v>
      </c>
      <c r="J4" s="52">
        <f>J2-J3</f>
        <v>458.24400502704</v>
      </c>
      <c r="K4" s="52">
        <f>K2-K3</f>
        <v>524.8115841573012</v>
      </c>
      <c r="L4" s="52">
        <f>L2-L3</f>
        <v>593.1595461340539</v>
      </c>
      <c r="M4" s="52">
        <f>M2-M3</f>
        <v>661.4915258486969</v>
      </c>
      <c r="N4" s="52">
        <f>N2-N3</f>
        <v>727.7509270212081</v>
      </c>
      <c r="O4" s="52">
        <f>O2-O3</f>
        <v>789.7067892749469</v>
      </c>
      <c r="P4" s="52">
        <f>P2-P3</f>
        <v>845.0652352031207</v>
      </c>
      <c r="Q4" s="52">
        <f>Q2-Q3</f>
        <v>891.6001608216391</v>
      </c>
      <c r="R4" s="52">
        <f>R2-R3</f>
        <v>927.2938872598654</v>
      </c>
      <c r="S4" s="52">
        <f>S2-S3</f>
        <v>950.476234441362</v>
      </c>
    </row>
    <row r="5">
      <c r="A5" s="2" t="inlineStr">
        <is>
          <t>Research &amp; Dev.</t>
        </is>
      </c>
      <c r="B5" s="52" t="n">
        <v>111.45</v>
      </c>
      <c r="C5" s="52" t="n">
        <v>133.341</v>
      </c>
      <c r="D5" s="52" t="n">
        <v>99.76000000000001</v>
      </c>
      <c r="E5" s="52" t="n">
        <v>100.248</v>
      </c>
      <c r="F5" s="52" t="n">
        <v>118.911</v>
      </c>
      <c r="G5" s="52" t="n">
        <v>163.545</v>
      </c>
      <c r="H5" s="52" t="n">
        <v>222.151</v>
      </c>
      <c r="I5" s="52" t="n">
        <v>274.869</v>
      </c>
      <c r="J5" s="52">
        <f>J7*Assumptions!$B$20</f>
        <v>293.95166027346704</v>
      </c>
      <c r="K5" s="52">
        <f>K7*Assumptions!$B$20</f>
        <v>328.2770324818772</v>
      </c>
      <c r="L5" s="52">
        <f>L7*Assumptions!$B$20</f>
        <v>361.5628039035179</v>
      </c>
      <c r="M5" s="52">
        <f>M7*Assumptions!$B$20</f>
        <v>392.65741808064513</v>
      </c>
      <c r="N5" s="52">
        <f>N7*Assumptions!$B$20</f>
        <v>420.37368030577056</v>
      </c>
      <c r="O5" s="52">
        <f>O7*Assumptions!$B$20</f>
        <v>443.55775340221186</v>
      </c>
      <c r="P5" s="52">
        <f>P7*Assumptions!$B$20</f>
        <v>461.16389021941023</v>
      </c>
      <c r="Q5" s="52">
        <f>Q7*Assumptions!$B$20</f>
        <v>472.328688200453</v>
      </c>
      <c r="R5" s="52">
        <f>R7*Assumptions!$B$20</f>
        <v>476.4379470360822</v>
      </c>
      <c r="S5" s="52">
        <f>S7*Assumptions!$B$20</f>
        <v>473.1792719054387</v>
      </c>
    </row>
    <row r="6">
      <c r="A6" s="18" t="inlineStr">
        <is>
          <t>SG&amp;A &amp; Other</t>
        </is>
      </c>
      <c r="B6" s="52" t="n">
        <v>44.719</v>
      </c>
      <c r="C6" s="52" t="n">
        <v>58.673</v>
      </c>
      <c r="D6" s="52" t="n">
        <v>55.339</v>
      </c>
      <c r="E6" s="52" t="n">
        <v>110.823</v>
      </c>
      <c r="F6" s="52" t="n">
        <v>123.386</v>
      </c>
      <c r="G6" s="52" t="n">
        <v>144.495</v>
      </c>
      <c r="H6" s="52" t="n">
        <v>155.781</v>
      </c>
      <c r="I6" s="52" t="n">
        <v>165.413</v>
      </c>
      <c r="J6" s="52">
        <f>J7-J5</f>
        <v>176.8983481735409</v>
      </c>
      <c r="K6" s="52">
        <f>K7-K5</f>
        <v>197.5551515352255</v>
      </c>
      <c r="L6" s="52">
        <f>L7-L5</f>
        <v>217.5863293713786</v>
      </c>
      <c r="M6" s="52">
        <f>M7-M5</f>
        <v>236.29888190437032</v>
      </c>
      <c r="N6" s="52">
        <f>N7-N5</f>
        <v>252.97836247137275</v>
      </c>
      <c r="O6" s="52">
        <f>O7-O5</f>
        <v>266.930398771762</v>
      </c>
      <c r="P6" s="52">
        <f>P7-P5</f>
        <v>277.52566643509925</v>
      </c>
      <c r="Q6" s="52">
        <f>Q7-Q5</f>
        <v>284.24457497502834</v>
      </c>
      <c r="R6" s="52">
        <f>R7-R5</f>
        <v>286.7175023249337</v>
      </c>
      <c r="S6" s="52">
        <f>S7-S5</f>
        <v>284.7564511530888</v>
      </c>
    </row>
    <row r="7">
      <c r="A7" s="2" t="inlineStr">
        <is>
          <t>Operating Expense</t>
        </is>
      </c>
      <c r="B7" s="52">
        <f>SUM(B5:B6)</f>
        <v>156.169</v>
      </c>
      <c r="C7" s="52">
        <f>SUM(C5:C6)</f>
        <v>192.014</v>
      </c>
      <c r="D7" s="52">
        <f>SUM(D5:D6)</f>
        <v>155.099</v>
      </c>
      <c r="E7" s="52">
        <f>SUM(E5:E6)</f>
        <v>211.071</v>
      </c>
      <c r="F7" s="52">
        <f>SUM(F5:F6)</f>
        <v>242.297</v>
      </c>
      <c r="G7" s="52">
        <f>SUM(G5:G6)</f>
        <v>308.03999999999996</v>
      </c>
      <c r="H7" s="52">
        <f>SUM(H5:H6)</f>
        <v>377.932</v>
      </c>
      <c r="I7" s="52">
        <f>SUM(I5:I6)</f>
        <v>440.28200000000004</v>
      </c>
      <c r="J7" s="52">
        <f>J4-J2*NPV!C6</f>
        <v>470.85000844700795</v>
      </c>
      <c r="K7" s="52">
        <f>K4-K2*NPV!D6</f>
        <v>525.8321840171027</v>
      </c>
      <c r="L7" s="52">
        <f>L4-L2*NPV!E6</f>
        <v>579.1491332748965</v>
      </c>
      <c r="M7" s="52">
        <f>M4-M2*NPV!F6</f>
        <v>628.9562999850154</v>
      </c>
      <c r="N7" s="52">
        <f>N4-N2*NPV!G6</f>
        <v>673.3520427771433</v>
      </c>
      <c r="O7" s="52">
        <f>O4-O2*NPV!H6</f>
        <v>710.4881521739738</v>
      </c>
      <c r="P7" s="52">
        <f>P4-P2*NPV!I6</f>
        <v>738.6895566545095</v>
      </c>
      <c r="Q7" s="52">
        <f>Q4-Q2*NPV!J6</f>
        <v>756.5732631754813</v>
      </c>
      <c r="R7" s="52">
        <f>R4-R2*NPV!K6</f>
        <v>763.1554493610159</v>
      </c>
      <c r="S7" s="52">
        <f>S4-S2*NPV!L6</f>
        <v>757.9357230585275</v>
      </c>
    </row>
    <row r="8">
      <c r="A8" s="2" t="inlineStr">
        <is>
          <t>Operating Income</t>
        </is>
      </c>
      <c r="B8" s="52">
        <f>B4-B7</f>
        <v>-124.626</v>
      </c>
      <c r="C8" s="52">
        <f>C4-C7</f>
        <v>-157.78400000000002</v>
      </c>
      <c r="D8" s="52">
        <f>D4-D7</f>
        <v>-114.94099999999999</v>
      </c>
      <c r="E8" s="52">
        <f>E4-E7</f>
        <v>-174.587</v>
      </c>
      <c r="F8" s="52">
        <f>F4-F7</f>
        <v>-51.709</v>
      </c>
      <c r="G8" s="52">
        <f>G4-G7</f>
        <v>-59.64899999999997</v>
      </c>
      <c r="H8" s="52">
        <f>H4-H7</f>
        <v>-70.46100000000001</v>
      </c>
      <c r="I8" s="52">
        <f>I4-I7</f>
        <v>-45.35300000000001</v>
      </c>
      <c r="J8" s="52">
        <f>J4-J7</f>
        <v>-12.606003419967976</v>
      </c>
      <c r="K8" s="52">
        <f>K4-K7</f>
        <v>-1.0205998598014503</v>
      </c>
      <c r="L8" s="52">
        <f>L4-L7</f>
        <v>14.01041285915744</v>
      </c>
      <c r="M8" s="52">
        <f>M4-M7</f>
        <v>32.53522586368149</v>
      </c>
      <c r="N8" s="52">
        <f>N4-N7</f>
        <v>54.39888424406479</v>
      </c>
      <c r="O8" s="52">
        <f>O4-O7</f>
        <v>79.21863710097307</v>
      </c>
      <c r="P8" s="52">
        <f>P4-P7</f>
        <v>106.37567854861118</v>
      </c>
      <c r="Q8" s="52">
        <f>Q4-Q7</f>
        <v>135.02689764615775</v>
      </c>
      <c r="R8" s="52">
        <f>R4-R7</f>
        <v>164.13843789884947</v>
      </c>
      <c r="S8" s="52">
        <f>S4-S7</f>
        <v>192.54051138283444</v>
      </c>
    </row>
    <row r="9">
      <c r="A9" s="18" t="inlineStr">
        <is>
          <t>Interest &amp; Other</t>
        </is>
      </c>
      <c r="B9" s="52" t="n">
        <v>7.037</v>
      </c>
      <c r="C9" s="52" t="n">
        <v>-10.494</v>
      </c>
      <c r="D9" s="52" t="n">
        <v>-1.556</v>
      </c>
      <c r="E9" s="52" t="n">
        <v>-5.292</v>
      </c>
      <c r="F9" s="52" t="n">
        <v>10.825</v>
      </c>
      <c r="G9" s="52" t="n">
        <v>-1.241</v>
      </c>
      <c r="H9" s="52" t="n">
        <v>17.524</v>
      </c>
      <c r="I9" s="52" t="n">
        <v>26.253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</row>
    <row r="10">
      <c r="A10" s="2" t="inlineStr">
        <is>
          <t>Pretax</t>
        </is>
      </c>
      <c r="B10" s="52">
        <f>B8+B9</f>
        <v>-117.589</v>
      </c>
      <c r="C10" s="52">
        <f>C8+C9</f>
        <v>-168.27800000000002</v>
      </c>
      <c r="D10" s="52">
        <f>D8+D9</f>
        <v>-116.49699999999999</v>
      </c>
      <c r="E10" s="52">
        <f>E8+E9</f>
        <v>-179.879</v>
      </c>
      <c r="F10" s="52">
        <f>F8+F9</f>
        <v>-40.884</v>
      </c>
      <c r="G10" s="52">
        <f>G8+G9</f>
        <v>-60.88999999999997</v>
      </c>
      <c r="H10" s="52">
        <f>H8+H9</f>
        <v>-52.93700000000001</v>
      </c>
      <c r="I10" s="52">
        <f>I8+I9</f>
        <v>-19.10000000000001</v>
      </c>
      <c r="J10" s="52">
        <f>J8+J9</f>
        <v>-12.606003419967976</v>
      </c>
      <c r="K10" s="52">
        <f>K8+K9</f>
        <v>-1.0205998598014503</v>
      </c>
      <c r="L10" s="52">
        <f>L8+L9</f>
        <v>14.01041285915744</v>
      </c>
      <c r="M10" s="52">
        <f>M8+M9</f>
        <v>32.53522586368149</v>
      </c>
      <c r="N10" s="52">
        <f>N8+N9</f>
        <v>54.39888424406479</v>
      </c>
      <c r="O10" s="52">
        <f>O8+O9</f>
        <v>79.21863710097307</v>
      </c>
      <c r="P10" s="52">
        <f>P8+P9</f>
        <v>106.37567854861118</v>
      </c>
      <c r="Q10" s="52">
        <f>Q8+Q9</f>
        <v>135.02689764615775</v>
      </c>
      <c r="R10" s="52">
        <f>R8+R9</f>
        <v>164.13843789884947</v>
      </c>
      <c r="S10" s="52">
        <f>S8+S9</f>
        <v>192.54051138283444</v>
      </c>
    </row>
    <row r="11">
      <c r="A11" s="2" t="inlineStr">
        <is>
          <t>Taxes</t>
        </is>
      </c>
      <c r="B11" s="52" t="n">
        <v>-22.067</v>
      </c>
      <c r="C11" s="52" t="n">
        <v>-29.682</v>
      </c>
      <c r="D11" s="52" t="n">
        <v>-17.692</v>
      </c>
      <c r="E11" s="52" t="n">
        <v>0.15</v>
      </c>
      <c r="F11" s="52" t="n">
        <v>11.66</v>
      </c>
      <c r="G11" s="52" t="n">
        <v>-5.603</v>
      </c>
      <c r="H11" s="52" t="n">
        <v>-1.85</v>
      </c>
      <c r="I11" s="52" t="n">
        <v>16.414</v>
      </c>
      <c r="J11" s="52">
        <f>MAX(0,J10)*Assumptions!$E$14</f>
        <v>0.0</v>
      </c>
      <c r="K11" s="52">
        <f>MAX(0,K10)*Assumptions!$E$14</f>
        <v>0.0</v>
      </c>
      <c r="L11" s="52">
        <f>MAX(0,L10)*Assumptions!$E$14</f>
        <v>2.381770186056765</v>
      </c>
      <c r="M11" s="52">
        <f>MAX(0,M10)*Assumptions!$E$14</f>
        <v>5.530988396825854</v>
      </c>
      <c r="N11" s="52">
        <f>MAX(0,N10)*Assumptions!$E$14</f>
        <v>9.247810321491015</v>
      </c>
      <c r="O11" s="52">
        <f>MAX(0,O10)*Assumptions!$E$14</f>
        <v>13.467168307165423</v>
      </c>
      <c r="P11" s="52">
        <f>MAX(0,P10)*Assumptions!$E$14</f>
        <v>18.083865353263903</v>
      </c>
      <c r="Q11" s="52">
        <f>MAX(0,Q10)*Assumptions!$E$14</f>
        <v>22.95457259984682</v>
      </c>
      <c r="R11" s="52">
        <f>MAX(0,R10)*Assumptions!$E$14</f>
        <v>27.903534442804414</v>
      </c>
      <c r="S11" s="52">
        <f>MAX(0,S10)*Assumptions!$E$14</f>
        <v>32.73188693508186</v>
      </c>
    </row>
    <row r="12">
      <c r="A12" s="2" t="inlineStr">
        <is>
          <t>Net Income</t>
        </is>
      </c>
      <c r="B12" s="52" t="n">
        <v>-95.521</v>
      </c>
      <c r="C12" s="52" t="n">
        <v>-138.595</v>
      </c>
      <c r="D12" s="52" t="n">
        <v>-98.80500000000001</v>
      </c>
      <c r="E12" s="52" t="n">
        <v>-180.029</v>
      </c>
      <c r="F12" s="52" t="n">
        <v>-52.543</v>
      </c>
      <c r="G12" s="52" t="n">
        <v>-55.287</v>
      </c>
      <c r="H12" s="52" t="n">
        <v>-51.087</v>
      </c>
      <c r="I12" s="52" t="n">
        <v>-35.514</v>
      </c>
      <c r="J12" s="52">
        <f>J10-J11</f>
        <v>-12.606003419967976</v>
      </c>
      <c r="K12" s="52">
        <f>K10-K11</f>
        <v>-1.0205998598014503</v>
      </c>
      <c r="L12" s="52">
        <f>L10-L11</f>
        <v>11.628642673100675</v>
      </c>
      <c r="M12" s="52">
        <f>M10-M11</f>
        <v>27.004237466855635</v>
      </c>
      <c r="N12" s="52">
        <f>N10-N11</f>
        <v>45.15107392257377</v>
      </c>
      <c r="O12" s="52">
        <f>O10-O11</f>
        <v>65.75146879380765</v>
      </c>
      <c r="P12" s="52">
        <f>P10-P11</f>
        <v>88.29181319534727</v>
      </c>
      <c r="Q12" s="52">
        <f>Q10-Q11</f>
        <v>112.07232504631094</v>
      </c>
      <c r="R12" s="52">
        <f>R10-R11</f>
        <v>136.23490345604506</v>
      </c>
      <c r="S12" s="52">
        <f>S10-S11</f>
        <v>159.80862444775258</v>
      </c>
    </row>
    <row r="13">
      <c r="A13" s="2" t="inlineStr">
        <is>
          <t>Earnings per Share</t>
        </is>
      </c>
      <c r="B13" s="11">
        <f>IFERROR(B12/B14,0)</f>
        <v>-4.43067860290366</v>
      </c>
      <c r="C13" s="11">
        <f>IFERROR(C12/C14,0)</f>
        <v>-6.215579872634318</v>
      </c>
      <c r="D13" s="11">
        <f>IFERROR(D12/D14,0)</f>
        <v>-3.725257323832146</v>
      </c>
      <c r="E13" s="11">
        <f>IFERROR(E12/E14,0)</f>
        <v>-4.2370731248087745</v>
      </c>
      <c r="F13" s="11">
        <f>IFERROR(F12/F14,0)</f>
        <v>-1.1493601662474022</v>
      </c>
      <c r="G13" s="11">
        <f>IFERROR(G12/G14,0)</f>
        <v>-1.1308678843911717</v>
      </c>
      <c r="H13" s="11">
        <f>IFERROR(H12/H14,0)</f>
        <v>-1.021923946310336</v>
      </c>
      <c r="I13" s="11">
        <f>IFERROR(I12/I14,0)</f>
        <v>-0.7053986414015018</v>
      </c>
      <c r="J13" s="11">
        <f>IFERROR(J12/J14,0)</f>
        <v>-0.24478333893836363</v>
      </c>
      <c r="K13" s="11">
        <f>IFERROR(K12/K14,0)</f>
        <v>-0.019818005205876697</v>
      </c>
      <c r="L13" s="11">
        <f>IFERROR(L12/L14,0)</f>
        <v>0.2258049507057767</v>
      </c>
      <c r="M13" s="11">
        <f>IFERROR(M12/M14,0)</f>
        <v>0.5243682071473033</v>
      </c>
      <c r="N13" s="11">
        <f>IFERROR(N12/N14,0)</f>
        <v>0.8767434263831545</v>
      </c>
      <c r="O13" s="11">
        <f>IFERROR(O12/O14,0)</f>
        <v>1.2767618360277062</v>
      </c>
      <c r="P13" s="11">
        <f>IFERROR(P12/P14,0)</f>
        <v>1.7144501801931356</v>
      </c>
      <c r="Q13" s="11">
        <f>IFERROR(Q12/Q14,0)</f>
        <v>2.176220092401917</v>
      </c>
      <c r="R13" s="11">
        <f>IFERROR(R12/R14,0)</f>
        <v>2.6454089719738505</v>
      </c>
      <c r="S13" s="11">
        <f>IFERROR(S12/S14,0)</f>
        <v>3.103163419859461</v>
      </c>
    </row>
    <row r="14">
      <c r="A14" s="2" t="inlineStr">
        <is>
          <t>Shares</t>
        </is>
      </c>
      <c r="B14" s="52" t="n">
        <v>21.559</v>
      </c>
      <c r="C14" s="52" t="n">
        <v>22.298</v>
      </c>
      <c r="D14" s="52" t="n">
        <v>26.523</v>
      </c>
      <c r="E14" s="52" t="n">
        <v>42.489</v>
      </c>
      <c r="F14" s="52" t="n">
        <v>45.715</v>
      </c>
      <c r="G14" s="52" t="n">
        <v>48.889</v>
      </c>
      <c r="H14" s="52" t="n">
        <v>49.991</v>
      </c>
      <c r="I14" s="52" t="n">
        <v>50.346</v>
      </c>
      <c r="J14" s="52">
        <f>Main!$C$4</f>
        <v>51.498617</v>
      </c>
      <c r="K14" s="52">
        <f>Main!$C$4</f>
        <v>51.498617</v>
      </c>
      <c r="L14" s="52">
        <f>Main!$C$4</f>
        <v>51.498617</v>
      </c>
      <c r="M14" s="52">
        <f>Main!$C$4</f>
        <v>51.498617</v>
      </c>
      <c r="N14" s="52">
        <f>Main!$C$4</f>
        <v>51.498617</v>
      </c>
      <c r="O14" s="52">
        <f>Main!$C$4</f>
        <v>51.498617</v>
      </c>
      <c r="P14" s="52">
        <f>Main!$C$4</f>
        <v>51.498617</v>
      </c>
      <c r="Q14" s="52">
        <f>Main!$C$4</f>
        <v>51.498617</v>
      </c>
      <c r="R14" s="52">
        <f>Main!$C$4</f>
        <v>51.498617</v>
      </c>
      <c r="S14" s="52">
        <f>Main!$C$4</f>
        <v>51.498617</v>
      </c>
    </row>
    <row r="15"/>
    <row r="16" customFormat="1" s="4">
      <c r="A16" s="3" t="inlineStr">
        <is>
          <t>Revenue Change</t>
        </is>
      </c>
      <c r="C16" s="15">
        <f>IFERROR(C2/B2-1,"")</f>
        <v>0.08518530260279622</v>
      </c>
      <c r="D16" s="15">
        <f>IFERROR(D2/C2-1,"")</f>
        <v>0.17318141980718682</v>
      </c>
      <c r="E16" s="15">
        <f>IFERROR(E2/D2-1,"")</f>
        <v>-0.09148861995119273</v>
      </c>
      <c r="F16" s="15">
        <f>IFERROR(F2/E2-1,"")</f>
        <v>4.253727661440631</v>
      </c>
      <c r="G16" s="15">
        <f>IFERROR(G2/F2-1,"")</f>
        <v>0.30129332157744537</v>
      </c>
      <c r="H16" s="15">
        <f>IFERROR(H2/G2-1,"")</f>
        <v>0.24365347916031888</v>
      </c>
      <c r="I16" s="15">
        <f>IFERROR(I2/H2-1,"")</f>
        <v>0.28953391660917727</v>
      </c>
      <c r="J16" s="15">
        <f>IFERROR(J2/I2-1,"")</f>
        <v>0.1602999999999999</v>
      </c>
      <c r="K16" s="15">
        <f>IFERROR(K2/J2-1,"")</f>
        <v>0.14526666666666666</v>
      </c>
      <c r="L16" s="15">
        <f>IFERROR(L2/K2-1,"")</f>
        <v>0.13023333333333342</v>
      </c>
      <c r="M16" s="15">
        <f>IFERROR(M2/L2-1,"")</f>
        <v>0.11519999999999997</v>
      </c>
      <c r="N16" s="15">
        <f>IFERROR(N2/M2-1,"")</f>
        <v>0.10016666666666674</v>
      </c>
      <c r="O16" s="15">
        <f>IFERROR(O2/N2-1,"")</f>
        <v>0.08513333333333328</v>
      </c>
      <c r="P16" s="15">
        <f>IFERROR(P2/O2-1,"")</f>
        <v>0.07010000000000005</v>
      </c>
      <c r="Q16" s="15">
        <f>IFERROR(Q2/P2-1,"")</f>
        <v>0.0550666666666666</v>
      </c>
      <c r="R16" s="15">
        <f>IFERROR(R2/Q2-1,"")</f>
        <v>0.040033333333333365</v>
      </c>
      <c r="S16" s="15">
        <f>IFERROR(S2/R2-1,"")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0.9943185671729002</v>
      </c>
      <c r="G17" s="15">
        <f>IFERROR(G4/G2,"")</f>
        <v>0.9958424876116554</v>
      </c>
      <c r="H17" s="15">
        <f>IFERROR(H4/H2,"")</f>
        <v>0.9911960593419772</v>
      </c>
      <c r="I17" s="15">
        <f>IFERROR(I4/I2,"")</f>
        <v>0.9872830086796528</v>
      </c>
      <c r="J17" s="15">
        <f>IFERROR(J4/J2,"")</f>
        <v>0.9873</v>
      </c>
      <c r="K17" s="15">
        <f>IFERROR(K4/K2,"")</f>
        <v>0.9872999999999998</v>
      </c>
      <c r="L17" s="15">
        <f>IFERROR(L4/L2,"")</f>
        <v>0.9873000000000001</v>
      </c>
      <c r="M17" s="15">
        <f>IFERROR(M4/M2,"")</f>
        <v>0.9873</v>
      </c>
      <c r="N17" s="15">
        <f>IFERROR(N4/N2,"")</f>
        <v>0.9873</v>
      </c>
      <c r="O17" s="15">
        <f>IFERROR(O4/O2,"")</f>
        <v>0.9873</v>
      </c>
      <c r="P17" s="15">
        <f>IFERROR(P4/P2,"")</f>
        <v>0.9873</v>
      </c>
      <c r="Q17" s="15">
        <f>IFERROR(Q4/Q2,"")</f>
        <v>0.9873</v>
      </c>
      <c r="R17" s="15">
        <f>IFERROR(R4/R2,"")</f>
        <v>0.9873</v>
      </c>
      <c r="S17" s="15">
        <f>IFERROR(S4/S2,"")</f>
        <v>0.9873</v>
      </c>
    </row>
    <row r="18">
      <c r="A18" s="14" t="inlineStr">
        <is>
          <t>Operating Margin</t>
        </is>
      </c>
      <c r="B18" s="15">
        <f>IFERROR(B8/B2,"")</f>
        <v>-3.950987540817297</v>
      </c>
      <c r="C18" s="15">
        <f>IFERROR(C8/C2,"")</f>
        <v>-4.609523809523811</v>
      </c>
      <c r="D18" s="15">
        <f>IFERROR(D8/D2,"")</f>
        <v>-2.8622192340255985</v>
      </c>
      <c r="E18" s="15">
        <f>IFERROR(E8/E2,"")</f>
        <v>-4.785303146584804</v>
      </c>
      <c r="F18" s="15">
        <f>IFERROR(F8/F2,"")</f>
        <v>-0.2697715427516082</v>
      </c>
      <c r="G18" s="15">
        <f>IFERROR(G8/G2,"")</f>
        <v>-0.2391431595490481</v>
      </c>
      <c r="H18" s="15">
        <f>IFERROR(H8/H2,"")</f>
        <v>-0.22714553742400118</v>
      </c>
      <c r="I18" s="15">
        <f>IFERROR(I8/I2,"")</f>
        <v>-0.11337796488140477</v>
      </c>
      <c r="J18" s="15">
        <f>IFERROR(J8/J2,"")</f>
        <v>-0.027159999999999948</v>
      </c>
      <c r="K18" s="15">
        <f>IFERROR(K8/K2,"")</f>
        <v>-0.0019199999999999111</v>
      </c>
      <c r="L18" s="15">
        <f>IFERROR(L8/L2,"")</f>
        <v>0.023320000000000007</v>
      </c>
      <c r="M18" s="15">
        <f>IFERROR(M8/M2,"")</f>
        <v>0.04856000000000001</v>
      </c>
      <c r="N18" s="15">
        <f>IFERROR(N8/N2,"")</f>
        <v>0.0738</v>
      </c>
      <c r="O18" s="15">
        <f>IFERROR(O8/O2,"")</f>
        <v>0.09903999999999996</v>
      </c>
      <c r="P18" s="15">
        <f>IFERROR(P8/P2,"")</f>
        <v>0.12427999999999997</v>
      </c>
      <c r="Q18" s="15">
        <f>IFERROR(Q8/Q2,"")</f>
        <v>0.14952000000000007</v>
      </c>
      <c r="R18" s="15">
        <f>IFERROR(R8/R2,"")</f>
        <v>0.17476</v>
      </c>
      <c r="S18" s="15">
        <f>IFERROR(S8/S2,"")</f>
        <v>0.20000000000000004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E</t>
        </is>
      </c>
      <c r="K19" s="19" t="inlineStr">
        <is>
          <t>E</t>
        </is>
      </c>
      <c r="L19" s="19" t="inlineStr">
        <is>
          <t>E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Immunocore Holdings PLC: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0.12</v>
      </c>
      <c r="C10" s="53" t="n">
        <v>0.11</v>
      </c>
      <c r="D10" s="53" t="n">
        <v>0.1</v>
      </c>
      <c r="E10" s="54">
        <f>IF(ISNUMBER($B$6),$B$6,CHOOSE($B$4,B10,C10,D10))</f>
        <v>0.11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0.1103</v>
      </c>
      <c r="C12" s="53" t="n">
        <v>0.1603</v>
      </c>
      <c r="D12" s="53" t="n">
        <v>0.2103</v>
      </c>
      <c r="E12" s="54">
        <f>CHOOSE($B$4,B12,C12,D12)</f>
        <v>0.1603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-0.0524</v>
      </c>
    </row>
    <row r="19">
      <c r="A19" s="14" t="inlineStr">
        <is>
          <t>Gross margin (forecast)</t>
        </is>
      </c>
      <c r="B19" s="53" t="n">
        <v>0.9873</v>
      </c>
    </row>
    <row r="20">
      <c r="A20" s="14" t="inlineStr">
        <is>
          <t>R&amp;D share of operating expense (forecast)</t>
        </is>
      </c>
      <c r="B20" s="53" t="n">
        <v>0.6243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Model'!I2</f>
        <v>400.016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912.4956830647842</v>
      </c>
      <c r="C29" s="56">
        <f>NPV!B26</f>
        <v>1792.706683064784</v>
      </c>
      <c r="D29" s="35">
        <f>NPV!B28</f>
        <v>34.81077332746206</v>
      </c>
      <c r="E29" s="57">
        <f>NPV!B30</f>
        <v>0.0678151327442349</v>
      </c>
    </row>
    <row r="30">
      <c r="A30" s="58" t="n">
        <v>1</v>
      </c>
      <c r="B30" s="59">
        <f t="dataTable" ref="B30:E32" r1="B4"/>
        <v>415.255617633785</v>
      </c>
      <c r="C30" s="59">
        <v>1295.466617633785</v>
      </c>
      <c r="D30" s="39">
        <v>25.155367136049207</v>
      </c>
      <c r="E30" s="60">
        <v>-0.22836297128683414</v>
      </c>
    </row>
    <row r="31">
      <c r="A31" s="58" t="n">
        <v>2</v>
      </c>
      <c r="B31" s="59">
        <v>912.4956830647842</v>
      </c>
      <c r="C31" s="59">
        <v>1792.706683064784</v>
      </c>
      <c r="D31" s="39">
        <v>34.81077332746206</v>
      </c>
      <c r="E31" s="60">
        <v>0.0678151327442349</v>
      </c>
    </row>
    <row r="32">
      <c r="A32" s="58" t="n">
        <v>3</v>
      </c>
      <c r="B32" s="59">
        <v>1869.8702146499857</v>
      </c>
      <c r="C32" s="59">
        <v>2750.0812146499857</v>
      </c>
      <c r="D32" s="39">
        <v>53.40106928793807</v>
      </c>
      <c r="E32" s="60">
        <v>0.6380696100594501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34.81077332746206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0.09</v>
      </c>
      <c r="B37" s="39">
        <f t="dataTable" ref="B37:F41" dt2D="1" r1="B7" r2="B6"/>
        <v>39.31347345388191</v>
      </c>
      <c r="C37" s="39">
        <v>40.97470317166439</v>
      </c>
      <c r="D37" s="39">
        <v>42.893775507190746</v>
      </c>
      <c r="E37" s="39">
        <v>45.13518319477099</v>
      </c>
      <c r="F37" s="39">
        <v>47.7868713225199</v>
      </c>
    </row>
    <row r="38">
      <c r="A38" s="62" t="n">
        <v>0.1</v>
      </c>
      <c r="B38" s="39">
        <v>35.67228863183561</v>
      </c>
      <c r="C38" s="39">
        <v>36.89239490333701</v>
      </c>
      <c r="D38" s="39">
        <v>38.277028899001905</v>
      </c>
      <c r="E38" s="39">
        <v>39.86147214124022</v>
      </c>
      <c r="F38" s="39">
        <v>41.6918623602952</v>
      </c>
    </row>
    <row r="39">
      <c r="A39" s="62" t="n">
        <v>0.11</v>
      </c>
      <c r="B39" s="39">
        <v>32.85414076483085</v>
      </c>
      <c r="C39" s="39">
        <v>33.77738205124982</v>
      </c>
      <c r="D39" s="39">
        <v>34.81077332746206</v>
      </c>
      <c r="E39" s="39">
        <v>35.974988568868135</v>
      </c>
      <c r="F39" s="39">
        <v>37.29621509747911</v>
      </c>
    </row>
    <row r="40">
      <c r="A40" s="62" t="n">
        <v>0.12</v>
      </c>
      <c r="B40" s="39">
        <v>30.619772707170103</v>
      </c>
      <c r="C40" s="39">
        <v>31.33511918219863</v>
      </c>
      <c r="D40" s="39">
        <v>32.12705847461911</v>
      </c>
      <c r="E40" s="39">
        <v>33.008373343809666</v>
      </c>
      <c r="F40" s="39">
        <v>33.994854493010216</v>
      </c>
    </row>
    <row r="41">
      <c r="A41" s="62" t="n">
        <v>0.13</v>
      </c>
      <c r="B41" s="39">
        <v>28.813502956499235</v>
      </c>
      <c r="C41" s="39">
        <v>29.378545156762407</v>
      </c>
      <c r="D41" s="39">
        <v>29.998505626705356</v>
      </c>
      <c r="E41" s="39">
        <v>30.681636640577874</v>
      </c>
      <c r="F41" s="39">
        <v>31.437927990453215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Immunocore Holdings PLC: free-cash-flow DCF ($mm)</t>
        </is>
      </c>
    </row>
    <row r="3">
      <c r="A3" s="20" t="inlineStr">
        <is>
          <t>Fiscal year</t>
        </is>
      </c>
      <c r="B3" s="43">
        <f>'Yearly Model'!I1</f>
        <v>2025</v>
      </c>
      <c r="C3" s="43">
        <f>'Yearly Model'!J1</f>
        <v>2026</v>
      </c>
      <c r="D3" s="43">
        <f>'Yearly Model'!K1</f>
        <v>2027</v>
      </c>
      <c r="E3" s="43">
        <f>'Yearly Model'!L1</f>
        <v>2028</v>
      </c>
      <c r="F3" s="43">
        <f>'Yearly Model'!M1</f>
        <v>2029</v>
      </c>
      <c r="G3" s="43">
        <f>'Yearly Model'!N1</f>
        <v>2030</v>
      </c>
      <c r="H3" s="43">
        <f>'Yearly Model'!O1</f>
        <v>2031</v>
      </c>
      <c r="I3" s="43">
        <f>'Yearly Model'!P1</f>
        <v>2032</v>
      </c>
      <c r="J3" s="43">
        <f>'Yearly Model'!Q1</f>
        <v>2033</v>
      </c>
      <c r="K3" s="43">
        <f>'Yearly Model'!R1</f>
        <v>2034</v>
      </c>
      <c r="L3" s="43">
        <f>'Yearly Model'!S1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0.1603</v>
      </c>
      <c r="D5" s="63">
        <f>Assumptions!$E$12+(Assumptions!$E$11-Assumptions!$E$12)*(D4-1)/(Assumptions!$B$21-1)</f>
        <v>0.14526666666666666</v>
      </c>
      <c r="E5" s="63">
        <f>Assumptions!$E$12+(Assumptions!$E$11-Assumptions!$E$12)*(E4-1)/(Assumptions!$B$21-1)</f>
        <v>0.13023333333333334</v>
      </c>
      <c r="F5" s="63">
        <f>Assumptions!$E$12+(Assumptions!$E$11-Assumptions!$E$12)*(F4-1)/(Assumptions!$B$21-1)</f>
        <v>0.1152</v>
      </c>
      <c r="G5" s="63">
        <f>Assumptions!$E$12+(Assumptions!$E$11-Assumptions!$E$12)*(G4-1)/(Assumptions!$B$21-1)</f>
        <v>0.10016666666666665</v>
      </c>
      <c r="H5" s="63">
        <f>Assumptions!$E$12+(Assumptions!$E$11-Assumptions!$E$12)*(H4-1)/(Assumptions!$B$21-1)</f>
        <v>0.08513333333333334</v>
      </c>
      <c r="I5" s="63">
        <f>Assumptions!$E$12+(Assumptions!$E$11-Assumptions!$E$12)*(I4-1)/(Assumptions!$B$21-1)</f>
        <v>0.0701</v>
      </c>
      <c r="J5" s="63">
        <f>Assumptions!$E$12+(Assumptions!$E$11-Assumptions!$E$12)*(J4-1)/(Assumptions!$B$21-1)</f>
        <v>0.05506666666666665</v>
      </c>
      <c r="K5" s="63">
        <f>Assumptions!$E$12+(Assumptions!$E$11-Assumptions!$E$12)*(K4-1)/(Assumptions!$B$21-1)</f>
        <v>0.040033333333333324</v>
      </c>
      <c r="L5" s="63">
        <f>Assumptions!$E$12+(Assumptions!$E$11-Assumptions!$E$12)*(L4-1)/(Assumptions!$B$21-1)</f>
        <v>0.024999999999999994</v>
      </c>
    </row>
    <row r="6">
      <c r="A6" s="14" t="inlineStr">
        <is>
          <t>Operating margin</t>
        </is>
      </c>
      <c r="B6" s="63">
        <f>IFERROR(B8/B7,0)</f>
        <v>-0.11337796488140477</v>
      </c>
      <c r="C6" s="63">
        <f>Assumptions!$B$18+(Assumptions!$E$13-Assumptions!$B$18)*C4/Assumptions!$B$21</f>
        <v>-0.02716</v>
      </c>
      <c r="D6" s="63">
        <f>Assumptions!$B$18+(Assumptions!$E$13-Assumptions!$B$18)*D4/Assumptions!$B$21</f>
        <v>-0.001919999999999998</v>
      </c>
      <c r="E6" s="63">
        <f>Assumptions!$B$18+(Assumptions!$E$13-Assumptions!$B$18)*E4/Assumptions!$B$21</f>
        <v>0.023320000000000007</v>
      </c>
      <c r="F6" s="63">
        <f>Assumptions!$B$18+(Assumptions!$E$13-Assumptions!$B$18)*F4/Assumptions!$B$21</f>
        <v>0.048560000000000006</v>
      </c>
      <c r="G6" s="63">
        <f>Assumptions!$B$18+(Assumptions!$E$13-Assumptions!$B$18)*G4/Assumptions!$B$21</f>
        <v>0.0738</v>
      </c>
      <c r="H6" s="63">
        <f>Assumptions!$B$18+(Assumptions!$E$13-Assumptions!$B$18)*H4/Assumptions!$B$21</f>
        <v>0.09904000000000002</v>
      </c>
      <c r="I6" s="63">
        <f>Assumptions!$B$18+(Assumptions!$E$13-Assumptions!$B$18)*I4/Assumptions!$B$21</f>
        <v>0.12428</v>
      </c>
      <c r="J6" s="63">
        <f>Assumptions!$B$18+(Assumptions!$E$13-Assumptions!$B$18)*J4/Assumptions!$B$21</f>
        <v>0.14952000000000001</v>
      </c>
      <c r="K6" s="63">
        <f>Assumptions!$B$18+(Assumptions!$E$13-Assumptions!$B$18)*K4/Assumptions!$B$21</f>
        <v>0.17476000000000003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Model'!I2</f>
        <v>400.016</v>
      </c>
      <c r="C7" s="55">
        <f>'Yearly Model'!J2</f>
        <v>464.1385648</v>
      </c>
      <c r="D7" s="55">
        <f>'Yearly Model'!K2</f>
        <v>531.5624269799466</v>
      </c>
      <c r="E7" s="55">
        <f>'Yearly Model'!L2</f>
        <v>600.7895737203017</v>
      </c>
      <c r="F7" s="55">
        <f>'Yearly Model'!M2</f>
        <v>670.0005326128805</v>
      </c>
      <c r="G7" s="55">
        <f>'Yearly Model'!N2</f>
        <v>737.1122526296041</v>
      </c>
      <c r="H7" s="55">
        <f>'Yearly Model'!O2</f>
        <v>799.8650757368043</v>
      </c>
      <c r="I7" s="55">
        <f>'Yearly Model'!P2</f>
        <v>855.9356175459543</v>
      </c>
      <c r="J7" s="55">
        <f>'Yearly Model'!Q2</f>
        <v>903.0691388854848</v>
      </c>
      <c r="K7" s="55">
        <f>'Yearly Model'!R2</f>
        <v>939.2220067455337</v>
      </c>
      <c r="L7" s="55">
        <f>'Yearly Model'!S2</f>
        <v>962.702556914172</v>
      </c>
    </row>
    <row r="8">
      <c r="A8" s="14" t="inlineStr">
        <is>
          <t>Operating income</t>
        </is>
      </c>
      <c r="B8" s="55">
        <f>'Yearly Model'!I8</f>
        <v>-45.35300000000001</v>
      </c>
      <c r="C8" s="55">
        <f>'Yearly Model'!J8</f>
        <v>-12.606003419967976</v>
      </c>
      <c r="D8" s="55">
        <f>'Yearly Model'!K8</f>
        <v>-1.0205998598014503</v>
      </c>
      <c r="E8" s="55">
        <f>'Yearly Model'!L8</f>
        <v>14.01041285915744</v>
      </c>
      <c r="F8" s="55">
        <f>'Yearly Model'!M8</f>
        <v>32.53522586368149</v>
      </c>
      <c r="G8" s="55">
        <f>'Yearly Model'!N8</f>
        <v>54.39888424406479</v>
      </c>
      <c r="H8" s="55">
        <f>'Yearly Model'!O8</f>
        <v>79.21863710097307</v>
      </c>
      <c r="I8" s="55">
        <f>'Yearly Model'!P8</f>
        <v>106.37567854861118</v>
      </c>
      <c r="J8" s="55">
        <f>'Yearly Model'!Q8</f>
        <v>135.02689764615775</v>
      </c>
      <c r="K8" s="55">
        <f>'Yearly Model'!R8</f>
        <v>164.13843789884947</v>
      </c>
      <c r="L8" s="55">
        <f>'Yearly Model'!S8</f>
        <v>192.54051138283444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2.381770186056765</v>
      </c>
      <c r="F9" s="52">
        <f>MAX(0,F8)*Assumptions!$E$14</f>
        <v>5.530988396825854</v>
      </c>
      <c r="G9" s="52">
        <f>MAX(0,G8)*Assumptions!$E$14</f>
        <v>9.247810321491015</v>
      </c>
      <c r="H9" s="52">
        <f>MAX(0,H8)*Assumptions!$E$14</f>
        <v>13.467168307165423</v>
      </c>
      <c r="I9" s="52">
        <f>MAX(0,I8)*Assumptions!$E$14</f>
        <v>18.083865353263903</v>
      </c>
      <c r="J9" s="52">
        <f>MAX(0,J8)*Assumptions!$E$14</f>
        <v>22.95457259984682</v>
      </c>
      <c r="K9" s="52">
        <f>MAX(0,K8)*Assumptions!$E$14</f>
        <v>27.903534442804414</v>
      </c>
      <c r="L9" s="52">
        <f>MAX(0,L8)*Assumptions!$E$14</f>
        <v>32.73188693508186</v>
      </c>
    </row>
    <row r="10">
      <c r="A10" s="14" t="inlineStr">
        <is>
          <t>NOPAT</t>
        </is>
      </c>
      <c r="C10" s="52">
        <f>C8-C9</f>
        <v>-12.606003419967976</v>
      </c>
      <c r="D10" s="52">
        <f>D8-D9</f>
        <v>-1.0205998598014503</v>
      </c>
      <c r="E10" s="52">
        <f>E8-E9</f>
        <v>11.628642673100675</v>
      </c>
      <c r="F10" s="52">
        <f>F8-F9</f>
        <v>27.004237466855635</v>
      </c>
      <c r="G10" s="52">
        <f>G8-G9</f>
        <v>45.15107392257377</v>
      </c>
      <c r="H10" s="52">
        <f>H8-H9</f>
        <v>65.75146879380765</v>
      </c>
      <c r="I10" s="52">
        <f>I8-I9</f>
        <v>88.29181319534727</v>
      </c>
      <c r="J10" s="52">
        <f>J8-J9</f>
        <v>112.07232504631094</v>
      </c>
      <c r="K10" s="52">
        <f>K8-K9</f>
        <v>136.23490345604506</v>
      </c>
      <c r="L10" s="52">
        <f>L8-L9</f>
        <v>159.80862444775258</v>
      </c>
    </row>
    <row r="11">
      <c r="A11" s="14" t="inlineStr">
        <is>
          <t>Reinvestment</t>
        </is>
      </c>
      <c r="C11" s="52">
        <f>(C7-B7)*Assumptions!$E$15</f>
        <v>16.03064119999999</v>
      </c>
      <c r="D11" s="52">
        <f>(D7-C7)*Assumptions!$E$15</f>
        <v>16.85596554498666</v>
      </c>
      <c r="E11" s="52">
        <f>(E7-D7)*Assumptions!$E$15</f>
        <v>17.30678668508878</v>
      </c>
      <c r="F11" s="52">
        <f>(F7-E7)*Assumptions!$E$15</f>
        <v>17.302739723144697</v>
      </c>
      <c r="G11" s="52">
        <f>(G7-F7)*Assumptions!$E$15</f>
        <v>16.777930004180888</v>
      </c>
      <c r="H11" s="52">
        <f>(H7-G7)*Assumptions!$E$15</f>
        <v>15.68820577680006</v>
      </c>
      <c r="I11" s="52">
        <f>(I7-H7)*Assumptions!$E$15</f>
        <v>14.017635452287493</v>
      </c>
      <c r="J11" s="52">
        <f>(J7-I7)*Assumptions!$E$15</f>
        <v>11.783380334882622</v>
      </c>
      <c r="K11" s="52">
        <f>(K7-J7)*Assumptions!$E$15</f>
        <v>9.038216965012225</v>
      </c>
      <c r="L11" s="52">
        <f>(L7-K7)*Assumptions!$E$15</f>
        <v>5.8701375421595685</v>
      </c>
    </row>
    <row r="12">
      <c r="A12" s="20" t="inlineStr">
        <is>
          <t>Free cash flow</t>
        </is>
      </c>
      <c r="C12" s="64">
        <f>C10-C11</f>
        <v>-28.636644619967967</v>
      </c>
      <c r="D12" s="64">
        <f>D10-D11</f>
        <v>-17.87656540478811</v>
      </c>
      <c r="E12" s="64">
        <f>E10-E11</f>
        <v>-5.678144011988106</v>
      </c>
      <c r="F12" s="64">
        <f>F10-F11</f>
        <v>9.701497743710938</v>
      </c>
      <c r="G12" s="64">
        <f>G10-G11</f>
        <v>28.373143918392884</v>
      </c>
      <c r="H12" s="64">
        <f>H10-H11</f>
        <v>50.063263017007586</v>
      </c>
      <c r="I12" s="64">
        <f>I10-I11</f>
        <v>74.27417774305978</v>
      </c>
      <c r="J12" s="64">
        <f>J10-J11</f>
        <v>100.28894471142831</v>
      </c>
      <c r="K12" s="64">
        <f>K10-K11</f>
        <v>127.19668649103284</v>
      </c>
      <c r="L12" s="64">
        <f>L10-L11</f>
        <v>153.938486905593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0.9740389933872364</v>
      </c>
      <c r="D15" s="65">
        <f>1/(1+Assumptions!$E$10)^D14</f>
        <v>0.9005155094261971</v>
      </c>
      <c r="E15" s="65">
        <f>1/(1+Assumptions!$E$10)^E14</f>
        <v>0.8112752337172946</v>
      </c>
      <c r="F15" s="65">
        <f>1/(1+Assumptions!$E$10)^F14</f>
        <v>0.7308785889344995</v>
      </c>
      <c r="G15" s="65">
        <f>1/(1+Assumptions!$E$10)^G14</f>
        <v>0.6584491792202698</v>
      </c>
      <c r="H15" s="65">
        <f>1/(1+Assumptions!$E$10)^H14</f>
        <v>0.5931974587569998</v>
      </c>
      <c r="I15" s="65">
        <f>1/(1+Assumptions!$E$10)^I14</f>
        <v>0.534412125006306</v>
      </c>
      <c r="J15" s="65">
        <f>1/(1+Assumptions!$E$10)^J14</f>
        <v>0.4814523648705459</v>
      </c>
      <c r="K15" s="65">
        <f>1/(1+Assumptions!$E$10)^K14</f>
        <v>0.433740869252744</v>
      </c>
      <c r="L15" s="65">
        <f>1/(1+Assumptions!$E$10)^L14</f>
        <v>0.3907575398673369</v>
      </c>
    </row>
    <row r="16">
      <c r="A16" s="20" t="inlineStr">
        <is>
          <t>PV of free cash flow</t>
        </is>
      </c>
      <c r="C16" s="64">
        <f>C12*C13*C15</f>
        <v>-14.060966404659258</v>
      </c>
      <c r="D16" s="64">
        <f>D12*D13*D15</f>
        <v>-16.098124402283496</v>
      </c>
      <c r="E16" s="64">
        <f>E12*E13*E15</f>
        <v>-4.606537610406107</v>
      </c>
      <c r="F16" s="64">
        <f>F12*F13*F15</f>
        <v>7.090616981474681</v>
      </c>
      <c r="G16" s="64">
        <f>G12*G13*G15</f>
        <v>18.682273324964385</v>
      </c>
      <c r="H16" s="64">
        <f>H12*H13*H15</f>
        <v>29.697400398772192</v>
      </c>
      <c r="I16" s="64">
        <f>I12*I13*I15</f>
        <v>39.69302116076465</v>
      </c>
      <c r="J16" s="64">
        <f>J12*J13*J15</f>
        <v>48.28434960168859</v>
      </c>
      <c r="K16" s="64">
        <f>K12*K13*K15</f>
        <v>55.17040136468935</v>
      </c>
      <c r="L16" s="64">
        <f>L12*L13*L15</f>
        <v>60.152624434129784</v>
      </c>
    </row>
    <row r="19">
      <c r="A19" s="14" t="inlineStr">
        <is>
          <t>PV of forecast free cash flow</t>
        </is>
      </c>
      <c r="B19" s="52">
        <f>SUM(C16:L16)</f>
        <v>224.00505884913477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157.7869490782328</v>
      </c>
    </row>
    <row r="21">
      <c r="A21" s="14" t="inlineStr">
        <is>
          <t>Terminal value</t>
        </is>
      </c>
      <c r="B21" s="52">
        <f>B20/(Assumptions!$E$10-Assumptions!$E$11)</f>
        <v>1856.3170479792095</v>
      </c>
    </row>
    <row r="22">
      <c r="A22" s="14" t="inlineStr">
        <is>
          <t>PV of terminal value</t>
        </is>
      </c>
      <c r="B22" s="52">
        <f>B21/(1+Assumptions!$E$10)^(L14+0.5)</f>
        <v>688.4906242156494</v>
      </c>
    </row>
    <row r="23">
      <c r="A23" s="20" t="inlineStr">
        <is>
          <t>Enterprise value</t>
        </is>
      </c>
      <c r="B23" s="66">
        <f>B19+B22</f>
        <v>912.4956830647842</v>
      </c>
    </row>
    <row r="24">
      <c r="A24" s="14" t="inlineStr">
        <is>
          <t>Cash &amp; investments</t>
        </is>
      </c>
      <c r="B24" s="55">
        <f>Main!C7</f>
        <v>880.211</v>
      </c>
    </row>
    <row r="25">
      <c r="A25" s="14" t="inlineStr">
        <is>
          <t>Debt</t>
        </is>
      </c>
      <c r="B25" s="55">
        <f>Main!C8</f>
        <v>0</v>
      </c>
    </row>
    <row r="26">
      <c r="A26" s="20" t="inlineStr">
        <is>
          <t>Equity value</t>
        </is>
      </c>
      <c r="B26" s="66">
        <f>B23+B24-B25</f>
        <v>1792.706683064784</v>
      </c>
    </row>
    <row r="27">
      <c r="A27" s="14" t="inlineStr">
        <is>
          <t>Shares (mm)</t>
        </is>
      </c>
      <c r="B27" s="55">
        <f>Main!C4</f>
        <v>51.498617</v>
      </c>
    </row>
    <row r="28">
      <c r="A28" s="20" t="inlineStr">
        <is>
          <t>NPV / share</t>
        </is>
      </c>
      <c r="B28" s="49">
        <f>B26/B27</f>
        <v>34.81077332746206</v>
      </c>
    </row>
    <row r="29">
      <c r="A29" s="14" t="inlineStr">
        <is>
          <t>Price</t>
        </is>
      </c>
      <c r="B29" s="50">
        <f>Main!C3</f>
        <v>32.6</v>
      </c>
    </row>
    <row r="30">
      <c r="A30" s="14" t="inlineStr">
        <is>
          <t>Upside</t>
        </is>
      </c>
      <c r="B30" s="63">
        <f>B28/B29-1</f>
        <v>0.0678151327442349</v>
      </c>
    </row>
    <row r="31">
      <c r="A31" s="14" t="inlineStr">
        <is>
          <t>Terminal value, % of EV</t>
        </is>
      </c>
      <c r="B31" s="63">
        <f>IFERROR(B22/B23,0)</f>
        <v>0.7545138426334548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2026-10-21T06:23:05Z</dcterms:modified>
  <cp:lastModifiedBy>Wang, Eric</cp:lastModifiedBy>
</cp:coreProperties>
</file>