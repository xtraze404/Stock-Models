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CalciMedica Inc</t>
        </is>
      </c>
      <c r="C2" s="10" t="n"/>
    </row>
    <row r="3">
      <c r="B3" t="inlineStr">
        <is>
          <t>Price</t>
        </is>
      </c>
      <c r="C3" s="11">
        <f>INDEX([1]Pharma!$F$1:$F$1000,MATCH("CALC",[1]Pharma!$B$1:$B$1000,0))</f>
        <v>1.065</v>
      </c>
      <c r="F3" s="1" t="n"/>
    </row>
    <row r="4">
      <c r="B4" t="inlineStr">
        <is>
          <t>Shares</t>
        </is>
      </c>
      <c r="C4" s="21" t="n">
        <v>34.14146</v>
      </c>
      <c r="F4" s="1" t="n"/>
    </row>
    <row r="5">
      <c r="B5" t="inlineStr">
        <is>
          <t>Market Cap.</t>
        </is>
      </c>
      <c r="C5" s="13">
        <f>C3*C4</f>
        <v>36.3606549</v>
      </c>
      <c r="F5" s="1" t="n"/>
    </row>
    <row r="6"/>
    <row r="7">
      <c r="B7" t="inlineStr">
        <is>
          <t>Cash</t>
        </is>
      </c>
      <c r="C7" s="21" t="n">
        <v>18.617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17.7436549</v>
      </c>
    </row>
    <row r="10"/>
    <row r="11">
      <c r="B11" s="14" t="inlineStr">
        <is>
          <t>Net Cash / Share</t>
        </is>
      </c>
      <c r="C11" s="11">
        <f>(C7-C8)/C4</f>
        <v>0.5452900959712912</v>
      </c>
    </row>
    <row r="12">
      <c r="B12" s="14" t="inlineStr">
        <is>
          <t>Upside</t>
        </is>
      </c>
      <c r="C12" s="15">
        <f>IFERROR(C11/C3-1,"")</f>
        <v>-0.48799052021475</v>
      </c>
    </row>
    <row r="13">
      <c r="B13" s="14" t="inlineStr">
        <is>
          <t>Cash / Share</t>
        </is>
      </c>
      <c r="C13" s="11">
        <f>IFERROR((C7-C8)/C4,"")</f>
        <v>0.5452900959712912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-19.106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0.9744059457761959</v>
      </c>
    </row>
    <row r="19">
      <c r="B19" s="14" t="inlineStr">
        <is>
          <t>Implied Pipeline Value</t>
        </is>
      </c>
      <c r="C19" s="13">
        <f>C9</f>
        <v>17.7436549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30.58</v>
      </c>
      <c r="C5" s="23" t="n">
        <v>20.962</v>
      </c>
      <c r="D5" s="23" t="n">
        <v>18.903</v>
      </c>
      <c r="E5" s="23" t="n">
        <v>8.35</v>
      </c>
      <c r="F5" s="23" t="n">
        <v>15.859</v>
      </c>
      <c r="G5" s="23" t="n">
        <v>14.478</v>
      </c>
      <c r="H5" s="23" t="n">
        <v>15.234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6.922</v>
      </c>
      <c r="C6" s="23" t="n">
        <v>8.869999999999999</v>
      </c>
      <c r="D6" s="23" t="n">
        <v>17.044</v>
      </c>
      <c r="E6" s="23" t="n">
        <v>5.843</v>
      </c>
      <c r="F6" s="23" t="n">
        <v>22.216</v>
      </c>
      <c r="G6" s="23" t="n">
        <v>9.726000000000001</v>
      </c>
      <c r="H6" s="23" t="n">
        <v>7.887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37.501999999999995</v>
      </c>
      <c r="C7" s="23">
        <f>SUM(C5:C6)</f>
        <v>29.832</v>
      </c>
      <c r="D7" s="23">
        <f>SUM(D5:D6)</f>
        <v>35.947</v>
      </c>
      <c r="E7" s="23">
        <f>SUM(E5:E6)</f>
        <v>14.193</v>
      </c>
      <c r="F7" s="23">
        <f>SUM(F5:F6)</f>
        <v>38.075</v>
      </c>
      <c r="G7" s="23">
        <f>SUM(G5:G6)</f>
        <v>24.204</v>
      </c>
      <c r="H7" s="23">
        <f>SUM(H5:H6)</f>
        <v>23.121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-37.501999999999995</v>
      </c>
      <c r="C8" s="23">
        <f>C4-C7</f>
        <v>-29.832</v>
      </c>
      <c r="D8" s="23">
        <f>D4-D7</f>
        <v>-35.947</v>
      </c>
      <c r="E8" s="23">
        <f>E4-E7</f>
        <v>-14.193</v>
      </c>
      <c r="F8" s="23">
        <f>F4-F7</f>
        <v>-38.075</v>
      </c>
      <c r="G8" s="23">
        <f>G4-G7</f>
        <v>-24.204</v>
      </c>
      <c r="H8" s="23">
        <f>H4-H7</f>
        <v>-23.121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0.465</v>
      </c>
      <c r="C9" s="23" t="n">
        <v>2.301</v>
      </c>
      <c r="D9" s="23" t="n">
        <v>0.126</v>
      </c>
      <c r="E9" s="23" t="n">
        <v>6.37</v>
      </c>
      <c r="F9" s="23" t="n">
        <v>3.719</v>
      </c>
      <c r="G9" s="23" t="n">
        <v>10.504</v>
      </c>
      <c r="H9" s="23" t="n">
        <v>-6.439</v>
      </c>
    </row>
    <row r="10">
      <c r="A10" s="2" t="inlineStr">
        <is>
          <t>Pretax</t>
        </is>
      </c>
      <c r="B10" s="23">
        <f>B8+B9</f>
        <v>-37.03699999999999</v>
      </c>
      <c r="C10" s="23">
        <f>C8+C9</f>
        <v>-27.531</v>
      </c>
      <c r="D10" s="23">
        <f>D8+D9</f>
        <v>-35.821000000000005</v>
      </c>
      <c r="E10" s="23">
        <f>E8+E9</f>
        <v>-7.8229999999999995</v>
      </c>
      <c r="F10" s="23">
        <f>F8+F9</f>
        <v>-34.356</v>
      </c>
      <c r="G10" s="23">
        <f>G8+G9</f>
        <v>-13.700000000000001</v>
      </c>
      <c r="H10" s="23">
        <f>H8+H9</f>
        <v>-29.56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0.001</v>
      </c>
      <c r="F11" s="23" t="n">
        <v>0.001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-37.037</v>
      </c>
      <c r="C12" s="23" t="n">
        <v>-27.531</v>
      </c>
      <c r="D12" s="23" t="n">
        <v>-35.821</v>
      </c>
      <c r="E12" s="23" t="n">
        <v>-7.824</v>
      </c>
      <c r="F12" s="23" t="n">
        <v>-34.357</v>
      </c>
      <c r="G12" s="23" t="n">
        <v>-13.7</v>
      </c>
      <c r="H12" s="23" t="n">
        <v>-29.56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-100.91825613079018</v>
      </c>
      <c r="C13" s="11">
        <f>IFERROR(C12/C14,0)</f>
        <v>-74.8125</v>
      </c>
      <c r="D13" s="11">
        <f>IFERROR(D12/D14,0)</f>
        <v>-30.408319185059423</v>
      </c>
      <c r="E13" s="11">
        <f>IFERROR(E12/E14,0)</f>
        <v>-1.7124097176625082</v>
      </c>
      <c r="F13" s="11">
        <f>IFERROR(F12/F14,0)</f>
        <v>-7.658716005349978</v>
      </c>
      <c r="G13" s="11">
        <f>IFERROR(G12/G14,0)</f>
        <v>-1.2182109194380224</v>
      </c>
      <c r="H13" s="11">
        <f>IFERROR(H12/H14,0)</f>
        <v>-1.9692225701152488</v>
      </c>
    </row>
    <row r="14">
      <c r="A14" s="2" t="inlineStr">
        <is>
          <t>Shares</t>
        </is>
      </c>
      <c r="B14" s="23" t="n">
        <v>0.367</v>
      </c>
      <c r="C14" s="23" t="n">
        <v>0.368</v>
      </c>
      <c r="D14" s="23" t="n">
        <v>1.178</v>
      </c>
      <c r="E14" s="23" t="n">
        <v>4.569</v>
      </c>
      <c r="F14" s="23" t="n">
        <v>4.486</v>
      </c>
      <c r="G14" s="23" t="n">
        <v>11.246</v>
      </c>
      <c r="H14" s="23" t="n">
        <v>15.011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2026-10-21T06:29:45Z</dcterms:modified>
  <cp:lastModifiedBy>Wang, Eric</cp:lastModifiedBy>
</cp:coreProperties>
</file>