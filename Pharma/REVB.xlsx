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Revelation Biosciences Inc</t>
        </is>
      </c>
      <c r="C2" s="10" t="n"/>
    </row>
    <row r="3">
      <c r="B3" t="inlineStr">
        <is>
          <t>Price</t>
        </is>
      </c>
      <c r="C3" s="11">
        <f>INDEX([1]Pharma!$F$1:$F$1000,MATCH("REVB",[1]Pharma!$B$1:$B$1000,0))</f>
        <v>3.75</v>
      </c>
      <c r="F3" s="1" t="n"/>
    </row>
    <row r="4">
      <c r="B4" t="inlineStr">
        <is>
          <t>Shares</t>
        </is>
      </c>
      <c r="C4" s="21">
        <f>(3.983416)/7</f>
        <v>0.5690594285714285</v>
      </c>
      <c r="F4" s="1" t="n"/>
    </row>
    <row r="5">
      <c r="B5" t="inlineStr">
        <is>
          <t>Market Cap.</t>
        </is>
      </c>
      <c r="C5" s="13">
        <f>C3*C4</f>
        <v>2.133972857142857</v>
      </c>
      <c r="F5" s="1" t="n"/>
    </row>
    <row r="6"/>
    <row r="7">
      <c r="B7" t="inlineStr">
        <is>
          <t>Cash</t>
        </is>
      </c>
      <c r="C7" s="21" t="n">
        <v>11.482792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-9.348819142857142</v>
      </c>
    </row>
    <row r="10"/>
    <row r="11">
      <c r="B11" s="14" t="inlineStr">
        <is>
          <t>Net Cash / Share</t>
        </is>
      </c>
      <c r="C11" s="11">
        <f>(C7-C8)/C4</f>
        <v>20.17854625276396</v>
      </c>
    </row>
    <row r="12">
      <c r="B12" s="14" t="inlineStr">
        <is>
          <t>Upside</t>
        </is>
      </c>
      <c r="C12" s="15">
        <f>IFERROR(C11/C3-1,"")</f>
        <v>4.380945667403723</v>
      </c>
    </row>
    <row r="13">
      <c r="B13" s="14" t="inlineStr">
        <is>
          <t>Cash / Share</t>
        </is>
      </c>
      <c r="C13" s="11">
        <f>IFERROR((C7-C8)/C4,"")</f>
        <v>20.17854625276396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-9.327999999999999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1.2310025728987994</v>
      </c>
    </row>
    <row r="19">
      <c r="B19" s="14" t="inlineStr">
        <is>
          <t>Implied Pipeline Value</t>
        </is>
      </c>
      <c r="C19" s="13">
        <f>C9</f>
        <v>-9.348819142857142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6.915</v>
      </c>
      <c r="E5" s="23" t="n">
        <v>5.377</v>
      </c>
      <c r="F5" s="23" t="n">
        <v>4.146</v>
      </c>
      <c r="G5" s="23" t="n">
        <v>3.549</v>
      </c>
      <c r="H5" s="23" t="n">
        <v>4.064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0.004</v>
      </c>
      <c r="C6" s="23" t="n">
        <v>0.145</v>
      </c>
      <c r="D6" s="23" t="n">
        <v>5.036</v>
      </c>
      <c r="E6" s="23" t="n">
        <v>5.487</v>
      </c>
      <c r="F6" s="23" t="n">
        <v>4.511</v>
      </c>
      <c r="G6" s="23" t="n">
        <v>4.426</v>
      </c>
      <c r="H6" s="23" t="n">
        <v>5.007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0.004</v>
      </c>
      <c r="C7" s="23">
        <f>SUM(C5:C6)</f>
        <v>0.145</v>
      </c>
      <c r="D7" s="23">
        <f>SUM(D5:D6)</f>
        <v>11.951</v>
      </c>
      <c r="E7" s="23">
        <f>SUM(E5:E6)</f>
        <v>10.864</v>
      </c>
      <c r="F7" s="23">
        <f>SUM(F5:F6)</f>
        <v>8.657</v>
      </c>
      <c r="G7" s="23">
        <f>SUM(G5:G6)</f>
        <v>7.975</v>
      </c>
      <c r="H7" s="23">
        <f>SUM(H5:H6)</f>
        <v>9.071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-0.004</v>
      </c>
      <c r="C8" s="23">
        <f>C4-C7</f>
        <v>-0.145</v>
      </c>
      <c r="D8" s="23">
        <f>D4-D7</f>
        <v>-11.951</v>
      </c>
      <c r="E8" s="23">
        <f>E4-E7</f>
        <v>-10.864</v>
      </c>
      <c r="F8" s="23">
        <f>F4-F7</f>
        <v>-8.657</v>
      </c>
      <c r="G8" s="23">
        <f>G4-G7</f>
        <v>-7.975</v>
      </c>
      <c r="H8" s="23">
        <f>H4-H7</f>
        <v>-9.071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</v>
      </c>
      <c r="C9" s="23" t="n">
        <v>-1.485</v>
      </c>
      <c r="D9" s="23" t="n">
        <v>-0.036</v>
      </c>
      <c r="E9" s="23" t="n">
        <v>0.035</v>
      </c>
      <c r="F9" s="23" t="n">
        <v>8.536</v>
      </c>
      <c r="G9" s="23" t="n">
        <v>-7.063</v>
      </c>
      <c r="H9" s="23" t="n">
        <v>0.157</v>
      </c>
    </row>
    <row r="10">
      <c r="A10" s="2" t="inlineStr">
        <is>
          <t>Pretax</t>
        </is>
      </c>
      <c r="B10" s="23">
        <f>B8+B9</f>
        <v>-0.004</v>
      </c>
      <c r="C10" s="23">
        <f>C8+C9</f>
        <v>-1.6300000000000001</v>
      </c>
      <c r="D10" s="23">
        <f>D8+D9</f>
        <v>-11.987</v>
      </c>
      <c r="E10" s="23">
        <f>E8+E9</f>
        <v>-10.829</v>
      </c>
      <c r="F10" s="23">
        <f>F8+F9</f>
        <v>-0.12100000000000044</v>
      </c>
      <c r="G10" s="23">
        <f>G8+G9</f>
        <v>-15.038</v>
      </c>
      <c r="H10" s="23">
        <f>H8+H9</f>
        <v>-8.914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-0.004</v>
      </c>
      <c r="C12" s="23" t="n">
        <v>-1.631</v>
      </c>
      <c r="D12" s="23" t="n">
        <v>-11.987</v>
      </c>
      <c r="E12" s="23" t="n">
        <v>-10.83</v>
      </c>
      <c r="F12" s="23" t="n">
        <v>-0.12</v>
      </c>
      <c r="G12" s="23" t="n">
        <v>-15.039</v>
      </c>
      <c r="H12" s="23" t="n">
        <v>-8.914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-0.07869342854385795</v>
      </c>
      <c r="D13" s="11">
        <f>IFERROR(D12/D14,0)</f>
        <v>-4.941055234954658</v>
      </c>
      <c r="E13" s="11">
        <f>IFERROR(E12/E14,0)</f>
        <v>-17.35576923076923</v>
      </c>
      <c r="F13" s="11">
        <f>IFERROR(F12/F14,0)</f>
        <v>-0.1957585644371941</v>
      </c>
      <c r="G13" s="11">
        <f>IFERROR(G12/G14,0)</f>
        <v>-24.453658536585365</v>
      </c>
      <c r="H13" s="11">
        <f>IFERROR(H12/H14,0)</f>
        <v>-14.35426731078905</v>
      </c>
    </row>
    <row r="14">
      <c r="A14" s="2" t="inlineStr">
        <is>
          <t>Shares</t>
        </is>
      </c>
      <c r="B14" s="23" t="n"/>
      <c r="C14" s="23" t="n">
        <v>20.726</v>
      </c>
      <c r="D14" s="23" t="n">
        <v>2.426</v>
      </c>
      <c r="E14" s="23" t="n">
        <v>0.624</v>
      </c>
      <c r="F14" s="23" t="n">
        <v>0.613</v>
      </c>
      <c r="G14" s="23" t="n">
        <v>0.615</v>
      </c>
      <c r="H14" s="23" t="n">
        <v>0.621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2026-10-21T01:06:53Z</dcterms:modified>
  <cp:lastModifiedBy>Wang, Eric</cp:lastModifiedBy>
</cp:coreProperties>
</file>