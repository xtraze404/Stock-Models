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Gain Therapeutics Inc</t>
        </is>
      </c>
      <c r="C2" s="10" t="n"/>
    </row>
    <row r="3">
      <c r="B3" t="inlineStr">
        <is>
          <t>Price</t>
        </is>
      </c>
      <c r="C3" s="11">
        <f>INDEX([1]Pharma!$F$1:$F$1000,MATCH("GANX",[1]Pharma!$B$1:$B$1000,0))</f>
        <v>1.19</v>
      </c>
      <c r="F3" s="1" t="n"/>
    </row>
    <row r="4">
      <c r="B4" t="inlineStr">
        <is>
          <t>Shares</t>
        </is>
      </c>
      <c r="C4" s="21" t="n">
        <v>43.643619</v>
      </c>
      <c r="F4" s="1" t="n"/>
    </row>
    <row r="5">
      <c r="B5" t="inlineStr">
        <is>
          <t>Market Cap.</t>
        </is>
      </c>
      <c r="C5" s="13">
        <f>C3*C4</f>
        <v>51.935906609999996</v>
      </c>
      <c r="F5" s="1" t="n"/>
    </row>
    <row r="6"/>
    <row r="7">
      <c r="B7" t="inlineStr">
        <is>
          <t>Cash</t>
        </is>
      </c>
      <c r="C7" s="21" t="n">
        <v>13.084144</v>
      </c>
    </row>
    <row r="8">
      <c r="B8" t="inlineStr">
        <is>
          <t>Debt</t>
        </is>
      </c>
      <c r="C8" s="21">
        <f>0.123628+0.220058</f>
        <v>0.343686</v>
      </c>
    </row>
    <row r="9">
      <c r="B9" t="inlineStr">
        <is>
          <t>Enterprise V.</t>
        </is>
      </c>
      <c r="C9" s="13">
        <f>C5-C7+C8</f>
        <v>39.19544860999999</v>
      </c>
    </row>
    <row r="10"/>
    <row r="11">
      <c r="B11" s="14" t="inlineStr">
        <is>
          <t>Net Cash / Share</t>
        </is>
      </c>
      <c r="C11" s="11">
        <f>(C7-C8)/C4</f>
        <v>0.2919202919446254</v>
      </c>
    </row>
    <row r="12">
      <c r="B12" s="14" t="inlineStr">
        <is>
          <t>Upside</t>
        </is>
      </c>
      <c r="C12" s="15">
        <f>IFERROR(C11/C3-1,"")</f>
        <v>-0.7546888302986341</v>
      </c>
    </row>
    <row r="13">
      <c r="B13" s="14" t="inlineStr">
        <is>
          <t>Cash / Share</t>
        </is>
      </c>
      <c r="C13" s="11">
        <f>IFERROR((C7-C8)/C4,"")</f>
        <v>0.2919202919446254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-18.952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0.6722487336428873</v>
      </c>
    </row>
    <row r="19">
      <c r="B19" s="14" t="inlineStr">
        <is>
          <t>Implied Pipeline Value</t>
        </is>
      </c>
      <c r="C19" s="13">
        <f>C9</f>
        <v>39.19544860999999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0.029</v>
      </c>
      <c r="C2" s="23" t="n">
        <v>0.165</v>
      </c>
      <c r="D2" s="23" t="n">
        <v>0.14</v>
      </c>
      <c r="E2" s="23" t="n">
        <v>0.055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0.029</v>
      </c>
      <c r="C4" s="23">
        <f>C2-C3</f>
        <v>0.165</v>
      </c>
      <c r="D4" s="23">
        <f>D2-D3</f>
        <v>0.14</v>
      </c>
      <c r="E4" s="23">
        <f>E2-E3</f>
        <v>0.055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2.259</v>
      </c>
      <c r="C5" s="23" t="n">
        <v>7.164</v>
      </c>
      <c r="D5" s="23" t="n">
        <v>8.377000000000001</v>
      </c>
      <c r="E5" s="23" t="n">
        <v>11.521</v>
      </c>
      <c r="F5" s="23" t="n">
        <v>10.791</v>
      </c>
      <c r="G5" s="23" t="n">
        <v>10.213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1.249</v>
      </c>
      <c r="C6" s="23" t="n">
        <v>6.827</v>
      </c>
      <c r="D6" s="23" t="n">
        <v>9.539999999999999</v>
      </c>
      <c r="E6" s="23" t="n">
        <v>10.788</v>
      </c>
      <c r="F6" s="23" t="n">
        <v>9.56</v>
      </c>
      <c r="G6" s="23" t="n">
        <v>8.497999999999999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3.508</v>
      </c>
      <c r="C7" s="23">
        <f>SUM(C5:C6)</f>
        <v>13.991</v>
      </c>
      <c r="D7" s="23">
        <f>SUM(D5:D6)</f>
        <v>17.917</v>
      </c>
      <c r="E7" s="23">
        <f>SUM(E5:E6)</f>
        <v>22.309</v>
      </c>
      <c r="F7" s="23">
        <f>SUM(F5:F6)</f>
        <v>20.351</v>
      </c>
      <c r="G7" s="23">
        <f>SUM(G5:G6)</f>
        <v>18.711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-3.479</v>
      </c>
      <c r="C8" s="23">
        <f>C4-C7</f>
        <v>-13.826</v>
      </c>
      <c r="D8" s="23">
        <f>D4-D7</f>
        <v>-17.777</v>
      </c>
      <c r="E8" s="23">
        <f>E4-E7</f>
        <v>-22.254</v>
      </c>
      <c r="F8" s="23">
        <f>F4-F7</f>
        <v>-20.351</v>
      </c>
      <c r="G8" s="23">
        <f>G4-G7</f>
        <v>-18.711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-0.093</v>
      </c>
      <c r="C9" s="23" t="n">
        <v>-0.06</v>
      </c>
      <c r="D9" s="23" t="n">
        <v>0.279</v>
      </c>
      <c r="E9" s="23" t="n">
        <v>0.065</v>
      </c>
      <c r="F9" s="23" t="n">
        <v>0.476</v>
      </c>
      <c r="G9" s="23" t="n">
        <v>-0.589</v>
      </c>
    </row>
    <row r="10">
      <c r="A10" s="2" t="inlineStr">
        <is>
          <t>Pretax</t>
        </is>
      </c>
      <c r="B10" s="23">
        <f>B8+B9</f>
        <v>-3.572</v>
      </c>
      <c r="C10" s="23">
        <f>C8+C9</f>
        <v>-13.886000000000001</v>
      </c>
      <c r="D10" s="23">
        <f>D8+D9</f>
        <v>-17.498</v>
      </c>
      <c r="E10" s="23">
        <f>E8+E9</f>
        <v>-22.189</v>
      </c>
      <c r="F10" s="23">
        <f>F8+F9</f>
        <v>-19.875</v>
      </c>
      <c r="G10" s="23">
        <f>G8+G9</f>
        <v>-19.299999999999997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0.005</v>
      </c>
      <c r="C11" s="23" t="n">
        <v>0.004</v>
      </c>
      <c r="D11" s="23" t="n">
        <v>0.093</v>
      </c>
      <c r="E11" s="23" t="n">
        <v>0.079</v>
      </c>
      <c r="F11" s="23" t="n">
        <v>0.537</v>
      </c>
      <c r="G11" s="23" t="n">
        <v>0.861</v>
      </c>
    </row>
    <row r="12">
      <c r="A12" s="2" t="inlineStr">
        <is>
          <t>Net Income</t>
        </is>
      </c>
      <c r="B12" s="23" t="n">
        <v>-3.578</v>
      </c>
      <c r="C12" s="23" t="n">
        <v>-13.891</v>
      </c>
      <c r="D12" s="23" t="n">
        <v>-17.591</v>
      </c>
      <c r="E12" s="23" t="n">
        <v>-22.268</v>
      </c>
      <c r="F12" s="23" t="n">
        <v>-20.411</v>
      </c>
      <c r="G12" s="23" t="n">
        <v>-20.161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-1.3345766505035435</v>
      </c>
      <c r="C13" s="11">
        <f>IFERROR(C12/C14,0)</f>
        <v>-1.3665518937530743</v>
      </c>
      <c r="D13" s="11">
        <f>IFERROR(D12/D14,0)</f>
        <v>-1.4803500799461418</v>
      </c>
      <c r="E13" s="11">
        <f>IFERROR(E12/E14,0)</f>
        <v>-1.7114749058488972</v>
      </c>
      <c r="F13" s="11">
        <f>IFERROR(F12/F14,0)</f>
        <v>-0.8920501726323151</v>
      </c>
      <c r="G13" s="11">
        <f>IFERROR(G12/G14,0)</f>
        <v>-0.6115323950497452</v>
      </c>
    </row>
    <row r="14">
      <c r="A14" s="2" t="inlineStr">
        <is>
          <t>Shares</t>
        </is>
      </c>
      <c r="B14" s="23" t="n">
        <v>2.681</v>
      </c>
      <c r="C14" s="23" t="n">
        <v>10.165</v>
      </c>
      <c r="D14" s="23" t="n">
        <v>11.883</v>
      </c>
      <c r="E14" s="23" t="n">
        <v>13.011</v>
      </c>
      <c r="F14" s="23" t="n">
        <v>22.881</v>
      </c>
      <c r="G14" s="23" t="n">
        <v>32.968</v>
      </c>
    </row>
    <row r="15"/>
    <row r="16" customFormat="1" s="4">
      <c r="A16" s="3" t="inlineStr">
        <is>
          <t>Revenue Change</t>
        </is>
      </c>
      <c r="C16" s="15">
        <f>IFERROR(C2/B2-1,"")</f>
        <v>4.689655172413793</v>
      </c>
      <c r="D16" s="15">
        <f>IFERROR(D2/C2-1,"")</f>
        <v>-0.1515151515151515</v>
      </c>
      <c r="E16" s="15">
        <f>IFERROR(E2/D2-1,"")</f>
        <v>-0.6071428571428572</v>
      </c>
      <c r="F16" s="15">
        <f>IFERROR(F2/E2-1,"")</f>
        <v>-1.0</v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-119.9655172413793</v>
      </c>
      <c r="C18" s="15">
        <f>IFERROR(C8/C2,"")</f>
        <v>-83.7939393939394</v>
      </c>
      <c r="D18" s="15">
        <f>IFERROR(D8/D2,"")</f>
        <v>-126.97857142857143</v>
      </c>
      <c r="E18" s="15">
        <f>IFERROR(E8/E2,"")</f>
        <v>-404.6181818181818</v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2026-10-21T01:06:08Z</dcterms:modified>
  <cp:lastModifiedBy>Wang, Eric</cp:lastModifiedBy>
</cp:coreProperties>
</file>