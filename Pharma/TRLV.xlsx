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Trulieve Cannabis Corp ( Delaware )</t>
        </is>
      </c>
      <c r="C2" s="10" t="n"/>
    </row>
    <row r="3">
      <c r="B3" t="inlineStr">
        <is>
          <t>Price</t>
        </is>
      </c>
      <c r="C3" s="11">
        <f>INDEX([1]Pharma!$F$1:$F$1000,MATCH("TRLV",[1]Pharma!$B$1:$B$1000,0))</f>
        <v>10.78</v>
      </c>
      <c r="F3" s="1" t="n"/>
    </row>
    <row r="4">
      <c r="B4" t="inlineStr">
        <is>
          <t>Shares</t>
        </is>
      </c>
      <c r="C4" s="51" t="n">
        <v>192.382935</v>
      </c>
      <c r="F4" s="1" t="n"/>
    </row>
    <row r="5">
      <c r="B5" t="inlineStr">
        <is>
          <t>Market Cap.</t>
        </is>
      </c>
      <c r="C5" s="13">
        <f>C3*C4</f>
        <v>2073.8880393</v>
      </c>
      <c r="F5" s="1" t="n"/>
    </row>
    <row r="6"/>
    <row r="7">
      <c r="B7" t="inlineStr">
        <is>
          <t>Cash</t>
        </is>
      </c>
      <c r="C7" s="51" t="n">
        <v>325.42</v>
      </c>
    </row>
    <row r="8">
      <c r="B8" t="inlineStr">
        <is>
          <t>Debt</t>
        </is>
      </c>
      <c r="C8" s="51">
        <f>4.182+89.389</f>
        <v>93.571</v>
      </c>
    </row>
    <row r="9">
      <c r="B9" t="inlineStr">
        <is>
          <t>Enterprise V.</t>
        </is>
      </c>
      <c r="C9" s="13">
        <f>C5-C7+C8</f>
        <v>1842.0390392999998</v>
      </c>
    </row>
    <row r="10"/>
    <row r="11">
      <c r="B11" s="14" t="inlineStr">
        <is>
          <t>NPV / Share</t>
        </is>
      </c>
      <c r="C11" s="11">
        <f>NPV!B28</f>
        <v>8.378173685373211</v>
      </c>
    </row>
    <row r="12">
      <c r="B12" s="14" t="inlineStr">
        <is>
          <t>Upside</t>
        </is>
      </c>
      <c r="C12" s="15">
        <f>IFERROR(C11/C3-1,"")</f>
        <v>-0.22280392529005455</v>
      </c>
    </row>
    <row r="13">
      <c r="B13" s="14" t="inlineStr">
        <is>
          <t>Cash / Share</t>
        </is>
      </c>
      <c r="C13" s="11">
        <f>IFERROR((C7-C8)/C4,"")</f>
        <v>1.2051432732326286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252.819</v>
      </c>
      <c r="C2" s="52" t="n">
        <v>521.533</v>
      </c>
      <c r="D2" s="52" t="n">
        <v>931.934</v>
      </c>
      <c r="E2" s="52" t="n">
        <v>1218.229</v>
      </c>
      <c r="F2" s="52" t="n">
        <v>1129.193</v>
      </c>
      <c r="G2" s="52" t="n">
        <v>1186.49</v>
      </c>
      <c r="H2" s="52" t="n">
        <v>1181.18</v>
      </c>
      <c r="I2" s="52">
        <f>H2*(1+NPV!C5)</f>
        <v>1098.143046</v>
      </c>
      <c r="J2" s="52">
        <f>I2*(1+NPV!D5)</f>
        <v>1032.5717045643999</v>
      </c>
      <c r="K2" s="52">
        <f>J2*(1+NPV!E5)</f>
        <v>981.8494878324086</v>
      </c>
      <c r="L2" s="52">
        <f>K2*(1+NPV!F5)</f>
        <v>944.0155542345998</v>
      </c>
      <c r="M2" s="52">
        <f>L2*(1+NPV!G5)</f>
        <v>917.6355640245996</v>
      </c>
      <c r="N2" s="52">
        <f>M2*(1+NPV!H5)</f>
        <v>901.709489013417</v>
      </c>
      <c r="O2" s="52">
        <f>N2*(1+NPV!I5)</f>
        <v>895.6079214710929</v>
      </c>
      <c r="P2" s="52">
        <f>O2*(1+NPV!J5)</f>
        <v>899.031133970938</v>
      </c>
      <c r="Q2" s="52">
        <f>P2*(1+NPV!K5)</f>
        <v>911.9871715349414</v>
      </c>
      <c r="R2" s="52">
        <f>Q2*(1+NPV!L5)</f>
        <v>934.7868508233148</v>
      </c>
    </row>
    <row r="3" customFormat="1" s="1">
      <c r="A3" s="5" t="inlineStr">
        <is>
          <t>Cost of Sales</t>
        </is>
      </c>
      <c r="B3" s="52" t="n">
        <v>60.982</v>
      </c>
      <c r="C3" s="52" t="n">
        <v>135.116</v>
      </c>
      <c r="D3" s="52" t="n">
        <v>365.36</v>
      </c>
      <c r="E3" s="52" t="n">
        <v>529.102</v>
      </c>
      <c r="F3" s="52" t="n">
        <v>540.5650000000001</v>
      </c>
      <c r="G3" s="52" t="n">
        <v>470.745</v>
      </c>
      <c r="H3" s="52" t="n">
        <v>470.013</v>
      </c>
      <c r="I3" s="52">
        <f>I2*(1-Assumptions!$B$19)</f>
        <v>436.9511180034</v>
      </c>
      <c r="J3" s="52">
        <f>J2*(1-Assumptions!$B$19)</f>
        <v>410.86028124617474</v>
      </c>
      <c r="K3" s="52">
        <f>K2*(1-Assumptions!$B$19)</f>
        <v>390.6779112085154</v>
      </c>
      <c r="L3" s="52">
        <f>L2*(1-Assumptions!$B$19)</f>
        <v>375.62378902994726</v>
      </c>
      <c r="M3" s="52">
        <f>M2*(1-Assumptions!$B$19)</f>
        <v>365.1271909253882</v>
      </c>
      <c r="N3" s="52">
        <f>N2*(1-Assumptions!$B$19)</f>
        <v>358.79020567843867</v>
      </c>
      <c r="O3" s="52">
        <f>O2*(1-Assumptions!$B$19)</f>
        <v>356.3623919533479</v>
      </c>
      <c r="P3" s="52">
        <f>P2*(1-Assumptions!$B$19)</f>
        <v>357.72448820703625</v>
      </c>
      <c r="Q3" s="52">
        <f>Q2*(1-Assumptions!$B$19)</f>
        <v>362.8796955537532</v>
      </c>
      <c r="R3" s="52">
        <f>R2*(1-Assumptions!$B$19)</f>
        <v>371.951687942597</v>
      </c>
    </row>
    <row r="4" customFormat="1" s="1">
      <c r="A4" s="5" t="inlineStr">
        <is>
          <t>Gross Margin</t>
        </is>
      </c>
      <c r="B4" s="52">
        <f>B2-B3</f>
        <v>191.837</v>
      </c>
      <c r="C4" s="52">
        <f>C2-C3</f>
        <v>386.41700000000003</v>
      </c>
      <c r="D4" s="52">
        <f>D2-D3</f>
        <v>566.574</v>
      </c>
      <c r="E4" s="52">
        <f>E2-E3</f>
        <v>689.1270000000001</v>
      </c>
      <c r="F4" s="52">
        <f>F2-F3</f>
        <v>588.6279999999999</v>
      </c>
      <c r="G4" s="52">
        <f>G2-G3</f>
        <v>715.745</v>
      </c>
      <c r="H4" s="52">
        <f>H2-H3</f>
        <v>711.1670000000001</v>
      </c>
      <c r="I4" s="52">
        <f>I2-I3</f>
        <v>661.1919279965999</v>
      </c>
      <c r="J4" s="52">
        <f>J2-J3</f>
        <v>621.7114233182251</v>
      </c>
      <c r="K4" s="52">
        <f>K2-K3</f>
        <v>591.1715766238932</v>
      </c>
      <c r="L4" s="52">
        <f>L2-L3</f>
        <v>568.3917652046525</v>
      </c>
      <c r="M4" s="52">
        <f>M2-M3</f>
        <v>552.5083730992114</v>
      </c>
      <c r="N4" s="52">
        <f>N2-N3</f>
        <v>542.9192833349784</v>
      </c>
      <c r="O4" s="52">
        <f>O2-O3</f>
        <v>539.245529517745</v>
      </c>
      <c r="P4" s="52">
        <f>P2-P3</f>
        <v>541.3066457639018</v>
      </c>
      <c r="Q4" s="52">
        <f>Q2-Q3</f>
        <v>549.1074759811881</v>
      </c>
      <c r="R4" s="52">
        <f>R2-R3</f>
        <v>562.8351628807178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>
        <f>I7*Assumptions!$B$20</f>
        <v>0.0</v>
      </c>
      <c r="J5" s="52">
        <f>J7*Assumptions!$B$20</f>
        <v>0.0</v>
      </c>
      <c r="K5" s="52">
        <f>K7*Assumptions!$B$20</f>
        <v>0.0</v>
      </c>
      <c r="L5" s="52">
        <f>L7*Assumptions!$B$20</f>
        <v>0.0</v>
      </c>
      <c r="M5" s="52">
        <f>M7*Assumptions!$B$20</f>
        <v>0.0</v>
      </c>
      <c r="N5" s="52">
        <f>N7*Assumptions!$B$20</f>
        <v>0.0</v>
      </c>
      <c r="O5" s="52">
        <f>O7*Assumptions!$B$20</f>
        <v>0.0</v>
      </c>
      <c r="P5" s="52">
        <f>P7*Assumptions!$B$20</f>
        <v>0.0</v>
      </c>
      <c r="Q5" s="52">
        <f>Q7*Assumptions!$B$20</f>
        <v>0.0</v>
      </c>
      <c r="R5" s="52">
        <f>R7*Assumptions!$B$20</f>
        <v>0.0</v>
      </c>
    </row>
    <row r="6">
      <c r="A6" s="18" t="inlineStr">
        <is>
          <t>SG&amp;A &amp; Other</t>
        </is>
      </c>
      <c r="B6" s="52" t="n">
        <v>78.566</v>
      </c>
      <c r="C6" s="52" t="n">
        <v>168.114</v>
      </c>
      <c r="D6" s="52" t="n">
        <v>362.523</v>
      </c>
      <c r="E6" s="52" t="n">
        <v>638.962</v>
      </c>
      <c r="F6" s="52" t="n">
        <v>810.241</v>
      </c>
      <c r="G6" s="52" t="n">
        <v>617.965</v>
      </c>
      <c r="H6" s="52" t="n">
        <v>567.672</v>
      </c>
      <c r="I6" s="52">
        <f>I7-I5</f>
        <v>557.7907787852399</v>
      </c>
      <c r="J6" s="52">
        <f>J7-J5</f>
        <v>512.3414283707639</v>
      </c>
      <c r="K6" s="52">
        <f>K7-K5</f>
        <v>475.62752889577536</v>
      </c>
      <c r="L6" s="52">
        <f>L7-L5</f>
        <v>446.19839186452595</v>
      </c>
      <c r="M6" s="52">
        <f>M7-M5</f>
        <v>422.938231458938</v>
      </c>
      <c r="N6" s="52">
        <f>N7-N5</f>
        <v>404.9937998954862</v>
      </c>
      <c r="O6" s="52">
        <f>O7-O5</f>
        <v>391.7209926930266</v>
      </c>
      <c r="P6" s="52">
        <f>P7-P5</f>
        <v>382.6456312407106</v>
      </c>
      <c r="Q6" s="52">
        <f>Q7-Q5</f>
        <v>377.43501081145075</v>
      </c>
      <c r="R6" s="52">
        <f>R7-R5</f>
        <v>375.87779271605484</v>
      </c>
    </row>
    <row r="7">
      <c r="A7" s="2" t="inlineStr">
        <is>
          <t>Operating Expense</t>
        </is>
      </c>
      <c r="B7" s="52">
        <f>SUM(B5:B6)</f>
        <v>78.566</v>
      </c>
      <c r="C7" s="52">
        <f>SUM(C5:C6)</f>
        <v>168.114</v>
      </c>
      <c r="D7" s="52">
        <f>SUM(D5:D6)</f>
        <v>362.523</v>
      </c>
      <c r="E7" s="52">
        <f>SUM(E5:E6)</f>
        <v>638.962</v>
      </c>
      <c r="F7" s="52">
        <f>SUM(F5:F6)</f>
        <v>810.241</v>
      </c>
      <c r="G7" s="52">
        <f>SUM(G5:G6)</f>
        <v>617.965</v>
      </c>
      <c r="H7" s="52">
        <f>SUM(H5:H6)</f>
        <v>567.672</v>
      </c>
      <c r="I7" s="52">
        <f>I4-I2*NPV!C6</f>
        <v>557.7907787852399</v>
      </c>
      <c r="J7" s="52">
        <f>J4-J2*NPV!D6</f>
        <v>512.3414283707639</v>
      </c>
      <c r="K7" s="52">
        <f>K4-K2*NPV!E6</f>
        <v>475.62752889577536</v>
      </c>
      <c r="L7" s="52">
        <f>L4-L2*NPV!F6</f>
        <v>446.19839186452595</v>
      </c>
      <c r="M7" s="52">
        <f>M4-M2*NPV!G6</f>
        <v>422.938231458938</v>
      </c>
      <c r="N7" s="52">
        <f>N4-N2*NPV!H6</f>
        <v>404.9937998954862</v>
      </c>
      <c r="O7" s="52">
        <f>O4-O2*NPV!I6</f>
        <v>391.7209926930266</v>
      </c>
      <c r="P7" s="52">
        <f>P4-P2*NPV!J6</f>
        <v>382.6456312407106</v>
      </c>
      <c r="Q7" s="52">
        <f>Q4-Q2*NPV!K6</f>
        <v>377.43501081145075</v>
      </c>
      <c r="R7" s="52">
        <f>R4-R2*NPV!L6</f>
        <v>375.87779271605484</v>
      </c>
    </row>
    <row r="8">
      <c r="A8" s="2" t="inlineStr">
        <is>
          <t>Operating Income</t>
        </is>
      </c>
      <c r="B8" s="52">
        <f>B4-B7</f>
        <v>113.27099999999999</v>
      </c>
      <c r="C8" s="52">
        <f>C4-C7</f>
        <v>218.30300000000003</v>
      </c>
      <c r="D8" s="52">
        <f>D4-D7</f>
        <v>204.05099999999993</v>
      </c>
      <c r="E8" s="52">
        <f>E4-E7</f>
        <v>50.16500000000008</v>
      </c>
      <c r="F8" s="52">
        <f>F4-F7</f>
        <v>-221.61300000000006</v>
      </c>
      <c r="G8" s="52">
        <f>G4-G7</f>
        <v>97.77999999999997</v>
      </c>
      <c r="H8" s="52">
        <f>H4-H7</f>
        <v>143.49500000000012</v>
      </c>
      <c r="I8" s="52">
        <f>I4-I7</f>
        <v>103.40114921136</v>
      </c>
      <c r="J8" s="52">
        <f>J4-J7</f>
        <v>109.36999494746124</v>
      </c>
      <c r="K8" s="52">
        <f>K4-K7</f>
        <v>115.54404772811785</v>
      </c>
      <c r="L8" s="52">
        <f>L4-L7</f>
        <v>122.19337334012658</v>
      </c>
      <c r="M8" s="52">
        <f>M4-M7</f>
        <v>129.57014164027345</v>
      </c>
      <c r="N8" s="52">
        <f>N4-N7</f>
        <v>137.92548343949227</v>
      </c>
      <c r="O8" s="52">
        <f>O4-O7</f>
        <v>147.52453682471844</v>
      </c>
      <c r="P8" s="52">
        <f>P4-P7</f>
        <v>158.66101452319117</v>
      </c>
      <c r="Q8" s="52">
        <f>Q4-Q7</f>
        <v>171.6724651697374</v>
      </c>
      <c r="R8" s="52">
        <f>R4-R7</f>
        <v>186.95737016466296</v>
      </c>
    </row>
    <row r="9">
      <c r="A9" s="18" t="inlineStr">
        <is>
          <t>Interest &amp; Other</t>
        </is>
      </c>
      <c r="B9" s="52" t="n">
        <v>-9.59</v>
      </c>
      <c r="C9" s="52" t="n">
        <v>-60.854</v>
      </c>
      <c r="D9" s="52" t="n">
        <v>-40.297</v>
      </c>
      <c r="E9" s="52" t="n">
        <v>-132.849</v>
      </c>
      <c r="F9" s="52" t="n">
        <v>-153.825</v>
      </c>
      <c r="G9" s="52" t="n">
        <v>-55.296</v>
      </c>
      <c r="H9" s="52" t="n">
        <v>-51.767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103.68099999999998</v>
      </c>
      <c r="C10" s="52">
        <f>C8+C9</f>
        <v>157.449</v>
      </c>
      <c r="D10" s="52">
        <f>D8+D9</f>
        <v>163.75399999999993</v>
      </c>
      <c r="E10" s="52">
        <f>E8+E9</f>
        <v>-82.68399999999991</v>
      </c>
      <c r="F10" s="52">
        <f>F8+F9</f>
        <v>-375.43800000000005</v>
      </c>
      <c r="G10" s="52">
        <f>G8+G9</f>
        <v>42.48399999999997</v>
      </c>
      <c r="H10" s="52">
        <f>H8+H9</f>
        <v>91.72800000000012</v>
      </c>
      <c r="I10" s="52">
        <f>I8+I9</f>
        <v>103.40114921136</v>
      </c>
      <c r="J10" s="52">
        <f>J8+J9</f>
        <v>109.36999494746124</v>
      </c>
      <c r="K10" s="52">
        <f>K8+K9</f>
        <v>115.54404772811785</v>
      </c>
      <c r="L10" s="52">
        <f>L8+L9</f>
        <v>122.19337334012658</v>
      </c>
      <c r="M10" s="52">
        <f>M8+M9</f>
        <v>129.57014164027345</v>
      </c>
      <c r="N10" s="52">
        <f>N8+N9</f>
        <v>137.92548343949227</v>
      </c>
      <c r="O10" s="52">
        <f>O8+O9</f>
        <v>147.52453682471844</v>
      </c>
      <c r="P10" s="52">
        <f>P8+P9</f>
        <v>158.66101452319117</v>
      </c>
      <c r="Q10" s="52">
        <f>Q8+Q9</f>
        <v>171.6724651697374</v>
      </c>
      <c r="R10" s="52">
        <f>R8+R9</f>
        <v>186.95737016466296</v>
      </c>
    </row>
    <row r="11">
      <c r="A11" s="2" t="inlineStr">
        <is>
          <t>Taxes</t>
        </is>
      </c>
      <c r="B11" s="52" t="n">
        <v>50.586</v>
      </c>
      <c r="C11" s="52" t="n">
        <v>94.45099999999999</v>
      </c>
      <c r="D11" s="52" t="n">
        <v>145.722</v>
      </c>
      <c r="E11" s="52" t="n">
        <v>163.38</v>
      </c>
      <c r="F11" s="52" t="n">
        <v>151.358</v>
      </c>
      <c r="G11" s="52" t="n">
        <v>197.589</v>
      </c>
      <c r="H11" s="52" t="n">
        <v>208.109</v>
      </c>
      <c r="I11" s="52">
        <f>MAX(0,I10)*Assumptions!$E$14</f>
        <v>17.5781953659312</v>
      </c>
      <c r="J11" s="52">
        <f>MAX(0,J10)*Assumptions!$E$14</f>
        <v>18.59289914106841</v>
      </c>
      <c r="K11" s="52">
        <f>MAX(0,K10)*Assumptions!$E$14</f>
        <v>19.642488113780036</v>
      </c>
      <c r="L11" s="52">
        <f>MAX(0,L10)*Assumptions!$E$14</f>
        <v>20.772873467821523</v>
      </c>
      <c r="M11" s="52">
        <f>MAX(0,M10)*Assumptions!$E$14</f>
        <v>22.026924078846488</v>
      </c>
      <c r="N11" s="52">
        <f>MAX(0,N10)*Assumptions!$E$14</f>
        <v>23.447332184713687</v>
      </c>
      <c r="O11" s="52">
        <f>MAX(0,O10)*Assumptions!$E$14</f>
        <v>25.079171260202138</v>
      </c>
      <c r="P11" s="52">
        <f>MAX(0,P10)*Assumptions!$E$14</f>
        <v>26.972372468942503</v>
      </c>
      <c r="Q11" s="52">
        <f>MAX(0,Q10)*Assumptions!$E$14</f>
        <v>29.18431907885536</v>
      </c>
      <c r="R11" s="52">
        <f>MAX(0,R10)*Assumptions!$E$14</f>
        <v>31.782752927992707</v>
      </c>
    </row>
    <row r="12">
      <c r="A12" s="2" t="inlineStr">
        <is>
          <t>Net Income</t>
        </is>
      </c>
      <c r="B12" s="52" t="n">
        <v>53.095</v>
      </c>
      <c r="C12" s="52" t="n">
        <v>62.998</v>
      </c>
      <c r="D12" s="52" t="n">
        <v>18.032</v>
      </c>
      <c r="E12" s="52" t="n">
        <v>-246.064</v>
      </c>
      <c r="F12" s="52" t="n">
        <v>-526.796</v>
      </c>
      <c r="G12" s="52" t="n">
        <v>-155.105</v>
      </c>
      <c r="H12" s="52" t="n">
        <v>-116.381</v>
      </c>
      <c r="I12" s="52">
        <f>I10-I11</f>
        <v>85.8229538454288</v>
      </c>
      <c r="J12" s="52">
        <f>J10-J11</f>
        <v>90.77709580639282</v>
      </c>
      <c r="K12" s="52">
        <f>K10-K11</f>
        <v>95.90155961433781</v>
      </c>
      <c r="L12" s="52">
        <f>L10-L11</f>
        <v>101.42049987230506</v>
      </c>
      <c r="M12" s="52">
        <f>M10-M11</f>
        <v>107.54321756142696</v>
      </c>
      <c r="N12" s="52">
        <f>N10-N11</f>
        <v>114.47815125477858</v>
      </c>
      <c r="O12" s="52">
        <f>O10-O11</f>
        <v>122.4453655645163</v>
      </c>
      <c r="P12" s="52">
        <f>P10-P11</f>
        <v>131.68864205424867</v>
      </c>
      <c r="Q12" s="52">
        <f>Q10-Q11</f>
        <v>142.48814609088203</v>
      </c>
      <c r="R12" s="52">
        <f>R10-R11</f>
        <v>155.17461723667026</v>
      </c>
    </row>
    <row r="13">
      <c r="A13" s="2" t="inlineStr">
        <is>
          <t>Earnings per Share</t>
        </is>
      </c>
      <c r="B13" s="11">
        <f>IFERROR(B12/B14,0)</f>
        <v>0.4604224839140464</v>
      </c>
      <c r="C13" s="11">
        <f>IFERROR(C12/C14,0)</f>
        <v>0.5324104592397275</v>
      </c>
      <c r="D13" s="11">
        <f>IFERROR(D12/D14,0)</f>
        <v>0.1228697779322281</v>
      </c>
      <c r="E13" s="11">
        <f>IFERROR(E12/E14,0)</f>
        <v>-1.308885874624325</v>
      </c>
      <c r="F13" s="11">
        <f>IFERROR(F12/F14,0)</f>
        <v>-2.7876639114375528</v>
      </c>
      <c r="G13" s="11">
        <f>IFERROR(G12/G14,0)</f>
        <v>-0.8163721821330259</v>
      </c>
      <c r="H13" s="11">
        <f>IFERROR(H12/H14,0)</f>
        <v>-0.608292739018628</v>
      </c>
      <c r="I13" s="11">
        <f>IFERROR(I12/I14,0)</f>
        <v>0.44610481613365965</v>
      </c>
      <c r="J13" s="11">
        <f>IFERROR(J12/J14,0)</f>
        <v>0.4718562787619017</v>
      </c>
      <c r="K13" s="11">
        <f>IFERROR(K12/K14,0)</f>
        <v>0.4984930685995502</v>
      </c>
      <c r="L13" s="11">
        <f>IFERROR(L12/L14,0)</f>
        <v>0.5271803337042605</v>
      </c>
      <c r="M13" s="11">
        <f>IFERROR(M12/M14,0)</f>
        <v>0.5590060135085628</v>
      </c>
      <c r="N13" s="11">
        <f>IFERROR(N12/N14,0)</f>
        <v>0.595053564677026</v>
      </c>
      <c r="O13" s="11">
        <f>IFERROR(O12/O14,0)</f>
        <v>0.6364668756327909</v>
      </c>
      <c r="P13" s="11">
        <f>IFERROR(P12/P14,0)</f>
        <v>0.6845131147118048</v>
      </c>
      <c r="Q13" s="11">
        <f>IFERROR(Q12/Q14,0)</f>
        <v>0.7406485720309965</v>
      </c>
      <c r="R13" s="11">
        <f>IFERROR(R12/R14,0)</f>
        <v>0.8065924206669903</v>
      </c>
    </row>
    <row r="14">
      <c r="A14" s="2" t="inlineStr">
        <is>
          <t>Shares</t>
        </is>
      </c>
      <c r="B14" s="52" t="n">
        <v>115.318</v>
      </c>
      <c r="C14" s="52" t="n">
        <v>118.326</v>
      </c>
      <c r="D14" s="52" t="n">
        <v>146.757</v>
      </c>
      <c r="E14" s="52" t="n">
        <v>187.995</v>
      </c>
      <c r="F14" s="52" t="n">
        <v>188.974</v>
      </c>
      <c r="G14" s="52" t="n">
        <v>189.993</v>
      </c>
      <c r="H14" s="52" t="n">
        <v>191.324</v>
      </c>
      <c r="I14" s="52">
        <f>Main!$C$4</f>
        <v>192.382935</v>
      </c>
      <c r="J14" s="52">
        <f>Main!$C$4</f>
        <v>192.382935</v>
      </c>
      <c r="K14" s="52">
        <f>Main!$C$4</f>
        <v>192.382935</v>
      </c>
      <c r="L14" s="52">
        <f>Main!$C$4</f>
        <v>192.382935</v>
      </c>
      <c r="M14" s="52">
        <f>Main!$C$4</f>
        <v>192.382935</v>
      </c>
      <c r="N14" s="52">
        <f>Main!$C$4</f>
        <v>192.382935</v>
      </c>
      <c r="O14" s="52">
        <f>Main!$C$4</f>
        <v>192.382935</v>
      </c>
      <c r="P14" s="52">
        <f>Main!$C$4</f>
        <v>192.382935</v>
      </c>
      <c r="Q14" s="52">
        <f>Main!$C$4</f>
        <v>192.382935</v>
      </c>
      <c r="R14" s="52">
        <f>Main!$C$4</f>
        <v>192.382935</v>
      </c>
    </row>
    <row r="15"/>
    <row r="16" customFormat="1" s="4">
      <c r="A16" s="3" t="inlineStr">
        <is>
          <t>Revenue Change</t>
        </is>
      </c>
      <c r="C16" s="15">
        <f>IFERROR(C2/B2-1,"")</f>
        <v>1.0628710658613474</v>
      </c>
      <c r="D16" s="15">
        <f>IFERROR(D2/C2-1,"")</f>
        <v>0.7869128128037919</v>
      </c>
      <c r="E16" s="15">
        <f>IFERROR(E2/D2-1,"")</f>
        <v>0.3072052312717426</v>
      </c>
      <c r="F16" s="15">
        <f>IFERROR(F2/E2-1,"")</f>
        <v>-0.07308642299600487</v>
      </c>
      <c r="G16" s="15">
        <f>IFERROR(G2/F2-1,"")</f>
        <v>0.05074154728199698</v>
      </c>
      <c r="H16" s="15">
        <f>IFERROR(H2/G2-1,"")</f>
        <v>-0.004475385380407704</v>
      </c>
      <c r="I16" s="15">
        <f>IFERROR(I2/H2-1,"")</f>
        <v>-0.07030000000000014</v>
      </c>
      <c r="J16" s="15">
        <f>IFERROR(J2/I2-1,"")</f>
        <v>-0.05971111111111116</v>
      </c>
      <c r="K16" s="15">
        <f>IFERROR(K2/J2-1,"")</f>
        <v>-0.04912222222222218</v>
      </c>
      <c r="L16" s="15">
        <f>IFERROR(L2/K2-1,"")</f>
        <v>-0.03853333333333331</v>
      </c>
      <c r="M16" s="15">
        <f>IFERROR(M2/L2-1,"")</f>
        <v>-0.02794444444444444</v>
      </c>
      <c r="N16" s="15">
        <f>IFERROR(N2/M2-1,"")</f>
        <v>-0.01735555555555557</v>
      </c>
      <c r="O16" s="15">
        <f>IFERROR(O2/N2-1,"")</f>
        <v>-0.006766666666666699</v>
      </c>
      <c r="P16" s="15">
        <f>IFERROR(P2/O2-1,"")</f>
        <v>0.0038222222222221713</v>
      </c>
      <c r="Q16" s="15">
        <f>IFERROR(Q2/P2-1,"")</f>
        <v>0.014411111111111152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0.7587918629533381</v>
      </c>
      <c r="C17" s="15">
        <f>IFERROR(C4/C2,"")</f>
        <v>0.7409253105747863</v>
      </c>
      <c r="D17" s="15">
        <f>IFERROR(D4/D2,"")</f>
        <v>0.6079550697796196</v>
      </c>
      <c r="E17" s="15">
        <f>IFERROR(E4/E2,"")</f>
        <v>0.5656793591352693</v>
      </c>
      <c r="F17" s="15">
        <f>IFERROR(F4/F2,"")</f>
        <v>0.5212820129065624</v>
      </c>
      <c r="G17" s="15">
        <f>IFERROR(G4/G2,"")</f>
        <v>0.6032457079284276</v>
      </c>
      <c r="H17" s="15">
        <f>IFERROR(H4/H2,"")</f>
        <v>0.6020818164885963</v>
      </c>
      <c r="I17" s="15">
        <f>IFERROR(I4/I2,"")</f>
        <v>0.6021</v>
      </c>
      <c r="J17" s="15">
        <f>IFERROR(J4/J2,"")</f>
        <v>0.6021</v>
      </c>
      <c r="K17" s="15">
        <f>IFERROR(K4/K2,"")</f>
        <v>0.6021</v>
      </c>
      <c r="L17" s="15">
        <f>IFERROR(L4/L2,"")</f>
        <v>0.6021</v>
      </c>
      <c r="M17" s="15">
        <f>IFERROR(M4/M2,"")</f>
        <v>0.6021</v>
      </c>
      <c r="N17" s="15">
        <f>IFERROR(N4/N2,"")</f>
        <v>0.6021000000000001</v>
      </c>
      <c r="O17" s="15">
        <f>IFERROR(O4/O2,"")</f>
        <v>0.6021</v>
      </c>
      <c r="P17" s="15">
        <f>IFERROR(P4/P2,"")</f>
        <v>0.6021000000000001</v>
      </c>
      <c r="Q17" s="15">
        <f>IFERROR(Q4/Q2,"")</f>
        <v>0.6021</v>
      </c>
      <c r="R17" s="15">
        <f>IFERROR(R4/R2,"")</f>
        <v>0.6021</v>
      </c>
    </row>
    <row r="18">
      <c r="A18" s="14" t="inlineStr">
        <is>
          <t>Operating Margin</t>
        </is>
      </c>
      <c r="B18" s="15">
        <f>IFERROR(B8/B2,"")</f>
        <v>0.44803199126647913</v>
      </c>
      <c r="C18" s="15">
        <f>IFERROR(C8/C2,"")</f>
        <v>0.4185794571005095</v>
      </c>
      <c r="D18" s="15">
        <f>IFERROR(D8/D2,"")</f>
        <v>0.2189543465524382</v>
      </c>
      <c r="E18" s="15">
        <f>IFERROR(E8/E2,"")</f>
        <v>0.04117862897698222</v>
      </c>
      <c r="F18" s="15">
        <f>IFERROR(F8/F2,"")</f>
        <v>-0.1962578584883187</v>
      </c>
      <c r="G18" s="15">
        <f>IFERROR(G8/G2,"")</f>
        <v>0.0824111454795236</v>
      </c>
      <c r="H18" s="15">
        <f>IFERROR(H8/H2,"")</f>
        <v>0.12148444775563429</v>
      </c>
      <c r="I18" s="15">
        <f>IFERROR(I8/I2,"")</f>
        <v>0.09416000000000001</v>
      </c>
      <c r="J18" s="15">
        <f>IFERROR(J8/J2,"")</f>
        <v>0.10592</v>
      </c>
      <c r="K18" s="15">
        <f>IFERROR(K8/K2,"")</f>
        <v>0.11768</v>
      </c>
      <c r="L18" s="15">
        <f>IFERROR(L8/L2,"")</f>
        <v>0.12944</v>
      </c>
      <c r="M18" s="15">
        <f>IFERROR(M8/M2,"")</f>
        <v>0.1412</v>
      </c>
      <c r="N18" s="15">
        <f>IFERROR(N8/N2,"")</f>
        <v>0.15295999999999998</v>
      </c>
      <c r="O18" s="15">
        <f>IFERROR(O8/O2,"")</f>
        <v>0.16472</v>
      </c>
      <c r="P18" s="15">
        <f>IFERROR(P8/P2,"")</f>
        <v>0.17648000000000005</v>
      </c>
      <c r="Q18" s="15">
        <f>IFERROR(Q8/Q2,"")</f>
        <v>0.18824000000000005</v>
      </c>
      <c r="R18" s="15">
        <f>IFERROR(R8/R2,"")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Trulieve Cannabis Corp ( Delaware ):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-0.1203</v>
      </c>
      <c r="C12" s="53" t="n">
        <v>-0.0703</v>
      </c>
      <c r="D12" s="53" t="n">
        <v>-0.0203</v>
      </c>
      <c r="E12" s="54">
        <f>CHOOSE($B$4,B12,C12,D12)</f>
        <v>-0.0703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0.0824</v>
      </c>
    </row>
    <row r="19">
      <c r="A19" s="14" t="inlineStr">
        <is>
          <t>Gross margin (forecast)</t>
        </is>
      </c>
      <c r="B19" s="53" t="n">
        <v>0.6021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1181.18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1379.968643531865</v>
      </c>
      <c r="C29" s="56">
        <f>NPV!B26</f>
        <v>1611.817643531865</v>
      </c>
      <c r="D29" s="35">
        <f>NPV!B28</f>
        <v>8.378173685373211</v>
      </c>
      <c r="E29" s="57">
        <f>NPV!B30</f>
        <v>-0.22280392529005455</v>
      </c>
    </row>
    <row r="30">
      <c r="A30" s="58" t="n">
        <v>1</v>
      </c>
      <c r="B30" s="59">
        <f t="dataTable" ref="B30:E32" r1="B4"/>
        <v>807.8346819007229</v>
      </c>
      <c r="C30" s="59">
        <v>1039.683681900723</v>
      </c>
      <c r="D30" s="39">
        <v>5.404240671870003</v>
      </c>
      <c r="E30" s="60">
        <v>-0.4986789729248605</v>
      </c>
    </row>
    <row r="31">
      <c r="A31" s="58" t="n">
        <v>2</v>
      </c>
      <c r="B31" s="59">
        <v>1379.968643531865</v>
      </c>
      <c r="C31" s="59">
        <v>1611.817643531865</v>
      </c>
      <c r="D31" s="39">
        <v>8.378173685373211</v>
      </c>
      <c r="E31" s="60">
        <v>-0.22280392529005455</v>
      </c>
    </row>
    <row r="32">
      <c r="A32" s="58" t="n">
        <v>3</v>
      </c>
      <c r="B32" s="59">
        <v>2471.2445897793896</v>
      </c>
      <c r="C32" s="59">
        <v>2703.0935897793897</v>
      </c>
      <c r="D32" s="39">
        <v>14.050589205219215</v>
      </c>
      <c r="E32" s="60">
        <v>0.3033941748811888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8.378173685373211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9.645683907670591</v>
      </c>
      <c r="C37" s="39">
        <v>10.092332001303127</v>
      </c>
      <c r="D37" s="39">
        <v>10.607404434291348</v>
      </c>
      <c r="E37" s="39">
        <v>11.208006399555055</v>
      </c>
      <c r="F37" s="39">
        <v>11.917463182878196</v>
      </c>
    </row>
    <row r="38">
      <c r="A38" s="62" t="n">
        <v>0.1</v>
      </c>
      <c r="B38" s="39">
        <v>8.637279426093492</v>
      </c>
      <c r="C38" s="39">
        <v>8.967625909432156</v>
      </c>
      <c r="D38" s="39">
        <v>9.341776400952435</v>
      </c>
      <c r="E38" s="39">
        <v>9.769116681539268</v>
      </c>
      <c r="F38" s="39">
        <v>10.261920481963223</v>
      </c>
    </row>
    <row r="39">
      <c r="A39" s="62" t="n">
        <v>0.11</v>
      </c>
      <c r="B39" s="39">
        <v>7.845062045511784</v>
      </c>
      <c r="C39" s="39">
        <v>8.096906000576126</v>
      </c>
      <c r="D39" s="39">
        <v>8.378173685373211</v>
      </c>
      <c r="E39" s="39">
        <v>8.694381341830129</v>
      </c>
      <c r="F39" s="39">
        <v>9.0525162232545</v>
      </c>
    </row>
    <row r="40">
      <c r="A40" s="62" t="n">
        <v>0.12</v>
      </c>
      <c r="B40" s="39">
        <v>7.206865826368447</v>
      </c>
      <c r="C40" s="39">
        <v>7.403557155155733</v>
      </c>
      <c r="D40" s="39">
        <v>7.620777252557249</v>
      </c>
      <c r="E40" s="39">
        <v>7.8619469461546965</v>
      </c>
      <c r="F40" s="39">
        <v>8.131291974934543</v>
      </c>
    </row>
    <row r="41">
      <c r="A41" s="62" t="n">
        <v>0.13</v>
      </c>
      <c r="B41" s="39">
        <v>6.682191281409621</v>
      </c>
      <c r="C41" s="39">
        <v>6.8388702689595275</v>
      </c>
      <c r="D41" s="39">
        <v>7.0103192291528895</v>
      </c>
      <c r="E41" s="39">
        <v>7.198753088444538</v>
      </c>
      <c r="F41" s="39">
        <v>7.406853082349819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Trulieve Cannabis Corp ( Delaware ):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-0.0703</v>
      </c>
      <c r="D5" s="63">
        <f>Assumptions!$E$12+(Assumptions!$E$11-Assumptions!$E$12)*(D4-1)/(Assumptions!$B$21-1)</f>
        <v>-0.05971111111111111</v>
      </c>
      <c r="E5" s="63">
        <f>Assumptions!$E$12+(Assumptions!$E$11-Assumptions!$E$12)*(E4-1)/(Assumptions!$B$21-1)</f>
        <v>-0.04912222222222222</v>
      </c>
      <c r="F5" s="63">
        <f>Assumptions!$E$12+(Assumptions!$E$11-Assumptions!$E$12)*(F4-1)/(Assumptions!$B$21-1)</f>
        <v>-0.038533333333333336</v>
      </c>
      <c r="G5" s="63">
        <f>Assumptions!$E$12+(Assumptions!$E$11-Assumptions!$E$12)*(G4-1)/(Assumptions!$B$21-1)</f>
        <v>-0.027944444444444445</v>
      </c>
      <c r="H5" s="63">
        <f>Assumptions!$E$12+(Assumptions!$E$11-Assumptions!$E$12)*(H4-1)/(Assumptions!$B$21-1)</f>
        <v>-0.01735555555555556</v>
      </c>
      <c r="I5" s="63">
        <f>Assumptions!$E$12+(Assumptions!$E$11-Assumptions!$E$12)*(I4-1)/(Assumptions!$B$21-1)</f>
        <v>-0.006766666666666671</v>
      </c>
      <c r="J5" s="63">
        <f>Assumptions!$E$12+(Assumptions!$E$11-Assumptions!$E$12)*(J4-1)/(Assumptions!$B$21-1)</f>
        <v>0.003822222222222227</v>
      </c>
      <c r="K5" s="63">
        <f>Assumptions!$E$12+(Assumptions!$E$11-Assumptions!$E$12)*(K4-1)/(Assumptions!$B$21-1)</f>
        <v>0.01441111111111111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0.12148444775563429</v>
      </c>
      <c r="C6" s="63">
        <f>Assumptions!$B$18+(Assumptions!$E$13-Assumptions!$B$18)*C4/Assumptions!$B$21</f>
        <v>0.09416000000000001</v>
      </c>
      <c r="D6" s="63">
        <f>Assumptions!$B$18+(Assumptions!$E$13-Assumptions!$B$18)*D4/Assumptions!$B$21</f>
        <v>0.10592</v>
      </c>
      <c r="E6" s="63">
        <f>Assumptions!$B$18+(Assumptions!$E$13-Assumptions!$B$18)*E4/Assumptions!$B$21</f>
        <v>0.11768</v>
      </c>
      <c r="F6" s="63">
        <f>Assumptions!$B$18+(Assumptions!$E$13-Assumptions!$B$18)*F4/Assumptions!$B$21</f>
        <v>0.12944</v>
      </c>
      <c r="G6" s="63">
        <f>Assumptions!$B$18+(Assumptions!$E$13-Assumptions!$B$18)*G4/Assumptions!$B$21</f>
        <v>0.1412</v>
      </c>
      <c r="H6" s="63">
        <f>Assumptions!$B$18+(Assumptions!$E$13-Assumptions!$B$18)*H4/Assumptions!$B$21</f>
        <v>0.15295999999999998</v>
      </c>
      <c r="I6" s="63">
        <f>Assumptions!$B$18+(Assumptions!$E$13-Assumptions!$B$18)*I4/Assumptions!$B$21</f>
        <v>0.16472</v>
      </c>
      <c r="J6" s="63">
        <f>Assumptions!$B$18+(Assumptions!$E$13-Assumptions!$B$18)*J4/Assumptions!$B$21</f>
        <v>0.17648000000000003</v>
      </c>
      <c r="K6" s="63">
        <f>Assumptions!$B$18+(Assumptions!$E$13-Assumptions!$B$18)*K4/Assumptions!$B$21</f>
        <v>0.18824000000000002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Model'!H2</f>
        <v>1181.18</v>
      </c>
      <c r="C7" s="55">
        <f>'Yearly Model'!I2</f>
        <v>1098.143046</v>
      </c>
      <c r="D7" s="55">
        <f>'Yearly Model'!J2</f>
        <v>1032.5717045643999</v>
      </c>
      <c r="E7" s="55">
        <f>'Yearly Model'!K2</f>
        <v>981.8494878324086</v>
      </c>
      <c r="F7" s="55">
        <f>'Yearly Model'!L2</f>
        <v>944.0155542345998</v>
      </c>
      <c r="G7" s="55">
        <f>'Yearly Model'!M2</f>
        <v>917.6355640245996</v>
      </c>
      <c r="H7" s="55">
        <f>'Yearly Model'!N2</f>
        <v>901.709489013417</v>
      </c>
      <c r="I7" s="55">
        <f>'Yearly Model'!O2</f>
        <v>895.6079214710929</v>
      </c>
      <c r="J7" s="55">
        <f>'Yearly Model'!P2</f>
        <v>899.031133970938</v>
      </c>
      <c r="K7" s="55">
        <f>'Yearly Model'!Q2</f>
        <v>911.9871715349414</v>
      </c>
      <c r="L7" s="55">
        <f>'Yearly Model'!R2</f>
        <v>934.7868508233148</v>
      </c>
    </row>
    <row r="8">
      <c r="A8" s="14" t="inlineStr">
        <is>
          <t>Operating income</t>
        </is>
      </c>
      <c r="B8" s="55">
        <f>'Yearly Model'!H8</f>
        <v>143.49500000000012</v>
      </c>
      <c r="C8" s="55">
        <f>'Yearly Model'!I8</f>
        <v>103.40114921136</v>
      </c>
      <c r="D8" s="55">
        <f>'Yearly Model'!J8</f>
        <v>109.36999494746124</v>
      </c>
      <c r="E8" s="55">
        <f>'Yearly Model'!K8</f>
        <v>115.54404772811785</v>
      </c>
      <c r="F8" s="55">
        <f>'Yearly Model'!L8</f>
        <v>122.19337334012658</v>
      </c>
      <c r="G8" s="55">
        <f>'Yearly Model'!M8</f>
        <v>129.57014164027345</v>
      </c>
      <c r="H8" s="55">
        <f>'Yearly Model'!N8</f>
        <v>137.92548343949227</v>
      </c>
      <c r="I8" s="55">
        <f>'Yearly Model'!O8</f>
        <v>147.52453682471844</v>
      </c>
      <c r="J8" s="55">
        <f>'Yearly Model'!P8</f>
        <v>158.66101452319117</v>
      </c>
      <c r="K8" s="55">
        <f>'Yearly Model'!Q8</f>
        <v>171.6724651697374</v>
      </c>
      <c r="L8" s="55">
        <f>'Yearly Model'!R8</f>
        <v>186.95737016466296</v>
      </c>
    </row>
    <row r="9">
      <c r="A9" s="14" t="inlineStr">
        <is>
          <t>Tax on operating income</t>
        </is>
      </c>
      <c r="C9" s="52">
        <f>MAX(0,C8)*Assumptions!$E$14</f>
        <v>17.5781953659312</v>
      </c>
      <c r="D9" s="52">
        <f>MAX(0,D8)*Assumptions!$E$14</f>
        <v>18.59289914106841</v>
      </c>
      <c r="E9" s="52">
        <f>MAX(0,E8)*Assumptions!$E$14</f>
        <v>19.642488113780036</v>
      </c>
      <c r="F9" s="52">
        <f>MAX(0,F8)*Assumptions!$E$14</f>
        <v>20.772873467821523</v>
      </c>
      <c r="G9" s="52">
        <f>MAX(0,G8)*Assumptions!$E$14</f>
        <v>22.026924078846488</v>
      </c>
      <c r="H9" s="52">
        <f>MAX(0,H8)*Assumptions!$E$14</f>
        <v>23.447332184713687</v>
      </c>
      <c r="I9" s="52">
        <f>MAX(0,I8)*Assumptions!$E$14</f>
        <v>25.079171260202138</v>
      </c>
      <c r="J9" s="52">
        <f>MAX(0,J8)*Assumptions!$E$14</f>
        <v>26.972372468942503</v>
      </c>
      <c r="K9" s="52">
        <f>MAX(0,K8)*Assumptions!$E$14</f>
        <v>29.18431907885536</v>
      </c>
      <c r="L9" s="52">
        <f>MAX(0,L8)*Assumptions!$E$14</f>
        <v>31.782752927992707</v>
      </c>
    </row>
    <row r="10">
      <c r="A10" s="14" t="inlineStr">
        <is>
          <t>NOPAT</t>
        </is>
      </c>
      <c r="C10" s="52">
        <f>C8-C9</f>
        <v>85.8229538454288</v>
      </c>
      <c r="D10" s="52">
        <f>D8-D9</f>
        <v>90.77709580639282</v>
      </c>
      <c r="E10" s="52">
        <f>E8-E9</f>
        <v>95.90155961433781</v>
      </c>
      <c r="F10" s="52">
        <f>F8-F9</f>
        <v>101.42049987230506</v>
      </c>
      <c r="G10" s="52">
        <f>G8-G9</f>
        <v>107.54321756142696</v>
      </c>
      <c r="H10" s="52">
        <f>H8-H9</f>
        <v>114.47815125477858</v>
      </c>
      <c r="I10" s="52">
        <f>I8-I9</f>
        <v>122.4453655645163</v>
      </c>
      <c r="J10" s="52">
        <f>J8-J9</f>
        <v>131.68864205424867</v>
      </c>
      <c r="K10" s="52">
        <f>K8-K9</f>
        <v>142.48814609088203</v>
      </c>
      <c r="L10" s="52">
        <f>L8-L9</f>
        <v>155.17461723667026</v>
      </c>
    </row>
    <row r="11">
      <c r="A11" s="14" t="inlineStr">
        <is>
          <t>Reinvestment</t>
        </is>
      </c>
      <c r="C11" s="52">
        <f>(C7-B7)*Assumptions!$E$15</f>
        <v>-20.759238500000038</v>
      </c>
      <c r="D11" s="52">
        <f>(D7-C7)*Assumptions!$E$15</f>
        <v>-16.392835358900015</v>
      </c>
      <c r="E11" s="52">
        <f>(E7-D7)*Assumptions!$E$15</f>
        <v>-12.68055418299781</v>
      </c>
      <c r="F11" s="52">
        <f>(F7-E7)*Assumptions!$E$15</f>
        <v>-9.458483399452206</v>
      </c>
      <c r="G11" s="52">
        <f>(G7-F7)*Assumptions!$E$15</f>
        <v>-6.594997552500047</v>
      </c>
      <c r="H11" s="52">
        <f>(H7-G7)*Assumptions!$E$15</f>
        <v>-3.981518752795637</v>
      </c>
      <c r="I11" s="52">
        <f>(I7-H7)*Assumptions!$E$15</f>
        <v>-1.5253918855810298</v>
      </c>
      <c r="J11" s="52">
        <f>(J7-I7)*Assumptions!$E$15</f>
        <v>0.8558031249612554</v>
      </c>
      <c r="K11" s="52">
        <f>(K7-J7)*Assumptions!$E$15</f>
        <v>3.239009391000849</v>
      </c>
      <c r="L11" s="52">
        <f>(L7-K7)*Assumptions!$E$15</f>
        <v>5.699919822093364</v>
      </c>
    </row>
    <row r="12">
      <c r="A12" s="20" t="inlineStr">
        <is>
          <t>Free cash flow</t>
        </is>
      </c>
      <c r="C12" s="64">
        <f>C10-C11</f>
        <v>106.58219234542884</v>
      </c>
      <c r="D12" s="64">
        <f>D10-D11</f>
        <v>107.16993116529284</v>
      </c>
      <c r="E12" s="64">
        <f>E10-E11</f>
        <v>108.58211379733562</v>
      </c>
      <c r="F12" s="64">
        <f>F10-F11</f>
        <v>110.87898327175726</v>
      </c>
      <c r="G12" s="64">
        <f>G10-G11</f>
        <v>114.138215113927</v>
      </c>
      <c r="H12" s="64">
        <f>H10-H11</f>
        <v>118.45967000757422</v>
      </c>
      <c r="I12" s="64">
        <f>I10-I11</f>
        <v>123.97075745009732</v>
      </c>
      <c r="J12" s="64">
        <f>J10-J11</f>
        <v>130.83283892928742</v>
      </c>
      <c r="K12" s="64">
        <f>K10-K11</f>
        <v>139.24913669988118</v>
      </c>
      <c r="L12" s="64">
        <f>L10-L11</f>
        <v>149.4746974145769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52.333248039088254</v>
      </c>
      <c r="D16" s="64">
        <f>D12*D13*D15</f>
        <v>96.50818515848415</v>
      </c>
      <c r="E16" s="64">
        <f>E12*E13*E15</f>
        <v>88.08997974845134</v>
      </c>
      <c r="F16" s="64">
        <f>F12*F13*F15</f>
        <v>81.03907483615393</v>
      </c>
      <c r="G16" s="64">
        <f>G12*G13*G15</f>
        <v>75.15421405943182</v>
      </c>
      <c r="H16" s="64">
        <f>H12*H13*H15</f>
        <v>70.26997521368581</v>
      </c>
      <c r="I16" s="64">
        <f>I12*I13*I15</f>
        <v>66.25147592754784</v>
      </c>
      <c r="J16" s="64">
        <f>J12*J13*J15</f>
        <v>62.98977970523264</v>
      </c>
      <c r="K16" s="64">
        <f>K12*K13*K15</f>
        <v>60.39804159490064</v>
      </c>
      <c r="L16" s="64">
        <f>L12*L13*L15</f>
        <v>58.408365034134654</v>
      </c>
    </row>
    <row r="19">
      <c r="A19" s="14" t="inlineStr">
        <is>
          <t>PV of forecast free cash flow</t>
        </is>
      </c>
      <c r="B19" s="52">
        <f>SUM(C16:L16)</f>
        <v>711.4423393171111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153.21156484994128</v>
      </c>
    </row>
    <row r="21">
      <c r="A21" s="14" t="inlineStr">
        <is>
          <t>Terminal value</t>
        </is>
      </c>
      <c r="B21" s="52">
        <f>B20/(Assumptions!$E$10-Assumptions!$E$11)</f>
        <v>1802.4889982346035</v>
      </c>
    </row>
    <row r="22">
      <c r="A22" s="14" t="inlineStr">
        <is>
          <t>PV of terminal value</t>
        </is>
      </c>
      <c r="B22" s="52">
        <f>B21/(1+Assumptions!$E$10)^(L14+0.5)</f>
        <v>668.5263042147538</v>
      </c>
    </row>
    <row r="23">
      <c r="A23" s="20" t="inlineStr">
        <is>
          <t>Enterprise value</t>
        </is>
      </c>
      <c r="B23" s="66">
        <f>B19+B22</f>
        <v>1379.968643531865</v>
      </c>
    </row>
    <row r="24">
      <c r="A24" s="14" t="inlineStr">
        <is>
          <t>Cash &amp; investments</t>
        </is>
      </c>
      <c r="B24" s="55">
        <f>Main!C7</f>
        <v>325.42</v>
      </c>
    </row>
    <row r="25">
      <c r="A25" s="14" t="inlineStr">
        <is>
          <t>Debt</t>
        </is>
      </c>
      <c r="B25" s="55">
        <f>Main!C8</f>
        <v>93.571</v>
      </c>
    </row>
    <row r="26">
      <c r="A26" s="20" t="inlineStr">
        <is>
          <t>Equity value</t>
        </is>
      </c>
      <c r="B26" s="66">
        <f>B23+B24-B25</f>
        <v>1611.817643531865</v>
      </c>
    </row>
    <row r="27">
      <c r="A27" s="14" t="inlineStr">
        <is>
          <t>Shares (mm)</t>
        </is>
      </c>
      <c r="B27" s="55">
        <f>Main!C4</f>
        <v>192.382935</v>
      </c>
    </row>
    <row r="28">
      <c r="A28" s="20" t="inlineStr">
        <is>
          <t>NPV / share</t>
        </is>
      </c>
      <c r="B28" s="49">
        <f>B26/B27</f>
        <v>8.378173685373211</v>
      </c>
    </row>
    <row r="29">
      <c r="A29" s="14" t="inlineStr">
        <is>
          <t>Price</t>
        </is>
      </c>
      <c r="B29" s="50">
        <f>Main!C3</f>
        <v>10.78</v>
      </c>
    </row>
    <row r="30">
      <c r="A30" s="14" t="inlineStr">
        <is>
          <t>Upside</t>
        </is>
      </c>
      <c r="B30" s="63">
        <f>B28/B29-1</f>
        <v>-0.22280392529005455</v>
      </c>
    </row>
    <row r="31">
      <c r="A31" s="14" t="inlineStr">
        <is>
          <t>Terminal value, % of EV</t>
        </is>
      </c>
      <c r="B31" s="63">
        <f>IFERROR(B22/B23,0)</f>
        <v>0.48445035859926544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2026-10-21T06:22:40Z</dcterms:modified>
  <cp:lastModifiedBy>Wang, Eric</cp:lastModifiedBy>
</cp:coreProperties>
</file>