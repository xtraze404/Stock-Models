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Organogenesis Holdings Inc.</t>
        </is>
      </c>
      <c r="C2" s="10" t="n"/>
    </row>
    <row r="3">
      <c r="B3" t="inlineStr">
        <is>
          <t>Price</t>
        </is>
      </c>
      <c r="C3" s="11">
        <f>INDEX([1]Pharma!$F$1:$F$1000,MATCH("ORGO",[1]Pharma!$B$1:$B$1000,0))</f>
        <v>1.02</v>
      </c>
      <c r="F3" s="1" t="n"/>
    </row>
    <row r="4">
      <c r="B4" t="inlineStr">
        <is>
          <t>Shares</t>
        </is>
      </c>
      <c r="C4" s="51" t="n">
        <v>128.674548</v>
      </c>
      <c r="F4" s="1" t="n"/>
    </row>
    <row r="5">
      <c r="B5" t="inlineStr">
        <is>
          <t>Market Cap.</t>
        </is>
      </c>
      <c r="C5" s="13">
        <f>C3*C4</f>
        <v>131.24803896</v>
      </c>
      <c r="F5" s="1" t="n"/>
    </row>
    <row r="6"/>
    <row r="7">
      <c r="B7" t="inlineStr">
        <is>
          <t>Cash</t>
        </is>
      </c>
      <c r="C7" s="51" t="n">
        <v>46.097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85.15103896</v>
      </c>
    </row>
    <row r="10"/>
    <row r="11">
      <c r="B11" s="14" t="inlineStr">
        <is>
          <t>NPV / Share</t>
        </is>
      </c>
      <c r="C11" s="11">
        <f>NPV!B28</f>
        <v>2.926079227421127</v>
      </c>
    </row>
    <row r="12">
      <c r="B12" s="14" t="inlineStr">
        <is>
          <t>Upside</t>
        </is>
      </c>
      <c r="C12" s="15">
        <f>IFERROR(C11/C3-1,"")</f>
        <v>1.8687051249226734</v>
      </c>
    </row>
    <row r="13">
      <c r="B13" s="14" t="inlineStr">
        <is>
          <t>Cash / Share</t>
        </is>
      </c>
      <c r="C13" s="11">
        <f>IFERROR((C7-C8)/C4,"")</f>
        <v>0.3582448954862465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138.732</v>
      </c>
      <c r="C2" s="52" t="n">
        <v>198.508</v>
      </c>
      <c r="D2" s="52" t="n">
        <v>193.449</v>
      </c>
      <c r="E2" s="52" t="n">
        <v>260.981</v>
      </c>
      <c r="F2" s="52" t="n">
        <v>338.298</v>
      </c>
      <c r="G2" s="52" t="n">
        <v>467.359</v>
      </c>
      <c r="H2" s="52" t="n">
        <v>450.893</v>
      </c>
      <c r="I2" s="52" t="n">
        <v>433.14</v>
      </c>
      <c r="J2" s="52" t="n">
        <v>482.043</v>
      </c>
      <c r="K2" s="52" t="n">
        <v>564.169</v>
      </c>
      <c r="L2" s="52">
        <f>K2*(1+NPV!C5)</f>
        <v>507.7521</v>
      </c>
      <c r="M2" s="52">
        <f>L2*(1+NPV!D5)</f>
        <v>464.0290025</v>
      </c>
      <c r="N2" s="52">
        <f>M2*(1+NPV!E5)</f>
        <v>430.5157967638889</v>
      </c>
      <c r="O2" s="52">
        <f>N2*(1+NPV!F5)</f>
        <v>405.40237528599533</v>
      </c>
      <c r="P2" s="52">
        <f>O2*(1+NPV!G5)</f>
        <v>387.3844919399511</v>
      </c>
      <c r="Q2" s="52">
        <f>P2*(1+NPV!H5)</f>
        <v>375.5477435751192</v>
      </c>
      <c r="R2" s="52">
        <f>Q2*(1+NPV!I5)</f>
        <v>369.2886145155339</v>
      </c>
      <c r="S2" s="52">
        <f>R2*(1+NPV!J5)</f>
        <v>368.2628128085463</v>
      </c>
      <c r="T2" s="52">
        <f>S2*(1+NPV!K5)</f>
        <v>372.3546218397524</v>
      </c>
      <c r="U2" s="52">
        <f>T2*(1+NPV!L5)</f>
        <v>381.6634873857462</v>
      </c>
    </row>
    <row r="3" customFormat="1" s="1">
      <c r="A3" s="5" t="inlineStr">
        <is>
          <t>Cost of Sales</t>
        </is>
      </c>
      <c r="B3" s="52" t="n">
        <v>48.201</v>
      </c>
      <c r="C3" s="52" t="n">
        <v>61.22</v>
      </c>
      <c r="D3" s="52" t="n">
        <v>68.80800000000001</v>
      </c>
      <c r="E3" s="52" t="n">
        <v>75.94799999999999</v>
      </c>
      <c r="F3" s="52" t="n">
        <v>87.319</v>
      </c>
      <c r="G3" s="52" t="n">
        <v>114.199</v>
      </c>
      <c r="H3" s="52" t="n">
        <v>105.019</v>
      </c>
      <c r="I3" s="52" t="n">
        <v>106.481</v>
      </c>
      <c r="J3" s="52" t="n">
        <v>115.741</v>
      </c>
      <c r="K3" s="52" t="n">
        <v>0</v>
      </c>
      <c r="L3" s="52">
        <f>L2*(1-Assumptions!$B$19)</f>
        <v>121.91127920999999</v>
      </c>
      <c r="M3" s="52">
        <f>M2*(1-Assumptions!$B$19)</f>
        <v>111.41336350024999</v>
      </c>
      <c r="N3" s="52">
        <f>N2*(1-Assumptions!$B$19)</f>
        <v>103.36684280300972</v>
      </c>
      <c r="O3" s="52">
        <f>O2*(1-Assumptions!$B$19)</f>
        <v>97.33711030616747</v>
      </c>
      <c r="P3" s="52">
        <f>P2*(1-Assumptions!$B$19)</f>
        <v>93.01101651478226</v>
      </c>
      <c r="Q3" s="52">
        <f>Q2*(1-Assumptions!$B$19)</f>
        <v>90.16901323238612</v>
      </c>
      <c r="R3" s="52">
        <f>R2*(1-Assumptions!$B$19)</f>
        <v>88.66619634517967</v>
      </c>
      <c r="S3" s="52">
        <f>S2*(1-Assumptions!$B$19)</f>
        <v>88.41990135533196</v>
      </c>
      <c r="T3" s="52">
        <f>T2*(1-Assumptions!$B$19)</f>
        <v>89.40234470372454</v>
      </c>
      <c r="U3" s="52">
        <f>U2*(1-Assumptions!$B$19)</f>
        <v>91.63740332131765</v>
      </c>
    </row>
    <row r="4" customFormat="1" s="1">
      <c r="A4" s="5" t="inlineStr">
        <is>
          <t>Gross Margin</t>
        </is>
      </c>
      <c r="B4" s="52">
        <f>B2-B3</f>
        <v>90.531</v>
      </c>
      <c r="C4" s="52">
        <f>C2-C3</f>
        <v>137.288</v>
      </c>
      <c r="D4" s="52">
        <f>D2-D3</f>
        <v>124.641</v>
      </c>
      <c r="E4" s="52">
        <f>E2-E3</f>
        <v>185.03300000000002</v>
      </c>
      <c r="F4" s="52">
        <f>F2-F3</f>
        <v>250.97899999999998</v>
      </c>
      <c r="G4" s="52">
        <f>G2-G3</f>
        <v>353.15999999999997</v>
      </c>
      <c r="H4" s="52">
        <f>H2-H3</f>
        <v>345.87399999999997</v>
      </c>
      <c r="I4" s="52">
        <f>I2-I3</f>
        <v>326.659</v>
      </c>
      <c r="J4" s="52">
        <f>J2-J3</f>
        <v>366.302</v>
      </c>
      <c r="K4" s="52">
        <f>K2-K3</f>
        <v>564.169</v>
      </c>
      <c r="L4" s="52">
        <f>L2-L3</f>
        <v>385.84082079</v>
      </c>
      <c r="M4" s="52">
        <f>M2-M3</f>
        <v>352.61563899975</v>
      </c>
      <c r="N4" s="52">
        <f>N2-N3</f>
        <v>327.14895396087917</v>
      </c>
      <c r="O4" s="52">
        <f>O2-O3</f>
        <v>308.0652649798279</v>
      </c>
      <c r="P4" s="52">
        <f>P2-P3</f>
        <v>294.37347542516886</v>
      </c>
      <c r="Q4" s="52">
        <f>Q2-Q3</f>
        <v>285.3787303427331</v>
      </c>
      <c r="R4" s="52">
        <f>R2-R3</f>
        <v>280.6224181703542</v>
      </c>
      <c r="S4" s="52">
        <f>S2-S3</f>
        <v>279.84291145321436</v>
      </c>
      <c r="T4" s="52">
        <f>T2-T3</f>
        <v>282.9522771360279</v>
      </c>
      <c r="U4" s="52">
        <f>U2-U3</f>
        <v>290.0260840644285</v>
      </c>
    </row>
    <row r="5">
      <c r="A5" s="2" t="inlineStr">
        <is>
          <t>Research &amp; Dev.</t>
        </is>
      </c>
      <c r="B5" s="52" t="n">
        <v>6.277</v>
      </c>
      <c r="C5" s="52" t="n">
        <v>9.065</v>
      </c>
      <c r="D5" s="52" t="n">
        <v>10.742</v>
      </c>
      <c r="E5" s="52" t="n">
        <v>14.799</v>
      </c>
      <c r="F5" s="52" t="n">
        <v>20.086</v>
      </c>
      <c r="G5" s="52" t="n">
        <v>30.742</v>
      </c>
      <c r="H5" s="52" t="n">
        <v>39.762</v>
      </c>
      <c r="I5" s="52" t="n">
        <v>44.38</v>
      </c>
      <c r="J5" s="52" t="n">
        <v>50.271</v>
      </c>
      <c r="K5" s="52" t="n">
        <v>44.542</v>
      </c>
      <c r="L5" s="52">
        <f>L7*Assumptions!$B$20</f>
        <v>35.2666441289862</v>
      </c>
      <c r="M5" s="52">
        <f>M7*Assumptions!$B$20</f>
        <v>31.122672989162332</v>
      </c>
      <c r="N5" s="52">
        <f>N7*Assumptions!$B$20</f>
        <v>27.8477619110801</v>
      </c>
      <c r="O5" s="52">
        <f>O7*Assumptions!$B$20</f>
        <v>25.25606447056741</v>
      </c>
      <c r="P5" s="52">
        <f>P7*Assumptions!$B$20</f>
        <v>23.209316705614338</v>
      </c>
      <c r="Q5" s="52">
        <f>Q7*Assumptions!$B$20</f>
        <v>21.604128284786498</v>
      </c>
      <c r="R5" s="52">
        <f>R7*Assumptions!$B$20</f>
        <v>20.36297820613082</v>
      </c>
      <c r="S5" s="52">
        <f>S7*Assumptions!$B$20</f>
        <v>19.4277805518543</v>
      </c>
      <c r="T5" s="52">
        <f>T7*Assumptions!$B$20</f>
        <v>18.755248356216235</v>
      </c>
      <c r="U5" s="52">
        <f>U7*Assumptions!$B$20</f>
        <v>18.313523230529835</v>
      </c>
    </row>
    <row r="6">
      <c r="A6" s="18" t="inlineStr">
        <is>
          <t>SG&amp;A &amp; Other</t>
        </is>
      </c>
      <c r="B6" s="52" t="n">
        <v>93.029</v>
      </c>
      <c r="C6" s="52" t="n">
        <v>133.717</v>
      </c>
      <c r="D6" s="52" t="n">
        <v>165.455</v>
      </c>
      <c r="E6" s="52" t="n">
        <v>200.088</v>
      </c>
      <c r="F6" s="52" t="n">
        <v>204.193</v>
      </c>
      <c r="G6" s="52" t="n">
        <v>250.2</v>
      </c>
      <c r="H6" s="52" t="n">
        <v>283.808</v>
      </c>
      <c r="I6" s="52" t="n">
        <v>269.754</v>
      </c>
      <c r="J6" s="52" t="n">
        <v>317.314</v>
      </c>
      <c r="K6" s="52" t="n">
        <v>474.933</v>
      </c>
      <c r="L6" s="52">
        <f>L7-L5</f>
        <v>376.2461228370138</v>
      </c>
      <c r="M6" s="52">
        <f>M7-M5</f>
        <v>332.03570494738767</v>
      </c>
      <c r="N6" s="52">
        <f>N7-N5</f>
        <v>297.09695117036796</v>
      </c>
      <c r="O6" s="52">
        <f>O7-O5</f>
        <v>269.4471382198341</v>
      </c>
      <c r="P6" s="52">
        <f>P7-P5</f>
        <v>247.6111816096055</v>
      </c>
      <c r="Q6" s="52">
        <f>Q7-Q5</f>
        <v>230.48605006744802</v>
      </c>
      <c r="R6" s="52">
        <f>R7-R5</f>
        <v>217.24470214545397</v>
      </c>
      <c r="S6" s="52">
        <f>S7-S5</f>
        <v>207.26744175683064</v>
      </c>
      <c r="T6" s="52">
        <f>T7-T5</f>
        <v>200.09245708387985</v>
      </c>
      <c r="U6" s="52">
        <f>U7-U5</f>
        <v>195.37986335674947</v>
      </c>
    </row>
    <row r="7">
      <c r="A7" s="2" t="inlineStr">
        <is>
          <t>Operating Expense</t>
        </is>
      </c>
      <c r="B7" s="52">
        <f>SUM(B5:B6)</f>
        <v>99.306</v>
      </c>
      <c r="C7" s="52">
        <f>SUM(C5:C6)</f>
        <v>142.782</v>
      </c>
      <c r="D7" s="52">
        <f>SUM(D5:D6)</f>
        <v>176.197</v>
      </c>
      <c r="E7" s="52">
        <f>SUM(E5:E6)</f>
        <v>214.887</v>
      </c>
      <c r="F7" s="52">
        <f>SUM(F5:F6)</f>
        <v>224.279</v>
      </c>
      <c r="G7" s="52">
        <f>SUM(G5:G6)</f>
        <v>280.942</v>
      </c>
      <c r="H7" s="52">
        <f>SUM(H5:H6)</f>
        <v>323.57</v>
      </c>
      <c r="I7" s="52">
        <f>SUM(I5:I6)</f>
        <v>314.134</v>
      </c>
      <c r="J7" s="52">
        <f>SUM(J5:J6)</f>
        <v>367.58500000000004</v>
      </c>
      <c r="K7" s="52">
        <f>SUM(K5:K6)</f>
        <v>519.475</v>
      </c>
      <c r="L7" s="52">
        <f>L4-L2*NPV!C6</f>
        <v>411.512766966</v>
      </c>
      <c r="M7" s="52">
        <f>M4-M2*NPV!D6</f>
        <v>363.15837793655</v>
      </c>
      <c r="N7" s="52">
        <f>N4-N2*NPV!E6</f>
        <v>324.94471308144807</v>
      </c>
      <c r="O7" s="52">
        <f>O4-O2*NPV!F6</f>
        <v>294.7032026904015</v>
      </c>
      <c r="P7" s="52">
        <f>P4-P2*NPV!G6</f>
        <v>270.8204983152198</v>
      </c>
      <c r="Q7" s="52">
        <f>Q4-Q2*NPV!H6</f>
        <v>252.09017835223452</v>
      </c>
      <c r="R7" s="52">
        <f>R4-R2*NPV!I6</f>
        <v>237.6076803515848</v>
      </c>
      <c r="S7" s="52">
        <f>S4-S2*NPV!J6</f>
        <v>226.69522230868495</v>
      </c>
      <c r="T7" s="52">
        <f>T4-T2*NPV!K6</f>
        <v>218.8477054400961</v>
      </c>
      <c r="U7" s="52">
        <f>U4-U2*NPV!L6</f>
        <v>213.6933865872793</v>
      </c>
    </row>
    <row r="8">
      <c r="A8" s="2" t="inlineStr">
        <is>
          <t>Operating Income</t>
        </is>
      </c>
      <c r="B8" s="52">
        <f>B4-B7</f>
        <v>-8.774999999999991</v>
      </c>
      <c r="C8" s="52">
        <f>C4-C7</f>
        <v>-5.494</v>
      </c>
      <c r="D8" s="52">
        <f>D4-D7</f>
        <v>-51.556</v>
      </c>
      <c r="E8" s="52">
        <f>E4-E7</f>
        <v>-29.853999999999985</v>
      </c>
      <c r="F8" s="52">
        <f>F4-F7</f>
        <v>26.69999999999999</v>
      </c>
      <c r="G8" s="52">
        <f>G4-G7</f>
        <v>72.21799999999996</v>
      </c>
      <c r="H8" s="52">
        <f>H4-H7</f>
        <v>22.303999999999974</v>
      </c>
      <c r="I8" s="52">
        <f>I4-I7</f>
        <v>12.524999999999977</v>
      </c>
      <c r="J8" s="52">
        <f>J4-J7</f>
        <v>-1.2830000000000155</v>
      </c>
      <c r="K8" s="52">
        <f>K4-K7</f>
        <v>44.69399999999996</v>
      </c>
      <c r="L8" s="52">
        <f>L4-L7</f>
        <v>-25.671946176000006</v>
      </c>
      <c r="M8" s="52">
        <f>M4-M7</f>
        <v>-10.542738936799992</v>
      </c>
      <c r="N8" s="52">
        <f>N4-N7</f>
        <v>2.2042408794310973</v>
      </c>
      <c r="O8" s="52">
        <f>O4-O7</f>
        <v>13.362062289426376</v>
      </c>
      <c r="P8" s="52">
        <f>P4-P7</f>
        <v>23.55297710994904</v>
      </c>
      <c r="Q8" s="52">
        <f>Q4-Q7</f>
        <v>33.288551990498576</v>
      </c>
      <c r="R8" s="52">
        <f>R4-R7</f>
        <v>43.01473781876939</v>
      </c>
      <c r="S8" s="52">
        <f>S4-S7</f>
        <v>53.14768914452941</v>
      </c>
      <c r="T8" s="52">
        <f>T4-T7</f>
        <v>64.10457169593178</v>
      </c>
      <c r="U8" s="52">
        <f>U4-U7</f>
        <v>76.33269747714922</v>
      </c>
    </row>
    <row r="9">
      <c r="A9" s="18" t="inlineStr">
        <is>
          <t>Interest &amp; Other</t>
        </is>
      </c>
      <c r="B9" s="52" t="n">
        <v>-8.147</v>
      </c>
      <c r="C9" s="52" t="n">
        <v>-9.919</v>
      </c>
      <c r="D9" s="52" t="n">
        <v>-13.191</v>
      </c>
      <c r="E9" s="52" t="n">
        <v>-8.705</v>
      </c>
      <c r="F9" s="52" t="n">
        <v>-8.936</v>
      </c>
      <c r="G9" s="52" t="n">
        <v>-9.134</v>
      </c>
      <c r="H9" s="52" t="n">
        <v>-2.054</v>
      </c>
      <c r="I9" s="52" t="n">
        <v>-2.178</v>
      </c>
      <c r="J9" s="52" t="n">
        <v>-1.485</v>
      </c>
      <c r="K9" s="52" t="n">
        <v>2.244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-16.92199999999999</v>
      </c>
      <c r="C10" s="52">
        <f>C8+C9</f>
        <v>-15.413</v>
      </c>
      <c r="D10" s="52">
        <f>D8+D9</f>
        <v>-64.747</v>
      </c>
      <c r="E10" s="52">
        <f>E8+E9</f>
        <v>-38.55899999999998</v>
      </c>
      <c r="F10" s="52">
        <f>F8+F9</f>
        <v>17.76399999999999</v>
      </c>
      <c r="G10" s="52">
        <f>G8+G9</f>
        <v>63.08399999999996</v>
      </c>
      <c r="H10" s="52">
        <f>H8+H9</f>
        <v>20.249999999999975</v>
      </c>
      <c r="I10" s="52">
        <f>I8+I9</f>
        <v>10.346999999999976</v>
      </c>
      <c r="J10" s="52">
        <f>J8+J9</f>
        <v>-2.768000000000016</v>
      </c>
      <c r="K10" s="52">
        <f>K8+K9</f>
        <v>46.93799999999996</v>
      </c>
      <c r="L10" s="52">
        <f>L8+L9</f>
        <v>-25.671946176000006</v>
      </c>
      <c r="M10" s="52">
        <f>M8+M9</f>
        <v>-10.542738936799992</v>
      </c>
      <c r="N10" s="52">
        <f>N8+N9</f>
        <v>2.2042408794310973</v>
      </c>
      <c r="O10" s="52">
        <f>O8+O9</f>
        <v>13.362062289426376</v>
      </c>
      <c r="P10" s="52">
        <f>P8+P9</f>
        <v>23.55297710994904</v>
      </c>
      <c r="Q10" s="52">
        <f>Q8+Q9</f>
        <v>33.288551990498576</v>
      </c>
      <c r="R10" s="52">
        <f>R8+R9</f>
        <v>43.01473781876939</v>
      </c>
      <c r="S10" s="52">
        <f>S8+S9</f>
        <v>53.14768914452941</v>
      </c>
      <c r="T10" s="52">
        <f>T8+T9</f>
        <v>64.10457169593178</v>
      </c>
      <c r="U10" s="52">
        <f>U8+U9</f>
        <v>76.33269747714922</v>
      </c>
    </row>
    <row r="11">
      <c r="A11" s="2" t="inlineStr">
        <is>
          <t>Taxes</t>
        </is>
      </c>
      <c r="B11" s="52" t="n">
        <v>0.065</v>
      </c>
      <c r="C11" s="52" t="n">
        <v>-7.025</v>
      </c>
      <c r="D11" s="52" t="n">
        <v>0.08400000000000001</v>
      </c>
      <c r="E11" s="52" t="n">
        <v>0.15</v>
      </c>
      <c r="F11" s="52" t="n">
        <v>0.53</v>
      </c>
      <c r="G11" s="52" t="n">
        <v>-31.116</v>
      </c>
      <c r="H11" s="52" t="n">
        <v>4.75</v>
      </c>
      <c r="I11" s="52" t="n">
        <v>5.447</v>
      </c>
      <c r="J11" s="52" t="n">
        <v>-3.668</v>
      </c>
      <c r="K11" s="52" t="n">
        <v>9.938000000000001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0.37472094950328655</v>
      </c>
      <c r="O11" s="52">
        <f>MAX(0,O10)*Assumptions!$E$14</f>
        <v>2.271550589202484</v>
      </c>
      <c r="P11" s="52">
        <f>MAX(0,P10)*Assumptions!$E$14</f>
        <v>4.004006108691337</v>
      </c>
      <c r="Q11" s="52">
        <f>MAX(0,Q10)*Assumptions!$E$14</f>
        <v>5.659053838384758</v>
      </c>
      <c r="R11" s="52">
        <f>MAX(0,R10)*Assumptions!$E$14</f>
        <v>7.3125054291907965</v>
      </c>
      <c r="S11" s="52">
        <f>MAX(0,S10)*Assumptions!$E$14</f>
        <v>9.03510715457</v>
      </c>
      <c r="T11" s="52">
        <f>MAX(0,T10)*Assumptions!$E$14</f>
        <v>10.897777188308403</v>
      </c>
      <c r="U11" s="52">
        <f>MAX(0,U10)*Assumptions!$E$14</f>
        <v>12.976558571115369</v>
      </c>
    </row>
    <row r="12">
      <c r="A12" s="2" t="inlineStr">
        <is>
          <t>Net Income</t>
        </is>
      </c>
      <c r="B12" s="52" t="n">
        <v>-16.987</v>
      </c>
      <c r="C12" s="52" t="n">
        <v>-8.388</v>
      </c>
      <c r="D12" s="52" t="n">
        <v>-64.831</v>
      </c>
      <c r="E12" s="52" t="n">
        <v>-38.709</v>
      </c>
      <c r="F12" s="52" t="n">
        <v>17.234</v>
      </c>
      <c r="G12" s="52" t="n">
        <v>94.2</v>
      </c>
      <c r="H12" s="52" t="n">
        <v>15.5</v>
      </c>
      <c r="I12" s="52" t="n">
        <v>4.9</v>
      </c>
      <c r="J12" s="52" t="n">
        <v>0.9</v>
      </c>
      <c r="K12" s="52" t="n">
        <v>37</v>
      </c>
      <c r="L12" s="52">
        <f>L10-L11</f>
        <v>-25.671946176000006</v>
      </c>
      <c r="M12" s="52">
        <f>M10-M11</f>
        <v>-10.542738936799992</v>
      </c>
      <c r="N12" s="52">
        <f>N10-N11</f>
        <v>1.8295199299278107</v>
      </c>
      <c r="O12" s="52">
        <f>O10-O11</f>
        <v>11.090511700223892</v>
      </c>
      <c r="P12" s="52">
        <f>P10-P11</f>
        <v>19.548971001257705</v>
      </c>
      <c r="Q12" s="52">
        <f>Q10-Q11</f>
        <v>27.62949815211382</v>
      </c>
      <c r="R12" s="52">
        <f>R10-R11</f>
        <v>35.7022323895786</v>
      </c>
      <c r="S12" s="52">
        <f>S10-S11</f>
        <v>44.11258198995941</v>
      </c>
      <c r="T12" s="52">
        <f>T10-T11</f>
        <v>53.20679450762338</v>
      </c>
      <c r="U12" s="52">
        <f>U10-U11</f>
        <v>63.356138906033856</v>
      </c>
    </row>
    <row r="13">
      <c r="A13" s="2" t="inlineStr">
        <is>
          <t>Earnings per Share</t>
        </is>
      </c>
      <c r="B13" s="11">
        <f>IFERROR(B12/B14,0)</f>
        <v>-0.2687986581429204</v>
      </c>
      <c r="C13" s="11">
        <f>IFERROR(C12/C14,0)</f>
        <v>-0.13131487076725581</v>
      </c>
      <c r="D13" s="11">
        <f>IFERROR(D12/D14,0)</f>
        <v>-0.9352693384113795</v>
      </c>
      <c r="E13" s="11">
        <f>IFERROR(E12/E14,0)</f>
        <v>-0.4169431279620853</v>
      </c>
      <c r="F13" s="11">
        <f>IFERROR(F12/F14,0)</f>
        <v>0.15475794937186269</v>
      </c>
      <c r="G13" s="11">
        <f>IFERROR(G12/G14,0)</f>
        <v>0.7047574871131128</v>
      </c>
      <c r="H13" s="11">
        <f>IFERROR(H12/H14,0)</f>
        <v>0.11708451991569914</v>
      </c>
      <c r="I13" s="11">
        <f>IFERROR(I12/I14,0)</f>
        <v>0.03691232193571229</v>
      </c>
      <c r="J13" s="11">
        <f>IFERROR(J12/J14,0)</f>
        <v>0.006835114260326718</v>
      </c>
      <c r="K13" s="11">
        <f>IFERROR(K12/K14,0)</f>
        <v>0.2840734598611879</v>
      </c>
      <c r="L13" s="11">
        <f>IFERROR(L12/L14,0)</f>
        <v>-0.19951067693666977</v>
      </c>
      <c r="M13" s="11">
        <f>IFERROR(M12/M14,0)</f>
        <v>-0.08193336678206162</v>
      </c>
      <c r="N13" s="11">
        <f>IFERROR(N12/N14,0)</f>
        <v>0.014218195893159934</v>
      </c>
      <c r="O13" s="11">
        <f>IFERROR(O12/O14,0)</f>
        <v>0.08619040729192143</v>
      </c>
      <c r="P13" s="11">
        <f>IFERROR(P12/P14,0)</f>
        <v>0.1519257017421791</v>
      </c>
      <c r="Q13" s="11">
        <f>IFERROR(Q12/Q14,0)</f>
        <v>0.21472387959827005</v>
      </c>
      <c r="R13" s="11">
        <f>IFERROR(R12/R14,0)</f>
        <v>0.27746149447969</v>
      </c>
      <c r="S13" s="11">
        <f>IFERROR(S12/S14,0)</f>
        <v>0.3428229022413929</v>
      </c>
      <c r="T13" s="11">
        <f>IFERROR(T12/T14,0)</f>
        <v>0.41349898122527995</v>
      </c>
      <c r="U13" s="11">
        <f>IFERROR(U12/U14,0)</f>
        <v>0.4923750647722024</v>
      </c>
    </row>
    <row r="14">
      <c r="A14" s="2" t="inlineStr">
        <is>
          <t>Shares</t>
        </is>
      </c>
      <c r="B14" s="52" t="n">
        <v>63.196</v>
      </c>
      <c r="C14" s="52" t="n">
        <v>63.877</v>
      </c>
      <c r="D14" s="52" t="n">
        <v>69.318</v>
      </c>
      <c r="E14" s="52" t="n">
        <v>92.84</v>
      </c>
      <c r="F14" s="52" t="n">
        <v>111.361</v>
      </c>
      <c r="G14" s="52" t="n">
        <v>133.663</v>
      </c>
      <c r="H14" s="52" t="n">
        <v>132.383</v>
      </c>
      <c r="I14" s="52" t="n">
        <v>132.747</v>
      </c>
      <c r="J14" s="52" t="n">
        <v>131.673</v>
      </c>
      <c r="K14" s="52" t="n">
        <v>130.248</v>
      </c>
      <c r="L14" s="52">
        <f>Main!$C$4</f>
        <v>128.674548</v>
      </c>
      <c r="M14" s="52">
        <f>Main!$C$4</f>
        <v>128.674548</v>
      </c>
      <c r="N14" s="52">
        <f>Main!$C$4</f>
        <v>128.674548</v>
      </c>
      <c r="O14" s="52">
        <f>Main!$C$4</f>
        <v>128.674548</v>
      </c>
      <c r="P14" s="52">
        <f>Main!$C$4</f>
        <v>128.674548</v>
      </c>
      <c r="Q14" s="52">
        <f>Main!$C$4</f>
        <v>128.674548</v>
      </c>
      <c r="R14" s="52">
        <f>Main!$C$4</f>
        <v>128.674548</v>
      </c>
      <c r="S14" s="52">
        <f>Main!$C$4</f>
        <v>128.674548</v>
      </c>
      <c r="T14" s="52">
        <f>Main!$C$4</f>
        <v>128.674548</v>
      </c>
      <c r="U14" s="52">
        <f>Main!$C$4</f>
        <v>128.674548</v>
      </c>
    </row>
    <row r="15"/>
    <row r="16" customFormat="1" s="4">
      <c r="A16" s="3" t="inlineStr">
        <is>
          <t>Revenue Change</t>
        </is>
      </c>
      <c r="C16" s="15">
        <f>IFERROR(C2/B2-1,"")</f>
        <v>0.4308739151745813</v>
      </c>
      <c r="D16" s="15">
        <f>IFERROR(D2/C2-1,"")</f>
        <v>-0.025485118987647826</v>
      </c>
      <c r="E16" s="15">
        <f>IFERROR(E2/D2-1,"")</f>
        <v>0.34909459340704774</v>
      </c>
      <c r="F16" s="15">
        <f>IFERROR(F2/E2-1,"")</f>
        <v>0.2962552829516325</v>
      </c>
      <c r="G16" s="15">
        <f>IFERROR(G2/F2-1,"")</f>
        <v>0.3815009252197765</v>
      </c>
      <c r="H16" s="15">
        <f>IFERROR(H2/G2-1,"")</f>
        <v>-0.03523201650123353</v>
      </c>
      <c r="I16" s="15">
        <f>IFERROR(I2/H2-1,"")</f>
        <v>-0.03937297762440306</v>
      </c>
      <c r="J16" s="15">
        <f>IFERROR(J2/I2-1,"")</f>
        <v>0.11290344923119555</v>
      </c>
      <c r="K16" s="15">
        <f>IFERROR(K2/J2-1,"")</f>
        <v>0.1703706930709501</v>
      </c>
      <c r="L16" s="15">
        <f>IFERROR(L2/K2-1,"")</f>
        <v>-0.09999999999999998</v>
      </c>
      <c r="M16" s="15">
        <f>IFERROR(M2/L2-1,"")</f>
        <v>-0.08611111111111114</v>
      </c>
      <c r="N16" s="15">
        <f>IFERROR(N2/M2-1,"")</f>
        <v>-0.07222222222222219</v>
      </c>
      <c r="O16" s="15">
        <f>IFERROR(O2/N2-1,"")</f>
        <v>-0.05833333333333346</v>
      </c>
      <c r="P16" s="15">
        <f>IFERROR(P2/O2-1,"")</f>
        <v>-0.04444444444444451</v>
      </c>
      <c r="Q16" s="15">
        <f>IFERROR(Q2/P2-1,"")</f>
        <v>-0.03055555555555567</v>
      </c>
      <c r="R16" s="15">
        <f>IFERROR(R2/Q2-1,"")</f>
        <v>-0.01666666666666672</v>
      </c>
      <c r="S16" s="15">
        <f>IFERROR(S2/R2-1,"")</f>
        <v>-0.002777777777777768</v>
      </c>
      <c r="T16" s="15">
        <f>IFERROR(T2/S2-1,"")</f>
        <v>0.011111111111111072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0.652560332151198</v>
      </c>
      <c r="C17" s="15">
        <f>IFERROR(C4/C2,"")</f>
        <v>0.6915993310093296</v>
      </c>
      <c r="D17" s="15">
        <f>IFERROR(D4/D2,"")</f>
        <v>0.6443093528526899</v>
      </c>
      <c r="E17" s="15">
        <f>IFERROR(E4/E2,"")</f>
        <v>0.7089903096393991</v>
      </c>
      <c r="F17" s="15">
        <f>IFERROR(F4/F2,"")</f>
        <v>0.74188733010541</v>
      </c>
      <c r="G17" s="15">
        <f>IFERROR(G4/G2,"")</f>
        <v>0.7556503672765476</v>
      </c>
      <c r="H17" s="15">
        <f>IFERROR(H4/H2,"")</f>
        <v>0.7670866480517551</v>
      </c>
      <c r="I17" s="15">
        <f>IFERROR(I4/I2,"")</f>
        <v>0.7541649351249019</v>
      </c>
      <c r="J17" s="15">
        <f>IFERROR(J4/J2,"")</f>
        <v>0.7598948641511235</v>
      </c>
      <c r="K17" s="15">
        <f>IFERROR(K4/K2,"")</f>
        <v>1.0</v>
      </c>
      <c r="L17" s="15">
        <f>IFERROR(L4/L2,"")</f>
        <v>0.7599</v>
      </c>
      <c r="M17" s="15">
        <f>IFERROR(M4/M2,"")</f>
        <v>0.7599</v>
      </c>
      <c r="N17" s="15">
        <f>IFERROR(N4/N2,"")</f>
        <v>0.7599</v>
      </c>
      <c r="O17" s="15">
        <f>IFERROR(O4/O2,"")</f>
        <v>0.7599</v>
      </c>
      <c r="P17" s="15">
        <f>IFERROR(P4/P2,"")</f>
        <v>0.7599000000000001</v>
      </c>
      <c r="Q17" s="15">
        <f>IFERROR(Q4/Q2,"")</f>
        <v>0.7599</v>
      </c>
      <c r="R17" s="15">
        <f>IFERROR(R4/R2,"")</f>
        <v>0.7599</v>
      </c>
      <c r="S17" s="15">
        <f>IFERROR(S4/S2,"")</f>
        <v>0.7599</v>
      </c>
      <c r="T17" s="15">
        <f>IFERROR(T4/T2,"")</f>
        <v>0.7599000000000001</v>
      </c>
      <c r="U17" s="15">
        <f>IFERROR(U4/U2,"")</f>
        <v>0.7599</v>
      </c>
    </row>
    <row r="18">
      <c r="A18" s="14" t="inlineStr">
        <is>
          <t>Operating Margin</t>
        </is>
      </c>
      <c r="B18" s="15">
        <f>IFERROR(B8/B2,"")</f>
        <v>-0.06325144883660577</v>
      </c>
      <c r="C18" s="15">
        <f>IFERROR(C8/C2,"")</f>
        <v>-0.02767646643963971</v>
      </c>
      <c r="D18" s="15">
        <f>IFERROR(D8/D2,"")</f>
        <v>-0.2665095193048297</v>
      </c>
      <c r="E18" s="15">
        <f>IFERROR(E8/E2,"")</f>
        <v>-0.11439146911077812</v>
      </c>
      <c r="F18" s="15">
        <f>IFERROR(F8/F2,"")</f>
        <v>0.07892449851905713</v>
      </c>
      <c r="G18" s="15">
        <f>IFERROR(G8/G2,"")</f>
        <v>0.15452361032953246</v>
      </c>
      <c r="H18" s="15">
        <f>IFERROR(H8/H2,"")</f>
        <v>0.049466281357217735</v>
      </c>
      <c r="I18" s="15">
        <f>IFERROR(I8/I2,"")</f>
        <v>0.028916747471948973</v>
      </c>
      <c r="J18" s="15">
        <f>IFERROR(J8/J2,"")</f>
        <v>-0.0026615882815433796</v>
      </c>
      <c r="K18" s="15">
        <f>IFERROR(K8/K2,"")</f>
        <v>0.07922094266079838</v>
      </c>
      <c r="L18" s="15">
        <f>IFERROR(L8/L2,"")</f>
        <v>-0.050560000000000015</v>
      </c>
      <c r="M18" s="15">
        <f>IFERROR(M8/M2,"")</f>
        <v>-0.022719999999999983</v>
      </c>
      <c r="N18" s="15">
        <f>IFERROR(N8/N2,"")</f>
        <v>0.0051199999999999675</v>
      </c>
      <c r="O18" s="15">
        <f>IFERROR(O8/O2,"")</f>
        <v>0.03295999999999993</v>
      </c>
      <c r="P18" s="15">
        <f>IFERROR(P8/P2,"")</f>
        <v>0.060800000000000035</v>
      </c>
      <c r="Q18" s="15">
        <f>IFERROR(Q8/Q2,"")</f>
        <v>0.08864000000000002</v>
      </c>
      <c r="R18" s="15">
        <f>IFERROR(R8/R2,"")</f>
        <v>0.11648000000000001</v>
      </c>
      <c r="S18" s="15">
        <f>IFERROR(S8/S2,"")</f>
        <v>0.14432000000000003</v>
      </c>
      <c r="T18" s="15">
        <f>IFERROR(T8/T2,"")</f>
        <v>0.17216000000000004</v>
      </c>
      <c r="U18" s="15">
        <f>IFERROR(U8/U2,"")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Organogenesis Holdings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-0.0784</v>
      </c>
    </row>
    <row r="19">
      <c r="A19" s="14" t="inlineStr">
        <is>
          <t>Gross margin (forecast)</t>
        </is>
      </c>
      <c r="B19" s="53" t="n">
        <v>0.7599</v>
      </c>
    </row>
    <row r="20">
      <c r="A20" s="14" t="inlineStr">
        <is>
          <t>R&amp;D share of operating expense (forecast)</t>
        </is>
      </c>
      <c r="B20" s="53" t="n">
        <v>0.0857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Model'!K2</f>
        <v>564.169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330.4149220006027</v>
      </c>
      <c r="C29" s="56">
        <f>NPV!B26</f>
        <v>376.5119220006027</v>
      </c>
      <c r="D29" s="35">
        <f>NPV!B28</f>
        <v>2.926079227421127</v>
      </c>
      <c r="E29" s="57">
        <f>NPV!B30</f>
        <v>1.8687051249226734</v>
      </c>
    </row>
    <row r="30">
      <c r="A30" s="58" t="n">
        <v>1</v>
      </c>
      <c r="B30" s="59">
        <f t="dataTable" ref="B30:E32" r1="B4"/>
        <v>165.1541209689193</v>
      </c>
      <c r="C30" s="59">
        <v>211.2511209689193</v>
      </c>
      <c r="D30" s="39">
        <v>1.641747527016138</v>
      </c>
      <c r="E30" s="60">
        <v>0.6095563990354294</v>
      </c>
    </row>
    <row r="31">
      <c r="A31" s="58" t="n">
        <v>2</v>
      </c>
      <c r="B31" s="59">
        <v>330.4149220006027</v>
      </c>
      <c r="C31" s="59">
        <v>376.5119220006027</v>
      </c>
      <c r="D31" s="39">
        <v>2.926079227421127</v>
      </c>
      <c r="E31" s="60">
        <v>1.8687051249226734</v>
      </c>
    </row>
    <row r="32">
      <c r="A32" s="58" t="n">
        <v>3</v>
      </c>
      <c r="B32" s="59">
        <v>646.5160133973823</v>
      </c>
      <c r="C32" s="59">
        <v>692.6130133973822</v>
      </c>
      <c r="D32" s="39">
        <v>5.382672985160844</v>
      </c>
      <c r="E32" s="60">
        <v>4.27713037760867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2.926079227421127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3.4446921426133814</v>
      </c>
      <c r="C37" s="39">
        <v>3.616283111870137</v>
      </c>
      <c r="D37" s="39">
        <v>3.8097209592196646</v>
      </c>
      <c r="E37" s="39">
        <v>4.029380642805182</v>
      </c>
      <c r="F37" s="39">
        <v>4.280887190642398</v>
      </c>
    </row>
    <row r="38">
      <c r="A38" s="62" t="n">
        <v>0.115</v>
      </c>
      <c r="B38" s="39">
        <v>3.037200013385338</v>
      </c>
      <c r="C38" s="39">
        <v>3.16890188801654</v>
      </c>
      <c r="D38" s="39">
        <v>3.3155736903781907</v>
      </c>
      <c r="E38" s="39">
        <v>3.479861781864189</v>
      </c>
      <c r="F38" s="39">
        <v>3.665074181007561</v>
      </c>
    </row>
    <row r="39">
      <c r="A39" s="62" t="n">
        <v>0.125</v>
      </c>
      <c r="B39" s="39">
        <v>2.708999141464415</v>
      </c>
      <c r="C39" s="39">
        <v>2.812233301839542</v>
      </c>
      <c r="D39" s="39">
        <v>2.926079227421127</v>
      </c>
      <c r="E39" s="39">
        <v>3.052216324572819</v>
      </c>
      <c r="F39" s="39">
        <v>3.1926972565060123</v>
      </c>
    </row>
    <row r="40">
      <c r="A40" s="62" t="n">
        <v>0.135</v>
      </c>
      <c r="B40" s="39">
        <v>2.43988344403548</v>
      </c>
      <c r="C40" s="39">
        <v>2.5222081958305207</v>
      </c>
      <c r="D40" s="39">
        <v>2.6122670942467074</v>
      </c>
      <c r="E40" s="39">
        <v>2.7111682978366543</v>
      </c>
      <c r="F40" s="39">
        <v>2.820241643490728</v>
      </c>
    </row>
    <row r="41">
      <c r="A41" s="62" t="n">
        <v>0.145</v>
      </c>
      <c r="B41" s="39">
        <v>2.2158982064208614</v>
      </c>
      <c r="C41" s="39">
        <v>2.2824955677200767</v>
      </c>
      <c r="D41" s="39">
        <v>2.354861748796037</v>
      </c>
      <c r="E41" s="39">
        <v>2.433752018138206</v>
      </c>
      <c r="F41" s="39">
        <v>2.5200590054326204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Organogenesis Holdings Inc.: free-cash-flow DCF ($mm)</t>
        </is>
      </c>
    </row>
    <row r="3">
      <c r="A3" s="20" t="inlineStr">
        <is>
          <t>Fiscal year</t>
        </is>
      </c>
      <c r="B3" s="43">
        <f>'Yearly Model'!K1</f>
        <v>2025</v>
      </c>
      <c r="C3" s="43">
        <f>'Yearly Model'!L1</f>
        <v>2026</v>
      </c>
      <c r="D3" s="43">
        <f>'Yearly Model'!M1</f>
        <v>2027</v>
      </c>
      <c r="E3" s="43">
        <f>'Yearly Model'!N1</f>
        <v>2028</v>
      </c>
      <c r="F3" s="43">
        <f>'Yearly Model'!O1</f>
        <v>2029</v>
      </c>
      <c r="G3" s="43">
        <f>'Yearly Model'!P1</f>
        <v>2030</v>
      </c>
      <c r="H3" s="43">
        <f>'Yearly Model'!Q1</f>
        <v>2031</v>
      </c>
      <c r="I3" s="43">
        <f>'Yearly Model'!R1</f>
        <v>2032</v>
      </c>
      <c r="J3" s="43">
        <f>'Yearly Model'!S1</f>
        <v>2033</v>
      </c>
      <c r="K3" s="43">
        <f>'Yearly Model'!T1</f>
        <v>2034</v>
      </c>
      <c r="L3" s="43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0.07922094266079838</v>
      </c>
      <c r="C6" s="63">
        <f>Assumptions!$B$18+(Assumptions!$E$13-Assumptions!$B$18)*C4/Assumptions!$B$21</f>
        <v>-0.05056</v>
      </c>
      <c r="D6" s="63">
        <f>Assumptions!$B$18+(Assumptions!$E$13-Assumptions!$B$18)*D4/Assumptions!$B$21</f>
        <v>-0.022720000000000004</v>
      </c>
      <c r="E6" s="63">
        <f>Assumptions!$B$18+(Assumptions!$E$13-Assumptions!$B$18)*E4/Assumptions!$B$21</f>
        <v>0.0051199999999999996</v>
      </c>
      <c r="F6" s="63">
        <f>Assumptions!$B$18+(Assumptions!$E$13-Assumptions!$B$18)*F4/Assumptions!$B$21</f>
        <v>0.03295999999999999</v>
      </c>
      <c r="G6" s="63">
        <f>Assumptions!$B$18+(Assumptions!$E$13-Assumptions!$B$18)*G4/Assumptions!$B$21</f>
        <v>0.06079999999999999</v>
      </c>
      <c r="H6" s="63">
        <f>Assumptions!$B$18+(Assumptions!$E$13-Assumptions!$B$18)*H4/Assumptions!$B$21</f>
        <v>0.08864</v>
      </c>
      <c r="I6" s="63">
        <f>Assumptions!$B$18+(Assumptions!$E$13-Assumptions!$B$18)*I4/Assumptions!$B$21</f>
        <v>0.11648</v>
      </c>
      <c r="J6" s="63">
        <f>Assumptions!$B$18+(Assumptions!$E$13-Assumptions!$B$18)*J4/Assumptions!$B$21</f>
        <v>0.14431999999999998</v>
      </c>
      <c r="K6" s="63">
        <f>Assumptions!$B$18+(Assumptions!$E$13-Assumptions!$B$18)*K4/Assumptions!$B$21</f>
        <v>0.17216</v>
      </c>
      <c r="L6" s="63">
        <f>Assumptions!$B$18+(Assumptions!$E$13-Assumptions!$B$18)*L4/Assumptions!$B$21</f>
        <v>0.19999999999999998</v>
      </c>
    </row>
    <row r="7">
      <c r="A7" s="14" t="inlineStr">
        <is>
          <t>Revenue</t>
        </is>
      </c>
      <c r="B7" s="55">
        <f>'Yearly Model'!K2</f>
        <v>564.169</v>
      </c>
      <c r="C7" s="55">
        <f>'Yearly Model'!L2</f>
        <v>507.7521</v>
      </c>
      <c r="D7" s="55">
        <f>'Yearly Model'!M2</f>
        <v>464.0290025</v>
      </c>
      <c r="E7" s="55">
        <f>'Yearly Model'!N2</f>
        <v>430.5157967638889</v>
      </c>
      <c r="F7" s="55">
        <f>'Yearly Model'!O2</f>
        <v>405.40237528599533</v>
      </c>
      <c r="G7" s="55">
        <f>'Yearly Model'!P2</f>
        <v>387.3844919399511</v>
      </c>
      <c r="H7" s="55">
        <f>'Yearly Model'!Q2</f>
        <v>375.5477435751192</v>
      </c>
      <c r="I7" s="55">
        <f>'Yearly Model'!R2</f>
        <v>369.2886145155339</v>
      </c>
      <c r="J7" s="55">
        <f>'Yearly Model'!S2</f>
        <v>368.2628128085463</v>
      </c>
      <c r="K7" s="55">
        <f>'Yearly Model'!T2</f>
        <v>372.3546218397524</v>
      </c>
      <c r="L7" s="55">
        <f>'Yearly Model'!U2</f>
        <v>381.6634873857462</v>
      </c>
    </row>
    <row r="8">
      <c r="A8" s="14" t="inlineStr">
        <is>
          <t>Operating income</t>
        </is>
      </c>
      <c r="B8" s="55">
        <f>'Yearly Model'!K8</f>
        <v>44.69399999999996</v>
      </c>
      <c r="C8" s="55">
        <f>'Yearly Model'!L8</f>
        <v>-25.671946176000006</v>
      </c>
      <c r="D8" s="55">
        <f>'Yearly Model'!M8</f>
        <v>-10.542738936799992</v>
      </c>
      <c r="E8" s="55">
        <f>'Yearly Model'!N8</f>
        <v>2.2042408794310973</v>
      </c>
      <c r="F8" s="55">
        <f>'Yearly Model'!O8</f>
        <v>13.362062289426376</v>
      </c>
      <c r="G8" s="55">
        <f>'Yearly Model'!P8</f>
        <v>23.55297710994904</v>
      </c>
      <c r="H8" s="55">
        <f>'Yearly Model'!Q8</f>
        <v>33.288551990498576</v>
      </c>
      <c r="I8" s="55">
        <f>'Yearly Model'!R8</f>
        <v>43.01473781876939</v>
      </c>
      <c r="J8" s="55">
        <f>'Yearly Model'!S8</f>
        <v>53.14768914452941</v>
      </c>
      <c r="K8" s="55">
        <f>'Yearly Model'!T8</f>
        <v>64.10457169593178</v>
      </c>
      <c r="L8" s="55">
        <f>'Yearly Model'!U8</f>
        <v>76.33269747714922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0.37472094950328655</v>
      </c>
      <c r="F9" s="52">
        <f>MAX(0,F8)*Assumptions!$E$14</f>
        <v>2.271550589202484</v>
      </c>
      <c r="G9" s="52">
        <f>MAX(0,G8)*Assumptions!$E$14</f>
        <v>4.004006108691337</v>
      </c>
      <c r="H9" s="52">
        <f>MAX(0,H8)*Assumptions!$E$14</f>
        <v>5.659053838384758</v>
      </c>
      <c r="I9" s="52">
        <f>MAX(0,I8)*Assumptions!$E$14</f>
        <v>7.3125054291907965</v>
      </c>
      <c r="J9" s="52">
        <f>MAX(0,J8)*Assumptions!$E$14</f>
        <v>9.03510715457</v>
      </c>
      <c r="K9" s="52">
        <f>MAX(0,K8)*Assumptions!$E$14</f>
        <v>10.897777188308403</v>
      </c>
      <c r="L9" s="52">
        <f>MAX(0,L8)*Assumptions!$E$14</f>
        <v>12.976558571115369</v>
      </c>
    </row>
    <row r="10">
      <c r="A10" s="14" t="inlineStr">
        <is>
          <t>NOPAT</t>
        </is>
      </c>
      <c r="C10" s="52">
        <f>C8-C9</f>
        <v>-25.671946176000006</v>
      </c>
      <c r="D10" s="52">
        <f>D8-D9</f>
        <v>-10.542738936799992</v>
      </c>
      <c r="E10" s="52">
        <f>E8-E9</f>
        <v>1.8295199299278107</v>
      </c>
      <c r="F10" s="52">
        <f>F8-F9</f>
        <v>11.090511700223892</v>
      </c>
      <c r="G10" s="52">
        <f>G8-G9</f>
        <v>19.548971001257705</v>
      </c>
      <c r="H10" s="52">
        <f>H8-H9</f>
        <v>27.62949815211382</v>
      </c>
      <c r="I10" s="52">
        <f>I8-I9</f>
        <v>35.7022323895786</v>
      </c>
      <c r="J10" s="52">
        <f>J8-J9</f>
        <v>44.11258198995941</v>
      </c>
      <c r="K10" s="52">
        <f>K8-K9</f>
        <v>53.20679450762338</v>
      </c>
      <c r="L10" s="52">
        <f>L8-L9</f>
        <v>63.356138906033856</v>
      </c>
    </row>
    <row r="11">
      <c r="A11" s="14" t="inlineStr">
        <is>
          <t>Reinvestment</t>
        </is>
      </c>
      <c r="C11" s="52">
        <f>(C7-B7)*Assumptions!$E$15</f>
        <v>-14.104225</v>
      </c>
      <c r="D11" s="52">
        <f>(D7-C7)*Assumptions!$E$15</f>
        <v>-10.930774374999999</v>
      </c>
      <c r="E11" s="52">
        <f>(E7-D7)*Assumptions!$E$15</f>
        <v>-8.378301434027776</v>
      </c>
      <c r="F11" s="52">
        <f>(F7-E7)*Assumptions!$E$15</f>
        <v>-6.278355369473388</v>
      </c>
      <c r="G11" s="52">
        <f>(G7-F7)*Assumptions!$E$15</f>
        <v>-4.504470836511061</v>
      </c>
      <c r="H11" s="52">
        <f>(H7-G7)*Assumptions!$E$15</f>
        <v>-2.9591870912079656</v>
      </c>
      <c r="I11" s="52">
        <f>(I7-H7)*Assumptions!$E$15</f>
        <v>-1.564782264896337</v>
      </c>
      <c r="J11" s="52">
        <f>(J7-I7)*Assumptions!$E$15</f>
        <v>-0.2564504267468948</v>
      </c>
      <c r="K11" s="52">
        <f>(K7-J7)*Assumptions!$E$15</f>
        <v>1.0229522578015207</v>
      </c>
      <c r="L11" s="52">
        <f>(L7-K7)*Assumptions!$E$15</f>
        <v>2.327216386498449</v>
      </c>
    </row>
    <row r="12">
      <c r="A12" s="20" t="inlineStr">
        <is>
          <t>Free cash flow</t>
        </is>
      </c>
      <c r="C12" s="64">
        <f>C10-C11</f>
        <v>-11.567721176000006</v>
      </c>
      <c r="D12" s="64">
        <f>D10-D11</f>
        <v>0.3880354382000064</v>
      </c>
      <c r="E12" s="64">
        <f>E10-E11</f>
        <v>10.207821363955587</v>
      </c>
      <c r="F12" s="64">
        <f>F10-F11</f>
        <v>17.36886706969728</v>
      </c>
      <c r="G12" s="64">
        <f>G10-G11</f>
        <v>24.053441837768766</v>
      </c>
      <c r="H12" s="64">
        <f>H10-H11</f>
        <v>30.588685243321784</v>
      </c>
      <c r="I12" s="64">
        <f>I10-I11</f>
        <v>37.267014654474934</v>
      </c>
      <c r="J12" s="64">
        <f>J10-J11</f>
        <v>44.369032416706304</v>
      </c>
      <c r="K12" s="64">
        <f>K10-K11</f>
        <v>52.18384224982186</v>
      </c>
      <c r="L12" s="64">
        <f>L10-L11</f>
        <v>61.028922519535406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-5.660717947689138</v>
      </c>
      <c r="D16" s="64">
        <f>D12*D13*D15</f>
        <v>0.3447538640635928</v>
      </c>
      <c r="E16" s="64">
        <f>E12*E13*E15</f>
        <v>8.061545157877912</v>
      </c>
      <c r="F16" s="64">
        <f>F12*F13*F15</f>
        <v>12.192821017112903</v>
      </c>
      <c r="G16" s="64">
        <f>G12*G13*G15</f>
        <v>15.009195475845743</v>
      </c>
      <c r="H16" s="64">
        <f>H12*H13*H15</f>
        <v>16.966352000226678</v>
      </c>
      <c r="I16" s="64">
        <f>I12*I13*I15</f>
        <v>18.373832127673786</v>
      </c>
      <c r="J16" s="64">
        <f>J12*J13*J15</f>
        <v>19.44475947370883</v>
      </c>
      <c r="K16" s="64">
        <f>K12*K13*K15</f>
        <v>20.328538085489534</v>
      </c>
      <c r="L16" s="64">
        <f>L12*L13*L15</f>
        <v>21.13261665794646</v>
      </c>
    </row>
    <row r="19">
      <c r="A19" s="14" t="inlineStr">
        <is>
          <t>PV of forecast free cash flow</t>
        </is>
      </c>
      <c r="B19" s="52">
        <f>SUM(C16:L16)</f>
        <v>126.1936959122563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62.55464558252378</v>
      </c>
    </row>
    <row r="21">
      <c r="A21" s="14" t="inlineStr">
        <is>
          <t>Terminal value</t>
        </is>
      </c>
      <c r="B21" s="52">
        <f>B20/(Assumptions!$E$10-Assumptions!$E$11)</f>
        <v>625.5464558252378</v>
      </c>
    </row>
    <row r="22">
      <c r="A22" s="14" t="inlineStr">
        <is>
          <t>PV of terminal value</t>
        </is>
      </c>
      <c r="B22" s="52">
        <f>B21/(1+Assumptions!$E$10)^(L14+0.5)</f>
        <v>204.22122608834638</v>
      </c>
    </row>
    <row r="23">
      <c r="A23" s="20" t="inlineStr">
        <is>
          <t>Enterprise value</t>
        </is>
      </c>
      <c r="B23" s="66">
        <f>B19+B22</f>
        <v>330.4149220006027</v>
      </c>
    </row>
    <row r="24">
      <c r="A24" s="14" t="inlineStr">
        <is>
          <t>Cash &amp; investments</t>
        </is>
      </c>
      <c r="B24" s="55">
        <f>Main!C7</f>
        <v>46.097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376.5119220006027</v>
      </c>
    </row>
    <row r="27">
      <c r="A27" s="14" t="inlineStr">
        <is>
          <t>Shares (mm)</t>
        </is>
      </c>
      <c r="B27" s="55">
        <f>Main!C4</f>
        <v>128.674548</v>
      </c>
    </row>
    <row r="28">
      <c r="A28" s="20" t="inlineStr">
        <is>
          <t>NPV / share</t>
        </is>
      </c>
      <c r="B28" s="49">
        <f>B26/B27</f>
        <v>2.926079227421127</v>
      </c>
    </row>
    <row r="29">
      <c r="A29" s="14" t="inlineStr">
        <is>
          <t>Price</t>
        </is>
      </c>
      <c r="B29" s="50">
        <f>Main!C3</f>
        <v>1.02</v>
      </c>
    </row>
    <row r="30">
      <c r="A30" s="14" t="inlineStr">
        <is>
          <t>Upside</t>
        </is>
      </c>
      <c r="B30" s="63">
        <f>B28/B29-1</f>
        <v>1.8687051249226734</v>
      </c>
    </row>
    <row r="31">
      <c r="A31" s="14" t="inlineStr">
        <is>
          <t>Terminal value, % of EV</t>
        </is>
      </c>
      <c r="B31" s="63">
        <f>IFERROR(B22/B23,0)</f>
        <v>0.6180750701324981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2026-10-21T01:05:49Z</dcterms:modified>
  <cp:lastModifiedBy>Wang, Eric</cp:lastModifiedBy>
</cp:coreProperties>
</file>