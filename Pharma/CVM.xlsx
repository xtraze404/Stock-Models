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CEL-SCI Corp</t>
        </is>
      </c>
      <c r="C2" s="10" t="n"/>
    </row>
    <row r="3">
      <c r="B3" t="inlineStr">
        <is>
          <t>Price</t>
        </is>
      </c>
      <c r="C3" s="11">
        <f>INDEX([1]Pharma!$F$1:$F$1000,MATCH("CVM",[1]Pharma!$B$1:$B$1000,0))</f>
        <v>1.56</v>
      </c>
      <c r="F3" s="1" t="n"/>
    </row>
    <row r="4">
      <c r="B4" t="inlineStr">
        <is>
          <t>Shares</t>
        </is>
      </c>
      <c r="C4" s="21" t="n">
        <v>17.588987</v>
      </c>
      <c r="F4" s="1" t="n"/>
    </row>
    <row r="5">
      <c r="B5" t="inlineStr">
        <is>
          <t>Market Cap.</t>
        </is>
      </c>
      <c r="C5" s="13">
        <f>C3*C4</f>
        <v>27.43881972</v>
      </c>
      <c r="F5" s="1" t="n"/>
    </row>
    <row r="6"/>
    <row r="7">
      <c r="B7" t="inlineStr">
        <is>
          <t>Cash</t>
        </is>
      </c>
      <c r="C7" s="21" t="n">
        <v>6.527381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20.91143872</v>
      </c>
    </row>
    <row r="10"/>
    <row r="11">
      <c r="B11" s="14" t="inlineStr">
        <is>
          <t>Net Cash / Share</t>
        </is>
      </c>
      <c r="C11" s="11">
        <f>(C7-C8)/C4</f>
        <v>0.37110613590197095</v>
      </c>
    </row>
    <row r="12">
      <c r="B12" s="14" t="inlineStr">
        <is>
          <t>Upside</t>
        </is>
      </c>
      <c r="C12" s="15">
        <f>IFERROR(C11/C3-1,"")</f>
        <v>-0.7621114513448904</v>
      </c>
    </row>
    <row r="13">
      <c r="B13" s="14" t="inlineStr">
        <is>
          <t>Cash / Share</t>
        </is>
      </c>
      <c r="C13" s="11">
        <f>IFERROR((C7-C8)/C4,"")</f>
        <v>0.37110613590197095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-16.746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0.38978747163501737</v>
      </c>
    </row>
    <row r="19">
      <c r="B19" s="14" t="inlineStr">
        <is>
          <t>Implied Pipeline Value</t>
        </is>
      </c>
      <c r="C19" s="13">
        <f>C9</f>
        <v>20.91143872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0.956</v>
      </c>
      <c r="E2" s="23" t="n">
        <v>0.255</v>
      </c>
      <c r="F2" s="23" t="n">
        <v>0.16</v>
      </c>
      <c r="G2" s="23" t="n">
        <v>0.264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0.956</v>
      </c>
      <c r="E4" s="23">
        <f>E2-E3</f>
        <v>0.255</v>
      </c>
      <c r="F4" s="23">
        <f>F2-F3</f>
        <v>0.16</v>
      </c>
      <c r="G4" s="23">
        <f>G2-G3</f>
        <v>0.264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  <c r="R4" s="23">
        <f>R2-R3</f>
        <v>0.0</v>
      </c>
    </row>
    <row r="5">
      <c r="A5" s="2" t="inlineStr">
        <is>
          <t>Research &amp; Dev.</t>
        </is>
      </c>
      <c r="B5" s="23" t="n">
        <v>6.012</v>
      </c>
      <c r="C5" s="23" t="n">
        <v>11.912</v>
      </c>
      <c r="D5" s="23" t="n">
        <v>11.746</v>
      </c>
      <c r="E5" s="23" t="n">
        <v>10.369</v>
      </c>
      <c r="F5" s="23" t="n">
        <v>12.681</v>
      </c>
      <c r="G5" s="23" t="n">
        <v>15.266</v>
      </c>
      <c r="H5" s="23" t="n">
        <v>19.192</v>
      </c>
      <c r="I5" s="23" t="n">
        <v>17.445</v>
      </c>
      <c r="J5" s="23" t="n">
        <v>15.607</v>
      </c>
      <c r="K5" s="23" t="n">
        <v>10.915</v>
      </c>
      <c r="L5" s="23" t="n">
        <v>12.659</v>
      </c>
      <c r="M5" s="23" t="n">
        <v>17.84</v>
      </c>
      <c r="N5" s="23" t="n">
        <v>23.109</v>
      </c>
      <c r="O5" s="23" t="n">
        <v>25.355</v>
      </c>
      <c r="P5" s="23" t="n">
        <v>22.471</v>
      </c>
      <c r="Q5" s="23" t="n">
        <v>18.161</v>
      </c>
      <c r="R5" s="23" t="n">
        <v>15.887</v>
      </c>
    </row>
    <row r="6">
      <c r="A6" s="19" t="inlineStr">
        <is>
          <t>SG&amp;A &amp; Other</t>
        </is>
      </c>
      <c r="B6" s="23" t="n">
        <v>6.009</v>
      </c>
      <c r="C6" s="23" t="n">
        <v>6.649</v>
      </c>
      <c r="D6" s="23" t="n">
        <v>7.196</v>
      </c>
      <c r="E6" s="23" t="n">
        <v>7.129</v>
      </c>
      <c r="F6" s="23" t="n">
        <v>7.347</v>
      </c>
      <c r="G6" s="23" t="n">
        <v>10.666</v>
      </c>
      <c r="H6" s="23" t="n">
        <v>13.198</v>
      </c>
      <c r="I6" s="23" t="n">
        <v>6.201</v>
      </c>
      <c r="J6" s="23" t="n">
        <v>5.8</v>
      </c>
      <c r="K6" s="23" t="n">
        <v>5.858</v>
      </c>
      <c r="L6" s="23" t="n">
        <v>7.536</v>
      </c>
      <c r="M6" s="23" t="n">
        <v>11.145</v>
      </c>
      <c r="N6" s="23" t="n">
        <v>13.085</v>
      </c>
      <c r="O6" s="23" t="n">
        <v>10.707</v>
      </c>
      <c r="P6" s="23" t="n">
        <v>9.005000000000001</v>
      </c>
      <c r="Q6" s="23" t="n">
        <v>8.191000000000001</v>
      </c>
      <c r="R6" s="23" t="n">
        <v>8.923</v>
      </c>
    </row>
    <row r="7">
      <c r="A7" s="2" t="inlineStr">
        <is>
          <t>Operating Expense</t>
        </is>
      </c>
      <c r="B7" s="23">
        <f>SUM(B5:B6)</f>
        <v>12.021</v>
      </c>
      <c r="C7" s="23">
        <f>SUM(C5:C6)</f>
        <v>18.561</v>
      </c>
      <c r="D7" s="23">
        <f>SUM(D5:D6)</f>
        <v>18.942</v>
      </c>
      <c r="E7" s="23">
        <f>SUM(E5:E6)</f>
        <v>17.497999999999998</v>
      </c>
      <c r="F7" s="23">
        <f>SUM(F5:F6)</f>
        <v>20.028</v>
      </c>
      <c r="G7" s="23">
        <f>SUM(G5:G6)</f>
        <v>25.932000000000002</v>
      </c>
      <c r="H7" s="23">
        <f>SUM(H5:H6)</f>
        <v>32.39</v>
      </c>
      <c r="I7" s="23">
        <f>SUM(I5:I6)</f>
        <v>23.646</v>
      </c>
      <c r="J7" s="23">
        <f>SUM(J5:J6)</f>
        <v>21.407</v>
      </c>
      <c r="K7" s="23">
        <f>SUM(K5:K6)</f>
        <v>16.773</v>
      </c>
      <c r="L7" s="23">
        <f>SUM(L5:L6)</f>
        <v>20.195</v>
      </c>
      <c r="M7" s="23">
        <f>SUM(M5:M6)</f>
        <v>28.985</v>
      </c>
      <c r="N7" s="23">
        <f>SUM(N5:N6)</f>
        <v>36.194</v>
      </c>
      <c r="O7" s="23">
        <f>SUM(O5:O6)</f>
        <v>36.062</v>
      </c>
      <c r="P7" s="23">
        <f>SUM(P5:P6)</f>
        <v>31.476</v>
      </c>
      <c r="Q7" s="23">
        <f>SUM(Q5:Q6)</f>
        <v>26.352000000000004</v>
      </c>
      <c r="R7" s="23">
        <f>SUM(R5:R6)</f>
        <v>24.810000000000002</v>
      </c>
    </row>
    <row r="8">
      <c r="A8" s="2" t="inlineStr">
        <is>
          <t>Operating Income</t>
        </is>
      </c>
      <c r="B8" s="23">
        <f>B4-B7</f>
        <v>-12.021</v>
      </c>
      <c r="C8" s="23">
        <f>C4-C7</f>
        <v>-18.561</v>
      </c>
      <c r="D8" s="23">
        <f>D4-D7</f>
        <v>-17.986</v>
      </c>
      <c r="E8" s="23">
        <f>E4-E7</f>
        <v>-17.243</v>
      </c>
      <c r="F8" s="23">
        <f>F4-F7</f>
        <v>-19.868</v>
      </c>
      <c r="G8" s="23">
        <f>G4-G7</f>
        <v>-25.668000000000003</v>
      </c>
      <c r="H8" s="23">
        <f>H4-H7</f>
        <v>-32.39</v>
      </c>
      <c r="I8" s="23">
        <f>I4-I7</f>
        <v>-23.646</v>
      </c>
      <c r="J8" s="23">
        <f>J4-J7</f>
        <v>-21.407</v>
      </c>
      <c r="K8" s="23">
        <f>K4-K7</f>
        <v>-16.773</v>
      </c>
      <c r="L8" s="23">
        <f>L4-L7</f>
        <v>-20.195</v>
      </c>
      <c r="M8" s="23">
        <f>M4-M7</f>
        <v>-28.985</v>
      </c>
      <c r="N8" s="23">
        <f>N4-N7</f>
        <v>-36.194</v>
      </c>
      <c r="O8" s="23">
        <f>O4-O7</f>
        <v>-36.062</v>
      </c>
      <c r="P8" s="23">
        <f>P4-P7</f>
        <v>-31.476</v>
      </c>
      <c r="Q8" s="23">
        <f>Q4-Q7</f>
        <v>-26.352000000000004</v>
      </c>
      <c r="R8" s="23">
        <f>R4-R7</f>
        <v>-24.810000000000002</v>
      </c>
    </row>
    <row r="9">
      <c r="A9" s="19" t="inlineStr">
        <is>
          <t>Interest &amp; Other</t>
        </is>
      </c>
      <c r="B9" s="23" t="n">
        <v>-28.89</v>
      </c>
      <c r="C9" s="23" t="n">
        <v>29.044</v>
      </c>
      <c r="D9" s="23" t="n">
        <v>-7.727</v>
      </c>
      <c r="E9" s="23" t="n">
        <v>1.766</v>
      </c>
      <c r="F9" s="23" t="n">
        <v>10.697</v>
      </c>
      <c r="G9" s="23" t="n">
        <v>-1.685</v>
      </c>
      <c r="H9" s="23" t="n">
        <v>-2.302</v>
      </c>
      <c r="I9" s="23" t="n">
        <v>12.134</v>
      </c>
      <c r="J9" s="23" t="n">
        <v>7.044</v>
      </c>
      <c r="K9" s="23" t="n">
        <v>-15.065</v>
      </c>
      <c r="L9" s="23" t="n">
        <v>-1.94</v>
      </c>
      <c r="M9" s="23" t="n">
        <v>-1.27</v>
      </c>
      <c r="N9" s="23" t="n">
        <v>-0.167</v>
      </c>
      <c r="O9" s="23" t="n">
        <v>-0.638</v>
      </c>
      <c r="P9" s="23" t="n">
        <v>-0.89</v>
      </c>
      <c r="Q9" s="23" t="n">
        <v>-0.5679999999999999</v>
      </c>
      <c r="R9" s="23" t="n">
        <v>-0.601</v>
      </c>
    </row>
    <row r="10">
      <c r="A10" s="2" t="inlineStr">
        <is>
          <t>Pretax</t>
        </is>
      </c>
      <c r="B10" s="23">
        <f>B8+B9</f>
        <v>-40.911</v>
      </c>
      <c r="C10" s="23">
        <f>C8+C9</f>
        <v>10.483</v>
      </c>
      <c r="D10" s="23">
        <f>D8+D9</f>
        <v>-25.713</v>
      </c>
      <c r="E10" s="23">
        <f>E8+E9</f>
        <v>-15.476999999999999</v>
      </c>
      <c r="F10" s="23">
        <f>F8+F9</f>
        <v>-9.171</v>
      </c>
      <c r="G10" s="23">
        <f>G8+G9</f>
        <v>-27.353</v>
      </c>
      <c r="H10" s="23">
        <f>H8+H9</f>
        <v>-34.692</v>
      </c>
      <c r="I10" s="23">
        <f>I8+I9</f>
        <v>-11.512</v>
      </c>
      <c r="J10" s="23">
        <f>J8+J9</f>
        <v>-14.363</v>
      </c>
      <c r="K10" s="23">
        <f>K8+K9</f>
        <v>-31.838</v>
      </c>
      <c r="L10" s="23">
        <f>L8+L9</f>
        <v>-22.135</v>
      </c>
      <c r="M10" s="23">
        <f>M8+M9</f>
        <v>-30.255</v>
      </c>
      <c r="N10" s="23">
        <f>N8+N9</f>
        <v>-36.361000000000004</v>
      </c>
      <c r="O10" s="23">
        <f>O8+O9</f>
        <v>-36.699999999999996</v>
      </c>
      <c r="P10" s="23">
        <f>P8+P9</f>
        <v>-32.366</v>
      </c>
      <c r="Q10" s="23">
        <f>Q8+Q9</f>
        <v>-26.920000000000005</v>
      </c>
      <c r="R10" s="23">
        <f>R8+R9</f>
        <v>-25.411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</row>
    <row r="12">
      <c r="A12" s="2" t="inlineStr">
        <is>
          <t>Net Income</t>
        </is>
      </c>
      <c r="B12" s="23" t="n">
        <v>-40.91</v>
      </c>
      <c r="C12" s="23" t="n">
        <v>10.483</v>
      </c>
      <c r="D12" s="23" t="n">
        <v>-25.712</v>
      </c>
      <c r="E12" s="23" t="n">
        <v>-15.477</v>
      </c>
      <c r="F12" s="23" t="n">
        <v>-9.170999999999999</v>
      </c>
      <c r="G12" s="23" t="n">
        <v>-27.353</v>
      </c>
      <c r="H12" s="23" t="n">
        <v>-34.692</v>
      </c>
      <c r="I12" s="23" t="n">
        <v>-11.512</v>
      </c>
      <c r="J12" s="23" t="n">
        <v>-14.363</v>
      </c>
      <c r="K12" s="23" t="n">
        <v>-31.837</v>
      </c>
      <c r="L12" s="23" t="n">
        <v>-22.135</v>
      </c>
      <c r="M12" s="23" t="n">
        <v>-30.255</v>
      </c>
      <c r="N12" s="23" t="n">
        <v>-36.361</v>
      </c>
      <c r="O12" s="23" t="n">
        <v>-36.701</v>
      </c>
      <c r="P12" s="23" t="n">
        <v>-32.366</v>
      </c>
      <c r="Q12" s="23" t="n">
        <v>-26.92</v>
      </c>
      <c r="R12" s="23" t="n">
        <v>-25.411</v>
      </c>
    </row>
    <row r="13">
      <c r="A13" s="2" t="inlineStr">
        <is>
          <t>Earnings per Share</t>
        </is>
      </c>
      <c r="B13" s="11">
        <f>IFERROR(B12/B14,0)</f>
        <v>-99.53771289537713</v>
      </c>
      <c r="C13" s="11">
        <f>IFERROR(C12/C14,0)</f>
        <v>16.853697749196144</v>
      </c>
      <c r="D13" s="11">
        <f>IFERROR(D12/D14,0)</f>
        <v>-40.04984423676012</v>
      </c>
      <c r="E13" s="11">
        <f>IFERROR(E12/E14,0)</f>
        <v>-19.97032258064516</v>
      </c>
      <c r="F13" s="11">
        <f>IFERROR(F12/F14,0)</f>
        <v>-98.61290322580645</v>
      </c>
      <c r="G13" s="11">
        <f>IFERROR(G12/G14,0)</f>
        <v>-290.98936170212767</v>
      </c>
      <c r="H13" s="11">
        <f>IFERROR(H12/H14,0)</f>
        <v>-262.8181818181818</v>
      </c>
      <c r="I13" s="11">
        <f>IFERROR(I12/I14,0)</f>
        <v>-59.03589743589744</v>
      </c>
      <c r="J13" s="11">
        <f>IFERROR(J12/J14,0)</f>
        <v>-45.45253164556962</v>
      </c>
      <c r="K13" s="11">
        <f>IFERROR(K12/K14,0)</f>
        <v>-46.81911764705882</v>
      </c>
      <c r="L13" s="11">
        <f>IFERROR(L12/L14,0)</f>
        <v>-17.750601443464316</v>
      </c>
      <c r="M13" s="11">
        <f>IFERROR(M12/M14,0)</f>
        <v>-20.581632653061224</v>
      </c>
      <c r="N13" s="11">
        <f>IFERROR(N12/N14,0)</f>
        <v>-22.334766584766584</v>
      </c>
      <c r="O13" s="11">
        <f>IFERROR(O12/O14,0)</f>
        <v>-21.263615295480882</v>
      </c>
      <c r="P13" s="11">
        <f>IFERROR(P12/P14,0)</f>
        <v>-18.19336706014615</v>
      </c>
      <c r="Q13" s="11">
        <f>IFERROR(Q12/Q14,0)</f>
        <v>-14.938956714761376</v>
      </c>
      <c r="R13" s="11">
        <f>IFERROR(R12/R14,0)</f>
        <v>-6.2650394477317555</v>
      </c>
    </row>
    <row r="14">
      <c r="A14" s="2" t="inlineStr">
        <is>
          <t>Shares</t>
        </is>
      </c>
      <c r="B14" s="23" t="n">
        <v>0.411</v>
      </c>
      <c r="C14" s="23" t="n">
        <v>0.622</v>
      </c>
      <c r="D14" s="23" t="n">
        <v>0.642</v>
      </c>
      <c r="E14" s="23" t="n">
        <v>0.775</v>
      </c>
      <c r="F14" s="23" t="n">
        <v>0.093</v>
      </c>
      <c r="G14" s="23" t="n">
        <v>0.094</v>
      </c>
      <c r="H14" s="23" t="n">
        <v>0.132</v>
      </c>
      <c r="I14" s="23" t="n">
        <v>0.195</v>
      </c>
      <c r="J14" s="23" t="n">
        <v>0.316</v>
      </c>
      <c r="K14" s="23" t="n">
        <v>0.68</v>
      </c>
      <c r="L14" s="23" t="n">
        <v>1.247</v>
      </c>
      <c r="M14" s="23" t="n">
        <v>1.47</v>
      </c>
      <c r="N14" s="23" t="n">
        <v>1.628</v>
      </c>
      <c r="O14" s="23" t="n">
        <v>1.726</v>
      </c>
      <c r="P14" s="23" t="n">
        <v>1.779</v>
      </c>
      <c r="Q14" s="23" t="n">
        <v>1.802</v>
      </c>
      <c r="R14" s="23" t="n">
        <v>4.056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-0.7332635983263598</v>
      </c>
      <c r="F16" s="15">
        <f>IFERROR(F2/E2-1,"")</f>
        <v>-0.37254901960784315</v>
      </c>
      <c r="G16" s="15">
        <f>IFERROR(G2/F2-1,"")</f>
        <v>0.6500000000000001</v>
      </c>
      <c r="H16" s="15">
        <f>IFERROR(H2/G2-1,"")</f>
        <v>-1.0</v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-18.813807531380753</v>
      </c>
      <c r="E18" s="15">
        <f>IFERROR(E8/E2,"")</f>
        <v>-67.61960784313725</v>
      </c>
      <c r="F18" s="15">
        <f>IFERROR(F8/F2,"")</f>
        <v>-124.17499999999998</v>
      </c>
      <c r="G18" s="15">
        <f>IFERROR(G8/G2,"")</f>
        <v>-97.22727272727273</v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2026-10-21T06:29:48Z</dcterms:modified>
  <cp:lastModifiedBy>Wang, Eric</cp:lastModifiedBy>
</cp:coreProperties>
</file>