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Inhibrx Biosciences Inc</t>
        </is>
      </c>
      <c r="C2" s="10" t="n"/>
    </row>
    <row r="3">
      <c r="B3" t="inlineStr">
        <is>
          <t>Price</t>
        </is>
      </c>
      <c r="C3" s="11">
        <f>INDEX([1]Pharma!$F$1:$F$1000,MATCH("INBX",[1]Pharma!$B$1:$B$1000,0))</f>
        <v>95.3</v>
      </c>
      <c r="F3" s="1" t="n"/>
    </row>
    <row r="4">
      <c r="B4" t="inlineStr">
        <is>
          <t>Shares</t>
        </is>
      </c>
      <c r="C4" s="21" t="n">
        <v>14.71766</v>
      </c>
      <c r="F4" s="1" t="n"/>
    </row>
    <row r="5">
      <c r="B5" t="inlineStr">
        <is>
          <t>Market Cap.</t>
        </is>
      </c>
      <c r="C5" s="13">
        <f>C3*C4</f>
        <v>1402.592998</v>
      </c>
      <c r="F5" s="1" t="n"/>
    </row>
    <row r="6"/>
    <row r="7">
      <c r="B7" t="inlineStr">
        <is>
          <t>Cash</t>
        </is>
      </c>
      <c r="C7" s="21" t="n">
        <v>133.344</v>
      </c>
    </row>
    <row r="8">
      <c r="B8" t="inlineStr">
        <is>
          <t>Debt</t>
        </is>
      </c>
      <c r="C8" s="21" t="n">
        <v>176.285</v>
      </c>
    </row>
    <row r="9">
      <c r="B9" t="inlineStr">
        <is>
          <t>Enterprise V.</t>
        </is>
      </c>
      <c r="C9" s="13">
        <f>C5-C7+C8</f>
        <v>1445.533998</v>
      </c>
    </row>
    <row r="10"/>
    <row r="11">
      <c r="B11" s="14" t="inlineStr">
        <is>
          <t>Net Cash / Share</t>
        </is>
      </c>
      <c r="C11" s="11">
        <f>(C7-C8)/C4</f>
        <v>-2.917651311417712</v>
      </c>
    </row>
    <row r="12">
      <c r="B12" s="14" t="inlineStr">
        <is>
          <t>Upside</t>
        </is>
      </c>
      <c r="C12" s="15">
        <f>IFERROR(C11/C3-1,"")</f>
        <v>-1.0306154387347084</v>
      </c>
    </row>
    <row r="13">
      <c r="B13" s="14" t="inlineStr">
        <is>
          <t>Cash / Share</t>
        </is>
      </c>
      <c r="C13" s="11">
        <f>IFERROR((C7-C8)/C4,"")</f>
        <v>-2.917651311417712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-131.889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1445.533998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1.8</v>
      </c>
      <c r="C2" s="23" t="n">
        <v>0.2</v>
      </c>
      <c r="D2" s="23" t="n">
        <v>1.3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1.8</v>
      </c>
      <c r="C4" s="23">
        <f>C2-C3</f>
        <v>0.2</v>
      </c>
      <c r="D4" s="23">
        <f>D2-D3</f>
        <v>1.3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191.64</v>
      </c>
      <c r="C5" s="23" t="n">
        <v>203.743</v>
      </c>
      <c r="D5" s="23" t="n">
        <v>113.028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29.381</v>
      </c>
      <c r="C6" s="23" t="n">
        <v>127.905</v>
      </c>
      <c r="D6" s="23" t="n">
        <v>23.297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221.021</v>
      </c>
      <c r="C7" s="23">
        <f>SUM(C5:C6)</f>
        <v>331.648</v>
      </c>
      <c r="D7" s="23">
        <f>SUM(D5:D6)</f>
        <v>136.32500000000002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-219.22099999999998</v>
      </c>
      <c r="C8" s="23">
        <f>C4-C7</f>
        <v>-331.44800000000004</v>
      </c>
      <c r="D8" s="23">
        <f>D4-D7</f>
        <v>-135.025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-22.137</v>
      </c>
      <c r="C9" s="23" t="n">
        <v>2019.022</v>
      </c>
      <c r="D9" s="23" t="n">
        <v>-5.028</v>
      </c>
    </row>
    <row r="10">
      <c r="A10" s="2" t="inlineStr">
        <is>
          <t>Pretax</t>
        </is>
      </c>
      <c r="B10" s="23">
        <f>B8+B9</f>
        <v>-241.35799999999998</v>
      </c>
      <c r="C10" s="23">
        <f>C8+C9</f>
        <v>1687.5739999999998</v>
      </c>
      <c r="D10" s="23">
        <f>D8+D9</f>
        <v>-140.053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0.003</v>
      </c>
      <c r="C11" s="23" t="n">
        <v>0.002</v>
      </c>
      <c r="D11" s="23" t="n">
        <v>0.002</v>
      </c>
    </row>
    <row r="12">
      <c r="A12" s="2" t="inlineStr">
        <is>
          <t>Net Income</t>
        </is>
      </c>
      <c r="B12" s="23" t="n">
        <v>-241.361</v>
      </c>
      <c r="C12" s="23" t="n">
        <v>1687.572</v>
      </c>
      <c r="D12" s="23" t="n">
        <v>-140.055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-20.48383264024442</v>
      </c>
      <c r="C13" s="11">
        <f>IFERROR(C12/C14,0)</f>
        <v>112.62493326214629</v>
      </c>
      <c r="D13" s="11">
        <f>IFERROR(D12/D14,0)</f>
        <v>-9.043391231355331</v>
      </c>
    </row>
    <row r="14">
      <c r="A14" s="2" t="inlineStr">
        <is>
          <t>Shares</t>
        </is>
      </c>
      <c r="B14" s="23" t="n">
        <v>11.783</v>
      </c>
      <c r="C14" s="23" t="n">
        <v>14.984</v>
      </c>
      <c r="D14" s="23" t="n">
        <v>15.487</v>
      </c>
    </row>
    <row r="15"/>
    <row r="16" customFormat="1" s="4">
      <c r="A16" s="3" t="inlineStr">
        <is>
          <t>Revenue Change</t>
        </is>
      </c>
      <c r="C16" s="15">
        <f>IFERROR(C2/B2-1,"")</f>
        <v>-0.8888888888888888</v>
      </c>
      <c r="D16" s="15">
        <f>IFERROR(D2/C2-1,"")</f>
        <v>5.5</v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-121.78944444444443</v>
      </c>
      <c r="C18" s="15">
        <f>IFERROR(C8/C2,"")</f>
        <v>-1657.24</v>
      </c>
      <c r="D18" s="15">
        <f>IFERROR(D8/D2,"")</f>
        <v>-103.86538461538461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2026-10-21T01:04:45Z</dcterms:modified>
  <cp:lastModifiedBy>Wang, Eric</cp:lastModifiedBy>
</cp:coreProperties>
</file>