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Aclaris Therapeutics, Inc.</t>
        </is>
      </c>
      <c r="C2" s="10" t="n"/>
    </row>
    <row r="3">
      <c r="B3" t="inlineStr">
        <is>
          <t>Price</t>
        </is>
      </c>
      <c r="C3" s="11">
        <f>INDEX([1]Pharma!$F$1:$F$1000,MATCH("ACRS",[1]Pharma!$B$1:$B$1000,0))</f>
        <v>3.48</v>
      </c>
      <c r="F3" s="1" t="n"/>
    </row>
    <row r="4">
      <c r="B4" t="inlineStr">
        <is>
          <t>Shares</t>
        </is>
      </c>
      <c r="C4" s="21" t="n">
        <v>147.198893</v>
      </c>
      <c r="F4" s="1" t="n"/>
    </row>
    <row r="5">
      <c r="B5" t="inlineStr">
        <is>
          <t>Market Cap.</t>
        </is>
      </c>
      <c r="C5" s="13">
        <f>C3*C4</f>
        <v>512.25214764</v>
      </c>
      <c r="F5" s="1" t="n"/>
    </row>
    <row r="6"/>
    <row r="7">
      <c r="B7" t="inlineStr">
        <is>
          <t>Cash</t>
        </is>
      </c>
      <c r="C7" s="21" t="n">
        <v>170.6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341.65214763999995</v>
      </c>
    </row>
    <row r="10"/>
    <row r="11">
      <c r="B11" s="14" t="inlineStr">
        <is>
          <t>rNPV / Share</t>
        </is>
      </c>
      <c r="C11" s="11">
        <f>NPV!B27</f>
        <v>3.4738683419320964</v>
      </c>
    </row>
    <row r="12">
      <c r="B12" s="14" t="inlineStr">
        <is>
          <t>Upside</t>
        </is>
      </c>
      <c r="C12" s="15">
        <f>IFERROR(C11/C3-1,"")</f>
        <v>-0.0017619707091677261</v>
      </c>
    </row>
    <row r="13">
      <c r="B13" s="14" t="inlineStr">
        <is>
          <t>Cash / Share</t>
        </is>
      </c>
      <c r="C13" s="11">
        <f>IFERROR((C7-C8)/C4,"")</f>
        <v>1.158976107245589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-62.059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2.7489969222836335</v>
      </c>
    </row>
    <row r="19">
      <c r="B19" s="14" t="inlineStr">
        <is>
          <t>Implied Pipeline Value</t>
        </is>
      </c>
      <c r="C19" s="13">
        <f>C9</f>
        <v>341.65214763999995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2013</v>
      </c>
      <c r="C1" s="17" t="n">
        <v>2014</v>
      </c>
      <c r="D1" s="17" t="n">
        <v>2015</v>
      </c>
      <c r="E1" s="17" t="n">
        <v>2016</v>
      </c>
      <c r="F1" s="17" t="n">
        <v>2017</v>
      </c>
      <c r="G1" s="17" t="n">
        <v>2018</v>
      </c>
      <c r="H1" s="17" t="n">
        <v>2019</v>
      </c>
      <c r="I1" s="17" t="n">
        <v>2020</v>
      </c>
      <c r="J1" s="17" t="n">
        <v>2021</v>
      </c>
      <c r="K1" s="17" t="n">
        <v>2022</v>
      </c>
      <c r="L1" s="17" t="n">
        <v>2023</v>
      </c>
      <c r="M1" s="17" t="n">
        <v>2024</v>
      </c>
      <c r="N1" s="17" t="n">
        <v>2025</v>
      </c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1.683</v>
      </c>
      <c r="G2" s="23" t="n">
        <v>6.151</v>
      </c>
      <c r="H2" s="23" t="n">
        <v>4.227</v>
      </c>
      <c r="I2" s="23" t="n">
        <v>6.482</v>
      </c>
      <c r="J2" s="23" t="n">
        <v>6.761</v>
      </c>
      <c r="K2" s="23" t="n">
        <v>29.752</v>
      </c>
      <c r="L2" s="23" t="n">
        <v>31.249</v>
      </c>
      <c r="M2" s="23" t="n">
        <v>18.72</v>
      </c>
      <c r="N2" s="23" t="n">
        <v>7.826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1.207</v>
      </c>
      <c r="G3" s="23" t="n">
        <v>4.329</v>
      </c>
      <c r="H3" s="23" t="n">
        <v>4.055</v>
      </c>
      <c r="I3" s="23" t="n">
        <v>5.133</v>
      </c>
      <c r="J3" s="23" t="n">
        <v>4.713</v>
      </c>
      <c r="K3" s="23" t="n">
        <v>4.023</v>
      </c>
      <c r="L3" s="23" t="n">
        <v>3.423</v>
      </c>
      <c r="M3" s="23" t="n">
        <v>2.792</v>
      </c>
      <c r="N3" s="23" t="n">
        <v>2.091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0.476</v>
      </c>
      <c r="G4" s="23">
        <f>G2-G3</f>
        <v>1.822</v>
      </c>
      <c r="H4" s="23">
        <f>H2-H3</f>
        <v>0.1720000000000006</v>
      </c>
      <c r="I4" s="23">
        <f>I2-I3</f>
        <v>1.3490000000000002</v>
      </c>
      <c r="J4" s="23">
        <f>J2-J3</f>
        <v>2.048</v>
      </c>
      <c r="K4" s="23">
        <f>K2-K3</f>
        <v>25.729</v>
      </c>
      <c r="L4" s="23">
        <f>L2-L3</f>
        <v>27.826</v>
      </c>
      <c r="M4" s="23">
        <f>M2-M3</f>
        <v>15.927999999999999</v>
      </c>
      <c r="N4" s="23">
        <f>N2-N3</f>
        <v>5.734999999999999</v>
      </c>
    </row>
    <row r="5">
      <c r="A5" s="2" t="inlineStr">
        <is>
          <t>Research &amp; Dev.</t>
        </is>
      </c>
      <c r="B5" s="23" t="n">
        <v>3.488</v>
      </c>
      <c r="C5" s="23" t="n">
        <v>6.507</v>
      </c>
      <c r="D5" s="23" t="n">
        <v>15.339</v>
      </c>
      <c r="E5" s="23" t="n">
        <v>33.476</v>
      </c>
      <c r="F5" s="23" t="n">
        <v>35.804</v>
      </c>
      <c r="G5" s="23" t="n">
        <v>60.841</v>
      </c>
      <c r="H5" s="23" t="n">
        <v>64.16500000000001</v>
      </c>
      <c r="I5" s="23" t="n">
        <v>29.338</v>
      </c>
      <c r="J5" s="23" t="n">
        <v>43.813</v>
      </c>
      <c r="K5" s="23" t="n">
        <v>77.813</v>
      </c>
      <c r="L5" s="23" t="n">
        <v>98.384</v>
      </c>
      <c r="M5" s="23" t="n">
        <v>33.586</v>
      </c>
      <c r="N5" s="23" t="n">
        <v>52.645</v>
      </c>
    </row>
    <row r="6">
      <c r="A6" s="19" t="inlineStr">
        <is>
          <t>SG&amp;A &amp; Other</t>
        </is>
      </c>
      <c r="B6" s="23" t="n">
        <v>1.769</v>
      </c>
      <c r="C6" s="23" t="n">
        <v>2.026</v>
      </c>
      <c r="D6" s="23" t="n">
        <v>5.328</v>
      </c>
      <c r="E6" s="23" t="n">
        <v>15.091</v>
      </c>
      <c r="F6" s="23" t="n">
        <v>19.033</v>
      </c>
      <c r="G6" s="23" t="n">
        <v>25.761</v>
      </c>
      <c r="H6" s="23" t="n">
        <v>47.065</v>
      </c>
      <c r="I6" s="23" t="n">
        <v>22.923</v>
      </c>
      <c r="J6" s="23" t="n">
        <v>47.958</v>
      </c>
      <c r="K6" s="23" t="n">
        <v>37.77</v>
      </c>
      <c r="L6" s="23" t="n">
        <v>26.799</v>
      </c>
      <c r="M6" s="23" t="n">
        <v>124.274</v>
      </c>
      <c r="N6" s="23" t="n">
        <v>29.465</v>
      </c>
    </row>
    <row r="7">
      <c r="A7" s="2" t="inlineStr">
        <is>
          <t>Operating Expense</t>
        </is>
      </c>
      <c r="B7" s="23">
        <f>SUM(B5:B6)</f>
        <v>5.257</v>
      </c>
      <c r="C7" s="23">
        <f>SUM(C5:C6)</f>
        <v>8.533</v>
      </c>
      <c r="D7" s="23">
        <f>SUM(D5:D6)</f>
        <v>20.667</v>
      </c>
      <c r="E7" s="23">
        <f>SUM(E5:E6)</f>
        <v>48.567</v>
      </c>
      <c r="F7" s="23">
        <f>SUM(F5:F6)</f>
        <v>54.837</v>
      </c>
      <c r="G7" s="23">
        <f>SUM(G5:G6)</f>
        <v>86.602</v>
      </c>
      <c r="H7" s="23">
        <f>SUM(H5:H6)</f>
        <v>111.23</v>
      </c>
      <c r="I7" s="23">
        <f>SUM(I5:I6)</f>
        <v>52.260999999999996</v>
      </c>
      <c r="J7" s="23">
        <f>SUM(J5:J6)</f>
        <v>91.771</v>
      </c>
      <c r="K7" s="23">
        <f>SUM(K5:K6)</f>
        <v>115.583</v>
      </c>
      <c r="L7" s="23">
        <f>SUM(L5:L6)</f>
        <v>125.18299999999999</v>
      </c>
      <c r="M7" s="23">
        <f>SUM(M5:M6)</f>
        <v>157.86</v>
      </c>
      <c r="N7" s="23">
        <f>SUM(N5:N6)</f>
        <v>82.11</v>
      </c>
    </row>
    <row r="8">
      <c r="A8" s="2" t="inlineStr">
        <is>
          <t>Operating Income</t>
        </is>
      </c>
      <c r="B8" s="23">
        <f>B4-B7</f>
        <v>-5.257</v>
      </c>
      <c r="C8" s="23">
        <f>C4-C7</f>
        <v>-8.533</v>
      </c>
      <c r="D8" s="23">
        <f>D4-D7</f>
        <v>-20.667</v>
      </c>
      <c r="E8" s="23">
        <f>E4-E7</f>
        <v>-48.567</v>
      </c>
      <c r="F8" s="23">
        <f>F4-F7</f>
        <v>-54.361000000000004</v>
      </c>
      <c r="G8" s="23">
        <f>G4-G7</f>
        <v>-84.78</v>
      </c>
      <c r="H8" s="23">
        <f>H4-H7</f>
        <v>-111.058</v>
      </c>
      <c r="I8" s="23">
        <f>I4-I7</f>
        <v>-50.91199999999999</v>
      </c>
      <c r="J8" s="23">
        <f>J4-J7</f>
        <v>-89.723</v>
      </c>
      <c r="K8" s="23">
        <f>K4-K7</f>
        <v>-89.854</v>
      </c>
      <c r="L8" s="23">
        <f>L4-L7</f>
        <v>-97.357</v>
      </c>
      <c r="M8" s="23">
        <f>M4-M7</f>
        <v>-141.93200000000002</v>
      </c>
      <c r="N8" s="23">
        <f>N4-N7</f>
        <v>-76.375</v>
      </c>
    </row>
    <row r="9">
      <c r="A9" s="19" t="inlineStr">
        <is>
          <t>Interest &amp; Other</t>
        </is>
      </c>
      <c r="B9" s="23" t="n">
        <v>0.021</v>
      </c>
      <c r="C9" s="23" t="n">
        <v>0.016</v>
      </c>
      <c r="D9" s="23" t="n">
        <v>0.104</v>
      </c>
      <c r="E9" s="23" t="n">
        <v>0.488</v>
      </c>
      <c r="F9" s="23" t="n">
        <v>-15.992</v>
      </c>
      <c r="G9" s="23" t="n">
        <v>-47.958</v>
      </c>
      <c r="H9" s="23" t="n">
        <v>-50.296</v>
      </c>
      <c r="I9" s="23" t="n">
        <v>-0.285</v>
      </c>
      <c r="J9" s="23" t="n">
        <v>-1.142</v>
      </c>
      <c r="K9" s="23" t="n">
        <v>2.946</v>
      </c>
      <c r="L9" s="23" t="n">
        <v>8.509</v>
      </c>
      <c r="M9" s="23" t="n">
        <v>9.867000000000001</v>
      </c>
      <c r="N9" s="23" t="n">
        <v>11.452</v>
      </c>
    </row>
    <row r="10">
      <c r="A10" s="2" t="inlineStr">
        <is>
          <t>Pretax</t>
        </is>
      </c>
      <c r="B10" s="23">
        <f>B8+B9</f>
        <v>-5.236</v>
      </c>
      <c r="C10" s="23">
        <f>C8+C9</f>
        <v>-8.517</v>
      </c>
      <c r="D10" s="23">
        <f>D8+D9</f>
        <v>-20.563000000000002</v>
      </c>
      <c r="E10" s="23">
        <f>E8+E9</f>
        <v>-48.079</v>
      </c>
      <c r="F10" s="23">
        <f>F8+F9</f>
        <v>-70.35300000000001</v>
      </c>
      <c r="G10" s="23">
        <f>G8+G9</f>
        <v>-132.738</v>
      </c>
      <c r="H10" s="23">
        <f>H8+H9</f>
        <v>-161.354</v>
      </c>
      <c r="I10" s="23">
        <f>I8+I9</f>
        <v>-51.19699999999999</v>
      </c>
      <c r="J10" s="23">
        <f>J8+J9</f>
        <v>-90.865</v>
      </c>
      <c r="K10" s="23">
        <f>K8+K9</f>
        <v>-86.908</v>
      </c>
      <c r="L10" s="23">
        <f>L8+L9</f>
        <v>-88.848</v>
      </c>
      <c r="M10" s="23">
        <f>M8+M9</f>
        <v>-132.06500000000003</v>
      </c>
      <c r="N10" s="23">
        <f>N8+N9</f>
        <v>-64.923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-1.83</v>
      </c>
      <c r="G11" s="23" t="n">
        <v>0</v>
      </c>
      <c r="H11" s="23" t="n">
        <v>0</v>
      </c>
      <c r="I11" s="23" t="n">
        <v>-0.182</v>
      </c>
      <c r="J11" s="23" t="n">
        <v>0</v>
      </c>
      <c r="K11" s="23" t="n">
        <v>0</v>
      </c>
      <c r="L11" s="23" t="n">
        <v>-0.367</v>
      </c>
      <c r="M11" s="23" t="n">
        <v>0</v>
      </c>
      <c r="N11" s="23" t="n">
        <v>0</v>
      </c>
    </row>
    <row r="12">
      <c r="A12" s="2" t="inlineStr">
        <is>
          <t>Net Income</t>
        </is>
      </c>
      <c r="B12" s="23" t="n">
        <v>-5.236</v>
      </c>
      <c r="C12" s="23" t="n">
        <v>-8.516999999999999</v>
      </c>
      <c r="D12" s="23" t="n">
        <v>-20.563</v>
      </c>
      <c r="E12" s="23" t="n">
        <v>-48.079</v>
      </c>
      <c r="F12" s="23" t="n">
        <v>-68.523</v>
      </c>
      <c r="G12" s="23" t="n">
        <v>-132.738</v>
      </c>
      <c r="H12" s="23" t="n">
        <v>-161.354</v>
      </c>
      <c r="I12" s="23" t="n">
        <v>-51.015</v>
      </c>
      <c r="J12" s="23" t="n">
        <v>-90.86499999999999</v>
      </c>
      <c r="K12" s="23" t="n">
        <v>-86.908</v>
      </c>
      <c r="L12" s="23" t="n">
        <v>-88.48099999999999</v>
      </c>
      <c r="M12" s="23" t="n">
        <v>-132.065</v>
      </c>
      <c r="N12" s="23" t="n">
        <v>-64.923</v>
      </c>
    </row>
    <row r="13">
      <c r="A13" s="2" t="inlineStr">
        <is>
          <t>Earnings per Share</t>
        </is>
      </c>
      <c r="B13" s="11">
        <f>IFERROR(B12/B14,0)</f>
        <v>-4.843663274745606</v>
      </c>
      <c r="C13" s="11">
        <f>IFERROR(C12/C14,0)</f>
        <v>-4.951744186046511</v>
      </c>
      <c r="D13" s="11">
        <f>IFERROR(D12/D14,0)</f>
        <v>-3.3671196987064023</v>
      </c>
      <c r="E13" s="11">
        <f>IFERROR(E12/E14,0)</f>
        <v>-2.245003735524841</v>
      </c>
      <c r="F13" s="11">
        <f>IFERROR(F12/F14,0)</f>
        <v>-2.438367375987474</v>
      </c>
      <c r="G13" s="11">
        <f>IFERROR(G12/G14,0)</f>
        <v>-4.033363719234275</v>
      </c>
      <c r="H13" s="11">
        <f>IFERROR(H12/H14,0)</f>
        <v>-3.904607492014326</v>
      </c>
      <c r="I13" s="11">
        <f>IFERROR(I12/I14,0)</f>
        <v>-1.199252450692306</v>
      </c>
      <c r="J13" s="11">
        <f>IFERROR(J12/J14,0)</f>
        <v>-1.6016816202781547</v>
      </c>
      <c r="K13" s="11">
        <f>IFERROR(K12/K14,0)</f>
        <v>-1.3326586315821756</v>
      </c>
      <c r="L13" s="11">
        <f>IFERROR(L12/L14,0)</f>
        <v>-1.2674726754429944</v>
      </c>
      <c r="M13" s="11">
        <f>IFERROR(M12/M14,0)</f>
        <v>-1.708539788090094</v>
      </c>
      <c r="N13" s="11">
        <f>IFERROR(N12/N14,0)</f>
        <v>-0.5297026067800759</v>
      </c>
    </row>
    <row r="14">
      <c r="A14" s="2" t="inlineStr">
        <is>
          <t>Shares</t>
        </is>
      </c>
      <c r="B14" s="23" t="n">
        <v>1.081</v>
      </c>
      <c r="C14" s="23" t="n">
        <v>1.72</v>
      </c>
      <c r="D14" s="23" t="n">
        <v>6.107</v>
      </c>
      <c r="E14" s="23" t="n">
        <v>21.416</v>
      </c>
      <c r="F14" s="23" t="n">
        <v>28.102</v>
      </c>
      <c r="G14" s="23" t="n">
        <v>32.91</v>
      </c>
      <c r="H14" s="23" t="n">
        <v>41.324</v>
      </c>
      <c r="I14" s="23" t="n">
        <v>42.539</v>
      </c>
      <c r="J14" s="23" t="n">
        <v>56.731</v>
      </c>
      <c r="K14" s="23" t="n">
        <v>65.214</v>
      </c>
      <c r="L14" s="23" t="n">
        <v>69.809</v>
      </c>
      <c r="M14" s="23" t="n">
        <v>77.297</v>
      </c>
      <c r="N14" s="23" t="n">
        <v>122.565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>2.6547831253713605</v>
      </c>
      <c r="H16" s="15">
        <f>IFERROR(H2/G2-1,"")</f>
        <v>-0.3127946675337343</v>
      </c>
      <c r="I16" s="15">
        <f>IFERROR(I2/H2-1,"")</f>
        <v>0.533475277974923</v>
      </c>
      <c r="J16" s="15">
        <f>IFERROR(J2/I2-1,"")</f>
        <v>0.04304227090404189</v>
      </c>
      <c r="K16" s="15">
        <f>IFERROR(K2/J2-1,"")</f>
        <v>3.4005324656115956</v>
      </c>
      <c r="L16" s="15">
        <f>IFERROR(L2/K2-1,"")</f>
        <v>0.050315945146544694</v>
      </c>
      <c r="M16" s="15">
        <f>IFERROR(M2/L2-1,"")</f>
        <v>-0.40094083010656345</v>
      </c>
      <c r="N16" s="15">
        <f>IFERROR(N2/M2-1,"")</f>
        <v>-0.5819444444444444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>0.2828282828282828</v>
      </c>
      <c r="G17" s="15">
        <f>IFERROR(G4/G2,"")</f>
        <v>0.2962119980490977</v>
      </c>
      <c r="H17" s="15">
        <f>IFERROR(H4/H2,"")</f>
        <v>0.040690797255737064</v>
      </c>
      <c r="I17" s="15">
        <f>IFERROR(I4/I2,"")</f>
        <v>0.20811477938907746</v>
      </c>
      <c r="J17" s="15">
        <f>IFERROR(J4/J2,"")</f>
        <v>0.30291377015234433</v>
      </c>
      <c r="K17" s="15">
        <f>IFERROR(K4/K2,"")</f>
        <v>0.8647821995159989</v>
      </c>
      <c r="L17" s="15">
        <f>IFERROR(L4/L2,"")</f>
        <v>0.8904604947358316</v>
      </c>
      <c r="M17" s="15">
        <f>IFERROR(M4/M2,"")</f>
        <v>0.8508547008547008</v>
      </c>
      <c r="N17" s="15">
        <f>IFERROR(N4/N2,"")</f>
        <v>0.732813697929977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>-32.30005941770648</v>
      </c>
      <c r="G18" s="15">
        <f>IFERROR(G8/G2,"")</f>
        <v>-13.783124695171518</v>
      </c>
      <c r="H18" s="15">
        <f>IFERROR(H8/H2,"")</f>
        <v>-26.273480009462975</v>
      </c>
      <c r="I18" s="15">
        <f>IFERROR(I8/I2,"")</f>
        <v>-7.854365936439369</v>
      </c>
      <c r="J18" s="15">
        <f>IFERROR(J8/J2,"")</f>
        <v>-13.270670019227925</v>
      </c>
      <c r="K18" s="15">
        <f>IFERROR(K8/K2,"")</f>
        <v>-3.0200994891099757</v>
      </c>
      <c r="L18" s="15">
        <f>IFERROR(L8/L2,"")</f>
        <v>-3.1155236967582964</v>
      </c>
      <c r="M18" s="15">
        <f>IFERROR(M8/M2,"")</f>
        <v>-7.581837606837608</v>
      </c>
      <c r="N18" s="15">
        <f>IFERROR(N8/N2,"")</f>
        <v>-9.759136212624584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Aclaris Therapeutics,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0.19289999999999996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86.313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959.3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340.7495743601501</v>
      </c>
      <c r="C29" s="42">
        <f>NPV!B25</f>
        <v>511.3495743601501</v>
      </c>
      <c r="D29" s="43">
        <f>NPV!B27</f>
        <v>3.4738683419320964</v>
      </c>
      <c r="E29" s="44">
        <f>NPV!B29</f>
        <v>-0.0017619707091677261</v>
      </c>
    </row>
    <row r="30">
      <c r="A30" s="45" t="n">
        <v>1</v>
      </c>
      <c r="B30" s="46">
        <f t="dataTable" ref="B30:E32" r1="B4"/>
        <v>-0.5811802793121326</v>
      </c>
      <c r="C30" s="46">
        <v>170.01881972068787</v>
      </c>
      <c r="D30" s="47">
        <v>1.155027841959979</v>
      </c>
      <c r="E30" s="48">
        <v>-0.6680954477126497</v>
      </c>
    </row>
    <row r="31">
      <c r="A31" s="45" t="n">
        <v>2</v>
      </c>
      <c r="B31" s="46">
        <v>340.7495743601501</v>
      </c>
      <c r="C31" s="46">
        <v>511.3495743601501</v>
      </c>
      <c r="D31" s="47">
        <v>3.4738683419320964</v>
      </c>
      <c r="E31" s="48">
        <v>-0.0017619707091677261</v>
      </c>
    </row>
    <row r="32">
      <c r="A32" s="45" t="n">
        <v>3</v>
      </c>
      <c r="B32" s="46">
        <v>863.8581309485767</v>
      </c>
      <c r="C32" s="46">
        <v>1034.4581309485766</v>
      </c>
      <c r="D32" s="47">
        <v>7.027621674767463</v>
      </c>
      <c r="E32" s="48">
        <v>1.019431515737777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3.4738683419320964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0.7028620415907465</v>
      </c>
      <c r="C37" s="47">
        <v>1.3728005814021462</v>
      </c>
      <c r="D37" s="47">
        <v>2.007711749669834</v>
      </c>
      <c r="E37" s="47">
        <v>3.1583419221480242</v>
      </c>
      <c r="F37" s="47">
        <v>4.272257214358231</v>
      </c>
    </row>
    <row r="38">
      <c r="A38" s="50" t="n">
        <v>0.8</v>
      </c>
      <c r="B38" s="47">
        <v>1.1158148468959281</v>
      </c>
      <c r="C38" s="47">
        <v>1.977294158760935</v>
      </c>
      <c r="D38" s="47">
        <v>2.7509329311661825</v>
      </c>
      <c r="E38" s="47">
        <v>4.243543808936882</v>
      </c>
      <c r="F38" s="47">
        <v>5.704600666446143</v>
      </c>
    </row>
    <row r="39">
      <c r="A39" s="50" t="n">
        <v>1</v>
      </c>
      <c r="B39" s="47">
        <v>1.528767652201109</v>
      </c>
      <c r="C39" s="47">
        <v>2.529639918590841</v>
      </c>
      <c r="D39" s="47">
        <v>3.4738683419320964</v>
      </c>
      <c r="E39" s="47">
        <v>5.312534188095881</v>
      </c>
      <c r="F39" s="47">
        <v>7.121794137971243</v>
      </c>
    </row>
    <row r="40">
      <c r="A40" s="50" t="n">
        <v>1.2</v>
      </c>
      <c r="B40" s="47">
        <v>1.9164589769431373</v>
      </c>
      <c r="C40" s="47">
        <v>3.0700945991330286</v>
      </c>
      <c r="D40" s="47">
        <v>4.186116998094184</v>
      </c>
      <c r="E40" s="47">
        <v>6.373882988206041</v>
      </c>
      <c r="F40" s="47">
        <v>8.533561259613146</v>
      </c>
    </row>
    <row r="41">
      <c r="A41" s="50" t="n">
        <v>1.4</v>
      </c>
      <c r="B41" s="47">
        <v>2.277267193536262</v>
      </c>
      <c r="C41" s="47">
        <v>3.602179883455011</v>
      </c>
      <c r="D41" s="47">
        <v>4.892105320885811</v>
      </c>
      <c r="E41" s="47">
        <v>7.425703731280091</v>
      </c>
      <c r="F41" s="47">
        <v>9.937382450647878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Aclaris Therapeutics,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Atopic dermatitis</t>
        </is>
      </c>
      <c r="C4" s="14" t="inlineStr">
        <is>
          <t>ATI-2138, ATI-045</t>
        </is>
      </c>
      <c r="D4" s="14" t="inlineStr">
        <is>
          <t>Phase 2</t>
        </is>
      </c>
      <c r="E4" s="14" t="inlineStr">
        <is>
          <t>Autoimmune / area</t>
        </is>
      </c>
      <c r="F4" s="14" t="inlineStr">
        <is>
          <t>Owned</t>
        </is>
      </c>
      <c r="G4" s="40" t="n">
        <v>3000</v>
      </c>
      <c r="H4" s="27" t="n">
        <v>0.1929</v>
      </c>
      <c r="I4" s="26" t="n">
        <v>2031</v>
      </c>
      <c r="J4" s="39">
        <f>I4+Assumptions!$B$25</f>
        <v>2043.0</v>
      </c>
      <c r="K4" s="53">
        <f>Assumptions!$E$13</f>
        <v>0.4</v>
      </c>
      <c r="L4" s="23">
        <f>K4*SUMPRODUCT(M4:AF4,NPV!$C$15:$V$15)</f>
        <v>657.4280762551631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57.87</v>
      </c>
      <c r="S4" s="23">
        <f>IF(S$3&lt;$I4,0,$G4*Assumptions!$E$11*INDEX(Assumptions!$B$24:$G$24,MIN(6,S$3-$I4+1))*IF(S$3&gt;$J4,(1-Assumptions!$B$26)^(S$3-$J4),1)*IF($H4&gt;=1,1,MIN(0.97,$H4*Assumptions!$E$12)))</f>
        <v>144.67499999999998</v>
      </c>
      <c r="T4" s="23">
        <f>IF(T$3&lt;$I4,0,$G4*Assumptions!$E$11*INDEX(Assumptions!$B$24:$G$24,MIN(6,T$3-$I4+1))*IF(T$3&gt;$J4,(1-Assumptions!$B$26)^(T$3-$J4),1)*IF($H4&gt;=1,1,MIN(0.97,$H4*Assumptions!$E$12)))</f>
        <v>260.41499999999996</v>
      </c>
      <c r="U4" s="23">
        <f>IF(U$3&lt;$I4,0,$G4*Assumptions!$E$11*INDEX(Assumptions!$B$24:$G$24,MIN(6,U$3-$I4+1))*IF(U$3&gt;$J4,(1-Assumptions!$B$26)^(U$3-$J4),1)*IF($H4&gt;=1,1,MIN(0.97,$H4*Assumptions!$E$12)))</f>
        <v>376.155</v>
      </c>
      <c r="V4" s="23">
        <f>IF(V$3&lt;$I4,0,$G4*Assumptions!$E$11*INDEX(Assumptions!$B$24:$G$24,MIN(6,V$3-$I4+1))*IF(V$3&gt;$J4,(1-Assumptions!$B$26)^(V$3-$J4),1)*IF($H4&gt;=1,1,MIN(0.97,$H4*Assumptions!$E$12)))</f>
        <v>491.895</v>
      </c>
      <c r="W4" s="23">
        <f>IF(W$3&lt;$I4,0,$G4*Assumptions!$E$11*INDEX(Assumptions!$B$24:$G$24,MIN(6,W$3-$I4+1))*IF(W$3&gt;$J4,(1-Assumptions!$B$26)^(W$3-$J4),1)*IF($H4&gt;=1,1,MIN(0.97,$H4*Assumptions!$E$12)))</f>
        <v>578.6999999999999</v>
      </c>
      <c r="X4" s="23">
        <f>IF(X$3&lt;$I4,0,$G4*Assumptions!$E$11*INDEX(Assumptions!$B$24:$G$24,MIN(6,X$3-$I4+1))*IF(X$3&gt;$J4,(1-Assumptions!$B$26)^(X$3-$J4),1)*IF($H4&gt;=1,1,MIN(0.97,$H4*Assumptions!$E$12)))</f>
        <v>578.6999999999999</v>
      </c>
      <c r="Y4" s="23">
        <f>IF(Y$3&lt;$I4,0,$G4*Assumptions!$E$11*INDEX(Assumptions!$B$24:$G$24,MIN(6,Y$3-$I4+1))*IF(Y$3&gt;$J4,(1-Assumptions!$B$26)^(Y$3-$J4),1)*IF($H4&gt;=1,1,MIN(0.97,$H4*Assumptions!$E$12)))</f>
        <v>578.6999999999999</v>
      </c>
      <c r="Z4" s="23">
        <f>IF(Z$3&lt;$I4,0,$G4*Assumptions!$E$11*INDEX(Assumptions!$B$24:$G$24,MIN(6,Z$3-$I4+1))*IF(Z$3&gt;$J4,(1-Assumptions!$B$26)^(Z$3-$J4),1)*IF($H4&gt;=1,1,MIN(0.97,$H4*Assumptions!$E$12)))</f>
        <v>578.6999999999999</v>
      </c>
      <c r="AA4" s="23">
        <f>IF(AA$3&lt;$I4,0,$G4*Assumptions!$E$11*INDEX(Assumptions!$B$24:$G$24,MIN(6,AA$3-$I4+1))*IF(AA$3&gt;$J4,(1-Assumptions!$B$26)^(AA$3-$J4),1)*IF($H4&gt;=1,1,MIN(0.97,$H4*Assumptions!$E$12)))</f>
        <v>578.6999999999999</v>
      </c>
      <c r="AB4" s="23">
        <f>IF(AB$3&lt;$I4,0,$G4*Assumptions!$E$11*INDEX(Assumptions!$B$24:$G$24,MIN(6,AB$3-$I4+1))*IF(AB$3&gt;$J4,(1-Assumptions!$B$26)^(AB$3-$J4),1)*IF($H4&gt;=1,1,MIN(0.97,$H4*Assumptions!$E$12)))</f>
        <v>578.6999999999999</v>
      </c>
      <c r="AC4" s="23">
        <f>IF(AC$3&lt;$I4,0,$G4*Assumptions!$E$11*INDEX(Assumptions!$B$24:$G$24,MIN(6,AC$3-$I4+1))*IF(AC$3&gt;$J4,(1-Assumptions!$B$26)^(AC$3-$J4),1)*IF($H4&gt;=1,1,MIN(0.97,$H4*Assumptions!$E$12)))</f>
        <v>578.6999999999999</v>
      </c>
      <c r="AD4" s="23">
        <f>IF(AD$3&lt;$I4,0,$G4*Assumptions!$E$11*INDEX(Assumptions!$B$24:$G$24,MIN(6,AD$3-$I4+1))*IF(AD$3&gt;$J4,(1-Assumptions!$B$26)^(AD$3-$J4),1)*IF($H4&gt;=1,1,MIN(0.97,$H4*Assumptions!$E$12)))</f>
        <v>578.6999999999999</v>
      </c>
      <c r="AE4" s="23">
        <f>IF(AE$3&lt;$I4,0,$G4*Assumptions!$E$11*INDEX(Assumptions!$B$24:$G$24,MIN(6,AE$3-$I4+1))*IF(AE$3&gt;$J4,(1-Assumptions!$B$26)^(AE$3-$J4),1)*IF($H4&gt;=1,1,MIN(0.97,$H4*Assumptions!$E$12)))</f>
        <v>289.34999999999997</v>
      </c>
      <c r="AF4" s="23">
        <f>IF(AF$3&lt;$I4,0,$G4*Assumptions!$E$11*INDEX(Assumptions!$B$24:$G$24,MIN(6,AF$3-$I4+1))*IF(AF$3&gt;$J4,(1-Assumptions!$B$26)^(AF$3-$J4),1)*IF($H4&gt;=1,1,MIN(0.97,$H4*Assumptions!$E$12)))</f>
        <v>144.67499999999998</v>
      </c>
      <c r="AG4" s="35">
        <f>IF(F4="Owned",1-IF(H4&gt;=1,1,MIN(0.97,H4*Assumptions!$E$12)),1)</f>
        <v>0.8071</v>
      </c>
    </row>
    <row r="5">
      <c r="B5" s="24" t="inlineStr">
        <is>
          <t>Risked revenue</t>
        </is>
      </c>
      <c r="L5" s="54">
        <f>SUM(L4:L4)</f>
        <v>657.4280762551631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57.87</v>
      </c>
      <c r="S5" s="54">
        <f>SUM(S4:S4)</f>
        <v>144.67499999999998</v>
      </c>
      <c r="T5" s="54">
        <f>SUM(T4:T4)</f>
        <v>260.41499999999996</v>
      </c>
      <c r="U5" s="54">
        <f>SUM(U4:U4)</f>
        <v>376.155</v>
      </c>
      <c r="V5" s="54">
        <f>SUM(V4:V4)</f>
        <v>491.895</v>
      </c>
      <c r="W5" s="54">
        <f>SUM(W4:W4)</f>
        <v>578.6999999999999</v>
      </c>
      <c r="X5" s="54">
        <f>SUM(X4:X4)</f>
        <v>578.6999999999999</v>
      </c>
      <c r="Y5" s="54">
        <f>SUM(Y4:Y4)</f>
        <v>578.6999999999999</v>
      </c>
      <c r="Z5" s="54">
        <f>SUM(Z4:Z4)</f>
        <v>578.6999999999999</v>
      </c>
      <c r="AA5" s="54">
        <f>SUM(AA4:AA4)</f>
        <v>578.6999999999999</v>
      </c>
      <c r="AB5" s="54">
        <f>SUM(AB4:AB4)</f>
        <v>578.6999999999999</v>
      </c>
      <c r="AC5" s="54">
        <f>SUM(AC4:AC4)</f>
        <v>578.6999999999999</v>
      </c>
      <c r="AD5" s="54">
        <f>SUM(AD4:AD4)</f>
        <v>578.6999999999999</v>
      </c>
      <c r="AE5" s="54">
        <f>SUM(AE4:AE4)</f>
        <v>289.34999999999997</v>
      </c>
      <c r="AF5" s="54">
        <f>SUM(AF4:AF4)</f>
        <v>144.67499999999998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23.148</v>
      </c>
      <c r="S6" s="55">
        <f>SUMPRODUCT(S4:S4,$K$4:$K$4)</f>
        <v>57.87</v>
      </c>
      <c r="T6" s="55">
        <f>SUMPRODUCT(T4:T4,$K$4:$K$4)</f>
        <v>104.166</v>
      </c>
      <c r="U6" s="55">
        <f>SUMPRODUCT(U4:U4,$K$4:$K$4)</f>
        <v>150.462</v>
      </c>
      <c r="V6" s="55">
        <f>SUMPRODUCT(V4:V4,$K$4:$K$4)</f>
        <v>196.758</v>
      </c>
      <c r="W6" s="55">
        <f>SUMPRODUCT(W4:W4,$K$4:$K$4)</f>
        <v>231.48</v>
      </c>
      <c r="X6" s="55">
        <f>SUMPRODUCT(X4:X4,$K$4:$K$4)</f>
        <v>231.48</v>
      </c>
      <c r="Y6" s="55">
        <f>SUMPRODUCT(Y4:Y4,$K$4:$K$4)</f>
        <v>231.48</v>
      </c>
      <c r="Z6" s="55">
        <f>SUMPRODUCT(Z4:Z4,$K$4:$K$4)</f>
        <v>231.48</v>
      </c>
      <c r="AA6" s="55">
        <f>SUMPRODUCT(AA4:AA4,$K$4:$K$4)</f>
        <v>231.48</v>
      </c>
      <c r="AB6" s="55">
        <f>SUMPRODUCT(AB4:AB4,$K$4:$K$4)</f>
        <v>231.48</v>
      </c>
      <c r="AC6" s="55">
        <f>SUMPRODUCT(AC4:AC4,$K$4:$K$4)</f>
        <v>231.48</v>
      </c>
      <c r="AD6" s="55">
        <f>SUMPRODUCT(AD4:AD4,$K$4:$K$4)</f>
        <v>231.48</v>
      </c>
      <c r="AE6" s="55">
        <f>SUMPRODUCT(AE4:AE4,$K$4:$K$4)</f>
        <v>115.74</v>
      </c>
      <c r="AF6" s="55">
        <f>SUMPRODUCT(AF4:AF4,$K$4:$K$4)</f>
        <v>57.87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Aclaris Therapeutics,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57.87</v>
      </c>
      <c r="I4" s="57">
        <f>Pipeline!S5</f>
        <v>144.67499999999998</v>
      </c>
      <c r="J4" s="57">
        <f>Pipeline!T5</f>
        <v>260.41499999999996</v>
      </c>
      <c r="K4" s="57">
        <f>Pipeline!U5</f>
        <v>376.155</v>
      </c>
      <c r="L4" s="57">
        <f>Pipeline!V5</f>
        <v>491.895</v>
      </c>
      <c r="M4" s="57">
        <f>Pipeline!W5</f>
        <v>578.6999999999999</v>
      </c>
      <c r="N4" s="57">
        <f>Pipeline!X5</f>
        <v>578.6999999999999</v>
      </c>
      <c r="O4" s="57">
        <f>Pipeline!Y5</f>
        <v>578.6999999999999</v>
      </c>
      <c r="P4" s="57">
        <f>Pipeline!Z5</f>
        <v>578.6999999999999</v>
      </c>
      <c r="Q4" s="57">
        <f>Pipeline!AA5</f>
        <v>578.6999999999999</v>
      </c>
      <c r="R4" s="57">
        <f>Pipeline!AB5</f>
        <v>578.6999999999999</v>
      </c>
      <c r="S4" s="57">
        <f>Pipeline!AC5</f>
        <v>578.6999999999999</v>
      </c>
      <c r="T4" s="57">
        <f>Pipeline!AD5</f>
        <v>578.6999999999999</v>
      </c>
      <c r="U4" s="57">
        <f>Pipeline!AE5</f>
        <v>289.34999999999997</v>
      </c>
      <c r="V4" s="57">
        <f>Pipeline!AF5</f>
        <v>144.67499999999998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23.148</v>
      </c>
      <c r="I5" s="57">
        <f>Pipeline!S6</f>
        <v>57.87</v>
      </c>
      <c r="J5" s="57">
        <f>Pipeline!T6</f>
        <v>104.166</v>
      </c>
      <c r="K5" s="57">
        <f>Pipeline!U6</f>
        <v>150.462</v>
      </c>
      <c r="L5" s="57">
        <f>Pipeline!V6</f>
        <v>196.758</v>
      </c>
      <c r="M5" s="57">
        <f>Pipeline!W6</f>
        <v>231.48</v>
      </c>
      <c r="N5" s="57">
        <f>Pipeline!X6</f>
        <v>231.48</v>
      </c>
      <c r="O5" s="57">
        <f>Pipeline!Y6</f>
        <v>231.48</v>
      </c>
      <c r="P5" s="57">
        <f>Pipeline!Z6</f>
        <v>231.48</v>
      </c>
      <c r="Q5" s="57">
        <f>Pipeline!AA6</f>
        <v>231.48</v>
      </c>
      <c r="R5" s="57">
        <f>Pipeline!AB6</f>
        <v>231.48</v>
      </c>
      <c r="S5" s="57">
        <f>Pipeline!AC6</f>
        <v>231.48</v>
      </c>
      <c r="T5" s="57">
        <f>Pipeline!AD6</f>
        <v>231.48</v>
      </c>
      <c r="U5" s="57">
        <f>Pipeline!AE6</f>
        <v>115.74</v>
      </c>
      <c r="V5" s="57">
        <f>Pipeline!AF6</f>
        <v>57.87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-86.313</v>
      </c>
      <c r="D6" s="23">
        <f>-IF(D3-2026&lt;Assumptions!$B$19,Assumptions!$B$18,Assumptions!$B$18*Assumptions!$B$20*Assumptions!$B$16)</f>
        <v>-86.313</v>
      </c>
      <c r="E6" s="23">
        <f>-IF(E3-2026&lt;Assumptions!$B$19,Assumptions!$B$18,Assumptions!$B$18*Assumptions!$B$20*Assumptions!$B$16)</f>
        <v>-86.313</v>
      </c>
      <c r="F6" s="23">
        <f>-IF(F3-2026&lt;Assumptions!$B$19,Assumptions!$B$18,Assumptions!$B$18*Assumptions!$B$20*Assumptions!$B$16)</f>
        <v>-86.313</v>
      </c>
      <c r="G6" s="23">
        <f>-IF(G3-2026&lt;Assumptions!$B$19,Assumptions!$B$18,Assumptions!$B$18*Assumptions!$B$20*Assumptions!$B$16)</f>
        <v>-4.994933309999999</v>
      </c>
      <c r="H6" s="23">
        <f>-IF(H3-2026&lt;Assumptions!$B$19,Assumptions!$B$18,Assumptions!$B$18*Assumptions!$B$20*Assumptions!$B$16)</f>
        <v>-4.994933309999999</v>
      </c>
      <c r="I6" s="23">
        <f>-IF(I3-2026&lt;Assumptions!$B$19,Assumptions!$B$18,Assumptions!$B$18*Assumptions!$B$20*Assumptions!$B$16)</f>
        <v>-4.994933309999999</v>
      </c>
      <c r="J6" s="23">
        <f>-IF(J3-2026&lt;Assumptions!$B$19,Assumptions!$B$18,Assumptions!$B$18*Assumptions!$B$20*Assumptions!$B$16)</f>
        <v>-4.994933309999999</v>
      </c>
      <c r="K6" s="23">
        <f>-IF(K3-2026&lt;Assumptions!$B$19,Assumptions!$B$18,Assumptions!$B$18*Assumptions!$B$20*Assumptions!$B$16)</f>
        <v>-4.994933309999999</v>
      </c>
      <c r="L6" s="23">
        <f>-IF(L3-2026&lt;Assumptions!$B$19,Assumptions!$B$18,Assumptions!$B$18*Assumptions!$B$20*Assumptions!$B$16)</f>
        <v>-4.994933309999999</v>
      </c>
      <c r="M6" s="23">
        <f>-IF(M3-2026&lt;Assumptions!$B$19,Assumptions!$B$18,Assumptions!$B$18*Assumptions!$B$20*Assumptions!$B$16)</f>
        <v>-4.994933309999999</v>
      </c>
      <c r="N6" s="23">
        <f>-IF(N3-2026&lt;Assumptions!$B$19,Assumptions!$B$18,Assumptions!$B$18*Assumptions!$B$20*Assumptions!$B$16)</f>
        <v>-4.994933309999999</v>
      </c>
      <c r="O6" s="23">
        <f>-IF(O3-2026&lt;Assumptions!$B$19,Assumptions!$B$18,Assumptions!$B$18*Assumptions!$B$20*Assumptions!$B$16)</f>
        <v>-4.994933309999999</v>
      </c>
      <c r="P6" s="23">
        <f>-IF(P3-2026&lt;Assumptions!$B$19,Assumptions!$B$18,Assumptions!$B$18*Assumptions!$B$20*Assumptions!$B$16)</f>
        <v>-4.994933309999999</v>
      </c>
      <c r="Q6" s="23">
        <f>-IF(Q3-2026&lt;Assumptions!$B$19,Assumptions!$B$18,Assumptions!$B$18*Assumptions!$B$20*Assumptions!$B$16)</f>
        <v>-4.994933309999999</v>
      </c>
      <c r="R6" s="23">
        <f>-IF(R3-2026&lt;Assumptions!$B$19,Assumptions!$B$18,Assumptions!$B$18*Assumptions!$B$20*Assumptions!$B$16)</f>
        <v>-4.994933309999999</v>
      </c>
      <c r="S6" s="23">
        <f>-IF(S3-2026&lt;Assumptions!$B$19,Assumptions!$B$18,Assumptions!$B$18*Assumptions!$B$20*Assumptions!$B$16)</f>
        <v>-4.994933309999999</v>
      </c>
      <c r="T6" s="23">
        <f>-IF(T3-2026&lt;Assumptions!$B$19,Assumptions!$B$18,Assumptions!$B$18*Assumptions!$B$20*Assumptions!$B$16)</f>
        <v>-4.994933309999999</v>
      </c>
      <c r="U6" s="23">
        <f>-IF(U3-2026&lt;Assumptions!$B$19,Assumptions!$B$18,Assumptions!$B$18*Assumptions!$B$20*Assumptions!$B$16)</f>
        <v>-4.994933309999999</v>
      </c>
      <c r="V6" s="23">
        <f>-IF(V3-2026&lt;Assumptions!$B$19,Assumptions!$B$18,Assumptions!$B$18*Assumptions!$B$20*Assumptions!$B$16)</f>
        <v>-4.994933309999999</v>
      </c>
    </row>
    <row r="7">
      <c r="A7" s="14" t="inlineStr">
        <is>
          <t>Pre-tax cash flow</t>
        </is>
      </c>
      <c r="C7" s="23">
        <f>C5+C6</f>
        <v>-86.313</v>
      </c>
      <c r="D7" s="23">
        <f>D5+D6</f>
        <v>-86.313</v>
      </c>
      <c r="E7" s="23">
        <f>E5+E6</f>
        <v>-86.313</v>
      </c>
      <c r="F7" s="23">
        <f>F5+F6</f>
        <v>-86.313</v>
      </c>
      <c r="G7" s="23">
        <f>G5+G6</f>
        <v>-4.994933309999999</v>
      </c>
      <c r="H7" s="23">
        <f>H5+H6</f>
        <v>18.153066690000003</v>
      </c>
      <c r="I7" s="23">
        <f>I5+I6</f>
        <v>52.87506669</v>
      </c>
      <c r="J7" s="23">
        <f>J5+J6</f>
        <v>99.17106669</v>
      </c>
      <c r="K7" s="23">
        <f>K5+K6</f>
        <v>145.46706669</v>
      </c>
      <c r="L7" s="23">
        <f>L5+L6</f>
        <v>191.76306669000002</v>
      </c>
      <c r="M7" s="23">
        <f>M5+M6</f>
        <v>226.48506669</v>
      </c>
      <c r="N7" s="23">
        <f>N5+N6</f>
        <v>226.48506669</v>
      </c>
      <c r="O7" s="23">
        <f>O5+O6</f>
        <v>226.48506669</v>
      </c>
      <c r="P7" s="23">
        <f>P5+P6</f>
        <v>226.48506669</v>
      </c>
      <c r="Q7" s="23">
        <f>Q5+Q6</f>
        <v>226.48506669</v>
      </c>
      <c r="R7" s="23">
        <f>R5+R6</f>
        <v>226.48506669</v>
      </c>
      <c r="S7" s="23">
        <f>S5+S6</f>
        <v>226.48506669</v>
      </c>
      <c r="T7" s="23">
        <f>T5+T6</f>
        <v>226.48506669</v>
      </c>
      <c r="U7" s="23">
        <f>U5+U6</f>
        <v>110.74506669</v>
      </c>
      <c r="V7" s="23">
        <f>V5+V6</f>
        <v>52.87506669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18.153066690000003</v>
      </c>
      <c r="I8" s="23">
        <f>MIN(H17,MAX(0,I7))</f>
        <v>52.87506669</v>
      </c>
      <c r="J8" s="23">
        <f>MIN(I17,MAX(0,J7))</f>
        <v>99.17106669</v>
      </c>
      <c r="K8" s="23">
        <f>MIN(J17,MAX(0,K7))</f>
        <v>145.46706669</v>
      </c>
      <c r="L8" s="23">
        <f>MIN(K17,MAX(0,L7))</f>
        <v>191.76306669000002</v>
      </c>
      <c r="M8" s="23">
        <f>MIN(L17,MAX(0,M7))</f>
        <v>226.48506669</v>
      </c>
      <c r="N8" s="23">
        <f>MIN(M17,MAX(0,N7))</f>
        <v>226.48506669</v>
      </c>
      <c r="O8" s="23">
        <f>MIN(N17,MAX(0,O7))</f>
        <v>226.48506669</v>
      </c>
      <c r="P8" s="23">
        <f>MIN(O17,MAX(0,P7))</f>
        <v>122.66239979000022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103.82266689999977</v>
      </c>
      <c r="Q9" s="23">
        <f>MAX(0,Q7)-Q8</f>
        <v>226.48506669</v>
      </c>
      <c r="R9" s="23">
        <f>MAX(0,R7)-R8</f>
        <v>226.48506669</v>
      </c>
      <c r="S9" s="23">
        <f>MAX(0,S7)-S8</f>
        <v>226.48506669</v>
      </c>
      <c r="T9" s="23">
        <f>MAX(0,T7)-T8</f>
        <v>226.48506669</v>
      </c>
      <c r="U9" s="23">
        <f>MAX(0,U7)-U8</f>
        <v>110.74506669</v>
      </c>
      <c r="V9" s="23">
        <f>MAX(0,V7)-V8</f>
        <v>52.87506669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21.80276004899995</v>
      </c>
      <c r="Q10" s="23">
        <f>Q9*Assumptions!$E$15</f>
        <v>47.561864004899995</v>
      </c>
      <c r="R10" s="23">
        <f>R9*Assumptions!$E$15</f>
        <v>47.561864004899995</v>
      </c>
      <c r="S10" s="23">
        <f>S9*Assumptions!$E$15</f>
        <v>47.561864004899995</v>
      </c>
      <c r="T10" s="23">
        <f>T9*Assumptions!$E$15</f>
        <v>47.561864004899995</v>
      </c>
      <c r="U10" s="23">
        <f>U9*Assumptions!$E$15</f>
        <v>23.2564640049</v>
      </c>
      <c r="V10" s="23">
        <f>V9*Assumptions!$E$15</f>
        <v>11.103764004899999</v>
      </c>
    </row>
    <row r="11">
      <c r="A11" s="24" t="inlineStr">
        <is>
          <t>Free cash flow</t>
        </is>
      </c>
      <c r="C11" s="55">
        <f>C7-C10</f>
        <v>-86.313</v>
      </c>
      <c r="D11" s="55">
        <f>D7-D10</f>
        <v>-86.313</v>
      </c>
      <c r="E11" s="55">
        <f>E7-E10</f>
        <v>-86.313</v>
      </c>
      <c r="F11" s="55">
        <f>F7-F10</f>
        <v>-86.313</v>
      </c>
      <c r="G11" s="55">
        <f>G7-G10</f>
        <v>-4.994933309999999</v>
      </c>
      <c r="H11" s="55">
        <f>H7-H10</f>
        <v>18.153066690000003</v>
      </c>
      <c r="I11" s="55">
        <f>I7-I10</f>
        <v>52.87506669</v>
      </c>
      <c r="J11" s="55">
        <f>J7-J10</f>
        <v>99.17106669</v>
      </c>
      <c r="K11" s="55">
        <f>K7-K10</f>
        <v>145.46706669</v>
      </c>
      <c r="L11" s="55">
        <f>L7-L10</f>
        <v>191.76306669000002</v>
      </c>
      <c r="M11" s="55">
        <f>M7-M10</f>
        <v>226.48506669</v>
      </c>
      <c r="N11" s="55">
        <f>N7-N10</f>
        <v>226.48506669</v>
      </c>
      <c r="O11" s="55">
        <f>O7-O10</f>
        <v>226.48506669</v>
      </c>
      <c r="P11" s="55">
        <f>P7-P10</f>
        <v>204.68230664100005</v>
      </c>
      <c r="Q11" s="55">
        <f>Q7-Q10</f>
        <v>178.9232026851</v>
      </c>
      <c r="R11" s="55">
        <f>R7-R10</f>
        <v>178.9232026851</v>
      </c>
      <c r="S11" s="55">
        <f>S7-S10</f>
        <v>178.9232026851</v>
      </c>
      <c r="T11" s="55">
        <f>T7-T10</f>
        <v>178.9232026851</v>
      </c>
      <c r="U11" s="55">
        <f>U7-U10</f>
        <v>87.4886026851</v>
      </c>
      <c r="V11" s="55">
        <f>V7-V10</f>
        <v>41.7713026851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-42.28511407650246</v>
      </c>
      <c r="D16" s="55">
        <f>D11*D15</f>
        <v>-77.02937873820728</v>
      </c>
      <c r="E16" s="55">
        <f>E11*E15</f>
        <v>-68.77623101625649</v>
      </c>
      <c r="F16" s="55">
        <f>F11*F15</f>
        <v>-61.40734912165758</v>
      </c>
      <c r="G16" s="55">
        <f>G11*G15</f>
        <v>-3.172895797919931</v>
      </c>
      <c r="H16" s="55">
        <f>H11*H15</f>
        <v>10.295752545160695</v>
      </c>
      <c r="I16" s="55">
        <f>I11*I15</f>
        <v>26.775710158904523</v>
      </c>
      <c r="J16" s="55">
        <f>J11*J15</f>
        <v>44.83911497267451</v>
      </c>
      <c r="K16" s="55">
        <f>K11*K15</f>
        <v>58.72441595973083</v>
      </c>
      <c r="L16" s="55">
        <f>L11*L15</f>
        <v>69.11956056849694</v>
      </c>
      <c r="M16" s="55">
        <f>M11*M15</f>
        <v>72.88825473888382</v>
      </c>
      <c r="N16" s="55">
        <f>N11*N15</f>
        <v>65.0787988740034</v>
      </c>
      <c r="O16" s="55">
        <f>O11*O15</f>
        <v>58.10607042321731</v>
      </c>
      <c r="P16" s="55">
        <f>P11*P15</f>
        <v>46.88611127673851</v>
      </c>
      <c r="Q16" s="55">
        <f>Q11*Q15</f>
        <v>36.59422483605044</v>
      </c>
      <c r="R16" s="55">
        <f>R11*R15</f>
        <v>32.67341503218789</v>
      </c>
      <c r="S16" s="55">
        <f>S11*S15</f>
        <v>29.1726919930249</v>
      </c>
      <c r="T16" s="55">
        <f>T11*T15</f>
        <v>26.04704642234366</v>
      </c>
      <c r="U16" s="55">
        <f>U11*U15</f>
        <v>11.371696973530597</v>
      </c>
      <c r="V16" s="55">
        <f>V11*V15</f>
        <v>4.847678335745832</v>
      </c>
    </row>
    <row r="17">
      <c r="A17" s="14" t="inlineStr">
        <is>
          <t>Tax-loss carryforward, end of year</t>
        </is>
      </c>
      <c r="C17" s="23">
        <f>Assumptions!$B$21-C8+MAX(0,-C7)</f>
        <v>1045.613</v>
      </c>
      <c r="D17" s="23">
        <f>C17-D8+MAX(0,-D7)</f>
        <v>1131.9260000000002</v>
      </c>
      <c r="E17" s="23">
        <f>D17-E8+MAX(0,-E7)</f>
        <v>1218.2390000000003</v>
      </c>
      <c r="F17" s="23">
        <f>E17-F8+MAX(0,-F7)</f>
        <v>1304.5520000000004</v>
      </c>
      <c r="G17" s="23">
        <f>F17-G8+MAX(0,-G7)</f>
        <v>1309.5469333100004</v>
      </c>
      <c r="H17" s="23">
        <f>G17-H8+MAX(0,-H7)</f>
        <v>1291.3938666200004</v>
      </c>
      <c r="I17" s="23">
        <f>H17-I8+MAX(0,-I7)</f>
        <v>1238.5187999300003</v>
      </c>
      <c r="J17" s="23">
        <f>I17-J8+MAX(0,-J7)</f>
        <v>1139.3477332400003</v>
      </c>
      <c r="K17" s="23">
        <f>J17-K8+MAX(0,-K7)</f>
        <v>993.8806665500002</v>
      </c>
      <c r="L17" s="23">
        <f>K17-L8+MAX(0,-L7)</f>
        <v>802.1175998600002</v>
      </c>
      <c r="M17" s="23">
        <f>L17-M8+MAX(0,-M7)</f>
        <v>575.6325331700002</v>
      </c>
      <c r="N17" s="23">
        <f>M17-N8+MAX(0,-N7)</f>
        <v>349.1474664800002</v>
      </c>
      <c r="O17" s="23">
        <f>N17-O8+MAX(0,-O7)</f>
        <v>122.66239979000022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657.4280762551631</v>
      </c>
    </row>
    <row r="20">
      <c r="A20" s="14" t="inlineStr">
        <is>
          <t>PV of corporate burn</t>
        </is>
      </c>
      <c r="B20" s="23">
        <f>SUMPRODUCT(C6:V6,C15:V15)</f>
        <v>-274.2811320693693</v>
      </c>
    </row>
    <row r="21">
      <c r="A21" s="14" t="inlineStr">
        <is>
          <t>PV of taxes</t>
        </is>
      </c>
      <c r="B21" s="23">
        <f>-SUMPRODUCT(C10:V10,C15:V15)</f>
        <v>-42.39736982564376</v>
      </c>
    </row>
    <row r="22">
      <c r="A22" s="24" t="inlineStr">
        <is>
          <t>Pipeline rNPV (operations)</t>
        </is>
      </c>
      <c r="B22" s="54">
        <f>SUM(C16:V16)</f>
        <v>340.7495743601501</v>
      </c>
    </row>
    <row r="23">
      <c r="A23" s="14" t="inlineStr">
        <is>
          <t>Cash &amp; investments</t>
        </is>
      </c>
      <c r="B23" s="57">
        <f>Main!C7</f>
        <v>170.6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511.3495743601501</v>
      </c>
    </row>
    <row r="26">
      <c r="A26" s="14" t="inlineStr">
        <is>
          <t>Shares (mm)</t>
        </is>
      </c>
      <c r="B26" s="57">
        <f>Main!C4</f>
        <v>147.198893</v>
      </c>
    </row>
    <row r="27">
      <c r="A27" s="24" t="inlineStr">
        <is>
          <t>rNPV / share</t>
        </is>
      </c>
      <c r="B27" s="60">
        <f>B25/B26</f>
        <v>3.4738683419320964</v>
      </c>
    </row>
    <row r="28">
      <c r="A28" s="14" t="inlineStr">
        <is>
          <t>Price</t>
        </is>
      </c>
      <c r="B28" s="61">
        <f>Main!C3</f>
        <v>3.48</v>
      </c>
    </row>
    <row r="29">
      <c r="A29" s="14" t="inlineStr">
        <is>
          <t>Upside</t>
        </is>
      </c>
      <c r="B29" s="62">
        <f>B27/B28-1</f>
        <v>-0.0017619707091677261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2026-10-21T06:25:07Z</dcterms:modified>
  <cp:lastModifiedBy>Wang, Eric</cp:lastModifiedBy>
</cp:coreProperties>
</file>