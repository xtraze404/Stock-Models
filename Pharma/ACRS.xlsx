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Aclaris Therapeutics, Inc.</t>
        </is>
      </c>
      <c r="C2" s="10" t="n"/>
    </row>
    <row r="3">
      <c r="B3" t="inlineStr">
        <is>
          <t>Price</t>
        </is>
      </c>
      <c r="C3" s="11">
        <f>INDEX([1]Pharma!$F$1:$F$1000,MATCH("ACRS",[1]Pharma!$B$1:$B$1000,0))</f>
        <v>3.48</v>
      </c>
      <c r="F3" s="1" t="n"/>
    </row>
    <row r="4">
      <c r="B4" t="inlineStr">
        <is>
          <t>Shares</t>
        </is>
      </c>
      <c r="C4" s="21" t="n">
        <v>147.198893</v>
      </c>
      <c r="F4" s="1" t="n"/>
    </row>
    <row r="5">
      <c r="B5" t="inlineStr">
        <is>
          <t>Market Cap.</t>
        </is>
      </c>
      <c r="C5" s="13">
        <f>C3*C4</f>
        <v>512.25214764</v>
      </c>
      <c r="F5" s="1" t="n"/>
    </row>
    <row r="6"/>
    <row r="7">
      <c r="B7" t="inlineStr">
        <is>
          <t>Cash</t>
        </is>
      </c>
      <c r="C7" s="21" t="n">
        <v>170.6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341.65214763999995</v>
      </c>
    </row>
    <row r="10"/>
    <row r="11">
      <c r="B11" s="14" t="inlineStr">
        <is>
          <t>Net Cash / Share</t>
        </is>
      </c>
      <c r="C11" s="11">
        <f>(C7-C8)/C4</f>
        <v>1.158976107245589</v>
      </c>
    </row>
    <row r="12">
      <c r="B12" s="14" t="inlineStr">
        <is>
          <t>Upside</t>
        </is>
      </c>
      <c r="C12" s="15">
        <f>IFERROR(C11/C3-1,"")</f>
        <v>-0.6669608887225319</v>
      </c>
    </row>
    <row r="13">
      <c r="B13" s="14" t="inlineStr">
        <is>
          <t>Cash / Share</t>
        </is>
      </c>
      <c r="C13" s="11">
        <f>IFERROR((C7-C8)/C4,"")</f>
        <v>1.158976107245589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-62.059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2.7489969222836335</v>
      </c>
    </row>
    <row r="19">
      <c r="B19" s="14" t="inlineStr">
        <is>
          <t>Implied Pipeline Value</t>
        </is>
      </c>
      <c r="C19" s="13">
        <f>C9</f>
        <v>341.65214763999995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2013</v>
      </c>
      <c r="C1" s="17" t="n">
        <v>2014</v>
      </c>
      <c r="D1" s="17" t="n">
        <v>2015</v>
      </c>
      <c r="E1" s="17" t="n">
        <v>2016</v>
      </c>
      <c r="F1" s="17" t="n">
        <v>2017</v>
      </c>
      <c r="G1" s="17" t="n">
        <v>2018</v>
      </c>
      <c r="H1" s="17" t="n">
        <v>2019</v>
      </c>
      <c r="I1" s="17" t="n">
        <v>2020</v>
      </c>
      <c r="J1" s="17" t="n">
        <v>2021</v>
      </c>
      <c r="K1" s="17" t="n">
        <v>2022</v>
      </c>
      <c r="L1" s="17" t="n">
        <v>2023</v>
      </c>
      <c r="M1" s="17" t="n">
        <v>2024</v>
      </c>
      <c r="N1" s="17" t="n">
        <v>2025</v>
      </c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1.683</v>
      </c>
      <c r="G2" s="23" t="n">
        <v>6.151</v>
      </c>
      <c r="H2" s="23" t="n">
        <v>4.227</v>
      </c>
      <c r="I2" s="23" t="n">
        <v>6.482</v>
      </c>
      <c r="J2" s="23" t="n">
        <v>6.761</v>
      </c>
      <c r="K2" s="23" t="n">
        <v>29.752</v>
      </c>
      <c r="L2" s="23" t="n">
        <v>31.249</v>
      </c>
      <c r="M2" s="23" t="n">
        <v>18.72</v>
      </c>
      <c r="N2" s="23" t="n">
        <v>7.826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1.207</v>
      </c>
      <c r="G3" s="23" t="n">
        <v>4.329</v>
      </c>
      <c r="H3" s="23" t="n">
        <v>4.055</v>
      </c>
      <c r="I3" s="23" t="n">
        <v>5.133</v>
      </c>
      <c r="J3" s="23" t="n">
        <v>4.713</v>
      </c>
      <c r="K3" s="23" t="n">
        <v>4.023</v>
      </c>
      <c r="L3" s="23" t="n">
        <v>3.423</v>
      </c>
      <c r="M3" s="23" t="n">
        <v>2.792</v>
      </c>
      <c r="N3" s="23" t="n">
        <v>2.091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0.476</v>
      </c>
      <c r="G4" s="23">
        <f>G2-G3</f>
        <v>1.822</v>
      </c>
      <c r="H4" s="23">
        <f>H2-H3</f>
        <v>0.1720000000000006</v>
      </c>
      <c r="I4" s="23">
        <f>I2-I3</f>
        <v>1.3490000000000002</v>
      </c>
      <c r="J4" s="23">
        <f>J2-J3</f>
        <v>2.048</v>
      </c>
      <c r="K4" s="23">
        <f>K2-K3</f>
        <v>25.729</v>
      </c>
      <c r="L4" s="23">
        <f>L2-L3</f>
        <v>27.826</v>
      </c>
      <c r="M4" s="23">
        <f>M2-M3</f>
        <v>15.927999999999999</v>
      </c>
      <c r="N4" s="23">
        <f>N2-N3</f>
        <v>5.734999999999999</v>
      </c>
    </row>
    <row r="5">
      <c r="A5" s="2" t="inlineStr">
        <is>
          <t>Research &amp; Dev.</t>
        </is>
      </c>
      <c r="B5" s="23" t="n">
        <v>3.488</v>
      </c>
      <c r="C5" s="23" t="n">
        <v>6.507</v>
      </c>
      <c r="D5" s="23" t="n">
        <v>15.339</v>
      </c>
      <c r="E5" s="23" t="n">
        <v>33.476</v>
      </c>
      <c r="F5" s="23" t="n">
        <v>35.804</v>
      </c>
      <c r="G5" s="23" t="n">
        <v>60.841</v>
      </c>
      <c r="H5" s="23" t="n">
        <v>64.16500000000001</v>
      </c>
      <c r="I5" s="23" t="n">
        <v>29.338</v>
      </c>
      <c r="J5" s="23" t="n">
        <v>43.813</v>
      </c>
      <c r="K5" s="23" t="n">
        <v>77.813</v>
      </c>
      <c r="L5" s="23" t="n">
        <v>98.384</v>
      </c>
      <c r="M5" s="23" t="n">
        <v>33.586</v>
      </c>
      <c r="N5" s="23" t="n">
        <v>52.645</v>
      </c>
    </row>
    <row r="6">
      <c r="A6" s="19" t="inlineStr">
        <is>
          <t>SG&amp;A &amp; Other</t>
        </is>
      </c>
      <c r="B6" s="23" t="n">
        <v>1.769</v>
      </c>
      <c r="C6" s="23" t="n">
        <v>2.026</v>
      </c>
      <c r="D6" s="23" t="n">
        <v>5.328</v>
      </c>
      <c r="E6" s="23" t="n">
        <v>15.091</v>
      </c>
      <c r="F6" s="23" t="n">
        <v>19.033</v>
      </c>
      <c r="G6" s="23" t="n">
        <v>25.761</v>
      </c>
      <c r="H6" s="23" t="n">
        <v>47.065</v>
      </c>
      <c r="I6" s="23" t="n">
        <v>22.923</v>
      </c>
      <c r="J6" s="23" t="n">
        <v>47.958</v>
      </c>
      <c r="K6" s="23" t="n">
        <v>37.77</v>
      </c>
      <c r="L6" s="23" t="n">
        <v>26.799</v>
      </c>
      <c r="M6" s="23" t="n">
        <v>124.274</v>
      </c>
      <c r="N6" s="23" t="n">
        <v>29.465</v>
      </c>
    </row>
    <row r="7">
      <c r="A7" s="2" t="inlineStr">
        <is>
          <t>Operating Expense</t>
        </is>
      </c>
      <c r="B7" s="23">
        <f>SUM(B5:B6)</f>
        <v>5.257</v>
      </c>
      <c r="C7" s="23">
        <f>SUM(C5:C6)</f>
        <v>8.533</v>
      </c>
      <c r="D7" s="23">
        <f>SUM(D5:D6)</f>
        <v>20.667</v>
      </c>
      <c r="E7" s="23">
        <f>SUM(E5:E6)</f>
        <v>48.567</v>
      </c>
      <c r="F7" s="23">
        <f>SUM(F5:F6)</f>
        <v>54.837</v>
      </c>
      <c r="G7" s="23">
        <f>SUM(G5:G6)</f>
        <v>86.602</v>
      </c>
      <c r="H7" s="23">
        <f>SUM(H5:H6)</f>
        <v>111.23</v>
      </c>
      <c r="I7" s="23">
        <f>SUM(I5:I6)</f>
        <v>52.260999999999996</v>
      </c>
      <c r="J7" s="23">
        <f>SUM(J5:J6)</f>
        <v>91.771</v>
      </c>
      <c r="K7" s="23">
        <f>SUM(K5:K6)</f>
        <v>115.583</v>
      </c>
      <c r="L7" s="23">
        <f>SUM(L5:L6)</f>
        <v>125.18299999999999</v>
      </c>
      <c r="M7" s="23">
        <f>SUM(M5:M6)</f>
        <v>157.86</v>
      </c>
      <c r="N7" s="23">
        <f>SUM(N5:N6)</f>
        <v>82.11</v>
      </c>
    </row>
    <row r="8">
      <c r="A8" s="2" t="inlineStr">
        <is>
          <t>Operating Income</t>
        </is>
      </c>
      <c r="B8" s="23">
        <f>B4-B7</f>
        <v>-5.257</v>
      </c>
      <c r="C8" s="23">
        <f>C4-C7</f>
        <v>-8.533</v>
      </c>
      <c r="D8" s="23">
        <f>D4-D7</f>
        <v>-20.667</v>
      </c>
      <c r="E8" s="23">
        <f>E4-E7</f>
        <v>-48.567</v>
      </c>
      <c r="F8" s="23">
        <f>F4-F7</f>
        <v>-54.361000000000004</v>
      </c>
      <c r="G8" s="23">
        <f>G4-G7</f>
        <v>-84.78</v>
      </c>
      <c r="H8" s="23">
        <f>H4-H7</f>
        <v>-111.058</v>
      </c>
      <c r="I8" s="23">
        <f>I4-I7</f>
        <v>-50.91199999999999</v>
      </c>
      <c r="J8" s="23">
        <f>J4-J7</f>
        <v>-89.723</v>
      </c>
      <c r="K8" s="23">
        <f>K4-K7</f>
        <v>-89.854</v>
      </c>
      <c r="L8" s="23">
        <f>L4-L7</f>
        <v>-97.357</v>
      </c>
      <c r="M8" s="23">
        <f>M4-M7</f>
        <v>-141.93200000000002</v>
      </c>
      <c r="N8" s="23">
        <f>N4-N7</f>
        <v>-76.375</v>
      </c>
    </row>
    <row r="9">
      <c r="A9" s="19" t="inlineStr">
        <is>
          <t>Interest &amp; Other</t>
        </is>
      </c>
      <c r="B9" s="23" t="n">
        <v>0.021</v>
      </c>
      <c r="C9" s="23" t="n">
        <v>0.016</v>
      </c>
      <c r="D9" s="23" t="n">
        <v>0.104</v>
      </c>
      <c r="E9" s="23" t="n">
        <v>0.488</v>
      </c>
      <c r="F9" s="23" t="n">
        <v>-15.992</v>
      </c>
      <c r="G9" s="23" t="n">
        <v>-47.958</v>
      </c>
      <c r="H9" s="23" t="n">
        <v>-50.296</v>
      </c>
      <c r="I9" s="23" t="n">
        <v>-0.285</v>
      </c>
      <c r="J9" s="23" t="n">
        <v>-1.142</v>
      </c>
      <c r="K9" s="23" t="n">
        <v>2.946</v>
      </c>
      <c r="L9" s="23" t="n">
        <v>8.509</v>
      </c>
      <c r="M9" s="23" t="n">
        <v>9.867000000000001</v>
      </c>
      <c r="N9" s="23" t="n">
        <v>11.452</v>
      </c>
    </row>
    <row r="10">
      <c r="A10" s="2" t="inlineStr">
        <is>
          <t>Pretax</t>
        </is>
      </c>
      <c r="B10" s="23">
        <f>B8+B9</f>
        <v>-5.236</v>
      </c>
      <c r="C10" s="23">
        <f>C8+C9</f>
        <v>-8.517</v>
      </c>
      <c r="D10" s="23">
        <f>D8+D9</f>
        <v>-20.563000000000002</v>
      </c>
      <c r="E10" s="23">
        <f>E8+E9</f>
        <v>-48.079</v>
      </c>
      <c r="F10" s="23">
        <f>F8+F9</f>
        <v>-70.35300000000001</v>
      </c>
      <c r="G10" s="23">
        <f>G8+G9</f>
        <v>-132.738</v>
      </c>
      <c r="H10" s="23">
        <f>H8+H9</f>
        <v>-161.354</v>
      </c>
      <c r="I10" s="23">
        <f>I8+I9</f>
        <v>-51.19699999999999</v>
      </c>
      <c r="J10" s="23">
        <f>J8+J9</f>
        <v>-90.865</v>
      </c>
      <c r="K10" s="23">
        <f>K8+K9</f>
        <v>-86.908</v>
      </c>
      <c r="L10" s="23">
        <f>L8+L9</f>
        <v>-88.848</v>
      </c>
      <c r="M10" s="23">
        <f>M8+M9</f>
        <v>-132.06500000000003</v>
      </c>
      <c r="N10" s="23">
        <f>N8+N9</f>
        <v>-64.923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-1.83</v>
      </c>
      <c r="G11" s="23" t="n">
        <v>0</v>
      </c>
      <c r="H11" s="23" t="n">
        <v>0</v>
      </c>
      <c r="I11" s="23" t="n">
        <v>-0.182</v>
      </c>
      <c r="J11" s="23" t="n">
        <v>0</v>
      </c>
      <c r="K11" s="23" t="n">
        <v>0</v>
      </c>
      <c r="L11" s="23" t="n">
        <v>-0.367</v>
      </c>
      <c r="M11" s="23" t="n">
        <v>0</v>
      </c>
      <c r="N11" s="23" t="n">
        <v>0</v>
      </c>
    </row>
    <row r="12">
      <c r="A12" s="2" t="inlineStr">
        <is>
          <t>Net Income</t>
        </is>
      </c>
      <c r="B12" s="23" t="n">
        <v>-5.236</v>
      </c>
      <c r="C12" s="23" t="n">
        <v>-8.516999999999999</v>
      </c>
      <c r="D12" s="23" t="n">
        <v>-20.563</v>
      </c>
      <c r="E12" s="23" t="n">
        <v>-48.079</v>
      </c>
      <c r="F12" s="23" t="n">
        <v>-68.523</v>
      </c>
      <c r="G12" s="23" t="n">
        <v>-132.738</v>
      </c>
      <c r="H12" s="23" t="n">
        <v>-161.354</v>
      </c>
      <c r="I12" s="23" t="n">
        <v>-51.015</v>
      </c>
      <c r="J12" s="23" t="n">
        <v>-90.86499999999999</v>
      </c>
      <c r="K12" s="23" t="n">
        <v>-86.908</v>
      </c>
      <c r="L12" s="23" t="n">
        <v>-88.48099999999999</v>
      </c>
      <c r="M12" s="23" t="n">
        <v>-132.065</v>
      </c>
      <c r="N12" s="23" t="n">
        <v>-64.923</v>
      </c>
    </row>
    <row r="13">
      <c r="A13" s="2" t="inlineStr">
        <is>
          <t>Earnings per Share</t>
        </is>
      </c>
      <c r="B13" s="11">
        <f>IFERROR(B12/B14,0)</f>
        <v>-4.843663274745606</v>
      </c>
      <c r="C13" s="11">
        <f>IFERROR(C12/C14,0)</f>
        <v>-4.951744186046511</v>
      </c>
      <c r="D13" s="11">
        <f>IFERROR(D12/D14,0)</f>
        <v>-3.3671196987064023</v>
      </c>
      <c r="E13" s="11">
        <f>IFERROR(E12/E14,0)</f>
        <v>-2.245003735524841</v>
      </c>
      <c r="F13" s="11">
        <f>IFERROR(F12/F14,0)</f>
        <v>-2.438367375987474</v>
      </c>
      <c r="G13" s="11">
        <f>IFERROR(G12/G14,0)</f>
        <v>-4.033363719234275</v>
      </c>
      <c r="H13" s="11">
        <f>IFERROR(H12/H14,0)</f>
        <v>-3.904607492014326</v>
      </c>
      <c r="I13" s="11">
        <f>IFERROR(I12/I14,0)</f>
        <v>-1.199252450692306</v>
      </c>
      <c r="J13" s="11">
        <f>IFERROR(J12/J14,0)</f>
        <v>-1.6016816202781547</v>
      </c>
      <c r="K13" s="11">
        <f>IFERROR(K12/K14,0)</f>
        <v>-1.3326586315821756</v>
      </c>
      <c r="L13" s="11">
        <f>IFERROR(L12/L14,0)</f>
        <v>-1.2674726754429944</v>
      </c>
      <c r="M13" s="11">
        <f>IFERROR(M12/M14,0)</f>
        <v>-1.708539788090094</v>
      </c>
      <c r="N13" s="11">
        <f>IFERROR(N12/N14,0)</f>
        <v>-0.5297026067800759</v>
      </c>
    </row>
    <row r="14">
      <c r="A14" s="2" t="inlineStr">
        <is>
          <t>Shares</t>
        </is>
      </c>
      <c r="B14" s="23" t="n">
        <v>1.081</v>
      </c>
      <c r="C14" s="23" t="n">
        <v>1.72</v>
      </c>
      <c r="D14" s="23" t="n">
        <v>6.107</v>
      </c>
      <c r="E14" s="23" t="n">
        <v>21.416</v>
      </c>
      <c r="F14" s="23" t="n">
        <v>28.102</v>
      </c>
      <c r="G14" s="23" t="n">
        <v>32.91</v>
      </c>
      <c r="H14" s="23" t="n">
        <v>41.324</v>
      </c>
      <c r="I14" s="23" t="n">
        <v>42.539</v>
      </c>
      <c r="J14" s="23" t="n">
        <v>56.731</v>
      </c>
      <c r="K14" s="23" t="n">
        <v>65.214</v>
      </c>
      <c r="L14" s="23" t="n">
        <v>69.809</v>
      </c>
      <c r="M14" s="23" t="n">
        <v>77.297</v>
      </c>
      <c r="N14" s="23" t="n">
        <v>122.565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2.6547831253713605</v>
      </c>
      <c r="H16" s="15">
        <f>IFERROR(H2/G2-1,"")</f>
        <v>-0.3127946675337343</v>
      </c>
      <c r="I16" s="15">
        <f>IFERROR(I2/H2-1,"")</f>
        <v>0.533475277974923</v>
      </c>
      <c r="J16" s="15">
        <f>IFERROR(J2/I2-1,"")</f>
        <v>0.04304227090404189</v>
      </c>
      <c r="K16" s="15">
        <f>IFERROR(K2/J2-1,"")</f>
        <v>3.4005324656115956</v>
      </c>
      <c r="L16" s="15">
        <f>IFERROR(L2/K2-1,"")</f>
        <v>0.050315945146544694</v>
      </c>
      <c r="M16" s="15">
        <f>IFERROR(M2/L2-1,"")</f>
        <v>-0.40094083010656345</v>
      </c>
      <c r="N16" s="15">
        <f>IFERROR(N2/M2-1,"")</f>
        <v>-0.5819444444444444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0.2828282828282828</v>
      </c>
      <c r="G17" s="15">
        <f>IFERROR(G4/G2,"")</f>
        <v>0.2962119980490977</v>
      </c>
      <c r="H17" s="15">
        <f>IFERROR(H4/H2,"")</f>
        <v>0.040690797255737064</v>
      </c>
      <c r="I17" s="15">
        <f>IFERROR(I4/I2,"")</f>
        <v>0.20811477938907746</v>
      </c>
      <c r="J17" s="15">
        <f>IFERROR(J4/J2,"")</f>
        <v>0.30291377015234433</v>
      </c>
      <c r="K17" s="15">
        <f>IFERROR(K4/K2,"")</f>
        <v>0.8647821995159989</v>
      </c>
      <c r="L17" s="15">
        <f>IFERROR(L4/L2,"")</f>
        <v>0.8904604947358316</v>
      </c>
      <c r="M17" s="15">
        <f>IFERROR(M4/M2,"")</f>
        <v>0.8508547008547008</v>
      </c>
      <c r="N17" s="15">
        <f>IFERROR(N4/N2,"")</f>
        <v>0.732813697929977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-32.30005941770648</v>
      </c>
      <c r="G18" s="15">
        <f>IFERROR(G8/G2,"")</f>
        <v>-13.783124695171518</v>
      </c>
      <c r="H18" s="15">
        <f>IFERROR(H8/H2,"")</f>
        <v>-26.273480009462975</v>
      </c>
      <c r="I18" s="15">
        <f>IFERROR(I8/I2,"")</f>
        <v>-7.854365936439369</v>
      </c>
      <c r="J18" s="15">
        <f>IFERROR(J8/J2,"")</f>
        <v>-13.270670019227925</v>
      </c>
      <c r="K18" s="15">
        <f>IFERROR(K8/K2,"")</f>
        <v>-3.0200994891099757</v>
      </c>
      <c r="L18" s="15">
        <f>IFERROR(L8/L2,"")</f>
        <v>-3.1155236967582964</v>
      </c>
      <c r="M18" s="15">
        <f>IFERROR(M8/M2,"")</f>
        <v>-7.581837606837608</v>
      </c>
      <c r="N18" s="15">
        <f>IFERROR(N8/N2,"")</f>
        <v>-9.759136212624584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2026-10-21T01:05:08Z</dcterms:modified>
  <cp:lastModifiedBy>Wang, Eric</cp:lastModifiedBy>
</cp:coreProperties>
</file>