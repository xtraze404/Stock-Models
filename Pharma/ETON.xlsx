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Eton Pharmaceuticals Inc</t>
        </is>
      </c>
      <c r="C2" s="10" t="n"/>
    </row>
    <row r="3">
      <c r="B3" t="inlineStr">
        <is>
          <t>Price</t>
        </is>
      </c>
      <c r="C3" s="11">
        <f>INDEX([1]Pharma!$F$1:$F$1000,MATCH("ETON",[1]Pharma!$B$1:$B$1000,0))</f>
        <v>50.19</v>
      </c>
      <c r="F3" s="1" t="n"/>
    </row>
    <row r="4">
      <c r="B4" t="inlineStr">
        <is>
          <t>Shares</t>
        </is>
      </c>
      <c r="C4" s="51" t="n">
        <v>28.583135</v>
      </c>
      <c r="F4" s="1" t="n"/>
    </row>
    <row r="5">
      <c r="B5" t="inlineStr">
        <is>
          <t>Market Cap.</t>
        </is>
      </c>
      <c r="C5" s="13">
        <f>C3*C4</f>
        <v>1434.5875456499998</v>
      </c>
      <c r="F5" s="1" t="n"/>
    </row>
    <row r="6"/>
    <row r="7">
      <c r="B7" t="inlineStr">
        <is>
          <t>Cash</t>
        </is>
      </c>
      <c r="C7" s="51" t="n">
        <v>26.845</v>
      </c>
    </row>
    <row r="8">
      <c r="B8" t="inlineStr">
        <is>
          <t>Debt</t>
        </is>
      </c>
      <c r="C8" s="51">
        <f>8.825+19.078</f>
        <v>27.903</v>
      </c>
    </row>
    <row r="9">
      <c r="B9" t="inlineStr">
        <is>
          <t>Enterprise V.</t>
        </is>
      </c>
      <c r="C9" s="13">
        <f>C5-C7+C8</f>
        <v>1435.6455456499998</v>
      </c>
    </row>
    <row r="10"/>
    <row r="11">
      <c r="B11" s="14" t="inlineStr">
        <is>
          <t>NPV / Share</t>
        </is>
      </c>
      <c r="C11" s="11">
        <f>NPV!B28</f>
        <v>17.174819903109086</v>
      </c>
    </row>
    <row r="12">
      <c r="B12" s="14" t="inlineStr">
        <is>
          <t>Upside</t>
        </is>
      </c>
      <c r="C12" s="15">
        <f>IFERROR(C11/C3-1,"")</f>
        <v>-0.6578039469394483</v>
      </c>
    </row>
    <row r="13">
      <c r="B13" s="14" t="inlineStr">
        <is>
          <t>Cash / Share</t>
        </is>
      </c>
      <c r="C13" s="11">
        <f>IFERROR((C7-C8)/C4,"")</f>
        <v>-0.03701483409709956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0.959</v>
      </c>
      <c r="D2" s="52" t="n">
        <v>0.039</v>
      </c>
      <c r="E2" s="52" t="n">
        <v>21.832</v>
      </c>
      <c r="F2" s="52" t="n">
        <v>21.251</v>
      </c>
      <c r="G2" s="52" t="n">
        <v>31.642</v>
      </c>
      <c r="H2" s="52" t="n">
        <v>39.011</v>
      </c>
      <c r="I2" s="52" t="n">
        <v>79.95</v>
      </c>
      <c r="J2" s="52">
        <f>I2*(1+NPV!C5)</f>
        <v>107.9325</v>
      </c>
      <c r="K2" s="52">
        <f>J2*(1+NPV!D5)</f>
        <v>141.8113125</v>
      </c>
      <c r="L2" s="52">
        <f>K2*(1+NPV!E5)</f>
        <v>181.20334375000002</v>
      </c>
      <c r="M2" s="52">
        <f>L2*(1+NPV!F5)</f>
        <v>224.9941518229167</v>
      </c>
      <c r="N2" s="52">
        <f>M2*(1+NPV!G5)</f>
        <v>271.24294969762735</v>
      </c>
      <c r="O2" s="52">
        <f>N2*(1+NPV!H5)</f>
        <v>317.20356061861423</v>
      </c>
      <c r="P2" s="52">
        <f>O2*(1+NPV!I5)</f>
        <v>359.49736870109615</v>
      </c>
      <c r="Q2" s="52">
        <f>P2*(1+NPV!J5)</f>
        <v>394.4485017692583</v>
      </c>
      <c r="R2" s="52">
        <f>Q2*(1+NPV!K5)</f>
        <v>418.55368798849076</v>
      </c>
      <c r="S2" s="52">
        <f>R2*(1+NPV!L5)</f>
        <v>429.017530188203</v>
      </c>
    </row>
    <row r="3" customFormat="1" s="1">
      <c r="A3" s="5" t="inlineStr">
        <is>
          <t>Cost of Sales</t>
        </is>
      </c>
      <c r="B3" s="52" t="n">
        <v>0</v>
      </c>
      <c r="C3" s="52" t="n">
        <v>0.453</v>
      </c>
      <c r="D3" s="52" t="n">
        <v>0.436</v>
      </c>
      <c r="E3" s="52" t="n">
        <v>2.827</v>
      </c>
      <c r="F3" s="52" t="n">
        <v>6.933</v>
      </c>
      <c r="G3" s="52" t="n">
        <v>10.581</v>
      </c>
      <c r="H3" s="52" t="n">
        <v>15.6</v>
      </c>
      <c r="I3" s="52" t="n">
        <v>37.21</v>
      </c>
      <c r="J3" s="52">
        <f>J2*(1-Assumptions!$B$19)</f>
        <v>50.23178550000001</v>
      </c>
      <c r="K3" s="52">
        <f>K2*(1-Assumptions!$B$19)</f>
        <v>65.99898483750002</v>
      </c>
      <c r="L3" s="52">
        <f>L2*(1-Assumptions!$B$19)</f>
        <v>84.33203618125002</v>
      </c>
      <c r="M3" s="52">
        <f>M2*(1-Assumptions!$B$19)</f>
        <v>104.71227825838544</v>
      </c>
      <c r="N3" s="52">
        <f>N2*(1-Assumptions!$B$19)</f>
        <v>126.23646878927578</v>
      </c>
      <c r="O3" s="52">
        <f>O2*(1-Assumptions!$B$19)</f>
        <v>147.62653711190308</v>
      </c>
      <c r="P3" s="52">
        <f>P2*(1-Assumptions!$B$19)</f>
        <v>167.31007539349017</v>
      </c>
      <c r="Q3" s="52">
        <f>Q2*(1-Assumptions!$B$19)</f>
        <v>183.57633272341283</v>
      </c>
      <c r="R3" s="52">
        <f>R2*(1-Assumptions!$B$19)</f>
        <v>194.7948863898436</v>
      </c>
      <c r="S3" s="52">
        <f>S2*(1-Assumptions!$B$19)</f>
        <v>199.6647585495897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0.506</v>
      </c>
      <c r="D4" s="52">
        <f>D2-D3</f>
        <v>-0.397</v>
      </c>
      <c r="E4" s="52">
        <f>E2-E3</f>
        <v>19.005000000000003</v>
      </c>
      <c r="F4" s="52">
        <f>F2-F3</f>
        <v>14.318000000000001</v>
      </c>
      <c r="G4" s="52">
        <f>G2-G3</f>
        <v>21.061</v>
      </c>
      <c r="H4" s="52">
        <f>H2-H3</f>
        <v>23.411</v>
      </c>
      <c r="I4" s="52">
        <f>I2-I3</f>
        <v>42.74</v>
      </c>
      <c r="J4" s="52">
        <f>J2-J3</f>
        <v>57.7007145</v>
      </c>
      <c r="K4" s="52">
        <f>K2-K3</f>
        <v>75.8123276625</v>
      </c>
      <c r="L4" s="52">
        <f>L2-L3</f>
        <v>96.87130756875</v>
      </c>
      <c r="M4" s="52">
        <f>M2-M3</f>
        <v>120.28187356453127</v>
      </c>
      <c r="N4" s="52">
        <f>N2-N3</f>
        <v>145.0064809083516</v>
      </c>
      <c r="O4" s="52">
        <f>O2-O3</f>
        <v>169.57702350671116</v>
      </c>
      <c r="P4" s="52">
        <f>P2-P3</f>
        <v>192.18729330760598</v>
      </c>
      <c r="Q4" s="52">
        <f>Q2-Q3</f>
        <v>210.87216904584548</v>
      </c>
      <c r="R4" s="52">
        <f>R2-R3</f>
        <v>223.75880159864715</v>
      </c>
      <c r="S4" s="52">
        <f>S2-S3</f>
        <v>229.35277163861332</v>
      </c>
    </row>
    <row r="5">
      <c r="A5" s="2" t="inlineStr">
        <is>
          <t>Research &amp; Dev.</t>
        </is>
      </c>
      <c r="B5" s="52" t="n">
        <v>5.627</v>
      </c>
      <c r="C5" s="52" t="n">
        <v>11.555</v>
      </c>
      <c r="D5" s="52" t="n">
        <v>14.104</v>
      </c>
      <c r="E5" s="52" t="n">
        <v>6.235</v>
      </c>
      <c r="F5" s="52" t="n">
        <v>3.996</v>
      </c>
      <c r="G5" s="52" t="n">
        <v>3.322</v>
      </c>
      <c r="H5" s="52" t="n">
        <v>3.255</v>
      </c>
      <c r="I5" s="52" t="n">
        <v>7.765</v>
      </c>
      <c r="J5" s="52">
        <f>J7*Assumptions!$B$20</f>
        <v>7.224898798259998</v>
      </c>
      <c r="K5" s="52">
        <f>K7*Assumptions!$B$20</f>
        <v>9.3774795163335</v>
      </c>
      <c r="L5" s="52">
        <f>L7*Assumptions!$B$20</f>
        <v>11.83509055003275</v>
      </c>
      <c r="M5" s="52">
        <f>M7*Assumptions!$B$20</f>
        <v>14.512408985139245</v>
      </c>
      <c r="N5" s="52">
        <f>N7*Assumptions!$B$20</f>
        <v>17.275105425548286</v>
      </c>
      <c r="O5" s="52">
        <f>O7*Assumptions!$B$20</f>
        <v>19.94451899136932</v>
      </c>
      <c r="P5" s="52">
        <f>P7*Assumptions!$B$20</f>
        <v>22.311663504391</v>
      </c>
      <c r="Q5" s="52">
        <f>Q7*Assumptions!$B$20</f>
        <v>24.160327314812672</v>
      </c>
      <c r="R5" s="52">
        <f>R7*Assumptions!$B$20</f>
        <v>25.296678383399055</v>
      </c>
      <c r="S5" s="52">
        <f>S7*Assumptions!$B$20</f>
        <v>25.580479130093337</v>
      </c>
    </row>
    <row r="6">
      <c r="A6" s="18" t="inlineStr">
        <is>
          <t>SG&amp;A &amp; Other</t>
        </is>
      </c>
      <c r="B6" s="52" t="n">
        <v>4.694</v>
      </c>
      <c r="C6" s="52" t="n">
        <v>7.552</v>
      </c>
      <c r="D6" s="52" t="n">
        <v>12.61</v>
      </c>
      <c r="E6" s="52" t="n">
        <v>14.265</v>
      </c>
      <c r="F6" s="52" t="n">
        <v>18.582</v>
      </c>
      <c r="G6" s="52" t="n">
        <v>18.931</v>
      </c>
      <c r="H6" s="52" t="n">
        <v>22.753</v>
      </c>
      <c r="I6" s="52" t="n">
        <v>35.819</v>
      </c>
      <c r="J6" s="52">
        <f>J7-J5</f>
        <v>33.31886550173999</v>
      </c>
      <c r="K6" s="52">
        <f>K7-K5</f>
        <v>43.245862326166495</v>
      </c>
      <c r="L6" s="52">
        <f>L7-L5</f>
        <v>54.57955900121725</v>
      </c>
      <c r="M6" s="52">
        <f>M7-M5</f>
        <v>66.92647420868369</v>
      </c>
      <c r="N6" s="52">
        <f>N7-N5</f>
        <v>79.66712479638373</v>
      </c>
      <c r="O6" s="52">
        <f>O7-O5</f>
        <v>91.97758533730251</v>
      </c>
      <c r="P6" s="52">
        <f>P7-P5</f>
        <v>102.89408006682675</v>
      </c>
      <c r="Q6" s="52">
        <f>Q7-Q5</f>
        <v>111.4195117133168</v>
      </c>
      <c r="R6" s="52">
        <f>R7-R5</f>
        <v>116.65999043477747</v>
      </c>
      <c r="S6" s="52">
        <f>S7-S5</f>
        <v>117.96878647087938</v>
      </c>
    </row>
    <row r="7">
      <c r="A7" s="2" t="inlineStr">
        <is>
          <t>Operating Expense</t>
        </is>
      </c>
      <c r="B7" s="52">
        <f>SUM(B5:B6)</f>
        <v>10.321</v>
      </c>
      <c r="C7" s="52">
        <f>SUM(C5:C6)</f>
        <v>19.107</v>
      </c>
      <c r="D7" s="52">
        <f>SUM(D5:D6)</f>
        <v>26.714</v>
      </c>
      <c r="E7" s="52">
        <f>SUM(E5:E6)</f>
        <v>20.5</v>
      </c>
      <c r="F7" s="52">
        <f>SUM(F5:F6)</f>
        <v>22.578</v>
      </c>
      <c r="G7" s="52">
        <f>SUM(G5:G6)</f>
        <v>22.253</v>
      </c>
      <c r="H7" s="52">
        <f>SUM(H5:H6)</f>
        <v>26.008</v>
      </c>
      <c r="I7" s="52">
        <f>SUM(I5:I6)</f>
        <v>43.584</v>
      </c>
      <c r="J7" s="52">
        <f>J4-J2*NPV!C6</f>
        <v>40.54376429999999</v>
      </c>
      <c r="K7" s="52">
        <f>K4-K2*NPV!D6</f>
        <v>52.6233418425</v>
      </c>
      <c r="L7" s="52">
        <f>L4-L2*NPV!E6</f>
        <v>66.41464955125</v>
      </c>
      <c r="M7" s="52">
        <f>M4-M2*NPV!F6</f>
        <v>81.43888319382293</v>
      </c>
      <c r="N7" s="52">
        <f>N4-N2*NPV!G6</f>
        <v>96.94223022193202</v>
      </c>
      <c r="O7" s="52">
        <f>O4-O2*NPV!H6</f>
        <v>111.92210432867184</v>
      </c>
      <c r="P7" s="52">
        <f>P4-P2*NPV!I6</f>
        <v>125.20574357121774</v>
      </c>
      <c r="Q7" s="52">
        <f>Q4-Q2*NPV!J6</f>
        <v>135.57983902812947</v>
      </c>
      <c r="R7" s="52">
        <f>R4-R2*NPV!K6</f>
        <v>141.95666881817652</v>
      </c>
      <c r="S7" s="52">
        <f>S4-S2*NPV!L6</f>
        <v>143.54926560097272</v>
      </c>
    </row>
    <row r="8">
      <c r="A8" s="2" t="inlineStr">
        <is>
          <t>Operating Income</t>
        </is>
      </c>
      <c r="B8" s="52">
        <f>B4-B7</f>
        <v>-10.321</v>
      </c>
      <c r="C8" s="52">
        <f>C4-C7</f>
        <v>-18.601</v>
      </c>
      <c r="D8" s="52">
        <f>D4-D7</f>
        <v>-27.110999999999997</v>
      </c>
      <c r="E8" s="52">
        <f>E4-E7</f>
        <v>-1.4949999999999974</v>
      </c>
      <c r="F8" s="52">
        <f>F4-F7</f>
        <v>-8.259999999999998</v>
      </c>
      <c r="G8" s="52">
        <f>G4-G7</f>
        <v>-1.1920000000000002</v>
      </c>
      <c r="H8" s="52">
        <f>H4-H7</f>
        <v>-2.5969999999999978</v>
      </c>
      <c r="I8" s="52">
        <f>I4-I7</f>
        <v>-0.8440000000000012</v>
      </c>
      <c r="J8" s="52">
        <f>J4-J7</f>
        <v>17.156950200000004</v>
      </c>
      <c r="K8" s="52">
        <f>K4-K7</f>
        <v>23.18898582</v>
      </c>
      <c r="L8" s="52">
        <f>L4-L7</f>
        <v>30.456658017500004</v>
      </c>
      <c r="M8" s="52">
        <f>M4-M7</f>
        <v>38.842990370708335</v>
      </c>
      <c r="N8" s="52">
        <f>N4-N7</f>
        <v>48.06425068641957</v>
      </c>
      <c r="O8" s="52">
        <f>O4-O7</f>
        <v>57.65491917803932</v>
      </c>
      <c r="P8" s="52">
        <f>P4-P7</f>
        <v>66.98154973638825</v>
      </c>
      <c r="Q8" s="52">
        <f>Q4-Q7</f>
        <v>75.29233001771601</v>
      </c>
      <c r="R8" s="52">
        <f>R4-R7</f>
        <v>81.80213278047063</v>
      </c>
      <c r="S8" s="52">
        <f>S4-S7</f>
        <v>85.8035060376406</v>
      </c>
    </row>
    <row r="9">
      <c r="A9" s="18" t="inlineStr">
        <is>
          <t>Interest &amp; Other</t>
        </is>
      </c>
      <c r="B9" s="52" t="n">
        <v>-2.419</v>
      </c>
      <c r="C9" s="52" t="n">
        <v>0.281</v>
      </c>
      <c r="D9" s="52" t="n">
        <v>-0.859</v>
      </c>
      <c r="E9" s="52" t="n">
        <v>-0.46</v>
      </c>
      <c r="F9" s="52" t="n">
        <v>-0.761</v>
      </c>
      <c r="G9" s="52" t="n">
        <v>0.503</v>
      </c>
      <c r="H9" s="52" t="n">
        <v>-1.211</v>
      </c>
      <c r="I9" s="52" t="n">
        <v>-3.714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-12.74</v>
      </c>
      <c r="C10" s="52">
        <f>C8+C9</f>
        <v>-18.32</v>
      </c>
      <c r="D10" s="52">
        <f>D8+D9</f>
        <v>-27.97</v>
      </c>
      <c r="E10" s="52">
        <f>E8+E9</f>
        <v>-1.9549999999999974</v>
      </c>
      <c r="F10" s="52">
        <f>F8+F9</f>
        <v>-9.020999999999997</v>
      </c>
      <c r="G10" s="52">
        <f>G8+G9</f>
        <v>-0.6890000000000002</v>
      </c>
      <c r="H10" s="52">
        <f>H8+H9</f>
        <v>-3.807999999999998</v>
      </c>
      <c r="I10" s="52">
        <f>I8+I9</f>
        <v>-4.558000000000002</v>
      </c>
      <c r="J10" s="52">
        <f>J8+J9</f>
        <v>17.156950200000004</v>
      </c>
      <c r="K10" s="52">
        <f>K8+K9</f>
        <v>23.18898582</v>
      </c>
      <c r="L10" s="52">
        <f>L8+L9</f>
        <v>30.456658017500004</v>
      </c>
      <c r="M10" s="52">
        <f>M8+M9</f>
        <v>38.842990370708335</v>
      </c>
      <c r="N10" s="52">
        <f>N8+N9</f>
        <v>48.06425068641957</v>
      </c>
      <c r="O10" s="52">
        <f>O8+O9</f>
        <v>57.65491917803932</v>
      </c>
      <c r="P10" s="52">
        <f>P8+P9</f>
        <v>66.98154973638825</v>
      </c>
      <c r="Q10" s="52">
        <f>Q8+Q9</f>
        <v>75.29233001771601</v>
      </c>
      <c r="R10" s="52">
        <f>R8+R9</f>
        <v>81.80213278047063</v>
      </c>
      <c r="S10" s="52">
        <f>S8+S9</f>
        <v>85.8035060376406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0.247</v>
      </c>
      <c r="H11" s="52" t="n">
        <v>0.015</v>
      </c>
      <c r="I11" s="52" t="n">
        <v>0.043</v>
      </c>
      <c r="J11" s="52">
        <f>MAX(0,J10)*Assumptions!$E$14</f>
        <v>2.9166815340000007</v>
      </c>
      <c r="K11" s="52">
        <f>MAX(0,K10)*Assumptions!$E$14</f>
        <v>3.9421275894</v>
      </c>
      <c r="L11" s="52">
        <f>MAX(0,L10)*Assumptions!$E$14</f>
        <v>5.177631862975001</v>
      </c>
      <c r="M11" s="52">
        <f>MAX(0,M10)*Assumptions!$E$14</f>
        <v>6.6033083630204175</v>
      </c>
      <c r="N11" s="52">
        <f>MAX(0,N10)*Assumptions!$E$14</f>
        <v>8.170922616691328</v>
      </c>
      <c r="O11" s="52">
        <f>MAX(0,O10)*Assumptions!$E$14</f>
        <v>9.801336260266686</v>
      </c>
      <c r="P11" s="52">
        <f>MAX(0,P10)*Assumptions!$E$14</f>
        <v>11.386863455186003</v>
      </c>
      <c r="Q11" s="52">
        <f>MAX(0,Q10)*Assumptions!$E$14</f>
        <v>12.799696103011723</v>
      </c>
      <c r="R11" s="52">
        <f>MAX(0,R10)*Assumptions!$E$14</f>
        <v>13.906362572680008</v>
      </c>
      <c r="S11" s="52">
        <f>MAX(0,S10)*Assumptions!$E$14</f>
        <v>14.586596026398903</v>
      </c>
    </row>
    <row r="12">
      <c r="A12" s="2" t="inlineStr">
        <is>
          <t>Net Income</t>
        </is>
      </c>
      <c r="B12" s="52" t="n">
        <v>-12.74</v>
      </c>
      <c r="C12" s="52" t="n">
        <v>-18.32</v>
      </c>
      <c r="D12" s="52" t="n">
        <v>-27.97</v>
      </c>
      <c r="E12" s="52" t="n">
        <v>-1.955</v>
      </c>
      <c r="F12" s="52" t="n">
        <v>-9.021000000000001</v>
      </c>
      <c r="G12" s="52" t="n">
        <v>-0.9360000000000001</v>
      </c>
      <c r="H12" s="52" t="n">
        <v>-3.823</v>
      </c>
      <c r="I12" s="52" t="n">
        <v>-4.601</v>
      </c>
      <c r="J12" s="52">
        <f>J10-J11</f>
        <v>14.240268666000004</v>
      </c>
      <c r="K12" s="52">
        <f>K10-K11</f>
        <v>19.246858230599997</v>
      </c>
      <c r="L12" s="52">
        <f>L10-L11</f>
        <v>25.279026154525003</v>
      </c>
      <c r="M12" s="52">
        <f>M10-M11</f>
        <v>32.23968200768792</v>
      </c>
      <c r="N12" s="52">
        <f>N10-N11</f>
        <v>39.89332806972824</v>
      </c>
      <c r="O12" s="52">
        <f>O10-O11</f>
        <v>47.853582917772634</v>
      </c>
      <c r="P12" s="52">
        <f>P10-P11</f>
        <v>55.59468628120224</v>
      </c>
      <c r="Q12" s="52">
        <f>Q10-Q11</f>
        <v>62.492633914704285</v>
      </c>
      <c r="R12" s="52">
        <f>R10-R11</f>
        <v>67.89577020779062</v>
      </c>
      <c r="S12" s="52">
        <f>S10-S11</f>
        <v>71.2169100112417</v>
      </c>
    </row>
    <row r="13">
      <c r="A13" s="2" t="inlineStr">
        <is>
          <t>Earnings per Share</t>
        </is>
      </c>
      <c r="B13" s="11">
        <f>IFERROR(B12/B14,0)</f>
        <v>-1.98504206918043</v>
      </c>
      <c r="C13" s="11">
        <f>IFERROR(C12/C14,0)</f>
        <v>-1.031473453071336</v>
      </c>
      <c r="D13" s="11">
        <f>IFERROR(D12/D14,0)</f>
        <v>-1.3312708234174202</v>
      </c>
      <c r="E13" s="11">
        <f>IFERROR(E12/E14,0)</f>
        <v>-0.0775578212401317</v>
      </c>
      <c r="F13" s="11">
        <f>IFERROR(F12/F14,0)</f>
        <v>-0.35874492961107135</v>
      </c>
      <c r="G13" s="11">
        <f>IFERROR(G12/G14,0)</f>
        <v>-0.036498342756872686</v>
      </c>
      <c r="H13" s="11">
        <f>IFERROR(H12/H14,0)</f>
        <v>-0.14763467850936474</v>
      </c>
      <c r="I13" s="11">
        <f>IFERROR(I12/I14,0)</f>
        <v>-0.1709900401367623</v>
      </c>
      <c r="J13" s="11">
        <f>IFERROR(J12/J14,0)</f>
        <v>0.4982052761532283</v>
      </c>
      <c r="K13" s="11">
        <f>IFERROR(K12/K14,0)</f>
        <v>0.6733641439471212</v>
      </c>
      <c r="L13" s="11">
        <f>IFERROR(L12/L14,0)</f>
        <v>0.8844035531625556</v>
      </c>
      <c r="M13" s="11">
        <f>IFERROR(M12/M14,0)</f>
        <v>1.1279267304894274</v>
      </c>
      <c r="N13" s="11">
        <f>IFERROR(N12/N14,0)</f>
        <v>1.3956946314576146</v>
      </c>
      <c r="O13" s="11">
        <f>IFERROR(O12/O14,0)</f>
        <v>1.6741894448517505</v>
      </c>
      <c r="P13" s="11">
        <f>IFERROR(P12/P14,0)</f>
        <v>1.9450170977117187</v>
      </c>
      <c r="Q13" s="11">
        <f>IFERROR(Q12/Q14,0)</f>
        <v>2.186346386241547</v>
      </c>
      <c r="R13" s="11">
        <f>IFERROR(R12/R14,0)</f>
        <v>2.3753787052326705</v>
      </c>
      <c r="S13" s="11">
        <f>IFERROR(S12/S14,0)</f>
        <v>2.4915709914689796</v>
      </c>
    </row>
    <row r="14">
      <c r="A14" s="2" t="inlineStr">
        <is>
          <t>Shares</t>
        </is>
      </c>
      <c r="B14" s="52" t="n">
        <v>6.418</v>
      </c>
      <c r="C14" s="52" t="n">
        <v>17.761</v>
      </c>
      <c r="D14" s="52" t="n">
        <v>21.01</v>
      </c>
      <c r="E14" s="52" t="n">
        <v>25.207</v>
      </c>
      <c r="F14" s="52" t="n">
        <v>25.146</v>
      </c>
      <c r="G14" s="52" t="n">
        <v>25.645</v>
      </c>
      <c r="H14" s="52" t="n">
        <v>25.895</v>
      </c>
      <c r="I14" s="52" t="n">
        <v>26.908</v>
      </c>
      <c r="J14" s="52">
        <f>Main!$C$4</f>
        <v>28.583135</v>
      </c>
      <c r="K14" s="52">
        <f>Main!$C$4</f>
        <v>28.583135</v>
      </c>
      <c r="L14" s="52">
        <f>Main!$C$4</f>
        <v>28.583135</v>
      </c>
      <c r="M14" s="52">
        <f>Main!$C$4</f>
        <v>28.583135</v>
      </c>
      <c r="N14" s="52">
        <f>Main!$C$4</f>
        <v>28.583135</v>
      </c>
      <c r="O14" s="52">
        <f>Main!$C$4</f>
        <v>28.583135</v>
      </c>
      <c r="P14" s="52">
        <f>Main!$C$4</f>
        <v>28.583135</v>
      </c>
      <c r="Q14" s="52">
        <f>Main!$C$4</f>
        <v>28.583135</v>
      </c>
      <c r="R14" s="52">
        <f>Main!$C$4</f>
        <v>28.583135</v>
      </c>
      <c r="S14" s="52">
        <f>Main!$C$4</f>
        <v>28.583135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-0.959332638164755</v>
      </c>
      <c r="E16" s="15">
        <f>IFERROR(E2/D2-1,"")</f>
        <v>558.7948717948718</v>
      </c>
      <c r="F16" s="15">
        <f>IFERROR(F2/E2-1,"")</f>
        <v>-0.026612312202271893</v>
      </c>
      <c r="G16" s="15">
        <f>IFERROR(G2/F2-1,"")</f>
        <v>0.4889652251658745</v>
      </c>
      <c r="H16" s="15">
        <f>IFERROR(H2/G2-1,"")</f>
        <v>0.23288666961633275</v>
      </c>
      <c r="I16" s="15">
        <f>IFERROR(I2/H2-1,"")</f>
        <v>1.0494219579093076</v>
      </c>
      <c r="J16" s="15">
        <f>IFERROR(J2/I2-1,"")</f>
        <v>0.3500000000000001</v>
      </c>
      <c r="K16" s="15">
        <f>IFERROR(K2/J2-1,"")</f>
        <v>0.3138888888888889</v>
      </c>
      <c r="L16" s="15">
        <f>IFERROR(L2/K2-1,"")</f>
        <v>0.2777777777777777</v>
      </c>
      <c r="M16" s="15">
        <f>IFERROR(M2/L2-1,"")</f>
        <v>0.2416666666666667</v>
      </c>
      <c r="N16" s="15">
        <f>IFERROR(N2/M2-1,"")</f>
        <v>0.2055555555555555</v>
      </c>
      <c r="O16" s="15">
        <f>IFERROR(O2/N2-1,"")</f>
        <v>0.1694444444444445</v>
      </c>
      <c r="P16" s="15">
        <f>IFERROR(P2/O2-1,"")</f>
        <v>0.1333333333333333</v>
      </c>
      <c r="Q16" s="15">
        <f>IFERROR(Q2/P2-1,"")</f>
        <v>0.09722222222222232</v>
      </c>
      <c r="R16" s="15">
        <f>IFERROR(R2/Q2-1,"")</f>
        <v>0.061111111111111116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0.5276329509906152</v>
      </c>
      <c r="D17" s="15">
        <f>IFERROR(D4/D2,"")</f>
        <v>-10.17948717948718</v>
      </c>
      <c r="E17" s="15">
        <f>IFERROR(E4/E2,"")</f>
        <v>0.8705111762550386</v>
      </c>
      <c r="F17" s="15">
        <f>IFERROR(F4/F2,"")</f>
        <v>0.6737565291045128</v>
      </c>
      <c r="G17" s="15">
        <f>IFERROR(G4/G2,"")</f>
        <v>0.665602679982302</v>
      </c>
      <c r="H17" s="15">
        <f>IFERROR(H4/H2,"")</f>
        <v>0.6001127887006229</v>
      </c>
      <c r="I17" s="15">
        <f>IFERROR(I4/I2,"")</f>
        <v>0.5345841150719199</v>
      </c>
      <c r="J17" s="15">
        <f>IFERROR(J4/J2,"")</f>
        <v>0.5346</v>
      </c>
      <c r="K17" s="15">
        <f>IFERROR(K4/K2,"")</f>
        <v>0.5346</v>
      </c>
      <c r="L17" s="15">
        <f>IFERROR(L4/L2,"")</f>
        <v>0.5346</v>
      </c>
      <c r="M17" s="15">
        <f>IFERROR(M4/M2,"")</f>
        <v>0.5346</v>
      </c>
      <c r="N17" s="15">
        <f>IFERROR(N4/N2,"")</f>
        <v>0.5346000000000001</v>
      </c>
      <c r="O17" s="15">
        <f>IFERROR(O4/O2,"")</f>
        <v>0.5346</v>
      </c>
      <c r="P17" s="15">
        <f>IFERROR(P4/P2,"")</f>
        <v>0.5346</v>
      </c>
      <c r="Q17" s="15">
        <f>IFERROR(Q4/Q2,"")</f>
        <v>0.5346</v>
      </c>
      <c r="R17" s="15">
        <f>IFERROR(R4/R2,"")</f>
        <v>0.5346</v>
      </c>
      <c r="S17" s="15">
        <f>IFERROR(S4/S2,"")</f>
        <v>0.5346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-19.396246089676747</v>
      </c>
      <c r="D18" s="15">
        <f>IFERROR(D8/D2,"")</f>
        <v>-695.1538461538461</v>
      </c>
      <c r="E18" s="15">
        <f>IFERROR(E8/E2,"")</f>
        <v>-0.06847746427262721</v>
      </c>
      <c r="F18" s="15">
        <f>IFERROR(F8/F2,"")</f>
        <v>-0.38868759117218</v>
      </c>
      <c r="G18" s="15">
        <f>IFERROR(G8/G2,"")</f>
        <v>-0.0376714493394855</v>
      </c>
      <c r="H18" s="15">
        <f>IFERROR(H8/H2,"")</f>
        <v>-0.06657096716310779</v>
      </c>
      <c r="I18" s="15">
        <f>IFERROR(I8/I2,"")</f>
        <v>-0.010556597873671058</v>
      </c>
      <c r="J18" s="15">
        <f>IFERROR(J8/J2,"")</f>
        <v>0.15896000000000005</v>
      </c>
      <c r="K18" s="15">
        <f>IFERROR(K8/K2,"")</f>
        <v>0.16351999999999997</v>
      </c>
      <c r="L18" s="15">
        <f>IFERROR(L8/L2,"")</f>
        <v>0.16808</v>
      </c>
      <c r="M18" s="15">
        <f>IFERROR(M8/M2,"")</f>
        <v>0.17264</v>
      </c>
      <c r="N18" s="15">
        <f>IFERROR(N8/N2,"")</f>
        <v>0.1772</v>
      </c>
      <c r="O18" s="15">
        <f>IFERROR(O8/O2,"")</f>
        <v>0.18176</v>
      </c>
      <c r="P18" s="15">
        <f>IFERROR(P8/P2,"")</f>
        <v>0.18632000000000004</v>
      </c>
      <c r="Q18" s="15">
        <f>IFERROR(Q8/Q2,"")</f>
        <v>0.19087999999999997</v>
      </c>
      <c r="R18" s="15">
        <f>IFERROR(R8/R2,"")</f>
        <v>0.19543999999999997</v>
      </c>
      <c r="S18" s="15">
        <f>IFERROR(S8/S2,"")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Eton Pharmaceuticals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0.1544</v>
      </c>
    </row>
    <row r="19">
      <c r="A19" s="14" t="inlineStr">
        <is>
          <t>Gross margin (forecast)</t>
        </is>
      </c>
      <c r="B19" s="53" t="n">
        <v>0.5346</v>
      </c>
    </row>
    <row r="20">
      <c r="A20" s="14" t="inlineStr">
        <is>
          <t>R&amp;D share of operating expense (forecast)</t>
        </is>
      </c>
      <c r="B20" s="53" t="n">
        <v>0.1782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79.95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491.9681958912539</v>
      </c>
      <c r="C29" s="56">
        <f>NPV!B26</f>
        <v>490.9101958912539</v>
      </c>
      <c r="D29" s="35">
        <f>NPV!B28</f>
        <v>17.174819903109086</v>
      </c>
      <c r="E29" s="57">
        <f>NPV!B30</f>
        <v>-0.6578039469394483</v>
      </c>
    </row>
    <row r="30">
      <c r="A30" s="58" t="n">
        <v>1</v>
      </c>
      <c r="B30" s="59">
        <f t="dataTable" ref="B30:E32" r1="B4"/>
        <v>264.2026654451219</v>
      </c>
      <c r="C30" s="59">
        <v>263.14466544512186</v>
      </c>
      <c r="D30" s="39">
        <v>9.206291242899768</v>
      </c>
      <c r="E30" s="60">
        <v>-0.8165712045646589</v>
      </c>
    </row>
    <row r="31">
      <c r="A31" s="58" t="n">
        <v>2</v>
      </c>
      <c r="B31" s="59">
        <v>491.9681958912539</v>
      </c>
      <c r="C31" s="59">
        <v>490.9101958912539</v>
      </c>
      <c r="D31" s="39">
        <v>17.174819903109086</v>
      </c>
      <c r="E31" s="60">
        <v>-0.6578039469394483</v>
      </c>
    </row>
    <row r="32">
      <c r="A32" s="58" t="n">
        <v>3</v>
      </c>
      <c r="B32" s="59">
        <v>911.8073167581449</v>
      </c>
      <c r="C32" s="59">
        <v>910.7493167581449</v>
      </c>
      <c r="D32" s="39">
        <v>31.86317094881807</v>
      </c>
      <c r="E32" s="60">
        <v>-0.36514901476752204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17.174819903109086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20.961024639553273</v>
      </c>
      <c r="C37" s="39">
        <v>22.295517125643876</v>
      </c>
      <c r="D37" s="39">
        <v>23.834348220419418</v>
      </c>
      <c r="E37" s="39">
        <v>25.62859411011521</v>
      </c>
      <c r="F37" s="39">
        <v>27.747904093268577</v>
      </c>
    </row>
    <row r="38">
      <c r="A38" s="62" t="n">
        <v>0.1</v>
      </c>
      <c r="B38" s="39">
        <v>17.945863754279248</v>
      </c>
      <c r="C38" s="39">
        <v>18.92813975246304</v>
      </c>
      <c r="D38" s="39">
        <v>20.04057928735509</v>
      </c>
      <c r="E38" s="39">
        <v>21.311067573527957</v>
      </c>
      <c r="F38" s="39">
        <v>22.77606985412948</v>
      </c>
    </row>
    <row r="39">
      <c r="A39" s="62" t="n">
        <v>0.11</v>
      </c>
      <c r="B39" s="39">
        <v>15.59714135761426</v>
      </c>
      <c r="C39" s="39">
        <v>16.34247904291018</v>
      </c>
      <c r="D39" s="39">
        <v>17.174819903109086</v>
      </c>
      <c r="E39" s="39">
        <v>18.1104711807149</v>
      </c>
      <c r="F39" s="39">
        <v>19.17008868526803</v>
      </c>
    </row>
    <row r="40">
      <c r="A40" s="62" t="n">
        <v>0.12</v>
      </c>
      <c r="B40" s="39">
        <v>13.722070039083153</v>
      </c>
      <c r="C40" s="39">
        <v>14.301514900156741</v>
      </c>
      <c r="D40" s="39">
        <v>14.941366977614797</v>
      </c>
      <c r="E40" s="39">
        <v>15.651689155708675</v>
      </c>
      <c r="F40" s="39">
        <v>16.44491203012044</v>
      </c>
    </row>
    <row r="41">
      <c r="A41" s="62" t="n">
        <v>0.13</v>
      </c>
      <c r="B41" s="39">
        <v>12.195133301441915</v>
      </c>
      <c r="C41" s="39">
        <v>12.654642236147973</v>
      </c>
      <c r="D41" s="39">
        <v>13.15740467393288</v>
      </c>
      <c r="E41" s="39">
        <v>13.709904345731385</v>
      </c>
      <c r="F41" s="39">
        <v>14.319989956278707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Eton Pharmaceuticals Inc: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-0.010556597873671058</v>
      </c>
      <c r="C6" s="63">
        <f>Assumptions!$B$18+(Assumptions!$E$13-Assumptions!$B$18)*C4/Assumptions!$B$21</f>
        <v>0.15896000000000002</v>
      </c>
      <c r="D6" s="63">
        <f>Assumptions!$B$18+(Assumptions!$E$13-Assumptions!$B$18)*D4/Assumptions!$B$21</f>
        <v>0.16352</v>
      </c>
      <c r="E6" s="63">
        <f>Assumptions!$B$18+(Assumptions!$E$13-Assumptions!$B$18)*E4/Assumptions!$B$21</f>
        <v>0.16808</v>
      </c>
      <c r="F6" s="63">
        <f>Assumptions!$B$18+(Assumptions!$E$13-Assumptions!$B$18)*F4/Assumptions!$B$21</f>
        <v>0.17264000000000002</v>
      </c>
      <c r="G6" s="63">
        <f>Assumptions!$B$18+(Assumptions!$E$13-Assumptions!$B$18)*G4/Assumptions!$B$21</f>
        <v>0.17720000000000002</v>
      </c>
      <c r="H6" s="63">
        <f>Assumptions!$B$18+(Assumptions!$E$13-Assumptions!$B$18)*H4/Assumptions!$B$21</f>
        <v>0.18176</v>
      </c>
      <c r="I6" s="63">
        <f>Assumptions!$B$18+(Assumptions!$E$13-Assumptions!$B$18)*I4/Assumptions!$B$21</f>
        <v>0.18632</v>
      </c>
      <c r="J6" s="63">
        <f>Assumptions!$B$18+(Assumptions!$E$13-Assumptions!$B$18)*J4/Assumptions!$B$21</f>
        <v>0.19088</v>
      </c>
      <c r="K6" s="63">
        <f>Assumptions!$B$18+(Assumptions!$E$13-Assumptions!$B$18)*K4/Assumptions!$B$21</f>
        <v>0.19544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Model'!I2</f>
        <v>79.95</v>
      </c>
      <c r="C7" s="55">
        <f>'Yearly Model'!J2</f>
        <v>107.9325</v>
      </c>
      <c r="D7" s="55">
        <f>'Yearly Model'!K2</f>
        <v>141.8113125</v>
      </c>
      <c r="E7" s="55">
        <f>'Yearly Model'!L2</f>
        <v>181.20334375000002</v>
      </c>
      <c r="F7" s="55">
        <f>'Yearly Model'!M2</f>
        <v>224.9941518229167</v>
      </c>
      <c r="G7" s="55">
        <f>'Yearly Model'!N2</f>
        <v>271.24294969762735</v>
      </c>
      <c r="H7" s="55">
        <f>'Yearly Model'!O2</f>
        <v>317.20356061861423</v>
      </c>
      <c r="I7" s="55">
        <f>'Yearly Model'!P2</f>
        <v>359.49736870109615</v>
      </c>
      <c r="J7" s="55">
        <f>'Yearly Model'!Q2</f>
        <v>394.4485017692583</v>
      </c>
      <c r="K7" s="55">
        <f>'Yearly Model'!R2</f>
        <v>418.55368798849076</v>
      </c>
      <c r="L7" s="55">
        <f>'Yearly Model'!S2</f>
        <v>429.017530188203</v>
      </c>
    </row>
    <row r="8">
      <c r="A8" s="14" t="inlineStr">
        <is>
          <t>Operating income</t>
        </is>
      </c>
      <c r="B8" s="55">
        <f>'Yearly Model'!I8</f>
        <v>-0.8440000000000012</v>
      </c>
      <c r="C8" s="55">
        <f>'Yearly Model'!J8</f>
        <v>17.156950200000004</v>
      </c>
      <c r="D8" s="55">
        <f>'Yearly Model'!K8</f>
        <v>23.18898582</v>
      </c>
      <c r="E8" s="55">
        <f>'Yearly Model'!L8</f>
        <v>30.456658017500004</v>
      </c>
      <c r="F8" s="55">
        <f>'Yearly Model'!M8</f>
        <v>38.842990370708335</v>
      </c>
      <c r="G8" s="55">
        <f>'Yearly Model'!N8</f>
        <v>48.06425068641957</v>
      </c>
      <c r="H8" s="55">
        <f>'Yearly Model'!O8</f>
        <v>57.65491917803932</v>
      </c>
      <c r="I8" s="55">
        <f>'Yearly Model'!P8</f>
        <v>66.98154973638825</v>
      </c>
      <c r="J8" s="55">
        <f>'Yearly Model'!Q8</f>
        <v>75.29233001771601</v>
      </c>
      <c r="K8" s="55">
        <f>'Yearly Model'!R8</f>
        <v>81.80213278047063</v>
      </c>
      <c r="L8" s="55">
        <f>'Yearly Model'!S8</f>
        <v>85.8035060376406</v>
      </c>
    </row>
    <row r="9">
      <c r="A9" s="14" t="inlineStr">
        <is>
          <t>Tax on operating income</t>
        </is>
      </c>
      <c r="C9" s="52">
        <f>MAX(0,C8)*Assumptions!$E$14</f>
        <v>2.9166815340000007</v>
      </c>
      <c r="D9" s="52">
        <f>MAX(0,D8)*Assumptions!$E$14</f>
        <v>3.9421275894</v>
      </c>
      <c r="E9" s="52">
        <f>MAX(0,E8)*Assumptions!$E$14</f>
        <v>5.177631862975001</v>
      </c>
      <c r="F9" s="52">
        <f>MAX(0,F8)*Assumptions!$E$14</f>
        <v>6.6033083630204175</v>
      </c>
      <c r="G9" s="52">
        <f>MAX(0,G8)*Assumptions!$E$14</f>
        <v>8.170922616691328</v>
      </c>
      <c r="H9" s="52">
        <f>MAX(0,H8)*Assumptions!$E$14</f>
        <v>9.801336260266686</v>
      </c>
      <c r="I9" s="52">
        <f>MAX(0,I8)*Assumptions!$E$14</f>
        <v>11.386863455186003</v>
      </c>
      <c r="J9" s="52">
        <f>MAX(0,J8)*Assumptions!$E$14</f>
        <v>12.799696103011723</v>
      </c>
      <c r="K9" s="52">
        <f>MAX(0,K8)*Assumptions!$E$14</f>
        <v>13.906362572680008</v>
      </c>
      <c r="L9" s="52">
        <f>MAX(0,L8)*Assumptions!$E$14</f>
        <v>14.586596026398903</v>
      </c>
    </row>
    <row r="10">
      <c r="A10" s="14" t="inlineStr">
        <is>
          <t>NOPAT</t>
        </is>
      </c>
      <c r="C10" s="52">
        <f>C8-C9</f>
        <v>14.240268666000004</v>
      </c>
      <c r="D10" s="52">
        <f>D8-D9</f>
        <v>19.246858230599997</v>
      </c>
      <c r="E10" s="52">
        <f>E8-E9</f>
        <v>25.279026154525003</v>
      </c>
      <c r="F10" s="52">
        <f>F8-F9</f>
        <v>32.23968200768792</v>
      </c>
      <c r="G10" s="52">
        <f>G8-G9</f>
        <v>39.89332806972824</v>
      </c>
      <c r="H10" s="52">
        <f>H8-H9</f>
        <v>47.853582917772634</v>
      </c>
      <c r="I10" s="52">
        <f>I8-I9</f>
        <v>55.59468628120224</v>
      </c>
      <c r="J10" s="52">
        <f>J8-J9</f>
        <v>62.492633914704285</v>
      </c>
      <c r="K10" s="52">
        <f>K8-K9</f>
        <v>67.89577020779062</v>
      </c>
      <c r="L10" s="52">
        <f>L8-L9</f>
        <v>71.2169100112417</v>
      </c>
    </row>
    <row r="11">
      <c r="A11" s="14" t="inlineStr">
        <is>
          <t>Reinvestment</t>
        </is>
      </c>
      <c r="C11" s="52">
        <f>(C7-B7)*Assumptions!$E$15</f>
        <v>6.995625</v>
      </c>
      <c r="D11" s="52">
        <f>(D7-C7)*Assumptions!$E$15</f>
        <v>8.469703125000002</v>
      </c>
      <c r="E11" s="52">
        <f>(E7-D7)*Assumptions!$E$15</f>
        <v>9.8480078125</v>
      </c>
      <c r="F11" s="52">
        <f>(F7-E7)*Assumptions!$E$15</f>
        <v>10.947702018229172</v>
      </c>
      <c r="G11" s="52">
        <f>(G7-F7)*Assumptions!$E$15</f>
        <v>11.562199468677662</v>
      </c>
      <c r="H11" s="52">
        <f>(H7-G7)*Assumptions!$E$15</f>
        <v>11.49015273024672</v>
      </c>
      <c r="I11" s="52">
        <f>(I7-H7)*Assumptions!$E$15</f>
        <v>10.57345202062048</v>
      </c>
      <c r="J11" s="52">
        <f>(J7-I7)*Assumptions!$E$15</f>
        <v>8.737783267040541</v>
      </c>
      <c r="K11" s="52">
        <f>(K7-J7)*Assumptions!$E$15</f>
        <v>6.026296554808113</v>
      </c>
      <c r="L11" s="52">
        <f>(L7-K7)*Assumptions!$E$15</f>
        <v>2.6159605499280616</v>
      </c>
    </row>
    <row r="12">
      <c r="A12" s="20" t="inlineStr">
        <is>
          <t>Free cash flow</t>
        </is>
      </c>
      <c r="C12" s="64">
        <f>C10-C11</f>
        <v>7.2446436660000035</v>
      </c>
      <c r="D12" s="64">
        <f>D10-D11</f>
        <v>10.777155105599995</v>
      </c>
      <c r="E12" s="64">
        <f>E10-E11</f>
        <v>15.431018342025002</v>
      </c>
      <c r="F12" s="64">
        <f>F10-F11</f>
        <v>21.291979989458746</v>
      </c>
      <c r="G12" s="64">
        <f>G10-G11</f>
        <v>28.33112860105058</v>
      </c>
      <c r="H12" s="64">
        <f>H10-H11</f>
        <v>36.363430187525914</v>
      </c>
      <c r="I12" s="64">
        <f>I10-I11</f>
        <v>45.021234260581764</v>
      </c>
      <c r="J12" s="64">
        <f>J10-J11</f>
        <v>53.754850647663744</v>
      </c>
      <c r="K12" s="64">
        <f>K10-K11</f>
        <v>61.86947365298251</v>
      </c>
      <c r="L12" s="64">
        <f>L10-L11</f>
        <v>68.60094946131363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3.5572146301778385</v>
      </c>
      <c r="D16" s="64">
        <f>D12*D13*D15</f>
        <v>9.704995320084521</v>
      </c>
      <c r="E16" s="64">
        <f>E12*E13*E15</f>
        <v>12.518803011922193</v>
      </c>
      <c r="F16" s="64">
        <f>F12*F13*F15</f>
        <v>15.561852290317209</v>
      </c>
      <c r="G16" s="64">
        <f>G12*G13*G15</f>
        <v>18.654608373745663</v>
      </c>
      <c r="H16" s="64">
        <f>H12*H13*H15</f>
        <v>21.570694378927946</v>
      </c>
      <c r="I16" s="64">
        <f>I12*I13*I15</f>
        <v>24.059893471604205</v>
      </c>
      <c r="J16" s="64">
        <f>J12*J13*J15</f>
        <v>25.880399967580704</v>
      </c>
      <c r="K16" s="64">
        <f>K12*K13*K15</f>
        <v>26.835319282454375</v>
      </c>
      <c r="L16" s="64">
        <f>L12*L13*L15</f>
        <v>26.806338244066428</v>
      </c>
    </row>
    <row r="19">
      <c r="A19" s="14" t="inlineStr">
        <is>
          <t>PV of forecast free cash flow</t>
        </is>
      </c>
      <c r="B19" s="52">
        <f>SUM(C16:L16)</f>
        <v>185.1501189708811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70.31597319784646</v>
      </c>
    </row>
    <row r="21">
      <c r="A21" s="14" t="inlineStr">
        <is>
          <t>Terminal value</t>
        </is>
      </c>
      <c r="B21" s="52">
        <f>B20/(Assumptions!$E$10-Assumptions!$E$11)</f>
        <v>827.2467435040761</v>
      </c>
    </row>
    <row r="22">
      <c r="A22" s="14" t="inlineStr">
        <is>
          <t>PV of terminal value</t>
        </is>
      </c>
      <c r="B22" s="52">
        <f>B21/(1+Assumptions!$E$10)^(L14+0.5)</f>
        <v>306.81807692037285</v>
      </c>
    </row>
    <row r="23">
      <c r="A23" s="20" t="inlineStr">
        <is>
          <t>Enterprise value</t>
        </is>
      </c>
      <c r="B23" s="66">
        <f>B19+B22</f>
        <v>491.9681958912539</v>
      </c>
    </row>
    <row r="24">
      <c r="A24" s="14" t="inlineStr">
        <is>
          <t>Cash &amp; investments</t>
        </is>
      </c>
      <c r="B24" s="55">
        <f>Main!C7</f>
        <v>26.845</v>
      </c>
    </row>
    <row r="25">
      <c r="A25" s="14" t="inlineStr">
        <is>
          <t>Debt</t>
        </is>
      </c>
      <c r="B25" s="55">
        <f>Main!C8</f>
        <v>27.903</v>
      </c>
    </row>
    <row r="26">
      <c r="A26" s="20" t="inlineStr">
        <is>
          <t>Equity value</t>
        </is>
      </c>
      <c r="B26" s="66">
        <f>B23+B24-B25</f>
        <v>490.9101958912539</v>
      </c>
    </row>
    <row r="27">
      <c r="A27" s="14" t="inlineStr">
        <is>
          <t>Shares (mm)</t>
        </is>
      </c>
      <c r="B27" s="55">
        <f>Main!C4</f>
        <v>28.583135</v>
      </c>
    </row>
    <row r="28">
      <c r="A28" s="20" t="inlineStr">
        <is>
          <t>NPV / share</t>
        </is>
      </c>
      <c r="B28" s="49">
        <f>B26/B27</f>
        <v>17.174819903109086</v>
      </c>
    </row>
    <row r="29">
      <c r="A29" s="14" t="inlineStr">
        <is>
          <t>Price</t>
        </is>
      </c>
      <c r="B29" s="50">
        <f>Main!C3</f>
        <v>50.19</v>
      </c>
    </row>
    <row r="30">
      <c r="A30" s="14" t="inlineStr">
        <is>
          <t>Upside</t>
        </is>
      </c>
      <c r="B30" s="63">
        <f>B28/B29-1</f>
        <v>-0.6578039469394483</v>
      </c>
    </row>
    <row r="31">
      <c r="A31" s="14" t="inlineStr">
        <is>
          <t>Terminal value, % of EV</t>
        </is>
      </c>
      <c r="B31" s="63">
        <f>IFERROR(B22/B23,0)</f>
        <v>0.6236542920514171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2026-10-21T01:04:42Z</dcterms:modified>
  <cp:lastModifiedBy>Wang, Eric</cp:lastModifiedBy>
</cp:coreProperties>
</file>