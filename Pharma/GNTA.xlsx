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Genenta Science SpA</t>
        </is>
      </c>
      <c r="C2" s="10" t="n"/>
    </row>
    <row r="3">
      <c r="B3" t="inlineStr">
        <is>
          <t>Price</t>
        </is>
      </c>
      <c r="C3" s="11">
        <f>INDEX([1]Pharma!$F$1:$F$1000,MATCH("GNTA",[1]Pharma!$B$1:$B$1000,0))</f>
        <v>0.615</v>
      </c>
      <c r="F3" s="1" t="n"/>
    </row>
    <row r="4">
      <c r="B4" t="inlineStr">
        <is>
          <t>Shares</t>
        </is>
      </c>
      <c r="C4" s="21" t="n">
        <v>23.432183</v>
      </c>
      <c r="F4" s="1" t="n"/>
    </row>
    <row r="5">
      <c r="B5" t="inlineStr">
        <is>
          <t>Market Cap.</t>
        </is>
      </c>
      <c r="C5" s="13">
        <f>C3*C4</f>
        <v>14.410792545</v>
      </c>
      <c r="F5" s="1" t="n"/>
    </row>
    <row r="6"/>
    <row r="7">
      <c r="B7" t="inlineStr">
        <is>
          <t>Cash</t>
        </is>
      </c>
      <c r="C7" s="21">
        <f>(5.528+22.622)/0.88865</f>
        <v>31.677263264502333</v>
      </c>
    </row>
    <row r="8">
      <c r="B8" t="inlineStr">
        <is>
          <t>Debt</t>
        </is>
      </c>
      <c r="C8" s="21">
        <f>(7.603)/0.88865</f>
        <v>8.555674337478196</v>
      </c>
    </row>
    <row r="9">
      <c r="B9" t="inlineStr">
        <is>
          <t>Enterprise V.</t>
        </is>
      </c>
      <c r="C9" s="13">
        <f>C5-C7+C8</f>
        <v>-8.710796382024137</v>
      </c>
    </row>
    <row r="10"/>
    <row r="11">
      <c r="B11" s="14" t="inlineStr">
        <is>
          <t>Net Cash / Share</t>
        </is>
      </c>
      <c r="C11" s="11">
        <f>(C7-C8)/C4</f>
        <v>0.9867449792033519</v>
      </c>
    </row>
    <row r="12">
      <c r="B12" s="14" t="inlineStr">
        <is>
          <t>Upside</t>
        </is>
      </c>
      <c r="C12" s="15">
        <f>IFERROR(C11/C3-1,"")</f>
        <v>0.6044633808184585</v>
      </c>
    </row>
    <row r="13">
      <c r="B13" s="14" t="inlineStr">
        <is>
          <t>Cash / Share</t>
        </is>
      </c>
      <c r="C13" s="11">
        <f>IFERROR((C7-C8)/C4,"")</f>
        <v>0.9867449792033519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-7.729</v>
      </c>
    </row>
    <row r="18">
      <c r="B18" s="14" t="inlineStr">
        <is>
          <t>Runway (years)</t>
        </is>
      </c>
      <c r="C18" s="22">
        <f>IF(AND(ISNUMBER(C17),C17&lt;0),IF(C7&gt;C8,(C7-C8)/-C17,"net debt"),"n/a")</f>
        <v>2.9915369293600897</v>
      </c>
    </row>
    <row r="19">
      <c r="B19" s="14" t="inlineStr">
        <is>
          <t>Implied Pipeline Value</t>
        </is>
      </c>
      <c r="C19" s="13">
        <f>C9</f>
        <v>-8.710796382024137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2019</v>
      </c>
      <c r="C1" s="17" t="n">
        <v>2020</v>
      </c>
      <c r="D1" s="17" t="n">
        <v>2021</v>
      </c>
      <c r="E1" s="17" t="n">
        <v>2022</v>
      </c>
      <c r="F1" s="17" t="n">
        <v>2023</v>
      </c>
      <c r="G1" s="17" t="n">
        <v>2024</v>
      </c>
      <c r="H1" s="17" t="n">
        <v>2025</v>
      </c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4.167</v>
      </c>
      <c r="C5" s="23" t="n">
        <v>5.276</v>
      </c>
      <c r="D5" s="23" t="n">
        <v>3.816</v>
      </c>
      <c r="E5" s="23" t="n">
        <v>6.008</v>
      </c>
      <c r="F5" s="23" t="n">
        <v>7.314</v>
      </c>
      <c r="G5" s="23" t="n">
        <v>5.416</v>
      </c>
      <c r="H5" s="23" t="n">
        <v>3.038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1.037</v>
      </c>
      <c r="C6" s="23" t="n">
        <v>1.015</v>
      </c>
      <c r="D6" s="23" t="n">
        <v>2.584</v>
      </c>
      <c r="E6" s="23" t="n">
        <v>6.42</v>
      </c>
      <c r="F6" s="23" t="n">
        <v>5.889</v>
      </c>
      <c r="G6" s="23" t="n">
        <v>5.572</v>
      </c>
      <c r="H6" s="23" t="n">
        <v>4.393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5.204</v>
      </c>
      <c r="C7" s="23">
        <f>SUM(C5:C6)</f>
        <v>6.2909999999999995</v>
      </c>
      <c r="D7" s="23">
        <f>SUM(D5:D6)</f>
        <v>6.4</v>
      </c>
      <c r="E7" s="23">
        <f>SUM(E5:E6)</f>
        <v>12.428</v>
      </c>
      <c r="F7" s="23">
        <f>SUM(F5:F6)</f>
        <v>13.203</v>
      </c>
      <c r="G7" s="23">
        <f>SUM(G5:G6)</f>
        <v>10.988</v>
      </c>
      <c r="H7" s="23">
        <f>SUM(H5:H6)</f>
        <v>7.430999999999999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-5.204</v>
      </c>
      <c r="C8" s="23">
        <f>C4-C7</f>
        <v>-6.2909999999999995</v>
      </c>
      <c r="D8" s="23">
        <f>D4-D7</f>
        <v>-6.4</v>
      </c>
      <c r="E8" s="23">
        <f>E4-E7</f>
        <v>-12.428</v>
      </c>
      <c r="F8" s="23">
        <f>F4-F7</f>
        <v>-13.203</v>
      </c>
      <c r="G8" s="23">
        <f>G4-G7</f>
        <v>-10.988</v>
      </c>
      <c r="H8" s="23">
        <f>H4-H7</f>
        <v>-7.430999999999999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0.03</v>
      </c>
      <c r="C9" s="23" t="n">
        <v>-0.002</v>
      </c>
      <c r="D9" s="23" t="n">
        <v>0.178</v>
      </c>
      <c r="E9" s="23" t="n">
        <v>2.888</v>
      </c>
      <c r="F9" s="23" t="n">
        <v>0.098</v>
      </c>
      <c r="G9" s="23" t="n">
        <v>0.959</v>
      </c>
      <c r="H9" s="23" t="n">
        <v>0.083</v>
      </c>
    </row>
    <row r="10">
      <c r="A10" s="2" t="inlineStr">
        <is>
          <t>Pretax</t>
        </is>
      </c>
      <c r="B10" s="23">
        <f>B8+B9</f>
        <v>-5.1739999999999995</v>
      </c>
      <c r="C10" s="23">
        <f>C8+C9</f>
        <v>-6.292999999999999</v>
      </c>
      <c r="D10" s="23">
        <f>D8+D9</f>
        <v>-6.222</v>
      </c>
      <c r="E10" s="23">
        <f>E8+E9</f>
        <v>-9.540000000000001</v>
      </c>
      <c r="F10" s="23">
        <f>F8+F9</f>
        <v>-13.104999999999999</v>
      </c>
      <c r="G10" s="23">
        <f>G8+G9</f>
        <v>-10.029</v>
      </c>
      <c r="H10" s="23">
        <f>H8+H9</f>
        <v>-7.347999999999999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</row>
    <row r="12">
      <c r="A12" s="2" t="inlineStr">
        <is>
          <t>Net Income</t>
        </is>
      </c>
      <c r="B12" s="23" t="n">
        <v>-5.174</v>
      </c>
      <c r="C12" s="23" t="n">
        <v>-6.293</v>
      </c>
      <c r="D12" s="23" t="n">
        <v>-6.222</v>
      </c>
      <c r="E12" s="23" t="n">
        <v>-9.539999999999999</v>
      </c>
      <c r="F12" s="23" t="n">
        <v>-13.105</v>
      </c>
      <c r="G12" s="23" t="n">
        <v>-10.029</v>
      </c>
      <c r="H12" s="23" t="n">
        <v>-7.348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0</v>
      </c>
      <c r="D13" s="11">
        <f>IFERROR(D12/D14,0)</f>
        <v>-0.4124900556881464</v>
      </c>
      <c r="E13" s="11">
        <f>IFERROR(E12/E14,0)</f>
        <v>-0.5236866663007081</v>
      </c>
      <c r="F13" s="11">
        <f>IFERROR(F12/F14,0)</f>
        <v>-0.7193829939067904</v>
      </c>
      <c r="G13" s="11">
        <f>IFERROR(G12/G14,0)</f>
        <v>-0.5488425545887375</v>
      </c>
      <c r="H13" s="11">
        <f>IFERROR(H12/H14,0)</f>
        <v>-0.37280568239472345</v>
      </c>
    </row>
    <row r="14">
      <c r="A14" s="2" t="inlineStr">
        <is>
          <t>Shares</t>
        </is>
      </c>
      <c r="B14" s="23" t="n"/>
      <c r="C14" s="23" t="n"/>
      <c r="D14" s="23" t="n">
        <v>15.084</v>
      </c>
      <c r="E14" s="23" t="n">
        <v>18.217</v>
      </c>
      <c r="F14" s="23" t="n">
        <v>18.217</v>
      </c>
      <c r="G14" s="23" t="n">
        <v>18.273</v>
      </c>
      <c r="H14" s="23" t="n">
        <v>19.71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2026-10-21T01:06:30Z</dcterms:modified>
  <cp:lastModifiedBy>Wang, Eric</cp:lastModifiedBy>
</cp:coreProperties>
</file>