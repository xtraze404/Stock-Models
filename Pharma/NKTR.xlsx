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Nektar Therapeutics</t>
        </is>
      </c>
      <c r="C2" s="10" t="n"/>
    </row>
    <row r="3">
      <c r="B3" t="inlineStr">
        <is>
          <t>Price</t>
        </is>
      </c>
      <c r="C3" s="11">
        <f>INDEX([1]Pharma!$F$1:$F$1000,MATCH("NKTR",[1]Pharma!$B$1:$B$1000,0))</f>
        <v>39.22</v>
      </c>
      <c r="F3" s="1" t="n"/>
    </row>
    <row r="4">
      <c r="B4" t="inlineStr">
        <is>
          <t>Shares</t>
        </is>
      </c>
      <c r="C4" s="51" t="n">
        <v>34.142994</v>
      </c>
      <c r="F4" s="1" t="n"/>
    </row>
    <row r="5">
      <c r="B5" t="inlineStr">
        <is>
          <t>Market Cap.</t>
        </is>
      </c>
      <c r="C5" s="13">
        <f>C3*C4</f>
        <v>1339.08822468</v>
      </c>
      <c r="F5" s="1" t="n"/>
    </row>
    <row r="6"/>
    <row r="7">
      <c r="B7" t="inlineStr">
        <is>
          <t>Cash</t>
        </is>
      </c>
      <c r="C7" s="51">
        <f>39.267+645.074</f>
        <v>684.341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654.7472246799999</v>
      </c>
    </row>
    <row r="10"/>
    <row r="11">
      <c r="B11" s="14" t="inlineStr">
        <is>
          <t>NPV / Share</t>
        </is>
      </c>
      <c r="C11" s="11">
        <f>NPV!B28</f>
        <v>15.172594586639747</v>
      </c>
    </row>
    <row r="12">
      <c r="B12" s="14" t="inlineStr">
        <is>
          <t>Upside</t>
        </is>
      </c>
      <c r="C12" s="15">
        <f>IFERROR(C11/C3-1,"")</f>
        <v>-0.6131413924875129</v>
      </c>
    </row>
    <row r="13">
      <c r="B13" s="14" t="inlineStr">
        <is>
          <t>Cash / Share</t>
        </is>
      </c>
      <c r="C13" s="11">
        <f>IFERROR((C7-C8)/C4,"")</f>
        <v>20.043379909799356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71.931</v>
      </c>
      <c r="C2" s="52" t="n">
        <v>159.039</v>
      </c>
      <c r="D2" s="52" t="n">
        <v>71.48</v>
      </c>
      <c r="E2" s="52" t="n">
        <v>81.191</v>
      </c>
      <c r="F2" s="52" t="n">
        <v>148.921</v>
      </c>
      <c r="G2" s="52" t="n">
        <v>200.707</v>
      </c>
      <c r="H2" s="52" t="n">
        <v>230.784</v>
      </c>
      <c r="I2" s="52" t="n">
        <v>165.436</v>
      </c>
      <c r="J2" s="52" t="n">
        <v>307.711</v>
      </c>
      <c r="K2" s="52" t="n">
        <v>1193.323</v>
      </c>
      <c r="L2" s="52" t="n">
        <v>114.617</v>
      </c>
      <c r="M2" s="52" t="n">
        <v>152.915</v>
      </c>
      <c r="N2" s="52" t="n">
        <v>101.907</v>
      </c>
      <c r="O2" s="52" t="n">
        <v>92.05500000000001</v>
      </c>
      <c r="P2" s="52" t="n">
        <v>90.122</v>
      </c>
      <c r="Q2" s="52" t="n">
        <v>98.42700000000001</v>
      </c>
      <c r="R2" s="52" t="n">
        <v>55.232</v>
      </c>
      <c r="S2" s="52">
        <f>R2*(1+NPV!C5)</f>
        <v>53.591609600000005</v>
      </c>
      <c r="T2" s="52">
        <f>S2*(1+NPV!D5)</f>
        <v>52.325656688782225</v>
      </c>
      <c r="U2" s="52">
        <f>T2*(1+NPV!E5)</f>
        <v>51.40763211198681</v>
      </c>
      <c r="V2" s="52">
        <f>U2*(1+NPV!F5)</f>
        <v>50.81815793043603</v>
      </c>
      <c r="W2" s="52">
        <f>V2*(1+NPV!G5)</f>
        <v>50.5443045238109</v>
      </c>
      <c r="X2" s="52">
        <f>W2*(1+NPV!H5)</f>
        <v>50.579123933593976</v>
      </c>
      <c r="Y2" s="52">
        <f>X2*(1+NPV!I5)</f>
        <v>50.92137600554462</v>
      </c>
      <c r="Z2" s="52">
        <f>Y2*(1+NPV!J5)</f>
        <v>51.575432790682505</v>
      </c>
      <c r="AA2" s="52">
        <f>Z2*(1+NPV!K5)</f>
        <v>52.55135459115509</v>
      </c>
      <c r="AB2" s="52">
        <f>AA2*(1+NPV!L5)</f>
        <v>53.86513845593396</v>
      </c>
    </row>
    <row r="3" customFormat="1" s="1">
      <c r="A3" s="5" t="inlineStr">
        <is>
          <t>Cost of Sales</t>
        </is>
      </c>
      <c r="B3" s="52" t="n">
        <v>30.948</v>
      </c>
      <c r="C3" s="52" t="n">
        <v>25.667</v>
      </c>
      <c r="D3" s="52" t="n">
        <v>21.891</v>
      </c>
      <c r="E3" s="52" t="n">
        <v>30.428</v>
      </c>
      <c r="F3" s="52" t="n">
        <v>38.509</v>
      </c>
      <c r="G3" s="52" t="n">
        <v>28.533</v>
      </c>
      <c r="H3" s="52" t="n">
        <v>34.102</v>
      </c>
      <c r="I3" s="52" t="n">
        <v>30.215</v>
      </c>
      <c r="J3" s="52" t="n">
        <v>30.547</v>
      </c>
      <c r="K3" s="52" t="n">
        <v>24.412</v>
      </c>
      <c r="L3" s="52" t="n">
        <v>21.374</v>
      </c>
      <c r="M3" s="52" t="n">
        <v>19.477</v>
      </c>
      <c r="N3" s="52" t="n">
        <v>24.897</v>
      </c>
      <c r="O3" s="52" t="n">
        <v>21.635</v>
      </c>
      <c r="P3" s="52" t="n">
        <v>33.768</v>
      </c>
      <c r="Q3" s="52" t="n">
        <v>30.686</v>
      </c>
      <c r="R3" s="52" t="n">
        <v>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  <c r="Y3" s="52">
        <f>Y2*(1-Assumptions!$B$19)</f>
        <v>0.0</v>
      </c>
      <c r="Z3" s="52">
        <f>Z2*(1-Assumptions!$B$19)</f>
        <v>0.0</v>
      </c>
      <c r="AA3" s="52">
        <f>AA2*(1-Assumptions!$B$19)</f>
        <v>0.0</v>
      </c>
      <c r="AB3" s="52">
        <f>AB2*(1-Assumptions!$B$19)</f>
        <v>0.0</v>
      </c>
    </row>
    <row r="4" customFormat="1" s="1">
      <c r="A4" s="5" t="inlineStr">
        <is>
          <t>Gross Margin</t>
        </is>
      </c>
      <c r="B4" s="52">
        <f>B2-B3</f>
        <v>40.983</v>
      </c>
      <c r="C4" s="52">
        <f>C2-C3</f>
        <v>133.37199999999999</v>
      </c>
      <c r="D4" s="52">
        <f>D2-D3</f>
        <v>49.589000000000006</v>
      </c>
      <c r="E4" s="52">
        <f>E2-E3</f>
        <v>50.763000000000005</v>
      </c>
      <c r="F4" s="52">
        <f>F2-F3</f>
        <v>110.41199999999999</v>
      </c>
      <c r="G4" s="52">
        <f>G2-G3</f>
        <v>172.17399999999998</v>
      </c>
      <c r="H4" s="52">
        <f>H2-H3</f>
        <v>196.682</v>
      </c>
      <c r="I4" s="52">
        <f>I2-I3</f>
        <v>135.221</v>
      </c>
      <c r="J4" s="52">
        <f>J2-J3</f>
        <v>277.164</v>
      </c>
      <c r="K4" s="52">
        <f>K2-K3</f>
        <v>1168.911</v>
      </c>
      <c r="L4" s="52">
        <f>L2-L3</f>
        <v>93.24300000000001</v>
      </c>
      <c r="M4" s="52">
        <f>M2-M3</f>
        <v>133.438</v>
      </c>
      <c r="N4" s="52">
        <f>N2-N3</f>
        <v>77.00999999999999</v>
      </c>
      <c r="O4" s="52">
        <f>O2-O3</f>
        <v>70.42</v>
      </c>
      <c r="P4" s="52">
        <f>P2-P3</f>
        <v>56.354</v>
      </c>
      <c r="Q4" s="52">
        <f>Q2-Q3</f>
        <v>67.74100000000001</v>
      </c>
      <c r="R4" s="52">
        <f>R2-R3</f>
        <v>55.232</v>
      </c>
      <c r="S4" s="52">
        <f>S2-S3</f>
        <v>53.591609600000005</v>
      </c>
      <c r="T4" s="52">
        <f>T2-T3</f>
        <v>52.325656688782225</v>
      </c>
      <c r="U4" s="52">
        <f>U2-U3</f>
        <v>51.40763211198681</v>
      </c>
      <c r="V4" s="52">
        <f>V2-V3</f>
        <v>50.81815793043603</v>
      </c>
      <c r="W4" s="52">
        <f>W2-W3</f>
        <v>50.5443045238109</v>
      </c>
      <c r="X4" s="52">
        <f>X2-X3</f>
        <v>50.579123933593976</v>
      </c>
      <c r="Y4" s="52">
        <f>Y2-Y3</f>
        <v>50.92137600554462</v>
      </c>
      <c r="Z4" s="52">
        <f>Z2-Z3</f>
        <v>51.575432790682505</v>
      </c>
      <c r="AA4" s="52">
        <f>AA2-AA3</f>
        <v>52.55135459115509</v>
      </c>
      <c r="AB4" s="52">
        <f>AB2-AB3</f>
        <v>53.86513845593396</v>
      </c>
    </row>
    <row r="5">
      <c r="A5" s="2" t="inlineStr">
        <is>
          <t>Research &amp; Dev.</t>
        </is>
      </c>
      <c r="B5" s="52" t="n">
        <v>95.10899999999999</v>
      </c>
      <c r="C5" s="52" t="n">
        <v>108.065</v>
      </c>
      <c r="D5" s="52" t="n">
        <v>126.766</v>
      </c>
      <c r="E5" s="52" t="n">
        <v>148.675</v>
      </c>
      <c r="F5" s="52" t="n">
        <v>190.01</v>
      </c>
      <c r="G5" s="52" t="n">
        <v>147.734</v>
      </c>
      <c r="H5" s="52" t="n">
        <v>182.787</v>
      </c>
      <c r="I5" s="52" t="n">
        <v>203.801</v>
      </c>
      <c r="J5" s="52" t="n">
        <v>268.461</v>
      </c>
      <c r="K5" s="52" t="n">
        <v>399.536</v>
      </c>
      <c r="L5" s="52" t="n">
        <v>434.566</v>
      </c>
      <c r="M5" s="52" t="n">
        <v>408.678</v>
      </c>
      <c r="N5" s="52" t="n">
        <v>400.269</v>
      </c>
      <c r="O5" s="52" t="n">
        <v>218.323</v>
      </c>
      <c r="P5" s="52" t="n">
        <v>114.162</v>
      </c>
      <c r="Q5" s="52" t="n">
        <v>120.908</v>
      </c>
      <c r="R5" s="52" t="n">
        <v>117.33</v>
      </c>
      <c r="S5" s="52">
        <f>S7*Assumptions!$B$20</f>
        <v>75.00847813605762</v>
      </c>
      <c r="T5" s="52">
        <f>T7*Assumptions!$B$20</f>
        <v>67.8931674615752</v>
      </c>
      <c r="U5" s="52">
        <f>U7*Assumptions!$B$20</f>
        <v>61.45232357324424</v>
      </c>
      <c r="V5" s="52">
        <f>V7*Assumptions!$B$20</f>
        <v>55.558170793239526</v>
      </c>
      <c r="W5" s="52">
        <f>W7*Assumptions!$B$20</f>
        <v>50.09724015029779</v>
      </c>
      <c r="X5" s="52">
        <f>X7*Assumptions!$B$20</f>
        <v>44.96666202542666</v>
      </c>
      <c r="Y5" s="52">
        <f>Y7*Assumptions!$B$20</f>
        <v>40.07089644215516</v>
      </c>
      <c r="Z5" s="52">
        <f>Z7*Assumptions!$B$20</f>
        <v>35.3187532241938</v>
      </c>
      <c r="AA5" s="52">
        <f>AA7*Assumptions!$B$20</f>
        <v>30.620570741819662</v>
      </c>
      <c r="AB5" s="52">
        <f>AB7*Assumptions!$B$20</f>
        <v>25.885430936383624</v>
      </c>
    </row>
    <row r="6">
      <c r="A6" s="18" t="inlineStr">
        <is>
          <t>SG&amp;A &amp; Other</t>
        </is>
      </c>
      <c r="B6" s="52" t="n">
        <v>41.006</v>
      </c>
      <c r="C6" s="52" t="n">
        <v>53.562</v>
      </c>
      <c r="D6" s="52" t="n">
        <v>46.76</v>
      </c>
      <c r="E6" s="52" t="n">
        <v>43.289</v>
      </c>
      <c r="F6" s="52" t="n">
        <v>40.532</v>
      </c>
      <c r="G6" s="52" t="n">
        <v>40.925</v>
      </c>
      <c r="H6" s="52" t="n">
        <v>43.266</v>
      </c>
      <c r="I6" s="52" t="n">
        <v>44.275</v>
      </c>
      <c r="J6" s="52" t="n">
        <v>68.345</v>
      </c>
      <c r="K6" s="52" t="n">
        <v>81.443</v>
      </c>
      <c r="L6" s="52" t="n">
        <v>98.712</v>
      </c>
      <c r="M6" s="52" t="n">
        <v>149.871</v>
      </c>
      <c r="N6" s="52" t="n">
        <v>122.844</v>
      </c>
      <c r="O6" s="52" t="n">
        <v>228.263</v>
      </c>
      <c r="P6" s="52" t="n">
        <v>205.876</v>
      </c>
      <c r="Q6" s="52" t="n">
        <v>52.031</v>
      </c>
      <c r="R6" s="52" t="n">
        <v>78.004</v>
      </c>
      <c r="S6" s="52">
        <f>S7-S5</f>
        <v>49.85997223194241</v>
      </c>
      <c r="T6" s="52">
        <f>T7-T5</f>
        <v>45.13025098619441</v>
      </c>
      <c r="U6" s="52">
        <f>U7-U5</f>
        <v>40.8488643296095</v>
      </c>
      <c r="V6" s="52">
        <f>V7-V5</f>
        <v>36.930876640154054</v>
      </c>
      <c r="W6" s="52">
        <f>W7-W5</f>
        <v>33.300862313990194</v>
      </c>
      <c r="X6" s="52">
        <f>X7-X5</f>
        <v>29.89044139629243</v>
      </c>
      <c r="Y6" s="52">
        <f>Y7-Y5</f>
        <v>26.6361061251083</v>
      </c>
      <c r="Z6" s="52">
        <f>Z7-Z5</f>
        <v>23.477240157184262</v>
      </c>
      <c r="AA6" s="52">
        <f>AA7-AA5</f>
        <v>20.35424321160078</v>
      </c>
      <c r="AB6" s="52">
        <f>AB7-AB5</f>
        <v>17.206679828363544</v>
      </c>
    </row>
    <row r="7">
      <c r="A7" s="2" t="inlineStr">
        <is>
          <t>Operating Expense</t>
        </is>
      </c>
      <c r="B7" s="52">
        <f>SUM(B5:B6)</f>
        <v>136.115</v>
      </c>
      <c r="C7" s="52">
        <f>SUM(C5:C6)</f>
        <v>161.627</v>
      </c>
      <c r="D7" s="52">
        <f>SUM(D5:D6)</f>
        <v>173.526</v>
      </c>
      <c r="E7" s="52">
        <f>SUM(E5:E6)</f>
        <v>191.964</v>
      </c>
      <c r="F7" s="52">
        <f>SUM(F5:F6)</f>
        <v>230.54199999999997</v>
      </c>
      <c r="G7" s="52">
        <f>SUM(G5:G6)</f>
        <v>188.659</v>
      </c>
      <c r="H7" s="52">
        <f>SUM(H5:H6)</f>
        <v>226.053</v>
      </c>
      <c r="I7" s="52">
        <f>SUM(I5:I6)</f>
        <v>248.076</v>
      </c>
      <c r="J7" s="52">
        <f>SUM(J5:J6)</f>
        <v>336.80600000000004</v>
      </c>
      <c r="K7" s="52">
        <f>SUM(K5:K6)</f>
        <v>480.979</v>
      </c>
      <c r="L7" s="52">
        <f>SUM(L5:L6)</f>
        <v>533.278</v>
      </c>
      <c r="M7" s="52">
        <f>SUM(M5:M6)</f>
        <v>558.549</v>
      </c>
      <c r="N7" s="52">
        <f>SUM(N5:N6)</f>
        <v>523.113</v>
      </c>
      <c r="O7" s="52">
        <f>SUM(O5:O6)</f>
        <v>446.586</v>
      </c>
      <c r="P7" s="52">
        <f>SUM(P5:P6)</f>
        <v>320.038</v>
      </c>
      <c r="Q7" s="52">
        <f>SUM(Q5:Q6)</f>
        <v>172.939</v>
      </c>
      <c r="R7" s="52">
        <f>SUM(R5:R6)</f>
        <v>195.334</v>
      </c>
      <c r="S7" s="52">
        <f>S4-S2*NPV!C6</f>
        <v>124.86845036800003</v>
      </c>
      <c r="T7" s="52">
        <f>T4-T2*NPV!D6</f>
        <v>113.02341844776961</v>
      </c>
      <c r="U7" s="52">
        <f>U4-U2*NPV!E6</f>
        <v>102.30118790285374</v>
      </c>
      <c r="V7" s="52">
        <f>V4-V2*NPV!F6</f>
        <v>92.48904743339358</v>
      </c>
      <c r="W7" s="52">
        <f>W4-W2*NPV!G6</f>
        <v>83.39810246428799</v>
      </c>
      <c r="X7" s="52">
        <f>X4-X2*NPV!H6</f>
        <v>74.85710342171909</v>
      </c>
      <c r="Y7" s="52">
        <f>Y4-Y2*NPV!I6</f>
        <v>66.70700256726346</v>
      </c>
      <c r="Z7" s="52">
        <f>Z4-Z2*NPV!J6</f>
        <v>58.79599338137806</v>
      </c>
      <c r="AA7" s="52">
        <f>AA4-AA2*NPV!K6</f>
        <v>50.974813953420444</v>
      </c>
      <c r="AB7" s="52">
        <f>AB4-AB2*NPV!L6</f>
        <v>43.09211076474717</v>
      </c>
    </row>
    <row r="8">
      <c r="A8" s="2" t="inlineStr">
        <is>
          <t>Operating Income</t>
        </is>
      </c>
      <c r="B8" s="52">
        <f>B4-B7</f>
        <v>-95.132</v>
      </c>
      <c r="C8" s="52">
        <f>C4-C7</f>
        <v>-28.255000000000024</v>
      </c>
      <c r="D8" s="52">
        <f>D4-D7</f>
        <v>-123.93700000000001</v>
      </c>
      <c r="E8" s="52">
        <f>E4-E7</f>
        <v>-141.201</v>
      </c>
      <c r="F8" s="52">
        <f>F4-F7</f>
        <v>-120.12999999999998</v>
      </c>
      <c r="G8" s="52">
        <f>G4-G7</f>
        <v>-16.485000000000014</v>
      </c>
      <c r="H8" s="52">
        <f>H4-H7</f>
        <v>-29.37100000000001</v>
      </c>
      <c r="I8" s="52">
        <f>I4-I7</f>
        <v>-112.85499999999999</v>
      </c>
      <c r="J8" s="52">
        <f>J4-J7</f>
        <v>-59.64200000000005</v>
      </c>
      <c r="K8" s="52">
        <f>K4-K7</f>
        <v>687.932</v>
      </c>
      <c r="L8" s="52">
        <f>L4-L7</f>
        <v>-440.035</v>
      </c>
      <c r="M8" s="52">
        <f>M4-M7</f>
        <v>-425.111</v>
      </c>
      <c r="N8" s="52">
        <f>N4-N7</f>
        <v>-446.10300000000007</v>
      </c>
      <c r="O8" s="52">
        <f>O4-O7</f>
        <v>-376.166</v>
      </c>
      <c r="P8" s="52">
        <f>P4-P7</f>
        <v>-263.684</v>
      </c>
      <c r="Q8" s="52">
        <f>Q4-Q7</f>
        <v>-105.19799999999998</v>
      </c>
      <c r="R8" s="52">
        <f>R4-R7</f>
        <v>-140.102</v>
      </c>
      <c r="S8" s="52">
        <f>S4-S7</f>
        <v>-71.27684076800003</v>
      </c>
      <c r="T8" s="52">
        <f>T4-T7</f>
        <v>-60.69776175898739</v>
      </c>
      <c r="U8" s="52">
        <f>U4-U7</f>
        <v>-50.893555790866934</v>
      </c>
      <c r="V8" s="52">
        <f>V4-V7</f>
        <v>-41.67088950295755</v>
      </c>
      <c r="W8" s="52">
        <f>W4-W7</f>
        <v>-32.85379794047709</v>
      </c>
      <c r="X8" s="52">
        <f>X4-X7</f>
        <v>-24.277979488125112</v>
      </c>
      <c r="Y8" s="52">
        <f>Y4-Y7</f>
        <v>-15.785626561718836</v>
      </c>
      <c r="Z8" s="52">
        <f>Z4-Z7</f>
        <v>-7.2205605906955554</v>
      </c>
      <c r="AA8" s="52">
        <f>AA4-AA7</f>
        <v>1.5765406377346451</v>
      </c>
      <c r="AB8" s="52">
        <f>AB4-AB7</f>
        <v>10.77302769118679</v>
      </c>
    </row>
    <row r="9">
      <c r="A9" s="18" t="inlineStr">
        <is>
          <t>Interest &amp; Other</t>
        </is>
      </c>
      <c r="B9" s="52" t="n">
        <v>-7.64</v>
      </c>
      <c r="C9" s="52" t="n">
        <v>-8.802</v>
      </c>
      <c r="D9" s="52" t="n">
        <v>-9.023</v>
      </c>
      <c r="E9" s="52" t="n">
        <v>-30.248</v>
      </c>
      <c r="F9" s="52" t="n">
        <v>-39.638</v>
      </c>
      <c r="G9" s="52" t="n">
        <v>-37.943</v>
      </c>
      <c r="H9" s="52" t="n">
        <v>-51.3</v>
      </c>
      <c r="I9" s="52" t="n">
        <v>-39.793</v>
      </c>
      <c r="J9" s="52" t="n">
        <v>-36.434</v>
      </c>
      <c r="K9" s="52" t="n">
        <v>-5.207</v>
      </c>
      <c r="L9" s="52" t="n">
        <v>-0.019</v>
      </c>
      <c r="M9" s="52" t="n">
        <v>-18.836</v>
      </c>
      <c r="N9" s="52" t="n">
        <v>-77.34</v>
      </c>
      <c r="O9" s="52" t="n">
        <v>11.381</v>
      </c>
      <c r="P9" s="52" t="n">
        <v>-12.516</v>
      </c>
      <c r="Q9" s="52" t="n">
        <v>-14.041</v>
      </c>
      <c r="R9" s="52" t="n">
        <v>-24.036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-102.772</v>
      </c>
      <c r="C10" s="52">
        <f>C8+C9</f>
        <v>-37.05700000000002</v>
      </c>
      <c r="D10" s="52">
        <f>D8+D9</f>
        <v>-132.96</v>
      </c>
      <c r="E10" s="52">
        <f>E8+E9</f>
        <v>-171.44899999999998</v>
      </c>
      <c r="F10" s="52">
        <f>F8+F9</f>
        <v>-159.76799999999997</v>
      </c>
      <c r="G10" s="52">
        <f>G8+G9</f>
        <v>-54.42800000000001</v>
      </c>
      <c r="H10" s="52">
        <f>H8+H9</f>
        <v>-80.671</v>
      </c>
      <c r="I10" s="52">
        <f>I8+I9</f>
        <v>-152.648</v>
      </c>
      <c r="J10" s="52">
        <f>J8+J9</f>
        <v>-96.07600000000005</v>
      </c>
      <c r="K10" s="52">
        <f>K8+K9</f>
        <v>682.725</v>
      </c>
      <c r="L10" s="52">
        <f>L8+L9</f>
        <v>-440.05400000000003</v>
      </c>
      <c r="M10" s="52">
        <f>M8+M9</f>
        <v>-443.947</v>
      </c>
      <c r="N10" s="52">
        <f>N8+N9</f>
        <v>-523.4430000000001</v>
      </c>
      <c r="O10" s="52">
        <f>O8+O9</f>
        <v>-364.78499999999997</v>
      </c>
      <c r="P10" s="52">
        <f>P8+P9</f>
        <v>-276.20000000000005</v>
      </c>
      <c r="Q10" s="52">
        <f>Q8+Q9</f>
        <v>-119.23899999999998</v>
      </c>
      <c r="R10" s="52">
        <f>R8+R9</f>
        <v>-164.138</v>
      </c>
      <c r="S10" s="52">
        <f>S8+S9</f>
        <v>-71.27684076800003</v>
      </c>
      <c r="T10" s="52">
        <f>T8+T9</f>
        <v>-60.69776175898739</v>
      </c>
      <c r="U10" s="52">
        <f>U8+U9</f>
        <v>-50.893555790866934</v>
      </c>
      <c r="V10" s="52">
        <f>V8+V9</f>
        <v>-41.67088950295755</v>
      </c>
      <c r="W10" s="52">
        <f>W8+W9</f>
        <v>-32.85379794047709</v>
      </c>
      <c r="X10" s="52">
        <f>X8+X9</f>
        <v>-24.277979488125112</v>
      </c>
      <c r="Y10" s="52">
        <f>Y8+Y9</f>
        <v>-15.785626561718836</v>
      </c>
      <c r="Z10" s="52">
        <f>Z8+Z9</f>
        <v>-7.2205605906955554</v>
      </c>
      <c r="AA10" s="52">
        <f>AA8+AA9</f>
        <v>1.5765406377346451</v>
      </c>
      <c r="AB10" s="52">
        <f>AB8+AB9</f>
        <v>10.77302769118679</v>
      </c>
    </row>
    <row r="11">
      <c r="A11" s="2" t="inlineStr">
        <is>
          <t>Taxes</t>
        </is>
      </c>
      <c r="B11" s="52" t="n">
        <v>-0.253</v>
      </c>
      <c r="C11" s="52" t="n">
        <v>0.881</v>
      </c>
      <c r="D11" s="52" t="n">
        <v>1.018</v>
      </c>
      <c r="E11" s="52" t="n">
        <v>0.406</v>
      </c>
      <c r="F11" s="52" t="n">
        <v>2.245</v>
      </c>
      <c r="G11" s="52" t="n">
        <v>-0.512</v>
      </c>
      <c r="H11" s="52" t="n">
        <v>0.506</v>
      </c>
      <c r="I11" s="52" t="n">
        <v>0.876</v>
      </c>
      <c r="J11" s="52" t="n">
        <v>0.616</v>
      </c>
      <c r="K11" s="52" t="n">
        <v>1.412</v>
      </c>
      <c r="L11" s="52" t="n">
        <v>0.613</v>
      </c>
      <c r="M11" s="52" t="n">
        <v>0.493</v>
      </c>
      <c r="N11" s="52" t="n">
        <v>0.5570000000000001</v>
      </c>
      <c r="O11" s="52" t="n">
        <v>3.215</v>
      </c>
      <c r="P11" s="52" t="n">
        <v>-0.2</v>
      </c>
      <c r="Q11" s="52" t="n">
        <v>-0.239</v>
      </c>
      <c r="R11" s="52" t="n">
        <v>-0.138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0.0</v>
      </c>
      <c r="Z11" s="52">
        <f>MAX(0,Z10)*Assumptions!$E$14</f>
        <v>0.0</v>
      </c>
      <c r="AA11" s="52">
        <f>MAX(0,AA10)*Assumptions!$E$14</f>
        <v>0.2680119084148897</v>
      </c>
      <c r="AB11" s="52">
        <f>MAX(0,AB10)*Assumptions!$E$14</f>
        <v>1.8314147075017544</v>
      </c>
    </row>
    <row r="12">
      <c r="A12" s="2" t="inlineStr">
        <is>
          <t>Net Income</t>
        </is>
      </c>
      <c r="B12" s="52" t="n">
        <v>-102.519</v>
      </c>
      <c r="C12" s="52" t="n">
        <v>-37.938</v>
      </c>
      <c r="D12" s="52" t="n">
        <v>-133.978</v>
      </c>
      <c r="E12" s="52" t="n">
        <v>-171.855</v>
      </c>
      <c r="F12" s="52" t="n">
        <v>-162.013</v>
      </c>
      <c r="G12" s="52" t="n">
        <v>-53.916</v>
      </c>
      <c r="H12" s="52" t="n">
        <v>-81.17700000000001</v>
      </c>
      <c r="I12" s="52" t="n">
        <v>-153.524</v>
      </c>
      <c r="J12" s="52" t="n">
        <v>-96.69199999999999</v>
      </c>
      <c r="K12" s="52" t="n">
        <v>681.313</v>
      </c>
      <c r="L12" s="52" t="n">
        <v>-440.667</v>
      </c>
      <c r="M12" s="52" t="n">
        <v>-444.44</v>
      </c>
      <c r="N12" s="52" t="n">
        <v>-524</v>
      </c>
      <c r="O12" s="52" t="n">
        <v>-368</v>
      </c>
      <c r="P12" s="52" t="n">
        <v>-276</v>
      </c>
      <c r="Q12" s="52" t="n">
        <v>-119</v>
      </c>
      <c r="R12" s="52" t="n">
        <v>-164</v>
      </c>
      <c r="S12" s="52">
        <f>S10-S11</f>
        <v>-71.27684076800003</v>
      </c>
      <c r="T12" s="52">
        <f>T10-T11</f>
        <v>-60.69776175898739</v>
      </c>
      <c r="U12" s="52">
        <f>U10-U11</f>
        <v>-50.893555790866934</v>
      </c>
      <c r="V12" s="52">
        <f>V10-V11</f>
        <v>-41.67088950295755</v>
      </c>
      <c r="W12" s="52">
        <f>W10-W11</f>
        <v>-32.85379794047709</v>
      </c>
      <c r="X12" s="52">
        <f>X10-X11</f>
        <v>-24.277979488125112</v>
      </c>
      <c r="Y12" s="52">
        <f>Y10-Y11</f>
        <v>-15.785626561718836</v>
      </c>
      <c r="Z12" s="52">
        <f>Z10-Z11</f>
        <v>-7.2205605906955554</v>
      </c>
      <c r="AA12" s="52">
        <f>AA10-AA11</f>
        <v>1.3085287293197554</v>
      </c>
      <c r="AB12" s="52">
        <f>AB10-AB11</f>
        <v>8.941612983685037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-16.608156687740177</v>
      </c>
      <c r="E13" s="11">
        <f>IFERROR(E12/E14,0)</f>
        <v>-20.95537129618339</v>
      </c>
      <c r="F13" s="11">
        <f>IFERROR(F12/F14,0)</f>
        <v>-19.59755655013911</v>
      </c>
      <c r="G13" s="11">
        <f>IFERROR(G12/G14,0)</f>
        <v>-5.949679982343853</v>
      </c>
      <c r="H13" s="11">
        <f>IFERROR(H12/H14,0)</f>
        <v>-8.58017122925695</v>
      </c>
      <c r="I13" s="11">
        <f>IFERROR(I12/I14,0)</f>
        <v>-15.397051449202687</v>
      </c>
      <c r="J13" s="11">
        <f>IFERROR(J12/J14,0)</f>
        <v>-8.68049196516743</v>
      </c>
      <c r="K13" s="11">
        <f>IFERROR(K12/K14,0)</f>
        <v>52.95453132286647</v>
      </c>
      <c r="L13" s="11">
        <f>IFERROR(L12/L14,0)</f>
        <v>-35.256180494439555</v>
      </c>
      <c r="M13" s="11">
        <f>IFERROR(M12/M14,0)</f>
        <v>-34.841643148322355</v>
      </c>
      <c r="N13" s="11">
        <f>IFERROR(N12/N14,0)</f>
        <v>-40.02138547315359</v>
      </c>
      <c r="O13" s="11">
        <f>IFERROR(O12/O14,0)</f>
        <v>-27.530485524051766</v>
      </c>
      <c r="P13" s="11">
        <f>IFERROR(P12/P14,0)</f>
        <v>-20.335985853227236</v>
      </c>
      <c r="Q13" s="11">
        <f>IFERROR(Q12/Q14,0)</f>
        <v>-8.67916271606739</v>
      </c>
      <c r="R13" s="11">
        <f>IFERROR(R12/R14,0)</f>
        <v>-9.720822713532097</v>
      </c>
      <c r="S13" s="11">
        <f>IFERROR(S12/S14,0)</f>
        <v>-2.0875978471015175</v>
      </c>
      <c r="T13" s="11">
        <f>IFERROR(T12/T14,0)</f>
        <v>-1.777751586723396</v>
      </c>
      <c r="U13" s="11">
        <f>IFERROR(U12/U14,0)</f>
        <v>-1.4906002616778988</v>
      </c>
      <c r="V13" s="11">
        <f>IFERROR(V12/V14,0)</f>
        <v>-1.2204814112950244</v>
      </c>
      <c r="W13" s="11">
        <f>IFERROR(W12/W14,0)</f>
        <v>-0.962241270946452</v>
      </c>
      <c r="X13" s="11">
        <f>IFERROR(X12/X14,0)</f>
        <v>-0.7110676787198308</v>
      </c>
      <c r="Y13" s="11">
        <f>IFERROR(Y12/Y14,0)</f>
        <v>-0.4623386736886295</v>
      </c>
      <c r="Z13" s="11">
        <f>IFERROR(Z12/Z14,0)</f>
        <v>-0.21148000643105744</v>
      </c>
      <c r="AA13" s="11">
        <f>IFERROR(AA12/AA14,0)</f>
        <v>0.03832495560640509</v>
      </c>
      <c r="AB13" s="11">
        <f>IFERROR(AB12/AB14,0)</f>
        <v>0.2618871966437693</v>
      </c>
    </row>
    <row r="14">
      <c r="A14" s="2" t="inlineStr">
        <is>
          <t>Shares</t>
        </is>
      </c>
      <c r="B14" s="52" t="n"/>
      <c r="C14" s="52" t="n"/>
      <c r="D14" s="52" t="n">
        <v>8.067</v>
      </c>
      <c r="E14" s="52" t="n">
        <v>8.201000000000001</v>
      </c>
      <c r="F14" s="52" t="n">
        <v>8.266999999999999</v>
      </c>
      <c r="G14" s="52" t="n">
        <v>9.061999999999999</v>
      </c>
      <c r="H14" s="52" t="n">
        <v>9.461</v>
      </c>
      <c r="I14" s="52" t="n">
        <v>9.971</v>
      </c>
      <c r="J14" s="52" t="n">
        <v>11.139</v>
      </c>
      <c r="K14" s="52" t="n">
        <v>12.866</v>
      </c>
      <c r="L14" s="52" t="n">
        <v>12.499</v>
      </c>
      <c r="M14" s="52" t="n">
        <v>12.756</v>
      </c>
      <c r="N14" s="52" t="n">
        <v>13.093</v>
      </c>
      <c r="O14" s="52" t="n">
        <v>13.367</v>
      </c>
      <c r="P14" s="52" t="n">
        <v>13.572</v>
      </c>
      <c r="Q14" s="52" t="n">
        <v>13.711</v>
      </c>
      <c r="R14" s="52" t="n">
        <v>16.871</v>
      </c>
      <c r="S14" s="52">
        <f>Main!$C$4</f>
        <v>34.142994</v>
      </c>
      <c r="T14" s="52">
        <f>Main!$C$4</f>
        <v>34.142994</v>
      </c>
      <c r="U14" s="52">
        <f>Main!$C$4</f>
        <v>34.142994</v>
      </c>
      <c r="V14" s="52">
        <f>Main!$C$4</f>
        <v>34.142994</v>
      </c>
      <c r="W14" s="52">
        <f>Main!$C$4</f>
        <v>34.142994</v>
      </c>
      <c r="X14" s="52">
        <f>Main!$C$4</f>
        <v>34.142994</v>
      </c>
      <c r="Y14" s="52">
        <f>Main!$C$4</f>
        <v>34.142994</v>
      </c>
      <c r="Z14" s="52">
        <f>Main!$C$4</f>
        <v>34.142994</v>
      </c>
      <c r="AA14" s="52">
        <f>Main!$C$4</f>
        <v>34.142994</v>
      </c>
      <c r="AB14" s="52">
        <f>Main!$C$4</f>
        <v>34.142994</v>
      </c>
    </row>
    <row r="15"/>
    <row r="16" customFormat="1" s="4">
      <c r="A16" s="3" t="inlineStr">
        <is>
          <t>Revenue Change</t>
        </is>
      </c>
      <c r="C16" s="15">
        <f>IFERROR(C2/B2-1,"")</f>
        <v>1.2109938691245774</v>
      </c>
      <c r="D16" s="15">
        <f>IFERROR(D2/C2-1,"")</f>
        <v>-0.5505504939040109</v>
      </c>
      <c r="E16" s="15">
        <f>IFERROR(E2/D2-1,"")</f>
        <v>0.13585618354784557</v>
      </c>
      <c r="F16" s="15">
        <f>IFERROR(F2/E2-1,"")</f>
        <v>0.8342057617223582</v>
      </c>
      <c r="G16" s="15">
        <f>IFERROR(G2/F2-1,"")</f>
        <v>0.34774141994748886</v>
      </c>
      <c r="H16" s="15">
        <f>IFERROR(H2/G2-1,"")</f>
        <v>0.14985526165006702</v>
      </c>
      <c r="I16" s="15">
        <f>IFERROR(I2/H2-1,"")</f>
        <v>-0.28315654464780915</v>
      </c>
      <c r="J16" s="15">
        <f>IFERROR(J2/I2-1,"")</f>
        <v>0.860000241785343</v>
      </c>
      <c r="K16" s="15">
        <f>IFERROR(K2/J2-1,"")</f>
        <v>2.878064157602426</v>
      </c>
      <c r="L16" s="15">
        <f>IFERROR(L2/K2-1,"")</f>
        <v>-0.9039514029311427</v>
      </c>
      <c r="M16" s="15">
        <f>IFERROR(M2/L2-1,"")</f>
        <v>0.3341389148206635</v>
      </c>
      <c r="N16" s="15">
        <f>IFERROR(N2/M2-1,"")</f>
        <v>-0.33357093810286764</v>
      </c>
      <c r="O16" s="15">
        <f>IFERROR(O2/N2-1,"")</f>
        <v>-0.09667638140657653</v>
      </c>
      <c r="P16" s="15">
        <f>IFERROR(P2/O2-1,"")</f>
        <v>-0.020998316223996616</v>
      </c>
      <c r="Q16" s="15">
        <f>IFERROR(Q2/P2-1,"")</f>
        <v>0.09215285945718033</v>
      </c>
      <c r="R16" s="15">
        <f>IFERROR(R2/Q2-1,"")</f>
        <v>-0.438853160210105</v>
      </c>
      <c r="S16" s="15">
        <f>IFERROR(S2/R2-1,"")</f>
        <v>-0.029699999999999838</v>
      </c>
      <c r="T16" s="15">
        <f>IFERROR(T2/S2-1,"")</f>
        <v>-0.023622222222222322</v>
      </c>
      <c r="U16" s="15">
        <f>IFERROR(U2/T2-1,"")</f>
        <v>-0.017544444444444585</v>
      </c>
      <c r="V16" s="15">
        <f>IFERROR(V2/U2-1,"")</f>
        <v>-0.011466666666666625</v>
      </c>
      <c r="W16" s="15">
        <f>IFERROR(W2/V2-1,"")</f>
        <v>-0.0053888888888888875</v>
      </c>
      <c r="X16" s="15">
        <f>IFERROR(X2/W2-1,"")</f>
        <v>0.000688888888888961</v>
      </c>
      <c r="Y16" s="15">
        <f>IFERROR(Y2/X2-1,"")</f>
        <v>0.0067666666666665876</v>
      </c>
      <c r="Z16" s="15">
        <f>IFERROR(Z2/Y2-1,"")</f>
        <v>0.012844444444444436</v>
      </c>
      <c r="AA16" s="15">
        <f>IFERROR(AA2/Z2-1,"")</f>
        <v>0.018922222222222285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0.5697543479167535</v>
      </c>
      <c r="C17" s="15">
        <f>IFERROR(C4/C2,"")</f>
        <v>0.8386119128012626</v>
      </c>
      <c r="D17" s="15">
        <f>IFERROR(D4/D2,"")</f>
        <v>0.6937465025181869</v>
      </c>
      <c r="E17" s="15">
        <f>IFERROR(E4/E2,"")</f>
        <v>0.6252293973469967</v>
      </c>
      <c r="F17" s="15">
        <f>IFERROR(F4/F2,"")</f>
        <v>0.7414132325192552</v>
      </c>
      <c r="G17" s="15">
        <f>IFERROR(G4/G2,"")</f>
        <v>0.8578375442809667</v>
      </c>
      <c r="H17" s="15">
        <f>IFERROR(H4/H2,"")</f>
        <v>0.852234123682751</v>
      </c>
      <c r="I17" s="15">
        <f>IFERROR(I4/I2,"")</f>
        <v>0.817361396552141</v>
      </c>
      <c r="J17" s="15">
        <f>IFERROR(J4/J2,"")</f>
        <v>0.9007282807569439</v>
      </c>
      <c r="K17" s="15">
        <f>IFERROR(K4/K2,"")</f>
        <v>0.9795428396167676</v>
      </c>
      <c r="L17" s="15">
        <f>IFERROR(L4/L2,"")</f>
        <v>0.8135180645105002</v>
      </c>
      <c r="M17" s="15">
        <f>IFERROR(M4/M2,"")</f>
        <v>0.8726285845077331</v>
      </c>
      <c r="N17" s="15">
        <f>IFERROR(N4/N2,"")</f>
        <v>0.7556890105684594</v>
      </c>
      <c r="O17" s="15">
        <f>IFERROR(O4/O2,"")</f>
        <v>0.7649774591276953</v>
      </c>
      <c r="P17" s="15">
        <f>IFERROR(P4/P2,"")</f>
        <v>0.6253079159361754</v>
      </c>
      <c r="Q17" s="15">
        <f>IFERROR(Q4/Q2,"")</f>
        <v>0.6882359515173683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  <c r="AA17" s="15">
        <f>IFERROR(AA4/AA2,"")</f>
        <v>1.0</v>
      </c>
      <c r="AB17" s="15">
        <f>IFERROR(AB4/AB2,"")</f>
        <v>1.0</v>
      </c>
    </row>
    <row r="18">
      <c r="A18" s="14" t="inlineStr">
        <is>
          <t>Operating Margin</t>
        </is>
      </c>
      <c r="B18" s="15">
        <f>IFERROR(B8/B2,"")</f>
        <v>-1.322545216944016</v>
      </c>
      <c r="C18" s="15">
        <f>IFERROR(C8/C2,"")</f>
        <v>-0.17766082533215138</v>
      </c>
      <c r="D18" s="15">
        <f>IFERROR(D8/D2,"")</f>
        <v>-1.7338696138780079</v>
      </c>
      <c r="E18" s="15">
        <f>IFERROR(E8/E2,"")</f>
        <v>-1.7391213311820275</v>
      </c>
      <c r="F18" s="15">
        <f>IFERROR(F8/F2,"")</f>
        <v>-0.8066693078880748</v>
      </c>
      <c r="G18" s="15">
        <f>IFERROR(G8/G2,"")</f>
        <v>-0.08213465399811673</v>
      </c>
      <c r="H18" s="15">
        <f>IFERROR(H8/H2,"")</f>
        <v>-0.12726618829728234</v>
      </c>
      <c r="I18" s="15">
        <f>IFERROR(I8/I2,"")</f>
        <v>-0.6821671220290625</v>
      </c>
      <c r="J18" s="15">
        <f>IFERROR(J8/J2,"")</f>
        <v>-0.19382472514794744</v>
      </c>
      <c r="K18" s="15">
        <f>IFERROR(K8/K2,"")</f>
        <v>0.5764843215122812</v>
      </c>
      <c r="L18" s="15">
        <f>IFERROR(L8/L2,"")</f>
        <v>-3.839177434411998</v>
      </c>
      <c r="M18" s="15">
        <f>IFERROR(M8/M2,"")</f>
        <v>-2.780047738939934</v>
      </c>
      <c r="N18" s="15">
        <f>IFERROR(N8/N2,"")</f>
        <v>-4.377550119226354</v>
      </c>
      <c r="O18" s="15">
        <f>IFERROR(O8/O2,"")</f>
        <v>-4.086317962087882</v>
      </c>
      <c r="P18" s="15">
        <f>IFERROR(P8/P2,"")</f>
        <v>-2.9258560617829166</v>
      </c>
      <c r="Q18" s="15">
        <f>IFERROR(Q8/Q2,"")</f>
        <v>-1.0687920997287328</v>
      </c>
      <c r="R18" s="15">
        <f>IFERROR(R8/R2,"")</f>
        <v>-2.536609212050985</v>
      </c>
      <c r="S18" s="15">
        <f>IFERROR(S8/S2,"")</f>
        <v>-1.3300000000000003</v>
      </c>
      <c r="T18" s="15">
        <f>IFERROR(T8/T2,"")</f>
        <v>-1.1600000000000001</v>
      </c>
      <c r="U18" s="15">
        <f>IFERROR(U8/U2,"")</f>
        <v>-0.9899999999999999</v>
      </c>
      <c r="V18" s="15">
        <f>IFERROR(V8/V2,"")</f>
        <v>-0.8200000000000001</v>
      </c>
      <c r="W18" s="15">
        <f>IFERROR(W8/W2,"")</f>
        <v>-0.65</v>
      </c>
      <c r="X18" s="15">
        <f>IFERROR(X8/X2,"")</f>
        <v>-0.4800000000000001</v>
      </c>
      <c r="Y18" s="15">
        <f>IFERROR(Y8/Y2,"")</f>
        <v>-0.31000000000000005</v>
      </c>
      <c r="Z18" s="15">
        <f>IFERROR(Z8/Z2,"")</f>
        <v>-0.1400000000000001</v>
      </c>
      <c r="AA18" s="15">
        <f>IFERROR(AA8/AA2,"")</f>
        <v>0.029999999999999857</v>
      </c>
      <c r="AB18" s="15">
        <f>IFERROR(AB8/AB2,"")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Nektar Therapeutics: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-0.07969999999999999</v>
      </c>
      <c r="C12" s="53" t="n">
        <v>-0.0297</v>
      </c>
      <c r="D12" s="53" t="n">
        <v>0.0203</v>
      </c>
      <c r="E12" s="54">
        <f>CHOOSE($B$4,B12,C12,D12)</f>
        <v>-0.0297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0.6007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55.232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-166.30319406392667</v>
      </c>
      <c r="C29" s="56">
        <f>NPV!B26</f>
        <v>518.0378059360734</v>
      </c>
      <c r="D29" s="35">
        <f>NPV!B28</f>
        <v>15.172594586639747</v>
      </c>
      <c r="E29" s="57">
        <f>NPV!B30</f>
        <v>-0.6131413924875129</v>
      </c>
    </row>
    <row r="30">
      <c r="A30" s="58" t="n">
        <v>1</v>
      </c>
      <c r="B30" s="59">
        <f t="dataTable" ref="B30:E32" r1="B4"/>
        <v>-162.10570399110756</v>
      </c>
      <c r="C30" s="59">
        <v>522.2352960088924</v>
      </c>
      <c r="D30" s="39">
        <v>15.295533133646463</v>
      </c>
      <c r="E30" s="60">
        <v>-0.6100068043435374</v>
      </c>
    </row>
    <row r="31">
      <c r="A31" s="58" t="n">
        <v>2</v>
      </c>
      <c r="B31" s="59">
        <v>-166.30319406392667</v>
      </c>
      <c r="C31" s="59">
        <v>518.0378059360734</v>
      </c>
      <c r="D31" s="39">
        <v>15.172594586639747</v>
      </c>
      <c r="E31" s="60">
        <v>-0.6131413924875129</v>
      </c>
    </row>
    <row r="32">
      <c r="A32" s="58" t="n">
        <v>3</v>
      </c>
      <c r="B32" s="59">
        <v>-147.83687313245497</v>
      </c>
      <c r="C32" s="59">
        <v>536.504126867545</v>
      </c>
      <c r="D32" s="39">
        <v>15.713447006655157</v>
      </c>
      <c r="E32" s="60">
        <v>-0.5993511727012963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15.172594586639747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15.300607021849384</v>
      </c>
      <c r="C37" s="39">
        <v>15.418522691471434</v>
      </c>
      <c r="D37" s="39">
        <v>15.558386991972066</v>
      </c>
      <c r="E37" s="39">
        <v>15.725730705364732</v>
      </c>
      <c r="F37" s="39">
        <v>15.928096326236533</v>
      </c>
    </row>
    <row r="38">
      <c r="A38" s="62" t="n">
        <v>0.1</v>
      </c>
      <c r="B38" s="39">
        <v>15.143561283327506</v>
      </c>
      <c r="C38" s="39">
        <v>15.224940171305768</v>
      </c>
      <c r="D38" s="39">
        <v>15.320306541111893</v>
      </c>
      <c r="E38" s="39">
        <v>15.432692872013785</v>
      </c>
      <c r="F38" s="39">
        <v>15.566065124845498</v>
      </c>
    </row>
    <row r="39">
      <c r="A39" s="62" t="n">
        <v>0.11</v>
      </c>
      <c r="B39" s="39">
        <v>15.049188602416416</v>
      </c>
      <c r="C39" s="39">
        <v>15.106220101886512</v>
      </c>
      <c r="D39" s="39">
        <v>15.172594586639747</v>
      </c>
      <c r="E39" s="39">
        <v>15.250092820129824</v>
      </c>
      <c r="F39" s="39">
        <v>15.340970769630621</v>
      </c>
    </row>
    <row r="40">
      <c r="A40" s="62" t="n">
        <v>0.12</v>
      </c>
      <c r="B40" s="39">
        <v>14.997740458858328</v>
      </c>
      <c r="C40" s="39">
        <v>15.037931908001239</v>
      </c>
      <c r="D40" s="39">
        <v>15.084597633821247</v>
      </c>
      <c r="E40" s="39">
        <v>15.13884092108834</v>
      </c>
      <c r="F40" s="39">
        <v>15.202024926788532</v>
      </c>
    </row>
    <row r="41">
      <c r="A41" s="62" t="n">
        <v>0.13</v>
      </c>
      <c r="B41" s="39">
        <v>14.976475278801574</v>
      </c>
      <c r="C41" s="39">
        <v>15.004675920845376</v>
      </c>
      <c r="D41" s="39">
        <v>15.037496860733555</v>
      </c>
      <c r="E41" s="39">
        <v>15.075651703588184</v>
      </c>
      <c r="F41" s="39">
        <v>15.120004518585882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Nektar Therapeutics: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-0.0297</v>
      </c>
      <c r="D5" s="63">
        <f>Assumptions!$E$12+(Assumptions!$E$11-Assumptions!$E$12)*(D4-1)/(Assumptions!$B$21-1)</f>
        <v>-0.023622222222222225</v>
      </c>
      <c r="E5" s="63">
        <f>Assumptions!$E$12+(Assumptions!$E$11-Assumptions!$E$12)*(E4-1)/(Assumptions!$B$21-1)</f>
        <v>-0.017544444444444446</v>
      </c>
      <c r="F5" s="63">
        <f>Assumptions!$E$12+(Assumptions!$E$11-Assumptions!$E$12)*(F4-1)/(Assumptions!$B$21-1)</f>
        <v>-0.011466666666666667</v>
      </c>
      <c r="G5" s="63">
        <f>Assumptions!$E$12+(Assumptions!$E$11-Assumptions!$E$12)*(G4-1)/(Assumptions!$B$21-1)</f>
        <v>-0.005388888888888891</v>
      </c>
      <c r="H5" s="63">
        <f>Assumptions!$E$12+(Assumptions!$E$11-Assumptions!$E$12)*(H4-1)/(Assumptions!$B$21-1)</f>
        <v>0.0006888888888888847</v>
      </c>
      <c r="I5" s="63">
        <f>Assumptions!$E$12+(Assumptions!$E$11-Assumptions!$E$12)*(I4-1)/(Assumptions!$B$21-1)</f>
        <v>0.006766666666666667</v>
      </c>
      <c r="J5" s="63">
        <f>Assumptions!$E$12+(Assumptions!$E$11-Assumptions!$E$12)*(J4-1)/(Assumptions!$B$21-1)</f>
        <v>0.012844444444444447</v>
      </c>
      <c r="K5" s="63">
        <f>Assumptions!$E$12+(Assumptions!$E$11-Assumptions!$E$12)*(K4-1)/(Assumptions!$B$21-1)</f>
        <v>0.01892222222222222</v>
      </c>
      <c r="L5" s="63">
        <f>Assumptions!$E$12+(Assumptions!$E$11-Assumptions!$E$12)*(L4-1)/(Assumptions!$B$21-1)</f>
        <v>0.024999999999999998</v>
      </c>
    </row>
    <row r="6">
      <c r="A6" s="14" t="inlineStr">
        <is>
          <t>Operating margin</t>
        </is>
      </c>
      <c r="B6" s="63">
        <f>IFERROR(B8/B7,0)</f>
        <v>-2.536609212050985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Model'!R2</f>
        <v>55.232</v>
      </c>
      <c r="C7" s="55">
        <f>'Yearly Model'!S2</f>
        <v>53.591609600000005</v>
      </c>
      <c r="D7" s="55">
        <f>'Yearly Model'!T2</f>
        <v>52.325656688782225</v>
      </c>
      <c r="E7" s="55">
        <f>'Yearly Model'!U2</f>
        <v>51.40763211198681</v>
      </c>
      <c r="F7" s="55">
        <f>'Yearly Model'!V2</f>
        <v>50.81815793043603</v>
      </c>
      <c r="G7" s="55">
        <f>'Yearly Model'!W2</f>
        <v>50.5443045238109</v>
      </c>
      <c r="H7" s="55">
        <f>'Yearly Model'!X2</f>
        <v>50.579123933593976</v>
      </c>
      <c r="I7" s="55">
        <f>'Yearly Model'!Y2</f>
        <v>50.92137600554462</v>
      </c>
      <c r="J7" s="55">
        <f>'Yearly Model'!Z2</f>
        <v>51.575432790682505</v>
      </c>
      <c r="K7" s="55">
        <f>'Yearly Model'!AA2</f>
        <v>52.55135459115509</v>
      </c>
      <c r="L7" s="55">
        <f>'Yearly Model'!AB2</f>
        <v>53.86513845593396</v>
      </c>
    </row>
    <row r="8">
      <c r="A8" s="14" t="inlineStr">
        <is>
          <t>Operating income</t>
        </is>
      </c>
      <c r="B8" s="55">
        <f>'Yearly Model'!R8</f>
        <v>-140.102</v>
      </c>
      <c r="C8" s="55">
        <f>'Yearly Model'!S8</f>
        <v>-71.27684076800003</v>
      </c>
      <c r="D8" s="55">
        <f>'Yearly Model'!T8</f>
        <v>-60.69776175898739</v>
      </c>
      <c r="E8" s="55">
        <f>'Yearly Model'!U8</f>
        <v>-50.893555790866934</v>
      </c>
      <c r="F8" s="55">
        <f>'Yearly Model'!V8</f>
        <v>-41.67088950295755</v>
      </c>
      <c r="G8" s="55">
        <f>'Yearly Model'!W8</f>
        <v>-32.85379794047709</v>
      </c>
      <c r="H8" s="55">
        <f>'Yearly Model'!X8</f>
        <v>-24.277979488125112</v>
      </c>
      <c r="I8" s="55">
        <f>'Yearly Model'!Y8</f>
        <v>-15.785626561718836</v>
      </c>
      <c r="J8" s="55">
        <f>'Yearly Model'!Z8</f>
        <v>-7.2205605906955554</v>
      </c>
      <c r="K8" s="55">
        <f>'Yearly Model'!AA8</f>
        <v>1.5765406377346451</v>
      </c>
      <c r="L8" s="55">
        <f>'Yearly Model'!AB8</f>
        <v>10.77302769118679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0.2680119084148897</v>
      </c>
      <c r="L9" s="52">
        <f>MAX(0,L8)*Assumptions!$E$14</f>
        <v>1.8314147075017544</v>
      </c>
    </row>
    <row r="10">
      <c r="A10" s="14" t="inlineStr">
        <is>
          <t>NOPAT</t>
        </is>
      </c>
      <c r="C10" s="52">
        <f>C8-C9</f>
        <v>-71.27684076800003</v>
      </c>
      <c r="D10" s="52">
        <f>D8-D9</f>
        <v>-60.69776175898739</v>
      </c>
      <c r="E10" s="52">
        <f>E8-E9</f>
        <v>-50.893555790866934</v>
      </c>
      <c r="F10" s="52">
        <f>F8-F9</f>
        <v>-41.67088950295755</v>
      </c>
      <c r="G10" s="52">
        <f>G8-G9</f>
        <v>-32.85379794047709</v>
      </c>
      <c r="H10" s="52">
        <f>H8-H9</f>
        <v>-24.277979488125112</v>
      </c>
      <c r="I10" s="52">
        <f>I8-I9</f>
        <v>-15.785626561718836</v>
      </c>
      <c r="J10" s="52">
        <f>J8-J9</f>
        <v>-7.2205605906955554</v>
      </c>
      <c r="K10" s="52">
        <f>K8-K9</f>
        <v>1.3085287293197554</v>
      </c>
      <c r="L10" s="52">
        <f>L8-L9</f>
        <v>8.941612983685037</v>
      </c>
    </row>
    <row r="11">
      <c r="A11" s="14" t="inlineStr">
        <is>
          <t>Reinvestment</t>
        </is>
      </c>
      <c r="C11" s="52">
        <f>(C7-B7)*Assumptions!$E$15</f>
        <v>-0.4100975999999985</v>
      </c>
      <c r="D11" s="52">
        <f>(D7-C7)*Assumptions!$E$15</f>
        <v>-0.3164882278044452</v>
      </c>
      <c r="E11" s="52">
        <f>(E7-D7)*Assumptions!$E$15</f>
        <v>-0.2295061441988544</v>
      </c>
      <c r="F11" s="52">
        <f>(F7-E7)*Assumptions!$E$15</f>
        <v>-0.14736854538769428</v>
      </c>
      <c r="G11" s="52">
        <f>(G7-F7)*Assumptions!$E$15</f>
        <v>-0.06846335165628226</v>
      </c>
      <c r="H11" s="52">
        <f>(H7-G7)*Assumptions!$E$15</f>
        <v>0.008704852445768907</v>
      </c>
      <c r="I11" s="52">
        <f>(I7-H7)*Assumptions!$E$15</f>
        <v>0.08556301798766164</v>
      </c>
      <c r="J11" s="52">
        <f>(J7-I7)*Assumptions!$E$15</f>
        <v>0.16351419628447061</v>
      </c>
      <c r="K11" s="52">
        <f>(K7-J7)*Assumptions!$E$15</f>
        <v>0.24398045011814595</v>
      </c>
      <c r="L11" s="52">
        <f>(L7-K7)*Assumptions!$E$15</f>
        <v>0.32844596619471744</v>
      </c>
    </row>
    <row r="12">
      <c r="A12" s="20" t="inlineStr">
        <is>
          <t>Free cash flow</t>
        </is>
      </c>
      <c r="C12" s="64">
        <f>C10-C11</f>
        <v>-70.86674316800003</v>
      </c>
      <c r="D12" s="64">
        <f>D10-D11</f>
        <v>-60.38127353118294</v>
      </c>
      <c r="E12" s="64">
        <f>E10-E11</f>
        <v>-50.664049646668076</v>
      </c>
      <c r="F12" s="64">
        <f>F10-F11</f>
        <v>-41.52352095756986</v>
      </c>
      <c r="G12" s="64">
        <f>G10-G11</f>
        <v>-32.7853345888208</v>
      </c>
      <c r="H12" s="64">
        <f>H10-H11</f>
        <v>-24.28668434057088</v>
      </c>
      <c r="I12" s="64">
        <f>I10-I11</f>
        <v>-15.871189579706497</v>
      </c>
      <c r="J12" s="64">
        <f>J10-J11</f>
        <v>-7.384074786980026</v>
      </c>
      <c r="K12" s="64">
        <f>K10-K11</f>
        <v>1.0645482792016094</v>
      </c>
      <c r="L12" s="64">
        <f>L10-L11</f>
        <v>8.61316701749032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-34.79649617183324</v>
      </c>
      <c r="D16" s="64">
        <f>D12*D13*D15</f>
        <v>-54.374273293735754</v>
      </c>
      <c r="E16" s="64">
        <f>E12*E13*E15</f>
        <v>-41.10248871816526</v>
      </c>
      <c r="F16" s="64">
        <f>F12*F13*F15</f>
        <v>-30.348652405060776</v>
      </c>
      <c r="G16" s="64">
        <f>G12*G13*G15</f>
        <v>-21.58747665047098</v>
      </c>
      <c r="H16" s="64">
        <f>H12*H13*H15</f>
        <v>-14.406799432460067</v>
      </c>
      <c r="I16" s="64">
        <f>I12*I13*I15</f>
        <v>-8.48175614966889</v>
      </c>
      <c r="J16" s="64">
        <f>J12*J13*J15</f>
        <v>-3.555080268572506</v>
      </c>
      <c r="K16" s="64">
        <f>K12*K13*K15</f>
        <v>0.46173809598241894</v>
      </c>
      <c r="L16" s="64">
        <f>L12*L13*L15</f>
        <v>3.365659954221005</v>
      </c>
    </row>
    <row r="19">
      <c r="A19" s="14" t="inlineStr">
        <is>
          <t>PV of forecast free cash flow</t>
        </is>
      </c>
      <c r="B19" s="52">
        <f>SUM(C16:L16)</f>
        <v>-204.82562503976405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8.828496192927576</v>
      </c>
    </row>
    <row r="21">
      <c r="A21" s="14" t="inlineStr">
        <is>
          <t>Terminal value</t>
        </is>
      </c>
      <c r="B21" s="52">
        <f>B20/(Assumptions!$E$10-Assumptions!$E$11)</f>
        <v>103.86466109326561</v>
      </c>
    </row>
    <row r="22">
      <c r="A22" s="14" t="inlineStr">
        <is>
          <t>PV of terminal value</t>
        </is>
      </c>
      <c r="B22" s="52">
        <f>B21/(1+Assumptions!$E$10)^(L14+0.5)</f>
        <v>38.52243097583739</v>
      </c>
    </row>
    <row r="23">
      <c r="A23" s="20" t="inlineStr">
        <is>
          <t>Enterprise value</t>
        </is>
      </c>
      <c r="B23" s="66">
        <f>B19+B22</f>
        <v>-166.30319406392667</v>
      </c>
    </row>
    <row r="24">
      <c r="A24" s="14" t="inlineStr">
        <is>
          <t>Cash &amp; investments</t>
        </is>
      </c>
      <c r="B24" s="55">
        <f>Main!C7</f>
        <v>684.341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518.0378059360734</v>
      </c>
    </row>
    <row r="27">
      <c r="A27" s="14" t="inlineStr">
        <is>
          <t>Shares (mm)</t>
        </is>
      </c>
      <c r="B27" s="55">
        <f>Main!C4</f>
        <v>34.142994</v>
      </c>
    </row>
    <row r="28">
      <c r="A28" s="20" t="inlineStr">
        <is>
          <t>NPV / share</t>
        </is>
      </c>
      <c r="B28" s="49">
        <f>B26/B27</f>
        <v>15.172594586639747</v>
      </c>
    </row>
    <row r="29">
      <c r="A29" s="14" t="inlineStr">
        <is>
          <t>Price</t>
        </is>
      </c>
      <c r="B29" s="50">
        <f>Main!C3</f>
        <v>39.22</v>
      </c>
    </row>
    <row r="30">
      <c r="A30" s="14" t="inlineStr">
        <is>
          <t>Upside</t>
        </is>
      </c>
      <c r="B30" s="63">
        <f>B28/B29-1</f>
        <v>-0.6131413924875129</v>
      </c>
    </row>
    <row r="31">
      <c r="A31" s="14" t="inlineStr">
        <is>
          <t>Terminal value, % of EV</t>
        </is>
      </c>
      <c r="B31" s="63">
        <f>IFERROR(B22/B23,0)</f>
        <v>-0.23163975408090737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2026-10-21T06:23:29Z</dcterms:modified>
  <cp:lastModifiedBy>Wang, Eric</cp:lastModifiedBy>
</cp:coreProperties>
</file>