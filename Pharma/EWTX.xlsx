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Edgewise Therapeutics, Inc.</t>
        </is>
      </c>
      <c r="C2" s="10" t="n"/>
    </row>
    <row r="3">
      <c r="B3" t="inlineStr">
        <is>
          <t>Price</t>
        </is>
      </c>
      <c r="C3" s="11">
        <f>INDEX([1]Pharma!$F$1:$F$1000,MATCH("EWTX",[1]Pharma!$B$1:$B$1000,0))</f>
        <v>39.75</v>
      </c>
      <c r="F3" s="1" t="n"/>
    </row>
    <row r="4">
      <c r="B4" t="inlineStr">
        <is>
          <t>Shares</t>
        </is>
      </c>
      <c r="C4" s="21" t="n">
        <v>108.604129</v>
      </c>
      <c r="F4" s="1" t="n"/>
    </row>
    <row r="5">
      <c r="B5" t="inlineStr">
        <is>
          <t>Market Cap.</t>
        </is>
      </c>
      <c r="C5" s="13">
        <f>C3*C4</f>
        <v>4317.01412775</v>
      </c>
      <c r="F5" s="1" t="n"/>
    </row>
    <row r="6"/>
    <row r="7">
      <c r="B7" t="inlineStr">
        <is>
          <t>Cash</t>
        </is>
      </c>
      <c r="C7" s="21" t="n">
        <v>72.319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4244.695127749999</v>
      </c>
    </row>
    <row r="10"/>
    <row r="11">
      <c r="B11" s="14" t="inlineStr">
        <is>
          <t>rNPV / Share</t>
        </is>
      </c>
      <c r="C11" s="11">
        <f>NPV!B27</f>
        <v>0.8491666065029759</v>
      </c>
    </row>
    <row r="12">
      <c r="B12" s="14" t="inlineStr">
        <is>
          <t>Upside</t>
        </is>
      </c>
      <c r="C12" s="15">
        <f>IFERROR(C11/C3-1,"")</f>
        <v>-0.9786373180753968</v>
      </c>
    </row>
    <row r="13">
      <c r="B13" s="14" t="inlineStr">
        <is>
          <t>Cash / Share</t>
        </is>
      </c>
      <c r="C13" s="11">
        <f>IFERROR((C7-C8)/C4,"")</f>
        <v>0.6658954927947537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-158.38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0.4566169970955929</v>
      </c>
    </row>
    <row r="19">
      <c r="B19" s="14" t="inlineStr">
        <is>
          <t>Implied Pipeline Value</t>
        </is>
      </c>
      <c r="C19" s="13">
        <f>C9</f>
        <v>4244.695127749999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14.983</v>
      </c>
      <c r="C5" s="23" t="n">
        <v>32.189</v>
      </c>
      <c r="D5" s="23" t="n">
        <v>54.032</v>
      </c>
      <c r="E5" s="23" t="n">
        <v>90.905</v>
      </c>
      <c r="F5" s="23" t="n">
        <v>126.966</v>
      </c>
      <c r="G5" s="23" t="n">
        <v>151.389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2.209</v>
      </c>
      <c r="C6" s="23" t="n">
        <v>11.026</v>
      </c>
      <c r="D6" s="23" t="n">
        <v>17.626</v>
      </c>
      <c r="E6" s="23" t="n">
        <v>23.452</v>
      </c>
      <c r="F6" s="23" t="n">
        <v>31.866</v>
      </c>
      <c r="G6" s="23" t="n">
        <v>40.017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17.192</v>
      </c>
      <c r="C7" s="23">
        <f>SUM(C5:C6)</f>
        <v>43.215</v>
      </c>
      <c r="D7" s="23">
        <f>SUM(D5:D6)</f>
        <v>71.658</v>
      </c>
      <c r="E7" s="23">
        <f>SUM(E5:E6)</f>
        <v>114.357</v>
      </c>
      <c r="F7" s="23">
        <f>SUM(F5:F6)</f>
        <v>158.832</v>
      </c>
      <c r="G7" s="23">
        <f>SUM(G5:G6)</f>
        <v>191.406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-17.192</v>
      </c>
      <c r="C8" s="23">
        <f>C4-C7</f>
        <v>-43.215</v>
      </c>
      <c r="D8" s="23">
        <f>D4-D7</f>
        <v>-71.658</v>
      </c>
      <c r="E8" s="23">
        <f>E4-E7</f>
        <v>-114.357</v>
      </c>
      <c r="F8" s="23">
        <f>F4-F7</f>
        <v>-158.832</v>
      </c>
      <c r="G8" s="23">
        <f>G4-G7</f>
        <v>-191.406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0.06900000000000001</v>
      </c>
      <c r="C9" s="23" t="n">
        <v>0.402</v>
      </c>
      <c r="D9" s="23" t="n">
        <v>4.018</v>
      </c>
      <c r="E9" s="23" t="n">
        <v>114.261</v>
      </c>
      <c r="F9" s="23" t="n">
        <v>158.701</v>
      </c>
      <c r="G9" s="23" t="n">
        <v>191.242</v>
      </c>
    </row>
    <row r="10">
      <c r="A10" s="2" t="inlineStr">
        <is>
          <t>Pretax</t>
        </is>
      </c>
      <c r="B10" s="23">
        <f>B8+B9</f>
        <v>-17.123</v>
      </c>
      <c r="C10" s="23">
        <f>C8+C9</f>
        <v>-42.813</v>
      </c>
      <c r="D10" s="23">
        <f>D8+D9</f>
        <v>-67.64</v>
      </c>
      <c r="E10" s="23">
        <f>E8+E9</f>
        <v>-0.09600000000000364</v>
      </c>
      <c r="F10" s="23">
        <f>F8+F9</f>
        <v>-0.13100000000000023</v>
      </c>
      <c r="G10" s="23">
        <f>G8+G9</f>
        <v>-0.1640000000000157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0.004</v>
      </c>
      <c r="F11" s="23" t="n">
        <v>0.003</v>
      </c>
      <c r="G11" s="23" t="n">
        <v>0.004</v>
      </c>
    </row>
    <row r="12">
      <c r="A12" s="2" t="inlineStr">
        <is>
          <t>Net Income</t>
        </is>
      </c>
      <c r="B12" s="23" t="n">
        <v>-17.123</v>
      </c>
      <c r="C12" s="23" t="n">
        <v>-42.813</v>
      </c>
      <c r="D12" s="23" t="n">
        <v>-67.64</v>
      </c>
      <c r="E12" s="23" t="n">
        <v>-0.1</v>
      </c>
      <c r="F12" s="23" t="n">
        <v>-0.134</v>
      </c>
      <c r="G12" s="23" t="n">
        <v>-0.168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-0.45432354267823505</v>
      </c>
      <c r="C13" s="11">
        <f>IFERROR(C12/C14,0)</f>
        <v>-1.140888983638011</v>
      </c>
      <c r="D13" s="11">
        <f>IFERROR(D12/D14,0)</f>
        <v>-1.262081576295854</v>
      </c>
      <c r="E13" s="11">
        <f>IFERROR(E12/E14,0)</f>
        <v>-0.0015692674659468961</v>
      </c>
      <c r="F13" s="11">
        <f>IFERROR(F12/F14,0)</f>
        <v>-0.0014499810636801386</v>
      </c>
      <c r="G13" s="11">
        <f>IFERROR(G12/G14,0)</f>
        <v>-0.001632161350807823</v>
      </c>
    </row>
    <row r="14">
      <c r="A14" s="2" t="inlineStr">
        <is>
          <t>Shares</t>
        </is>
      </c>
      <c r="B14" s="23" t="n">
        <v>37.689</v>
      </c>
      <c r="C14" s="23" t="n">
        <v>37.526</v>
      </c>
      <c r="D14" s="23" t="n">
        <v>53.594</v>
      </c>
      <c r="E14" s="23" t="n">
        <v>63.724</v>
      </c>
      <c r="F14" s="23" t="n">
        <v>92.41500000000001</v>
      </c>
      <c r="G14" s="23" t="n">
        <v>102.931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Edgewise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0.40970505674799995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218.895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128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19.903999675141442</v>
      </c>
      <c r="C29" s="42">
        <f>NPV!B25</f>
        <v>92.22299967514144</v>
      </c>
      <c r="D29" s="43">
        <f>NPV!B27</f>
        <v>0.8491666065029759</v>
      </c>
      <c r="E29" s="44">
        <f>NPV!B29</f>
        <v>-0.9786373180753968</v>
      </c>
    </row>
    <row r="30">
      <c r="A30" s="45" t="n">
        <v>1</v>
      </c>
      <c r="B30" s="46">
        <f t="dataTable" ref="B30:E32" r1="B4"/>
        <v>-373.839051171914</v>
      </c>
      <c r="C30" s="46">
        <v>-301.52005117191396</v>
      </c>
      <c r="D30" s="47">
        <v>-2.7763221706967878</v>
      </c>
      <c r="E30" s="48">
        <v>-1.0698445829106111</v>
      </c>
    </row>
    <row r="31">
      <c r="A31" s="45" t="n">
        <v>2</v>
      </c>
      <c r="B31" s="46">
        <v>19.903999675141442</v>
      </c>
      <c r="C31" s="46">
        <v>92.22299967514144</v>
      </c>
      <c r="D31" s="47">
        <v>0.8491666065029759</v>
      </c>
      <c r="E31" s="48">
        <v>-0.9786373180753968</v>
      </c>
    </row>
    <row r="32">
      <c r="A32" s="45" t="n">
        <v>3</v>
      </c>
      <c r="B32" s="46">
        <v>656.7377856755315</v>
      </c>
      <c r="C32" s="46">
        <v>729.0567856755315</v>
      </c>
      <c r="D32" s="47">
        <v>6.712974841642821</v>
      </c>
      <c r="E32" s="48">
        <v>-0.8311201297699919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0.8491666065029759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-3.553585357855326</v>
      </c>
      <c r="C37" s="47">
        <v>-2.4244473435510536</v>
      </c>
      <c r="D37" s="47">
        <v>-1.4023313201393368</v>
      </c>
      <c r="E37" s="47">
        <v>0.5760958153001182</v>
      </c>
      <c r="F37" s="47">
        <v>2.516714219581694</v>
      </c>
    </row>
    <row r="38">
      <c r="A38" s="50" t="n">
        <v>0.8</v>
      </c>
      <c r="B38" s="47">
        <v>-2.9872806672402583</v>
      </c>
      <c r="C38" s="47">
        <v>-1.6035219097872684</v>
      </c>
      <c r="D38" s="47">
        <v>-0.27452818656522804</v>
      </c>
      <c r="E38" s="47">
        <v>2.3250810886880133</v>
      </c>
      <c r="F38" s="47">
        <v>4.893116138471689</v>
      </c>
    </row>
    <row r="39">
      <c r="A39" s="50" t="n">
        <v>1</v>
      </c>
      <c r="B39" s="47">
        <v>-2.4764280666703233</v>
      </c>
      <c r="C39" s="47">
        <v>-0.7885379008340266</v>
      </c>
      <c r="D39" s="47">
        <v>0.8491666065029759</v>
      </c>
      <c r="E39" s="47">
        <v>4.071656187984285</v>
      </c>
      <c r="F39" s="47">
        <v>7.2640586256634405</v>
      </c>
    </row>
    <row r="40">
      <c r="A40" s="50" t="n">
        <v>1.2</v>
      </c>
      <c r="B40" s="47">
        <v>-1.9685054913164282</v>
      </c>
      <c r="C40" s="47">
        <v>0.026282776039787306</v>
      </c>
      <c r="D40" s="47">
        <v>1.9768937838671405</v>
      </c>
      <c r="E40" s="47">
        <v>5.8248438489185625</v>
      </c>
      <c r="F40" s="47">
        <v>9.645505095979148</v>
      </c>
    </row>
    <row r="41">
      <c r="A41" s="50" t="n">
        <v>1.4</v>
      </c>
      <c r="B41" s="47">
        <v>-1.4577029626754296</v>
      </c>
      <c r="C41" s="47">
        <v>0.8457193392612652</v>
      </c>
      <c r="D41" s="47">
        <v>3.105820397745746</v>
      </c>
      <c r="E41" s="47">
        <v>7.580825231863645</v>
      </c>
      <c r="F41" s="47">
        <v>12.0335747262475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Edgewise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Heart failure</t>
        </is>
      </c>
      <c r="C4" s="14" t="inlineStr">
        <is>
          <t>EDG-15400 25 mg, EDG-15400 50 mg</t>
        </is>
      </c>
      <c r="D4" s="14" t="inlineStr">
        <is>
          <t>Phase 2</t>
        </is>
      </c>
      <c r="E4" s="14" t="inlineStr">
        <is>
          <t>Cardiovascular / chronic</t>
        </is>
      </c>
      <c r="F4" s="14" t="inlineStr">
        <is>
          <t>Owned</t>
        </is>
      </c>
      <c r="G4" s="40" t="n">
        <v>2500</v>
      </c>
      <c r="H4" s="27" t="n">
        <v>0.1273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361.54568043581423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31.825</v>
      </c>
      <c r="S4" s="23">
        <f>IF(S$3&lt;$I4,0,$G4*Assumptions!$E$11*INDEX(Assumptions!$B$24:$G$24,MIN(6,S$3-$I4+1))*IF(S$3&gt;$J4,(1-Assumptions!$B$26)^(S$3-$J4),1)*IF($H4&gt;=1,1,MIN(0.97,$H4*Assumptions!$E$12)))</f>
        <v>79.5625</v>
      </c>
      <c r="T4" s="23">
        <f>IF(T$3&lt;$I4,0,$G4*Assumptions!$E$11*INDEX(Assumptions!$B$24:$G$24,MIN(6,T$3-$I4+1))*IF(T$3&gt;$J4,(1-Assumptions!$B$26)^(T$3-$J4),1)*IF($H4&gt;=1,1,MIN(0.97,$H4*Assumptions!$E$12)))</f>
        <v>143.2125</v>
      </c>
      <c r="U4" s="23">
        <f>IF(U$3&lt;$I4,0,$G4*Assumptions!$E$11*INDEX(Assumptions!$B$24:$G$24,MIN(6,U$3-$I4+1))*IF(U$3&gt;$J4,(1-Assumptions!$B$26)^(U$3-$J4),1)*IF($H4&gt;=1,1,MIN(0.97,$H4*Assumptions!$E$12)))</f>
        <v>206.86249999999998</v>
      </c>
      <c r="V4" s="23">
        <f>IF(V$3&lt;$I4,0,$G4*Assumptions!$E$11*INDEX(Assumptions!$B$24:$G$24,MIN(6,V$3-$I4+1))*IF(V$3&gt;$J4,(1-Assumptions!$B$26)^(V$3-$J4),1)*IF($H4&gt;=1,1,MIN(0.97,$H4*Assumptions!$E$12)))</f>
        <v>270.5125</v>
      </c>
      <c r="W4" s="23">
        <f>IF(W$3&lt;$I4,0,$G4*Assumptions!$E$11*INDEX(Assumptions!$B$24:$G$24,MIN(6,W$3-$I4+1))*IF(W$3&gt;$J4,(1-Assumptions!$B$26)^(W$3-$J4),1)*IF($H4&gt;=1,1,MIN(0.97,$H4*Assumptions!$E$12)))</f>
        <v>318.25</v>
      </c>
      <c r="X4" s="23">
        <f>IF(X$3&lt;$I4,0,$G4*Assumptions!$E$11*INDEX(Assumptions!$B$24:$G$24,MIN(6,X$3-$I4+1))*IF(X$3&gt;$J4,(1-Assumptions!$B$26)^(X$3-$J4),1)*IF($H4&gt;=1,1,MIN(0.97,$H4*Assumptions!$E$12)))</f>
        <v>318.25</v>
      </c>
      <c r="Y4" s="23">
        <f>IF(Y$3&lt;$I4,0,$G4*Assumptions!$E$11*INDEX(Assumptions!$B$24:$G$24,MIN(6,Y$3-$I4+1))*IF(Y$3&gt;$J4,(1-Assumptions!$B$26)^(Y$3-$J4),1)*IF($H4&gt;=1,1,MIN(0.97,$H4*Assumptions!$E$12)))</f>
        <v>318.25</v>
      </c>
      <c r="Z4" s="23">
        <f>IF(Z$3&lt;$I4,0,$G4*Assumptions!$E$11*INDEX(Assumptions!$B$24:$G$24,MIN(6,Z$3-$I4+1))*IF(Z$3&gt;$J4,(1-Assumptions!$B$26)^(Z$3-$J4),1)*IF($H4&gt;=1,1,MIN(0.97,$H4*Assumptions!$E$12)))</f>
        <v>318.25</v>
      </c>
      <c r="AA4" s="23">
        <f>IF(AA$3&lt;$I4,0,$G4*Assumptions!$E$11*INDEX(Assumptions!$B$24:$G$24,MIN(6,AA$3-$I4+1))*IF(AA$3&gt;$J4,(1-Assumptions!$B$26)^(AA$3-$J4),1)*IF($H4&gt;=1,1,MIN(0.97,$H4*Assumptions!$E$12)))</f>
        <v>318.25</v>
      </c>
      <c r="AB4" s="23">
        <f>IF(AB$3&lt;$I4,0,$G4*Assumptions!$E$11*INDEX(Assumptions!$B$24:$G$24,MIN(6,AB$3-$I4+1))*IF(AB$3&gt;$J4,(1-Assumptions!$B$26)^(AB$3-$J4),1)*IF($H4&gt;=1,1,MIN(0.97,$H4*Assumptions!$E$12)))</f>
        <v>318.25</v>
      </c>
      <c r="AC4" s="23">
        <f>IF(AC$3&lt;$I4,0,$G4*Assumptions!$E$11*INDEX(Assumptions!$B$24:$G$24,MIN(6,AC$3-$I4+1))*IF(AC$3&gt;$J4,(1-Assumptions!$B$26)^(AC$3-$J4),1)*IF($H4&gt;=1,1,MIN(0.97,$H4*Assumptions!$E$12)))</f>
        <v>318.25</v>
      </c>
      <c r="AD4" s="23">
        <f>IF(AD$3&lt;$I4,0,$G4*Assumptions!$E$11*INDEX(Assumptions!$B$24:$G$24,MIN(6,AD$3-$I4+1))*IF(AD$3&gt;$J4,(1-Assumptions!$B$26)^(AD$3-$J4),1)*IF($H4&gt;=1,1,MIN(0.97,$H4*Assumptions!$E$12)))</f>
        <v>318.25</v>
      </c>
      <c r="AE4" s="23">
        <f>IF(AE$3&lt;$I4,0,$G4*Assumptions!$E$11*INDEX(Assumptions!$B$24:$G$24,MIN(6,AE$3-$I4+1))*IF(AE$3&gt;$J4,(1-Assumptions!$B$26)^(AE$3-$J4),1)*IF($H4&gt;=1,1,MIN(0.97,$H4*Assumptions!$E$12)))</f>
        <v>159.125</v>
      </c>
      <c r="AF4" s="23">
        <f>IF(AF$3&lt;$I4,0,$G4*Assumptions!$E$11*INDEX(Assumptions!$B$24:$G$24,MIN(6,AF$3-$I4+1))*IF(AF$3&gt;$J4,(1-Assumptions!$B$26)^(AF$3-$J4),1)*IF($H4&gt;=1,1,MIN(0.97,$H4*Assumptions!$E$12)))</f>
        <v>79.5625</v>
      </c>
      <c r="AG4" s="35">
        <f>IF(F4="Owned",1-IF(H4&gt;=1,1,MIN(0.97,H4*Assumptions!$E$12)),1)</f>
        <v>0.8727</v>
      </c>
    </row>
    <row r="5">
      <c r="A5" s="39" t="n">
        <v>2</v>
      </c>
      <c r="B5" s="14" t="inlineStr">
        <is>
          <t>Muscular dystrophy / SMA</t>
        </is>
      </c>
      <c r="C5" s="14" t="inlineStr">
        <is>
          <t>Sevasemten Dose 1, Sevasemten Dose 2</t>
        </is>
      </c>
      <c r="D5" s="14" t="inlineStr">
        <is>
          <t>Phase 2</t>
        </is>
      </c>
      <c r="E5" s="14" t="inlineStr">
        <is>
          <t>Neurology / rare</t>
        </is>
      </c>
      <c r="F5" s="14" t="inlineStr">
        <is>
          <t>Owned</t>
        </is>
      </c>
      <c r="G5" s="40" t="n">
        <v>1000</v>
      </c>
      <c r="H5" s="27" t="n">
        <v>0.2521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286.3964368825413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25.21</v>
      </c>
      <c r="S5" s="23">
        <f>IF(S$3&lt;$I5,0,$G5*Assumptions!$E$11*INDEX(Assumptions!$B$24:$G$24,MIN(6,S$3-$I5+1))*IF(S$3&gt;$J5,(1-Assumptions!$B$26)^(S$3-$J5),1)*IF($H5&gt;=1,1,MIN(0.97,$H5*Assumptions!$E$12)))</f>
        <v>63.025</v>
      </c>
      <c r="T5" s="23">
        <f>IF(T$3&lt;$I5,0,$G5*Assumptions!$E$11*INDEX(Assumptions!$B$24:$G$24,MIN(6,T$3-$I5+1))*IF(T$3&gt;$J5,(1-Assumptions!$B$26)^(T$3-$J5),1)*IF($H5&gt;=1,1,MIN(0.97,$H5*Assumptions!$E$12)))</f>
        <v>113.445</v>
      </c>
      <c r="U5" s="23">
        <f>IF(U$3&lt;$I5,0,$G5*Assumptions!$E$11*INDEX(Assumptions!$B$24:$G$24,MIN(6,U$3-$I5+1))*IF(U$3&gt;$J5,(1-Assumptions!$B$26)^(U$3-$J5),1)*IF($H5&gt;=1,1,MIN(0.97,$H5*Assumptions!$E$12)))</f>
        <v>163.86499999999998</v>
      </c>
      <c r="V5" s="23">
        <f>IF(V$3&lt;$I5,0,$G5*Assumptions!$E$11*INDEX(Assumptions!$B$24:$G$24,MIN(6,V$3-$I5+1))*IF(V$3&gt;$J5,(1-Assumptions!$B$26)^(V$3-$J5),1)*IF($H5&gt;=1,1,MIN(0.97,$H5*Assumptions!$E$12)))</f>
        <v>214.285</v>
      </c>
      <c r="W5" s="23">
        <f>IF(W$3&lt;$I5,0,$G5*Assumptions!$E$11*INDEX(Assumptions!$B$24:$G$24,MIN(6,W$3-$I5+1))*IF(W$3&gt;$J5,(1-Assumptions!$B$26)^(W$3-$J5),1)*IF($H5&gt;=1,1,MIN(0.97,$H5*Assumptions!$E$12)))</f>
        <v>252.1</v>
      </c>
      <c r="X5" s="23">
        <f>IF(X$3&lt;$I5,0,$G5*Assumptions!$E$11*INDEX(Assumptions!$B$24:$G$24,MIN(6,X$3-$I5+1))*IF(X$3&gt;$J5,(1-Assumptions!$B$26)^(X$3-$J5),1)*IF($H5&gt;=1,1,MIN(0.97,$H5*Assumptions!$E$12)))</f>
        <v>252.1</v>
      </c>
      <c r="Y5" s="23">
        <f>IF(Y$3&lt;$I5,0,$G5*Assumptions!$E$11*INDEX(Assumptions!$B$24:$G$24,MIN(6,Y$3-$I5+1))*IF(Y$3&gt;$J5,(1-Assumptions!$B$26)^(Y$3-$J5),1)*IF($H5&gt;=1,1,MIN(0.97,$H5*Assumptions!$E$12)))</f>
        <v>252.1</v>
      </c>
      <c r="Z5" s="23">
        <f>IF(Z$3&lt;$I5,0,$G5*Assumptions!$E$11*INDEX(Assumptions!$B$24:$G$24,MIN(6,Z$3-$I5+1))*IF(Z$3&gt;$J5,(1-Assumptions!$B$26)^(Z$3-$J5),1)*IF($H5&gt;=1,1,MIN(0.97,$H5*Assumptions!$E$12)))</f>
        <v>252.1</v>
      </c>
      <c r="AA5" s="23">
        <f>IF(AA$3&lt;$I5,0,$G5*Assumptions!$E$11*INDEX(Assumptions!$B$24:$G$24,MIN(6,AA$3-$I5+1))*IF(AA$3&gt;$J5,(1-Assumptions!$B$26)^(AA$3-$J5),1)*IF($H5&gt;=1,1,MIN(0.97,$H5*Assumptions!$E$12)))</f>
        <v>252.1</v>
      </c>
      <c r="AB5" s="23">
        <f>IF(AB$3&lt;$I5,0,$G5*Assumptions!$E$11*INDEX(Assumptions!$B$24:$G$24,MIN(6,AB$3-$I5+1))*IF(AB$3&gt;$J5,(1-Assumptions!$B$26)^(AB$3-$J5),1)*IF($H5&gt;=1,1,MIN(0.97,$H5*Assumptions!$E$12)))</f>
        <v>252.1</v>
      </c>
      <c r="AC5" s="23">
        <f>IF(AC$3&lt;$I5,0,$G5*Assumptions!$E$11*INDEX(Assumptions!$B$24:$G$24,MIN(6,AC$3-$I5+1))*IF(AC$3&gt;$J5,(1-Assumptions!$B$26)^(AC$3-$J5),1)*IF($H5&gt;=1,1,MIN(0.97,$H5*Assumptions!$E$12)))</f>
        <v>252.1</v>
      </c>
      <c r="AD5" s="23">
        <f>IF(AD$3&lt;$I5,0,$G5*Assumptions!$E$11*INDEX(Assumptions!$B$24:$G$24,MIN(6,AD$3-$I5+1))*IF(AD$3&gt;$J5,(1-Assumptions!$B$26)^(AD$3-$J5),1)*IF($H5&gt;=1,1,MIN(0.97,$H5*Assumptions!$E$12)))</f>
        <v>252.1</v>
      </c>
      <c r="AE5" s="23">
        <f>IF(AE$3&lt;$I5,0,$G5*Assumptions!$E$11*INDEX(Assumptions!$B$24:$G$24,MIN(6,AE$3-$I5+1))*IF(AE$3&gt;$J5,(1-Assumptions!$B$26)^(AE$3-$J5),1)*IF($H5&gt;=1,1,MIN(0.97,$H5*Assumptions!$E$12)))</f>
        <v>126.05</v>
      </c>
      <c r="AF5" s="23">
        <f>IF(AF$3&lt;$I5,0,$G5*Assumptions!$E$11*INDEX(Assumptions!$B$24:$G$24,MIN(6,AF$3-$I5+1))*IF(AF$3&gt;$J5,(1-Assumptions!$B$26)^(AF$3-$J5),1)*IF($H5&gt;=1,1,MIN(0.97,$H5*Assumptions!$E$12)))</f>
        <v>63.025</v>
      </c>
      <c r="AG5" s="35">
        <f>IF(F5="Owned",1-IF(H5&gt;=1,1,MIN(0.97,H5*Assumptions!$E$12)),1)</f>
        <v>0.7479</v>
      </c>
    </row>
    <row r="6">
      <c r="A6" s="39" t="n">
        <v>3</v>
      </c>
      <c r="B6" s="14" t="inlineStr">
        <is>
          <t>Cardiomyopathy</t>
        </is>
      </c>
      <c r="C6" s="14" t="inlineStr">
        <is>
          <t>EDG-7500</t>
        </is>
      </c>
      <c r="D6" s="14" t="inlineStr">
        <is>
          <t>Phase 2</t>
        </is>
      </c>
      <c r="E6" s="14" t="inlineStr">
        <is>
          <t>Cardiovascular / area</t>
        </is>
      </c>
      <c r="F6" s="14" t="inlineStr">
        <is>
          <t>Owned</t>
        </is>
      </c>
      <c r="G6" s="40" t="n">
        <v>2000</v>
      </c>
      <c r="H6" s="27" t="n">
        <v>0.0956</v>
      </c>
      <c r="I6" s="26" t="n">
        <v>2031</v>
      </c>
      <c r="J6" s="39">
        <f>I6+Assumptions!$B$25</f>
        <v>2043.0</v>
      </c>
      <c r="K6" s="53">
        <f>Assumptions!$E$13</f>
        <v>0.4</v>
      </c>
      <c r="L6" s="23">
        <f>K6*SUMPRODUCT(M6:AF6,NPV!$C$15:$V$15)</f>
        <v>217.21141900809954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19.12</v>
      </c>
      <c r="S6" s="23">
        <f>IF(S$3&lt;$I6,0,$G6*Assumptions!$E$11*INDEX(Assumptions!$B$24:$G$24,MIN(6,S$3-$I6+1))*IF(S$3&gt;$J6,(1-Assumptions!$B$26)^(S$3-$J6),1)*IF($H6&gt;=1,1,MIN(0.97,$H6*Assumptions!$E$12)))</f>
        <v>47.800000000000004</v>
      </c>
      <c r="T6" s="23">
        <f>IF(T$3&lt;$I6,0,$G6*Assumptions!$E$11*INDEX(Assumptions!$B$24:$G$24,MIN(6,T$3-$I6+1))*IF(T$3&gt;$J6,(1-Assumptions!$B$26)^(T$3-$J6),1)*IF($H6&gt;=1,1,MIN(0.97,$H6*Assumptions!$E$12)))</f>
        <v>86.04</v>
      </c>
      <c r="U6" s="23">
        <f>IF(U$3&lt;$I6,0,$G6*Assumptions!$E$11*INDEX(Assumptions!$B$24:$G$24,MIN(6,U$3-$I6+1))*IF(U$3&gt;$J6,(1-Assumptions!$B$26)^(U$3-$J6),1)*IF($H6&gt;=1,1,MIN(0.97,$H6*Assumptions!$E$12)))</f>
        <v>124.28</v>
      </c>
      <c r="V6" s="23">
        <f>IF(V$3&lt;$I6,0,$G6*Assumptions!$E$11*INDEX(Assumptions!$B$24:$G$24,MIN(6,V$3-$I6+1))*IF(V$3&gt;$J6,(1-Assumptions!$B$26)^(V$3-$J6),1)*IF($H6&gt;=1,1,MIN(0.97,$H6*Assumptions!$E$12)))</f>
        <v>162.52</v>
      </c>
      <c r="W6" s="23">
        <f>IF(W$3&lt;$I6,0,$G6*Assumptions!$E$11*INDEX(Assumptions!$B$24:$G$24,MIN(6,W$3-$I6+1))*IF(W$3&gt;$J6,(1-Assumptions!$B$26)^(W$3-$J6),1)*IF($H6&gt;=1,1,MIN(0.97,$H6*Assumptions!$E$12)))</f>
        <v>191.20000000000002</v>
      </c>
      <c r="X6" s="23">
        <f>IF(X$3&lt;$I6,0,$G6*Assumptions!$E$11*INDEX(Assumptions!$B$24:$G$24,MIN(6,X$3-$I6+1))*IF(X$3&gt;$J6,(1-Assumptions!$B$26)^(X$3-$J6),1)*IF($H6&gt;=1,1,MIN(0.97,$H6*Assumptions!$E$12)))</f>
        <v>191.20000000000002</v>
      </c>
      <c r="Y6" s="23">
        <f>IF(Y$3&lt;$I6,0,$G6*Assumptions!$E$11*INDEX(Assumptions!$B$24:$G$24,MIN(6,Y$3-$I6+1))*IF(Y$3&gt;$J6,(1-Assumptions!$B$26)^(Y$3-$J6),1)*IF($H6&gt;=1,1,MIN(0.97,$H6*Assumptions!$E$12)))</f>
        <v>191.20000000000002</v>
      </c>
      <c r="Z6" s="23">
        <f>IF(Z$3&lt;$I6,0,$G6*Assumptions!$E$11*INDEX(Assumptions!$B$24:$G$24,MIN(6,Z$3-$I6+1))*IF(Z$3&gt;$J6,(1-Assumptions!$B$26)^(Z$3-$J6),1)*IF($H6&gt;=1,1,MIN(0.97,$H6*Assumptions!$E$12)))</f>
        <v>191.20000000000002</v>
      </c>
      <c r="AA6" s="23">
        <f>IF(AA$3&lt;$I6,0,$G6*Assumptions!$E$11*INDEX(Assumptions!$B$24:$G$24,MIN(6,AA$3-$I6+1))*IF(AA$3&gt;$J6,(1-Assumptions!$B$26)^(AA$3-$J6),1)*IF($H6&gt;=1,1,MIN(0.97,$H6*Assumptions!$E$12)))</f>
        <v>191.20000000000002</v>
      </c>
      <c r="AB6" s="23">
        <f>IF(AB$3&lt;$I6,0,$G6*Assumptions!$E$11*INDEX(Assumptions!$B$24:$G$24,MIN(6,AB$3-$I6+1))*IF(AB$3&gt;$J6,(1-Assumptions!$B$26)^(AB$3-$J6),1)*IF($H6&gt;=1,1,MIN(0.97,$H6*Assumptions!$E$12)))</f>
        <v>191.20000000000002</v>
      </c>
      <c r="AC6" s="23">
        <f>IF(AC$3&lt;$I6,0,$G6*Assumptions!$E$11*INDEX(Assumptions!$B$24:$G$24,MIN(6,AC$3-$I6+1))*IF(AC$3&gt;$J6,(1-Assumptions!$B$26)^(AC$3-$J6),1)*IF($H6&gt;=1,1,MIN(0.97,$H6*Assumptions!$E$12)))</f>
        <v>191.20000000000002</v>
      </c>
      <c r="AD6" s="23">
        <f>IF(AD$3&lt;$I6,0,$G6*Assumptions!$E$11*INDEX(Assumptions!$B$24:$G$24,MIN(6,AD$3-$I6+1))*IF(AD$3&gt;$J6,(1-Assumptions!$B$26)^(AD$3-$J6),1)*IF($H6&gt;=1,1,MIN(0.97,$H6*Assumptions!$E$12)))</f>
        <v>191.20000000000002</v>
      </c>
      <c r="AE6" s="23">
        <f>IF(AE$3&lt;$I6,0,$G6*Assumptions!$E$11*INDEX(Assumptions!$B$24:$G$24,MIN(6,AE$3-$I6+1))*IF(AE$3&gt;$J6,(1-Assumptions!$B$26)^(AE$3-$J6),1)*IF($H6&gt;=1,1,MIN(0.97,$H6*Assumptions!$E$12)))</f>
        <v>95.60000000000001</v>
      </c>
      <c r="AF6" s="23">
        <f>IF(AF$3&lt;$I6,0,$G6*Assumptions!$E$11*INDEX(Assumptions!$B$24:$G$24,MIN(6,AF$3-$I6+1))*IF(AF$3&gt;$J6,(1-Assumptions!$B$26)^(AF$3-$J6),1)*IF($H6&gt;=1,1,MIN(0.97,$H6*Assumptions!$E$12)))</f>
        <v>47.800000000000004</v>
      </c>
      <c r="AG6" s="35">
        <f>IF(F6="Owned",1-IF(H6&gt;=1,1,MIN(0.97,H6*Assumptions!$E$12)),1)</f>
        <v>0.9044</v>
      </c>
    </row>
    <row r="7">
      <c r="B7" s="24" t="inlineStr">
        <is>
          <t>Risked revenue</t>
        </is>
      </c>
      <c r="L7" s="54">
        <f>SUM(L4:L6)</f>
        <v>865.153536326455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0.0</v>
      </c>
      <c r="R7" s="54">
        <f>SUM(R4:R6)</f>
        <v>76.155</v>
      </c>
      <c r="S7" s="54">
        <f>SUM(S4:S6)</f>
        <v>190.38750000000002</v>
      </c>
      <c r="T7" s="54">
        <f>SUM(T4:T6)</f>
        <v>342.69750000000005</v>
      </c>
      <c r="U7" s="54">
        <f>SUM(U4:U6)</f>
        <v>495.00749999999994</v>
      </c>
      <c r="V7" s="54">
        <f>SUM(V4:V6)</f>
        <v>647.3175</v>
      </c>
      <c r="W7" s="54">
        <f>SUM(W4:W6)</f>
        <v>761.5500000000001</v>
      </c>
      <c r="X7" s="54">
        <f>SUM(X4:X6)</f>
        <v>761.5500000000001</v>
      </c>
      <c r="Y7" s="54">
        <f>SUM(Y4:Y6)</f>
        <v>761.5500000000001</v>
      </c>
      <c r="Z7" s="54">
        <f>SUM(Z4:Z6)</f>
        <v>761.5500000000001</v>
      </c>
      <c r="AA7" s="54">
        <f>SUM(AA4:AA6)</f>
        <v>761.5500000000001</v>
      </c>
      <c r="AB7" s="54">
        <f>SUM(AB4:AB6)</f>
        <v>761.5500000000001</v>
      </c>
      <c r="AC7" s="54">
        <f>SUM(AC4:AC6)</f>
        <v>761.5500000000001</v>
      </c>
      <c r="AD7" s="54">
        <f>SUM(AD4:AD6)</f>
        <v>761.5500000000001</v>
      </c>
      <c r="AE7" s="54">
        <f>SUM(AE4:AE6)</f>
        <v>380.77500000000003</v>
      </c>
      <c r="AF7" s="54">
        <f>SUM(AF4:AF6)</f>
        <v>190.38750000000002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0.0</v>
      </c>
      <c r="R8" s="55">
        <f>SUMPRODUCT(R4:R6,$K$4:$K$6)</f>
        <v>30.462</v>
      </c>
      <c r="S8" s="55">
        <f>SUMPRODUCT(S4:S6,$K$4:$K$6)</f>
        <v>76.155</v>
      </c>
      <c r="T8" s="55">
        <f>SUMPRODUCT(T4:T6,$K$4:$K$6)</f>
        <v>137.079</v>
      </c>
      <c r="U8" s="55">
        <f>SUMPRODUCT(U4:U6,$K$4:$K$6)</f>
        <v>198.003</v>
      </c>
      <c r="V8" s="55">
        <f>SUMPRODUCT(V4:V6,$K$4:$K$6)</f>
        <v>258.927</v>
      </c>
      <c r="W8" s="55">
        <f>SUMPRODUCT(W4:W6,$K$4:$K$6)</f>
        <v>304.62</v>
      </c>
      <c r="X8" s="55">
        <f>SUMPRODUCT(X4:X6,$K$4:$K$6)</f>
        <v>304.62</v>
      </c>
      <c r="Y8" s="55">
        <f>SUMPRODUCT(Y4:Y6,$K$4:$K$6)</f>
        <v>304.62</v>
      </c>
      <c r="Z8" s="55">
        <f>SUMPRODUCT(Z4:Z6,$K$4:$K$6)</f>
        <v>304.62</v>
      </c>
      <c r="AA8" s="55">
        <f>SUMPRODUCT(AA4:AA6,$K$4:$K$6)</f>
        <v>304.62</v>
      </c>
      <c r="AB8" s="55">
        <f>SUMPRODUCT(AB4:AB6,$K$4:$K$6)</f>
        <v>304.62</v>
      </c>
      <c r="AC8" s="55">
        <f>SUMPRODUCT(AC4:AC6,$K$4:$K$6)</f>
        <v>304.62</v>
      </c>
      <c r="AD8" s="55">
        <f>SUMPRODUCT(AD4:AD6,$K$4:$K$6)</f>
        <v>304.62</v>
      </c>
      <c r="AE8" s="55">
        <f>SUMPRODUCT(AE4:AE6,$K$4:$K$6)</f>
        <v>152.31</v>
      </c>
      <c r="AF8" s="55">
        <f>SUMPRODUCT(AF4:AF6,$K$4:$K$6)</f>
        <v>76.155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Edgewise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0.0</v>
      </c>
      <c r="H4" s="57">
        <f>Pipeline!R7</f>
        <v>76.155</v>
      </c>
      <c r="I4" s="57">
        <f>Pipeline!S7</f>
        <v>190.38750000000002</v>
      </c>
      <c r="J4" s="57">
        <f>Pipeline!T7</f>
        <v>342.69750000000005</v>
      </c>
      <c r="K4" s="57">
        <f>Pipeline!U7</f>
        <v>495.00749999999994</v>
      </c>
      <c r="L4" s="57">
        <f>Pipeline!V7</f>
        <v>647.3175</v>
      </c>
      <c r="M4" s="57">
        <f>Pipeline!W7</f>
        <v>761.5500000000001</v>
      </c>
      <c r="N4" s="57">
        <f>Pipeline!X7</f>
        <v>761.5500000000001</v>
      </c>
      <c r="O4" s="57">
        <f>Pipeline!Y7</f>
        <v>761.5500000000001</v>
      </c>
      <c r="P4" s="57">
        <f>Pipeline!Z7</f>
        <v>761.5500000000001</v>
      </c>
      <c r="Q4" s="57">
        <f>Pipeline!AA7</f>
        <v>761.5500000000001</v>
      </c>
      <c r="R4" s="57">
        <f>Pipeline!AB7</f>
        <v>761.5500000000001</v>
      </c>
      <c r="S4" s="57">
        <f>Pipeline!AC7</f>
        <v>761.5500000000001</v>
      </c>
      <c r="T4" s="57">
        <f>Pipeline!AD7</f>
        <v>761.5500000000001</v>
      </c>
      <c r="U4" s="57">
        <f>Pipeline!AE7</f>
        <v>380.77500000000003</v>
      </c>
      <c r="V4" s="57">
        <f>Pipeline!AF7</f>
        <v>190.38750000000002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0.0</v>
      </c>
      <c r="H5" s="57">
        <f>Pipeline!R8</f>
        <v>30.462</v>
      </c>
      <c r="I5" s="57">
        <f>Pipeline!S8</f>
        <v>76.155</v>
      </c>
      <c r="J5" s="57">
        <f>Pipeline!T8</f>
        <v>137.079</v>
      </c>
      <c r="K5" s="57">
        <f>Pipeline!U8</f>
        <v>198.003</v>
      </c>
      <c r="L5" s="57">
        <f>Pipeline!V8</f>
        <v>258.927</v>
      </c>
      <c r="M5" s="57">
        <f>Pipeline!W8</f>
        <v>304.62</v>
      </c>
      <c r="N5" s="57">
        <f>Pipeline!X8</f>
        <v>304.62</v>
      </c>
      <c r="O5" s="57">
        <f>Pipeline!Y8</f>
        <v>304.62</v>
      </c>
      <c r="P5" s="57">
        <f>Pipeline!Z8</f>
        <v>304.62</v>
      </c>
      <c r="Q5" s="57">
        <f>Pipeline!AA8</f>
        <v>304.62</v>
      </c>
      <c r="R5" s="57">
        <f>Pipeline!AB8</f>
        <v>304.62</v>
      </c>
      <c r="S5" s="57">
        <f>Pipeline!AC8</f>
        <v>304.62</v>
      </c>
      <c r="T5" s="57">
        <f>Pipeline!AD8</f>
        <v>304.62</v>
      </c>
      <c r="U5" s="57">
        <f>Pipeline!AE8</f>
        <v>152.31</v>
      </c>
      <c r="V5" s="57">
        <f>Pipeline!AF8</f>
        <v>76.155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-218.895</v>
      </c>
      <c r="D6" s="23">
        <f>-IF(D3-2026&lt;Assumptions!$B$19,Assumptions!$B$18,Assumptions!$B$18*Assumptions!$B$20*Assumptions!$B$16)</f>
        <v>-218.895</v>
      </c>
      <c r="E6" s="23">
        <f>-IF(E3-2026&lt;Assumptions!$B$19,Assumptions!$B$18,Assumptions!$B$18*Assumptions!$B$20*Assumptions!$B$16)</f>
        <v>-218.895</v>
      </c>
      <c r="F6" s="23">
        <f>-IF(F3-2026&lt;Assumptions!$B$19,Assumptions!$B$18,Assumptions!$B$18*Assumptions!$B$20*Assumptions!$B$16)</f>
        <v>-218.895</v>
      </c>
      <c r="G6" s="23">
        <f>-IF(G3-2026&lt;Assumptions!$B$19,Assumptions!$B$18,Assumptions!$B$18*Assumptions!$B$20*Assumptions!$B$16)</f>
        <v>-26.904716519056034</v>
      </c>
      <c r="H6" s="23">
        <f>-IF(H3-2026&lt;Assumptions!$B$19,Assumptions!$B$18,Assumptions!$B$18*Assumptions!$B$20*Assumptions!$B$16)</f>
        <v>-26.904716519056034</v>
      </c>
      <c r="I6" s="23">
        <f>-IF(I3-2026&lt;Assumptions!$B$19,Assumptions!$B$18,Assumptions!$B$18*Assumptions!$B$20*Assumptions!$B$16)</f>
        <v>-26.904716519056034</v>
      </c>
      <c r="J6" s="23">
        <f>-IF(J3-2026&lt;Assumptions!$B$19,Assumptions!$B$18,Assumptions!$B$18*Assumptions!$B$20*Assumptions!$B$16)</f>
        <v>-26.904716519056034</v>
      </c>
      <c r="K6" s="23">
        <f>-IF(K3-2026&lt;Assumptions!$B$19,Assumptions!$B$18,Assumptions!$B$18*Assumptions!$B$20*Assumptions!$B$16)</f>
        <v>-26.904716519056034</v>
      </c>
      <c r="L6" s="23">
        <f>-IF(L3-2026&lt;Assumptions!$B$19,Assumptions!$B$18,Assumptions!$B$18*Assumptions!$B$20*Assumptions!$B$16)</f>
        <v>-26.904716519056034</v>
      </c>
      <c r="M6" s="23">
        <f>-IF(M3-2026&lt;Assumptions!$B$19,Assumptions!$B$18,Assumptions!$B$18*Assumptions!$B$20*Assumptions!$B$16)</f>
        <v>-26.904716519056034</v>
      </c>
      <c r="N6" s="23">
        <f>-IF(N3-2026&lt;Assumptions!$B$19,Assumptions!$B$18,Assumptions!$B$18*Assumptions!$B$20*Assumptions!$B$16)</f>
        <v>-26.904716519056034</v>
      </c>
      <c r="O6" s="23">
        <f>-IF(O3-2026&lt;Assumptions!$B$19,Assumptions!$B$18,Assumptions!$B$18*Assumptions!$B$20*Assumptions!$B$16)</f>
        <v>-26.904716519056034</v>
      </c>
      <c r="P6" s="23">
        <f>-IF(P3-2026&lt;Assumptions!$B$19,Assumptions!$B$18,Assumptions!$B$18*Assumptions!$B$20*Assumptions!$B$16)</f>
        <v>-26.904716519056034</v>
      </c>
      <c r="Q6" s="23">
        <f>-IF(Q3-2026&lt;Assumptions!$B$19,Assumptions!$B$18,Assumptions!$B$18*Assumptions!$B$20*Assumptions!$B$16)</f>
        <v>-26.904716519056034</v>
      </c>
      <c r="R6" s="23">
        <f>-IF(R3-2026&lt;Assumptions!$B$19,Assumptions!$B$18,Assumptions!$B$18*Assumptions!$B$20*Assumptions!$B$16)</f>
        <v>-26.904716519056034</v>
      </c>
      <c r="S6" s="23">
        <f>-IF(S3-2026&lt;Assumptions!$B$19,Assumptions!$B$18,Assumptions!$B$18*Assumptions!$B$20*Assumptions!$B$16)</f>
        <v>-26.904716519056034</v>
      </c>
      <c r="T6" s="23">
        <f>-IF(T3-2026&lt;Assumptions!$B$19,Assumptions!$B$18,Assumptions!$B$18*Assumptions!$B$20*Assumptions!$B$16)</f>
        <v>-26.904716519056034</v>
      </c>
      <c r="U6" s="23">
        <f>-IF(U3-2026&lt;Assumptions!$B$19,Assumptions!$B$18,Assumptions!$B$18*Assumptions!$B$20*Assumptions!$B$16)</f>
        <v>-26.904716519056034</v>
      </c>
      <c r="V6" s="23">
        <f>-IF(V3-2026&lt;Assumptions!$B$19,Assumptions!$B$18,Assumptions!$B$18*Assumptions!$B$20*Assumptions!$B$16)</f>
        <v>-26.904716519056034</v>
      </c>
    </row>
    <row r="7">
      <c r="A7" s="14" t="inlineStr">
        <is>
          <t>Pre-tax cash flow</t>
        </is>
      </c>
      <c r="C7" s="23">
        <f>C5+C6</f>
        <v>-218.895</v>
      </c>
      <c r="D7" s="23">
        <f>D5+D6</f>
        <v>-218.895</v>
      </c>
      <c r="E7" s="23">
        <f>E5+E6</f>
        <v>-218.895</v>
      </c>
      <c r="F7" s="23">
        <f>F5+F6</f>
        <v>-218.895</v>
      </c>
      <c r="G7" s="23">
        <f>G5+G6</f>
        <v>-26.904716519056034</v>
      </c>
      <c r="H7" s="23">
        <f>H5+H6</f>
        <v>3.5572834809439655</v>
      </c>
      <c r="I7" s="23">
        <f>I5+I6</f>
        <v>49.25028348094396</v>
      </c>
      <c r="J7" s="23">
        <f>J5+J6</f>
        <v>110.17428348094397</v>
      </c>
      <c r="K7" s="23">
        <f>K5+K6</f>
        <v>171.09828348094396</v>
      </c>
      <c r="L7" s="23">
        <f>L5+L6</f>
        <v>232.022283480944</v>
      </c>
      <c r="M7" s="23">
        <f>M5+M6</f>
        <v>277.715283480944</v>
      </c>
      <c r="N7" s="23">
        <f>N5+N6</f>
        <v>277.715283480944</v>
      </c>
      <c r="O7" s="23">
        <f>O5+O6</f>
        <v>277.715283480944</v>
      </c>
      <c r="P7" s="23">
        <f>P5+P6</f>
        <v>277.715283480944</v>
      </c>
      <c r="Q7" s="23">
        <f>Q5+Q6</f>
        <v>277.715283480944</v>
      </c>
      <c r="R7" s="23">
        <f>R5+R6</f>
        <v>277.715283480944</v>
      </c>
      <c r="S7" s="23">
        <f>S5+S6</f>
        <v>277.715283480944</v>
      </c>
      <c r="T7" s="23">
        <f>T5+T6</f>
        <v>277.715283480944</v>
      </c>
      <c r="U7" s="23">
        <f>U5+U6</f>
        <v>125.40528348094396</v>
      </c>
      <c r="V7" s="23">
        <f>V5+V6</f>
        <v>49.25028348094396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3.5572834809439655</v>
      </c>
      <c r="I8" s="23">
        <f>MIN(H17,MAX(0,I7))</f>
        <v>49.25028348094396</v>
      </c>
      <c r="J8" s="23">
        <f>MIN(I17,MAX(0,J7))</f>
        <v>110.17428348094397</v>
      </c>
      <c r="K8" s="23">
        <f>MIN(J17,MAX(0,K7))</f>
        <v>171.09828348094396</v>
      </c>
      <c r="L8" s="23">
        <f>MIN(K17,MAX(0,L7))</f>
        <v>232.022283480944</v>
      </c>
      <c r="M8" s="23">
        <f>MIN(L17,MAX(0,M7))</f>
        <v>277.715283480944</v>
      </c>
      <c r="N8" s="23">
        <f>MIN(M17,MAX(0,N7))</f>
        <v>186.66701563339234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91.04826784755164</v>
      </c>
      <c r="O9" s="23">
        <f>MAX(0,O7)-O8</f>
        <v>277.715283480944</v>
      </c>
      <c r="P9" s="23">
        <f>MAX(0,P7)-P8</f>
        <v>277.715283480944</v>
      </c>
      <c r="Q9" s="23">
        <f>MAX(0,Q7)-Q8</f>
        <v>277.715283480944</v>
      </c>
      <c r="R9" s="23">
        <f>MAX(0,R7)-R8</f>
        <v>277.715283480944</v>
      </c>
      <c r="S9" s="23">
        <f>MAX(0,S7)-S8</f>
        <v>277.715283480944</v>
      </c>
      <c r="T9" s="23">
        <f>MAX(0,T7)-T8</f>
        <v>277.715283480944</v>
      </c>
      <c r="U9" s="23">
        <f>MAX(0,U7)-U8</f>
        <v>125.40528348094396</v>
      </c>
      <c r="V9" s="23">
        <f>MAX(0,V7)-V8</f>
        <v>49.25028348094396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19.120136247985844</v>
      </c>
      <c r="O10" s="23">
        <f>O9*Assumptions!$E$15</f>
        <v>58.320209530998234</v>
      </c>
      <c r="P10" s="23">
        <f>P9*Assumptions!$E$15</f>
        <v>58.320209530998234</v>
      </c>
      <c r="Q10" s="23">
        <f>Q9*Assumptions!$E$15</f>
        <v>58.320209530998234</v>
      </c>
      <c r="R10" s="23">
        <f>R9*Assumptions!$E$15</f>
        <v>58.320209530998234</v>
      </c>
      <c r="S10" s="23">
        <f>S9*Assumptions!$E$15</f>
        <v>58.320209530998234</v>
      </c>
      <c r="T10" s="23">
        <f>T9*Assumptions!$E$15</f>
        <v>58.320209530998234</v>
      </c>
      <c r="U10" s="23">
        <f>U9*Assumptions!$E$15</f>
        <v>26.33510953099823</v>
      </c>
      <c r="V10" s="23">
        <f>V9*Assumptions!$E$15</f>
        <v>10.342559530998232</v>
      </c>
    </row>
    <row r="11">
      <c r="A11" s="24" t="inlineStr">
        <is>
          <t>Free cash flow</t>
        </is>
      </c>
      <c r="C11" s="55">
        <f>C7-C10</f>
        <v>-218.895</v>
      </c>
      <c r="D11" s="55">
        <f>D7-D10</f>
        <v>-218.895</v>
      </c>
      <c r="E11" s="55">
        <f>E7-E10</f>
        <v>-218.895</v>
      </c>
      <c r="F11" s="55">
        <f>F7-F10</f>
        <v>-218.895</v>
      </c>
      <c r="G11" s="55">
        <f>G7-G10</f>
        <v>-26.904716519056034</v>
      </c>
      <c r="H11" s="55">
        <f>H7-H10</f>
        <v>3.5572834809439655</v>
      </c>
      <c r="I11" s="55">
        <f>I7-I10</f>
        <v>49.25028348094396</v>
      </c>
      <c r="J11" s="55">
        <f>J7-J10</f>
        <v>110.17428348094397</v>
      </c>
      <c r="K11" s="55">
        <f>K7-K10</f>
        <v>171.09828348094396</v>
      </c>
      <c r="L11" s="55">
        <f>L7-L10</f>
        <v>232.022283480944</v>
      </c>
      <c r="M11" s="55">
        <f>M7-M10</f>
        <v>277.715283480944</v>
      </c>
      <c r="N11" s="55">
        <f>N7-N10</f>
        <v>258.59514723295814</v>
      </c>
      <c r="O11" s="55">
        <f>O7-O10</f>
        <v>219.39507394994575</v>
      </c>
      <c r="P11" s="55">
        <f>P7-P10</f>
        <v>219.39507394994575</v>
      </c>
      <c r="Q11" s="55">
        <f>Q7-Q10</f>
        <v>219.39507394994575</v>
      </c>
      <c r="R11" s="55">
        <f>R7-R10</f>
        <v>219.39507394994575</v>
      </c>
      <c r="S11" s="55">
        <f>S7-S10</f>
        <v>219.39507394994575</v>
      </c>
      <c r="T11" s="55">
        <f>T7-T10</f>
        <v>219.39507394994575</v>
      </c>
      <c r="U11" s="55">
        <f>U7-U10</f>
        <v>99.07017394994574</v>
      </c>
      <c r="V11" s="55">
        <f>V7-V10</f>
        <v>38.90772394994573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-107.23761247756427</v>
      </c>
      <c r="D16" s="55">
        <f>D11*D15</f>
        <v>-195.3511737386012</v>
      </c>
      <c r="E16" s="55">
        <f>E11*E15</f>
        <v>-174.42069083803673</v>
      </c>
      <c r="F16" s="55">
        <f>F11*F15</f>
        <v>-155.73275967681852</v>
      </c>
      <c r="G16" s="55">
        <f>G11*G15</f>
        <v>-17.09049084131613</v>
      </c>
      <c r="H16" s="55">
        <f>H11*H15</f>
        <v>2.0175605079973913</v>
      </c>
      <c r="I16" s="55">
        <f>I11*I15</f>
        <v>24.940135271338395</v>
      </c>
      <c r="J16" s="55">
        <f>J11*J15</f>
        <v>49.814099302536</v>
      </c>
      <c r="K16" s="55">
        <f>K11*K15</f>
        <v>69.07162561092332</v>
      </c>
      <c r="L16" s="55">
        <f>L11*L15</f>
        <v>83.63069361123426</v>
      </c>
      <c r="M16" s="55">
        <f>M11*M15</f>
        <v>89.37535098041027</v>
      </c>
      <c r="N16" s="55">
        <f>N11*N15</f>
        <v>74.30539162037402</v>
      </c>
      <c r="O16" s="55">
        <f>O11*O15</f>
        <v>56.28709125838975</v>
      </c>
      <c r="P16" s="55">
        <f>P11*P15</f>
        <v>50.25633148070513</v>
      </c>
      <c r="Q16" s="55">
        <f>Q11*Q15</f>
        <v>44.87172453634386</v>
      </c>
      <c r="R16" s="55">
        <f>R11*R15</f>
        <v>40.064039764592735</v>
      </c>
      <c r="S16" s="55">
        <f>S11*S15</f>
        <v>35.771464075529224</v>
      </c>
      <c r="T16" s="55">
        <f>T11*T15</f>
        <v>31.938807210293945</v>
      </c>
      <c r="U16" s="55">
        <f>U11*U15</f>
        <v>12.877060127805835</v>
      </c>
      <c r="V16" s="55">
        <f>V11*V15</f>
        <v>4.51535188900417</v>
      </c>
    </row>
    <row r="17">
      <c r="A17" s="14" t="inlineStr">
        <is>
          <t>Tax-loss carryforward, end of year</t>
        </is>
      </c>
      <c r="C17" s="23">
        <f>Assumptions!$B$21-C8+MAX(0,-C7)</f>
        <v>346.895</v>
      </c>
      <c r="D17" s="23">
        <f>C17-D8+MAX(0,-D7)</f>
        <v>565.79</v>
      </c>
      <c r="E17" s="23">
        <f>D17-E8+MAX(0,-E7)</f>
        <v>784.685</v>
      </c>
      <c r="F17" s="23">
        <f>E17-F8+MAX(0,-F7)</f>
        <v>1003.5799999999999</v>
      </c>
      <c r="G17" s="23">
        <f>F17-G8+MAX(0,-G7)</f>
        <v>1030.484716519056</v>
      </c>
      <c r="H17" s="23">
        <f>G17-H8+MAX(0,-H7)</f>
        <v>1026.9274330381122</v>
      </c>
      <c r="I17" s="23">
        <f>H17-I8+MAX(0,-I7)</f>
        <v>977.6771495571683</v>
      </c>
      <c r="J17" s="23">
        <f>I17-J8+MAX(0,-J7)</f>
        <v>867.5028660762243</v>
      </c>
      <c r="K17" s="23">
        <f>J17-K8+MAX(0,-K7)</f>
        <v>696.4045825952803</v>
      </c>
      <c r="L17" s="23">
        <f>K17-L8+MAX(0,-L7)</f>
        <v>464.3822991143363</v>
      </c>
      <c r="M17" s="23">
        <f>L17-M8+MAX(0,-M7)</f>
        <v>186.66701563339234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865.153536326455</v>
      </c>
    </row>
    <row r="20">
      <c r="A20" s="14" t="inlineStr">
        <is>
          <t>PV of corporate burn</t>
        </is>
      </c>
      <c r="B20" s="23">
        <f>SUMPRODUCT(C6:V6,C15:V15)</f>
        <v>-766.2337447509836</v>
      </c>
    </row>
    <row r="21">
      <c r="A21" s="14" t="inlineStr">
        <is>
          <t>PV of taxes</t>
        </is>
      </c>
      <c r="B21" s="23">
        <f>-SUMPRODUCT(C10:V10,C15:V15)</f>
        <v>-79.01579190032989</v>
      </c>
    </row>
    <row r="22">
      <c r="A22" s="24" t="inlineStr">
        <is>
          <t>Pipeline rNPV (operations)</t>
        </is>
      </c>
      <c r="B22" s="54">
        <f>SUM(C16:V16)</f>
        <v>19.903999675141442</v>
      </c>
    </row>
    <row r="23">
      <c r="A23" s="14" t="inlineStr">
        <is>
          <t>Cash &amp; investments</t>
        </is>
      </c>
      <c r="B23" s="57">
        <f>Main!C7</f>
        <v>72.319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92.22299967514144</v>
      </c>
    </row>
    <row r="26">
      <c r="A26" s="14" t="inlineStr">
        <is>
          <t>Shares (mm)</t>
        </is>
      </c>
      <c r="B26" s="57">
        <f>Main!C4</f>
        <v>108.604129</v>
      </c>
    </row>
    <row r="27">
      <c r="A27" s="24" t="inlineStr">
        <is>
          <t>rNPV / share</t>
        </is>
      </c>
      <c r="B27" s="60">
        <f>B25/B26</f>
        <v>0.8491666065029759</v>
      </c>
    </row>
    <row r="28">
      <c r="A28" s="14" t="inlineStr">
        <is>
          <t>Price</t>
        </is>
      </c>
      <c r="B28" s="61">
        <f>Main!C3</f>
        <v>39.75</v>
      </c>
    </row>
    <row r="29">
      <c r="A29" s="14" t="inlineStr">
        <is>
          <t>Upside</t>
        </is>
      </c>
      <c r="B29" s="62">
        <f>B27/B28-1</f>
        <v>-0.9786373180753968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2026-10-21T06:21:55Z</dcterms:modified>
  <cp:lastModifiedBy>Wang, Eric</cp:lastModifiedBy>
</cp:coreProperties>
</file>