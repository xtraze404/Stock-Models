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Edgewise Therapeutics, Inc.</t>
        </is>
      </c>
      <c r="C2" s="10" t="n"/>
    </row>
    <row r="3">
      <c r="B3" t="inlineStr">
        <is>
          <t>Price</t>
        </is>
      </c>
      <c r="C3" s="11">
        <f>INDEX([1]Pharma!$F$1:$F$1000,MATCH("EWTX",[1]Pharma!$B$1:$B$1000,0))</f>
        <v>39.75</v>
      </c>
      <c r="F3" s="1" t="n"/>
    </row>
    <row r="4">
      <c r="B4" t="inlineStr">
        <is>
          <t>Shares</t>
        </is>
      </c>
      <c r="C4" s="21" t="n">
        <v>108.604129</v>
      </c>
      <c r="F4" s="1" t="n"/>
    </row>
    <row r="5">
      <c r="B5" t="inlineStr">
        <is>
          <t>Market Cap.</t>
        </is>
      </c>
      <c r="C5" s="13">
        <f>C3*C4</f>
        <v>4317.01412775</v>
      </c>
      <c r="F5" s="1" t="n"/>
    </row>
    <row r="6"/>
    <row r="7">
      <c r="B7" t="inlineStr">
        <is>
          <t>Cash</t>
        </is>
      </c>
      <c r="C7" s="21" t="n">
        <v>72.319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4244.695127749999</v>
      </c>
    </row>
    <row r="10"/>
    <row r="11">
      <c r="B11" s="14" t="inlineStr">
        <is>
          <t>Net Cash / Share</t>
        </is>
      </c>
      <c r="C11" s="11">
        <f>(C7-C8)/C4</f>
        <v>0.6658954927947537</v>
      </c>
    </row>
    <row r="12">
      <c r="B12" s="14" t="inlineStr">
        <is>
          <t>Upside</t>
        </is>
      </c>
      <c r="C12" s="15">
        <f>IFERROR(C11/C3-1,"")</f>
        <v>-0.9832479121309496</v>
      </c>
    </row>
    <row r="13">
      <c r="B13" s="14" t="inlineStr">
        <is>
          <t>Cash / Share</t>
        </is>
      </c>
      <c r="C13" s="11">
        <f>IFERROR((C7-C8)/C4,"")</f>
        <v>0.6658954927947537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-158.38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0.4566169970955929</v>
      </c>
    </row>
    <row r="19">
      <c r="B19" s="14" t="inlineStr">
        <is>
          <t>Implied Pipeline Value</t>
        </is>
      </c>
      <c r="C19" s="13">
        <f>C9</f>
        <v>4244.695127749999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14.983</v>
      </c>
      <c r="C5" s="23" t="n">
        <v>32.189</v>
      </c>
      <c r="D5" s="23" t="n">
        <v>54.032</v>
      </c>
      <c r="E5" s="23" t="n">
        <v>90.905</v>
      </c>
      <c r="F5" s="23" t="n">
        <v>126.966</v>
      </c>
      <c r="G5" s="23" t="n">
        <v>151.389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2.209</v>
      </c>
      <c r="C6" s="23" t="n">
        <v>11.026</v>
      </c>
      <c r="D6" s="23" t="n">
        <v>17.626</v>
      </c>
      <c r="E6" s="23" t="n">
        <v>23.452</v>
      </c>
      <c r="F6" s="23" t="n">
        <v>31.866</v>
      </c>
      <c r="G6" s="23" t="n">
        <v>40.017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17.192</v>
      </c>
      <c r="C7" s="23">
        <f>SUM(C5:C6)</f>
        <v>43.215</v>
      </c>
      <c r="D7" s="23">
        <f>SUM(D5:D6)</f>
        <v>71.658</v>
      </c>
      <c r="E7" s="23">
        <f>SUM(E5:E6)</f>
        <v>114.357</v>
      </c>
      <c r="F7" s="23">
        <f>SUM(F5:F6)</f>
        <v>158.832</v>
      </c>
      <c r="G7" s="23">
        <f>SUM(G5:G6)</f>
        <v>191.406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-17.192</v>
      </c>
      <c r="C8" s="23">
        <f>C4-C7</f>
        <v>-43.215</v>
      </c>
      <c r="D8" s="23">
        <f>D4-D7</f>
        <v>-71.658</v>
      </c>
      <c r="E8" s="23">
        <f>E4-E7</f>
        <v>-114.357</v>
      </c>
      <c r="F8" s="23">
        <f>F4-F7</f>
        <v>-158.832</v>
      </c>
      <c r="G8" s="23">
        <f>G4-G7</f>
        <v>-191.406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0.06900000000000001</v>
      </c>
      <c r="C9" s="23" t="n">
        <v>0.402</v>
      </c>
      <c r="D9" s="23" t="n">
        <v>4.018</v>
      </c>
      <c r="E9" s="23" t="n">
        <v>114.261</v>
      </c>
      <c r="F9" s="23" t="n">
        <v>158.701</v>
      </c>
      <c r="G9" s="23" t="n">
        <v>191.242</v>
      </c>
    </row>
    <row r="10">
      <c r="A10" s="2" t="inlineStr">
        <is>
          <t>Pretax</t>
        </is>
      </c>
      <c r="B10" s="23">
        <f>B8+B9</f>
        <v>-17.123</v>
      </c>
      <c r="C10" s="23">
        <f>C8+C9</f>
        <v>-42.813</v>
      </c>
      <c r="D10" s="23">
        <f>D8+D9</f>
        <v>-67.64</v>
      </c>
      <c r="E10" s="23">
        <f>E8+E9</f>
        <v>-0.09600000000000364</v>
      </c>
      <c r="F10" s="23">
        <f>F8+F9</f>
        <v>-0.13100000000000023</v>
      </c>
      <c r="G10" s="23">
        <f>G8+G9</f>
        <v>-0.1640000000000157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0.004</v>
      </c>
      <c r="F11" s="23" t="n">
        <v>0.003</v>
      </c>
      <c r="G11" s="23" t="n">
        <v>0.004</v>
      </c>
    </row>
    <row r="12">
      <c r="A12" s="2" t="inlineStr">
        <is>
          <t>Net Income</t>
        </is>
      </c>
      <c r="B12" s="23" t="n">
        <v>-17.123</v>
      </c>
      <c r="C12" s="23" t="n">
        <v>-42.813</v>
      </c>
      <c r="D12" s="23" t="n">
        <v>-67.64</v>
      </c>
      <c r="E12" s="23" t="n">
        <v>-0.1</v>
      </c>
      <c r="F12" s="23" t="n">
        <v>-0.134</v>
      </c>
      <c r="G12" s="23" t="n">
        <v>-0.168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-0.45432354267823505</v>
      </c>
      <c r="C13" s="11">
        <f>IFERROR(C12/C14,0)</f>
        <v>-1.140888983638011</v>
      </c>
      <c r="D13" s="11">
        <f>IFERROR(D12/D14,0)</f>
        <v>-1.262081576295854</v>
      </c>
      <c r="E13" s="11">
        <f>IFERROR(E12/E14,0)</f>
        <v>-0.0015692674659468961</v>
      </c>
      <c r="F13" s="11">
        <f>IFERROR(F12/F14,0)</f>
        <v>-0.0014499810636801386</v>
      </c>
      <c r="G13" s="11">
        <f>IFERROR(G12/G14,0)</f>
        <v>-0.001632161350807823</v>
      </c>
    </row>
    <row r="14">
      <c r="A14" s="2" t="inlineStr">
        <is>
          <t>Shares</t>
        </is>
      </c>
      <c r="B14" s="23" t="n">
        <v>37.689</v>
      </c>
      <c r="C14" s="23" t="n">
        <v>37.526</v>
      </c>
      <c r="D14" s="23" t="n">
        <v>53.594</v>
      </c>
      <c r="E14" s="23" t="n">
        <v>63.724</v>
      </c>
      <c r="F14" s="23" t="n">
        <v>92.41500000000001</v>
      </c>
      <c r="G14" s="23" t="n">
        <v>102.931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2026-10-21T01:04:09Z</dcterms:modified>
  <cp:lastModifiedBy>Wang, Eric</cp:lastModifiedBy>
</cp:coreProperties>
</file>