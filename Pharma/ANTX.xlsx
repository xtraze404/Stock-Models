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AN2 Therapeutics Inc</t>
        </is>
      </c>
      <c r="C2" s="10" t="n"/>
    </row>
    <row r="3">
      <c r="B3" t="inlineStr">
        <is>
          <t>Price</t>
        </is>
      </c>
      <c r="C3" s="11">
        <f>INDEX([1]Pharma!$F$1:$F$1000,MATCH("ANTX",[1]Pharma!$B$1:$B$1000,0))</f>
        <v>3.56</v>
      </c>
      <c r="F3" s="1" t="n"/>
    </row>
    <row r="4">
      <c r="B4" t="inlineStr">
        <is>
          <t>Shares</t>
        </is>
      </c>
      <c r="C4" s="21" t="n">
        <v>37.736237</v>
      </c>
      <c r="F4" s="1" t="n"/>
    </row>
    <row r="5">
      <c r="B5" t="inlineStr">
        <is>
          <t>Market Cap.</t>
        </is>
      </c>
      <c r="C5" s="13">
        <f>C3*C4</f>
        <v>134.34100372</v>
      </c>
      <c r="F5" s="1" t="n"/>
    </row>
    <row r="6"/>
    <row r="7">
      <c r="B7" t="inlineStr">
        <is>
          <t>Cash</t>
        </is>
      </c>
      <c r="C7" s="21">
        <f>44.318+34.069</f>
        <v>78.387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55.95400372</v>
      </c>
    </row>
    <row r="10"/>
    <row r="11">
      <c r="B11" s="14" t="inlineStr">
        <is>
          <t>Net Cash / Share</t>
        </is>
      </c>
      <c r="C11" s="11">
        <f>(C7-C8)/C4</f>
        <v>2.0772341449943723</v>
      </c>
    </row>
    <row r="12">
      <c r="B12" s="14" t="inlineStr">
        <is>
          <t>Upside</t>
        </is>
      </c>
      <c r="C12" s="15">
        <f>IFERROR(C11/C3-1,"")</f>
        <v>-0.4165072626420303</v>
      </c>
    </row>
    <row r="13">
      <c r="B13" s="14" t="inlineStr">
        <is>
          <t>Cash / Share</t>
        </is>
      </c>
      <c r="C13" s="11">
        <f>IFERROR((C7-C8)/C4,"")</f>
        <v>2.0772341449943723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-30.682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2.5548204158790173</v>
      </c>
    </row>
    <row r="19">
      <c r="B19" s="14" t="inlineStr">
        <is>
          <t>Implied Pipeline Value</t>
        </is>
      </c>
      <c r="C19" s="13">
        <f>C9</f>
        <v>55.95400372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16.156</v>
      </c>
      <c r="C5" s="23" t="n">
        <v>28.511</v>
      </c>
      <c r="D5" s="23" t="n">
        <v>54.871</v>
      </c>
      <c r="E5" s="23" t="n">
        <v>40.488</v>
      </c>
      <c r="F5" s="23" t="n">
        <v>24.769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5.418</v>
      </c>
      <c r="C6" s="23" t="n">
        <v>13.751</v>
      </c>
      <c r="D6" s="23" t="n">
        <v>14.764</v>
      </c>
      <c r="E6" s="23" t="n">
        <v>16.3</v>
      </c>
      <c r="F6" s="23" t="n">
        <v>13.34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21.573999999999998</v>
      </c>
      <c r="C7" s="23">
        <f>SUM(C5:C6)</f>
        <v>42.262</v>
      </c>
      <c r="D7" s="23">
        <f>SUM(D5:D6)</f>
        <v>69.635</v>
      </c>
      <c r="E7" s="23">
        <f>SUM(E5:E6)</f>
        <v>56.788</v>
      </c>
      <c r="F7" s="23">
        <f>SUM(F5:F6)</f>
        <v>38.108999999999995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-21.573999999999998</v>
      </c>
      <c r="C8" s="23">
        <f>C4-C7</f>
        <v>-42.262</v>
      </c>
      <c r="D8" s="23">
        <f>D4-D7</f>
        <v>-69.635</v>
      </c>
      <c r="E8" s="23">
        <f>E4-E7</f>
        <v>-56.788</v>
      </c>
      <c r="F8" s="23">
        <f>F4-F7</f>
        <v>-38.108999999999995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0.031</v>
      </c>
      <c r="C9" s="23" t="n">
        <v>1.306</v>
      </c>
      <c r="D9" s="23" t="n">
        <v>4.903</v>
      </c>
      <c r="E9" s="23" t="n">
        <v>5.467</v>
      </c>
      <c r="F9" s="23" t="n">
        <v>2.935</v>
      </c>
    </row>
    <row r="10">
      <c r="A10" s="2" t="inlineStr">
        <is>
          <t>Pretax</t>
        </is>
      </c>
      <c r="B10" s="23">
        <f>B8+B9</f>
        <v>-21.543</v>
      </c>
      <c r="C10" s="23">
        <f>C8+C9</f>
        <v>-40.956</v>
      </c>
      <c r="D10" s="23">
        <f>D8+D9</f>
        <v>-64.732</v>
      </c>
      <c r="E10" s="23">
        <f>E8+E9</f>
        <v>-51.321</v>
      </c>
      <c r="F10" s="23">
        <f>F8+F9</f>
        <v>-35.17399999999999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</row>
    <row r="12">
      <c r="A12" s="2" t="inlineStr">
        <is>
          <t>Net Income</t>
        </is>
      </c>
      <c r="B12" s="23" t="n">
        <v>-21.543</v>
      </c>
      <c r="C12" s="23" t="n">
        <v>-40.956</v>
      </c>
      <c r="D12" s="23" t="n">
        <v>-64.732</v>
      </c>
      <c r="E12" s="23" t="n">
        <v>-51.321</v>
      </c>
      <c r="F12" s="23" t="n">
        <v>-35.174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-8.166413949962093</v>
      </c>
      <c r="C13" s="11">
        <f>IFERROR(C12/C14,0)</f>
        <v>-2.6698826597131684</v>
      </c>
      <c r="D13" s="11">
        <f>IFERROR(D12/D14,0)</f>
        <v>-2.7428813559322034</v>
      </c>
      <c r="E13" s="11">
        <f>IFERROR(E12/E14,0)</f>
        <v>-1.7205645702024943</v>
      </c>
      <c r="F13" s="11">
        <f>IFERROR(F12/F14,0)</f>
        <v>-1.1640852528461743</v>
      </c>
    </row>
    <row r="14">
      <c r="A14" s="2" t="inlineStr">
        <is>
          <t>Shares</t>
        </is>
      </c>
      <c r="B14" s="23" t="n">
        <v>2.638</v>
      </c>
      <c r="C14" s="23" t="n">
        <v>15.34</v>
      </c>
      <c r="D14" s="23" t="n">
        <v>23.6</v>
      </c>
      <c r="E14" s="23" t="n">
        <v>29.828</v>
      </c>
      <c r="F14" s="23" t="n">
        <v>30.216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2026-10-21T01:05:49Z</dcterms:modified>
  <cp:lastModifiedBy>Wang, Eric</cp:lastModifiedBy>
</cp:coreProperties>
</file>