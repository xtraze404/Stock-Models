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KALA BIO Inc</t>
        </is>
      </c>
      <c r="C2" s="10" t="n"/>
    </row>
    <row r="3">
      <c r="B3" t="inlineStr">
        <is>
          <t>Price</t>
        </is>
      </c>
      <c r="C3" s="11">
        <f>INDEX([1]Pharma!$F$1:$F$1000,MATCH("KALA",[1]Pharma!$B$1:$B$1000,0))</f>
        <v>0.1897</v>
      </c>
      <c r="F3" s="1" t="n"/>
    </row>
    <row r="4">
      <c r="B4" t="inlineStr">
        <is>
          <t>Shares</t>
        </is>
      </c>
      <c r="C4" s="21" t="n">
        <v>19.339786</v>
      </c>
      <c r="F4" s="1" t="n"/>
    </row>
    <row r="5">
      <c r="B5" t="inlineStr">
        <is>
          <t>Market Cap.</t>
        </is>
      </c>
      <c r="C5" s="13">
        <f>C3*C4</f>
        <v>3.6687574042</v>
      </c>
      <c r="F5" s="1" t="n"/>
    </row>
    <row r="6"/>
    <row r="7">
      <c r="B7" t="inlineStr">
        <is>
          <t>Cash</t>
        </is>
      </c>
      <c r="C7" s="21">
        <f>0.229+7</f>
        <v>7.229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-3.5602425958</v>
      </c>
    </row>
    <row r="10"/>
    <row r="11">
      <c r="B11" s="14" t="inlineStr">
        <is>
          <t>Net Cash / Share</t>
        </is>
      </c>
      <c r="C11" s="11">
        <f>(C7-C8)/C4</f>
        <v>0.37378903778976663</v>
      </c>
    </row>
    <row r="12">
      <c r="B12" s="14" t="inlineStr">
        <is>
          <t>Upside</t>
        </is>
      </c>
      <c r="C12" s="15">
        <f>IFERROR(C11/C3-1,"")</f>
        <v>0.9704219177109468</v>
      </c>
    </row>
    <row r="13">
      <c r="B13" s="14" t="inlineStr">
        <is>
          <t>Cash / Share</t>
        </is>
      </c>
      <c r="C13" s="11">
        <f>IFERROR((C7-C8)/C4,"")</f>
        <v>0.37378903778976663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-19.863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0.36394300961586873</v>
      </c>
    </row>
    <row r="19">
      <c r="B19" s="14" t="inlineStr">
        <is>
          <t>Implied Pipeline Value</t>
        </is>
      </c>
      <c r="C19" s="13">
        <f>C9</f>
        <v>-3.5602425958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0.045</v>
      </c>
      <c r="C2" s="23" t="n">
        <v>0</v>
      </c>
      <c r="D2" s="23" t="n">
        <v>0</v>
      </c>
      <c r="E2" s="23" t="n">
        <v>0</v>
      </c>
      <c r="F2" s="23" t="n">
        <v>6.074</v>
      </c>
      <c r="G2" s="23" t="n">
        <v>6.362</v>
      </c>
      <c r="H2" s="23" t="n">
        <v>11.24</v>
      </c>
      <c r="I2" s="23" t="n">
        <v>3.892</v>
      </c>
      <c r="J2" s="23" t="n">
        <v>0</v>
      </c>
      <c r="K2" s="23" t="n">
        <v>0</v>
      </c>
      <c r="L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0.045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6.074</v>
      </c>
      <c r="G4" s="23">
        <f>G2-G3</f>
        <v>6.362</v>
      </c>
      <c r="H4" s="23">
        <f>H2-H3</f>
        <v>11.24</v>
      </c>
      <c r="I4" s="23">
        <f>I2-I3</f>
        <v>3.892</v>
      </c>
      <c r="J4" s="23">
        <f>J2-J3</f>
        <v>0.0</v>
      </c>
      <c r="K4" s="23">
        <f>K2-K3</f>
        <v>0.0</v>
      </c>
      <c r="L4" s="23">
        <f>L2-L3</f>
        <v>0.0</v>
      </c>
    </row>
    <row r="5">
      <c r="A5" s="2" t="inlineStr">
        <is>
          <t>Research &amp; Dev.</t>
        </is>
      </c>
      <c r="B5" s="23" t="n">
        <v>11.382</v>
      </c>
      <c r="C5" s="23" t="n">
        <v>25.029</v>
      </c>
      <c r="D5" s="23" t="n">
        <v>29.008</v>
      </c>
      <c r="E5" s="23" t="n">
        <v>29.29</v>
      </c>
      <c r="F5" s="23" t="n">
        <v>27.275</v>
      </c>
      <c r="G5" s="23" t="n">
        <v>18.352</v>
      </c>
      <c r="H5" s="23" t="n">
        <v>11.515</v>
      </c>
      <c r="I5" s="23" t="n">
        <v>17.653</v>
      </c>
      <c r="J5" s="23" t="n">
        <v>18.586</v>
      </c>
      <c r="K5" s="23" t="n">
        <v>22.094</v>
      </c>
      <c r="L5" s="23" t="n">
        <v>18.78</v>
      </c>
    </row>
    <row r="6">
      <c r="A6" s="19" t="inlineStr">
        <is>
          <t>SG&amp;A &amp; Other</t>
        </is>
      </c>
      <c r="B6" s="23" t="n">
        <v>4.609</v>
      </c>
      <c r="C6" s="23" t="n">
        <v>7.64</v>
      </c>
      <c r="D6" s="23" t="n">
        <v>10.867</v>
      </c>
      <c r="E6" s="23" t="n">
        <v>35.431</v>
      </c>
      <c r="F6" s="23" t="n">
        <v>67.023</v>
      </c>
      <c r="G6" s="23" t="n">
        <v>84.241</v>
      </c>
      <c r="H6" s="23" t="n">
        <v>129.97</v>
      </c>
      <c r="I6" s="23" t="n">
        <v>67.94499999999999</v>
      </c>
      <c r="J6" s="23" t="n">
        <v>21.077</v>
      </c>
      <c r="K6" s="23" t="n">
        <v>18.889</v>
      </c>
      <c r="L6" s="23" t="n">
        <v>20.381</v>
      </c>
    </row>
    <row r="7">
      <c r="A7" s="2" t="inlineStr">
        <is>
          <t>Operating Expense</t>
        </is>
      </c>
      <c r="B7" s="23">
        <f>SUM(B5:B6)</f>
        <v>15.991</v>
      </c>
      <c r="C7" s="23">
        <f>SUM(C5:C6)</f>
        <v>32.669</v>
      </c>
      <c r="D7" s="23">
        <f>SUM(D5:D6)</f>
        <v>39.875</v>
      </c>
      <c r="E7" s="23">
        <f>SUM(E5:E6)</f>
        <v>64.721</v>
      </c>
      <c r="F7" s="23">
        <f>SUM(F5:F6)</f>
        <v>94.298</v>
      </c>
      <c r="G7" s="23">
        <f>SUM(G5:G6)</f>
        <v>102.593</v>
      </c>
      <c r="H7" s="23">
        <f>SUM(H5:H6)</f>
        <v>141.485</v>
      </c>
      <c r="I7" s="23">
        <f>SUM(I5:I6)</f>
        <v>85.59799999999998</v>
      </c>
      <c r="J7" s="23">
        <f>SUM(J5:J6)</f>
        <v>39.663</v>
      </c>
      <c r="K7" s="23">
        <f>SUM(K5:K6)</f>
        <v>40.983000000000004</v>
      </c>
      <c r="L7" s="23">
        <f>SUM(L5:L6)</f>
        <v>39.161</v>
      </c>
    </row>
    <row r="8">
      <c r="A8" s="2" t="inlineStr">
        <is>
          <t>Operating Income</t>
        </is>
      </c>
      <c r="B8" s="23">
        <f>B4-B7</f>
        <v>-15.946</v>
      </c>
      <c r="C8" s="23">
        <f>C4-C7</f>
        <v>-32.669</v>
      </c>
      <c r="D8" s="23">
        <f>D4-D7</f>
        <v>-39.875</v>
      </c>
      <c r="E8" s="23">
        <f>E4-E7</f>
        <v>-64.721</v>
      </c>
      <c r="F8" s="23">
        <f>F4-F7</f>
        <v>-88.224</v>
      </c>
      <c r="G8" s="23">
        <f>G4-G7</f>
        <v>-96.23100000000001</v>
      </c>
      <c r="H8" s="23">
        <f>H4-H7</f>
        <v>-130.245</v>
      </c>
      <c r="I8" s="23">
        <f>I4-I7</f>
        <v>-81.70599999999999</v>
      </c>
      <c r="J8" s="23">
        <f>J4-J7</f>
        <v>-39.663</v>
      </c>
      <c r="K8" s="23">
        <f>K4-K7</f>
        <v>-40.983000000000004</v>
      </c>
      <c r="L8" s="23">
        <f>L4-L7</f>
        <v>-39.161</v>
      </c>
    </row>
    <row r="9">
      <c r="A9" s="19" t="inlineStr">
        <is>
          <t>Interest &amp; Other</t>
        </is>
      </c>
      <c r="B9" s="23" t="n">
        <v>-0.736</v>
      </c>
      <c r="C9" s="23" t="n">
        <v>-0.498</v>
      </c>
      <c r="D9" s="23" t="n">
        <v>-2.336</v>
      </c>
      <c r="E9" s="23" t="n">
        <v>-2.017</v>
      </c>
      <c r="F9" s="23" t="n">
        <v>-6.123</v>
      </c>
      <c r="G9" s="23" t="n">
        <v>-8.096</v>
      </c>
      <c r="H9" s="23" t="n">
        <v>-12.36</v>
      </c>
      <c r="I9" s="23" t="n">
        <v>36.884</v>
      </c>
      <c r="J9" s="23" t="n">
        <v>-2.536</v>
      </c>
      <c r="K9" s="23" t="n">
        <v>2.472</v>
      </c>
      <c r="L9" s="23" t="n">
        <v>12.181</v>
      </c>
    </row>
    <row r="10">
      <c r="A10" s="2" t="inlineStr">
        <is>
          <t>Pretax</t>
        </is>
      </c>
      <c r="B10" s="23">
        <f>B8+B9</f>
        <v>-16.682</v>
      </c>
      <c r="C10" s="23">
        <f>C8+C9</f>
        <v>-33.166999999999994</v>
      </c>
      <c r="D10" s="23">
        <f>D8+D9</f>
        <v>-42.211</v>
      </c>
      <c r="E10" s="23">
        <f>E8+E9</f>
        <v>-66.738</v>
      </c>
      <c r="F10" s="23">
        <f>F8+F9</f>
        <v>-94.34700000000001</v>
      </c>
      <c r="G10" s="23">
        <f>G8+G9</f>
        <v>-104.32700000000001</v>
      </c>
      <c r="H10" s="23">
        <f>H8+H9</f>
        <v>-142.60500000000002</v>
      </c>
      <c r="I10" s="23">
        <f>I8+I9</f>
        <v>-44.82199999999999</v>
      </c>
      <c r="J10" s="23">
        <f>J8+J9</f>
        <v>-42.199</v>
      </c>
      <c r="K10" s="23">
        <f>K8+K9</f>
        <v>-38.511</v>
      </c>
      <c r="L10" s="23">
        <f>L8+L9</f>
        <v>-26.980000000000004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-16.682</v>
      </c>
      <c r="C12" s="23" t="n">
        <v>-33.167</v>
      </c>
      <c r="D12" s="23" t="n">
        <v>-42.211</v>
      </c>
      <c r="E12" s="23" t="n">
        <v>-66.738</v>
      </c>
      <c r="F12" s="23" t="n">
        <v>-94.34699999999999</v>
      </c>
      <c r="G12" s="23" t="n">
        <v>-104.327</v>
      </c>
      <c r="H12" s="23" t="n">
        <v>-142.605</v>
      </c>
      <c r="I12" s="23" t="n">
        <v>-44.822</v>
      </c>
      <c r="J12" s="23" t="n">
        <v>-42.199</v>
      </c>
      <c r="K12" s="23" t="n">
        <v>-38.511</v>
      </c>
      <c r="L12" s="23" t="n">
        <v>-26.98</v>
      </c>
    </row>
    <row r="13">
      <c r="A13" s="2" t="inlineStr">
        <is>
          <t>Earnings per Share</t>
        </is>
      </c>
      <c r="B13" s="11">
        <f>IFERROR(B12/B14,0)</f>
        <v>-595.7857142857142</v>
      </c>
      <c r="C13" s="11">
        <f>IFERROR(C12/C14,0)</f>
        <v>-1105.5666666666668</v>
      </c>
      <c r="D13" s="11">
        <f>IFERROR(D12/D14,0)</f>
        <v>-148.63028169014086</v>
      </c>
      <c r="E13" s="11">
        <f>IFERROR(E12/E14,0)</f>
        <v>-99.75784753363229</v>
      </c>
      <c r="F13" s="11">
        <f>IFERROR(F12/F14,0)</f>
        <v>-110.34736842105262</v>
      </c>
      <c r="G13" s="11">
        <f>IFERROR(G12/G14,0)</f>
        <v>-79.69977081741789</v>
      </c>
      <c r="H13" s="11">
        <f>IFERROR(H12/H14,0)</f>
        <v>-108.36246200607901</v>
      </c>
      <c r="I13" s="11">
        <f>IFERROR(I12/I14,0)</f>
        <v>-29.468770545693626</v>
      </c>
      <c r="J13" s="11">
        <f>IFERROR(J12/J14,0)</f>
        <v>-17.3515625</v>
      </c>
      <c r="K13" s="11">
        <f>IFERROR(K12/K14,0)</f>
        <v>-10.145152792413068</v>
      </c>
      <c r="L13" s="11">
        <f>IFERROR(L12/L14,0)</f>
        <v>-3.311242022582229</v>
      </c>
    </row>
    <row r="14">
      <c r="A14" s="2" t="inlineStr">
        <is>
          <t>Shares</t>
        </is>
      </c>
      <c r="B14" s="23" t="n">
        <v>0.028</v>
      </c>
      <c r="C14" s="23" t="n">
        <v>0.03</v>
      </c>
      <c r="D14" s="23" t="n">
        <v>0.284</v>
      </c>
      <c r="E14" s="23" t="n">
        <v>0.669</v>
      </c>
      <c r="F14" s="23" t="n">
        <v>0.855</v>
      </c>
      <c r="G14" s="23" t="n">
        <v>1.309</v>
      </c>
      <c r="H14" s="23" t="n">
        <v>1.316</v>
      </c>
      <c r="I14" s="23" t="n">
        <v>1.521</v>
      </c>
      <c r="J14" s="23" t="n">
        <v>2.432</v>
      </c>
      <c r="K14" s="23" t="n">
        <v>3.796</v>
      </c>
      <c r="L14" s="23" t="n">
        <v>8.148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0.04741521238063884</v>
      </c>
      <c r="H16" s="15">
        <f>IFERROR(H2/G2-1,"")</f>
        <v>0.7667400188619931</v>
      </c>
      <c r="I16" s="15">
        <f>IFERROR(I2/H2-1,"")</f>
        <v>-0.6537366548042705</v>
      </c>
      <c r="J16" s="15">
        <f>IFERROR(J2/I2-1,"")</f>
        <v>-1.0</v>
      </c>
      <c r="K16" s="15">
        <f>IFERROR(K2/J2-1,"")</f>
        <v/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/>
      </c>
      <c r="K17" s="15">
        <f>IFERROR(K4/K2,"")</f>
        <v/>
      </c>
      <c r="L17" s="15">
        <f>IFERROR(L4/L2,"")</f>
        <v/>
      </c>
    </row>
    <row r="18">
      <c r="A18" s="14" t="inlineStr">
        <is>
          <t>Operating Margin</t>
        </is>
      </c>
      <c r="B18" s="15">
        <f>IFERROR(B8/B2,"")</f>
        <v>-354.35555555555555</v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-14.524860059269017</v>
      </c>
      <c r="G18" s="15">
        <f>IFERROR(G8/G2,"")</f>
        <v>-15.125903803835273</v>
      </c>
      <c r="H18" s="15">
        <f>IFERROR(H8/H2,"")</f>
        <v>-11.587633451957295</v>
      </c>
      <c r="I18" s="15">
        <f>IFERROR(I8/I2,"")</f>
        <v>-20.993319630010276</v>
      </c>
      <c r="J18" s="15">
        <f>IFERROR(J8/J2,"")</f>
        <v/>
      </c>
      <c r="K18" s="15">
        <f>IFERROR(K8/K2,"")</f>
        <v/>
      </c>
      <c r="L18" s="15">
        <f>IFERROR(L8/L2,"")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2026-10-21T06:31:31Z</dcterms:modified>
  <cp:lastModifiedBy>Wang, Eric</cp:lastModifiedBy>
</cp:coreProperties>
</file>