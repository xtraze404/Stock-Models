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PepGen Inc.</t>
        </is>
      </c>
      <c r="C2" s="10" t="n"/>
    </row>
    <row r="3">
      <c r="B3" t="inlineStr">
        <is>
          <t>Price</t>
        </is>
      </c>
      <c r="C3" s="11">
        <f>INDEX([1]Pharma!$F$1:$F$1000,MATCH("PEPG",[1]Pharma!$B$1:$B$1000,0))</f>
        <v>2.875</v>
      </c>
      <c r="F3" s="1" t="n"/>
    </row>
    <row r="4">
      <c r="B4" t="inlineStr">
        <is>
          <t>Shares</t>
        </is>
      </c>
      <c r="C4" s="21" t="n">
        <v>69.259517</v>
      </c>
      <c r="F4" s="1" t="n"/>
    </row>
    <row r="5">
      <c r="B5" t="inlineStr">
        <is>
          <t>Market Cap.</t>
        </is>
      </c>
      <c r="C5" s="13">
        <f>C3*C4</f>
        <v>199.121111375</v>
      </c>
      <c r="F5" s="1" t="n"/>
    </row>
    <row r="6"/>
    <row r="7">
      <c r="B7" t="inlineStr">
        <is>
          <t>Cash</t>
        </is>
      </c>
      <c r="C7" s="21">
        <f>22.764+94.474</f>
        <v>117.238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81.883111375</v>
      </c>
    </row>
    <row r="10"/>
    <row r="11">
      <c r="B11" s="14" t="inlineStr">
        <is>
          <t>Net Cash / Share</t>
        </is>
      </c>
      <c r="C11" s="11">
        <f>(C7-C8)/C4</f>
        <v>1.6927348771433102</v>
      </c>
    </row>
    <row r="12">
      <c r="B12" s="14" t="inlineStr">
        <is>
          <t>Upside</t>
        </is>
      </c>
      <c r="C12" s="15">
        <f>IFERROR(C11/C3-1,"")</f>
        <v>-0.41122265142841385</v>
      </c>
    </row>
    <row r="13">
      <c r="B13" s="14" t="inlineStr">
        <is>
          <t>Cash / Share</t>
        </is>
      </c>
      <c r="C13" s="11">
        <f>IFERROR((C7-C8)/C4,"")</f>
        <v>1.6927348771433102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-69.336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1.6908676589361948</v>
      </c>
    </row>
    <row r="19">
      <c r="B19" s="14" t="inlineStr">
        <is>
          <t>Implied Pipeline Value</t>
        </is>
      </c>
      <c r="C19" s="13">
        <f>C9</f>
        <v>81.883111375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18.999</v>
      </c>
      <c r="C5" s="23" t="n">
        <v>54.077</v>
      </c>
      <c r="D5" s="23" t="n">
        <v>68.126</v>
      </c>
      <c r="E5" s="23" t="n">
        <v>76.47799999999999</v>
      </c>
      <c r="F5" s="23" t="n">
        <v>71.04300000000001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8.109999999999999</v>
      </c>
      <c r="C6" s="23" t="n">
        <v>14.224</v>
      </c>
      <c r="D6" s="23" t="n">
        <v>16.64</v>
      </c>
      <c r="E6" s="23" t="n">
        <v>21.261</v>
      </c>
      <c r="F6" s="23" t="n">
        <v>22.569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27.108999999999998</v>
      </c>
      <c r="C7" s="23">
        <f>SUM(C5:C6)</f>
        <v>68.301</v>
      </c>
      <c r="D7" s="23">
        <f>SUM(D5:D6)</f>
        <v>84.766</v>
      </c>
      <c r="E7" s="23">
        <f>SUM(E5:E6)</f>
        <v>97.73899999999999</v>
      </c>
      <c r="F7" s="23">
        <f>SUM(F5:F6)</f>
        <v>93.61200000000001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-27.108999999999998</v>
      </c>
      <c r="C8" s="23">
        <f>C4-C7</f>
        <v>-68.301</v>
      </c>
      <c r="D8" s="23">
        <f>D4-D7</f>
        <v>-84.766</v>
      </c>
      <c r="E8" s="23">
        <f>E4-E7</f>
        <v>-97.73899999999999</v>
      </c>
      <c r="F8" s="23">
        <f>F4-F7</f>
        <v>-93.61200000000001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-0.172</v>
      </c>
      <c r="C9" s="23" t="n">
        <v>2.897</v>
      </c>
      <c r="D9" s="23" t="n">
        <v>6.213</v>
      </c>
      <c r="E9" s="23" t="n">
        <v>7.141</v>
      </c>
      <c r="F9" s="23" t="n">
        <v>4.006</v>
      </c>
    </row>
    <row r="10">
      <c r="A10" s="2" t="inlineStr">
        <is>
          <t>Pretax</t>
        </is>
      </c>
      <c r="B10" s="23">
        <f>B8+B9</f>
        <v>-27.281</v>
      </c>
      <c r="C10" s="23">
        <f>C8+C9</f>
        <v>-65.404</v>
      </c>
      <c r="D10" s="23">
        <f>D8+D9</f>
        <v>-78.55300000000001</v>
      </c>
      <c r="E10" s="23">
        <f>E8+E9</f>
        <v>-90.59799999999998</v>
      </c>
      <c r="F10" s="23">
        <f>F8+F9</f>
        <v>-89.60600000000001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3.7</v>
      </c>
      <c r="D11" s="23" t="n">
        <v>0.073</v>
      </c>
      <c r="E11" s="23" t="n">
        <v>-0.617</v>
      </c>
      <c r="F11" s="23" t="n">
        <v>0.049</v>
      </c>
    </row>
    <row r="12">
      <c r="A12" s="2" t="inlineStr">
        <is>
          <t>Net Income</t>
        </is>
      </c>
      <c r="B12" s="23" t="n">
        <v>-27.281</v>
      </c>
      <c r="C12" s="23" t="n">
        <v>-69.104</v>
      </c>
      <c r="D12" s="23" t="n">
        <v>-78.626</v>
      </c>
      <c r="E12" s="23" t="n">
        <v>-89.98099999999999</v>
      </c>
      <c r="F12" s="23" t="n">
        <v>-89.655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-30.278579356270807</v>
      </c>
      <c r="C13" s="11">
        <f>IFERROR(C12/C14,0)</f>
        <v>-4.418414322250639</v>
      </c>
      <c r="D13" s="11">
        <f>IFERROR(D12/D14,0)</f>
        <v>-3.304168767860145</v>
      </c>
      <c r="E13" s="11">
        <f>IFERROR(E12/E14,0)</f>
        <v>-2.849032707469208</v>
      </c>
      <c r="F13" s="11">
        <f>IFERROR(F12/F14,0)</f>
        <v>-2.1234190706266873</v>
      </c>
    </row>
    <row r="14">
      <c r="A14" s="2" t="inlineStr">
        <is>
          <t>Shares</t>
        </is>
      </c>
      <c r="B14" s="23" t="n">
        <v>0.901</v>
      </c>
      <c r="C14" s="23" t="n">
        <v>15.64</v>
      </c>
      <c r="D14" s="23" t="n">
        <v>23.796</v>
      </c>
      <c r="E14" s="23" t="n">
        <v>31.583</v>
      </c>
      <c r="F14" s="23" t="n">
        <v>42.222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2026-10-21T01:05:41Z</dcterms:modified>
  <cp:lastModifiedBy>Wang, Eric</cp:lastModifiedBy>
</cp:coreProperties>
</file>