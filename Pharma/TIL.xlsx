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Instil Bio, Inc.</t>
        </is>
      </c>
      <c r="C2" s="10" t="n"/>
    </row>
    <row r="3">
      <c r="B3" t="inlineStr">
        <is>
          <t>Price</t>
        </is>
      </c>
      <c r="C3" s="11">
        <f>INDEX([1]Pharma!$F$1:$F$1000,MATCH("TIL",[1]Pharma!$B$1:$B$1000,0))</f>
        <v>5.94</v>
      </c>
      <c r="F3" s="1" t="n"/>
    </row>
    <row r="4">
      <c r="B4" t="inlineStr">
        <is>
          <t>Shares</t>
        </is>
      </c>
      <c r="C4" s="21" t="n">
        <v>6.781976</v>
      </c>
      <c r="F4" s="1" t="n"/>
    </row>
    <row r="5">
      <c r="B5" t="inlineStr">
        <is>
          <t>Market Cap.</t>
        </is>
      </c>
      <c r="C5" s="13">
        <f>C3*C4</f>
        <v>40.28493744000001</v>
      </c>
      <c r="F5" s="1" t="n"/>
    </row>
    <row r="6"/>
    <row r="7">
      <c r="B7" t="inlineStr">
        <is>
          <t>Cash</t>
        </is>
      </c>
      <c r="C7" s="21" t="n">
        <v>5.541</v>
      </c>
    </row>
    <row r="8">
      <c r="B8" t="inlineStr">
        <is>
          <t>Debt</t>
        </is>
      </c>
      <c r="C8" s="21" t="n">
        <v>85.19199999999999</v>
      </c>
    </row>
    <row r="9">
      <c r="B9" t="inlineStr">
        <is>
          <t>Enterprise V.</t>
        </is>
      </c>
      <c r="C9" s="13">
        <f>C5-C7+C8</f>
        <v>119.93593744</v>
      </c>
    </row>
    <row r="10"/>
    <row r="11">
      <c r="B11" s="14" t="inlineStr">
        <is>
          <t>Net Cash / Share</t>
        </is>
      </c>
      <c r="C11" s="11">
        <f>(C7-C8)/C4</f>
        <v>-11.744512218857748</v>
      </c>
    </row>
    <row r="12">
      <c r="B12" s="14" t="inlineStr">
        <is>
          <t>Upside</t>
        </is>
      </c>
      <c r="C12" s="15">
        <f>IFERROR(C11/C3-1,"")</f>
        <v>-2.9771906092353113</v>
      </c>
    </row>
    <row r="13">
      <c r="B13" s="14" t="inlineStr">
        <is>
          <t>Cash / Share</t>
        </is>
      </c>
      <c r="C13" s="11">
        <f>IFERROR((C7-C8)/C4,"")</f>
        <v>-11.744512218857748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-23.612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119.93593744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0.138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0.138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19.399</v>
      </c>
      <c r="C5" s="23" t="n">
        <v>107.251</v>
      </c>
      <c r="D5" s="23" t="n">
        <v>141.056</v>
      </c>
      <c r="E5" s="23" t="n">
        <v>39.604</v>
      </c>
      <c r="F5" s="23" t="n">
        <v>11.838</v>
      </c>
      <c r="G5" s="23" t="n">
        <v>24.738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14.383</v>
      </c>
      <c r="C6" s="23" t="n">
        <v>48.309</v>
      </c>
      <c r="D6" s="23" t="n">
        <v>85.402</v>
      </c>
      <c r="E6" s="23" t="n">
        <v>119.565</v>
      </c>
      <c r="F6" s="23" t="n">
        <v>61.703</v>
      </c>
      <c r="G6" s="23" t="n">
        <v>53.843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33.782</v>
      </c>
      <c r="C7" s="23">
        <f>SUM(C5:C6)</f>
        <v>155.56</v>
      </c>
      <c r="D7" s="23">
        <f>SUM(D5:D6)</f>
        <v>226.45800000000003</v>
      </c>
      <c r="E7" s="23">
        <f>SUM(E5:E6)</f>
        <v>159.16899999999998</v>
      </c>
      <c r="F7" s="23">
        <f>SUM(F5:F6)</f>
        <v>73.541</v>
      </c>
      <c r="G7" s="23">
        <f>SUM(G5:G6)</f>
        <v>78.581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-33.644</v>
      </c>
      <c r="C8" s="23">
        <f>C4-C7</f>
        <v>-155.56</v>
      </c>
      <c r="D8" s="23">
        <f>D4-D7</f>
        <v>-226.45800000000003</v>
      </c>
      <c r="E8" s="23">
        <f>E4-E7</f>
        <v>-159.16899999999998</v>
      </c>
      <c r="F8" s="23">
        <f>F4-F7</f>
        <v>-73.541</v>
      </c>
      <c r="G8" s="23">
        <f>G4-G7</f>
        <v>-78.581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-3.943</v>
      </c>
      <c r="C9" s="23" t="n">
        <v>-1.195</v>
      </c>
      <c r="D9" s="23" t="n">
        <v>1.208</v>
      </c>
      <c r="E9" s="23" t="n">
        <v>3.082</v>
      </c>
      <c r="F9" s="23" t="n">
        <v>-0.594</v>
      </c>
      <c r="G9" s="23" t="n">
        <v>7.209</v>
      </c>
    </row>
    <row r="10">
      <c r="A10" s="2" t="inlineStr">
        <is>
          <t>Pretax</t>
        </is>
      </c>
      <c r="B10" s="23">
        <f>B8+B9</f>
        <v>-37.586999999999996</v>
      </c>
      <c r="C10" s="23">
        <f>C8+C9</f>
        <v>-156.755</v>
      </c>
      <c r="D10" s="23">
        <f>D8+D9</f>
        <v>-225.25000000000003</v>
      </c>
      <c r="E10" s="23">
        <f>E8+E9</f>
        <v>-156.087</v>
      </c>
      <c r="F10" s="23">
        <f>F8+F9</f>
        <v>-74.13499999999999</v>
      </c>
      <c r="G10" s="23">
        <f>G8+G9</f>
        <v>-71.372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0.151</v>
      </c>
      <c r="C11" s="23" t="n">
        <v>0.039</v>
      </c>
      <c r="D11" s="23" t="n">
        <v>-2.073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-37.738</v>
      </c>
      <c r="C12" s="23" t="n">
        <v>-156.794</v>
      </c>
      <c r="D12" s="23" t="n">
        <v>-223.177</v>
      </c>
      <c r="E12" s="23" t="n">
        <v>-156.087</v>
      </c>
      <c r="F12" s="23" t="n">
        <v>-74.13500000000001</v>
      </c>
      <c r="G12" s="23" t="n">
        <v>-71.372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-2.358919864983123</v>
      </c>
      <c r="C13" s="11">
        <f>IFERROR(C12/C14,0)</f>
        <v>-1.4792863679676962</v>
      </c>
      <c r="D13" s="11">
        <f>IFERROR(D12/D14,0)</f>
        <v>-34.46216800494132</v>
      </c>
      <c r="E13" s="11">
        <f>IFERROR(E12/E14,0)</f>
        <v>-23.998616236162363</v>
      </c>
      <c r="F13" s="11">
        <f>IFERROR(F12/F14,0)</f>
        <v>-11.387864823348696</v>
      </c>
      <c r="G13" s="11">
        <f>IFERROR(G12/G14,0)</f>
        <v>-10.703659268146371</v>
      </c>
    </row>
    <row r="14">
      <c r="A14" s="2" t="inlineStr">
        <is>
          <t>Shares</t>
        </is>
      </c>
      <c r="B14" s="23" t="n">
        <v>15.998</v>
      </c>
      <c r="C14" s="23" t="n">
        <v>105.993</v>
      </c>
      <c r="D14" s="23" t="n">
        <v>6.476</v>
      </c>
      <c r="E14" s="23" t="n">
        <v>6.504</v>
      </c>
      <c r="F14" s="23" t="n">
        <v>6.51</v>
      </c>
      <c r="G14" s="23" t="n">
        <v>6.668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-243.79710144927532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2026-10-21T06:29:36Z</dcterms:modified>
  <cp:lastModifiedBy>Wang, Eric</cp:lastModifiedBy>
</cp:coreProperties>
</file>