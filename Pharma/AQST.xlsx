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Aquestive Therapeutics, Inc.</t>
        </is>
      </c>
      <c r="C2" s="10" t="n"/>
    </row>
    <row r="3">
      <c r="B3" t="inlineStr">
        <is>
          <t>Price</t>
        </is>
      </c>
      <c r="C3" s="11">
        <f>INDEX([1]Pharma!$F$1:$F$1000,MATCH("AQST",[1]Pharma!$B$1:$B$1000,0))</f>
        <v>4.05</v>
      </c>
      <c r="F3" s="1" t="n"/>
    </row>
    <row r="4">
      <c r="B4" t="inlineStr">
        <is>
          <t>Shares</t>
        </is>
      </c>
      <c r="C4" s="51" t="n">
        <v>125.511648</v>
      </c>
      <c r="F4" s="1" t="n"/>
    </row>
    <row r="5">
      <c r="B5" t="inlineStr">
        <is>
          <t>Market Cap.</t>
        </is>
      </c>
      <c r="C5" s="13">
        <f>C3*C4</f>
        <v>508.32217439999994</v>
      </c>
      <c r="F5" s="1" t="n"/>
    </row>
    <row r="6"/>
    <row r="7">
      <c r="B7" t="inlineStr">
        <is>
          <t>Cash</t>
        </is>
      </c>
      <c r="C7" s="51" t="n">
        <v>98.48999999999999</v>
      </c>
    </row>
    <row r="8">
      <c r="B8" t="inlineStr">
        <is>
          <t>Debt</t>
        </is>
      </c>
      <c r="C8" s="51">
        <f>0.032+50.654</f>
        <v>50.686</v>
      </c>
    </row>
    <row r="9">
      <c r="B9" t="inlineStr">
        <is>
          <t>Enterprise V.</t>
        </is>
      </c>
      <c r="C9" s="13">
        <f>C5-C7+C8</f>
        <v>460.5181743999999</v>
      </c>
    </row>
    <row r="10"/>
    <row r="11">
      <c r="B11" s="14" t="inlineStr">
        <is>
          <t>NPV / Share</t>
        </is>
      </c>
      <c r="C11" s="11">
        <f>NPV!B28</f>
        <v>0.24887017971583997</v>
      </c>
    </row>
    <row r="12">
      <c r="B12" s="14" t="inlineStr">
        <is>
          <t>Upside</t>
        </is>
      </c>
      <c r="C12" s="15">
        <f>IFERROR(C11/C3-1,"")</f>
        <v>-0.9385505729096691</v>
      </c>
    </row>
    <row r="13">
      <c r="B13" s="14" t="inlineStr">
        <is>
          <t>Cash / Share</t>
        </is>
      </c>
      <c r="C13" s="11">
        <f>IFERROR((C7-C8)/C4,"")</f>
        <v>0.38087301666216666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66.91800000000001</v>
      </c>
      <c r="C2" s="52" t="n">
        <v>67.43000000000001</v>
      </c>
      <c r="D2" s="52" t="n">
        <v>52.609</v>
      </c>
      <c r="E2" s="52" t="n">
        <v>45.849</v>
      </c>
      <c r="F2" s="52" t="n">
        <v>50.832</v>
      </c>
      <c r="G2" s="52" t="n">
        <v>47.68</v>
      </c>
      <c r="H2" s="52" t="n">
        <v>50.583</v>
      </c>
      <c r="I2" s="52" t="n">
        <v>57.561</v>
      </c>
      <c r="J2" s="52" t="n">
        <v>44.545</v>
      </c>
      <c r="K2" s="52">
        <f>J2*(1+NPV!C5)</f>
        <v>50.692209999999996</v>
      </c>
      <c r="L2" s="52">
        <f>K2*(1+NPV!D5)</f>
        <v>57.051266121111105</v>
      </c>
      <c r="M2" s="52">
        <f>L2*(1+NPV!E5)</f>
        <v>63.49172016322764</v>
      </c>
      <c r="N2" s="52">
        <f>M2*(1+NPV!F5)</f>
        <v>69.86205608627148</v>
      </c>
      <c r="O2" s="52">
        <f>N2*(1+NPV!G5)</f>
        <v>75.99439212051087</v>
      </c>
      <c r="P2" s="52">
        <f>O2*(1+NPV!H5)</f>
        <v>81.71085917224264</v>
      </c>
      <c r="Q2" s="52">
        <f>P2*(1+NPV!I5)</f>
        <v>86.8314063470365</v>
      </c>
      <c r="R2" s="52">
        <f>Q2*(1+NPV!J5)</f>
        <v>91.1826245984269</v>
      </c>
      <c r="S2" s="52">
        <f>R2*(1+NPV!K5)</f>
        <v>94.60703872223449</v>
      </c>
      <c r="T2" s="52">
        <f>S2*(1+NPV!L5)</f>
        <v>96.97221469029034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20.361</v>
      </c>
      <c r="E3" s="52" t="n">
        <v>12.964</v>
      </c>
      <c r="F3" s="52" t="n">
        <v>0</v>
      </c>
      <c r="G3" s="52" t="n">
        <v>19.386</v>
      </c>
      <c r="H3" s="52" t="n">
        <v>20.831</v>
      </c>
      <c r="I3" s="52" t="n">
        <v>17.872</v>
      </c>
      <c r="J3" s="52" t="n">
        <v>18.555</v>
      </c>
      <c r="K3" s="52">
        <f>K2*(1-Assumptions!$B$19)</f>
        <v>21.113305464999996</v>
      </c>
      <c r="L3" s="52">
        <f>L2*(1-Assumptions!$B$19)</f>
        <v>23.761852339442775</v>
      </c>
      <c r="M3" s="52">
        <f>M2*(1-Assumptions!$B$19)</f>
        <v>26.444301447984312</v>
      </c>
      <c r="N3" s="52">
        <f>N2*(1-Assumptions!$B$19)</f>
        <v>29.09754635993207</v>
      </c>
      <c r="O3" s="52">
        <f>O2*(1-Assumptions!$B$19)</f>
        <v>31.651664318192775</v>
      </c>
      <c r="P3" s="52">
        <f>P2*(1-Assumptions!$B$19)</f>
        <v>34.03257284523906</v>
      </c>
      <c r="Q3" s="52">
        <f>Q2*(1-Assumptions!$B$19)</f>
        <v>36.165280743540706</v>
      </c>
      <c r="R3" s="52">
        <f>R2*(1-Assumptions!$B$19)</f>
        <v>37.9775631452448</v>
      </c>
      <c r="S3" s="52">
        <f>S2*(1-Assumptions!$B$19)</f>
        <v>39.40383162781066</v>
      </c>
      <c r="T3" s="52">
        <f>T2*(1-Assumptions!$B$19)</f>
        <v>40.38892741850593</v>
      </c>
    </row>
    <row r="4" customFormat="1" s="1">
      <c r="A4" s="5" t="inlineStr">
        <is>
          <t>Gross Margin</t>
        </is>
      </c>
      <c r="B4" s="52">
        <f>B2-B3</f>
        <v>66.918</v>
      </c>
      <c r="C4" s="52">
        <f>C2-C3</f>
        <v>67.43</v>
      </c>
      <c r="D4" s="52">
        <f>D2-D3</f>
        <v>32.248000000000005</v>
      </c>
      <c r="E4" s="52">
        <f>E2-E3</f>
        <v>32.885</v>
      </c>
      <c r="F4" s="52">
        <f>F2-F3</f>
        <v>50.832</v>
      </c>
      <c r="G4" s="52">
        <f>G2-G3</f>
        <v>28.294</v>
      </c>
      <c r="H4" s="52">
        <f>H2-H3</f>
        <v>29.752</v>
      </c>
      <c r="I4" s="52">
        <f>I2-I3</f>
        <v>39.689</v>
      </c>
      <c r="J4" s="52">
        <f>J2-J3</f>
        <v>25.990000000000002</v>
      </c>
      <c r="K4" s="52">
        <f>K2-K3</f>
        <v>29.578904535</v>
      </c>
      <c r="L4" s="52">
        <f>L2-L3</f>
        <v>33.28941378166833</v>
      </c>
      <c r="M4" s="52">
        <f>M2-M3</f>
        <v>37.047418715243325</v>
      </c>
      <c r="N4" s="52">
        <f>N2-N3</f>
        <v>40.76450972633941</v>
      </c>
      <c r="O4" s="52">
        <f>O2-O3</f>
        <v>44.342727802318095</v>
      </c>
      <c r="P4" s="52">
        <f>P2-P3</f>
        <v>47.678286327003576</v>
      </c>
      <c r="Q4" s="52">
        <f>Q2-Q3</f>
        <v>50.6661256034958</v>
      </c>
      <c r="R4" s="52">
        <f>R2-R3</f>
        <v>53.2050614531821</v>
      </c>
      <c r="S4" s="52">
        <f>S2-S3</f>
        <v>55.20320709442383</v>
      </c>
      <c r="T4" s="52">
        <f>T2-T3</f>
        <v>56.583287271784414</v>
      </c>
    </row>
    <row r="5">
      <c r="A5" s="2" t="inlineStr">
        <is>
          <t>Research &amp; Dev.</t>
        </is>
      </c>
      <c r="B5" s="52" t="n">
        <v>22.133</v>
      </c>
      <c r="C5" s="52" t="n">
        <v>23.112</v>
      </c>
      <c r="D5" s="52" t="n">
        <v>20.574</v>
      </c>
      <c r="E5" s="52" t="n">
        <v>19.886</v>
      </c>
      <c r="F5" s="52" t="n">
        <v>17.047</v>
      </c>
      <c r="G5" s="52" t="n">
        <v>17.481</v>
      </c>
      <c r="H5" s="52" t="n">
        <v>13.104</v>
      </c>
      <c r="I5" s="52" t="n">
        <v>20.28</v>
      </c>
      <c r="J5" s="52" t="n">
        <v>17.192</v>
      </c>
      <c r="K5" s="52">
        <f>K7*Assumptions!$B$20</f>
        <v>9.38364553707968</v>
      </c>
      <c r="L5" s="52">
        <f>L7*Assumptions!$B$20</f>
        <v>9.81812901750192</v>
      </c>
      <c r="M5" s="52">
        <f>M7*Assumptions!$B$20</f>
        <v>10.100007860818076</v>
      </c>
      <c r="N5" s="52">
        <f>N7*Assumptions!$B$20</f>
        <v>10.203973107561547</v>
      </c>
      <c r="O5" s="52">
        <f>O7*Assumptions!$B$20</f>
        <v>10.110427677842898</v>
      </c>
      <c r="P5" s="52">
        <f>P7*Assumptions!$B$20</f>
        <v>9.807317109925995</v>
      </c>
      <c r="Q5" s="52">
        <f>Q7*Assumptions!$B$20</f>
        <v>9.291614840611137</v>
      </c>
      <c r="R5" s="52">
        <f>R7*Assumptions!$B$20</f>
        <v>8.570293547438974</v>
      </c>
      <c r="S5" s="52">
        <f>S7*Assumptions!$B$20</f>
        <v>7.660645263851575</v>
      </c>
      <c r="T5" s="52">
        <f>T7*Assumptions!$B$20</f>
        <v>6.589863215936309</v>
      </c>
    </row>
    <row r="6">
      <c r="A6" s="18" t="inlineStr">
        <is>
          <t>SG&amp;A &amp; Other</t>
        </is>
      </c>
      <c r="B6" s="52" t="n">
        <v>44.898</v>
      </c>
      <c r="C6" s="52" t="n">
        <v>93.252</v>
      </c>
      <c r="D6" s="52" t="n">
        <v>64.342</v>
      </c>
      <c r="E6" s="52" t="n">
        <v>55.892</v>
      </c>
      <c r="F6" s="52" t="n">
        <v>68.464</v>
      </c>
      <c r="G6" s="52" t="n">
        <v>52.879</v>
      </c>
      <c r="H6" s="52" t="n">
        <v>31.75</v>
      </c>
      <c r="I6" s="52" t="n">
        <v>50.18</v>
      </c>
      <c r="J6" s="52" t="n">
        <v>79.849</v>
      </c>
      <c r="K6" s="52">
        <f>K7-K5</f>
        <v>43.57146471732032</v>
      </c>
      <c r="L6" s="52">
        <f>L7-L5</f>
        <v>45.58891961399877</v>
      </c>
      <c r="M6" s="52">
        <f>M7-M5</f>
        <v>46.89777916411464</v>
      </c>
      <c r="N6" s="52">
        <f>N7-N5</f>
        <v>47.38052524210858</v>
      </c>
      <c r="O6" s="52">
        <f>O7-O5</f>
        <v>46.94616192623666</v>
      </c>
      <c r="P6" s="52">
        <f>P7-P5</f>
        <v>45.538716241800834</v>
      </c>
      <c r="Q6" s="52">
        <f>Q7-Q5</f>
        <v>43.14413482423727</v>
      </c>
      <c r="R6" s="52">
        <f>R7-R5</f>
        <v>39.794794192058625</v>
      </c>
      <c r="S6" s="52">
        <f>S7-S5</f>
        <v>35.5709871506607</v>
      </c>
      <c r="T6" s="52">
        <f>T7-T5</f>
        <v>30.598981117790043</v>
      </c>
    </row>
    <row r="7">
      <c r="A7" s="2" t="inlineStr">
        <is>
          <t>Operating Expense</t>
        </is>
      </c>
      <c r="B7" s="52">
        <f>SUM(B5:B6)</f>
        <v>67.031</v>
      </c>
      <c r="C7" s="52">
        <f>SUM(C5:C6)</f>
        <v>116.36399999999999</v>
      </c>
      <c r="D7" s="52">
        <f>SUM(D5:D6)</f>
        <v>84.916</v>
      </c>
      <c r="E7" s="52">
        <f>SUM(E5:E6)</f>
        <v>75.778</v>
      </c>
      <c r="F7" s="52">
        <f>SUM(F5:F6)</f>
        <v>85.511</v>
      </c>
      <c r="G7" s="52">
        <f>SUM(G5:G6)</f>
        <v>70.36</v>
      </c>
      <c r="H7" s="52">
        <f>SUM(H5:H6)</f>
        <v>44.854</v>
      </c>
      <c r="I7" s="52">
        <f>SUM(I5:I6)</f>
        <v>70.46000000000001</v>
      </c>
      <c r="J7" s="52">
        <f>SUM(J5:J6)</f>
        <v>97.041</v>
      </c>
      <c r="K7" s="52">
        <f>K4-K2*NPV!C6</f>
        <v>52.9551102544</v>
      </c>
      <c r="L7" s="52">
        <f>L4-L2*NPV!D6</f>
        <v>55.407048631500686</v>
      </c>
      <c r="M7" s="52">
        <f>M4-M2*NPV!E6</f>
        <v>56.99778702493271</v>
      </c>
      <c r="N7" s="52">
        <f>N4-N2*NPV!F6</f>
        <v>57.58449834967013</v>
      </c>
      <c r="O7" s="52">
        <f>O4-O2*NPV!G6</f>
        <v>57.05658960407956</v>
      </c>
      <c r="P7" s="52">
        <f>P4-P2*NPV!H6</f>
        <v>55.34603335172683</v>
      </c>
      <c r="Q7" s="52">
        <f>Q4-Q2*NPV!I6</f>
        <v>52.43574966484841</v>
      </c>
      <c r="R7" s="52">
        <f>R4-R2*NPV!J6</f>
        <v>48.365087739497596</v>
      </c>
      <c r="S7" s="52">
        <f>S4-S2*NPV!K6</f>
        <v>43.231632414512276</v>
      </c>
      <c r="T7" s="52">
        <f>T4-T2*NPV!L6</f>
        <v>37.18884433372635</v>
      </c>
    </row>
    <row r="8">
      <c r="A8" s="2" t="inlineStr">
        <is>
          <t>Operating Income</t>
        </is>
      </c>
      <c r="B8" s="52">
        <f>B4-B7</f>
        <v>-0.11299999999999955</v>
      </c>
      <c r="C8" s="52">
        <f>C4-C7</f>
        <v>-48.93399999999998</v>
      </c>
      <c r="D8" s="52">
        <f>D4-D7</f>
        <v>-52.66799999999999</v>
      </c>
      <c r="E8" s="52">
        <f>E4-E7</f>
        <v>-42.89300000000001</v>
      </c>
      <c r="F8" s="52">
        <f>F4-F7</f>
        <v>-34.678999999999995</v>
      </c>
      <c r="G8" s="52">
        <f>G4-G7</f>
        <v>-42.066</v>
      </c>
      <c r="H8" s="52">
        <f>H4-H7</f>
        <v>-15.102</v>
      </c>
      <c r="I8" s="52">
        <f>I4-I7</f>
        <v>-30.771000000000008</v>
      </c>
      <c r="J8" s="52">
        <f>J4-J7</f>
        <v>-71.05099999999999</v>
      </c>
      <c r="K8" s="52">
        <f>K4-K7</f>
        <v>-23.376205719399998</v>
      </c>
      <c r="L8" s="52">
        <f>L4-L7</f>
        <v>-22.117634849832356</v>
      </c>
      <c r="M8" s="52">
        <f>M4-M7</f>
        <v>-19.950368309689388</v>
      </c>
      <c r="N8" s="52">
        <f>N4-N7</f>
        <v>-16.819988623330715</v>
      </c>
      <c r="O8" s="52">
        <f>O4-O7</f>
        <v>-12.713861801761468</v>
      </c>
      <c r="P8" s="52">
        <f>P4-P7</f>
        <v>-7.667747024723255</v>
      </c>
      <c r="Q8" s="52">
        <f>Q4-Q7</f>
        <v>-1.7696240613526086</v>
      </c>
      <c r="R8" s="52">
        <f>R4-R7</f>
        <v>4.8399737136845005</v>
      </c>
      <c r="S8" s="52">
        <f>S4-S7</f>
        <v>11.971574679911555</v>
      </c>
      <c r="T8" s="52">
        <f>T4-T7</f>
        <v>19.394442938058063</v>
      </c>
    </row>
    <row r="9">
      <c r="A9" s="18" t="inlineStr">
        <is>
          <t>Interest &amp; Other</t>
        </is>
      </c>
      <c r="B9" s="52" t="n">
        <v>-8.83</v>
      </c>
      <c r="C9" s="52" t="n">
        <v>-12.442</v>
      </c>
      <c r="D9" s="52" t="n">
        <v>-13.578</v>
      </c>
      <c r="E9" s="52" t="n">
        <v>-12.89</v>
      </c>
      <c r="F9" s="52" t="n">
        <v>-35.86</v>
      </c>
      <c r="G9" s="52" t="n">
        <v>-12.344</v>
      </c>
      <c r="H9" s="52" t="n">
        <v>7.477</v>
      </c>
      <c r="I9" s="52" t="n">
        <v>-13.38</v>
      </c>
      <c r="J9" s="52" t="n">
        <v>-12.733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-8.943</v>
      </c>
      <c r="C10" s="52">
        <f>C8+C9</f>
        <v>-61.37599999999998</v>
      </c>
      <c r="D10" s="52">
        <f>D8+D9</f>
        <v>-66.246</v>
      </c>
      <c r="E10" s="52">
        <f>E8+E9</f>
        <v>-55.78300000000001</v>
      </c>
      <c r="F10" s="52">
        <f>F8+F9</f>
        <v>-70.53899999999999</v>
      </c>
      <c r="G10" s="52">
        <f>G8+G9</f>
        <v>-54.410000000000004</v>
      </c>
      <c r="H10" s="52">
        <f>H8+H9</f>
        <v>-7.625</v>
      </c>
      <c r="I10" s="52">
        <f>I8+I9</f>
        <v>-44.15100000000001</v>
      </c>
      <c r="J10" s="52">
        <f>J8+J9</f>
        <v>-83.78399999999999</v>
      </c>
      <c r="K10" s="52">
        <f>K8+K9</f>
        <v>-23.376205719399998</v>
      </c>
      <c r="L10" s="52">
        <f>L8+L9</f>
        <v>-22.117634849832356</v>
      </c>
      <c r="M10" s="52">
        <f>M8+M9</f>
        <v>-19.950368309689388</v>
      </c>
      <c r="N10" s="52">
        <f>N8+N9</f>
        <v>-16.819988623330715</v>
      </c>
      <c r="O10" s="52">
        <f>O8+O9</f>
        <v>-12.713861801761468</v>
      </c>
      <c r="P10" s="52">
        <f>P8+P9</f>
        <v>-7.667747024723255</v>
      </c>
      <c r="Q10" s="52">
        <f>Q8+Q9</f>
        <v>-1.7696240613526086</v>
      </c>
      <c r="R10" s="52">
        <f>R8+R9</f>
        <v>4.8399737136845005</v>
      </c>
      <c r="S10" s="52">
        <f>S8+S9</f>
        <v>11.971574679911555</v>
      </c>
      <c r="T10" s="52">
        <f>T8+T9</f>
        <v>19.394442938058063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0.245</v>
      </c>
      <c r="I11" s="52" t="n">
        <v>-0.014</v>
      </c>
      <c r="J11" s="52" t="n">
        <v>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0.8227955313263652</v>
      </c>
      <c r="S11" s="52">
        <f>MAX(0,S10)*Assumptions!$E$14</f>
        <v>2.0351676955849647</v>
      </c>
      <c r="T11" s="52">
        <f>MAX(0,T10)*Assumptions!$E$14</f>
        <v>3.297055299469871</v>
      </c>
    </row>
    <row r="12">
      <c r="A12" s="2" t="inlineStr">
        <is>
          <t>Net Income</t>
        </is>
      </c>
      <c r="B12" s="52" t="n">
        <v>-8.943</v>
      </c>
      <c r="C12" s="52" t="n">
        <v>-61.376</v>
      </c>
      <c r="D12" s="52" t="n">
        <v>-66.246</v>
      </c>
      <c r="E12" s="52" t="n">
        <v>-55.783</v>
      </c>
      <c r="F12" s="52" t="n">
        <v>-70.539</v>
      </c>
      <c r="G12" s="52" t="n">
        <v>-54.41</v>
      </c>
      <c r="H12" s="52" t="n">
        <v>-7.87</v>
      </c>
      <c r="I12" s="52" t="n">
        <v>-44.137</v>
      </c>
      <c r="J12" s="52" t="n">
        <v>-83.78400000000001</v>
      </c>
      <c r="K12" s="52">
        <f>K10-K11</f>
        <v>-23.376205719399998</v>
      </c>
      <c r="L12" s="52">
        <f>L10-L11</f>
        <v>-22.117634849832356</v>
      </c>
      <c r="M12" s="52">
        <f>M10-M11</f>
        <v>-19.950368309689388</v>
      </c>
      <c r="N12" s="52">
        <f>N10-N11</f>
        <v>-16.819988623330715</v>
      </c>
      <c r="O12" s="52">
        <f>O10-O11</f>
        <v>-12.713861801761468</v>
      </c>
      <c r="P12" s="52">
        <f>P10-P11</f>
        <v>-7.667747024723255</v>
      </c>
      <c r="Q12" s="52">
        <f>Q10-Q11</f>
        <v>-1.7696240613526086</v>
      </c>
      <c r="R12" s="52">
        <f>R10-R11</f>
        <v>4.017178182358135</v>
      </c>
      <c r="S12" s="52">
        <f>S10-S11</f>
        <v>9.93640698432659</v>
      </c>
      <c r="T12" s="52">
        <f>T10-T11</f>
        <v>16.09738763858819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-2.9613046415130753</v>
      </c>
      <c r="D13" s="11">
        <f>IFERROR(D12/D14,0)</f>
        <v>-2.612636062470421</v>
      </c>
      <c r="E13" s="11">
        <f>IFERROR(E12/E14,0)</f>
        <v>-1.657692193396927</v>
      </c>
      <c r="F13" s="11">
        <f>IFERROR(F12/F14,0)</f>
        <v>-1.8524870003676663</v>
      </c>
      <c r="G13" s="11">
        <f>IFERROR(G12/G14,0)</f>
        <v>-1.1164689949521893</v>
      </c>
      <c r="H13" s="11">
        <f>IFERROR(H12/H14,0)</f>
        <v>-0.12847721039571633</v>
      </c>
      <c r="I13" s="11">
        <f>IFERROR(I12/I14,0)</f>
        <v>-0.5089246592717294</v>
      </c>
      <c r="J13" s="11">
        <f>IFERROR(J12/J14,0)</f>
        <v>-0.7835626174866965</v>
      </c>
      <c r="K13" s="11">
        <f>IFERROR(K12/K14,0)</f>
        <v>-0.18624730128155118</v>
      </c>
      <c r="L13" s="11">
        <f>IFERROR(L12/L14,0)</f>
        <v>-0.17621977881951129</v>
      </c>
      <c r="M13" s="11">
        <f>IFERROR(M12/M14,0)</f>
        <v>-0.15895232536257822</v>
      </c>
      <c r="N13" s="11">
        <f>IFERROR(N12/N14,0)</f>
        <v>-0.13401137576753605</v>
      </c>
      <c r="O13" s="11">
        <f>IFERROR(O12/O14,0)</f>
        <v>-0.10129627014188729</v>
      </c>
      <c r="P13" s="11">
        <f>IFERROR(P12/P14,0)</f>
        <v>-0.06109191574572629</v>
      </c>
      <c r="Q13" s="11">
        <f>IFERROR(Q12/Q14,0)</f>
        <v>-0.01409928153722122</v>
      </c>
      <c r="R13" s="11">
        <f>IFERROR(R12/R14,0)</f>
        <v>0.03200641730366042</v>
      </c>
      <c r="S13" s="11">
        <f>IFERROR(S12/S14,0)</f>
        <v>0.07916720991765315</v>
      </c>
      <c r="T13" s="11">
        <f>IFERROR(T12/T14,0)</f>
        <v>0.12825413334217547</v>
      </c>
    </row>
    <row r="14">
      <c r="A14" s="2" t="inlineStr">
        <is>
          <t>Shares</t>
        </is>
      </c>
      <c r="B14" s="52" t="n"/>
      <c r="C14" s="52" t="n">
        <v>20.726</v>
      </c>
      <c r="D14" s="52" t="n">
        <v>25.356</v>
      </c>
      <c r="E14" s="52" t="n">
        <v>33.651</v>
      </c>
      <c r="F14" s="52" t="n">
        <v>38.078</v>
      </c>
      <c r="G14" s="52" t="n">
        <v>48.734</v>
      </c>
      <c r="H14" s="52" t="n">
        <v>61.256</v>
      </c>
      <c r="I14" s="52" t="n">
        <v>86.726</v>
      </c>
      <c r="J14" s="52" t="n">
        <v>106.927</v>
      </c>
      <c r="K14" s="52">
        <f>Main!$C$4</f>
        <v>125.511648</v>
      </c>
      <c r="L14" s="52">
        <f>Main!$C$4</f>
        <v>125.511648</v>
      </c>
      <c r="M14" s="52">
        <f>Main!$C$4</f>
        <v>125.511648</v>
      </c>
      <c r="N14" s="52">
        <f>Main!$C$4</f>
        <v>125.511648</v>
      </c>
      <c r="O14" s="52">
        <f>Main!$C$4</f>
        <v>125.511648</v>
      </c>
      <c r="P14" s="52">
        <f>Main!$C$4</f>
        <v>125.511648</v>
      </c>
      <c r="Q14" s="52">
        <f>Main!$C$4</f>
        <v>125.511648</v>
      </c>
      <c r="R14" s="52">
        <f>Main!$C$4</f>
        <v>125.511648</v>
      </c>
      <c r="S14" s="52">
        <f>Main!$C$4</f>
        <v>125.511648</v>
      </c>
      <c r="T14" s="52">
        <f>Main!$C$4</f>
        <v>125.511648</v>
      </c>
    </row>
    <row r="15"/>
    <row r="16" customFormat="1" s="4">
      <c r="A16" s="3" t="inlineStr">
        <is>
          <t>Revenue Change</t>
        </is>
      </c>
      <c r="C16" s="15">
        <f>IFERROR(C2/B2-1,"")</f>
        <v>0.007651155145103061</v>
      </c>
      <c r="D16" s="15">
        <f>IFERROR(D2/C2-1,"")</f>
        <v>-0.2197983093578526</v>
      </c>
      <c r="E16" s="15">
        <f>IFERROR(E2/D2-1,"")</f>
        <v>-0.1284951244083713</v>
      </c>
      <c r="F16" s="15">
        <f>IFERROR(F2/E2-1,"")</f>
        <v>0.10868285022574109</v>
      </c>
      <c r="G16" s="15">
        <f>IFERROR(G2/F2-1,"")</f>
        <v>-0.06200818382121498</v>
      </c>
      <c r="H16" s="15">
        <f>IFERROR(H2/G2-1,"")</f>
        <v>0.060885067114093916</v>
      </c>
      <c r="I16" s="15">
        <f>IFERROR(I2/H2-1,"")</f>
        <v>0.1379514856770061</v>
      </c>
      <c r="J16" s="15">
        <f>IFERROR(J2/I2-1,"")</f>
        <v>-0.22612532791299667</v>
      </c>
      <c r="K16" s="15">
        <f>IFERROR(K2/J2-1,"")</f>
        <v>0.1379999999999999</v>
      </c>
      <c r="L16" s="15">
        <f>IFERROR(L2/K2-1,"")</f>
        <v>0.12544444444444447</v>
      </c>
      <c r="M16" s="15">
        <f>IFERROR(M2/L2-1,"")</f>
        <v>0.11288888888888882</v>
      </c>
      <c r="N16" s="15">
        <f>IFERROR(N2/M2-1,"")</f>
        <v>0.10033333333333339</v>
      </c>
      <c r="O16" s="15">
        <f>IFERROR(O2/N2-1,"")</f>
        <v>0.08777777777777773</v>
      </c>
      <c r="P16" s="15">
        <f>IFERROR(P2/O2-1,"")</f>
        <v>0.0752222222222223</v>
      </c>
      <c r="Q16" s="15">
        <f>IFERROR(Q2/P2-1,"")</f>
        <v>0.06266666666666665</v>
      </c>
      <c r="R16" s="15">
        <f>IFERROR(R2/Q2-1,"")</f>
        <v>0.05011111111111122</v>
      </c>
      <c r="S16" s="15">
        <f>IFERROR(S2/R2-1,"")</f>
        <v>0.037555555555555564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0.6129749662605258</v>
      </c>
      <c r="E17" s="15">
        <f>IFERROR(E4/E2,"")</f>
        <v>0.7172457414556479</v>
      </c>
      <c r="F17" s="15">
        <f>IFERROR(F4/F2,"")</f>
        <v>1.0</v>
      </c>
      <c r="G17" s="15">
        <f>IFERROR(G4/G2,"")</f>
        <v>0.5934144295302014</v>
      </c>
      <c r="H17" s="15">
        <f>IFERROR(H4/H2,"")</f>
        <v>0.5881818002095566</v>
      </c>
      <c r="I17" s="15">
        <f>IFERROR(I4/I2,"")</f>
        <v>0.6895119959694932</v>
      </c>
      <c r="J17" s="15">
        <f>IFERROR(J4/J2,"")</f>
        <v>0.5834549332136042</v>
      </c>
      <c r="K17" s="15">
        <f>IFERROR(K4/K2,"")</f>
        <v>0.5835</v>
      </c>
      <c r="L17" s="15">
        <f>IFERROR(L4/L2,"")</f>
        <v>0.5835</v>
      </c>
      <c r="M17" s="15">
        <f>IFERROR(M4/M2,"")</f>
        <v>0.5834999999999999</v>
      </c>
      <c r="N17" s="15">
        <f>IFERROR(N4/N2,"")</f>
        <v>0.5835</v>
      </c>
      <c r="O17" s="15">
        <f>IFERROR(O4/O2,"")</f>
        <v>0.5835</v>
      </c>
      <c r="P17" s="15">
        <f>IFERROR(P4/P2,"")</f>
        <v>0.5835</v>
      </c>
      <c r="Q17" s="15">
        <f>IFERROR(Q4/Q2,"")</f>
        <v>0.5835</v>
      </c>
      <c r="R17" s="15">
        <f>IFERROR(R4/R2,"")</f>
        <v>0.5835</v>
      </c>
      <c r="S17" s="15">
        <f>IFERROR(S4/S2,"")</f>
        <v>0.5835</v>
      </c>
      <c r="T17" s="15">
        <f>IFERROR(T4/T2,"")</f>
        <v>0.5835</v>
      </c>
    </row>
    <row r="18">
      <c r="A18" s="14" t="inlineStr">
        <is>
          <t>Operating Margin</t>
        </is>
      </c>
      <c r="B18" s="15">
        <f>IFERROR(B8/B2,"")</f>
        <v>-0.0016886338503840452</v>
      </c>
      <c r="C18" s="15">
        <f>IFERROR(C8/C2,"")</f>
        <v>-0.7257007266795191</v>
      </c>
      <c r="D18" s="15">
        <f>IFERROR(D8/D2,"")</f>
        <v>-1.0011214811153983</v>
      </c>
      <c r="E18" s="15">
        <f>IFERROR(E8/E2,"")</f>
        <v>-0.9355274924207728</v>
      </c>
      <c r="F18" s="15">
        <f>IFERROR(F8/F2,"")</f>
        <v>-0.6822277305634245</v>
      </c>
      <c r="G18" s="15">
        <f>IFERROR(G8/G2,"")</f>
        <v>-0.882256711409396</v>
      </c>
      <c r="H18" s="15">
        <f>IFERROR(H8/H2,"")</f>
        <v>-0.29855880434137955</v>
      </c>
      <c r="I18" s="15">
        <f>IFERROR(I8/I2,"")</f>
        <v>-0.5345807056861418</v>
      </c>
      <c r="J18" s="15">
        <f>IFERROR(J8/J2,"")</f>
        <v>-1.5950387248849476</v>
      </c>
      <c r="K18" s="15">
        <f>IFERROR(K8/K2,"")</f>
        <v>-0.46114</v>
      </c>
      <c r="L18" s="15">
        <f>IFERROR(L8/L2,"")</f>
        <v>-0.3876800000000001</v>
      </c>
      <c r="M18" s="15">
        <f>IFERROR(M8/M2,"")</f>
        <v>-0.31422</v>
      </c>
      <c r="N18" s="15">
        <f>IFERROR(N8/N2,"")</f>
        <v>-0.24075999999999992</v>
      </c>
      <c r="O18" s="15">
        <f>IFERROR(O8/O2,"")</f>
        <v>-0.1673</v>
      </c>
      <c r="P18" s="15">
        <f>IFERROR(P8/P2,"")</f>
        <v>-0.09384000000000008</v>
      </c>
      <c r="Q18" s="15">
        <f>IFERROR(Q8/Q2,"")</f>
        <v>-0.020380000000000054</v>
      </c>
      <c r="R18" s="15">
        <f>IFERROR(R8/R2,"")</f>
        <v>0.05308000000000001</v>
      </c>
      <c r="S18" s="15">
        <f>IFERROR(S8/S2,"")</f>
        <v>0.12654</v>
      </c>
      <c r="T18" s="15">
        <f>IFERROR(T8/T2,"")</f>
        <v>0.19999999999999993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Aquestive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0.08799999999999999</v>
      </c>
      <c r="C12" s="53" t="n">
        <v>0.138</v>
      </c>
      <c r="D12" s="53" t="n">
        <v>0.188</v>
      </c>
      <c r="E12" s="54">
        <f>CHOOSE($B$4,B12,C12,D12)</f>
        <v>0.138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-0.5346</v>
      </c>
    </row>
    <row r="19">
      <c r="A19" s="14" t="inlineStr">
        <is>
          <t>Gross margin (forecast)</t>
        </is>
      </c>
      <c r="B19" s="53" t="n">
        <v>0.5835</v>
      </c>
    </row>
    <row r="20">
      <c r="A20" s="14" t="inlineStr">
        <is>
          <t>R&amp;D share of operating expense (forecast)</t>
        </is>
      </c>
      <c r="B20" s="53" t="n">
        <v>0.1772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44.545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-16.56789360580875</v>
      </c>
      <c r="C29" s="56">
        <f>NPV!B26</f>
        <v>31.236106394191246</v>
      </c>
      <c r="D29" s="35">
        <f>NPV!B28</f>
        <v>0.24887017971583997</v>
      </c>
      <c r="E29" s="57">
        <f>NPV!B30</f>
        <v>-0.9385505729096691</v>
      </c>
    </row>
    <row r="30">
      <c r="A30" s="58" t="n">
        <v>1</v>
      </c>
      <c r="B30" s="59">
        <f t="dataTable" ref="B30:E32" r1="B4"/>
        <v>-43.33774044500325</v>
      </c>
      <c r="C30" s="59">
        <v>4.466259554996746</v>
      </c>
      <c r="D30" s="39">
        <v>0.03558442284971628</v>
      </c>
      <c r="E30" s="60">
        <v>-0.9912137227531564</v>
      </c>
    </row>
    <row r="31">
      <c r="A31" s="58" t="n">
        <v>2</v>
      </c>
      <c r="B31" s="59">
        <v>-16.56789360580875</v>
      </c>
      <c r="C31" s="59">
        <v>31.236106394191246</v>
      </c>
      <c r="D31" s="39">
        <v>0.24887017971583997</v>
      </c>
      <c r="E31" s="60">
        <v>-0.9385505729096691</v>
      </c>
    </row>
    <row r="32">
      <c r="A32" s="58" t="n">
        <v>3</v>
      </c>
      <c r="B32" s="59">
        <v>41.340095129420305</v>
      </c>
      <c r="C32" s="59">
        <v>89.1440951294203</v>
      </c>
      <c r="D32" s="39">
        <v>0.7102455951293086</v>
      </c>
      <c r="E32" s="60">
        <v>-0.8246307172520225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0.24887017971583997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0.34934438801440976</v>
      </c>
      <c r="C37" s="39">
        <v>0.39037192134915893</v>
      </c>
      <c r="D37" s="39">
        <v>0.43692728356908794</v>
      </c>
      <c r="E37" s="39">
        <v>0.4901205901193572</v>
      </c>
      <c r="F37" s="39">
        <v>0.5513791852365298</v>
      </c>
    </row>
    <row r="38">
      <c r="A38" s="62" t="n">
        <v>0.115</v>
      </c>
      <c r="B38" s="39">
        <v>0.2641618032978578</v>
      </c>
      <c r="C38" s="39">
        <v>0.29507578434098797</v>
      </c>
      <c r="D38" s="39">
        <v>0.32976144566927196</v>
      </c>
      <c r="E38" s="39">
        <v>0.36888814759503746</v>
      </c>
      <c r="F38" s="39">
        <v>0.41329263384166937</v>
      </c>
    </row>
    <row r="39">
      <c r="A39" s="62" t="n">
        <v>0.125</v>
      </c>
      <c r="B39" s="39">
        <v>0.19873166198519565</v>
      </c>
      <c r="C39" s="39">
        <v>0.22247008244651298</v>
      </c>
      <c r="D39" s="39">
        <v>0.24887017971583997</v>
      </c>
      <c r="E39" s="39">
        <v>0.27835538846100133</v>
      </c>
      <c r="F39" s="39">
        <v>0.31144327599484595</v>
      </c>
    </row>
    <row r="40">
      <c r="A40" s="62" t="n">
        <v>0.135</v>
      </c>
      <c r="B40" s="39">
        <v>0.14783078584925421</v>
      </c>
      <c r="C40" s="39">
        <v>0.16633315727279113</v>
      </c>
      <c r="D40" s="39">
        <v>0.18676627233144055</v>
      </c>
      <c r="E40" s="39">
        <v>0.20940864920427535</v>
      </c>
      <c r="F40" s="39">
        <v>0.23459454009779354</v>
      </c>
    </row>
    <row r="41">
      <c r="A41" s="62" t="n">
        <v>0.145</v>
      </c>
      <c r="B41" s="39">
        <v>0.10786574703194372</v>
      </c>
      <c r="C41" s="39">
        <v>0.12245821282922537</v>
      </c>
      <c r="D41" s="39">
        <v>0.1384836092030061</v>
      </c>
      <c r="E41" s="39">
        <v>0.156131158795439</v>
      </c>
      <c r="F41" s="39">
        <v>0.17562451426240905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Aquestive Therapeutics, Inc.: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0.138</v>
      </c>
      <c r="D5" s="63">
        <f>Assumptions!$E$12+(Assumptions!$E$11-Assumptions!$E$12)*(D4-1)/(Assumptions!$B$21-1)</f>
        <v>0.12544444444444444</v>
      </c>
      <c r="E5" s="63">
        <f>Assumptions!$E$12+(Assumptions!$E$11-Assumptions!$E$12)*(E4-1)/(Assumptions!$B$21-1)</f>
        <v>0.1128888888888889</v>
      </c>
      <c r="F5" s="63">
        <f>Assumptions!$E$12+(Assumptions!$E$11-Assumptions!$E$12)*(F4-1)/(Assumptions!$B$21-1)</f>
        <v>0.10033333333333333</v>
      </c>
      <c r="G5" s="63">
        <f>Assumptions!$E$12+(Assumptions!$E$11-Assumptions!$E$12)*(G4-1)/(Assumptions!$B$21-1)</f>
        <v>0.08777777777777779</v>
      </c>
      <c r="H5" s="63">
        <f>Assumptions!$E$12+(Assumptions!$E$11-Assumptions!$E$12)*(H4-1)/(Assumptions!$B$21-1)</f>
        <v>0.07522222222222223</v>
      </c>
      <c r="I5" s="63">
        <f>Assumptions!$E$12+(Assumptions!$E$11-Assumptions!$E$12)*(I4-1)/(Assumptions!$B$21-1)</f>
        <v>0.06266666666666666</v>
      </c>
      <c r="J5" s="63">
        <f>Assumptions!$E$12+(Assumptions!$E$11-Assumptions!$E$12)*(J4-1)/(Assumptions!$B$21-1)</f>
        <v>0.050111111111111106</v>
      </c>
      <c r="K5" s="63">
        <f>Assumptions!$E$12+(Assumptions!$E$11-Assumptions!$E$12)*(K4-1)/(Assumptions!$B$21-1)</f>
        <v>0.03755555555555555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-1.5950387248849476</v>
      </c>
      <c r="C6" s="63">
        <f>Assumptions!$B$18+(Assumptions!$E$13-Assumptions!$B$18)*C4/Assumptions!$B$21</f>
        <v>-0.46114</v>
      </c>
      <c r="D6" s="63">
        <f>Assumptions!$B$18+(Assumptions!$E$13-Assumptions!$B$18)*D4/Assumptions!$B$21</f>
        <v>-0.38767999999999997</v>
      </c>
      <c r="E6" s="63">
        <f>Assumptions!$B$18+(Assumptions!$E$13-Assumptions!$B$18)*E4/Assumptions!$B$21</f>
        <v>-0.31422</v>
      </c>
      <c r="F6" s="63">
        <f>Assumptions!$B$18+(Assumptions!$E$13-Assumptions!$B$18)*F4/Assumptions!$B$21</f>
        <v>-0.24075999999999997</v>
      </c>
      <c r="G6" s="63">
        <f>Assumptions!$B$18+(Assumptions!$E$13-Assumptions!$B$18)*G4/Assumptions!$B$21</f>
        <v>-0.1673</v>
      </c>
      <c r="H6" s="63">
        <f>Assumptions!$B$18+(Assumptions!$E$13-Assumptions!$B$18)*H4/Assumptions!$B$21</f>
        <v>-0.09384000000000003</v>
      </c>
      <c r="I6" s="63">
        <f>Assumptions!$B$18+(Assumptions!$E$13-Assumptions!$B$18)*I4/Assumptions!$B$21</f>
        <v>-0.020380000000000065</v>
      </c>
      <c r="J6" s="63">
        <f>Assumptions!$B$18+(Assumptions!$E$13-Assumptions!$B$18)*J4/Assumptions!$B$21</f>
        <v>0.053080000000000016</v>
      </c>
      <c r="K6" s="63">
        <f>Assumptions!$B$18+(Assumptions!$E$13-Assumptions!$B$18)*K4/Assumptions!$B$21</f>
        <v>0.12653999999999999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Model'!J2</f>
        <v>44.545</v>
      </c>
      <c r="C7" s="55">
        <f>'Yearly Model'!K2</f>
        <v>50.692209999999996</v>
      </c>
      <c r="D7" s="55">
        <f>'Yearly Model'!L2</f>
        <v>57.051266121111105</v>
      </c>
      <c r="E7" s="55">
        <f>'Yearly Model'!M2</f>
        <v>63.49172016322764</v>
      </c>
      <c r="F7" s="55">
        <f>'Yearly Model'!N2</f>
        <v>69.86205608627148</v>
      </c>
      <c r="G7" s="55">
        <f>'Yearly Model'!O2</f>
        <v>75.99439212051087</v>
      </c>
      <c r="H7" s="55">
        <f>'Yearly Model'!P2</f>
        <v>81.71085917224264</v>
      </c>
      <c r="I7" s="55">
        <f>'Yearly Model'!Q2</f>
        <v>86.8314063470365</v>
      </c>
      <c r="J7" s="55">
        <f>'Yearly Model'!R2</f>
        <v>91.1826245984269</v>
      </c>
      <c r="K7" s="55">
        <f>'Yearly Model'!S2</f>
        <v>94.60703872223449</v>
      </c>
      <c r="L7" s="55">
        <f>'Yearly Model'!T2</f>
        <v>96.97221469029034</v>
      </c>
    </row>
    <row r="8">
      <c r="A8" s="14" t="inlineStr">
        <is>
          <t>Operating income</t>
        </is>
      </c>
      <c r="B8" s="55">
        <f>'Yearly Model'!J8</f>
        <v>-71.05099999999999</v>
      </c>
      <c r="C8" s="55">
        <f>'Yearly Model'!K8</f>
        <v>-23.376205719399998</v>
      </c>
      <c r="D8" s="55">
        <f>'Yearly Model'!L8</f>
        <v>-22.117634849832356</v>
      </c>
      <c r="E8" s="55">
        <f>'Yearly Model'!M8</f>
        <v>-19.950368309689388</v>
      </c>
      <c r="F8" s="55">
        <f>'Yearly Model'!N8</f>
        <v>-16.819988623330715</v>
      </c>
      <c r="G8" s="55">
        <f>'Yearly Model'!O8</f>
        <v>-12.713861801761468</v>
      </c>
      <c r="H8" s="55">
        <f>'Yearly Model'!P8</f>
        <v>-7.667747024723255</v>
      </c>
      <c r="I8" s="55">
        <f>'Yearly Model'!Q8</f>
        <v>-1.7696240613526086</v>
      </c>
      <c r="J8" s="55">
        <f>'Yearly Model'!R8</f>
        <v>4.8399737136845005</v>
      </c>
      <c r="K8" s="55">
        <f>'Yearly Model'!S8</f>
        <v>11.971574679911555</v>
      </c>
      <c r="L8" s="55">
        <f>'Yearly Model'!T8</f>
        <v>19.394442938058063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0.8227955313263652</v>
      </c>
      <c r="K9" s="52">
        <f>MAX(0,K8)*Assumptions!$E$14</f>
        <v>2.0351676955849647</v>
      </c>
      <c r="L9" s="52">
        <f>MAX(0,L8)*Assumptions!$E$14</f>
        <v>3.297055299469871</v>
      </c>
    </row>
    <row r="10">
      <c r="A10" s="14" t="inlineStr">
        <is>
          <t>NOPAT</t>
        </is>
      </c>
      <c r="C10" s="52">
        <f>C8-C9</f>
        <v>-23.376205719399998</v>
      </c>
      <c r="D10" s="52">
        <f>D8-D9</f>
        <v>-22.117634849832356</v>
      </c>
      <c r="E10" s="52">
        <f>E8-E9</f>
        <v>-19.950368309689388</v>
      </c>
      <c r="F10" s="52">
        <f>F8-F9</f>
        <v>-16.819988623330715</v>
      </c>
      <c r="G10" s="52">
        <f>G8-G9</f>
        <v>-12.713861801761468</v>
      </c>
      <c r="H10" s="52">
        <f>H8-H9</f>
        <v>-7.667747024723255</v>
      </c>
      <c r="I10" s="52">
        <f>I8-I9</f>
        <v>-1.7696240613526086</v>
      </c>
      <c r="J10" s="52">
        <f>J8-J9</f>
        <v>4.017178182358135</v>
      </c>
      <c r="K10" s="52">
        <f>K8-K9</f>
        <v>9.93640698432659</v>
      </c>
      <c r="L10" s="52">
        <f>L8-L9</f>
        <v>16.09738763858819</v>
      </c>
    </row>
    <row r="11">
      <c r="A11" s="14" t="inlineStr">
        <is>
          <t>Reinvestment</t>
        </is>
      </c>
      <c r="C11" s="52">
        <f>(C7-B7)*Assumptions!$E$15</f>
        <v>1.5368024999999985</v>
      </c>
      <c r="D11" s="52">
        <f>(D7-C7)*Assumptions!$E$15</f>
        <v>1.5897640302777774</v>
      </c>
      <c r="E11" s="52">
        <f>(E7-D7)*Assumptions!$E$15</f>
        <v>1.6101135105291338</v>
      </c>
      <c r="F11" s="52">
        <f>(F7-E7)*Assumptions!$E$15</f>
        <v>1.5925839807609599</v>
      </c>
      <c r="G11" s="52">
        <f>(G7-F7)*Assumptions!$E$15</f>
        <v>1.5330840085598467</v>
      </c>
      <c r="H11" s="52">
        <f>(H7-G7)*Assumptions!$E$15</f>
        <v>1.4291167629329422</v>
      </c>
      <c r="I11" s="52">
        <f>(I7-H7)*Assumptions!$E$15</f>
        <v>1.2801367936984676</v>
      </c>
      <c r="J11" s="52">
        <f>(J7-I7)*Assumptions!$E$15</f>
        <v>1.087804562847598</v>
      </c>
      <c r="K11" s="52">
        <f>(K7-J7)*Assumptions!$E$15</f>
        <v>0.8561035309518985</v>
      </c>
      <c r="L11" s="52">
        <f>(L7-K7)*Assumptions!$E$15</f>
        <v>0.5912939920139628</v>
      </c>
    </row>
    <row r="12">
      <c r="A12" s="20" t="inlineStr">
        <is>
          <t>Free cash flow</t>
        </is>
      </c>
      <c r="C12" s="64">
        <f>C10-C11</f>
        <v>-24.913008219399998</v>
      </c>
      <c r="D12" s="64">
        <f>D10-D11</f>
        <v>-23.707398880110134</v>
      </c>
      <c r="E12" s="64">
        <f>E10-E11</f>
        <v>-21.56048182021852</v>
      </c>
      <c r="F12" s="64">
        <f>F10-F11</f>
        <v>-18.412572604091675</v>
      </c>
      <c r="G12" s="64">
        <f>G10-G11</f>
        <v>-14.246945810321314</v>
      </c>
      <c r="H12" s="64">
        <f>H10-H11</f>
        <v>-9.096863787656197</v>
      </c>
      <c r="I12" s="64">
        <f>I10-I11</f>
        <v>-3.049760855051076</v>
      </c>
      <c r="J12" s="64">
        <f>J10-J11</f>
        <v>2.929373619510537</v>
      </c>
      <c r="K12" s="64">
        <f>K10-K11</f>
        <v>9.080303453374691</v>
      </c>
      <c r="L12" s="64">
        <f>L10-L11</f>
        <v>15.506093646574229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-12.19129598758618</v>
      </c>
      <c r="D16" s="64">
        <f>D12*D13*D15</f>
        <v>-21.063069416361174</v>
      </c>
      <c r="E16" s="64">
        <f>E12*E13*E15</f>
        <v>-17.027217818782905</v>
      </c>
      <c r="F16" s="64">
        <f>F12*F13*F15</f>
        <v>-12.925494871105549</v>
      </c>
      <c r="G16" s="64">
        <f>G12*G13*G15</f>
        <v>-8.890004018681836</v>
      </c>
      <c r="H16" s="64">
        <f>H12*H13*H15</f>
        <v>-5.045675938399035</v>
      </c>
      <c r="I16" s="64">
        <f>I12*I13*I15</f>
        <v>-1.5036298050649115</v>
      </c>
      <c r="J16" s="64">
        <f>J12*J13*J15</f>
        <v>1.2838000365895446</v>
      </c>
      <c r="K16" s="64">
        <f>K12*K13*K15</f>
        <v>3.5372882988576735</v>
      </c>
      <c r="L16" s="64">
        <f>L12*L13*L15</f>
        <v>5.369328498145782</v>
      </c>
    </row>
    <row r="19">
      <c r="A19" s="14" t="inlineStr">
        <is>
          <t>PV of forecast free cash flow</t>
        </is>
      </c>
      <c r="B19" s="52">
        <f>SUM(C16:L16)</f>
        <v>-68.4559710223886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15.89374598773858</v>
      </c>
    </row>
    <row r="21">
      <c r="A21" s="14" t="inlineStr">
        <is>
          <t>Terminal value</t>
        </is>
      </c>
      <c r="B21" s="52">
        <f>B20/(Assumptions!$E$10-Assumptions!$E$11)</f>
        <v>158.93745987738578</v>
      </c>
    </row>
    <row r="22">
      <c r="A22" s="14" t="inlineStr">
        <is>
          <t>PV of terminal value</t>
        </is>
      </c>
      <c r="B22" s="52">
        <f>B21/(1+Assumptions!$E$10)^(L14+0.5)</f>
        <v>51.88807741657985</v>
      </c>
    </row>
    <row r="23">
      <c r="A23" s="20" t="inlineStr">
        <is>
          <t>Enterprise value</t>
        </is>
      </c>
      <c r="B23" s="66">
        <f>B19+B22</f>
        <v>-16.56789360580875</v>
      </c>
    </row>
    <row r="24">
      <c r="A24" s="14" t="inlineStr">
        <is>
          <t>Cash &amp; investments</t>
        </is>
      </c>
      <c r="B24" s="55">
        <f>Main!C7</f>
        <v>98.49</v>
      </c>
    </row>
    <row r="25">
      <c r="A25" s="14" t="inlineStr">
        <is>
          <t>Debt</t>
        </is>
      </c>
      <c r="B25" s="55">
        <f>Main!C8</f>
        <v>50.686</v>
      </c>
    </row>
    <row r="26">
      <c r="A26" s="20" t="inlineStr">
        <is>
          <t>Equity value</t>
        </is>
      </c>
      <c r="B26" s="66">
        <f>B23+B24-B25</f>
        <v>31.236106394191246</v>
      </c>
    </row>
    <row r="27">
      <c r="A27" s="14" t="inlineStr">
        <is>
          <t>Shares (mm)</t>
        </is>
      </c>
      <c r="B27" s="55">
        <f>Main!C4</f>
        <v>125.511648</v>
      </c>
    </row>
    <row r="28">
      <c r="A28" s="20" t="inlineStr">
        <is>
          <t>NPV / share</t>
        </is>
      </c>
      <c r="B28" s="49">
        <f>B26/B27</f>
        <v>0.24887017971583997</v>
      </c>
    </row>
    <row r="29">
      <c r="A29" s="14" t="inlineStr">
        <is>
          <t>Price</t>
        </is>
      </c>
      <c r="B29" s="50">
        <f>Main!C3</f>
        <v>4.05</v>
      </c>
    </row>
    <row r="30">
      <c r="A30" s="14" t="inlineStr">
        <is>
          <t>Upside</t>
        </is>
      </c>
      <c r="B30" s="63">
        <f>B28/B29-1</f>
        <v>-0.9385505729096691</v>
      </c>
    </row>
    <row r="31">
      <c r="A31" s="14" t="inlineStr">
        <is>
          <t>Terminal value, % of EV</t>
        </is>
      </c>
      <c r="B31" s="63">
        <f>IFERROR(B22/B23,0)</f>
        <v>-3.1318451609556295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2026-10-21T06:25:03Z</dcterms:modified>
  <cp:lastModifiedBy>Wang, Eric</cp:lastModifiedBy>
</cp:coreProperties>
</file>