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Viatris Inc.</t>
        </is>
      </c>
      <c r="C2" s="10" t="n"/>
    </row>
    <row r="3">
      <c r="B3" t="inlineStr">
        <is>
          <t>Price</t>
        </is>
      </c>
      <c r="C3" s="11">
        <f>INDEX([1]Pharma!$F$1:$F$1000,MATCH("VTRS",[1]Pharma!$B$1:$B$1000,0))</f>
        <v>18.65</v>
      </c>
      <c r="F3" s="1" t="n"/>
    </row>
    <row r="4">
      <c r="B4" t="inlineStr">
        <is>
          <t>Shares</t>
        </is>
      </c>
      <c r="C4" s="51" t="n">
        <v>1148.590864</v>
      </c>
      <c r="F4" s="1" t="n"/>
    </row>
    <row r="5">
      <c r="B5" t="inlineStr">
        <is>
          <t>Market Cap.</t>
        </is>
      </c>
      <c r="C5" s="13">
        <f>C3*C4</f>
        <v>21421.2196136</v>
      </c>
      <c r="F5" s="1" t="n"/>
    </row>
    <row r="6"/>
    <row r="7">
      <c r="B7" t="inlineStr">
        <is>
          <t>Cash</t>
        </is>
      </c>
      <c r="C7" s="51" t="n">
        <v>886.5</v>
      </c>
    </row>
    <row r="8">
      <c r="B8" t="inlineStr">
        <is>
          <t>Debt</t>
        </is>
      </c>
      <c r="C8" s="51">
        <f>1736.2+11612.4</f>
        <v>13348.6</v>
      </c>
    </row>
    <row r="9">
      <c r="B9" t="inlineStr">
        <is>
          <t>Enterprise V.</t>
        </is>
      </c>
      <c r="C9" s="13">
        <f>C5-C7+C8</f>
        <v>33883.3196136</v>
      </c>
    </row>
    <row r="10"/>
    <row r="11">
      <c r="B11" s="14" t="inlineStr">
        <is>
          <t>NPV / Share</t>
        </is>
      </c>
      <c r="C11" s="11">
        <f>NPV!B28</f>
        <v>10.885889625674809</v>
      </c>
    </row>
    <row r="12">
      <c r="B12" s="14" t="inlineStr">
        <is>
          <t>Upside</t>
        </is>
      </c>
      <c r="C12" s="15">
        <f>IFERROR(C11/C3-1,"")</f>
        <v>-0.4163061862908949</v>
      </c>
    </row>
    <row r="13">
      <c r="B13" s="14" t="inlineStr">
        <is>
          <t>Cash / Share</t>
        </is>
      </c>
      <c r="C13" s="11">
        <f>IFERROR((C7-C8)/C4,"")</f>
        <v>-10.849903469195626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11433.9</v>
      </c>
      <c r="C2" s="52" t="n">
        <v>11500.5</v>
      </c>
      <c r="D2" s="52" t="n">
        <v>11946</v>
      </c>
      <c r="E2" s="52" t="n">
        <v>17886.3</v>
      </c>
      <c r="F2" s="52" t="n">
        <v>16262.7</v>
      </c>
      <c r="G2" s="52" t="n">
        <v>15426.9</v>
      </c>
      <c r="H2" s="52" t="n">
        <v>14739.3</v>
      </c>
      <c r="I2" s="52" t="n">
        <v>14299.9</v>
      </c>
      <c r="J2" s="52">
        <f>I2*(1+NPV!C5)</f>
        <v>13873.76298</v>
      </c>
      <c r="K2" s="52">
        <f>J2*(1+NPV!D5)</f>
        <v>13544.800644452</v>
      </c>
      <c r="L2" s="52">
        <f>K2*(1+NPV!E5)</f>
        <v>13306.111157539768</v>
      </c>
      <c r="M2" s="52">
        <f>L2*(1+NPV!F5)</f>
        <v>13152.647342189477</v>
      </c>
      <c r="N2" s="52">
        <f>M2*(1+NPV!G5)</f>
        <v>13081.038484437557</v>
      </c>
      <c r="O2" s="52">
        <f>N2*(1+NPV!H5)</f>
        <v>13089.468487016416</v>
      </c>
      <c r="P2" s="52">
        <f>O2*(1+NPV!I5)</f>
        <v>13177.60424149566</v>
      </c>
      <c r="Q2" s="52">
        <f>P2*(1+NPV!J5)</f>
        <v>13346.570411436616</v>
      </c>
      <c r="R2" s="52">
        <f>Q2*(1+NPV!K5)</f>
        <v>13598.968887439562</v>
      </c>
      <c r="S2" s="52">
        <f>R2*(1+NPV!L5)</f>
        <v>13938.943109625548</v>
      </c>
    </row>
    <row r="3" customFormat="1" s="1">
      <c r="A3" s="5" t="inlineStr">
        <is>
          <t>Cost of Sales</t>
        </is>
      </c>
      <c r="B3" s="52" t="n">
        <v>7432.3</v>
      </c>
      <c r="C3" s="52" t="n">
        <v>7602.9</v>
      </c>
      <c r="D3" s="52" t="n">
        <v>8149.3</v>
      </c>
      <c r="E3" s="52" t="n">
        <v>12310.8</v>
      </c>
      <c r="F3" s="52" t="n">
        <v>9765.700000000001</v>
      </c>
      <c r="G3" s="52" t="n">
        <v>8988.299999999999</v>
      </c>
      <c r="H3" s="52" t="n">
        <v>9115.700000000001</v>
      </c>
      <c r="I3" s="52" t="n">
        <v>9286.4</v>
      </c>
      <c r="J3" s="52">
        <f>J2*(1-Assumptions!$B$19)</f>
        <v>9009.621679212</v>
      </c>
      <c r="K3" s="52">
        <f>K2*(1-Assumptions!$B$19)</f>
        <v>8795.993538507128</v>
      </c>
      <c r="L3" s="52">
        <f>L2*(1-Assumptions!$B$19)</f>
        <v>8640.988585706325</v>
      </c>
      <c r="M3" s="52">
        <f>M2*(1-Assumptions!$B$19)</f>
        <v>8541.329184017846</v>
      </c>
      <c r="N3" s="52">
        <f>N2*(1-Assumptions!$B$19)</f>
        <v>8494.82639179375</v>
      </c>
      <c r="O3" s="52">
        <f>O2*(1-Assumptions!$B$19)</f>
        <v>8500.30083546846</v>
      </c>
      <c r="P3" s="52">
        <f>P2*(1-Assumptions!$B$19)</f>
        <v>8557.53619442728</v>
      </c>
      <c r="Q3" s="52">
        <f>Q2*(1-Assumptions!$B$19)</f>
        <v>8667.26282518694</v>
      </c>
      <c r="R3" s="52">
        <f>R2*(1-Assumptions!$B$19)</f>
        <v>8831.170395503252</v>
      </c>
      <c r="S3" s="52">
        <f>S2*(1-Assumptions!$B$19)</f>
        <v>9051.94965539083</v>
      </c>
    </row>
    <row r="4" customFormat="1" s="1">
      <c r="A4" s="5" t="inlineStr">
        <is>
          <t>Gross Margin</t>
        </is>
      </c>
      <c r="B4" s="52">
        <f>B2-B3</f>
        <v>4001.5999999999995</v>
      </c>
      <c r="C4" s="52">
        <f>C2-C3</f>
        <v>3897.6000000000004</v>
      </c>
      <c r="D4" s="52">
        <f>D2-D3</f>
        <v>3796.7</v>
      </c>
      <c r="E4" s="52">
        <f>E2-E3</f>
        <v>5575.5</v>
      </c>
      <c r="F4" s="52">
        <f>F2-F3</f>
        <v>6497.0</v>
      </c>
      <c r="G4" s="52">
        <f>G2-G3</f>
        <v>6438.6</v>
      </c>
      <c r="H4" s="52">
        <f>H2-H3</f>
        <v>5623.5999999999985</v>
      </c>
      <c r="I4" s="52">
        <f>I2-I3</f>
        <v>5013.5</v>
      </c>
      <c r="J4" s="52">
        <f>J2-J3</f>
        <v>4864.141300788</v>
      </c>
      <c r="K4" s="52">
        <f>K2-K3</f>
        <v>4748.807105944872</v>
      </c>
      <c r="L4" s="52">
        <f>L2-L3</f>
        <v>4665.122571833443</v>
      </c>
      <c r="M4" s="52">
        <f>M2-M3</f>
        <v>4611.318158171631</v>
      </c>
      <c r="N4" s="52">
        <f>N2-N3</f>
        <v>4586.212092643807</v>
      </c>
      <c r="O4" s="52">
        <f>O2-O3</f>
        <v>4589.167651547956</v>
      </c>
      <c r="P4" s="52">
        <f>P2-P3</f>
        <v>4620.068047068378</v>
      </c>
      <c r="Q4" s="52">
        <f>Q2-Q3</f>
        <v>4679.307586249677</v>
      </c>
      <c r="R4" s="52">
        <f>R2-R3</f>
        <v>4767.79849193631</v>
      </c>
      <c r="S4" s="52">
        <f>S2-S3</f>
        <v>4886.993454234718</v>
      </c>
    </row>
    <row r="5">
      <c r="A5" s="2" t="inlineStr">
        <is>
          <t>Research &amp; Dev.</t>
        </is>
      </c>
      <c r="B5" s="52" t="n">
        <v>704.5</v>
      </c>
      <c r="C5" s="52" t="n">
        <v>639.9</v>
      </c>
      <c r="D5" s="52" t="n">
        <v>555.1</v>
      </c>
      <c r="E5" s="52" t="n">
        <v>751.1</v>
      </c>
      <c r="F5" s="52" t="n">
        <v>662.2</v>
      </c>
      <c r="G5" s="52" t="n">
        <v>805.2</v>
      </c>
      <c r="H5" s="52" t="n">
        <v>808.7</v>
      </c>
      <c r="I5" s="52" t="n">
        <v>965.9</v>
      </c>
      <c r="J5" s="52">
        <f>J7*Assumptions!$B$20</f>
        <v>586.2702339045645</v>
      </c>
      <c r="K5" s="52">
        <f>K7*Assumptions!$B$20</f>
        <v>537.2850746324426</v>
      </c>
      <c r="L5" s="52">
        <f>L7*Assumptions!$B$20</f>
        <v>493.3511357958813</v>
      </c>
      <c r="M5" s="52">
        <f>M7*Assumptions!$B$20</f>
        <v>453.5928761923882</v>
      </c>
      <c r="N5" s="52">
        <f>N7*Assumptions!$B$20</f>
        <v>417.2405213123261</v>
      </c>
      <c r="O5" s="52">
        <f>O7*Assumptions!$B$20</f>
        <v>383.6047804049063</v>
      </c>
      <c r="P5" s="52">
        <f>P7*Assumptions!$B$20</f>
        <v>352.0547988460173</v>
      </c>
      <c r="Q5" s="52">
        <f>Q7*Assumptions!$B$20</f>
        <v>321.99834340696844</v>
      </c>
      <c r="R5" s="52">
        <f>R7*Assumptions!$B$20</f>
        <v>292.86334146716985</v>
      </c>
      <c r="S5" s="52">
        <f>S7*Assumptions!$B$20</f>
        <v>264.07996790454865</v>
      </c>
    </row>
    <row r="6">
      <c r="A6" s="18" t="inlineStr">
        <is>
          <t>SG&amp;A &amp; Other</t>
        </is>
      </c>
      <c r="B6" s="52" t="n">
        <v>2391.5</v>
      </c>
      <c r="C6" s="52" t="n">
        <v>2542.2</v>
      </c>
      <c r="D6" s="52" t="n">
        <v>3452.4</v>
      </c>
      <c r="E6" s="52" t="n">
        <v>4858.4</v>
      </c>
      <c r="F6" s="52" t="n">
        <v>4219.9</v>
      </c>
      <c r="G6" s="52" t="n">
        <v>4867.2</v>
      </c>
      <c r="H6" s="52" t="n">
        <v>4804.8</v>
      </c>
      <c r="I6" s="52" t="n">
        <v>6710.7</v>
      </c>
      <c r="J6" s="52">
        <f>J7-J5</f>
        <v>4074.065488707236</v>
      </c>
      <c r="K6" s="52">
        <f>K7-K5</f>
        <v>3733.6614645761633</v>
      </c>
      <c r="L6" s="52">
        <f>L7-L5</f>
        <v>3428.3590056658145</v>
      </c>
      <c r="M6" s="52">
        <f>M7-M5</f>
        <v>3152.073866195435</v>
      </c>
      <c r="N6" s="52">
        <f>N7-N5</f>
        <v>2899.456786416816</v>
      </c>
      <c r="O6" s="52">
        <f>O7-O5</f>
        <v>2665.717798330438</v>
      </c>
      <c r="P6" s="52">
        <f>P7-P5</f>
        <v>2446.4730139204157</v>
      </c>
      <c r="Q6" s="52">
        <f>Q7-Q5</f>
        <v>2237.606930098345</v>
      </c>
      <c r="R6" s="52">
        <f>R7-R5</f>
        <v>2035.1441423736078</v>
      </c>
      <c r="S6" s="52">
        <f>S7-S5</f>
        <v>1835.1248644050593</v>
      </c>
    </row>
    <row r="7">
      <c r="A7" s="2" t="inlineStr">
        <is>
          <t>Operating Expense</t>
        </is>
      </c>
      <c r="B7" s="52">
        <f>SUM(B5:B6)</f>
        <v>3096.0</v>
      </c>
      <c r="C7" s="52">
        <f>SUM(C5:C6)</f>
        <v>3182.1</v>
      </c>
      <c r="D7" s="52">
        <f>SUM(D5:D6)</f>
        <v>4007.5</v>
      </c>
      <c r="E7" s="52">
        <f>SUM(E5:E6)</f>
        <v>5609.5</v>
      </c>
      <c r="F7" s="52">
        <f>SUM(F5:F6)</f>
        <v>4882.099999999999</v>
      </c>
      <c r="G7" s="52">
        <f>SUM(G5:G6)</f>
        <v>5672.4</v>
      </c>
      <c r="H7" s="52">
        <f>SUM(H5:H6)</f>
        <v>5613.5</v>
      </c>
      <c r="I7" s="52">
        <f>SUM(I5:I6)</f>
        <v>7676.599999999999</v>
      </c>
      <c r="J7" s="52">
        <f>J4-J2*NPV!C6</f>
        <v>4660.3357226118005</v>
      </c>
      <c r="K7" s="52">
        <f>K4-K2*NPV!D6</f>
        <v>4270.946539208606</v>
      </c>
      <c r="L7" s="52">
        <f>L4-L2*NPV!E6</f>
        <v>3921.710141461696</v>
      </c>
      <c r="M7" s="52">
        <f>M4-M2*NPV!F6</f>
        <v>3605.6667423878234</v>
      </c>
      <c r="N7" s="52">
        <f>N4-N2*NPV!G6</f>
        <v>3316.6973077291423</v>
      </c>
      <c r="O7" s="52">
        <f>O4-O2*NPV!H6</f>
        <v>3049.3225787353445</v>
      </c>
      <c r="P7" s="52">
        <f>P4-P2*NPV!I6</f>
        <v>2798.5278127664333</v>
      </c>
      <c r="Q7" s="52">
        <f>Q4-Q2*NPV!J6</f>
        <v>2559.6052735053136</v>
      </c>
      <c r="R7" s="52">
        <f>R4-R2*NPV!K6</f>
        <v>2328.0074838407777</v>
      </c>
      <c r="S7" s="52">
        <f>S4-S2*NPV!L6</f>
        <v>2099.204832309608</v>
      </c>
    </row>
    <row r="8">
      <c r="A8" s="2" t="inlineStr">
        <is>
          <t>Operating Income</t>
        </is>
      </c>
      <c r="B8" s="52">
        <f>B4-B7</f>
        <v>905.5999999999995</v>
      </c>
      <c r="C8" s="52">
        <f>C4-C7</f>
        <v>715.5000000000005</v>
      </c>
      <c r="D8" s="52">
        <f>D4-D7</f>
        <v>-210.80000000000018</v>
      </c>
      <c r="E8" s="52">
        <f>E4-E7</f>
        <v>-34.0</v>
      </c>
      <c r="F8" s="52">
        <f>F4-F7</f>
        <v>1614.9000000000005</v>
      </c>
      <c r="G8" s="52">
        <f>G4-G7</f>
        <v>766.2000000000007</v>
      </c>
      <c r="H8" s="52">
        <f>H4-H7</f>
        <v>10.099999999998545</v>
      </c>
      <c r="I8" s="52">
        <f>I4-I7</f>
        <v>-2663.0999999999995</v>
      </c>
      <c r="J8" s="52">
        <f>J4-J7</f>
        <v>203.80557817619956</v>
      </c>
      <c r="K8" s="52">
        <f>K4-K7</f>
        <v>477.86056673626626</v>
      </c>
      <c r="L8" s="52">
        <f>L4-L7</f>
        <v>743.4124303717467</v>
      </c>
      <c r="M8" s="52">
        <f>M4-M7</f>
        <v>1005.6514157838074</v>
      </c>
      <c r="N8" s="52">
        <f>N4-N7</f>
        <v>1269.5147849146651</v>
      </c>
      <c r="O8" s="52">
        <f>O4-O7</f>
        <v>1539.8450728126113</v>
      </c>
      <c r="P8" s="52">
        <f>P4-P7</f>
        <v>1821.540234301945</v>
      </c>
      <c r="Q8" s="52">
        <f>Q4-Q7</f>
        <v>2119.7023127443636</v>
      </c>
      <c r="R8" s="52">
        <f>R4-R7</f>
        <v>2439.791008095532</v>
      </c>
      <c r="S8" s="52">
        <f>S4-S7</f>
        <v>2787.7886219251104</v>
      </c>
    </row>
    <row r="9">
      <c r="A9" s="18" t="inlineStr">
        <is>
          <t>Interest &amp; Other</t>
        </is>
      </c>
      <c r="B9" s="52" t="n">
        <v>-607.2</v>
      </c>
      <c r="C9" s="52" t="n">
        <v>-561.1</v>
      </c>
      <c r="D9" s="52" t="n">
        <v>-510.4</v>
      </c>
      <c r="E9" s="52" t="n">
        <v>-630.4</v>
      </c>
      <c r="F9" s="52" t="n">
        <v>1198.3</v>
      </c>
      <c r="G9" s="52" t="n">
        <v>-563.3</v>
      </c>
      <c r="H9" s="52" t="n">
        <v>-633.3</v>
      </c>
      <c r="I9" s="52" t="n">
        <v>-1001.9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298.3999999999994</v>
      </c>
      <c r="C10" s="52">
        <f>C8+C9</f>
        <v>154.40000000000043</v>
      </c>
      <c r="D10" s="52">
        <f>D8+D9</f>
        <v>-721.2000000000002</v>
      </c>
      <c r="E10" s="52">
        <f>E8+E9</f>
        <v>-664.4</v>
      </c>
      <c r="F10" s="52">
        <f>F8+F9</f>
        <v>2813.2000000000007</v>
      </c>
      <c r="G10" s="52">
        <f>G8+G9</f>
        <v>202.90000000000077</v>
      </c>
      <c r="H10" s="52">
        <f>H8+H9</f>
        <v>-623.2000000000014</v>
      </c>
      <c r="I10" s="52">
        <f>I8+I9</f>
        <v>-3664.9999999999995</v>
      </c>
      <c r="J10" s="52">
        <f>J8+J9</f>
        <v>203.80557817619956</v>
      </c>
      <c r="K10" s="52">
        <f>K8+K9</f>
        <v>477.86056673626626</v>
      </c>
      <c r="L10" s="52">
        <f>L8+L9</f>
        <v>743.4124303717467</v>
      </c>
      <c r="M10" s="52">
        <f>M8+M9</f>
        <v>1005.6514157838074</v>
      </c>
      <c r="N10" s="52">
        <f>N8+N9</f>
        <v>1269.5147849146651</v>
      </c>
      <c r="O10" s="52">
        <f>O8+O9</f>
        <v>1539.8450728126113</v>
      </c>
      <c r="P10" s="52">
        <f>P8+P9</f>
        <v>1821.540234301945</v>
      </c>
      <c r="Q10" s="52">
        <f>Q8+Q9</f>
        <v>2119.7023127443636</v>
      </c>
      <c r="R10" s="52">
        <f>R8+R9</f>
        <v>2439.791008095532</v>
      </c>
      <c r="S10" s="52">
        <f>S8+S9</f>
        <v>2787.7886219251104</v>
      </c>
    </row>
    <row r="11">
      <c r="A11" s="2" t="inlineStr">
        <is>
          <t>Taxes</t>
        </is>
      </c>
      <c r="B11" s="52" t="n">
        <v>-54.1</v>
      </c>
      <c r="C11" s="52" t="n">
        <v>137.6</v>
      </c>
      <c r="D11" s="52" t="n">
        <v>-51.3</v>
      </c>
      <c r="E11" s="52" t="n">
        <v>604.7</v>
      </c>
      <c r="F11" s="52" t="n">
        <v>734.6</v>
      </c>
      <c r="G11" s="52" t="n">
        <v>148.2</v>
      </c>
      <c r="H11" s="52" t="n">
        <v>11</v>
      </c>
      <c r="I11" s="52" t="n">
        <v>-150.1</v>
      </c>
      <c r="J11" s="52">
        <f>MAX(0,J10)*Assumptions!$E$14</f>
        <v>34.646948289953926</v>
      </c>
      <c r="K11" s="52">
        <f>MAX(0,K10)*Assumptions!$E$14</f>
        <v>81.23629634516527</v>
      </c>
      <c r="L11" s="52">
        <f>MAX(0,L10)*Assumptions!$E$14</f>
        <v>126.38011316319695</v>
      </c>
      <c r="M11" s="52">
        <f>MAX(0,M10)*Assumptions!$E$14</f>
        <v>170.96074068324725</v>
      </c>
      <c r="N11" s="52">
        <f>MAX(0,N10)*Assumptions!$E$14</f>
        <v>215.81751343549308</v>
      </c>
      <c r="O11" s="52">
        <f>MAX(0,O10)*Assumptions!$E$14</f>
        <v>261.77366237814397</v>
      </c>
      <c r="P11" s="52">
        <f>MAX(0,P10)*Assumptions!$E$14</f>
        <v>309.66183983133067</v>
      </c>
      <c r="Q11" s="52">
        <f>MAX(0,Q10)*Assumptions!$E$14</f>
        <v>360.3493931665418</v>
      </c>
      <c r="R11" s="52">
        <f>MAX(0,R10)*Assumptions!$E$14</f>
        <v>414.76447137624046</v>
      </c>
      <c r="S11" s="52">
        <f>MAX(0,S10)*Assumptions!$E$14</f>
        <v>473.9240657272688</v>
      </c>
    </row>
    <row r="12">
      <c r="A12" s="2" t="inlineStr">
        <is>
          <t>Net Income</t>
        </is>
      </c>
      <c r="B12" s="52" t="n">
        <v>352.5</v>
      </c>
      <c r="C12" s="52" t="n">
        <v>16.8</v>
      </c>
      <c r="D12" s="52" t="n">
        <v>-669.9</v>
      </c>
      <c r="E12" s="52" t="n">
        <v>-1269.1</v>
      </c>
      <c r="F12" s="52" t="n">
        <v>2078.6</v>
      </c>
      <c r="G12" s="52" t="n">
        <v>54.7</v>
      </c>
      <c r="H12" s="52" t="n">
        <v>-634.2</v>
      </c>
      <c r="I12" s="52" t="n">
        <v>-3514.9</v>
      </c>
      <c r="J12" s="52">
        <f>J10-J11</f>
        <v>169.15862988624565</v>
      </c>
      <c r="K12" s="52">
        <f>K10-K11</f>
        <v>396.624270391101</v>
      </c>
      <c r="L12" s="52">
        <f>L10-L11</f>
        <v>617.0323172085498</v>
      </c>
      <c r="M12" s="52">
        <f>M10-M11</f>
        <v>834.6906751005602</v>
      </c>
      <c r="N12" s="52">
        <f>N10-N11</f>
        <v>1053.697271479172</v>
      </c>
      <c r="O12" s="52">
        <f>O10-O11</f>
        <v>1278.0714104344675</v>
      </c>
      <c r="P12" s="52">
        <f>P10-P11</f>
        <v>1511.8783944706142</v>
      </c>
      <c r="Q12" s="52">
        <f>Q10-Q11</f>
        <v>1759.3529195778217</v>
      </c>
      <c r="R12" s="52">
        <f>R10-R11</f>
        <v>2025.0265367192917</v>
      </c>
      <c r="S12" s="52">
        <f>S10-S11</f>
        <v>2313.8645561978415</v>
      </c>
    </row>
    <row r="13">
      <c r="A13" s="2" t="inlineStr">
        <is>
          <t>Earnings per Share</t>
        </is>
      </c>
      <c r="B13" s="11">
        <f>IFERROR(B12/B14,0)</f>
        <v>0.34123910939012586</v>
      </c>
      <c r="C13" s="11">
        <f>IFERROR(C12/C14,0)</f>
        <v>0.016263310745401743</v>
      </c>
      <c r="D13" s="11">
        <f>IFERROR(D12/D14,0)</f>
        <v>-0.5571357285429142</v>
      </c>
      <c r="E13" s="11">
        <f>IFERROR(E12/E14,0)</f>
        <v>-1.0498841826604897</v>
      </c>
      <c r="F13" s="11">
        <f>IFERROR(F12/F14,0)</f>
        <v>1.707409232791194</v>
      </c>
      <c r="G13" s="11">
        <f>IFERROR(G12/G14,0)</f>
        <v>0.045322727649349574</v>
      </c>
      <c r="H13" s="11">
        <f>IFERROR(H12/H14,0)</f>
        <v>0</v>
      </c>
      <c r="I13" s="11">
        <f>IFERROR(I12/I14,0)</f>
        <v>0</v>
      </c>
      <c r="J13" s="11">
        <f>IFERROR(J12/J14,0)</f>
        <v>0.14727492198322556</v>
      </c>
      <c r="K13" s="11">
        <f>IFERROR(K12/K14,0)</f>
        <v>0.3453137952097632</v>
      </c>
      <c r="L13" s="11">
        <f>IFERROR(L12/L14,0)</f>
        <v>0.5372081012900602</v>
      </c>
      <c r="M13" s="11">
        <f>IFERROR(M12/M14,0)</f>
        <v>0.726708440108714</v>
      </c>
      <c r="N13" s="11">
        <f>IFERROR(N12/N14,0)</f>
        <v>0.9173825985430892</v>
      </c>
      <c r="O13" s="11">
        <f>IFERROR(O12/O14,0)</f>
        <v>1.112729911487845</v>
      </c>
      <c r="P13" s="11">
        <f>IFERROR(P12/P14,0)</f>
        <v>1.3162897615304505</v>
      </c>
      <c r="Q13" s="11">
        <f>IFERROR(Q12/Q14,0)</f>
        <v>1.5317490106536504</v>
      </c>
      <c r="R13" s="11">
        <f>IFERROR(R12/R14,0)</f>
        <v>1.763052972289088</v>
      </c>
      <c r="S13" s="11">
        <f>IFERROR(S12/S14,0)</f>
        <v>2.0145246046444623</v>
      </c>
    </row>
    <row r="14">
      <c r="A14" s="2" t="inlineStr">
        <is>
          <t>Shares</t>
        </is>
      </c>
      <c r="B14" s="52" t="n">
        <v>1033</v>
      </c>
      <c r="C14" s="52" t="n">
        <v>1033</v>
      </c>
      <c r="D14" s="52" t="n">
        <v>1202.4</v>
      </c>
      <c r="E14" s="52" t="n">
        <v>1208.8</v>
      </c>
      <c r="F14" s="52" t="n">
        <v>1217.4</v>
      </c>
      <c r="G14" s="52" t="n">
        <v>1206.9</v>
      </c>
      <c r="H14" s="52" t="n"/>
      <c r="I14" s="52" t="n"/>
      <c r="J14" s="52">
        <f>Main!$C$4</f>
        <v>1148.590864</v>
      </c>
      <c r="K14" s="52">
        <f>Main!$C$4</f>
        <v>1148.590864</v>
      </c>
      <c r="L14" s="52">
        <f>Main!$C$4</f>
        <v>1148.590864</v>
      </c>
      <c r="M14" s="52">
        <f>Main!$C$4</f>
        <v>1148.590864</v>
      </c>
      <c r="N14" s="52">
        <f>Main!$C$4</f>
        <v>1148.590864</v>
      </c>
      <c r="O14" s="52">
        <f>Main!$C$4</f>
        <v>1148.590864</v>
      </c>
      <c r="P14" s="52">
        <f>Main!$C$4</f>
        <v>1148.590864</v>
      </c>
      <c r="Q14" s="52">
        <f>Main!$C$4</f>
        <v>1148.590864</v>
      </c>
      <c r="R14" s="52">
        <f>Main!$C$4</f>
        <v>1148.590864</v>
      </c>
      <c r="S14" s="52">
        <f>Main!$C$4</f>
        <v>1148.590864</v>
      </c>
    </row>
    <row r="15"/>
    <row r="16" customFormat="1" s="4">
      <c r="A16" s="3" t="inlineStr">
        <is>
          <t>Revenue Change</t>
        </is>
      </c>
      <c r="C16" s="15">
        <f>IFERROR(C2/B2-1,"")</f>
        <v>0.005824784194369492</v>
      </c>
      <c r="D16" s="15">
        <f>IFERROR(D2/C2-1,"")</f>
        <v>0.038737446197991465</v>
      </c>
      <c r="E16" s="15">
        <f>IFERROR(E2/D2-1,"")</f>
        <v>0.4972626820693118</v>
      </c>
      <c r="F16" s="15">
        <f>IFERROR(F2/E2-1,"")</f>
        <v>-0.09077338521661826</v>
      </c>
      <c r="G16" s="15">
        <f>IFERROR(G2/F2-1,"")</f>
        <v>-0.05139368001623357</v>
      </c>
      <c r="H16" s="15">
        <f>IFERROR(H2/G2-1,"")</f>
        <v>-0.04457149524531823</v>
      </c>
      <c r="I16" s="15">
        <f>IFERROR(I2/H2-1,"")</f>
        <v>-0.029811456446371287</v>
      </c>
      <c r="J16" s="15">
        <f>IFERROR(J2/I2-1,"")</f>
        <v>-0.02980000000000005</v>
      </c>
      <c r="K16" s="15">
        <f>IFERROR(K2/J2-1,"")</f>
        <v>-0.023711111111111127</v>
      </c>
      <c r="L16" s="15">
        <f>IFERROR(L2/K2-1,"")</f>
        <v>-0.017622222222222206</v>
      </c>
      <c r="M16" s="15">
        <f>IFERROR(M2/L2-1,"")</f>
        <v>-0.011533333333333284</v>
      </c>
      <c r="N16" s="15">
        <f>IFERROR(N2/M2-1,"")</f>
        <v>-0.005444444444444474</v>
      </c>
      <c r="O16" s="15">
        <f>IFERROR(O2/N2-1,"")</f>
        <v>0.0006444444444444475</v>
      </c>
      <c r="P16" s="15">
        <f>IFERROR(P2/O2-1,"")</f>
        <v>0.006733333333333258</v>
      </c>
      <c r="Q16" s="15">
        <f>IFERROR(Q2/P2-1,"")</f>
        <v>0.01282222222222229</v>
      </c>
      <c r="R16" s="15">
        <f>IFERROR(R2/Q2-1,"")</f>
        <v>0.0189111111111111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0.3499768233061335</v>
      </c>
      <c r="C17" s="15">
        <f>IFERROR(C4/C2,"")</f>
        <v>0.3389070040433025</v>
      </c>
      <c r="D17" s="15">
        <f>IFERROR(D4/D2,"")</f>
        <v>0.3178218650594341</v>
      </c>
      <c r="E17" s="15">
        <f>IFERROR(E4/E2,"")</f>
        <v>0.31171902517569317</v>
      </c>
      <c r="F17" s="15">
        <f>IFERROR(F4/F2,"")</f>
        <v>0.39950315753226706</v>
      </c>
      <c r="G17" s="15">
        <f>IFERROR(G4/G2,"")</f>
        <v>0.41736188087042764</v>
      </c>
      <c r="H17" s="15">
        <f>IFERROR(H4/H2,"")</f>
        <v>0.3815377935180096</v>
      </c>
      <c r="I17" s="15">
        <f>IFERROR(I4/I2,"")</f>
        <v>0.3505968573206806</v>
      </c>
      <c r="J17" s="15">
        <f>IFERROR(J4/J2,"")</f>
        <v>0.3506</v>
      </c>
      <c r="K17" s="15">
        <f>IFERROR(K4/K2,"")</f>
        <v>0.3506000000000001</v>
      </c>
      <c r="L17" s="15">
        <f>IFERROR(L4/L2,"")</f>
        <v>0.3506</v>
      </c>
      <c r="M17" s="15">
        <f>IFERROR(M4/M2,"")</f>
        <v>0.3506</v>
      </c>
      <c r="N17" s="15">
        <f>IFERROR(N4/N2,"")</f>
        <v>0.3506</v>
      </c>
      <c r="O17" s="15">
        <f>IFERROR(O4/O2,"")</f>
        <v>0.3506</v>
      </c>
      <c r="P17" s="15">
        <f>IFERROR(P4/P2,"")</f>
        <v>0.3506</v>
      </c>
      <c r="Q17" s="15">
        <f>IFERROR(Q4/Q2,"")</f>
        <v>0.35059999999999997</v>
      </c>
      <c r="R17" s="15">
        <f>IFERROR(R4/R2,"")</f>
        <v>0.35059999999999997</v>
      </c>
      <c r="S17" s="15">
        <f>IFERROR(S4/S2,"")</f>
        <v>0.3506000000000001</v>
      </c>
    </row>
    <row r="18">
      <c r="A18" s="14" t="inlineStr">
        <is>
          <t>Operating Margin</t>
        </is>
      </c>
      <c r="B18" s="15">
        <f>IFERROR(B8/B2,"")</f>
        <v>0.07920307156788144</v>
      </c>
      <c r="C18" s="15">
        <f>IFERROR(C8/C2,"")</f>
        <v>0.06221468631798621</v>
      </c>
      <c r="D18" s="15">
        <f>IFERROR(D8/D2,"")</f>
        <v>-0.017646073999665175</v>
      </c>
      <c r="E18" s="15">
        <f>IFERROR(E8/E2,"")</f>
        <v>-0.0019008962166574418</v>
      </c>
      <c r="F18" s="15">
        <f>IFERROR(F8/F2,"")</f>
        <v>0.09930085410171746</v>
      </c>
      <c r="G18" s="15">
        <f>IFERROR(G8/G2,"")</f>
        <v>0.049666491647706326</v>
      </c>
      <c r="H18" s="15">
        <f>IFERROR(H8/H2,"")</f>
        <v>0.0006852428541381575</v>
      </c>
      <c r="I18" s="15">
        <f>IFERROR(I8/I2,"")</f>
        <v>-0.18623207155294788</v>
      </c>
      <c r="J18" s="15">
        <f>IFERROR(J8/J2,"")</f>
        <v>0.014689999999999969</v>
      </c>
      <c r="K18" s="15">
        <f>IFERROR(K8/K2,"")</f>
        <v>0.03527999999999998</v>
      </c>
      <c r="L18" s="15">
        <f>IFERROR(L8/L2,"")</f>
        <v>0.05586999999999999</v>
      </c>
      <c r="M18" s="15">
        <f>IFERROR(M8/M2,"")</f>
        <v>0.07646</v>
      </c>
      <c r="N18" s="15">
        <f>IFERROR(N8/N2,"")</f>
        <v>0.09705000000000003</v>
      </c>
      <c r="O18" s="15">
        <f>IFERROR(O8/O2,"")</f>
        <v>0.11764000000000001</v>
      </c>
      <c r="P18" s="15">
        <f>IFERROR(P8/P2,"")</f>
        <v>0.13823</v>
      </c>
      <c r="Q18" s="15">
        <f>IFERROR(Q8/Q2,"")</f>
        <v>0.15882000000000002</v>
      </c>
      <c r="R18" s="15">
        <f>IFERROR(R8/R2,"")</f>
        <v>0.17941000000000001</v>
      </c>
      <c r="S18" s="15">
        <f>IFERROR(S8/S2,"")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Viatris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-0.0798</v>
      </c>
      <c r="C12" s="53" t="n">
        <v>-0.0298</v>
      </c>
      <c r="D12" s="53" t="n">
        <v>0.0202</v>
      </c>
      <c r="E12" s="54">
        <f>CHOOSE($B$4,B12,C12,D12)</f>
        <v>-0.0298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-0.0059</v>
      </c>
    </row>
    <row r="19">
      <c r="A19" s="14" t="inlineStr">
        <is>
          <t>Gross margin (forecast)</t>
        </is>
      </c>
      <c r="B19" s="53" t="n">
        <v>0.3506</v>
      </c>
    </row>
    <row r="20">
      <c r="A20" s="14" t="inlineStr">
        <is>
          <t>R&amp;D share of operating expense (forecast)</t>
        </is>
      </c>
      <c r="B20" s="53" t="n">
        <v>0.1258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14299.9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24965.533370562465</v>
      </c>
      <c r="C29" s="56">
        <f>NPV!B26</f>
        <v>12503.433370562465</v>
      </c>
      <c r="D29" s="35">
        <f>NPV!B28</f>
        <v>10.885889625674809</v>
      </c>
      <c r="E29" s="57">
        <f>NPV!B30</f>
        <v>-0.4163061862908949</v>
      </c>
    </row>
    <row r="30">
      <c r="A30" s="58" t="n">
        <v>1</v>
      </c>
      <c r="B30" s="59">
        <f t="dataTable" ref="B30:E32" r1="B4"/>
        <v>12002.76357161318</v>
      </c>
      <c r="C30" s="59">
        <v>-459.33642838681953</v>
      </c>
      <c r="D30" s="39">
        <v>-0.3999130088734708</v>
      </c>
      <c r="E30" s="60">
        <v>-1.0214430567760575</v>
      </c>
    </row>
    <row r="31">
      <c r="A31" s="58" t="n">
        <v>2</v>
      </c>
      <c r="B31" s="59">
        <v>24965.533370562465</v>
      </c>
      <c r="C31" s="59">
        <v>12503.433370562465</v>
      </c>
      <c r="D31" s="39">
        <v>10.885889625674809</v>
      </c>
      <c r="E31" s="60">
        <v>-0.4163061862908949</v>
      </c>
    </row>
    <row r="32">
      <c r="A32" s="58" t="n">
        <v>3</v>
      </c>
      <c r="B32" s="59">
        <v>53704.37833740395</v>
      </c>
      <c r="C32" s="59">
        <v>41242.27833740395</v>
      </c>
      <c r="D32" s="39">
        <v>35.90684867000992</v>
      </c>
      <c r="E32" s="60">
        <v>0.925300196783374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10.885889625674809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17.161168610638533</v>
      </c>
      <c r="C37" s="39">
        <v>20.048040706583695</v>
      </c>
      <c r="D37" s="39">
        <v>23.65826265266995</v>
      </c>
      <c r="E37" s="39">
        <v>28.30187389173414</v>
      </c>
      <c r="F37" s="39">
        <v>34.49560741025397</v>
      </c>
    </row>
    <row r="38">
      <c r="A38" s="62" t="n">
        <v>0.075</v>
      </c>
      <c r="B38" s="39">
        <v>11.833979776676143</v>
      </c>
      <c r="C38" s="39">
        <v>13.711842247295811</v>
      </c>
      <c r="D38" s="39">
        <v>15.96649443334746</v>
      </c>
      <c r="E38" s="39">
        <v>18.723556130220686</v>
      </c>
      <c r="F38" s="39">
        <v>22.171457434970915</v>
      </c>
    </row>
    <row r="39">
      <c r="A39" s="62" t="n">
        <v>0.08500000000000001</v>
      </c>
      <c r="B39" s="39">
        <v>8.068824756982515</v>
      </c>
      <c r="C39" s="39">
        <v>9.368570652108387</v>
      </c>
      <c r="D39" s="39">
        <v>10.885889625674809</v>
      </c>
      <c r="E39" s="39">
        <v>12.680137352361271</v>
      </c>
      <c r="F39" s="39">
        <v>14.834412076303131</v>
      </c>
    </row>
    <row r="40">
      <c r="A40" s="62" t="n">
        <v>0.095</v>
      </c>
      <c r="B40" s="39">
        <v>5.27681260503312</v>
      </c>
      <c r="C40" s="39">
        <v>6.217681506870302</v>
      </c>
      <c r="D40" s="39">
        <v>7.29372325421276</v>
      </c>
      <c r="E40" s="39">
        <v>8.536145340869602</v>
      </c>
      <c r="F40" s="39">
        <v>9.986557990289285</v>
      </c>
    </row>
    <row r="41">
      <c r="A41" s="62" t="n">
        <v>0.105</v>
      </c>
      <c r="B41" s="39">
        <v>3.1310729937980986</v>
      </c>
      <c r="C41" s="39">
        <v>3.835670032953066</v>
      </c>
      <c r="D41" s="39">
        <v>4.6289700082521446</v>
      </c>
      <c r="E41" s="39">
        <v>5.528724569384875</v>
      </c>
      <c r="F41" s="39">
        <v>6.557757450489611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Viatris Inc.: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-0.0298</v>
      </c>
      <c r="D5" s="63">
        <f>Assumptions!$E$12+(Assumptions!$E$11-Assumptions!$E$12)*(D4-1)/(Assumptions!$B$21-1)</f>
        <v>-0.02371111111111111</v>
      </c>
      <c r="E5" s="63">
        <f>Assumptions!$E$12+(Assumptions!$E$11-Assumptions!$E$12)*(E4-1)/(Assumptions!$B$21-1)</f>
        <v>-0.01762222222222222</v>
      </c>
      <c r="F5" s="63">
        <f>Assumptions!$E$12+(Assumptions!$E$11-Assumptions!$E$12)*(F4-1)/(Assumptions!$B$21-1)</f>
        <v>-0.011533333333333333</v>
      </c>
      <c r="G5" s="63">
        <f>Assumptions!$E$12+(Assumptions!$E$11-Assumptions!$E$12)*(G4-1)/(Assumptions!$B$21-1)</f>
        <v>-0.005444444444444443</v>
      </c>
      <c r="H5" s="63">
        <f>Assumptions!$E$12+(Assumptions!$E$11-Assumptions!$E$12)*(H4-1)/(Assumptions!$B$21-1)</f>
        <v>0.0006444444444444475</v>
      </c>
      <c r="I5" s="63">
        <f>Assumptions!$E$12+(Assumptions!$E$11-Assumptions!$E$12)*(I4-1)/(Assumptions!$B$21-1)</f>
        <v>0.006733333333333334</v>
      </c>
      <c r="J5" s="63">
        <f>Assumptions!$E$12+(Assumptions!$E$11-Assumptions!$E$12)*(J4-1)/(Assumptions!$B$21-1)</f>
        <v>0.012822222222222221</v>
      </c>
      <c r="K5" s="63">
        <f>Assumptions!$E$12+(Assumptions!$E$11-Assumptions!$E$12)*(K4-1)/(Assumptions!$B$21-1)</f>
        <v>0.018911111111111115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-0.18623207155294788</v>
      </c>
      <c r="C6" s="63">
        <f>Assumptions!$B$18+(Assumptions!$E$13-Assumptions!$B$18)*C4/Assumptions!$B$21</f>
        <v>0.014690000000000002</v>
      </c>
      <c r="D6" s="63">
        <f>Assumptions!$B$18+(Assumptions!$E$13-Assumptions!$B$18)*D4/Assumptions!$B$21</f>
        <v>0.03528</v>
      </c>
      <c r="E6" s="63">
        <f>Assumptions!$B$18+(Assumptions!$E$13-Assumptions!$B$18)*E4/Assumptions!$B$21</f>
        <v>0.05587</v>
      </c>
      <c r="F6" s="63">
        <f>Assumptions!$B$18+(Assumptions!$E$13-Assumptions!$B$18)*F4/Assumptions!$B$21</f>
        <v>0.07646</v>
      </c>
      <c r="G6" s="63">
        <f>Assumptions!$B$18+(Assumptions!$E$13-Assumptions!$B$18)*G4/Assumptions!$B$21</f>
        <v>0.09705000000000001</v>
      </c>
      <c r="H6" s="63">
        <f>Assumptions!$B$18+(Assumptions!$E$13-Assumptions!$B$18)*H4/Assumptions!$B$21</f>
        <v>0.11764000000000001</v>
      </c>
      <c r="I6" s="63">
        <f>Assumptions!$B$18+(Assumptions!$E$13-Assumptions!$B$18)*I4/Assumptions!$B$21</f>
        <v>0.13823000000000002</v>
      </c>
      <c r="J6" s="63">
        <f>Assumptions!$B$18+(Assumptions!$E$13-Assumptions!$B$18)*J4/Assumptions!$B$21</f>
        <v>0.15882000000000002</v>
      </c>
      <c r="K6" s="63">
        <f>Assumptions!$B$18+(Assumptions!$E$13-Assumptions!$B$18)*K4/Assumptions!$B$21</f>
        <v>0.17941000000000001</v>
      </c>
      <c r="L6" s="63">
        <f>Assumptions!$B$18+(Assumptions!$E$13-Assumptions!$B$18)*L4/Assumptions!$B$21</f>
        <v>0.20000000000000004</v>
      </c>
    </row>
    <row r="7">
      <c r="A7" s="14" t="inlineStr">
        <is>
          <t>Revenue</t>
        </is>
      </c>
      <c r="B7" s="55">
        <f>'Yearly Model'!I2</f>
        <v>14299.9</v>
      </c>
      <c r="C7" s="55">
        <f>'Yearly Model'!J2</f>
        <v>13873.76298</v>
      </c>
      <c r="D7" s="55">
        <f>'Yearly Model'!K2</f>
        <v>13544.800644452</v>
      </c>
      <c r="E7" s="55">
        <f>'Yearly Model'!L2</f>
        <v>13306.111157539768</v>
      </c>
      <c r="F7" s="55">
        <f>'Yearly Model'!M2</f>
        <v>13152.647342189477</v>
      </c>
      <c r="G7" s="55">
        <f>'Yearly Model'!N2</f>
        <v>13081.038484437557</v>
      </c>
      <c r="H7" s="55">
        <f>'Yearly Model'!O2</f>
        <v>13089.468487016416</v>
      </c>
      <c r="I7" s="55">
        <f>'Yearly Model'!P2</f>
        <v>13177.60424149566</v>
      </c>
      <c r="J7" s="55">
        <f>'Yearly Model'!Q2</f>
        <v>13346.570411436616</v>
      </c>
      <c r="K7" s="55">
        <f>'Yearly Model'!R2</f>
        <v>13598.968887439562</v>
      </c>
      <c r="L7" s="55">
        <f>'Yearly Model'!S2</f>
        <v>13938.943109625548</v>
      </c>
    </row>
    <row r="8">
      <c r="A8" s="14" t="inlineStr">
        <is>
          <t>Operating income</t>
        </is>
      </c>
      <c r="B8" s="55">
        <f>'Yearly Model'!I8</f>
        <v>-2663.0999999999995</v>
      </c>
      <c r="C8" s="55">
        <f>'Yearly Model'!J8</f>
        <v>203.80557817619956</v>
      </c>
      <c r="D8" s="55">
        <f>'Yearly Model'!K8</f>
        <v>477.86056673626626</v>
      </c>
      <c r="E8" s="55">
        <f>'Yearly Model'!L8</f>
        <v>743.4124303717467</v>
      </c>
      <c r="F8" s="55">
        <f>'Yearly Model'!M8</f>
        <v>1005.6514157838074</v>
      </c>
      <c r="G8" s="55">
        <f>'Yearly Model'!N8</f>
        <v>1269.5147849146651</v>
      </c>
      <c r="H8" s="55">
        <f>'Yearly Model'!O8</f>
        <v>1539.8450728126113</v>
      </c>
      <c r="I8" s="55">
        <f>'Yearly Model'!P8</f>
        <v>1821.540234301945</v>
      </c>
      <c r="J8" s="55">
        <f>'Yearly Model'!Q8</f>
        <v>2119.7023127443636</v>
      </c>
      <c r="K8" s="55">
        <f>'Yearly Model'!R8</f>
        <v>2439.791008095532</v>
      </c>
      <c r="L8" s="55">
        <f>'Yearly Model'!S8</f>
        <v>2787.7886219251104</v>
      </c>
    </row>
    <row r="9">
      <c r="A9" s="14" t="inlineStr">
        <is>
          <t>Tax on operating income</t>
        </is>
      </c>
      <c r="C9" s="52">
        <f>MAX(0,C8)*Assumptions!$E$14</f>
        <v>34.646948289953926</v>
      </c>
      <c r="D9" s="52">
        <f>MAX(0,D8)*Assumptions!$E$14</f>
        <v>81.23629634516527</v>
      </c>
      <c r="E9" s="52">
        <f>MAX(0,E8)*Assumptions!$E$14</f>
        <v>126.38011316319695</v>
      </c>
      <c r="F9" s="52">
        <f>MAX(0,F8)*Assumptions!$E$14</f>
        <v>170.96074068324725</v>
      </c>
      <c r="G9" s="52">
        <f>MAX(0,G8)*Assumptions!$E$14</f>
        <v>215.81751343549308</v>
      </c>
      <c r="H9" s="52">
        <f>MAX(0,H8)*Assumptions!$E$14</f>
        <v>261.77366237814397</v>
      </c>
      <c r="I9" s="52">
        <f>MAX(0,I8)*Assumptions!$E$14</f>
        <v>309.66183983133067</v>
      </c>
      <c r="J9" s="52">
        <f>MAX(0,J8)*Assumptions!$E$14</f>
        <v>360.3493931665418</v>
      </c>
      <c r="K9" s="52">
        <f>MAX(0,K8)*Assumptions!$E$14</f>
        <v>414.76447137624046</v>
      </c>
      <c r="L9" s="52">
        <f>MAX(0,L8)*Assumptions!$E$14</f>
        <v>473.9240657272688</v>
      </c>
    </row>
    <row r="10">
      <c r="A10" s="14" t="inlineStr">
        <is>
          <t>NOPAT</t>
        </is>
      </c>
      <c r="C10" s="52">
        <f>C8-C9</f>
        <v>169.15862988624565</v>
      </c>
      <c r="D10" s="52">
        <f>D8-D9</f>
        <v>396.624270391101</v>
      </c>
      <c r="E10" s="52">
        <f>E8-E9</f>
        <v>617.0323172085498</v>
      </c>
      <c r="F10" s="52">
        <f>F8-F9</f>
        <v>834.6906751005602</v>
      </c>
      <c r="G10" s="52">
        <f>G8-G9</f>
        <v>1053.697271479172</v>
      </c>
      <c r="H10" s="52">
        <f>H8-H9</f>
        <v>1278.0714104344675</v>
      </c>
      <c r="I10" s="52">
        <f>I8-I9</f>
        <v>1511.8783944706142</v>
      </c>
      <c r="J10" s="52">
        <f>J8-J9</f>
        <v>1759.3529195778217</v>
      </c>
      <c r="K10" s="52">
        <f>K8-K9</f>
        <v>2025.0265367192917</v>
      </c>
      <c r="L10" s="52">
        <f>L8-L9</f>
        <v>2313.8645561978415</v>
      </c>
    </row>
    <row r="11">
      <c r="A11" s="14" t="inlineStr">
        <is>
          <t>Reinvestment</t>
        </is>
      </c>
      <c r="C11" s="52">
        <f>(C7-B7)*Assumptions!$E$15</f>
        <v>-106.53425500000003</v>
      </c>
      <c r="D11" s="52">
        <f>(D7-C7)*Assumptions!$E$15</f>
        <v>-82.24058388699996</v>
      </c>
      <c r="E11" s="52">
        <f>(E7-D7)*Assumptions!$E$15</f>
        <v>-59.6723717280579</v>
      </c>
      <c r="F11" s="52">
        <f>(F7-E7)*Assumptions!$E$15</f>
        <v>-38.36595383757276</v>
      </c>
      <c r="G11" s="52">
        <f>(G7-F7)*Assumptions!$E$15</f>
        <v>-17.902214437980092</v>
      </c>
      <c r="H11" s="52">
        <f>(H7-G7)*Assumptions!$E$15</f>
        <v>2.1075006447149462</v>
      </c>
      <c r="I11" s="52">
        <f>(I7-H7)*Assumptions!$E$15</f>
        <v>22.03393861981067</v>
      </c>
      <c r="J11" s="52">
        <f>(J7-I7)*Assumptions!$E$15</f>
        <v>42.24154248523928</v>
      </c>
      <c r="K11" s="52">
        <f>(K7-J7)*Assumptions!$E$15</f>
        <v>63.09961900073631</v>
      </c>
      <c r="L11" s="52">
        <f>(L7-K7)*Assumptions!$E$15</f>
        <v>84.99355554649674</v>
      </c>
    </row>
    <row r="12">
      <c r="A12" s="20" t="inlineStr">
        <is>
          <t>Free cash flow</t>
        </is>
      </c>
      <c r="C12" s="64">
        <f>C10-C11</f>
        <v>275.6928848862457</v>
      </c>
      <c r="D12" s="64">
        <f>D10-D11</f>
        <v>478.86485427810095</v>
      </c>
      <c r="E12" s="64">
        <f>E10-E11</f>
        <v>676.7046889366077</v>
      </c>
      <c r="F12" s="64">
        <f>F10-F11</f>
        <v>873.0566289381329</v>
      </c>
      <c r="G12" s="64">
        <f>G10-G11</f>
        <v>1071.5994859171522</v>
      </c>
      <c r="H12" s="64">
        <f>H10-H11</f>
        <v>1275.9639097897525</v>
      </c>
      <c r="I12" s="64">
        <f>I10-I11</f>
        <v>1489.8444558508036</v>
      </c>
      <c r="J12" s="64">
        <f>J10-J11</f>
        <v>1717.1113770925824</v>
      </c>
      <c r="K12" s="64">
        <f>K10-K11</f>
        <v>1961.9269177185554</v>
      </c>
      <c r="L12" s="64">
        <f>L10-L11</f>
        <v>2228.8710006513447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136.1482896281024</v>
      </c>
      <c r="D16" s="64">
        <f>D12*D13*D15</f>
        <v>441.2024989203186</v>
      </c>
      <c r="E16" s="64">
        <f>E12*E13*E15</f>
        <v>574.6381396851643</v>
      </c>
      <c r="F16" s="64">
        <f>F12*F13*F15</f>
        <v>683.2945200100546</v>
      </c>
      <c r="G16" s="64">
        <f>G12*G13*G15</f>
        <v>772.9800440510411</v>
      </c>
      <c r="H16" s="64">
        <f>H12*H13*H15</f>
        <v>848.2901766736875</v>
      </c>
      <c r="I16" s="64">
        <f>I12*I13*I15</f>
        <v>912.8874531626908</v>
      </c>
      <c r="J16" s="64">
        <f>J12*J13*J15</f>
        <v>969.7170609100428</v>
      </c>
      <c r="K16" s="64">
        <f>K12*K13*K15</f>
        <v>1021.1737874691053</v>
      </c>
      <c r="L16" s="64">
        <f>L12*L13*L15</f>
        <v>1069.2321977045453</v>
      </c>
    </row>
    <row r="19">
      <c r="A19" s="14" t="inlineStr">
        <is>
          <t>PV of forecast free cash flow</t>
        </is>
      </c>
      <c r="B19" s="52">
        <f>SUM(C16:L16)</f>
        <v>7429.5641682147525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2284.592775667628</v>
      </c>
    </row>
    <row r="21">
      <c r="A21" s="14" t="inlineStr">
        <is>
          <t>Terminal value</t>
        </is>
      </c>
      <c r="B21" s="52">
        <f>B20/(Assumptions!$E$10-Assumptions!$E$11)</f>
        <v>38076.54626112713</v>
      </c>
    </row>
    <row r="22">
      <c r="A22" s="14" t="inlineStr">
        <is>
          <t>PV of terminal value</t>
        </is>
      </c>
      <c r="B22" s="52">
        <f>B21/(1+Assumptions!$E$10)^(L14+0.5)</f>
        <v>17535.969202347715</v>
      </c>
    </row>
    <row r="23">
      <c r="A23" s="20" t="inlineStr">
        <is>
          <t>Enterprise value</t>
        </is>
      </c>
      <c r="B23" s="66">
        <f>B19+B22</f>
        <v>24965.533370562465</v>
      </c>
    </row>
    <row r="24">
      <c r="A24" s="14" t="inlineStr">
        <is>
          <t>Cash &amp; investments</t>
        </is>
      </c>
      <c r="B24" s="55">
        <f>Main!C7</f>
        <v>886.5</v>
      </c>
    </row>
    <row r="25">
      <c r="A25" s="14" t="inlineStr">
        <is>
          <t>Debt</t>
        </is>
      </c>
      <c r="B25" s="55">
        <f>Main!C8</f>
        <v>13348.6</v>
      </c>
    </row>
    <row r="26">
      <c r="A26" s="20" t="inlineStr">
        <is>
          <t>Equity value</t>
        </is>
      </c>
      <c r="B26" s="66">
        <f>B23+B24-B25</f>
        <v>12503.433370562465</v>
      </c>
    </row>
    <row r="27">
      <c r="A27" s="14" t="inlineStr">
        <is>
          <t>Shares (mm)</t>
        </is>
      </c>
      <c r="B27" s="55">
        <f>Main!C4</f>
        <v>1148.590864</v>
      </c>
    </row>
    <row r="28">
      <c r="A28" s="20" t="inlineStr">
        <is>
          <t>NPV / share</t>
        </is>
      </c>
      <c r="B28" s="49">
        <f>B26/B27</f>
        <v>10.885889625674809</v>
      </c>
    </row>
    <row r="29">
      <c r="A29" s="14" t="inlineStr">
        <is>
          <t>Price</t>
        </is>
      </c>
      <c r="B29" s="50">
        <f>Main!C3</f>
        <v>18.65</v>
      </c>
    </row>
    <row r="30">
      <c r="A30" s="14" t="inlineStr">
        <is>
          <t>Upside</t>
        </is>
      </c>
      <c r="B30" s="63">
        <f>B28/B29-1</f>
        <v>-0.4163061862908949</v>
      </c>
    </row>
    <row r="31">
      <c r="A31" s="14" t="inlineStr">
        <is>
          <t>Terminal value, % of EV</t>
        </is>
      </c>
      <c r="B31" s="63">
        <f>IFERROR(B22/B23,0)</f>
        <v>0.7024071523753164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2026-10-21T06:21:16Z</dcterms:modified>
  <cp:lastModifiedBy>Wang, Eric</cp:lastModifiedBy>
</cp:coreProperties>
</file>