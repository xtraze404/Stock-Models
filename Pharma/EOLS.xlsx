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Evolus Inc</t>
        </is>
      </c>
      <c r="C2" s="10" t="n"/>
    </row>
    <row r="3">
      <c r="B3" t="inlineStr">
        <is>
          <t>Price</t>
        </is>
      </c>
      <c r="C3" s="11">
        <f>INDEX([1]Pharma!$F$1:$F$1000,MATCH("EOLS",[1]Pharma!$B$1:$B$1000,0))</f>
        <v>7.37</v>
      </c>
      <c r="F3" s="1" t="n"/>
    </row>
    <row r="4">
      <c r="B4" t="inlineStr">
        <is>
          <t>Shares</t>
        </is>
      </c>
      <c r="C4" s="51" t="n">
        <v>66.05043999999999</v>
      </c>
      <c r="F4" s="1" t="n"/>
    </row>
    <row r="5">
      <c r="B5" t="inlineStr">
        <is>
          <t>Market Cap.</t>
        </is>
      </c>
      <c r="C5" s="13">
        <f>C3*C4</f>
        <v>486.79174279999995</v>
      </c>
      <c r="F5" s="1" t="n"/>
    </row>
    <row r="6"/>
    <row r="7">
      <c r="B7" t="inlineStr">
        <is>
          <t>Cash</t>
        </is>
      </c>
      <c r="C7" s="51" t="n">
        <v>45.17</v>
      </c>
    </row>
    <row r="8">
      <c r="B8" t="inlineStr">
        <is>
          <t>Debt</t>
        </is>
      </c>
      <c r="C8" s="51" t="n">
        <v>156.744</v>
      </c>
    </row>
    <row r="9">
      <c r="B9" t="inlineStr">
        <is>
          <t>Enterprise V.</t>
        </is>
      </c>
      <c r="C9" s="13">
        <f>C5-C7+C8</f>
        <v>598.3657427999999</v>
      </c>
    </row>
    <row r="10"/>
    <row r="11">
      <c r="B11" s="14" t="inlineStr">
        <is>
          <t>NPV / Share</t>
        </is>
      </c>
      <c r="C11" s="11">
        <f>NPV!B28</f>
        <v>5.63195798627452</v>
      </c>
    </row>
    <row r="12">
      <c r="B12" s="14" t="inlineStr">
        <is>
          <t>Upside</t>
        </is>
      </c>
      <c r="C12" s="15">
        <f>IFERROR(C11/C3-1,"")</f>
        <v>-0.23582659616356583</v>
      </c>
    </row>
    <row r="13">
      <c r="B13" s="14" t="inlineStr">
        <is>
          <t>Cash / Share</t>
        </is>
      </c>
      <c r="C13" s="11">
        <f>IFERROR((C7-C8)/C4,"")</f>
        <v>-1.6892241747367618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2017</v>
      </c>
      <c r="C1" s="16" t="n">
        <v>2018</v>
      </c>
      <c r="D1" s="16" t="n">
        <v>2019</v>
      </c>
      <c r="E1" s="16" t="n">
        <v>2020</v>
      </c>
      <c r="F1" s="16" t="n">
        <v>2021</v>
      </c>
      <c r="G1" s="16" t="n">
        <v>2022</v>
      </c>
      <c r="H1" s="16" t="n">
        <v>2023</v>
      </c>
      <c r="I1" s="16" t="n">
        <v>2024</v>
      </c>
      <c r="J1" s="16" t="n">
        <v>2025</v>
      </c>
      <c r="K1" s="16" t="n">
        <v>2026</v>
      </c>
      <c r="L1" s="16" t="n">
        <v>2027</v>
      </c>
      <c r="M1" s="16" t="n">
        <v>2028</v>
      </c>
      <c r="N1" s="16" t="n">
        <v>2029</v>
      </c>
      <c r="O1" s="16" t="n">
        <v>2030</v>
      </c>
      <c r="P1" s="16" t="n">
        <v>2031</v>
      </c>
      <c r="Q1" s="16" t="n">
        <v>2032</v>
      </c>
      <c r="R1" s="16" t="n">
        <v>2033</v>
      </c>
      <c r="S1" s="16" t="n">
        <v>2034</v>
      </c>
      <c r="T1" s="16" t="n">
        <v>2035</v>
      </c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</v>
      </c>
      <c r="C2" s="52" t="n">
        <v>0</v>
      </c>
      <c r="D2" s="52" t="n">
        <v>34.925</v>
      </c>
      <c r="E2" s="52" t="n">
        <v>56.54</v>
      </c>
      <c r="F2" s="52" t="n">
        <v>99.673</v>
      </c>
      <c r="G2" s="52" t="n">
        <v>148.616</v>
      </c>
      <c r="H2" s="52" t="n">
        <v>202.085</v>
      </c>
      <c r="I2" s="52" t="n">
        <v>266.274</v>
      </c>
      <c r="J2" s="52" t="n">
        <v>297.176</v>
      </c>
      <c r="K2" s="52">
        <f>J2*(1+NPV!C5)</f>
        <v>338.78064</v>
      </c>
      <c r="L2" s="52">
        <f>K2*(1+NPV!D5)</f>
        <v>381.88106586666663</v>
      </c>
      <c r="M2" s="52">
        <f>L2*(1+NPV!E5)</f>
        <v>425.58523229362964</v>
      </c>
      <c r="N2" s="52">
        <f>M2*(1+NPV!F5)</f>
        <v>468.8530642434819</v>
      </c>
      <c r="O2" s="52">
        <f>N2*(1+NPV!G5)</f>
        <v>510.52889217623584</v>
      </c>
      <c r="P2" s="52">
        <f>O2*(1+NPV!H5)</f>
        <v>549.3858134140937</v>
      </c>
      <c r="Q2" s="52">
        <f>P2*(1+NPV!I5)</f>
        <v>584.180248263653</v>
      </c>
      <c r="R2" s="52">
        <f>Q2*(1+NPV!J5)</f>
        <v>613.7138052592043</v>
      </c>
      <c r="S2" s="52">
        <f>R2*(1+NPV!K5)</f>
        <v>636.8985490134409</v>
      </c>
      <c r="T2" s="52">
        <f>S2*(1+NPV!L5)</f>
        <v>652.8210127387769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8.013999999999999</v>
      </c>
      <c r="E3" s="52" t="n">
        <v>18.299</v>
      </c>
      <c r="F3" s="52" t="n">
        <v>43.534</v>
      </c>
      <c r="G3" s="52" t="n">
        <v>58.842</v>
      </c>
      <c r="H3" s="52" t="n">
        <v>64.514</v>
      </c>
      <c r="I3" s="52" t="n">
        <v>83.97</v>
      </c>
      <c r="J3" s="52" t="n">
        <v>100.069</v>
      </c>
      <c r="K3" s="52">
        <f>K2*(1-Assumptions!$B$19)</f>
        <v>114.067441488</v>
      </c>
      <c r="L3" s="52">
        <f>L2*(1-Assumptions!$B$19)</f>
        <v>128.57935487730666</v>
      </c>
      <c r="M3" s="52">
        <f>M2*(1-Assumptions!$B$19)</f>
        <v>143.2945477132651</v>
      </c>
      <c r="N3" s="52">
        <f>N2*(1-Assumptions!$B$19)</f>
        <v>157.86282673078037</v>
      </c>
      <c r="O3" s="52">
        <f>O2*(1-Assumptions!$B$19)</f>
        <v>171.8950779957386</v>
      </c>
      <c r="P3" s="52">
        <f>P2*(1-Assumptions!$B$19)</f>
        <v>184.97820337652536</v>
      </c>
      <c r="Q3" s="52">
        <f>Q2*(1-Assumptions!$B$19)</f>
        <v>196.69348959037197</v>
      </c>
      <c r="R3" s="52">
        <f>R2*(1-Assumptions!$B$19)</f>
        <v>206.63743823077408</v>
      </c>
      <c r="S3" s="52">
        <f>S2*(1-Assumptions!$B$19)</f>
        <v>214.44374145282555</v>
      </c>
      <c r="T3" s="52">
        <f>T2*(1-Assumptions!$B$19)</f>
        <v>219.80483498914617</v>
      </c>
    </row>
    <row r="4" customFormat="1" s="1">
      <c r="A4" s="5" t="inlineStr">
        <is>
          <t>Gross Margin</t>
        </is>
      </c>
      <c r="B4" s="52">
        <f>B2-B3</f>
        <v>0.0</v>
      </c>
      <c r="C4" s="52">
        <f>C2-C3</f>
        <v>0.0</v>
      </c>
      <c r="D4" s="52">
        <f>D2-D3</f>
        <v>26.910999999999998</v>
      </c>
      <c r="E4" s="52">
        <f>E2-E3</f>
        <v>38.241</v>
      </c>
      <c r="F4" s="52">
        <f>F2-F3</f>
        <v>56.139</v>
      </c>
      <c r="G4" s="52">
        <f>G2-G3</f>
        <v>89.77400000000002</v>
      </c>
      <c r="H4" s="52">
        <f>H2-H3</f>
        <v>137.57100000000003</v>
      </c>
      <c r="I4" s="52">
        <f>I2-I3</f>
        <v>182.304</v>
      </c>
      <c r="J4" s="52">
        <f>J2-J3</f>
        <v>197.10699999999997</v>
      </c>
      <c r="K4" s="52">
        <f>K2-K3</f>
        <v>224.71319851200002</v>
      </c>
      <c r="L4" s="52">
        <f>L2-L3</f>
        <v>253.30171098935998</v>
      </c>
      <c r="M4" s="52">
        <f>M2-M3</f>
        <v>282.29068458036454</v>
      </c>
      <c r="N4" s="52">
        <f>N2-N3</f>
        <v>310.9902375127016</v>
      </c>
      <c r="O4" s="52">
        <f>O2-O3</f>
        <v>338.6338141804972</v>
      </c>
      <c r="P4" s="52">
        <f>P2-P3</f>
        <v>364.40761003756836</v>
      </c>
      <c r="Q4" s="52">
        <f>Q2-Q3</f>
        <v>387.486758673281</v>
      </c>
      <c r="R4" s="52">
        <f>R2-R3</f>
        <v>407.0763670284302</v>
      </c>
      <c r="S4" s="52">
        <f>S2-S3</f>
        <v>422.45480756061534</v>
      </c>
      <c r="T4" s="52">
        <f>T2-T3</f>
        <v>433.0161777496307</v>
      </c>
    </row>
    <row r="5">
      <c r="A5" s="2" t="inlineStr">
        <is>
          <t>Research &amp; Dev.</t>
        </is>
      </c>
      <c r="B5" s="52" t="n">
        <v>6.689</v>
      </c>
      <c r="C5" s="52" t="n">
        <v>6.487</v>
      </c>
      <c r="D5" s="52" t="n">
        <v>3.973</v>
      </c>
      <c r="E5" s="52" t="n">
        <v>1.722</v>
      </c>
      <c r="F5" s="52" t="n">
        <v>2.064</v>
      </c>
      <c r="G5" s="52" t="n">
        <v>4.742</v>
      </c>
      <c r="H5" s="52" t="n">
        <v>6.556</v>
      </c>
      <c r="I5" s="52" t="n">
        <v>9.172000000000001</v>
      </c>
      <c r="J5" s="52" t="n">
        <v>9.576000000000001</v>
      </c>
      <c r="K5" s="52">
        <f>K7*Assumptions!$B$20</f>
        <v>9.8381491319232</v>
      </c>
      <c r="L5" s="52">
        <f>L7*Assumptions!$B$20</f>
        <v>10.67733731947212</v>
      </c>
      <c r="M5" s="52">
        <f>M7*Assumptions!$B$20</f>
        <v>11.439654438710951</v>
      </c>
      <c r="N5" s="52">
        <f>N7*Assumptions!$B$20</f>
        <v>12.096310598338345</v>
      </c>
      <c r="O5" s="52">
        <f>O7*Assumptions!$B$20</f>
        <v>12.620151687662426</v>
      </c>
      <c r="P5" s="52">
        <f>P7*Assumptions!$B$20</f>
        <v>12.987332294939554</v>
      </c>
      <c r="Q5" s="52">
        <f>Q7*Assumptions!$B$20</f>
        <v>13.17893114675353</v>
      </c>
      <c r="R5" s="52">
        <f>R7*Assumptions!$B$20</f>
        <v>13.182370011411972</v>
      </c>
      <c r="S5" s="52">
        <f>S7*Assumptions!$B$20</f>
        <v>12.992501116396548</v>
      </c>
      <c r="T5" s="52">
        <f>T7*Assumptions!$B$20</f>
        <v>12.6122473659182</v>
      </c>
    </row>
    <row r="6">
      <c r="A6" s="18" t="inlineStr">
        <is>
          <t>SG&amp;A &amp; Other</t>
        </is>
      </c>
      <c r="B6" s="52" t="n">
        <v>5.037</v>
      </c>
      <c r="C6" s="52" t="n">
        <v>39.655</v>
      </c>
      <c r="D6" s="52" t="n">
        <v>121.885</v>
      </c>
      <c r="E6" s="52" t="n">
        <v>189.587</v>
      </c>
      <c r="F6" s="52" t="n">
        <v>98.48</v>
      </c>
      <c r="G6" s="52" t="n">
        <v>150.362</v>
      </c>
      <c r="H6" s="52" t="n">
        <v>180.248</v>
      </c>
      <c r="I6" s="52" t="n">
        <v>207.543</v>
      </c>
      <c r="J6" s="52" t="n">
        <v>220.193</v>
      </c>
      <c r="K6" s="52">
        <f>K7-K5</f>
        <v>226.08868856407682</v>
      </c>
      <c r="L6" s="52">
        <f>L7-L5</f>
        <v>245.37391734412788</v>
      </c>
      <c r="M6" s="52">
        <f>M7-M5</f>
        <v>262.8925862977627</v>
      </c>
      <c r="N6" s="52">
        <f>N7-N5</f>
        <v>277.983080249104</v>
      </c>
      <c r="O6" s="52">
        <f>O7-O5</f>
        <v>290.02137559441013</v>
      </c>
      <c r="P6" s="52">
        <f>P7-P5</f>
        <v>298.4594853295102</v>
      </c>
      <c r="Q6" s="52">
        <f>Q7-Q5</f>
        <v>302.8625831638827</v>
      </c>
      <c r="R6" s="52">
        <f>R7-R5</f>
        <v>302.94161107760414</v>
      </c>
      <c r="S6" s="52">
        <f>S7-S5</f>
        <v>298.5782690609787</v>
      </c>
      <c r="T6" s="52">
        <f>T7-T5</f>
        <v>289.8397278359571</v>
      </c>
    </row>
    <row r="7">
      <c r="A7" s="2" t="inlineStr">
        <is>
          <t>Operating Expense</t>
        </is>
      </c>
      <c r="B7" s="52">
        <f>SUM(B5:B6)</f>
        <v>11.725999999999999</v>
      </c>
      <c r="C7" s="52">
        <f>SUM(C5:C6)</f>
        <v>46.142</v>
      </c>
      <c r="D7" s="52">
        <f>SUM(D5:D6)</f>
        <v>125.858</v>
      </c>
      <c r="E7" s="52">
        <f>SUM(E5:E6)</f>
        <v>191.309</v>
      </c>
      <c r="F7" s="52">
        <f>SUM(F5:F6)</f>
        <v>100.54400000000001</v>
      </c>
      <c r="G7" s="52">
        <f>SUM(G5:G6)</f>
        <v>155.10399999999998</v>
      </c>
      <c r="H7" s="52">
        <f>SUM(H5:H6)</f>
        <v>186.804</v>
      </c>
      <c r="I7" s="52">
        <f>SUM(I5:I6)</f>
        <v>216.715</v>
      </c>
      <c r="J7" s="52">
        <f>SUM(J5:J6)</f>
        <v>229.769</v>
      </c>
      <c r="K7" s="52">
        <f>K4-K2*NPV!C6</f>
        <v>235.926837696</v>
      </c>
      <c r="L7" s="52">
        <f>L4-L2*NPV!D6</f>
        <v>256.0512546636</v>
      </c>
      <c r="M7" s="52">
        <f>M4-M2*NPV!E6</f>
        <v>274.33224073647364</v>
      </c>
      <c r="N7" s="52">
        <f>N4-N2*NPV!F6</f>
        <v>290.0793908474423</v>
      </c>
      <c r="O7" s="52">
        <f>O4-O2*NPV!G6</f>
        <v>302.64152728207256</v>
      </c>
      <c r="P7" s="52">
        <f>P4-P2*NPV!H6</f>
        <v>311.44681762444975</v>
      </c>
      <c r="Q7" s="52">
        <f>Q4-Q2*NPV!I6</f>
        <v>316.0415143106362</v>
      </c>
      <c r="R7" s="52">
        <f>R4-R2*NPV!J6</f>
        <v>316.1239810890161</v>
      </c>
      <c r="S7" s="52">
        <f>S4-S2*NPV!K6</f>
        <v>311.57077017737527</v>
      </c>
      <c r="T7" s="52">
        <f>T4-T2*NPV!L6</f>
        <v>302.4519752018753</v>
      </c>
    </row>
    <row r="8">
      <c r="A8" s="2" t="inlineStr">
        <is>
          <t>Operating Income</t>
        </is>
      </c>
      <c r="B8" s="52">
        <f>B4-B7</f>
        <v>-11.725999999999999</v>
      </c>
      <c r="C8" s="52">
        <f>C4-C7</f>
        <v>-46.142</v>
      </c>
      <c r="D8" s="52">
        <f>D4-D7</f>
        <v>-98.947</v>
      </c>
      <c r="E8" s="52">
        <f>E4-E7</f>
        <v>-153.06799999999998</v>
      </c>
      <c r="F8" s="52">
        <f>F4-F7</f>
        <v>-44.40500000000001</v>
      </c>
      <c r="G8" s="52">
        <f>G4-G7</f>
        <v>-65.32999999999997</v>
      </c>
      <c r="H8" s="52">
        <f>H4-H7</f>
        <v>-49.232999999999976</v>
      </c>
      <c r="I8" s="52">
        <f>I4-I7</f>
        <v>-34.411</v>
      </c>
      <c r="J8" s="52">
        <f>J4-J7</f>
        <v>-32.662000000000035</v>
      </c>
      <c r="K8" s="52">
        <f>K4-K7</f>
        <v>-11.213639183999987</v>
      </c>
      <c r="L8" s="52">
        <f>L4-L7</f>
        <v>-2.749543674240016</v>
      </c>
      <c r="M8" s="52">
        <f>M4-M7</f>
        <v>7.958443843890905</v>
      </c>
      <c r="N8" s="52">
        <f>N4-N7</f>
        <v>20.91084666525927</v>
      </c>
      <c r="O8" s="52">
        <f>O4-O7</f>
        <v>35.99228689842465</v>
      </c>
      <c r="P8" s="52">
        <f>P4-P7</f>
        <v>52.96079241311861</v>
      </c>
      <c r="Q8" s="52">
        <f>Q4-Q7</f>
        <v>71.44524436264476</v>
      </c>
      <c r="R8" s="52">
        <f>R4-R7</f>
        <v>90.95238593941406</v>
      </c>
      <c r="S8" s="52">
        <f>S4-S7</f>
        <v>110.88403738324007</v>
      </c>
      <c r="T8" s="52">
        <f>T4-T7</f>
        <v>130.56420254775537</v>
      </c>
    </row>
    <row r="9">
      <c r="A9" s="18" t="inlineStr">
        <is>
          <t>Interest &amp; Other</t>
        </is>
      </c>
      <c r="B9" s="52" t="n">
        <v>-0.005</v>
      </c>
      <c r="C9" s="52" t="n">
        <v>-0.66</v>
      </c>
      <c r="D9" s="52" t="n">
        <v>-6.114</v>
      </c>
      <c r="E9" s="52" t="n">
        <v>-9.868</v>
      </c>
      <c r="F9" s="52" t="n">
        <v>-2.363</v>
      </c>
      <c r="G9" s="52" t="n">
        <v>-8.987</v>
      </c>
      <c r="H9" s="52" t="n">
        <v>-12.276</v>
      </c>
      <c r="I9" s="52" t="n">
        <v>-15.345</v>
      </c>
      <c r="J9" s="52" t="n">
        <v>-18.302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</row>
    <row r="10">
      <c r="A10" s="2" t="inlineStr">
        <is>
          <t>Pretax</t>
        </is>
      </c>
      <c r="B10" s="52">
        <f>B8+B9</f>
        <v>-11.731</v>
      </c>
      <c r="C10" s="52">
        <f>C8+C9</f>
        <v>-46.802</v>
      </c>
      <c r="D10" s="52">
        <f>D8+D9</f>
        <v>-105.061</v>
      </c>
      <c r="E10" s="52">
        <f>E8+E9</f>
        <v>-162.93599999999998</v>
      </c>
      <c r="F10" s="52">
        <f>F8+F9</f>
        <v>-46.76800000000001</v>
      </c>
      <c r="G10" s="52">
        <f>G8+G9</f>
        <v>-74.31699999999996</v>
      </c>
      <c r="H10" s="52">
        <f>H8+H9</f>
        <v>-61.50899999999997</v>
      </c>
      <c r="I10" s="52">
        <f>I8+I9</f>
        <v>-49.756</v>
      </c>
      <c r="J10" s="52">
        <f>J8+J9</f>
        <v>-50.964000000000034</v>
      </c>
      <c r="K10" s="52">
        <f>K8+K9</f>
        <v>-11.213639183999987</v>
      </c>
      <c r="L10" s="52">
        <f>L8+L9</f>
        <v>-2.749543674240016</v>
      </c>
      <c r="M10" s="52">
        <f>M8+M9</f>
        <v>7.958443843890905</v>
      </c>
      <c r="N10" s="52">
        <f>N8+N9</f>
        <v>20.91084666525927</v>
      </c>
      <c r="O10" s="52">
        <f>O8+O9</f>
        <v>35.99228689842465</v>
      </c>
      <c r="P10" s="52">
        <f>P8+P9</f>
        <v>52.96079241311861</v>
      </c>
      <c r="Q10" s="52">
        <f>Q8+Q9</f>
        <v>71.44524436264476</v>
      </c>
      <c r="R10" s="52">
        <f>R8+R9</f>
        <v>90.95238593941406</v>
      </c>
      <c r="S10" s="52">
        <f>S8+S9</f>
        <v>110.88403738324007</v>
      </c>
      <c r="T10" s="52">
        <f>T8+T9</f>
        <v>130.56420254775537</v>
      </c>
    </row>
    <row r="11">
      <c r="A11" s="2" t="inlineStr">
        <is>
          <t>Taxes</t>
        </is>
      </c>
      <c r="B11" s="52" t="n">
        <v>-7.251</v>
      </c>
      <c r="C11" s="52" t="n">
        <v>0.065</v>
      </c>
      <c r="D11" s="52" t="n">
        <v>-15.027</v>
      </c>
      <c r="E11" s="52" t="n">
        <v>0.077</v>
      </c>
      <c r="F11" s="52" t="n">
        <v>0.042</v>
      </c>
      <c r="G11" s="52" t="n">
        <v>0.095</v>
      </c>
      <c r="H11" s="52" t="n">
        <v>0.176</v>
      </c>
      <c r="I11" s="52" t="n">
        <v>0.664</v>
      </c>
      <c r="J11" s="52" t="n">
        <v>0.677</v>
      </c>
      <c r="K11" s="52">
        <f>MAX(0,K10)*Assumptions!$E$14</f>
        <v>0.0</v>
      </c>
      <c r="L11" s="52">
        <f>MAX(0,L10)*Assumptions!$E$14</f>
        <v>0.0</v>
      </c>
      <c r="M11" s="52">
        <f>MAX(0,M10)*Assumptions!$E$14</f>
        <v>1.352935453461454</v>
      </c>
      <c r="N11" s="52">
        <f>MAX(0,N10)*Assumptions!$E$14</f>
        <v>3.554843933094076</v>
      </c>
      <c r="O11" s="52">
        <f>MAX(0,O10)*Assumptions!$E$14</f>
        <v>6.118688772732192</v>
      </c>
      <c r="P11" s="52">
        <f>MAX(0,P10)*Assumptions!$E$14</f>
        <v>9.003334710230165</v>
      </c>
      <c r="Q11" s="52">
        <f>MAX(0,Q10)*Assumptions!$E$14</f>
        <v>12.14569154164961</v>
      </c>
      <c r="R11" s="52">
        <f>MAX(0,R10)*Assumptions!$E$14</f>
        <v>15.461905609700391</v>
      </c>
      <c r="S11" s="52">
        <f>MAX(0,S10)*Assumptions!$E$14</f>
        <v>18.850286355150814</v>
      </c>
      <c r="T11" s="52">
        <f>MAX(0,T10)*Assumptions!$E$14</f>
        <v>22.195914433118414</v>
      </c>
    </row>
    <row r="12">
      <c r="A12" s="2" t="inlineStr">
        <is>
          <t>Net Income</t>
        </is>
      </c>
      <c r="B12" s="52" t="n">
        <v>-4.48</v>
      </c>
      <c r="C12" s="52" t="n">
        <v>-46.867</v>
      </c>
      <c r="D12" s="52" t="n">
        <v>-90.03400000000001</v>
      </c>
      <c r="E12" s="52" t="n">
        <v>-163.013</v>
      </c>
      <c r="F12" s="52" t="n">
        <v>-46.81</v>
      </c>
      <c r="G12" s="52" t="n">
        <v>-74.41200000000001</v>
      </c>
      <c r="H12" s="52" t="n">
        <v>-61.685</v>
      </c>
      <c r="I12" s="52" t="n">
        <v>-50.42</v>
      </c>
      <c r="J12" s="52" t="n">
        <v>-51.641</v>
      </c>
      <c r="K12" s="52">
        <f>K10-K11</f>
        <v>-11.213639183999987</v>
      </c>
      <c r="L12" s="52">
        <f>L10-L11</f>
        <v>-2.749543674240016</v>
      </c>
      <c r="M12" s="52">
        <f>M10-M11</f>
        <v>6.605508390429451</v>
      </c>
      <c r="N12" s="52">
        <f>N10-N11</f>
        <v>17.356002732165194</v>
      </c>
      <c r="O12" s="52">
        <f>O10-O11</f>
        <v>29.87359812569246</v>
      </c>
      <c r="P12" s="52">
        <f>P10-P11</f>
        <v>43.95745770288845</v>
      </c>
      <c r="Q12" s="52">
        <f>Q10-Q11</f>
        <v>59.299552820995146</v>
      </c>
      <c r="R12" s="52">
        <f>R10-R11</f>
        <v>75.49048032971366</v>
      </c>
      <c r="S12" s="52">
        <f>S10-S11</f>
        <v>92.03375102808926</v>
      </c>
      <c r="T12" s="52">
        <f>T10-T11</f>
        <v>108.36828811463695</v>
      </c>
    </row>
    <row r="13">
      <c r="A13" s="2" t="inlineStr">
        <is>
          <t>Earnings per Share</t>
        </is>
      </c>
      <c r="B13" s="11">
        <f>IFERROR(B12/B14,0)</f>
        <v>-0.2710715798390513</v>
      </c>
      <c r="C13" s="11">
        <f>IFERROR(C12/C14,0)</f>
        <v>-1.9206212605524136</v>
      </c>
      <c r="D13" s="11">
        <f>IFERROR(D12/D14,0)</f>
        <v>-3.1883986117997027</v>
      </c>
      <c r="E13" s="11">
        <f>IFERROR(E12/E14,0)</f>
        <v>-4.831732764242101</v>
      </c>
      <c r="F13" s="11">
        <f>IFERROR(F12/F14,0)</f>
        <v>-0.9404697325859401</v>
      </c>
      <c r="G13" s="11">
        <f>IFERROR(G12/G14,0)</f>
        <v>-1.3272451618656917</v>
      </c>
      <c r="H13" s="11">
        <f>IFERROR(H12/H14,0)</f>
        <v>-1.083733024121998</v>
      </c>
      <c r="I13" s="11">
        <f>IFERROR(I12/I14,0)</f>
        <v>-0.8130028863053679</v>
      </c>
      <c r="J13" s="11">
        <f>IFERROR(J12/J14,0)</f>
        <v>-0.8010206455815974</v>
      </c>
      <c r="K13" s="11">
        <f>IFERROR(K12/K14,0)</f>
        <v>-0.16977387560173693</v>
      </c>
      <c r="L13" s="11">
        <f>IFERROR(L12/L14,0)</f>
        <v>-0.041627938803133126</v>
      </c>
      <c r="M13" s="11">
        <f>IFERROR(M12/M14,0)</f>
        <v>0.10000703084535775</v>
      </c>
      <c r="N13" s="11">
        <f>IFERROR(N12/N14,0)</f>
        <v>0.2627689192103065</v>
      </c>
      <c r="O13" s="11">
        <f>IFERROR(O12/O14,0)</f>
        <v>0.452284619537621</v>
      </c>
      <c r="P13" s="11">
        <f>IFERROR(P12/P14,0)</f>
        <v>0.6655134727775992</v>
      </c>
      <c r="Q13" s="11">
        <f>IFERROR(Q12/Q14,0)</f>
        <v>0.8977919423548905</v>
      </c>
      <c r="R13" s="11">
        <f>IFERROR(R12/R14,0)</f>
        <v>1.142921687269815</v>
      </c>
      <c r="S13" s="11">
        <f>IFERROR(S12/S14,0)</f>
        <v>1.393385888543502</v>
      </c>
      <c r="T13" s="11">
        <f>IFERROR(T12/T14,0)</f>
        <v>1.6406898745055591</v>
      </c>
    </row>
    <row r="14">
      <c r="A14" s="2" t="inlineStr">
        <is>
          <t>Shares</t>
        </is>
      </c>
      <c r="B14" s="52" t="n">
        <v>16.527</v>
      </c>
      <c r="C14" s="52" t="n">
        <v>24.402</v>
      </c>
      <c r="D14" s="52" t="n">
        <v>28.238</v>
      </c>
      <c r="E14" s="52" t="n">
        <v>33.738</v>
      </c>
      <c r="F14" s="52" t="n">
        <v>49.773</v>
      </c>
      <c r="G14" s="52" t="n">
        <v>56.065</v>
      </c>
      <c r="H14" s="52" t="n">
        <v>56.919</v>
      </c>
      <c r="I14" s="52" t="n">
        <v>62.017</v>
      </c>
      <c r="J14" s="52" t="n">
        <v>64.46899999999999</v>
      </c>
      <c r="K14" s="52">
        <f>Main!$C$4</f>
        <v>66.05044</v>
      </c>
      <c r="L14" s="52">
        <f>Main!$C$4</f>
        <v>66.05044</v>
      </c>
      <c r="M14" s="52">
        <f>Main!$C$4</f>
        <v>66.05044</v>
      </c>
      <c r="N14" s="52">
        <f>Main!$C$4</f>
        <v>66.05044</v>
      </c>
      <c r="O14" s="52">
        <f>Main!$C$4</f>
        <v>66.05044</v>
      </c>
      <c r="P14" s="52">
        <f>Main!$C$4</f>
        <v>66.05044</v>
      </c>
      <c r="Q14" s="52">
        <f>Main!$C$4</f>
        <v>66.05044</v>
      </c>
      <c r="R14" s="52">
        <f>Main!$C$4</f>
        <v>66.05044</v>
      </c>
      <c r="S14" s="52">
        <f>Main!$C$4</f>
        <v>66.05044</v>
      </c>
      <c r="T14" s="52">
        <f>Main!$C$4</f>
        <v>66.05044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>0.6188976377952757</v>
      </c>
      <c r="F16" s="15">
        <f>IFERROR(F2/E2-1,"")</f>
        <v>0.7628758401131943</v>
      </c>
      <c r="G16" s="15">
        <f>IFERROR(G2/F2-1,"")</f>
        <v>0.49103568669549436</v>
      </c>
      <c r="H16" s="15">
        <f>IFERROR(H2/G2-1,"")</f>
        <v>0.3597795661301608</v>
      </c>
      <c r="I16" s="15">
        <f>IFERROR(I2/H2-1,"")</f>
        <v>0.31763366900066803</v>
      </c>
      <c r="J16" s="15">
        <f>IFERROR(J2/I2-1,"")</f>
        <v>0.11605338861473524</v>
      </c>
      <c r="K16" s="15">
        <f>IFERROR(K2/J2-1,"")</f>
        <v>0.14000000000000012</v>
      </c>
      <c r="L16" s="15">
        <f>IFERROR(L2/K2-1,"")</f>
        <v>0.12722222222222213</v>
      </c>
      <c r="M16" s="15">
        <f>IFERROR(M2/L2-1,"")</f>
        <v>0.11444444444444457</v>
      </c>
      <c r="N16" s="15">
        <f>IFERROR(N2/M2-1,"")</f>
        <v>0.10166666666666657</v>
      </c>
      <c r="O16" s="15">
        <f>IFERROR(O2/N2-1,"")</f>
        <v>0.0888888888888888</v>
      </c>
      <c r="P16" s="15">
        <f>IFERROR(P2/O2-1,"")</f>
        <v>0.07611111111111102</v>
      </c>
      <c r="Q16" s="15">
        <f>IFERROR(Q2/P2-1,"")</f>
        <v>0.06333333333333324</v>
      </c>
      <c r="R16" s="15">
        <f>IFERROR(R2/Q2-1,"")</f>
        <v>0.050555555555555465</v>
      </c>
      <c r="S16" s="15">
        <f>IFERROR(S2/R2-1,"")</f>
        <v>0.03777777777777769</v>
      </c>
      <c r="T16" s="15">
        <f>IFERROR(T2/S2-1,"")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>0.7705368647100931</v>
      </c>
      <c r="E17" s="15">
        <f>IFERROR(E4/E2,"")</f>
        <v>0.6763530244074991</v>
      </c>
      <c r="F17" s="15">
        <f>IFERROR(F4/F2,"")</f>
        <v>0.5632317678809708</v>
      </c>
      <c r="G17" s="15">
        <f>IFERROR(G4/G2,"")</f>
        <v>0.6040668568660171</v>
      </c>
      <c r="H17" s="15">
        <f>IFERROR(H4/H2,"")</f>
        <v>0.6807580968404385</v>
      </c>
      <c r="I17" s="15">
        <f>IFERROR(I4/I2,"")</f>
        <v>0.6846481443926181</v>
      </c>
      <c r="J17" s="15">
        <f>IFERROR(J4/J2,"")</f>
        <v>0.6632668856166042</v>
      </c>
      <c r="K17" s="15">
        <f>IFERROR(K4/K2,"")</f>
        <v>0.6633</v>
      </c>
      <c r="L17" s="15">
        <f>IFERROR(L4/L2,"")</f>
        <v>0.6633</v>
      </c>
      <c r="M17" s="15">
        <f>IFERROR(M4/M2,"")</f>
        <v>0.6633</v>
      </c>
      <c r="N17" s="15">
        <f>IFERROR(N4/N2,"")</f>
        <v>0.6633</v>
      </c>
      <c r="O17" s="15">
        <f>IFERROR(O4/O2,"")</f>
        <v>0.6633</v>
      </c>
      <c r="P17" s="15">
        <f>IFERROR(P4/P2,"")</f>
        <v>0.6633</v>
      </c>
      <c r="Q17" s="15">
        <f>IFERROR(Q4/Q2,"")</f>
        <v>0.6632999999999999</v>
      </c>
      <c r="R17" s="15">
        <f>IFERROR(R4/R2,"")</f>
        <v>0.6633</v>
      </c>
      <c r="S17" s="15">
        <f>IFERROR(S4/S2,"")</f>
        <v>0.6633</v>
      </c>
      <c r="T17" s="15">
        <f>IFERROR(T4/T2,"")</f>
        <v>0.6633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>-2.8331281317108092</v>
      </c>
      <c r="E18" s="15">
        <f>IFERROR(E8/E2,"")</f>
        <v>-2.7072515033604527</v>
      </c>
      <c r="F18" s="15">
        <f>IFERROR(F8/F2,"")</f>
        <v>-0.4455068072597394</v>
      </c>
      <c r="G18" s="15">
        <f>IFERROR(G8/G2,"")</f>
        <v>-0.4395892770630347</v>
      </c>
      <c r="H18" s="15">
        <f>IFERROR(H8/H2,"")</f>
        <v>-0.24362520721478573</v>
      </c>
      <c r="I18" s="15">
        <f>IFERROR(I8/I2,"")</f>
        <v>-0.12923154344772678</v>
      </c>
      <c r="J18" s="15">
        <f>IFERROR(J8/J2,"")</f>
        <v>-0.10990793334589616</v>
      </c>
      <c r="K18" s="15">
        <f>IFERROR(K8/K2,"")</f>
        <v>-0.03309999999999996</v>
      </c>
      <c r="L18" s="15">
        <f>IFERROR(L8/L2,"")</f>
        <v>-0.007200000000000042</v>
      </c>
      <c r="M18" s="15">
        <f>IFERROR(M8/M2,"")</f>
        <v>0.01870000000000007</v>
      </c>
      <c r="N18" s="15">
        <f>IFERROR(N8/N2,"")</f>
        <v>0.04459999999999995</v>
      </c>
      <c r="O18" s="15">
        <f>IFERROR(O8/O2,"")</f>
        <v>0.07050000000000005</v>
      </c>
      <c r="P18" s="15">
        <f>IFERROR(P8/P2,"")</f>
        <v>0.09639999999999996</v>
      </c>
      <c r="Q18" s="15">
        <f>IFERROR(Q8/Q2,"")</f>
        <v>0.12229999999999999</v>
      </c>
      <c r="R18" s="15">
        <f>IFERROR(R8/R2,"")</f>
        <v>0.14819999999999997</v>
      </c>
      <c r="S18" s="15">
        <f>IFERROR(S8/S2,"")</f>
        <v>0.17410000000000003</v>
      </c>
      <c r="T18" s="15">
        <f>IFERROR(T8/T2,"")</f>
        <v>0.2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E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Evolus Inc: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0.09</v>
      </c>
      <c r="C12" s="53" t="n">
        <v>0.14</v>
      </c>
      <c r="D12" s="53" t="n">
        <v>0.19</v>
      </c>
      <c r="E12" s="54">
        <f>CHOOSE($B$4,B12,C12,D12)</f>
        <v>0.14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-0.059</v>
      </c>
    </row>
    <row r="19">
      <c r="A19" s="14" t="inlineStr">
        <is>
          <t>Gross margin (forecast)</t>
        </is>
      </c>
      <c r="B19" s="53" t="n">
        <v>0.6633</v>
      </c>
    </row>
    <row r="20">
      <c r="A20" s="14" t="inlineStr">
        <is>
          <t>R&amp;D share of operating expense (forecast)</t>
        </is>
      </c>
      <c r="B20" s="53" t="n">
        <v>0.0417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Model'!J2</f>
        <v>297.176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483.56730305494597</v>
      </c>
      <c r="C29" s="56">
        <f>NPV!B26</f>
        <v>371.99330305494595</v>
      </c>
      <c r="D29" s="35">
        <f>NPV!B28</f>
        <v>5.63195798627452</v>
      </c>
      <c r="E29" s="57">
        <f>NPV!B30</f>
        <v>-0.23582659616356583</v>
      </c>
    </row>
    <row r="30">
      <c r="A30" s="58" t="n">
        <v>1</v>
      </c>
      <c r="B30" s="59">
        <f t="dataTable" ref="B30:E32" r1="B4"/>
        <v>221.41072128480533</v>
      </c>
      <c r="C30" s="59">
        <v>109.83672128480535</v>
      </c>
      <c r="D30" s="39">
        <v>1.6629218712972291</v>
      </c>
      <c r="E30" s="60">
        <v>-0.7743660961604846</v>
      </c>
    </row>
    <row r="31">
      <c r="A31" s="58" t="n">
        <v>2</v>
      </c>
      <c r="B31" s="59">
        <v>483.56730305494597</v>
      </c>
      <c r="C31" s="59">
        <v>371.99330305494595</v>
      </c>
      <c r="D31" s="39">
        <v>5.63195798627452</v>
      </c>
      <c r="E31" s="60">
        <v>-0.23582659616356583</v>
      </c>
    </row>
    <row r="32">
      <c r="A32" s="58" t="n">
        <v>3</v>
      </c>
      <c r="B32" s="59">
        <v>968.4412927066498</v>
      </c>
      <c r="C32" s="59">
        <v>856.8672927066498</v>
      </c>
      <c r="D32" s="39">
        <v>12.972923309922686</v>
      </c>
      <c r="E32" s="60">
        <v>0.7602338276692926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5.63195798627452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7.308689017749278</v>
      </c>
      <c r="C37" s="39">
        <v>7.8685732940346185</v>
      </c>
      <c r="D37" s="39">
        <v>8.499393416306056</v>
      </c>
      <c r="E37" s="39">
        <v>9.215349540969902</v>
      </c>
      <c r="F37" s="39">
        <v>10.034699190911049</v>
      </c>
    </row>
    <row r="38">
      <c r="A38" s="62" t="n">
        <v>0.115</v>
      </c>
      <c r="B38" s="39">
        <v>5.985811630393221</v>
      </c>
      <c r="C38" s="39">
        <v>6.4147924281411735</v>
      </c>
      <c r="D38" s="39">
        <v>6.892234022690913</v>
      </c>
      <c r="E38" s="39">
        <v>7.426699007312425</v>
      </c>
      <c r="F38" s="39">
        <v>8.028890769567521</v>
      </c>
    </row>
    <row r="39">
      <c r="A39" s="62" t="n">
        <v>0.125</v>
      </c>
      <c r="B39" s="39">
        <v>4.926210975196617</v>
      </c>
      <c r="C39" s="39">
        <v>5.2619587573780064</v>
      </c>
      <c r="D39" s="39">
        <v>5.63195798627452</v>
      </c>
      <c r="E39" s="39">
        <v>6.041625715686865</v>
      </c>
      <c r="F39" s="39">
        <v>6.497582910237369</v>
      </c>
    </row>
    <row r="40">
      <c r="A40" s="62" t="n">
        <v>0.135</v>
      </c>
      <c r="B40" s="39">
        <v>4.062435100941179</v>
      </c>
      <c r="C40" s="39">
        <v>4.329841808764642</v>
      </c>
      <c r="D40" s="39">
        <v>4.6221400179650605</v>
      </c>
      <c r="E40" s="39">
        <v>4.942893212656918</v>
      </c>
      <c r="F40" s="39">
        <v>5.296377675569906</v>
      </c>
    </row>
    <row r="41">
      <c r="A41" s="62" t="n">
        <v>0.145</v>
      </c>
      <c r="B41" s="39">
        <v>3.3479266129546597</v>
      </c>
      <c r="C41" s="39">
        <v>3.5640324944584494</v>
      </c>
      <c r="D41" s="39">
        <v>3.7986524095116327</v>
      </c>
      <c r="E41" s="39">
        <v>4.054207690348006</v>
      </c>
      <c r="F41" s="39">
        <v>4.333559997938058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Evolus Inc: free-cash-flow DCF ($mm)</t>
        </is>
      </c>
    </row>
    <row r="3">
      <c r="A3" s="20" t="inlineStr">
        <is>
          <t>Fiscal year</t>
        </is>
      </c>
      <c r="B3" s="43">
        <f>'Yearly Model'!J1</f>
        <v>2025</v>
      </c>
      <c r="C3" s="43">
        <f>'Yearly Model'!K1</f>
        <v>2026</v>
      </c>
      <c r="D3" s="43">
        <f>'Yearly Model'!L1</f>
        <v>2027</v>
      </c>
      <c r="E3" s="43">
        <f>'Yearly Model'!M1</f>
        <v>2028</v>
      </c>
      <c r="F3" s="43">
        <f>'Yearly Model'!N1</f>
        <v>2029</v>
      </c>
      <c r="G3" s="43">
        <f>'Yearly Model'!O1</f>
        <v>2030</v>
      </c>
      <c r="H3" s="43">
        <f>'Yearly Model'!P1</f>
        <v>2031</v>
      </c>
      <c r="I3" s="43">
        <f>'Yearly Model'!Q1</f>
        <v>2032</v>
      </c>
      <c r="J3" s="43">
        <f>'Yearly Model'!R1</f>
        <v>2033</v>
      </c>
      <c r="K3" s="43">
        <f>'Yearly Model'!S1</f>
        <v>2034</v>
      </c>
      <c r="L3" s="43">
        <f>'Yearly Model'!T1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0.14</v>
      </c>
      <c r="D5" s="63">
        <f>Assumptions!$E$12+(Assumptions!$E$11-Assumptions!$E$12)*(D4-1)/(Assumptions!$B$21-1)</f>
        <v>0.12722222222222224</v>
      </c>
      <c r="E5" s="63">
        <f>Assumptions!$E$12+(Assumptions!$E$11-Assumptions!$E$12)*(E4-1)/(Assumptions!$B$21-1)</f>
        <v>0.11444444444444446</v>
      </c>
      <c r="F5" s="63">
        <f>Assumptions!$E$12+(Assumptions!$E$11-Assumptions!$E$12)*(F4-1)/(Assumptions!$B$21-1)</f>
        <v>0.10166666666666667</v>
      </c>
      <c r="G5" s="63">
        <f>Assumptions!$E$12+(Assumptions!$E$11-Assumptions!$E$12)*(G4-1)/(Assumptions!$B$21-1)</f>
        <v>0.08888888888888889</v>
      </c>
      <c r="H5" s="63">
        <f>Assumptions!$E$12+(Assumptions!$E$11-Assumptions!$E$12)*(H4-1)/(Assumptions!$B$21-1)</f>
        <v>0.07611111111111112</v>
      </c>
      <c r="I5" s="63">
        <f>Assumptions!$E$12+(Assumptions!$E$11-Assumptions!$E$12)*(I4-1)/(Assumptions!$B$21-1)</f>
        <v>0.06333333333333332</v>
      </c>
      <c r="J5" s="63">
        <f>Assumptions!$E$12+(Assumptions!$E$11-Assumptions!$E$12)*(J4-1)/(Assumptions!$B$21-1)</f>
        <v>0.05055555555555555</v>
      </c>
      <c r="K5" s="63">
        <f>Assumptions!$E$12+(Assumptions!$E$11-Assumptions!$E$12)*(K4-1)/(Assumptions!$B$21-1)</f>
        <v>0.03777777777777777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-0.10990793334589616</v>
      </c>
      <c r="C6" s="63">
        <f>Assumptions!$B$18+(Assumptions!$E$13-Assumptions!$B$18)*C4/Assumptions!$B$21</f>
        <v>-0.0331</v>
      </c>
      <c r="D6" s="63">
        <f>Assumptions!$B$18+(Assumptions!$E$13-Assumptions!$B$18)*D4/Assumptions!$B$21</f>
        <v>-0.007199999999999998</v>
      </c>
      <c r="E6" s="63">
        <f>Assumptions!$B$18+(Assumptions!$E$13-Assumptions!$B$18)*E4/Assumptions!$B$21</f>
        <v>0.01870000000000001</v>
      </c>
      <c r="F6" s="63">
        <f>Assumptions!$B$18+(Assumptions!$E$13-Assumptions!$B$18)*F4/Assumptions!$B$21</f>
        <v>0.0446</v>
      </c>
      <c r="G6" s="63">
        <f>Assumptions!$B$18+(Assumptions!$E$13-Assumptions!$B$18)*G4/Assumptions!$B$21</f>
        <v>0.07050000000000001</v>
      </c>
      <c r="H6" s="63">
        <f>Assumptions!$B$18+(Assumptions!$E$13-Assumptions!$B$18)*H4/Assumptions!$B$21</f>
        <v>0.09640000000000001</v>
      </c>
      <c r="I6" s="63">
        <f>Assumptions!$B$18+(Assumptions!$E$13-Assumptions!$B$18)*I4/Assumptions!$B$21</f>
        <v>0.12230000000000002</v>
      </c>
      <c r="J6" s="63">
        <f>Assumptions!$B$18+(Assumptions!$E$13-Assumptions!$B$18)*J4/Assumptions!$B$21</f>
        <v>0.1482</v>
      </c>
      <c r="K6" s="63">
        <f>Assumptions!$B$18+(Assumptions!$E$13-Assumptions!$B$18)*K4/Assumptions!$B$21</f>
        <v>0.1741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Model'!J2</f>
        <v>297.176</v>
      </c>
      <c r="C7" s="55">
        <f>'Yearly Model'!K2</f>
        <v>338.78064</v>
      </c>
      <c r="D7" s="55">
        <f>'Yearly Model'!L2</f>
        <v>381.88106586666663</v>
      </c>
      <c r="E7" s="55">
        <f>'Yearly Model'!M2</f>
        <v>425.58523229362964</v>
      </c>
      <c r="F7" s="55">
        <f>'Yearly Model'!N2</f>
        <v>468.8530642434819</v>
      </c>
      <c r="G7" s="55">
        <f>'Yearly Model'!O2</f>
        <v>510.52889217623584</v>
      </c>
      <c r="H7" s="55">
        <f>'Yearly Model'!P2</f>
        <v>549.3858134140937</v>
      </c>
      <c r="I7" s="55">
        <f>'Yearly Model'!Q2</f>
        <v>584.180248263653</v>
      </c>
      <c r="J7" s="55">
        <f>'Yearly Model'!R2</f>
        <v>613.7138052592043</v>
      </c>
      <c r="K7" s="55">
        <f>'Yearly Model'!S2</f>
        <v>636.8985490134409</v>
      </c>
      <c r="L7" s="55">
        <f>'Yearly Model'!T2</f>
        <v>652.8210127387769</v>
      </c>
    </row>
    <row r="8">
      <c r="A8" s="14" t="inlineStr">
        <is>
          <t>Operating income</t>
        </is>
      </c>
      <c r="B8" s="55">
        <f>'Yearly Model'!J8</f>
        <v>-32.662000000000035</v>
      </c>
      <c r="C8" s="55">
        <f>'Yearly Model'!K8</f>
        <v>-11.213639183999987</v>
      </c>
      <c r="D8" s="55">
        <f>'Yearly Model'!L8</f>
        <v>-2.749543674240016</v>
      </c>
      <c r="E8" s="55">
        <f>'Yearly Model'!M8</f>
        <v>7.958443843890905</v>
      </c>
      <c r="F8" s="55">
        <f>'Yearly Model'!N8</f>
        <v>20.91084666525927</v>
      </c>
      <c r="G8" s="55">
        <f>'Yearly Model'!O8</f>
        <v>35.99228689842465</v>
      </c>
      <c r="H8" s="55">
        <f>'Yearly Model'!P8</f>
        <v>52.96079241311861</v>
      </c>
      <c r="I8" s="55">
        <f>'Yearly Model'!Q8</f>
        <v>71.44524436264476</v>
      </c>
      <c r="J8" s="55">
        <f>'Yearly Model'!R8</f>
        <v>90.95238593941406</v>
      </c>
      <c r="K8" s="55">
        <f>'Yearly Model'!S8</f>
        <v>110.88403738324007</v>
      </c>
      <c r="L8" s="55">
        <f>'Yearly Model'!T8</f>
        <v>130.56420254775537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1.352935453461454</v>
      </c>
      <c r="F9" s="52">
        <f>MAX(0,F8)*Assumptions!$E$14</f>
        <v>3.554843933094076</v>
      </c>
      <c r="G9" s="52">
        <f>MAX(0,G8)*Assumptions!$E$14</f>
        <v>6.118688772732192</v>
      </c>
      <c r="H9" s="52">
        <f>MAX(0,H8)*Assumptions!$E$14</f>
        <v>9.003334710230165</v>
      </c>
      <c r="I9" s="52">
        <f>MAX(0,I8)*Assumptions!$E$14</f>
        <v>12.14569154164961</v>
      </c>
      <c r="J9" s="52">
        <f>MAX(0,J8)*Assumptions!$E$14</f>
        <v>15.461905609700391</v>
      </c>
      <c r="K9" s="52">
        <f>MAX(0,K8)*Assumptions!$E$14</f>
        <v>18.850286355150814</v>
      </c>
      <c r="L9" s="52">
        <f>MAX(0,L8)*Assumptions!$E$14</f>
        <v>22.195914433118414</v>
      </c>
    </row>
    <row r="10">
      <c r="A10" s="14" t="inlineStr">
        <is>
          <t>NOPAT</t>
        </is>
      </c>
      <c r="C10" s="52">
        <f>C8-C9</f>
        <v>-11.213639183999987</v>
      </c>
      <c r="D10" s="52">
        <f>D8-D9</f>
        <v>-2.749543674240016</v>
      </c>
      <c r="E10" s="52">
        <f>E8-E9</f>
        <v>6.605508390429451</v>
      </c>
      <c r="F10" s="52">
        <f>F8-F9</f>
        <v>17.356002732165194</v>
      </c>
      <c r="G10" s="52">
        <f>G8-G9</f>
        <v>29.87359812569246</v>
      </c>
      <c r="H10" s="52">
        <f>H8-H9</f>
        <v>43.95745770288845</v>
      </c>
      <c r="I10" s="52">
        <f>I8-I9</f>
        <v>59.299552820995146</v>
      </c>
      <c r="J10" s="52">
        <f>J8-J9</f>
        <v>75.49048032971366</v>
      </c>
      <c r="K10" s="52">
        <f>K8-K9</f>
        <v>92.03375102808926</v>
      </c>
      <c r="L10" s="52">
        <f>L8-L9</f>
        <v>108.36828811463695</v>
      </c>
    </row>
    <row r="11">
      <c r="A11" s="14" t="inlineStr">
        <is>
          <t>Reinvestment</t>
        </is>
      </c>
      <c r="C11" s="52">
        <f>(C7-B7)*Assumptions!$E$15</f>
        <v>10.401160000000004</v>
      </c>
      <c r="D11" s="52">
        <f>(D7-C7)*Assumptions!$E$15</f>
        <v>10.775106466666657</v>
      </c>
      <c r="E11" s="52">
        <f>(E7-D7)*Assumptions!$E$15</f>
        <v>10.926041606740753</v>
      </c>
      <c r="F11" s="52">
        <f>(F7-E7)*Assumptions!$E$15</f>
        <v>10.81695798746307</v>
      </c>
      <c r="G11" s="52">
        <f>(G7-F7)*Assumptions!$E$15</f>
        <v>10.41895698318848</v>
      </c>
      <c r="H11" s="52">
        <f>(H7-G7)*Assumptions!$E$15</f>
        <v>9.714230309464469</v>
      </c>
      <c r="I11" s="52">
        <f>(I7-H7)*Assumptions!$E$15</f>
        <v>8.698608712389813</v>
      </c>
      <c r="J11" s="52">
        <f>(J7-I7)*Assumptions!$E$15</f>
        <v>7.383389248887823</v>
      </c>
      <c r="K11" s="52">
        <f>(K7-J7)*Assumptions!$E$15</f>
        <v>5.796185938559148</v>
      </c>
      <c r="L11" s="52">
        <f>(L7-K7)*Assumptions!$E$15</f>
        <v>3.9806159313340004</v>
      </c>
    </row>
    <row r="12">
      <c r="A12" s="20" t="inlineStr">
        <is>
          <t>Free cash flow</t>
        </is>
      </c>
      <c r="C12" s="64">
        <f>C10-C11</f>
        <v>-21.614799183999992</v>
      </c>
      <c r="D12" s="64">
        <f>D10-D11</f>
        <v>-13.524650140906672</v>
      </c>
      <c r="E12" s="64">
        <f>E10-E11</f>
        <v>-4.320533216311302</v>
      </c>
      <c r="F12" s="64">
        <f>F10-F11</f>
        <v>6.5390447447021245</v>
      </c>
      <c r="G12" s="64">
        <f>G10-G11</f>
        <v>19.45464114250398</v>
      </c>
      <c r="H12" s="64">
        <f>H10-H11</f>
        <v>34.24322739342398</v>
      </c>
      <c r="I12" s="64">
        <f>I10-I11</f>
        <v>50.60094410860533</v>
      </c>
      <c r="J12" s="64">
        <f>J10-J11</f>
        <v>68.10709108082584</v>
      </c>
      <c r="K12" s="64">
        <f>K10-K11</f>
        <v>86.23756508953011</v>
      </c>
      <c r="L12" s="64">
        <f>L10-L11</f>
        <v>104.38767218330295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0.9707491226687451</v>
      </c>
      <c r="D15" s="65">
        <f>1/(1+Assumptions!$E$10)^D14</f>
        <v>0.8884597387878145</v>
      </c>
      <c r="E15" s="65">
        <f>1/(1+Assumptions!$E$10)^E14</f>
        <v>0.7897419900336128</v>
      </c>
      <c r="F15" s="65">
        <f>1/(1+Assumptions!$E$10)^F14</f>
        <v>0.7019928800298781</v>
      </c>
      <c r="G15" s="65">
        <f>1/(1+Assumptions!$E$10)^G14</f>
        <v>0.6239936711376695</v>
      </c>
      <c r="H15" s="65">
        <f>1/(1+Assumptions!$E$10)^H14</f>
        <v>0.5546610410112617</v>
      </c>
      <c r="I15" s="65">
        <f>1/(1+Assumptions!$E$10)^I14</f>
        <v>0.4930320364544548</v>
      </c>
      <c r="J15" s="65">
        <f>1/(1+Assumptions!$E$10)^J14</f>
        <v>0.4382506990706266</v>
      </c>
      <c r="K15" s="65">
        <f>1/(1+Assumptions!$E$10)^K14</f>
        <v>0.389556176951668</v>
      </c>
      <c r="L15" s="65">
        <f>1/(1+Assumptions!$E$10)^L14</f>
        <v>0.34627215729037153</v>
      </c>
    </row>
    <row r="16">
      <c r="A16" s="20" t="inlineStr">
        <is>
          <t>PV of free cash flow</t>
        </is>
      </c>
      <c r="C16" s="64">
        <f>C12*C13*C15</f>
        <v>-10.57730211637712</v>
      </c>
      <c r="D16" s="64">
        <f>D12*D13*D15</f>
        <v>-12.016107131386521</v>
      </c>
      <c r="E16" s="64">
        <f>E12*E13*E15</f>
        <v>-3.4121065002560136</v>
      </c>
      <c r="F16" s="64">
        <f>F12*F13*F15</f>
        <v>4.590362852977684</v>
      </c>
      <c r="G16" s="64">
        <f>G12*G13*G15</f>
        <v>12.139572947177003</v>
      </c>
      <c r="H16" s="64">
        <f>H12*H13*H15</f>
        <v>18.993384153621896</v>
      </c>
      <c r="I16" s="64">
        <f>I12*I13*I15</f>
        <v>24.947886520383737</v>
      </c>
      <c r="J16" s="64">
        <f>J12*J13*J15</f>
        <v>29.84798027783876</v>
      </c>
      <c r="K16" s="64">
        <f>K12*K13*K15</f>
        <v>33.59437616589798</v>
      </c>
      <c r="L16" s="64">
        <f>L12*L13*L15</f>
        <v>36.14654444143242</v>
      </c>
    </row>
    <row r="19">
      <c r="A19" s="14" t="inlineStr">
        <is>
          <t>PV of forecast free cash flow</t>
        </is>
      </c>
      <c r="B19" s="52">
        <f>SUM(C16:L16)</f>
        <v>134.25459161130982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106.9973639878855</v>
      </c>
    </row>
    <row r="21">
      <c r="A21" s="14" t="inlineStr">
        <is>
          <t>Terminal value</t>
        </is>
      </c>
      <c r="B21" s="52">
        <f>B20/(Assumptions!$E$10-Assumptions!$E$11)</f>
        <v>1069.973639878855</v>
      </c>
    </row>
    <row r="22">
      <c r="A22" s="14" t="inlineStr">
        <is>
          <t>PV of terminal value</t>
        </is>
      </c>
      <c r="B22" s="52">
        <f>B21/(1+Assumptions!$E$10)^(L14+0.5)</f>
        <v>349.31271144363615</v>
      </c>
    </row>
    <row r="23">
      <c r="A23" s="20" t="inlineStr">
        <is>
          <t>Enterprise value</t>
        </is>
      </c>
      <c r="B23" s="66">
        <f>B19+B22</f>
        <v>483.56730305494597</v>
      </c>
    </row>
    <row r="24">
      <c r="A24" s="14" t="inlineStr">
        <is>
          <t>Cash &amp; investments</t>
        </is>
      </c>
      <c r="B24" s="55">
        <f>Main!C7</f>
        <v>45.17</v>
      </c>
    </row>
    <row r="25">
      <c r="A25" s="14" t="inlineStr">
        <is>
          <t>Debt</t>
        </is>
      </c>
      <c r="B25" s="55">
        <f>Main!C8</f>
        <v>156.744</v>
      </c>
    </row>
    <row r="26">
      <c r="A26" s="20" t="inlineStr">
        <is>
          <t>Equity value</t>
        </is>
      </c>
      <c r="B26" s="66">
        <f>B23+B24-B25</f>
        <v>371.99330305494595</v>
      </c>
    </row>
    <row r="27">
      <c r="A27" s="14" t="inlineStr">
        <is>
          <t>Shares (mm)</t>
        </is>
      </c>
      <c r="B27" s="55">
        <f>Main!C4</f>
        <v>66.05044</v>
      </c>
    </row>
    <row r="28">
      <c r="A28" s="20" t="inlineStr">
        <is>
          <t>NPV / share</t>
        </is>
      </c>
      <c r="B28" s="49">
        <f>B26/B27</f>
        <v>5.63195798627452</v>
      </c>
    </row>
    <row r="29">
      <c r="A29" s="14" t="inlineStr">
        <is>
          <t>Price</t>
        </is>
      </c>
      <c r="B29" s="50">
        <f>Main!C3</f>
        <v>7.37</v>
      </c>
    </row>
    <row r="30">
      <c r="A30" s="14" t="inlineStr">
        <is>
          <t>Upside</t>
        </is>
      </c>
      <c r="B30" s="63">
        <f>B28/B29-1</f>
        <v>-0.23582659616356583</v>
      </c>
    </row>
    <row r="31">
      <c r="A31" s="14" t="inlineStr">
        <is>
          <t>Terminal value, % of EV</t>
        </is>
      </c>
      <c r="B31" s="63">
        <f>IFERROR(B22/B23,0)</f>
        <v>0.7223662750497112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2026-10-21T06:25:09Z</dcterms:modified>
  <cp:lastModifiedBy>Wang, Eric</cp:lastModifiedBy>
</cp:coreProperties>
</file>