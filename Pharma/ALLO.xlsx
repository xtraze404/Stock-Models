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Allogene Therapeutics, Inc.</t>
        </is>
      </c>
      <c r="C2" s="10" t="n"/>
    </row>
    <row r="3">
      <c r="B3" t="inlineStr">
        <is>
          <t>Price</t>
        </is>
      </c>
      <c r="C3" s="11">
        <f>INDEX([1]Pharma!$F$1:$F$1000,MATCH("ALLO",[1]Pharma!$B$1:$B$1000,0))</f>
        <v>1.33</v>
      </c>
      <c r="F3" s="1" t="n"/>
    </row>
    <row r="4">
      <c r="B4" t="inlineStr">
        <is>
          <t>Shares</t>
        </is>
      </c>
      <c r="C4" s="21" t="n">
        <v>345.490881</v>
      </c>
      <c r="F4" s="1" t="n"/>
    </row>
    <row r="5">
      <c r="B5" t="inlineStr">
        <is>
          <t>Market Cap.</t>
        </is>
      </c>
      <c r="C5" s="13">
        <f>C3*C4</f>
        <v>459.50287173000004</v>
      </c>
      <c r="F5" s="1" t="n"/>
    </row>
    <row r="6"/>
    <row r="7">
      <c r="B7" t="inlineStr">
        <is>
          <t>Cash</t>
        </is>
      </c>
      <c r="C7" s="21" t="n">
        <v>423.6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35.902871730000015</v>
      </c>
    </row>
    <row r="10"/>
    <row r="11">
      <c r="B11" s="14" t="inlineStr">
        <is>
          <t>Net Cash / Share</t>
        </is>
      </c>
      <c r="C11" s="11">
        <f>(C7-C8)/C4</f>
        <v>1.2260815647982328</v>
      </c>
    </row>
    <row r="12">
      <c r="B12" s="14" t="inlineStr">
        <is>
          <t>Upside</t>
        </is>
      </c>
      <c r="C12" s="15">
        <f>IFERROR(C11/C3-1,"")</f>
        <v>-0.07813416180583999</v>
      </c>
    </row>
    <row r="13">
      <c r="B13" s="14" t="inlineStr">
        <is>
          <t>Cash / Share</t>
        </is>
      </c>
      <c r="C13" s="11">
        <f>IFERROR((C7-C8)/C4,"")</f>
        <v>1.2260815647982328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-102.196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4.144976320012526</v>
      </c>
    </row>
    <row r="19">
      <c r="B19" s="14" t="inlineStr">
        <is>
          <t>Implied Pipeline Value</t>
        </is>
      </c>
      <c r="C19" s="13">
        <f>C9</f>
        <v>35.902871730000015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114.089</v>
      </c>
      <c r="F2" s="23" t="n">
        <v>0.156</v>
      </c>
      <c r="G2" s="23" t="n">
        <v>0.095</v>
      </c>
      <c r="H2" s="23" t="n">
        <v>0.022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114.089</v>
      </c>
      <c r="F4" s="23">
        <f>F2-F3</f>
        <v>0.156</v>
      </c>
      <c r="G4" s="23">
        <f>G2-G3</f>
        <v>0.095</v>
      </c>
      <c r="H4" s="23">
        <f>H2-H3</f>
        <v>0.022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151.86</v>
      </c>
      <c r="C5" s="23" t="n">
        <v>144.535</v>
      </c>
      <c r="D5" s="23" t="n">
        <v>192.987</v>
      </c>
      <c r="E5" s="23" t="n">
        <v>220.176</v>
      </c>
      <c r="F5" s="23" t="n">
        <v>256.387</v>
      </c>
      <c r="G5" s="23" t="n">
        <v>242.914</v>
      </c>
      <c r="H5" s="23" t="n">
        <v>192.299</v>
      </c>
      <c r="I5" s="23" t="n">
        <v>150.152</v>
      </c>
      <c r="J5" s="1" t="n"/>
      <c r="K5" s="1" t="n"/>
    </row>
    <row r="6">
      <c r="A6" s="19" t="inlineStr">
        <is>
          <t>SG&amp;A &amp; Other</t>
        </is>
      </c>
      <c r="B6" s="23" t="n">
        <v>40.982</v>
      </c>
      <c r="C6" s="23" t="n">
        <v>57.473</v>
      </c>
      <c r="D6" s="23" t="n">
        <v>65.256</v>
      </c>
      <c r="E6" s="23" t="n">
        <v>74.105</v>
      </c>
      <c r="F6" s="23" t="n">
        <v>79.30500000000001</v>
      </c>
      <c r="G6" s="23" t="n">
        <v>84.91800000000001</v>
      </c>
      <c r="H6" s="23" t="n">
        <v>80.922</v>
      </c>
      <c r="I6" s="23" t="n">
        <v>59.163</v>
      </c>
      <c r="J6" s="1" t="n"/>
      <c r="K6" s="1" t="n"/>
    </row>
    <row r="7">
      <c r="A7" s="2" t="inlineStr">
        <is>
          <t>Operating Expense</t>
        </is>
      </c>
      <c r="B7" s="23">
        <f>SUM(B5:B6)</f>
        <v>192.842</v>
      </c>
      <c r="C7" s="23">
        <f>SUM(C5:C6)</f>
        <v>202.00799999999998</v>
      </c>
      <c r="D7" s="23">
        <f>SUM(D5:D6)</f>
        <v>258.243</v>
      </c>
      <c r="E7" s="23">
        <f>SUM(E5:E6)</f>
        <v>294.281</v>
      </c>
      <c r="F7" s="23">
        <f>SUM(F5:F6)</f>
        <v>335.692</v>
      </c>
      <c r="G7" s="23">
        <f>SUM(G5:G6)</f>
        <v>327.832</v>
      </c>
      <c r="H7" s="23">
        <f>SUM(H5:H6)</f>
        <v>273.221</v>
      </c>
      <c r="I7" s="23">
        <f>SUM(I5:I6)</f>
        <v>209.315</v>
      </c>
      <c r="J7" s="1" t="n"/>
      <c r="K7" s="1" t="n"/>
    </row>
    <row r="8">
      <c r="A8" s="2" t="inlineStr">
        <is>
          <t>Operating Income</t>
        </is>
      </c>
      <c r="B8" s="23">
        <f>B4-B7</f>
        <v>-192.842</v>
      </c>
      <c r="C8" s="23">
        <f>C4-C7</f>
        <v>-202.00799999999998</v>
      </c>
      <c r="D8" s="23">
        <f>D4-D7</f>
        <v>-258.243</v>
      </c>
      <c r="E8" s="23">
        <f>E4-E7</f>
        <v>-180.192</v>
      </c>
      <c r="F8" s="23">
        <f>F4-F7</f>
        <v>-335.536</v>
      </c>
      <c r="G8" s="23">
        <f>G4-G7</f>
        <v>-327.73699999999997</v>
      </c>
      <c r="H8" s="23">
        <f>H4-H7</f>
        <v>-273.199</v>
      </c>
      <c r="I8" s="23">
        <f>I4-I7</f>
        <v>-209.315</v>
      </c>
      <c r="J8" s="1" t="n"/>
      <c r="K8" s="1" t="n"/>
    </row>
    <row r="9">
      <c r="A9" s="19" t="inlineStr">
        <is>
          <t>Interest &amp; Other</t>
        </is>
      </c>
      <c r="B9" s="23" t="n">
        <v>-18.78</v>
      </c>
      <c r="C9" s="23" t="n">
        <v>17.083</v>
      </c>
      <c r="D9" s="23" t="n">
        <v>-58.138</v>
      </c>
      <c r="E9" s="23" t="n">
        <v>-1.859</v>
      </c>
      <c r="F9" s="23" t="n">
        <v>-4.878</v>
      </c>
      <c r="G9" s="23" t="n">
        <v>0.472</v>
      </c>
      <c r="H9" s="23" t="n">
        <v>16.052</v>
      </c>
      <c r="I9" s="23" t="n">
        <v>18.429</v>
      </c>
    </row>
    <row r="10">
      <c r="A10" s="2" t="inlineStr">
        <is>
          <t>Pretax</t>
        </is>
      </c>
      <c r="B10" s="23">
        <f>B8+B9</f>
        <v>-211.622</v>
      </c>
      <c r="C10" s="23">
        <f>C8+C9</f>
        <v>-184.92499999999998</v>
      </c>
      <c r="D10" s="23">
        <f>D8+D9</f>
        <v>-316.381</v>
      </c>
      <c r="E10" s="23">
        <f>E8+E9</f>
        <v>-182.05100000000002</v>
      </c>
      <c r="F10" s="23">
        <f>F8+F9</f>
        <v>-340.414</v>
      </c>
      <c r="G10" s="23">
        <f>G8+G9</f>
        <v>-327.265</v>
      </c>
      <c r="H10" s="23">
        <f>H8+H9</f>
        <v>-257.147</v>
      </c>
      <c r="I10" s="23">
        <f>I8+I9</f>
        <v>-190.886</v>
      </c>
      <c r="J10" s="1" t="n"/>
      <c r="K10" s="1" t="n"/>
    </row>
    <row r="11">
      <c r="A11" s="2" t="inlineStr">
        <is>
          <t>Taxes</t>
        </is>
      </c>
      <c r="B11" s="23" t="n">
        <v>-0.117</v>
      </c>
      <c r="C11" s="23" t="n">
        <v>-0.331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0.443</v>
      </c>
      <c r="I11" s="23" t="n">
        <v>0</v>
      </c>
    </row>
    <row r="12">
      <c r="A12" s="2" t="inlineStr">
        <is>
          <t>Net Income</t>
        </is>
      </c>
      <c r="B12" s="23" t="n">
        <v>-211.505</v>
      </c>
      <c r="C12" s="23" t="n">
        <v>-184.594</v>
      </c>
      <c r="D12" s="23" t="n">
        <v>-316.381</v>
      </c>
      <c r="E12" s="23" t="n">
        <v>-182.051</v>
      </c>
      <c r="F12" s="23" t="n">
        <v>-340.414</v>
      </c>
      <c r="G12" s="23" t="n">
        <v>-327.265</v>
      </c>
      <c r="H12" s="23" t="n">
        <v>-257.59</v>
      </c>
      <c r="I12" s="23" t="n">
        <v>-190.886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-7.306376951775597</v>
      </c>
      <c r="C13" s="11">
        <f>IFERROR(C12/C14,0)</f>
        <v>-1.8265601963170757</v>
      </c>
      <c r="D13" s="11">
        <f>IFERROR(D12/D14,0)</f>
        <v>-2.6284040873971914</v>
      </c>
      <c r="E13" s="11">
        <f>IFERROR(E12/E14,0)</f>
        <v>-1.3403843322043882</v>
      </c>
      <c r="F13" s="11">
        <f>IFERROR(F12/F14,0)</f>
        <v>-2.378072890105975</v>
      </c>
      <c r="G13" s="11">
        <f>IFERROR(G12/G14,0)</f>
        <v>-2.0853936736930647</v>
      </c>
      <c r="H13" s="11">
        <f>IFERROR(H12/H14,0)</f>
        <v>-1.3222491427632792</v>
      </c>
      <c r="I13" s="11">
        <f>IFERROR(I12/I14,0)</f>
        <v>-0.8652135090176455</v>
      </c>
    </row>
    <row r="14">
      <c r="A14" s="2" t="inlineStr">
        <is>
          <t>Shares</t>
        </is>
      </c>
      <c r="B14" s="23" t="n">
        <v>28.948</v>
      </c>
      <c r="C14" s="23" t="n">
        <v>101.061</v>
      </c>
      <c r="D14" s="23" t="n">
        <v>120.37</v>
      </c>
      <c r="E14" s="23" t="n">
        <v>135.82</v>
      </c>
      <c r="F14" s="23" t="n">
        <v>143.147</v>
      </c>
      <c r="G14" s="23" t="n">
        <v>156.932</v>
      </c>
      <c r="H14" s="23" t="n">
        <v>194.812</v>
      </c>
      <c r="I14" s="23" t="n">
        <v>220.623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-0.9986326464426895</v>
      </c>
      <c r="G16" s="15">
        <f>IFERROR(G2/F2-1,"")</f>
        <v>-0.39102564102564097</v>
      </c>
      <c r="H16" s="15">
        <f>IFERROR(H2/G2-1,"")</f>
        <v>-0.768421052631579</v>
      </c>
      <c r="I16" s="15">
        <f>IFERROR(I2/H2-1,"")</f>
        <v>-1.0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-1.5793985397365216</v>
      </c>
      <c r="F18" s="15">
        <f>IFERROR(F8/F2,"")</f>
        <v>-2150.871794871795</v>
      </c>
      <c r="G18" s="15">
        <f>IFERROR(G8/G2,"")</f>
        <v>-3449.8631578947366</v>
      </c>
      <c r="H18" s="15">
        <f>IFERROR(H8/H2,"")</f>
        <v>-12418.136363636366</v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2026-10-21T01:05:10Z</dcterms:modified>
  <cp:lastModifiedBy>Wang, Eric</cp:lastModifiedBy>
</cp:coreProperties>
</file>