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Bausch Health Companies Inc.</t>
        </is>
      </c>
      <c r="C2" s="10" t="n"/>
    </row>
    <row r="3">
      <c r="B3" t="inlineStr">
        <is>
          <t>Price</t>
        </is>
      </c>
      <c r="C3" s="11">
        <f>INDEX([1]Pharma!$F$1:$F$1000,MATCH("BHC",[1]Pharma!$B$1:$B$1000,0))</f>
        <v>6.415</v>
      </c>
      <c r="F3" s="1" t="n"/>
    </row>
    <row r="4">
      <c r="B4" t="inlineStr">
        <is>
          <t>Shares</t>
        </is>
      </c>
      <c r="C4" s="51" t="n">
        <v>373.990561</v>
      </c>
      <c r="F4" s="1" t="n"/>
    </row>
    <row r="5">
      <c r="B5" t="inlineStr">
        <is>
          <t>Market Cap.</t>
        </is>
      </c>
      <c r="C5" s="13">
        <f>C3*C4</f>
        <v>2399.149448815</v>
      </c>
      <c r="F5" s="1" t="n"/>
    </row>
    <row r="6"/>
    <row r="7">
      <c r="B7" t="inlineStr">
        <is>
          <t>Cash</t>
        </is>
      </c>
      <c r="C7" s="51" t="n">
        <v>1825</v>
      </c>
    </row>
    <row r="8">
      <c r="B8" t="inlineStr">
        <is>
          <t>Debt</t>
        </is>
      </c>
      <c r="C8" s="51">
        <f>866+19875</f>
        <v>20741.0</v>
      </c>
    </row>
    <row r="9">
      <c r="B9" t="inlineStr">
        <is>
          <t>Enterprise V.</t>
        </is>
      </c>
      <c r="C9" s="13">
        <f>C5-C7+C8</f>
        <v>21315.149448815</v>
      </c>
    </row>
    <row r="10"/>
    <row r="11">
      <c r="B11" s="14" t="inlineStr">
        <is>
          <t>NPV / Share</t>
        </is>
      </c>
      <c r="C11" s="11">
        <f>NPV!B28</f>
        <v>10.708239624250202</v>
      </c>
    </row>
    <row r="12">
      <c r="B12" s="14" t="inlineStr">
        <is>
          <t>Upside</t>
        </is>
      </c>
      <c r="C12" s="15">
        <f>IFERROR(C11/C3-1,"")</f>
        <v>0.6692501362821828</v>
      </c>
    </row>
    <row r="13">
      <c r="B13" s="14" t="inlineStr">
        <is>
          <t>Cash / Share</t>
        </is>
      </c>
      <c r="C13" s="11">
        <f>IFERROR((C7-C8)/C4,"")</f>
        <v>-50.57881661350271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757.178</v>
      </c>
      <c r="C2" s="52" t="n">
        <v>820.4299999999999</v>
      </c>
      <c r="D2" s="52" t="n">
        <v>1181.237</v>
      </c>
      <c r="E2" s="52" t="n">
        <v>2427.45</v>
      </c>
      <c r="F2" s="52" t="n">
        <v>3480.4</v>
      </c>
      <c r="G2" s="52" t="n">
        <v>5769.6</v>
      </c>
      <c r="H2" s="52" t="n">
        <v>8206</v>
      </c>
      <c r="I2" s="52" t="n">
        <v>10447</v>
      </c>
      <c r="J2" s="52" t="n">
        <v>9674</v>
      </c>
      <c r="K2" s="52" t="n">
        <v>8724</v>
      </c>
      <c r="L2" s="52" t="n">
        <v>8380</v>
      </c>
      <c r="M2" s="52" t="n">
        <v>8601</v>
      </c>
      <c r="N2" s="52" t="n">
        <v>8027</v>
      </c>
      <c r="O2" s="52" t="n">
        <v>8434</v>
      </c>
      <c r="P2" s="52" t="n">
        <v>8124</v>
      </c>
      <c r="Q2" s="52" t="n">
        <v>8757</v>
      </c>
      <c r="R2" s="52" t="n">
        <v>9625</v>
      </c>
      <c r="S2" s="52" t="n">
        <v>10266</v>
      </c>
      <c r="T2" s="52">
        <f>S2*(1+NPV!C5)</f>
        <v>11283.3606</v>
      </c>
      <c r="U2" s="52">
        <f>T2*(1+NPV!D5)</f>
        <v>12308.64196652</v>
      </c>
      <c r="V2" s="52">
        <f>U2*(1+NPV!E5)</f>
        <v>13325.746081020101</v>
      </c>
      <c r="W2" s="52">
        <f>V2*(1+NPV!F5)</f>
        <v>14317.181589447997</v>
      </c>
      <c r="X2" s="52">
        <f>W2*(1+NPV!G5)</f>
        <v>15264.50177128314</v>
      </c>
      <c r="Y2" s="52">
        <f>X2*(1+NPV!H5)</f>
        <v>16148.825240566144</v>
      </c>
      <c r="Z2" s="52">
        <f>Y2*(1+NPV!I5)</f>
        <v>16951.421855022283</v>
      </c>
      <c r="AA2" s="52">
        <f>Z2*(1+NPV!J5)</f>
        <v>17654.340814610543</v>
      </c>
      <c r="AB2" s="52">
        <f>AA2*(1+NPV!K5)</f>
        <v>18241.053407682764</v>
      </c>
      <c r="AC2" s="52">
        <f>AB2*(1+NPV!L5)</f>
        <v>18697.07974287483</v>
      </c>
    </row>
    <row r="3" customFormat="1" s="1">
      <c r="A3" s="5" t="inlineStr">
        <is>
          <t>Cost of Sales</t>
        </is>
      </c>
      <c r="B3" s="52" t="n">
        <v>197.167</v>
      </c>
      <c r="C3" s="52" t="n">
        <v>204.309</v>
      </c>
      <c r="D3" s="52" t="n">
        <v>395.595</v>
      </c>
      <c r="E3" s="52" t="n">
        <v>683.75</v>
      </c>
      <c r="F3" s="52" t="n">
        <v>905.1</v>
      </c>
      <c r="G3" s="52" t="n">
        <v>1846.3</v>
      </c>
      <c r="H3" s="52" t="n">
        <v>2178</v>
      </c>
      <c r="I3" s="52" t="n">
        <v>2532</v>
      </c>
      <c r="J3" s="52" t="n">
        <v>2572</v>
      </c>
      <c r="K3" s="52" t="n">
        <v>2506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>
        <f>T2*(1-Assumptions!$B$19)</f>
        <v>3241.70950038</v>
      </c>
      <c r="U3" s="52">
        <f>U2*(1-Assumptions!$B$19)</f>
        <v>3536.2728369811957</v>
      </c>
      <c r="V3" s="52">
        <f>V2*(1-Assumptions!$B$19)</f>
        <v>3828.486849077075</v>
      </c>
      <c r="W3" s="52">
        <f>W2*(1-Assumptions!$B$19)</f>
        <v>4113.326270648409</v>
      </c>
      <c r="X3" s="52">
        <f>X2*(1-Assumptions!$B$19)</f>
        <v>4385.491358889646</v>
      </c>
      <c r="Y3" s="52">
        <f>Y2*(1-Assumptions!$B$19)</f>
        <v>4639.557491614653</v>
      </c>
      <c r="Z3" s="52">
        <f>Z2*(1-Assumptions!$B$19)</f>
        <v>4870.143498947902</v>
      </c>
      <c r="AA3" s="52">
        <f>AA2*(1-Assumptions!$B$19)</f>
        <v>5072.092116037609</v>
      </c>
      <c r="AB3" s="52">
        <f>AB2*(1-Assumptions!$B$19)</f>
        <v>5240.654644027259</v>
      </c>
      <c r="AC3" s="52">
        <f>AC2*(1-Assumptions!$B$19)</f>
        <v>5371.671010127939</v>
      </c>
    </row>
    <row r="4" customFormat="1" s="1">
      <c r="A4" s="5" t="inlineStr">
        <is>
          <t>Gross Margin</t>
        </is>
      </c>
      <c r="B4" s="52">
        <f>B2-B3</f>
        <v>560.011</v>
      </c>
      <c r="C4" s="52">
        <f>C2-C3</f>
        <v>616.121</v>
      </c>
      <c r="D4" s="52">
        <f>D2-D3</f>
        <v>785.642</v>
      </c>
      <c r="E4" s="52">
        <f>E2-E3</f>
        <v>1743.6999999999998</v>
      </c>
      <c r="F4" s="52">
        <f>F2-F3</f>
        <v>2575.3</v>
      </c>
      <c r="G4" s="52">
        <f>G2-G3</f>
        <v>3923.3</v>
      </c>
      <c r="H4" s="52">
        <f>H2-H3</f>
        <v>6028.0</v>
      </c>
      <c r="I4" s="52">
        <f>I2-I3</f>
        <v>7915.0</v>
      </c>
      <c r="J4" s="52">
        <f>J2-J3</f>
        <v>7102.0</v>
      </c>
      <c r="K4" s="52">
        <f>K2-K3</f>
        <v>6218.0</v>
      </c>
      <c r="L4" s="52">
        <f>L2-L3</f>
        <v>8380.0</v>
      </c>
      <c r="M4" s="52">
        <f>M2-M3</f>
        <v>8601.0</v>
      </c>
      <c r="N4" s="52">
        <f>N2-N3</f>
        <v>8027.0</v>
      </c>
      <c r="O4" s="52">
        <f>O2-O3</f>
        <v>8434.0</v>
      </c>
      <c r="P4" s="52">
        <f>P2-P3</f>
        <v>8124.0</v>
      </c>
      <c r="Q4" s="52">
        <f>Q2-Q3</f>
        <v>8757.0</v>
      </c>
      <c r="R4" s="52">
        <f>R2-R3</f>
        <v>9625.0</v>
      </c>
      <c r="S4" s="52">
        <f>S2-S3</f>
        <v>10266.0</v>
      </c>
      <c r="T4" s="52">
        <f>T2-T3</f>
        <v>8041.6510996199995</v>
      </c>
      <c r="U4" s="52">
        <f>U2-U3</f>
        <v>8772.369129538803</v>
      </c>
      <c r="V4" s="52">
        <f>V2-V3</f>
        <v>9497.259231943026</v>
      </c>
      <c r="W4" s="52">
        <f>W2-W3</f>
        <v>10203.855318799588</v>
      </c>
      <c r="X4" s="52">
        <f>X2-X3</f>
        <v>10879.010412393494</v>
      </c>
      <c r="Y4" s="52">
        <f>Y2-Y3</f>
        <v>11509.26774895149</v>
      </c>
      <c r="Z4" s="52">
        <f>Z2-Z3</f>
        <v>12081.278356074381</v>
      </c>
      <c r="AA4" s="52">
        <f>AA2-AA3</f>
        <v>12582.248698572934</v>
      </c>
      <c r="AB4" s="52">
        <f>AB2-AB3</f>
        <v>13000.398763655507</v>
      </c>
      <c r="AC4" s="52">
        <f>AC2-AC3</f>
        <v>13325.408732746891</v>
      </c>
    </row>
    <row r="5">
      <c r="A5" s="2" t="inlineStr">
        <is>
          <t>Research &amp; Dev.</t>
        </is>
      </c>
      <c r="B5" s="52" t="n">
        <v>69.81100000000001</v>
      </c>
      <c r="C5" s="52" t="n">
        <v>47.581</v>
      </c>
      <c r="D5" s="52" t="n">
        <v>68.31100000000001</v>
      </c>
      <c r="E5" s="52" t="n">
        <v>65.687</v>
      </c>
      <c r="F5" s="52" t="n">
        <v>79.09999999999999</v>
      </c>
      <c r="G5" s="52" t="n">
        <v>156.8</v>
      </c>
      <c r="H5" s="52" t="n">
        <v>246</v>
      </c>
      <c r="I5" s="52" t="n">
        <v>334</v>
      </c>
      <c r="J5" s="52" t="n">
        <v>421</v>
      </c>
      <c r="K5" s="52" t="n">
        <v>361</v>
      </c>
      <c r="L5" s="52" t="n">
        <v>413</v>
      </c>
      <c r="M5" s="52" t="n">
        <v>471</v>
      </c>
      <c r="N5" s="52" t="n">
        <v>452</v>
      </c>
      <c r="O5" s="52" t="n">
        <v>465</v>
      </c>
      <c r="P5" s="52" t="n">
        <v>529</v>
      </c>
      <c r="Q5" s="52" t="n">
        <v>604</v>
      </c>
      <c r="R5" s="52" t="n">
        <v>616</v>
      </c>
      <c r="S5" s="52" t="n">
        <v>629</v>
      </c>
      <c r="T5" s="52">
        <f>T7*Assumptions!$B$20</f>
        <v>520.0087478207615</v>
      </c>
      <c r="U5" s="52">
        <f>U7*Assumptions!$B$20</f>
        <v>556.3992606397555</v>
      </c>
      <c r="V5" s="52">
        <f>V7*Assumptions!$B$20</f>
        <v>590.6179610806659</v>
      </c>
      <c r="W5" s="52">
        <f>W7*Assumptions!$B$20</f>
        <v>621.9266854254439</v>
      </c>
      <c r="X5" s="52">
        <f>X7*Assumptions!$B$20</f>
        <v>649.6083489801423</v>
      </c>
      <c r="Y5" s="52">
        <f>Y7*Assumptions!$B$20</f>
        <v>672.9928609866535</v>
      </c>
      <c r="Z5" s="52">
        <f>Z7*Assumptions!$B$20</f>
        <v>691.4829427555682</v>
      </c>
      <c r="AA5" s="52">
        <f>AA7*Assumptions!$B$20</f>
        <v>704.57852758314</v>
      </c>
      <c r="AB5" s="52">
        <f>AB7*Assumptions!$B$20</f>
        <v>711.8984069797348</v>
      </c>
      <c r="AC5" s="52">
        <f>AC7*Assumptions!$B$20</f>
        <v>713.1978631423912</v>
      </c>
    </row>
    <row r="6">
      <c r="A6" s="18" t="inlineStr">
        <is>
          <t>SG&amp;A &amp; Other</t>
        </is>
      </c>
      <c r="B6" s="52" t="n">
        <v>366.091</v>
      </c>
      <c r="C6" s="52" t="n">
        <v>387.386</v>
      </c>
      <c r="D6" s="52" t="n">
        <v>827.4160000000001</v>
      </c>
      <c r="E6" s="52" t="n">
        <v>1378.054</v>
      </c>
      <c r="F6" s="52" t="n">
        <v>2416.5</v>
      </c>
      <c r="G6" s="52" t="n">
        <v>4176</v>
      </c>
      <c r="H6" s="52" t="n">
        <v>3781</v>
      </c>
      <c r="I6" s="52" t="n">
        <v>6054</v>
      </c>
      <c r="J6" s="52" t="n">
        <v>7247</v>
      </c>
      <c r="K6" s="52" t="n">
        <v>5755</v>
      </c>
      <c r="L6" s="52" t="n">
        <v>10351</v>
      </c>
      <c r="M6" s="52" t="n">
        <v>8333</v>
      </c>
      <c r="N6" s="52" t="n">
        <v>6899</v>
      </c>
      <c r="O6" s="52" t="n">
        <v>7519</v>
      </c>
      <c r="P6" s="52" t="n">
        <v>7141</v>
      </c>
      <c r="Q6" s="52" t="n">
        <v>7190</v>
      </c>
      <c r="R6" s="52" t="n">
        <v>7463</v>
      </c>
      <c r="S6" s="52" t="n">
        <v>7824</v>
      </c>
      <c r="T6" s="52">
        <f>T7-T5</f>
        <v>6469.3561422432385</v>
      </c>
      <c r="U6" s="52">
        <f>U7-U5</f>
        <v>6922.0854253784655</v>
      </c>
      <c r="V6" s="52">
        <f>V7-V5</f>
        <v>7347.795494304629</v>
      </c>
      <c r="W6" s="52">
        <f>W7-W5</f>
        <v>7737.302957389664</v>
      </c>
      <c r="X6" s="52">
        <f>X7-X5</f>
        <v>8081.686664193814</v>
      </c>
      <c r="Y6" s="52">
        <f>Y7-Y5</f>
        <v>8372.610109264066</v>
      </c>
      <c r="Z6" s="52">
        <f>Z7-Z5</f>
        <v>8602.642631916047</v>
      </c>
      <c r="AA6" s="52">
        <f>AA7-AA5</f>
        <v>8765.562972190248</v>
      </c>
      <c r="AB6" s="52">
        <f>AB7-AB5</f>
        <v>8856.628568554335</v>
      </c>
      <c r="AC6" s="52">
        <f>AC7-AC5</f>
        <v>8872.794921029534</v>
      </c>
    </row>
    <row r="7">
      <c r="A7" s="2" t="inlineStr">
        <is>
          <t>Operating Expense</t>
        </is>
      </c>
      <c r="B7" s="52">
        <f>SUM(B5:B6)</f>
        <v>435.90200000000004</v>
      </c>
      <c r="C7" s="52">
        <f>SUM(C5:C6)</f>
        <v>434.96700000000004</v>
      </c>
      <c r="D7" s="52">
        <f>SUM(D5:D6)</f>
        <v>895.7270000000001</v>
      </c>
      <c r="E7" s="52">
        <f>SUM(E5:E6)</f>
        <v>1443.741</v>
      </c>
      <c r="F7" s="52">
        <f>SUM(F5:F6)</f>
        <v>2495.6</v>
      </c>
      <c r="G7" s="52">
        <f>SUM(G5:G6)</f>
        <v>4332.8</v>
      </c>
      <c r="H7" s="52">
        <f>SUM(H5:H6)</f>
        <v>4027.0</v>
      </c>
      <c r="I7" s="52">
        <f>SUM(I5:I6)</f>
        <v>6388.0</v>
      </c>
      <c r="J7" s="52">
        <f>SUM(J5:J6)</f>
        <v>7668.0</v>
      </c>
      <c r="K7" s="52">
        <f>SUM(K5:K6)</f>
        <v>6116.0</v>
      </c>
      <c r="L7" s="52">
        <f>SUM(L5:L6)</f>
        <v>10764.0</v>
      </c>
      <c r="M7" s="52">
        <f>SUM(M5:M6)</f>
        <v>8804.0</v>
      </c>
      <c r="N7" s="52">
        <f>SUM(N5:N6)</f>
        <v>7351.0</v>
      </c>
      <c r="O7" s="52">
        <f>SUM(O5:O6)</f>
        <v>7984.0</v>
      </c>
      <c r="P7" s="52">
        <f>SUM(P5:P6)</f>
        <v>7670.0</v>
      </c>
      <c r="Q7" s="52">
        <f>SUM(Q5:Q6)</f>
        <v>7794.0</v>
      </c>
      <c r="R7" s="52">
        <f>SUM(R5:R6)</f>
        <v>8079.0</v>
      </c>
      <c r="S7" s="52">
        <f>SUM(S5:S6)</f>
        <v>8453.0</v>
      </c>
      <c r="T7" s="52">
        <f>T4-T2*NPV!C6</f>
        <v>6989.364890064</v>
      </c>
      <c r="U7" s="52">
        <f>U4-U2*NPV!D6</f>
        <v>7478.484686018221</v>
      </c>
      <c r="V7" s="52">
        <f>V4-V2*NPV!E6</f>
        <v>7938.413455385295</v>
      </c>
      <c r="W7" s="52">
        <f>W4-W2*NPV!F6</f>
        <v>8359.229642815108</v>
      </c>
      <c r="X7" s="52">
        <f>X4-X2*NPV!G6</f>
        <v>8731.295013173956</v>
      </c>
      <c r="Y7" s="52">
        <f>Y4-Y2*NPV!H6</f>
        <v>9045.602970250718</v>
      </c>
      <c r="Z7" s="52">
        <f>Z4-Z2*NPV!I6</f>
        <v>9294.125574671616</v>
      </c>
      <c r="AA7" s="52">
        <f>AA4-AA2*NPV!J6</f>
        <v>9470.141499773388</v>
      </c>
      <c r="AB7" s="52">
        <f>AB4-AB2*NPV!K6</f>
        <v>9568.52697553407</v>
      </c>
      <c r="AC7" s="52">
        <f>AC4-AC2*NPV!L6</f>
        <v>9585.992784171925</v>
      </c>
    </row>
    <row r="8">
      <c r="A8" s="2" t="inlineStr">
        <is>
          <t>Operating Income</t>
        </is>
      </c>
      <c r="B8" s="52">
        <f>B4-B7</f>
        <v>124.10899999999992</v>
      </c>
      <c r="C8" s="52">
        <f>C4-C7</f>
        <v>181.15399999999994</v>
      </c>
      <c r="D8" s="52">
        <f>D4-D7</f>
        <v>-110.08500000000004</v>
      </c>
      <c r="E8" s="52">
        <f>E4-E7</f>
        <v>299.95899999999983</v>
      </c>
      <c r="F8" s="52">
        <f>F4-F7</f>
        <v>79.70000000000027</v>
      </c>
      <c r="G8" s="52">
        <f>G4-G7</f>
        <v>-409.5</v>
      </c>
      <c r="H8" s="52">
        <f>H4-H7</f>
        <v>2001.0</v>
      </c>
      <c r="I8" s="52">
        <f>I4-I7</f>
        <v>1527.0</v>
      </c>
      <c r="J8" s="52">
        <f>J4-J7</f>
        <v>-566.0</v>
      </c>
      <c r="K8" s="52">
        <f>K4-K7</f>
        <v>102.0</v>
      </c>
      <c r="L8" s="52">
        <f>L4-L7</f>
        <v>-2384.0</v>
      </c>
      <c r="M8" s="52">
        <f>M4-M7</f>
        <v>-203.0</v>
      </c>
      <c r="N8" s="52">
        <f>N4-N7</f>
        <v>676.0</v>
      </c>
      <c r="O8" s="52">
        <f>O4-O7</f>
        <v>450.0</v>
      </c>
      <c r="P8" s="52">
        <f>P4-P7</f>
        <v>454.0</v>
      </c>
      <c r="Q8" s="52">
        <f>Q4-Q7</f>
        <v>963.0</v>
      </c>
      <c r="R8" s="52">
        <f>R4-R7</f>
        <v>1546.0</v>
      </c>
      <c r="S8" s="52">
        <f>S4-S7</f>
        <v>1813.0</v>
      </c>
      <c r="T8" s="52">
        <f>T4-T7</f>
        <v>1052.2862095559994</v>
      </c>
      <c r="U8" s="52">
        <f>U4-U7</f>
        <v>1293.8844435205829</v>
      </c>
      <c r="V8" s="52">
        <f>V4-V7</f>
        <v>1558.8457765577314</v>
      </c>
      <c r="W8" s="52">
        <f>W4-W7</f>
        <v>1844.62567598448</v>
      </c>
      <c r="X8" s="52">
        <f>X4-X7</f>
        <v>2147.715399219538</v>
      </c>
      <c r="Y8" s="52">
        <f>Y4-Y7</f>
        <v>2463.6647787007714</v>
      </c>
      <c r="Z8" s="52">
        <f>Z4-Z7</f>
        <v>2787.152781402765</v>
      </c>
      <c r="AA8" s="52">
        <f>AA4-AA7</f>
        <v>3112.1071987995456</v>
      </c>
      <c r="AB8" s="52">
        <f>AB4-AB7</f>
        <v>3431.871788121436</v>
      </c>
      <c r="AC8" s="52">
        <f>AC4-AC7</f>
        <v>3739.415948574966</v>
      </c>
    </row>
    <row r="9">
      <c r="A9" s="18" t="inlineStr">
        <is>
          <t>Interest &amp; Other</t>
        </is>
      </c>
      <c r="B9" s="52" t="n">
        <v>2.795</v>
      </c>
      <c r="C9" s="52" t="n">
        <v>-6.199</v>
      </c>
      <c r="D9" s="52" t="n">
        <v>-126.178</v>
      </c>
      <c r="E9" s="52" t="n">
        <v>-317.959</v>
      </c>
      <c r="F9" s="52" t="n">
        <v>-473.9</v>
      </c>
      <c r="G9" s="52" t="n">
        <v>-907.4</v>
      </c>
      <c r="H9" s="52" t="n">
        <v>-946</v>
      </c>
      <c r="I9" s="52" t="n">
        <v>-1686</v>
      </c>
      <c r="J9" s="52" t="n">
        <v>-1870</v>
      </c>
      <c r="K9" s="52" t="n">
        <v>-1843</v>
      </c>
      <c r="L9" s="52" t="n">
        <v>-1774</v>
      </c>
      <c r="M9" s="52" t="n">
        <v>-1639</v>
      </c>
      <c r="N9" s="52" t="n">
        <v>-1611</v>
      </c>
      <c r="O9" s="52" t="n">
        <v>-1485</v>
      </c>
      <c r="P9" s="52" t="n">
        <v>-596</v>
      </c>
      <c r="Q9" s="52" t="n">
        <v>-1334</v>
      </c>
      <c r="R9" s="52" t="n">
        <v>-1353</v>
      </c>
      <c r="S9" s="52" t="n">
        <v>-1409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126.90399999999993</v>
      </c>
      <c r="C10" s="52">
        <f>C8+C9</f>
        <v>174.95499999999993</v>
      </c>
      <c r="D10" s="52">
        <f>D8+D9</f>
        <v>-236.26300000000003</v>
      </c>
      <c r="E10" s="52">
        <f>E8+E9</f>
        <v>-18.00000000000017</v>
      </c>
      <c r="F10" s="52">
        <f>F8+F9</f>
        <v>-394.1999999999997</v>
      </c>
      <c r="G10" s="52">
        <f>G8+G9</f>
        <v>-1316.9</v>
      </c>
      <c r="H10" s="52">
        <f>H8+H9</f>
        <v>1055.0</v>
      </c>
      <c r="I10" s="52">
        <f>I8+I9</f>
        <v>-159.0</v>
      </c>
      <c r="J10" s="52">
        <f>J8+J9</f>
        <v>-2436.0</v>
      </c>
      <c r="K10" s="52">
        <f>K8+K9</f>
        <v>-1741.0</v>
      </c>
      <c r="L10" s="52">
        <f>L8+L9</f>
        <v>-4158.0</v>
      </c>
      <c r="M10" s="52">
        <f>M8+M9</f>
        <v>-1842.0</v>
      </c>
      <c r="N10" s="52">
        <f>N8+N9</f>
        <v>-935.0</v>
      </c>
      <c r="O10" s="52">
        <f>O8+O9</f>
        <v>-1035.0</v>
      </c>
      <c r="P10" s="52">
        <f>P8+P9</f>
        <v>-142.0</v>
      </c>
      <c r="Q10" s="52">
        <f>Q8+Q9</f>
        <v>-371.0</v>
      </c>
      <c r="R10" s="52">
        <f>R8+R9</f>
        <v>193.0</v>
      </c>
      <c r="S10" s="52">
        <f>S8+S9</f>
        <v>404.0</v>
      </c>
      <c r="T10" s="52">
        <f>T8+T9</f>
        <v>1052.2862095559994</v>
      </c>
      <c r="U10" s="52">
        <f>U8+U9</f>
        <v>1293.8844435205829</v>
      </c>
      <c r="V10" s="52">
        <f>V8+V9</f>
        <v>1558.8457765577314</v>
      </c>
      <c r="W10" s="52">
        <f>W8+W9</f>
        <v>1844.62567598448</v>
      </c>
      <c r="X10" s="52">
        <f>X8+X9</f>
        <v>2147.715399219538</v>
      </c>
      <c r="Y10" s="52">
        <f>Y8+Y9</f>
        <v>2463.6647787007714</v>
      </c>
      <c r="Z10" s="52">
        <f>Z8+Z9</f>
        <v>2787.152781402765</v>
      </c>
      <c r="AA10" s="52">
        <f>AA8+AA9</f>
        <v>3112.1071987995456</v>
      </c>
      <c r="AB10" s="52">
        <f>AB8+AB9</f>
        <v>3431.871788121436</v>
      </c>
      <c r="AC10" s="52">
        <f>AC8+AC9</f>
        <v>3739.415948574966</v>
      </c>
    </row>
    <row r="11">
      <c r="A11" s="2" t="inlineStr">
        <is>
          <t>Taxes</t>
        </is>
      </c>
      <c r="B11" s="52" t="n">
        <v>-73</v>
      </c>
      <c r="C11" s="52" t="n">
        <v>-1.5</v>
      </c>
      <c r="D11" s="52" t="n">
        <v>-28.07</v>
      </c>
      <c r="E11" s="52" t="n">
        <v>-177.559</v>
      </c>
      <c r="F11" s="52" t="n">
        <v>-278.2</v>
      </c>
      <c r="G11" s="52" t="n">
        <v>-450.8</v>
      </c>
      <c r="H11" s="52" t="n">
        <v>174</v>
      </c>
      <c r="I11" s="52" t="n">
        <v>133</v>
      </c>
      <c r="J11" s="52" t="n">
        <v>-27</v>
      </c>
      <c r="K11" s="52" t="n">
        <v>-4145</v>
      </c>
      <c r="L11" s="52" t="n">
        <v>-10</v>
      </c>
      <c r="M11" s="52" t="n">
        <v>-54</v>
      </c>
      <c r="N11" s="52" t="n">
        <v>-375</v>
      </c>
      <c r="O11" s="52" t="n">
        <v>-87</v>
      </c>
      <c r="P11" s="52" t="n">
        <v>83</v>
      </c>
      <c r="Q11" s="52" t="n">
        <v>221</v>
      </c>
      <c r="R11" s="52" t="n">
        <v>239</v>
      </c>
      <c r="S11" s="52" t="n">
        <v>247</v>
      </c>
      <c r="T11" s="52">
        <f>MAX(0,T10)*Assumptions!$E$14</f>
        <v>178.8886556245199</v>
      </c>
      <c r="U11" s="52">
        <f>MAX(0,U10)*Assumptions!$E$14</f>
        <v>219.9603553984991</v>
      </c>
      <c r="V11" s="52">
        <f>MAX(0,V10)*Assumptions!$E$14</f>
        <v>265.00378201481436</v>
      </c>
      <c r="W11" s="52">
        <f>MAX(0,W10)*Assumptions!$E$14</f>
        <v>313.5863649173616</v>
      </c>
      <c r="X11" s="52">
        <f>MAX(0,X10)*Assumptions!$E$14</f>
        <v>365.1116178673215</v>
      </c>
      <c r="Y11" s="52">
        <f>MAX(0,Y10)*Assumptions!$E$14</f>
        <v>418.82301237913117</v>
      </c>
      <c r="Z11" s="52">
        <f>MAX(0,Z10)*Assumptions!$E$14</f>
        <v>473.8159728384701</v>
      </c>
      <c r="AA11" s="52">
        <f>MAX(0,AA10)*Assumptions!$E$14</f>
        <v>529.0582237959228</v>
      </c>
      <c r="AB11" s="52">
        <f>MAX(0,AB10)*Assumptions!$E$14</f>
        <v>583.4182039806442</v>
      </c>
      <c r="AC11" s="52">
        <f>MAX(0,AC10)*Assumptions!$E$14</f>
        <v>635.7007112577443</v>
      </c>
    </row>
    <row r="12">
      <c r="A12" s="2" t="inlineStr">
        <is>
          <t>Net Income</t>
        </is>
      </c>
      <c r="B12" s="52" t="n">
        <v>199.904</v>
      </c>
      <c r="C12" s="52" t="n">
        <v>176.455</v>
      </c>
      <c r="D12" s="52" t="n">
        <v>-208.193</v>
      </c>
      <c r="E12" s="52" t="n">
        <v>159.559</v>
      </c>
      <c r="F12" s="52" t="n">
        <v>-116</v>
      </c>
      <c r="G12" s="52" t="n">
        <v>-866.1</v>
      </c>
      <c r="H12" s="52" t="n">
        <v>881</v>
      </c>
      <c r="I12" s="52" t="n">
        <v>-292</v>
      </c>
      <c r="J12" s="52" t="n">
        <v>-2409</v>
      </c>
      <c r="K12" s="52" t="n">
        <v>2404</v>
      </c>
      <c r="L12" s="52" t="n">
        <v>-4148</v>
      </c>
      <c r="M12" s="52" t="n">
        <v>-1788</v>
      </c>
      <c r="N12" s="52" t="n">
        <v>-560</v>
      </c>
      <c r="O12" s="52" t="n">
        <v>-948</v>
      </c>
      <c r="P12" s="52" t="n">
        <v>-225</v>
      </c>
      <c r="Q12" s="52" t="n">
        <v>-592</v>
      </c>
      <c r="R12" s="52" t="n">
        <v>-46</v>
      </c>
      <c r="S12" s="52" t="n">
        <v>157</v>
      </c>
      <c r="T12" s="52">
        <f>T10-T11</f>
        <v>873.3975539314795</v>
      </c>
      <c r="U12" s="52">
        <f>U10-U11</f>
        <v>1073.9240881220837</v>
      </c>
      <c r="V12" s="52">
        <f>V10-V11</f>
        <v>1293.841994542917</v>
      </c>
      <c r="W12" s="52">
        <f>W10-W11</f>
        <v>1531.0393110671184</v>
      </c>
      <c r="X12" s="52">
        <f>X10-X11</f>
        <v>1782.6037813522166</v>
      </c>
      <c r="Y12" s="52">
        <f>Y10-Y11</f>
        <v>2044.8417663216403</v>
      </c>
      <c r="Z12" s="52">
        <f>Z10-Z11</f>
        <v>2313.336808564295</v>
      </c>
      <c r="AA12" s="52">
        <f>AA10-AA11</f>
        <v>2583.0489750036227</v>
      </c>
      <c r="AB12" s="52">
        <f>AB10-AB11</f>
        <v>2848.453584140792</v>
      </c>
      <c r="AC12" s="52">
        <f>AC10-AC11</f>
        <v>3103.7152373172216</v>
      </c>
    </row>
    <row r="13">
      <c r="A13" s="2" t="inlineStr">
        <is>
          <t>Earnings per Share</t>
        </is>
      </c>
      <c r="B13" s="11">
        <f>IFERROR(B12/B14,0)</f>
        <v>1.2515119263757593</v>
      </c>
      <c r="C13" s="11">
        <f>IFERROR(C12/C14,0)</f>
        <v>1.1132105229953948</v>
      </c>
      <c r="D13" s="11">
        <f>IFERROR(D12/D14,0)</f>
        <v>-1.0632507354142835</v>
      </c>
      <c r="E13" s="11">
        <f>IFERROR(E12/E14,0)</f>
        <v>0.48926618810924843</v>
      </c>
      <c r="F13" s="11">
        <f>IFERROR(F12/F14,0)</f>
        <v>-0.3798297314996726</v>
      </c>
      <c r="G13" s="11">
        <f>IFERROR(G12/G14,0)</f>
        <v>-2.6981308411214955</v>
      </c>
      <c r="H13" s="11">
        <f>IFERROR(H12/H14,0)</f>
        <v>2.5797950219619326</v>
      </c>
      <c r="I13" s="11">
        <f>IFERROR(I12/I14,0)</f>
        <v>-0.8520571928800701</v>
      </c>
      <c r="J13" s="11">
        <f>IFERROR(J12/J14,0)</f>
        <v>-6.936366253959113</v>
      </c>
      <c r="K13" s="11">
        <f>IFERROR(K12/K14,0)</f>
        <v>6.833428084138715</v>
      </c>
      <c r="L13" s="11">
        <f>IFERROR(L12/L14,0)</f>
        <v>-11.807571875889552</v>
      </c>
      <c r="M13" s="11">
        <f>IFERROR(M12/M14,0)</f>
        <v>-5.078102811701221</v>
      </c>
      <c r="N13" s="11">
        <f>IFERROR(N12/N14,0)</f>
        <v>-1.5774647887323943</v>
      </c>
      <c r="O13" s="11">
        <f>IFERROR(O12/O14,0)</f>
        <v>-2.6414042908888273</v>
      </c>
      <c r="P13" s="11">
        <f>IFERROR(P12/P14,0)</f>
        <v>-0.6215469613259669</v>
      </c>
      <c r="Q13" s="11">
        <f>IFERROR(Q12/Q14,0)</f>
        <v>-1.6223622910386408</v>
      </c>
      <c r="R13" s="11">
        <f>IFERROR(R12/R14,0)</f>
        <v>-0.125</v>
      </c>
      <c r="S13" s="11">
        <f>IFERROR(S12/S14,0)</f>
        <v>0.4186666666666667</v>
      </c>
      <c r="T13" s="11">
        <f>IFERROR(T12/T14,0)</f>
        <v>2.335346516757356</v>
      </c>
      <c r="U13" s="11">
        <f>IFERROR(U12/U14,0)</f>
        <v>2.8715272525877564</v>
      </c>
      <c r="V13" s="11">
        <f>IFERROR(V12/V14,0)</f>
        <v>3.4595578858550846</v>
      </c>
      <c r="W13" s="11">
        <f>IFERROR(W12/W14,0)</f>
        <v>4.093791316479558</v>
      </c>
      <c r="X13" s="11">
        <f>IFERROR(X12/X14,0)</f>
        <v>4.766440566269309</v>
      </c>
      <c r="Y13" s="11">
        <f>IFERROR(Y12/Y14,0)</f>
        <v>5.467629345655171</v>
      </c>
      <c r="Z13" s="11">
        <f>IFERROR(Z12/Z14,0)</f>
        <v>6.185548646946454</v>
      </c>
      <c r="AA13" s="11">
        <f>IFERROR(AA12/AA14,0)</f>
        <v>6.906722373144659</v>
      </c>
      <c r="AB13" s="11">
        <f>IFERROR(AB12/AB14,0)</f>
        <v>7.616378275762933</v>
      </c>
      <c r="AC13" s="11">
        <f>IFERROR(AC12/AC14,0)</f>
        <v>8.298913290801533</v>
      </c>
    </row>
    <row r="14">
      <c r="A14" s="2" t="inlineStr">
        <is>
          <t>Shares</t>
        </is>
      </c>
      <c r="B14" s="52" t="n">
        <v>159.73</v>
      </c>
      <c r="C14" s="52" t="n">
        <v>158.51</v>
      </c>
      <c r="D14" s="52" t="n">
        <v>195.808</v>
      </c>
      <c r="E14" s="52" t="n">
        <v>326.119</v>
      </c>
      <c r="F14" s="52" t="n">
        <v>305.4</v>
      </c>
      <c r="G14" s="52" t="n">
        <v>321</v>
      </c>
      <c r="H14" s="52" t="n">
        <v>341.5</v>
      </c>
      <c r="I14" s="52" t="n">
        <v>342.7</v>
      </c>
      <c r="J14" s="52" t="n">
        <v>347.3</v>
      </c>
      <c r="K14" s="52" t="n">
        <v>351.8</v>
      </c>
      <c r="L14" s="52" t="n">
        <v>351.3</v>
      </c>
      <c r="M14" s="52" t="n">
        <v>352.1</v>
      </c>
      <c r="N14" s="52" t="n">
        <v>355</v>
      </c>
      <c r="O14" s="52" t="n">
        <v>358.9</v>
      </c>
      <c r="P14" s="52" t="n">
        <v>362</v>
      </c>
      <c r="Q14" s="52" t="n">
        <v>364.9</v>
      </c>
      <c r="R14" s="52" t="n">
        <v>368</v>
      </c>
      <c r="S14" s="52" t="n">
        <v>375</v>
      </c>
      <c r="T14" s="52">
        <f>Main!$C$4</f>
        <v>373.990561</v>
      </c>
      <c r="U14" s="52">
        <f>Main!$C$4</f>
        <v>373.990561</v>
      </c>
      <c r="V14" s="52">
        <f>Main!$C$4</f>
        <v>373.990561</v>
      </c>
      <c r="W14" s="52">
        <f>Main!$C$4</f>
        <v>373.990561</v>
      </c>
      <c r="X14" s="52">
        <f>Main!$C$4</f>
        <v>373.990561</v>
      </c>
      <c r="Y14" s="52">
        <f>Main!$C$4</f>
        <v>373.990561</v>
      </c>
      <c r="Z14" s="52">
        <f>Main!$C$4</f>
        <v>373.990561</v>
      </c>
      <c r="AA14" s="52">
        <f>Main!$C$4</f>
        <v>373.990561</v>
      </c>
      <c r="AB14" s="52">
        <f>Main!$C$4</f>
        <v>373.990561</v>
      </c>
      <c r="AC14" s="52">
        <f>Main!$C$4</f>
        <v>373.990561</v>
      </c>
    </row>
    <row r="15"/>
    <row r="16" customFormat="1" s="4">
      <c r="A16" s="3" t="inlineStr">
        <is>
          <t>Revenue Change</t>
        </is>
      </c>
      <c r="C16" s="15">
        <f>IFERROR(C2/B2-1,"")</f>
        <v>0.08353650000396207</v>
      </c>
      <c r="D16" s="15">
        <f>IFERROR(D2/C2-1,"")</f>
        <v>0.4397779213339348</v>
      </c>
      <c r="E16" s="15">
        <f>IFERROR(E2/D2-1,"")</f>
        <v>1.0550067429313503</v>
      </c>
      <c r="F16" s="15">
        <f>IFERROR(F2/E2-1,"")</f>
        <v>0.43376794578673117</v>
      </c>
      <c r="G16" s="15">
        <f>IFERROR(G2/F2-1,"")</f>
        <v>0.6577404895988967</v>
      </c>
      <c r="H16" s="15">
        <f>IFERROR(H2/G2-1,"")</f>
        <v>0.4222823072656683</v>
      </c>
      <c r="I16" s="15">
        <f>IFERROR(I2/H2-1,"")</f>
        <v>0.27309285888374357</v>
      </c>
      <c r="J16" s="15">
        <f>IFERROR(J2/I2-1,"")</f>
        <v>-0.07399253374174408</v>
      </c>
      <c r="K16" s="15">
        <f>IFERROR(K2/J2-1,"")</f>
        <v>-0.09820136448211703</v>
      </c>
      <c r="L16" s="15">
        <f>IFERROR(L2/K2-1,"")</f>
        <v>-0.03943145346171484</v>
      </c>
      <c r="M16" s="15">
        <f>IFERROR(M2/L2-1,"")</f>
        <v>0.02637231503579951</v>
      </c>
      <c r="N16" s="15">
        <f>IFERROR(N2/M2-1,"")</f>
        <v>-0.06673642599697704</v>
      </c>
      <c r="O16" s="15">
        <f>IFERROR(O2/N2-1,"")</f>
        <v>0.05070387442381952</v>
      </c>
      <c r="P16" s="15">
        <f>IFERROR(P2/O2-1,"")</f>
        <v>-0.036755987668958934</v>
      </c>
      <c r="Q16" s="15">
        <f>IFERROR(Q2/P2-1,"")</f>
        <v>0.07791728212703108</v>
      </c>
      <c r="R16" s="15">
        <f>IFERROR(R2/Q2-1,"")</f>
        <v>0.0991207034372501</v>
      </c>
      <c r="S16" s="15">
        <f>IFERROR(S2/R2-1,"")</f>
        <v>0.06659740259740254</v>
      </c>
      <c r="T16" s="15">
        <f>IFERROR(T2/S2-1,"")</f>
        <v>0.09909999999999997</v>
      </c>
      <c r="U16" s="15">
        <f>IFERROR(U2/T2-1,"")</f>
        <v>0.09086666666666665</v>
      </c>
      <c r="V16" s="15">
        <f>IFERROR(V2/U2-1,"")</f>
        <v>0.08263333333333334</v>
      </c>
      <c r="W16" s="15">
        <f>IFERROR(W2/V2-1,"")</f>
        <v>0.07440000000000002</v>
      </c>
      <c r="X16" s="15">
        <f>IFERROR(X2/W2-1,"")</f>
        <v>0.0661666666666667</v>
      </c>
      <c r="Y16" s="15">
        <f>IFERROR(Y2/X2-1,"")</f>
        <v>0.05793333333333339</v>
      </c>
      <c r="Z16" s="15">
        <f>IFERROR(Z2/Y2-1,"")</f>
        <v>0.04970000000000008</v>
      </c>
      <c r="AA16" s="15">
        <f>IFERROR(AA2/Z2-1,"")</f>
        <v>0.04146666666666676</v>
      </c>
      <c r="AB16" s="15">
        <f>IFERROR(AB2/AA2-1,"")</f>
        <v>0.033233333333333226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0.7396028410756783</v>
      </c>
      <c r="C17" s="15">
        <f>IFERROR(C4/C2,"")</f>
        <v>0.7509732701144523</v>
      </c>
      <c r="D17" s="15">
        <f>IFERROR(D4/D2,"")</f>
        <v>0.6651010762446486</v>
      </c>
      <c r="E17" s="15">
        <f>IFERROR(E4/E2,"")</f>
        <v>0.718325815155822</v>
      </c>
      <c r="F17" s="15">
        <f>IFERROR(F4/F2,"")</f>
        <v>0.7399436846339501</v>
      </c>
      <c r="G17" s="15">
        <f>IFERROR(G4/G2,"")</f>
        <v>0.6799951469772602</v>
      </c>
      <c r="H17" s="15">
        <f>IFERROR(H4/H2,"")</f>
        <v>0.7345844504021448</v>
      </c>
      <c r="I17" s="15">
        <f>IFERROR(I4/I2,"")</f>
        <v>0.7576337704604192</v>
      </c>
      <c r="J17" s="15">
        <f>IFERROR(J4/J2,"")</f>
        <v>0.7341327268968368</v>
      </c>
      <c r="K17" s="15">
        <f>IFERROR(K4/K2,"")</f>
        <v>0.7127464465841357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0.7127</v>
      </c>
      <c r="U17" s="15">
        <f>IFERROR(U4/U2,"")</f>
        <v>0.7127</v>
      </c>
      <c r="V17" s="15">
        <f>IFERROR(V4/V2,"")</f>
        <v>0.7127</v>
      </c>
      <c r="W17" s="15">
        <f>IFERROR(W4/W2,"")</f>
        <v>0.7127</v>
      </c>
      <c r="X17" s="15">
        <f>IFERROR(X4/X2,"")</f>
        <v>0.7127</v>
      </c>
      <c r="Y17" s="15">
        <f>IFERROR(Y4/Y2,"")</f>
        <v>0.7126999999999999</v>
      </c>
      <c r="Z17" s="15">
        <f>IFERROR(Z4/Z2,"")</f>
        <v>0.7127</v>
      </c>
      <c r="AA17" s="15">
        <f>IFERROR(AA4/AA2,"")</f>
        <v>0.7127</v>
      </c>
      <c r="AB17" s="15">
        <f>IFERROR(AB4/AB2,"")</f>
        <v>0.7127</v>
      </c>
      <c r="AC17" s="15">
        <f>IFERROR(AC4/AC2,"")</f>
        <v>0.7127</v>
      </c>
    </row>
    <row r="18">
      <c r="A18" s="14" t="inlineStr">
        <is>
          <t>Operating Margin</t>
        </is>
      </c>
      <c r="B18" s="15">
        <f>IFERROR(B8/B2,"")</f>
        <v>0.16390993927451658</v>
      </c>
      <c r="C18" s="15">
        <f>IFERROR(C8/C2,"")</f>
        <v>0.2208037248759796</v>
      </c>
      <c r="D18" s="15">
        <f>IFERROR(D8/D2,"")</f>
        <v>-0.09319467642818506</v>
      </c>
      <c r="E18" s="15">
        <f>IFERROR(E8/E2,"")</f>
        <v>0.12356958948691008</v>
      </c>
      <c r="F18" s="15">
        <f>IFERROR(F8/F2,"")</f>
        <v>0.022899666704976517</v>
      </c>
      <c r="G18" s="15">
        <f>IFERROR(G8/G2,"")</f>
        <v>-0.07097545757071547</v>
      </c>
      <c r="H18" s="15">
        <f>IFERROR(H8/H2,"")</f>
        <v>0.2438459663660736</v>
      </c>
      <c r="I18" s="15">
        <f>IFERROR(I8/I2,"")</f>
        <v>0.1461663635493443</v>
      </c>
      <c r="J18" s="15">
        <f>IFERROR(J8/J2,"")</f>
        <v>-0.058507339259871824</v>
      </c>
      <c r="K18" s="15">
        <f>IFERROR(K8/K2,"")</f>
        <v>0.011691884456671253</v>
      </c>
      <c r="L18" s="15">
        <f>IFERROR(L8/L2,"")</f>
        <v>-0.2844868735083532</v>
      </c>
      <c r="M18" s="15">
        <f>IFERROR(M8/M2,"")</f>
        <v>-0.023601906755028487</v>
      </c>
      <c r="N18" s="15">
        <f>IFERROR(N8/N2,"")</f>
        <v>0.08421577177027532</v>
      </c>
      <c r="O18" s="15">
        <f>IFERROR(O8/O2,"")</f>
        <v>0.05335546597106948</v>
      </c>
      <c r="P18" s="15">
        <f>IFERROR(P8/P2,"")</f>
        <v>0.05588380108321024</v>
      </c>
      <c r="Q18" s="15">
        <f>IFERROR(Q8/Q2,"")</f>
        <v>0.10996916752312436</v>
      </c>
      <c r="R18" s="15">
        <f>IFERROR(R8/R2,"")</f>
        <v>0.1606233766233766</v>
      </c>
      <c r="S18" s="15">
        <f>IFERROR(S8/S2,"")</f>
        <v>0.17660237677771284</v>
      </c>
      <c r="T18" s="15">
        <f>IFERROR(T8/T2,"")</f>
        <v>0.09325999999999995</v>
      </c>
      <c r="U18" s="15">
        <f>IFERROR(U8/U2,"")</f>
        <v>0.10512000000000005</v>
      </c>
      <c r="V18" s="15">
        <f>IFERROR(V8/V2,"")</f>
        <v>0.11698</v>
      </c>
      <c r="W18" s="15">
        <f>IFERROR(W8/W2,"")</f>
        <v>0.12884</v>
      </c>
      <c r="X18" s="15">
        <f>IFERROR(X8/X2,"")</f>
        <v>0.14070000000000002</v>
      </c>
      <c r="Y18" s="15">
        <f>IFERROR(Y8/Y2,"")</f>
        <v>0.15256000000000003</v>
      </c>
      <c r="Z18" s="15">
        <f>IFERROR(Z8/Z2,"")</f>
        <v>0.16442000000000007</v>
      </c>
      <c r="AA18" s="15">
        <f>IFERROR(AA8/AA2,"")</f>
        <v>0.17627999999999994</v>
      </c>
      <c r="AB18" s="15">
        <f>IFERROR(AB8/AB2,"")</f>
        <v>0.18814000000000006</v>
      </c>
      <c r="AC18" s="15">
        <f>IFERROR(AC8/AC2,"")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Bausch Health Companies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0.0491</v>
      </c>
      <c r="C12" s="53" t="n">
        <v>0.09909999999999999</v>
      </c>
      <c r="D12" s="53" t="n">
        <v>0.1491</v>
      </c>
      <c r="E12" s="54">
        <f>CHOOSE($B$4,B12,C12,D12)</f>
        <v>0.0991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0.0814</v>
      </c>
    </row>
    <row r="19">
      <c r="A19" s="14" t="inlineStr">
        <is>
          <t>Gross margin (forecast)</t>
        </is>
      </c>
      <c r="B19" s="53" t="n">
        <v>0.7127</v>
      </c>
    </row>
    <row r="20">
      <c r="A20" s="14" t="inlineStr">
        <is>
          <t>R&amp;D share of operating expense (forecast)</t>
        </is>
      </c>
      <c r="B20" s="53" t="n">
        <v>0.07439999999999999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10266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22920.780544395762</v>
      </c>
      <c r="C29" s="56">
        <f>NPV!B26</f>
        <v>4004.7805443957623</v>
      </c>
      <c r="D29" s="35">
        <f>NPV!B28</f>
        <v>10.708239624250202</v>
      </c>
      <c r="E29" s="57">
        <f>NPV!B30</f>
        <v>0.6692501362821828</v>
      </c>
    </row>
    <row r="30">
      <c r="A30" s="58" t="n">
        <v>1</v>
      </c>
      <c r="B30" s="59">
        <f t="dataTable" ref="B30:E32" r1="B4"/>
        <v>12406.496836241797</v>
      </c>
      <c r="C30" s="59">
        <v>-6509.503163758203</v>
      </c>
      <c r="D30" s="39">
        <v>-17.405527953306294</v>
      </c>
      <c r="E30" s="60">
        <v>-3.713254552347045</v>
      </c>
    </row>
    <row r="31">
      <c r="A31" s="58" t="n">
        <v>2</v>
      </c>
      <c r="B31" s="59">
        <v>22920.780544395762</v>
      </c>
      <c r="C31" s="59">
        <v>4004.7805443957623</v>
      </c>
      <c r="D31" s="39">
        <v>10.708239624250202</v>
      </c>
      <c r="E31" s="60">
        <v>0.6692501362821828</v>
      </c>
    </row>
    <row r="32">
      <c r="A32" s="58" t="n">
        <v>3</v>
      </c>
      <c r="B32" s="59">
        <v>42792.64610686764</v>
      </c>
      <c r="C32" s="59">
        <v>23876.646106867644</v>
      </c>
      <c r="D32" s="39">
        <v>63.842911016322795</v>
      </c>
      <c r="E32" s="60">
        <v>8.95212954268477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10.708239624250202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23.36575633858648</v>
      </c>
      <c r="C37" s="39">
        <v>27.881286140248857</v>
      </c>
      <c r="D37" s="39">
        <v>33.090136055164855</v>
      </c>
      <c r="E37" s="39">
        <v>39.165637201039445</v>
      </c>
      <c r="F37" s="39">
        <v>46.34415044994226</v>
      </c>
    </row>
    <row r="38">
      <c r="A38" s="62" t="n">
        <v>0.1</v>
      </c>
      <c r="B38" s="39">
        <v>13.248534220122258</v>
      </c>
      <c r="C38" s="39">
        <v>16.578583184801534</v>
      </c>
      <c r="D38" s="39">
        <v>20.351467259343867</v>
      </c>
      <c r="E38" s="39">
        <v>24.662079889424056</v>
      </c>
      <c r="F38" s="39">
        <v>29.63451270256079</v>
      </c>
    </row>
    <row r="39">
      <c r="A39" s="62" t="n">
        <v>0.11</v>
      </c>
      <c r="B39" s="39">
        <v>5.349009392609286</v>
      </c>
      <c r="C39" s="39">
        <v>7.880233809023928</v>
      </c>
      <c r="D39" s="39">
        <v>10.708239624250202</v>
      </c>
      <c r="E39" s="39">
        <v>13.88867301402803</v>
      </c>
      <c r="F39" s="39">
        <v>17.49201929168868</v>
      </c>
    </row>
    <row r="40">
      <c r="A40" s="62" t="n">
        <v>0.12</v>
      </c>
      <c r="B40" s="39">
        <v>-0.9733026507786408</v>
      </c>
      <c r="C40" s="39">
        <v>0.9976894969670118</v>
      </c>
      <c r="D40" s="39">
        <v>3.1752757512064975</v>
      </c>
      <c r="E40" s="39">
        <v>5.593887791716222</v>
      </c>
      <c r="F40" s="39">
        <v>8.296058997231658</v>
      </c>
    </row>
    <row r="41">
      <c r="A41" s="62" t="n">
        <v>0.13</v>
      </c>
      <c r="B41" s="39">
        <v>-6.135468885310052</v>
      </c>
      <c r="C41" s="39">
        <v>-4.57017709109989</v>
      </c>
      <c r="D41" s="39">
        <v>-2.8565803245145243</v>
      </c>
      <c r="E41" s="39">
        <v>-0.9724337108026884</v>
      </c>
      <c r="F41" s="39">
        <v>1.1091908608178427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Bausch Health Companies Inc.: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0.0991</v>
      </c>
      <c r="D5" s="63">
        <f>Assumptions!$E$12+(Assumptions!$E$11-Assumptions!$E$12)*(D4-1)/(Assumptions!$B$21-1)</f>
        <v>0.09086666666666667</v>
      </c>
      <c r="E5" s="63">
        <f>Assumptions!$E$12+(Assumptions!$E$11-Assumptions!$E$12)*(E4-1)/(Assumptions!$B$21-1)</f>
        <v>0.08263333333333332</v>
      </c>
      <c r="F5" s="63">
        <f>Assumptions!$E$12+(Assumptions!$E$11-Assumptions!$E$12)*(F4-1)/(Assumptions!$B$21-1)</f>
        <v>0.0744</v>
      </c>
      <c r="G5" s="63">
        <f>Assumptions!$E$12+(Assumptions!$E$11-Assumptions!$E$12)*(G4-1)/(Assumptions!$B$21-1)</f>
        <v>0.06616666666666665</v>
      </c>
      <c r="H5" s="63">
        <f>Assumptions!$E$12+(Assumptions!$E$11-Assumptions!$E$12)*(H4-1)/(Assumptions!$B$21-1)</f>
        <v>0.05793333333333333</v>
      </c>
      <c r="I5" s="63">
        <f>Assumptions!$E$12+(Assumptions!$E$11-Assumptions!$E$12)*(I4-1)/(Assumptions!$B$21-1)</f>
        <v>0.049699999999999994</v>
      </c>
      <c r="J5" s="63">
        <f>Assumptions!$E$12+(Assumptions!$E$11-Assumptions!$E$12)*(J4-1)/(Assumptions!$B$21-1)</f>
        <v>0.041466666666666666</v>
      </c>
      <c r="K5" s="63">
        <f>Assumptions!$E$12+(Assumptions!$E$11-Assumptions!$E$12)*(K4-1)/(Assumptions!$B$21-1)</f>
        <v>0.03323333333333332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0.17660237677771284</v>
      </c>
      <c r="C6" s="63">
        <f>Assumptions!$B$18+(Assumptions!$E$13-Assumptions!$B$18)*C4/Assumptions!$B$21</f>
        <v>0.09326</v>
      </c>
      <c r="D6" s="63">
        <f>Assumptions!$B$18+(Assumptions!$E$13-Assumptions!$B$18)*D4/Assumptions!$B$21</f>
        <v>0.10512</v>
      </c>
      <c r="E6" s="63">
        <f>Assumptions!$B$18+(Assumptions!$E$13-Assumptions!$B$18)*E4/Assumptions!$B$21</f>
        <v>0.11698</v>
      </c>
      <c r="F6" s="63">
        <f>Assumptions!$B$18+(Assumptions!$E$13-Assumptions!$B$18)*F4/Assumptions!$B$21</f>
        <v>0.12884</v>
      </c>
      <c r="G6" s="63">
        <f>Assumptions!$B$18+(Assumptions!$E$13-Assumptions!$B$18)*G4/Assumptions!$B$21</f>
        <v>0.1407</v>
      </c>
      <c r="H6" s="63">
        <f>Assumptions!$B$18+(Assumptions!$E$13-Assumptions!$B$18)*H4/Assumptions!$B$21</f>
        <v>0.15256</v>
      </c>
      <c r="I6" s="63">
        <f>Assumptions!$B$18+(Assumptions!$E$13-Assumptions!$B$18)*I4/Assumptions!$B$21</f>
        <v>0.16442</v>
      </c>
      <c r="J6" s="63">
        <f>Assumptions!$B$18+(Assumptions!$E$13-Assumptions!$B$18)*J4/Assumptions!$B$21</f>
        <v>0.17628</v>
      </c>
      <c r="K6" s="63">
        <f>Assumptions!$B$18+(Assumptions!$E$13-Assumptions!$B$18)*K4/Assumptions!$B$21</f>
        <v>0.18814000000000003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Model'!S2</f>
        <v>10266</v>
      </c>
      <c r="C7" s="55">
        <f>'Yearly Model'!T2</f>
        <v>11283.3606</v>
      </c>
      <c r="D7" s="55">
        <f>'Yearly Model'!U2</f>
        <v>12308.64196652</v>
      </c>
      <c r="E7" s="55">
        <f>'Yearly Model'!V2</f>
        <v>13325.746081020101</v>
      </c>
      <c r="F7" s="55">
        <f>'Yearly Model'!W2</f>
        <v>14317.181589447997</v>
      </c>
      <c r="G7" s="55">
        <f>'Yearly Model'!X2</f>
        <v>15264.50177128314</v>
      </c>
      <c r="H7" s="55">
        <f>'Yearly Model'!Y2</f>
        <v>16148.825240566144</v>
      </c>
      <c r="I7" s="55">
        <f>'Yearly Model'!Z2</f>
        <v>16951.421855022283</v>
      </c>
      <c r="J7" s="55">
        <f>'Yearly Model'!AA2</f>
        <v>17654.340814610543</v>
      </c>
      <c r="K7" s="55">
        <f>'Yearly Model'!AB2</f>
        <v>18241.053407682764</v>
      </c>
      <c r="L7" s="55">
        <f>'Yearly Model'!AC2</f>
        <v>18697.07974287483</v>
      </c>
    </row>
    <row r="8">
      <c r="A8" s="14" t="inlineStr">
        <is>
          <t>Operating income</t>
        </is>
      </c>
      <c r="B8" s="55">
        <f>'Yearly Model'!S8</f>
        <v>1813.0</v>
      </c>
      <c r="C8" s="55">
        <f>'Yearly Model'!T8</f>
        <v>1052.2862095559994</v>
      </c>
      <c r="D8" s="55">
        <f>'Yearly Model'!U8</f>
        <v>1293.8844435205829</v>
      </c>
      <c r="E8" s="55">
        <f>'Yearly Model'!V8</f>
        <v>1558.8457765577314</v>
      </c>
      <c r="F8" s="55">
        <f>'Yearly Model'!W8</f>
        <v>1844.62567598448</v>
      </c>
      <c r="G8" s="55">
        <f>'Yearly Model'!X8</f>
        <v>2147.715399219538</v>
      </c>
      <c r="H8" s="55">
        <f>'Yearly Model'!Y8</f>
        <v>2463.6647787007714</v>
      </c>
      <c r="I8" s="55">
        <f>'Yearly Model'!Z8</f>
        <v>2787.152781402765</v>
      </c>
      <c r="J8" s="55">
        <f>'Yearly Model'!AA8</f>
        <v>3112.1071987995456</v>
      </c>
      <c r="K8" s="55">
        <f>'Yearly Model'!AB8</f>
        <v>3431.871788121436</v>
      </c>
      <c r="L8" s="55">
        <f>'Yearly Model'!AC8</f>
        <v>3739.415948574966</v>
      </c>
    </row>
    <row r="9">
      <c r="A9" s="14" t="inlineStr">
        <is>
          <t>Tax on operating income</t>
        </is>
      </c>
      <c r="C9" s="52">
        <f>MAX(0,C8)*Assumptions!$E$14</f>
        <v>178.8886556245199</v>
      </c>
      <c r="D9" s="52">
        <f>MAX(0,D8)*Assumptions!$E$14</f>
        <v>219.9603553984991</v>
      </c>
      <c r="E9" s="52">
        <f>MAX(0,E8)*Assumptions!$E$14</f>
        <v>265.00378201481436</v>
      </c>
      <c r="F9" s="52">
        <f>MAX(0,F8)*Assumptions!$E$14</f>
        <v>313.5863649173616</v>
      </c>
      <c r="G9" s="52">
        <f>MAX(0,G8)*Assumptions!$E$14</f>
        <v>365.1116178673215</v>
      </c>
      <c r="H9" s="52">
        <f>MAX(0,H8)*Assumptions!$E$14</f>
        <v>418.82301237913117</v>
      </c>
      <c r="I9" s="52">
        <f>MAX(0,I8)*Assumptions!$E$14</f>
        <v>473.8159728384701</v>
      </c>
      <c r="J9" s="52">
        <f>MAX(0,J8)*Assumptions!$E$14</f>
        <v>529.0582237959228</v>
      </c>
      <c r="K9" s="52">
        <f>MAX(0,K8)*Assumptions!$E$14</f>
        <v>583.4182039806442</v>
      </c>
      <c r="L9" s="52">
        <f>MAX(0,L8)*Assumptions!$E$14</f>
        <v>635.7007112577443</v>
      </c>
    </row>
    <row r="10">
      <c r="A10" s="14" t="inlineStr">
        <is>
          <t>NOPAT</t>
        </is>
      </c>
      <c r="C10" s="52">
        <f>C8-C9</f>
        <v>873.3975539314795</v>
      </c>
      <c r="D10" s="52">
        <f>D8-D9</f>
        <v>1073.9240881220837</v>
      </c>
      <c r="E10" s="52">
        <f>E8-E9</f>
        <v>1293.841994542917</v>
      </c>
      <c r="F10" s="52">
        <f>F8-F9</f>
        <v>1531.0393110671184</v>
      </c>
      <c r="G10" s="52">
        <f>G8-G9</f>
        <v>1782.6037813522166</v>
      </c>
      <c r="H10" s="52">
        <f>H8-H9</f>
        <v>2044.8417663216403</v>
      </c>
      <c r="I10" s="52">
        <f>I8-I9</f>
        <v>2313.336808564295</v>
      </c>
      <c r="J10" s="52">
        <f>J8-J9</f>
        <v>2583.0489750036227</v>
      </c>
      <c r="K10" s="52">
        <f>K8-K9</f>
        <v>2848.453584140792</v>
      </c>
      <c r="L10" s="52">
        <f>L8-L9</f>
        <v>3103.7152373172216</v>
      </c>
    </row>
    <row r="11">
      <c r="A11" s="14" t="inlineStr">
        <is>
          <t>Reinvestment</t>
        </is>
      </c>
      <c r="C11" s="52">
        <f>(C7-B7)*Assumptions!$E$15</f>
        <v>254.34015</v>
      </c>
      <c r="D11" s="52">
        <f>(D7-C7)*Assumptions!$E$15</f>
        <v>256.3203416299998</v>
      </c>
      <c r="E11" s="52">
        <f>(E7-D7)*Assumptions!$E$15</f>
        <v>254.27602862502545</v>
      </c>
      <c r="F11" s="52">
        <f>(F7-E7)*Assumptions!$E$15</f>
        <v>247.85887710697398</v>
      </c>
      <c r="G11" s="52">
        <f>(G7-F7)*Assumptions!$E$15</f>
        <v>236.83004545878566</v>
      </c>
      <c r="H11" s="52">
        <f>(H7-G7)*Assumptions!$E$15</f>
        <v>221.08086732075117</v>
      </c>
      <c r="I11" s="52">
        <f>(I7-H7)*Assumptions!$E$15</f>
        <v>200.64915361403473</v>
      </c>
      <c r="J11" s="52">
        <f>(J7-I7)*Assumptions!$E$15</f>
        <v>175.72973989706497</v>
      </c>
      <c r="K11" s="52">
        <f>(K7-J7)*Assumptions!$E$15</f>
        <v>146.67814826805534</v>
      </c>
      <c r="L11" s="52">
        <f>(L7-K7)*Assumptions!$E$15</f>
        <v>114.00658379801644</v>
      </c>
    </row>
    <row r="12">
      <c r="A12" s="20" t="inlineStr">
        <is>
          <t>Free cash flow</t>
        </is>
      </c>
      <c r="C12" s="64">
        <f>C10-C11</f>
        <v>619.0574039314795</v>
      </c>
      <c r="D12" s="64">
        <f>D10-D11</f>
        <v>817.6037464920839</v>
      </c>
      <c r="E12" s="64">
        <f>E10-E11</f>
        <v>1039.5659659178916</v>
      </c>
      <c r="F12" s="64">
        <f>F10-F11</f>
        <v>1283.1804339601445</v>
      </c>
      <c r="G12" s="64">
        <f>G10-G11</f>
        <v>1545.773735893431</v>
      </c>
      <c r="H12" s="64">
        <f>H10-H11</f>
        <v>1823.7608990008891</v>
      </c>
      <c r="I12" s="64">
        <f>I10-I11</f>
        <v>2112.6876549502604</v>
      </c>
      <c r="J12" s="64">
        <f>J10-J11</f>
        <v>2407.3192351065577</v>
      </c>
      <c r="K12" s="64">
        <f>K10-K11</f>
        <v>2701.7754358727366</v>
      </c>
      <c r="L12" s="64">
        <f>L10-L11</f>
        <v>2989.708653519205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303.96526809452183</v>
      </c>
      <c r="D16" s="64">
        <f>D12*D13*D15</f>
        <v>736.2648542810863</v>
      </c>
      <c r="E16" s="64">
        <f>E12*E13*E15</f>
        <v>843.3741219645826</v>
      </c>
      <c r="F16" s="64">
        <f>F12*F13*F15</f>
        <v>937.8491049211491</v>
      </c>
      <c r="G16" s="64">
        <f>G12*G13*G15</f>
        <v>1017.8134476592797</v>
      </c>
      <c r="H16" s="64">
        <f>H12*H13*H15</f>
        <v>1081.850330667709</v>
      </c>
      <c r="I16" s="64">
        <f>I12*I13*I15</f>
        <v>1129.0458991565579</v>
      </c>
      <c r="J16" s="64">
        <f>J12*J13*J15</f>
        <v>1159.0095387404058</v>
      </c>
      <c r="K16" s="64">
        <f>K12*K13*K15</f>
        <v>1171.8704260811521</v>
      </c>
      <c r="L16" s="64">
        <f>L12*L13*L15</f>
        <v>1168.251198369253</v>
      </c>
    </row>
    <row r="19">
      <c r="A19" s="14" t="inlineStr">
        <is>
          <t>PV of forecast free cash flow</t>
        </is>
      </c>
      <c r="B19" s="52">
        <f>SUM(C16:L16)</f>
        <v>9549.294189935697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3064.451369857184</v>
      </c>
    </row>
    <row r="21">
      <c r="A21" s="14" t="inlineStr">
        <is>
          <t>Terminal value</t>
        </is>
      </c>
      <c r="B21" s="52">
        <f>B20/(Assumptions!$E$10-Assumptions!$E$11)</f>
        <v>36052.36905714335</v>
      </c>
    </row>
    <row r="22">
      <c r="A22" s="14" t="inlineStr">
        <is>
          <t>PV of terminal value</t>
        </is>
      </c>
      <c r="B22" s="52">
        <f>B21/(1+Assumptions!$E$10)^(L14+0.5)</f>
        <v>13371.486354460063</v>
      </c>
    </row>
    <row r="23">
      <c r="A23" s="20" t="inlineStr">
        <is>
          <t>Enterprise value</t>
        </is>
      </c>
      <c r="B23" s="66">
        <f>B19+B22</f>
        <v>22920.780544395762</v>
      </c>
    </row>
    <row r="24">
      <c r="A24" s="14" t="inlineStr">
        <is>
          <t>Cash &amp; investments</t>
        </is>
      </c>
      <c r="B24" s="55">
        <f>Main!C7</f>
        <v>1825</v>
      </c>
    </row>
    <row r="25">
      <c r="A25" s="14" t="inlineStr">
        <is>
          <t>Debt</t>
        </is>
      </c>
      <c r="B25" s="55">
        <f>Main!C8</f>
        <v>20741.0</v>
      </c>
    </row>
    <row r="26">
      <c r="A26" s="20" t="inlineStr">
        <is>
          <t>Equity value</t>
        </is>
      </c>
      <c r="B26" s="66">
        <f>B23+B24-B25</f>
        <v>4004.7805443957623</v>
      </c>
    </row>
    <row r="27">
      <c r="A27" s="14" t="inlineStr">
        <is>
          <t>Shares (mm)</t>
        </is>
      </c>
      <c r="B27" s="55">
        <f>Main!C4</f>
        <v>373.990561</v>
      </c>
    </row>
    <row r="28">
      <c r="A28" s="20" t="inlineStr">
        <is>
          <t>NPV / share</t>
        </is>
      </c>
      <c r="B28" s="49">
        <f>B26/B27</f>
        <v>10.708239624250202</v>
      </c>
    </row>
    <row r="29">
      <c r="A29" s="14" t="inlineStr">
        <is>
          <t>Price</t>
        </is>
      </c>
      <c r="B29" s="50">
        <f>Main!C3</f>
        <v>6.415</v>
      </c>
    </row>
    <row r="30">
      <c r="A30" s="14" t="inlineStr">
        <is>
          <t>Upside</t>
        </is>
      </c>
      <c r="B30" s="63">
        <f>B28/B29-1</f>
        <v>0.6692501362821828</v>
      </c>
    </row>
    <row r="31">
      <c r="A31" s="14" t="inlineStr">
        <is>
          <t>Terminal value, % of EV</t>
        </is>
      </c>
      <c r="B31" s="63">
        <f>IFERROR(B22/B23,0)</f>
        <v>0.583378315959203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2026-10-21T01:04:21Z</dcterms:modified>
  <cp:lastModifiedBy>Wang, Eric</cp:lastModifiedBy>
</cp:coreProperties>
</file>