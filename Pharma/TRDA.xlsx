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</sheets>
  <externalReferences>
    <externalReference r:id="rId4"/>
  </externalReference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%"/>
    <numFmt numFmtId="166" formatCode="0.0"/>
    <numFmt numFmtId="167" formatCode="#,##0.0;(#,##0.0);&quot;-&quot;"/>
  </numFmts>
  <fonts count="4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Entrada Therapeutics, Inc.</t>
        </is>
      </c>
      <c r="C2" s="10" t="n"/>
    </row>
    <row r="3">
      <c r="B3" t="inlineStr">
        <is>
          <t>Price</t>
        </is>
      </c>
      <c r="C3" s="11">
        <f>INDEX([1]Pharma!$F$1:$F$1000,MATCH("TRDA",[1]Pharma!$B$1:$B$1000,0))</f>
        <v>4.99</v>
      </c>
      <c r="F3" s="1" t="n"/>
    </row>
    <row r="4">
      <c r="B4" t="inlineStr">
        <is>
          <t>Shares</t>
        </is>
      </c>
      <c r="C4" s="21" t="n">
        <v>38.936669</v>
      </c>
      <c r="F4" s="1" t="n"/>
    </row>
    <row r="5">
      <c r="B5" t="inlineStr">
        <is>
          <t>Market Cap.</t>
        </is>
      </c>
      <c r="C5" s="13">
        <f>C3*C4</f>
        <v>194.29397831000003</v>
      </c>
      <c r="F5" s="1" t="n"/>
    </row>
    <row r="6"/>
    <row r="7">
      <c r="B7" t="inlineStr">
        <is>
          <t>Cash</t>
        </is>
      </c>
      <c r="C7" s="21" t="n">
        <v>223</v>
      </c>
    </row>
    <row r="8">
      <c r="B8" t="inlineStr">
        <is>
          <t>Debt</t>
        </is>
      </c>
      <c r="C8" s="21" t="n">
        <v>0</v>
      </c>
    </row>
    <row r="9">
      <c r="B9" t="inlineStr">
        <is>
          <t>Enterprise V.</t>
        </is>
      </c>
      <c r="C9" s="13">
        <f>C5-C7+C8</f>
        <v>-28.70602168999997</v>
      </c>
    </row>
    <row r="10"/>
    <row r="11">
      <c r="B11" s="14" t="inlineStr">
        <is>
          <t>Net Cash / Share</t>
        </is>
      </c>
      <c r="C11" s="11">
        <f>(C7-C8)/C4</f>
        <v>5.727249036120681</v>
      </c>
    </row>
    <row r="12">
      <c r="B12" s="14" t="inlineStr">
        <is>
          <t>Upside</t>
        </is>
      </c>
      <c r="C12" s="15">
        <f>IFERROR(C11/C3-1,"")</f>
        <v>0.14774529781977574</v>
      </c>
    </row>
    <row r="13">
      <c r="B13" s="14" t="inlineStr">
        <is>
          <t>Cash / Share</t>
        </is>
      </c>
      <c r="C13" s="11">
        <f>IFERROR((C7-C8)/C4,"")</f>
        <v>5.727249036120681</v>
      </c>
    </row>
    <row r="14">
      <c r="B14" s="14" t="inlineStr">
        <is>
          <t>Scenario</t>
        </is>
      </c>
      <c r="C14" s="14" t="inlineStr">
        <is>
          <t>pre-revenue</t>
        </is>
      </c>
    </row>
    <row r="15">
      <c r="B15" s="14" t="inlineStr">
        <is>
          <t>Model</t>
        </is>
      </c>
      <c r="C15" s="14" t="inlineStr">
        <is>
          <t>Net cash</t>
        </is>
      </c>
    </row>
    <row r="16"/>
    <row r="17">
      <c r="B17" s="14" t="inlineStr">
        <is>
          <t>TTM Operating Cash Flow</t>
        </is>
      </c>
      <c r="C17" s="21" t="n">
        <v>-134.674</v>
      </c>
    </row>
    <row r="18">
      <c r="B18" s="14" t="inlineStr">
        <is>
          <t>Runway (years)</t>
        </is>
      </c>
      <c r="C18" s="22">
        <f>IF(AND(ISNUMBER(C17),C17&lt;0),IF(C7&gt;C8,(C7-C8)/-C17,"net debt"),"n/a")</f>
        <v>1.6558504239868126</v>
      </c>
    </row>
    <row r="19">
      <c r="B19" s="14" t="inlineStr">
        <is>
          <t>Implied Pipeline Value</t>
        </is>
      </c>
      <c r="C19" s="13">
        <f>C9</f>
        <v>-28.70602168999997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2020</v>
      </c>
      <c r="C1" s="17" t="n">
        <v>2021</v>
      </c>
      <c r="D1" s="17" t="n">
        <v>2022</v>
      </c>
      <c r="E1" s="17" t="n">
        <v>2023</v>
      </c>
      <c r="F1" s="17" t="n">
        <v>2024</v>
      </c>
      <c r="G1" s="17" t="n">
        <v>2025</v>
      </c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0</v>
      </c>
      <c r="C2" s="23" t="n">
        <v>0</v>
      </c>
      <c r="D2" s="23" t="n">
        <v>0</v>
      </c>
      <c r="E2" s="23" t="n">
        <v>129.013</v>
      </c>
      <c r="F2" s="23" t="n">
        <v>210.782</v>
      </c>
      <c r="G2" s="23" t="n">
        <v>25.421</v>
      </c>
      <c r="I2" s="1" t="n"/>
      <c r="J2" s="1" t="n"/>
      <c r="K2" s="1" t="n"/>
    </row>
    <row r="3" customFormat="1" s="1">
      <c r="A3" s="5" t="inlineStr">
        <is>
          <t>Cost of Sales</t>
        </is>
      </c>
      <c r="B3" s="23" t="n">
        <v>0</v>
      </c>
      <c r="C3" s="23" t="n">
        <v>0</v>
      </c>
      <c r="D3" s="23" t="n">
        <v>0</v>
      </c>
      <c r="E3" s="23" t="n">
        <v>0</v>
      </c>
      <c r="F3" s="23" t="n">
        <v>0</v>
      </c>
      <c r="G3" s="23" t="n">
        <v>0</v>
      </c>
      <c r="I3" s="1" t="n"/>
      <c r="J3" s="1" t="n"/>
      <c r="K3" s="1" t="n"/>
    </row>
    <row r="4" customFormat="1" s="1">
      <c r="A4" s="5" t="inlineStr">
        <is>
          <t>Gross Margin</t>
        </is>
      </c>
      <c r="B4" s="23">
        <f>B2-B3</f>
        <v>0.0</v>
      </c>
      <c r="C4" s="23">
        <f>C2-C3</f>
        <v>0.0</v>
      </c>
      <c r="D4" s="23">
        <f>D2-D3</f>
        <v>0.0</v>
      </c>
      <c r="E4" s="23">
        <f>E2-E3</f>
        <v>129.013</v>
      </c>
      <c r="F4" s="23">
        <f>F2-F3</f>
        <v>210.782</v>
      </c>
      <c r="G4" s="23">
        <f>G2-G3</f>
        <v>25.421</v>
      </c>
      <c r="I4" s="1" t="n"/>
      <c r="J4" s="1" t="n"/>
      <c r="K4" s="1" t="n"/>
    </row>
    <row r="5">
      <c r="A5" s="2" t="inlineStr">
        <is>
          <t>Research &amp; Dev.</t>
        </is>
      </c>
      <c r="B5" s="23" t="n">
        <v>21.102</v>
      </c>
      <c r="C5" s="23" t="n">
        <v>35.926</v>
      </c>
      <c r="D5" s="23" t="n">
        <v>66.60899999999999</v>
      </c>
      <c r="E5" s="23" t="n">
        <v>99.884</v>
      </c>
      <c r="F5" s="23" t="n">
        <v>125.306</v>
      </c>
      <c r="G5" s="23" t="n">
        <v>142.269</v>
      </c>
      <c r="I5" s="1" t="n"/>
      <c r="J5" s="1" t="n"/>
      <c r="K5" s="1" t="n"/>
    </row>
    <row r="6">
      <c r="A6" s="19" t="inlineStr">
        <is>
          <t>SG&amp;A &amp; Other</t>
        </is>
      </c>
      <c r="B6" s="23" t="n">
        <v>5.565</v>
      </c>
      <c r="C6" s="23" t="n">
        <v>15.201</v>
      </c>
      <c r="D6" s="23" t="n">
        <v>30.639</v>
      </c>
      <c r="E6" s="23" t="n">
        <v>32.291</v>
      </c>
      <c r="F6" s="23" t="n">
        <v>38.465</v>
      </c>
      <c r="G6" s="23" t="n">
        <v>41.05</v>
      </c>
      <c r="I6" s="1" t="n"/>
      <c r="J6" s="1" t="n"/>
      <c r="K6" s="1" t="n"/>
    </row>
    <row r="7">
      <c r="A7" s="2" t="inlineStr">
        <is>
          <t>Operating Expense</t>
        </is>
      </c>
      <c r="B7" s="23">
        <f>SUM(B5:B6)</f>
        <v>26.667</v>
      </c>
      <c r="C7" s="23">
        <f>SUM(C5:C6)</f>
        <v>51.127</v>
      </c>
      <c r="D7" s="23">
        <f>SUM(D5:D6)</f>
        <v>97.24799999999999</v>
      </c>
      <c r="E7" s="23">
        <f>SUM(E5:E6)</f>
        <v>132.175</v>
      </c>
      <c r="F7" s="23">
        <f>SUM(F5:F6)</f>
        <v>163.77100000000002</v>
      </c>
      <c r="G7" s="23">
        <f>SUM(G5:G6)</f>
        <v>183.31900000000002</v>
      </c>
      <c r="I7" s="1" t="n"/>
      <c r="J7" s="1" t="n"/>
      <c r="K7" s="1" t="n"/>
    </row>
    <row r="8">
      <c r="A8" s="2" t="inlineStr">
        <is>
          <t>Operating Income</t>
        </is>
      </c>
      <c r="B8" s="23">
        <f>B4-B7</f>
        <v>-26.667</v>
      </c>
      <c r="C8" s="23">
        <f>C4-C7</f>
        <v>-51.127</v>
      </c>
      <c r="D8" s="23">
        <f>D4-D7</f>
        <v>-97.24799999999999</v>
      </c>
      <c r="E8" s="23">
        <f>E4-E7</f>
        <v>-3.162000000000006</v>
      </c>
      <c r="F8" s="23">
        <f>F4-F7</f>
        <v>47.010999999999996</v>
      </c>
      <c r="G8" s="23">
        <f>G4-G7</f>
        <v>-157.89800000000002</v>
      </c>
      <c r="I8" s="1" t="n"/>
      <c r="J8" s="1" t="n"/>
      <c r="K8" s="1" t="n"/>
    </row>
    <row r="9">
      <c r="A9" s="19" t="inlineStr">
        <is>
          <t>Interest &amp; Other</t>
        </is>
      </c>
      <c r="B9" s="23" t="n">
        <v>0.144</v>
      </c>
      <c r="C9" s="23" t="n">
        <v>-0.031</v>
      </c>
      <c r="D9" s="23" t="n">
        <v>2.632</v>
      </c>
      <c r="E9" s="23" t="n">
        <v>15.218</v>
      </c>
      <c r="F9" s="23" t="n">
        <v>19.474</v>
      </c>
      <c r="G9" s="23" t="n">
        <v>15.072</v>
      </c>
    </row>
    <row r="10">
      <c r="A10" s="2" t="inlineStr">
        <is>
          <t>Pretax</t>
        </is>
      </c>
      <c r="B10" s="23">
        <f>B8+B9</f>
        <v>-26.523000000000003</v>
      </c>
      <c r="C10" s="23">
        <f>C8+C9</f>
        <v>-51.158</v>
      </c>
      <c r="D10" s="23">
        <f>D8+D9</f>
        <v>-94.61599999999999</v>
      </c>
      <c r="E10" s="23">
        <f>E8+E9</f>
        <v>12.055999999999994</v>
      </c>
      <c r="F10" s="23">
        <f>F8+F9</f>
        <v>66.485</v>
      </c>
      <c r="G10" s="23">
        <f>G8+G9</f>
        <v>-142.82600000000002</v>
      </c>
      <c r="I10" s="1" t="n"/>
      <c r="J10" s="1" t="n"/>
      <c r="K10" s="1" t="n"/>
    </row>
    <row r="11">
      <c r="A11" s="2" t="inlineStr">
        <is>
          <t>Taxes</t>
        </is>
      </c>
      <c r="B11" s="23" t="n">
        <v>0</v>
      </c>
      <c r="C11" s="23" t="n">
        <v>0</v>
      </c>
      <c r="D11" s="23" t="n">
        <v>0</v>
      </c>
      <c r="E11" s="23" t="n">
        <v>18.741</v>
      </c>
      <c r="F11" s="23" t="n">
        <v>0.859</v>
      </c>
      <c r="G11" s="23" t="n">
        <v>0.924</v>
      </c>
    </row>
    <row r="12">
      <c r="A12" s="2" t="inlineStr">
        <is>
          <t>Net Income</t>
        </is>
      </c>
      <c r="B12" s="23" t="n">
        <v>-26.523</v>
      </c>
      <c r="C12" s="23" t="n">
        <v>-51.158</v>
      </c>
      <c r="D12" s="23" t="n">
        <v>-94.616</v>
      </c>
      <c r="E12" s="23" t="n">
        <v>-6.685</v>
      </c>
      <c r="F12" s="23" t="n">
        <v>65.626</v>
      </c>
      <c r="G12" s="23" t="n">
        <v>-143.75</v>
      </c>
      <c r="I12" s="1" t="n"/>
      <c r="J12" s="1" t="n"/>
      <c r="K12" s="1" t="n"/>
    </row>
    <row r="13">
      <c r="A13" s="2" t="inlineStr">
        <is>
          <t>Earnings per Share</t>
        </is>
      </c>
      <c r="B13" s="11">
        <f>IFERROR(B12/B14,0)</f>
        <v>-4.799674267100977</v>
      </c>
      <c r="C13" s="11">
        <f>IFERROR(C12/C14,0)</f>
        <v>-1.632406905134178</v>
      </c>
      <c r="D13" s="11">
        <f>IFERROR(D12/D14,0)</f>
        <v>-3.0235515930080212</v>
      </c>
      <c r="E13" s="11">
        <f>IFERROR(E12/E14,0)</f>
        <v>-0.20226928895612709</v>
      </c>
      <c r="F13" s="11">
        <f>IFERROR(F12/F14,0)</f>
        <v>1.6825885188318848</v>
      </c>
      <c r="G13" s="11">
        <f>IFERROR(G12/G14,0)</f>
        <v>-3.4746561601121555</v>
      </c>
    </row>
    <row r="14">
      <c r="A14" s="2" t="inlineStr">
        <is>
          <t>Shares</t>
        </is>
      </c>
      <c r="B14" s="23" t="n">
        <v>5.526</v>
      </c>
      <c r="C14" s="23" t="n">
        <v>31.339</v>
      </c>
      <c r="D14" s="23" t="n">
        <v>31.293</v>
      </c>
      <c r="E14" s="23" t="n">
        <v>33.05</v>
      </c>
      <c r="F14" s="23" t="n">
        <v>39.003</v>
      </c>
      <c r="G14" s="23" t="n">
        <v>41.371</v>
      </c>
    </row>
    <row r="15"/>
    <row r="16" customFormat="1" s="4">
      <c r="A16" s="3" t="inlineStr">
        <is>
          <t>Revenue Change</t>
        </is>
      </c>
      <c r="C16" s="15">
        <f>IFERROR(C2/B2-1,"")</f>
        <v/>
      </c>
      <c r="D16" s="15">
        <f>IFERROR(D2/C2-1,"")</f>
        <v/>
      </c>
      <c r="E16" s="15">
        <f>IFERROR(E2/D2-1,"")</f>
        <v/>
      </c>
      <c r="F16" s="15">
        <f>IFERROR(F2/E2-1,"")</f>
        <v>0.6338043452985358</v>
      </c>
      <c r="G16" s="15">
        <f>IFERROR(G2/F2-1,"")</f>
        <v>-0.8793967226803048</v>
      </c>
      <c r="H16" s="4" t="n"/>
      <c r="I16" s="4" t="n"/>
      <c r="J16" s="4" t="n"/>
      <c r="K16" s="4" t="n"/>
    </row>
    <row r="17" customFormat="1" s="4">
      <c r="A17" s="3" t="inlineStr">
        <is>
          <t>Gross Margin</t>
        </is>
      </c>
      <c r="B17" s="15">
        <f>IFERROR(B4/B2,"")</f>
        <v/>
      </c>
      <c r="C17" s="15">
        <f>IFERROR(C4/C2,"")</f>
        <v/>
      </c>
      <c r="D17" s="15">
        <f>IFERROR(D4/D2,"")</f>
        <v/>
      </c>
      <c r="E17" s="15">
        <f>IFERROR(E4/E2,"")</f>
        <v>1.0</v>
      </c>
      <c r="F17" s="15">
        <f>IFERROR(F4/F2,"")</f>
        <v>1.0</v>
      </c>
      <c r="G17" s="15">
        <f>IFERROR(G4/G2,"")</f>
        <v>1.0</v>
      </c>
      <c r="H17" s="4" t="n"/>
      <c r="I17" s="4" t="n"/>
      <c r="J17" s="4" t="n"/>
      <c r="K17" s="4" t="n"/>
    </row>
    <row r="18">
      <c r="A18" s="14" t="inlineStr">
        <is>
          <t>Operating Margin</t>
        </is>
      </c>
      <c r="B18" s="15">
        <f>IFERROR(B8/B2,"")</f>
        <v/>
      </c>
      <c r="C18" s="15">
        <f>IFERROR(C8/C2,"")</f>
        <v/>
      </c>
      <c r="D18" s="15">
        <f>IFERROR(D8/D2,"")</f>
        <v/>
      </c>
      <c r="E18" s="15">
        <f>IFERROR(E8/E2,"")</f>
        <v>-0.024509157991830326</v>
      </c>
      <c r="F18" s="15">
        <f>IFERROR(F8/F2,"")</f>
        <v>0.22303137839094417</v>
      </c>
      <c r="G18" s="15">
        <f>IFERROR(G8/G2,"")</f>
        <v>-6.211321348491406</v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  <c r="G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2026-10-21T01:05:39Z</dcterms:modified>
  <cp:lastModifiedBy>Wang, Eric</cp:lastModifiedBy>
</cp:coreProperties>
</file>