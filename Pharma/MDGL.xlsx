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Madrigal Pharmaceuticals, Inc.</t>
        </is>
      </c>
      <c r="C2" s="10" t="n"/>
    </row>
    <row r="3">
      <c r="B3" t="inlineStr">
        <is>
          <t>Price</t>
        </is>
      </c>
      <c r="C3" s="11">
        <f>INDEX([1]Pharma!$F$1:$F$1000,MATCH("MDGL",[1]Pharma!$B$1:$B$1000,0))</f>
        <v>467.54</v>
      </c>
      <c r="F3" s="1" t="n"/>
    </row>
    <row r="4">
      <c r="B4" t="inlineStr">
        <is>
          <t>Shares</t>
        </is>
      </c>
      <c r="C4" s="21" t="n">
        <v>23.104126</v>
      </c>
      <c r="F4" s="1" t="n"/>
    </row>
    <row r="5">
      <c r="B5" t="inlineStr">
        <is>
          <t>Market Cap.</t>
        </is>
      </c>
      <c r="C5" s="13">
        <f>C3*C4</f>
        <v>10802.10307004</v>
      </c>
      <c r="F5" s="1" t="n"/>
    </row>
    <row r="6"/>
    <row r="7">
      <c r="B7" t="inlineStr">
        <is>
          <t>Cash</t>
        </is>
      </c>
      <c r="C7" s="21">
        <f>292.726+546.027</f>
        <v>838.753</v>
      </c>
    </row>
    <row r="8">
      <c r="B8" t="inlineStr">
        <is>
          <t>Debt</t>
        </is>
      </c>
      <c r="C8" s="21" t="n">
        <v>340.794</v>
      </c>
    </row>
    <row r="9">
      <c r="B9" t="inlineStr">
        <is>
          <t>Enterprise V.</t>
        </is>
      </c>
      <c r="C9" s="13">
        <f>C5-C7+C8</f>
        <v>10304.14407004</v>
      </c>
    </row>
    <row r="10"/>
    <row r="11">
      <c r="B11" s="14" t="inlineStr">
        <is>
          <t>Net Cash / Share</t>
        </is>
      </c>
      <c r="C11" s="11">
        <f>(C7-C8)/C4</f>
        <v>21.552817016319946</v>
      </c>
    </row>
    <row r="12">
      <c r="B12" s="14" t="inlineStr">
        <is>
          <t>Upside</t>
        </is>
      </c>
      <c r="C12" s="15">
        <f>IFERROR(C11/C3-1,"")</f>
        <v>-0.9539016618549858</v>
      </c>
    </row>
    <row r="13">
      <c r="B13" s="14" t="inlineStr">
        <is>
          <t>Cash / Share</t>
        </is>
      </c>
      <c r="C13" s="11">
        <f>IFERROR((C7-C8)/C4,"")</f>
        <v>21.552817016319946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-197.716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2.5185569200267053</v>
      </c>
    </row>
    <row r="19">
      <c r="B19" s="14" t="inlineStr">
        <is>
          <t>Implied Pipeline Value</t>
        </is>
      </c>
      <c r="C19" s="13">
        <f>C9</f>
        <v>10304.14407004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0.147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180.133</v>
      </c>
      <c r="R2" s="23" t="n">
        <v>958.403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6.233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0.147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173.9</v>
      </c>
      <c r="R4" s="23">
        <f>R2-R3</f>
        <v>958.403</v>
      </c>
    </row>
    <row r="5">
      <c r="A5" s="2" t="inlineStr">
        <is>
          <t>Research &amp; Dev.</t>
        </is>
      </c>
      <c r="B5" s="23" t="n">
        <v>51.054</v>
      </c>
      <c r="C5" s="23" t="n">
        <v>40.252</v>
      </c>
      <c r="D5" s="23" t="n">
        <v>41.464</v>
      </c>
      <c r="E5" s="23" t="n">
        <v>49.412</v>
      </c>
      <c r="F5" s="23" t="n">
        <v>71.86</v>
      </c>
      <c r="G5" s="23" t="n">
        <v>68.205</v>
      </c>
      <c r="H5" s="23" t="n">
        <v>2.427</v>
      </c>
      <c r="I5" s="23" t="n">
        <v>15.933</v>
      </c>
      <c r="J5" s="23" t="n">
        <v>24.39</v>
      </c>
      <c r="K5" s="23" t="n">
        <v>25.389</v>
      </c>
      <c r="L5" s="23" t="n">
        <v>72.324</v>
      </c>
      <c r="M5" s="23" t="n">
        <v>184.809</v>
      </c>
      <c r="N5" s="23" t="n">
        <v>205.164</v>
      </c>
      <c r="O5" s="23" t="n">
        <v>245.441</v>
      </c>
      <c r="P5" s="23" t="n">
        <v>272.35</v>
      </c>
      <c r="Q5" s="23" t="n">
        <v>236.718</v>
      </c>
      <c r="R5" s="23" t="n">
        <v>388.525</v>
      </c>
    </row>
    <row r="6">
      <c r="A6" s="19" t="inlineStr">
        <is>
          <t>SG&amp;A &amp; Other</t>
        </is>
      </c>
      <c r="B6" s="23" t="n">
        <v>-130.358</v>
      </c>
      <c r="C6" s="23" t="n">
        <v>-3.354</v>
      </c>
      <c r="D6" s="23" t="n">
        <v>3.968</v>
      </c>
      <c r="E6" s="23" t="n">
        <v>11.676</v>
      </c>
      <c r="F6" s="23" t="n">
        <v>15.699</v>
      </c>
      <c r="G6" s="23" t="n">
        <v>15.746</v>
      </c>
      <c r="H6" s="23" t="n">
        <v>0.806</v>
      </c>
      <c r="I6" s="23" t="n">
        <v>9.289999999999999</v>
      </c>
      <c r="J6" s="23" t="n">
        <v>7.672</v>
      </c>
      <c r="K6" s="23" t="n">
        <v>15.293</v>
      </c>
      <c r="L6" s="23" t="n">
        <v>22.648</v>
      </c>
      <c r="M6" s="23" t="n">
        <v>21.864</v>
      </c>
      <c r="N6" s="23" t="n">
        <v>37.318</v>
      </c>
      <c r="O6" s="23" t="n">
        <v>48.13</v>
      </c>
      <c r="P6" s="23" t="n">
        <v>108.146</v>
      </c>
      <c r="Q6" s="23" t="n">
        <v>435.057</v>
      </c>
      <c r="R6" s="23" t="n">
        <v>869.975</v>
      </c>
    </row>
    <row r="7">
      <c r="A7" s="2" t="inlineStr">
        <is>
          <t>Operating Expense</t>
        </is>
      </c>
      <c r="B7" s="23">
        <f>SUM(B5:B6)</f>
        <v>-79.304</v>
      </c>
      <c r="C7" s="23">
        <f>SUM(C5:C6)</f>
        <v>36.898</v>
      </c>
      <c r="D7" s="23">
        <f>SUM(D5:D6)</f>
        <v>45.432</v>
      </c>
      <c r="E7" s="23">
        <f>SUM(E5:E6)</f>
        <v>61.088</v>
      </c>
      <c r="F7" s="23">
        <f>SUM(F5:F6)</f>
        <v>87.559</v>
      </c>
      <c r="G7" s="23">
        <f>SUM(G5:G6)</f>
        <v>83.951</v>
      </c>
      <c r="H7" s="23">
        <f>SUM(H5:H6)</f>
        <v>3.233</v>
      </c>
      <c r="I7" s="23">
        <f>SUM(I5:I6)</f>
        <v>25.223</v>
      </c>
      <c r="J7" s="23">
        <f>SUM(J5:J6)</f>
        <v>32.062</v>
      </c>
      <c r="K7" s="23">
        <f>SUM(K5:K6)</f>
        <v>40.682</v>
      </c>
      <c r="L7" s="23">
        <f>SUM(L5:L6)</f>
        <v>94.972</v>
      </c>
      <c r="M7" s="23">
        <f>SUM(M5:M6)</f>
        <v>206.673</v>
      </c>
      <c r="N7" s="23">
        <f>SUM(N5:N6)</f>
        <v>242.48199999999997</v>
      </c>
      <c r="O7" s="23">
        <f>SUM(O5:O6)</f>
        <v>293.571</v>
      </c>
      <c r="P7" s="23">
        <f>SUM(P5:P6)</f>
        <v>380.49600000000004</v>
      </c>
      <c r="Q7" s="23">
        <f>SUM(Q5:Q6)</f>
        <v>671.775</v>
      </c>
      <c r="R7" s="23">
        <f>SUM(R5:R6)</f>
        <v>1258.5</v>
      </c>
    </row>
    <row r="8">
      <c r="A8" s="2" t="inlineStr">
        <is>
          <t>Operating Income</t>
        </is>
      </c>
      <c r="B8" s="23">
        <f>B4-B7</f>
        <v>79.304</v>
      </c>
      <c r="C8" s="23">
        <f>C4-C7</f>
        <v>-36.898</v>
      </c>
      <c r="D8" s="23">
        <f>D4-D7</f>
        <v>-45.432</v>
      </c>
      <c r="E8" s="23">
        <f>E4-E7</f>
        <v>-60.941</v>
      </c>
      <c r="F8" s="23">
        <f>F4-F7</f>
        <v>-87.559</v>
      </c>
      <c r="G8" s="23">
        <f>G4-G7</f>
        <v>-83.951</v>
      </c>
      <c r="H8" s="23">
        <f>H4-H7</f>
        <v>-3.233</v>
      </c>
      <c r="I8" s="23">
        <f>I4-I7</f>
        <v>-25.223</v>
      </c>
      <c r="J8" s="23">
        <f>J4-J7</f>
        <v>-32.062</v>
      </c>
      <c r="K8" s="23">
        <f>K4-K7</f>
        <v>-40.682</v>
      </c>
      <c r="L8" s="23">
        <f>L4-L7</f>
        <v>-94.972</v>
      </c>
      <c r="M8" s="23">
        <f>M4-M7</f>
        <v>-206.673</v>
      </c>
      <c r="N8" s="23">
        <f>N4-N7</f>
        <v>-242.48199999999997</v>
      </c>
      <c r="O8" s="23">
        <f>O4-O7</f>
        <v>-293.571</v>
      </c>
      <c r="P8" s="23">
        <f>P4-P7</f>
        <v>-380.49600000000004</v>
      </c>
      <c r="Q8" s="23">
        <f>Q4-Q7</f>
        <v>-497.875</v>
      </c>
      <c r="R8" s="23">
        <f>R4-R7</f>
        <v>-300.097</v>
      </c>
    </row>
    <row r="9">
      <c r="A9" s="19" t="inlineStr">
        <is>
          <t>Interest &amp; Other</t>
        </is>
      </c>
      <c r="B9" s="23" t="n">
        <v>-0.216</v>
      </c>
      <c r="C9" s="23" t="n">
        <v>-0.569</v>
      </c>
      <c r="D9" s="23" t="n">
        <v>-1.948</v>
      </c>
      <c r="E9" s="23" t="n">
        <v>-1.849</v>
      </c>
      <c r="F9" s="23" t="n">
        <v>-2.633</v>
      </c>
      <c r="G9" s="23" t="n">
        <v>-2.21</v>
      </c>
      <c r="H9" s="23" t="n">
        <v>-3.612</v>
      </c>
      <c r="I9" s="23" t="n">
        <v>-1.165</v>
      </c>
      <c r="J9" s="23" t="n">
        <v>0.908</v>
      </c>
      <c r="K9" s="23" t="n">
        <v>7.871</v>
      </c>
      <c r="L9" s="23" t="n">
        <v>11.024</v>
      </c>
      <c r="M9" s="23" t="n">
        <v>4.429</v>
      </c>
      <c r="N9" s="23" t="n">
        <v>0.636</v>
      </c>
      <c r="O9" s="23" t="n">
        <v>-1.679</v>
      </c>
      <c r="P9" s="23" t="n">
        <v>6.866</v>
      </c>
      <c r="Q9" s="23" t="n">
        <v>31.983</v>
      </c>
      <c r="R9" s="23" t="n">
        <v>11.813</v>
      </c>
    </row>
    <row r="10">
      <c r="A10" s="2" t="inlineStr">
        <is>
          <t>Pretax</t>
        </is>
      </c>
      <c r="B10" s="23">
        <f>B8+B9</f>
        <v>79.08800000000001</v>
      </c>
      <c r="C10" s="23">
        <f>C8+C9</f>
        <v>-37.467000000000006</v>
      </c>
      <c r="D10" s="23">
        <f>D8+D9</f>
        <v>-47.38</v>
      </c>
      <c r="E10" s="23">
        <f>E8+E9</f>
        <v>-62.79</v>
      </c>
      <c r="F10" s="23">
        <f>F8+F9</f>
        <v>-90.192</v>
      </c>
      <c r="G10" s="23">
        <f>G8+G9</f>
        <v>-86.16099999999999</v>
      </c>
      <c r="H10" s="23">
        <f>H8+H9</f>
        <v>-6.845000000000001</v>
      </c>
      <c r="I10" s="23">
        <f>I8+I9</f>
        <v>-26.387999999999998</v>
      </c>
      <c r="J10" s="23">
        <f>J8+J9</f>
        <v>-31.153999999999996</v>
      </c>
      <c r="K10" s="23">
        <f>K8+K9</f>
        <v>-32.811</v>
      </c>
      <c r="L10" s="23">
        <f>L8+L9</f>
        <v>-83.948</v>
      </c>
      <c r="M10" s="23">
        <f>M8+M9</f>
        <v>-202.244</v>
      </c>
      <c r="N10" s="23">
        <f>N8+N9</f>
        <v>-241.84599999999998</v>
      </c>
      <c r="O10" s="23">
        <f>O8+O9</f>
        <v>-295.25</v>
      </c>
      <c r="P10" s="23">
        <f>P8+P9</f>
        <v>-373.63000000000005</v>
      </c>
      <c r="Q10" s="23">
        <f>Q8+Q9</f>
        <v>-465.892</v>
      </c>
      <c r="R10" s="23">
        <f>R8+R9</f>
        <v>-288.284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79.08799999999999</v>
      </c>
      <c r="C12" s="23" t="n">
        <v>-37.467</v>
      </c>
      <c r="D12" s="23" t="n">
        <v>-47.38</v>
      </c>
      <c r="E12" s="23" t="n">
        <v>-62.79</v>
      </c>
      <c r="F12" s="23" t="n">
        <v>-90.19199999999999</v>
      </c>
      <c r="G12" s="23" t="n">
        <v>-86.161</v>
      </c>
      <c r="H12" s="23" t="n">
        <v>-6.845</v>
      </c>
      <c r="I12" s="23" t="n">
        <v>-26.388</v>
      </c>
      <c r="J12" s="23" t="n">
        <v>-31.154</v>
      </c>
      <c r="K12" s="23" t="n">
        <v>-32.811</v>
      </c>
      <c r="L12" s="23" t="n">
        <v>-83.94799999999999</v>
      </c>
      <c r="M12" s="23" t="n">
        <v>-202.244</v>
      </c>
      <c r="N12" s="23" t="n">
        <v>-241.846</v>
      </c>
      <c r="O12" s="23" t="n">
        <v>-295.25</v>
      </c>
      <c r="P12" s="23" t="n">
        <v>-373.63</v>
      </c>
      <c r="Q12" s="23" t="n">
        <v>-465.892</v>
      </c>
      <c r="R12" s="23" t="n">
        <v>-288.284</v>
      </c>
    </row>
    <row r="13">
      <c r="A13" s="2" t="inlineStr">
        <is>
          <t>Earnings per Share</t>
        </is>
      </c>
      <c r="B13" s="11">
        <f>IFERROR(B12/B14,0)</f>
        <v>44.50647158131682</v>
      </c>
      <c r="C13" s="11">
        <f>IFERROR(C12/C14,0)</f>
        <v>-17.824452901998097</v>
      </c>
      <c r="D13" s="11">
        <f>IFERROR(D12/D14,0)</f>
        <v>-19.275834011391375</v>
      </c>
      <c r="E13" s="11">
        <f>IFERROR(E12/E14,0)</f>
        <v>-20.294117647058822</v>
      </c>
      <c r="F13" s="11">
        <f>IFERROR(F12/F14,0)</f>
        <v>-24.395996754124965</v>
      </c>
      <c r="G13" s="11">
        <f>IFERROR(G12/G14,0)</f>
        <v>-16.79551656920078</v>
      </c>
      <c r="H13" s="11">
        <f>IFERROR(H12/H14,0)</f>
        <v>-1.334307992202729</v>
      </c>
      <c r="I13" s="11">
        <f>IFERROR(I12/I14,0)</f>
        <v>-5.069740634005764</v>
      </c>
      <c r="J13" s="11">
        <f>IFERROR(J12/J14,0)</f>
        <v>-2.544222131482238</v>
      </c>
      <c r="K13" s="11">
        <f>IFERROR(K12/K14,0)</f>
        <v>-2.2174089342434278</v>
      </c>
      <c r="L13" s="11">
        <f>IFERROR(L12/L14,0)</f>
        <v>-5.452939265995453</v>
      </c>
      <c r="M13" s="11">
        <f>IFERROR(M12/M14,0)</f>
        <v>-13.092768822425066</v>
      </c>
      <c r="N13" s="11">
        <f>IFERROR(N12/N14,0)</f>
        <v>-14.626307831871788</v>
      </c>
      <c r="O13" s="11">
        <f>IFERROR(O12/O14,0)</f>
        <v>-17.228803174417926</v>
      </c>
      <c r="P13" s="11">
        <f>IFERROR(P12/P14,0)</f>
        <v>-17.32736632194036</v>
      </c>
      <c r="Q13" s="11">
        <f>IFERROR(Q12/Q14,0)</f>
        <v>-17.314255983350677</v>
      </c>
      <c r="R13" s="11">
        <f>IFERROR(R12/R14,0)</f>
        <v>-10.147272087293207</v>
      </c>
    </row>
    <row r="14">
      <c r="A14" s="2" t="inlineStr">
        <is>
          <t>Shares</t>
        </is>
      </c>
      <c r="B14" s="23" t="n">
        <v>1.777</v>
      </c>
      <c r="C14" s="23" t="n">
        <v>2.102</v>
      </c>
      <c r="D14" s="23" t="n">
        <v>2.458</v>
      </c>
      <c r="E14" s="23" t="n">
        <v>3.094</v>
      </c>
      <c r="F14" s="23" t="n">
        <v>3.697</v>
      </c>
      <c r="G14" s="23" t="n">
        <v>5.13</v>
      </c>
      <c r="H14" s="23" t="n">
        <v>5.13</v>
      </c>
      <c r="I14" s="23" t="n">
        <v>5.205</v>
      </c>
      <c r="J14" s="23" t="n">
        <v>12.245</v>
      </c>
      <c r="K14" s="23" t="n">
        <v>14.797</v>
      </c>
      <c r="L14" s="23" t="n">
        <v>15.395</v>
      </c>
      <c r="M14" s="23" t="n">
        <v>15.447</v>
      </c>
      <c r="N14" s="23" t="n">
        <v>16.535</v>
      </c>
      <c r="O14" s="23" t="n">
        <v>17.137</v>
      </c>
      <c r="P14" s="23" t="n">
        <v>21.563</v>
      </c>
      <c r="Q14" s="23" t="n">
        <v>26.908</v>
      </c>
      <c r="R14" s="23" t="n">
        <v>28.41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>4.320529830736178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>0.9653977894111573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-414.5646258503402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>-2.7639299850665897</v>
      </c>
      <c r="R18" s="15">
        <f>IFERROR(R8/R2,"")</f>
        <v>-0.31312193304904096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2026-10-21T06:21:24Z</dcterms:modified>
  <cp:lastModifiedBy>Wang, Eric</cp:lastModifiedBy>
</cp:coreProperties>
</file>