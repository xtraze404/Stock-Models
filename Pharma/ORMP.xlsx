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Oramed Pharmaceuticals Inc</t>
        </is>
      </c>
      <c r="C2" s="10" t="n"/>
    </row>
    <row r="3">
      <c r="B3" t="inlineStr">
        <is>
          <t>Price</t>
        </is>
      </c>
      <c r="C3" s="11">
        <f>INDEX([1]Pharma!$F$1:$F$1000,MATCH("ORMP",[1]Pharma!$B$1:$B$1000,0))</f>
        <v>4.15</v>
      </c>
      <c r="F3" s="1" t="n"/>
    </row>
    <row r="4">
      <c r="B4" t="inlineStr">
        <is>
          <t>Shares</t>
        </is>
      </c>
      <c r="C4" s="21" t="n">
        <v>41.597354</v>
      </c>
      <c r="F4" s="1" t="n"/>
    </row>
    <row r="5">
      <c r="B5" t="inlineStr">
        <is>
          <t>Market Cap.</t>
        </is>
      </c>
      <c r="C5" s="13">
        <f>C3*C4</f>
        <v>172.62901910000002</v>
      </c>
      <c r="F5" s="1" t="n"/>
    </row>
    <row r="6"/>
    <row r="7">
      <c r="B7" t="inlineStr">
        <is>
          <t>Cash</t>
        </is>
      </c>
      <c r="C7" s="21">
        <f>15.245+0.846</f>
        <v>16.090999999999998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156.5380191</v>
      </c>
    </row>
    <row r="10"/>
    <row r="11">
      <c r="B11" s="14" t="inlineStr">
        <is>
          <t>Net Cash / Share</t>
        </is>
      </c>
      <c r="C11" s="11">
        <f>(C7-C8)/C4</f>
        <v>0.3868274890753868</v>
      </c>
    </row>
    <row r="12">
      <c r="B12" s="14" t="inlineStr">
        <is>
          <t>Upside</t>
        </is>
      </c>
      <c r="C12" s="15">
        <f>IFERROR(C11/C3-1,"")</f>
        <v>-0.9067885568493044</v>
      </c>
    </row>
    <row r="13">
      <c r="B13" s="14" t="inlineStr">
        <is>
          <t>Cash / Share</t>
        </is>
      </c>
      <c r="C13" s="11">
        <f>IFERROR((C7-C8)/C4,"")</f>
        <v>0.3868274890753868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-5.206</v>
      </c>
    </row>
    <row r="18">
      <c r="B18" s="14" t="inlineStr">
        <is>
          <t>Runway (years)</t>
        </is>
      </c>
      <c r="C18" s="22">
        <f>IF(AND(ISNUMBER(C17),C17&lt;0),IF(C7&gt;C8,(C7-C8)/-C17,"net debt"),"n/a")</f>
        <v>3.0908567038033032</v>
      </c>
    </row>
    <row r="19">
      <c r="B19" s="14" t="inlineStr">
        <is>
          <t>Implied Pipeline Value</t>
        </is>
      </c>
      <c r="C19" s="13">
        <f>C9</f>
        <v>156.5380191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2008</v>
      </c>
      <c r="C1" s="17" t="n">
        <v>2009</v>
      </c>
      <c r="D1" s="17" t="n">
        <v>2010</v>
      </c>
      <c r="E1" s="17" t="n">
        <v>2011</v>
      </c>
      <c r="F1" s="17" t="n">
        <v>2012</v>
      </c>
      <c r="G1" s="17" t="n">
        <v>2013</v>
      </c>
      <c r="H1" s="17" t="n">
        <v>2014</v>
      </c>
      <c r="I1" s="17" t="n">
        <v>2015</v>
      </c>
      <c r="J1" s="17" t="n">
        <v>2016</v>
      </c>
      <c r="K1" s="17" t="n">
        <v>2017</v>
      </c>
      <c r="L1" s="17" t="n">
        <v>2018</v>
      </c>
      <c r="M1" s="17" t="n">
        <v>2019</v>
      </c>
      <c r="N1" s="17" t="n">
        <v>2020</v>
      </c>
      <c r="O1" s="17" t="n">
        <v>2021</v>
      </c>
      <c r="P1" s="17" t="n">
        <v>2022</v>
      </c>
      <c r="Q1" s="17" t="n">
        <v>2023</v>
      </c>
      <c r="R1" s="17" t="n">
        <v>2024</v>
      </c>
      <c r="S1" s="17" t="n">
        <v>2025</v>
      </c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H2" s="23" t="n">
        <v>0</v>
      </c>
      <c r="I2" s="23" t="n">
        <v>0</v>
      </c>
      <c r="J2" s="23" t="n">
        <v>0.641</v>
      </c>
      <c r="K2" s="23" t="n">
        <v>2.456</v>
      </c>
      <c r="L2" s="23" t="n">
        <v>2.449</v>
      </c>
      <c r="M2" s="23" t="n">
        <v>2.703</v>
      </c>
      <c r="N2" s="23" t="n">
        <v>2.71</v>
      </c>
      <c r="O2" s="23" t="n">
        <v>2.703</v>
      </c>
      <c r="P2" s="23" t="n">
        <v>2.703</v>
      </c>
      <c r="Q2" s="23" t="n">
        <v>1.34</v>
      </c>
      <c r="R2" s="23" t="n">
        <v>0</v>
      </c>
      <c r="S2" s="23" t="n">
        <v>2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0.49</v>
      </c>
      <c r="K3" s="23" t="n">
        <v>0.187</v>
      </c>
      <c r="L3" s="23" t="n">
        <v>-0.08599999999999999</v>
      </c>
      <c r="M3" s="23" t="n">
        <v>0.09</v>
      </c>
      <c r="N3" s="23" t="n">
        <v>0</v>
      </c>
      <c r="O3" s="23" t="n">
        <v>0</v>
      </c>
      <c r="P3" s="23" t="n">
        <v>0</v>
      </c>
      <c r="Q3" s="23" t="n">
        <v>0</v>
      </c>
      <c r="R3" s="23" t="n">
        <v>0</v>
      </c>
      <c r="S3" s="23" t="n">
        <v>1.987</v>
      </c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H4" s="23">
        <f>H2-H3</f>
        <v>0.0</v>
      </c>
      <c r="I4" s="23">
        <f>I2-I3</f>
        <v>0.0</v>
      </c>
      <c r="J4" s="23">
        <f>J2-J3</f>
        <v>0.15100000000000002</v>
      </c>
      <c r="K4" s="23">
        <f>K2-K3</f>
        <v>2.269</v>
      </c>
      <c r="L4" s="23">
        <f>L2-L3</f>
        <v>2.5349999999999997</v>
      </c>
      <c r="M4" s="23">
        <f>M2-M3</f>
        <v>2.613</v>
      </c>
      <c r="N4" s="23">
        <f>N2-N3</f>
        <v>2.71</v>
      </c>
      <c r="O4" s="23">
        <f>O2-O3</f>
        <v>2.703</v>
      </c>
      <c r="P4" s="23">
        <f>P2-P3</f>
        <v>2.703</v>
      </c>
      <c r="Q4" s="23">
        <f>Q2-Q3</f>
        <v>1.34</v>
      </c>
      <c r="R4" s="23">
        <f>R2-R3</f>
        <v>0.0</v>
      </c>
      <c r="S4" s="23">
        <f>S2-S3</f>
        <v>0.0129999999999999</v>
      </c>
    </row>
    <row r="5">
      <c r="A5" s="2" t="inlineStr">
        <is>
          <t>Research &amp; Dev.</t>
        </is>
      </c>
      <c r="B5" s="23" t="n">
        <v>0</v>
      </c>
      <c r="C5" s="23" t="n">
        <v>0</v>
      </c>
      <c r="D5" s="23" t="n">
        <v>0</v>
      </c>
      <c r="E5" s="23" t="n">
        <v>1.159</v>
      </c>
      <c r="F5" s="23" t="n">
        <v>1.681</v>
      </c>
      <c r="G5" s="23" t="n">
        <v>-2.272</v>
      </c>
      <c r="H5" s="23" t="n">
        <v>3.277</v>
      </c>
      <c r="I5" s="23" t="n">
        <v>4.781</v>
      </c>
      <c r="J5" s="23" t="n">
        <v>7.709</v>
      </c>
      <c r="K5" s="23" t="n">
        <v>10.281</v>
      </c>
      <c r="L5" s="23" t="n">
        <v>11.979</v>
      </c>
      <c r="M5" s="23" t="n">
        <v>13.522</v>
      </c>
      <c r="N5" s="23" t="n">
        <v>10.235</v>
      </c>
      <c r="O5" s="23" t="n">
        <v>20.989</v>
      </c>
      <c r="P5" s="23" t="n">
        <v>27.639</v>
      </c>
      <c r="Q5" s="23" t="n">
        <v>8.971</v>
      </c>
      <c r="R5" s="23" t="n">
        <v>6.324</v>
      </c>
      <c r="S5" s="23" t="n">
        <v>6.381</v>
      </c>
    </row>
    <row r="6">
      <c r="A6" s="19" t="inlineStr">
        <is>
          <t>SG&amp;A &amp; Other</t>
        </is>
      </c>
      <c r="B6" s="23" t="n">
        <v>2.769</v>
      </c>
      <c r="C6" s="23" t="n">
        <v>2.76</v>
      </c>
      <c r="D6" s="23" t="n">
        <v>2.977</v>
      </c>
      <c r="E6" s="23" t="n">
        <v>1.276</v>
      </c>
      <c r="F6" s="23" t="n">
        <v>1.203</v>
      </c>
      <c r="G6" s="23" t="n">
        <v>-2.032</v>
      </c>
      <c r="H6" s="23" t="n">
        <v>2.629</v>
      </c>
      <c r="I6" s="23" t="n">
        <v>2.602</v>
      </c>
      <c r="J6" s="23" t="n">
        <v>2.452</v>
      </c>
      <c r="K6" s="23" t="n">
        <v>2.759</v>
      </c>
      <c r="L6" s="23" t="n">
        <v>4.083</v>
      </c>
      <c r="M6" s="23" t="n">
        <v>3.722</v>
      </c>
      <c r="N6" s="23" t="n">
        <v>4.232</v>
      </c>
      <c r="O6" s="23" t="n">
        <v>5.937</v>
      </c>
      <c r="P6" s="23" t="n">
        <v>15.662</v>
      </c>
      <c r="Q6" s="23" t="n">
        <v>8.138</v>
      </c>
      <c r="R6" s="23" t="n">
        <v>6.457</v>
      </c>
      <c r="S6" s="23" t="n">
        <v>8.720000000000001</v>
      </c>
    </row>
    <row r="7">
      <c r="A7" s="2" t="inlineStr">
        <is>
          <t>Operating Expense</t>
        </is>
      </c>
      <c r="B7" s="23">
        <f>SUM(B5:B6)</f>
        <v>2.769</v>
      </c>
      <c r="C7" s="23">
        <f>SUM(C5:C6)</f>
        <v>2.76</v>
      </c>
      <c r="D7" s="23">
        <f>SUM(D5:D6)</f>
        <v>2.977</v>
      </c>
      <c r="E7" s="23">
        <f>SUM(E5:E6)</f>
        <v>2.435</v>
      </c>
      <c r="F7" s="23">
        <f>SUM(F5:F6)</f>
        <v>2.8840000000000003</v>
      </c>
      <c r="G7" s="23">
        <f>SUM(G5:G6)</f>
        <v>-4.304</v>
      </c>
      <c r="H7" s="23">
        <f>SUM(H5:H6)</f>
        <v>5.906000000000001</v>
      </c>
      <c r="I7" s="23">
        <f>SUM(I5:I6)</f>
        <v>7.382999999999999</v>
      </c>
      <c r="J7" s="23">
        <f>SUM(J5:J6)</f>
        <v>10.161</v>
      </c>
      <c r="K7" s="23">
        <f>SUM(K5:K6)</f>
        <v>13.040000000000001</v>
      </c>
      <c r="L7" s="23">
        <f>SUM(L5:L6)</f>
        <v>16.061999999999998</v>
      </c>
      <c r="M7" s="23">
        <f>SUM(M5:M6)</f>
        <v>17.244</v>
      </c>
      <c r="N7" s="23">
        <f>SUM(N5:N6)</f>
        <v>14.466999999999999</v>
      </c>
      <c r="O7" s="23">
        <f>SUM(O5:O6)</f>
        <v>26.926000000000002</v>
      </c>
      <c r="P7" s="23">
        <f>SUM(P5:P6)</f>
        <v>43.301</v>
      </c>
      <c r="Q7" s="23">
        <f>SUM(Q5:Q6)</f>
        <v>17.109</v>
      </c>
      <c r="R7" s="23">
        <f>SUM(R5:R6)</f>
        <v>12.780999999999999</v>
      </c>
      <c r="S7" s="23">
        <f>SUM(S5:S6)</f>
        <v>15.101</v>
      </c>
    </row>
    <row r="8">
      <c r="A8" s="2" t="inlineStr">
        <is>
          <t>Operating Income</t>
        </is>
      </c>
      <c r="B8" s="23">
        <f>B4-B7</f>
        <v>-2.769</v>
      </c>
      <c r="C8" s="23">
        <f>C4-C7</f>
        <v>-2.76</v>
      </c>
      <c r="D8" s="23">
        <f>D4-D7</f>
        <v>-2.977</v>
      </c>
      <c r="E8" s="23">
        <f>E4-E7</f>
        <v>-2.435</v>
      </c>
      <c r="F8" s="23">
        <f>F4-F7</f>
        <v>-2.8840000000000003</v>
      </c>
      <c r="G8" s="23">
        <f>G4-G7</f>
        <v>4.304</v>
      </c>
      <c r="H8" s="23">
        <f>H4-H7</f>
        <v>-5.906000000000001</v>
      </c>
      <c r="I8" s="23">
        <f>I4-I7</f>
        <v>-7.382999999999999</v>
      </c>
      <c r="J8" s="23">
        <f>J4-J7</f>
        <v>-10.01</v>
      </c>
      <c r="K8" s="23">
        <f>K4-K7</f>
        <v>-10.771</v>
      </c>
      <c r="L8" s="23">
        <f>L4-L7</f>
        <v>-13.526999999999997</v>
      </c>
      <c r="M8" s="23">
        <f>M4-M7</f>
        <v>-14.631</v>
      </c>
      <c r="N8" s="23">
        <f>N4-N7</f>
        <v>-11.756999999999998</v>
      </c>
      <c r="O8" s="23">
        <f>O4-O7</f>
        <v>-24.223000000000003</v>
      </c>
      <c r="P8" s="23">
        <f>P4-P7</f>
        <v>-40.598</v>
      </c>
      <c r="Q8" s="23">
        <f>Q4-Q7</f>
        <v>-15.769000000000002</v>
      </c>
      <c r="R8" s="23">
        <f>R4-R7</f>
        <v>-12.780999999999999</v>
      </c>
      <c r="S8" s="23">
        <f>S4-S7</f>
        <v>-15.088000000000001</v>
      </c>
    </row>
    <row r="9">
      <c r="A9" s="19" t="inlineStr">
        <is>
          <t>Interest &amp; Other</t>
        </is>
      </c>
      <c r="B9" s="23" t="n">
        <v>0</v>
      </c>
      <c r="C9" s="23" t="n">
        <v>0</v>
      </c>
      <c r="D9" s="23" t="n">
        <v>0</v>
      </c>
      <c r="E9" s="23" t="n">
        <v>0.85</v>
      </c>
      <c r="F9" s="23" t="n">
        <v>-0.37</v>
      </c>
      <c r="G9" s="23" t="n">
        <v>0.133</v>
      </c>
      <c r="H9" s="23" t="n">
        <v>0.214</v>
      </c>
      <c r="I9" s="23" t="n">
        <v>0.15</v>
      </c>
      <c r="J9" s="23" t="n">
        <v>0.381</v>
      </c>
      <c r="K9" s="23" t="n">
        <v>0.6909999999999999</v>
      </c>
      <c r="L9" s="23" t="n">
        <v>0.8</v>
      </c>
      <c r="M9" s="23" t="n">
        <v>0.576</v>
      </c>
      <c r="N9" s="23" t="n">
        <v>0.246</v>
      </c>
      <c r="O9" s="23" t="n">
        <v>1.234</v>
      </c>
      <c r="P9" s="23" t="n">
        <v>4.137</v>
      </c>
      <c r="Q9" s="23" t="n">
        <v>15.774</v>
      </c>
      <c r="R9" s="23" t="n">
        <v>15.948</v>
      </c>
      <c r="S9" s="23" t="n">
        <v>26.471</v>
      </c>
    </row>
    <row r="10">
      <c r="A10" s="2" t="inlineStr">
        <is>
          <t>Pretax</t>
        </is>
      </c>
      <c r="B10" s="23">
        <f>B8+B9</f>
        <v>-2.769</v>
      </c>
      <c r="C10" s="23">
        <f>C8+C9</f>
        <v>-2.76</v>
      </c>
      <c r="D10" s="23">
        <f>D8+D9</f>
        <v>-2.977</v>
      </c>
      <c r="E10" s="23">
        <f>E8+E9</f>
        <v>-1.585</v>
      </c>
      <c r="F10" s="23">
        <f>F8+F9</f>
        <v>-3.2540000000000004</v>
      </c>
      <c r="G10" s="23">
        <f>G8+G9</f>
        <v>4.437</v>
      </c>
      <c r="H10" s="23">
        <f>H8+H9</f>
        <v>-5.692</v>
      </c>
      <c r="I10" s="23">
        <f>I8+I9</f>
        <v>-7.232999999999999</v>
      </c>
      <c r="J10" s="23">
        <f>J8+J9</f>
        <v>-9.629</v>
      </c>
      <c r="K10" s="23">
        <f>K8+K9</f>
        <v>-10.08</v>
      </c>
      <c r="L10" s="23">
        <f>L8+L9</f>
        <v>-12.726999999999997</v>
      </c>
      <c r="M10" s="23">
        <f>M8+M9</f>
        <v>-14.055</v>
      </c>
      <c r="N10" s="23">
        <f>N8+N9</f>
        <v>-11.510999999999997</v>
      </c>
      <c r="O10" s="23">
        <f>O8+O9</f>
        <v>-22.989000000000004</v>
      </c>
      <c r="P10" s="23">
        <f>P8+P9</f>
        <v>-36.461</v>
      </c>
      <c r="Q10" s="23">
        <f>Q8+Q9</f>
        <v>0.004999999999997229</v>
      </c>
      <c r="R10" s="23">
        <f>R8+R9</f>
        <v>3.1670000000000016</v>
      </c>
      <c r="S10" s="23">
        <f>S8+S9</f>
        <v>11.383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-0.024</v>
      </c>
      <c r="F11" s="23" t="n">
        <v>0.09</v>
      </c>
      <c r="G11" s="23" t="n">
        <v>0.205</v>
      </c>
      <c r="H11" s="23" t="n">
        <v>0.004</v>
      </c>
      <c r="I11" s="23" t="n">
        <v>-0.001</v>
      </c>
      <c r="J11" s="23" t="n">
        <v>1.335</v>
      </c>
      <c r="K11" s="23" t="n">
        <v>0.4</v>
      </c>
      <c r="L11" s="23" t="n">
        <v>0</v>
      </c>
      <c r="M11" s="23" t="n">
        <v>0.3</v>
      </c>
      <c r="N11" s="23" t="n">
        <v>0</v>
      </c>
      <c r="O11" s="23" t="n">
        <v>0</v>
      </c>
      <c r="P11" s="23" t="n">
        <v>0.1</v>
      </c>
      <c r="Q11" s="23" t="n">
        <v>0</v>
      </c>
      <c r="R11" s="23" t="n">
        <v>3.183</v>
      </c>
      <c r="S11" s="23" t="n">
        <v>11.308</v>
      </c>
    </row>
    <row r="12">
      <c r="A12" s="2" t="inlineStr">
        <is>
          <t>Net Income</t>
        </is>
      </c>
      <c r="B12" s="23" t="n">
        <v>-2.769</v>
      </c>
      <c r="C12" s="23" t="n">
        <v>-2.76</v>
      </c>
      <c r="D12" s="23" t="n">
        <v>-2.977</v>
      </c>
      <c r="E12" s="23" t="n">
        <v>-1.561</v>
      </c>
      <c r="F12" s="23" t="n">
        <v>-3.344</v>
      </c>
      <c r="G12" s="23" t="n">
        <v>4.232</v>
      </c>
      <c r="H12" s="23" t="n">
        <v>-5.696</v>
      </c>
      <c r="I12" s="23" t="n">
        <v>-7.232</v>
      </c>
      <c r="J12" s="23" t="n">
        <v>-10.964</v>
      </c>
      <c r="K12" s="23" t="n">
        <v>-10.48</v>
      </c>
      <c r="L12" s="23" t="n">
        <v>-12.727</v>
      </c>
      <c r="M12" s="23" t="n">
        <v>-14.355</v>
      </c>
      <c r="N12" s="23" t="n">
        <v>-11.511</v>
      </c>
      <c r="O12" s="23" t="n">
        <v>-22.989</v>
      </c>
      <c r="P12" s="23" t="n">
        <v>-36.561</v>
      </c>
      <c r="Q12" s="23" t="n">
        <v>0.005</v>
      </c>
      <c r="R12" s="23" t="n">
        <v>-0.016</v>
      </c>
      <c r="S12" s="23" t="n">
        <v>0.075</v>
      </c>
    </row>
    <row r="13">
      <c r="A13" s="2" t="inlineStr">
        <is>
          <t>Earnings per Share</t>
        </is>
      </c>
      <c r="B13" s="11">
        <f>IFERROR(B12/B14,0)</f>
        <v>0</v>
      </c>
      <c r="C13" s="11">
        <f>IFERROR(C12/C14,0)</f>
        <v>0</v>
      </c>
      <c r="D13" s="11">
        <f>IFERROR(D12/D14,0)</f>
        <v>0</v>
      </c>
      <c r="E13" s="11">
        <f>IFERROR(E12/E14,0)</f>
        <v>0</v>
      </c>
      <c r="F13" s="11">
        <f>IFERROR(F12/F14,0)</f>
        <v>-0.5682242990654206</v>
      </c>
      <c r="G13" s="11">
        <f>IFERROR(G12/G14,0)</f>
        <v>0.5870439728117631</v>
      </c>
      <c r="H13" s="11">
        <f>IFERROR(H12/H14,0)</f>
        <v>-0.6161834703591519</v>
      </c>
      <c r="I13" s="11">
        <f>IFERROR(I12/I14,0)</f>
        <v>-0.6683918669131238</v>
      </c>
      <c r="J13" s="11">
        <f>IFERROR(J12/J14,0)</f>
        <v>-0.8685044359949303</v>
      </c>
      <c r="K13" s="11">
        <f>IFERROR(K12/K14,0)</f>
        <v>-0.7874370726576002</v>
      </c>
      <c r="L13" s="11">
        <f>IFERROR(L12/L14,0)</f>
        <v>-0.8551941943287193</v>
      </c>
      <c r="M13" s="11">
        <f>IFERROR(M12/M14,0)</f>
        <v>-0.8224475764867653</v>
      </c>
      <c r="N13" s="11">
        <f>IFERROR(N12/N14,0)</f>
        <v>-0.5606370543541788</v>
      </c>
      <c r="O13" s="11">
        <f>IFERROR(O12/O14,0)</f>
        <v>-0.8075099230742211</v>
      </c>
      <c r="P13" s="11">
        <f>IFERROR(P12/P14,0)</f>
        <v>-0.9375096158777374</v>
      </c>
      <c r="Q13" s="11">
        <f>IFERROR(Q12/Q14,0)</f>
        <v>0.00012325289028027706</v>
      </c>
      <c r="R13" s="11">
        <f>IFERROR(R12/R14,0)</f>
        <v>-0.0003916768665850673</v>
      </c>
      <c r="S13" s="11">
        <f>IFERROR(S12/S14,0)</f>
        <v>0.0017680756264881303</v>
      </c>
    </row>
    <row r="14">
      <c r="A14" s="2" t="inlineStr">
        <is>
          <t>Shares</t>
        </is>
      </c>
      <c r="B14" s="23" t="n"/>
      <c r="C14" s="23" t="n"/>
      <c r="D14" s="23" t="n"/>
      <c r="E14" s="23" t="n"/>
      <c r="F14" s="23" t="n">
        <v>5.885</v>
      </c>
      <c r="G14" s="23" t="n">
        <v>7.209</v>
      </c>
      <c r="H14" s="23" t="n">
        <v>9.244</v>
      </c>
      <c r="I14" s="23" t="n">
        <v>10.82</v>
      </c>
      <c r="J14" s="23" t="n">
        <v>12.624</v>
      </c>
      <c r="K14" s="23" t="n">
        <v>13.309</v>
      </c>
      <c r="L14" s="23" t="n">
        <v>14.882</v>
      </c>
      <c r="M14" s="23" t="n">
        <v>17.454</v>
      </c>
      <c r="N14" s="23" t="n">
        <v>20.532</v>
      </c>
      <c r="O14" s="23" t="n">
        <v>28.469</v>
      </c>
      <c r="P14" s="23" t="n">
        <v>38.998</v>
      </c>
      <c r="Q14" s="23" t="n">
        <v>40.567</v>
      </c>
      <c r="R14" s="23" t="n">
        <v>40.85</v>
      </c>
      <c r="S14" s="23" t="n">
        <v>42.419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15">
        <f>IFERROR(I2/H2-1,"")</f>
        <v/>
      </c>
      <c r="J16" s="15">
        <f>IFERROR(J2/I2-1,"")</f>
        <v/>
      </c>
      <c r="K16" s="15">
        <f>IFERROR(K2/J2-1,"")</f>
        <v>2.831513260530421</v>
      </c>
      <c r="L16" s="15">
        <f>IFERROR(L2/K2-1,"")</f>
        <v>-0.002850162866449568</v>
      </c>
      <c r="M16" s="15">
        <f>IFERROR(M2/L2-1,"")</f>
        <v>0.10371580236831357</v>
      </c>
      <c r="N16" s="15">
        <f>IFERROR(N2/M2-1,"")</f>
        <v>0.002589715131335657</v>
      </c>
      <c r="O16" s="15">
        <f>IFERROR(O2/N2-1,"")</f>
        <v>-0.0025830258302583786</v>
      </c>
      <c r="P16" s="15">
        <f>IFERROR(P2/O2-1,"")</f>
        <v>0.0</v>
      </c>
      <c r="Q16" s="15">
        <f>IFERROR(Q2/P2-1,"")</f>
        <v>-0.5042545320014797</v>
      </c>
      <c r="R16" s="15">
        <f>IFERROR(R2/Q2-1,"")</f>
        <v>-1.0</v>
      </c>
      <c r="S16" s="15">
        <f>IFERROR(S2/R2-1,"")</f>
        <v/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/>
      </c>
      <c r="I17" s="15">
        <f>IFERROR(I4/I2,"")</f>
        <v/>
      </c>
      <c r="J17" s="15">
        <f>IFERROR(J4/J2,"")</f>
        <v>0.23556942277691112</v>
      </c>
      <c r="K17" s="15">
        <f>IFERROR(K4/K2,"")</f>
        <v>0.9238599348534202</v>
      </c>
      <c r="L17" s="15">
        <f>IFERROR(L4/L2,"")</f>
        <v>1.0351163740302163</v>
      </c>
      <c r="M17" s="15">
        <f>IFERROR(M4/M2,"")</f>
        <v>0.9667036625971144</v>
      </c>
      <c r="N17" s="15">
        <f>IFERROR(N4/N2,"")</f>
        <v>1.0</v>
      </c>
      <c r="O17" s="15">
        <f>IFERROR(O4/O2,"")</f>
        <v>1.0</v>
      </c>
      <c r="P17" s="15">
        <f>IFERROR(P4/P2,"")</f>
        <v>1.0</v>
      </c>
      <c r="Q17" s="15">
        <f>IFERROR(Q4/Q2,"")</f>
        <v>1.0</v>
      </c>
      <c r="R17" s="15">
        <f>IFERROR(R4/R2,"")</f>
        <v/>
      </c>
      <c r="S17" s="15">
        <f>IFERROR(S4/S2,"")</f>
        <v>0.00649999999999995</v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/>
      </c>
      <c r="I18" s="15">
        <f>IFERROR(I8/I2,"")</f>
        <v/>
      </c>
      <c r="J18" s="15">
        <f>IFERROR(J8/J2,"")</f>
        <v>-15.616224648985959</v>
      </c>
      <c r="K18" s="15">
        <f>IFERROR(K8/K2,"")</f>
        <v>-4.385586319218241</v>
      </c>
      <c r="L18" s="15">
        <f>IFERROR(L8/L2,"")</f>
        <v>-5.523478971008574</v>
      </c>
      <c r="M18" s="15">
        <f>IFERROR(M8/M2,"")</f>
        <v>-5.412874583795783</v>
      </c>
      <c r="N18" s="15">
        <f>IFERROR(N8/N2,"")</f>
        <v>-4.338376383763837</v>
      </c>
      <c r="O18" s="15">
        <f>IFERROR(O8/O2,"")</f>
        <v>-8.961524232334444</v>
      </c>
      <c r="P18" s="15">
        <f>IFERROR(P8/P2,"")</f>
        <v>-15.019607843137255</v>
      </c>
      <c r="Q18" s="15">
        <f>IFERROR(Q8/Q2,"")</f>
        <v>-11.767910447761194</v>
      </c>
      <c r="R18" s="15">
        <f>IFERROR(R8/R2,"")</f>
        <v/>
      </c>
      <c r="S18" s="15">
        <f>IFERROR(S8/S2,"")</f>
        <v>-7.5440000000000005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  <c r="N19" s="20" t="inlineStr">
        <is>
          <t>A</t>
        </is>
      </c>
      <c r="O19" s="20" t="inlineStr">
        <is>
          <t>A</t>
        </is>
      </c>
      <c r="P19" s="20" t="inlineStr">
        <is>
          <t>A</t>
        </is>
      </c>
      <c r="Q19" s="20" t="inlineStr">
        <is>
          <t>A</t>
        </is>
      </c>
      <c r="R19" s="20" t="inlineStr">
        <is>
          <t>A</t>
        </is>
      </c>
      <c r="S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2026-10-21T01:05:43Z</dcterms:modified>
  <cp:lastModifiedBy>Wang, Eric</cp:lastModifiedBy>
</cp:coreProperties>
</file>