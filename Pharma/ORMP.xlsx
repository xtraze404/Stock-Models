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Oramed Pharmaceuticals Inc</t>
        </is>
      </c>
      <c r="C2" s="10" t="n"/>
    </row>
    <row r="3">
      <c r="B3" t="inlineStr">
        <is>
          <t>Price</t>
        </is>
      </c>
      <c r="C3" s="11">
        <f>INDEX([1]Pharma!$F$1:$F$1000,MATCH("ORMP",[1]Pharma!$B$1:$B$1000,0))</f>
        <v>4.15</v>
      </c>
      <c r="F3" s="1" t="n"/>
    </row>
    <row r="4">
      <c r="B4" t="inlineStr">
        <is>
          <t>Shares</t>
        </is>
      </c>
      <c r="C4" s="21" t="n">
        <v>41.597354</v>
      </c>
      <c r="F4" s="1" t="n"/>
    </row>
    <row r="5">
      <c r="B5" t="inlineStr">
        <is>
          <t>Market Cap.</t>
        </is>
      </c>
      <c r="C5" s="13">
        <f>C3*C4</f>
        <v>172.62901910000002</v>
      </c>
      <c r="F5" s="1" t="n"/>
    </row>
    <row r="6"/>
    <row r="7">
      <c r="B7" t="inlineStr">
        <is>
          <t>Cash</t>
        </is>
      </c>
      <c r="C7" s="21">
        <f>15.245+0.846</f>
        <v>16.090999999999998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156.5380191</v>
      </c>
    </row>
    <row r="10"/>
    <row r="11">
      <c r="B11" s="14" t="inlineStr">
        <is>
          <t>rNPV / Share</t>
        </is>
      </c>
      <c r="C11" s="11">
        <f>NPV!B27</f>
        <v>37.521287382075066</v>
      </c>
    </row>
    <row r="12">
      <c r="B12" s="14" t="inlineStr">
        <is>
          <t>Upside</t>
        </is>
      </c>
      <c r="C12" s="15">
        <f>IFERROR(C11/C3-1,"")</f>
        <v>8.041274067969894</v>
      </c>
    </row>
    <row r="13">
      <c r="B13" s="14" t="inlineStr">
        <is>
          <t>Cash / Share</t>
        </is>
      </c>
      <c r="C13" s="11">
        <f>IFERROR((C7-C8)/C4,"")</f>
        <v>0.3868274890753868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-5.206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3.0908567038033032</v>
      </c>
    </row>
    <row r="19">
      <c r="B19" s="14" t="inlineStr">
        <is>
          <t>Implied Pipeline Value</t>
        </is>
      </c>
      <c r="C19" s="13">
        <f>C9</f>
        <v>156.5380191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2008</v>
      </c>
      <c r="C1" s="17" t="n">
        <v>2009</v>
      </c>
      <c r="D1" s="17" t="n">
        <v>2010</v>
      </c>
      <c r="E1" s="17" t="n">
        <v>2011</v>
      </c>
      <c r="F1" s="17" t="n">
        <v>2012</v>
      </c>
      <c r="G1" s="17" t="n">
        <v>2013</v>
      </c>
      <c r="H1" s="17" t="n">
        <v>2014</v>
      </c>
      <c r="I1" s="17" t="n">
        <v>2015</v>
      </c>
      <c r="J1" s="17" t="n">
        <v>2016</v>
      </c>
      <c r="K1" s="17" t="n">
        <v>2017</v>
      </c>
      <c r="L1" s="17" t="n">
        <v>2018</v>
      </c>
      <c r="M1" s="17" t="n">
        <v>2019</v>
      </c>
      <c r="N1" s="17" t="n">
        <v>2020</v>
      </c>
      <c r="O1" s="17" t="n">
        <v>2021</v>
      </c>
      <c r="P1" s="17" t="n">
        <v>2022</v>
      </c>
      <c r="Q1" s="17" t="n">
        <v>2023</v>
      </c>
      <c r="R1" s="17" t="n">
        <v>2024</v>
      </c>
      <c r="S1" s="17" t="n">
        <v>2025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0.641</v>
      </c>
      <c r="K2" s="23" t="n">
        <v>2.456</v>
      </c>
      <c r="L2" s="23" t="n">
        <v>2.449</v>
      </c>
      <c r="M2" s="23" t="n">
        <v>2.703</v>
      </c>
      <c r="N2" s="23" t="n">
        <v>2.71</v>
      </c>
      <c r="O2" s="23" t="n">
        <v>2.703</v>
      </c>
      <c r="P2" s="23" t="n">
        <v>2.703</v>
      </c>
      <c r="Q2" s="23" t="n">
        <v>1.34</v>
      </c>
      <c r="R2" s="23" t="n">
        <v>0</v>
      </c>
      <c r="S2" s="23" t="n">
        <v>2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0.49</v>
      </c>
      <c r="K3" s="23" t="n">
        <v>0.187</v>
      </c>
      <c r="L3" s="23" t="n">
        <v>-0.08599999999999999</v>
      </c>
      <c r="M3" s="23" t="n">
        <v>0.09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1.987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0.15100000000000002</v>
      </c>
      <c r="K4" s="23">
        <f>K2-K3</f>
        <v>2.269</v>
      </c>
      <c r="L4" s="23">
        <f>L2-L3</f>
        <v>2.5349999999999997</v>
      </c>
      <c r="M4" s="23">
        <f>M2-M3</f>
        <v>2.613</v>
      </c>
      <c r="N4" s="23">
        <f>N2-N3</f>
        <v>2.71</v>
      </c>
      <c r="O4" s="23">
        <f>O2-O3</f>
        <v>2.703</v>
      </c>
      <c r="P4" s="23">
        <f>P2-P3</f>
        <v>2.703</v>
      </c>
      <c r="Q4" s="23">
        <f>Q2-Q3</f>
        <v>1.34</v>
      </c>
      <c r="R4" s="23">
        <f>R2-R3</f>
        <v>0.0</v>
      </c>
      <c r="S4" s="23">
        <f>S2-S3</f>
        <v>0.0129999999999999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1.159</v>
      </c>
      <c r="F5" s="23" t="n">
        <v>1.681</v>
      </c>
      <c r="G5" s="23" t="n">
        <v>-2.272</v>
      </c>
      <c r="H5" s="23" t="n">
        <v>3.277</v>
      </c>
      <c r="I5" s="23" t="n">
        <v>4.781</v>
      </c>
      <c r="J5" s="23" t="n">
        <v>7.709</v>
      </c>
      <c r="K5" s="23" t="n">
        <v>10.281</v>
      </c>
      <c r="L5" s="23" t="n">
        <v>11.979</v>
      </c>
      <c r="M5" s="23" t="n">
        <v>13.522</v>
      </c>
      <c r="N5" s="23" t="n">
        <v>10.235</v>
      </c>
      <c r="O5" s="23" t="n">
        <v>20.989</v>
      </c>
      <c r="P5" s="23" t="n">
        <v>27.639</v>
      </c>
      <c r="Q5" s="23" t="n">
        <v>8.971</v>
      </c>
      <c r="R5" s="23" t="n">
        <v>6.324</v>
      </c>
      <c r="S5" s="23" t="n">
        <v>6.381</v>
      </c>
    </row>
    <row r="6">
      <c r="A6" s="19" t="inlineStr">
        <is>
          <t>SG&amp;A &amp; Other</t>
        </is>
      </c>
      <c r="B6" s="23" t="n">
        <v>2.769</v>
      </c>
      <c r="C6" s="23" t="n">
        <v>2.76</v>
      </c>
      <c r="D6" s="23" t="n">
        <v>2.977</v>
      </c>
      <c r="E6" s="23" t="n">
        <v>1.276</v>
      </c>
      <c r="F6" s="23" t="n">
        <v>1.203</v>
      </c>
      <c r="G6" s="23" t="n">
        <v>-2.032</v>
      </c>
      <c r="H6" s="23" t="n">
        <v>2.629</v>
      </c>
      <c r="I6" s="23" t="n">
        <v>2.602</v>
      </c>
      <c r="J6" s="23" t="n">
        <v>2.452</v>
      </c>
      <c r="K6" s="23" t="n">
        <v>2.759</v>
      </c>
      <c r="L6" s="23" t="n">
        <v>4.083</v>
      </c>
      <c r="M6" s="23" t="n">
        <v>3.722</v>
      </c>
      <c r="N6" s="23" t="n">
        <v>4.232</v>
      </c>
      <c r="O6" s="23" t="n">
        <v>5.937</v>
      </c>
      <c r="P6" s="23" t="n">
        <v>15.662</v>
      </c>
      <c r="Q6" s="23" t="n">
        <v>8.138</v>
      </c>
      <c r="R6" s="23" t="n">
        <v>6.457</v>
      </c>
      <c r="S6" s="23" t="n">
        <v>8.720000000000001</v>
      </c>
    </row>
    <row r="7">
      <c r="A7" s="2" t="inlineStr">
        <is>
          <t>Operating Expense</t>
        </is>
      </c>
      <c r="B7" s="23">
        <f>SUM(B5:B6)</f>
        <v>2.769</v>
      </c>
      <c r="C7" s="23">
        <f>SUM(C5:C6)</f>
        <v>2.76</v>
      </c>
      <c r="D7" s="23">
        <f>SUM(D5:D6)</f>
        <v>2.977</v>
      </c>
      <c r="E7" s="23">
        <f>SUM(E5:E6)</f>
        <v>2.435</v>
      </c>
      <c r="F7" s="23">
        <f>SUM(F5:F6)</f>
        <v>2.8840000000000003</v>
      </c>
      <c r="G7" s="23">
        <f>SUM(G5:G6)</f>
        <v>-4.304</v>
      </c>
      <c r="H7" s="23">
        <f>SUM(H5:H6)</f>
        <v>5.906000000000001</v>
      </c>
      <c r="I7" s="23">
        <f>SUM(I5:I6)</f>
        <v>7.382999999999999</v>
      </c>
      <c r="J7" s="23">
        <f>SUM(J5:J6)</f>
        <v>10.161</v>
      </c>
      <c r="K7" s="23">
        <f>SUM(K5:K6)</f>
        <v>13.040000000000001</v>
      </c>
      <c r="L7" s="23">
        <f>SUM(L5:L6)</f>
        <v>16.061999999999998</v>
      </c>
      <c r="M7" s="23">
        <f>SUM(M5:M6)</f>
        <v>17.244</v>
      </c>
      <c r="N7" s="23">
        <f>SUM(N5:N6)</f>
        <v>14.466999999999999</v>
      </c>
      <c r="O7" s="23">
        <f>SUM(O5:O6)</f>
        <v>26.926000000000002</v>
      </c>
      <c r="P7" s="23">
        <f>SUM(P5:P6)</f>
        <v>43.301</v>
      </c>
      <c r="Q7" s="23">
        <f>SUM(Q5:Q6)</f>
        <v>17.109</v>
      </c>
      <c r="R7" s="23">
        <f>SUM(R5:R6)</f>
        <v>12.780999999999999</v>
      </c>
      <c r="S7" s="23">
        <f>SUM(S5:S6)</f>
        <v>15.101</v>
      </c>
    </row>
    <row r="8">
      <c r="A8" s="2" t="inlineStr">
        <is>
          <t>Operating Income</t>
        </is>
      </c>
      <c r="B8" s="23">
        <f>B4-B7</f>
        <v>-2.769</v>
      </c>
      <c r="C8" s="23">
        <f>C4-C7</f>
        <v>-2.76</v>
      </c>
      <c r="D8" s="23">
        <f>D4-D7</f>
        <v>-2.977</v>
      </c>
      <c r="E8" s="23">
        <f>E4-E7</f>
        <v>-2.435</v>
      </c>
      <c r="F8" s="23">
        <f>F4-F7</f>
        <v>-2.8840000000000003</v>
      </c>
      <c r="G8" s="23">
        <f>G4-G7</f>
        <v>4.304</v>
      </c>
      <c r="H8" s="23">
        <f>H4-H7</f>
        <v>-5.906000000000001</v>
      </c>
      <c r="I8" s="23">
        <f>I4-I7</f>
        <v>-7.382999999999999</v>
      </c>
      <c r="J8" s="23">
        <f>J4-J7</f>
        <v>-10.01</v>
      </c>
      <c r="K8" s="23">
        <f>K4-K7</f>
        <v>-10.771</v>
      </c>
      <c r="L8" s="23">
        <f>L4-L7</f>
        <v>-13.526999999999997</v>
      </c>
      <c r="M8" s="23">
        <f>M4-M7</f>
        <v>-14.631</v>
      </c>
      <c r="N8" s="23">
        <f>N4-N7</f>
        <v>-11.756999999999998</v>
      </c>
      <c r="O8" s="23">
        <f>O4-O7</f>
        <v>-24.223000000000003</v>
      </c>
      <c r="P8" s="23">
        <f>P4-P7</f>
        <v>-40.598</v>
      </c>
      <c r="Q8" s="23">
        <f>Q4-Q7</f>
        <v>-15.769000000000002</v>
      </c>
      <c r="R8" s="23">
        <f>R4-R7</f>
        <v>-12.780999999999999</v>
      </c>
      <c r="S8" s="23">
        <f>S4-S7</f>
        <v>-15.088000000000001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0.85</v>
      </c>
      <c r="F9" s="23" t="n">
        <v>-0.37</v>
      </c>
      <c r="G9" s="23" t="n">
        <v>0.133</v>
      </c>
      <c r="H9" s="23" t="n">
        <v>0.214</v>
      </c>
      <c r="I9" s="23" t="n">
        <v>0.15</v>
      </c>
      <c r="J9" s="23" t="n">
        <v>0.381</v>
      </c>
      <c r="K9" s="23" t="n">
        <v>0.6909999999999999</v>
      </c>
      <c r="L9" s="23" t="n">
        <v>0.8</v>
      </c>
      <c r="M9" s="23" t="n">
        <v>0.576</v>
      </c>
      <c r="N9" s="23" t="n">
        <v>0.246</v>
      </c>
      <c r="O9" s="23" t="n">
        <v>1.234</v>
      </c>
      <c r="P9" s="23" t="n">
        <v>4.137</v>
      </c>
      <c r="Q9" s="23" t="n">
        <v>15.774</v>
      </c>
      <c r="R9" s="23" t="n">
        <v>15.948</v>
      </c>
      <c r="S9" s="23" t="n">
        <v>26.471</v>
      </c>
    </row>
    <row r="10">
      <c r="A10" s="2" t="inlineStr">
        <is>
          <t>Pretax</t>
        </is>
      </c>
      <c r="B10" s="23">
        <f>B8+B9</f>
        <v>-2.769</v>
      </c>
      <c r="C10" s="23">
        <f>C8+C9</f>
        <v>-2.76</v>
      </c>
      <c r="D10" s="23">
        <f>D8+D9</f>
        <v>-2.977</v>
      </c>
      <c r="E10" s="23">
        <f>E8+E9</f>
        <v>-1.585</v>
      </c>
      <c r="F10" s="23">
        <f>F8+F9</f>
        <v>-3.2540000000000004</v>
      </c>
      <c r="G10" s="23">
        <f>G8+G9</f>
        <v>4.437</v>
      </c>
      <c r="H10" s="23">
        <f>H8+H9</f>
        <v>-5.692</v>
      </c>
      <c r="I10" s="23">
        <f>I8+I9</f>
        <v>-7.232999999999999</v>
      </c>
      <c r="J10" s="23">
        <f>J8+J9</f>
        <v>-9.629</v>
      </c>
      <c r="K10" s="23">
        <f>K8+K9</f>
        <v>-10.08</v>
      </c>
      <c r="L10" s="23">
        <f>L8+L9</f>
        <v>-12.726999999999997</v>
      </c>
      <c r="M10" s="23">
        <f>M8+M9</f>
        <v>-14.055</v>
      </c>
      <c r="N10" s="23">
        <f>N8+N9</f>
        <v>-11.510999999999997</v>
      </c>
      <c r="O10" s="23">
        <f>O8+O9</f>
        <v>-22.989000000000004</v>
      </c>
      <c r="P10" s="23">
        <f>P8+P9</f>
        <v>-36.461</v>
      </c>
      <c r="Q10" s="23">
        <f>Q8+Q9</f>
        <v>0.004999999999997229</v>
      </c>
      <c r="R10" s="23">
        <f>R8+R9</f>
        <v>3.1670000000000016</v>
      </c>
      <c r="S10" s="23">
        <f>S8+S9</f>
        <v>11.383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-0.024</v>
      </c>
      <c r="F11" s="23" t="n">
        <v>0.09</v>
      </c>
      <c r="G11" s="23" t="n">
        <v>0.205</v>
      </c>
      <c r="H11" s="23" t="n">
        <v>0.004</v>
      </c>
      <c r="I11" s="23" t="n">
        <v>-0.001</v>
      </c>
      <c r="J11" s="23" t="n">
        <v>1.335</v>
      </c>
      <c r="K11" s="23" t="n">
        <v>0.4</v>
      </c>
      <c r="L11" s="23" t="n">
        <v>0</v>
      </c>
      <c r="M11" s="23" t="n">
        <v>0.3</v>
      </c>
      <c r="N11" s="23" t="n">
        <v>0</v>
      </c>
      <c r="O11" s="23" t="n">
        <v>0</v>
      </c>
      <c r="P11" s="23" t="n">
        <v>0.1</v>
      </c>
      <c r="Q11" s="23" t="n">
        <v>0</v>
      </c>
      <c r="R11" s="23" t="n">
        <v>3.183</v>
      </c>
      <c r="S11" s="23" t="n">
        <v>11.308</v>
      </c>
    </row>
    <row r="12">
      <c r="A12" s="2" t="inlineStr">
        <is>
          <t>Net Income</t>
        </is>
      </c>
      <c r="B12" s="23" t="n">
        <v>-2.769</v>
      </c>
      <c r="C12" s="23" t="n">
        <v>-2.76</v>
      </c>
      <c r="D12" s="23" t="n">
        <v>-2.977</v>
      </c>
      <c r="E12" s="23" t="n">
        <v>-1.561</v>
      </c>
      <c r="F12" s="23" t="n">
        <v>-3.344</v>
      </c>
      <c r="G12" s="23" t="n">
        <v>4.232</v>
      </c>
      <c r="H12" s="23" t="n">
        <v>-5.696</v>
      </c>
      <c r="I12" s="23" t="n">
        <v>-7.232</v>
      </c>
      <c r="J12" s="23" t="n">
        <v>-10.964</v>
      </c>
      <c r="K12" s="23" t="n">
        <v>-10.48</v>
      </c>
      <c r="L12" s="23" t="n">
        <v>-12.727</v>
      </c>
      <c r="M12" s="23" t="n">
        <v>-14.355</v>
      </c>
      <c r="N12" s="23" t="n">
        <v>-11.511</v>
      </c>
      <c r="O12" s="23" t="n">
        <v>-22.989</v>
      </c>
      <c r="P12" s="23" t="n">
        <v>-36.561</v>
      </c>
      <c r="Q12" s="23" t="n">
        <v>0.005</v>
      </c>
      <c r="R12" s="23" t="n">
        <v>-0.016</v>
      </c>
      <c r="S12" s="23" t="n">
        <v>0.075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-0.5682242990654206</v>
      </c>
      <c r="G13" s="11">
        <f>IFERROR(G12/G14,0)</f>
        <v>0.5870439728117631</v>
      </c>
      <c r="H13" s="11">
        <f>IFERROR(H12/H14,0)</f>
        <v>-0.6161834703591519</v>
      </c>
      <c r="I13" s="11">
        <f>IFERROR(I12/I14,0)</f>
        <v>-0.6683918669131238</v>
      </c>
      <c r="J13" s="11">
        <f>IFERROR(J12/J14,0)</f>
        <v>-0.8685044359949303</v>
      </c>
      <c r="K13" s="11">
        <f>IFERROR(K12/K14,0)</f>
        <v>-0.7874370726576002</v>
      </c>
      <c r="L13" s="11">
        <f>IFERROR(L12/L14,0)</f>
        <v>-0.8551941943287193</v>
      </c>
      <c r="M13" s="11">
        <f>IFERROR(M12/M14,0)</f>
        <v>-0.8224475764867653</v>
      </c>
      <c r="N13" s="11">
        <f>IFERROR(N12/N14,0)</f>
        <v>-0.5606370543541788</v>
      </c>
      <c r="O13" s="11">
        <f>IFERROR(O12/O14,0)</f>
        <v>-0.8075099230742211</v>
      </c>
      <c r="P13" s="11">
        <f>IFERROR(P12/P14,0)</f>
        <v>-0.9375096158777374</v>
      </c>
      <c r="Q13" s="11">
        <f>IFERROR(Q12/Q14,0)</f>
        <v>0.00012325289028027706</v>
      </c>
      <c r="R13" s="11">
        <f>IFERROR(R12/R14,0)</f>
        <v>-0.0003916768665850673</v>
      </c>
      <c r="S13" s="11">
        <f>IFERROR(S12/S14,0)</f>
        <v>0.0017680756264881303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>
        <v>5.885</v>
      </c>
      <c r="G14" s="23" t="n">
        <v>7.209</v>
      </c>
      <c r="H14" s="23" t="n">
        <v>9.244</v>
      </c>
      <c r="I14" s="23" t="n">
        <v>10.82</v>
      </c>
      <c r="J14" s="23" t="n">
        <v>12.624</v>
      </c>
      <c r="K14" s="23" t="n">
        <v>13.309</v>
      </c>
      <c r="L14" s="23" t="n">
        <v>14.882</v>
      </c>
      <c r="M14" s="23" t="n">
        <v>17.454</v>
      </c>
      <c r="N14" s="23" t="n">
        <v>20.532</v>
      </c>
      <c r="O14" s="23" t="n">
        <v>28.469</v>
      </c>
      <c r="P14" s="23" t="n">
        <v>38.998</v>
      </c>
      <c r="Q14" s="23" t="n">
        <v>40.567</v>
      </c>
      <c r="R14" s="23" t="n">
        <v>40.85</v>
      </c>
      <c r="S14" s="23" t="n">
        <v>42.419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>2.831513260530421</v>
      </c>
      <c r="L16" s="15">
        <f>IFERROR(L2/K2-1,"")</f>
        <v>-0.002850162866449568</v>
      </c>
      <c r="M16" s="15">
        <f>IFERROR(M2/L2-1,"")</f>
        <v>0.10371580236831357</v>
      </c>
      <c r="N16" s="15">
        <f>IFERROR(N2/M2-1,"")</f>
        <v>0.002589715131335657</v>
      </c>
      <c r="O16" s="15">
        <f>IFERROR(O2/N2-1,"")</f>
        <v>-0.0025830258302583786</v>
      </c>
      <c r="P16" s="15">
        <f>IFERROR(P2/O2-1,"")</f>
        <v>0.0</v>
      </c>
      <c r="Q16" s="15">
        <f>IFERROR(Q2/P2-1,"")</f>
        <v>-0.5042545320014797</v>
      </c>
      <c r="R16" s="15">
        <f>IFERROR(R2/Q2-1,"")</f>
        <v>-1.0</v>
      </c>
      <c r="S16" s="15">
        <f>IFERROR(S2/R2-1,"")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>0.23556942277691112</v>
      </c>
      <c r="K17" s="15">
        <f>IFERROR(K4/K2,"")</f>
        <v>0.9238599348534202</v>
      </c>
      <c r="L17" s="15">
        <f>IFERROR(L4/L2,"")</f>
        <v>1.0351163740302163</v>
      </c>
      <c r="M17" s="15">
        <f>IFERROR(M4/M2,"")</f>
        <v>0.9667036625971144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/>
      </c>
      <c r="S17" s="15">
        <f>IFERROR(S4/S2,"")</f>
        <v>0.00649999999999995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>-15.616224648985959</v>
      </c>
      <c r="K18" s="15">
        <f>IFERROR(K8/K2,"")</f>
        <v>-4.385586319218241</v>
      </c>
      <c r="L18" s="15">
        <f>IFERROR(L8/L2,"")</f>
        <v>-5.523478971008574</v>
      </c>
      <c r="M18" s="15">
        <f>IFERROR(M8/M2,"")</f>
        <v>-5.412874583795783</v>
      </c>
      <c r="N18" s="15">
        <f>IFERROR(N8/N2,"")</f>
        <v>-4.338376383763837</v>
      </c>
      <c r="O18" s="15">
        <f>IFERROR(O8/O2,"")</f>
        <v>-8.961524232334444</v>
      </c>
      <c r="P18" s="15">
        <f>IFERROR(P8/P2,"")</f>
        <v>-15.019607843137255</v>
      </c>
      <c r="Q18" s="15">
        <f>IFERROR(Q8/Q2,"")</f>
        <v>-11.767910447761194</v>
      </c>
      <c r="R18" s="15">
        <f>IFERROR(R8/R2,"")</f>
        <v/>
      </c>
      <c r="S18" s="15">
        <f>IFERROR(S8/S2,"")</f>
        <v>-7.5440000000000005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Oramed Pharmaceuticals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0.551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14.524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145.9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1544.6952737679098</v>
      </c>
      <c r="C29" s="42">
        <f>NPV!B25</f>
        <v>1560.7862737679097</v>
      </c>
      <c r="D29" s="43">
        <f>NPV!B27</f>
        <v>37.521287382075066</v>
      </c>
      <c r="E29" s="44">
        <f>NPV!B29</f>
        <v>8.041274067969894</v>
      </c>
    </row>
    <row r="30">
      <c r="A30" s="45" t="n">
        <v>1</v>
      </c>
      <c r="B30" s="46">
        <f t="dataTable" ref="B30:E32" r1="B4"/>
        <v>619.7475350241643</v>
      </c>
      <c r="C30" s="46">
        <v>635.8385350241643</v>
      </c>
      <c r="D30" s="47">
        <v>15.285552418169779</v>
      </c>
      <c r="E30" s="48">
        <v>2.6832656429324766</v>
      </c>
    </row>
    <row r="31">
      <c r="A31" s="45" t="n">
        <v>2</v>
      </c>
      <c r="B31" s="46">
        <v>1544.6952737679098</v>
      </c>
      <c r="C31" s="46">
        <v>1560.7862737679097</v>
      </c>
      <c r="D31" s="47">
        <v>37.521287382075066</v>
      </c>
      <c r="E31" s="48">
        <v>8.041274067969894</v>
      </c>
    </row>
    <row r="32">
      <c r="A32" s="45" t="n">
        <v>3</v>
      </c>
      <c r="B32" s="46">
        <v>2963.832287916403</v>
      </c>
      <c r="C32" s="46">
        <v>2979.923287916403</v>
      </c>
      <c r="D32" s="47">
        <v>71.63732789149047</v>
      </c>
      <c r="E32" s="48">
        <v>16.262006720841075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37.521287382075066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11.277055717026728</v>
      </c>
      <c r="C37" s="47">
        <v>16.938048520525903</v>
      </c>
      <c r="D37" s="47">
        <v>22.580158043180703</v>
      </c>
      <c r="E37" s="47">
        <v>33.86437708849029</v>
      </c>
      <c r="F37" s="47">
        <v>45.135173022068884</v>
      </c>
    </row>
    <row r="38">
      <c r="A38" s="50" t="n">
        <v>0.8</v>
      </c>
      <c r="B38" s="47">
        <v>14.999294922409888</v>
      </c>
      <c r="C38" s="47">
        <v>22.527910015754824</v>
      </c>
      <c r="D38" s="47">
        <v>30.05072271262789</v>
      </c>
      <c r="E38" s="47">
        <v>45.08325495518823</v>
      </c>
      <c r="F38" s="47">
        <v>60.10237566913304</v>
      </c>
    </row>
    <row r="39">
      <c r="A39" s="50" t="n">
        <v>1</v>
      </c>
      <c r="B39" s="47">
        <v>18.714255639892407</v>
      </c>
      <c r="C39" s="47">
        <v>28.11777151098373</v>
      </c>
      <c r="D39" s="47">
        <v>37.521287382075066</v>
      </c>
      <c r="E39" s="47">
        <v>56.29567742376617</v>
      </c>
      <c r="F39" s="47">
        <v>75.06957831619717</v>
      </c>
    </row>
    <row r="40">
      <c r="A40" s="50" t="n">
        <v>1.2</v>
      </c>
      <c r="B40" s="47">
        <v>22.423413960903055</v>
      </c>
      <c r="C40" s="47">
        <v>33.707633006212646</v>
      </c>
      <c r="D40" s="47">
        <v>44.97941882142694</v>
      </c>
      <c r="E40" s="47">
        <v>67.50809989234412</v>
      </c>
      <c r="F40" s="47">
        <v>90.03678096326131</v>
      </c>
    </row>
    <row r="41">
      <c r="A41" s="50" t="n">
        <v>1.4</v>
      </c>
      <c r="B41" s="47">
        <v>26.132572281913706</v>
      </c>
      <c r="C41" s="47">
        <v>39.29533048681699</v>
      </c>
      <c r="D41" s="47">
        <v>52.43706111151867</v>
      </c>
      <c r="E41" s="47">
        <v>78.72052236092206</v>
      </c>
      <c r="F41" s="47">
        <v>105.00398361032543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Oramed Pharmaceuticals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Type 2 diabetes</t>
        </is>
      </c>
      <c r="C4" s="14" t="inlineStr">
        <is>
          <t>ORMD-0801, ORMD-0801 8 mg</t>
        </is>
      </c>
      <c r="D4" s="14" t="inlineStr">
        <is>
          <t>Phase 3</t>
        </is>
      </c>
      <c r="E4" s="14" t="inlineStr">
        <is>
          <t>Metabolic / chronic</t>
        </is>
      </c>
      <c r="F4" s="14" t="inlineStr">
        <is>
          <t>Owned</t>
        </is>
      </c>
      <c r="G4" s="40" t="n">
        <v>2500</v>
      </c>
      <c r="H4" s="27" t="n">
        <v>0.551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1975.9584596557638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137.75</v>
      </c>
      <c r="Q4" s="23">
        <f>IF(Q$3&lt;$I4,0,$G4*Assumptions!$E$11*INDEX(Assumptions!$B$24:$G$24,MIN(6,Q$3-$I4+1))*IF(Q$3&gt;$J4,(1-Assumptions!$B$26)^(Q$3-$J4),1)*IF($H4&gt;=1,1,MIN(0.97,$H4*Assumptions!$E$12)))</f>
        <v>344.375</v>
      </c>
      <c r="R4" s="23">
        <f>IF(R$3&lt;$I4,0,$G4*Assumptions!$E$11*INDEX(Assumptions!$B$24:$G$24,MIN(6,R$3-$I4+1))*IF(R$3&gt;$J4,(1-Assumptions!$B$26)^(R$3-$J4),1)*IF($H4&gt;=1,1,MIN(0.97,$H4*Assumptions!$E$12)))</f>
        <v>619.875</v>
      </c>
      <c r="S4" s="23">
        <f>IF(S$3&lt;$I4,0,$G4*Assumptions!$E$11*INDEX(Assumptions!$B$24:$G$24,MIN(6,S$3-$I4+1))*IF(S$3&gt;$J4,(1-Assumptions!$B$26)^(S$3-$J4),1)*IF($H4&gt;=1,1,MIN(0.97,$H4*Assumptions!$E$12)))</f>
        <v>895.3750000000001</v>
      </c>
      <c r="T4" s="23">
        <f>IF(T$3&lt;$I4,0,$G4*Assumptions!$E$11*INDEX(Assumptions!$B$24:$G$24,MIN(6,T$3-$I4+1))*IF(T$3&gt;$J4,(1-Assumptions!$B$26)^(T$3-$J4),1)*IF($H4&gt;=1,1,MIN(0.97,$H4*Assumptions!$E$12)))</f>
        <v>1170.875</v>
      </c>
      <c r="U4" s="23">
        <f>IF(U$3&lt;$I4,0,$G4*Assumptions!$E$11*INDEX(Assumptions!$B$24:$G$24,MIN(6,U$3-$I4+1))*IF(U$3&gt;$J4,(1-Assumptions!$B$26)^(U$3-$J4),1)*IF($H4&gt;=1,1,MIN(0.97,$H4*Assumptions!$E$12)))</f>
        <v>1377.5</v>
      </c>
      <c r="V4" s="23">
        <f>IF(V$3&lt;$I4,0,$G4*Assumptions!$E$11*INDEX(Assumptions!$B$24:$G$24,MIN(6,V$3-$I4+1))*IF(V$3&gt;$J4,(1-Assumptions!$B$26)^(V$3-$J4),1)*IF($H4&gt;=1,1,MIN(0.97,$H4*Assumptions!$E$12)))</f>
        <v>1377.5</v>
      </c>
      <c r="W4" s="23">
        <f>IF(W$3&lt;$I4,0,$G4*Assumptions!$E$11*INDEX(Assumptions!$B$24:$G$24,MIN(6,W$3-$I4+1))*IF(W$3&gt;$J4,(1-Assumptions!$B$26)^(W$3-$J4),1)*IF($H4&gt;=1,1,MIN(0.97,$H4*Assumptions!$E$12)))</f>
        <v>1377.5</v>
      </c>
      <c r="X4" s="23">
        <f>IF(X$3&lt;$I4,0,$G4*Assumptions!$E$11*INDEX(Assumptions!$B$24:$G$24,MIN(6,X$3-$I4+1))*IF(X$3&gt;$J4,(1-Assumptions!$B$26)^(X$3-$J4),1)*IF($H4&gt;=1,1,MIN(0.97,$H4*Assumptions!$E$12)))</f>
        <v>1377.5</v>
      </c>
      <c r="Y4" s="23">
        <f>IF(Y$3&lt;$I4,0,$G4*Assumptions!$E$11*INDEX(Assumptions!$B$24:$G$24,MIN(6,Y$3-$I4+1))*IF(Y$3&gt;$J4,(1-Assumptions!$B$26)^(Y$3-$J4),1)*IF($H4&gt;=1,1,MIN(0.97,$H4*Assumptions!$E$12)))</f>
        <v>1377.5</v>
      </c>
      <c r="Z4" s="23">
        <f>IF(Z$3&lt;$I4,0,$G4*Assumptions!$E$11*INDEX(Assumptions!$B$24:$G$24,MIN(6,Z$3-$I4+1))*IF(Z$3&gt;$J4,(1-Assumptions!$B$26)^(Z$3-$J4),1)*IF($H4&gt;=1,1,MIN(0.97,$H4*Assumptions!$E$12)))</f>
        <v>1377.5</v>
      </c>
      <c r="AA4" s="23">
        <f>IF(AA$3&lt;$I4,0,$G4*Assumptions!$E$11*INDEX(Assumptions!$B$24:$G$24,MIN(6,AA$3-$I4+1))*IF(AA$3&gt;$J4,(1-Assumptions!$B$26)^(AA$3-$J4),1)*IF($H4&gt;=1,1,MIN(0.97,$H4*Assumptions!$E$12)))</f>
        <v>1377.5</v>
      </c>
      <c r="AB4" s="23">
        <f>IF(AB$3&lt;$I4,0,$G4*Assumptions!$E$11*INDEX(Assumptions!$B$24:$G$24,MIN(6,AB$3-$I4+1))*IF(AB$3&gt;$J4,(1-Assumptions!$B$26)^(AB$3-$J4),1)*IF($H4&gt;=1,1,MIN(0.97,$H4*Assumptions!$E$12)))</f>
        <v>1377.5</v>
      </c>
      <c r="AC4" s="23">
        <f>IF(AC$3&lt;$I4,0,$G4*Assumptions!$E$11*INDEX(Assumptions!$B$24:$G$24,MIN(6,AC$3-$I4+1))*IF(AC$3&gt;$J4,(1-Assumptions!$B$26)^(AC$3-$J4),1)*IF($H4&gt;=1,1,MIN(0.97,$H4*Assumptions!$E$12)))</f>
        <v>688.75</v>
      </c>
      <c r="AD4" s="23">
        <f>IF(AD$3&lt;$I4,0,$G4*Assumptions!$E$11*INDEX(Assumptions!$B$24:$G$24,MIN(6,AD$3-$I4+1))*IF(AD$3&gt;$J4,(1-Assumptions!$B$26)^(AD$3-$J4),1)*IF($H4&gt;=1,1,MIN(0.97,$H4*Assumptions!$E$12)))</f>
        <v>344.375</v>
      </c>
      <c r="AE4" s="23">
        <f>IF(AE$3&lt;$I4,0,$G4*Assumptions!$E$11*INDEX(Assumptions!$B$24:$G$24,MIN(6,AE$3-$I4+1))*IF(AE$3&gt;$J4,(1-Assumptions!$B$26)^(AE$3-$J4),1)*IF($H4&gt;=1,1,MIN(0.97,$H4*Assumptions!$E$12)))</f>
        <v>172.1875</v>
      </c>
      <c r="AF4" s="23">
        <f>IF(AF$3&lt;$I4,0,$G4*Assumptions!$E$11*INDEX(Assumptions!$B$24:$G$24,MIN(6,AF$3-$I4+1))*IF(AF$3&gt;$J4,(1-Assumptions!$B$26)^(AF$3-$J4),1)*IF($H4&gt;=1,1,MIN(0.97,$H4*Assumptions!$E$12)))</f>
        <v>86.09375</v>
      </c>
      <c r="AG4" s="35">
        <f>IF(F4="Owned",1-IF(H4&gt;=1,1,MIN(0.97,H4*Assumptions!$E$12)),1)</f>
        <v>0.44899999999999995</v>
      </c>
    </row>
    <row r="5">
      <c r="B5" s="24" t="inlineStr">
        <is>
          <t>Risked revenue</t>
        </is>
      </c>
      <c r="L5" s="54">
        <f>SUM(L4:L4)</f>
        <v>1975.9584596557638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137.75</v>
      </c>
      <c r="Q5" s="54">
        <f>SUM(Q4:Q4)</f>
        <v>344.375</v>
      </c>
      <c r="R5" s="54">
        <f>SUM(R4:R4)</f>
        <v>619.875</v>
      </c>
      <c r="S5" s="54">
        <f>SUM(S4:S4)</f>
        <v>895.3750000000001</v>
      </c>
      <c r="T5" s="54">
        <f>SUM(T4:T4)</f>
        <v>1170.875</v>
      </c>
      <c r="U5" s="54">
        <f>SUM(U4:U4)</f>
        <v>1377.5</v>
      </c>
      <c r="V5" s="54">
        <f>SUM(V4:V4)</f>
        <v>1377.5</v>
      </c>
      <c r="W5" s="54">
        <f>SUM(W4:W4)</f>
        <v>1377.5</v>
      </c>
      <c r="X5" s="54">
        <f>SUM(X4:X4)</f>
        <v>1377.5</v>
      </c>
      <c r="Y5" s="54">
        <f>SUM(Y4:Y4)</f>
        <v>1377.5</v>
      </c>
      <c r="Z5" s="54">
        <f>SUM(Z4:Z4)</f>
        <v>1377.5</v>
      </c>
      <c r="AA5" s="54">
        <f>SUM(AA4:AA4)</f>
        <v>1377.5</v>
      </c>
      <c r="AB5" s="54">
        <f>SUM(AB4:AB4)</f>
        <v>1377.5</v>
      </c>
      <c r="AC5" s="54">
        <f>SUM(AC4:AC4)</f>
        <v>688.75</v>
      </c>
      <c r="AD5" s="54">
        <f>SUM(AD4:AD4)</f>
        <v>344.375</v>
      </c>
      <c r="AE5" s="54">
        <f>SUM(AE4:AE4)</f>
        <v>172.1875</v>
      </c>
      <c r="AF5" s="54">
        <f>SUM(AF4:AF4)</f>
        <v>86.09375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55.1</v>
      </c>
      <c r="Q6" s="55">
        <f>SUMPRODUCT(Q4:Q4,$K$4:$K$4)</f>
        <v>137.75</v>
      </c>
      <c r="R6" s="55">
        <f>SUMPRODUCT(R4:R4,$K$4:$K$4)</f>
        <v>247.95000000000002</v>
      </c>
      <c r="S6" s="55">
        <f>SUMPRODUCT(S4:S4,$K$4:$K$4)</f>
        <v>358.1500000000001</v>
      </c>
      <c r="T6" s="55">
        <f>SUMPRODUCT(T4:T4,$K$4:$K$4)</f>
        <v>468.35</v>
      </c>
      <c r="U6" s="55">
        <f>SUMPRODUCT(U4:U4,$K$4:$K$4)</f>
        <v>551.0</v>
      </c>
      <c r="V6" s="55">
        <f>SUMPRODUCT(V4:V4,$K$4:$K$4)</f>
        <v>551.0</v>
      </c>
      <c r="W6" s="55">
        <f>SUMPRODUCT(W4:W4,$K$4:$K$4)</f>
        <v>551.0</v>
      </c>
      <c r="X6" s="55">
        <f>SUMPRODUCT(X4:X4,$K$4:$K$4)</f>
        <v>551.0</v>
      </c>
      <c r="Y6" s="55">
        <f>SUMPRODUCT(Y4:Y4,$K$4:$K$4)</f>
        <v>551.0</v>
      </c>
      <c r="Z6" s="55">
        <f>SUMPRODUCT(Z4:Z4,$K$4:$K$4)</f>
        <v>551.0</v>
      </c>
      <c r="AA6" s="55">
        <f>SUMPRODUCT(AA4:AA4,$K$4:$K$4)</f>
        <v>551.0</v>
      </c>
      <c r="AB6" s="55">
        <f>SUMPRODUCT(AB4:AB4,$K$4:$K$4)</f>
        <v>551.0</v>
      </c>
      <c r="AC6" s="55">
        <f>SUMPRODUCT(AC4:AC4,$K$4:$K$4)</f>
        <v>275.5</v>
      </c>
      <c r="AD6" s="55">
        <f>SUMPRODUCT(AD4:AD4,$K$4:$K$4)</f>
        <v>137.75</v>
      </c>
      <c r="AE6" s="55">
        <f>SUMPRODUCT(AE4:AE4,$K$4:$K$4)</f>
        <v>68.875</v>
      </c>
      <c r="AF6" s="55">
        <f>SUMPRODUCT(AF4:AF4,$K$4:$K$4)</f>
        <v>34.4375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Oramed Pharmaceuticals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137.75</v>
      </c>
      <c r="G4" s="57">
        <f>Pipeline!Q5</f>
        <v>344.375</v>
      </c>
      <c r="H4" s="57">
        <f>Pipeline!R5</f>
        <v>619.875</v>
      </c>
      <c r="I4" s="57">
        <f>Pipeline!S5</f>
        <v>895.3750000000001</v>
      </c>
      <c r="J4" s="57">
        <f>Pipeline!T5</f>
        <v>1170.875</v>
      </c>
      <c r="K4" s="57">
        <f>Pipeline!U5</f>
        <v>1377.5</v>
      </c>
      <c r="L4" s="57">
        <f>Pipeline!V5</f>
        <v>1377.5</v>
      </c>
      <c r="M4" s="57">
        <f>Pipeline!W5</f>
        <v>1377.5</v>
      </c>
      <c r="N4" s="57">
        <f>Pipeline!X5</f>
        <v>1377.5</v>
      </c>
      <c r="O4" s="57">
        <f>Pipeline!Y5</f>
        <v>1377.5</v>
      </c>
      <c r="P4" s="57">
        <f>Pipeline!Z5</f>
        <v>1377.5</v>
      </c>
      <c r="Q4" s="57">
        <f>Pipeline!AA5</f>
        <v>1377.5</v>
      </c>
      <c r="R4" s="57">
        <f>Pipeline!AB5</f>
        <v>1377.5</v>
      </c>
      <c r="S4" s="57">
        <f>Pipeline!AC5</f>
        <v>688.75</v>
      </c>
      <c r="T4" s="57">
        <f>Pipeline!AD5</f>
        <v>344.375</v>
      </c>
      <c r="U4" s="57">
        <f>Pipeline!AE5</f>
        <v>172.1875</v>
      </c>
      <c r="V4" s="57">
        <f>Pipeline!AF5</f>
        <v>86.09375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55.1</v>
      </c>
      <c r="G5" s="57">
        <f>Pipeline!Q6</f>
        <v>137.75</v>
      </c>
      <c r="H5" s="57">
        <f>Pipeline!R6</f>
        <v>247.95000000000002</v>
      </c>
      <c r="I5" s="57">
        <f>Pipeline!S6</f>
        <v>358.1500000000001</v>
      </c>
      <c r="J5" s="57">
        <f>Pipeline!T6</f>
        <v>468.35</v>
      </c>
      <c r="K5" s="57">
        <f>Pipeline!U6</f>
        <v>551.0</v>
      </c>
      <c r="L5" s="57">
        <f>Pipeline!V6</f>
        <v>551.0</v>
      </c>
      <c r="M5" s="57">
        <f>Pipeline!W6</f>
        <v>551.0</v>
      </c>
      <c r="N5" s="57">
        <f>Pipeline!X6</f>
        <v>551.0</v>
      </c>
      <c r="O5" s="57">
        <f>Pipeline!Y6</f>
        <v>551.0</v>
      </c>
      <c r="P5" s="57">
        <f>Pipeline!Z6</f>
        <v>551.0</v>
      </c>
      <c r="Q5" s="57">
        <f>Pipeline!AA6</f>
        <v>551.0</v>
      </c>
      <c r="R5" s="57">
        <f>Pipeline!AB6</f>
        <v>551.0</v>
      </c>
      <c r="S5" s="57">
        <f>Pipeline!AC6</f>
        <v>275.5</v>
      </c>
      <c r="T5" s="57">
        <f>Pipeline!AD6</f>
        <v>137.75</v>
      </c>
      <c r="U5" s="57">
        <f>Pipeline!AE6</f>
        <v>68.875</v>
      </c>
      <c r="V5" s="57">
        <f>Pipeline!AF6</f>
        <v>34.4375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-14.524</v>
      </c>
      <c r="D6" s="23">
        <f>-IF(D3-2026&lt;Assumptions!$B$19,Assumptions!$B$18,Assumptions!$B$18*Assumptions!$B$20*Assumptions!$B$16)</f>
        <v>-14.524</v>
      </c>
      <c r="E6" s="23">
        <f>-IF(E3-2026&lt;Assumptions!$B$19,Assumptions!$B$18,Assumptions!$B$18*Assumptions!$B$20*Assumptions!$B$16)</f>
        <v>-14.524</v>
      </c>
      <c r="F6" s="23">
        <f>-IF(F3-2026&lt;Assumptions!$B$19,Assumptions!$B$18,Assumptions!$B$18*Assumptions!$B$20*Assumptions!$B$16)</f>
        <v>-2.4008172</v>
      </c>
      <c r="G6" s="23">
        <f>-IF(G3-2026&lt;Assumptions!$B$19,Assumptions!$B$18,Assumptions!$B$18*Assumptions!$B$20*Assumptions!$B$16)</f>
        <v>-2.4008172</v>
      </c>
      <c r="H6" s="23">
        <f>-IF(H3-2026&lt;Assumptions!$B$19,Assumptions!$B$18,Assumptions!$B$18*Assumptions!$B$20*Assumptions!$B$16)</f>
        <v>-2.4008172</v>
      </c>
      <c r="I6" s="23">
        <f>-IF(I3-2026&lt;Assumptions!$B$19,Assumptions!$B$18,Assumptions!$B$18*Assumptions!$B$20*Assumptions!$B$16)</f>
        <v>-2.4008172</v>
      </c>
      <c r="J6" s="23">
        <f>-IF(J3-2026&lt;Assumptions!$B$19,Assumptions!$B$18,Assumptions!$B$18*Assumptions!$B$20*Assumptions!$B$16)</f>
        <v>-2.4008172</v>
      </c>
      <c r="K6" s="23">
        <f>-IF(K3-2026&lt;Assumptions!$B$19,Assumptions!$B$18,Assumptions!$B$18*Assumptions!$B$20*Assumptions!$B$16)</f>
        <v>-2.4008172</v>
      </c>
      <c r="L6" s="23">
        <f>-IF(L3-2026&lt;Assumptions!$B$19,Assumptions!$B$18,Assumptions!$B$18*Assumptions!$B$20*Assumptions!$B$16)</f>
        <v>-2.4008172</v>
      </c>
      <c r="M6" s="23">
        <f>-IF(M3-2026&lt;Assumptions!$B$19,Assumptions!$B$18,Assumptions!$B$18*Assumptions!$B$20*Assumptions!$B$16)</f>
        <v>-2.4008172</v>
      </c>
      <c r="N6" s="23">
        <f>-IF(N3-2026&lt;Assumptions!$B$19,Assumptions!$B$18,Assumptions!$B$18*Assumptions!$B$20*Assumptions!$B$16)</f>
        <v>-2.4008172</v>
      </c>
      <c r="O6" s="23">
        <f>-IF(O3-2026&lt;Assumptions!$B$19,Assumptions!$B$18,Assumptions!$B$18*Assumptions!$B$20*Assumptions!$B$16)</f>
        <v>-2.4008172</v>
      </c>
      <c r="P6" s="23">
        <f>-IF(P3-2026&lt;Assumptions!$B$19,Assumptions!$B$18,Assumptions!$B$18*Assumptions!$B$20*Assumptions!$B$16)</f>
        <v>-2.4008172</v>
      </c>
      <c r="Q6" s="23">
        <f>-IF(Q3-2026&lt;Assumptions!$B$19,Assumptions!$B$18,Assumptions!$B$18*Assumptions!$B$20*Assumptions!$B$16)</f>
        <v>-2.4008172</v>
      </c>
      <c r="R6" s="23">
        <f>-IF(R3-2026&lt;Assumptions!$B$19,Assumptions!$B$18,Assumptions!$B$18*Assumptions!$B$20*Assumptions!$B$16)</f>
        <v>-2.4008172</v>
      </c>
      <c r="S6" s="23">
        <f>-IF(S3-2026&lt;Assumptions!$B$19,Assumptions!$B$18,Assumptions!$B$18*Assumptions!$B$20*Assumptions!$B$16)</f>
        <v>-2.4008172</v>
      </c>
      <c r="T6" s="23">
        <f>-IF(T3-2026&lt;Assumptions!$B$19,Assumptions!$B$18,Assumptions!$B$18*Assumptions!$B$20*Assumptions!$B$16)</f>
        <v>-2.4008172</v>
      </c>
      <c r="U6" s="23">
        <f>-IF(U3-2026&lt;Assumptions!$B$19,Assumptions!$B$18,Assumptions!$B$18*Assumptions!$B$20*Assumptions!$B$16)</f>
        <v>-2.4008172</v>
      </c>
      <c r="V6" s="23">
        <f>-IF(V3-2026&lt;Assumptions!$B$19,Assumptions!$B$18,Assumptions!$B$18*Assumptions!$B$20*Assumptions!$B$16)</f>
        <v>-2.4008172</v>
      </c>
    </row>
    <row r="7">
      <c r="A7" s="14" t="inlineStr">
        <is>
          <t>Pre-tax cash flow</t>
        </is>
      </c>
      <c r="C7" s="23">
        <f>C5+C6</f>
        <v>-14.524</v>
      </c>
      <c r="D7" s="23">
        <f>D5+D6</f>
        <v>-14.524</v>
      </c>
      <c r="E7" s="23">
        <f>E5+E6</f>
        <v>-14.524</v>
      </c>
      <c r="F7" s="23">
        <f>F5+F6</f>
        <v>52.6991828</v>
      </c>
      <c r="G7" s="23">
        <f>G5+G6</f>
        <v>135.3491828</v>
      </c>
      <c r="H7" s="23">
        <f>H5+H6</f>
        <v>245.5491828</v>
      </c>
      <c r="I7" s="23">
        <f>I5+I6</f>
        <v>355.7491828000001</v>
      </c>
      <c r="J7" s="23">
        <f>J5+J6</f>
        <v>465.9491828</v>
      </c>
      <c r="K7" s="23">
        <f>K5+K6</f>
        <v>548.5991828</v>
      </c>
      <c r="L7" s="23">
        <f>L5+L6</f>
        <v>548.5991828</v>
      </c>
      <c r="M7" s="23">
        <f>M5+M6</f>
        <v>548.5991828</v>
      </c>
      <c r="N7" s="23">
        <f>N5+N6</f>
        <v>548.5991828</v>
      </c>
      <c r="O7" s="23">
        <f>O5+O6</f>
        <v>548.5991828</v>
      </c>
      <c r="P7" s="23">
        <f>P5+P6</f>
        <v>548.5991828</v>
      </c>
      <c r="Q7" s="23">
        <f>Q5+Q6</f>
        <v>548.5991828</v>
      </c>
      <c r="R7" s="23">
        <f>R5+R6</f>
        <v>548.5991828</v>
      </c>
      <c r="S7" s="23">
        <f>S5+S6</f>
        <v>273.0991828</v>
      </c>
      <c r="T7" s="23">
        <f>T5+T6</f>
        <v>135.3491828</v>
      </c>
      <c r="U7" s="23">
        <f>U5+U6</f>
        <v>66.4741828</v>
      </c>
      <c r="V7" s="23">
        <f>V5+V6</f>
        <v>32.0366828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52.6991828</v>
      </c>
      <c r="G8" s="23">
        <f>MIN(F17,MAX(0,G7))</f>
        <v>135.3491828</v>
      </c>
      <c r="H8" s="23">
        <f>MIN(G17,MAX(0,H7))</f>
        <v>1.4236344000000258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244.12554839999999</v>
      </c>
      <c r="I9" s="23">
        <f>MAX(0,I7)-I8</f>
        <v>355.7491828000001</v>
      </c>
      <c r="J9" s="23">
        <f>MAX(0,J7)-J8</f>
        <v>465.9491828</v>
      </c>
      <c r="K9" s="23">
        <f>MAX(0,K7)-K8</f>
        <v>548.5991828</v>
      </c>
      <c r="L9" s="23">
        <f>MAX(0,L7)-L8</f>
        <v>548.5991828</v>
      </c>
      <c r="M9" s="23">
        <f>MAX(0,M7)-M8</f>
        <v>548.5991828</v>
      </c>
      <c r="N9" s="23">
        <f>MAX(0,N7)-N8</f>
        <v>548.5991828</v>
      </c>
      <c r="O9" s="23">
        <f>MAX(0,O7)-O8</f>
        <v>548.5991828</v>
      </c>
      <c r="P9" s="23">
        <f>MAX(0,P7)-P8</f>
        <v>548.5991828</v>
      </c>
      <c r="Q9" s="23">
        <f>MAX(0,Q7)-Q8</f>
        <v>548.5991828</v>
      </c>
      <c r="R9" s="23">
        <f>MAX(0,R7)-R8</f>
        <v>548.5991828</v>
      </c>
      <c r="S9" s="23">
        <f>MAX(0,S7)-S8</f>
        <v>273.0991828</v>
      </c>
      <c r="T9" s="23">
        <f>MAX(0,T7)-T8</f>
        <v>135.3491828</v>
      </c>
      <c r="U9" s="23">
        <f>MAX(0,U7)-U8</f>
        <v>66.4741828</v>
      </c>
      <c r="V9" s="23">
        <f>MAX(0,V7)-V8</f>
        <v>32.0366828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51.26636516399999</v>
      </c>
      <c r="I10" s="23">
        <f>I9*Assumptions!$E$15</f>
        <v>74.70732838800002</v>
      </c>
      <c r="J10" s="23">
        <f>J9*Assumptions!$E$15</f>
        <v>97.849328388</v>
      </c>
      <c r="K10" s="23">
        <f>K9*Assumptions!$E$15</f>
        <v>115.205828388</v>
      </c>
      <c r="L10" s="23">
        <f>L9*Assumptions!$E$15</f>
        <v>115.205828388</v>
      </c>
      <c r="M10" s="23">
        <f>M9*Assumptions!$E$15</f>
        <v>115.205828388</v>
      </c>
      <c r="N10" s="23">
        <f>N9*Assumptions!$E$15</f>
        <v>115.205828388</v>
      </c>
      <c r="O10" s="23">
        <f>O9*Assumptions!$E$15</f>
        <v>115.205828388</v>
      </c>
      <c r="P10" s="23">
        <f>P9*Assumptions!$E$15</f>
        <v>115.205828388</v>
      </c>
      <c r="Q10" s="23">
        <f>Q9*Assumptions!$E$15</f>
        <v>115.205828388</v>
      </c>
      <c r="R10" s="23">
        <f>R9*Assumptions!$E$15</f>
        <v>115.205828388</v>
      </c>
      <c r="S10" s="23">
        <f>S9*Assumptions!$E$15</f>
        <v>57.350828388</v>
      </c>
      <c r="T10" s="23">
        <f>T9*Assumptions!$E$15</f>
        <v>28.423328387999998</v>
      </c>
      <c r="U10" s="23">
        <f>U9*Assumptions!$E$15</f>
        <v>13.959578387999999</v>
      </c>
      <c r="V10" s="23">
        <f>V9*Assumptions!$E$15</f>
        <v>6.727703388</v>
      </c>
    </row>
    <row r="11">
      <c r="A11" s="24" t="inlineStr">
        <is>
          <t>Free cash flow</t>
        </is>
      </c>
      <c r="C11" s="55">
        <f>C7-C10</f>
        <v>-14.524</v>
      </c>
      <c r="D11" s="55">
        <f>D7-D10</f>
        <v>-14.524</v>
      </c>
      <c r="E11" s="55">
        <f>E7-E10</f>
        <v>-14.524</v>
      </c>
      <c r="F11" s="55">
        <f>F7-F10</f>
        <v>52.6991828</v>
      </c>
      <c r="G11" s="55">
        <f>G7-G10</f>
        <v>135.3491828</v>
      </c>
      <c r="H11" s="55">
        <f>H7-H10</f>
        <v>194.282817636</v>
      </c>
      <c r="I11" s="55">
        <f>I7-I10</f>
        <v>281.0418544120001</v>
      </c>
      <c r="J11" s="55">
        <f>J7-J10</f>
        <v>368.099854412</v>
      </c>
      <c r="K11" s="55">
        <f>K7-K10</f>
        <v>433.393354412</v>
      </c>
      <c r="L11" s="55">
        <f>L7-L10</f>
        <v>433.393354412</v>
      </c>
      <c r="M11" s="55">
        <f>M7-M10</f>
        <v>433.393354412</v>
      </c>
      <c r="N11" s="55">
        <f>N7-N10</f>
        <v>433.393354412</v>
      </c>
      <c r="O11" s="55">
        <f>O7-O10</f>
        <v>433.393354412</v>
      </c>
      <c r="P11" s="55">
        <f>P7-P10</f>
        <v>433.393354412</v>
      </c>
      <c r="Q11" s="55">
        <f>Q7-Q10</f>
        <v>433.393354412</v>
      </c>
      <c r="R11" s="55">
        <f>R7-R10</f>
        <v>433.393354412</v>
      </c>
      <c r="S11" s="55">
        <f>S7-S10</f>
        <v>215.748354412</v>
      </c>
      <c r="T11" s="55">
        <f>T7-T10</f>
        <v>106.92585441199999</v>
      </c>
      <c r="U11" s="55">
        <f>U7-U10</f>
        <v>52.514604412</v>
      </c>
      <c r="V11" s="55">
        <f>V7-V10</f>
        <v>25.308979412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-7.115370765088939</v>
      </c>
      <c r="D16" s="55">
        <f>D11*D15</f>
        <v>-12.961833058678561</v>
      </c>
      <c r="E16" s="55">
        <f>E11*E15</f>
        <v>-11.573065230962996</v>
      </c>
      <c r="F16" s="55">
        <f>F11*F15</f>
        <v>37.49281239935644</v>
      </c>
      <c r="G16" s="55">
        <f>G11*G15</f>
        <v>85.9768943257456</v>
      </c>
      <c r="H16" s="55">
        <f>H11*H15</f>
        <v>110.19007687878648</v>
      </c>
      <c r="I16" s="55">
        <f>I11*I15</f>
        <v>142.3184065256213</v>
      </c>
      <c r="J16" s="55">
        <f>J11*J15</f>
        <v>166.4323299556557</v>
      </c>
      <c r="K16" s="55">
        <f>K11*K15</f>
        <v>174.95899379693014</v>
      </c>
      <c r="L16" s="55">
        <f>L11*L15</f>
        <v>156.2133873186876</v>
      </c>
      <c r="M16" s="55">
        <f>M11*M15</f>
        <v>139.47623867739964</v>
      </c>
      <c r="N16" s="55">
        <f>N11*N15</f>
        <v>124.53235596196394</v>
      </c>
      <c r="O16" s="55">
        <f>O11*O15</f>
        <v>111.18960353746779</v>
      </c>
      <c r="P16" s="55">
        <f>P11*P15</f>
        <v>99.27643172988195</v>
      </c>
      <c r="Q16" s="55">
        <f>Q11*Q15</f>
        <v>88.6396711873946</v>
      </c>
      <c r="R16" s="55">
        <f>R11*R15</f>
        <v>79.14256356017374</v>
      </c>
      <c r="S16" s="55">
        <f>S11*S15</f>
        <v>35.17688145980961</v>
      </c>
      <c r="T16" s="55">
        <f>T11*T15</f>
        <v>15.565911250313514</v>
      </c>
      <c r="U16" s="55">
        <f>U11*U15</f>
        <v>6.825805301835063</v>
      </c>
      <c r="V16" s="55">
        <f>V11*V15</f>
        <v>2.937178955617146</v>
      </c>
    </row>
    <row r="17">
      <c r="A17" s="14" t="inlineStr">
        <is>
          <t>Tax-loss carryforward, end of year</t>
        </is>
      </c>
      <c r="C17" s="23">
        <f>Assumptions!$B$21-C8+MAX(0,-C7)</f>
        <v>160.424</v>
      </c>
      <c r="D17" s="23">
        <f>C17-D8+MAX(0,-D7)</f>
        <v>174.948</v>
      </c>
      <c r="E17" s="23">
        <f>D17-E8+MAX(0,-E7)</f>
        <v>189.472</v>
      </c>
      <c r="F17" s="23">
        <f>E17-F8+MAX(0,-F7)</f>
        <v>136.77281720000002</v>
      </c>
      <c r="G17" s="23">
        <f>F17-G8+MAX(0,-G7)</f>
        <v>1.4236344000000258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1975.9584596557636</v>
      </c>
    </row>
    <row r="20">
      <c r="A20" s="14" t="inlineStr">
        <is>
          <t>PV of corporate burn</t>
        </is>
      </c>
      <c r="B20" s="23">
        <f>SUMPRODUCT(C6:V6,C15:V15)</f>
        <v>-45.270319276824004</v>
      </c>
    </row>
    <row r="21">
      <c r="A21" s="14" t="inlineStr">
        <is>
          <t>PV of taxes</t>
        </is>
      </c>
      <c r="B21" s="23">
        <f>-SUMPRODUCT(C10:V10,C15:V15)</f>
        <v>-385.99286661103</v>
      </c>
    </row>
    <row r="22">
      <c r="A22" s="24" t="inlineStr">
        <is>
          <t>Pipeline rNPV (operations)</t>
        </is>
      </c>
      <c r="B22" s="54">
        <f>SUM(C16:V16)</f>
        <v>1544.6952737679098</v>
      </c>
    </row>
    <row r="23">
      <c r="A23" s="14" t="inlineStr">
        <is>
          <t>Cash &amp; investments</t>
        </is>
      </c>
      <c r="B23" s="57">
        <f>Main!C7</f>
        <v>16.090999999999998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1560.7862737679097</v>
      </c>
    </row>
    <row r="26">
      <c r="A26" s="14" t="inlineStr">
        <is>
          <t>Shares (mm)</t>
        </is>
      </c>
      <c r="B26" s="57">
        <f>Main!C4</f>
        <v>41.597354</v>
      </c>
    </row>
    <row r="27">
      <c r="A27" s="24" t="inlineStr">
        <is>
          <t>rNPV / share</t>
        </is>
      </c>
      <c r="B27" s="60">
        <f>B25/B26</f>
        <v>37.521287382075066</v>
      </c>
    </row>
    <row r="28">
      <c r="A28" s="14" t="inlineStr">
        <is>
          <t>Price</t>
        </is>
      </c>
      <c r="B28" s="61">
        <f>Main!C3</f>
        <v>4.15</v>
      </c>
    </row>
    <row r="29">
      <c r="A29" s="14" t="inlineStr">
        <is>
          <t>Upside</t>
        </is>
      </c>
      <c r="B29" s="62">
        <f>B27/B28-1</f>
        <v>8.041274067969894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2026-10-21T06:27:10Z</dcterms:modified>
  <cp:lastModifiedBy>Wang, Eric</cp:lastModifiedBy>
</cp:coreProperties>
</file>