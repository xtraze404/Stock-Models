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Denali Therapeutics Inc.</t>
        </is>
      </c>
      <c r="C2" s="10" t="n"/>
    </row>
    <row r="3">
      <c r="B3" t="inlineStr">
        <is>
          <t>Price</t>
        </is>
      </c>
      <c r="C3" s="11">
        <f>INDEX([1]Pharma!$F$1:$F$1000,MATCH("DNLI",[1]Pharma!$B$1:$B$1000,0))</f>
        <v>18.93</v>
      </c>
      <c r="F3" s="1" t="n"/>
    </row>
    <row r="4">
      <c r="B4" t="inlineStr">
        <is>
          <t>Shares</t>
        </is>
      </c>
      <c r="C4" s="21" t="n">
        <v>159.847403</v>
      </c>
      <c r="F4" s="1" t="n"/>
    </row>
    <row r="5">
      <c r="B5" t="inlineStr">
        <is>
          <t>Market Cap.</t>
        </is>
      </c>
      <c r="C5" s="13">
        <f>C3*C4</f>
        <v>3025.91133879</v>
      </c>
      <c r="F5" s="1" t="n"/>
    </row>
    <row r="6"/>
    <row r="7">
      <c r="B7" t="inlineStr">
        <is>
          <t>Cash</t>
        </is>
      </c>
      <c r="C7" s="21">
        <f>201.53+508.941</f>
        <v>710.471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2315.44033879</v>
      </c>
    </row>
    <row r="10"/>
    <row r="11">
      <c r="B11" s="14" t="inlineStr">
        <is>
          <t>rNPV / Share</t>
        </is>
      </c>
      <c r="C11" s="11">
        <f>NPV!B27</f>
        <v>-2.3063698562511807</v>
      </c>
    </row>
    <row r="12">
      <c r="B12" s="14" t="inlineStr">
        <is>
          <t>Upside</t>
        </is>
      </c>
      <c r="C12" s="15">
        <f>IFERROR(C11/C3-1,"")</f>
        <v>-1.1218367594427459</v>
      </c>
    </row>
    <row r="13">
      <c r="B13" s="14" t="inlineStr">
        <is>
          <t>Cash / Share</t>
        </is>
      </c>
      <c r="C13" s="11">
        <f>IFERROR((C7-C8)/C4,"")</f>
        <v>4.444682782866356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-434.04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1.63687908948484</v>
      </c>
    </row>
    <row r="19">
      <c r="B19" s="14" t="inlineStr">
        <is>
          <t>Implied Pipeline Value</t>
        </is>
      </c>
      <c r="C19" s="13">
        <f>C9</f>
        <v>2315.44033879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129.16</v>
      </c>
      <c r="E2" s="23" t="n">
        <v>26.678</v>
      </c>
      <c r="F2" s="23" t="n">
        <v>335.659</v>
      </c>
      <c r="G2" s="23" t="n">
        <v>48.661</v>
      </c>
      <c r="H2" s="23" t="n">
        <v>108.463</v>
      </c>
      <c r="I2" s="23" t="n">
        <v>330.531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129.16</v>
      </c>
      <c r="E4" s="23">
        <f>E2-E3</f>
        <v>26.678</v>
      </c>
      <c r="F4" s="23">
        <f>F2-F3</f>
        <v>335.659</v>
      </c>
      <c r="G4" s="23">
        <f>G2-G3</f>
        <v>48.661</v>
      </c>
      <c r="H4" s="23">
        <f>H2-H3</f>
        <v>108.463</v>
      </c>
      <c r="I4" s="23">
        <f>I2-I3</f>
        <v>330.531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75.702</v>
      </c>
      <c r="C5" s="23" t="n">
        <v>74.45999999999999</v>
      </c>
      <c r="D5" s="23" t="n">
        <v>143.183</v>
      </c>
      <c r="E5" s="23" t="n">
        <v>193.382</v>
      </c>
      <c r="F5" s="23" t="n">
        <v>212.615</v>
      </c>
      <c r="G5" s="23" t="n">
        <v>265.353</v>
      </c>
      <c r="H5" s="23" t="n">
        <v>358.732</v>
      </c>
      <c r="I5" s="23" t="n">
        <v>423.876</v>
      </c>
      <c r="J5" s="23" t="n">
        <v>396.44</v>
      </c>
      <c r="K5" s="23" t="n">
        <v>418.778</v>
      </c>
    </row>
    <row r="6">
      <c r="A6" s="19" t="inlineStr">
        <is>
          <t>SG&amp;A &amp; Other</t>
        </is>
      </c>
      <c r="B6" s="23" t="n">
        <v>11.731</v>
      </c>
      <c r="C6" s="23" t="n">
        <v>15.68</v>
      </c>
      <c r="D6" s="23" t="n">
        <v>32.349</v>
      </c>
      <c r="E6" s="23" t="n">
        <v>46.48</v>
      </c>
      <c r="F6" s="23" t="n">
        <v>60.326</v>
      </c>
      <c r="G6" s="23" t="n">
        <v>79.059</v>
      </c>
      <c r="H6" s="23" t="n">
        <v>90.47499999999999</v>
      </c>
      <c r="I6" s="23" t="n">
        <v>103.354</v>
      </c>
      <c r="J6" s="23" t="n">
        <v>90.901</v>
      </c>
      <c r="K6" s="23" t="n">
        <v>136.564</v>
      </c>
    </row>
    <row r="7">
      <c r="A7" s="2" t="inlineStr">
        <is>
          <t>Operating Expense</t>
        </is>
      </c>
      <c r="B7" s="23">
        <f>SUM(B5:B6)</f>
        <v>87.43299999999999</v>
      </c>
      <c r="C7" s="23">
        <f>SUM(C5:C6)</f>
        <v>90.13999999999999</v>
      </c>
      <c r="D7" s="23">
        <f>SUM(D5:D6)</f>
        <v>175.53199999999998</v>
      </c>
      <c r="E7" s="23">
        <f>SUM(E5:E6)</f>
        <v>239.862</v>
      </c>
      <c r="F7" s="23">
        <f>SUM(F5:F6)</f>
        <v>272.94100000000003</v>
      </c>
      <c r="G7" s="23">
        <f>SUM(G5:G6)</f>
        <v>344.41200000000003</v>
      </c>
      <c r="H7" s="23">
        <f>SUM(H5:H6)</f>
        <v>449.207</v>
      </c>
      <c r="I7" s="23">
        <f>SUM(I5:I6)</f>
        <v>527.23</v>
      </c>
      <c r="J7" s="23">
        <f>SUM(J5:J6)</f>
        <v>487.341</v>
      </c>
      <c r="K7" s="23">
        <f>SUM(K5:K6)</f>
        <v>555.342</v>
      </c>
    </row>
    <row r="8">
      <c r="A8" s="2" t="inlineStr">
        <is>
          <t>Operating Income</t>
        </is>
      </c>
      <c r="B8" s="23">
        <f>B4-B7</f>
        <v>-87.43299999999999</v>
      </c>
      <c r="C8" s="23">
        <f>C4-C7</f>
        <v>-90.13999999999999</v>
      </c>
      <c r="D8" s="23">
        <f>D4-D7</f>
        <v>-46.371999999999986</v>
      </c>
      <c r="E8" s="23">
        <f>E4-E7</f>
        <v>-213.184</v>
      </c>
      <c r="F8" s="23">
        <f>F4-F7</f>
        <v>62.71799999999996</v>
      </c>
      <c r="G8" s="23">
        <f>G4-G7</f>
        <v>-295.75100000000003</v>
      </c>
      <c r="H8" s="23">
        <f>H4-H7</f>
        <v>-340.744</v>
      </c>
      <c r="I8" s="23">
        <f>I4-I7</f>
        <v>-196.699</v>
      </c>
      <c r="J8" s="23">
        <f>J4-J7</f>
        <v>-487.341</v>
      </c>
      <c r="K8" s="23">
        <f>K4-K7</f>
        <v>-555.342</v>
      </c>
    </row>
    <row r="9">
      <c r="A9" s="19" t="inlineStr">
        <is>
          <t>Interest &amp; Other</t>
        </is>
      </c>
      <c r="B9" s="23" t="n">
        <v>0.781</v>
      </c>
      <c r="C9" s="23" t="n">
        <v>1.955</v>
      </c>
      <c r="D9" s="23" t="n">
        <v>10.132</v>
      </c>
      <c r="E9" s="23" t="n">
        <v>15.219</v>
      </c>
      <c r="F9" s="23" t="n">
        <v>9.241</v>
      </c>
      <c r="G9" s="23" t="n">
        <v>4.595</v>
      </c>
      <c r="H9" s="23" t="n">
        <v>14.774</v>
      </c>
      <c r="I9" s="23" t="n">
        <v>51.505</v>
      </c>
      <c r="J9" s="23" t="n">
        <v>64.636</v>
      </c>
      <c r="K9" s="23" t="n">
        <v>42.904</v>
      </c>
    </row>
    <row r="10">
      <c r="A10" s="2" t="inlineStr">
        <is>
          <t>Pretax</t>
        </is>
      </c>
      <c r="B10" s="23">
        <f>B8+B9</f>
        <v>-86.65199999999999</v>
      </c>
      <c r="C10" s="23">
        <f>C8+C9</f>
        <v>-88.18499999999999</v>
      </c>
      <c r="D10" s="23">
        <f>D8+D9</f>
        <v>-36.23999999999999</v>
      </c>
      <c r="E10" s="23">
        <f>E8+E9</f>
        <v>-197.965</v>
      </c>
      <c r="F10" s="23">
        <f>F8+F9</f>
        <v>71.95899999999996</v>
      </c>
      <c r="G10" s="23">
        <f>G8+G9</f>
        <v>-291.156</v>
      </c>
      <c r="H10" s="23">
        <f>H8+H9</f>
        <v>-325.97</v>
      </c>
      <c r="I10" s="23">
        <f>I8+I9</f>
        <v>-145.19400000000002</v>
      </c>
      <c r="J10" s="23">
        <f>J8+J9</f>
        <v>-422.70500000000004</v>
      </c>
      <c r="K10" s="23">
        <f>K8+K9</f>
        <v>-512.438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-0.351</v>
      </c>
      <c r="F11" s="23" t="n">
        <v>0.823</v>
      </c>
      <c r="G11" s="23" t="n">
        <v>-0.575</v>
      </c>
      <c r="H11" s="23" t="n">
        <v>0.021</v>
      </c>
      <c r="I11" s="23" t="n">
        <v>0.03</v>
      </c>
      <c r="J11" s="23" t="n">
        <v>0.068</v>
      </c>
      <c r="K11" s="23" t="n">
        <v>0.102</v>
      </c>
    </row>
    <row r="12">
      <c r="A12" s="2" t="inlineStr">
        <is>
          <t>Net Income</t>
        </is>
      </c>
      <c r="B12" s="23" t="n">
        <v>-86.652</v>
      </c>
      <c r="C12" s="23" t="n">
        <v>-88.185</v>
      </c>
      <c r="D12" s="23" t="n">
        <v>-36.24</v>
      </c>
      <c r="E12" s="23" t="n">
        <v>-197.614</v>
      </c>
      <c r="F12" s="23" t="n">
        <v>71.136</v>
      </c>
      <c r="G12" s="23" t="n">
        <v>-290.581</v>
      </c>
      <c r="H12" s="23" t="n">
        <v>-325.991</v>
      </c>
      <c r="I12" s="23" t="n">
        <v>-145.224</v>
      </c>
      <c r="J12" s="23" t="n">
        <v>-422.773</v>
      </c>
      <c r="K12" s="23" t="n">
        <v>-512.54</v>
      </c>
    </row>
    <row r="13">
      <c r="A13" s="2" t="inlineStr">
        <is>
          <t>Earnings per Share</t>
        </is>
      </c>
      <c r="B13" s="11">
        <f>IFERROR(B12/B14,0)</f>
        <v>-13.486692607003892</v>
      </c>
      <c r="C13" s="11">
        <f>IFERROR(C12/C14,0)</f>
        <v>-5.893143544506817</v>
      </c>
      <c r="D13" s="11">
        <f>IFERROR(D12/D14,0)</f>
        <v>-0.3912677333678824</v>
      </c>
      <c r="E13" s="11">
        <f>IFERROR(E12/E14,0)</f>
        <v>-2.0669190862689315</v>
      </c>
      <c r="F13" s="11">
        <f>IFERROR(F12/F14,0)</f>
        <v>0.6311810688269167</v>
      </c>
      <c r="G13" s="11">
        <f>IFERROR(G12/G14,0)</f>
        <v>-2.391121168483851</v>
      </c>
      <c r="H13" s="11">
        <f>IFERROR(H12/H14,0)</f>
        <v>-2.596896384160088</v>
      </c>
      <c r="I13" s="11">
        <f>IFERROR(I12/I14,0)</f>
        <v>-1.0571663597120207</v>
      </c>
      <c r="J13" s="11">
        <f>IFERROR(J12/J14,0)</f>
        <v>-2.5704549047265832</v>
      </c>
      <c r="K13" s="11">
        <f>IFERROR(K12/K14,0)</f>
        <v>-2.9686821238466483</v>
      </c>
    </row>
    <row r="14">
      <c r="A14" s="2" t="inlineStr">
        <is>
          <t>Shares</t>
        </is>
      </c>
      <c r="B14" s="23" t="n">
        <v>6.425</v>
      </c>
      <c r="C14" s="23" t="n">
        <v>14.964</v>
      </c>
      <c r="D14" s="23" t="n">
        <v>92.622</v>
      </c>
      <c r="E14" s="23" t="n">
        <v>95.608</v>
      </c>
      <c r="F14" s="23" t="n">
        <v>112.703</v>
      </c>
      <c r="G14" s="23" t="n">
        <v>121.525</v>
      </c>
      <c r="H14" s="23" t="n">
        <v>125.531</v>
      </c>
      <c r="I14" s="23" t="n">
        <v>137.371</v>
      </c>
      <c r="J14" s="23" t="n">
        <v>164.474</v>
      </c>
      <c r="K14" s="23" t="n">
        <v>172.649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-0.7934499845153298</v>
      </c>
      <c r="F16" s="15">
        <f>IFERROR(F2/E2-1,"")</f>
        <v>11.581865207286903</v>
      </c>
      <c r="G16" s="15">
        <f>IFERROR(G2/F2-1,"")</f>
        <v>-0.855028466389997</v>
      </c>
      <c r="H16" s="15">
        <f>IFERROR(H2/G2-1,"")</f>
        <v>1.228951316249152</v>
      </c>
      <c r="I16" s="15">
        <f>IFERROR(I2/H2-1,"")</f>
        <v>2.04740787180882</v>
      </c>
      <c r="J16" s="15">
        <f>IFERROR(J2/I2-1,"")</f>
        <v>-1.0</v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-0.35902756271291414</v>
      </c>
      <c r="E18" s="15">
        <f>IFERROR(E8/E2,"")</f>
        <v>-7.991003823375065</v>
      </c>
      <c r="F18" s="15">
        <f>IFERROR(F8/F2,"")</f>
        <v>0.18685034514194454</v>
      </c>
      <c r="G18" s="15">
        <f>IFERROR(G8/G2,"")</f>
        <v>-6.077783029530837</v>
      </c>
      <c r="H18" s="15">
        <f>IFERROR(H8/H2,"")</f>
        <v>-3.141569014318247</v>
      </c>
      <c r="I18" s="15">
        <f>IFERROR(I8/I2,"")</f>
        <v>-0.5951000057483262</v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Denali Therapeutics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0.501489080992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542.697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2105.8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-1079.1382318792346</v>
      </c>
      <c r="C29" s="42">
        <f>NPV!B25</f>
        <v>-368.6672318792346</v>
      </c>
      <c r="D29" s="43">
        <f>NPV!B27</f>
        <v>-2.3063698562511807</v>
      </c>
      <c r="E29" s="44">
        <f>NPV!B29</f>
        <v>-1.1218367594427459</v>
      </c>
    </row>
    <row r="30">
      <c r="A30" s="45" t="n">
        <v>1</v>
      </c>
      <c r="B30" s="46">
        <f t="dataTable" ref="B30:E32" r1="B4"/>
        <v>-1456.9938305845383</v>
      </c>
      <c r="C30" s="46">
        <v>-746.5228305845383</v>
      </c>
      <c r="D30" s="47">
        <v>-4.670221827654831</v>
      </c>
      <c r="E30" s="48">
        <v>-1.2467100807002023</v>
      </c>
    </row>
    <row r="31">
      <c r="A31" s="45" t="n">
        <v>2</v>
      </c>
      <c r="B31" s="46">
        <v>-1079.1382318792346</v>
      </c>
      <c r="C31" s="46">
        <v>-368.6672318792346</v>
      </c>
      <c r="D31" s="47">
        <v>-2.3063698562511807</v>
      </c>
      <c r="E31" s="48">
        <v>-1.1218367594427459</v>
      </c>
    </row>
    <row r="32">
      <c r="A32" s="45" t="n">
        <v>3</v>
      </c>
      <c r="B32" s="46">
        <v>-384.50475581845757</v>
      </c>
      <c r="C32" s="46">
        <v>325.96624418154244</v>
      </c>
      <c r="D32" s="47">
        <v>2.0392339072380326</v>
      </c>
      <c r="E32" s="48">
        <v>-0.8922750181068129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-2.3063698562511807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-5.311825013936704</v>
      </c>
      <c r="C37" s="47">
        <v>-4.472247323920115</v>
      </c>
      <c r="D37" s="47">
        <v>-3.6326696339035247</v>
      </c>
      <c r="E37" s="47">
        <v>-1.9535142538703398</v>
      </c>
      <c r="F37" s="47">
        <v>-0.27435887383715807</v>
      </c>
    </row>
    <row r="38">
      <c r="A38" s="50" t="n">
        <v>0.8</v>
      </c>
      <c r="B38" s="47">
        <v>-5.224601640227294</v>
      </c>
      <c r="C38" s="47">
        <v>-4.105164720205172</v>
      </c>
      <c r="D38" s="47">
        <v>-2.985727800183052</v>
      </c>
      <c r="E38" s="47">
        <v>-0.746853960138806</v>
      </c>
      <c r="F38" s="47">
        <v>1.4545674760488236</v>
      </c>
    </row>
    <row r="39">
      <c r="A39" s="50" t="n">
        <v>1</v>
      </c>
      <c r="B39" s="47">
        <v>-5.104962156306486</v>
      </c>
      <c r="C39" s="47">
        <v>-3.7056660062788334</v>
      </c>
      <c r="D39" s="47">
        <v>-2.3063698562511807</v>
      </c>
      <c r="E39" s="47">
        <v>0.49222244380412356</v>
      </c>
      <c r="F39" s="47">
        <v>3.0228223044304197</v>
      </c>
    </row>
    <row r="40">
      <c r="A40" s="50" t="n">
        <v>1.2</v>
      </c>
      <c r="B40" s="47">
        <v>-4.953881995272478</v>
      </c>
      <c r="C40" s="47">
        <v>-3.274726615239295</v>
      </c>
      <c r="D40" s="47">
        <v>-1.5955712352061118</v>
      </c>
      <c r="E40" s="47">
        <v>1.6778608886028905</v>
      </c>
      <c r="F40" s="47">
        <v>4.579290420895894</v>
      </c>
    </row>
    <row r="41">
      <c r="A41" s="50" t="n">
        <v>1.4</v>
      </c>
      <c r="B41" s="47">
        <v>-4.772336590223479</v>
      </c>
      <c r="C41" s="47">
        <v>-2.8133219801847664</v>
      </c>
      <c r="D41" s="47">
        <v>-0.854307370146053</v>
      </c>
      <c r="E41" s="47">
        <v>2.8066860814635555</v>
      </c>
      <c r="F41" s="47">
        <v>6.138509613398081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Denali Therapeutics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DNL593, DNL921</t>
        </is>
      </c>
      <c r="D4" s="14" t="inlineStr">
        <is>
          <t>Phase 1/2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0.0863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346.56776326786826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34.52</v>
      </c>
      <c r="T4" s="23">
        <f>IF(T$3&lt;$I4,0,$G4*Assumptions!$E$11*INDEX(Assumptions!$B$24:$G$24,MIN(6,T$3-$I4+1))*IF(T$3&gt;$J4,(1-Assumptions!$B$26)^(T$3-$J4),1)*IF($H4&gt;=1,1,MIN(0.97,$H4*Assumptions!$E$12)))</f>
        <v>86.3</v>
      </c>
      <c r="U4" s="23">
        <f>IF(U$3&lt;$I4,0,$G4*Assumptions!$E$11*INDEX(Assumptions!$B$24:$G$24,MIN(6,U$3-$I4+1))*IF(U$3&gt;$J4,(1-Assumptions!$B$26)^(U$3-$J4),1)*IF($H4&gt;=1,1,MIN(0.97,$H4*Assumptions!$E$12)))</f>
        <v>155.34</v>
      </c>
      <c r="V4" s="23">
        <f>IF(V$3&lt;$I4,0,$G4*Assumptions!$E$11*INDEX(Assumptions!$B$24:$G$24,MIN(6,V$3-$I4+1))*IF(V$3&gt;$J4,(1-Assumptions!$B$26)^(V$3-$J4),1)*IF($H4&gt;=1,1,MIN(0.97,$H4*Assumptions!$E$12)))</f>
        <v>224.38</v>
      </c>
      <c r="W4" s="23">
        <f>IF(W$3&lt;$I4,0,$G4*Assumptions!$E$11*INDEX(Assumptions!$B$24:$G$24,MIN(6,W$3-$I4+1))*IF(W$3&gt;$J4,(1-Assumptions!$B$26)^(W$3-$J4),1)*IF($H4&gt;=1,1,MIN(0.97,$H4*Assumptions!$E$12)))</f>
        <v>293.42</v>
      </c>
      <c r="X4" s="23">
        <f>IF(X$3&lt;$I4,0,$G4*Assumptions!$E$11*INDEX(Assumptions!$B$24:$G$24,MIN(6,X$3-$I4+1))*IF(X$3&gt;$J4,(1-Assumptions!$B$26)^(X$3-$J4),1)*IF($H4&gt;=1,1,MIN(0.97,$H4*Assumptions!$E$12)))</f>
        <v>345.2</v>
      </c>
      <c r="Y4" s="23">
        <f>IF(Y$3&lt;$I4,0,$G4*Assumptions!$E$11*INDEX(Assumptions!$B$24:$G$24,MIN(6,Y$3-$I4+1))*IF(Y$3&gt;$J4,(1-Assumptions!$B$26)^(Y$3-$J4),1)*IF($H4&gt;=1,1,MIN(0.97,$H4*Assumptions!$E$12)))</f>
        <v>345.2</v>
      </c>
      <c r="Z4" s="23">
        <f>IF(Z$3&lt;$I4,0,$G4*Assumptions!$E$11*INDEX(Assumptions!$B$24:$G$24,MIN(6,Z$3-$I4+1))*IF(Z$3&gt;$J4,(1-Assumptions!$B$26)^(Z$3-$J4),1)*IF($H4&gt;=1,1,MIN(0.97,$H4*Assumptions!$E$12)))</f>
        <v>345.2</v>
      </c>
      <c r="AA4" s="23">
        <f>IF(AA$3&lt;$I4,0,$G4*Assumptions!$E$11*INDEX(Assumptions!$B$24:$G$24,MIN(6,AA$3-$I4+1))*IF(AA$3&gt;$J4,(1-Assumptions!$B$26)^(AA$3-$J4),1)*IF($H4&gt;=1,1,MIN(0.97,$H4*Assumptions!$E$12)))</f>
        <v>345.2</v>
      </c>
      <c r="AB4" s="23">
        <f>IF(AB$3&lt;$I4,0,$G4*Assumptions!$E$11*INDEX(Assumptions!$B$24:$G$24,MIN(6,AB$3-$I4+1))*IF(AB$3&gt;$J4,(1-Assumptions!$B$26)^(AB$3-$J4),1)*IF($H4&gt;=1,1,MIN(0.97,$H4*Assumptions!$E$12)))</f>
        <v>345.2</v>
      </c>
      <c r="AC4" s="23">
        <f>IF(AC$3&lt;$I4,0,$G4*Assumptions!$E$11*INDEX(Assumptions!$B$24:$G$24,MIN(6,AC$3-$I4+1))*IF(AC$3&gt;$J4,(1-Assumptions!$B$26)^(AC$3-$J4),1)*IF($H4&gt;=1,1,MIN(0.97,$H4*Assumptions!$E$12)))</f>
        <v>345.2</v>
      </c>
      <c r="AD4" s="23">
        <f>IF(AD$3&lt;$I4,0,$G4*Assumptions!$E$11*INDEX(Assumptions!$B$24:$G$24,MIN(6,AD$3-$I4+1))*IF(AD$3&gt;$J4,(1-Assumptions!$B$26)^(AD$3-$J4),1)*IF($H4&gt;=1,1,MIN(0.97,$H4*Assumptions!$E$12)))</f>
        <v>345.2</v>
      </c>
      <c r="AE4" s="23">
        <f>IF(AE$3&lt;$I4,0,$G4*Assumptions!$E$11*INDEX(Assumptions!$B$24:$G$24,MIN(6,AE$3-$I4+1))*IF(AE$3&gt;$J4,(1-Assumptions!$B$26)^(AE$3-$J4),1)*IF($H4&gt;=1,1,MIN(0.97,$H4*Assumptions!$E$12)))</f>
        <v>345.2</v>
      </c>
      <c r="AF4" s="23">
        <f>IF(AF$3&lt;$I4,0,$G4*Assumptions!$E$11*INDEX(Assumptions!$B$24:$G$24,MIN(6,AF$3-$I4+1))*IF(AF$3&gt;$J4,(1-Assumptions!$B$26)^(AF$3-$J4),1)*IF($H4&gt;=1,1,MIN(0.97,$H4*Assumptions!$E$12)))</f>
        <v>172.6</v>
      </c>
      <c r="AG4" s="35">
        <f>IF(F4="Owned",1-IF(H4&gt;=1,1,MIN(0.97,H4*Assumptions!$E$12)),1)</f>
        <v>0.9137</v>
      </c>
    </row>
    <row r="5">
      <c r="A5" s="39" t="n">
        <v>2</v>
      </c>
      <c r="B5" s="14" t="inlineStr">
        <is>
          <t>Rare metabolic / lysosomal</t>
        </is>
      </c>
      <c r="C5" s="14" t="inlineStr">
        <is>
          <t>tividenofusp alfa, DNL952</t>
        </is>
      </c>
      <c r="D5" s="14" t="inlineStr">
        <is>
          <t>Phase 2/3</t>
        </is>
      </c>
      <c r="E5" s="14" t="inlineStr">
        <is>
          <t>Metabolic / rare</t>
        </is>
      </c>
      <c r="F5" s="14" t="inlineStr">
        <is>
          <t>Owned</t>
        </is>
      </c>
      <c r="G5" s="40" t="n">
        <v>700</v>
      </c>
      <c r="H5" s="27" t="n">
        <v>0.3776</v>
      </c>
      <c r="I5" s="26" t="n">
        <v>2030</v>
      </c>
      <c r="J5" s="39">
        <f>I5+Assumptions!$B$25</f>
        <v>2042.0</v>
      </c>
      <c r="K5" s="53">
        <f>Assumptions!$E$13</f>
        <v>0.4</v>
      </c>
      <c r="L5" s="23">
        <f>K5*SUMPRODUCT(M5:AF5,NPV!$C$15:$V$15)</f>
        <v>337.8461023806155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26.432</v>
      </c>
      <c r="R5" s="23">
        <f>IF(R$3&lt;$I5,0,$G5*Assumptions!$E$11*INDEX(Assumptions!$B$24:$G$24,MIN(6,R$3-$I5+1))*IF(R$3&gt;$J5,(1-Assumptions!$B$26)^(R$3-$J5),1)*IF($H5&gt;=1,1,MIN(0.97,$H5*Assumptions!$E$12)))</f>
        <v>66.08</v>
      </c>
      <c r="S5" s="23">
        <f>IF(S$3&lt;$I5,0,$G5*Assumptions!$E$11*INDEX(Assumptions!$B$24:$G$24,MIN(6,S$3-$I5+1))*IF(S$3&gt;$J5,(1-Assumptions!$B$26)^(S$3-$J5),1)*IF($H5&gt;=1,1,MIN(0.97,$H5*Assumptions!$E$12)))</f>
        <v>118.944</v>
      </c>
      <c r="T5" s="23">
        <f>IF(T$3&lt;$I5,0,$G5*Assumptions!$E$11*INDEX(Assumptions!$B$24:$G$24,MIN(6,T$3-$I5+1))*IF(T$3&gt;$J5,(1-Assumptions!$B$26)^(T$3-$J5),1)*IF($H5&gt;=1,1,MIN(0.97,$H5*Assumptions!$E$12)))</f>
        <v>171.808</v>
      </c>
      <c r="U5" s="23">
        <f>IF(U$3&lt;$I5,0,$G5*Assumptions!$E$11*INDEX(Assumptions!$B$24:$G$24,MIN(6,U$3-$I5+1))*IF(U$3&gt;$J5,(1-Assumptions!$B$26)^(U$3-$J5),1)*IF($H5&gt;=1,1,MIN(0.97,$H5*Assumptions!$E$12)))</f>
        <v>224.672</v>
      </c>
      <c r="V5" s="23">
        <f>IF(V$3&lt;$I5,0,$G5*Assumptions!$E$11*INDEX(Assumptions!$B$24:$G$24,MIN(6,V$3-$I5+1))*IF(V$3&gt;$J5,(1-Assumptions!$B$26)^(V$3-$J5),1)*IF($H5&gt;=1,1,MIN(0.97,$H5*Assumptions!$E$12)))</f>
        <v>264.32</v>
      </c>
      <c r="W5" s="23">
        <f>IF(W$3&lt;$I5,0,$G5*Assumptions!$E$11*INDEX(Assumptions!$B$24:$G$24,MIN(6,W$3-$I5+1))*IF(W$3&gt;$J5,(1-Assumptions!$B$26)^(W$3-$J5),1)*IF($H5&gt;=1,1,MIN(0.97,$H5*Assumptions!$E$12)))</f>
        <v>264.32</v>
      </c>
      <c r="X5" s="23">
        <f>IF(X$3&lt;$I5,0,$G5*Assumptions!$E$11*INDEX(Assumptions!$B$24:$G$24,MIN(6,X$3-$I5+1))*IF(X$3&gt;$J5,(1-Assumptions!$B$26)^(X$3-$J5),1)*IF($H5&gt;=1,1,MIN(0.97,$H5*Assumptions!$E$12)))</f>
        <v>264.32</v>
      </c>
      <c r="Y5" s="23">
        <f>IF(Y$3&lt;$I5,0,$G5*Assumptions!$E$11*INDEX(Assumptions!$B$24:$G$24,MIN(6,Y$3-$I5+1))*IF(Y$3&gt;$J5,(1-Assumptions!$B$26)^(Y$3-$J5),1)*IF($H5&gt;=1,1,MIN(0.97,$H5*Assumptions!$E$12)))</f>
        <v>264.32</v>
      </c>
      <c r="Z5" s="23">
        <f>IF(Z$3&lt;$I5,0,$G5*Assumptions!$E$11*INDEX(Assumptions!$B$24:$G$24,MIN(6,Z$3-$I5+1))*IF(Z$3&gt;$J5,(1-Assumptions!$B$26)^(Z$3-$J5),1)*IF($H5&gt;=1,1,MIN(0.97,$H5*Assumptions!$E$12)))</f>
        <v>264.32</v>
      </c>
      <c r="AA5" s="23">
        <f>IF(AA$3&lt;$I5,0,$G5*Assumptions!$E$11*INDEX(Assumptions!$B$24:$G$24,MIN(6,AA$3-$I5+1))*IF(AA$3&gt;$J5,(1-Assumptions!$B$26)^(AA$3-$J5),1)*IF($H5&gt;=1,1,MIN(0.97,$H5*Assumptions!$E$12)))</f>
        <v>264.32</v>
      </c>
      <c r="AB5" s="23">
        <f>IF(AB$3&lt;$I5,0,$G5*Assumptions!$E$11*INDEX(Assumptions!$B$24:$G$24,MIN(6,AB$3-$I5+1))*IF(AB$3&gt;$J5,(1-Assumptions!$B$26)^(AB$3-$J5),1)*IF($H5&gt;=1,1,MIN(0.97,$H5*Assumptions!$E$12)))</f>
        <v>264.32</v>
      </c>
      <c r="AC5" s="23">
        <f>IF(AC$3&lt;$I5,0,$G5*Assumptions!$E$11*INDEX(Assumptions!$B$24:$G$24,MIN(6,AC$3-$I5+1))*IF(AC$3&gt;$J5,(1-Assumptions!$B$26)^(AC$3-$J5),1)*IF($H5&gt;=1,1,MIN(0.97,$H5*Assumptions!$E$12)))</f>
        <v>264.32</v>
      </c>
      <c r="AD5" s="23">
        <f>IF(AD$3&lt;$I5,0,$G5*Assumptions!$E$11*INDEX(Assumptions!$B$24:$G$24,MIN(6,AD$3-$I5+1))*IF(AD$3&gt;$J5,(1-Assumptions!$B$26)^(AD$3-$J5),1)*IF($H5&gt;=1,1,MIN(0.97,$H5*Assumptions!$E$12)))</f>
        <v>132.16</v>
      </c>
      <c r="AE5" s="23">
        <f>IF(AE$3&lt;$I5,0,$G5*Assumptions!$E$11*INDEX(Assumptions!$B$24:$G$24,MIN(6,AE$3-$I5+1))*IF(AE$3&gt;$J5,(1-Assumptions!$B$26)^(AE$3-$J5),1)*IF($H5&gt;=1,1,MIN(0.97,$H5*Assumptions!$E$12)))</f>
        <v>66.08</v>
      </c>
      <c r="AF5" s="23">
        <f>IF(AF$3&lt;$I5,0,$G5*Assumptions!$E$11*INDEX(Assumptions!$B$24:$G$24,MIN(6,AF$3-$I5+1))*IF(AF$3&gt;$J5,(1-Assumptions!$B$26)^(AF$3-$J5),1)*IF($H5&gt;=1,1,MIN(0.97,$H5*Assumptions!$E$12)))</f>
        <v>33.04</v>
      </c>
      <c r="AG5" s="35">
        <f>IF(F5="Owned",1-IF(H5&gt;=1,1,MIN(0.97,H5*Assumptions!$E$12)),1)</f>
        <v>0.6224000000000001</v>
      </c>
    </row>
    <row r="6">
      <c r="A6" s="39" t="n">
        <v>3</v>
      </c>
      <c r="B6" s="14" t="inlineStr">
        <is>
          <t>Parkinson's disease</t>
        </is>
      </c>
      <c r="C6" s="14" t="inlineStr">
        <is>
          <t>BIIB122, BIIB122 225 mg</t>
        </is>
      </c>
      <c r="D6" s="14" t="inlineStr">
        <is>
          <t>Phase 2</t>
        </is>
      </c>
      <c r="E6" s="14" t="inlineStr">
        <is>
          <t>Neurology / area</t>
        </is>
      </c>
      <c r="F6" s="14" t="inlineStr">
        <is>
          <t>Owned</t>
        </is>
      </c>
      <c r="G6" s="40" t="n">
        <v>1500</v>
      </c>
      <c r="H6" s="27" t="n">
        <v>0.1234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210.28155679079097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18.509999999999998</v>
      </c>
      <c r="S6" s="23">
        <f>IF(S$3&lt;$I6,0,$G6*Assumptions!$E$11*INDEX(Assumptions!$B$24:$G$24,MIN(6,S$3-$I6+1))*IF(S$3&gt;$J6,(1-Assumptions!$B$26)^(S$3-$J6),1)*IF($H6&gt;=1,1,MIN(0.97,$H6*Assumptions!$E$12)))</f>
        <v>46.275</v>
      </c>
      <c r="T6" s="23">
        <f>IF(T$3&lt;$I6,0,$G6*Assumptions!$E$11*INDEX(Assumptions!$B$24:$G$24,MIN(6,T$3-$I6+1))*IF(T$3&gt;$J6,(1-Assumptions!$B$26)^(T$3-$J6),1)*IF($H6&gt;=1,1,MIN(0.97,$H6*Assumptions!$E$12)))</f>
        <v>83.295</v>
      </c>
      <c r="U6" s="23">
        <f>IF(U$3&lt;$I6,0,$G6*Assumptions!$E$11*INDEX(Assumptions!$B$24:$G$24,MIN(6,U$3-$I6+1))*IF(U$3&gt;$J6,(1-Assumptions!$B$26)^(U$3-$J6),1)*IF($H6&gt;=1,1,MIN(0.97,$H6*Assumptions!$E$12)))</f>
        <v>120.315</v>
      </c>
      <c r="V6" s="23">
        <f>IF(V$3&lt;$I6,0,$G6*Assumptions!$E$11*INDEX(Assumptions!$B$24:$G$24,MIN(6,V$3-$I6+1))*IF(V$3&gt;$J6,(1-Assumptions!$B$26)^(V$3-$J6),1)*IF($H6&gt;=1,1,MIN(0.97,$H6*Assumptions!$E$12)))</f>
        <v>157.335</v>
      </c>
      <c r="W6" s="23">
        <f>IF(W$3&lt;$I6,0,$G6*Assumptions!$E$11*INDEX(Assumptions!$B$24:$G$24,MIN(6,W$3-$I6+1))*IF(W$3&gt;$J6,(1-Assumptions!$B$26)^(W$3-$J6),1)*IF($H6&gt;=1,1,MIN(0.97,$H6*Assumptions!$E$12)))</f>
        <v>185.1</v>
      </c>
      <c r="X6" s="23">
        <f>IF(X$3&lt;$I6,0,$G6*Assumptions!$E$11*INDEX(Assumptions!$B$24:$G$24,MIN(6,X$3-$I6+1))*IF(X$3&gt;$J6,(1-Assumptions!$B$26)^(X$3-$J6),1)*IF($H6&gt;=1,1,MIN(0.97,$H6*Assumptions!$E$12)))</f>
        <v>185.1</v>
      </c>
      <c r="Y6" s="23">
        <f>IF(Y$3&lt;$I6,0,$G6*Assumptions!$E$11*INDEX(Assumptions!$B$24:$G$24,MIN(6,Y$3-$I6+1))*IF(Y$3&gt;$J6,(1-Assumptions!$B$26)^(Y$3-$J6),1)*IF($H6&gt;=1,1,MIN(0.97,$H6*Assumptions!$E$12)))</f>
        <v>185.1</v>
      </c>
      <c r="Z6" s="23">
        <f>IF(Z$3&lt;$I6,0,$G6*Assumptions!$E$11*INDEX(Assumptions!$B$24:$G$24,MIN(6,Z$3-$I6+1))*IF(Z$3&gt;$J6,(1-Assumptions!$B$26)^(Z$3-$J6),1)*IF($H6&gt;=1,1,MIN(0.97,$H6*Assumptions!$E$12)))</f>
        <v>185.1</v>
      </c>
      <c r="AA6" s="23">
        <f>IF(AA$3&lt;$I6,0,$G6*Assumptions!$E$11*INDEX(Assumptions!$B$24:$G$24,MIN(6,AA$3-$I6+1))*IF(AA$3&gt;$J6,(1-Assumptions!$B$26)^(AA$3-$J6),1)*IF($H6&gt;=1,1,MIN(0.97,$H6*Assumptions!$E$12)))</f>
        <v>185.1</v>
      </c>
      <c r="AB6" s="23">
        <f>IF(AB$3&lt;$I6,0,$G6*Assumptions!$E$11*INDEX(Assumptions!$B$24:$G$24,MIN(6,AB$3-$I6+1))*IF(AB$3&gt;$J6,(1-Assumptions!$B$26)^(AB$3-$J6),1)*IF($H6&gt;=1,1,MIN(0.97,$H6*Assumptions!$E$12)))</f>
        <v>185.1</v>
      </c>
      <c r="AC6" s="23">
        <f>IF(AC$3&lt;$I6,0,$G6*Assumptions!$E$11*INDEX(Assumptions!$B$24:$G$24,MIN(6,AC$3-$I6+1))*IF(AC$3&gt;$J6,(1-Assumptions!$B$26)^(AC$3-$J6),1)*IF($H6&gt;=1,1,MIN(0.97,$H6*Assumptions!$E$12)))</f>
        <v>185.1</v>
      </c>
      <c r="AD6" s="23">
        <f>IF(AD$3&lt;$I6,0,$G6*Assumptions!$E$11*INDEX(Assumptions!$B$24:$G$24,MIN(6,AD$3-$I6+1))*IF(AD$3&gt;$J6,(1-Assumptions!$B$26)^(AD$3-$J6),1)*IF($H6&gt;=1,1,MIN(0.97,$H6*Assumptions!$E$12)))</f>
        <v>185.1</v>
      </c>
      <c r="AE6" s="23">
        <f>IF(AE$3&lt;$I6,0,$G6*Assumptions!$E$11*INDEX(Assumptions!$B$24:$G$24,MIN(6,AE$3-$I6+1))*IF(AE$3&gt;$J6,(1-Assumptions!$B$26)^(AE$3-$J6),1)*IF($H6&gt;=1,1,MIN(0.97,$H6*Assumptions!$E$12)))</f>
        <v>92.55</v>
      </c>
      <c r="AF6" s="23">
        <f>IF(AF$3&lt;$I6,0,$G6*Assumptions!$E$11*INDEX(Assumptions!$B$24:$G$24,MIN(6,AF$3-$I6+1))*IF(AF$3&gt;$J6,(1-Assumptions!$B$26)^(AF$3-$J6),1)*IF($H6&gt;=1,1,MIN(0.97,$H6*Assumptions!$E$12)))</f>
        <v>46.275</v>
      </c>
      <c r="AG6" s="35">
        <f>IF(F6="Owned",1-IF(H6&gt;=1,1,MIN(0.97,H6*Assumptions!$E$12)),1)</f>
        <v>0.8766</v>
      </c>
    </row>
    <row r="7">
      <c r="B7" s="24" t="inlineStr">
        <is>
          <t>Risked revenue</t>
        </is>
      </c>
      <c r="L7" s="54">
        <f>SUM(L4:L6)</f>
        <v>894.6954224392748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26.432</v>
      </c>
      <c r="R7" s="54">
        <f>SUM(R4:R6)</f>
        <v>84.59</v>
      </c>
      <c r="S7" s="54">
        <f>SUM(S4:S6)</f>
        <v>199.739</v>
      </c>
      <c r="T7" s="54">
        <f>SUM(T4:T6)</f>
        <v>341.403</v>
      </c>
      <c r="U7" s="54">
        <f>SUM(U4:U6)</f>
        <v>500.327</v>
      </c>
      <c r="V7" s="54">
        <f>SUM(V4:V6)</f>
        <v>646.035</v>
      </c>
      <c r="W7" s="54">
        <f>SUM(W4:W6)</f>
        <v>742.84</v>
      </c>
      <c r="X7" s="54">
        <f>SUM(X4:X6)</f>
        <v>794.62</v>
      </c>
      <c r="Y7" s="54">
        <f>SUM(Y4:Y6)</f>
        <v>794.62</v>
      </c>
      <c r="Z7" s="54">
        <f>SUM(Z4:Z6)</f>
        <v>794.62</v>
      </c>
      <c r="AA7" s="54">
        <f>SUM(AA4:AA6)</f>
        <v>794.62</v>
      </c>
      <c r="AB7" s="54">
        <f>SUM(AB4:AB6)</f>
        <v>794.62</v>
      </c>
      <c r="AC7" s="54">
        <f>SUM(AC4:AC6)</f>
        <v>794.62</v>
      </c>
      <c r="AD7" s="54">
        <f>SUM(AD4:AD6)</f>
        <v>662.46</v>
      </c>
      <c r="AE7" s="54">
        <f>SUM(AE4:AE6)</f>
        <v>503.83</v>
      </c>
      <c r="AF7" s="54">
        <f>SUM(AF4:AF6)</f>
        <v>251.915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10.5728</v>
      </c>
      <c r="R8" s="55">
        <f>SUMPRODUCT(R4:R6,$K$4:$K$6)</f>
        <v>33.836</v>
      </c>
      <c r="S8" s="55">
        <f>SUMPRODUCT(S4:S6,$K$4:$K$6)</f>
        <v>79.8956</v>
      </c>
      <c r="T8" s="55">
        <f>SUMPRODUCT(T4:T6,$K$4:$K$6)</f>
        <v>136.5612</v>
      </c>
      <c r="U8" s="55">
        <f>SUMPRODUCT(U4:U6,$K$4:$K$6)</f>
        <v>200.13080000000002</v>
      </c>
      <c r="V8" s="55">
        <f>SUMPRODUCT(V4:V6,$K$4:$K$6)</f>
        <v>258.41400000000004</v>
      </c>
      <c r="W8" s="55">
        <f>SUMPRODUCT(W4:W6,$K$4:$K$6)</f>
        <v>297.136</v>
      </c>
      <c r="X8" s="55">
        <f>SUMPRODUCT(X4:X6,$K$4:$K$6)</f>
        <v>317.848</v>
      </c>
      <c r="Y8" s="55">
        <f>SUMPRODUCT(Y4:Y6,$K$4:$K$6)</f>
        <v>317.848</v>
      </c>
      <c r="Z8" s="55">
        <f>SUMPRODUCT(Z4:Z6,$K$4:$K$6)</f>
        <v>317.848</v>
      </c>
      <c r="AA8" s="55">
        <f>SUMPRODUCT(AA4:AA6,$K$4:$K$6)</f>
        <v>317.848</v>
      </c>
      <c r="AB8" s="55">
        <f>SUMPRODUCT(AB4:AB6,$K$4:$K$6)</f>
        <v>317.848</v>
      </c>
      <c r="AC8" s="55">
        <f>SUMPRODUCT(AC4:AC6,$K$4:$K$6)</f>
        <v>317.848</v>
      </c>
      <c r="AD8" s="55">
        <f>SUMPRODUCT(AD4:AD6,$K$4:$K$6)</f>
        <v>264.98400000000004</v>
      </c>
      <c r="AE8" s="55">
        <f>SUMPRODUCT(AE4:AE6,$K$4:$K$6)</f>
        <v>201.532</v>
      </c>
      <c r="AF8" s="55">
        <f>SUMPRODUCT(AF4:AF6,$K$4:$K$6)</f>
        <v>100.766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Denali Therapeutics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26.432</v>
      </c>
      <c r="H4" s="57">
        <f>Pipeline!R7</f>
        <v>84.59</v>
      </c>
      <c r="I4" s="57">
        <f>Pipeline!S7</f>
        <v>199.739</v>
      </c>
      <c r="J4" s="57">
        <f>Pipeline!T7</f>
        <v>341.403</v>
      </c>
      <c r="K4" s="57">
        <f>Pipeline!U7</f>
        <v>500.327</v>
      </c>
      <c r="L4" s="57">
        <f>Pipeline!V7</f>
        <v>646.035</v>
      </c>
      <c r="M4" s="57">
        <f>Pipeline!W7</f>
        <v>742.84</v>
      </c>
      <c r="N4" s="57">
        <f>Pipeline!X7</f>
        <v>794.62</v>
      </c>
      <c r="O4" s="57">
        <f>Pipeline!Y7</f>
        <v>794.62</v>
      </c>
      <c r="P4" s="57">
        <f>Pipeline!Z7</f>
        <v>794.62</v>
      </c>
      <c r="Q4" s="57">
        <f>Pipeline!AA7</f>
        <v>794.62</v>
      </c>
      <c r="R4" s="57">
        <f>Pipeline!AB7</f>
        <v>794.62</v>
      </c>
      <c r="S4" s="57">
        <f>Pipeline!AC7</f>
        <v>794.62</v>
      </c>
      <c r="T4" s="57">
        <f>Pipeline!AD7</f>
        <v>662.46</v>
      </c>
      <c r="U4" s="57">
        <f>Pipeline!AE7</f>
        <v>503.83</v>
      </c>
      <c r="V4" s="57">
        <f>Pipeline!AF7</f>
        <v>251.915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10.5728</v>
      </c>
      <c r="H5" s="57">
        <f>Pipeline!R8</f>
        <v>33.836</v>
      </c>
      <c r="I5" s="57">
        <f>Pipeline!S8</f>
        <v>79.8956</v>
      </c>
      <c r="J5" s="57">
        <f>Pipeline!T8</f>
        <v>136.5612</v>
      </c>
      <c r="K5" s="57">
        <f>Pipeline!U8</f>
        <v>200.13080000000002</v>
      </c>
      <c r="L5" s="57">
        <f>Pipeline!V8</f>
        <v>258.41400000000004</v>
      </c>
      <c r="M5" s="57">
        <f>Pipeline!W8</f>
        <v>297.136</v>
      </c>
      <c r="N5" s="57">
        <f>Pipeline!X8</f>
        <v>317.848</v>
      </c>
      <c r="O5" s="57">
        <f>Pipeline!Y8</f>
        <v>317.848</v>
      </c>
      <c r="P5" s="57">
        <f>Pipeline!Z8</f>
        <v>317.848</v>
      </c>
      <c r="Q5" s="57">
        <f>Pipeline!AA8</f>
        <v>317.848</v>
      </c>
      <c r="R5" s="57">
        <f>Pipeline!AB8</f>
        <v>317.848</v>
      </c>
      <c r="S5" s="57">
        <f>Pipeline!AC8</f>
        <v>317.848</v>
      </c>
      <c r="T5" s="57">
        <f>Pipeline!AD8</f>
        <v>264.98400000000004</v>
      </c>
      <c r="U5" s="57">
        <f>Pipeline!AE8</f>
        <v>201.532</v>
      </c>
      <c r="V5" s="57">
        <f>Pipeline!AF8</f>
        <v>100.766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-542.697</v>
      </c>
      <c r="D6" s="23">
        <f>-IF(D3-2026&lt;Assumptions!$B$19,Assumptions!$B$18,Assumptions!$B$18*Assumptions!$B$20*Assumptions!$B$16)</f>
        <v>-542.697</v>
      </c>
      <c r="E6" s="23">
        <f>-IF(E3-2026&lt;Assumptions!$B$19,Assumptions!$B$18,Assumptions!$B$18*Assumptions!$B$20*Assumptions!$B$16)</f>
        <v>-542.697</v>
      </c>
      <c r="F6" s="23">
        <f>-IF(F3-2026&lt;Assumptions!$B$19,Assumptions!$B$18,Assumptions!$B$18*Assumptions!$B$20*Assumptions!$B$16)</f>
        <v>-542.697</v>
      </c>
      <c r="G6" s="23">
        <f>-IF(G3-2026&lt;Assumptions!$B$19,Assumptions!$B$18,Assumptions!$B$18*Assumptions!$B$20*Assumptions!$B$16)</f>
        <v>-81.64698593613463</v>
      </c>
      <c r="H6" s="23">
        <f>-IF(H3-2026&lt;Assumptions!$B$19,Assumptions!$B$18,Assumptions!$B$18*Assumptions!$B$20*Assumptions!$B$16)</f>
        <v>-81.64698593613463</v>
      </c>
      <c r="I6" s="23">
        <f>-IF(I3-2026&lt;Assumptions!$B$19,Assumptions!$B$18,Assumptions!$B$18*Assumptions!$B$20*Assumptions!$B$16)</f>
        <v>-81.64698593613463</v>
      </c>
      <c r="J6" s="23">
        <f>-IF(J3-2026&lt;Assumptions!$B$19,Assumptions!$B$18,Assumptions!$B$18*Assumptions!$B$20*Assumptions!$B$16)</f>
        <v>-81.64698593613463</v>
      </c>
      <c r="K6" s="23">
        <f>-IF(K3-2026&lt;Assumptions!$B$19,Assumptions!$B$18,Assumptions!$B$18*Assumptions!$B$20*Assumptions!$B$16)</f>
        <v>-81.64698593613463</v>
      </c>
      <c r="L6" s="23">
        <f>-IF(L3-2026&lt;Assumptions!$B$19,Assumptions!$B$18,Assumptions!$B$18*Assumptions!$B$20*Assumptions!$B$16)</f>
        <v>-81.64698593613463</v>
      </c>
      <c r="M6" s="23">
        <f>-IF(M3-2026&lt;Assumptions!$B$19,Assumptions!$B$18,Assumptions!$B$18*Assumptions!$B$20*Assumptions!$B$16)</f>
        <v>-81.64698593613463</v>
      </c>
      <c r="N6" s="23">
        <f>-IF(N3-2026&lt;Assumptions!$B$19,Assumptions!$B$18,Assumptions!$B$18*Assumptions!$B$20*Assumptions!$B$16)</f>
        <v>-81.64698593613463</v>
      </c>
      <c r="O6" s="23">
        <f>-IF(O3-2026&lt;Assumptions!$B$19,Assumptions!$B$18,Assumptions!$B$18*Assumptions!$B$20*Assumptions!$B$16)</f>
        <v>-81.64698593613463</v>
      </c>
      <c r="P6" s="23">
        <f>-IF(P3-2026&lt;Assumptions!$B$19,Assumptions!$B$18,Assumptions!$B$18*Assumptions!$B$20*Assumptions!$B$16)</f>
        <v>-81.64698593613463</v>
      </c>
      <c r="Q6" s="23">
        <f>-IF(Q3-2026&lt;Assumptions!$B$19,Assumptions!$B$18,Assumptions!$B$18*Assumptions!$B$20*Assumptions!$B$16)</f>
        <v>-81.64698593613463</v>
      </c>
      <c r="R6" s="23">
        <f>-IF(R3-2026&lt;Assumptions!$B$19,Assumptions!$B$18,Assumptions!$B$18*Assumptions!$B$20*Assumptions!$B$16)</f>
        <v>-81.64698593613463</v>
      </c>
      <c r="S6" s="23">
        <f>-IF(S3-2026&lt;Assumptions!$B$19,Assumptions!$B$18,Assumptions!$B$18*Assumptions!$B$20*Assumptions!$B$16)</f>
        <v>-81.64698593613463</v>
      </c>
      <c r="T6" s="23">
        <f>-IF(T3-2026&lt;Assumptions!$B$19,Assumptions!$B$18,Assumptions!$B$18*Assumptions!$B$20*Assumptions!$B$16)</f>
        <v>-81.64698593613463</v>
      </c>
      <c r="U6" s="23">
        <f>-IF(U3-2026&lt;Assumptions!$B$19,Assumptions!$B$18,Assumptions!$B$18*Assumptions!$B$20*Assumptions!$B$16)</f>
        <v>-81.64698593613463</v>
      </c>
      <c r="V6" s="23">
        <f>-IF(V3-2026&lt;Assumptions!$B$19,Assumptions!$B$18,Assumptions!$B$18*Assumptions!$B$20*Assumptions!$B$16)</f>
        <v>-81.64698593613463</v>
      </c>
    </row>
    <row r="7">
      <c r="A7" s="14" t="inlineStr">
        <is>
          <t>Pre-tax cash flow</t>
        </is>
      </c>
      <c r="C7" s="23">
        <f>C5+C6</f>
        <v>-542.697</v>
      </c>
      <c r="D7" s="23">
        <f>D5+D6</f>
        <v>-542.697</v>
      </c>
      <c r="E7" s="23">
        <f>E5+E6</f>
        <v>-542.697</v>
      </c>
      <c r="F7" s="23">
        <f>F5+F6</f>
        <v>-542.697</v>
      </c>
      <c r="G7" s="23">
        <f>G5+G6</f>
        <v>-71.07418593613463</v>
      </c>
      <c r="H7" s="23">
        <f>H5+H6</f>
        <v>-47.81098593613463</v>
      </c>
      <c r="I7" s="23">
        <f>I5+I6</f>
        <v>-1.751385936134625</v>
      </c>
      <c r="J7" s="23">
        <f>J5+J6</f>
        <v>54.91421406386539</v>
      </c>
      <c r="K7" s="23">
        <f>K5+K6</f>
        <v>118.4838140638654</v>
      </c>
      <c r="L7" s="23">
        <f>L5+L6</f>
        <v>176.76701406386542</v>
      </c>
      <c r="M7" s="23">
        <f>M5+M6</f>
        <v>215.4890140638654</v>
      </c>
      <c r="N7" s="23">
        <f>N5+N6</f>
        <v>236.2010140638654</v>
      </c>
      <c r="O7" s="23">
        <f>O5+O6</f>
        <v>236.2010140638654</v>
      </c>
      <c r="P7" s="23">
        <f>P5+P6</f>
        <v>236.2010140638654</v>
      </c>
      <c r="Q7" s="23">
        <f>Q5+Q6</f>
        <v>236.2010140638654</v>
      </c>
      <c r="R7" s="23">
        <f>R5+R6</f>
        <v>236.2010140638654</v>
      </c>
      <c r="S7" s="23">
        <f>S5+S6</f>
        <v>236.2010140638654</v>
      </c>
      <c r="T7" s="23">
        <f>T5+T6</f>
        <v>183.3370140638654</v>
      </c>
      <c r="U7" s="23">
        <f>U5+U6</f>
        <v>119.88501406386538</v>
      </c>
      <c r="V7" s="23">
        <f>V5+V6</f>
        <v>19.11901406386538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54.91421406386539</v>
      </c>
      <c r="K8" s="23">
        <f>MIN(J17,MAX(0,K7))</f>
        <v>118.4838140638654</v>
      </c>
      <c r="L8" s="23">
        <f>MIN(K17,MAX(0,L7))</f>
        <v>176.76701406386542</v>
      </c>
      <c r="M8" s="23">
        <f>MIN(L17,MAX(0,M7))</f>
        <v>215.4890140638654</v>
      </c>
      <c r="N8" s="23">
        <f>MIN(M17,MAX(0,N7))</f>
        <v>236.2010140638654</v>
      </c>
      <c r="O8" s="23">
        <f>MIN(N17,MAX(0,O7))</f>
        <v>236.2010140638654</v>
      </c>
      <c r="P8" s="23">
        <f>MIN(O17,MAX(0,P7))</f>
        <v>236.2010140638654</v>
      </c>
      <c r="Q8" s="23">
        <f>MIN(P17,MAX(0,Q7))</f>
        <v>236.2010140638654</v>
      </c>
      <c r="R8" s="23">
        <f>MIN(Q17,MAX(0,R7))</f>
        <v>236.2010140638654</v>
      </c>
      <c r="S8" s="23">
        <f>MIN(R17,MAX(0,S7))</f>
        <v>236.2010140638654</v>
      </c>
      <c r="T8" s="23">
        <f>MIN(S17,MAX(0,T7))</f>
        <v>183.3370140638654</v>
      </c>
      <c r="U8" s="23">
        <f>MIN(T17,MAX(0,U7))</f>
        <v>119.88501406386538</v>
      </c>
      <c r="V8" s="23">
        <f>MIN(U17,MAX(0,V7))</f>
        <v>19.11901406386538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-542.697</v>
      </c>
      <c r="D11" s="55">
        <f>D7-D10</f>
        <v>-542.697</v>
      </c>
      <c r="E11" s="55">
        <f>E7-E10</f>
        <v>-542.697</v>
      </c>
      <c r="F11" s="55">
        <f>F7-F10</f>
        <v>-542.697</v>
      </c>
      <c r="G11" s="55">
        <f>G7-G10</f>
        <v>-71.07418593613463</v>
      </c>
      <c r="H11" s="55">
        <f>H7-H10</f>
        <v>-47.81098593613463</v>
      </c>
      <c r="I11" s="55">
        <f>I7-I10</f>
        <v>-1.751385936134625</v>
      </c>
      <c r="J11" s="55">
        <f>J7-J10</f>
        <v>54.91421406386539</v>
      </c>
      <c r="K11" s="55">
        <f>K7-K10</f>
        <v>118.4838140638654</v>
      </c>
      <c r="L11" s="55">
        <f>L7-L10</f>
        <v>176.76701406386542</v>
      </c>
      <c r="M11" s="55">
        <f>M7-M10</f>
        <v>215.4890140638654</v>
      </c>
      <c r="N11" s="55">
        <f>N7-N10</f>
        <v>236.2010140638654</v>
      </c>
      <c r="O11" s="55">
        <f>O7-O10</f>
        <v>236.2010140638654</v>
      </c>
      <c r="P11" s="55">
        <f>P7-P10</f>
        <v>236.2010140638654</v>
      </c>
      <c r="Q11" s="55">
        <f>Q7-Q10</f>
        <v>236.2010140638654</v>
      </c>
      <c r="R11" s="55">
        <f>R7-R10</f>
        <v>236.2010140638654</v>
      </c>
      <c r="S11" s="55">
        <f>S7-S10</f>
        <v>236.2010140638654</v>
      </c>
      <c r="T11" s="55">
        <f>T7-T10</f>
        <v>183.3370140638654</v>
      </c>
      <c r="U11" s="55">
        <f>U7-U10</f>
        <v>119.88501406386538</v>
      </c>
      <c r="V11" s="55">
        <f>V7-V10</f>
        <v>19.11901406386538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-265.8696204972096</v>
      </c>
      <c r="D16" s="55">
        <f>D11*D15</f>
        <v>-484.3257997415092</v>
      </c>
      <c r="E16" s="55">
        <f>E11*E15</f>
        <v>-432.4337497692045</v>
      </c>
      <c r="F16" s="55">
        <f>F11*F15</f>
        <v>-386.1015622939326</v>
      </c>
      <c r="G16" s="55">
        <f>G11*G15</f>
        <v>-45.14794731009962</v>
      </c>
      <c r="H16" s="55">
        <f>H11*H15</f>
        <v>-27.11663481133833</v>
      </c>
      <c r="I16" s="55">
        <f>I11*I15</f>
        <v>-0.8868944313065298</v>
      </c>
      <c r="J16" s="55">
        <f>J11*J15</f>
        <v>24.82886229045682</v>
      </c>
      <c r="K16" s="55">
        <f>K11*K15</f>
        <v>47.8313953797499</v>
      </c>
      <c r="L16" s="55">
        <f>L11*L15</f>
        <v>63.71434576007872</v>
      </c>
      <c r="M16" s="55">
        <f>M11*M15</f>
        <v>69.34946475749888</v>
      </c>
      <c r="N16" s="55">
        <f>N11*N15</f>
        <v>67.8706040656439</v>
      </c>
      <c r="O16" s="55">
        <f>O11*O15</f>
        <v>60.59875363003919</v>
      </c>
      <c r="P16" s="55">
        <f>P11*P15</f>
        <v>54.1060300268207</v>
      </c>
      <c r="Q16" s="55">
        <f>Q11*Q15</f>
        <v>48.30895538108991</v>
      </c>
      <c r="R16" s="55">
        <f>R11*R15</f>
        <v>43.13299587597313</v>
      </c>
      <c r="S16" s="55">
        <f>S11*S15</f>
        <v>38.51160346069029</v>
      </c>
      <c r="T16" s="55">
        <f>T11*T15</f>
        <v>26.689594443823633</v>
      </c>
      <c r="U16" s="55">
        <f>U11*U15</f>
        <v>15.582556010280308</v>
      </c>
      <c r="V16" s="55">
        <f>V11*V15</f>
        <v>2.218815893220406</v>
      </c>
    </row>
    <row r="17">
      <c r="A17" s="14" t="inlineStr">
        <is>
          <t>Tax-loss carryforward, end of year</t>
        </is>
      </c>
      <c r="C17" s="23">
        <f>Assumptions!$B$21-C8+MAX(0,-C7)</f>
        <v>2648.4970000000003</v>
      </c>
      <c r="D17" s="23">
        <f>C17-D8+MAX(0,-D7)</f>
        <v>3191.1940000000004</v>
      </c>
      <c r="E17" s="23">
        <f>D17-E8+MAX(0,-E7)</f>
        <v>3733.8910000000005</v>
      </c>
      <c r="F17" s="23">
        <f>E17-F8+MAX(0,-F7)</f>
        <v>4276.588000000001</v>
      </c>
      <c r="G17" s="23">
        <f>F17-G8+MAX(0,-G7)</f>
        <v>4347.662185936135</v>
      </c>
      <c r="H17" s="23">
        <f>G17-H8+MAX(0,-H7)</f>
        <v>4395.47317187227</v>
      </c>
      <c r="I17" s="23">
        <f>H17-I8+MAX(0,-I7)</f>
        <v>4397.224557808404</v>
      </c>
      <c r="J17" s="23">
        <f>I17-J8+MAX(0,-J7)</f>
        <v>4342.310343744539</v>
      </c>
      <c r="K17" s="23">
        <f>J17-K8+MAX(0,-K7)</f>
        <v>4223.826529680673</v>
      </c>
      <c r="L17" s="23">
        <f>K17-L8+MAX(0,-L7)</f>
        <v>4047.0595156168074</v>
      </c>
      <c r="M17" s="23">
        <f>L17-M8+MAX(0,-M7)</f>
        <v>3831.570501552942</v>
      </c>
      <c r="N17" s="23">
        <f>M17-N8+MAX(0,-N7)</f>
        <v>3595.3694874890766</v>
      </c>
      <c r="O17" s="23">
        <f>N17-O8+MAX(0,-O7)</f>
        <v>3359.1684734252112</v>
      </c>
      <c r="P17" s="23">
        <f>O17-P8+MAX(0,-P7)</f>
        <v>3122.967459361346</v>
      </c>
      <c r="Q17" s="23">
        <f>P17-Q8+MAX(0,-Q7)</f>
        <v>2886.7664452974805</v>
      </c>
      <c r="R17" s="23">
        <f>Q17-R8+MAX(0,-R7)</f>
        <v>2650.565431233615</v>
      </c>
      <c r="S17" s="23">
        <f>R17-S8+MAX(0,-S7)</f>
        <v>2414.3644171697497</v>
      </c>
      <c r="T17" s="23">
        <f>S17-T8+MAX(0,-T7)</f>
        <v>2231.0274031058843</v>
      </c>
      <c r="U17" s="23">
        <f>T17-U8+MAX(0,-U7)</f>
        <v>2111.1423890420187</v>
      </c>
      <c r="V17" s="23">
        <f>U17-V8+MAX(0,-V7)</f>
        <v>2092.0233749781532</v>
      </c>
    </row>
    <row r="19">
      <c r="A19" s="14" t="inlineStr">
        <is>
          <t>PV of risked pipeline contribution</t>
        </is>
      </c>
      <c r="B19" s="23">
        <f>SUMPRODUCT(C5:V5,C15:V15)</f>
        <v>894.6954224392748</v>
      </c>
    </row>
    <row r="20">
      <c r="A20" s="14" t="inlineStr">
        <is>
          <t>PV of corporate burn</t>
        </is>
      </c>
      <c r="B20" s="23">
        <f>SUMPRODUCT(C6:V6,C15:V15)</f>
        <v>-1973.833654318509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-1079.1382318792346</v>
      </c>
    </row>
    <row r="23">
      <c r="A23" s="14" t="inlineStr">
        <is>
          <t>Cash &amp; investments</t>
        </is>
      </c>
      <c r="B23" s="57">
        <f>Main!C7</f>
        <v>710.471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-368.6672318792346</v>
      </c>
    </row>
    <row r="26">
      <c r="A26" s="14" t="inlineStr">
        <is>
          <t>Shares (mm)</t>
        </is>
      </c>
      <c r="B26" s="57">
        <f>Main!C4</f>
        <v>159.847403</v>
      </c>
    </row>
    <row r="27">
      <c r="A27" s="24" t="inlineStr">
        <is>
          <t>rNPV / share</t>
        </is>
      </c>
      <c r="B27" s="60">
        <f>B25/B26</f>
        <v>-2.3063698562511807</v>
      </c>
    </row>
    <row r="28">
      <c r="A28" s="14" t="inlineStr">
        <is>
          <t>Price</t>
        </is>
      </c>
      <c r="B28" s="61">
        <f>Main!C3</f>
        <v>18.93</v>
      </c>
    </row>
    <row r="29">
      <c r="A29" s="14" t="inlineStr">
        <is>
          <t>Upside</t>
        </is>
      </c>
      <c r="B29" s="62">
        <f>B27/B28-1</f>
        <v>-1.1218367594427459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2026-10-21T06:22:13Z</dcterms:modified>
  <cp:lastModifiedBy>Wang, Eric</cp:lastModifiedBy>
</cp:coreProperties>
</file>