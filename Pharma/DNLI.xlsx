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Denali Therapeutics Inc.</t>
        </is>
      </c>
      <c r="C2" s="10" t="n"/>
    </row>
    <row r="3">
      <c r="B3" t="inlineStr">
        <is>
          <t>Price</t>
        </is>
      </c>
      <c r="C3" s="11">
        <f>INDEX([1]Pharma!$F$1:$F$1000,MATCH("DNLI",[1]Pharma!$B$1:$B$1000,0))</f>
        <v>18.93</v>
      </c>
      <c r="F3" s="1" t="n"/>
    </row>
    <row r="4">
      <c r="B4" t="inlineStr">
        <is>
          <t>Shares</t>
        </is>
      </c>
      <c r="C4" s="21" t="n">
        <v>159.847403</v>
      </c>
      <c r="F4" s="1" t="n"/>
    </row>
    <row r="5">
      <c r="B5" t="inlineStr">
        <is>
          <t>Market Cap.</t>
        </is>
      </c>
      <c r="C5" s="13">
        <f>C3*C4</f>
        <v>3025.91133879</v>
      </c>
      <c r="F5" s="1" t="n"/>
    </row>
    <row r="6"/>
    <row r="7">
      <c r="B7" t="inlineStr">
        <is>
          <t>Cash</t>
        </is>
      </c>
      <c r="C7" s="21">
        <f>201.53+508.941</f>
        <v>710.471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2315.44033879</v>
      </c>
    </row>
    <row r="10"/>
    <row r="11">
      <c r="B11" s="14" t="inlineStr">
        <is>
          <t>Net Cash / Share</t>
        </is>
      </c>
      <c r="C11" s="11">
        <f>(C7-C8)/C4</f>
        <v>4.444682782866356</v>
      </c>
    </row>
    <row r="12">
      <c r="B12" s="14" t="inlineStr">
        <is>
          <t>Upside</t>
        </is>
      </c>
      <c r="C12" s="15">
        <f>IFERROR(C11/C3-1,"")</f>
        <v>-0.7652042903926912</v>
      </c>
    </row>
    <row r="13">
      <c r="B13" s="14" t="inlineStr">
        <is>
          <t>Cash / Share</t>
        </is>
      </c>
      <c r="C13" s="11">
        <f>IFERROR((C7-C8)/C4,"")</f>
        <v>4.444682782866356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-434.04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1.63687908948484</v>
      </c>
    </row>
    <row r="19">
      <c r="B19" s="14" t="inlineStr">
        <is>
          <t>Implied Pipeline Value</t>
        </is>
      </c>
      <c r="C19" s="13">
        <f>C9</f>
        <v>2315.44033879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129.16</v>
      </c>
      <c r="E2" s="23" t="n">
        <v>26.678</v>
      </c>
      <c r="F2" s="23" t="n">
        <v>335.659</v>
      </c>
      <c r="G2" s="23" t="n">
        <v>48.661</v>
      </c>
      <c r="H2" s="23" t="n">
        <v>108.463</v>
      </c>
      <c r="I2" s="23" t="n">
        <v>330.531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129.16</v>
      </c>
      <c r="E4" s="23">
        <f>E2-E3</f>
        <v>26.678</v>
      </c>
      <c r="F4" s="23">
        <f>F2-F3</f>
        <v>335.659</v>
      </c>
      <c r="G4" s="23">
        <f>G2-G3</f>
        <v>48.661</v>
      </c>
      <c r="H4" s="23">
        <f>H2-H3</f>
        <v>108.463</v>
      </c>
      <c r="I4" s="23">
        <f>I2-I3</f>
        <v>330.531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75.702</v>
      </c>
      <c r="C5" s="23" t="n">
        <v>74.45999999999999</v>
      </c>
      <c r="D5" s="23" t="n">
        <v>143.183</v>
      </c>
      <c r="E5" s="23" t="n">
        <v>193.382</v>
      </c>
      <c r="F5" s="23" t="n">
        <v>212.615</v>
      </c>
      <c r="G5" s="23" t="n">
        <v>265.353</v>
      </c>
      <c r="H5" s="23" t="n">
        <v>358.732</v>
      </c>
      <c r="I5" s="23" t="n">
        <v>423.876</v>
      </c>
      <c r="J5" s="23" t="n">
        <v>396.44</v>
      </c>
      <c r="K5" s="23" t="n">
        <v>418.778</v>
      </c>
    </row>
    <row r="6">
      <c r="A6" s="19" t="inlineStr">
        <is>
          <t>SG&amp;A &amp; Other</t>
        </is>
      </c>
      <c r="B6" s="23" t="n">
        <v>11.731</v>
      </c>
      <c r="C6" s="23" t="n">
        <v>15.68</v>
      </c>
      <c r="D6" s="23" t="n">
        <v>32.349</v>
      </c>
      <c r="E6" s="23" t="n">
        <v>46.48</v>
      </c>
      <c r="F6" s="23" t="n">
        <v>60.326</v>
      </c>
      <c r="G6" s="23" t="n">
        <v>79.059</v>
      </c>
      <c r="H6" s="23" t="n">
        <v>90.47499999999999</v>
      </c>
      <c r="I6" s="23" t="n">
        <v>103.354</v>
      </c>
      <c r="J6" s="23" t="n">
        <v>90.901</v>
      </c>
      <c r="K6" s="23" t="n">
        <v>136.564</v>
      </c>
    </row>
    <row r="7">
      <c r="A7" s="2" t="inlineStr">
        <is>
          <t>Operating Expense</t>
        </is>
      </c>
      <c r="B7" s="23">
        <f>SUM(B5:B6)</f>
        <v>87.43299999999999</v>
      </c>
      <c r="C7" s="23">
        <f>SUM(C5:C6)</f>
        <v>90.13999999999999</v>
      </c>
      <c r="D7" s="23">
        <f>SUM(D5:D6)</f>
        <v>175.53199999999998</v>
      </c>
      <c r="E7" s="23">
        <f>SUM(E5:E6)</f>
        <v>239.862</v>
      </c>
      <c r="F7" s="23">
        <f>SUM(F5:F6)</f>
        <v>272.94100000000003</v>
      </c>
      <c r="G7" s="23">
        <f>SUM(G5:G6)</f>
        <v>344.41200000000003</v>
      </c>
      <c r="H7" s="23">
        <f>SUM(H5:H6)</f>
        <v>449.207</v>
      </c>
      <c r="I7" s="23">
        <f>SUM(I5:I6)</f>
        <v>527.23</v>
      </c>
      <c r="J7" s="23">
        <f>SUM(J5:J6)</f>
        <v>487.341</v>
      </c>
      <c r="K7" s="23">
        <f>SUM(K5:K6)</f>
        <v>555.342</v>
      </c>
    </row>
    <row r="8">
      <c r="A8" s="2" t="inlineStr">
        <is>
          <t>Operating Income</t>
        </is>
      </c>
      <c r="B8" s="23">
        <f>B4-B7</f>
        <v>-87.43299999999999</v>
      </c>
      <c r="C8" s="23">
        <f>C4-C7</f>
        <v>-90.13999999999999</v>
      </c>
      <c r="D8" s="23">
        <f>D4-D7</f>
        <v>-46.371999999999986</v>
      </c>
      <c r="E8" s="23">
        <f>E4-E7</f>
        <v>-213.184</v>
      </c>
      <c r="F8" s="23">
        <f>F4-F7</f>
        <v>62.71799999999996</v>
      </c>
      <c r="G8" s="23">
        <f>G4-G7</f>
        <v>-295.75100000000003</v>
      </c>
      <c r="H8" s="23">
        <f>H4-H7</f>
        <v>-340.744</v>
      </c>
      <c r="I8" s="23">
        <f>I4-I7</f>
        <v>-196.699</v>
      </c>
      <c r="J8" s="23">
        <f>J4-J7</f>
        <v>-487.341</v>
      </c>
      <c r="K8" s="23">
        <f>K4-K7</f>
        <v>-555.342</v>
      </c>
    </row>
    <row r="9">
      <c r="A9" s="19" t="inlineStr">
        <is>
          <t>Interest &amp; Other</t>
        </is>
      </c>
      <c r="B9" s="23" t="n">
        <v>0.781</v>
      </c>
      <c r="C9" s="23" t="n">
        <v>1.955</v>
      </c>
      <c r="D9" s="23" t="n">
        <v>10.132</v>
      </c>
      <c r="E9" s="23" t="n">
        <v>15.219</v>
      </c>
      <c r="F9" s="23" t="n">
        <v>9.241</v>
      </c>
      <c r="G9" s="23" t="n">
        <v>4.595</v>
      </c>
      <c r="H9" s="23" t="n">
        <v>14.774</v>
      </c>
      <c r="I9" s="23" t="n">
        <v>51.505</v>
      </c>
      <c r="J9" s="23" t="n">
        <v>64.636</v>
      </c>
      <c r="K9" s="23" t="n">
        <v>42.904</v>
      </c>
    </row>
    <row r="10">
      <c r="A10" s="2" t="inlineStr">
        <is>
          <t>Pretax</t>
        </is>
      </c>
      <c r="B10" s="23">
        <f>B8+B9</f>
        <v>-86.65199999999999</v>
      </c>
      <c r="C10" s="23">
        <f>C8+C9</f>
        <v>-88.18499999999999</v>
      </c>
      <c r="D10" s="23">
        <f>D8+D9</f>
        <v>-36.23999999999999</v>
      </c>
      <c r="E10" s="23">
        <f>E8+E9</f>
        <v>-197.965</v>
      </c>
      <c r="F10" s="23">
        <f>F8+F9</f>
        <v>71.95899999999996</v>
      </c>
      <c r="G10" s="23">
        <f>G8+G9</f>
        <v>-291.156</v>
      </c>
      <c r="H10" s="23">
        <f>H8+H9</f>
        <v>-325.97</v>
      </c>
      <c r="I10" s="23">
        <f>I8+I9</f>
        <v>-145.19400000000002</v>
      </c>
      <c r="J10" s="23">
        <f>J8+J9</f>
        <v>-422.70500000000004</v>
      </c>
      <c r="K10" s="23">
        <f>K8+K9</f>
        <v>-512.438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-0.351</v>
      </c>
      <c r="F11" s="23" t="n">
        <v>0.823</v>
      </c>
      <c r="G11" s="23" t="n">
        <v>-0.575</v>
      </c>
      <c r="H11" s="23" t="n">
        <v>0.021</v>
      </c>
      <c r="I11" s="23" t="n">
        <v>0.03</v>
      </c>
      <c r="J11" s="23" t="n">
        <v>0.068</v>
      </c>
      <c r="K11" s="23" t="n">
        <v>0.102</v>
      </c>
    </row>
    <row r="12">
      <c r="A12" s="2" t="inlineStr">
        <is>
          <t>Net Income</t>
        </is>
      </c>
      <c r="B12" s="23" t="n">
        <v>-86.652</v>
      </c>
      <c r="C12" s="23" t="n">
        <v>-88.185</v>
      </c>
      <c r="D12" s="23" t="n">
        <v>-36.24</v>
      </c>
      <c r="E12" s="23" t="n">
        <v>-197.614</v>
      </c>
      <c r="F12" s="23" t="n">
        <v>71.136</v>
      </c>
      <c r="G12" s="23" t="n">
        <v>-290.581</v>
      </c>
      <c r="H12" s="23" t="n">
        <v>-325.991</v>
      </c>
      <c r="I12" s="23" t="n">
        <v>-145.224</v>
      </c>
      <c r="J12" s="23" t="n">
        <v>-422.773</v>
      </c>
      <c r="K12" s="23" t="n">
        <v>-512.54</v>
      </c>
    </row>
    <row r="13">
      <c r="A13" s="2" t="inlineStr">
        <is>
          <t>Earnings per Share</t>
        </is>
      </c>
      <c r="B13" s="11">
        <f>IFERROR(B12/B14,0)</f>
        <v>-13.486692607003892</v>
      </c>
      <c r="C13" s="11">
        <f>IFERROR(C12/C14,0)</f>
        <v>-5.893143544506817</v>
      </c>
      <c r="D13" s="11">
        <f>IFERROR(D12/D14,0)</f>
        <v>-0.3912677333678824</v>
      </c>
      <c r="E13" s="11">
        <f>IFERROR(E12/E14,0)</f>
        <v>-2.0669190862689315</v>
      </c>
      <c r="F13" s="11">
        <f>IFERROR(F12/F14,0)</f>
        <v>0.6311810688269167</v>
      </c>
      <c r="G13" s="11">
        <f>IFERROR(G12/G14,0)</f>
        <v>-2.391121168483851</v>
      </c>
      <c r="H13" s="11">
        <f>IFERROR(H12/H14,0)</f>
        <v>-2.596896384160088</v>
      </c>
      <c r="I13" s="11">
        <f>IFERROR(I12/I14,0)</f>
        <v>-1.0571663597120207</v>
      </c>
      <c r="J13" s="11">
        <f>IFERROR(J12/J14,0)</f>
        <v>-2.5704549047265832</v>
      </c>
      <c r="K13" s="11">
        <f>IFERROR(K12/K14,0)</f>
        <v>-2.9686821238466483</v>
      </c>
    </row>
    <row r="14">
      <c r="A14" s="2" t="inlineStr">
        <is>
          <t>Shares</t>
        </is>
      </c>
      <c r="B14" s="23" t="n">
        <v>6.425</v>
      </c>
      <c r="C14" s="23" t="n">
        <v>14.964</v>
      </c>
      <c r="D14" s="23" t="n">
        <v>92.622</v>
      </c>
      <c r="E14" s="23" t="n">
        <v>95.608</v>
      </c>
      <c r="F14" s="23" t="n">
        <v>112.703</v>
      </c>
      <c r="G14" s="23" t="n">
        <v>121.525</v>
      </c>
      <c r="H14" s="23" t="n">
        <v>125.531</v>
      </c>
      <c r="I14" s="23" t="n">
        <v>137.371</v>
      </c>
      <c r="J14" s="23" t="n">
        <v>164.474</v>
      </c>
      <c r="K14" s="23" t="n">
        <v>172.649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-0.7934499845153298</v>
      </c>
      <c r="F16" s="15">
        <f>IFERROR(F2/E2-1,"")</f>
        <v>11.581865207286903</v>
      </c>
      <c r="G16" s="15">
        <f>IFERROR(G2/F2-1,"")</f>
        <v>-0.855028466389997</v>
      </c>
      <c r="H16" s="15">
        <f>IFERROR(H2/G2-1,"")</f>
        <v>1.228951316249152</v>
      </c>
      <c r="I16" s="15">
        <f>IFERROR(I2/H2-1,"")</f>
        <v>2.04740787180882</v>
      </c>
      <c r="J16" s="15">
        <f>IFERROR(J2/I2-1,"")</f>
        <v>-1.0</v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-0.35902756271291414</v>
      </c>
      <c r="E18" s="15">
        <f>IFERROR(E8/E2,"")</f>
        <v>-7.991003823375065</v>
      </c>
      <c r="F18" s="15">
        <f>IFERROR(F8/F2,"")</f>
        <v>0.18685034514194454</v>
      </c>
      <c r="G18" s="15">
        <f>IFERROR(G8/G2,"")</f>
        <v>-6.077783029530837</v>
      </c>
      <c r="H18" s="15">
        <f>IFERROR(H8/H2,"")</f>
        <v>-3.141569014318247</v>
      </c>
      <c r="I18" s="15">
        <f>IFERROR(I8/I2,"")</f>
        <v>-0.5951000057483262</v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2026-10-21T01:04:17Z</dcterms:modified>
  <cp:lastModifiedBy>Wang, Eric</cp:lastModifiedBy>
</cp:coreProperties>
</file>