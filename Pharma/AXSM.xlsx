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Axsome Therapeutics, Inc.</t>
        </is>
      </c>
      <c r="C2" s="10" t="n"/>
    </row>
    <row r="3">
      <c r="B3" t="inlineStr">
        <is>
          <t>Price</t>
        </is>
      </c>
      <c r="C3" s="11">
        <f>INDEX([1]Pharma!$F$1:$F$1000,MATCH("AXSM",[1]Pharma!$B$1:$B$1000,0))</f>
        <v>159.58</v>
      </c>
      <c r="F3" s="1" t="n"/>
    </row>
    <row r="4">
      <c r="B4" t="inlineStr">
        <is>
          <t>Shares</t>
        </is>
      </c>
      <c r="C4" s="51" t="n">
        <v>52.380818</v>
      </c>
      <c r="F4" s="1" t="n"/>
    </row>
    <row r="5">
      <c r="B5" t="inlineStr">
        <is>
          <t>Market Cap.</t>
        </is>
      </c>
      <c r="C5" s="13">
        <f>C3*C4</f>
        <v>8358.93093644</v>
      </c>
      <c r="F5" s="1" t="n"/>
    </row>
    <row r="6"/>
    <row r="7">
      <c r="B7" t="inlineStr">
        <is>
          <t>Cash</t>
        </is>
      </c>
      <c r="C7" s="51" t="n">
        <v>319.85</v>
      </c>
    </row>
    <row r="8">
      <c r="B8" t="inlineStr">
        <is>
          <t>Debt</t>
        </is>
      </c>
      <c r="C8" s="51">
        <f>70+117.958</f>
        <v>187.958</v>
      </c>
    </row>
    <row r="9">
      <c r="B9" t="inlineStr">
        <is>
          <t>Enterprise V.</t>
        </is>
      </c>
      <c r="C9" s="13">
        <f>C5-C7+C8</f>
        <v>8227.03893644</v>
      </c>
    </row>
    <row r="10"/>
    <row r="11">
      <c r="B11" s="14" t="inlineStr">
        <is>
          <t>NPV / Share</t>
        </is>
      </c>
      <c r="C11" s="11">
        <f>NPV!B28</f>
        <v>63.20889061029985</v>
      </c>
    </row>
    <row r="12">
      <c r="B12" s="14" t="inlineStr">
        <is>
          <t>Upside</t>
        </is>
      </c>
      <c r="C12" s="15">
        <f>IFERROR(C11/C3-1,"")</f>
        <v>-0.6039046834797603</v>
      </c>
    </row>
    <row r="13">
      <c r="B13" s="14" t="inlineStr">
        <is>
          <t>Cash / Share</t>
        </is>
      </c>
      <c r="C13" s="11">
        <f>IFERROR((C7-C8)/C4,"")</f>
        <v>2.517944641490708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2014</v>
      </c>
      <c r="C1" s="16" t="n">
        <v>2015</v>
      </c>
      <c r="D1" s="16" t="n">
        <v>2016</v>
      </c>
      <c r="E1" s="16" t="n">
        <v>2017</v>
      </c>
      <c r="F1" s="16" t="n">
        <v>2018</v>
      </c>
      <c r="G1" s="16" t="n">
        <v>2019</v>
      </c>
      <c r="H1" s="16" t="n">
        <v>2020</v>
      </c>
      <c r="I1" s="16" t="n">
        <v>2021</v>
      </c>
      <c r="J1" s="16" t="n">
        <v>2022</v>
      </c>
      <c r="K1" s="16" t="n">
        <v>2023</v>
      </c>
      <c r="L1" s="16" t="n">
        <v>2024</v>
      </c>
      <c r="M1" s="16" t="n">
        <v>2025</v>
      </c>
      <c r="N1" s="16" t="n">
        <v>2026</v>
      </c>
      <c r="O1" s="16" t="n">
        <v>2027</v>
      </c>
      <c r="P1" s="16" t="n">
        <v>2028</v>
      </c>
      <c r="Q1" s="16" t="n">
        <v>2029</v>
      </c>
      <c r="R1" s="16" t="n">
        <v>2030</v>
      </c>
      <c r="S1" s="16" t="n">
        <v>2031</v>
      </c>
      <c r="T1" s="16" t="n">
        <v>2032</v>
      </c>
      <c r="U1" s="16" t="n">
        <v>2033</v>
      </c>
      <c r="V1" s="16" t="n">
        <v>2034</v>
      </c>
      <c r="W1" s="16" t="n">
        <v>2035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50.037</v>
      </c>
      <c r="K2" s="52" t="n">
        <v>270.6</v>
      </c>
      <c r="L2" s="52" t="n">
        <v>385.693</v>
      </c>
      <c r="M2" s="52" t="n">
        <v>638.496</v>
      </c>
      <c r="N2" s="52">
        <f>M2*(1+NPV!C5)</f>
        <v>861.9696</v>
      </c>
      <c r="O2" s="52">
        <f>N2*(1+NPV!D5)</f>
        <v>1132.53228</v>
      </c>
      <c r="P2" s="52">
        <f>O2*(1+NPV!E5)</f>
        <v>1447.1245799999997</v>
      </c>
      <c r="Q2" s="52">
        <f>P2*(1+NPV!F5)</f>
        <v>1796.8463534999996</v>
      </c>
      <c r="R2" s="52">
        <f>Q2*(1+NPV!G5)</f>
        <v>2166.198103941666</v>
      </c>
      <c r="S2" s="52">
        <f>R2*(1+NPV!H5)</f>
        <v>2533.2483382206706</v>
      </c>
      <c r="T2" s="52">
        <f>S2*(1+NPV!I5)</f>
        <v>2871.01478331676</v>
      </c>
      <c r="U2" s="52">
        <f>T2*(1+NPV!J5)</f>
        <v>3150.1412205836673</v>
      </c>
      <c r="V2" s="52">
        <f>U2*(1+NPV!K5)</f>
        <v>3342.649850730447</v>
      </c>
      <c r="W2" s="52">
        <f>V2*(1+NPV!L5)</f>
        <v>3426.2160969987076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5.2</v>
      </c>
      <c r="K3" s="52" t="n">
        <v>26.065</v>
      </c>
      <c r="L3" s="52" t="n">
        <v>33.303</v>
      </c>
      <c r="M3" s="52" t="n">
        <v>47.478</v>
      </c>
      <c r="N3" s="52">
        <f>N2*(1-Assumptions!$B$19)</f>
        <v>64.13053824000002</v>
      </c>
      <c r="O3" s="52">
        <f>O2*(1-Assumptions!$B$19)</f>
        <v>84.26040163200001</v>
      </c>
      <c r="P3" s="52">
        <f>P2*(1-Assumptions!$B$19)</f>
        <v>107.66606875200002</v>
      </c>
      <c r="Q3" s="52">
        <f>Q2*(1-Assumptions!$B$19)</f>
        <v>133.6853687004</v>
      </c>
      <c r="R3" s="52">
        <f>R2*(1-Assumptions!$B$19)</f>
        <v>161.16513893325998</v>
      </c>
      <c r="S3" s="52">
        <f>S2*(1-Assumptions!$B$19)</f>
        <v>188.47367636361795</v>
      </c>
      <c r="T3" s="52">
        <f>T2*(1-Assumptions!$B$19)</f>
        <v>213.603499878767</v>
      </c>
      <c r="U3" s="52">
        <f>U2*(1-Assumptions!$B$19)</f>
        <v>234.37050681142492</v>
      </c>
      <c r="V3" s="52">
        <f>V2*(1-Assumptions!$B$19)</f>
        <v>248.6931488943453</v>
      </c>
      <c r="W3" s="52">
        <f>W2*(1-Assumptions!$B$19)</f>
        <v>254.91047761670393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44.836999999999996</v>
      </c>
      <c r="K4" s="52">
        <f>K2-K3</f>
        <v>244.53500000000003</v>
      </c>
      <c r="L4" s="52">
        <f>L2-L3</f>
        <v>352.39</v>
      </c>
      <c r="M4" s="52">
        <f>M2-M3</f>
        <v>591.018</v>
      </c>
      <c r="N4" s="52">
        <f>N2-N3</f>
        <v>797.83906176</v>
      </c>
      <c r="O4" s="52">
        <f>O2-O3</f>
        <v>1048.271878368</v>
      </c>
      <c r="P4" s="52">
        <f>P2-P3</f>
        <v>1339.4585112479997</v>
      </c>
      <c r="Q4" s="52">
        <f>Q2-Q3</f>
        <v>1663.1609847995996</v>
      </c>
      <c r="R4" s="52">
        <f>R2-R3</f>
        <v>2005.0329650084059</v>
      </c>
      <c r="S4" s="52">
        <f>S2-S3</f>
        <v>2344.7746618570527</v>
      </c>
      <c r="T4" s="52">
        <f>T2-T3</f>
        <v>2657.411283437993</v>
      </c>
      <c r="U4" s="52">
        <f>U2-U3</f>
        <v>2915.7707137722423</v>
      </c>
      <c r="V4" s="52">
        <f>V2-V3</f>
        <v>3093.9567018361013</v>
      </c>
      <c r="W4" s="52">
        <f>W2-W3</f>
        <v>3171.305619382004</v>
      </c>
    </row>
    <row r="5">
      <c r="A5" s="2" t="inlineStr">
        <is>
          <t>Research &amp; Dev.</t>
        </is>
      </c>
      <c r="B5" s="52" t="n">
        <v>4.279</v>
      </c>
      <c r="C5" s="52" t="n">
        <v>6.777</v>
      </c>
      <c r="D5" s="52" t="n">
        <v>21.2</v>
      </c>
      <c r="E5" s="52" t="n">
        <v>19.958</v>
      </c>
      <c r="F5" s="52" t="n">
        <v>23.495</v>
      </c>
      <c r="G5" s="52" t="n">
        <v>53.647</v>
      </c>
      <c r="H5" s="52" t="n">
        <v>70.245</v>
      </c>
      <c r="I5" s="52" t="n">
        <v>58.061</v>
      </c>
      <c r="J5" s="52" t="n">
        <v>57.947</v>
      </c>
      <c r="K5" s="52" t="n">
        <v>97.944</v>
      </c>
      <c r="L5" s="52" t="n">
        <v>187.077</v>
      </c>
      <c r="M5" s="52" t="n">
        <v>183.279</v>
      </c>
      <c r="N5" s="52">
        <f>N7*Assumptions!$B$20</f>
        <v>233.79025274213762</v>
      </c>
      <c r="O5" s="52">
        <f>O7*Assumptions!$B$20</f>
        <v>295.131153215353</v>
      </c>
      <c r="P5" s="52">
        <f>P7*Assumptions!$B$20</f>
        <v>361.72341630625453</v>
      </c>
      <c r="Q5" s="52">
        <f>Q7*Assumptions!$B$20</f>
        <v>430.03238101747</v>
      </c>
      <c r="R5" s="52">
        <f>R7*Assumptions!$B$20</f>
        <v>495.39273999813446</v>
      </c>
      <c r="S5" s="52">
        <f>S7*Assumptions!$B$20</f>
        <v>552.3959173071646</v>
      </c>
      <c r="T5" s="52">
        <f>T7*Assumptions!$B$20</f>
        <v>595.5185532727863</v>
      </c>
      <c r="U5" s="52">
        <f>U7*Assumptions!$B$20</f>
        <v>619.9178280675756</v>
      </c>
      <c r="V5" s="52">
        <f>V7*Assumptions!$B$20</f>
        <v>622.2562108670928</v>
      </c>
      <c r="W5" s="52">
        <f>W7*Assumptions!$B$20</f>
        <v>601.3784945557093</v>
      </c>
    </row>
    <row r="6">
      <c r="A6" s="18" t="inlineStr">
        <is>
          <t>SG&amp;A &amp; Other</t>
        </is>
      </c>
      <c r="B6" s="52" t="n">
        <v>1.393</v>
      </c>
      <c r="C6" s="52" t="n">
        <v>2.419</v>
      </c>
      <c r="D6" s="52" t="n">
        <v>6.344</v>
      </c>
      <c r="E6" s="52" t="n">
        <v>7.207</v>
      </c>
      <c r="F6" s="52" t="n">
        <v>9.352</v>
      </c>
      <c r="G6" s="52" t="n">
        <v>13.598</v>
      </c>
      <c r="H6" s="52" t="n">
        <v>28.897</v>
      </c>
      <c r="I6" s="52" t="n">
        <v>66.646</v>
      </c>
      <c r="J6" s="52" t="n">
        <v>166.689</v>
      </c>
      <c r="K6" s="52" t="n">
        <v>378.416</v>
      </c>
      <c r="L6" s="52" t="n">
        <v>445.875</v>
      </c>
      <c r="M6" s="52" t="n">
        <v>574.501</v>
      </c>
      <c r="N6" s="52">
        <f>N7-N5</f>
        <v>732.6845415618625</v>
      </c>
      <c r="O6" s="52">
        <f>O7-O5</f>
        <v>924.9232213830471</v>
      </c>
      <c r="P6" s="52">
        <f>P7-P5</f>
        <v>1133.619354699345</v>
      </c>
      <c r="Q6" s="52">
        <f>Q7-Q5</f>
        <v>1347.6955272812897</v>
      </c>
      <c r="R6" s="52">
        <f>R7-R5</f>
        <v>1552.5309474683165</v>
      </c>
      <c r="S6" s="52">
        <f>S7-S5</f>
        <v>1731.1754646984766</v>
      </c>
      <c r="T6" s="52">
        <f>T7-T5</f>
        <v>1866.319203125669</v>
      </c>
      <c r="U6" s="52">
        <f>U7-U5</f>
        <v>1942.7850577016493</v>
      </c>
      <c r="V6" s="52">
        <f>V7-V5</f>
        <v>1950.1134082610297</v>
      </c>
      <c r="W6" s="52">
        <f>W7-W5</f>
        <v>1884.683905426553</v>
      </c>
    </row>
    <row r="7">
      <c r="A7" s="2" t="inlineStr">
        <is>
          <t>Operating Expense</t>
        </is>
      </c>
      <c r="B7" s="52">
        <f>SUM(B5:B6)</f>
        <v>5.672</v>
      </c>
      <c r="C7" s="52">
        <f>SUM(C5:C6)</f>
        <v>9.196</v>
      </c>
      <c r="D7" s="52">
        <f>SUM(D5:D6)</f>
        <v>27.544</v>
      </c>
      <c r="E7" s="52">
        <f>SUM(E5:E6)</f>
        <v>27.165</v>
      </c>
      <c r="F7" s="52">
        <f>SUM(F5:F6)</f>
        <v>32.847</v>
      </c>
      <c r="G7" s="52">
        <f>SUM(G5:G6)</f>
        <v>67.245</v>
      </c>
      <c r="H7" s="52">
        <f>SUM(H5:H6)</f>
        <v>99.142</v>
      </c>
      <c r="I7" s="52">
        <f>SUM(I5:I6)</f>
        <v>124.707</v>
      </c>
      <c r="J7" s="52">
        <f>SUM(J5:J6)</f>
        <v>224.636</v>
      </c>
      <c r="K7" s="52">
        <f>SUM(K5:K6)</f>
        <v>476.36</v>
      </c>
      <c r="L7" s="52">
        <f>SUM(L5:L6)</f>
        <v>632.952</v>
      </c>
      <c r="M7" s="52">
        <f>SUM(M5:M6)</f>
        <v>757.78</v>
      </c>
      <c r="N7" s="52">
        <f>N4-N2*NPV!C6</f>
        <v>966.474794304</v>
      </c>
      <c r="O7" s="52">
        <f>O4-O2*NPV!D6</f>
        <v>1220.0543745984</v>
      </c>
      <c r="P7" s="52">
        <f>P4-P2*NPV!E6</f>
        <v>1495.3427710055996</v>
      </c>
      <c r="Q7" s="52">
        <f>Q4-Q2*NPV!F6</f>
        <v>1777.7279082987598</v>
      </c>
      <c r="R7" s="52">
        <f>R4-R2*NPV!G6</f>
        <v>2047.923687466451</v>
      </c>
      <c r="S7" s="52">
        <f>S4-S2*NPV!H6</f>
        <v>2283.571382005641</v>
      </c>
      <c r="T7" s="52">
        <f>T4-T2*NPV!I6</f>
        <v>2461.8377563984554</v>
      </c>
      <c r="U7" s="52">
        <f>U4-U2*NPV!J6</f>
        <v>2562.702885769225</v>
      </c>
      <c r="V7" s="52">
        <f>V4-V2*NPV!K6</f>
        <v>2572.3696191281224</v>
      </c>
      <c r="W7" s="52">
        <f>W4-W2*NPV!L6</f>
        <v>2486.0623999822624</v>
      </c>
    </row>
    <row r="8">
      <c r="A8" s="2" t="inlineStr">
        <is>
          <t>Operating Income</t>
        </is>
      </c>
      <c r="B8" s="52">
        <f>B4-B7</f>
        <v>-5.672</v>
      </c>
      <c r="C8" s="52">
        <f>C4-C7</f>
        <v>-9.196</v>
      </c>
      <c r="D8" s="52">
        <f>D4-D7</f>
        <v>-27.544</v>
      </c>
      <c r="E8" s="52">
        <f>E4-E7</f>
        <v>-27.165</v>
      </c>
      <c r="F8" s="52">
        <f>F4-F7</f>
        <v>-32.847</v>
      </c>
      <c r="G8" s="52">
        <f>G4-G7</f>
        <v>-67.245</v>
      </c>
      <c r="H8" s="52">
        <f>H4-H7</f>
        <v>-99.142</v>
      </c>
      <c r="I8" s="52">
        <f>I4-I7</f>
        <v>-124.707</v>
      </c>
      <c r="J8" s="52">
        <f>J4-J7</f>
        <v>-179.799</v>
      </c>
      <c r="K8" s="52">
        <f>K4-K7</f>
        <v>-231.825</v>
      </c>
      <c r="L8" s="52">
        <f>L4-L7</f>
        <v>-280.562</v>
      </c>
      <c r="M8" s="52">
        <f>M4-M7</f>
        <v>-166.76199999999994</v>
      </c>
      <c r="N8" s="52">
        <f>N4-N7</f>
        <v>-168.635732544</v>
      </c>
      <c r="O8" s="52">
        <f>O4-O7</f>
        <v>-171.78249623040006</v>
      </c>
      <c r="P8" s="52">
        <f>P4-P7</f>
        <v>-155.88425975759992</v>
      </c>
      <c r="Q8" s="52">
        <f>Q4-Q7</f>
        <v>-114.56692349916011</v>
      </c>
      <c r="R8" s="52">
        <f>R4-R7</f>
        <v>-42.89072245804505</v>
      </c>
      <c r="S8" s="52">
        <f>S4-S7</f>
        <v>61.20327985141148</v>
      </c>
      <c r="T8" s="52">
        <f>T4-T7</f>
        <v>195.57352703953757</v>
      </c>
      <c r="U8" s="52">
        <f>U4-U7</f>
        <v>353.06782800301744</v>
      </c>
      <c r="V8" s="52">
        <f>V4-V7</f>
        <v>521.5870827079789</v>
      </c>
      <c r="W8" s="52">
        <f>W4-W7</f>
        <v>685.2432193997415</v>
      </c>
    </row>
    <row r="9">
      <c r="A9" s="18" t="inlineStr">
        <is>
          <t>Interest &amp; Other</t>
        </is>
      </c>
      <c r="B9" s="52" t="n">
        <v>-0.329</v>
      </c>
      <c r="C9" s="52" t="n">
        <v>-3.014</v>
      </c>
      <c r="D9" s="52" t="n">
        <v>0.342</v>
      </c>
      <c r="E9" s="52" t="n">
        <v>-1.779</v>
      </c>
      <c r="F9" s="52" t="n">
        <v>1.881</v>
      </c>
      <c r="G9" s="52" t="n">
        <v>-1.1</v>
      </c>
      <c r="H9" s="52" t="n">
        <v>-3.759</v>
      </c>
      <c r="I9" s="52" t="n">
        <v>-5.696</v>
      </c>
      <c r="J9" s="52" t="n">
        <v>-7.335</v>
      </c>
      <c r="K9" s="52" t="n">
        <v>-6.453</v>
      </c>
      <c r="L9" s="52" t="n">
        <v>-6.569</v>
      </c>
      <c r="M9" s="52" t="n">
        <v>-16.942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</row>
    <row r="10">
      <c r="A10" s="2" t="inlineStr">
        <is>
          <t>Pretax</t>
        </is>
      </c>
      <c r="B10" s="52">
        <f>B8+B9</f>
        <v>-6.0009999999999994</v>
      </c>
      <c r="C10" s="52">
        <f>C8+C9</f>
        <v>-12.209999999999999</v>
      </c>
      <c r="D10" s="52">
        <f>D8+D9</f>
        <v>-27.202</v>
      </c>
      <c r="E10" s="52">
        <f>E8+E9</f>
        <v>-28.944</v>
      </c>
      <c r="F10" s="52">
        <f>F8+F9</f>
        <v>-30.966</v>
      </c>
      <c r="G10" s="52">
        <f>G8+G9</f>
        <v>-68.345</v>
      </c>
      <c r="H10" s="52">
        <f>H8+H9</f>
        <v>-102.901</v>
      </c>
      <c r="I10" s="52">
        <f>I8+I9</f>
        <v>-130.403</v>
      </c>
      <c r="J10" s="52">
        <f>J8+J9</f>
        <v>-187.13400000000001</v>
      </c>
      <c r="K10" s="52">
        <f>K8+K9</f>
        <v>-238.278</v>
      </c>
      <c r="L10" s="52">
        <f>L8+L9</f>
        <v>-287.13100000000003</v>
      </c>
      <c r="M10" s="52">
        <f>M8+M9</f>
        <v>-183.70399999999995</v>
      </c>
      <c r="N10" s="52">
        <f>N8+N9</f>
        <v>-168.635732544</v>
      </c>
      <c r="O10" s="52">
        <f>O8+O9</f>
        <v>-171.78249623040006</v>
      </c>
      <c r="P10" s="52">
        <f>P8+P9</f>
        <v>-155.88425975759992</v>
      </c>
      <c r="Q10" s="52">
        <f>Q8+Q9</f>
        <v>-114.56692349916011</v>
      </c>
      <c r="R10" s="52">
        <f>R8+R9</f>
        <v>-42.89072245804505</v>
      </c>
      <c r="S10" s="52">
        <f>S8+S9</f>
        <v>61.20327985141148</v>
      </c>
      <c r="T10" s="52">
        <f>T8+T9</f>
        <v>195.57352703953757</v>
      </c>
      <c r="U10" s="52">
        <f>U8+U9</f>
        <v>353.06782800301744</v>
      </c>
      <c r="V10" s="52">
        <f>V8+V9</f>
        <v>521.5870827079789</v>
      </c>
      <c r="W10" s="52">
        <f>W8+W9</f>
        <v>685.2432193997415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0.96</v>
      </c>
      <c r="L11" s="52" t="n">
        <v>0.08500000000000001</v>
      </c>
      <c r="M11" s="52" t="n">
        <v>-0.53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10.404557574739952</v>
      </c>
      <c r="T11" s="52">
        <f>MAX(0,T10)*Assumptions!$E$14</f>
        <v>33.24749959672139</v>
      </c>
      <c r="U11" s="52">
        <f>MAX(0,U10)*Assumptions!$E$14</f>
        <v>60.02153076051297</v>
      </c>
      <c r="V11" s="52">
        <f>MAX(0,V10)*Assumptions!$E$14</f>
        <v>88.66980406035641</v>
      </c>
      <c r="W11" s="52">
        <f>MAX(0,W10)*Assumptions!$E$14</f>
        <v>116.49134729795607</v>
      </c>
    </row>
    <row r="12">
      <c r="A12" s="2" t="inlineStr">
        <is>
          <t>Net Income</t>
        </is>
      </c>
      <c r="B12" s="52" t="n">
        <v>-6.001</v>
      </c>
      <c r="C12" s="52" t="n">
        <v>-12.211</v>
      </c>
      <c r="D12" s="52" t="n">
        <v>-27.202</v>
      </c>
      <c r="E12" s="52" t="n">
        <v>-28.943</v>
      </c>
      <c r="F12" s="52" t="n">
        <v>-30.965</v>
      </c>
      <c r="G12" s="52" t="n">
        <v>-68.345</v>
      </c>
      <c r="H12" s="52" t="n">
        <v>-102.901</v>
      </c>
      <c r="I12" s="52" t="n">
        <v>-130.403</v>
      </c>
      <c r="J12" s="52" t="n">
        <v>-187.134</v>
      </c>
      <c r="K12" s="52" t="n">
        <v>-239.238</v>
      </c>
      <c r="L12" s="52" t="n">
        <v>-287.216</v>
      </c>
      <c r="M12" s="52" t="n">
        <v>-183.174</v>
      </c>
      <c r="N12" s="52">
        <f>N10-N11</f>
        <v>-168.635732544</v>
      </c>
      <c r="O12" s="52">
        <f>O10-O11</f>
        <v>-171.78249623040006</v>
      </c>
      <c r="P12" s="52">
        <f>P10-P11</f>
        <v>-155.88425975759992</v>
      </c>
      <c r="Q12" s="52">
        <f>Q10-Q11</f>
        <v>-114.56692349916011</v>
      </c>
      <c r="R12" s="52">
        <f>R10-R11</f>
        <v>-42.89072245804505</v>
      </c>
      <c r="S12" s="52">
        <f>S10-S11</f>
        <v>50.798722276671526</v>
      </c>
      <c r="T12" s="52">
        <f>T10-T11</f>
        <v>162.32602744281618</v>
      </c>
      <c r="U12" s="52">
        <f>U10-U11</f>
        <v>293.04629724250447</v>
      </c>
      <c r="V12" s="52">
        <f>V10-V11</f>
        <v>432.9172786476225</v>
      </c>
      <c r="W12" s="52">
        <f>W10-W11</f>
        <v>568.7518721017855</v>
      </c>
    </row>
    <row r="13">
      <c r="A13" s="2" t="inlineStr">
        <is>
          <t>Earnings per Share</t>
        </is>
      </c>
      <c r="B13" s="11">
        <f>IFERROR(B12/B14,0)</f>
        <v>-0.6595230245081878</v>
      </c>
      <c r="C13" s="11">
        <f>IFERROR(C12/C14,0)</f>
        <v>-1.0222687316868984</v>
      </c>
      <c r="D13" s="11">
        <f>IFERROR(D12/D14,0)</f>
        <v>-1.4203958017858076</v>
      </c>
      <c r="E13" s="11">
        <f>IFERROR(E12/E14,0)</f>
        <v>-1.2713815066988798</v>
      </c>
      <c r="F13" s="11">
        <f>IFERROR(F12/F14,0)</f>
        <v>-1.1518003273322421</v>
      </c>
      <c r="G13" s="11">
        <f>IFERROR(G12/G14,0)</f>
        <v>-2.0089653145208697</v>
      </c>
      <c r="H13" s="11">
        <f>IFERROR(H12/H14,0)</f>
        <v>-2.7656354986964815</v>
      </c>
      <c r="I13" s="11">
        <f>IFERROR(I12/I14,0)</f>
        <v>-3.4664132486243653</v>
      </c>
      <c r="J13" s="11">
        <f>IFERROR(J12/J14,0)</f>
        <v>-4.602863046044864</v>
      </c>
      <c r="K13" s="11">
        <f>IFERROR(K12/K14,0)</f>
        <v>-5.266659328563566</v>
      </c>
      <c r="L13" s="11">
        <f>IFERROR(L12/L14,0)</f>
        <v>-5.994406645239387</v>
      </c>
      <c r="M13" s="11">
        <f>IFERROR(M12/M14,0)</f>
        <v>-3.6821114841095945</v>
      </c>
      <c r="N13" s="11">
        <f>IFERROR(N12/N14,0)</f>
        <v>-3.219417698746133</v>
      </c>
      <c r="O13" s="11">
        <f>IFERROR(O12/O14,0)</f>
        <v>-3.2794924323327685</v>
      </c>
      <c r="P13" s="11">
        <f>IFERROR(P12/P14,0)</f>
        <v>-2.9759798664770742</v>
      </c>
      <c r="Q13" s="11">
        <f>IFERROR(Q12/Q14,0)</f>
        <v>-2.1871923324901132</v>
      </c>
      <c r="R13" s="11">
        <f>IFERROR(R12/R14,0)</f>
        <v>-0.8188249839482279</v>
      </c>
      <c r="S13" s="11">
        <f>IFERROR(S12/S14,0)</f>
        <v>0.9697962768865414</v>
      </c>
      <c r="T13" s="11">
        <f>IFERROR(T12/T14,0)</f>
        <v>3.098959383238654</v>
      </c>
      <c r="U13" s="11">
        <f>IFERROR(U12/U14,0)</f>
        <v>5.5945345726083255</v>
      </c>
      <c r="V13" s="11">
        <f>IFERROR(V12/V14,0)</f>
        <v>8.26480561352865</v>
      </c>
      <c r="W13" s="11">
        <f>IFERROR(W12/W14,0)</f>
        <v>10.858018141331536</v>
      </c>
    </row>
    <row r="14">
      <c r="A14" s="2" t="inlineStr">
        <is>
          <t>Shares</t>
        </is>
      </c>
      <c r="B14" s="52" t="n">
        <v>9.099</v>
      </c>
      <c r="C14" s="52" t="n">
        <v>11.945</v>
      </c>
      <c r="D14" s="52" t="n">
        <v>19.151</v>
      </c>
      <c r="E14" s="52" t="n">
        <v>22.765</v>
      </c>
      <c r="F14" s="52" t="n">
        <v>26.884</v>
      </c>
      <c r="G14" s="52" t="n">
        <v>34.02</v>
      </c>
      <c r="H14" s="52" t="n">
        <v>37.207</v>
      </c>
      <c r="I14" s="52" t="n">
        <v>37.619</v>
      </c>
      <c r="J14" s="52" t="n">
        <v>40.656</v>
      </c>
      <c r="K14" s="52" t="n">
        <v>45.425</v>
      </c>
      <c r="L14" s="52" t="n">
        <v>47.914</v>
      </c>
      <c r="M14" s="52" t="n">
        <v>49.747</v>
      </c>
      <c r="N14" s="52">
        <f>Main!$C$4</f>
        <v>52.380818</v>
      </c>
      <c r="O14" s="52">
        <f>Main!$C$4</f>
        <v>52.380818</v>
      </c>
      <c r="P14" s="52">
        <f>Main!$C$4</f>
        <v>52.380818</v>
      </c>
      <c r="Q14" s="52">
        <f>Main!$C$4</f>
        <v>52.380818</v>
      </c>
      <c r="R14" s="52">
        <f>Main!$C$4</f>
        <v>52.380818</v>
      </c>
      <c r="S14" s="52">
        <f>Main!$C$4</f>
        <v>52.380818</v>
      </c>
      <c r="T14" s="52">
        <f>Main!$C$4</f>
        <v>52.380818</v>
      </c>
      <c r="U14" s="52">
        <f>Main!$C$4</f>
        <v>52.380818</v>
      </c>
      <c r="V14" s="52">
        <f>Main!$C$4</f>
        <v>52.380818</v>
      </c>
      <c r="W14" s="52">
        <f>Main!$C$4</f>
        <v>52.380818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4.40799808141975</v>
      </c>
      <c r="L16" s="15">
        <f>IFERROR(L2/K2-1,"")</f>
        <v>0.42532520325203227</v>
      </c>
      <c r="M16" s="15">
        <f>IFERROR(M2/L2-1,"")</f>
        <v>0.6554513563896676</v>
      </c>
      <c r="N16" s="15">
        <f>IFERROR(N2/M2-1,"")</f>
        <v>0.3500000000000001</v>
      </c>
      <c r="O16" s="15">
        <f>IFERROR(O2/N2-1,"")</f>
        <v>0.31388888888888866</v>
      </c>
      <c r="P16" s="15">
        <f>IFERROR(P2/O2-1,"")</f>
        <v>0.2777777777777777</v>
      </c>
      <c r="Q16" s="15">
        <f>IFERROR(Q2/P2-1,"")</f>
        <v>0.2416666666666667</v>
      </c>
      <c r="R16" s="15">
        <f>IFERROR(R2/Q2-1,"")</f>
        <v>0.2055555555555555</v>
      </c>
      <c r="S16" s="15">
        <f>IFERROR(S2/R2-1,"")</f>
        <v>0.1694444444444445</v>
      </c>
      <c r="T16" s="15">
        <f>IFERROR(T2/S2-1,"")</f>
        <v>0.1333333333333333</v>
      </c>
      <c r="U16" s="15">
        <f>IFERROR(U2/T2-1,"")</f>
        <v>0.09722222222222232</v>
      </c>
      <c r="V16" s="15">
        <f>IFERROR(V2/U2-1,"")</f>
        <v>0.061111111111111116</v>
      </c>
      <c r="W16" s="15">
        <f>IFERROR(W2/V2-1,"")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0.8960769030917121</v>
      </c>
      <c r="K17" s="15">
        <f>IFERROR(K4/K2,"")</f>
        <v>0.9036770140428677</v>
      </c>
      <c r="L17" s="15">
        <f>IFERROR(L4/L2,"")</f>
        <v>0.913654123875725</v>
      </c>
      <c r="M17" s="15">
        <f>IFERROR(M4/M2,"")</f>
        <v>0.9256408810705158</v>
      </c>
      <c r="N17" s="15">
        <f>IFERROR(N4/N2,"")</f>
        <v>0.9256000000000001</v>
      </c>
      <c r="O17" s="15">
        <f>IFERROR(O4/O2,"")</f>
        <v>0.9256000000000001</v>
      </c>
      <c r="P17" s="15">
        <f>IFERROR(P4/P2,"")</f>
        <v>0.9256</v>
      </c>
      <c r="Q17" s="15">
        <f>IFERROR(Q4/Q2,"")</f>
        <v>0.9256</v>
      </c>
      <c r="R17" s="15">
        <f>IFERROR(R4/R2,"")</f>
        <v>0.9256</v>
      </c>
      <c r="S17" s="15">
        <f>IFERROR(S4/S2,"")</f>
        <v>0.9256</v>
      </c>
      <c r="T17" s="15">
        <f>IFERROR(T4/T2,"")</f>
        <v>0.9256000000000001</v>
      </c>
      <c r="U17" s="15">
        <f>IFERROR(U4/U2,"")</f>
        <v>0.9256</v>
      </c>
      <c r="V17" s="15">
        <f>IFERROR(V4/V2,"")</f>
        <v>0.9255999999999999</v>
      </c>
      <c r="W17" s="15">
        <f>IFERROR(W4/W2,"")</f>
        <v>0.9256000000000001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-3.5933209425025483</v>
      </c>
      <c r="K18" s="15">
        <f>IFERROR(K8/K2,"")</f>
        <v>-0.8567073170731706</v>
      </c>
      <c r="L18" s="15">
        <f>IFERROR(L8/L2,"")</f>
        <v>-0.7274231059417724</v>
      </c>
      <c r="M18" s="15">
        <f>IFERROR(M8/M2,"")</f>
        <v>-0.26117939658196754</v>
      </c>
      <c r="N18" s="15">
        <f>IFERROR(N8/N2,"")</f>
        <v>-0.19564</v>
      </c>
      <c r="O18" s="15">
        <f>IFERROR(O8/O2,"")</f>
        <v>-0.15168000000000006</v>
      </c>
      <c r="P18" s="15">
        <f>IFERROR(P8/P2,"")</f>
        <v>-0.10771999999999997</v>
      </c>
      <c r="Q18" s="15">
        <f>IFERROR(Q8/Q2,"")</f>
        <v>-0.06376000000000008</v>
      </c>
      <c r="R18" s="15">
        <f>IFERROR(R8/R2,"")</f>
        <v>-0.01980000000000003</v>
      </c>
      <c r="S18" s="15">
        <f>IFERROR(S8/S2,"")</f>
        <v>0.024160000000000032</v>
      </c>
      <c r="T18" s="15">
        <f>IFERROR(T8/T2,"")</f>
        <v>0.06811999999999996</v>
      </c>
      <c r="U18" s="15">
        <f>IFERROR(U8/U2,"")</f>
        <v>0.11208</v>
      </c>
      <c r="V18" s="15">
        <f>IFERROR(V8/V2,"")</f>
        <v>0.15603999999999998</v>
      </c>
      <c r="W18" s="15">
        <f>IFERROR(W8/W2,"")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Axsome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-0.2396</v>
      </c>
    </row>
    <row r="19">
      <c r="A19" s="14" t="inlineStr">
        <is>
          <t>Gross margin (forecast)</t>
        </is>
      </c>
      <c r="B19" s="53" t="n">
        <v>0.9256</v>
      </c>
    </row>
    <row r="20">
      <c r="A20" s="14" t="inlineStr">
        <is>
          <t>R&amp;D share of operating expense (forecast)</t>
        </is>
      </c>
      <c r="B20" s="53" t="n">
        <v>0.2419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Model'!M2</f>
        <v>638.496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3179.0413950400252</v>
      </c>
      <c r="C29" s="56">
        <f>NPV!B26</f>
        <v>3310.933395040025</v>
      </c>
      <c r="D29" s="35">
        <f>NPV!B28</f>
        <v>63.20889061029985</v>
      </c>
      <c r="E29" s="57">
        <f>NPV!B30</f>
        <v>-0.6039046834797603</v>
      </c>
    </row>
    <row r="30">
      <c r="A30" s="58" t="n">
        <v>1</v>
      </c>
      <c r="B30" s="59">
        <f t="dataTable" ref="B30:E32" r1="B4"/>
        <v>1013.3991117741242</v>
      </c>
      <c r="C30" s="59">
        <v>1145.2911117741241</v>
      </c>
      <c r="D30" s="39">
        <v>21.864704590411783</v>
      </c>
      <c r="E30" s="60">
        <v>-0.862985934387694</v>
      </c>
    </row>
    <row r="31">
      <c r="A31" s="58" t="n">
        <v>2</v>
      </c>
      <c r="B31" s="59">
        <v>3179.0413950400252</v>
      </c>
      <c r="C31" s="59">
        <v>3310.933395040025</v>
      </c>
      <c r="D31" s="39">
        <v>63.20889061029985</v>
      </c>
      <c r="E31" s="60">
        <v>-0.6039046834797603</v>
      </c>
    </row>
    <row r="32">
      <c r="A32" s="58" t="n">
        <v>3</v>
      </c>
      <c r="B32" s="59">
        <v>7653.445354319193</v>
      </c>
      <c r="C32" s="59">
        <v>7785.337354319194</v>
      </c>
      <c r="D32" s="39">
        <v>148.62954897571845</v>
      </c>
      <c r="E32" s="60">
        <v>-0.06862044757664842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63.20889061029985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86.0632397612413</v>
      </c>
      <c r="C37" s="39">
        <v>95.85266743175559</v>
      </c>
      <c r="D37" s="39">
        <v>107.6256171927544</v>
      </c>
      <c r="E37" s="39">
        <v>122.04358674557682</v>
      </c>
      <c r="F37" s="39">
        <v>140.0988266402438</v>
      </c>
    </row>
    <row r="38">
      <c r="A38" s="62" t="n">
        <v>0.08500000000000001</v>
      </c>
      <c r="B38" s="39">
        <v>66.85745540030784</v>
      </c>
      <c r="C38" s="39">
        <v>73.57671970071772</v>
      </c>
      <c r="D38" s="39">
        <v>81.43594762071636</v>
      </c>
      <c r="E38" s="39">
        <v>90.7462853958989</v>
      </c>
      <c r="F38" s="39">
        <v>101.94334073643292</v>
      </c>
    </row>
    <row r="39">
      <c r="A39" s="62" t="n">
        <v>0.095</v>
      </c>
      <c r="B39" s="39">
        <v>52.86269179044897</v>
      </c>
      <c r="C39" s="39">
        <v>57.683354828312126</v>
      </c>
      <c r="D39" s="39">
        <v>63.20889061029985</v>
      </c>
      <c r="E39" s="39">
        <v>69.60215731314953</v>
      </c>
      <c r="F39" s="39">
        <v>77.08030148866668</v>
      </c>
    </row>
    <row r="40">
      <c r="A40" s="62" t="n">
        <v>0.105</v>
      </c>
      <c r="B40" s="39">
        <v>42.31249656538636</v>
      </c>
      <c r="C40" s="39">
        <v>45.88829421277522</v>
      </c>
      <c r="D40" s="39">
        <v>49.92443092555014</v>
      </c>
      <c r="E40" s="39">
        <v>54.5131326904367</v>
      </c>
      <c r="F40" s="39">
        <v>59.772977628977785</v>
      </c>
    </row>
    <row r="41">
      <c r="A41" s="62" t="n">
        <v>0.115</v>
      </c>
      <c r="B41" s="39">
        <v>34.14948071859171</v>
      </c>
      <c r="C41" s="39">
        <v>36.87171214838171</v>
      </c>
      <c r="D41" s="39">
        <v>39.90762206242593</v>
      </c>
      <c r="E41" s="39">
        <v>43.31269607938867</v>
      </c>
      <c r="F41" s="39">
        <v>47.15629273695668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Axsome Therapeutics, Inc.: free-cash-flow DCF ($mm)</t>
        </is>
      </c>
    </row>
    <row r="3">
      <c r="A3" s="20" t="inlineStr">
        <is>
          <t>Fiscal year</t>
        </is>
      </c>
      <c r="B3" s="43">
        <f>'Yearly Model'!M1</f>
        <v>2025</v>
      </c>
      <c r="C3" s="43">
        <f>'Yearly Model'!N1</f>
        <v>2026</v>
      </c>
      <c r="D3" s="43">
        <f>'Yearly Model'!O1</f>
        <v>2027</v>
      </c>
      <c r="E3" s="43">
        <f>'Yearly Model'!P1</f>
        <v>2028</v>
      </c>
      <c r="F3" s="43">
        <f>'Yearly Model'!Q1</f>
        <v>2029</v>
      </c>
      <c r="G3" s="43">
        <f>'Yearly Model'!R1</f>
        <v>2030</v>
      </c>
      <c r="H3" s="43">
        <f>'Yearly Model'!S1</f>
        <v>2031</v>
      </c>
      <c r="I3" s="43">
        <f>'Yearly Model'!T1</f>
        <v>2032</v>
      </c>
      <c r="J3" s="43">
        <f>'Yearly Model'!U1</f>
        <v>2033</v>
      </c>
      <c r="K3" s="43">
        <f>'Yearly Model'!V1</f>
        <v>2034</v>
      </c>
      <c r="L3" s="43">
        <f>'Yearly Model'!W1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-0.26117939658196754</v>
      </c>
      <c r="C6" s="63">
        <f>Assumptions!$B$18+(Assumptions!$E$13-Assumptions!$B$18)*C4/Assumptions!$B$21</f>
        <v>-0.19564</v>
      </c>
      <c r="D6" s="63">
        <f>Assumptions!$B$18+(Assumptions!$E$13-Assumptions!$B$18)*D4/Assumptions!$B$21</f>
        <v>-0.15168</v>
      </c>
      <c r="E6" s="63">
        <f>Assumptions!$B$18+(Assumptions!$E$13-Assumptions!$B$18)*E4/Assumptions!$B$21</f>
        <v>-0.10772000000000001</v>
      </c>
      <c r="F6" s="63">
        <f>Assumptions!$B$18+(Assumptions!$E$13-Assumptions!$B$18)*F4/Assumptions!$B$21</f>
        <v>-0.06376000000000001</v>
      </c>
      <c r="G6" s="63">
        <f>Assumptions!$B$18+(Assumptions!$E$13-Assumptions!$B$18)*G4/Assumptions!$B$21</f>
        <v>-0.019800000000000012</v>
      </c>
      <c r="H6" s="63">
        <f>Assumptions!$B$18+(Assumptions!$E$13-Assumptions!$B$18)*H4/Assumptions!$B$21</f>
        <v>0.024159999999999987</v>
      </c>
      <c r="I6" s="63">
        <f>Assumptions!$B$18+(Assumptions!$E$13-Assumptions!$B$18)*I4/Assumptions!$B$21</f>
        <v>0.06811999999999999</v>
      </c>
      <c r="J6" s="63">
        <f>Assumptions!$B$18+(Assumptions!$E$13-Assumptions!$B$18)*J4/Assumptions!$B$21</f>
        <v>0.11207999999999999</v>
      </c>
      <c r="K6" s="63">
        <f>Assumptions!$B$18+(Assumptions!$E$13-Assumptions!$B$18)*K4/Assumptions!$B$21</f>
        <v>0.15603999999999998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Model'!M2</f>
        <v>638.496</v>
      </c>
      <c r="C7" s="55">
        <f>'Yearly Model'!N2</f>
        <v>861.9696</v>
      </c>
      <c r="D7" s="55">
        <f>'Yearly Model'!O2</f>
        <v>1132.53228</v>
      </c>
      <c r="E7" s="55">
        <f>'Yearly Model'!P2</f>
        <v>1447.1245799999997</v>
      </c>
      <c r="F7" s="55">
        <f>'Yearly Model'!Q2</f>
        <v>1796.8463534999996</v>
      </c>
      <c r="G7" s="55">
        <f>'Yearly Model'!R2</f>
        <v>2166.198103941666</v>
      </c>
      <c r="H7" s="55">
        <f>'Yearly Model'!S2</f>
        <v>2533.2483382206706</v>
      </c>
      <c r="I7" s="55">
        <f>'Yearly Model'!T2</f>
        <v>2871.01478331676</v>
      </c>
      <c r="J7" s="55">
        <f>'Yearly Model'!U2</f>
        <v>3150.1412205836673</v>
      </c>
      <c r="K7" s="55">
        <f>'Yearly Model'!V2</f>
        <v>3342.649850730447</v>
      </c>
      <c r="L7" s="55">
        <f>'Yearly Model'!W2</f>
        <v>3426.2160969987076</v>
      </c>
    </row>
    <row r="8">
      <c r="A8" s="14" t="inlineStr">
        <is>
          <t>Operating income</t>
        </is>
      </c>
      <c r="B8" s="55">
        <f>'Yearly Model'!M8</f>
        <v>-166.76199999999994</v>
      </c>
      <c r="C8" s="55">
        <f>'Yearly Model'!N8</f>
        <v>-168.635732544</v>
      </c>
      <c r="D8" s="55">
        <f>'Yearly Model'!O8</f>
        <v>-171.78249623040006</v>
      </c>
      <c r="E8" s="55">
        <f>'Yearly Model'!P8</f>
        <v>-155.88425975759992</v>
      </c>
      <c r="F8" s="55">
        <f>'Yearly Model'!Q8</f>
        <v>-114.56692349916011</v>
      </c>
      <c r="G8" s="55">
        <f>'Yearly Model'!R8</f>
        <v>-42.89072245804505</v>
      </c>
      <c r="H8" s="55">
        <f>'Yearly Model'!S8</f>
        <v>61.20327985141148</v>
      </c>
      <c r="I8" s="55">
        <f>'Yearly Model'!T8</f>
        <v>195.57352703953757</v>
      </c>
      <c r="J8" s="55">
        <f>'Yearly Model'!U8</f>
        <v>353.06782800301744</v>
      </c>
      <c r="K8" s="55">
        <f>'Yearly Model'!V8</f>
        <v>521.5870827079789</v>
      </c>
      <c r="L8" s="55">
        <f>'Yearly Model'!W8</f>
        <v>685.2432193997415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10.404557574739952</v>
      </c>
      <c r="I9" s="52">
        <f>MAX(0,I8)*Assumptions!$E$14</f>
        <v>33.24749959672139</v>
      </c>
      <c r="J9" s="52">
        <f>MAX(0,J8)*Assumptions!$E$14</f>
        <v>60.02153076051297</v>
      </c>
      <c r="K9" s="52">
        <f>MAX(0,K8)*Assumptions!$E$14</f>
        <v>88.66980406035641</v>
      </c>
      <c r="L9" s="52">
        <f>MAX(0,L8)*Assumptions!$E$14</f>
        <v>116.49134729795607</v>
      </c>
    </row>
    <row r="10">
      <c r="A10" s="14" t="inlineStr">
        <is>
          <t>NOPAT</t>
        </is>
      </c>
      <c r="C10" s="52">
        <f>C8-C9</f>
        <v>-168.635732544</v>
      </c>
      <c r="D10" s="52">
        <f>D8-D9</f>
        <v>-171.78249623040006</v>
      </c>
      <c r="E10" s="52">
        <f>E8-E9</f>
        <v>-155.88425975759992</v>
      </c>
      <c r="F10" s="52">
        <f>F8-F9</f>
        <v>-114.56692349916011</v>
      </c>
      <c r="G10" s="52">
        <f>G8-G9</f>
        <v>-42.89072245804505</v>
      </c>
      <c r="H10" s="52">
        <f>H8-H9</f>
        <v>50.798722276671526</v>
      </c>
      <c r="I10" s="52">
        <f>I8-I9</f>
        <v>162.32602744281618</v>
      </c>
      <c r="J10" s="52">
        <f>J8-J9</f>
        <v>293.04629724250447</v>
      </c>
      <c r="K10" s="52">
        <f>K8-K9</f>
        <v>432.9172786476225</v>
      </c>
      <c r="L10" s="52">
        <f>L8-L9</f>
        <v>568.7518721017855</v>
      </c>
    </row>
    <row r="11">
      <c r="A11" s="14" t="inlineStr">
        <is>
          <t>Reinvestment</t>
        </is>
      </c>
      <c r="C11" s="52">
        <f>(C7-B7)*Assumptions!$E$15</f>
        <v>55.86840000000001</v>
      </c>
      <c r="D11" s="52">
        <f>(D7-C7)*Assumptions!$E$15</f>
        <v>67.64066999999997</v>
      </c>
      <c r="E11" s="52">
        <f>(E7-D7)*Assumptions!$E$15</f>
        <v>78.64807499999995</v>
      </c>
      <c r="F11" s="52">
        <f>(F7-E7)*Assumptions!$E$15</f>
        <v>87.43044337499998</v>
      </c>
      <c r="G11" s="52">
        <f>(G7-F7)*Assumptions!$E$15</f>
        <v>92.33793761041659</v>
      </c>
      <c r="H11" s="52">
        <f>(H7-G7)*Assumptions!$E$15</f>
        <v>91.76255856975115</v>
      </c>
      <c r="I11" s="52">
        <f>(I7-H7)*Assumptions!$E$15</f>
        <v>84.4416112740223</v>
      </c>
      <c r="J11" s="52">
        <f>(J7-I7)*Assumptions!$E$15</f>
        <v>69.78160931672687</v>
      </c>
      <c r="K11" s="52">
        <f>(K7-J7)*Assumptions!$E$15</f>
        <v>48.12715753669488</v>
      </c>
      <c r="L11" s="52">
        <f>(L7-K7)*Assumptions!$E$15</f>
        <v>20.891561567065196</v>
      </c>
    </row>
    <row r="12">
      <c r="A12" s="20" t="inlineStr">
        <is>
          <t>Free cash flow</t>
        </is>
      </c>
      <c r="C12" s="64">
        <f>C10-C11</f>
        <v>-224.50413254400002</v>
      </c>
      <c r="D12" s="64">
        <f>D10-D11</f>
        <v>-239.42316623040003</v>
      </c>
      <c r="E12" s="64">
        <f>E10-E11</f>
        <v>-234.53233475759987</v>
      </c>
      <c r="F12" s="64">
        <f>F10-F11</f>
        <v>-201.9973668741601</v>
      </c>
      <c r="G12" s="64">
        <f>G10-G11</f>
        <v>-135.22866006846164</v>
      </c>
      <c r="H12" s="64">
        <f>H10-H11</f>
        <v>-40.96383629307962</v>
      </c>
      <c r="I12" s="64">
        <f>I10-I11</f>
        <v>77.88441616879388</v>
      </c>
      <c r="J12" s="64">
        <f>J10-J11</f>
        <v>223.2646879257776</v>
      </c>
      <c r="K12" s="64">
        <f>K10-K11</f>
        <v>384.7901211109276</v>
      </c>
      <c r="L12" s="64">
        <f>L10-L11</f>
        <v>547.8603105347203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-110.6131368015822</v>
      </c>
      <c r="D16" s="64">
        <f>D12*D13*D15</f>
        <v>-218.56994990417746</v>
      </c>
      <c r="E16" s="64">
        <f>E12*E13*E15</f>
        <v>-195.52977058639726</v>
      </c>
      <c r="F16" s="64">
        <f>F12*F13*F15</f>
        <v>-153.79483583236112</v>
      </c>
      <c r="G16" s="64">
        <f>G12*G13*G15</f>
        <v>-94.02658655164431</v>
      </c>
      <c r="H16" s="64">
        <f>H12*H13*H15</f>
        <v>-26.011681526781302</v>
      </c>
      <c r="I16" s="64">
        <f>I12*I13*I15</f>
        <v>45.16523307824787</v>
      </c>
      <c r="J16" s="64">
        <f>J12*J13*J15</f>
        <v>118.23868943566738</v>
      </c>
      <c r="K16" s="64">
        <f>K12*K13*K15</f>
        <v>186.10128092848092</v>
      </c>
      <c r="L16" s="64">
        <f>L12*L13*L15</f>
        <v>241.98094523652063</v>
      </c>
    </row>
    <row r="19">
      <c r="A19" s="14" t="inlineStr">
        <is>
          <t>PV of forecast free cash flow</t>
        </is>
      </c>
      <c r="B19" s="52">
        <f>SUM(C16:L16)</f>
        <v>-207.0598125240268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561.5568182980882</v>
      </c>
    </row>
    <row r="21">
      <c r="A21" s="14" t="inlineStr">
        <is>
          <t>Terminal value</t>
        </is>
      </c>
      <c r="B21" s="52">
        <f>B20/(Assumptions!$E$10-Assumptions!$E$11)</f>
        <v>8022.240261401259</v>
      </c>
    </row>
    <row r="22">
      <c r="A22" s="14" t="inlineStr">
        <is>
          <t>PV of terminal value</t>
        </is>
      </c>
      <c r="B22" s="52">
        <f>B21/(1+Assumptions!$E$10)^(L14+0.5)</f>
        <v>3386.101207564052</v>
      </c>
    </row>
    <row r="23">
      <c r="A23" s="20" t="inlineStr">
        <is>
          <t>Enterprise value</t>
        </is>
      </c>
      <c r="B23" s="66">
        <f>B19+B22</f>
        <v>3179.0413950400252</v>
      </c>
    </row>
    <row r="24">
      <c r="A24" s="14" t="inlineStr">
        <is>
          <t>Cash &amp; investments</t>
        </is>
      </c>
      <c r="B24" s="55">
        <f>Main!C7</f>
        <v>319.85</v>
      </c>
    </row>
    <row r="25">
      <c r="A25" s="14" t="inlineStr">
        <is>
          <t>Debt</t>
        </is>
      </c>
      <c r="B25" s="55">
        <f>Main!C8</f>
        <v>187.958</v>
      </c>
    </row>
    <row r="26">
      <c r="A26" s="20" t="inlineStr">
        <is>
          <t>Equity value</t>
        </is>
      </c>
      <c r="B26" s="66">
        <f>B23+B24-B25</f>
        <v>3310.933395040025</v>
      </c>
    </row>
    <row r="27">
      <c r="A27" s="14" t="inlineStr">
        <is>
          <t>Shares (mm)</t>
        </is>
      </c>
      <c r="B27" s="55">
        <f>Main!C4</f>
        <v>52.380818</v>
      </c>
    </row>
    <row r="28">
      <c r="A28" s="20" t="inlineStr">
        <is>
          <t>NPV / share</t>
        </is>
      </c>
      <c r="B28" s="49">
        <f>B26/B27</f>
        <v>63.20889061029985</v>
      </c>
    </row>
    <row r="29">
      <c r="A29" s="14" t="inlineStr">
        <is>
          <t>Price</t>
        </is>
      </c>
      <c r="B29" s="50">
        <f>Main!C3</f>
        <v>159.58</v>
      </c>
    </row>
    <row r="30">
      <c r="A30" s="14" t="inlineStr">
        <is>
          <t>Upside</t>
        </is>
      </c>
      <c r="B30" s="63">
        <f>B28/B29-1</f>
        <v>-0.6039046834797603</v>
      </c>
    </row>
    <row r="31">
      <c r="A31" s="14" t="inlineStr">
        <is>
          <t>Terminal value, % of EV</t>
        </is>
      </c>
      <c r="B31" s="63">
        <f>IFERROR(B22/B23,0)</f>
        <v>1.0651327827461081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2026-10-21T06:21:27Z</dcterms:modified>
  <cp:lastModifiedBy>Wang, Eric</cp:lastModifiedBy>
</cp:coreProperties>
</file>