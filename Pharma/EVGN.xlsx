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Evogene Ltd</t>
        </is>
      </c>
      <c r="C2" s="10" t="n"/>
    </row>
    <row r="3">
      <c r="B3" t="inlineStr">
        <is>
          <t>Price</t>
        </is>
      </c>
      <c r="C3" s="11">
        <f>INDEX([1]Pharma!$F$1:$F$1000,MATCH("EVGN",[1]Pharma!$B$1:$B$1000,0))</f>
        <v>0.3716</v>
      </c>
      <c r="F3" s="1" t="n"/>
    </row>
    <row r="4">
      <c r="B4" t="inlineStr">
        <is>
          <t>Shares</t>
        </is>
      </c>
      <c r="C4" s="21" t="n">
        <v>8.718192999999999</v>
      </c>
      <c r="F4" s="1" t="n"/>
    </row>
    <row r="5">
      <c r="B5" t="inlineStr">
        <is>
          <t>Market Cap.</t>
        </is>
      </c>
      <c r="C5" s="13">
        <f>C3*C4</f>
        <v>3.2396805187999997</v>
      </c>
      <c r="F5" s="1" t="n"/>
    </row>
    <row r="6"/>
    <row r="7">
      <c r="B7" t="inlineStr">
        <is>
          <t>Cash</t>
        </is>
      </c>
      <c r="C7" s="21" t="n">
        <v>12.956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-9.7163194812</v>
      </c>
    </row>
    <row r="10"/>
    <row r="11">
      <c r="B11" s="14" t="inlineStr">
        <is>
          <t>Net Cash / Share</t>
        </is>
      </c>
      <c r="C11" s="11">
        <f>(C7-C8)/C4</f>
        <v>1.4860877707112012</v>
      </c>
    </row>
    <row r="12">
      <c r="B12" s="14" t="inlineStr">
        <is>
          <t>Upside</t>
        </is>
      </c>
      <c r="C12" s="15">
        <f>IFERROR(C11/C3-1,"")</f>
        <v>2.9991597704822426</v>
      </c>
    </row>
    <row r="13">
      <c r="B13" s="14" t="inlineStr">
        <is>
          <t>Cash / Share</t>
        </is>
      </c>
      <c r="C13" s="11">
        <f>IFERROR((C7-C8)/C4,"")</f>
        <v>1.4860877707112012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-13.502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0.9595615464375647</v>
      </c>
    </row>
    <row r="19">
      <c r="B19" s="14" t="inlineStr">
        <is>
          <t>Implied Pipeline Value</t>
        </is>
      </c>
      <c r="C19" s="13">
        <f>C9</f>
        <v>-9.7163194812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11.129</v>
      </c>
      <c r="C2" s="23" t="n">
        <v>6.54</v>
      </c>
      <c r="D2" s="23" t="n">
        <v>3.381</v>
      </c>
      <c r="E2" s="23" t="n">
        <v>1.747</v>
      </c>
      <c r="F2" s="23" t="n">
        <v>0.753</v>
      </c>
      <c r="G2" s="23" t="n">
        <v>1.04</v>
      </c>
      <c r="H2" s="23" t="n">
        <v>0.93</v>
      </c>
      <c r="I2" s="23" t="n">
        <v>1.675</v>
      </c>
      <c r="J2" s="23" t="n">
        <v>2.982</v>
      </c>
      <c r="K2" s="23" t="n">
        <v>5.577</v>
      </c>
      <c r="L2" s="23" t="n">
        <v>3.853</v>
      </c>
    </row>
    <row r="3" customFormat="1" s="1">
      <c r="A3" s="5" t="inlineStr">
        <is>
          <t>Cost of Sales</t>
        </is>
      </c>
      <c r="B3" s="23" t="n">
        <v>8.255000000000001</v>
      </c>
      <c r="C3" s="23" t="n">
        <v>5.639</v>
      </c>
      <c r="D3" s="23" t="n">
        <v>2.845</v>
      </c>
      <c r="E3" s="23" t="n">
        <v>1.452</v>
      </c>
      <c r="F3" s="23" t="n">
        <v>0.334</v>
      </c>
      <c r="G3" s="23" t="n">
        <v>0.574</v>
      </c>
      <c r="H3" s="23" t="n">
        <v>0.767</v>
      </c>
      <c r="I3" s="23" t="n">
        <v>0.909</v>
      </c>
      <c r="J3" s="23" t="n">
        <v>1.49</v>
      </c>
      <c r="K3" s="23" t="n">
        <v>2.38</v>
      </c>
      <c r="L3" s="23" t="n">
        <v>4.094</v>
      </c>
    </row>
    <row r="4" customFormat="1" s="1">
      <c r="A4" s="5" t="inlineStr">
        <is>
          <t>Gross Margin</t>
        </is>
      </c>
      <c r="B4" s="23">
        <f>B2-B3</f>
        <v>2.8739999999999988</v>
      </c>
      <c r="C4" s="23">
        <f>C2-C3</f>
        <v>0.9009999999999998</v>
      </c>
      <c r="D4" s="23">
        <f>D2-D3</f>
        <v>0.5359999999999996</v>
      </c>
      <c r="E4" s="23">
        <f>E2-E3</f>
        <v>0.29500000000000015</v>
      </c>
      <c r="F4" s="23">
        <f>F2-F3</f>
        <v>0.419</v>
      </c>
      <c r="G4" s="23">
        <f>G2-G3</f>
        <v>0.4660000000000001</v>
      </c>
      <c r="H4" s="23">
        <f>H2-H3</f>
        <v>0.16300000000000003</v>
      </c>
      <c r="I4" s="23">
        <f>I2-I3</f>
        <v>0.766</v>
      </c>
      <c r="J4" s="23">
        <f>J2-J3</f>
        <v>1.4920000000000002</v>
      </c>
      <c r="K4" s="23">
        <f>K2-K3</f>
        <v>3.197</v>
      </c>
      <c r="L4" s="23">
        <f>L2-L3</f>
        <v>-0.2410000000000001</v>
      </c>
    </row>
    <row r="5">
      <c r="A5" s="2" t="inlineStr">
        <is>
          <t>Research &amp; Dev.</t>
        </is>
      </c>
      <c r="B5" s="23" t="n">
        <v>14.449</v>
      </c>
      <c r="C5" s="23" t="n">
        <v>16.405</v>
      </c>
      <c r="D5" s="23" t="n">
        <v>16.987</v>
      </c>
      <c r="E5" s="23" t="n">
        <v>14.686</v>
      </c>
      <c r="F5" s="23" t="n">
        <v>15.791</v>
      </c>
      <c r="G5" s="23" t="n">
        <v>17.287</v>
      </c>
      <c r="H5" s="23" t="n">
        <v>21.125</v>
      </c>
      <c r="I5" s="23" t="n">
        <v>20.792</v>
      </c>
      <c r="J5" s="23" t="n">
        <v>16.196</v>
      </c>
      <c r="K5" s="23" t="n">
        <v>12.511</v>
      </c>
      <c r="L5" s="23" t="n">
        <v>7.994</v>
      </c>
    </row>
    <row r="6">
      <c r="A6" s="19" t="inlineStr">
        <is>
          <t>SG&amp;A &amp; Other</t>
        </is>
      </c>
      <c r="B6" s="23" t="n">
        <v>6.346</v>
      </c>
      <c r="C6" s="23" t="n">
        <v>5.585</v>
      </c>
      <c r="D6" s="23" t="n">
        <v>5.496</v>
      </c>
      <c r="E6" s="23" t="n">
        <v>5.598</v>
      </c>
      <c r="F6" s="23" t="n">
        <v>5.794</v>
      </c>
      <c r="G6" s="23" t="n">
        <v>7.993</v>
      </c>
      <c r="H6" s="23" t="n">
        <v>9.991</v>
      </c>
      <c r="I6" s="23" t="n">
        <v>6.915</v>
      </c>
      <c r="J6" s="23" t="n">
        <v>7.527</v>
      </c>
      <c r="K6" s="23" t="n">
        <v>9.49</v>
      </c>
      <c r="L6" s="23" t="n">
        <v>5.799</v>
      </c>
    </row>
    <row r="7">
      <c r="A7" s="2" t="inlineStr">
        <is>
          <t>Operating Expense</t>
        </is>
      </c>
      <c r="B7" s="23">
        <f>SUM(B5:B6)</f>
        <v>20.795</v>
      </c>
      <c r="C7" s="23">
        <f>SUM(C5:C6)</f>
        <v>21.990000000000002</v>
      </c>
      <c r="D7" s="23">
        <f>SUM(D5:D6)</f>
        <v>22.482999999999997</v>
      </c>
      <c r="E7" s="23">
        <f>SUM(E5:E6)</f>
        <v>20.284</v>
      </c>
      <c r="F7" s="23">
        <f>SUM(F5:F6)</f>
        <v>21.585</v>
      </c>
      <c r="G7" s="23">
        <f>SUM(G5:G6)</f>
        <v>25.28</v>
      </c>
      <c r="H7" s="23">
        <f>SUM(H5:H6)</f>
        <v>31.116</v>
      </c>
      <c r="I7" s="23">
        <f>SUM(I5:I6)</f>
        <v>27.707</v>
      </c>
      <c r="J7" s="23">
        <f>SUM(J5:J6)</f>
        <v>23.723000000000003</v>
      </c>
      <c r="K7" s="23">
        <f>SUM(K5:K6)</f>
        <v>22.000999999999998</v>
      </c>
      <c r="L7" s="23">
        <f>SUM(L5:L6)</f>
        <v>13.793</v>
      </c>
    </row>
    <row r="8">
      <c r="A8" s="2" t="inlineStr">
        <is>
          <t>Operating Income</t>
        </is>
      </c>
      <c r="B8" s="23">
        <f>B4-B7</f>
        <v>-17.921000000000003</v>
      </c>
      <c r="C8" s="23">
        <f>C4-C7</f>
        <v>-21.089000000000002</v>
      </c>
      <c r="D8" s="23">
        <f>D4-D7</f>
        <v>-21.946999999999996</v>
      </c>
      <c r="E8" s="23">
        <f>E4-E7</f>
        <v>-19.988999999999997</v>
      </c>
      <c r="F8" s="23">
        <f>F4-F7</f>
        <v>-21.166</v>
      </c>
      <c r="G8" s="23">
        <f>G4-G7</f>
        <v>-24.814</v>
      </c>
      <c r="H8" s="23">
        <f>H4-H7</f>
        <v>-30.953</v>
      </c>
      <c r="I8" s="23">
        <f>I4-I7</f>
        <v>-26.941000000000003</v>
      </c>
      <c r="J8" s="23">
        <f>J4-J7</f>
        <v>-22.231</v>
      </c>
      <c r="K8" s="23">
        <f>K4-K7</f>
        <v>-18.804</v>
      </c>
      <c r="L8" s="23">
        <f>L4-L7</f>
        <v>-14.033999999999999</v>
      </c>
    </row>
    <row r="9">
      <c r="A9" s="19" t="inlineStr">
        <is>
          <t>Interest &amp; Other</t>
        </is>
      </c>
      <c r="B9" s="23" t="n">
        <v>0.708</v>
      </c>
      <c r="C9" s="23" t="n">
        <v>1.533</v>
      </c>
      <c r="D9" s="23" t="n">
        <v>1.12</v>
      </c>
      <c r="E9" s="23" t="n">
        <v>-0.739</v>
      </c>
      <c r="F9" s="23" t="n">
        <v>3.078</v>
      </c>
      <c r="G9" s="23" t="n">
        <v>1.472</v>
      </c>
      <c r="H9" s="23" t="n">
        <v>3.173</v>
      </c>
      <c r="I9" s="23" t="n">
        <v>0.393</v>
      </c>
      <c r="J9" s="23" t="n">
        <v>-1.629</v>
      </c>
      <c r="K9" s="23" t="n">
        <v>2.328</v>
      </c>
      <c r="L9" s="23" t="n">
        <v>5.55</v>
      </c>
    </row>
    <row r="10">
      <c r="A10" s="2" t="inlineStr">
        <is>
          <t>Pretax</t>
        </is>
      </c>
      <c r="B10" s="23">
        <f>B8+B9</f>
        <v>-17.213000000000005</v>
      </c>
      <c r="C10" s="23">
        <f>C8+C9</f>
        <v>-19.556</v>
      </c>
      <c r="D10" s="23">
        <f>D8+D9</f>
        <v>-20.826999999999995</v>
      </c>
      <c r="E10" s="23">
        <f>E8+E9</f>
        <v>-20.727999999999998</v>
      </c>
      <c r="F10" s="23">
        <f>F8+F9</f>
        <v>-18.088</v>
      </c>
      <c r="G10" s="23">
        <f>G8+G9</f>
        <v>-23.342</v>
      </c>
      <c r="H10" s="23">
        <f>H8+H9</f>
        <v>-27.78</v>
      </c>
      <c r="I10" s="23">
        <f>I8+I9</f>
        <v>-26.548000000000002</v>
      </c>
      <c r="J10" s="23">
        <f>J8+J9</f>
        <v>-23.860000000000003</v>
      </c>
      <c r="K10" s="23">
        <f>K8+K9</f>
        <v>-16.476</v>
      </c>
      <c r="L10" s="23">
        <f>L8+L9</f>
        <v>-8.483999999999998</v>
      </c>
    </row>
    <row r="11">
      <c r="A11" s="2" t="inlineStr">
        <is>
          <t>Taxes</t>
        </is>
      </c>
      <c r="B11" s="23" t="n">
        <v>0</v>
      </c>
      <c r="C11" s="23" t="n">
        <v>0.036</v>
      </c>
      <c r="D11" s="23" t="n">
        <v>0.011</v>
      </c>
      <c r="E11" s="23" t="n">
        <v>0.03</v>
      </c>
      <c r="F11" s="23" t="n">
        <v>0.024</v>
      </c>
      <c r="G11" s="23" t="n">
        <v>0.032</v>
      </c>
      <c r="H11" s="23" t="n">
        <v>0.013</v>
      </c>
      <c r="I11" s="23" t="n">
        <v>0.09</v>
      </c>
      <c r="J11" s="23" t="n">
        <v>0.019</v>
      </c>
      <c r="K11" s="23" t="n">
        <v>0.008999999999999999</v>
      </c>
      <c r="L11" s="23" t="n">
        <v>0.001</v>
      </c>
    </row>
    <row r="12">
      <c r="A12" s="2" t="inlineStr">
        <is>
          <t>Net Income</t>
        </is>
      </c>
      <c r="B12" s="23" t="n">
        <v>-17.213</v>
      </c>
      <c r="C12" s="23" t="n">
        <v>-19.592</v>
      </c>
      <c r="D12" s="23" t="n">
        <v>-20.838</v>
      </c>
      <c r="E12" s="23" t="n">
        <v>-20.758</v>
      </c>
      <c r="F12" s="23" t="n">
        <v>-18.112</v>
      </c>
      <c r="G12" s="23" t="n">
        <v>-23.374</v>
      </c>
      <c r="H12" s="23" t="n">
        <v>-27.793</v>
      </c>
      <c r="I12" s="23" t="n">
        <v>-26.638</v>
      </c>
      <c r="J12" s="23" t="n">
        <v>-23.879</v>
      </c>
      <c r="K12" s="23" t="n">
        <v>-16.485</v>
      </c>
      <c r="L12" s="23" t="n">
        <v>-8.484999999999999</v>
      </c>
    </row>
    <row r="13">
      <c r="A13" s="2" t="inlineStr">
        <is>
          <t>Earnings per Share</t>
        </is>
      </c>
      <c r="B13" s="11">
        <f>IFERROR(B12/B14,0)</f>
        <v>-0.6782646386634092</v>
      </c>
      <c r="C13" s="11">
        <f>IFERROR(C12/C14,0)</f>
        <v>-0.769974454706229</v>
      </c>
      <c r="D13" s="11">
        <f>IFERROR(D12/D14,0)</f>
        <v>-0.8116698476999183</v>
      </c>
      <c r="E13" s="11">
        <f>IFERROR(E12/E14,0)</f>
        <v>-0.8060420145225798</v>
      </c>
      <c r="F13" s="11">
        <f>IFERROR(F12/F14,0)</f>
        <v>-0.7032693950454297</v>
      </c>
      <c r="G13" s="11">
        <f>IFERROR(G12/G14,0)</f>
        <v>-0.8300720906282183</v>
      </c>
      <c r="H13" s="11">
        <f>IFERROR(H12/H14,0)</f>
        <v>-0.6873840674696411</v>
      </c>
      <c r="I13" s="11">
        <f>IFERROR(I12/I14,0)</f>
        <v>-6.431192660550459</v>
      </c>
      <c r="J13" s="11">
        <f>IFERROR(J12/J14,0)</f>
        <v>-5.203530180867292</v>
      </c>
      <c r="K13" s="11">
        <f>IFERROR(K12/K14,0)</f>
        <v>-2.8936282253817796</v>
      </c>
      <c r="L13" s="11">
        <f>IFERROR(L12/L14,0)</f>
        <v>-1.0775971551943104</v>
      </c>
    </row>
    <row r="14">
      <c r="A14" s="2" t="inlineStr">
        <is>
          <t>Shares</t>
        </is>
      </c>
      <c r="B14" s="23" t="n">
        <v>25.378</v>
      </c>
      <c r="C14" s="23" t="n">
        <v>25.445</v>
      </c>
      <c r="D14" s="23" t="n">
        <v>25.673</v>
      </c>
      <c r="E14" s="23" t="n">
        <v>25.753</v>
      </c>
      <c r="F14" s="23" t="n">
        <v>25.754</v>
      </c>
      <c r="G14" s="23" t="n">
        <v>28.159</v>
      </c>
      <c r="H14" s="23" t="n">
        <v>40.433</v>
      </c>
      <c r="I14" s="23" t="n">
        <v>4.142</v>
      </c>
      <c r="J14" s="23" t="n">
        <v>4.589</v>
      </c>
      <c r="K14" s="23" t="n">
        <v>5.697</v>
      </c>
      <c r="L14" s="23" t="n">
        <v>7.874</v>
      </c>
    </row>
    <row r="15"/>
    <row r="16" customFormat="1" s="4">
      <c r="A16" s="3" t="inlineStr">
        <is>
          <t>Revenue Change</t>
        </is>
      </c>
      <c r="C16" s="15">
        <f>IFERROR(C2/B2-1,"")</f>
        <v>-0.4123461227423847</v>
      </c>
      <c r="D16" s="15">
        <f>IFERROR(D2/C2-1,"")</f>
        <v>-0.4830275229357799</v>
      </c>
      <c r="E16" s="15">
        <f>IFERROR(E2/D2-1,"")</f>
        <v>-0.4832889677610174</v>
      </c>
      <c r="F16" s="15">
        <f>IFERROR(F2/E2-1,"")</f>
        <v>-0.5689753863766457</v>
      </c>
      <c r="G16" s="15">
        <f>IFERROR(G2/F2-1,"")</f>
        <v>0.3811420982735725</v>
      </c>
      <c r="H16" s="15">
        <f>IFERROR(H2/G2-1,"")</f>
        <v>-0.10576923076923073</v>
      </c>
      <c r="I16" s="15">
        <f>IFERROR(I2/H2-1,"")</f>
        <v>0.8010752688172043</v>
      </c>
      <c r="J16" s="15">
        <f>IFERROR(J2/I2-1,"")</f>
        <v>0.7802985074626867</v>
      </c>
      <c r="K16" s="15">
        <f>IFERROR(K2/J2-1,"")</f>
        <v>0.8702213279678066</v>
      </c>
      <c r="L16" s="15">
        <f>IFERROR(L2/K2-1,"")</f>
        <v>-0.3091267706652322</v>
      </c>
    </row>
    <row r="17" customFormat="1" s="4">
      <c r="A17" s="3" t="inlineStr">
        <is>
          <t>Gross Margin</t>
        </is>
      </c>
      <c r="B17" s="15">
        <f>IFERROR(B4/B2,"")</f>
        <v>0.2582442267948602</v>
      </c>
      <c r="C17" s="15">
        <f>IFERROR(C4/C2,"")</f>
        <v>0.1377675840978593</v>
      </c>
      <c r="D17" s="15">
        <f>IFERROR(D4/D2,"")</f>
        <v>0.1585329784087547</v>
      </c>
      <c r="E17" s="15">
        <f>IFERROR(E4/E2,"")</f>
        <v>0.16886090440755588</v>
      </c>
      <c r="F17" s="15">
        <f>IFERROR(F4/F2,"")</f>
        <v>0.5564409030544488</v>
      </c>
      <c r="G17" s="15">
        <f>IFERROR(G4/G2,"")</f>
        <v>0.44807692307692315</v>
      </c>
      <c r="H17" s="15">
        <f>IFERROR(H4/H2,"")</f>
        <v>0.1752688172043011</v>
      </c>
      <c r="I17" s="15">
        <f>IFERROR(I4/I2,"")</f>
        <v>0.4573134328358209</v>
      </c>
      <c r="J17" s="15">
        <f>IFERROR(J4/J2,"")</f>
        <v>0.500335345405768</v>
      </c>
      <c r="K17" s="15">
        <f>IFERROR(K4/K2,"")</f>
        <v>0.5732472655549579</v>
      </c>
      <c r="L17" s="15">
        <f>IFERROR(L4/L2,"")</f>
        <v>-0.06254866337918508</v>
      </c>
    </row>
    <row r="18">
      <c r="A18" s="14" t="inlineStr">
        <is>
          <t>Operating Margin</t>
        </is>
      </c>
      <c r="B18" s="15">
        <f>IFERROR(B8/B2,"")</f>
        <v>-1.6102974211519456</v>
      </c>
      <c r="C18" s="15">
        <f>IFERROR(C8/C2,"")</f>
        <v>-3.2246177370030584</v>
      </c>
      <c r="D18" s="15">
        <f>IFERROR(D8/D2,"")</f>
        <v>-6.491274770777875</v>
      </c>
      <c r="E18" s="15">
        <f>IFERROR(E8/E2,"")</f>
        <v>-11.44190040068689</v>
      </c>
      <c r="F18" s="15">
        <f>IFERROR(F8/F2,"")</f>
        <v>-28.10889774236388</v>
      </c>
      <c r="G18" s="15">
        <f>IFERROR(G8/G2,"")</f>
        <v>-23.859615384615385</v>
      </c>
      <c r="H18" s="15">
        <f>IFERROR(H8/H2,"")</f>
        <v>-33.28279569892473</v>
      </c>
      <c r="I18" s="15">
        <f>IFERROR(I8/I2,"")</f>
        <v>-16.084179104477613</v>
      </c>
      <c r="J18" s="15">
        <f>IFERROR(J8/J2,"")</f>
        <v>-7.455063715627096</v>
      </c>
      <c r="K18" s="15">
        <f>IFERROR(K8/K2,"")</f>
        <v>-3.3717052178590636</v>
      </c>
      <c r="L18" s="15">
        <f>IFERROR(L8/L2,"")</f>
        <v>-3.6423566052426675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2026-10-21T01:06:49Z</dcterms:modified>
  <cp:lastModifiedBy>Wang, Eric</cp:lastModifiedBy>
</cp:coreProperties>
</file>