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Grace Therapeutics, Inc</t>
        </is>
      </c>
      <c r="C2" s="10" t="n"/>
    </row>
    <row r="3">
      <c r="B3" t="inlineStr">
        <is>
          <t>Price</t>
        </is>
      </c>
      <c r="C3" s="11">
        <f>INDEX([1]Pharma!$F$1:$F$1000,MATCH("GRCE",[1]Pharma!$B$1:$B$1000,0))</f>
        <v>1.98</v>
      </c>
      <c r="F3" s="1" t="n"/>
    </row>
    <row r="4">
      <c r="B4" t="inlineStr">
        <is>
          <t>Shares</t>
        </is>
      </c>
      <c r="C4" s="21" t="n">
        <v>21.03593</v>
      </c>
      <c r="F4" s="1" t="n"/>
    </row>
    <row r="5">
      <c r="B5" t="inlineStr">
        <is>
          <t>Market Cap.</t>
        </is>
      </c>
      <c r="C5" s="13">
        <f>C3*C4</f>
        <v>41.6511414</v>
      </c>
      <c r="F5" s="1" t="n"/>
    </row>
    <row r="6"/>
    <row r="7">
      <c r="B7" t="inlineStr">
        <is>
          <t>Cash</t>
        </is>
      </c>
      <c r="C7" s="21" t="n">
        <v>13.756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27.8951414</v>
      </c>
    </row>
    <row r="10"/>
    <row r="11">
      <c r="B11" s="14" t="inlineStr">
        <is>
          <t>Net Cash / Share</t>
        </is>
      </c>
      <c r="C11" s="11">
        <f>(C7-C8)/C4</f>
        <v>0.6539287780478448</v>
      </c>
    </row>
    <row r="12">
      <c r="B12" s="14" t="inlineStr">
        <is>
          <t>Upside</t>
        </is>
      </c>
      <c r="C12" s="15">
        <f>IFERROR(C11/C3-1,"")</f>
        <v>-0.6697329403798764</v>
      </c>
    </row>
    <row r="13">
      <c r="B13" s="14" t="inlineStr">
        <is>
          <t>Cash / Share</t>
        </is>
      </c>
      <c r="C13" s="11">
        <f>IFERROR((C7-C8)/C4,"")</f>
        <v>0.6539287780478448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-10.289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1.3369618038682087</v>
      </c>
    </row>
    <row r="19">
      <c r="B19" s="14" t="inlineStr">
        <is>
          <t>Implied Pipeline Value</t>
        </is>
      </c>
      <c r="C19" s="13">
        <f>C9</f>
        <v>27.8951414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17" t="n">
        <v>2026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0.196</v>
      </c>
      <c r="H2" s="23" t="n">
        <v>100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0.076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0.12000000000000001</v>
      </c>
      <c r="H4" s="23">
        <f>H2-H3</f>
        <v>100.0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5.343</v>
      </c>
      <c r="C5" s="23" t="n">
        <v>5.103</v>
      </c>
      <c r="D5" s="23" t="n">
        <v>11.065</v>
      </c>
      <c r="E5" s="23" t="n">
        <v>29.373</v>
      </c>
      <c r="F5" s="23" t="n">
        <v>15.974</v>
      </c>
      <c r="G5" s="23" t="n">
        <v>4.173</v>
      </c>
      <c r="H5" s="23" t="n">
        <v>5.559</v>
      </c>
      <c r="I5" s="23" t="n">
        <v>9.972</v>
      </c>
      <c r="J5" s="23" t="n">
        <v>4.683</v>
      </c>
      <c r="K5" s="23" t="n">
        <v>9.510999999999999</v>
      </c>
      <c r="L5" s="23" t="n">
        <v>2.405</v>
      </c>
    </row>
    <row r="6">
      <c r="A6" s="19" t="inlineStr">
        <is>
          <t>SG&amp;A &amp; Other</t>
        </is>
      </c>
      <c r="B6" s="23" t="n">
        <v>1.445</v>
      </c>
      <c r="C6" s="23" t="n">
        <v>2.306</v>
      </c>
      <c r="D6" s="23" t="n">
        <v>2.844</v>
      </c>
      <c r="E6" s="23" t="n">
        <v>5.033</v>
      </c>
      <c r="F6" s="23" t="n">
        <v>8.464</v>
      </c>
      <c r="G6" s="23" t="n">
        <v>12.366</v>
      </c>
      <c r="H6" s="23" t="n">
        <v>110.03</v>
      </c>
      <c r="I6" s="23" t="n">
        <v>42.183</v>
      </c>
      <c r="J6" s="23" t="n">
        <v>8.169</v>
      </c>
      <c r="K6" s="23" t="n">
        <v>7.168</v>
      </c>
      <c r="L6" s="23" t="n">
        <v>8.672000000000001</v>
      </c>
    </row>
    <row r="7">
      <c r="A7" s="2" t="inlineStr">
        <is>
          <t>Operating Expense</t>
        </is>
      </c>
      <c r="B7" s="23">
        <f>SUM(B5:B6)</f>
        <v>6.788</v>
      </c>
      <c r="C7" s="23">
        <f>SUM(C5:C6)</f>
        <v>7.409</v>
      </c>
      <c r="D7" s="23">
        <f>SUM(D5:D6)</f>
        <v>13.908999999999999</v>
      </c>
      <c r="E7" s="23">
        <f>SUM(E5:E6)</f>
        <v>34.406</v>
      </c>
      <c r="F7" s="23">
        <f>SUM(F5:F6)</f>
        <v>24.438000000000002</v>
      </c>
      <c r="G7" s="23">
        <f>SUM(G5:G6)</f>
        <v>16.539</v>
      </c>
      <c r="H7" s="23">
        <f>SUM(H5:H6)</f>
        <v>115.589</v>
      </c>
      <c r="I7" s="23">
        <f>SUM(I5:I6)</f>
        <v>52.155</v>
      </c>
      <c r="J7" s="23">
        <f>SUM(J5:J6)</f>
        <v>12.852</v>
      </c>
      <c r="K7" s="23">
        <f>SUM(K5:K6)</f>
        <v>16.679</v>
      </c>
      <c r="L7" s="23">
        <f>SUM(L5:L6)</f>
        <v>11.077</v>
      </c>
    </row>
    <row r="8">
      <c r="A8" s="2" t="inlineStr">
        <is>
          <t>Operating Income</t>
        </is>
      </c>
      <c r="B8" s="23">
        <f>B4-B7</f>
        <v>-6.788</v>
      </c>
      <c r="C8" s="23">
        <f>C4-C7</f>
        <v>-7.409</v>
      </c>
      <c r="D8" s="23">
        <f>D4-D7</f>
        <v>-13.908999999999999</v>
      </c>
      <c r="E8" s="23">
        <f>E4-E7</f>
        <v>-34.406</v>
      </c>
      <c r="F8" s="23">
        <f>F4-F7</f>
        <v>-24.438000000000002</v>
      </c>
      <c r="G8" s="23">
        <f>G4-G7</f>
        <v>-16.419</v>
      </c>
      <c r="H8" s="23">
        <f>H4-H7</f>
        <v>-15.588999999999999</v>
      </c>
      <c r="I8" s="23">
        <f>I4-I7</f>
        <v>-52.155</v>
      </c>
      <c r="J8" s="23">
        <f>J4-J7</f>
        <v>-12.852</v>
      </c>
      <c r="K8" s="23">
        <f>K4-K7</f>
        <v>-16.679</v>
      </c>
      <c r="L8" s="23">
        <f>L4-L7</f>
        <v>-11.077</v>
      </c>
    </row>
    <row r="9">
      <c r="A9" s="19" t="inlineStr">
        <is>
          <t>Interest &amp; Other</t>
        </is>
      </c>
      <c r="B9" s="23" t="n">
        <v>2.327</v>
      </c>
      <c r="C9" s="23" t="n">
        <v>-0.081</v>
      </c>
      <c r="D9" s="23" t="n">
        <v>-1.277</v>
      </c>
      <c r="E9" s="23" t="n">
        <v>-4.96</v>
      </c>
      <c r="F9" s="23" t="n">
        <v>-1.075</v>
      </c>
      <c r="G9" s="23" t="n">
        <v>-3.259</v>
      </c>
      <c r="H9" s="23" t="n">
        <v>5.122</v>
      </c>
      <c r="I9" s="23" t="n">
        <v>0.184</v>
      </c>
      <c r="J9" s="23" t="n">
        <v>-1.833</v>
      </c>
      <c r="K9" s="23" t="n">
        <v>3.912</v>
      </c>
      <c r="L9" s="23" t="n">
        <v>1.584</v>
      </c>
    </row>
    <row r="10">
      <c r="A10" s="2" t="inlineStr">
        <is>
          <t>Pretax</t>
        </is>
      </c>
      <c r="B10" s="23">
        <f>B8+B9</f>
        <v>-4.461</v>
      </c>
      <c r="C10" s="23">
        <f>C8+C9</f>
        <v>-7.49</v>
      </c>
      <c r="D10" s="23">
        <f>D8+D9</f>
        <v>-15.185999999999998</v>
      </c>
      <c r="E10" s="23">
        <f>E8+E9</f>
        <v>-39.366</v>
      </c>
      <c r="F10" s="23">
        <f>F8+F9</f>
        <v>-25.513</v>
      </c>
      <c r="G10" s="23">
        <f>G8+G9</f>
        <v>-19.678</v>
      </c>
      <c r="H10" s="23">
        <f>H8+H9</f>
        <v>-10.466999999999999</v>
      </c>
      <c r="I10" s="23">
        <f>I8+I9</f>
        <v>-51.971000000000004</v>
      </c>
      <c r="J10" s="23">
        <f>J8+J9</f>
        <v>-14.685</v>
      </c>
      <c r="K10" s="23">
        <f>K8+K9</f>
        <v>-12.767</v>
      </c>
      <c r="L10" s="23">
        <f>L8+L9</f>
        <v>-9.493</v>
      </c>
    </row>
    <row r="11">
      <c r="A11" s="2" t="inlineStr">
        <is>
          <t>Taxes</t>
        </is>
      </c>
      <c r="B11" s="23" t="n">
        <v>0</v>
      </c>
      <c r="C11" s="23" t="n">
        <v>-0.091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-0.648</v>
      </c>
      <c r="I11" s="23" t="n">
        <v>-9.542</v>
      </c>
      <c r="J11" s="23" t="n">
        <v>-1.832</v>
      </c>
      <c r="K11" s="23" t="n">
        <v>-3.199</v>
      </c>
      <c r="L11" s="23" t="n">
        <v>-1.7</v>
      </c>
    </row>
    <row r="12">
      <c r="A12" s="2" t="inlineStr">
        <is>
          <t>Net Income</t>
        </is>
      </c>
      <c r="B12" s="23" t="n">
        <v>-4.461</v>
      </c>
      <c r="C12" s="23" t="n">
        <v>-7.399</v>
      </c>
      <c r="D12" s="23" t="n">
        <v>-15.185</v>
      </c>
      <c r="E12" s="23" t="n">
        <v>-39.366</v>
      </c>
      <c r="F12" s="23" t="n">
        <v>-25.513</v>
      </c>
      <c r="G12" s="23" t="n">
        <v>-19.678</v>
      </c>
      <c r="H12" s="23" t="n">
        <v>-9.819000000000001</v>
      </c>
      <c r="I12" s="23" t="n">
        <v>-42.429</v>
      </c>
      <c r="J12" s="23" t="n">
        <v>-12.853</v>
      </c>
      <c r="K12" s="23" t="n">
        <v>-9.568</v>
      </c>
      <c r="L12" s="23" t="n">
        <v>-7.793</v>
      </c>
    </row>
    <row r="13">
      <c r="A13" s="2" t="inlineStr">
        <is>
          <t>Earnings per Share</t>
        </is>
      </c>
      <c r="B13" s="11">
        <f>IFERROR(B12/B14,0)</f>
        <v>-2.0924015009380863</v>
      </c>
      <c r="C13" s="11">
        <f>IFERROR(C12/C14,0)</f>
        <v>-3.428637627432808</v>
      </c>
      <c r="D13" s="11">
        <f>IFERROR(D12/D14,0)</f>
        <v>-4.342293394338005</v>
      </c>
      <c r="E13" s="11">
        <f>IFERROR(E12/E14,0)</f>
        <v>-3.6255295634555162</v>
      </c>
      <c r="F13" s="11">
        <f>IFERROR(F12/F14,0)</f>
        <v>-1.5082170725939938</v>
      </c>
      <c r="G13" s="11">
        <f>IFERROR(G12/G14,0)</f>
        <v>-6.63452461227242</v>
      </c>
      <c r="H13" s="11">
        <f>IFERROR(H12/H14,0)</f>
        <v>-1.3326547231270358</v>
      </c>
      <c r="I13" s="11">
        <f>IFERROR(I12/I14,0)</f>
        <v>-5.70665770006725</v>
      </c>
      <c r="J13" s="11">
        <f>IFERROR(J12/J14,0)</f>
        <v>-1.3488298877111975</v>
      </c>
      <c r="K13" s="11">
        <f>IFERROR(K12/K14,0)</f>
        <v>-0.791594274840738</v>
      </c>
      <c r="L13" s="11">
        <f>IFERROR(L12/L14,0)</f>
        <v>-0.47198837138877114</v>
      </c>
    </row>
    <row r="14">
      <c r="A14" s="2" t="inlineStr">
        <is>
          <t>Shares</t>
        </is>
      </c>
      <c r="B14" s="23" t="n">
        <v>2.132</v>
      </c>
      <c r="C14" s="23" t="n">
        <v>2.158</v>
      </c>
      <c r="D14" s="23" t="n">
        <v>3.497</v>
      </c>
      <c r="E14" s="23" t="n">
        <v>10.858</v>
      </c>
      <c r="F14" s="23" t="n">
        <v>16.916</v>
      </c>
      <c r="G14" s="23" t="n">
        <v>2.966</v>
      </c>
      <c r="H14" s="23" t="n">
        <v>7.368</v>
      </c>
      <c r="I14" s="23" t="n">
        <v>7.435</v>
      </c>
      <c r="J14" s="23" t="n">
        <v>9.529</v>
      </c>
      <c r="K14" s="23" t="n">
        <v>12.087</v>
      </c>
      <c r="L14" s="23" t="n">
        <v>16.511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509.204081632653</v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0.6122448979591837</v>
      </c>
      <c r="H17" s="15">
        <f>IFERROR(H4/H2,"")</f>
        <v>1.0</v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-83.7704081632653</v>
      </c>
      <c r="H18" s="15">
        <f>IFERROR(H8/H2,"")</f>
        <v>-0.15588999999999997</v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2026-10-21T01:06:16Z</dcterms:modified>
  <cp:lastModifiedBy>Wang, Eric</cp:lastModifiedBy>
</cp:coreProperties>
</file>