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Moderna, Inc.</t>
        </is>
      </c>
      <c r="C2" s="10" t="n"/>
    </row>
    <row r="3">
      <c r="B3" t="inlineStr">
        <is>
          <t>Price</t>
        </is>
      </c>
      <c r="C3" s="11">
        <f>INDEX([1]Pharma!$F$1:$F$1000,MATCH("MRNA",[1]Pharma!$B$1:$B$1000,0))</f>
        <v>242.08</v>
      </c>
      <c r="F3" s="1" t="n"/>
    </row>
    <row r="4">
      <c r="B4" t="inlineStr">
        <is>
          <t>Shares</t>
        </is>
      </c>
      <c r="C4" s="51" t="n">
        <v>399.235889</v>
      </c>
      <c r="F4" s="1" t="n"/>
    </row>
    <row r="5">
      <c r="B5" t="inlineStr">
        <is>
          <t>Market Cap.</t>
        </is>
      </c>
      <c r="C5" s="13">
        <f>C3*C4</f>
        <v>96647.02400912</v>
      </c>
      <c r="F5" s="1" t="n"/>
    </row>
    <row r="6"/>
    <row r="7">
      <c r="B7" t="inlineStr">
        <is>
          <t>Cash</t>
        </is>
      </c>
      <c r="C7" s="51">
        <f>1723+3415</f>
        <v>5138.0</v>
      </c>
    </row>
    <row r="8">
      <c r="B8" t="inlineStr">
        <is>
          <t>Debt</t>
        </is>
      </c>
      <c r="C8" s="51" t="n">
        <v>591</v>
      </c>
    </row>
    <row r="9">
      <c r="B9" t="inlineStr">
        <is>
          <t>Enterprise V.</t>
        </is>
      </c>
      <c r="C9" s="13">
        <f>C5-C7+C8</f>
        <v>92100.02400912</v>
      </c>
    </row>
    <row r="10"/>
    <row r="11">
      <c r="B11" s="14" t="inlineStr">
        <is>
          <t>NPV / Share</t>
        </is>
      </c>
      <c r="C11" s="11">
        <f>NPV!B28</f>
        <v>3.485350300841989</v>
      </c>
    </row>
    <row r="12">
      <c r="B12" s="14" t="inlineStr">
        <is>
          <t>Upside</t>
        </is>
      </c>
      <c r="C12" s="15">
        <f>IFERROR(C11/C3-1,"")</f>
        <v>-0.9856024855384915</v>
      </c>
    </row>
    <row r="13">
      <c r="B13" s="14" t="inlineStr">
        <is>
          <t>Cash / Share</t>
        </is>
      </c>
      <c r="C13" s="11">
        <f>IFERROR((C7-C8)/C4,"")</f>
        <v>11.38925664070246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108.396</v>
      </c>
      <c r="C2" s="52" t="n">
        <v>205.825</v>
      </c>
      <c r="D2" s="52" t="n">
        <v>135.068</v>
      </c>
      <c r="E2" s="52" t="n">
        <v>60.209</v>
      </c>
      <c r="F2" s="52" t="n">
        <v>803</v>
      </c>
      <c r="G2" s="52" t="n">
        <v>18471</v>
      </c>
      <c r="H2" s="52" t="n">
        <v>19263</v>
      </c>
      <c r="I2" s="52" t="n">
        <v>6848</v>
      </c>
      <c r="J2" s="52" t="n">
        <v>3236</v>
      </c>
      <c r="K2" s="52" t="n">
        <v>1944</v>
      </c>
      <c r="L2" s="52">
        <f>K2*(1+NPV!C5)</f>
        <v>1749.6000000000001</v>
      </c>
      <c r="M2" s="52">
        <f>L2*(1+NPV!D5)</f>
        <v>1598.94</v>
      </c>
      <c r="N2" s="52">
        <f>M2*(1+NPV!E5)</f>
        <v>1483.461</v>
      </c>
      <c r="O2" s="52">
        <f>N2*(1+NPV!F5)</f>
        <v>1396.925775</v>
      </c>
      <c r="P2" s="52">
        <f>O2*(1+NPV!G5)</f>
        <v>1334.8401849999998</v>
      </c>
      <c r="Q2" s="52">
        <f>P2*(1+NPV!H5)</f>
        <v>1294.0534015694443</v>
      </c>
      <c r="R2" s="52">
        <f>Q2*(1+NPV!I5)</f>
        <v>1272.4858448766201</v>
      </c>
      <c r="S2" s="52">
        <f>R2*(1+NPV!J5)</f>
        <v>1268.9511619741852</v>
      </c>
      <c r="T2" s="52">
        <f>S2*(1+NPV!K5)</f>
        <v>1283.0506193294539</v>
      </c>
      <c r="U2" s="52">
        <f>T2*(1+NPV!L5)</f>
        <v>1315.1268848126902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8</v>
      </c>
      <c r="G3" s="52" t="n">
        <v>2617</v>
      </c>
      <c r="H3" s="52" t="n">
        <v>5416</v>
      </c>
      <c r="I3" s="52" t="n">
        <v>4693</v>
      </c>
      <c r="J3" s="52" t="n">
        <v>1464</v>
      </c>
      <c r="K3" s="52" t="n">
        <v>868</v>
      </c>
      <c r="L3" s="52">
        <f>L2*(1-Assumptions!$B$19)</f>
        <v>781.1964</v>
      </c>
      <c r="M3" s="52">
        <f>M2*(1-Assumptions!$B$19)</f>
        <v>713.9267100000001</v>
      </c>
      <c r="N3" s="52">
        <f>N2*(1-Assumptions!$B$19)</f>
        <v>662.3653365</v>
      </c>
      <c r="O3" s="52">
        <f>O2*(1-Assumptions!$B$19)</f>
        <v>623.7273585375</v>
      </c>
      <c r="P3" s="52">
        <f>P2*(1-Assumptions!$B$19)</f>
        <v>596.0061426025</v>
      </c>
      <c r="Q3" s="52">
        <f>Q2*(1-Assumptions!$B$19)</f>
        <v>577.7948438007569</v>
      </c>
      <c r="R3" s="52">
        <f>R2*(1-Assumptions!$B$19)</f>
        <v>568.164929737411</v>
      </c>
      <c r="S3" s="52">
        <f>S2*(1-Assumptions!$B$19)</f>
        <v>566.5866938214737</v>
      </c>
      <c r="T3" s="52">
        <f>T2*(1-Assumptions!$B$19)</f>
        <v>572.8821015306012</v>
      </c>
      <c r="U3" s="52">
        <f>U2*(1-Assumptions!$B$19)</f>
        <v>587.2041540688662</v>
      </c>
    </row>
    <row r="4" customFormat="1" s="1">
      <c r="A4" s="5" t="inlineStr">
        <is>
          <t>Gross Margin</t>
        </is>
      </c>
      <c r="B4" s="52">
        <f>B2-B3</f>
        <v>108.396</v>
      </c>
      <c r="C4" s="52">
        <f>C2-C3</f>
        <v>205.825</v>
      </c>
      <c r="D4" s="52">
        <f>D2-D3</f>
        <v>135.068</v>
      </c>
      <c r="E4" s="52">
        <f>E2-E3</f>
        <v>60.209</v>
      </c>
      <c r="F4" s="52">
        <f>F2-F3</f>
        <v>795.0</v>
      </c>
      <c r="G4" s="52">
        <f>G2-G3</f>
        <v>15854.0</v>
      </c>
      <c r="H4" s="52">
        <f>H2-H3</f>
        <v>13847.0</v>
      </c>
      <c r="I4" s="52">
        <f>I2-I3</f>
        <v>2155.0</v>
      </c>
      <c r="J4" s="52">
        <f>J2-J3</f>
        <v>1772.0</v>
      </c>
      <c r="K4" s="52">
        <f>K2-K3</f>
        <v>1076.0</v>
      </c>
      <c r="L4" s="52">
        <f>L2-L3</f>
        <v>968.4036000000001</v>
      </c>
      <c r="M4" s="52">
        <f>M2-M3</f>
        <v>885.01329</v>
      </c>
      <c r="N4" s="52">
        <f>N2-N3</f>
        <v>821.0956635</v>
      </c>
      <c r="O4" s="52">
        <f>O2-O3</f>
        <v>773.1984164625</v>
      </c>
      <c r="P4" s="52">
        <f>P2-P3</f>
        <v>738.8340423974998</v>
      </c>
      <c r="Q4" s="52">
        <f>Q2-Q3</f>
        <v>716.2585577686874</v>
      </c>
      <c r="R4" s="52">
        <f>R2-R3</f>
        <v>704.3209151392092</v>
      </c>
      <c r="S4" s="52">
        <f>S2-S3</f>
        <v>702.3644681527115</v>
      </c>
      <c r="T4" s="52">
        <f>T2-T3</f>
        <v>710.1685177988527</v>
      </c>
      <c r="U4" s="52">
        <f>U2-U3</f>
        <v>727.922730743824</v>
      </c>
    </row>
    <row r="5">
      <c r="A5" s="2" t="inlineStr">
        <is>
          <t>Research &amp; Dev.</t>
        </is>
      </c>
      <c r="B5" s="52" t="n">
        <v>274.717</v>
      </c>
      <c r="C5" s="52" t="n">
        <v>410.459</v>
      </c>
      <c r="D5" s="52" t="n">
        <v>454.082</v>
      </c>
      <c r="E5" s="52" t="n">
        <v>496</v>
      </c>
      <c r="F5" s="52" t="n">
        <v>1370</v>
      </c>
      <c r="G5" s="52" t="n">
        <v>1991</v>
      </c>
      <c r="H5" s="52" t="n">
        <v>3295</v>
      </c>
      <c r="I5" s="52" t="n">
        <v>4845</v>
      </c>
      <c r="J5" s="52" t="n">
        <v>4543</v>
      </c>
      <c r="K5" s="52" t="n">
        <v>3132</v>
      </c>
      <c r="L5" s="52">
        <f>L7*Assumptions!$B$20</f>
        <v>2153.2007775528004</v>
      </c>
      <c r="M5" s="52">
        <f>M7*Assumptions!$B$20</f>
        <v>1796.54062839804</v>
      </c>
      <c r="N5" s="52">
        <f>N7*Assumptions!$B$20</f>
        <v>1507.9125746527293</v>
      </c>
      <c r="O5" s="52">
        <f>O7*Assumptions!$B$20</f>
        <v>1270.3409878876669</v>
      </c>
      <c r="P5" s="52">
        <f>P7*Assumptions!$B$20</f>
        <v>1070.9207027339094</v>
      </c>
      <c r="Q5" s="52">
        <f>Q7*Assumptions!$B$20</f>
        <v>899.6056831877704</v>
      </c>
      <c r="R5" s="52">
        <f>R7*Assumptions!$B$20</f>
        <v>748.3296866584517</v>
      </c>
      <c r="S5" s="52">
        <f>S7*Assumptions!$B$20</f>
        <v>610.346987298423</v>
      </c>
      <c r="T5" s="52">
        <f>T7*Assumptions!$B$20</f>
        <v>479.71457019591696</v>
      </c>
      <c r="U5" s="52">
        <f>U7*Assumptions!$B$20</f>
        <v>350.8580328987366</v>
      </c>
    </row>
    <row r="6">
      <c r="A6" s="18" t="inlineStr">
        <is>
          <t>SG&amp;A &amp; Other</t>
        </is>
      </c>
      <c r="B6" s="52" t="n">
        <v>57.45</v>
      </c>
      <c r="C6" s="52" t="n">
        <v>64.72199999999999</v>
      </c>
      <c r="D6" s="52" t="n">
        <v>94.252</v>
      </c>
      <c r="E6" s="52" t="n">
        <v>110.209</v>
      </c>
      <c r="F6" s="52" t="n">
        <v>188</v>
      </c>
      <c r="G6" s="52" t="n">
        <v>567</v>
      </c>
      <c r="H6" s="52" t="n">
        <v>1132</v>
      </c>
      <c r="I6" s="52" t="n">
        <v>1549</v>
      </c>
      <c r="J6" s="52" t="n">
        <v>1174</v>
      </c>
      <c r="K6" s="52" t="n">
        <v>1018</v>
      </c>
      <c r="L6" s="52">
        <f>L7-L5</f>
        <v>699.8544464472002</v>
      </c>
      <c r="M6" s="52">
        <f>M7-M5</f>
        <v>583.92926480196</v>
      </c>
      <c r="N6" s="52">
        <f>N7-N5</f>
        <v>490.1165424172709</v>
      </c>
      <c r="O6" s="52">
        <f>O7-O5</f>
        <v>412.8986939563331</v>
      </c>
      <c r="P6" s="52">
        <f>P7-P5</f>
        <v>348.0811559303404</v>
      </c>
      <c r="Q6" s="52">
        <f>Q7-Q5</f>
        <v>292.39866713390757</v>
      </c>
      <c r="R6" s="52">
        <f>R7-R5</f>
        <v>243.2294582447571</v>
      </c>
      <c r="S6" s="52">
        <f>S7-S5</f>
        <v>198.38096725096477</v>
      </c>
      <c r="T6" s="52">
        <f>T7-T5</f>
        <v>155.92153712608774</v>
      </c>
      <c r="U6" s="52">
        <f>U7-U5</f>
        <v>114.03932088254942</v>
      </c>
    </row>
    <row r="7">
      <c r="A7" s="2" t="inlineStr">
        <is>
          <t>Operating Expense</t>
        </is>
      </c>
      <c r="B7" s="52">
        <f>SUM(B5:B6)</f>
        <v>332.167</v>
      </c>
      <c r="C7" s="52">
        <f>SUM(C5:C6)</f>
        <v>475.181</v>
      </c>
      <c r="D7" s="52">
        <f>SUM(D5:D6)</f>
        <v>548.334</v>
      </c>
      <c r="E7" s="52">
        <f>SUM(E5:E6)</f>
        <v>606.2090000000001</v>
      </c>
      <c r="F7" s="52">
        <f>SUM(F5:F6)</f>
        <v>1558.0</v>
      </c>
      <c r="G7" s="52">
        <f>SUM(G5:G6)</f>
        <v>2558.0</v>
      </c>
      <c r="H7" s="52">
        <f>SUM(H5:H6)</f>
        <v>4427.0</v>
      </c>
      <c r="I7" s="52">
        <f>SUM(I5:I6)</f>
        <v>6394.0</v>
      </c>
      <c r="J7" s="52">
        <f>SUM(J5:J6)</f>
        <v>5717.0</v>
      </c>
      <c r="K7" s="52">
        <f>SUM(K5:K6)</f>
        <v>4150.0</v>
      </c>
      <c r="L7" s="52">
        <f>L4-L2*NPV!C6</f>
        <v>2853.0552240000006</v>
      </c>
      <c r="M7" s="52">
        <f>M4-M2*NPV!D6</f>
        <v>2380.4698932</v>
      </c>
      <c r="N7" s="52">
        <f>N4-N2*NPV!E6</f>
        <v>1998.0291170700002</v>
      </c>
      <c r="O7" s="52">
        <f>O4-O2*NPV!F6</f>
        <v>1683.239681844</v>
      </c>
      <c r="P7" s="52">
        <f>P4-P2*NPV!G6</f>
        <v>1419.0018586642498</v>
      </c>
      <c r="Q7" s="52">
        <f>Q4-Q2*NPV!H6</f>
        <v>1192.004350321678</v>
      </c>
      <c r="R7" s="52">
        <f>R4-R2*NPV!I6</f>
        <v>991.5591449032088</v>
      </c>
      <c r="S7" s="52">
        <f>S4-S2*NPV!J6</f>
        <v>808.7279545493877</v>
      </c>
      <c r="T7" s="52">
        <f>T4-T2*NPV!K6</f>
        <v>635.6361073220047</v>
      </c>
      <c r="U7" s="52">
        <f>U4-U2*NPV!L6</f>
        <v>464.89735378128603</v>
      </c>
    </row>
    <row r="8">
      <c r="A8" s="2" t="inlineStr">
        <is>
          <t>Operating Income</t>
        </is>
      </c>
      <c r="B8" s="52">
        <f>B4-B7</f>
        <v>-223.77099999999996</v>
      </c>
      <c r="C8" s="52">
        <f>C4-C7</f>
        <v>-269.356</v>
      </c>
      <c r="D8" s="52">
        <f>D4-D7</f>
        <v>-413.26599999999996</v>
      </c>
      <c r="E8" s="52">
        <f>E4-E7</f>
        <v>-546.0</v>
      </c>
      <c r="F8" s="52">
        <f>F4-F7</f>
        <v>-763.0</v>
      </c>
      <c r="G8" s="52">
        <f>G4-G7</f>
        <v>13296.0</v>
      </c>
      <c r="H8" s="52">
        <f>H4-H7</f>
        <v>9420.0</v>
      </c>
      <c r="I8" s="52">
        <f>I4-I7</f>
        <v>-4239.0</v>
      </c>
      <c r="J8" s="52">
        <f>J4-J7</f>
        <v>-3945.0</v>
      </c>
      <c r="K8" s="52">
        <f>K4-K7</f>
        <v>-3074.0</v>
      </c>
      <c r="L8" s="52">
        <f>L4-L7</f>
        <v>-1884.6516240000005</v>
      </c>
      <c r="M8" s="52">
        <f>M4-M7</f>
        <v>-1495.4566032000002</v>
      </c>
      <c r="N8" s="52">
        <f>N4-N7</f>
        <v>-1176.9334535700002</v>
      </c>
      <c r="O8" s="52">
        <f>O4-O7</f>
        <v>-910.0412653815</v>
      </c>
      <c r="P8" s="52">
        <f>P4-P7</f>
        <v>-680.1678162667499</v>
      </c>
      <c r="Q8" s="52">
        <f>Q4-Q7</f>
        <v>-475.74579255299057</v>
      </c>
      <c r="R8" s="52">
        <f>R4-R7</f>
        <v>-287.2382297639996</v>
      </c>
      <c r="S8" s="52">
        <f>S4-S7</f>
        <v>-106.3634863966762</v>
      </c>
      <c r="T8" s="52">
        <f>T4-T7</f>
        <v>74.53241047684799</v>
      </c>
      <c r="U8" s="52">
        <f>U4-U7</f>
        <v>263.02537696253796</v>
      </c>
    </row>
    <row r="9">
      <c r="A9" s="18" t="inlineStr">
        <is>
          <t>Interest &amp; Other</t>
        </is>
      </c>
      <c r="B9" s="52" t="n">
        <v>8.603</v>
      </c>
      <c r="C9" s="52" t="n">
        <v>13.36</v>
      </c>
      <c r="D9" s="52" t="n">
        <v>28.858</v>
      </c>
      <c r="E9" s="52" t="n">
        <v>31</v>
      </c>
      <c r="F9" s="52" t="n">
        <v>19</v>
      </c>
      <c r="G9" s="52" t="n">
        <v>-11</v>
      </c>
      <c r="H9" s="52" t="n">
        <v>155</v>
      </c>
      <c r="I9" s="52" t="n">
        <v>297</v>
      </c>
      <c r="J9" s="52" t="n">
        <v>338</v>
      </c>
      <c r="K9" s="52" t="n">
        <v>306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-215.16799999999995</v>
      </c>
      <c r="C10" s="52">
        <f>C8+C9</f>
        <v>-255.99599999999998</v>
      </c>
      <c r="D10" s="52">
        <f>D8+D9</f>
        <v>-384.40799999999996</v>
      </c>
      <c r="E10" s="52">
        <f>E8+E9</f>
        <v>-515.0</v>
      </c>
      <c r="F10" s="52">
        <f>F8+F9</f>
        <v>-744.0</v>
      </c>
      <c r="G10" s="52">
        <f>G8+G9</f>
        <v>13285.0</v>
      </c>
      <c r="H10" s="52">
        <f>H8+H9</f>
        <v>9575.0</v>
      </c>
      <c r="I10" s="52">
        <f>I8+I9</f>
        <v>-3942.0</v>
      </c>
      <c r="J10" s="52">
        <f>J8+J9</f>
        <v>-3607.0</v>
      </c>
      <c r="K10" s="52">
        <f>K8+K9</f>
        <v>-2768.0</v>
      </c>
      <c r="L10" s="52">
        <f>L8+L9</f>
        <v>-1884.6516240000005</v>
      </c>
      <c r="M10" s="52">
        <f>M8+M9</f>
        <v>-1495.4566032000002</v>
      </c>
      <c r="N10" s="52">
        <f>N8+N9</f>
        <v>-1176.9334535700002</v>
      </c>
      <c r="O10" s="52">
        <f>O8+O9</f>
        <v>-910.0412653815</v>
      </c>
      <c r="P10" s="52">
        <f>P8+P9</f>
        <v>-680.1678162667499</v>
      </c>
      <c r="Q10" s="52">
        <f>Q8+Q9</f>
        <v>-475.74579255299057</v>
      </c>
      <c r="R10" s="52">
        <f>R8+R9</f>
        <v>-287.2382297639996</v>
      </c>
      <c r="S10" s="52">
        <f>S8+S9</f>
        <v>-106.3634863966762</v>
      </c>
      <c r="T10" s="52">
        <f>T8+T9</f>
        <v>74.53241047684799</v>
      </c>
      <c r="U10" s="52">
        <f>U8+U9</f>
        <v>263.02537696253796</v>
      </c>
    </row>
    <row r="11">
      <c r="A11" s="2" t="inlineStr">
        <is>
          <t>Taxes</t>
        </is>
      </c>
      <c r="B11" s="52" t="n">
        <v>1.043</v>
      </c>
      <c r="C11" s="52" t="n">
        <v>-0.08</v>
      </c>
      <c r="D11" s="52" t="n">
        <v>0.326</v>
      </c>
      <c r="E11" s="52" t="n">
        <v>-1</v>
      </c>
      <c r="F11" s="52" t="n">
        <v>3</v>
      </c>
      <c r="G11" s="52" t="n">
        <v>1083</v>
      </c>
      <c r="H11" s="52" t="n">
        <v>1213</v>
      </c>
      <c r="I11" s="52" t="n">
        <v>772</v>
      </c>
      <c r="J11" s="52" t="n">
        <v>-46</v>
      </c>
      <c r="K11" s="52" t="n">
        <v>54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12.670509781064158</v>
      </c>
      <c r="U11" s="52">
        <f>MAX(0,U10)*Assumptions!$E$14</f>
        <v>44.71431408363146</v>
      </c>
    </row>
    <row r="12">
      <c r="A12" s="2" t="inlineStr">
        <is>
          <t>Net Income</t>
        </is>
      </c>
      <c r="B12" s="52" t="n">
        <v>-216.211</v>
      </c>
      <c r="C12" s="52" t="n">
        <v>-255.916</v>
      </c>
      <c r="D12" s="52" t="n">
        <v>-384.734</v>
      </c>
      <c r="E12" s="52" t="n">
        <v>-514</v>
      </c>
      <c r="F12" s="52" t="n">
        <v>-747</v>
      </c>
      <c r="G12" s="52" t="n">
        <v>12202</v>
      </c>
      <c r="H12" s="52" t="n">
        <v>8362</v>
      </c>
      <c r="I12" s="52" t="n">
        <v>-4714</v>
      </c>
      <c r="J12" s="52" t="n">
        <v>-3561</v>
      </c>
      <c r="K12" s="52" t="n">
        <v>-2822</v>
      </c>
      <c r="L12" s="52">
        <f>L10-L11</f>
        <v>-1884.6516240000005</v>
      </c>
      <c r="M12" s="52">
        <f>M10-M11</f>
        <v>-1495.4566032000002</v>
      </c>
      <c r="N12" s="52">
        <f>N10-N11</f>
        <v>-1176.9334535700002</v>
      </c>
      <c r="O12" s="52">
        <f>O10-O11</f>
        <v>-910.0412653815</v>
      </c>
      <c r="P12" s="52">
        <f>P10-P11</f>
        <v>-680.1678162667499</v>
      </c>
      <c r="Q12" s="52">
        <f>Q10-Q11</f>
        <v>-475.74579255299057</v>
      </c>
      <c r="R12" s="52">
        <f>R10-R11</f>
        <v>-287.2382297639996</v>
      </c>
      <c r="S12" s="52">
        <f>S10-S11</f>
        <v>-106.3634863966762</v>
      </c>
      <c r="T12" s="52">
        <f>T10-T11</f>
        <v>61.86190069578383</v>
      </c>
      <c r="U12" s="52">
        <f>U10-U11</f>
        <v>218.3110628789065</v>
      </c>
    </row>
    <row r="13">
      <c r="A13" s="2" t="inlineStr">
        <is>
          <t>Earnings per Share</t>
        </is>
      </c>
      <c r="B13" s="11">
        <f>IFERROR(B12/B14,0)</f>
        <v>-3.559204569772993</v>
      </c>
      <c r="C13" s="11">
        <f>IFERROR(C12/C14,0)</f>
        <v>-3.9678129554404786</v>
      </c>
      <c r="D13" s="11">
        <f>IFERROR(D12/D14,0)</f>
        <v>-4.743126957122074</v>
      </c>
      <c r="E13" s="11">
        <f>IFERROR(E12/E14,0)</f>
        <v>-1.552870090634441</v>
      </c>
      <c r="F13" s="11">
        <f>IFERROR(F12/F14,0)</f>
        <v>-1.9606299212598426</v>
      </c>
      <c r="G13" s="11">
        <f>IFERROR(G12/G14,0)</f>
        <v>28.31090487238979</v>
      </c>
      <c r="H13" s="11">
        <f>IFERROR(H12/H14,0)</f>
        <v>20.10096153846154</v>
      </c>
      <c r="I13" s="11">
        <f>IFERROR(I12/I14,0)</f>
        <v>-12.340314136125654</v>
      </c>
      <c r="J13" s="11">
        <f>IFERROR(J12/J14,0)</f>
        <v>-9.2734375</v>
      </c>
      <c r="K13" s="11">
        <f>IFERROR(K12/K14,0)</f>
        <v>-7.254498714652956</v>
      </c>
      <c r="L13" s="11">
        <f>IFERROR(L12/L14,0)</f>
        <v>-4.720646805377761</v>
      </c>
      <c r="M13" s="11">
        <f>IFERROR(M12/M14,0)</f>
        <v>-3.7457970197664276</v>
      </c>
      <c r="N13" s="11">
        <f>IFERROR(N12/N14,0)</f>
        <v>-2.947965065259953</v>
      </c>
      <c r="O13" s="11">
        <f>IFERROR(O12/O14,0)</f>
        <v>-2.2794575599427134</v>
      </c>
      <c r="P13" s="11">
        <f>IFERROR(P12/P14,0)</f>
        <v>-1.7036740308353138</v>
      </c>
      <c r="Q13" s="11">
        <f>IFERROR(Q12/Q14,0)</f>
        <v>-1.1916408460788217</v>
      </c>
      <c r="R13" s="11">
        <f>IFERROR(R12/R14,0)</f>
        <v>-0.7194699616897408</v>
      </c>
      <c r="S13" s="11">
        <f>IFERROR(S12/S14,0)</f>
        <v>-0.26641764762956016</v>
      </c>
      <c r="T13" s="11">
        <f>IFERROR(T12/T14,0)</f>
        <v>0.15495075067207656</v>
      </c>
      <c r="U13" s="11">
        <f>IFERROR(U12/U14,0)</f>
        <v>0.5468222394177256</v>
      </c>
    </row>
    <row r="14">
      <c r="A14" s="2" t="inlineStr">
        <is>
          <t>Shares</t>
        </is>
      </c>
      <c r="B14" s="52" t="n">
        <v>60.747</v>
      </c>
      <c r="C14" s="52" t="n">
        <v>64.498</v>
      </c>
      <c r="D14" s="52" t="n">
        <v>81.114</v>
      </c>
      <c r="E14" s="52" t="n">
        <v>331</v>
      </c>
      <c r="F14" s="52" t="n">
        <v>381</v>
      </c>
      <c r="G14" s="52" t="n">
        <v>431</v>
      </c>
      <c r="H14" s="52" t="n">
        <v>416</v>
      </c>
      <c r="I14" s="52" t="n">
        <v>382</v>
      </c>
      <c r="J14" s="52" t="n">
        <v>384</v>
      </c>
      <c r="K14" s="52" t="n">
        <v>389</v>
      </c>
      <c r="L14" s="52">
        <f>Main!$C$4</f>
        <v>399.235889</v>
      </c>
      <c r="M14" s="52">
        <f>Main!$C$4</f>
        <v>399.235889</v>
      </c>
      <c r="N14" s="52">
        <f>Main!$C$4</f>
        <v>399.235889</v>
      </c>
      <c r="O14" s="52">
        <f>Main!$C$4</f>
        <v>399.235889</v>
      </c>
      <c r="P14" s="52">
        <f>Main!$C$4</f>
        <v>399.235889</v>
      </c>
      <c r="Q14" s="52">
        <f>Main!$C$4</f>
        <v>399.235889</v>
      </c>
      <c r="R14" s="52">
        <f>Main!$C$4</f>
        <v>399.235889</v>
      </c>
      <c r="S14" s="52">
        <f>Main!$C$4</f>
        <v>399.235889</v>
      </c>
      <c r="T14" s="52">
        <f>Main!$C$4</f>
        <v>399.235889</v>
      </c>
      <c r="U14" s="52">
        <f>Main!$C$4</f>
        <v>399.235889</v>
      </c>
    </row>
    <row r="15"/>
    <row r="16" customFormat="1" s="4">
      <c r="A16" s="3" t="inlineStr">
        <is>
          <t>Revenue Change</t>
        </is>
      </c>
      <c r="C16" s="15">
        <f>IFERROR(C2/B2-1,"")</f>
        <v>0.8988246798774862</v>
      </c>
      <c r="D16" s="15">
        <f>IFERROR(D2/C2-1,"")</f>
        <v>-0.34377262237337536</v>
      </c>
      <c r="E16" s="15">
        <f>IFERROR(E2/D2-1,"")</f>
        <v>-0.5542319424289988</v>
      </c>
      <c r="F16" s="15">
        <f>IFERROR(F2/E2-1,"")</f>
        <v>12.336876546695676</v>
      </c>
      <c r="G16" s="15">
        <f>IFERROR(G2/F2-1,"")</f>
        <v>22.002490660024907</v>
      </c>
      <c r="H16" s="15">
        <f>IFERROR(H2/G2-1,"")</f>
        <v>0.04287802501218119</v>
      </c>
      <c r="I16" s="15">
        <f>IFERROR(I2/H2-1,"")</f>
        <v>-0.6444998183045216</v>
      </c>
      <c r="J16" s="15">
        <f>IFERROR(J2/I2-1,"")</f>
        <v>-0.5274532710280374</v>
      </c>
      <c r="K16" s="15">
        <f>IFERROR(K2/J2-1,"")</f>
        <v>-0.39925834363411616</v>
      </c>
      <c r="L16" s="15">
        <f>IFERROR(L2/K2-1,"")</f>
        <v>-0.09999999999999998</v>
      </c>
      <c r="M16" s="15">
        <f>IFERROR(M2/L2-1,"")</f>
        <v>-0.08611111111111114</v>
      </c>
      <c r="N16" s="15">
        <f>IFERROR(N2/M2-1,"")</f>
        <v>-0.0722222222222223</v>
      </c>
      <c r="O16" s="15">
        <f>IFERROR(O2/N2-1,"")</f>
        <v>-0.05833333333333335</v>
      </c>
      <c r="P16" s="15">
        <f>IFERROR(P2/O2-1,"")</f>
        <v>-0.04444444444444451</v>
      </c>
      <c r="Q16" s="15">
        <f>IFERROR(Q2/P2-1,"")</f>
        <v>-0.030555555555555558</v>
      </c>
      <c r="R16" s="15">
        <f>IFERROR(R2/Q2-1,"")</f>
        <v>-0.01666666666666672</v>
      </c>
      <c r="S16" s="15">
        <f>IFERROR(S2/R2-1,"")</f>
        <v>-0.002777777777777657</v>
      </c>
      <c r="T16" s="15">
        <f>IFERROR(T2/S2-1,"")</f>
        <v>0.011111111111111072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0.9900373599003736</v>
      </c>
      <c r="G17" s="15">
        <f>IFERROR(G4/G2,"")</f>
        <v>0.858318445130204</v>
      </c>
      <c r="H17" s="15">
        <f>IFERROR(H4/H2,"")</f>
        <v>0.7188392254581322</v>
      </c>
      <c r="I17" s="15">
        <f>IFERROR(I4/I2,"")</f>
        <v>0.31469042056074764</v>
      </c>
      <c r="J17" s="15">
        <f>IFERROR(J4/J2,"")</f>
        <v>0.5475896168108776</v>
      </c>
      <c r="K17" s="15">
        <f>IFERROR(K4/K2,"")</f>
        <v>0.5534979423868313</v>
      </c>
      <c r="L17" s="15">
        <f>IFERROR(L4/L2,"")</f>
        <v>0.5535</v>
      </c>
      <c r="M17" s="15">
        <f>IFERROR(M4/M2,"")</f>
        <v>0.5535</v>
      </c>
      <c r="N17" s="15">
        <f>IFERROR(N4/N2,"")</f>
        <v>0.5535</v>
      </c>
      <c r="O17" s="15">
        <f>IFERROR(O4/O2,"")</f>
        <v>0.5535</v>
      </c>
      <c r="P17" s="15">
        <f>IFERROR(P4/P2,"")</f>
        <v>0.5535</v>
      </c>
      <c r="Q17" s="15">
        <f>IFERROR(Q4/Q2,"")</f>
        <v>0.5535</v>
      </c>
      <c r="R17" s="15">
        <f>IFERROR(R4/R2,"")</f>
        <v>0.5535</v>
      </c>
      <c r="S17" s="15">
        <f>IFERROR(S4/S2,"")</f>
        <v>0.5535</v>
      </c>
      <c r="T17" s="15">
        <f>IFERROR(T4/T2,"")</f>
        <v>0.5535</v>
      </c>
      <c r="U17" s="15">
        <f>IFERROR(U4/U2,"")</f>
        <v>0.5535</v>
      </c>
    </row>
    <row r="18">
      <c r="A18" s="14" t="inlineStr">
        <is>
          <t>Operating Margin</t>
        </is>
      </c>
      <c r="B18" s="15">
        <f>IFERROR(B8/B2,"")</f>
        <v>-2.064384294623417</v>
      </c>
      <c r="C18" s="15">
        <f>IFERROR(C8/C2,"")</f>
        <v>-1.3086651281428399</v>
      </c>
      <c r="D18" s="15">
        <f>IFERROR(D8/D2,"")</f>
        <v>-3.059688453223561</v>
      </c>
      <c r="E18" s="15">
        <f>IFERROR(E8/E2,"")</f>
        <v>-9.068411699247621</v>
      </c>
      <c r="F18" s="15">
        <f>IFERROR(F8/F2,"")</f>
        <v>-0.950186799501868</v>
      </c>
      <c r="G18" s="15">
        <f>IFERROR(G8/G2,"")</f>
        <v>0.7198310865681339</v>
      </c>
      <c r="H18" s="15">
        <f>IFERROR(H8/H2,"")</f>
        <v>0.4890204018065722</v>
      </c>
      <c r="I18" s="15">
        <f>IFERROR(I8/I2,"")</f>
        <v>-0.6190128504672897</v>
      </c>
      <c r="J18" s="15">
        <f>IFERROR(J8/J2,"")</f>
        <v>-1.219097651421508</v>
      </c>
      <c r="K18" s="15">
        <f>IFERROR(K8/K2,"")</f>
        <v>-1.581275720164609</v>
      </c>
      <c r="L18" s="15">
        <f>IFERROR(L8/L2,"")</f>
        <v>-1.0771900000000003</v>
      </c>
      <c r="M18" s="15">
        <f>IFERROR(M8/M2,"")</f>
        <v>-0.9352800000000001</v>
      </c>
      <c r="N18" s="15">
        <f>IFERROR(N8/N2,"")</f>
        <v>-0.7933700000000001</v>
      </c>
      <c r="O18" s="15">
        <f>IFERROR(O8/O2,"")</f>
        <v>-0.65146</v>
      </c>
      <c r="P18" s="15">
        <f>IFERROR(P8/P2,"")</f>
        <v>-0.5095500000000001</v>
      </c>
      <c r="Q18" s="15">
        <f>IFERROR(Q8/Q2,"")</f>
        <v>-0.36764</v>
      </c>
      <c r="R18" s="15">
        <f>IFERROR(R8/R2,"")</f>
        <v>-0.2257300000000001</v>
      </c>
      <c r="S18" s="15">
        <f>IFERROR(S8/S2,"")</f>
        <v>-0.08381999999999999</v>
      </c>
      <c r="T18" s="15">
        <f>IFERROR(T8/T2,"")</f>
        <v>0.05809000000000001</v>
      </c>
      <c r="U18" s="15">
        <f>IFERROR(U8/U2,"")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Moderna,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-1.2191</v>
      </c>
    </row>
    <row r="19">
      <c r="A19" s="14" t="inlineStr">
        <is>
          <t>Gross margin (forecast)</t>
        </is>
      </c>
      <c r="B19" s="53" t="n">
        <v>0.5535</v>
      </c>
    </row>
    <row r="20">
      <c r="A20" s="14" t="inlineStr">
        <is>
          <t>R&amp;D share of operating expense (forecast)</t>
        </is>
      </c>
      <c r="B20" s="53" t="n">
        <v>0.7547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1944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-3155.523074166931</v>
      </c>
      <c r="C29" s="56">
        <f>NPV!B26</f>
        <v>1391.476925833069</v>
      </c>
      <c r="D29" s="35">
        <f>NPV!B28</f>
        <v>3.485350300841989</v>
      </c>
      <c r="E29" s="57">
        <f>NPV!B30</f>
        <v>-0.9856024855384915</v>
      </c>
    </row>
    <row r="30">
      <c r="A30" s="58" t="n">
        <v>1</v>
      </c>
      <c r="B30" s="59">
        <f t="dataTable" ref="B30:E32" r1="B4"/>
        <v>-3532.110161505034</v>
      </c>
      <c r="C30" s="59">
        <v>1014.8898384949662</v>
      </c>
      <c r="D30" s="39">
        <v>2.542080675755496</v>
      </c>
      <c r="E30" s="60">
        <v>-0.9894990058007457</v>
      </c>
    </row>
    <row r="31">
      <c r="A31" s="58" t="n">
        <v>2</v>
      </c>
      <c r="B31" s="59">
        <v>-3155.523074166931</v>
      </c>
      <c r="C31" s="59">
        <v>1391.476925833069</v>
      </c>
      <c r="D31" s="39">
        <v>3.485350300841989</v>
      </c>
      <c r="E31" s="60">
        <v>-0.9856024855384915</v>
      </c>
    </row>
    <row r="32">
      <c r="A32" s="58" t="n">
        <v>3</v>
      </c>
      <c r="B32" s="59">
        <v>-1389.5054311702766</v>
      </c>
      <c r="C32" s="59">
        <v>3157.4945688297234</v>
      </c>
      <c r="D32" s="39">
        <v>7.908844509792364</v>
      </c>
      <c r="E32" s="60">
        <v>-0.9673296244638452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3.485350300841989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4.645476970625415</v>
      </c>
      <c r="C37" s="39">
        <v>5.3796764542079645</v>
      </c>
      <c r="D37" s="39">
        <v>6.310688827430157</v>
      </c>
      <c r="E37" s="39">
        <v>7.523026849443043</v>
      </c>
      <c r="F37" s="39">
        <v>9.157547280074695</v>
      </c>
    </row>
    <row r="38">
      <c r="A38" s="62" t="n">
        <v>0.075</v>
      </c>
      <c r="B38" s="39">
        <v>3.524640789939579</v>
      </c>
      <c r="C38" s="39">
        <v>3.986600542081775</v>
      </c>
      <c r="D38" s="39">
        <v>4.5510290151730945</v>
      </c>
      <c r="E38" s="39">
        <v>5.252202483996139</v>
      </c>
      <c r="F38" s="39">
        <v>6.141536874836117</v>
      </c>
    </row>
    <row r="39">
      <c r="A39" s="62" t="n">
        <v>0.08500000000000001</v>
      </c>
      <c r="B39" s="39">
        <v>2.812816116554429</v>
      </c>
      <c r="C39" s="39">
        <v>3.1195323121526823</v>
      </c>
      <c r="D39" s="39">
        <v>3.485350300841989</v>
      </c>
      <c r="E39" s="39">
        <v>3.926481037381438</v>
      </c>
      <c r="F39" s="39">
        <v>4.465620990763843</v>
      </c>
    </row>
    <row r="40">
      <c r="A40" s="62" t="n">
        <v>0.095</v>
      </c>
      <c r="B40" s="39">
        <v>2.3512047774006226</v>
      </c>
      <c r="C40" s="39">
        <v>2.562175764347122</v>
      </c>
      <c r="D40" s="39">
        <v>2.809795446697609</v>
      </c>
      <c r="E40" s="39">
        <v>3.1025946504293604</v>
      </c>
      <c r="F40" s="39">
        <v>3.451948692939417</v>
      </c>
    </row>
    <row r="41">
      <c r="A41" s="62" t="n">
        <v>0.105</v>
      </c>
      <c r="B41" s="39">
        <v>2.0519898455898367</v>
      </c>
      <c r="C41" s="39">
        <v>2.2004579826372805</v>
      </c>
      <c r="D41" s="39">
        <v>2.3729092356966803</v>
      </c>
      <c r="E41" s="39">
        <v>2.574200128223775</v>
      </c>
      <c r="F41" s="39">
        <v>2.810575470185713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Moderna,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-1.581275720164609</v>
      </c>
      <c r="C6" s="63">
        <f>Assumptions!$B$18+(Assumptions!$E$13-Assumptions!$B$18)*C4/Assumptions!$B$21</f>
        <v>-1.07719</v>
      </c>
      <c r="D6" s="63">
        <f>Assumptions!$B$18+(Assumptions!$E$13-Assumptions!$B$18)*D4/Assumptions!$B$21</f>
        <v>-0.9352800000000001</v>
      </c>
      <c r="E6" s="63">
        <f>Assumptions!$B$18+(Assumptions!$E$13-Assumptions!$B$18)*E4/Assumptions!$B$21</f>
        <v>-0.7933700000000001</v>
      </c>
      <c r="F6" s="63">
        <f>Assumptions!$B$18+(Assumptions!$E$13-Assumptions!$B$18)*F4/Assumptions!$B$21</f>
        <v>-0.65146</v>
      </c>
      <c r="G6" s="63">
        <f>Assumptions!$B$18+(Assumptions!$E$13-Assumptions!$B$18)*G4/Assumptions!$B$21</f>
        <v>-0.5095500000000001</v>
      </c>
      <c r="H6" s="63">
        <f>Assumptions!$B$18+(Assumptions!$E$13-Assumptions!$B$18)*H4/Assumptions!$B$21</f>
        <v>-0.3676400000000001</v>
      </c>
      <c r="I6" s="63">
        <f>Assumptions!$B$18+(Assumptions!$E$13-Assumptions!$B$18)*I4/Assumptions!$B$21</f>
        <v>-0.2257300000000001</v>
      </c>
      <c r="J6" s="63">
        <f>Assumptions!$B$18+(Assumptions!$E$13-Assumptions!$B$18)*J4/Assumptions!$B$21</f>
        <v>-0.08382</v>
      </c>
      <c r="K6" s="63">
        <f>Assumptions!$B$18+(Assumptions!$E$13-Assumptions!$B$18)*K4/Assumptions!$B$21</f>
        <v>0.058089999999999975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Model'!K2</f>
        <v>1944</v>
      </c>
      <c r="C7" s="55">
        <f>'Yearly Model'!L2</f>
        <v>1749.6000000000001</v>
      </c>
      <c r="D7" s="55">
        <f>'Yearly Model'!M2</f>
        <v>1598.94</v>
      </c>
      <c r="E7" s="55">
        <f>'Yearly Model'!N2</f>
        <v>1483.461</v>
      </c>
      <c r="F7" s="55">
        <f>'Yearly Model'!O2</f>
        <v>1396.925775</v>
      </c>
      <c r="G7" s="55">
        <f>'Yearly Model'!P2</f>
        <v>1334.8401849999998</v>
      </c>
      <c r="H7" s="55">
        <f>'Yearly Model'!Q2</f>
        <v>1294.0534015694443</v>
      </c>
      <c r="I7" s="55">
        <f>'Yearly Model'!R2</f>
        <v>1272.4858448766201</v>
      </c>
      <c r="J7" s="55">
        <f>'Yearly Model'!S2</f>
        <v>1268.9511619741852</v>
      </c>
      <c r="K7" s="55">
        <f>'Yearly Model'!T2</f>
        <v>1283.0506193294539</v>
      </c>
      <c r="L7" s="55">
        <f>'Yearly Model'!U2</f>
        <v>1315.1268848126902</v>
      </c>
    </row>
    <row r="8">
      <c r="A8" s="14" t="inlineStr">
        <is>
          <t>Operating income</t>
        </is>
      </c>
      <c r="B8" s="55">
        <f>'Yearly Model'!K8</f>
        <v>-3074.0</v>
      </c>
      <c r="C8" s="55">
        <f>'Yearly Model'!L8</f>
        <v>-1884.6516240000005</v>
      </c>
      <c r="D8" s="55">
        <f>'Yearly Model'!M8</f>
        <v>-1495.4566032000002</v>
      </c>
      <c r="E8" s="55">
        <f>'Yearly Model'!N8</f>
        <v>-1176.9334535700002</v>
      </c>
      <c r="F8" s="55">
        <f>'Yearly Model'!O8</f>
        <v>-910.0412653815</v>
      </c>
      <c r="G8" s="55">
        <f>'Yearly Model'!P8</f>
        <v>-680.1678162667499</v>
      </c>
      <c r="H8" s="55">
        <f>'Yearly Model'!Q8</f>
        <v>-475.74579255299057</v>
      </c>
      <c r="I8" s="55">
        <f>'Yearly Model'!R8</f>
        <v>-287.2382297639996</v>
      </c>
      <c r="J8" s="55">
        <f>'Yearly Model'!S8</f>
        <v>-106.3634863966762</v>
      </c>
      <c r="K8" s="55">
        <f>'Yearly Model'!T8</f>
        <v>74.53241047684799</v>
      </c>
      <c r="L8" s="55">
        <f>'Yearly Model'!U8</f>
        <v>263.02537696253796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12.670509781064158</v>
      </c>
      <c r="L9" s="52">
        <f>MAX(0,L8)*Assumptions!$E$14</f>
        <v>44.71431408363146</v>
      </c>
    </row>
    <row r="10">
      <c r="A10" s="14" t="inlineStr">
        <is>
          <t>NOPAT</t>
        </is>
      </c>
      <c r="C10" s="52">
        <f>C8-C9</f>
        <v>-1884.6516240000005</v>
      </c>
      <c r="D10" s="52">
        <f>D8-D9</f>
        <v>-1495.4566032000002</v>
      </c>
      <c r="E10" s="52">
        <f>E8-E9</f>
        <v>-1176.9334535700002</v>
      </c>
      <c r="F10" s="52">
        <f>F8-F9</f>
        <v>-910.0412653815</v>
      </c>
      <c r="G10" s="52">
        <f>G8-G9</f>
        <v>-680.1678162667499</v>
      </c>
      <c r="H10" s="52">
        <f>H8-H9</f>
        <v>-475.74579255299057</v>
      </c>
      <c r="I10" s="52">
        <f>I8-I9</f>
        <v>-287.2382297639996</v>
      </c>
      <c r="J10" s="52">
        <f>J8-J9</f>
        <v>-106.3634863966762</v>
      </c>
      <c r="K10" s="52">
        <f>K8-K9</f>
        <v>61.86190069578383</v>
      </c>
      <c r="L10" s="52">
        <f>L8-L9</f>
        <v>218.3110628789065</v>
      </c>
    </row>
    <row r="11">
      <c r="A11" s="14" t="inlineStr">
        <is>
          <t>Reinvestment</t>
        </is>
      </c>
      <c r="C11" s="52">
        <f>(C7-B7)*Assumptions!$E$15</f>
        <v>-48.599999999999966</v>
      </c>
      <c r="D11" s="52">
        <f>(D7-C7)*Assumptions!$E$15</f>
        <v>-37.66500000000002</v>
      </c>
      <c r="E11" s="52">
        <f>(E7-D7)*Assumptions!$E$15</f>
        <v>-28.86975000000001</v>
      </c>
      <c r="F11" s="52">
        <f>(F7-E7)*Assumptions!$E$15</f>
        <v>-21.63380625000002</v>
      </c>
      <c r="G11" s="52">
        <f>(G7-F7)*Assumptions!$E$15</f>
        <v>-15.521397500000035</v>
      </c>
      <c r="H11" s="52">
        <f>(H7-G7)*Assumptions!$E$15</f>
        <v>-10.196695857638872</v>
      </c>
      <c r="I11" s="52">
        <f>(I7-H7)*Assumptions!$E$15</f>
        <v>-5.391889173206039</v>
      </c>
      <c r="J11" s="52">
        <f>(J7-I7)*Assumptions!$E$15</f>
        <v>-0.8836707256087379</v>
      </c>
      <c r="K11" s="52">
        <f>(K7-J7)*Assumptions!$E$15</f>
        <v>3.524864338817167</v>
      </c>
      <c r="L11" s="52">
        <f>(L7-K7)*Assumptions!$E$15</f>
        <v>8.019066370809071</v>
      </c>
    </row>
    <row r="12">
      <c r="A12" s="20" t="inlineStr">
        <is>
          <t>Free cash flow</t>
        </is>
      </c>
      <c r="C12" s="64">
        <f>C10-C11</f>
        <v>-1836.0516240000006</v>
      </c>
      <c r="D12" s="64">
        <f>D10-D11</f>
        <v>-1457.7916032000003</v>
      </c>
      <c r="E12" s="64">
        <f>E10-E11</f>
        <v>-1148.0637035700001</v>
      </c>
      <c r="F12" s="64">
        <f>F10-F11</f>
        <v>-888.4074591315</v>
      </c>
      <c r="G12" s="64">
        <f>G10-G11</f>
        <v>-664.6464187667499</v>
      </c>
      <c r="H12" s="64">
        <f>H10-H11</f>
        <v>-465.5490966953517</v>
      </c>
      <c r="I12" s="64">
        <f>I10-I11</f>
        <v>-281.84634059079355</v>
      </c>
      <c r="J12" s="64">
        <f>J10-J11</f>
        <v>-105.47981567106746</v>
      </c>
      <c r="K12" s="64">
        <f>K10-K11</f>
        <v>58.337036356966664</v>
      </c>
      <c r="L12" s="64">
        <f>L10-L11</f>
        <v>210.29199650809744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-906.716502239957</v>
      </c>
      <c r="D16" s="64">
        <f>D12*D13*D15</f>
        <v>-1343.1374060777696</v>
      </c>
      <c r="E16" s="64">
        <f>E12*E13*E15</f>
        <v>-974.9026446029638</v>
      </c>
      <c r="F16" s="64">
        <f>F12*F13*F15</f>
        <v>-695.3087901055583</v>
      </c>
      <c r="G16" s="64">
        <f>G12*G13*G15</f>
        <v>-479.4313778687357</v>
      </c>
      <c r="H16" s="64">
        <f>H12*H13*H15</f>
        <v>-309.50775523976125</v>
      </c>
      <c r="I16" s="64">
        <f>I12*I13*I15</f>
        <v>-172.69855724517313</v>
      </c>
      <c r="J16" s="64">
        <f>J12*J13*J15</f>
        <v>-59.568399698725905</v>
      </c>
      <c r="K16" s="64">
        <f>K12*K13*K15</f>
        <v>30.36415466262152</v>
      </c>
      <c r="L16" s="64">
        <f>L12*L13*L15</f>
        <v>100.88110685648529</v>
      </c>
    </row>
    <row r="19">
      <c r="A19" s="14" t="inlineStr">
        <is>
          <t>PV of forecast free cash flow</t>
        </is>
      </c>
      <c r="B19" s="52">
        <f>SUM(C16:L16)</f>
        <v>-4810.026171559538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215.54929642079983</v>
      </c>
    </row>
    <row r="21">
      <c r="A21" s="14" t="inlineStr">
        <is>
          <t>Terminal value</t>
        </is>
      </c>
      <c r="B21" s="52">
        <f>B20/(Assumptions!$E$10-Assumptions!$E$11)</f>
        <v>3592.488273679997</v>
      </c>
    </row>
    <row r="22">
      <c r="A22" s="14" t="inlineStr">
        <is>
          <t>PV of terminal value</t>
        </is>
      </c>
      <c r="B22" s="52">
        <f>B21/(1+Assumptions!$E$10)^(L14+0.5)</f>
        <v>1654.503097392607</v>
      </c>
    </row>
    <row r="23">
      <c r="A23" s="20" t="inlineStr">
        <is>
          <t>Enterprise value</t>
        </is>
      </c>
      <c r="B23" s="66">
        <f>B19+B22</f>
        <v>-3155.523074166931</v>
      </c>
    </row>
    <row r="24">
      <c r="A24" s="14" t="inlineStr">
        <is>
          <t>Cash &amp; investments</t>
        </is>
      </c>
      <c r="B24" s="55">
        <f>Main!C7</f>
        <v>5138.0</v>
      </c>
    </row>
    <row r="25">
      <c r="A25" s="14" t="inlineStr">
        <is>
          <t>Debt</t>
        </is>
      </c>
      <c r="B25" s="55">
        <f>Main!C8</f>
        <v>591</v>
      </c>
    </row>
    <row r="26">
      <c r="A26" s="20" t="inlineStr">
        <is>
          <t>Equity value</t>
        </is>
      </c>
      <c r="B26" s="66">
        <f>B23+B24-B25</f>
        <v>1391.476925833069</v>
      </c>
    </row>
    <row r="27">
      <c r="A27" s="14" t="inlineStr">
        <is>
          <t>Shares (mm)</t>
        </is>
      </c>
      <c r="B27" s="55">
        <f>Main!C4</f>
        <v>399.235889</v>
      </c>
    </row>
    <row r="28">
      <c r="A28" s="20" t="inlineStr">
        <is>
          <t>NPV / share</t>
        </is>
      </c>
      <c r="B28" s="49">
        <f>B26/B27</f>
        <v>3.485350300841989</v>
      </c>
    </row>
    <row r="29">
      <c r="A29" s="14" t="inlineStr">
        <is>
          <t>Price</t>
        </is>
      </c>
      <c r="B29" s="50">
        <f>Main!C3</f>
        <v>242.08</v>
      </c>
    </row>
    <row r="30">
      <c r="A30" s="14" t="inlineStr">
        <is>
          <t>Upside</t>
        </is>
      </c>
      <c r="B30" s="63">
        <f>B28/B29-1</f>
        <v>-0.9856024855384915</v>
      </c>
    </row>
    <row r="31">
      <c r="A31" s="14" t="inlineStr">
        <is>
          <t>Terminal value, % of EV</t>
        </is>
      </c>
      <c r="B31" s="63">
        <f>IFERROR(B22/B23,0)</f>
        <v>-0.5243197588816243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2026-10-21T06:21:05Z</dcterms:modified>
  <cp:lastModifiedBy>Wang, Eric</cp:lastModifiedBy>
</cp:coreProperties>
</file>