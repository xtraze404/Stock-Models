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Curis Inc</t>
        </is>
      </c>
      <c r="C2" s="10" t="n"/>
    </row>
    <row r="3">
      <c r="B3" t="inlineStr">
        <is>
          <t>Price</t>
        </is>
      </c>
      <c r="C3" s="11">
        <f>INDEX([1]Pharma!$F$1:$F$1000,MATCH("CRIS",[1]Pharma!$B$1:$B$1000,0))</f>
        <v>0.3996</v>
      </c>
      <c r="F3" s="1" t="n"/>
    </row>
    <row r="4">
      <c r="B4" t="inlineStr">
        <is>
          <t>Shares</t>
        </is>
      </c>
      <c r="C4" s="21" t="n">
        <v>2.090077</v>
      </c>
      <c r="F4" s="1" t="n"/>
    </row>
    <row r="5">
      <c r="B5" t="inlineStr">
        <is>
          <t>Market Cap.</t>
        </is>
      </c>
      <c r="C5" s="13">
        <f>C3*C4</f>
        <v>0.8351947692</v>
      </c>
      <c r="F5" s="1" t="n"/>
    </row>
    <row r="6"/>
    <row r="7">
      <c r="B7" t="inlineStr">
        <is>
          <t>Cash</t>
        </is>
      </c>
      <c r="C7" s="21" t="n">
        <v>5.1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-4.2648052307999995</v>
      </c>
    </row>
    <row r="10"/>
    <row r="11">
      <c r="B11" s="14" t="inlineStr">
        <is>
          <t>rNPV / Share</t>
        </is>
      </c>
      <c r="C11" s="11">
        <f>NPV!B27</f>
        <v>120.904012524773</v>
      </c>
    </row>
    <row r="12">
      <c r="B12" s="14" t="inlineStr">
        <is>
          <t>Upside</t>
        </is>
      </c>
      <c r="C12" s="15">
        <f>IFERROR(C11/C3-1,"")</f>
        <v>301.5625939058383</v>
      </c>
    </row>
    <row r="13">
      <c r="B13" s="14" t="inlineStr">
        <is>
          <t>Cash / Share</t>
        </is>
      </c>
      <c r="C13" s="11">
        <f>IFERROR((C7-C8)/C4,"")</f>
        <v>2.440101489083895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-30.587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0.16673750286069244</v>
      </c>
    </row>
    <row r="19">
      <c r="B19" s="14" t="inlineStr">
        <is>
          <t>Implied Pipeline Value</t>
        </is>
      </c>
      <c r="C19" s="13">
        <f>C9</f>
        <v>-4.2648052307999995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8.59</v>
      </c>
      <c r="C2" s="23" t="n">
        <v>16</v>
      </c>
      <c r="D2" s="23" t="n">
        <v>14.763</v>
      </c>
      <c r="E2" s="23" t="n">
        <v>16.972</v>
      </c>
      <c r="F2" s="23" t="n">
        <v>15.002</v>
      </c>
      <c r="G2" s="23" t="n">
        <v>9.843</v>
      </c>
      <c r="H2" s="23" t="n">
        <v>7.878</v>
      </c>
      <c r="I2" s="23" t="n">
        <v>7.527</v>
      </c>
      <c r="J2" s="23" t="n">
        <v>9.898</v>
      </c>
      <c r="K2" s="23" t="n">
        <v>10.428</v>
      </c>
      <c r="L2" s="23" t="n">
        <v>10.004</v>
      </c>
      <c r="M2" s="23" t="n">
        <v>10.835</v>
      </c>
      <c r="N2" s="23" t="n">
        <v>10.649</v>
      </c>
      <c r="O2" s="23" t="n">
        <v>10.162</v>
      </c>
      <c r="P2" s="23" t="n">
        <v>10.023</v>
      </c>
      <c r="Q2" s="23" t="n">
        <v>10.908</v>
      </c>
      <c r="R2" s="23" t="n">
        <v>9.443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8.59</v>
      </c>
      <c r="C4" s="23">
        <f>C2-C3</f>
        <v>16.0</v>
      </c>
      <c r="D4" s="23">
        <f>D2-D3</f>
        <v>14.763</v>
      </c>
      <c r="E4" s="23">
        <f>E2-E3</f>
        <v>16.972</v>
      </c>
      <c r="F4" s="23">
        <f>F2-F3</f>
        <v>15.002</v>
      </c>
      <c r="G4" s="23">
        <f>G2-G3</f>
        <v>9.843</v>
      </c>
      <c r="H4" s="23">
        <f>H2-H3</f>
        <v>7.878</v>
      </c>
      <c r="I4" s="23">
        <f>I2-I3</f>
        <v>7.527</v>
      </c>
      <c r="J4" s="23">
        <f>J2-J3</f>
        <v>9.898</v>
      </c>
      <c r="K4" s="23">
        <f>K2-K3</f>
        <v>10.428</v>
      </c>
      <c r="L4" s="23">
        <f>L2-L3</f>
        <v>10.004</v>
      </c>
      <c r="M4" s="23">
        <f>M2-M3</f>
        <v>10.835</v>
      </c>
      <c r="N4" s="23">
        <f>N2-N3</f>
        <v>10.649</v>
      </c>
      <c r="O4" s="23">
        <f>O2-O3</f>
        <v>10.162</v>
      </c>
      <c r="P4" s="23">
        <f>P2-P3</f>
        <v>10.023</v>
      </c>
      <c r="Q4" s="23">
        <f>Q2-Q3</f>
        <v>10.908</v>
      </c>
      <c r="R4" s="23">
        <f>R2-R3</f>
        <v>9.443</v>
      </c>
    </row>
    <row r="5">
      <c r="A5" s="2" t="inlineStr">
        <is>
          <t>Research &amp; Dev.</t>
        </is>
      </c>
      <c r="B5" s="23" t="n">
        <v>9.933</v>
      </c>
      <c r="C5" s="23" t="n">
        <v>11.373</v>
      </c>
      <c r="D5" s="23" t="n">
        <v>13.693</v>
      </c>
      <c r="E5" s="23" t="n">
        <v>15.492</v>
      </c>
      <c r="F5" s="23" t="n">
        <v>12.927</v>
      </c>
      <c r="G5" s="23" t="n">
        <v>13.659</v>
      </c>
      <c r="H5" s="23" t="n">
        <v>26.699</v>
      </c>
      <c r="I5" s="23" t="n">
        <v>31.59</v>
      </c>
      <c r="J5" s="23" t="n">
        <v>45.096</v>
      </c>
      <c r="K5" s="23" t="n">
        <v>24.413</v>
      </c>
      <c r="L5" s="23" t="n">
        <v>22.302</v>
      </c>
      <c r="M5" s="23" t="n">
        <v>23.068</v>
      </c>
      <c r="N5" s="23" t="n">
        <v>34.884</v>
      </c>
      <c r="O5" s="23" t="n">
        <v>43.277</v>
      </c>
      <c r="P5" s="23" t="n">
        <v>39.496</v>
      </c>
      <c r="Q5" s="23" t="n">
        <v>38.562</v>
      </c>
      <c r="R5" s="23" t="n">
        <v>28.254</v>
      </c>
    </row>
    <row r="6">
      <c r="A6" s="19" t="inlineStr">
        <is>
          <t>SG&amp;A &amp; Other</t>
        </is>
      </c>
      <c r="B6" s="23" t="n">
        <v>8.702</v>
      </c>
      <c r="C6" s="23" t="n">
        <v>10.264</v>
      </c>
      <c r="D6" s="23" t="n">
        <v>8.272</v>
      </c>
      <c r="E6" s="23" t="n">
        <v>20.099</v>
      </c>
      <c r="F6" s="23" t="n">
        <v>11.492</v>
      </c>
      <c r="G6" s="23" t="n">
        <v>12.046</v>
      </c>
      <c r="H6" s="23" t="n">
        <v>37.66</v>
      </c>
      <c r="I6" s="23" t="n">
        <v>33.976</v>
      </c>
      <c r="J6" s="23" t="n">
        <v>14.562</v>
      </c>
      <c r="K6" s="23" t="n">
        <v>15.348</v>
      </c>
      <c r="L6" s="23" t="n">
        <v>12.058</v>
      </c>
      <c r="M6" s="23" t="n">
        <v>12.665</v>
      </c>
      <c r="N6" s="23" t="n">
        <v>17.83</v>
      </c>
      <c r="O6" s="23" t="n">
        <v>19.905</v>
      </c>
      <c r="P6" s="23" t="n">
        <v>18.859</v>
      </c>
      <c r="Q6" s="23" t="n">
        <v>16.888</v>
      </c>
      <c r="R6" s="23" t="n">
        <v>-13.098</v>
      </c>
    </row>
    <row r="7">
      <c r="A7" s="2" t="inlineStr">
        <is>
          <t>Operating Expense</t>
        </is>
      </c>
      <c r="B7" s="23">
        <f>SUM(B5:B6)</f>
        <v>18.634999999999998</v>
      </c>
      <c r="C7" s="23">
        <f>SUM(C5:C6)</f>
        <v>21.637</v>
      </c>
      <c r="D7" s="23">
        <f>SUM(D5:D6)</f>
        <v>21.965</v>
      </c>
      <c r="E7" s="23">
        <f>SUM(E5:E6)</f>
        <v>35.591</v>
      </c>
      <c r="F7" s="23">
        <f>SUM(F5:F6)</f>
        <v>24.419</v>
      </c>
      <c r="G7" s="23">
        <f>SUM(G5:G6)</f>
        <v>25.705</v>
      </c>
      <c r="H7" s="23">
        <f>SUM(H5:H6)</f>
        <v>64.359</v>
      </c>
      <c r="I7" s="23">
        <f>SUM(I5:I6)</f>
        <v>65.566</v>
      </c>
      <c r="J7" s="23">
        <f>SUM(J5:J6)</f>
        <v>59.657999999999994</v>
      </c>
      <c r="K7" s="23">
        <f>SUM(K5:K6)</f>
        <v>39.761</v>
      </c>
      <c r="L7" s="23">
        <f>SUM(L5:L6)</f>
        <v>34.36</v>
      </c>
      <c r="M7" s="23">
        <f>SUM(M5:M6)</f>
        <v>35.733000000000004</v>
      </c>
      <c r="N7" s="23">
        <f>SUM(N5:N6)</f>
        <v>52.714</v>
      </c>
      <c r="O7" s="23">
        <f>SUM(O5:O6)</f>
        <v>63.182</v>
      </c>
      <c r="P7" s="23">
        <f>SUM(P5:P6)</f>
        <v>58.355000000000004</v>
      </c>
      <c r="Q7" s="23">
        <f>SUM(Q5:Q6)</f>
        <v>55.45</v>
      </c>
      <c r="R7" s="23">
        <f>SUM(R5:R6)</f>
        <v>15.156</v>
      </c>
    </row>
    <row r="8">
      <c r="A8" s="2" t="inlineStr">
        <is>
          <t>Operating Income</t>
        </is>
      </c>
      <c r="B8" s="23">
        <f>B4-B7</f>
        <v>-10.044999999999998</v>
      </c>
      <c r="C8" s="23">
        <f>C4-C7</f>
        <v>-5.6370000000000005</v>
      </c>
      <c r="D8" s="23">
        <f>D4-D7</f>
        <v>-7.202</v>
      </c>
      <c r="E8" s="23">
        <f>E4-E7</f>
        <v>-18.619</v>
      </c>
      <c r="F8" s="23">
        <f>F4-F7</f>
        <v>-9.417</v>
      </c>
      <c r="G8" s="23">
        <f>G4-G7</f>
        <v>-15.861999999999998</v>
      </c>
      <c r="H8" s="23">
        <f>H4-H7</f>
        <v>-56.480999999999995</v>
      </c>
      <c r="I8" s="23">
        <f>I4-I7</f>
        <v>-58.039</v>
      </c>
      <c r="J8" s="23">
        <f>J4-J7</f>
        <v>-49.75999999999999</v>
      </c>
      <c r="K8" s="23">
        <f>K4-K7</f>
        <v>-29.333000000000002</v>
      </c>
      <c r="L8" s="23">
        <f>L4-L7</f>
        <v>-24.356</v>
      </c>
      <c r="M8" s="23">
        <f>M4-M7</f>
        <v>-24.898000000000003</v>
      </c>
      <c r="N8" s="23">
        <f>N4-N7</f>
        <v>-42.065</v>
      </c>
      <c r="O8" s="23">
        <f>O4-O7</f>
        <v>-53.02</v>
      </c>
      <c r="P8" s="23">
        <f>P4-P7</f>
        <v>-48.33200000000001</v>
      </c>
      <c r="Q8" s="23">
        <f>Q4-Q7</f>
        <v>-44.542</v>
      </c>
      <c r="R8" s="23">
        <f>R4-R7</f>
        <v>-5.713000000000001</v>
      </c>
    </row>
    <row r="9">
      <c r="A9" s="19" t="inlineStr">
        <is>
          <t>Interest &amp; Other</t>
        </is>
      </c>
      <c r="B9" s="23" t="n">
        <v>0.222</v>
      </c>
      <c r="C9" s="23" t="n">
        <v>1.202</v>
      </c>
      <c r="D9" s="23" t="n">
        <v>-2.656</v>
      </c>
      <c r="E9" s="23" t="n">
        <v>2.203</v>
      </c>
      <c r="F9" s="23" t="n">
        <v>-2.906</v>
      </c>
      <c r="G9" s="23" t="n">
        <v>-2.867</v>
      </c>
      <c r="H9" s="23" t="n">
        <v>-2.5</v>
      </c>
      <c r="I9" s="23" t="n">
        <v>-2.372</v>
      </c>
      <c r="J9" s="23" t="n">
        <v>-3.557</v>
      </c>
      <c r="K9" s="23" t="n">
        <v>-3.242</v>
      </c>
      <c r="L9" s="23" t="n">
        <v>-7.785</v>
      </c>
      <c r="M9" s="23" t="n">
        <v>-5.01</v>
      </c>
      <c r="N9" s="23" t="n">
        <v>-3.371</v>
      </c>
      <c r="O9" s="23" t="n">
        <v>-3.652</v>
      </c>
      <c r="P9" s="23" t="n">
        <v>0.919</v>
      </c>
      <c r="Q9" s="23" t="n">
        <v>1.153</v>
      </c>
      <c r="R9" s="23" t="n">
        <v>-1.869</v>
      </c>
    </row>
    <row r="10">
      <c r="A10" s="2" t="inlineStr">
        <is>
          <t>Pretax</t>
        </is>
      </c>
      <c r="B10" s="23">
        <f>B8+B9</f>
        <v>-9.822999999999999</v>
      </c>
      <c r="C10" s="23">
        <f>C8+C9</f>
        <v>-4.4350000000000005</v>
      </c>
      <c r="D10" s="23">
        <f>D8+D9</f>
        <v>-9.858</v>
      </c>
      <c r="E10" s="23">
        <f>E8+E9</f>
        <v>-16.416</v>
      </c>
      <c r="F10" s="23">
        <f>F8+F9</f>
        <v>-12.323</v>
      </c>
      <c r="G10" s="23">
        <f>G8+G9</f>
        <v>-18.729</v>
      </c>
      <c r="H10" s="23">
        <f>H8+H9</f>
        <v>-58.980999999999995</v>
      </c>
      <c r="I10" s="23">
        <f>I8+I9</f>
        <v>-60.411</v>
      </c>
      <c r="J10" s="23">
        <f>J8+J9</f>
        <v>-53.31699999999999</v>
      </c>
      <c r="K10" s="23">
        <f>K8+K9</f>
        <v>-32.575</v>
      </c>
      <c r="L10" s="23">
        <f>L8+L9</f>
        <v>-32.141000000000005</v>
      </c>
      <c r="M10" s="23">
        <f>M8+M9</f>
        <v>-29.908</v>
      </c>
      <c r="N10" s="23">
        <f>N8+N9</f>
        <v>-45.436</v>
      </c>
      <c r="O10" s="23">
        <f>O8+O9</f>
        <v>-56.672000000000004</v>
      </c>
      <c r="P10" s="23">
        <f>P8+P9</f>
        <v>-47.41300000000001</v>
      </c>
      <c r="Q10" s="23">
        <f>Q8+Q9</f>
        <v>-43.389</v>
      </c>
      <c r="R10" s="23">
        <f>R8+R9</f>
        <v>-7.582000000000001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-9.823</v>
      </c>
      <c r="C12" s="23" t="n">
        <v>-4.435</v>
      </c>
      <c r="D12" s="23" t="n">
        <v>-9.859</v>
      </c>
      <c r="E12" s="23" t="n">
        <v>-16.417</v>
      </c>
      <c r="F12" s="23" t="n">
        <v>-12.322</v>
      </c>
      <c r="G12" s="23" t="n">
        <v>-18.729</v>
      </c>
      <c r="H12" s="23" t="n">
        <v>-58.981</v>
      </c>
      <c r="I12" s="23" t="n">
        <v>-60.411</v>
      </c>
      <c r="J12" s="23" t="n">
        <v>-53.317</v>
      </c>
      <c r="K12" s="23" t="n">
        <v>-32.575</v>
      </c>
      <c r="L12" s="23" t="n">
        <v>-32.141</v>
      </c>
      <c r="M12" s="23" t="n">
        <v>-29.908</v>
      </c>
      <c r="N12" s="23" t="n">
        <v>-45.436</v>
      </c>
      <c r="O12" s="23" t="n">
        <v>-56.672</v>
      </c>
      <c r="P12" s="23" t="n">
        <v>-47.413</v>
      </c>
      <c r="Q12" s="23" t="n">
        <v>-43.389</v>
      </c>
      <c r="R12" s="23" t="n">
        <v>-7.582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-1.1832977588046956</v>
      </c>
      <c r="D13" s="11">
        <f>IFERROR(D12/D14,0)</f>
        <v>-2.5822420115243583</v>
      </c>
      <c r="E13" s="11">
        <f>IFERROR(E12/E14,0)</f>
        <v>-4.153048317733368</v>
      </c>
      <c r="F13" s="11">
        <f>IFERROR(F12/F14,0)</f>
        <v>-2.992956035948506</v>
      </c>
      <c r="G13" s="11">
        <f>IFERROR(G12/G14,0)</f>
        <v>-4.356594556873691</v>
      </c>
      <c r="H13" s="11">
        <f>IFERROR(H12/H14,0)</f>
        <v>-9.562418936446173</v>
      </c>
      <c r="I13" s="11">
        <f>IFERROR(I12/I14,0)</f>
        <v>-9.099412562132851</v>
      </c>
      <c r="J13" s="11">
        <f>IFERROR(J12/J14,0)</f>
        <v>-35.75922199865862</v>
      </c>
      <c r="K13" s="11">
        <f>IFERROR(K12/K14,0)</f>
        <v>-19.670893719806767</v>
      </c>
      <c r="L13" s="11">
        <f>IFERROR(L12/L14,0)</f>
        <v>-19.37371910789632</v>
      </c>
      <c r="M13" s="11">
        <f>IFERROR(M12/M14,0)</f>
        <v>-12.28759244042728</v>
      </c>
      <c r="N13" s="11">
        <f>IFERROR(N12/N14,0)</f>
        <v>-9.924858016601135</v>
      </c>
      <c r="O13" s="11">
        <f>IFERROR(O12/O14,0)</f>
        <v>-12.135331905781584</v>
      </c>
      <c r="P13" s="11">
        <f>IFERROR(P12/P14,0)</f>
        <v>-8.957679954657094</v>
      </c>
      <c r="Q13" s="11">
        <f>IFERROR(Q12/Q14,0)</f>
        <v>-6.8805899143672695</v>
      </c>
      <c r="R13" s="11">
        <f>IFERROR(R12/R14,0)</f>
        <v>-0.5759647523549073</v>
      </c>
    </row>
    <row r="14">
      <c r="A14" s="2" t="inlineStr">
        <is>
          <t>Shares</t>
        </is>
      </c>
      <c r="B14" s="23" t="n"/>
      <c r="C14" s="23" t="n">
        <v>3.748</v>
      </c>
      <c r="D14" s="23" t="n">
        <v>3.818</v>
      </c>
      <c r="E14" s="23" t="n">
        <v>3.953</v>
      </c>
      <c r="F14" s="23" t="n">
        <v>4.117</v>
      </c>
      <c r="G14" s="23" t="n">
        <v>4.299</v>
      </c>
      <c r="H14" s="23" t="n">
        <v>6.168</v>
      </c>
      <c r="I14" s="23" t="n">
        <v>6.639</v>
      </c>
      <c r="J14" s="23" t="n">
        <v>1.491</v>
      </c>
      <c r="K14" s="23" t="n">
        <v>1.656</v>
      </c>
      <c r="L14" s="23" t="n">
        <v>1.659</v>
      </c>
      <c r="M14" s="23" t="n">
        <v>2.434</v>
      </c>
      <c r="N14" s="23" t="n">
        <v>4.578</v>
      </c>
      <c r="O14" s="23" t="n">
        <v>4.67</v>
      </c>
      <c r="P14" s="23" t="n">
        <v>5.293</v>
      </c>
      <c r="Q14" s="23" t="n">
        <v>6.306</v>
      </c>
      <c r="R14" s="23" t="n">
        <v>13.164</v>
      </c>
    </row>
    <row r="15"/>
    <row r="16" customFormat="1" s="4">
      <c r="A16" s="3" t="inlineStr">
        <is>
          <t>Revenue Change</t>
        </is>
      </c>
      <c r="C16" s="15">
        <f>IFERROR(C2/B2-1,"")</f>
        <v>0.8626309662398137</v>
      </c>
      <c r="D16" s="15">
        <f>IFERROR(D2/C2-1,"")</f>
        <v>-0.0773125</v>
      </c>
      <c r="E16" s="15">
        <f>IFERROR(E2/D2-1,"")</f>
        <v>0.14963083384136033</v>
      </c>
      <c r="F16" s="15">
        <f>IFERROR(F2/E2-1,"")</f>
        <v>-0.11607353287768096</v>
      </c>
      <c r="G16" s="15">
        <f>IFERROR(G2/F2-1,"")</f>
        <v>-0.34388748166911076</v>
      </c>
      <c r="H16" s="15">
        <f>IFERROR(H2/G2-1,"")</f>
        <v>-0.19963425784821698</v>
      </c>
      <c r="I16" s="15">
        <f>IFERROR(I2/H2-1,"")</f>
        <v>-0.044554455445544594</v>
      </c>
      <c r="J16" s="15">
        <f>IFERROR(J2/I2-1,"")</f>
        <v>0.31499933572472427</v>
      </c>
      <c r="K16" s="15">
        <f>IFERROR(K2/J2-1,"")</f>
        <v>0.053546170943625127</v>
      </c>
      <c r="L16" s="15">
        <f>IFERROR(L2/K2-1,"")</f>
        <v>-0.04065976217874967</v>
      </c>
      <c r="M16" s="15">
        <f>IFERROR(M2/L2-1,"")</f>
        <v>0.08306677329068379</v>
      </c>
      <c r="N16" s="15">
        <f>IFERROR(N2/M2-1,"")</f>
        <v>-0.0171665897554224</v>
      </c>
      <c r="O16" s="15">
        <f>IFERROR(O2/N2-1,"")</f>
        <v>-0.045731993614423705</v>
      </c>
      <c r="P16" s="15">
        <f>IFERROR(P2/O2-1,"")</f>
        <v>-0.013678409761857968</v>
      </c>
      <c r="Q16" s="15">
        <f>IFERROR(Q2/P2-1,"")</f>
        <v>0.08829691709069132</v>
      </c>
      <c r="R16" s="15">
        <f>IFERROR(R2/Q2-1,"")</f>
        <v>-0.13430509717638428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</row>
    <row r="18">
      <c r="A18" s="14" t="inlineStr">
        <is>
          <t>Operating Margin</t>
        </is>
      </c>
      <c r="B18" s="15">
        <f>IFERROR(B8/B2,"")</f>
        <v>-1.1693830034924328</v>
      </c>
      <c r="C18" s="15">
        <f>IFERROR(C8/C2,"")</f>
        <v>-0.35231250000000003</v>
      </c>
      <c r="D18" s="15">
        <f>IFERROR(D8/D2,"")</f>
        <v>-0.48784122468332997</v>
      </c>
      <c r="E18" s="15">
        <f>IFERROR(E8/E2,"")</f>
        <v>-1.0970421871317464</v>
      </c>
      <c r="F18" s="15">
        <f>IFERROR(F8/F2,"")</f>
        <v>-0.6277163044927343</v>
      </c>
      <c r="G18" s="15">
        <f>IFERROR(G8/G2,"")</f>
        <v>-1.6115005587727318</v>
      </c>
      <c r="H18" s="15">
        <f>IFERROR(H8/H2,"")</f>
        <v>-7.169459253617669</v>
      </c>
      <c r="I18" s="15">
        <f>IFERROR(I8/I2,"")</f>
        <v>-7.710774544971437</v>
      </c>
      <c r="J18" s="15">
        <f>IFERROR(J8/J2,"")</f>
        <v>-5.0272782380278835</v>
      </c>
      <c r="K18" s="15">
        <f>IFERROR(K8/K2,"")</f>
        <v>-2.8129075565784425</v>
      </c>
      <c r="L18" s="15">
        <f>IFERROR(L8/L2,"")</f>
        <v>-2.4346261495401844</v>
      </c>
      <c r="M18" s="15">
        <f>IFERROR(M8/M2,"")</f>
        <v>-2.297923396400554</v>
      </c>
      <c r="N18" s="15">
        <f>IFERROR(N8/N2,"")</f>
        <v>-3.950136163020002</v>
      </c>
      <c r="O18" s="15">
        <f>IFERROR(O8/O2,"")</f>
        <v>-5.217476874630978</v>
      </c>
      <c r="P18" s="15">
        <f>IFERROR(P8/P2,"")</f>
        <v>-4.822109148957399</v>
      </c>
      <c r="Q18" s="15">
        <f>IFERROR(Q8/Q2,"")</f>
        <v>-4.083425009167584</v>
      </c>
      <c r="R18" s="15">
        <f>IFERROR(R8/R2,"")</f>
        <v>-0.6049984115217623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Curis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0.1752568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8.763999999999999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539.4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247.59869578573998</v>
      </c>
      <c r="C29" s="42">
        <f>NPV!B25</f>
        <v>252.69869578573997</v>
      </c>
      <c r="D29" s="43">
        <f>NPV!B27</f>
        <v>120.904012524773</v>
      </c>
      <c r="E29" s="44">
        <f>NPV!B29</f>
        <v>301.5625939058383</v>
      </c>
    </row>
    <row r="30">
      <c r="A30" s="45" t="n">
        <v>1</v>
      </c>
      <c r="B30" s="46">
        <f t="dataTable" ref="B30:E32" r1="B4"/>
        <v>90.18580337935391</v>
      </c>
      <c r="C30" s="46">
        <v>95.28580337935391</v>
      </c>
      <c r="D30" s="47">
        <v>45.58961386559151</v>
      </c>
      <c r="E30" s="48">
        <v>113.08812278676554</v>
      </c>
    </row>
    <row r="31">
      <c r="A31" s="45" t="n">
        <v>2</v>
      </c>
      <c r="B31" s="46">
        <v>247.59869578573998</v>
      </c>
      <c r="C31" s="46">
        <v>252.69869578573997</v>
      </c>
      <c r="D31" s="47">
        <v>120.904012524773</v>
      </c>
      <c r="E31" s="48">
        <v>301.5625939058383</v>
      </c>
    </row>
    <row r="32">
      <c r="A32" s="45" t="n">
        <v>3</v>
      </c>
      <c r="B32" s="46">
        <v>491.72259551638126</v>
      </c>
      <c r="C32" s="46">
        <v>496.8225955163813</v>
      </c>
      <c r="D32" s="47">
        <v>237.70540296667602</v>
      </c>
      <c r="E32" s="48">
        <v>593.8583657824724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120.904012524773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32.3650708480058</v>
      </c>
      <c r="C37" s="47">
        <v>53.722209305046206</v>
      </c>
      <c r="D37" s="47">
        <v>73.10120253287423</v>
      </c>
      <c r="E37" s="47">
        <v>109.4404149438281</v>
      </c>
      <c r="F37" s="47">
        <v>144.74326831016316</v>
      </c>
    </row>
    <row r="38">
      <c r="A38" s="50" t="n">
        <v>0.8</v>
      </c>
      <c r="B38" s="47">
        <v>46.388457347614406</v>
      </c>
      <c r="C38" s="47">
        <v>72.90931696042509</v>
      </c>
      <c r="D38" s="47">
        <v>97.27695128984135</v>
      </c>
      <c r="E38" s="47">
        <v>144.560185265858</v>
      </c>
      <c r="F38" s="47">
        <v>190.95708197879506</v>
      </c>
    </row>
    <row r="39">
      <c r="A39" s="50" t="n">
        <v>1</v>
      </c>
      <c r="B39" s="47">
        <v>60.174866189617944</v>
      </c>
      <c r="C39" s="47">
        <v>91.07348090570449</v>
      </c>
      <c r="D39" s="47">
        <v>120.904012524773</v>
      </c>
      <c r="E39" s="47">
        <v>179.22986381328147</v>
      </c>
      <c r="F39" s="47">
        <v>236.77755913925336</v>
      </c>
    </row>
    <row r="40">
      <c r="A40" s="50" t="n">
        <v>1.2</v>
      </c>
      <c r="B40" s="47">
        <v>72.53644744543992</v>
      </c>
      <c r="C40" s="47">
        <v>108.89495061201556</v>
      </c>
      <c r="D40" s="47">
        <v>144.20442070752893</v>
      </c>
      <c r="E40" s="47">
        <v>213.70526272607376</v>
      </c>
      <c r="F40" s="47">
        <v>282.3643340987729</v>
      </c>
    </row>
    <row r="41">
      <c r="A41" s="50" t="n">
        <v>1.4</v>
      </c>
      <c r="B41" s="47">
        <v>84.63321925546082</v>
      </c>
      <c r="C41" s="47">
        <v>126.46627400203406</v>
      </c>
      <c r="D41" s="47">
        <v>167.33549992737383</v>
      </c>
      <c r="E41" s="47">
        <v>247.8768374134601</v>
      </c>
      <c r="F41" s="47">
        <v>327.86628817332127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Curis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Leukemia</t>
        </is>
      </c>
      <c r="C4" s="14" t="inlineStr">
        <is>
          <t>Emavusertib, Zanubrutinib</t>
        </is>
      </c>
      <c r="D4" s="14" t="inlineStr">
        <is>
          <t>Phase 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0.108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184.0389638039337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16.2</v>
      </c>
      <c r="S4" s="23">
        <f>IF(S$3&lt;$I4,0,$G4*Assumptions!$E$11*INDEX(Assumptions!$B$24:$G$24,MIN(6,S$3-$I4+1))*IF(S$3&gt;$J4,(1-Assumptions!$B$26)^(S$3-$J4),1)*IF($H4&gt;=1,1,MIN(0.97,$H4*Assumptions!$E$12)))</f>
        <v>40.5</v>
      </c>
      <c r="T4" s="23">
        <f>IF(T$3&lt;$I4,0,$G4*Assumptions!$E$11*INDEX(Assumptions!$B$24:$G$24,MIN(6,T$3-$I4+1))*IF(T$3&gt;$J4,(1-Assumptions!$B$26)^(T$3-$J4),1)*IF($H4&gt;=1,1,MIN(0.97,$H4*Assumptions!$E$12)))</f>
        <v>72.9</v>
      </c>
      <c r="U4" s="23">
        <f>IF(U$3&lt;$I4,0,$G4*Assumptions!$E$11*INDEX(Assumptions!$B$24:$G$24,MIN(6,U$3-$I4+1))*IF(U$3&gt;$J4,(1-Assumptions!$B$26)^(U$3-$J4),1)*IF($H4&gt;=1,1,MIN(0.97,$H4*Assumptions!$E$12)))</f>
        <v>105.3</v>
      </c>
      <c r="V4" s="23">
        <f>IF(V$3&lt;$I4,0,$G4*Assumptions!$E$11*INDEX(Assumptions!$B$24:$G$24,MIN(6,V$3-$I4+1))*IF(V$3&gt;$J4,(1-Assumptions!$B$26)^(V$3-$J4),1)*IF($H4&gt;=1,1,MIN(0.97,$H4*Assumptions!$E$12)))</f>
        <v>137.7</v>
      </c>
      <c r="W4" s="23">
        <f>IF(W$3&lt;$I4,0,$G4*Assumptions!$E$11*INDEX(Assumptions!$B$24:$G$24,MIN(6,W$3-$I4+1))*IF(W$3&gt;$J4,(1-Assumptions!$B$26)^(W$3-$J4),1)*IF($H4&gt;=1,1,MIN(0.97,$H4*Assumptions!$E$12)))</f>
        <v>162.0</v>
      </c>
      <c r="X4" s="23">
        <f>IF(X$3&lt;$I4,0,$G4*Assumptions!$E$11*INDEX(Assumptions!$B$24:$G$24,MIN(6,X$3-$I4+1))*IF(X$3&gt;$J4,(1-Assumptions!$B$26)^(X$3-$J4),1)*IF($H4&gt;=1,1,MIN(0.97,$H4*Assumptions!$E$12)))</f>
        <v>162.0</v>
      </c>
      <c r="Y4" s="23">
        <f>IF(Y$3&lt;$I4,0,$G4*Assumptions!$E$11*INDEX(Assumptions!$B$24:$G$24,MIN(6,Y$3-$I4+1))*IF(Y$3&gt;$J4,(1-Assumptions!$B$26)^(Y$3-$J4),1)*IF($H4&gt;=1,1,MIN(0.97,$H4*Assumptions!$E$12)))</f>
        <v>162.0</v>
      </c>
      <c r="Z4" s="23">
        <f>IF(Z$3&lt;$I4,0,$G4*Assumptions!$E$11*INDEX(Assumptions!$B$24:$G$24,MIN(6,Z$3-$I4+1))*IF(Z$3&gt;$J4,(1-Assumptions!$B$26)^(Z$3-$J4),1)*IF($H4&gt;=1,1,MIN(0.97,$H4*Assumptions!$E$12)))</f>
        <v>162.0</v>
      </c>
      <c r="AA4" s="23">
        <f>IF(AA$3&lt;$I4,0,$G4*Assumptions!$E$11*INDEX(Assumptions!$B$24:$G$24,MIN(6,AA$3-$I4+1))*IF(AA$3&gt;$J4,(1-Assumptions!$B$26)^(AA$3-$J4),1)*IF($H4&gt;=1,1,MIN(0.97,$H4*Assumptions!$E$12)))</f>
        <v>162.0</v>
      </c>
      <c r="AB4" s="23">
        <f>IF(AB$3&lt;$I4,0,$G4*Assumptions!$E$11*INDEX(Assumptions!$B$24:$G$24,MIN(6,AB$3-$I4+1))*IF(AB$3&gt;$J4,(1-Assumptions!$B$26)^(AB$3-$J4),1)*IF($H4&gt;=1,1,MIN(0.97,$H4*Assumptions!$E$12)))</f>
        <v>162.0</v>
      </c>
      <c r="AC4" s="23">
        <f>IF(AC$3&lt;$I4,0,$G4*Assumptions!$E$11*INDEX(Assumptions!$B$24:$G$24,MIN(6,AC$3-$I4+1))*IF(AC$3&gt;$J4,(1-Assumptions!$B$26)^(AC$3-$J4),1)*IF($H4&gt;=1,1,MIN(0.97,$H4*Assumptions!$E$12)))</f>
        <v>162.0</v>
      </c>
      <c r="AD4" s="23">
        <f>IF(AD$3&lt;$I4,0,$G4*Assumptions!$E$11*INDEX(Assumptions!$B$24:$G$24,MIN(6,AD$3-$I4+1))*IF(AD$3&gt;$J4,(1-Assumptions!$B$26)^(AD$3-$J4),1)*IF($H4&gt;=1,1,MIN(0.97,$H4*Assumptions!$E$12)))</f>
        <v>162.0</v>
      </c>
      <c r="AE4" s="23">
        <f>IF(AE$3&lt;$I4,0,$G4*Assumptions!$E$11*INDEX(Assumptions!$B$24:$G$24,MIN(6,AE$3-$I4+1))*IF(AE$3&gt;$J4,(1-Assumptions!$B$26)^(AE$3-$J4),1)*IF($H4&gt;=1,1,MIN(0.97,$H4*Assumptions!$E$12)))</f>
        <v>81.0</v>
      </c>
      <c r="AF4" s="23">
        <f>IF(AF$3&lt;$I4,0,$G4*Assumptions!$E$11*INDEX(Assumptions!$B$24:$G$24,MIN(6,AF$3-$I4+1))*IF(AF$3&gt;$J4,(1-Assumptions!$B$26)^(AF$3-$J4),1)*IF($H4&gt;=1,1,MIN(0.97,$H4*Assumptions!$E$12)))</f>
        <v>40.5</v>
      </c>
      <c r="AG4" s="35">
        <f>IF(F4="Owned",1-IF(H4&gt;=1,1,MIN(0.97,H4*Assumptions!$E$12)),1)</f>
        <v>0.892</v>
      </c>
    </row>
    <row r="5">
      <c r="A5" s="39" t="n">
        <v>2</v>
      </c>
      <c r="B5" s="14" t="inlineStr">
        <is>
          <t>Solid tumors (basket)</t>
        </is>
      </c>
      <c r="C5" s="14" t="inlineStr">
        <is>
          <t>Emavusertib, Ibrutinib</t>
        </is>
      </c>
      <c r="D5" s="14" t="inlineStr">
        <is>
          <t>Phase 1/2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0.07539999999999999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113.54812869523724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11.309999999999999</v>
      </c>
      <c r="T5" s="23">
        <f>IF(T$3&lt;$I5,0,$G5*Assumptions!$E$11*INDEX(Assumptions!$B$24:$G$24,MIN(6,T$3-$I5+1))*IF(T$3&gt;$J5,(1-Assumptions!$B$26)^(T$3-$J5),1)*IF($H5&gt;=1,1,MIN(0.97,$H5*Assumptions!$E$12)))</f>
        <v>28.275</v>
      </c>
      <c r="U5" s="23">
        <f>IF(U$3&lt;$I5,0,$G5*Assumptions!$E$11*INDEX(Assumptions!$B$24:$G$24,MIN(6,U$3-$I5+1))*IF(U$3&gt;$J5,(1-Assumptions!$B$26)^(U$3-$J5),1)*IF($H5&gt;=1,1,MIN(0.97,$H5*Assumptions!$E$12)))</f>
        <v>50.894999999999996</v>
      </c>
      <c r="V5" s="23">
        <f>IF(V$3&lt;$I5,0,$G5*Assumptions!$E$11*INDEX(Assumptions!$B$24:$G$24,MIN(6,V$3-$I5+1))*IF(V$3&gt;$J5,(1-Assumptions!$B$26)^(V$3-$J5),1)*IF($H5&gt;=1,1,MIN(0.97,$H5*Assumptions!$E$12)))</f>
        <v>73.515</v>
      </c>
      <c r="W5" s="23">
        <f>IF(W$3&lt;$I5,0,$G5*Assumptions!$E$11*INDEX(Assumptions!$B$24:$G$24,MIN(6,W$3-$I5+1))*IF(W$3&gt;$J5,(1-Assumptions!$B$26)^(W$3-$J5),1)*IF($H5&gt;=1,1,MIN(0.97,$H5*Assumptions!$E$12)))</f>
        <v>96.13499999999999</v>
      </c>
      <c r="X5" s="23">
        <f>IF(X$3&lt;$I5,0,$G5*Assumptions!$E$11*INDEX(Assumptions!$B$24:$G$24,MIN(6,X$3-$I5+1))*IF(X$3&gt;$J5,(1-Assumptions!$B$26)^(X$3-$J5),1)*IF($H5&gt;=1,1,MIN(0.97,$H5*Assumptions!$E$12)))</f>
        <v>113.1</v>
      </c>
      <c r="Y5" s="23">
        <f>IF(Y$3&lt;$I5,0,$G5*Assumptions!$E$11*INDEX(Assumptions!$B$24:$G$24,MIN(6,Y$3-$I5+1))*IF(Y$3&gt;$J5,(1-Assumptions!$B$26)^(Y$3-$J5),1)*IF($H5&gt;=1,1,MIN(0.97,$H5*Assumptions!$E$12)))</f>
        <v>113.1</v>
      </c>
      <c r="Z5" s="23">
        <f>IF(Z$3&lt;$I5,0,$G5*Assumptions!$E$11*INDEX(Assumptions!$B$24:$G$24,MIN(6,Z$3-$I5+1))*IF(Z$3&gt;$J5,(1-Assumptions!$B$26)^(Z$3-$J5),1)*IF($H5&gt;=1,1,MIN(0.97,$H5*Assumptions!$E$12)))</f>
        <v>113.1</v>
      </c>
      <c r="AA5" s="23">
        <f>IF(AA$3&lt;$I5,0,$G5*Assumptions!$E$11*INDEX(Assumptions!$B$24:$G$24,MIN(6,AA$3-$I5+1))*IF(AA$3&gt;$J5,(1-Assumptions!$B$26)^(AA$3-$J5),1)*IF($H5&gt;=1,1,MIN(0.97,$H5*Assumptions!$E$12)))</f>
        <v>113.1</v>
      </c>
      <c r="AB5" s="23">
        <f>IF(AB$3&lt;$I5,0,$G5*Assumptions!$E$11*INDEX(Assumptions!$B$24:$G$24,MIN(6,AB$3-$I5+1))*IF(AB$3&gt;$J5,(1-Assumptions!$B$26)^(AB$3-$J5),1)*IF($H5&gt;=1,1,MIN(0.97,$H5*Assumptions!$E$12)))</f>
        <v>113.1</v>
      </c>
      <c r="AC5" s="23">
        <f>IF(AC$3&lt;$I5,0,$G5*Assumptions!$E$11*INDEX(Assumptions!$B$24:$G$24,MIN(6,AC$3-$I5+1))*IF(AC$3&gt;$J5,(1-Assumptions!$B$26)^(AC$3-$J5),1)*IF($H5&gt;=1,1,MIN(0.97,$H5*Assumptions!$E$12)))</f>
        <v>113.1</v>
      </c>
      <c r="AD5" s="23">
        <f>IF(AD$3&lt;$I5,0,$G5*Assumptions!$E$11*INDEX(Assumptions!$B$24:$G$24,MIN(6,AD$3-$I5+1))*IF(AD$3&gt;$J5,(1-Assumptions!$B$26)^(AD$3-$J5),1)*IF($H5&gt;=1,1,MIN(0.97,$H5*Assumptions!$E$12)))</f>
        <v>113.1</v>
      </c>
      <c r="AE5" s="23">
        <f>IF(AE$3&lt;$I5,0,$G5*Assumptions!$E$11*INDEX(Assumptions!$B$24:$G$24,MIN(6,AE$3-$I5+1))*IF(AE$3&gt;$J5,(1-Assumptions!$B$26)^(AE$3-$J5),1)*IF($H5&gt;=1,1,MIN(0.97,$H5*Assumptions!$E$12)))</f>
        <v>113.1</v>
      </c>
      <c r="AF5" s="23">
        <f>IF(AF$3&lt;$I5,0,$G5*Assumptions!$E$11*INDEX(Assumptions!$B$24:$G$24,MIN(6,AF$3-$I5+1))*IF(AF$3&gt;$J5,(1-Assumptions!$B$26)^(AF$3-$J5),1)*IF($H5&gt;=1,1,MIN(0.97,$H5*Assumptions!$E$12)))</f>
        <v>56.55</v>
      </c>
      <c r="AG5" s="35">
        <f>IF(F5="Owned",1-IF(H5&gt;=1,1,MIN(0.97,H5*Assumptions!$E$12)),1)</f>
        <v>0.9246</v>
      </c>
    </row>
    <row r="6">
      <c r="B6" s="24" t="inlineStr">
        <is>
          <t>Risked revenue</t>
        </is>
      </c>
      <c r="L6" s="54">
        <f>SUM(L4:L5)</f>
        <v>297.5870924991709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16.2</v>
      </c>
      <c r="S6" s="54">
        <f>SUM(S4:S5)</f>
        <v>51.81</v>
      </c>
      <c r="T6" s="54">
        <f>SUM(T4:T5)</f>
        <v>101.17500000000001</v>
      </c>
      <c r="U6" s="54">
        <f>SUM(U4:U5)</f>
        <v>156.195</v>
      </c>
      <c r="V6" s="54">
        <f>SUM(V4:V5)</f>
        <v>211.21499999999997</v>
      </c>
      <c r="W6" s="54">
        <f>SUM(W4:W5)</f>
        <v>258.135</v>
      </c>
      <c r="X6" s="54">
        <f>SUM(X4:X5)</f>
        <v>275.1</v>
      </c>
      <c r="Y6" s="54">
        <f>SUM(Y4:Y5)</f>
        <v>275.1</v>
      </c>
      <c r="Z6" s="54">
        <f>SUM(Z4:Z5)</f>
        <v>275.1</v>
      </c>
      <c r="AA6" s="54">
        <f>SUM(AA4:AA5)</f>
        <v>275.1</v>
      </c>
      <c r="AB6" s="54">
        <f>SUM(AB4:AB5)</f>
        <v>275.1</v>
      </c>
      <c r="AC6" s="54">
        <f>SUM(AC4:AC5)</f>
        <v>275.1</v>
      </c>
      <c r="AD6" s="54">
        <f>SUM(AD4:AD5)</f>
        <v>275.1</v>
      </c>
      <c r="AE6" s="54">
        <f>SUM(AE4:AE5)</f>
        <v>194.1</v>
      </c>
      <c r="AF6" s="54">
        <f>SUM(AF4:AF5)</f>
        <v>97.05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6.48</v>
      </c>
      <c r="S7" s="55">
        <f>SUMPRODUCT(S4:S5,$K$4:$K$5)</f>
        <v>20.724</v>
      </c>
      <c r="T7" s="55">
        <f>SUMPRODUCT(T4:T5,$K$4:$K$5)</f>
        <v>40.470000000000006</v>
      </c>
      <c r="U7" s="55">
        <f>SUMPRODUCT(U4:U5,$K$4:$K$5)</f>
        <v>62.47800000000001</v>
      </c>
      <c r="V7" s="55">
        <f>SUMPRODUCT(V4:V5,$K$4:$K$5)</f>
        <v>84.486</v>
      </c>
      <c r="W7" s="55">
        <f>SUMPRODUCT(W4:W5,$K$4:$K$5)</f>
        <v>103.25399999999999</v>
      </c>
      <c r="X7" s="55">
        <f>SUMPRODUCT(X4:X5,$K$4:$K$5)</f>
        <v>110.03999999999999</v>
      </c>
      <c r="Y7" s="55">
        <f>SUMPRODUCT(Y4:Y5,$K$4:$K$5)</f>
        <v>110.03999999999999</v>
      </c>
      <c r="Z7" s="55">
        <f>SUMPRODUCT(Z4:Z5,$K$4:$K$5)</f>
        <v>110.03999999999999</v>
      </c>
      <c r="AA7" s="55">
        <f>SUMPRODUCT(AA4:AA5,$K$4:$K$5)</f>
        <v>110.03999999999999</v>
      </c>
      <c r="AB7" s="55">
        <f>SUMPRODUCT(AB4:AB5,$K$4:$K$5)</f>
        <v>110.03999999999999</v>
      </c>
      <c r="AC7" s="55">
        <f>SUMPRODUCT(AC4:AC5,$K$4:$K$5)</f>
        <v>110.03999999999999</v>
      </c>
      <c r="AD7" s="55">
        <f>SUMPRODUCT(AD4:AD5,$K$4:$K$5)</f>
        <v>110.03999999999999</v>
      </c>
      <c r="AE7" s="55">
        <f>SUMPRODUCT(AE4:AE5,$K$4:$K$5)</f>
        <v>77.64</v>
      </c>
      <c r="AF7" s="55">
        <f>SUMPRODUCT(AF4:AF5,$K$4:$K$5)</f>
        <v>38.82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Curis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16.2</v>
      </c>
      <c r="I4" s="57">
        <f>Pipeline!S6</f>
        <v>51.81</v>
      </c>
      <c r="J4" s="57">
        <f>Pipeline!T6</f>
        <v>101.17500000000001</v>
      </c>
      <c r="K4" s="57">
        <f>Pipeline!U6</f>
        <v>156.195</v>
      </c>
      <c r="L4" s="57">
        <f>Pipeline!V6</f>
        <v>211.21499999999997</v>
      </c>
      <c r="M4" s="57">
        <f>Pipeline!W6</f>
        <v>258.135</v>
      </c>
      <c r="N4" s="57">
        <f>Pipeline!X6</f>
        <v>275.1</v>
      </c>
      <c r="O4" s="57">
        <f>Pipeline!Y6</f>
        <v>275.1</v>
      </c>
      <c r="P4" s="57">
        <f>Pipeline!Z6</f>
        <v>275.1</v>
      </c>
      <c r="Q4" s="57">
        <f>Pipeline!AA6</f>
        <v>275.1</v>
      </c>
      <c r="R4" s="57">
        <f>Pipeline!AB6</f>
        <v>275.1</v>
      </c>
      <c r="S4" s="57">
        <f>Pipeline!AC6</f>
        <v>275.1</v>
      </c>
      <c r="T4" s="57">
        <f>Pipeline!AD6</f>
        <v>275.1</v>
      </c>
      <c r="U4" s="57">
        <f>Pipeline!AE6</f>
        <v>194.1</v>
      </c>
      <c r="V4" s="57">
        <f>Pipeline!AF6</f>
        <v>97.05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6.48</v>
      </c>
      <c r="I5" s="57">
        <f>Pipeline!S7</f>
        <v>20.724</v>
      </c>
      <c r="J5" s="57">
        <f>Pipeline!T7</f>
        <v>40.470000000000006</v>
      </c>
      <c r="K5" s="57">
        <f>Pipeline!U7</f>
        <v>62.47800000000001</v>
      </c>
      <c r="L5" s="57">
        <f>Pipeline!V7</f>
        <v>84.486</v>
      </c>
      <c r="M5" s="57">
        <f>Pipeline!W7</f>
        <v>103.25399999999999</v>
      </c>
      <c r="N5" s="57">
        <f>Pipeline!X7</f>
        <v>110.03999999999999</v>
      </c>
      <c r="O5" s="57">
        <f>Pipeline!Y7</f>
        <v>110.03999999999999</v>
      </c>
      <c r="P5" s="57">
        <f>Pipeline!Z7</f>
        <v>110.03999999999999</v>
      </c>
      <c r="Q5" s="57">
        <f>Pipeline!AA7</f>
        <v>110.03999999999999</v>
      </c>
      <c r="R5" s="57">
        <f>Pipeline!AB7</f>
        <v>110.03999999999999</v>
      </c>
      <c r="S5" s="57">
        <f>Pipeline!AC7</f>
        <v>110.03999999999999</v>
      </c>
      <c r="T5" s="57">
        <f>Pipeline!AD7</f>
        <v>110.03999999999999</v>
      </c>
      <c r="U5" s="57">
        <f>Pipeline!AE7</f>
        <v>77.64</v>
      </c>
      <c r="V5" s="57">
        <f>Pipeline!AF7</f>
        <v>38.82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-8.764</v>
      </c>
      <c r="D6" s="23">
        <f>-IF(D3-2026&lt;Assumptions!$B$19,Assumptions!$B$18,Assumptions!$B$18*Assumptions!$B$20*Assumptions!$B$16)</f>
        <v>-8.764</v>
      </c>
      <c r="E6" s="23">
        <f>-IF(E3-2026&lt;Assumptions!$B$19,Assumptions!$B$18,Assumptions!$B$18*Assumptions!$B$20*Assumptions!$B$16)</f>
        <v>-8.764</v>
      </c>
      <c r="F6" s="23">
        <f>-IF(F3-2026&lt;Assumptions!$B$19,Assumptions!$B$18,Assumptions!$B$18*Assumptions!$B$20*Assumptions!$B$16)</f>
        <v>-8.764</v>
      </c>
      <c r="G6" s="23">
        <f>-IF(G3-2026&lt;Assumptions!$B$19,Assumptions!$B$18,Assumptions!$B$18*Assumptions!$B$20*Assumptions!$B$16)</f>
        <v>-0.4607851785599999</v>
      </c>
      <c r="H6" s="23">
        <f>-IF(H3-2026&lt;Assumptions!$B$19,Assumptions!$B$18,Assumptions!$B$18*Assumptions!$B$20*Assumptions!$B$16)</f>
        <v>-0.4607851785599999</v>
      </c>
      <c r="I6" s="23">
        <f>-IF(I3-2026&lt;Assumptions!$B$19,Assumptions!$B$18,Assumptions!$B$18*Assumptions!$B$20*Assumptions!$B$16)</f>
        <v>-0.4607851785599999</v>
      </c>
      <c r="J6" s="23">
        <f>-IF(J3-2026&lt;Assumptions!$B$19,Assumptions!$B$18,Assumptions!$B$18*Assumptions!$B$20*Assumptions!$B$16)</f>
        <v>-0.4607851785599999</v>
      </c>
      <c r="K6" s="23">
        <f>-IF(K3-2026&lt;Assumptions!$B$19,Assumptions!$B$18,Assumptions!$B$18*Assumptions!$B$20*Assumptions!$B$16)</f>
        <v>-0.4607851785599999</v>
      </c>
      <c r="L6" s="23">
        <f>-IF(L3-2026&lt;Assumptions!$B$19,Assumptions!$B$18,Assumptions!$B$18*Assumptions!$B$20*Assumptions!$B$16)</f>
        <v>-0.4607851785599999</v>
      </c>
      <c r="M6" s="23">
        <f>-IF(M3-2026&lt;Assumptions!$B$19,Assumptions!$B$18,Assumptions!$B$18*Assumptions!$B$20*Assumptions!$B$16)</f>
        <v>-0.4607851785599999</v>
      </c>
      <c r="N6" s="23">
        <f>-IF(N3-2026&lt;Assumptions!$B$19,Assumptions!$B$18,Assumptions!$B$18*Assumptions!$B$20*Assumptions!$B$16)</f>
        <v>-0.4607851785599999</v>
      </c>
      <c r="O6" s="23">
        <f>-IF(O3-2026&lt;Assumptions!$B$19,Assumptions!$B$18,Assumptions!$B$18*Assumptions!$B$20*Assumptions!$B$16)</f>
        <v>-0.4607851785599999</v>
      </c>
      <c r="P6" s="23">
        <f>-IF(P3-2026&lt;Assumptions!$B$19,Assumptions!$B$18,Assumptions!$B$18*Assumptions!$B$20*Assumptions!$B$16)</f>
        <v>-0.4607851785599999</v>
      </c>
      <c r="Q6" s="23">
        <f>-IF(Q3-2026&lt;Assumptions!$B$19,Assumptions!$B$18,Assumptions!$B$18*Assumptions!$B$20*Assumptions!$B$16)</f>
        <v>-0.4607851785599999</v>
      </c>
      <c r="R6" s="23">
        <f>-IF(R3-2026&lt;Assumptions!$B$19,Assumptions!$B$18,Assumptions!$B$18*Assumptions!$B$20*Assumptions!$B$16)</f>
        <v>-0.4607851785599999</v>
      </c>
      <c r="S6" s="23">
        <f>-IF(S3-2026&lt;Assumptions!$B$19,Assumptions!$B$18,Assumptions!$B$18*Assumptions!$B$20*Assumptions!$B$16)</f>
        <v>-0.4607851785599999</v>
      </c>
      <c r="T6" s="23">
        <f>-IF(T3-2026&lt;Assumptions!$B$19,Assumptions!$B$18,Assumptions!$B$18*Assumptions!$B$20*Assumptions!$B$16)</f>
        <v>-0.4607851785599999</v>
      </c>
      <c r="U6" s="23">
        <f>-IF(U3-2026&lt;Assumptions!$B$19,Assumptions!$B$18,Assumptions!$B$18*Assumptions!$B$20*Assumptions!$B$16)</f>
        <v>-0.4607851785599999</v>
      </c>
      <c r="V6" s="23">
        <f>-IF(V3-2026&lt;Assumptions!$B$19,Assumptions!$B$18,Assumptions!$B$18*Assumptions!$B$20*Assumptions!$B$16)</f>
        <v>-0.4607851785599999</v>
      </c>
    </row>
    <row r="7">
      <c r="A7" s="14" t="inlineStr">
        <is>
          <t>Pre-tax cash flow</t>
        </is>
      </c>
      <c r="C7" s="23">
        <f>C5+C6</f>
        <v>-8.764</v>
      </c>
      <c r="D7" s="23">
        <f>D5+D6</f>
        <v>-8.764</v>
      </c>
      <c r="E7" s="23">
        <f>E5+E6</f>
        <v>-8.764</v>
      </c>
      <c r="F7" s="23">
        <f>F5+F6</f>
        <v>-8.764</v>
      </c>
      <c r="G7" s="23">
        <f>G5+G6</f>
        <v>-0.4607851785599999</v>
      </c>
      <c r="H7" s="23">
        <f>H5+H6</f>
        <v>6.01921482144</v>
      </c>
      <c r="I7" s="23">
        <f>I5+I6</f>
        <v>20.263214821440002</v>
      </c>
      <c r="J7" s="23">
        <f>J5+J6</f>
        <v>40.009214821440004</v>
      </c>
      <c r="K7" s="23">
        <f>K5+K6</f>
        <v>62.01721482144001</v>
      </c>
      <c r="L7" s="23">
        <f>L5+L6</f>
        <v>84.02521482144</v>
      </c>
      <c r="M7" s="23">
        <f>M5+M6</f>
        <v>102.79321482143999</v>
      </c>
      <c r="N7" s="23">
        <f>N5+N6</f>
        <v>109.57921482143999</v>
      </c>
      <c r="O7" s="23">
        <f>O5+O6</f>
        <v>109.57921482143999</v>
      </c>
      <c r="P7" s="23">
        <f>P5+P6</f>
        <v>109.57921482143999</v>
      </c>
      <c r="Q7" s="23">
        <f>Q5+Q6</f>
        <v>109.57921482143999</v>
      </c>
      <c r="R7" s="23">
        <f>R5+R6</f>
        <v>109.57921482143999</v>
      </c>
      <c r="S7" s="23">
        <f>S5+S6</f>
        <v>109.57921482143999</v>
      </c>
      <c r="T7" s="23">
        <f>T5+T6</f>
        <v>109.57921482143999</v>
      </c>
      <c r="U7" s="23">
        <f>U5+U6</f>
        <v>77.17921482144</v>
      </c>
      <c r="V7" s="23">
        <f>V5+V6</f>
        <v>38.35921482144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6.01921482144</v>
      </c>
      <c r="I8" s="23">
        <f>MIN(H17,MAX(0,I7))</f>
        <v>20.263214821440002</v>
      </c>
      <c r="J8" s="23">
        <f>MIN(I17,MAX(0,J7))</f>
        <v>40.009214821440004</v>
      </c>
      <c r="K8" s="23">
        <f>MIN(J17,MAX(0,K7))</f>
        <v>62.01721482144001</v>
      </c>
      <c r="L8" s="23">
        <f>MIN(K17,MAX(0,L7))</f>
        <v>84.02521482144</v>
      </c>
      <c r="M8" s="23">
        <f>MIN(L17,MAX(0,M7))</f>
        <v>102.79321482143999</v>
      </c>
      <c r="N8" s="23">
        <f>MIN(M17,MAX(0,N7))</f>
        <v>109.57921482143999</v>
      </c>
      <c r="O8" s="23">
        <f>MIN(N17,MAX(0,O7))</f>
        <v>109.57921482143999</v>
      </c>
      <c r="P8" s="23">
        <f>MIN(O17,MAX(0,P7))</f>
        <v>40.631066607040054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68.94814821439994</v>
      </c>
      <c r="Q9" s="23">
        <f>MAX(0,Q7)-Q8</f>
        <v>109.57921482143999</v>
      </c>
      <c r="R9" s="23">
        <f>MAX(0,R7)-R8</f>
        <v>109.57921482143999</v>
      </c>
      <c r="S9" s="23">
        <f>MAX(0,S7)-S8</f>
        <v>109.57921482143999</v>
      </c>
      <c r="T9" s="23">
        <f>MAX(0,T7)-T8</f>
        <v>109.57921482143999</v>
      </c>
      <c r="U9" s="23">
        <f>MAX(0,U7)-U8</f>
        <v>77.17921482144</v>
      </c>
      <c r="V9" s="23">
        <f>MAX(0,V7)-V8</f>
        <v>38.35921482144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14.479111125023985</v>
      </c>
      <c r="Q10" s="23">
        <f>Q9*Assumptions!$E$15</f>
        <v>23.011635112502397</v>
      </c>
      <c r="R10" s="23">
        <f>R9*Assumptions!$E$15</f>
        <v>23.011635112502397</v>
      </c>
      <c r="S10" s="23">
        <f>S9*Assumptions!$E$15</f>
        <v>23.011635112502397</v>
      </c>
      <c r="T10" s="23">
        <f>T9*Assumptions!$E$15</f>
        <v>23.011635112502397</v>
      </c>
      <c r="U10" s="23">
        <f>U9*Assumptions!$E$15</f>
        <v>16.2076351125024</v>
      </c>
      <c r="V10" s="23">
        <f>V9*Assumptions!$E$15</f>
        <v>8.0554351125024</v>
      </c>
    </row>
    <row r="11">
      <c r="A11" s="24" t="inlineStr">
        <is>
          <t>Free cash flow</t>
        </is>
      </c>
      <c r="C11" s="55">
        <f>C7-C10</f>
        <v>-8.764</v>
      </c>
      <c r="D11" s="55">
        <f>D7-D10</f>
        <v>-8.764</v>
      </c>
      <c r="E11" s="55">
        <f>E7-E10</f>
        <v>-8.764</v>
      </c>
      <c r="F11" s="55">
        <f>F7-F10</f>
        <v>-8.764</v>
      </c>
      <c r="G11" s="55">
        <f>G7-G10</f>
        <v>-0.4607851785599999</v>
      </c>
      <c r="H11" s="55">
        <f>H7-H10</f>
        <v>6.01921482144</v>
      </c>
      <c r="I11" s="55">
        <f>I7-I10</f>
        <v>20.263214821440002</v>
      </c>
      <c r="J11" s="55">
        <f>J7-J10</f>
        <v>40.009214821440004</v>
      </c>
      <c r="K11" s="55">
        <f>K7-K10</f>
        <v>62.01721482144001</v>
      </c>
      <c r="L11" s="55">
        <f>L7-L10</f>
        <v>84.02521482144</v>
      </c>
      <c r="M11" s="55">
        <f>M7-M10</f>
        <v>102.79321482143999</v>
      </c>
      <c r="N11" s="55">
        <f>N7-N10</f>
        <v>109.57921482143999</v>
      </c>
      <c r="O11" s="55">
        <f>O7-O10</f>
        <v>109.57921482143999</v>
      </c>
      <c r="P11" s="55">
        <f>P7-P10</f>
        <v>95.100103696416</v>
      </c>
      <c r="Q11" s="55">
        <f>Q7-Q10</f>
        <v>86.56757970893759</v>
      </c>
      <c r="R11" s="55">
        <f>R7-R10</f>
        <v>86.56757970893759</v>
      </c>
      <c r="S11" s="55">
        <f>S7-S10</f>
        <v>86.56757970893759</v>
      </c>
      <c r="T11" s="55">
        <f>T7-T10</f>
        <v>86.56757970893759</v>
      </c>
      <c r="U11" s="55">
        <f>U7-U10</f>
        <v>60.9715797089376</v>
      </c>
      <c r="V11" s="55">
        <f>V7-V10</f>
        <v>30.303779708937597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-4.29352171476449</v>
      </c>
      <c r="D16" s="55">
        <f>D11*D15</f>
        <v>-7.821364977021406</v>
      </c>
      <c r="E16" s="55">
        <f>E11*E15</f>
        <v>-6.983361586626253</v>
      </c>
      <c r="F16" s="55">
        <f>F11*F15</f>
        <v>-6.23514427377344</v>
      </c>
      <c r="G16" s="55">
        <f>G11*G15</f>
        <v>-0.2927012766856759</v>
      </c>
      <c r="H16" s="55">
        <f>H11*H15</f>
        <v>3.413877521413428</v>
      </c>
      <c r="I16" s="55">
        <f>I11*I15</f>
        <v>10.261206290811314</v>
      </c>
      <c r="J16" s="55">
        <f>J11*J15</f>
        <v>18.089729628025456</v>
      </c>
      <c r="K16" s="55">
        <f>K11*K15</f>
        <v>25.03607725588783</v>
      </c>
      <c r="L16" s="55">
        <f>L11*L15</f>
        <v>30.286259108070215</v>
      </c>
      <c r="M16" s="55">
        <f>M11*M15</f>
        <v>33.08128936195659</v>
      </c>
      <c r="N16" s="55">
        <f>N11*N15</f>
        <v>31.486772114192433</v>
      </c>
      <c r="O16" s="55">
        <f>O11*O15</f>
        <v>28.113189387671813</v>
      </c>
      <c r="P16" s="55">
        <f>P11*P15</f>
        <v>21.784364840875657</v>
      </c>
      <c r="Q16" s="55">
        <f>Q11*Q15</f>
        <v>17.705213342044583</v>
      </c>
      <c r="R16" s="55">
        <f>R11*R15</f>
        <v>15.808226198254093</v>
      </c>
      <c r="S16" s="55">
        <f>S11*S15</f>
        <v>14.114487677012582</v>
      </c>
      <c r="T16" s="55">
        <f>T11*T15</f>
        <v>12.602221140189803</v>
      </c>
      <c r="U16" s="55">
        <f>U11*U15</f>
        <v>7.925036029471165</v>
      </c>
      <c r="V16" s="55">
        <f>V11*V15</f>
        <v>3.5168397187342655</v>
      </c>
    </row>
    <row r="17">
      <c r="A17" s="14" t="inlineStr">
        <is>
          <t>Tax-loss carryforward, end of year</t>
        </is>
      </c>
      <c r="C17" s="23">
        <f>Assumptions!$B$21-C8+MAX(0,-C7)</f>
        <v>548.164</v>
      </c>
      <c r="D17" s="23">
        <f>C17-D8+MAX(0,-D7)</f>
        <v>556.928</v>
      </c>
      <c r="E17" s="23">
        <f>D17-E8+MAX(0,-E7)</f>
        <v>565.692</v>
      </c>
      <c r="F17" s="23">
        <f>E17-F8+MAX(0,-F7)</f>
        <v>574.456</v>
      </c>
      <c r="G17" s="23">
        <f>F17-G8+MAX(0,-G7)</f>
        <v>574.91678517856</v>
      </c>
      <c r="H17" s="23">
        <f>G17-H8+MAX(0,-H7)</f>
        <v>568.89757035712</v>
      </c>
      <c r="I17" s="23">
        <f>H17-I8+MAX(0,-I7)</f>
        <v>548.63435553568</v>
      </c>
      <c r="J17" s="23">
        <f>I17-J8+MAX(0,-J7)</f>
        <v>508.62514071424</v>
      </c>
      <c r="K17" s="23">
        <f>J17-K8+MAX(0,-K7)</f>
        <v>446.6079258928</v>
      </c>
      <c r="L17" s="23">
        <f>K17-L8+MAX(0,-L7)</f>
        <v>362.58271107136</v>
      </c>
      <c r="M17" s="23">
        <f>L17-M8+MAX(0,-M7)</f>
        <v>259.78949624992003</v>
      </c>
      <c r="N17" s="23">
        <f>M17-N8+MAX(0,-N7)</f>
        <v>150.21028142848004</v>
      </c>
      <c r="O17" s="23">
        <f>N17-O8+MAX(0,-O7)</f>
        <v>40.631066607040054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297.5870924991709</v>
      </c>
    </row>
    <row r="20">
      <c r="A20" s="14" t="inlineStr">
        <is>
          <t>PV of corporate burn</t>
        </is>
      </c>
      <c r="B20" s="23">
        <f>SUMPRODUCT(C6:V6,C15:V15)</f>
        <v>-27.619642560270808</v>
      </c>
    </row>
    <row r="21">
      <c r="A21" s="14" t="inlineStr">
        <is>
          <t>PV of taxes</t>
        </is>
      </c>
      <c r="B21" s="23">
        <f>-SUMPRODUCT(C10:V10,C15:V15)</f>
        <v>-22.36875415316016</v>
      </c>
    </row>
    <row r="22">
      <c r="A22" s="24" t="inlineStr">
        <is>
          <t>Pipeline rNPV (operations)</t>
        </is>
      </c>
      <c r="B22" s="54">
        <f>SUM(C16:V16)</f>
        <v>247.59869578573998</v>
      </c>
    </row>
    <row r="23">
      <c r="A23" s="14" t="inlineStr">
        <is>
          <t>Cash &amp; investments</t>
        </is>
      </c>
      <c r="B23" s="57">
        <f>Main!C7</f>
        <v>5.1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252.69869578573997</v>
      </c>
    </row>
    <row r="26">
      <c r="A26" s="14" t="inlineStr">
        <is>
          <t>Shares (mm)</t>
        </is>
      </c>
      <c r="B26" s="57">
        <f>Main!C4</f>
        <v>2.090077</v>
      </c>
    </row>
    <row r="27">
      <c r="A27" s="24" t="inlineStr">
        <is>
          <t>rNPV / share</t>
        </is>
      </c>
      <c r="B27" s="60">
        <f>B25/B26</f>
        <v>120.904012524773</v>
      </c>
    </row>
    <row r="28">
      <c r="A28" s="14" t="inlineStr">
        <is>
          <t>Price</t>
        </is>
      </c>
      <c r="B28" s="61">
        <f>Main!C3</f>
        <v>0.3996</v>
      </c>
    </row>
    <row r="29">
      <c r="A29" s="14" t="inlineStr">
        <is>
          <t>Upside</t>
        </is>
      </c>
      <c r="B29" s="62">
        <f>B27/B28-1</f>
        <v>301.5625939058383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2026-10-21T06:31:48Z</dcterms:modified>
  <cp:lastModifiedBy>Wang, Eric</cp:lastModifiedBy>
</cp:coreProperties>
</file>