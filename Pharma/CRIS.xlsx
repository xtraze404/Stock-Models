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Curis Inc</t>
        </is>
      </c>
      <c r="C2" s="10" t="n"/>
    </row>
    <row r="3">
      <c r="B3" t="inlineStr">
        <is>
          <t>Price</t>
        </is>
      </c>
      <c r="C3" s="11">
        <f>INDEX([1]Pharma!$F$1:$F$1000,MATCH("CRIS",[1]Pharma!$B$1:$B$1000,0))</f>
        <v>0.3996</v>
      </c>
      <c r="F3" s="1" t="n"/>
    </row>
    <row r="4">
      <c r="B4" t="inlineStr">
        <is>
          <t>Shares</t>
        </is>
      </c>
      <c r="C4" s="21" t="n">
        <v>2.090077</v>
      </c>
      <c r="F4" s="1" t="n"/>
    </row>
    <row r="5">
      <c r="B5" t="inlineStr">
        <is>
          <t>Market Cap.</t>
        </is>
      </c>
      <c r="C5" s="13">
        <f>C3*C4</f>
        <v>0.8351947692</v>
      </c>
      <c r="F5" s="1" t="n"/>
    </row>
    <row r="6"/>
    <row r="7">
      <c r="B7" t="inlineStr">
        <is>
          <t>Cash</t>
        </is>
      </c>
      <c r="C7" s="21" t="n">
        <v>5.1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-4.2648052307999995</v>
      </c>
    </row>
    <row r="10"/>
    <row r="11">
      <c r="B11" s="14" t="inlineStr">
        <is>
          <t>Net Cash / Share</t>
        </is>
      </c>
      <c r="C11" s="11">
        <f>(C7-C8)/C4</f>
        <v>2.440101489083895</v>
      </c>
    </row>
    <row r="12">
      <c r="B12" s="14" t="inlineStr">
        <is>
          <t>Upside</t>
        </is>
      </c>
      <c r="C12" s="15">
        <f>IFERROR(C11/C3-1,"")</f>
        <v>5.10636008279253</v>
      </c>
    </row>
    <row r="13">
      <c r="B13" s="14" t="inlineStr">
        <is>
          <t>Cash / Share</t>
        </is>
      </c>
      <c r="C13" s="11">
        <f>IFERROR((C7-C8)/C4,"")</f>
        <v>2.440101489083895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-30.587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0.16673750286069244</v>
      </c>
    </row>
    <row r="19">
      <c r="B19" s="14" t="inlineStr">
        <is>
          <t>Implied Pipeline Value</t>
        </is>
      </c>
      <c r="C19" s="13">
        <f>C9</f>
        <v>-4.2648052307999995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2009</v>
      </c>
      <c r="C1" s="17" t="n">
        <v>2010</v>
      </c>
      <c r="D1" s="17" t="n">
        <v>2011</v>
      </c>
      <c r="E1" s="17" t="n">
        <v>2012</v>
      </c>
      <c r="F1" s="17" t="n">
        <v>2013</v>
      </c>
      <c r="G1" s="17" t="n">
        <v>2014</v>
      </c>
      <c r="H1" s="17" t="n">
        <v>2015</v>
      </c>
      <c r="I1" s="17" t="n">
        <v>2016</v>
      </c>
      <c r="J1" s="17" t="n">
        <v>2017</v>
      </c>
      <c r="K1" s="17" t="n">
        <v>2018</v>
      </c>
      <c r="L1" s="17" t="n">
        <v>2019</v>
      </c>
      <c r="M1" s="17" t="n">
        <v>2020</v>
      </c>
      <c r="N1" s="17" t="n">
        <v>2021</v>
      </c>
      <c r="O1" s="17" t="n">
        <v>2022</v>
      </c>
      <c r="P1" s="17" t="n">
        <v>2023</v>
      </c>
      <c r="Q1" s="17" t="n">
        <v>2024</v>
      </c>
      <c r="R1" s="17" t="n">
        <v>2025</v>
      </c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8.59</v>
      </c>
      <c r="C2" s="23" t="n">
        <v>16</v>
      </c>
      <c r="D2" s="23" t="n">
        <v>14.763</v>
      </c>
      <c r="E2" s="23" t="n">
        <v>16.972</v>
      </c>
      <c r="F2" s="23" t="n">
        <v>15.002</v>
      </c>
      <c r="G2" s="23" t="n">
        <v>9.843</v>
      </c>
      <c r="H2" s="23" t="n">
        <v>7.878</v>
      </c>
      <c r="I2" s="23" t="n">
        <v>7.527</v>
      </c>
      <c r="J2" s="23" t="n">
        <v>9.898</v>
      </c>
      <c r="K2" s="23" t="n">
        <v>10.428</v>
      </c>
      <c r="L2" s="23" t="n">
        <v>10.004</v>
      </c>
      <c r="M2" s="23" t="n">
        <v>10.835</v>
      </c>
      <c r="N2" s="23" t="n">
        <v>10.649</v>
      </c>
      <c r="O2" s="23" t="n">
        <v>10.162</v>
      </c>
      <c r="P2" s="23" t="n">
        <v>10.023</v>
      </c>
      <c r="Q2" s="23" t="n">
        <v>10.908</v>
      </c>
      <c r="R2" s="23" t="n">
        <v>9.443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  <c r="M3" s="23" t="n">
        <v>0</v>
      </c>
      <c r="N3" s="23" t="n">
        <v>0</v>
      </c>
      <c r="O3" s="23" t="n">
        <v>0</v>
      </c>
      <c r="P3" s="23" t="n">
        <v>0</v>
      </c>
      <c r="Q3" s="23" t="n">
        <v>0</v>
      </c>
      <c r="R3" s="23" t="n">
        <v>0</v>
      </c>
    </row>
    <row r="4" customFormat="1" s="1">
      <c r="A4" s="5" t="inlineStr">
        <is>
          <t>Gross Margin</t>
        </is>
      </c>
      <c r="B4" s="23">
        <f>B2-B3</f>
        <v>8.59</v>
      </c>
      <c r="C4" s="23">
        <f>C2-C3</f>
        <v>16.0</v>
      </c>
      <c r="D4" s="23">
        <f>D2-D3</f>
        <v>14.763</v>
      </c>
      <c r="E4" s="23">
        <f>E2-E3</f>
        <v>16.972</v>
      </c>
      <c r="F4" s="23">
        <f>F2-F3</f>
        <v>15.002</v>
      </c>
      <c r="G4" s="23">
        <f>G2-G3</f>
        <v>9.843</v>
      </c>
      <c r="H4" s="23">
        <f>H2-H3</f>
        <v>7.878</v>
      </c>
      <c r="I4" s="23">
        <f>I2-I3</f>
        <v>7.527</v>
      </c>
      <c r="J4" s="23">
        <f>J2-J3</f>
        <v>9.898</v>
      </c>
      <c r="K4" s="23">
        <f>K2-K3</f>
        <v>10.428</v>
      </c>
      <c r="L4" s="23">
        <f>L2-L3</f>
        <v>10.004</v>
      </c>
      <c r="M4" s="23">
        <f>M2-M3</f>
        <v>10.835</v>
      </c>
      <c r="N4" s="23">
        <f>N2-N3</f>
        <v>10.649</v>
      </c>
      <c r="O4" s="23">
        <f>O2-O3</f>
        <v>10.162</v>
      </c>
      <c r="P4" s="23">
        <f>P2-P3</f>
        <v>10.023</v>
      </c>
      <c r="Q4" s="23">
        <f>Q2-Q3</f>
        <v>10.908</v>
      </c>
      <c r="R4" s="23">
        <f>R2-R3</f>
        <v>9.443</v>
      </c>
    </row>
    <row r="5">
      <c r="A5" s="2" t="inlineStr">
        <is>
          <t>Research &amp; Dev.</t>
        </is>
      </c>
      <c r="B5" s="23" t="n">
        <v>9.933</v>
      </c>
      <c r="C5" s="23" t="n">
        <v>11.373</v>
      </c>
      <c r="D5" s="23" t="n">
        <v>13.693</v>
      </c>
      <c r="E5" s="23" t="n">
        <v>15.492</v>
      </c>
      <c r="F5" s="23" t="n">
        <v>12.927</v>
      </c>
      <c r="G5" s="23" t="n">
        <v>13.659</v>
      </c>
      <c r="H5" s="23" t="n">
        <v>26.699</v>
      </c>
      <c r="I5" s="23" t="n">
        <v>31.59</v>
      </c>
      <c r="J5" s="23" t="n">
        <v>45.096</v>
      </c>
      <c r="K5" s="23" t="n">
        <v>24.413</v>
      </c>
      <c r="L5" s="23" t="n">
        <v>22.302</v>
      </c>
      <c r="M5" s="23" t="n">
        <v>23.068</v>
      </c>
      <c r="N5" s="23" t="n">
        <v>34.884</v>
      </c>
      <c r="O5" s="23" t="n">
        <v>43.277</v>
      </c>
      <c r="P5" s="23" t="n">
        <v>39.496</v>
      </c>
      <c r="Q5" s="23" t="n">
        <v>38.562</v>
      </c>
      <c r="R5" s="23" t="n">
        <v>28.254</v>
      </c>
    </row>
    <row r="6">
      <c r="A6" s="19" t="inlineStr">
        <is>
          <t>SG&amp;A &amp; Other</t>
        </is>
      </c>
      <c r="B6" s="23" t="n">
        <v>8.702</v>
      </c>
      <c r="C6" s="23" t="n">
        <v>10.264</v>
      </c>
      <c r="D6" s="23" t="n">
        <v>8.272</v>
      </c>
      <c r="E6" s="23" t="n">
        <v>20.099</v>
      </c>
      <c r="F6" s="23" t="n">
        <v>11.492</v>
      </c>
      <c r="G6" s="23" t="n">
        <v>12.046</v>
      </c>
      <c r="H6" s="23" t="n">
        <v>37.66</v>
      </c>
      <c r="I6" s="23" t="n">
        <v>33.976</v>
      </c>
      <c r="J6" s="23" t="n">
        <v>14.562</v>
      </c>
      <c r="K6" s="23" t="n">
        <v>15.348</v>
      </c>
      <c r="L6" s="23" t="n">
        <v>12.058</v>
      </c>
      <c r="M6" s="23" t="n">
        <v>12.665</v>
      </c>
      <c r="N6" s="23" t="n">
        <v>17.83</v>
      </c>
      <c r="O6" s="23" t="n">
        <v>19.905</v>
      </c>
      <c r="P6" s="23" t="n">
        <v>18.859</v>
      </c>
      <c r="Q6" s="23" t="n">
        <v>16.888</v>
      </c>
      <c r="R6" s="23" t="n">
        <v>-13.098</v>
      </c>
    </row>
    <row r="7">
      <c r="A7" s="2" t="inlineStr">
        <is>
          <t>Operating Expense</t>
        </is>
      </c>
      <c r="B7" s="23">
        <f>SUM(B5:B6)</f>
        <v>18.634999999999998</v>
      </c>
      <c r="C7" s="23">
        <f>SUM(C5:C6)</f>
        <v>21.637</v>
      </c>
      <c r="D7" s="23">
        <f>SUM(D5:D6)</f>
        <v>21.965</v>
      </c>
      <c r="E7" s="23">
        <f>SUM(E5:E6)</f>
        <v>35.591</v>
      </c>
      <c r="F7" s="23">
        <f>SUM(F5:F6)</f>
        <v>24.419</v>
      </c>
      <c r="G7" s="23">
        <f>SUM(G5:G6)</f>
        <v>25.705</v>
      </c>
      <c r="H7" s="23">
        <f>SUM(H5:H6)</f>
        <v>64.359</v>
      </c>
      <c r="I7" s="23">
        <f>SUM(I5:I6)</f>
        <v>65.566</v>
      </c>
      <c r="J7" s="23">
        <f>SUM(J5:J6)</f>
        <v>59.657999999999994</v>
      </c>
      <c r="K7" s="23">
        <f>SUM(K5:K6)</f>
        <v>39.761</v>
      </c>
      <c r="L7" s="23">
        <f>SUM(L5:L6)</f>
        <v>34.36</v>
      </c>
      <c r="M7" s="23">
        <f>SUM(M5:M6)</f>
        <v>35.733000000000004</v>
      </c>
      <c r="N7" s="23">
        <f>SUM(N5:N6)</f>
        <v>52.714</v>
      </c>
      <c r="O7" s="23">
        <f>SUM(O5:O6)</f>
        <v>63.182</v>
      </c>
      <c r="P7" s="23">
        <f>SUM(P5:P6)</f>
        <v>58.355000000000004</v>
      </c>
      <c r="Q7" s="23">
        <f>SUM(Q5:Q6)</f>
        <v>55.45</v>
      </c>
      <c r="R7" s="23">
        <f>SUM(R5:R6)</f>
        <v>15.156</v>
      </c>
    </row>
    <row r="8">
      <c r="A8" s="2" t="inlineStr">
        <is>
          <t>Operating Income</t>
        </is>
      </c>
      <c r="B8" s="23">
        <f>B4-B7</f>
        <v>-10.044999999999998</v>
      </c>
      <c r="C8" s="23">
        <f>C4-C7</f>
        <v>-5.6370000000000005</v>
      </c>
      <c r="D8" s="23">
        <f>D4-D7</f>
        <v>-7.202</v>
      </c>
      <c r="E8" s="23">
        <f>E4-E7</f>
        <v>-18.619</v>
      </c>
      <c r="F8" s="23">
        <f>F4-F7</f>
        <v>-9.417</v>
      </c>
      <c r="G8" s="23">
        <f>G4-G7</f>
        <v>-15.861999999999998</v>
      </c>
      <c r="H8" s="23">
        <f>H4-H7</f>
        <v>-56.480999999999995</v>
      </c>
      <c r="I8" s="23">
        <f>I4-I7</f>
        <v>-58.039</v>
      </c>
      <c r="J8" s="23">
        <f>J4-J7</f>
        <v>-49.75999999999999</v>
      </c>
      <c r="K8" s="23">
        <f>K4-K7</f>
        <v>-29.333000000000002</v>
      </c>
      <c r="L8" s="23">
        <f>L4-L7</f>
        <v>-24.356</v>
      </c>
      <c r="M8" s="23">
        <f>M4-M7</f>
        <v>-24.898000000000003</v>
      </c>
      <c r="N8" s="23">
        <f>N4-N7</f>
        <v>-42.065</v>
      </c>
      <c r="O8" s="23">
        <f>O4-O7</f>
        <v>-53.02</v>
      </c>
      <c r="P8" s="23">
        <f>P4-P7</f>
        <v>-48.33200000000001</v>
      </c>
      <c r="Q8" s="23">
        <f>Q4-Q7</f>
        <v>-44.542</v>
      </c>
      <c r="R8" s="23">
        <f>R4-R7</f>
        <v>-5.713000000000001</v>
      </c>
    </row>
    <row r="9">
      <c r="A9" s="19" t="inlineStr">
        <is>
          <t>Interest &amp; Other</t>
        </is>
      </c>
      <c r="B9" s="23" t="n">
        <v>0.222</v>
      </c>
      <c r="C9" s="23" t="n">
        <v>1.202</v>
      </c>
      <c r="D9" s="23" t="n">
        <v>-2.656</v>
      </c>
      <c r="E9" s="23" t="n">
        <v>2.203</v>
      </c>
      <c r="F9" s="23" t="n">
        <v>-2.906</v>
      </c>
      <c r="G9" s="23" t="n">
        <v>-2.867</v>
      </c>
      <c r="H9" s="23" t="n">
        <v>-2.5</v>
      </c>
      <c r="I9" s="23" t="n">
        <v>-2.372</v>
      </c>
      <c r="J9" s="23" t="n">
        <v>-3.557</v>
      </c>
      <c r="K9" s="23" t="n">
        <v>-3.242</v>
      </c>
      <c r="L9" s="23" t="n">
        <v>-7.785</v>
      </c>
      <c r="M9" s="23" t="n">
        <v>-5.01</v>
      </c>
      <c r="N9" s="23" t="n">
        <v>-3.371</v>
      </c>
      <c r="O9" s="23" t="n">
        <v>-3.652</v>
      </c>
      <c r="P9" s="23" t="n">
        <v>0.919</v>
      </c>
      <c r="Q9" s="23" t="n">
        <v>1.153</v>
      </c>
      <c r="R9" s="23" t="n">
        <v>-1.869</v>
      </c>
    </row>
    <row r="10">
      <c r="A10" s="2" t="inlineStr">
        <is>
          <t>Pretax</t>
        </is>
      </c>
      <c r="B10" s="23">
        <f>B8+B9</f>
        <v>-9.822999999999999</v>
      </c>
      <c r="C10" s="23">
        <f>C8+C9</f>
        <v>-4.4350000000000005</v>
      </c>
      <c r="D10" s="23">
        <f>D8+D9</f>
        <v>-9.858</v>
      </c>
      <c r="E10" s="23">
        <f>E8+E9</f>
        <v>-16.416</v>
      </c>
      <c r="F10" s="23">
        <f>F8+F9</f>
        <v>-12.323</v>
      </c>
      <c r="G10" s="23">
        <f>G8+G9</f>
        <v>-18.729</v>
      </c>
      <c r="H10" s="23">
        <f>H8+H9</f>
        <v>-58.980999999999995</v>
      </c>
      <c r="I10" s="23">
        <f>I8+I9</f>
        <v>-60.411</v>
      </c>
      <c r="J10" s="23">
        <f>J8+J9</f>
        <v>-53.31699999999999</v>
      </c>
      <c r="K10" s="23">
        <f>K8+K9</f>
        <v>-32.575</v>
      </c>
      <c r="L10" s="23">
        <f>L8+L9</f>
        <v>-32.141000000000005</v>
      </c>
      <c r="M10" s="23">
        <f>M8+M9</f>
        <v>-29.908</v>
      </c>
      <c r="N10" s="23">
        <f>N8+N9</f>
        <v>-45.436</v>
      </c>
      <c r="O10" s="23">
        <f>O8+O9</f>
        <v>-56.672000000000004</v>
      </c>
      <c r="P10" s="23">
        <f>P8+P9</f>
        <v>-47.41300000000001</v>
      </c>
      <c r="Q10" s="23">
        <f>Q8+Q9</f>
        <v>-43.389</v>
      </c>
      <c r="R10" s="23">
        <f>R8+R9</f>
        <v>-7.582000000000001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0</v>
      </c>
      <c r="K11" s="23" t="n">
        <v>0</v>
      </c>
      <c r="L11" s="23" t="n">
        <v>0</v>
      </c>
      <c r="M11" s="23" t="n">
        <v>0</v>
      </c>
      <c r="N11" s="23" t="n">
        <v>0</v>
      </c>
      <c r="O11" s="23" t="n">
        <v>0</v>
      </c>
      <c r="P11" s="23" t="n">
        <v>0</v>
      </c>
      <c r="Q11" s="23" t="n">
        <v>0</v>
      </c>
      <c r="R11" s="23" t="n">
        <v>0</v>
      </c>
    </row>
    <row r="12">
      <c r="A12" s="2" t="inlineStr">
        <is>
          <t>Net Income</t>
        </is>
      </c>
      <c r="B12" s="23" t="n">
        <v>-9.823</v>
      </c>
      <c r="C12" s="23" t="n">
        <v>-4.435</v>
      </c>
      <c r="D12" s="23" t="n">
        <v>-9.859</v>
      </c>
      <c r="E12" s="23" t="n">
        <v>-16.417</v>
      </c>
      <c r="F12" s="23" t="n">
        <v>-12.322</v>
      </c>
      <c r="G12" s="23" t="n">
        <v>-18.729</v>
      </c>
      <c r="H12" s="23" t="n">
        <v>-58.981</v>
      </c>
      <c r="I12" s="23" t="n">
        <v>-60.411</v>
      </c>
      <c r="J12" s="23" t="n">
        <v>-53.317</v>
      </c>
      <c r="K12" s="23" t="n">
        <v>-32.575</v>
      </c>
      <c r="L12" s="23" t="n">
        <v>-32.141</v>
      </c>
      <c r="M12" s="23" t="n">
        <v>-29.908</v>
      </c>
      <c r="N12" s="23" t="n">
        <v>-45.436</v>
      </c>
      <c r="O12" s="23" t="n">
        <v>-56.672</v>
      </c>
      <c r="P12" s="23" t="n">
        <v>-47.413</v>
      </c>
      <c r="Q12" s="23" t="n">
        <v>-43.389</v>
      </c>
      <c r="R12" s="23" t="n">
        <v>-7.582</v>
      </c>
    </row>
    <row r="13">
      <c r="A13" s="2" t="inlineStr">
        <is>
          <t>Earnings per Share</t>
        </is>
      </c>
      <c r="B13" s="11">
        <f>IFERROR(B12/B14,0)</f>
        <v>0</v>
      </c>
      <c r="C13" s="11">
        <f>IFERROR(C12/C14,0)</f>
        <v>-1.1832977588046956</v>
      </c>
      <c r="D13" s="11">
        <f>IFERROR(D12/D14,0)</f>
        <v>-2.5822420115243583</v>
      </c>
      <c r="E13" s="11">
        <f>IFERROR(E12/E14,0)</f>
        <v>-4.153048317733368</v>
      </c>
      <c r="F13" s="11">
        <f>IFERROR(F12/F14,0)</f>
        <v>-2.992956035948506</v>
      </c>
      <c r="G13" s="11">
        <f>IFERROR(G12/G14,0)</f>
        <v>-4.356594556873691</v>
      </c>
      <c r="H13" s="11">
        <f>IFERROR(H12/H14,0)</f>
        <v>-9.562418936446173</v>
      </c>
      <c r="I13" s="11">
        <f>IFERROR(I12/I14,0)</f>
        <v>-9.099412562132851</v>
      </c>
      <c r="J13" s="11">
        <f>IFERROR(J12/J14,0)</f>
        <v>-35.75922199865862</v>
      </c>
      <c r="K13" s="11">
        <f>IFERROR(K12/K14,0)</f>
        <v>-19.670893719806767</v>
      </c>
      <c r="L13" s="11">
        <f>IFERROR(L12/L14,0)</f>
        <v>-19.37371910789632</v>
      </c>
      <c r="M13" s="11">
        <f>IFERROR(M12/M14,0)</f>
        <v>-12.28759244042728</v>
      </c>
      <c r="N13" s="11">
        <f>IFERROR(N12/N14,0)</f>
        <v>-9.924858016601135</v>
      </c>
      <c r="O13" s="11">
        <f>IFERROR(O12/O14,0)</f>
        <v>-12.135331905781584</v>
      </c>
      <c r="P13" s="11">
        <f>IFERROR(P12/P14,0)</f>
        <v>-8.957679954657094</v>
      </c>
      <c r="Q13" s="11">
        <f>IFERROR(Q12/Q14,0)</f>
        <v>-6.8805899143672695</v>
      </c>
      <c r="R13" s="11">
        <f>IFERROR(R12/R14,0)</f>
        <v>-0.5759647523549073</v>
      </c>
    </row>
    <row r="14">
      <c r="A14" s="2" t="inlineStr">
        <is>
          <t>Shares</t>
        </is>
      </c>
      <c r="B14" s="23" t="n"/>
      <c r="C14" s="23" t="n">
        <v>3.748</v>
      </c>
      <c r="D14" s="23" t="n">
        <v>3.818</v>
      </c>
      <c r="E14" s="23" t="n">
        <v>3.953</v>
      </c>
      <c r="F14" s="23" t="n">
        <v>4.117</v>
      </c>
      <c r="G14" s="23" t="n">
        <v>4.299</v>
      </c>
      <c r="H14" s="23" t="n">
        <v>6.168</v>
      </c>
      <c r="I14" s="23" t="n">
        <v>6.639</v>
      </c>
      <c r="J14" s="23" t="n">
        <v>1.491</v>
      </c>
      <c r="K14" s="23" t="n">
        <v>1.656</v>
      </c>
      <c r="L14" s="23" t="n">
        <v>1.659</v>
      </c>
      <c r="M14" s="23" t="n">
        <v>2.434</v>
      </c>
      <c r="N14" s="23" t="n">
        <v>4.578</v>
      </c>
      <c r="O14" s="23" t="n">
        <v>4.67</v>
      </c>
      <c r="P14" s="23" t="n">
        <v>5.293</v>
      </c>
      <c r="Q14" s="23" t="n">
        <v>6.306</v>
      </c>
      <c r="R14" s="23" t="n">
        <v>13.164</v>
      </c>
    </row>
    <row r="15"/>
    <row r="16" customFormat="1" s="4">
      <c r="A16" s="3" t="inlineStr">
        <is>
          <t>Revenue Change</t>
        </is>
      </c>
      <c r="C16" s="15">
        <f>IFERROR(C2/B2-1,"")</f>
        <v>0.8626309662398137</v>
      </c>
      <c r="D16" s="15">
        <f>IFERROR(D2/C2-1,"")</f>
        <v>-0.0773125</v>
      </c>
      <c r="E16" s="15">
        <f>IFERROR(E2/D2-1,"")</f>
        <v>0.14963083384136033</v>
      </c>
      <c r="F16" s="15">
        <f>IFERROR(F2/E2-1,"")</f>
        <v>-0.11607353287768096</v>
      </c>
      <c r="G16" s="15">
        <f>IFERROR(G2/F2-1,"")</f>
        <v>-0.34388748166911076</v>
      </c>
      <c r="H16" s="15">
        <f>IFERROR(H2/G2-1,"")</f>
        <v>-0.19963425784821698</v>
      </c>
      <c r="I16" s="15">
        <f>IFERROR(I2/H2-1,"")</f>
        <v>-0.044554455445544594</v>
      </c>
      <c r="J16" s="15">
        <f>IFERROR(J2/I2-1,"")</f>
        <v>0.31499933572472427</v>
      </c>
      <c r="K16" s="15">
        <f>IFERROR(K2/J2-1,"")</f>
        <v>0.053546170943625127</v>
      </c>
      <c r="L16" s="15">
        <f>IFERROR(L2/K2-1,"")</f>
        <v>-0.04065976217874967</v>
      </c>
      <c r="M16" s="15">
        <f>IFERROR(M2/L2-1,"")</f>
        <v>0.08306677329068379</v>
      </c>
      <c r="N16" s="15">
        <f>IFERROR(N2/M2-1,"")</f>
        <v>-0.0171665897554224</v>
      </c>
      <c r="O16" s="15">
        <f>IFERROR(O2/N2-1,"")</f>
        <v>-0.045731993614423705</v>
      </c>
      <c r="P16" s="15">
        <f>IFERROR(P2/O2-1,"")</f>
        <v>-0.013678409761857968</v>
      </c>
      <c r="Q16" s="15">
        <f>IFERROR(Q2/P2-1,"")</f>
        <v>0.08829691709069132</v>
      </c>
      <c r="R16" s="15">
        <f>IFERROR(R2/Q2-1,"")</f>
        <v>-0.13430509717638428</v>
      </c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>1.0</v>
      </c>
      <c r="H17" s="15">
        <f>IFERROR(H4/H2,"")</f>
        <v>1.0</v>
      </c>
      <c r="I17" s="15">
        <f>IFERROR(I4/I2,"")</f>
        <v>1.0</v>
      </c>
      <c r="J17" s="15">
        <f>IFERROR(J4/J2,"")</f>
        <v>1.0</v>
      </c>
      <c r="K17" s="15">
        <f>IFERROR(K4/K2,"")</f>
        <v>1.0</v>
      </c>
      <c r="L17" s="15">
        <f>IFERROR(L4/L2,"")</f>
        <v>1.0</v>
      </c>
      <c r="M17" s="15">
        <f>IFERROR(M4/M2,"")</f>
        <v>1.0</v>
      </c>
      <c r="N17" s="15">
        <f>IFERROR(N4/N2,"")</f>
        <v>1.0</v>
      </c>
      <c r="O17" s="15">
        <f>IFERROR(O4/O2,"")</f>
        <v>1.0</v>
      </c>
      <c r="P17" s="15">
        <f>IFERROR(P4/P2,"")</f>
        <v>1.0</v>
      </c>
      <c r="Q17" s="15">
        <f>IFERROR(Q4/Q2,"")</f>
        <v>1.0</v>
      </c>
      <c r="R17" s="15">
        <f>IFERROR(R4/R2,"")</f>
        <v>1.0</v>
      </c>
    </row>
    <row r="18">
      <c r="A18" s="14" t="inlineStr">
        <is>
          <t>Operating Margin</t>
        </is>
      </c>
      <c r="B18" s="15">
        <f>IFERROR(B8/B2,"")</f>
        <v>-1.1693830034924328</v>
      </c>
      <c r="C18" s="15">
        <f>IFERROR(C8/C2,"")</f>
        <v>-0.35231250000000003</v>
      </c>
      <c r="D18" s="15">
        <f>IFERROR(D8/D2,"")</f>
        <v>-0.48784122468332997</v>
      </c>
      <c r="E18" s="15">
        <f>IFERROR(E8/E2,"")</f>
        <v>-1.0970421871317464</v>
      </c>
      <c r="F18" s="15">
        <f>IFERROR(F8/F2,"")</f>
        <v>-0.6277163044927343</v>
      </c>
      <c r="G18" s="15">
        <f>IFERROR(G8/G2,"")</f>
        <v>-1.6115005587727318</v>
      </c>
      <c r="H18" s="15">
        <f>IFERROR(H8/H2,"")</f>
        <v>-7.169459253617669</v>
      </c>
      <c r="I18" s="15">
        <f>IFERROR(I8/I2,"")</f>
        <v>-7.710774544971437</v>
      </c>
      <c r="J18" s="15">
        <f>IFERROR(J8/J2,"")</f>
        <v>-5.0272782380278835</v>
      </c>
      <c r="K18" s="15">
        <f>IFERROR(K8/K2,"")</f>
        <v>-2.8129075565784425</v>
      </c>
      <c r="L18" s="15">
        <f>IFERROR(L8/L2,"")</f>
        <v>-2.4346261495401844</v>
      </c>
      <c r="M18" s="15">
        <f>IFERROR(M8/M2,"")</f>
        <v>-2.297923396400554</v>
      </c>
      <c r="N18" s="15">
        <f>IFERROR(N8/N2,"")</f>
        <v>-3.950136163020002</v>
      </c>
      <c r="O18" s="15">
        <f>IFERROR(O8/O2,"")</f>
        <v>-5.217476874630978</v>
      </c>
      <c r="P18" s="15">
        <f>IFERROR(P8/P2,"")</f>
        <v>-4.822109148957399</v>
      </c>
      <c r="Q18" s="15">
        <f>IFERROR(Q8/Q2,"")</f>
        <v>-4.083425009167584</v>
      </c>
      <c r="R18" s="15">
        <f>IFERROR(R8/R2,"")</f>
        <v>-0.6049984115217623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  <c r="O19" s="20" t="inlineStr">
        <is>
          <t>A</t>
        </is>
      </c>
      <c r="P19" s="20" t="inlineStr">
        <is>
          <t>A</t>
        </is>
      </c>
      <c r="Q19" s="20" t="inlineStr">
        <is>
          <t>A</t>
        </is>
      </c>
      <c r="R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2026-10-21T01:06:55Z</dcterms:modified>
  <cp:lastModifiedBy>Wang, Eric</cp:lastModifiedBy>
</cp:coreProperties>
</file>