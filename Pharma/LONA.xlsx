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LeonaBio Inc</t>
        </is>
      </c>
      <c r="C2" s="10" t="n"/>
    </row>
    <row r="3">
      <c r="B3" t="inlineStr">
        <is>
          <t>Price</t>
        </is>
      </c>
      <c r="C3" s="11">
        <f>INDEX([1]Pharma!$F$1:$F$1000,MATCH("LONA",[1]Pharma!$B$1:$B$1000,0))</f>
        <v>5.27</v>
      </c>
      <c r="F3" s="1" t="n"/>
    </row>
    <row r="4">
      <c r="B4" t="inlineStr">
        <is>
          <t>Shares</t>
        </is>
      </c>
      <c r="C4" s="21" t="n">
        <v>9.421663000000001</v>
      </c>
      <c r="F4" s="1" t="n"/>
    </row>
    <row r="5">
      <c r="B5" t="inlineStr">
        <is>
          <t>Market Cap.</t>
        </is>
      </c>
      <c r="C5" s="13">
        <f>C3*C4</f>
        <v>49.65216401</v>
      </c>
      <c r="F5" s="1" t="n"/>
    </row>
    <row r="6"/>
    <row r="7">
      <c r="B7" t="inlineStr">
        <is>
          <t>Cash</t>
        </is>
      </c>
      <c r="C7" s="21">
        <f>32.323+18.744</f>
        <v>51.067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-1.4148359900000003</v>
      </c>
    </row>
    <row r="10"/>
    <row r="11">
      <c r="B11" s="14" t="inlineStr">
        <is>
          <t>Net Cash / Share</t>
        </is>
      </c>
      <c r="C11" s="11">
        <f>(C7-C8)/C4</f>
        <v>5.420168392777368</v>
      </c>
    </row>
    <row r="12">
      <c r="B12" s="14" t="inlineStr">
        <is>
          <t>Upside</t>
        </is>
      </c>
      <c r="C12" s="15">
        <f>IFERROR(C11/C3-1,"")</f>
        <v>0.02849495119115164</v>
      </c>
    </row>
    <row r="13">
      <c r="B13" s="14" t="inlineStr">
        <is>
          <t>Cash / Share</t>
        </is>
      </c>
      <c r="C13" s="11">
        <f>IFERROR((C7-C8)/C4,"")</f>
        <v>5.420168392777368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-61.926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0.8246455446823628</v>
      </c>
    </row>
    <row r="19">
      <c r="B19" s="14" t="inlineStr">
        <is>
          <t>Implied Pipeline Value</t>
        </is>
      </c>
      <c r="C19" s="13">
        <f>C9</f>
        <v>-1.4148359900000003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3.793</v>
      </c>
      <c r="C5" s="23" t="n">
        <v>13.286</v>
      </c>
      <c r="D5" s="23" t="n">
        <v>42.794</v>
      </c>
      <c r="E5" s="23" t="n">
        <v>61.464</v>
      </c>
      <c r="F5" s="23" t="n">
        <v>93.79000000000001</v>
      </c>
      <c r="G5" s="23" t="n">
        <v>70.682</v>
      </c>
      <c r="H5" s="23" t="n">
        <v>17.5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1.656</v>
      </c>
      <c r="C6" s="23" t="n">
        <v>6.709</v>
      </c>
      <c r="D6" s="23" t="n">
        <v>21.228</v>
      </c>
      <c r="E6" s="23" t="n">
        <v>42.552</v>
      </c>
      <c r="F6" s="23" t="n">
        <v>31.676</v>
      </c>
      <c r="G6" s="23" t="n">
        <v>30.22</v>
      </c>
      <c r="H6" s="23" t="n">
        <v>84.76600000000001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5.449</v>
      </c>
      <c r="C7" s="23">
        <f>SUM(C5:C6)</f>
        <v>19.994999999999997</v>
      </c>
      <c r="D7" s="23">
        <f>SUM(D5:D6)</f>
        <v>64.02199999999999</v>
      </c>
      <c r="E7" s="23">
        <f>SUM(E5:E6)</f>
        <v>104.01599999999999</v>
      </c>
      <c r="F7" s="23">
        <f>SUM(F5:F6)</f>
        <v>125.46600000000001</v>
      </c>
      <c r="G7" s="23">
        <f>SUM(G5:G6)</f>
        <v>100.902</v>
      </c>
      <c r="H7" s="23">
        <f>SUM(H5:H6)</f>
        <v>102.266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-5.449</v>
      </c>
      <c r="C8" s="23">
        <f>C4-C7</f>
        <v>-19.994999999999997</v>
      </c>
      <c r="D8" s="23">
        <f>D4-D7</f>
        <v>-64.02199999999999</v>
      </c>
      <c r="E8" s="23">
        <f>E4-E7</f>
        <v>-104.01599999999999</v>
      </c>
      <c r="F8" s="23">
        <f>F4-F7</f>
        <v>-125.46600000000001</v>
      </c>
      <c r="G8" s="23">
        <f>G4-G7</f>
        <v>-100.902</v>
      </c>
      <c r="H8" s="23">
        <f>H4-H7</f>
        <v>-102.266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0.288</v>
      </c>
      <c r="C9" s="23" t="n">
        <v>0.04</v>
      </c>
      <c r="D9" s="23" t="n">
        <v>9.169</v>
      </c>
      <c r="E9" s="23" t="n">
        <v>8.377000000000001</v>
      </c>
      <c r="F9" s="23" t="n">
        <v>7.794</v>
      </c>
      <c r="G9" s="23" t="n">
        <v>3.902</v>
      </c>
      <c r="H9" s="23" t="n">
        <v>-3.734</v>
      </c>
    </row>
    <row r="10">
      <c r="A10" s="2" t="inlineStr">
        <is>
          <t>Pretax</t>
        </is>
      </c>
      <c r="B10" s="23">
        <f>B8+B9</f>
        <v>-5.161</v>
      </c>
      <c r="C10" s="23">
        <f>C8+C9</f>
        <v>-19.955</v>
      </c>
      <c r="D10" s="23">
        <f>D8+D9</f>
        <v>-54.852999999999994</v>
      </c>
      <c r="E10" s="23">
        <f>E8+E9</f>
        <v>-95.639</v>
      </c>
      <c r="F10" s="23">
        <f>F8+F9</f>
        <v>-117.67200000000001</v>
      </c>
      <c r="G10" s="23">
        <f>G8+G9</f>
        <v>-97.0</v>
      </c>
      <c r="H10" s="23">
        <f>H8+H9</f>
        <v>-106.0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-5.161</v>
      </c>
      <c r="C12" s="23" t="n">
        <v>-19.955</v>
      </c>
      <c r="D12" s="23" t="n">
        <v>-54.853</v>
      </c>
      <c r="E12" s="23" t="n">
        <v>-95.639</v>
      </c>
      <c r="F12" s="23" t="n">
        <v>-117.672</v>
      </c>
      <c r="G12" s="23" t="n">
        <v>-97</v>
      </c>
      <c r="H12" s="23" t="n">
        <v>-106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-14.456582633053221</v>
      </c>
      <c r="C13" s="11">
        <f>IFERROR(C12/C14,0)</f>
        <v>-16.67084377610693</v>
      </c>
      <c r="D13" s="11">
        <f>IFERROR(D12/D14,0)</f>
        <v>-14.857258938244854</v>
      </c>
      <c r="E13" s="11">
        <f>IFERROR(E12/E14,0)</f>
        <v>-25.34826398091704</v>
      </c>
      <c r="F13" s="11">
        <f>IFERROR(F12/F14,0)</f>
        <v>-30.950026301946345</v>
      </c>
      <c r="G13" s="11">
        <f>IFERROR(G12/G14,0)</f>
        <v>-25.20790020790021</v>
      </c>
      <c r="H13" s="11">
        <f>IFERROR(H12/H14,0)</f>
        <v>-24.78952291861553</v>
      </c>
    </row>
    <row r="14">
      <c r="A14" s="2" t="inlineStr">
        <is>
          <t>Shares</t>
        </is>
      </c>
      <c r="B14" s="23" t="n">
        <v>0.357</v>
      </c>
      <c r="C14" s="23" t="n">
        <v>1.197</v>
      </c>
      <c r="D14" s="23" t="n">
        <v>3.692</v>
      </c>
      <c r="E14" s="23" t="n">
        <v>3.773</v>
      </c>
      <c r="F14" s="23" t="n">
        <v>3.802</v>
      </c>
      <c r="G14" s="23" t="n">
        <v>3.848</v>
      </c>
      <c r="H14" s="23" t="n">
        <v>4.276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2026-10-21T01:06:12Z</dcterms:modified>
  <cp:lastModifiedBy>Wang, Eric</cp:lastModifiedBy>
</cp:coreProperties>
</file>