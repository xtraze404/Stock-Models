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Aptorum Group Ltd</t>
        </is>
      </c>
      <c r="C2" s="10" t="n"/>
    </row>
    <row r="3">
      <c r="B3" t="inlineStr">
        <is>
          <t>Price</t>
        </is>
      </c>
      <c r="C3" s="11">
        <f>INDEX([1]Pharma!$F$1:$F$1000,MATCH("NIKI",[1]Pharma!$B$1:$B$1000,0))</f>
        <v>2.03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 t="n">
        <v>3.452891</v>
      </c>
    </row>
    <row r="8">
      <c r="B8" t="inlineStr">
        <is>
          <t>Debt</t>
        </is>
      </c>
      <c r="C8" s="21" t="n">
        <v>3.4185</v>
      </c>
    </row>
    <row r="9">
      <c r="B9" t="inlineStr">
        <is>
          <t>Enterprise V.</t>
        </is>
      </c>
      <c r="C9" s="13">
        <f>C5-C7+C8</f>
        <v>-0.03439100000000028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-1.837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0.018721284703320785</v>
      </c>
    </row>
    <row r="19">
      <c r="B19" s="14" t="inlineStr">
        <is>
          <t>Implied Pipeline Value</t>
        </is>
      </c>
      <c r="C19" s="13">
        <f>C9</f>
        <v>-0.03439100000000028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1.542</v>
      </c>
      <c r="F2" s="23" t="n">
        <v>1.296</v>
      </c>
      <c r="G2" s="23" t="n">
        <v>0.431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1.46</v>
      </c>
      <c r="F3" s="23" t="n">
        <v>1.216</v>
      </c>
      <c r="G3" s="23" t="n">
        <v>0.421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0.08200000000000007</v>
      </c>
      <c r="F4" s="23">
        <f>F2-F3</f>
        <v>0.08000000000000007</v>
      </c>
      <c r="G4" s="23">
        <f>G2-G3</f>
        <v>0.010000000000000009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3.101</v>
      </c>
      <c r="C5" s="23" t="n">
        <v>6.939</v>
      </c>
      <c r="D5" s="23" t="n">
        <v>11.587</v>
      </c>
      <c r="E5" s="23" t="n">
        <v>10.87</v>
      </c>
      <c r="F5" s="23" t="n">
        <v>9.220000000000001</v>
      </c>
      <c r="G5" s="23" t="n">
        <v>5.198</v>
      </c>
      <c r="H5" s="23" t="n">
        <v>2.195</v>
      </c>
      <c r="I5" s="23" t="n">
        <v>0.353</v>
      </c>
      <c r="J5" s="1" t="n"/>
      <c r="K5" s="1" t="n"/>
    </row>
    <row r="6">
      <c r="A6" s="19" t="inlineStr">
        <is>
          <t>SG&amp;A &amp; Other</t>
        </is>
      </c>
      <c r="B6" s="23" t="n">
        <v>7.61</v>
      </c>
      <c r="C6" s="23" t="n">
        <v>11.795</v>
      </c>
      <c r="D6" s="23" t="n">
        <v>9.6</v>
      </c>
      <c r="E6" s="23" t="n">
        <v>8.42</v>
      </c>
      <c r="F6" s="23" t="n">
        <v>8.369999999999999</v>
      </c>
      <c r="G6" s="23" t="n">
        <v>5.536</v>
      </c>
      <c r="H6" s="23" t="n">
        <v>0.669</v>
      </c>
      <c r="I6" s="23" t="n">
        <v>0.573</v>
      </c>
      <c r="J6" s="1" t="n"/>
      <c r="K6" s="1" t="n"/>
    </row>
    <row r="7">
      <c r="A7" s="2" t="inlineStr">
        <is>
          <t>Operating Expense</t>
        </is>
      </c>
      <c r="B7" s="23">
        <f>SUM(B5:B6)</f>
        <v>10.711</v>
      </c>
      <c r="C7" s="23">
        <f>SUM(C5:C6)</f>
        <v>18.734</v>
      </c>
      <c r="D7" s="23">
        <f>SUM(D5:D6)</f>
        <v>21.186999999999998</v>
      </c>
      <c r="E7" s="23">
        <f>SUM(E5:E6)</f>
        <v>19.29</v>
      </c>
      <c r="F7" s="23">
        <f>SUM(F5:F6)</f>
        <v>17.59</v>
      </c>
      <c r="G7" s="23">
        <f>SUM(G5:G6)</f>
        <v>10.734</v>
      </c>
      <c r="H7" s="23">
        <f>SUM(H5:H6)</f>
        <v>2.864</v>
      </c>
      <c r="I7" s="23">
        <f>SUM(I5:I6)</f>
        <v>0.9259999999999999</v>
      </c>
      <c r="J7" s="1" t="n"/>
      <c r="K7" s="1" t="n"/>
    </row>
    <row r="8">
      <c r="A8" s="2" t="inlineStr">
        <is>
          <t>Operating Income</t>
        </is>
      </c>
      <c r="B8" s="23">
        <f>B4-B7</f>
        <v>-10.711</v>
      </c>
      <c r="C8" s="23">
        <f>C4-C7</f>
        <v>-18.734</v>
      </c>
      <c r="D8" s="23">
        <f>D4-D7</f>
        <v>-21.186999999999998</v>
      </c>
      <c r="E8" s="23">
        <f>E4-E7</f>
        <v>-19.208</v>
      </c>
      <c r="F8" s="23">
        <f>F4-F7</f>
        <v>-17.509999999999998</v>
      </c>
      <c r="G8" s="23">
        <f>G4-G7</f>
        <v>-10.724</v>
      </c>
      <c r="H8" s="23">
        <f>H4-H7</f>
        <v>-2.864</v>
      </c>
      <c r="I8" s="23">
        <f>I4-I7</f>
        <v>-0.9259999999999999</v>
      </c>
      <c r="J8" s="1" t="n"/>
      <c r="K8" s="1" t="n"/>
    </row>
    <row r="9">
      <c r="A9" s="19" t="inlineStr">
        <is>
          <t>Interest &amp; Other</t>
        </is>
      </c>
      <c r="B9" s="23" t="n">
        <v>-4.12</v>
      </c>
      <c r="C9" s="23" t="n">
        <v>-1.383</v>
      </c>
      <c r="D9" s="23" t="n">
        <v>26.107</v>
      </c>
      <c r="E9" s="23" t="n">
        <v>-5.841</v>
      </c>
      <c r="F9" s="23" t="n">
        <v>7.71</v>
      </c>
      <c r="G9" s="23" t="n">
        <v>7.9</v>
      </c>
      <c r="H9" s="23" t="n">
        <v>-1.403</v>
      </c>
      <c r="I9" s="23" t="n">
        <v>-0.437</v>
      </c>
    </row>
    <row r="10">
      <c r="A10" s="2" t="inlineStr">
        <is>
          <t>Pretax</t>
        </is>
      </c>
      <c r="B10" s="23">
        <f>B8+B9</f>
        <v>-14.831</v>
      </c>
      <c r="C10" s="23">
        <f>C8+C9</f>
        <v>-20.117</v>
      </c>
      <c r="D10" s="23">
        <f>D8+D9</f>
        <v>4.920000000000002</v>
      </c>
      <c r="E10" s="23">
        <f>E8+E9</f>
        <v>-25.049</v>
      </c>
      <c r="F10" s="23">
        <f>F8+F9</f>
        <v>-9.799999999999997</v>
      </c>
      <c r="G10" s="23">
        <f>G8+G9</f>
        <v>-2.824</v>
      </c>
      <c r="H10" s="23">
        <f>H8+H9</f>
        <v>-4.2669999999999995</v>
      </c>
      <c r="I10" s="23">
        <f>I8+I9</f>
        <v>-1.363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-14.832</v>
      </c>
      <c r="C12" s="23" t="n">
        <v>-20.117</v>
      </c>
      <c r="D12" s="23" t="n">
        <v>4.92</v>
      </c>
      <c r="E12" s="23" t="n">
        <v>-25.048</v>
      </c>
      <c r="F12" s="23" t="n">
        <v>-9.800000000000001</v>
      </c>
      <c r="G12" s="23" t="n">
        <v>-2.825</v>
      </c>
      <c r="H12" s="23" t="n">
        <v>-4.268</v>
      </c>
      <c r="I12" s="23" t="n">
        <v>-1.363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-0.5314224292368327</v>
      </c>
      <c r="C13" s="11">
        <f>IFERROR(C12/C14,0)</f>
        <v>-0.6934983452840596</v>
      </c>
      <c r="D13" s="11">
        <f>IFERROR(D12/D14,0)</f>
        <v>1.560418648905804</v>
      </c>
      <c r="E13" s="11">
        <f>IFERROR(E12/E14,0)</f>
        <v>-7.150442477876106</v>
      </c>
      <c r="F13" s="11">
        <f>IFERROR(F12/F14,0)</f>
        <v>-2.7458671896889886</v>
      </c>
      <c r="G13" s="11">
        <f>IFERROR(G12/G14,0)</f>
        <v>-0.6248617562486176</v>
      </c>
      <c r="H13" s="11">
        <f>IFERROR(H12/H14,0)</f>
        <v>-0.7826884283880432</v>
      </c>
      <c r="I13" s="11">
        <f>IFERROR(I12/I14,0)</f>
        <v>-0.1853917301414581</v>
      </c>
    </row>
    <row r="14">
      <c r="A14" s="2" t="inlineStr">
        <is>
          <t>Shares</t>
        </is>
      </c>
      <c r="B14" s="23" t="n">
        <v>27.91</v>
      </c>
      <c r="C14" s="23" t="n">
        <v>29.008</v>
      </c>
      <c r="D14" s="23" t="n">
        <v>3.153</v>
      </c>
      <c r="E14" s="23" t="n">
        <v>3.503</v>
      </c>
      <c r="F14" s="23" t="n">
        <v>3.569</v>
      </c>
      <c r="G14" s="23" t="n">
        <v>4.521</v>
      </c>
      <c r="H14" s="23" t="n">
        <v>5.453</v>
      </c>
      <c r="I14" s="23" t="n">
        <v>7.352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-0.15953307392996108</v>
      </c>
      <c r="G16" s="15">
        <f>IFERROR(G2/F2-1,"")</f>
        <v>-0.6674382716049383</v>
      </c>
      <c r="H16" s="15">
        <f>IFERROR(H2/G2-1,"")</f>
        <v>-1.0</v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0.05317769130998708</v>
      </c>
      <c r="F17" s="15">
        <f>IFERROR(F4/F2,"")</f>
        <v>0.06172839506172845</v>
      </c>
      <c r="G17" s="15">
        <f>IFERROR(G4/G2,"")</f>
        <v>0.0232018561484919</v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-12.456549935149155</v>
      </c>
      <c r="F18" s="15">
        <f>IFERROR(F8/F2,"")</f>
        <v>-13.5108024691358</v>
      </c>
      <c r="G18" s="15">
        <f>IFERROR(G8/G2,"")</f>
        <v>-24.88167053364269</v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2026-10-21T06:31:54Z</dcterms:modified>
  <cp:lastModifiedBy>Wang, Eric</cp:lastModifiedBy>
</cp:coreProperties>
</file>