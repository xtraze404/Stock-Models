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Lyell Immunopharma, Inc.</t>
        </is>
      </c>
      <c r="C2" s="10" t="n"/>
    </row>
    <row r="3">
      <c r="B3" t="inlineStr">
        <is>
          <t>Price</t>
        </is>
      </c>
      <c r="C3" s="11">
        <f>INDEX([1]Pharma!$F$1:$F$1000,MATCH("LYEL",[1]Pharma!$B$1:$B$1000,0))</f>
        <v>9.7</v>
      </c>
      <c r="F3" s="1" t="n"/>
    </row>
    <row r="4">
      <c r="B4" t="inlineStr">
        <is>
          <t>Shares</t>
        </is>
      </c>
      <c r="C4" s="21" t="n">
        <v>24.505141</v>
      </c>
      <c r="F4" s="1" t="n"/>
    </row>
    <row r="5">
      <c r="B5" t="inlineStr">
        <is>
          <t>Market Cap.</t>
        </is>
      </c>
      <c r="C5" s="13">
        <f>C3*C4</f>
        <v>237.69986769999997</v>
      </c>
      <c r="F5" s="1" t="n"/>
    </row>
    <row r="6"/>
    <row r="7">
      <c r="B7" t="inlineStr">
        <is>
          <t>Cash</t>
        </is>
      </c>
      <c r="C7" s="21">
        <f>72.985+131.117</f>
        <v>204.10199999999998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33.597867699999995</v>
      </c>
    </row>
    <row r="10"/>
    <row r="11">
      <c r="B11" s="14" t="inlineStr">
        <is>
          <t>Net Cash / Share</t>
        </is>
      </c>
      <c r="C11" s="11">
        <f>(C7-C8)/C4</f>
        <v>8.32894615868564</v>
      </c>
    </row>
    <row r="12">
      <c r="B12" s="14" t="inlineStr">
        <is>
          <t>Upside</t>
        </is>
      </c>
      <c r="C12" s="15">
        <f>IFERROR(C11/C3-1,"")</f>
        <v>-0.14134575683653183</v>
      </c>
    </row>
    <row r="13">
      <c r="B13" s="14" t="inlineStr">
        <is>
          <t>Cash / Share</t>
        </is>
      </c>
      <c r="C13" s="11">
        <f>IFERROR((C7-C8)/C4,"")</f>
        <v>8.32894615868564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-133.26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1.5316073840612336</v>
      </c>
    </row>
    <row r="19">
      <c r="B19" s="14" t="inlineStr">
        <is>
          <t>Implied Pipeline Value</t>
        </is>
      </c>
      <c r="C19" s="13">
        <f>C9</f>
        <v>33.597867699999995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0.657</v>
      </c>
      <c r="C2" s="23" t="n">
        <v>7.756</v>
      </c>
      <c r="D2" s="23" t="n">
        <v>10.65</v>
      </c>
      <c r="E2" s="23" t="n">
        <v>84.68300000000001</v>
      </c>
      <c r="F2" s="23" t="n">
        <v>0.13</v>
      </c>
      <c r="G2" s="23" t="n">
        <v>0.061</v>
      </c>
      <c r="H2" s="23" t="n">
        <v>0.036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0.657</v>
      </c>
      <c r="C4" s="23">
        <f>C2-C3</f>
        <v>7.756</v>
      </c>
      <c r="D4" s="23">
        <f>D2-D3</f>
        <v>10.65</v>
      </c>
      <c r="E4" s="23">
        <f>E2-E3</f>
        <v>84.683</v>
      </c>
      <c r="F4" s="23">
        <f>F2-F3</f>
        <v>0.13</v>
      </c>
      <c r="G4" s="23">
        <f>G2-G3</f>
        <v>0.061</v>
      </c>
      <c r="H4" s="23">
        <f>H2-H3</f>
        <v>0.036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63.595</v>
      </c>
      <c r="C5" s="23" t="n">
        <v>182.243</v>
      </c>
      <c r="D5" s="23" t="n">
        <v>138.693</v>
      </c>
      <c r="E5" s="23" t="n">
        <v>159.188</v>
      </c>
      <c r="F5" s="23" t="n">
        <v>182.945</v>
      </c>
      <c r="G5" s="23" t="n">
        <v>171.603</v>
      </c>
      <c r="H5" s="23" t="n">
        <v>158.675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39.151</v>
      </c>
      <c r="C6" s="23" t="n">
        <v>37.45</v>
      </c>
      <c r="D6" s="23" t="n">
        <v>86.733</v>
      </c>
      <c r="E6" s="23" t="n">
        <v>112.553</v>
      </c>
      <c r="F6" s="23" t="n">
        <v>64.193</v>
      </c>
      <c r="G6" s="23" t="n">
        <v>187.213</v>
      </c>
      <c r="H6" s="23" t="n">
        <v>110.765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102.74600000000001</v>
      </c>
      <c r="C7" s="23">
        <f>SUM(C5:C6)</f>
        <v>219.69299999999998</v>
      </c>
      <c r="D7" s="23">
        <f>SUM(D5:D6)</f>
        <v>225.42600000000002</v>
      </c>
      <c r="E7" s="23">
        <f>SUM(E5:E6)</f>
        <v>271.741</v>
      </c>
      <c r="F7" s="23">
        <f>SUM(F5:F6)</f>
        <v>247.13799999999998</v>
      </c>
      <c r="G7" s="23">
        <f>SUM(G5:G6)</f>
        <v>358.81600000000003</v>
      </c>
      <c r="H7" s="23">
        <f>SUM(H5:H6)</f>
        <v>269.44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-102.08900000000001</v>
      </c>
      <c r="C8" s="23">
        <f>C4-C7</f>
        <v>-211.93699999999998</v>
      </c>
      <c r="D8" s="23">
        <f>D4-D7</f>
        <v>-214.776</v>
      </c>
      <c r="E8" s="23">
        <f>E4-E7</f>
        <v>-187.058</v>
      </c>
      <c r="F8" s="23">
        <f>F4-F7</f>
        <v>-247.00799999999998</v>
      </c>
      <c r="G8" s="23">
        <f>G4-G7</f>
        <v>-358.75500000000005</v>
      </c>
      <c r="H8" s="23">
        <f>H4-H7</f>
        <v>-269.404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-27.288</v>
      </c>
      <c r="C9" s="23" t="n">
        <v>7.465</v>
      </c>
      <c r="D9" s="23" t="n">
        <v>-35.443</v>
      </c>
      <c r="E9" s="23" t="n">
        <v>3.94</v>
      </c>
      <c r="F9" s="23" t="n">
        <v>12.376</v>
      </c>
      <c r="G9" s="23" t="n">
        <v>15.761</v>
      </c>
      <c r="H9" s="23" t="n">
        <v>-5.044</v>
      </c>
    </row>
    <row r="10">
      <c r="A10" s="2" t="inlineStr">
        <is>
          <t>Pretax</t>
        </is>
      </c>
      <c r="B10" s="23">
        <f>B8+B9</f>
        <v>-129.377</v>
      </c>
      <c r="C10" s="23">
        <f>C8+C9</f>
        <v>-204.47199999999998</v>
      </c>
      <c r="D10" s="23">
        <f>D8+D9</f>
        <v>-250.219</v>
      </c>
      <c r="E10" s="23">
        <f>E8+E9</f>
        <v>-183.118</v>
      </c>
      <c r="F10" s="23">
        <f>F8+F9</f>
        <v>-234.63199999999998</v>
      </c>
      <c r="G10" s="23">
        <f>G8+G9</f>
        <v>-342.994</v>
      </c>
      <c r="H10" s="23">
        <f>H8+H9</f>
        <v>-274.448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-129.377</v>
      </c>
      <c r="C12" s="23" t="n">
        <v>-204.472</v>
      </c>
      <c r="D12" s="23" t="n">
        <v>-250.219</v>
      </c>
      <c r="E12" s="23" t="n">
        <v>-183.118</v>
      </c>
      <c r="F12" s="23" t="n">
        <v>-234.632</v>
      </c>
      <c r="G12" s="23" t="n">
        <v>-342.994</v>
      </c>
      <c r="H12" s="23" t="n">
        <v>-274.448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-195.13876319758674</v>
      </c>
      <c r="C13" s="11">
        <f>IFERROR(C12/C14,0)</f>
        <v>-308.40422322775265</v>
      </c>
      <c r="D13" s="11">
        <f>IFERROR(D12/D14,0)</f>
        <v>-36.818569746909944</v>
      </c>
      <c r="E13" s="11">
        <f>IFERROR(E12/E14,0)</f>
        <v>-14.822567589444715</v>
      </c>
      <c r="F13" s="11">
        <f>IFERROR(F12/F14,0)</f>
        <v>-18.69726671447924</v>
      </c>
      <c r="G13" s="11">
        <f>IFERROR(G12/G14,0)</f>
        <v>-26.2348171944317</v>
      </c>
      <c r="H13" s="11">
        <f>IFERROR(H12/H14,0)</f>
        <v>-16.056163341718833</v>
      </c>
    </row>
    <row r="14">
      <c r="A14" s="2" t="inlineStr">
        <is>
          <t>Shares</t>
        </is>
      </c>
      <c r="B14" s="23" t="n">
        <v>0.663</v>
      </c>
      <c r="C14" s="23" t="n">
        <v>0.663</v>
      </c>
      <c r="D14" s="23" t="n">
        <v>6.796</v>
      </c>
      <c r="E14" s="23" t="n">
        <v>12.354</v>
      </c>
      <c r="F14" s="23" t="n">
        <v>12.549</v>
      </c>
      <c r="G14" s="23" t="n">
        <v>13.074</v>
      </c>
      <c r="H14" s="23" t="n">
        <v>17.093</v>
      </c>
    </row>
    <row r="15"/>
    <row r="16" customFormat="1" s="4">
      <c r="A16" s="3" t="inlineStr">
        <is>
          <t>Revenue Change</t>
        </is>
      </c>
      <c r="C16" s="15">
        <f>IFERROR(C2/B2-1,"")</f>
        <v>10.80517503805175</v>
      </c>
      <c r="D16" s="15">
        <f>IFERROR(D2/C2-1,"")</f>
        <v>0.3731304796286745</v>
      </c>
      <c r="E16" s="15">
        <f>IFERROR(E2/D2-1,"")</f>
        <v>6.951455399061033</v>
      </c>
      <c r="F16" s="15">
        <f>IFERROR(F2/E2-1,"")</f>
        <v>-0.9984648630775953</v>
      </c>
      <c r="G16" s="15">
        <f>IFERROR(G2/F2-1,"")</f>
        <v>-0.5307692307692308</v>
      </c>
      <c r="H16" s="15">
        <f>IFERROR(H2/G2-1,"")</f>
        <v>-0.4098360655737705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-155.38660578386606</v>
      </c>
      <c r="C18" s="15">
        <f>IFERROR(C8/C2,"")</f>
        <v>-27.325554409489424</v>
      </c>
      <c r="D18" s="15">
        <f>IFERROR(D8/D2,"")</f>
        <v>-20.166760563380283</v>
      </c>
      <c r="E18" s="15">
        <f>IFERROR(E8/E2,"")</f>
        <v>-2.2089203263937267</v>
      </c>
      <c r="F18" s="15">
        <f>IFERROR(F8/F2,"")</f>
        <v>-1900.0615384615382</v>
      </c>
      <c r="G18" s="15">
        <f>IFERROR(G8/G2,"")</f>
        <v>-5881.229508196722</v>
      </c>
      <c r="H18" s="15">
        <f>IFERROR(H8/H2,"")</f>
        <v>-7483.444444444445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2026-10-21T01:05:38Z</dcterms:modified>
  <cp:lastModifiedBy>Wang, Eric</cp:lastModifiedBy>
</cp:coreProperties>
</file>