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Lyell Immunopharma, Inc.</t>
        </is>
      </c>
      <c r="C2" s="10" t="n"/>
    </row>
    <row r="3">
      <c r="B3" t="inlineStr">
        <is>
          <t>Price</t>
        </is>
      </c>
      <c r="C3" s="11">
        <f>INDEX([1]Pharma!$F$1:$F$1000,MATCH("LYEL",[1]Pharma!$B$1:$B$1000,0))</f>
        <v>9.7</v>
      </c>
      <c r="F3" s="1" t="n"/>
    </row>
    <row r="4">
      <c r="B4" t="inlineStr">
        <is>
          <t>Shares</t>
        </is>
      </c>
      <c r="C4" s="21" t="n">
        <v>24.505141</v>
      </c>
      <c r="F4" s="1" t="n"/>
    </row>
    <row r="5">
      <c r="B5" t="inlineStr">
        <is>
          <t>Market Cap.</t>
        </is>
      </c>
      <c r="C5" s="13">
        <f>C3*C4</f>
        <v>237.69986769999997</v>
      </c>
      <c r="F5" s="1" t="n"/>
    </row>
    <row r="6"/>
    <row r="7">
      <c r="B7" t="inlineStr">
        <is>
          <t>Cash</t>
        </is>
      </c>
      <c r="C7" s="21">
        <f>72.985+131.117</f>
        <v>204.10199999999998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33.597867699999995</v>
      </c>
    </row>
    <row r="10"/>
    <row r="11">
      <c r="B11" s="14" t="inlineStr">
        <is>
          <t>rNPV / Share</t>
        </is>
      </c>
      <c r="C11" s="11">
        <f>NPV!B27</f>
        <v>20.814900844457377</v>
      </c>
    </row>
    <row r="12">
      <c r="B12" s="14" t="inlineStr">
        <is>
          <t>Upside</t>
        </is>
      </c>
      <c r="C12" s="15">
        <f>IFERROR(C11/C3-1,"")</f>
        <v>1.1458660664389049</v>
      </c>
    </row>
    <row r="13">
      <c r="B13" s="14" t="inlineStr">
        <is>
          <t>Cash / Share</t>
        </is>
      </c>
      <c r="C13" s="11">
        <f>IFERROR((C7-C8)/C4,"")</f>
        <v>8.32894615868564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-133.26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1.5316073840612336</v>
      </c>
    </row>
    <row r="19">
      <c r="B19" s="14" t="inlineStr">
        <is>
          <t>Implied Pipeline Value</t>
        </is>
      </c>
      <c r="C19" s="13">
        <f>C9</f>
        <v>33.597867699999995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0.657</v>
      </c>
      <c r="C2" s="23" t="n">
        <v>7.756</v>
      </c>
      <c r="D2" s="23" t="n">
        <v>10.65</v>
      </c>
      <c r="E2" s="23" t="n">
        <v>84.68300000000001</v>
      </c>
      <c r="F2" s="23" t="n">
        <v>0.13</v>
      </c>
      <c r="G2" s="23" t="n">
        <v>0.061</v>
      </c>
      <c r="H2" s="23" t="n">
        <v>0.036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0.657</v>
      </c>
      <c r="C4" s="23">
        <f>C2-C3</f>
        <v>7.756</v>
      </c>
      <c r="D4" s="23">
        <f>D2-D3</f>
        <v>10.65</v>
      </c>
      <c r="E4" s="23">
        <f>E2-E3</f>
        <v>84.683</v>
      </c>
      <c r="F4" s="23">
        <f>F2-F3</f>
        <v>0.13</v>
      </c>
      <c r="G4" s="23">
        <f>G2-G3</f>
        <v>0.061</v>
      </c>
      <c r="H4" s="23">
        <f>H2-H3</f>
        <v>0.036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63.595</v>
      </c>
      <c r="C5" s="23" t="n">
        <v>182.243</v>
      </c>
      <c r="D5" s="23" t="n">
        <v>138.693</v>
      </c>
      <c r="E5" s="23" t="n">
        <v>159.188</v>
      </c>
      <c r="F5" s="23" t="n">
        <v>182.945</v>
      </c>
      <c r="G5" s="23" t="n">
        <v>171.603</v>
      </c>
      <c r="H5" s="23" t="n">
        <v>158.675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39.151</v>
      </c>
      <c r="C6" s="23" t="n">
        <v>37.45</v>
      </c>
      <c r="D6" s="23" t="n">
        <v>86.733</v>
      </c>
      <c r="E6" s="23" t="n">
        <v>112.553</v>
      </c>
      <c r="F6" s="23" t="n">
        <v>64.193</v>
      </c>
      <c r="G6" s="23" t="n">
        <v>187.213</v>
      </c>
      <c r="H6" s="23" t="n">
        <v>110.765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102.74600000000001</v>
      </c>
      <c r="C7" s="23">
        <f>SUM(C5:C6)</f>
        <v>219.69299999999998</v>
      </c>
      <c r="D7" s="23">
        <f>SUM(D5:D6)</f>
        <v>225.42600000000002</v>
      </c>
      <c r="E7" s="23">
        <f>SUM(E5:E6)</f>
        <v>271.741</v>
      </c>
      <c r="F7" s="23">
        <f>SUM(F5:F6)</f>
        <v>247.13799999999998</v>
      </c>
      <c r="G7" s="23">
        <f>SUM(G5:G6)</f>
        <v>358.81600000000003</v>
      </c>
      <c r="H7" s="23">
        <f>SUM(H5:H6)</f>
        <v>269.44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-102.08900000000001</v>
      </c>
      <c r="C8" s="23">
        <f>C4-C7</f>
        <v>-211.93699999999998</v>
      </c>
      <c r="D8" s="23">
        <f>D4-D7</f>
        <v>-214.776</v>
      </c>
      <c r="E8" s="23">
        <f>E4-E7</f>
        <v>-187.058</v>
      </c>
      <c r="F8" s="23">
        <f>F4-F7</f>
        <v>-247.00799999999998</v>
      </c>
      <c r="G8" s="23">
        <f>G4-G7</f>
        <v>-358.75500000000005</v>
      </c>
      <c r="H8" s="23">
        <f>H4-H7</f>
        <v>-269.404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-27.288</v>
      </c>
      <c r="C9" s="23" t="n">
        <v>7.465</v>
      </c>
      <c r="D9" s="23" t="n">
        <v>-35.443</v>
      </c>
      <c r="E9" s="23" t="n">
        <v>3.94</v>
      </c>
      <c r="F9" s="23" t="n">
        <v>12.376</v>
      </c>
      <c r="G9" s="23" t="n">
        <v>15.761</v>
      </c>
      <c r="H9" s="23" t="n">
        <v>-5.044</v>
      </c>
    </row>
    <row r="10">
      <c r="A10" s="2" t="inlineStr">
        <is>
          <t>Pretax</t>
        </is>
      </c>
      <c r="B10" s="23">
        <f>B8+B9</f>
        <v>-129.377</v>
      </c>
      <c r="C10" s="23">
        <f>C8+C9</f>
        <v>-204.47199999999998</v>
      </c>
      <c r="D10" s="23">
        <f>D8+D9</f>
        <v>-250.219</v>
      </c>
      <c r="E10" s="23">
        <f>E8+E9</f>
        <v>-183.118</v>
      </c>
      <c r="F10" s="23">
        <f>F8+F9</f>
        <v>-234.63199999999998</v>
      </c>
      <c r="G10" s="23">
        <f>G8+G9</f>
        <v>-342.994</v>
      </c>
      <c r="H10" s="23">
        <f>H8+H9</f>
        <v>-274.448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-129.377</v>
      </c>
      <c r="C12" s="23" t="n">
        <v>-204.472</v>
      </c>
      <c r="D12" s="23" t="n">
        <v>-250.219</v>
      </c>
      <c r="E12" s="23" t="n">
        <v>-183.118</v>
      </c>
      <c r="F12" s="23" t="n">
        <v>-234.632</v>
      </c>
      <c r="G12" s="23" t="n">
        <v>-342.994</v>
      </c>
      <c r="H12" s="23" t="n">
        <v>-274.448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-195.13876319758674</v>
      </c>
      <c r="C13" s="11">
        <f>IFERROR(C12/C14,0)</f>
        <v>-308.40422322775265</v>
      </c>
      <c r="D13" s="11">
        <f>IFERROR(D12/D14,0)</f>
        <v>-36.818569746909944</v>
      </c>
      <c r="E13" s="11">
        <f>IFERROR(E12/E14,0)</f>
        <v>-14.822567589444715</v>
      </c>
      <c r="F13" s="11">
        <f>IFERROR(F12/F14,0)</f>
        <v>-18.69726671447924</v>
      </c>
      <c r="G13" s="11">
        <f>IFERROR(G12/G14,0)</f>
        <v>-26.2348171944317</v>
      </c>
      <c r="H13" s="11">
        <f>IFERROR(H12/H14,0)</f>
        <v>-16.056163341718833</v>
      </c>
    </row>
    <row r="14">
      <c r="A14" s="2" t="inlineStr">
        <is>
          <t>Shares</t>
        </is>
      </c>
      <c r="B14" s="23" t="n">
        <v>0.663</v>
      </c>
      <c r="C14" s="23" t="n">
        <v>0.663</v>
      </c>
      <c r="D14" s="23" t="n">
        <v>6.796</v>
      </c>
      <c r="E14" s="23" t="n">
        <v>12.354</v>
      </c>
      <c r="F14" s="23" t="n">
        <v>12.549</v>
      </c>
      <c r="G14" s="23" t="n">
        <v>13.074</v>
      </c>
      <c r="H14" s="23" t="n">
        <v>17.093</v>
      </c>
    </row>
    <row r="15"/>
    <row r="16" customFormat="1" s="4">
      <c r="A16" s="3" t="inlineStr">
        <is>
          <t>Revenue Change</t>
        </is>
      </c>
      <c r="C16" s="15">
        <f>IFERROR(C2/B2-1,"")</f>
        <v>10.80517503805175</v>
      </c>
      <c r="D16" s="15">
        <f>IFERROR(D2/C2-1,"")</f>
        <v>0.3731304796286745</v>
      </c>
      <c r="E16" s="15">
        <f>IFERROR(E2/D2-1,"")</f>
        <v>6.951455399061033</v>
      </c>
      <c r="F16" s="15">
        <f>IFERROR(F2/E2-1,"")</f>
        <v>-0.9984648630775953</v>
      </c>
      <c r="G16" s="15">
        <f>IFERROR(G2/F2-1,"")</f>
        <v>-0.5307692307692308</v>
      </c>
      <c r="H16" s="15">
        <f>IFERROR(H2/G2-1,"")</f>
        <v>-0.4098360655737705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-155.38660578386606</v>
      </c>
      <c r="C18" s="15">
        <f>IFERROR(C8/C2,"")</f>
        <v>-27.325554409489424</v>
      </c>
      <c r="D18" s="15">
        <f>IFERROR(D8/D2,"")</f>
        <v>-20.166760563380283</v>
      </c>
      <c r="E18" s="15">
        <f>IFERROR(E8/E2,"")</f>
        <v>-2.2089203263937267</v>
      </c>
      <c r="F18" s="15">
        <f>IFERROR(F8/F2,"")</f>
        <v>-1900.0615384615382</v>
      </c>
      <c r="G18" s="15">
        <f>IFERROR(G8/G2,"")</f>
        <v>-5881.229508196722</v>
      </c>
      <c r="H18" s="15">
        <f>IFERROR(H8/H2,"")</f>
        <v>-7483.444444444445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Lyell Immunopharma,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0.4811144800000001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256.495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1619.3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305.97008009444704</v>
      </c>
      <c r="C29" s="42">
        <f>NPV!B25</f>
        <v>510.072080094447</v>
      </c>
      <c r="D29" s="43">
        <f>NPV!B27</f>
        <v>20.814900844457377</v>
      </c>
      <c r="E29" s="44">
        <f>NPV!B29</f>
        <v>1.1458660664389049</v>
      </c>
    </row>
    <row r="30">
      <c r="A30" s="45" t="n">
        <v>1</v>
      </c>
      <c r="B30" s="46">
        <f t="dataTable" ref="B30:E32" r1="B4"/>
        <v>-251.2611128265245</v>
      </c>
      <c r="C30" s="46">
        <v>-47.159112826524535</v>
      </c>
      <c r="D30" s="47">
        <v>-1.9244579260541508</v>
      </c>
      <c r="E30" s="48">
        <v>-1.1983977243354795</v>
      </c>
    </row>
    <row r="31">
      <c r="A31" s="45" t="n">
        <v>2</v>
      </c>
      <c r="B31" s="46">
        <v>305.97008009444704</v>
      </c>
      <c r="C31" s="46">
        <v>510.072080094447</v>
      </c>
      <c r="D31" s="47">
        <v>20.814900844457377</v>
      </c>
      <c r="E31" s="48">
        <v>1.1458660664389049</v>
      </c>
    </row>
    <row r="32">
      <c r="A32" s="45" t="n">
        <v>3</v>
      </c>
      <c r="B32" s="46">
        <v>1105.6639891861232</v>
      </c>
      <c r="C32" s="46">
        <v>1309.765989186123</v>
      </c>
      <c r="D32" s="47">
        <v>53.44862080924665</v>
      </c>
      <c r="E32" s="48">
        <v>4.510167093736769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20.814900844457377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-6.352076469209559</v>
      </c>
      <c r="C37" s="47">
        <v>0.35399109282697455</v>
      </c>
      <c r="D37" s="47">
        <v>7.060058654863508</v>
      </c>
      <c r="E37" s="47">
        <v>19.8255192510263</v>
      </c>
      <c r="F37" s="47">
        <v>31.370579428598084</v>
      </c>
    </row>
    <row r="38">
      <c r="A38" s="50" t="n">
        <v>0.8</v>
      </c>
      <c r="B38" s="47">
        <v>-3.5483328922570636</v>
      </c>
      <c r="C38" s="47">
        <v>5.393090523791649</v>
      </c>
      <c r="D38" s="47">
        <v>14.33451393984036</v>
      </c>
      <c r="E38" s="47">
        <v>29.91734115981</v>
      </c>
      <c r="F38" s="47">
        <v>44.9021754711182</v>
      </c>
    </row>
    <row r="39">
      <c r="A39" s="50" t="n">
        <v>1</v>
      </c>
      <c r="B39" s="47">
        <v>-0.6974383574715493</v>
      </c>
      <c r="C39" s="47">
        <v>10.479340912589347</v>
      </c>
      <c r="D39" s="47">
        <v>20.814900844457377</v>
      </c>
      <c r="E39" s="47">
        <v>39.80935313627469</v>
      </c>
      <c r="F39" s="47">
        <v>58.26437917025446</v>
      </c>
    </row>
    <row r="40">
      <c r="A40" s="50" t="n">
        <v>1.2</v>
      </c>
      <c r="B40" s="47">
        <v>2.2006071351469965</v>
      </c>
      <c r="C40" s="47">
        <v>15.47065370721365</v>
      </c>
      <c r="D40" s="47">
        <v>27.133927317525355</v>
      </c>
      <c r="E40" s="47">
        <v>49.60476812101421</v>
      </c>
      <c r="F40" s="47">
        <v>71.53811015477046</v>
      </c>
    </row>
    <row r="41">
      <c r="A41" s="50" t="n">
        <v>1.4</v>
      </c>
      <c r="B41" s="47">
        <v>5.145803585598565</v>
      </c>
      <c r="C41" s="47">
        <v>20.011063098401422</v>
      </c>
      <c r="D41" s="47">
        <v>33.39405846040951</v>
      </c>
      <c r="E41" s="47">
        <v>59.3264462168512</v>
      </c>
      <c r="F41" s="47">
        <v>84.78193276959055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Lyell Immunopharma,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Lymphoma</t>
        </is>
      </c>
      <c r="C4" s="14" t="inlineStr">
        <is>
          <t>rondecabtagene autoleucel, axicabtagene ciloleucel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944.156702827894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65.82000000000001</v>
      </c>
      <c r="Q4" s="23">
        <f>IF(Q$3&lt;$I4,0,$G4*Assumptions!$E$11*INDEX(Assumptions!$B$24:$G$24,MIN(6,Q$3-$I4+1))*IF(Q$3&gt;$J4,(1-Assumptions!$B$26)^(Q$3-$J4),1)*IF($H4&gt;=1,1,MIN(0.97,$H4*Assumptions!$E$12)))</f>
        <v>164.55</v>
      </c>
      <c r="R4" s="23">
        <f>IF(R$3&lt;$I4,0,$G4*Assumptions!$E$11*INDEX(Assumptions!$B$24:$G$24,MIN(6,R$3-$I4+1))*IF(R$3&gt;$J4,(1-Assumptions!$B$26)^(R$3-$J4),1)*IF($H4&gt;=1,1,MIN(0.97,$H4*Assumptions!$E$12)))</f>
        <v>296.19</v>
      </c>
      <c r="S4" s="23">
        <f>IF(S$3&lt;$I4,0,$G4*Assumptions!$E$11*INDEX(Assumptions!$B$24:$G$24,MIN(6,S$3-$I4+1))*IF(S$3&gt;$J4,(1-Assumptions!$B$26)^(S$3-$J4),1)*IF($H4&gt;=1,1,MIN(0.97,$H4*Assumptions!$E$12)))</f>
        <v>427.83000000000004</v>
      </c>
      <c r="T4" s="23">
        <f>IF(T$3&lt;$I4,0,$G4*Assumptions!$E$11*INDEX(Assumptions!$B$24:$G$24,MIN(6,T$3-$I4+1))*IF(T$3&gt;$J4,(1-Assumptions!$B$26)^(T$3-$J4),1)*IF($H4&gt;=1,1,MIN(0.97,$H4*Assumptions!$E$12)))</f>
        <v>559.47</v>
      </c>
      <c r="U4" s="23">
        <f>IF(U$3&lt;$I4,0,$G4*Assumptions!$E$11*INDEX(Assumptions!$B$24:$G$24,MIN(6,U$3-$I4+1))*IF(U$3&gt;$J4,(1-Assumptions!$B$26)^(U$3-$J4),1)*IF($H4&gt;=1,1,MIN(0.97,$H4*Assumptions!$E$12)))</f>
        <v>658.2</v>
      </c>
      <c r="V4" s="23">
        <f>IF(V$3&lt;$I4,0,$G4*Assumptions!$E$11*INDEX(Assumptions!$B$24:$G$24,MIN(6,V$3-$I4+1))*IF(V$3&gt;$J4,(1-Assumptions!$B$26)^(V$3-$J4),1)*IF($H4&gt;=1,1,MIN(0.97,$H4*Assumptions!$E$12)))</f>
        <v>658.2</v>
      </c>
      <c r="W4" s="23">
        <f>IF(W$3&lt;$I4,0,$G4*Assumptions!$E$11*INDEX(Assumptions!$B$24:$G$24,MIN(6,W$3-$I4+1))*IF(W$3&gt;$J4,(1-Assumptions!$B$26)^(W$3-$J4),1)*IF($H4&gt;=1,1,MIN(0.97,$H4*Assumptions!$E$12)))</f>
        <v>658.2</v>
      </c>
      <c r="X4" s="23">
        <f>IF(X$3&lt;$I4,0,$G4*Assumptions!$E$11*INDEX(Assumptions!$B$24:$G$24,MIN(6,X$3-$I4+1))*IF(X$3&gt;$J4,(1-Assumptions!$B$26)^(X$3-$J4),1)*IF($H4&gt;=1,1,MIN(0.97,$H4*Assumptions!$E$12)))</f>
        <v>658.2</v>
      </c>
      <c r="Y4" s="23">
        <f>IF(Y$3&lt;$I4,0,$G4*Assumptions!$E$11*INDEX(Assumptions!$B$24:$G$24,MIN(6,Y$3-$I4+1))*IF(Y$3&gt;$J4,(1-Assumptions!$B$26)^(Y$3-$J4),1)*IF($H4&gt;=1,1,MIN(0.97,$H4*Assumptions!$E$12)))</f>
        <v>658.2</v>
      </c>
      <c r="Z4" s="23">
        <f>IF(Z$3&lt;$I4,0,$G4*Assumptions!$E$11*INDEX(Assumptions!$B$24:$G$24,MIN(6,Z$3-$I4+1))*IF(Z$3&gt;$J4,(1-Assumptions!$B$26)^(Z$3-$J4),1)*IF($H4&gt;=1,1,MIN(0.97,$H4*Assumptions!$E$12)))</f>
        <v>658.2</v>
      </c>
      <c r="AA4" s="23">
        <f>IF(AA$3&lt;$I4,0,$G4*Assumptions!$E$11*INDEX(Assumptions!$B$24:$G$24,MIN(6,AA$3-$I4+1))*IF(AA$3&gt;$J4,(1-Assumptions!$B$26)^(AA$3-$J4),1)*IF($H4&gt;=1,1,MIN(0.97,$H4*Assumptions!$E$12)))</f>
        <v>658.2</v>
      </c>
      <c r="AB4" s="23">
        <f>IF(AB$3&lt;$I4,0,$G4*Assumptions!$E$11*INDEX(Assumptions!$B$24:$G$24,MIN(6,AB$3-$I4+1))*IF(AB$3&gt;$J4,(1-Assumptions!$B$26)^(AB$3-$J4),1)*IF($H4&gt;=1,1,MIN(0.97,$H4*Assumptions!$E$12)))</f>
        <v>658.2</v>
      </c>
      <c r="AC4" s="23">
        <f>IF(AC$3&lt;$I4,0,$G4*Assumptions!$E$11*INDEX(Assumptions!$B$24:$G$24,MIN(6,AC$3-$I4+1))*IF(AC$3&gt;$J4,(1-Assumptions!$B$26)^(AC$3-$J4),1)*IF($H4&gt;=1,1,MIN(0.97,$H4*Assumptions!$E$12)))</f>
        <v>329.1</v>
      </c>
      <c r="AD4" s="23">
        <f>IF(AD$3&lt;$I4,0,$G4*Assumptions!$E$11*INDEX(Assumptions!$B$24:$G$24,MIN(6,AD$3-$I4+1))*IF(AD$3&gt;$J4,(1-Assumptions!$B$26)^(AD$3-$J4),1)*IF($H4&gt;=1,1,MIN(0.97,$H4*Assumptions!$E$12)))</f>
        <v>164.55</v>
      </c>
      <c r="AE4" s="23">
        <f>IF(AE$3&lt;$I4,0,$G4*Assumptions!$E$11*INDEX(Assumptions!$B$24:$G$24,MIN(6,AE$3-$I4+1))*IF(AE$3&gt;$J4,(1-Assumptions!$B$26)^(AE$3-$J4),1)*IF($H4&gt;=1,1,MIN(0.97,$H4*Assumptions!$E$12)))</f>
        <v>82.275</v>
      </c>
      <c r="AF4" s="23">
        <f>IF(AF$3&lt;$I4,0,$G4*Assumptions!$E$11*INDEX(Assumptions!$B$24:$G$24,MIN(6,AF$3-$I4+1))*IF(AF$3&gt;$J4,(1-Assumptions!$B$26)^(AF$3-$J4),1)*IF($H4&gt;=1,1,MIN(0.97,$H4*Assumptions!$E$12)))</f>
        <v>41.1375</v>
      </c>
      <c r="AG4" s="35">
        <f>IF(F4="Owned",1-IF(H4&gt;=1,1,MIN(0.97,H4*Assumptions!$E$12)),1)</f>
        <v>0.5611999999999999</v>
      </c>
    </row>
    <row r="5">
      <c r="A5" s="39" t="n">
        <v>2</v>
      </c>
      <c r="B5" s="14" t="inlineStr">
        <is>
          <t>Colorectal cancer</t>
        </is>
      </c>
      <c r="C5" s="14" t="inlineStr">
        <is>
          <t>LYL273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2000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151.397504926983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15.079999999999998</v>
      </c>
      <c r="T5" s="23">
        <f>IF(T$3&lt;$I5,0,$G5*Assumptions!$E$11*INDEX(Assumptions!$B$24:$G$24,MIN(6,T$3-$I5+1))*IF(T$3&gt;$J5,(1-Assumptions!$B$26)^(T$3-$J5),1)*IF($H5&gt;=1,1,MIN(0.97,$H5*Assumptions!$E$12)))</f>
        <v>37.699999999999996</v>
      </c>
      <c r="U5" s="23">
        <f>IF(U$3&lt;$I5,0,$G5*Assumptions!$E$11*INDEX(Assumptions!$B$24:$G$24,MIN(6,U$3-$I5+1))*IF(U$3&gt;$J5,(1-Assumptions!$B$26)^(U$3-$J5),1)*IF($H5&gt;=1,1,MIN(0.97,$H5*Assumptions!$E$12)))</f>
        <v>67.86</v>
      </c>
      <c r="V5" s="23">
        <f>IF(V$3&lt;$I5,0,$G5*Assumptions!$E$11*INDEX(Assumptions!$B$24:$G$24,MIN(6,V$3-$I5+1))*IF(V$3&gt;$J5,(1-Assumptions!$B$26)^(V$3-$J5),1)*IF($H5&gt;=1,1,MIN(0.97,$H5*Assumptions!$E$12)))</f>
        <v>98.02</v>
      </c>
      <c r="W5" s="23">
        <f>IF(W$3&lt;$I5,0,$G5*Assumptions!$E$11*INDEX(Assumptions!$B$24:$G$24,MIN(6,W$3-$I5+1))*IF(W$3&gt;$J5,(1-Assumptions!$B$26)^(W$3-$J5),1)*IF($H5&gt;=1,1,MIN(0.97,$H5*Assumptions!$E$12)))</f>
        <v>128.17999999999998</v>
      </c>
      <c r="X5" s="23">
        <f>IF(X$3&lt;$I5,0,$G5*Assumptions!$E$11*INDEX(Assumptions!$B$24:$G$24,MIN(6,X$3-$I5+1))*IF(X$3&gt;$J5,(1-Assumptions!$B$26)^(X$3-$J5),1)*IF($H5&gt;=1,1,MIN(0.97,$H5*Assumptions!$E$12)))</f>
        <v>150.79999999999998</v>
      </c>
      <c r="Y5" s="23">
        <f>IF(Y$3&lt;$I5,0,$G5*Assumptions!$E$11*INDEX(Assumptions!$B$24:$G$24,MIN(6,Y$3-$I5+1))*IF(Y$3&gt;$J5,(1-Assumptions!$B$26)^(Y$3-$J5),1)*IF($H5&gt;=1,1,MIN(0.97,$H5*Assumptions!$E$12)))</f>
        <v>150.79999999999998</v>
      </c>
      <c r="Z5" s="23">
        <f>IF(Z$3&lt;$I5,0,$G5*Assumptions!$E$11*INDEX(Assumptions!$B$24:$G$24,MIN(6,Z$3-$I5+1))*IF(Z$3&gt;$J5,(1-Assumptions!$B$26)^(Z$3-$J5),1)*IF($H5&gt;=1,1,MIN(0.97,$H5*Assumptions!$E$12)))</f>
        <v>150.79999999999998</v>
      </c>
      <c r="AA5" s="23">
        <f>IF(AA$3&lt;$I5,0,$G5*Assumptions!$E$11*INDEX(Assumptions!$B$24:$G$24,MIN(6,AA$3-$I5+1))*IF(AA$3&gt;$J5,(1-Assumptions!$B$26)^(AA$3-$J5),1)*IF($H5&gt;=1,1,MIN(0.97,$H5*Assumptions!$E$12)))</f>
        <v>150.79999999999998</v>
      </c>
      <c r="AB5" s="23">
        <f>IF(AB$3&lt;$I5,0,$G5*Assumptions!$E$11*INDEX(Assumptions!$B$24:$G$24,MIN(6,AB$3-$I5+1))*IF(AB$3&gt;$J5,(1-Assumptions!$B$26)^(AB$3-$J5),1)*IF($H5&gt;=1,1,MIN(0.97,$H5*Assumptions!$E$12)))</f>
        <v>150.79999999999998</v>
      </c>
      <c r="AC5" s="23">
        <f>IF(AC$3&lt;$I5,0,$G5*Assumptions!$E$11*INDEX(Assumptions!$B$24:$G$24,MIN(6,AC$3-$I5+1))*IF(AC$3&gt;$J5,(1-Assumptions!$B$26)^(AC$3-$J5),1)*IF($H5&gt;=1,1,MIN(0.97,$H5*Assumptions!$E$12)))</f>
        <v>150.79999999999998</v>
      </c>
      <c r="AD5" s="23">
        <f>IF(AD$3&lt;$I5,0,$G5*Assumptions!$E$11*INDEX(Assumptions!$B$24:$G$24,MIN(6,AD$3-$I5+1))*IF(AD$3&gt;$J5,(1-Assumptions!$B$26)^(AD$3-$J5),1)*IF($H5&gt;=1,1,MIN(0.97,$H5*Assumptions!$E$12)))</f>
        <v>150.79999999999998</v>
      </c>
      <c r="AE5" s="23">
        <f>IF(AE$3&lt;$I5,0,$G5*Assumptions!$E$11*INDEX(Assumptions!$B$24:$G$24,MIN(6,AE$3-$I5+1))*IF(AE$3&gt;$J5,(1-Assumptions!$B$26)^(AE$3-$J5),1)*IF($H5&gt;=1,1,MIN(0.97,$H5*Assumptions!$E$12)))</f>
        <v>150.79999999999998</v>
      </c>
      <c r="AF5" s="23">
        <f>IF(AF$3&lt;$I5,0,$G5*Assumptions!$E$11*INDEX(Assumptions!$B$24:$G$24,MIN(6,AF$3-$I5+1))*IF(AF$3&gt;$J5,(1-Assumptions!$B$26)^(AF$3-$J5),1)*IF($H5&gt;=1,1,MIN(0.97,$H5*Assumptions!$E$12)))</f>
        <v>75.39999999999999</v>
      </c>
      <c r="AG5" s="35">
        <f>IF(F5="Owned",1-IF(H5&gt;=1,1,MIN(0.97,H5*Assumptions!$E$12)),1)</f>
        <v>0.9246</v>
      </c>
    </row>
    <row r="6">
      <c r="B6" s="24" t="inlineStr">
        <is>
          <t>Risked revenue</t>
        </is>
      </c>
      <c r="L6" s="54">
        <f>SUM(L4:L5)</f>
        <v>1095.554207754877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65.82000000000001</v>
      </c>
      <c r="Q6" s="54">
        <f>SUM(Q4:Q5)</f>
        <v>164.55</v>
      </c>
      <c r="R6" s="54">
        <f>SUM(R4:R5)</f>
        <v>296.19</v>
      </c>
      <c r="S6" s="54">
        <f>SUM(S4:S5)</f>
        <v>442.91</v>
      </c>
      <c r="T6" s="54">
        <f>SUM(T4:T5)</f>
        <v>597.1700000000001</v>
      </c>
      <c r="U6" s="54">
        <f>SUM(U4:U5)</f>
        <v>726.0600000000001</v>
      </c>
      <c r="V6" s="54">
        <f>SUM(V4:V5)</f>
        <v>756.22</v>
      </c>
      <c r="W6" s="54">
        <f>SUM(W4:W5)</f>
        <v>786.38</v>
      </c>
      <c r="X6" s="54">
        <f>SUM(X4:X5)</f>
        <v>809.0</v>
      </c>
      <c r="Y6" s="54">
        <f>SUM(Y4:Y5)</f>
        <v>809.0</v>
      </c>
      <c r="Z6" s="54">
        <f>SUM(Z4:Z5)</f>
        <v>809.0</v>
      </c>
      <c r="AA6" s="54">
        <f>SUM(AA4:AA5)</f>
        <v>809.0</v>
      </c>
      <c r="AB6" s="54">
        <f>SUM(AB4:AB5)</f>
        <v>809.0</v>
      </c>
      <c r="AC6" s="54">
        <f>SUM(AC4:AC5)</f>
        <v>479.9</v>
      </c>
      <c r="AD6" s="54">
        <f>SUM(AD4:AD5)</f>
        <v>315.35</v>
      </c>
      <c r="AE6" s="54">
        <f>SUM(AE4:AE5)</f>
        <v>233.075</v>
      </c>
      <c r="AF6" s="54">
        <f>SUM(AF4:AF5)</f>
        <v>116.5375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26.328000000000003</v>
      </c>
      <c r="Q7" s="55">
        <f>SUMPRODUCT(Q4:Q5,$K$4:$K$5)</f>
        <v>65.82000000000001</v>
      </c>
      <c r="R7" s="55">
        <f>SUMPRODUCT(R4:R5,$K$4:$K$5)</f>
        <v>118.476</v>
      </c>
      <c r="S7" s="55">
        <f>SUMPRODUCT(S4:S5,$K$4:$K$5)</f>
        <v>177.16400000000004</v>
      </c>
      <c r="T7" s="55">
        <f>SUMPRODUCT(T4:T5,$K$4:$K$5)</f>
        <v>238.868</v>
      </c>
      <c r="U7" s="55">
        <f>SUMPRODUCT(U4:U5,$K$4:$K$5)</f>
        <v>290.42400000000004</v>
      </c>
      <c r="V7" s="55">
        <f>SUMPRODUCT(V4:V5,$K$4:$K$5)</f>
        <v>302.48800000000006</v>
      </c>
      <c r="W7" s="55">
        <f>SUMPRODUCT(W4:W5,$K$4:$K$5)</f>
        <v>314.552</v>
      </c>
      <c r="X7" s="55">
        <f>SUMPRODUCT(X4:X5,$K$4:$K$5)</f>
        <v>323.6</v>
      </c>
      <c r="Y7" s="55">
        <f>SUMPRODUCT(Y4:Y5,$K$4:$K$5)</f>
        <v>323.6</v>
      </c>
      <c r="Z7" s="55">
        <f>SUMPRODUCT(Z4:Z5,$K$4:$K$5)</f>
        <v>323.6</v>
      </c>
      <c r="AA7" s="55">
        <f>SUMPRODUCT(AA4:AA5,$K$4:$K$5)</f>
        <v>323.6</v>
      </c>
      <c r="AB7" s="55">
        <f>SUMPRODUCT(AB4:AB5,$K$4:$K$5)</f>
        <v>323.6</v>
      </c>
      <c r="AC7" s="55">
        <f>SUMPRODUCT(AC4:AC5,$K$4:$K$5)</f>
        <v>191.96</v>
      </c>
      <c r="AD7" s="55">
        <f>SUMPRODUCT(AD4:AD5,$K$4:$K$5)</f>
        <v>126.14</v>
      </c>
      <c r="AE7" s="55">
        <f>SUMPRODUCT(AE4:AE5,$K$4:$K$5)</f>
        <v>93.22999999999999</v>
      </c>
      <c r="AF7" s="55">
        <f>SUMPRODUCT(AF4:AF5,$K$4:$K$5)</f>
        <v>46.614999999999995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Lyell Immunopharma,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65.82000000000001</v>
      </c>
      <c r="G4" s="57">
        <f>Pipeline!Q6</f>
        <v>164.55</v>
      </c>
      <c r="H4" s="57">
        <f>Pipeline!R6</f>
        <v>296.19</v>
      </c>
      <c r="I4" s="57">
        <f>Pipeline!S6</f>
        <v>442.91</v>
      </c>
      <c r="J4" s="57">
        <f>Pipeline!T6</f>
        <v>597.1700000000001</v>
      </c>
      <c r="K4" s="57">
        <f>Pipeline!U6</f>
        <v>726.0600000000001</v>
      </c>
      <c r="L4" s="57">
        <f>Pipeline!V6</f>
        <v>756.22</v>
      </c>
      <c r="M4" s="57">
        <f>Pipeline!W6</f>
        <v>786.38</v>
      </c>
      <c r="N4" s="57">
        <f>Pipeline!X6</f>
        <v>809.0</v>
      </c>
      <c r="O4" s="57">
        <f>Pipeline!Y6</f>
        <v>809.0</v>
      </c>
      <c r="P4" s="57">
        <f>Pipeline!Z6</f>
        <v>809.0</v>
      </c>
      <c r="Q4" s="57">
        <f>Pipeline!AA6</f>
        <v>809.0</v>
      </c>
      <c r="R4" s="57">
        <f>Pipeline!AB6</f>
        <v>809.0</v>
      </c>
      <c r="S4" s="57">
        <f>Pipeline!AC6</f>
        <v>479.9</v>
      </c>
      <c r="T4" s="57">
        <f>Pipeline!AD6</f>
        <v>315.35</v>
      </c>
      <c r="U4" s="57">
        <f>Pipeline!AE6</f>
        <v>233.075</v>
      </c>
      <c r="V4" s="57">
        <f>Pipeline!AF6</f>
        <v>116.5375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26.328000000000003</v>
      </c>
      <c r="G5" s="57">
        <f>Pipeline!Q7</f>
        <v>65.82000000000001</v>
      </c>
      <c r="H5" s="57">
        <f>Pipeline!R7</f>
        <v>118.476</v>
      </c>
      <c r="I5" s="57">
        <f>Pipeline!S7</f>
        <v>177.16400000000004</v>
      </c>
      <c r="J5" s="57">
        <f>Pipeline!T7</f>
        <v>238.868</v>
      </c>
      <c r="K5" s="57">
        <f>Pipeline!U7</f>
        <v>290.42400000000004</v>
      </c>
      <c r="L5" s="57">
        <f>Pipeline!V7</f>
        <v>302.48800000000006</v>
      </c>
      <c r="M5" s="57">
        <f>Pipeline!W7</f>
        <v>314.552</v>
      </c>
      <c r="N5" s="57">
        <f>Pipeline!X7</f>
        <v>323.6</v>
      </c>
      <c r="O5" s="57">
        <f>Pipeline!Y7</f>
        <v>323.6</v>
      </c>
      <c r="P5" s="57">
        <f>Pipeline!Z7</f>
        <v>323.6</v>
      </c>
      <c r="Q5" s="57">
        <f>Pipeline!AA7</f>
        <v>323.6</v>
      </c>
      <c r="R5" s="57">
        <f>Pipeline!AB7</f>
        <v>323.6</v>
      </c>
      <c r="S5" s="57">
        <f>Pipeline!AC7</f>
        <v>191.96</v>
      </c>
      <c r="T5" s="57">
        <f>Pipeline!AD7</f>
        <v>126.14</v>
      </c>
      <c r="U5" s="57">
        <f>Pipeline!AE7</f>
        <v>93.22999999999999</v>
      </c>
      <c r="V5" s="57">
        <f>Pipeline!AF7</f>
        <v>46.614999999999995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-256.495</v>
      </c>
      <c r="D6" s="23">
        <f>-IF(D3-2026&lt;Assumptions!$B$19,Assumptions!$B$18,Assumptions!$B$18*Assumptions!$B$20*Assumptions!$B$16)</f>
        <v>-256.495</v>
      </c>
      <c r="E6" s="23">
        <f>-IF(E3-2026&lt;Assumptions!$B$19,Assumptions!$B$18,Assumptions!$B$18*Assumptions!$B$20*Assumptions!$B$16)</f>
        <v>-256.495</v>
      </c>
      <c r="F6" s="23">
        <f>-IF(F3-2026&lt;Assumptions!$B$19,Assumptions!$B$18,Assumptions!$B$18*Assumptions!$B$20*Assumptions!$B$16)</f>
        <v>-37.02103756428001</v>
      </c>
      <c r="G6" s="23">
        <f>-IF(G3-2026&lt;Assumptions!$B$19,Assumptions!$B$18,Assumptions!$B$18*Assumptions!$B$20*Assumptions!$B$16)</f>
        <v>-37.02103756428001</v>
      </c>
      <c r="H6" s="23">
        <f>-IF(H3-2026&lt;Assumptions!$B$19,Assumptions!$B$18,Assumptions!$B$18*Assumptions!$B$20*Assumptions!$B$16)</f>
        <v>-37.02103756428001</v>
      </c>
      <c r="I6" s="23">
        <f>-IF(I3-2026&lt;Assumptions!$B$19,Assumptions!$B$18,Assumptions!$B$18*Assumptions!$B$20*Assumptions!$B$16)</f>
        <v>-37.02103756428001</v>
      </c>
      <c r="J6" s="23">
        <f>-IF(J3-2026&lt;Assumptions!$B$19,Assumptions!$B$18,Assumptions!$B$18*Assumptions!$B$20*Assumptions!$B$16)</f>
        <v>-37.02103756428001</v>
      </c>
      <c r="K6" s="23">
        <f>-IF(K3-2026&lt;Assumptions!$B$19,Assumptions!$B$18,Assumptions!$B$18*Assumptions!$B$20*Assumptions!$B$16)</f>
        <v>-37.02103756428001</v>
      </c>
      <c r="L6" s="23">
        <f>-IF(L3-2026&lt;Assumptions!$B$19,Assumptions!$B$18,Assumptions!$B$18*Assumptions!$B$20*Assumptions!$B$16)</f>
        <v>-37.02103756428001</v>
      </c>
      <c r="M6" s="23">
        <f>-IF(M3-2026&lt;Assumptions!$B$19,Assumptions!$B$18,Assumptions!$B$18*Assumptions!$B$20*Assumptions!$B$16)</f>
        <v>-37.02103756428001</v>
      </c>
      <c r="N6" s="23">
        <f>-IF(N3-2026&lt;Assumptions!$B$19,Assumptions!$B$18,Assumptions!$B$18*Assumptions!$B$20*Assumptions!$B$16)</f>
        <v>-37.02103756428001</v>
      </c>
      <c r="O6" s="23">
        <f>-IF(O3-2026&lt;Assumptions!$B$19,Assumptions!$B$18,Assumptions!$B$18*Assumptions!$B$20*Assumptions!$B$16)</f>
        <v>-37.02103756428001</v>
      </c>
      <c r="P6" s="23">
        <f>-IF(P3-2026&lt;Assumptions!$B$19,Assumptions!$B$18,Assumptions!$B$18*Assumptions!$B$20*Assumptions!$B$16)</f>
        <v>-37.02103756428001</v>
      </c>
      <c r="Q6" s="23">
        <f>-IF(Q3-2026&lt;Assumptions!$B$19,Assumptions!$B$18,Assumptions!$B$18*Assumptions!$B$20*Assumptions!$B$16)</f>
        <v>-37.02103756428001</v>
      </c>
      <c r="R6" s="23">
        <f>-IF(R3-2026&lt;Assumptions!$B$19,Assumptions!$B$18,Assumptions!$B$18*Assumptions!$B$20*Assumptions!$B$16)</f>
        <v>-37.02103756428001</v>
      </c>
      <c r="S6" s="23">
        <f>-IF(S3-2026&lt;Assumptions!$B$19,Assumptions!$B$18,Assumptions!$B$18*Assumptions!$B$20*Assumptions!$B$16)</f>
        <v>-37.02103756428001</v>
      </c>
      <c r="T6" s="23">
        <f>-IF(T3-2026&lt;Assumptions!$B$19,Assumptions!$B$18,Assumptions!$B$18*Assumptions!$B$20*Assumptions!$B$16)</f>
        <v>-37.02103756428001</v>
      </c>
      <c r="U6" s="23">
        <f>-IF(U3-2026&lt;Assumptions!$B$19,Assumptions!$B$18,Assumptions!$B$18*Assumptions!$B$20*Assumptions!$B$16)</f>
        <v>-37.02103756428001</v>
      </c>
      <c r="V6" s="23">
        <f>-IF(V3-2026&lt;Assumptions!$B$19,Assumptions!$B$18,Assumptions!$B$18*Assumptions!$B$20*Assumptions!$B$16)</f>
        <v>-37.02103756428001</v>
      </c>
    </row>
    <row r="7">
      <c r="A7" s="14" t="inlineStr">
        <is>
          <t>Pre-tax cash flow</t>
        </is>
      </c>
      <c r="C7" s="23">
        <f>C5+C6</f>
        <v>-256.495</v>
      </c>
      <c r="D7" s="23">
        <f>D5+D6</f>
        <v>-256.495</v>
      </c>
      <c r="E7" s="23">
        <f>E5+E6</f>
        <v>-256.495</v>
      </c>
      <c r="F7" s="23">
        <f>F5+F6</f>
        <v>-10.693037564280004</v>
      </c>
      <c r="G7" s="23">
        <f>G5+G6</f>
        <v>28.79896243572</v>
      </c>
      <c r="H7" s="23">
        <f>H5+H6</f>
        <v>81.45496243571999</v>
      </c>
      <c r="I7" s="23">
        <f>I5+I6</f>
        <v>140.14296243572005</v>
      </c>
      <c r="J7" s="23">
        <f>J5+J6</f>
        <v>201.84696243572</v>
      </c>
      <c r="K7" s="23">
        <f>K5+K6</f>
        <v>253.40296243572004</v>
      </c>
      <c r="L7" s="23">
        <f>L5+L6</f>
        <v>265.46696243572006</v>
      </c>
      <c r="M7" s="23">
        <f>M5+M6</f>
        <v>277.53096243572</v>
      </c>
      <c r="N7" s="23">
        <f>N5+N6</f>
        <v>286.57896243572003</v>
      </c>
      <c r="O7" s="23">
        <f>O5+O6</f>
        <v>286.57896243572003</v>
      </c>
      <c r="P7" s="23">
        <f>P5+P6</f>
        <v>286.57896243572003</v>
      </c>
      <c r="Q7" s="23">
        <f>Q5+Q6</f>
        <v>286.57896243572003</v>
      </c>
      <c r="R7" s="23">
        <f>R5+R6</f>
        <v>286.57896243572003</v>
      </c>
      <c r="S7" s="23">
        <f>S5+S6</f>
        <v>154.93896243572</v>
      </c>
      <c r="T7" s="23">
        <f>T5+T6</f>
        <v>89.11896243572</v>
      </c>
      <c r="U7" s="23">
        <f>U5+U6</f>
        <v>56.20896243571998</v>
      </c>
      <c r="V7" s="23">
        <f>V5+V6</f>
        <v>9.593962435719988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28.79896243572</v>
      </c>
      <c r="H8" s="23">
        <f>MIN(G17,MAX(0,H7))</f>
        <v>81.45496243571999</v>
      </c>
      <c r="I8" s="23">
        <f>MIN(H17,MAX(0,I7))</f>
        <v>140.14296243572005</v>
      </c>
      <c r="J8" s="23">
        <f>MIN(I17,MAX(0,J7))</f>
        <v>201.84696243572</v>
      </c>
      <c r="K8" s="23">
        <f>MIN(J17,MAX(0,K7))</f>
        <v>253.40296243572004</v>
      </c>
      <c r="L8" s="23">
        <f>MIN(K17,MAX(0,L7))</f>
        <v>265.46696243572006</v>
      </c>
      <c r="M8" s="23">
        <f>MIN(L17,MAX(0,M7))</f>
        <v>277.53096243572</v>
      </c>
      <c r="N8" s="23">
        <f>MIN(M17,MAX(0,N7))</f>
        <v>286.57896243572003</v>
      </c>
      <c r="O8" s="23">
        <f>MIN(N17,MAX(0,O7))</f>
        <v>286.57896243572003</v>
      </c>
      <c r="P8" s="23">
        <f>MIN(O17,MAX(0,P7))</f>
        <v>286.57896243572003</v>
      </c>
      <c r="Q8" s="23">
        <f>MIN(P17,MAX(0,Q7))</f>
        <v>286.57896243572003</v>
      </c>
      <c r="R8" s="23">
        <f>MIN(Q17,MAX(0,R7))</f>
        <v>4.517450771359449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282.0615116643606</v>
      </c>
      <c r="S9" s="23">
        <f>MAX(0,S7)-S8</f>
        <v>154.93896243572</v>
      </c>
      <c r="T9" s="23">
        <f>MAX(0,T7)-T8</f>
        <v>89.11896243572</v>
      </c>
      <c r="U9" s="23">
        <f>MAX(0,U7)-U8</f>
        <v>56.20896243571998</v>
      </c>
      <c r="V9" s="23">
        <f>MAX(0,V7)-V8</f>
        <v>9.593962435719988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59.23291744951572</v>
      </c>
      <c r="S10" s="23">
        <f>S9*Assumptions!$E$15</f>
        <v>32.537182111501195</v>
      </c>
      <c r="T10" s="23">
        <f>T9*Assumptions!$E$15</f>
        <v>18.714982111501197</v>
      </c>
      <c r="U10" s="23">
        <f>U9*Assumptions!$E$15</f>
        <v>11.803882111501196</v>
      </c>
      <c r="V10" s="23">
        <f>V9*Assumptions!$E$15</f>
        <v>2.014732111501197</v>
      </c>
    </row>
    <row r="11">
      <c r="A11" s="24" t="inlineStr">
        <is>
          <t>Free cash flow</t>
        </is>
      </c>
      <c r="C11" s="55">
        <f>C7-C10</f>
        <v>-256.495</v>
      </c>
      <c r="D11" s="55">
        <f>D7-D10</f>
        <v>-256.495</v>
      </c>
      <c r="E11" s="55">
        <f>E7-E10</f>
        <v>-256.495</v>
      </c>
      <c r="F11" s="55">
        <f>F7-F10</f>
        <v>-10.693037564280004</v>
      </c>
      <c r="G11" s="55">
        <f>G7-G10</f>
        <v>28.79896243572</v>
      </c>
      <c r="H11" s="55">
        <f>H7-H10</f>
        <v>81.45496243571999</v>
      </c>
      <c r="I11" s="55">
        <f>I7-I10</f>
        <v>140.14296243572005</v>
      </c>
      <c r="J11" s="55">
        <f>J7-J10</f>
        <v>201.84696243572</v>
      </c>
      <c r="K11" s="55">
        <f>K7-K10</f>
        <v>253.40296243572004</v>
      </c>
      <c r="L11" s="55">
        <f>L7-L10</f>
        <v>265.46696243572006</v>
      </c>
      <c r="M11" s="55">
        <f>M7-M10</f>
        <v>277.53096243572</v>
      </c>
      <c r="N11" s="55">
        <f>N7-N10</f>
        <v>286.57896243572003</v>
      </c>
      <c r="O11" s="55">
        <f>O7-O10</f>
        <v>286.57896243572003</v>
      </c>
      <c r="P11" s="55">
        <f>P7-P10</f>
        <v>286.57896243572003</v>
      </c>
      <c r="Q11" s="55">
        <f>Q7-Q10</f>
        <v>286.57896243572003</v>
      </c>
      <c r="R11" s="55">
        <f>R7-R10</f>
        <v>227.3460449862043</v>
      </c>
      <c r="S11" s="55">
        <f>S7-S10</f>
        <v>122.40178032421879</v>
      </c>
      <c r="T11" s="55">
        <f>T7-T10</f>
        <v>70.4039803242188</v>
      </c>
      <c r="U11" s="55">
        <f>U7-U10</f>
        <v>44.40508032421879</v>
      </c>
      <c r="V11" s="55">
        <f>V7-V10</f>
        <v>7.57923032421879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-125.65801600051553</v>
      </c>
      <c r="D16" s="55">
        <f>D11*D15</f>
        <v>-228.90700704941872</v>
      </c>
      <c r="E16" s="55">
        <f>E11*E15</f>
        <v>-204.3812562941238</v>
      </c>
      <c r="F16" s="55">
        <f>F11*F15</f>
        <v>-7.607557272725328</v>
      </c>
      <c r="G16" s="55">
        <f>G11*G15</f>
        <v>18.293759140650057</v>
      </c>
      <c r="H16" s="55">
        <f>H11*H15</f>
        <v>46.19826231760143</v>
      </c>
      <c r="I16" s="55">
        <f>I11*I15</f>
        <v>70.96780350158429</v>
      </c>
      <c r="J16" s="55">
        <f>J11*J15</f>
        <v>91.26290013428877</v>
      </c>
      <c r="K16" s="55">
        <f>K11*K15</f>
        <v>102.29766303884813</v>
      </c>
      <c r="L16" s="55">
        <f>L11*L15</f>
        <v>95.68557755009823</v>
      </c>
      <c r="M16" s="55">
        <f>M11*M15</f>
        <v>89.31603210568548</v>
      </c>
      <c r="N16" s="55">
        <f>N11*N15</f>
        <v>82.34633272047981</v>
      </c>
      <c r="O16" s="55">
        <f>O11*O15</f>
        <v>73.52351135757125</v>
      </c>
      <c r="P16" s="55">
        <f>P11*P15</f>
        <v>65.64599228354575</v>
      </c>
      <c r="Q16" s="55">
        <f>Q11*Q15</f>
        <v>58.612493110308705</v>
      </c>
      <c r="R16" s="55">
        <f>R11*R15</f>
        <v>41.515977650109996</v>
      </c>
      <c r="S16" s="55">
        <f>S11*S15</f>
        <v>19.95710664245611</v>
      </c>
      <c r="T16" s="55">
        <f>T11*T15</f>
        <v>10.249177950666144</v>
      </c>
      <c r="U16" s="55">
        <f>U11*U15</f>
        <v>5.771735997999894</v>
      </c>
      <c r="V16" s="55">
        <f>V11*V15</f>
        <v>0.879591209336385</v>
      </c>
    </row>
    <row r="17">
      <c r="A17" s="14" t="inlineStr">
        <is>
          <t>Tax-loss carryforward, end of year</t>
        </is>
      </c>
      <c r="C17" s="23">
        <f>Assumptions!$B$21-C8+MAX(0,-C7)</f>
        <v>1875.795</v>
      </c>
      <c r="D17" s="23">
        <f>C17-D8+MAX(0,-D7)</f>
        <v>2132.29</v>
      </c>
      <c r="E17" s="23">
        <f>D17-E8+MAX(0,-E7)</f>
        <v>2388.785</v>
      </c>
      <c r="F17" s="23">
        <f>E17-F8+MAX(0,-F7)</f>
        <v>2399.47803756428</v>
      </c>
      <c r="G17" s="23">
        <f>F17-G8+MAX(0,-G7)</f>
        <v>2370.67907512856</v>
      </c>
      <c r="H17" s="23">
        <f>G17-H8+MAX(0,-H7)</f>
        <v>2289.2241126928398</v>
      </c>
      <c r="I17" s="23">
        <f>H17-I8+MAX(0,-I7)</f>
        <v>2149.0811502571196</v>
      </c>
      <c r="J17" s="23">
        <f>I17-J8+MAX(0,-J7)</f>
        <v>1947.2341878213997</v>
      </c>
      <c r="K17" s="23">
        <f>J17-K8+MAX(0,-K7)</f>
        <v>1693.8312253856798</v>
      </c>
      <c r="L17" s="23">
        <f>K17-L8+MAX(0,-L7)</f>
        <v>1428.3642629499598</v>
      </c>
      <c r="M17" s="23">
        <f>L17-M8+MAX(0,-M7)</f>
        <v>1150.8333005142397</v>
      </c>
      <c r="N17" s="23">
        <f>M17-N8+MAX(0,-N7)</f>
        <v>864.2543380785196</v>
      </c>
      <c r="O17" s="23">
        <f>N17-O8+MAX(0,-O7)</f>
        <v>577.6753756427995</v>
      </c>
      <c r="P17" s="23">
        <f>O17-P8+MAX(0,-P7)</f>
        <v>291.0964132070795</v>
      </c>
      <c r="Q17" s="23">
        <f>P17-Q8+MAX(0,-Q7)</f>
        <v>4.517450771359449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1095.5542077548769</v>
      </c>
    </row>
    <row r="20">
      <c r="A20" s="14" t="inlineStr">
        <is>
          <t>PV of corporate burn</t>
        </is>
      </c>
      <c r="B20" s="23">
        <f>SUMPRODUCT(C6:V6,C15:V15)</f>
        <v>-768.9699291660871</v>
      </c>
    </row>
    <row r="21">
      <c r="A21" s="14" t="inlineStr">
        <is>
          <t>PV of taxes</t>
        </is>
      </c>
      <c r="B21" s="23">
        <f>-SUMPRODUCT(C10:V10,C15:V15)</f>
        <v>-20.614198494342673</v>
      </c>
    </row>
    <row r="22">
      <c r="A22" s="24" t="inlineStr">
        <is>
          <t>Pipeline rNPV (operations)</t>
        </is>
      </c>
      <c r="B22" s="54">
        <f>SUM(C16:V16)</f>
        <v>305.97008009444704</v>
      </c>
    </row>
    <row r="23">
      <c r="A23" s="14" t="inlineStr">
        <is>
          <t>Cash &amp; investments</t>
        </is>
      </c>
      <c r="B23" s="57">
        <f>Main!C7</f>
        <v>204.10199999999998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510.072080094447</v>
      </c>
    </row>
    <row r="26">
      <c r="A26" s="14" t="inlineStr">
        <is>
          <t>Shares (mm)</t>
        </is>
      </c>
      <c r="B26" s="57">
        <f>Main!C4</f>
        <v>24.505141</v>
      </c>
    </row>
    <row r="27">
      <c r="A27" s="24" t="inlineStr">
        <is>
          <t>rNPV / share</t>
        </is>
      </c>
      <c r="B27" s="60">
        <f>B25/B26</f>
        <v>20.814900844457377</v>
      </c>
    </row>
    <row r="28">
      <c r="A28" s="14" t="inlineStr">
        <is>
          <t>Price</t>
        </is>
      </c>
      <c r="B28" s="61">
        <f>Main!C3</f>
        <v>9.7</v>
      </c>
    </row>
    <row r="29">
      <c r="A29" s="14" t="inlineStr">
        <is>
          <t>Upside</t>
        </is>
      </c>
      <c r="B29" s="62">
        <f>B27/B28-1</f>
        <v>1.1458660664389049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2026-10-21T06:26:54Z</dcterms:modified>
  <cp:lastModifiedBy>Wang, Eric</cp:lastModifiedBy>
</cp:coreProperties>
</file>