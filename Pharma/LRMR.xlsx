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Larimar Therapeutics, Inc.</t>
        </is>
      </c>
      <c r="C2" s="10" t="n"/>
    </row>
    <row r="3">
      <c r="B3" t="inlineStr">
        <is>
          <t>Price</t>
        </is>
      </c>
      <c r="C3" s="11">
        <f>INDEX([1]Pharma!$F$1:$F$1000,MATCH("LRMR",[1]Pharma!$B$1:$B$1000,0))</f>
        <v>2.44</v>
      </c>
      <c r="F3" s="1" t="n"/>
    </row>
    <row r="4">
      <c r="B4" t="inlineStr">
        <is>
          <t>Shares</t>
        </is>
      </c>
      <c r="C4" s="21" t="n">
        <v>103.882937</v>
      </c>
      <c r="F4" s="1" t="n"/>
    </row>
    <row r="5">
      <c r="B5" t="inlineStr">
        <is>
          <t>Market Cap.</t>
        </is>
      </c>
      <c r="C5" s="13">
        <f>C3*C4</f>
        <v>253.47436628</v>
      </c>
      <c r="F5" s="1" t="n"/>
    </row>
    <row r="6"/>
    <row r="7">
      <c r="B7" t="inlineStr">
        <is>
          <t>Cash</t>
        </is>
      </c>
      <c r="C7" s="21">
        <f>92.687+63.58</f>
        <v>156.267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97.20736628</v>
      </c>
    </row>
    <row r="10"/>
    <row r="11">
      <c r="B11" s="14" t="inlineStr">
        <is>
          <t>rNPV / Share</t>
        </is>
      </c>
      <c r="C11" s="11">
        <f>NPV!B27</f>
        <v>3.5851209453949218</v>
      </c>
    </row>
    <row r="12">
      <c r="B12" s="14" t="inlineStr">
        <is>
          <t>Upside</t>
        </is>
      </c>
      <c r="C12" s="15">
        <f>IFERROR(C11/C3-1,"")</f>
        <v>0.4693118628667712</v>
      </c>
    </row>
    <row r="13">
      <c r="B13" s="14" t="inlineStr">
        <is>
          <t>Cash / Share</t>
        </is>
      </c>
      <c r="C13" s="11">
        <f>IFERROR((C7-C8)/C4,"")</f>
        <v>1.5042605120030443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-155.924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1.0021997896411072</v>
      </c>
    </row>
    <row r="19">
      <c r="B19" s="14" t="inlineStr">
        <is>
          <t>Implied Pipeline Value</t>
        </is>
      </c>
      <c r="C19" s="13">
        <f>C9</f>
        <v>97.20736628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2012</v>
      </c>
      <c r="C1" s="17" t="n">
        <v>2013</v>
      </c>
      <c r="D1" s="17" t="n">
        <v>2014</v>
      </c>
      <c r="E1" s="17" t="n">
        <v>2015</v>
      </c>
      <c r="F1" s="17" t="n">
        <v>2016</v>
      </c>
      <c r="G1" s="17" t="n">
        <v>2017</v>
      </c>
      <c r="H1" s="17" t="n">
        <v>2018</v>
      </c>
      <c r="I1" s="17" t="n">
        <v>2019</v>
      </c>
      <c r="J1" s="17" t="n">
        <v>2020</v>
      </c>
      <c r="K1" s="17" t="n">
        <v>2021</v>
      </c>
      <c r="L1" s="17" t="n">
        <v>2022</v>
      </c>
      <c r="M1" s="17" t="n">
        <v>2023</v>
      </c>
      <c r="N1" s="17" t="n">
        <v>2024</v>
      </c>
      <c r="O1" s="17" t="n">
        <v>2025</v>
      </c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  <c r="O4" s="23">
        <f>O2-O3</f>
        <v>0.0</v>
      </c>
    </row>
    <row r="5">
      <c r="A5" s="2" t="inlineStr">
        <is>
          <t>Research &amp; Dev.</t>
        </is>
      </c>
      <c r="B5" s="23" t="n">
        <v>11.544</v>
      </c>
      <c r="C5" s="23" t="n">
        <v>9.561</v>
      </c>
      <c r="D5" s="23" t="n">
        <v>27.391</v>
      </c>
      <c r="E5" s="23" t="n">
        <v>54.618</v>
      </c>
      <c r="F5" s="23" t="n">
        <v>39.936</v>
      </c>
      <c r="G5" s="23" t="n">
        <v>40.839</v>
      </c>
      <c r="H5" s="23" t="n">
        <v>47.929</v>
      </c>
      <c r="I5" s="23" t="n">
        <v>20.79</v>
      </c>
      <c r="J5" s="23" t="n">
        <v>31.407</v>
      </c>
      <c r="K5" s="23" t="n">
        <v>38.396</v>
      </c>
      <c r="L5" s="23" t="n">
        <v>24.25</v>
      </c>
      <c r="M5" s="23" t="n">
        <v>27.67</v>
      </c>
      <c r="N5" s="23" t="n">
        <v>73.27800000000001</v>
      </c>
      <c r="O5" s="23" t="n">
        <v>154.224</v>
      </c>
    </row>
    <row r="6">
      <c r="A6" s="19" t="inlineStr">
        <is>
          <t>SG&amp;A &amp; Other</t>
        </is>
      </c>
      <c r="B6" s="23" t="n">
        <v>2.247</v>
      </c>
      <c r="C6" s="23" t="n">
        <v>4.219</v>
      </c>
      <c r="D6" s="23" t="n">
        <v>8.141</v>
      </c>
      <c r="E6" s="23" t="n">
        <v>19.195</v>
      </c>
      <c r="F6" s="23" t="n">
        <v>18.289</v>
      </c>
      <c r="G6" s="23" t="n">
        <v>12.16</v>
      </c>
      <c r="H6" s="23" t="n">
        <v>13.193</v>
      </c>
      <c r="I6" s="23" t="n">
        <v>2.424</v>
      </c>
      <c r="J6" s="23" t="n">
        <v>11.397</v>
      </c>
      <c r="K6" s="23" t="n">
        <v>12.069</v>
      </c>
      <c r="L6" s="23" t="n">
        <v>12.276</v>
      </c>
      <c r="M6" s="23" t="n">
        <v>14.088</v>
      </c>
      <c r="N6" s="23" t="n">
        <v>17.612</v>
      </c>
      <c r="O6" s="23" t="n">
        <v>18.273</v>
      </c>
    </row>
    <row r="7">
      <c r="A7" s="2" t="inlineStr">
        <is>
          <t>Operating Expense</t>
        </is>
      </c>
      <c r="B7" s="23">
        <f>SUM(B5:B6)</f>
        <v>13.791</v>
      </c>
      <c r="C7" s="23">
        <f>SUM(C5:C6)</f>
        <v>13.780000000000001</v>
      </c>
      <c r="D7" s="23">
        <f>SUM(D5:D6)</f>
        <v>35.532</v>
      </c>
      <c r="E7" s="23">
        <f>SUM(E5:E6)</f>
        <v>73.813</v>
      </c>
      <c r="F7" s="23">
        <f>SUM(F5:F6)</f>
        <v>58.225</v>
      </c>
      <c r="G7" s="23">
        <f>SUM(G5:G6)</f>
        <v>52.998999999999995</v>
      </c>
      <c r="H7" s="23">
        <f>SUM(H5:H6)</f>
        <v>61.122</v>
      </c>
      <c r="I7" s="23">
        <f>SUM(I5:I6)</f>
        <v>23.214</v>
      </c>
      <c r="J7" s="23">
        <f>SUM(J5:J6)</f>
        <v>42.804</v>
      </c>
      <c r="K7" s="23">
        <f>SUM(K5:K6)</f>
        <v>50.465</v>
      </c>
      <c r="L7" s="23">
        <f>SUM(L5:L6)</f>
        <v>36.525999999999996</v>
      </c>
      <c r="M7" s="23">
        <f>SUM(M5:M6)</f>
        <v>41.758</v>
      </c>
      <c r="N7" s="23">
        <f>SUM(N5:N6)</f>
        <v>90.89</v>
      </c>
      <c r="O7" s="23">
        <f>SUM(O5:O6)</f>
        <v>172.49699999999999</v>
      </c>
    </row>
    <row r="8">
      <c r="A8" s="2" t="inlineStr">
        <is>
          <t>Operating Income</t>
        </is>
      </c>
      <c r="B8" s="23">
        <f>B4-B7</f>
        <v>-13.791</v>
      </c>
      <c r="C8" s="23">
        <f>C4-C7</f>
        <v>-13.780000000000001</v>
      </c>
      <c r="D8" s="23">
        <f>D4-D7</f>
        <v>-35.532</v>
      </c>
      <c r="E8" s="23">
        <f>E4-E7</f>
        <v>-73.813</v>
      </c>
      <c r="F8" s="23">
        <f>F4-F7</f>
        <v>-58.225</v>
      </c>
      <c r="G8" s="23">
        <f>G4-G7</f>
        <v>-52.998999999999995</v>
      </c>
      <c r="H8" s="23">
        <f>H4-H7</f>
        <v>-61.122</v>
      </c>
      <c r="I8" s="23">
        <f>I4-I7</f>
        <v>-23.214</v>
      </c>
      <c r="J8" s="23">
        <f>J4-J7</f>
        <v>-42.804</v>
      </c>
      <c r="K8" s="23">
        <f>K4-K7</f>
        <v>-50.465</v>
      </c>
      <c r="L8" s="23">
        <f>L4-L7</f>
        <v>-36.525999999999996</v>
      </c>
      <c r="M8" s="23">
        <f>M4-M7</f>
        <v>-41.758</v>
      </c>
      <c r="N8" s="23">
        <f>N4-N7</f>
        <v>-90.89</v>
      </c>
      <c r="O8" s="23">
        <f>O4-O7</f>
        <v>-172.49699999999999</v>
      </c>
    </row>
    <row r="9">
      <c r="A9" s="19" t="inlineStr">
        <is>
          <t>Interest &amp; Other</t>
        </is>
      </c>
      <c r="B9" s="23" t="n">
        <v>-0.089</v>
      </c>
      <c r="C9" s="23" t="n">
        <v>-0.247</v>
      </c>
      <c r="D9" s="23" t="n">
        <v>-0.946</v>
      </c>
      <c r="E9" s="23" t="n">
        <v>-0.473</v>
      </c>
      <c r="F9" s="23" t="n">
        <v>0.347</v>
      </c>
      <c r="G9" s="23" t="n">
        <v>0.971</v>
      </c>
      <c r="H9" s="23" t="n">
        <v>-0.246</v>
      </c>
      <c r="I9" s="23" t="n">
        <v>0.082</v>
      </c>
      <c r="J9" s="23" t="n">
        <v>0.322</v>
      </c>
      <c r="K9" s="23" t="n">
        <v>-0.171</v>
      </c>
      <c r="L9" s="23" t="n">
        <v>1.171</v>
      </c>
      <c r="M9" s="23" t="n">
        <v>4.809</v>
      </c>
      <c r="N9" s="23" t="n">
        <v>10.286</v>
      </c>
      <c r="O9" s="23" t="n">
        <v>6.824</v>
      </c>
    </row>
    <row r="10">
      <c r="A10" s="2" t="inlineStr">
        <is>
          <t>Pretax</t>
        </is>
      </c>
      <c r="B10" s="23">
        <f>B8+B9</f>
        <v>-13.88</v>
      </c>
      <c r="C10" s="23">
        <f>C8+C9</f>
        <v>-14.027000000000001</v>
      </c>
      <c r="D10" s="23">
        <f>D8+D9</f>
        <v>-36.477999999999994</v>
      </c>
      <c r="E10" s="23">
        <f>E8+E9</f>
        <v>-74.286</v>
      </c>
      <c r="F10" s="23">
        <f>F8+F9</f>
        <v>-57.878</v>
      </c>
      <c r="G10" s="23">
        <f>G8+G9</f>
        <v>-52.028</v>
      </c>
      <c r="H10" s="23">
        <f>H8+H9</f>
        <v>-61.368</v>
      </c>
      <c r="I10" s="23">
        <f>I8+I9</f>
        <v>-23.131999999999998</v>
      </c>
      <c r="J10" s="23">
        <f>J8+J9</f>
        <v>-42.482</v>
      </c>
      <c r="K10" s="23">
        <f>K8+K9</f>
        <v>-50.636</v>
      </c>
      <c r="L10" s="23">
        <f>L8+L9</f>
        <v>-35.355</v>
      </c>
      <c r="M10" s="23">
        <f>M8+M9</f>
        <v>-36.949000000000005</v>
      </c>
      <c r="N10" s="23">
        <f>N8+N9</f>
        <v>-80.604</v>
      </c>
      <c r="O10" s="23">
        <f>O8+O9</f>
        <v>-165.67299999999997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</row>
    <row r="12">
      <c r="A12" s="2" t="inlineStr">
        <is>
          <t>Net Income</t>
        </is>
      </c>
      <c r="B12" s="23" t="n">
        <v>-13.88</v>
      </c>
      <c r="C12" s="23" t="n">
        <v>-14.027</v>
      </c>
      <c r="D12" s="23" t="n">
        <v>-36.478</v>
      </c>
      <c r="E12" s="23" t="n">
        <v>-74.286</v>
      </c>
      <c r="F12" s="23" t="n">
        <v>-57.878</v>
      </c>
      <c r="G12" s="23" t="n">
        <v>-52.028</v>
      </c>
      <c r="H12" s="23" t="n">
        <v>-61.368</v>
      </c>
      <c r="I12" s="23" t="n">
        <v>-23.132</v>
      </c>
      <c r="J12" s="23" t="n">
        <v>-42.482</v>
      </c>
      <c r="K12" s="23" t="n">
        <v>-50.636</v>
      </c>
      <c r="L12" s="23" t="n">
        <v>-35.355</v>
      </c>
      <c r="M12" s="23" t="n">
        <v>-36.949</v>
      </c>
      <c r="N12" s="23" t="n">
        <v>-80.604</v>
      </c>
      <c r="O12" s="23" t="n">
        <v>-165.673</v>
      </c>
    </row>
    <row r="13">
      <c r="A13" s="2" t="inlineStr">
        <is>
          <t>Earnings per Share</t>
        </is>
      </c>
      <c r="B13" s="11">
        <f>IFERROR(B12/B14,0)</f>
        <v>-1.1504351429755493</v>
      </c>
      <c r="C13" s="11">
        <f>IFERROR(C12/C14,0)</f>
        <v>-1.1318486242233519</v>
      </c>
      <c r="D13" s="11">
        <f>IFERROR(D12/D14,0)</f>
        <v>-2.992698334563951</v>
      </c>
      <c r="E13" s="11">
        <f>IFERROR(E12/E14,0)</f>
        <v>-2.776423979668112</v>
      </c>
      <c r="F13" s="11">
        <f>IFERROR(F12/F14,0)</f>
        <v>-2.120228588174958</v>
      </c>
      <c r="G13" s="11">
        <f>IFERROR(G12/G14,0)</f>
        <v>-1.896547953195057</v>
      </c>
      <c r="H13" s="11">
        <f>IFERROR(H12/H14,0)</f>
        <v>-1.9041236153774552</v>
      </c>
      <c r="I13" s="11">
        <f>IFERROR(I12/I14,0)</f>
        <v>-3.797734362173699</v>
      </c>
      <c r="J13" s="11">
        <f>IFERROR(J12/J14,0)</f>
        <v>-3.5750231423041323</v>
      </c>
      <c r="K13" s="11">
        <f>IFERROR(K12/K14,0)</f>
        <v>-2.950128175250524</v>
      </c>
      <c r="L13" s="11">
        <f>IFERROR(L12/L14,0)</f>
        <v>-1.372423430767439</v>
      </c>
      <c r="M13" s="11">
        <f>IFERROR(M12/M14,0)</f>
        <v>-0.8416436983212227</v>
      </c>
      <c r="N13" s="11">
        <f>IFERROR(N12/N14,0)</f>
        <v>-1.3158547734099517</v>
      </c>
      <c r="O13" s="11">
        <f>IFERROR(O12/O14,0)</f>
        <v>0</v>
      </c>
    </row>
    <row r="14">
      <c r="A14" s="2" t="inlineStr">
        <is>
          <t>Shares</t>
        </is>
      </c>
      <c r="B14" s="23" t="n">
        <v>12.065</v>
      </c>
      <c r="C14" s="23" t="n">
        <v>12.393</v>
      </c>
      <c r="D14" s="23" t="n">
        <v>12.189</v>
      </c>
      <c r="E14" s="23" t="n">
        <v>26.756</v>
      </c>
      <c r="F14" s="23" t="n">
        <v>27.298</v>
      </c>
      <c r="G14" s="23" t="n">
        <v>27.433</v>
      </c>
      <c r="H14" s="23" t="n">
        <v>32.229</v>
      </c>
      <c r="I14" s="23" t="n">
        <v>6.091</v>
      </c>
      <c r="J14" s="23" t="n">
        <v>11.883</v>
      </c>
      <c r="K14" s="23" t="n">
        <v>17.164</v>
      </c>
      <c r="L14" s="23" t="n">
        <v>25.761</v>
      </c>
      <c r="M14" s="23" t="n">
        <v>43.901</v>
      </c>
      <c r="N14" s="23" t="n">
        <v>61.256</v>
      </c>
      <c r="O14" s="23" t="n"/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Larimar Therapeutics,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0.5653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178.986</v>
      </c>
    </row>
    <row r="19">
      <c r="A19" s="14" t="inlineStr">
        <is>
          <t>Years of full burn (until the first launch, max 4)</t>
        </is>
      </c>
      <c r="B19" s="39">
        <f>MIN(4,MAX(1,MIN(Pipeline!I4:I4)-2026))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744.8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216.1658933078411</v>
      </c>
      <c r="C29" s="42">
        <f>NPV!B25</f>
        <v>372.4328933078411</v>
      </c>
      <c r="D29" s="43">
        <f>NPV!B27</f>
        <v>3.5851209453949218</v>
      </c>
      <c r="E29" s="44">
        <f>NPV!B29</f>
        <v>0.4693118628667712</v>
      </c>
    </row>
    <row r="30">
      <c r="A30" s="45" t="n">
        <v>1</v>
      </c>
      <c r="B30" s="46">
        <f t="dataTable" ref="B30:E32" r1="B4"/>
        <v>-170.63563501368043</v>
      </c>
      <c r="C30" s="46">
        <v>-14.368635013680432</v>
      </c>
      <c r="D30" s="47">
        <v>-0.13831564093803425</v>
      </c>
      <c r="E30" s="48">
        <v>-1.0566867380893583</v>
      </c>
    </row>
    <row r="31">
      <c r="A31" s="45" t="n">
        <v>2</v>
      </c>
      <c r="B31" s="46">
        <v>216.1658933078411</v>
      </c>
      <c r="C31" s="46">
        <v>372.4328933078411</v>
      </c>
      <c r="D31" s="47">
        <v>3.5851209453949218</v>
      </c>
      <c r="E31" s="48">
        <v>0.4693118628667712</v>
      </c>
    </row>
    <row r="32">
      <c r="A32" s="45" t="n">
        <v>3</v>
      </c>
      <c r="B32" s="46">
        <v>778.6837632444328</v>
      </c>
      <c r="C32" s="46">
        <v>934.9507632444329</v>
      </c>
      <c r="D32" s="47">
        <v>9.000041683885323</v>
      </c>
      <c r="E32" s="48">
        <v>2.6885416737234933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3.5851209453949218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-0.9031947822237794</v>
      </c>
      <c r="C37" s="47">
        <v>0.26768478591222644</v>
      </c>
      <c r="D37" s="47">
        <v>1.438564354048232</v>
      </c>
      <c r="E37" s="47">
        <v>3.4991947441433164</v>
      </c>
      <c r="F37" s="47">
        <v>5.4640676534791295</v>
      </c>
    </row>
    <row r="38">
      <c r="A38" s="50" t="n">
        <v>0.8</v>
      </c>
      <c r="B38" s="47">
        <v>-0.4541398235575983</v>
      </c>
      <c r="C38" s="47">
        <v>1.1070329339570752</v>
      </c>
      <c r="D38" s="47">
        <v>2.537284069621504</v>
      </c>
      <c r="E38" s="47">
        <v>5.181110048336837</v>
      </c>
      <c r="F38" s="47">
        <v>7.7494700071947635</v>
      </c>
    </row>
    <row r="39">
      <c r="A39" s="50" t="n">
        <v>1</v>
      </c>
      <c r="B39" s="47">
        <v>-0.005084864891418548</v>
      </c>
      <c r="C39" s="47">
        <v>1.8989000501665603</v>
      </c>
      <c r="D39" s="47">
        <v>3.5851209453949218</v>
      </c>
      <c r="E39" s="47">
        <v>6.833812001434573</v>
      </c>
      <c r="F39" s="47">
        <v>10.013450736390157</v>
      </c>
    </row>
    <row r="40">
      <c r="A40" s="50" t="n">
        <v>1.2</v>
      </c>
      <c r="B40" s="47">
        <v>0.44397009377476065</v>
      </c>
      <c r="C40" s="47">
        <v>2.6260907792339734</v>
      </c>
      <c r="D40" s="47">
        <v>4.61304932958863</v>
      </c>
      <c r="E40" s="47">
        <v>8.467209539955936</v>
      </c>
      <c r="F40" s="47">
        <v>12.257011152430534</v>
      </c>
    </row>
    <row r="41">
      <c r="A41" s="50" t="n">
        <v>1.4</v>
      </c>
      <c r="B41" s="47">
        <v>0.8930250524409407</v>
      </c>
      <c r="C41" s="47">
        <v>3.3384381974732524</v>
      </c>
      <c r="D41" s="47">
        <v>5.628953484794544</v>
      </c>
      <c r="E41" s="47">
        <v>10.09516767243269</v>
      </c>
      <c r="F41" s="47">
        <v>14.500571568470912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Larimar Therapeutics,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Muscular dystrophy / SMA</t>
        </is>
      </c>
      <c r="C4" s="14" t="inlineStr">
        <is>
          <t>CTI-1601, Nomlabofusp</t>
        </is>
      </c>
      <c r="D4" s="14" t="inlineStr">
        <is>
          <t>Phase 3</t>
        </is>
      </c>
      <c r="E4" s="14" t="inlineStr">
        <is>
          <t>Neurology / rare</t>
        </is>
      </c>
      <c r="F4" s="14" t="inlineStr">
        <is>
          <t>Owned</t>
        </is>
      </c>
      <c r="G4" s="40" t="n">
        <v>1000</v>
      </c>
      <c r="H4" s="27" t="n">
        <v>0.5653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810.8960560750661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56.53</v>
      </c>
      <c r="Q4" s="23">
        <f>IF(Q$3&lt;$I4,0,$G4*Assumptions!$E$11*INDEX(Assumptions!$B$24:$G$24,MIN(6,Q$3-$I4+1))*IF(Q$3&gt;$J4,(1-Assumptions!$B$26)^(Q$3-$J4),1)*IF($H4&gt;=1,1,MIN(0.97,$H4*Assumptions!$E$12)))</f>
        <v>141.32500000000002</v>
      </c>
      <c r="R4" s="23">
        <f>IF(R$3&lt;$I4,0,$G4*Assumptions!$E$11*INDEX(Assumptions!$B$24:$G$24,MIN(6,R$3-$I4+1))*IF(R$3&gt;$J4,(1-Assumptions!$B$26)^(R$3-$J4),1)*IF($H4&gt;=1,1,MIN(0.97,$H4*Assumptions!$E$12)))</f>
        <v>254.38500000000002</v>
      </c>
      <c r="S4" s="23">
        <f>IF(S$3&lt;$I4,0,$G4*Assumptions!$E$11*INDEX(Assumptions!$B$24:$G$24,MIN(6,S$3-$I4+1))*IF(S$3&gt;$J4,(1-Assumptions!$B$26)^(S$3-$J4),1)*IF($H4&gt;=1,1,MIN(0.97,$H4*Assumptions!$E$12)))</f>
        <v>367.445</v>
      </c>
      <c r="T4" s="23">
        <f>IF(T$3&lt;$I4,0,$G4*Assumptions!$E$11*INDEX(Assumptions!$B$24:$G$24,MIN(6,T$3-$I4+1))*IF(T$3&gt;$J4,(1-Assumptions!$B$26)^(T$3-$J4),1)*IF($H4&gt;=1,1,MIN(0.97,$H4*Assumptions!$E$12)))</f>
        <v>480.505</v>
      </c>
      <c r="U4" s="23">
        <f>IF(U$3&lt;$I4,0,$G4*Assumptions!$E$11*INDEX(Assumptions!$B$24:$G$24,MIN(6,U$3-$I4+1))*IF(U$3&gt;$J4,(1-Assumptions!$B$26)^(U$3-$J4),1)*IF($H4&gt;=1,1,MIN(0.97,$H4*Assumptions!$E$12)))</f>
        <v>565.3000000000001</v>
      </c>
      <c r="V4" s="23">
        <f>IF(V$3&lt;$I4,0,$G4*Assumptions!$E$11*INDEX(Assumptions!$B$24:$G$24,MIN(6,V$3-$I4+1))*IF(V$3&gt;$J4,(1-Assumptions!$B$26)^(V$3-$J4),1)*IF($H4&gt;=1,1,MIN(0.97,$H4*Assumptions!$E$12)))</f>
        <v>565.3000000000001</v>
      </c>
      <c r="W4" s="23">
        <f>IF(W$3&lt;$I4,0,$G4*Assumptions!$E$11*INDEX(Assumptions!$B$24:$G$24,MIN(6,W$3-$I4+1))*IF(W$3&gt;$J4,(1-Assumptions!$B$26)^(W$3-$J4),1)*IF($H4&gt;=1,1,MIN(0.97,$H4*Assumptions!$E$12)))</f>
        <v>565.3000000000001</v>
      </c>
      <c r="X4" s="23">
        <f>IF(X$3&lt;$I4,0,$G4*Assumptions!$E$11*INDEX(Assumptions!$B$24:$G$24,MIN(6,X$3-$I4+1))*IF(X$3&gt;$J4,(1-Assumptions!$B$26)^(X$3-$J4),1)*IF($H4&gt;=1,1,MIN(0.97,$H4*Assumptions!$E$12)))</f>
        <v>565.3000000000001</v>
      </c>
      <c r="Y4" s="23">
        <f>IF(Y$3&lt;$I4,0,$G4*Assumptions!$E$11*INDEX(Assumptions!$B$24:$G$24,MIN(6,Y$3-$I4+1))*IF(Y$3&gt;$J4,(1-Assumptions!$B$26)^(Y$3-$J4),1)*IF($H4&gt;=1,1,MIN(0.97,$H4*Assumptions!$E$12)))</f>
        <v>565.3000000000001</v>
      </c>
      <c r="Z4" s="23">
        <f>IF(Z$3&lt;$I4,0,$G4*Assumptions!$E$11*INDEX(Assumptions!$B$24:$G$24,MIN(6,Z$3-$I4+1))*IF(Z$3&gt;$J4,(1-Assumptions!$B$26)^(Z$3-$J4),1)*IF($H4&gt;=1,1,MIN(0.97,$H4*Assumptions!$E$12)))</f>
        <v>565.3000000000001</v>
      </c>
      <c r="AA4" s="23">
        <f>IF(AA$3&lt;$I4,0,$G4*Assumptions!$E$11*INDEX(Assumptions!$B$24:$G$24,MIN(6,AA$3-$I4+1))*IF(AA$3&gt;$J4,(1-Assumptions!$B$26)^(AA$3-$J4),1)*IF($H4&gt;=1,1,MIN(0.97,$H4*Assumptions!$E$12)))</f>
        <v>565.3000000000001</v>
      </c>
      <c r="AB4" s="23">
        <f>IF(AB$3&lt;$I4,0,$G4*Assumptions!$E$11*INDEX(Assumptions!$B$24:$G$24,MIN(6,AB$3-$I4+1))*IF(AB$3&gt;$J4,(1-Assumptions!$B$26)^(AB$3-$J4),1)*IF($H4&gt;=1,1,MIN(0.97,$H4*Assumptions!$E$12)))</f>
        <v>565.3000000000001</v>
      </c>
      <c r="AC4" s="23">
        <f>IF(AC$3&lt;$I4,0,$G4*Assumptions!$E$11*INDEX(Assumptions!$B$24:$G$24,MIN(6,AC$3-$I4+1))*IF(AC$3&gt;$J4,(1-Assumptions!$B$26)^(AC$3-$J4),1)*IF($H4&gt;=1,1,MIN(0.97,$H4*Assumptions!$E$12)))</f>
        <v>282.65000000000003</v>
      </c>
      <c r="AD4" s="23">
        <f>IF(AD$3&lt;$I4,0,$G4*Assumptions!$E$11*INDEX(Assumptions!$B$24:$G$24,MIN(6,AD$3-$I4+1))*IF(AD$3&gt;$J4,(1-Assumptions!$B$26)^(AD$3-$J4),1)*IF($H4&gt;=1,1,MIN(0.97,$H4*Assumptions!$E$12)))</f>
        <v>141.32500000000002</v>
      </c>
      <c r="AE4" s="23">
        <f>IF(AE$3&lt;$I4,0,$G4*Assumptions!$E$11*INDEX(Assumptions!$B$24:$G$24,MIN(6,AE$3-$I4+1))*IF(AE$3&gt;$J4,(1-Assumptions!$B$26)^(AE$3-$J4),1)*IF($H4&gt;=1,1,MIN(0.97,$H4*Assumptions!$E$12)))</f>
        <v>70.66250000000001</v>
      </c>
      <c r="AF4" s="23">
        <f>IF(AF$3&lt;$I4,0,$G4*Assumptions!$E$11*INDEX(Assumptions!$B$24:$G$24,MIN(6,AF$3-$I4+1))*IF(AF$3&gt;$J4,(1-Assumptions!$B$26)^(AF$3-$J4),1)*IF($H4&gt;=1,1,MIN(0.97,$H4*Assumptions!$E$12)))</f>
        <v>35.331250000000004</v>
      </c>
      <c r="AG4" s="35">
        <f>IF(F4="Owned",1-IF(H4&gt;=1,1,MIN(0.97,H4*Assumptions!$E$12)),1)</f>
        <v>0.4347</v>
      </c>
    </row>
    <row r="5">
      <c r="B5" s="24" t="inlineStr">
        <is>
          <t>Risked revenue</t>
        </is>
      </c>
      <c r="L5" s="54">
        <f>SUM(L4:L4)</f>
        <v>810.8960560750661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56.53</v>
      </c>
      <c r="Q5" s="54">
        <f>SUM(Q4:Q4)</f>
        <v>141.32500000000002</v>
      </c>
      <c r="R5" s="54">
        <f>SUM(R4:R4)</f>
        <v>254.38500000000002</v>
      </c>
      <c r="S5" s="54">
        <f>SUM(S4:S4)</f>
        <v>367.445</v>
      </c>
      <c r="T5" s="54">
        <f>SUM(T4:T4)</f>
        <v>480.505</v>
      </c>
      <c r="U5" s="54">
        <f>SUM(U4:U4)</f>
        <v>565.3000000000001</v>
      </c>
      <c r="V5" s="54">
        <f>SUM(V4:V4)</f>
        <v>565.3000000000001</v>
      </c>
      <c r="W5" s="54">
        <f>SUM(W4:W4)</f>
        <v>565.3000000000001</v>
      </c>
      <c r="X5" s="54">
        <f>SUM(X4:X4)</f>
        <v>565.3000000000001</v>
      </c>
      <c r="Y5" s="54">
        <f>SUM(Y4:Y4)</f>
        <v>565.3000000000001</v>
      </c>
      <c r="Z5" s="54">
        <f>SUM(Z4:Z4)</f>
        <v>565.3000000000001</v>
      </c>
      <c r="AA5" s="54">
        <f>SUM(AA4:AA4)</f>
        <v>565.3000000000001</v>
      </c>
      <c r="AB5" s="54">
        <f>SUM(AB4:AB4)</f>
        <v>565.3000000000001</v>
      </c>
      <c r="AC5" s="54">
        <f>SUM(AC4:AC4)</f>
        <v>282.65000000000003</v>
      </c>
      <c r="AD5" s="54">
        <f>SUM(AD4:AD4)</f>
        <v>141.32500000000002</v>
      </c>
      <c r="AE5" s="54">
        <f>SUM(AE4:AE4)</f>
        <v>70.66250000000001</v>
      </c>
      <c r="AF5" s="54">
        <f>SUM(AF4:AF4)</f>
        <v>35.331250000000004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22.612000000000002</v>
      </c>
      <c r="Q6" s="55">
        <f>SUMPRODUCT(Q4:Q4,$K$4:$K$4)</f>
        <v>56.53000000000001</v>
      </c>
      <c r="R6" s="55">
        <f>SUMPRODUCT(R4:R4,$K$4:$K$4)</f>
        <v>101.75400000000002</v>
      </c>
      <c r="S6" s="55">
        <f>SUMPRODUCT(S4:S4,$K$4:$K$4)</f>
        <v>146.978</v>
      </c>
      <c r="T6" s="55">
        <f>SUMPRODUCT(T4:T4,$K$4:$K$4)</f>
        <v>192.202</v>
      </c>
      <c r="U6" s="55">
        <f>SUMPRODUCT(U4:U4,$K$4:$K$4)</f>
        <v>226.12000000000003</v>
      </c>
      <c r="V6" s="55">
        <f>SUMPRODUCT(V4:V4,$K$4:$K$4)</f>
        <v>226.12000000000003</v>
      </c>
      <c r="W6" s="55">
        <f>SUMPRODUCT(W4:W4,$K$4:$K$4)</f>
        <v>226.12000000000003</v>
      </c>
      <c r="X6" s="55">
        <f>SUMPRODUCT(X4:X4,$K$4:$K$4)</f>
        <v>226.12000000000003</v>
      </c>
      <c r="Y6" s="55">
        <f>SUMPRODUCT(Y4:Y4,$K$4:$K$4)</f>
        <v>226.12000000000003</v>
      </c>
      <c r="Z6" s="55">
        <f>SUMPRODUCT(Z4:Z4,$K$4:$K$4)</f>
        <v>226.12000000000003</v>
      </c>
      <c r="AA6" s="55">
        <f>SUMPRODUCT(AA4:AA4,$K$4:$K$4)</f>
        <v>226.12000000000003</v>
      </c>
      <c r="AB6" s="55">
        <f>SUMPRODUCT(AB4:AB4,$K$4:$K$4)</f>
        <v>226.12000000000003</v>
      </c>
      <c r="AC6" s="55">
        <f>SUMPRODUCT(AC4:AC4,$K$4:$K$4)</f>
        <v>113.06000000000002</v>
      </c>
      <c r="AD6" s="55">
        <f>SUMPRODUCT(AD4:AD4,$K$4:$K$4)</f>
        <v>56.53000000000001</v>
      </c>
      <c r="AE6" s="55">
        <f>SUMPRODUCT(AE4:AE4,$K$4:$K$4)</f>
        <v>28.265000000000004</v>
      </c>
      <c r="AF6" s="55">
        <f>SUMPRODUCT(AF4:AF4,$K$4:$K$4)</f>
        <v>14.132500000000002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Larimar Therapeutics,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56.53</v>
      </c>
      <c r="G4" s="57">
        <f>Pipeline!Q5</f>
        <v>141.32500000000002</v>
      </c>
      <c r="H4" s="57">
        <f>Pipeline!R5</f>
        <v>254.38500000000002</v>
      </c>
      <c r="I4" s="57">
        <f>Pipeline!S5</f>
        <v>367.445</v>
      </c>
      <c r="J4" s="57">
        <f>Pipeline!T5</f>
        <v>480.505</v>
      </c>
      <c r="K4" s="57">
        <f>Pipeline!U5</f>
        <v>565.3000000000001</v>
      </c>
      <c r="L4" s="57">
        <f>Pipeline!V5</f>
        <v>565.3000000000001</v>
      </c>
      <c r="M4" s="57">
        <f>Pipeline!W5</f>
        <v>565.3000000000001</v>
      </c>
      <c r="N4" s="57">
        <f>Pipeline!X5</f>
        <v>565.3000000000001</v>
      </c>
      <c r="O4" s="57">
        <f>Pipeline!Y5</f>
        <v>565.3000000000001</v>
      </c>
      <c r="P4" s="57">
        <f>Pipeline!Z5</f>
        <v>565.3000000000001</v>
      </c>
      <c r="Q4" s="57">
        <f>Pipeline!AA5</f>
        <v>565.3000000000001</v>
      </c>
      <c r="R4" s="57">
        <f>Pipeline!AB5</f>
        <v>565.3000000000001</v>
      </c>
      <c r="S4" s="57">
        <f>Pipeline!AC5</f>
        <v>282.65000000000003</v>
      </c>
      <c r="T4" s="57">
        <f>Pipeline!AD5</f>
        <v>141.32500000000002</v>
      </c>
      <c r="U4" s="57">
        <f>Pipeline!AE5</f>
        <v>70.66250000000001</v>
      </c>
      <c r="V4" s="57">
        <f>Pipeline!AF5</f>
        <v>35.331250000000004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22.612000000000002</v>
      </c>
      <c r="G5" s="57">
        <f>Pipeline!Q6</f>
        <v>56.53000000000001</v>
      </c>
      <c r="H5" s="57">
        <f>Pipeline!R6</f>
        <v>101.75400000000002</v>
      </c>
      <c r="I5" s="57">
        <f>Pipeline!S6</f>
        <v>146.978</v>
      </c>
      <c r="J5" s="57">
        <f>Pipeline!T6</f>
        <v>192.202</v>
      </c>
      <c r="K5" s="57">
        <f>Pipeline!U6</f>
        <v>226.12000000000003</v>
      </c>
      <c r="L5" s="57">
        <f>Pipeline!V6</f>
        <v>226.12000000000003</v>
      </c>
      <c r="M5" s="57">
        <f>Pipeline!W6</f>
        <v>226.12000000000003</v>
      </c>
      <c r="N5" s="57">
        <f>Pipeline!X6</f>
        <v>226.12000000000003</v>
      </c>
      <c r="O5" s="57">
        <f>Pipeline!Y6</f>
        <v>226.12000000000003</v>
      </c>
      <c r="P5" s="57">
        <f>Pipeline!Z6</f>
        <v>226.12000000000003</v>
      </c>
      <c r="Q5" s="57">
        <f>Pipeline!AA6</f>
        <v>226.12000000000003</v>
      </c>
      <c r="R5" s="57">
        <f>Pipeline!AB6</f>
        <v>226.12000000000003</v>
      </c>
      <c r="S5" s="57">
        <f>Pipeline!AC6</f>
        <v>113.06000000000002</v>
      </c>
      <c r="T5" s="57">
        <f>Pipeline!AD6</f>
        <v>56.53000000000001</v>
      </c>
      <c r="U5" s="57">
        <f>Pipeline!AE6</f>
        <v>28.265000000000004</v>
      </c>
      <c r="V5" s="57">
        <f>Pipeline!AF6</f>
        <v>14.132500000000002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-178.986</v>
      </c>
      <c r="D6" s="23">
        <f>-IF(D3-2026&lt;Assumptions!$B$19,Assumptions!$B$18,Assumptions!$B$18*Assumptions!$B$20*Assumptions!$B$16)</f>
        <v>-178.986</v>
      </c>
      <c r="E6" s="23">
        <f>-IF(E3-2026&lt;Assumptions!$B$19,Assumptions!$B$18,Assumptions!$B$18*Assumptions!$B$20*Assumptions!$B$16)</f>
        <v>-178.986</v>
      </c>
      <c r="F6" s="23">
        <f>-IF(F3-2026&lt;Assumptions!$B$19,Assumptions!$B$18,Assumptions!$B$18*Assumptions!$B$20*Assumptions!$B$16)</f>
        <v>-30.35423574</v>
      </c>
      <c r="G6" s="23">
        <f>-IF(G3-2026&lt;Assumptions!$B$19,Assumptions!$B$18,Assumptions!$B$18*Assumptions!$B$20*Assumptions!$B$16)</f>
        <v>-30.35423574</v>
      </c>
      <c r="H6" s="23">
        <f>-IF(H3-2026&lt;Assumptions!$B$19,Assumptions!$B$18,Assumptions!$B$18*Assumptions!$B$20*Assumptions!$B$16)</f>
        <v>-30.35423574</v>
      </c>
      <c r="I6" s="23">
        <f>-IF(I3-2026&lt;Assumptions!$B$19,Assumptions!$B$18,Assumptions!$B$18*Assumptions!$B$20*Assumptions!$B$16)</f>
        <v>-30.35423574</v>
      </c>
      <c r="J6" s="23">
        <f>-IF(J3-2026&lt;Assumptions!$B$19,Assumptions!$B$18,Assumptions!$B$18*Assumptions!$B$20*Assumptions!$B$16)</f>
        <v>-30.35423574</v>
      </c>
      <c r="K6" s="23">
        <f>-IF(K3-2026&lt;Assumptions!$B$19,Assumptions!$B$18,Assumptions!$B$18*Assumptions!$B$20*Assumptions!$B$16)</f>
        <v>-30.35423574</v>
      </c>
      <c r="L6" s="23">
        <f>-IF(L3-2026&lt;Assumptions!$B$19,Assumptions!$B$18,Assumptions!$B$18*Assumptions!$B$20*Assumptions!$B$16)</f>
        <v>-30.35423574</v>
      </c>
      <c r="M6" s="23">
        <f>-IF(M3-2026&lt;Assumptions!$B$19,Assumptions!$B$18,Assumptions!$B$18*Assumptions!$B$20*Assumptions!$B$16)</f>
        <v>-30.35423574</v>
      </c>
      <c r="N6" s="23">
        <f>-IF(N3-2026&lt;Assumptions!$B$19,Assumptions!$B$18,Assumptions!$B$18*Assumptions!$B$20*Assumptions!$B$16)</f>
        <v>-30.35423574</v>
      </c>
      <c r="O6" s="23">
        <f>-IF(O3-2026&lt;Assumptions!$B$19,Assumptions!$B$18,Assumptions!$B$18*Assumptions!$B$20*Assumptions!$B$16)</f>
        <v>-30.35423574</v>
      </c>
      <c r="P6" s="23">
        <f>-IF(P3-2026&lt;Assumptions!$B$19,Assumptions!$B$18,Assumptions!$B$18*Assumptions!$B$20*Assumptions!$B$16)</f>
        <v>-30.35423574</v>
      </c>
      <c r="Q6" s="23">
        <f>-IF(Q3-2026&lt;Assumptions!$B$19,Assumptions!$B$18,Assumptions!$B$18*Assumptions!$B$20*Assumptions!$B$16)</f>
        <v>-30.35423574</v>
      </c>
      <c r="R6" s="23">
        <f>-IF(R3-2026&lt;Assumptions!$B$19,Assumptions!$B$18,Assumptions!$B$18*Assumptions!$B$20*Assumptions!$B$16)</f>
        <v>-30.35423574</v>
      </c>
      <c r="S6" s="23">
        <f>-IF(S3-2026&lt;Assumptions!$B$19,Assumptions!$B$18,Assumptions!$B$18*Assumptions!$B$20*Assumptions!$B$16)</f>
        <v>-30.35423574</v>
      </c>
      <c r="T6" s="23">
        <f>-IF(T3-2026&lt;Assumptions!$B$19,Assumptions!$B$18,Assumptions!$B$18*Assumptions!$B$20*Assumptions!$B$16)</f>
        <v>-30.35423574</v>
      </c>
      <c r="U6" s="23">
        <f>-IF(U3-2026&lt;Assumptions!$B$19,Assumptions!$B$18,Assumptions!$B$18*Assumptions!$B$20*Assumptions!$B$16)</f>
        <v>-30.35423574</v>
      </c>
      <c r="V6" s="23">
        <f>-IF(V3-2026&lt;Assumptions!$B$19,Assumptions!$B$18,Assumptions!$B$18*Assumptions!$B$20*Assumptions!$B$16)</f>
        <v>-30.35423574</v>
      </c>
    </row>
    <row r="7">
      <c r="A7" s="14" t="inlineStr">
        <is>
          <t>Pre-tax cash flow</t>
        </is>
      </c>
      <c r="C7" s="23">
        <f>C5+C6</f>
        <v>-178.986</v>
      </c>
      <c r="D7" s="23">
        <f>D5+D6</f>
        <v>-178.986</v>
      </c>
      <c r="E7" s="23">
        <f>E5+E6</f>
        <v>-178.986</v>
      </c>
      <c r="F7" s="23">
        <f>F5+F6</f>
        <v>-7.742235739999998</v>
      </c>
      <c r="G7" s="23">
        <f>G5+G6</f>
        <v>26.175764260000008</v>
      </c>
      <c r="H7" s="23">
        <f>H5+H6</f>
        <v>71.39976426000001</v>
      </c>
      <c r="I7" s="23">
        <f>I5+I6</f>
        <v>116.62376426</v>
      </c>
      <c r="J7" s="23">
        <f>J5+J6</f>
        <v>161.84776426</v>
      </c>
      <c r="K7" s="23">
        <f>K5+K6</f>
        <v>195.76576426000003</v>
      </c>
      <c r="L7" s="23">
        <f>L5+L6</f>
        <v>195.76576426000003</v>
      </c>
      <c r="M7" s="23">
        <f>M5+M6</f>
        <v>195.76576426000003</v>
      </c>
      <c r="N7" s="23">
        <f>N5+N6</f>
        <v>195.76576426000003</v>
      </c>
      <c r="O7" s="23">
        <f>O5+O6</f>
        <v>195.76576426000003</v>
      </c>
      <c r="P7" s="23">
        <f>P5+P6</f>
        <v>195.76576426000003</v>
      </c>
      <c r="Q7" s="23">
        <f>Q5+Q6</f>
        <v>195.76576426000003</v>
      </c>
      <c r="R7" s="23">
        <f>R5+R6</f>
        <v>195.76576426000003</v>
      </c>
      <c r="S7" s="23">
        <f>S5+S6</f>
        <v>82.70576426000002</v>
      </c>
      <c r="T7" s="23">
        <f>T5+T6</f>
        <v>26.175764260000008</v>
      </c>
      <c r="U7" s="23">
        <f>U5+U6</f>
        <v>-2.089235739999996</v>
      </c>
      <c r="V7" s="23">
        <f>V5+V6</f>
        <v>-16.22173574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26.175764260000008</v>
      </c>
      <c r="H8" s="23">
        <f>MIN(G17,MAX(0,H7))</f>
        <v>71.39976426000001</v>
      </c>
      <c r="I8" s="23">
        <f>MIN(H17,MAX(0,I7))</f>
        <v>116.62376426</v>
      </c>
      <c r="J8" s="23">
        <f>MIN(I17,MAX(0,J7))</f>
        <v>161.84776426</v>
      </c>
      <c r="K8" s="23">
        <f>MIN(J17,MAX(0,K7))</f>
        <v>195.76576426000003</v>
      </c>
      <c r="L8" s="23">
        <f>MIN(K17,MAX(0,L7))</f>
        <v>195.76576426000003</v>
      </c>
      <c r="M8" s="23">
        <f>MIN(L17,MAX(0,M7))</f>
        <v>195.76576426000003</v>
      </c>
      <c r="N8" s="23">
        <f>MIN(M17,MAX(0,N7))</f>
        <v>195.76576426000003</v>
      </c>
      <c r="O8" s="23">
        <f>MIN(N17,MAX(0,O7))</f>
        <v>130.39012165999986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65.37564260000016</v>
      </c>
      <c r="P9" s="23">
        <f>MAX(0,P7)-P8</f>
        <v>195.76576426000003</v>
      </c>
      <c r="Q9" s="23">
        <f>MAX(0,Q7)-Q8</f>
        <v>195.76576426000003</v>
      </c>
      <c r="R9" s="23">
        <f>MAX(0,R7)-R8</f>
        <v>195.76576426000003</v>
      </c>
      <c r="S9" s="23">
        <f>MAX(0,S7)-S8</f>
        <v>82.70576426000002</v>
      </c>
      <c r="T9" s="23">
        <f>MAX(0,T7)-T8</f>
        <v>26.175764260000008</v>
      </c>
      <c r="U9" s="23">
        <f>MAX(0,U7)-U8</f>
        <v>0.0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13.728884946000033</v>
      </c>
      <c r="P10" s="23">
        <f>P9*Assumptions!$E$15</f>
        <v>41.1108104946</v>
      </c>
      <c r="Q10" s="23">
        <f>Q9*Assumptions!$E$15</f>
        <v>41.1108104946</v>
      </c>
      <c r="R10" s="23">
        <f>R9*Assumptions!$E$15</f>
        <v>41.1108104946</v>
      </c>
      <c r="S10" s="23">
        <f>S9*Assumptions!$E$15</f>
        <v>17.368210494600003</v>
      </c>
      <c r="T10" s="23">
        <f>T9*Assumptions!$E$15</f>
        <v>5.496910494600002</v>
      </c>
      <c r="U10" s="23">
        <f>U9*Assumptions!$E$15</f>
        <v>0.0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-178.986</v>
      </c>
      <c r="D11" s="55">
        <f>D7-D10</f>
        <v>-178.986</v>
      </c>
      <c r="E11" s="55">
        <f>E7-E10</f>
        <v>-178.986</v>
      </c>
      <c r="F11" s="55">
        <f>F7-F10</f>
        <v>-7.742235739999998</v>
      </c>
      <c r="G11" s="55">
        <f>G7-G10</f>
        <v>26.175764260000008</v>
      </c>
      <c r="H11" s="55">
        <f>H7-H10</f>
        <v>71.39976426000001</v>
      </c>
      <c r="I11" s="55">
        <f>I7-I10</f>
        <v>116.62376426</v>
      </c>
      <c r="J11" s="55">
        <f>J7-J10</f>
        <v>161.84776426</v>
      </c>
      <c r="K11" s="55">
        <f>K7-K10</f>
        <v>195.76576426000003</v>
      </c>
      <c r="L11" s="55">
        <f>L7-L10</f>
        <v>195.76576426000003</v>
      </c>
      <c r="M11" s="55">
        <f>M7-M10</f>
        <v>195.76576426000003</v>
      </c>
      <c r="N11" s="55">
        <f>N7-N10</f>
        <v>195.76576426000003</v>
      </c>
      <c r="O11" s="55">
        <f>O7-O10</f>
        <v>182.036879314</v>
      </c>
      <c r="P11" s="55">
        <f>P7-P10</f>
        <v>154.65495376540002</v>
      </c>
      <c r="Q11" s="55">
        <f>Q7-Q10</f>
        <v>154.65495376540002</v>
      </c>
      <c r="R11" s="55">
        <f>R7-R10</f>
        <v>154.65495376540002</v>
      </c>
      <c r="S11" s="55">
        <f>S7-S10</f>
        <v>65.33755376540002</v>
      </c>
      <c r="T11" s="55">
        <f>T7-T10</f>
        <v>20.678853765400007</v>
      </c>
      <c r="U11" s="55">
        <f>U7-U10</f>
        <v>-2.089235739999996</v>
      </c>
      <c r="V11" s="55">
        <f>V7-V10</f>
        <v>-16.22173574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-87.68601981273815</v>
      </c>
      <c r="D16" s="55">
        <f>D11*D15</f>
        <v>-159.73469098324435</v>
      </c>
      <c r="E16" s="55">
        <f>E11*E15</f>
        <v>-142.6202598064681</v>
      </c>
      <c r="F16" s="55">
        <f>F11*F15</f>
        <v>-5.508210502106922</v>
      </c>
      <c r="G16" s="55">
        <f>G11*G15</f>
        <v>16.627443706129633</v>
      </c>
      <c r="H16" s="55">
        <f>H11*H15</f>
        <v>40.49532330582589</v>
      </c>
      <c r="I16" s="55">
        <f>I11*I15</f>
        <v>59.05778100998114</v>
      </c>
      <c r="J16" s="55">
        <f>J11*J15</f>
        <v>73.17769942325563</v>
      </c>
      <c r="K16" s="55">
        <f>K11*K15</f>
        <v>79.02977926665751</v>
      </c>
      <c r="L16" s="55">
        <f>L11*L15</f>
        <v>70.5623029166585</v>
      </c>
      <c r="M16" s="55">
        <f>M11*M15</f>
        <v>63.00205617558793</v>
      </c>
      <c r="N16" s="55">
        <f>N11*N15</f>
        <v>56.25183587106064</v>
      </c>
      <c r="O16" s="55">
        <f>O11*O15</f>
        <v>46.702627610851756</v>
      </c>
      <c r="P16" s="55">
        <f>P11*P15</f>
        <v>35.42645913435738</v>
      </c>
      <c r="Q16" s="55">
        <f>Q11*Q15</f>
        <v>31.630767084247662</v>
      </c>
      <c r="R16" s="55">
        <f>R11*R15</f>
        <v>28.241756325221125</v>
      </c>
      <c r="S16" s="55">
        <f>S11*S15</f>
        <v>10.653019300858116</v>
      </c>
      <c r="T16" s="55">
        <f>T11*T15</f>
        <v>3.0103589467722194</v>
      </c>
      <c r="U16" s="55">
        <f>U11*U15</f>
        <v>-0.27155715158765603</v>
      </c>
      <c r="V16" s="55">
        <f>V11*V15</f>
        <v>-1.8825785134788797</v>
      </c>
    </row>
    <row r="17">
      <c r="A17" s="14" t="inlineStr">
        <is>
          <t>Tax-loss carryforward, end of year</t>
        </is>
      </c>
      <c r="C17" s="23">
        <f>Assumptions!$B$21-C8+MAX(0,-C7)</f>
        <v>923.786</v>
      </c>
      <c r="D17" s="23">
        <f>C17-D8+MAX(0,-D7)</f>
        <v>1102.772</v>
      </c>
      <c r="E17" s="23">
        <f>D17-E8+MAX(0,-E7)</f>
        <v>1281.7579999999998</v>
      </c>
      <c r="F17" s="23">
        <f>E17-F8+MAX(0,-F7)</f>
        <v>1289.5002357399999</v>
      </c>
      <c r="G17" s="23">
        <f>F17-G8+MAX(0,-G7)</f>
        <v>1263.3244714799998</v>
      </c>
      <c r="H17" s="23">
        <f>G17-H8+MAX(0,-H7)</f>
        <v>1191.9247072199998</v>
      </c>
      <c r="I17" s="23">
        <f>H17-I8+MAX(0,-I7)</f>
        <v>1075.30094296</v>
      </c>
      <c r="J17" s="23">
        <f>I17-J8+MAX(0,-J7)</f>
        <v>913.4531787</v>
      </c>
      <c r="K17" s="23">
        <f>J17-K8+MAX(0,-K7)</f>
        <v>717.6874144399999</v>
      </c>
      <c r="L17" s="23">
        <f>K17-L8+MAX(0,-L7)</f>
        <v>521.9216501799999</v>
      </c>
      <c r="M17" s="23">
        <f>L17-M8+MAX(0,-M7)</f>
        <v>326.1558859199999</v>
      </c>
      <c r="N17" s="23">
        <f>M17-N8+MAX(0,-N7)</f>
        <v>130.39012165999986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2.089235739999996</v>
      </c>
      <c r="V17" s="23">
        <f>U17-V8+MAX(0,-V7)</f>
        <v>18.310971479999996</v>
      </c>
    </row>
    <row r="19">
      <c r="A19" s="14" t="inlineStr">
        <is>
          <t>PV of risked pipeline contribution</t>
        </is>
      </c>
      <c r="B19" s="23">
        <f>SUMPRODUCT(C5:V5,C15:V15)</f>
        <v>810.896056075066</v>
      </c>
    </row>
    <row r="20">
      <c r="A20" s="14" t="inlineStr">
        <is>
          <t>PV of corporate burn</t>
        </is>
      </c>
      <c r="B20" s="23">
        <f>SUMPRODUCT(C6:V6,C15:V15)</f>
        <v>-562.2432587367018</v>
      </c>
    </row>
    <row r="21">
      <c r="A21" s="14" t="inlineStr">
        <is>
          <t>PV of taxes</t>
        </is>
      </c>
      <c r="B21" s="23">
        <f>-SUMPRODUCT(C10:V10,C15:V15)</f>
        <v>-32.48690403052311</v>
      </c>
    </row>
    <row r="22">
      <c r="A22" s="24" t="inlineStr">
        <is>
          <t>Pipeline rNPV (operations)</t>
        </is>
      </c>
      <c r="B22" s="54">
        <f>SUM(C16:V16)</f>
        <v>216.1658933078411</v>
      </c>
    </row>
    <row r="23">
      <c r="A23" s="14" t="inlineStr">
        <is>
          <t>Cash &amp; investments</t>
        </is>
      </c>
      <c r="B23" s="57">
        <f>Main!C7</f>
        <v>156.267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372.4328933078411</v>
      </c>
    </row>
    <row r="26">
      <c r="A26" s="14" t="inlineStr">
        <is>
          <t>Shares (mm)</t>
        </is>
      </c>
      <c r="B26" s="57">
        <f>Main!C4</f>
        <v>103.882937</v>
      </c>
    </row>
    <row r="27">
      <c r="A27" s="24" t="inlineStr">
        <is>
          <t>rNPV / share</t>
        </is>
      </c>
      <c r="B27" s="60">
        <f>B25/B26</f>
        <v>3.5851209453949218</v>
      </c>
    </row>
    <row r="28">
      <c r="A28" s="14" t="inlineStr">
        <is>
          <t>Price</t>
        </is>
      </c>
      <c r="B28" s="61">
        <f>Main!C3</f>
        <v>2.44</v>
      </c>
    </row>
    <row r="29">
      <c r="A29" s="14" t="inlineStr">
        <is>
          <t>Upside</t>
        </is>
      </c>
      <c r="B29" s="62">
        <f>B27/B28-1</f>
        <v>0.4693118628667712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2026-10-21T06:26:50Z</dcterms:modified>
  <cp:lastModifiedBy>Wang, Eric</cp:lastModifiedBy>
</cp:coreProperties>
</file>