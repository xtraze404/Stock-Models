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Larimar Therapeutics, Inc.</t>
        </is>
      </c>
      <c r="C2" s="10" t="n"/>
    </row>
    <row r="3">
      <c r="B3" t="inlineStr">
        <is>
          <t>Price</t>
        </is>
      </c>
      <c r="C3" s="11">
        <f>INDEX([1]Pharma!$F$1:$F$1000,MATCH("LRMR",[1]Pharma!$B$1:$B$1000,0))</f>
        <v>2.44</v>
      </c>
      <c r="F3" s="1" t="n"/>
    </row>
    <row r="4">
      <c r="B4" t="inlineStr">
        <is>
          <t>Shares</t>
        </is>
      </c>
      <c r="C4" s="21" t="n">
        <v>103.882937</v>
      </c>
      <c r="F4" s="1" t="n"/>
    </row>
    <row r="5">
      <c r="B5" t="inlineStr">
        <is>
          <t>Market Cap.</t>
        </is>
      </c>
      <c r="C5" s="13">
        <f>C3*C4</f>
        <v>253.47436628</v>
      </c>
      <c r="F5" s="1" t="n"/>
    </row>
    <row r="6"/>
    <row r="7">
      <c r="B7" t="inlineStr">
        <is>
          <t>Cash</t>
        </is>
      </c>
      <c r="C7" s="21">
        <f>92.687+63.58</f>
        <v>156.267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97.20736628</v>
      </c>
    </row>
    <row r="10"/>
    <row r="11">
      <c r="B11" s="14" t="inlineStr">
        <is>
          <t>Net Cash / Share</t>
        </is>
      </c>
      <c r="C11" s="11">
        <f>(C7-C8)/C4</f>
        <v>1.5042605120030443</v>
      </c>
    </row>
    <row r="12">
      <c r="B12" s="14" t="inlineStr">
        <is>
          <t>Upside</t>
        </is>
      </c>
      <c r="C12" s="15">
        <f>IFERROR(C11/C3-1,"")</f>
        <v>-0.38349979016268676</v>
      </c>
    </row>
    <row r="13">
      <c r="B13" s="14" t="inlineStr">
        <is>
          <t>Cash / Share</t>
        </is>
      </c>
      <c r="C13" s="11">
        <f>IFERROR((C7-C8)/C4,"")</f>
        <v>1.5042605120030443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-155.924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1.0021997896411072</v>
      </c>
    </row>
    <row r="19">
      <c r="B19" s="14" t="inlineStr">
        <is>
          <t>Implied Pipeline Value</t>
        </is>
      </c>
      <c r="C19" s="13">
        <f>C9</f>
        <v>97.20736628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</row>
    <row r="5">
      <c r="A5" s="2" t="inlineStr">
        <is>
          <t>Research &amp; Dev.</t>
        </is>
      </c>
      <c r="B5" s="23" t="n">
        <v>11.544</v>
      </c>
      <c r="C5" s="23" t="n">
        <v>9.561</v>
      </c>
      <c r="D5" s="23" t="n">
        <v>27.391</v>
      </c>
      <c r="E5" s="23" t="n">
        <v>54.618</v>
      </c>
      <c r="F5" s="23" t="n">
        <v>39.936</v>
      </c>
      <c r="G5" s="23" t="n">
        <v>40.839</v>
      </c>
      <c r="H5" s="23" t="n">
        <v>47.929</v>
      </c>
      <c r="I5" s="23" t="n">
        <v>20.79</v>
      </c>
      <c r="J5" s="23" t="n">
        <v>31.407</v>
      </c>
      <c r="K5" s="23" t="n">
        <v>38.396</v>
      </c>
      <c r="L5" s="23" t="n">
        <v>24.25</v>
      </c>
      <c r="M5" s="23" t="n">
        <v>27.67</v>
      </c>
      <c r="N5" s="23" t="n">
        <v>73.27800000000001</v>
      </c>
      <c r="O5" s="23" t="n">
        <v>154.224</v>
      </c>
    </row>
    <row r="6">
      <c r="A6" s="19" t="inlineStr">
        <is>
          <t>SG&amp;A &amp; Other</t>
        </is>
      </c>
      <c r="B6" s="23" t="n">
        <v>2.247</v>
      </c>
      <c r="C6" s="23" t="n">
        <v>4.219</v>
      </c>
      <c r="D6" s="23" t="n">
        <v>8.141</v>
      </c>
      <c r="E6" s="23" t="n">
        <v>19.195</v>
      </c>
      <c r="F6" s="23" t="n">
        <v>18.289</v>
      </c>
      <c r="G6" s="23" t="n">
        <v>12.16</v>
      </c>
      <c r="H6" s="23" t="n">
        <v>13.193</v>
      </c>
      <c r="I6" s="23" t="n">
        <v>2.424</v>
      </c>
      <c r="J6" s="23" t="n">
        <v>11.397</v>
      </c>
      <c r="K6" s="23" t="n">
        <v>12.069</v>
      </c>
      <c r="L6" s="23" t="n">
        <v>12.276</v>
      </c>
      <c r="M6" s="23" t="n">
        <v>14.088</v>
      </c>
      <c r="N6" s="23" t="n">
        <v>17.612</v>
      </c>
      <c r="O6" s="23" t="n">
        <v>18.273</v>
      </c>
    </row>
    <row r="7">
      <c r="A7" s="2" t="inlineStr">
        <is>
          <t>Operating Expense</t>
        </is>
      </c>
      <c r="B7" s="23">
        <f>SUM(B5:B6)</f>
        <v>13.791</v>
      </c>
      <c r="C7" s="23">
        <f>SUM(C5:C6)</f>
        <v>13.780000000000001</v>
      </c>
      <c r="D7" s="23">
        <f>SUM(D5:D6)</f>
        <v>35.532</v>
      </c>
      <c r="E7" s="23">
        <f>SUM(E5:E6)</f>
        <v>73.813</v>
      </c>
      <c r="F7" s="23">
        <f>SUM(F5:F6)</f>
        <v>58.225</v>
      </c>
      <c r="G7" s="23">
        <f>SUM(G5:G6)</f>
        <v>52.998999999999995</v>
      </c>
      <c r="H7" s="23">
        <f>SUM(H5:H6)</f>
        <v>61.122</v>
      </c>
      <c r="I7" s="23">
        <f>SUM(I5:I6)</f>
        <v>23.214</v>
      </c>
      <c r="J7" s="23">
        <f>SUM(J5:J6)</f>
        <v>42.804</v>
      </c>
      <c r="K7" s="23">
        <f>SUM(K5:K6)</f>
        <v>50.465</v>
      </c>
      <c r="L7" s="23">
        <f>SUM(L5:L6)</f>
        <v>36.525999999999996</v>
      </c>
      <c r="M7" s="23">
        <f>SUM(M5:M6)</f>
        <v>41.758</v>
      </c>
      <c r="N7" s="23">
        <f>SUM(N5:N6)</f>
        <v>90.89</v>
      </c>
      <c r="O7" s="23">
        <f>SUM(O5:O6)</f>
        <v>172.49699999999999</v>
      </c>
    </row>
    <row r="8">
      <c r="A8" s="2" t="inlineStr">
        <is>
          <t>Operating Income</t>
        </is>
      </c>
      <c r="B8" s="23">
        <f>B4-B7</f>
        <v>-13.791</v>
      </c>
      <c r="C8" s="23">
        <f>C4-C7</f>
        <v>-13.780000000000001</v>
      </c>
      <c r="D8" s="23">
        <f>D4-D7</f>
        <v>-35.532</v>
      </c>
      <c r="E8" s="23">
        <f>E4-E7</f>
        <v>-73.813</v>
      </c>
      <c r="F8" s="23">
        <f>F4-F7</f>
        <v>-58.225</v>
      </c>
      <c r="G8" s="23">
        <f>G4-G7</f>
        <v>-52.998999999999995</v>
      </c>
      <c r="H8" s="23">
        <f>H4-H7</f>
        <v>-61.122</v>
      </c>
      <c r="I8" s="23">
        <f>I4-I7</f>
        <v>-23.214</v>
      </c>
      <c r="J8" s="23">
        <f>J4-J7</f>
        <v>-42.804</v>
      </c>
      <c r="K8" s="23">
        <f>K4-K7</f>
        <v>-50.465</v>
      </c>
      <c r="L8" s="23">
        <f>L4-L7</f>
        <v>-36.525999999999996</v>
      </c>
      <c r="M8" s="23">
        <f>M4-M7</f>
        <v>-41.758</v>
      </c>
      <c r="N8" s="23">
        <f>N4-N7</f>
        <v>-90.89</v>
      </c>
      <c r="O8" s="23">
        <f>O4-O7</f>
        <v>-172.49699999999999</v>
      </c>
    </row>
    <row r="9">
      <c r="A9" s="19" t="inlineStr">
        <is>
          <t>Interest &amp; Other</t>
        </is>
      </c>
      <c r="B9" s="23" t="n">
        <v>-0.089</v>
      </c>
      <c r="C9" s="23" t="n">
        <v>-0.247</v>
      </c>
      <c r="D9" s="23" t="n">
        <v>-0.946</v>
      </c>
      <c r="E9" s="23" t="n">
        <v>-0.473</v>
      </c>
      <c r="F9" s="23" t="n">
        <v>0.347</v>
      </c>
      <c r="G9" s="23" t="n">
        <v>0.971</v>
      </c>
      <c r="H9" s="23" t="n">
        <v>-0.246</v>
      </c>
      <c r="I9" s="23" t="n">
        <v>0.082</v>
      </c>
      <c r="J9" s="23" t="n">
        <v>0.322</v>
      </c>
      <c r="K9" s="23" t="n">
        <v>-0.171</v>
      </c>
      <c r="L9" s="23" t="n">
        <v>1.171</v>
      </c>
      <c r="M9" s="23" t="n">
        <v>4.809</v>
      </c>
      <c r="N9" s="23" t="n">
        <v>10.286</v>
      </c>
      <c r="O9" s="23" t="n">
        <v>6.824</v>
      </c>
    </row>
    <row r="10">
      <c r="A10" s="2" t="inlineStr">
        <is>
          <t>Pretax</t>
        </is>
      </c>
      <c r="B10" s="23">
        <f>B8+B9</f>
        <v>-13.88</v>
      </c>
      <c r="C10" s="23">
        <f>C8+C9</f>
        <v>-14.027000000000001</v>
      </c>
      <c r="D10" s="23">
        <f>D8+D9</f>
        <v>-36.477999999999994</v>
      </c>
      <c r="E10" s="23">
        <f>E8+E9</f>
        <v>-74.286</v>
      </c>
      <c r="F10" s="23">
        <f>F8+F9</f>
        <v>-57.878</v>
      </c>
      <c r="G10" s="23">
        <f>G8+G9</f>
        <v>-52.028</v>
      </c>
      <c r="H10" s="23">
        <f>H8+H9</f>
        <v>-61.368</v>
      </c>
      <c r="I10" s="23">
        <f>I8+I9</f>
        <v>-23.131999999999998</v>
      </c>
      <c r="J10" s="23">
        <f>J8+J9</f>
        <v>-42.482</v>
      </c>
      <c r="K10" s="23">
        <f>K8+K9</f>
        <v>-50.636</v>
      </c>
      <c r="L10" s="23">
        <f>L8+L9</f>
        <v>-35.355</v>
      </c>
      <c r="M10" s="23">
        <f>M8+M9</f>
        <v>-36.949000000000005</v>
      </c>
      <c r="N10" s="23">
        <f>N8+N9</f>
        <v>-80.604</v>
      </c>
      <c r="O10" s="23">
        <f>O8+O9</f>
        <v>-165.67299999999997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-13.88</v>
      </c>
      <c r="C12" s="23" t="n">
        <v>-14.027</v>
      </c>
      <c r="D12" s="23" t="n">
        <v>-36.478</v>
      </c>
      <c r="E12" s="23" t="n">
        <v>-74.286</v>
      </c>
      <c r="F12" s="23" t="n">
        <v>-57.878</v>
      </c>
      <c r="G12" s="23" t="n">
        <v>-52.028</v>
      </c>
      <c r="H12" s="23" t="n">
        <v>-61.368</v>
      </c>
      <c r="I12" s="23" t="n">
        <v>-23.132</v>
      </c>
      <c r="J12" s="23" t="n">
        <v>-42.482</v>
      </c>
      <c r="K12" s="23" t="n">
        <v>-50.636</v>
      </c>
      <c r="L12" s="23" t="n">
        <v>-35.355</v>
      </c>
      <c r="M12" s="23" t="n">
        <v>-36.949</v>
      </c>
      <c r="N12" s="23" t="n">
        <v>-80.604</v>
      </c>
      <c r="O12" s="23" t="n">
        <v>-165.673</v>
      </c>
    </row>
    <row r="13">
      <c r="A13" s="2" t="inlineStr">
        <is>
          <t>Earnings per Share</t>
        </is>
      </c>
      <c r="B13" s="11">
        <f>IFERROR(B12/B14,0)</f>
        <v>-1.1504351429755493</v>
      </c>
      <c r="C13" s="11">
        <f>IFERROR(C12/C14,0)</f>
        <v>-1.1318486242233519</v>
      </c>
      <c r="D13" s="11">
        <f>IFERROR(D12/D14,0)</f>
        <v>-2.992698334563951</v>
      </c>
      <c r="E13" s="11">
        <f>IFERROR(E12/E14,0)</f>
        <v>-2.776423979668112</v>
      </c>
      <c r="F13" s="11">
        <f>IFERROR(F12/F14,0)</f>
        <v>-2.120228588174958</v>
      </c>
      <c r="G13" s="11">
        <f>IFERROR(G12/G14,0)</f>
        <v>-1.896547953195057</v>
      </c>
      <c r="H13" s="11">
        <f>IFERROR(H12/H14,0)</f>
        <v>-1.9041236153774552</v>
      </c>
      <c r="I13" s="11">
        <f>IFERROR(I12/I14,0)</f>
        <v>-3.797734362173699</v>
      </c>
      <c r="J13" s="11">
        <f>IFERROR(J12/J14,0)</f>
        <v>-3.5750231423041323</v>
      </c>
      <c r="K13" s="11">
        <f>IFERROR(K12/K14,0)</f>
        <v>-2.950128175250524</v>
      </c>
      <c r="L13" s="11">
        <f>IFERROR(L12/L14,0)</f>
        <v>-1.372423430767439</v>
      </c>
      <c r="M13" s="11">
        <f>IFERROR(M12/M14,0)</f>
        <v>-0.8416436983212227</v>
      </c>
      <c r="N13" s="11">
        <f>IFERROR(N12/N14,0)</f>
        <v>-1.3158547734099517</v>
      </c>
      <c r="O13" s="11">
        <f>IFERROR(O12/O14,0)</f>
        <v>0</v>
      </c>
    </row>
    <row r="14">
      <c r="A14" s="2" t="inlineStr">
        <is>
          <t>Shares</t>
        </is>
      </c>
      <c r="B14" s="23" t="n">
        <v>12.065</v>
      </c>
      <c r="C14" s="23" t="n">
        <v>12.393</v>
      </c>
      <c r="D14" s="23" t="n">
        <v>12.189</v>
      </c>
      <c r="E14" s="23" t="n">
        <v>26.756</v>
      </c>
      <c r="F14" s="23" t="n">
        <v>27.298</v>
      </c>
      <c r="G14" s="23" t="n">
        <v>27.433</v>
      </c>
      <c r="H14" s="23" t="n">
        <v>32.229</v>
      </c>
      <c r="I14" s="23" t="n">
        <v>6.091</v>
      </c>
      <c r="J14" s="23" t="n">
        <v>11.883</v>
      </c>
      <c r="K14" s="23" t="n">
        <v>17.164</v>
      </c>
      <c r="L14" s="23" t="n">
        <v>25.761</v>
      </c>
      <c r="M14" s="23" t="n">
        <v>43.901</v>
      </c>
      <c r="N14" s="23" t="n">
        <v>61.256</v>
      </c>
      <c r="O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2026-10-21T01:05:36Z</dcterms:modified>
  <cp:lastModifiedBy>Wang, Eric</cp:lastModifiedBy>
</cp:coreProperties>
</file>