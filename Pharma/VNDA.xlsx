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/Documents/Stock Models/Pharma/"/>
    </mc:Choice>
  </mc:AlternateContent>
  <xr:revisionPtr revIDLastSave="0" documentId="13_ncr:1_{12893E99-3E58-BF45-B953-60FF10061A58}" xr6:coauthVersionLast="47" xr6:coauthVersionMax="47" xr10:uidLastSave="{00000000-0000-0000-0000-000000000000}"/>
  <bookViews>
    <workbookView xWindow="680" yWindow="660" windowWidth="28040" windowHeight="17160" xr2:uid="{00000000-000D-0000-FFFF-FFFF00000000}"/>
  </bookViews>
  <sheets>
    <sheet name="Main" sheetId="1" r:id="rId1"/>
    <sheet name="Yearly Model" sheetId="2" r:id="rId2"/>
    <sheet name="Quarterly Model" sheetId="3" r:id="rId3"/>
    <sheet name="Assumptions" sheetId="4" r:id="rId4"/>
    <sheet name="Pipeline" sheetId="5" r:id="rId5"/>
    <sheet name="NPV" sheetId="6" r:id="rId6"/>
    <sheet name="Options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7" l="1"/>
  <c r="C53" i="7"/>
  <c r="B51" i="7"/>
  <c r="E44" i="7"/>
  <c r="D44" i="7"/>
  <c r="C44" i="7"/>
  <c r="D43" i="7"/>
  <c r="E43" i="7" s="1"/>
  <c r="C43" i="7"/>
  <c r="D42" i="7"/>
  <c r="E42" i="7" s="1"/>
  <c r="C42" i="7"/>
  <c r="E41" i="7"/>
  <c r="D41" i="7"/>
  <c r="C41" i="7"/>
  <c r="H37" i="7"/>
  <c r="D37" i="7"/>
  <c r="H36" i="7"/>
  <c r="D36" i="7"/>
  <c r="H35" i="7"/>
  <c r="D35" i="7"/>
  <c r="H34" i="7"/>
  <c r="D34" i="7"/>
  <c r="H33" i="7"/>
  <c r="D33" i="7"/>
  <c r="H32" i="7"/>
  <c r="D32" i="7"/>
  <c r="H31" i="7"/>
  <c r="D31" i="7"/>
  <c r="H30" i="7"/>
  <c r="D30" i="7"/>
  <c r="B16" i="7"/>
  <c r="B15" i="7"/>
  <c r="B7" i="7"/>
  <c r="B8" i="7" s="1"/>
  <c r="B5" i="7"/>
  <c r="C20" i="6"/>
  <c r="AA12" i="6"/>
  <c r="AA13" i="6" s="1"/>
  <c r="Z12" i="6"/>
  <c r="Z13" i="6" s="1"/>
  <c r="Y12" i="6"/>
  <c r="Y13" i="6" s="1"/>
  <c r="X12" i="6"/>
  <c r="X13" i="6" s="1"/>
  <c r="W12" i="6"/>
  <c r="W13" i="6" s="1"/>
  <c r="V12" i="6"/>
  <c r="V13" i="6" s="1"/>
  <c r="U12" i="6"/>
  <c r="U13" i="6" s="1"/>
  <c r="T12" i="6"/>
  <c r="T13" i="6" s="1"/>
  <c r="S12" i="6"/>
  <c r="S13" i="6" s="1"/>
  <c r="R12" i="6"/>
  <c r="R13" i="6" s="1"/>
  <c r="Q12" i="6"/>
  <c r="Q13" i="6" s="1"/>
  <c r="P12" i="6"/>
  <c r="P13" i="6" s="1"/>
  <c r="O12" i="6"/>
  <c r="O13" i="6" s="1"/>
  <c r="N12" i="6"/>
  <c r="N13" i="6" s="1"/>
  <c r="M12" i="6"/>
  <c r="M13" i="6" s="1"/>
  <c r="L12" i="6"/>
  <c r="L13" i="6" s="1"/>
  <c r="K12" i="6"/>
  <c r="K13" i="6" s="1"/>
  <c r="J12" i="6"/>
  <c r="J13" i="6" s="1"/>
  <c r="I12" i="6"/>
  <c r="I13" i="6" s="1"/>
  <c r="H12" i="6"/>
  <c r="H13" i="6" s="1"/>
  <c r="G12" i="6"/>
  <c r="G13" i="6" s="1"/>
  <c r="F12" i="6"/>
  <c r="F13" i="6" s="1"/>
  <c r="E12" i="6"/>
  <c r="E13" i="6" s="1"/>
  <c r="D12" i="6"/>
  <c r="D13" i="6" s="1"/>
  <c r="C12" i="6"/>
  <c r="C13" i="6" s="1"/>
  <c r="C8" i="6"/>
  <c r="B4" i="6"/>
  <c r="Z88" i="5"/>
  <c r="Z94" i="5" s="1"/>
  <c r="Y88" i="5"/>
  <c r="Y94" i="5" s="1"/>
  <c r="X88" i="5"/>
  <c r="X94" i="5" s="1"/>
  <c r="W88" i="5"/>
  <c r="W94" i="5" s="1"/>
  <c r="V88" i="5"/>
  <c r="V94" i="5" s="1"/>
  <c r="U88" i="5"/>
  <c r="U94" i="5" s="1"/>
  <c r="T88" i="5"/>
  <c r="T94" i="5" s="1"/>
  <c r="S88" i="5"/>
  <c r="S94" i="5" s="1"/>
  <c r="R88" i="5"/>
  <c r="R94" i="5" s="1"/>
  <c r="Q88" i="5"/>
  <c r="Q94" i="5" s="1"/>
  <c r="P88" i="5"/>
  <c r="P94" i="5" s="1"/>
  <c r="O88" i="5"/>
  <c r="O94" i="5" s="1"/>
  <c r="N88" i="5"/>
  <c r="N94" i="5" s="1"/>
  <c r="M88" i="5"/>
  <c r="M94" i="5" s="1"/>
  <c r="L88" i="5"/>
  <c r="L94" i="5" s="1"/>
  <c r="K88" i="5"/>
  <c r="K94" i="5" s="1"/>
  <c r="J88" i="5"/>
  <c r="J94" i="5" s="1"/>
  <c r="I88" i="5"/>
  <c r="I94" i="5" s="1"/>
  <c r="H88" i="5"/>
  <c r="H94" i="5" s="1"/>
  <c r="G88" i="5"/>
  <c r="G94" i="5" s="1"/>
  <c r="F88" i="5"/>
  <c r="F94" i="5" s="1"/>
  <c r="E88" i="5"/>
  <c r="E94" i="5" s="1"/>
  <c r="D88" i="5"/>
  <c r="D94" i="5" s="1"/>
  <c r="C88" i="5"/>
  <c r="C94" i="5" s="1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169" i="4"/>
  <c r="B162" i="4"/>
  <c r="B161" i="4"/>
  <c r="B160" i="4"/>
  <c r="B153" i="4"/>
  <c r="B146" i="4"/>
  <c r="B145" i="4"/>
  <c r="B144" i="4"/>
  <c r="B137" i="4"/>
  <c r="B130" i="4"/>
  <c r="B129" i="4"/>
  <c r="B128" i="4"/>
  <c r="B121" i="4"/>
  <c r="B113" i="4"/>
  <c r="B112" i="4"/>
  <c r="B107" i="4"/>
  <c r="B101" i="4"/>
  <c r="B100" i="4"/>
  <c r="B94" i="4"/>
  <c r="B88" i="4"/>
  <c r="B87" i="4"/>
  <c r="B82" i="4"/>
  <c r="B81" i="4"/>
  <c r="B75" i="4"/>
  <c r="B74" i="4"/>
  <c r="B68" i="4"/>
  <c r="B62" i="4"/>
  <c r="B61" i="4"/>
  <c r="B55" i="4"/>
  <c r="B49" i="4"/>
  <c r="B48" i="4"/>
  <c r="B36" i="4"/>
  <c r="B35" i="4"/>
  <c r="B34" i="4"/>
  <c r="B33" i="4"/>
  <c r="B32" i="4"/>
  <c r="B30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C4" i="4"/>
  <c r="B3" i="6" s="1"/>
  <c r="I16" i="3"/>
  <c r="H16" i="3"/>
  <c r="G16" i="3"/>
  <c r="F16" i="3"/>
  <c r="I7" i="3"/>
  <c r="H7" i="3"/>
  <c r="G7" i="3"/>
  <c r="F7" i="3"/>
  <c r="E7" i="3"/>
  <c r="D7" i="3"/>
  <c r="C7" i="3"/>
  <c r="B7" i="3"/>
  <c r="G4" i="3"/>
  <c r="F4" i="3"/>
  <c r="E4" i="3"/>
  <c r="D4" i="3"/>
  <c r="C4" i="3"/>
  <c r="B4" i="3"/>
  <c r="I3" i="3"/>
  <c r="I4" i="3" s="1"/>
  <c r="H3" i="3"/>
  <c r="H4" i="3" s="1"/>
  <c r="F21" i="2"/>
  <c r="F16" i="2"/>
  <c r="E16" i="2"/>
  <c r="D16" i="2"/>
  <c r="C16" i="2"/>
  <c r="G14" i="2"/>
  <c r="F13" i="2"/>
  <c r="E13" i="2"/>
  <c r="D13" i="2"/>
  <c r="C13" i="2"/>
  <c r="B13" i="2"/>
  <c r="G11" i="2"/>
  <c r="G9" i="2"/>
  <c r="F7" i="2"/>
  <c r="E7" i="2"/>
  <c r="D7" i="2"/>
  <c r="C7" i="2"/>
  <c r="B7" i="2"/>
  <c r="G6" i="2"/>
  <c r="G5" i="2"/>
  <c r="G7" i="2" s="1"/>
  <c r="F4" i="2"/>
  <c r="E4" i="2"/>
  <c r="D4" i="2"/>
  <c r="C4" i="2"/>
  <c r="B4" i="2"/>
  <c r="G3" i="2"/>
  <c r="G2" i="2"/>
  <c r="C19" i="1"/>
  <c r="C18" i="1"/>
  <c r="C17" i="1"/>
  <c r="C14" i="1"/>
  <c r="C7" i="1"/>
  <c r="C4" i="1"/>
  <c r="C3" i="1"/>
  <c r="B37" i="4" l="1"/>
  <c r="D62" i="5"/>
  <c r="D63" i="5" s="1"/>
  <c r="D64" i="5" s="1"/>
  <c r="C62" i="5"/>
  <c r="C63" i="5" s="1"/>
  <c r="C64" i="5" s="1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N63" i="5" s="1"/>
  <c r="M62" i="5"/>
  <c r="M63" i="5" s="1"/>
  <c r="M64" i="5" s="1"/>
  <c r="L62" i="5"/>
  <c r="L63" i="5" s="1"/>
  <c r="L64" i="5" s="1"/>
  <c r="K62" i="5"/>
  <c r="K63" i="5" s="1"/>
  <c r="K64" i="5" s="1"/>
  <c r="J62" i="5"/>
  <c r="J63" i="5" s="1"/>
  <c r="J64" i="5" s="1"/>
  <c r="I62" i="5"/>
  <c r="I63" i="5" s="1"/>
  <c r="I64" i="5" s="1"/>
  <c r="H62" i="5"/>
  <c r="H63" i="5" s="1"/>
  <c r="H64" i="5" s="1"/>
  <c r="G62" i="5"/>
  <c r="G63" i="5" s="1"/>
  <c r="G64" i="5" s="1"/>
  <c r="F62" i="5"/>
  <c r="F63" i="5" s="1"/>
  <c r="F64" i="5" s="1"/>
  <c r="E62" i="5"/>
  <c r="E63" i="5" s="1"/>
  <c r="E64" i="5" s="1"/>
  <c r="D50" i="5"/>
  <c r="E50" i="5"/>
  <c r="Z52" i="5"/>
  <c r="Y52" i="5"/>
  <c r="X52" i="5"/>
  <c r="W52" i="5"/>
  <c r="V52" i="5"/>
  <c r="U52" i="5"/>
  <c r="T52" i="5"/>
  <c r="S52" i="5"/>
  <c r="R52" i="5"/>
  <c r="Q52" i="5"/>
  <c r="P52" i="5"/>
  <c r="O52" i="5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N52" i="5"/>
  <c r="N53" i="5" s="1"/>
  <c r="M52" i="5"/>
  <c r="M53" i="5" s="1"/>
  <c r="L52" i="5"/>
  <c r="L53" i="5" s="1"/>
  <c r="K52" i="5"/>
  <c r="K53" i="5" s="1"/>
  <c r="J52" i="5"/>
  <c r="J53" i="5" s="1"/>
  <c r="I52" i="5"/>
  <c r="I53" i="5" s="1"/>
  <c r="H52" i="5"/>
  <c r="H53" i="5" s="1"/>
  <c r="G52" i="5"/>
  <c r="G53" i="5" s="1"/>
  <c r="F52" i="5"/>
  <c r="F53" i="5" s="1"/>
  <c r="E52" i="5"/>
  <c r="E53" i="5" s="1"/>
  <c r="D52" i="5"/>
  <c r="D53" i="5" s="1"/>
  <c r="C52" i="5"/>
  <c r="C53" i="5" s="1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C50" i="5"/>
  <c r="C42" i="5"/>
  <c r="N42" i="5"/>
  <c r="N45" i="5" s="1"/>
  <c r="M42" i="5"/>
  <c r="M45" i="5" s="1"/>
  <c r="L42" i="5"/>
  <c r="L45" i="5" s="1"/>
  <c r="K42" i="5"/>
  <c r="K45" i="5" s="1"/>
  <c r="J42" i="5"/>
  <c r="J45" i="5" s="1"/>
  <c r="I42" i="5"/>
  <c r="I45" i="5" s="1"/>
  <c r="H42" i="5"/>
  <c r="H45" i="5" s="1"/>
  <c r="G42" i="5"/>
  <c r="G45" i="5" s="1"/>
  <c r="F42" i="5"/>
  <c r="E42" i="5"/>
  <c r="D42" i="5"/>
  <c r="H180" i="4"/>
  <c r="B5" i="6"/>
  <c r="H44" i="7"/>
  <c r="I44" i="7"/>
  <c r="J44" i="7" s="1"/>
  <c r="F44" i="7"/>
  <c r="G44" i="7" s="1"/>
  <c r="H43" i="7"/>
  <c r="I43" i="7"/>
  <c r="J43" i="7" s="1"/>
  <c r="F43" i="7"/>
  <c r="G43" i="7" s="1"/>
  <c r="G42" i="7"/>
  <c r="H42" i="7"/>
  <c r="I42" i="7"/>
  <c r="J42" i="7" s="1"/>
  <c r="F42" i="7"/>
  <c r="H41" i="7"/>
  <c r="I41" i="7"/>
  <c r="J41" i="7" s="1"/>
  <c r="F41" i="7"/>
  <c r="G41" i="7" s="1"/>
  <c r="W14" i="6"/>
  <c r="C14" i="6"/>
  <c r="Q14" i="6"/>
  <c r="O14" i="6"/>
  <c r="Z14" i="6"/>
  <c r="V14" i="6"/>
  <c r="S14" i="6"/>
  <c r="N14" i="6"/>
  <c r="H14" i="6"/>
  <c r="K14" i="6"/>
  <c r="M14" i="6"/>
  <c r="P14" i="6"/>
  <c r="R14" i="6"/>
  <c r="U14" i="6"/>
  <c r="X14" i="6"/>
  <c r="Y14" i="6"/>
  <c r="L14" i="6"/>
  <c r="I14" i="6"/>
  <c r="F14" i="6"/>
  <c r="D14" i="6"/>
  <c r="J14" i="6"/>
  <c r="G14" i="6"/>
  <c r="AA14" i="6"/>
  <c r="E14" i="6"/>
  <c r="T14" i="6"/>
  <c r="O63" i="5"/>
  <c r="N64" i="5"/>
  <c r="M65" i="5"/>
  <c r="M66" i="5"/>
  <c r="L65" i="5"/>
  <c r="L66" i="5"/>
  <c r="K65" i="5"/>
  <c r="K66" i="5"/>
  <c r="J65" i="5"/>
  <c r="J66" i="5"/>
  <c r="I65" i="5"/>
  <c r="I66" i="5"/>
  <c r="H65" i="5"/>
  <c r="H66" i="5"/>
  <c r="G65" i="5"/>
  <c r="G66" i="5"/>
  <c r="F65" i="5"/>
  <c r="F66" i="5"/>
  <c r="E65" i="5"/>
  <c r="E66" i="5"/>
  <c r="D65" i="5"/>
  <c r="D66" i="5"/>
  <c r="C65" i="5"/>
  <c r="C66" i="5"/>
  <c r="O51" i="5"/>
  <c r="O57" i="5" s="1"/>
  <c r="N51" i="5"/>
  <c r="M51" i="5"/>
  <c r="L51" i="5"/>
  <c r="K51" i="5"/>
  <c r="J51" i="5"/>
  <c r="I51" i="5"/>
  <c r="H51" i="5"/>
  <c r="G51" i="5"/>
  <c r="F51" i="5"/>
  <c r="E51" i="5"/>
  <c r="D51" i="5"/>
  <c r="C51" i="5"/>
  <c r="N43" i="5"/>
  <c r="N44" i="5"/>
  <c r="O42" i="5"/>
  <c r="M44" i="5"/>
  <c r="M43" i="5"/>
  <c r="M47" i="5" s="1"/>
  <c r="L44" i="5"/>
  <c r="L43" i="5"/>
  <c r="L47" i="5" s="1"/>
  <c r="K43" i="5"/>
  <c r="K44" i="5"/>
  <c r="J43" i="5"/>
  <c r="J44" i="5"/>
  <c r="I44" i="5"/>
  <c r="I43" i="5"/>
  <c r="I47" i="5" s="1"/>
  <c r="H43" i="5"/>
  <c r="H44" i="5"/>
  <c r="G43" i="5"/>
  <c r="G44" i="5"/>
  <c r="F43" i="5"/>
  <c r="G82" i="5"/>
  <c r="G83" i="5" s="1"/>
  <c r="F82" i="5"/>
  <c r="F83" i="5" s="1"/>
  <c r="Z82" i="5"/>
  <c r="Y82" i="5"/>
  <c r="X82" i="5"/>
  <c r="W82" i="5"/>
  <c r="V82" i="5"/>
  <c r="U82" i="5"/>
  <c r="T82" i="5"/>
  <c r="S82" i="5"/>
  <c r="R82" i="5"/>
  <c r="C82" i="5"/>
  <c r="D82" i="5"/>
  <c r="D83" i="5" s="1"/>
  <c r="E82" i="5"/>
  <c r="E83" i="5" s="1"/>
  <c r="H82" i="5"/>
  <c r="H83" i="5" s="1"/>
  <c r="I82" i="5"/>
  <c r="I83" i="5" s="1"/>
  <c r="J82" i="5"/>
  <c r="J83" i="5" s="1"/>
  <c r="K82" i="5"/>
  <c r="K83" i="5" s="1"/>
  <c r="Q82" i="5"/>
  <c r="P82" i="5"/>
  <c r="P83" i="5" s="1"/>
  <c r="Q83" i="5" s="1"/>
  <c r="R83" i="5" s="1"/>
  <c r="S83" i="5" s="1"/>
  <c r="T83" i="5" s="1"/>
  <c r="U83" i="5" s="1"/>
  <c r="V83" i="5" s="1"/>
  <c r="W83" i="5" s="1"/>
  <c r="O82" i="5"/>
  <c r="O83" i="5" s="1"/>
  <c r="N82" i="5"/>
  <c r="N83" i="5" s="1"/>
  <c r="M82" i="5"/>
  <c r="M83" i="5" s="1"/>
  <c r="L82" i="5"/>
  <c r="L83" i="5" s="1"/>
  <c r="C72" i="5"/>
  <c r="S72" i="5"/>
  <c r="Z72" i="5"/>
  <c r="Y72" i="5"/>
  <c r="X72" i="5"/>
  <c r="W72" i="5"/>
  <c r="V72" i="5"/>
  <c r="U72" i="5"/>
  <c r="F72" i="5"/>
  <c r="G72" i="5"/>
  <c r="H72" i="5"/>
  <c r="D72" i="5"/>
  <c r="T72" i="5"/>
  <c r="E72" i="5"/>
  <c r="I72" i="5"/>
  <c r="J72" i="5"/>
  <c r="K72" i="5"/>
  <c r="L72" i="5"/>
  <c r="M72" i="5"/>
  <c r="N72" i="5"/>
  <c r="O72" i="5"/>
  <c r="P72" i="5"/>
  <c r="Q72" i="5"/>
  <c r="R72" i="5"/>
  <c r="C33" i="5"/>
  <c r="H33" i="5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G33" i="5"/>
  <c r="F33" i="5"/>
  <c r="E33" i="5"/>
  <c r="D33" i="5"/>
  <c r="C24" i="5"/>
  <c r="D24" i="5" s="1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P15" i="5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F6" i="5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E6" i="5"/>
  <c r="D6" i="5"/>
  <c r="C6" i="5"/>
  <c r="C67" i="5"/>
  <c r="D67" i="5"/>
  <c r="E67" i="5"/>
  <c r="F67" i="5"/>
  <c r="G67" i="5"/>
  <c r="H67" i="5"/>
  <c r="I67" i="5"/>
  <c r="J67" i="5"/>
  <c r="K67" i="5"/>
  <c r="L67" i="5"/>
  <c r="M67" i="5"/>
  <c r="N67" i="5"/>
  <c r="B38" i="4"/>
  <c r="B114" i="4"/>
  <c r="G180" i="4"/>
  <c r="B187" i="4"/>
  <c r="B17" i="7"/>
  <c r="B6" i="7"/>
  <c r="C16" i="1"/>
  <c r="G17" i="3"/>
  <c r="G8" i="3"/>
  <c r="G10" i="3" s="1"/>
  <c r="G12" i="3" s="1"/>
  <c r="G13" i="3" s="1"/>
  <c r="F8" i="3"/>
  <c r="F10" i="3" s="1"/>
  <c r="F12" i="3" s="1"/>
  <c r="F13" i="3" s="1"/>
  <c r="F17" i="3"/>
  <c r="E17" i="3"/>
  <c r="E8" i="3"/>
  <c r="E10" i="3" s="1"/>
  <c r="E12" i="3" s="1"/>
  <c r="E13" i="3" s="1"/>
  <c r="D17" i="3"/>
  <c r="D8" i="3"/>
  <c r="D10" i="3" s="1"/>
  <c r="D12" i="3" s="1"/>
  <c r="D13" i="3" s="1"/>
  <c r="C8" i="3"/>
  <c r="C10" i="3" s="1"/>
  <c r="C12" i="3" s="1"/>
  <c r="C13" i="3" s="1"/>
  <c r="C17" i="3"/>
  <c r="B8" i="3"/>
  <c r="B10" i="3" s="1"/>
  <c r="B12" i="3" s="1"/>
  <c r="B13" i="3" s="1"/>
  <c r="B17" i="3"/>
  <c r="I8" i="3"/>
  <c r="I10" i="3" s="1"/>
  <c r="I12" i="3" s="1"/>
  <c r="I13" i="3" s="1"/>
  <c r="I17" i="3"/>
  <c r="H8" i="3"/>
  <c r="H17" i="3"/>
  <c r="F8" i="2"/>
  <c r="F10" i="2" s="1"/>
  <c r="F17" i="2"/>
  <c r="E8" i="2"/>
  <c r="E10" i="2" s="1"/>
  <c r="E17" i="2"/>
  <c r="D8" i="2"/>
  <c r="D10" i="2" s="1"/>
  <c r="D17" i="2"/>
  <c r="C17" i="2"/>
  <c r="C8" i="2"/>
  <c r="C10" i="2" s="1"/>
  <c r="B17" i="2"/>
  <c r="B8" i="2"/>
  <c r="B10" i="2" s="1"/>
  <c r="G16" i="2"/>
  <c r="G4" i="2"/>
  <c r="C13" i="1"/>
  <c r="C19" i="6"/>
  <c r="Z14" i="2"/>
  <c r="AA14" i="2"/>
  <c r="AB14" i="2"/>
  <c r="C22" i="6"/>
  <c r="AD14" i="2"/>
  <c r="AE14" i="2"/>
  <c r="AC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C44" i="6"/>
  <c r="C5" i="1"/>
  <c r="O67" i="5" l="1"/>
  <c r="C83" i="5"/>
  <c r="C84" i="5" s="1"/>
  <c r="C87" i="5"/>
  <c r="C45" i="5"/>
  <c r="C44" i="5"/>
  <c r="C43" i="5"/>
  <c r="C47" i="5" s="1"/>
  <c r="F45" i="5"/>
  <c r="F44" i="5"/>
  <c r="F47" i="5" s="1"/>
  <c r="E45" i="5"/>
  <c r="E43" i="5"/>
  <c r="E44" i="5"/>
  <c r="D45" i="5"/>
  <c r="D44" i="5"/>
  <c r="D43" i="5"/>
  <c r="D47" i="5" s="1"/>
  <c r="N54" i="5"/>
  <c r="N57" i="5"/>
  <c r="M54" i="5"/>
  <c r="M57" i="5"/>
  <c r="G54" i="5"/>
  <c r="G57" i="5"/>
  <c r="F54" i="5"/>
  <c r="F57" i="5"/>
  <c r="D49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B49" i="7"/>
  <c r="C49" i="7"/>
  <c r="E49" i="7"/>
  <c r="B63" i="7"/>
  <c r="C63" i="7"/>
  <c r="E63" i="7"/>
  <c r="B64" i="7"/>
  <c r="C64" i="7"/>
  <c r="E64" i="7"/>
  <c r="B65" i="7"/>
  <c r="C65" i="7"/>
  <c r="E65" i="7"/>
  <c r="B66" i="7"/>
  <c r="C66" i="7"/>
  <c r="E66" i="7"/>
  <c r="B67" i="7"/>
  <c r="C67" i="7"/>
  <c r="E67" i="7"/>
  <c r="B68" i="7"/>
  <c r="C68" i="7"/>
  <c r="E68" i="7"/>
  <c r="B69" i="7"/>
  <c r="C69" i="7"/>
  <c r="E69" i="7"/>
  <c r="B70" i="7"/>
  <c r="C70" i="7"/>
  <c r="E70" i="7"/>
  <c r="B71" i="7"/>
  <c r="C71" i="7"/>
  <c r="E71" i="7"/>
  <c r="B72" i="7"/>
  <c r="C72" i="7"/>
  <c r="E72" i="7"/>
  <c r="B73" i="7"/>
  <c r="C73" i="7"/>
  <c r="E73" i="7"/>
  <c r="B74" i="7"/>
  <c r="C74" i="7"/>
  <c r="E74" i="7"/>
  <c r="B75" i="7"/>
  <c r="C75" i="7"/>
  <c r="E75" i="7"/>
  <c r="B76" i="7"/>
  <c r="C76" i="7"/>
  <c r="E76" i="7"/>
  <c r="B77" i="7"/>
  <c r="C77" i="7"/>
  <c r="E77" i="7"/>
  <c r="B78" i="7"/>
  <c r="C78" i="7"/>
  <c r="E78" i="7"/>
  <c r="B79" i="7"/>
  <c r="C79" i="7"/>
  <c r="E79" i="7"/>
  <c r="B80" i="7"/>
  <c r="C80" i="7"/>
  <c r="E80" i="7"/>
  <c r="B81" i="7"/>
  <c r="C81" i="7"/>
  <c r="E81" i="7"/>
  <c r="B82" i="7"/>
  <c r="C82" i="7"/>
  <c r="E82" i="7"/>
  <c r="B83" i="7"/>
  <c r="C83" i="7"/>
  <c r="E83" i="7"/>
  <c r="B84" i="7"/>
  <c r="C84" i="7"/>
  <c r="E84" i="7"/>
  <c r="B85" i="7"/>
  <c r="C85" i="7"/>
  <c r="E85" i="7"/>
  <c r="B86" i="7"/>
  <c r="C86" i="7"/>
  <c r="E86" i="7"/>
  <c r="B87" i="7"/>
  <c r="C87" i="7"/>
  <c r="E87" i="7"/>
  <c r="B88" i="7"/>
  <c r="C88" i="7"/>
  <c r="E88" i="7"/>
  <c r="B89" i="7"/>
  <c r="C89" i="7"/>
  <c r="E89" i="7"/>
  <c r="B90" i="7"/>
  <c r="C90" i="7"/>
  <c r="E90" i="7"/>
  <c r="B91" i="7"/>
  <c r="C91" i="7"/>
  <c r="E91" i="7"/>
  <c r="B92" i="7"/>
  <c r="C92" i="7"/>
  <c r="E92" i="7"/>
  <c r="B93" i="7"/>
  <c r="C93" i="7"/>
  <c r="E93" i="7"/>
  <c r="B26" i="7"/>
  <c r="P63" i="5"/>
  <c r="O64" i="5"/>
  <c r="N65" i="5"/>
  <c r="N66" i="5"/>
  <c r="P51" i="5"/>
  <c r="O54" i="5"/>
  <c r="O45" i="5"/>
  <c r="P42" i="5"/>
  <c r="O43" i="5"/>
  <c r="O44" i="5"/>
  <c r="C36" i="5"/>
  <c r="C34" i="5"/>
  <c r="C35" i="5"/>
  <c r="R36" i="5"/>
  <c r="R34" i="5"/>
  <c r="R35" i="5"/>
  <c r="Q36" i="5"/>
  <c r="Q34" i="5"/>
  <c r="Q35" i="5"/>
  <c r="P36" i="5"/>
  <c r="P34" i="5"/>
  <c r="P35" i="5"/>
  <c r="O36" i="5"/>
  <c r="O34" i="5"/>
  <c r="O35" i="5"/>
  <c r="N36" i="5"/>
  <c r="N34" i="5"/>
  <c r="N35" i="5"/>
  <c r="M36" i="5"/>
  <c r="M34" i="5"/>
  <c r="M35" i="5"/>
  <c r="L36" i="5"/>
  <c r="L34" i="5"/>
  <c r="L35" i="5"/>
  <c r="S36" i="5"/>
  <c r="S34" i="5"/>
  <c r="S35" i="5"/>
  <c r="T36" i="5"/>
  <c r="T34" i="5"/>
  <c r="T35" i="5"/>
  <c r="U36" i="5"/>
  <c r="U34" i="5"/>
  <c r="U35" i="5"/>
  <c r="V36" i="5"/>
  <c r="V34" i="5"/>
  <c r="V35" i="5"/>
  <c r="K36" i="5"/>
  <c r="K34" i="5"/>
  <c r="K35" i="5"/>
  <c r="W36" i="5"/>
  <c r="W34" i="5"/>
  <c r="W35" i="5"/>
  <c r="X36" i="5"/>
  <c r="X34" i="5"/>
  <c r="X35" i="5"/>
  <c r="Y36" i="5"/>
  <c r="Y34" i="5"/>
  <c r="Y35" i="5"/>
  <c r="Z36" i="5"/>
  <c r="Z34" i="5"/>
  <c r="Z35" i="5"/>
  <c r="J36" i="5"/>
  <c r="J34" i="5"/>
  <c r="J35" i="5"/>
  <c r="I36" i="5"/>
  <c r="I34" i="5"/>
  <c r="I35" i="5"/>
  <c r="H36" i="5"/>
  <c r="H34" i="5"/>
  <c r="H35" i="5"/>
  <c r="G36" i="5"/>
  <c r="G34" i="5"/>
  <c r="G35" i="5"/>
  <c r="F36" i="5"/>
  <c r="F34" i="5"/>
  <c r="F35" i="5"/>
  <c r="E36" i="5"/>
  <c r="E34" i="5"/>
  <c r="E35" i="5"/>
  <c r="D36" i="5"/>
  <c r="D34" i="5"/>
  <c r="D35" i="5"/>
  <c r="O27" i="5"/>
  <c r="O25" i="5"/>
  <c r="O26" i="5"/>
  <c r="Z27" i="5"/>
  <c r="Z25" i="5"/>
  <c r="Z26" i="5"/>
  <c r="Y27" i="5"/>
  <c r="Y25" i="5"/>
  <c r="Y26" i="5"/>
  <c r="X27" i="5"/>
  <c r="X25" i="5"/>
  <c r="X26" i="5"/>
  <c r="W27" i="5"/>
  <c r="W25" i="5"/>
  <c r="W26" i="5"/>
  <c r="V27" i="5"/>
  <c r="V25" i="5"/>
  <c r="V26" i="5"/>
  <c r="U27" i="5"/>
  <c r="U25" i="5"/>
  <c r="U26" i="5"/>
  <c r="T27" i="5"/>
  <c r="T25" i="5"/>
  <c r="T26" i="5"/>
  <c r="S27" i="5"/>
  <c r="S25" i="5"/>
  <c r="S26" i="5"/>
  <c r="R27" i="5"/>
  <c r="R25" i="5"/>
  <c r="R26" i="5"/>
  <c r="Q27" i="5"/>
  <c r="Q25" i="5"/>
  <c r="Q26" i="5"/>
  <c r="P27" i="5"/>
  <c r="P25" i="5"/>
  <c r="P26" i="5"/>
  <c r="N27" i="5"/>
  <c r="N25" i="5"/>
  <c r="N26" i="5"/>
  <c r="M27" i="5"/>
  <c r="M25" i="5"/>
  <c r="M26" i="5"/>
  <c r="L27" i="5"/>
  <c r="L25" i="5"/>
  <c r="L26" i="5"/>
  <c r="K27" i="5"/>
  <c r="K25" i="5"/>
  <c r="K26" i="5"/>
  <c r="J27" i="5"/>
  <c r="J25" i="5"/>
  <c r="J26" i="5"/>
  <c r="I27" i="5"/>
  <c r="I25" i="5"/>
  <c r="I26" i="5"/>
  <c r="H27" i="5"/>
  <c r="H25" i="5"/>
  <c r="H26" i="5"/>
  <c r="G27" i="5"/>
  <c r="G25" i="5"/>
  <c r="G26" i="5"/>
  <c r="F27" i="5"/>
  <c r="F25" i="5"/>
  <c r="F26" i="5"/>
  <c r="E27" i="5"/>
  <c r="E25" i="5"/>
  <c r="E26" i="5"/>
  <c r="D27" i="5"/>
  <c r="D25" i="5"/>
  <c r="D26" i="5"/>
  <c r="C27" i="5"/>
  <c r="C25" i="5"/>
  <c r="C26" i="5"/>
  <c r="V18" i="5"/>
  <c r="V16" i="5"/>
  <c r="V17" i="5"/>
  <c r="U18" i="5"/>
  <c r="U16" i="5"/>
  <c r="U17" i="5"/>
  <c r="Z18" i="5"/>
  <c r="Z16" i="5"/>
  <c r="Z17" i="5"/>
  <c r="Y18" i="5"/>
  <c r="Y16" i="5"/>
  <c r="Y17" i="5"/>
  <c r="X18" i="5"/>
  <c r="X16" i="5"/>
  <c r="X17" i="5"/>
  <c r="T18" i="5"/>
  <c r="T16" i="5"/>
  <c r="T17" i="5"/>
  <c r="S18" i="5"/>
  <c r="S16" i="5"/>
  <c r="S17" i="5"/>
  <c r="R18" i="5"/>
  <c r="R16" i="5"/>
  <c r="R17" i="5"/>
  <c r="Q18" i="5"/>
  <c r="Q16" i="5"/>
  <c r="Q17" i="5"/>
  <c r="P18" i="5"/>
  <c r="P16" i="5"/>
  <c r="P17" i="5"/>
  <c r="O18" i="5"/>
  <c r="O16" i="5"/>
  <c r="O17" i="5"/>
  <c r="N18" i="5"/>
  <c r="N16" i="5"/>
  <c r="N17" i="5"/>
  <c r="M18" i="5"/>
  <c r="M16" i="5"/>
  <c r="M17" i="5"/>
  <c r="L18" i="5"/>
  <c r="L16" i="5"/>
  <c r="L17" i="5"/>
  <c r="K18" i="5"/>
  <c r="K16" i="5"/>
  <c r="K17" i="5"/>
  <c r="J18" i="5"/>
  <c r="J16" i="5"/>
  <c r="J17" i="5"/>
  <c r="I18" i="5"/>
  <c r="I16" i="5"/>
  <c r="I17" i="5"/>
  <c r="H18" i="5"/>
  <c r="H16" i="5"/>
  <c r="H17" i="5"/>
  <c r="G18" i="5"/>
  <c r="G16" i="5"/>
  <c r="G17" i="5"/>
  <c r="F18" i="5"/>
  <c r="F16" i="5"/>
  <c r="F17" i="5"/>
  <c r="E18" i="5"/>
  <c r="E16" i="5"/>
  <c r="E17" i="5"/>
  <c r="D18" i="5"/>
  <c r="D16" i="5"/>
  <c r="D17" i="5"/>
  <c r="W18" i="5"/>
  <c r="W16" i="5"/>
  <c r="W17" i="5"/>
  <c r="C18" i="5"/>
  <c r="C16" i="5"/>
  <c r="C17" i="5"/>
  <c r="I9" i="5"/>
  <c r="I7" i="5"/>
  <c r="I8" i="5"/>
  <c r="L9" i="5"/>
  <c r="L7" i="5"/>
  <c r="L8" i="5"/>
  <c r="R9" i="5"/>
  <c r="R7" i="5"/>
  <c r="R8" i="5"/>
  <c r="H9" i="5"/>
  <c r="H7" i="5"/>
  <c r="H8" i="5"/>
  <c r="G9" i="5"/>
  <c r="G7" i="5"/>
  <c r="G8" i="5"/>
  <c r="F9" i="5"/>
  <c r="F7" i="5"/>
  <c r="F8" i="5"/>
  <c r="E9" i="5"/>
  <c r="E7" i="5"/>
  <c r="E8" i="5"/>
  <c r="D9" i="5"/>
  <c r="D7" i="5"/>
  <c r="D8" i="5"/>
  <c r="C9" i="5"/>
  <c r="C7" i="5"/>
  <c r="C8" i="5"/>
  <c r="Q9" i="5"/>
  <c r="Q7" i="5"/>
  <c r="Q8" i="5"/>
  <c r="Z9" i="5"/>
  <c r="Z7" i="5"/>
  <c r="Z8" i="5"/>
  <c r="P9" i="5"/>
  <c r="P7" i="5"/>
  <c r="P8" i="5"/>
  <c r="O9" i="5"/>
  <c r="O7" i="5"/>
  <c r="O8" i="5"/>
  <c r="N9" i="5"/>
  <c r="N7" i="5"/>
  <c r="N8" i="5"/>
  <c r="M9" i="5"/>
  <c r="M7" i="5"/>
  <c r="M8" i="5"/>
  <c r="Y9" i="5"/>
  <c r="Y7" i="5"/>
  <c r="Y8" i="5"/>
  <c r="X9" i="5"/>
  <c r="X7" i="5"/>
  <c r="X8" i="5"/>
  <c r="W9" i="5"/>
  <c r="W7" i="5"/>
  <c r="W8" i="5"/>
  <c r="V9" i="5"/>
  <c r="V7" i="5"/>
  <c r="V8" i="5"/>
  <c r="U9" i="5"/>
  <c r="U7" i="5"/>
  <c r="U8" i="5"/>
  <c r="J9" i="5"/>
  <c r="J7" i="5"/>
  <c r="J8" i="5"/>
  <c r="T9" i="5"/>
  <c r="T7" i="5"/>
  <c r="T8" i="5"/>
  <c r="K9" i="5"/>
  <c r="K7" i="5"/>
  <c r="K8" i="5"/>
  <c r="S9" i="5"/>
  <c r="S7" i="5"/>
  <c r="S8" i="5"/>
  <c r="H10" i="3"/>
  <c r="H12" i="3" s="1"/>
  <c r="C9" i="6"/>
  <c r="C11" i="6" s="1"/>
  <c r="G8" i="2"/>
  <c r="G10" i="2" s="1"/>
  <c r="G17" i="2"/>
  <c r="C46" i="6"/>
  <c r="B64" i="6"/>
  <c r="C9" i="1"/>
  <c r="C49" i="6"/>
  <c r="H69" i="5"/>
  <c r="G69" i="5"/>
  <c r="F69" i="5"/>
  <c r="E69" i="5"/>
  <c r="D69" i="5"/>
  <c r="C69" i="5"/>
  <c r="K47" i="5"/>
  <c r="J47" i="5"/>
  <c r="H47" i="5"/>
  <c r="G47" i="5"/>
  <c r="M69" i="5"/>
  <c r="L69" i="5"/>
  <c r="K69" i="5"/>
  <c r="J69" i="5"/>
  <c r="I69" i="5"/>
  <c r="N47" i="5"/>
  <c r="L54" i="5"/>
  <c r="L57" i="5"/>
  <c r="K54" i="5"/>
  <c r="K57" i="5"/>
  <c r="J54" i="5"/>
  <c r="J57" i="5"/>
  <c r="I54" i="5"/>
  <c r="I57" i="5"/>
  <c r="H54" i="5"/>
  <c r="H57" i="5"/>
  <c r="E54" i="5"/>
  <c r="E57" i="5"/>
  <c r="D54" i="5"/>
  <c r="D57" i="5"/>
  <c r="C54" i="5"/>
  <c r="C57" i="5"/>
  <c r="O84" i="5"/>
  <c r="O87" i="5"/>
  <c r="E84" i="5"/>
  <c r="E87" i="5"/>
  <c r="F84" i="5"/>
  <c r="F87" i="5"/>
  <c r="G84" i="5"/>
  <c r="G87" i="5"/>
  <c r="H84" i="5"/>
  <c r="H87" i="5"/>
  <c r="I84" i="5"/>
  <c r="I87" i="5"/>
  <c r="J84" i="5"/>
  <c r="J87" i="5"/>
  <c r="K84" i="5"/>
  <c r="K87" i="5"/>
  <c r="L84" i="5"/>
  <c r="L87" i="5"/>
  <c r="M84" i="5"/>
  <c r="M87" i="5"/>
  <c r="N84" i="5"/>
  <c r="N87" i="5"/>
  <c r="D84" i="5"/>
  <c r="D87" i="5"/>
  <c r="P84" i="5"/>
  <c r="P87" i="5"/>
  <c r="Q84" i="5"/>
  <c r="Q87" i="5"/>
  <c r="R84" i="5"/>
  <c r="R87" i="5"/>
  <c r="S84" i="5"/>
  <c r="S87" i="5"/>
  <c r="T84" i="5"/>
  <c r="T87" i="5"/>
  <c r="U84" i="5"/>
  <c r="U87" i="5"/>
  <c r="V84" i="5"/>
  <c r="V87" i="5"/>
  <c r="W84" i="5"/>
  <c r="W87" i="5"/>
  <c r="X83" i="5"/>
  <c r="C73" i="5"/>
  <c r="C74" i="5" s="1"/>
  <c r="C77" i="5"/>
  <c r="F73" i="5"/>
  <c r="G73" i="5"/>
  <c r="H73" i="5"/>
  <c r="D73" i="5"/>
  <c r="E73" i="5"/>
  <c r="I73" i="5"/>
  <c r="J73" i="5"/>
  <c r="K73" i="5"/>
  <c r="L73" i="5"/>
  <c r="M73" i="5"/>
  <c r="N73" i="5"/>
  <c r="O73" i="5"/>
  <c r="P73" i="5"/>
  <c r="P77" i="5" s="1"/>
  <c r="C85" i="5" l="1"/>
  <c r="C89" i="5" s="1"/>
  <c r="C86" i="5"/>
  <c r="E47" i="5"/>
  <c r="N55" i="5"/>
  <c r="N56" i="5"/>
  <c r="M55" i="5"/>
  <c r="M56" i="5"/>
  <c r="G55" i="5"/>
  <c r="G56" i="5"/>
  <c r="F55" i="5"/>
  <c r="F56" i="5"/>
  <c r="Q38" i="5"/>
  <c r="G20" i="5"/>
  <c r="D50" i="7"/>
  <c r="D51" i="7"/>
  <c r="D52" i="7"/>
  <c r="D53" i="7"/>
  <c r="D55" i="7" s="1"/>
  <c r="B50" i="7"/>
  <c r="B52" i="7"/>
  <c r="B53" i="7"/>
  <c r="B55" i="7" s="1"/>
  <c r="B54" i="7"/>
  <c r="C50" i="7"/>
  <c r="C51" i="7"/>
  <c r="C52" i="7"/>
  <c r="C54" i="7"/>
  <c r="C55" i="7" s="1"/>
  <c r="E50" i="7"/>
  <c r="E51" i="7"/>
  <c r="E52" i="7"/>
  <c r="E53" i="7"/>
  <c r="E55" i="7" s="1"/>
  <c r="E54" i="7"/>
  <c r="P67" i="5"/>
  <c r="Q63" i="5"/>
  <c r="P64" i="5"/>
  <c r="O65" i="5"/>
  <c r="O66" i="5"/>
  <c r="P57" i="5"/>
  <c r="Q51" i="5"/>
  <c r="P54" i="5"/>
  <c r="O55" i="5"/>
  <c r="O56" i="5"/>
  <c r="P45" i="5"/>
  <c r="Q42" i="5"/>
  <c r="P43" i="5"/>
  <c r="P44" i="5"/>
  <c r="I11" i="5"/>
  <c r="L11" i="5"/>
  <c r="R11" i="5"/>
  <c r="H11" i="5"/>
  <c r="G11" i="5"/>
  <c r="F11" i="5"/>
  <c r="E11" i="5"/>
  <c r="D11" i="5"/>
  <c r="C11" i="5"/>
  <c r="Q11" i="5"/>
  <c r="Z11" i="5"/>
  <c r="P11" i="5"/>
  <c r="O11" i="5"/>
  <c r="N11" i="5"/>
  <c r="M11" i="5"/>
  <c r="Y11" i="5"/>
  <c r="X11" i="5"/>
  <c r="W11" i="5"/>
  <c r="V11" i="5"/>
  <c r="U11" i="5"/>
  <c r="J11" i="5"/>
  <c r="T11" i="5"/>
  <c r="K11" i="5"/>
  <c r="S11" i="5"/>
  <c r="H13" i="3"/>
  <c r="H20" i="3"/>
  <c r="I20" i="3" s="1"/>
  <c r="C15" i="6"/>
  <c r="B62" i="6"/>
  <c r="G21" i="2"/>
  <c r="G12" i="2"/>
  <c r="G13" i="2" s="1"/>
  <c r="L56" i="5"/>
  <c r="L55" i="5"/>
  <c r="K56" i="5"/>
  <c r="K55" i="5"/>
  <c r="J56" i="5"/>
  <c r="J55" i="5"/>
  <c r="I56" i="5"/>
  <c r="I55" i="5"/>
  <c r="H56" i="5"/>
  <c r="H55" i="5"/>
  <c r="E56" i="5"/>
  <c r="E55" i="5"/>
  <c r="E59" i="5" s="1"/>
  <c r="D56" i="5"/>
  <c r="D55" i="5"/>
  <c r="D59" i="5" s="1"/>
  <c r="C56" i="5"/>
  <c r="C55" i="5"/>
  <c r="C59" i="5" s="1"/>
  <c r="O85" i="5"/>
  <c r="O86" i="5"/>
  <c r="E85" i="5"/>
  <c r="E86" i="5"/>
  <c r="F86" i="5"/>
  <c r="F85" i="5"/>
  <c r="F89" i="5" s="1"/>
  <c r="G85" i="5"/>
  <c r="G86" i="5"/>
  <c r="H86" i="5"/>
  <c r="H85" i="5"/>
  <c r="H89" i="5" s="1"/>
  <c r="I86" i="5"/>
  <c r="I85" i="5"/>
  <c r="I89" i="5" s="1"/>
  <c r="J85" i="5"/>
  <c r="J86" i="5"/>
  <c r="K86" i="5"/>
  <c r="K85" i="5"/>
  <c r="K89" i="5" s="1"/>
  <c r="L85" i="5"/>
  <c r="L86" i="5"/>
  <c r="M86" i="5"/>
  <c r="M85" i="5"/>
  <c r="M89" i="5" s="1"/>
  <c r="N86" i="5"/>
  <c r="N85" i="5"/>
  <c r="N89" i="5" s="1"/>
  <c r="D86" i="5"/>
  <c r="D85" i="5"/>
  <c r="D89" i="5" s="1"/>
  <c r="P86" i="5"/>
  <c r="P85" i="5"/>
  <c r="P89" i="5" s="1"/>
  <c r="Q86" i="5"/>
  <c r="Q85" i="5"/>
  <c r="Q89" i="5" s="1"/>
  <c r="R85" i="5"/>
  <c r="R86" i="5"/>
  <c r="S86" i="5"/>
  <c r="S85" i="5"/>
  <c r="T86" i="5"/>
  <c r="T85" i="5"/>
  <c r="U85" i="5"/>
  <c r="U86" i="5"/>
  <c r="V86" i="5"/>
  <c r="V85" i="5"/>
  <c r="V89" i="5" s="1"/>
  <c r="W85" i="5"/>
  <c r="W86" i="5"/>
  <c r="X87" i="5"/>
  <c r="Y83" i="5"/>
  <c r="X84" i="5"/>
  <c r="C76" i="5"/>
  <c r="C75" i="5"/>
  <c r="Q73" i="5"/>
  <c r="P74" i="5"/>
  <c r="N69" i="5"/>
  <c r="O47" i="5"/>
  <c r="C38" i="5"/>
  <c r="R38" i="5"/>
  <c r="P38" i="5"/>
  <c r="O38" i="5"/>
  <c r="N38" i="5"/>
  <c r="M38" i="5"/>
  <c r="L38" i="5"/>
  <c r="S38" i="5"/>
  <c r="T38" i="5"/>
  <c r="U38" i="5"/>
  <c r="V38" i="5"/>
  <c r="K38" i="5"/>
  <c r="W38" i="5"/>
  <c r="X38" i="5"/>
  <c r="Y38" i="5"/>
  <c r="Z38" i="5"/>
  <c r="J38" i="5"/>
  <c r="I38" i="5"/>
  <c r="H38" i="5"/>
  <c r="G38" i="5"/>
  <c r="F38" i="5"/>
  <c r="E38" i="5"/>
  <c r="D38" i="5"/>
  <c r="O29" i="5"/>
  <c r="Z29" i="5"/>
  <c r="Y29" i="5"/>
  <c r="X29" i="5"/>
  <c r="W29" i="5"/>
  <c r="V29" i="5"/>
  <c r="U29" i="5"/>
  <c r="T29" i="5"/>
  <c r="S29" i="5"/>
  <c r="R29" i="5"/>
  <c r="Q29" i="5"/>
  <c r="P29" i="5"/>
  <c r="N29" i="5"/>
  <c r="M29" i="5"/>
  <c r="L29" i="5"/>
  <c r="K29" i="5"/>
  <c r="J29" i="5"/>
  <c r="I29" i="5"/>
  <c r="H29" i="5"/>
  <c r="G29" i="5"/>
  <c r="F29" i="5"/>
  <c r="E29" i="5"/>
  <c r="D29" i="5"/>
  <c r="C29" i="5"/>
  <c r="V20" i="5"/>
  <c r="U20" i="5"/>
  <c r="Z20" i="5"/>
  <c r="Y20" i="5"/>
  <c r="X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F20" i="5"/>
  <c r="E20" i="5"/>
  <c r="D20" i="5"/>
  <c r="W20" i="5"/>
  <c r="C20" i="5"/>
  <c r="C97" i="5"/>
  <c r="F74" i="5"/>
  <c r="F77" i="5"/>
  <c r="F97" i="5" s="1"/>
  <c r="G74" i="5"/>
  <c r="G77" i="5"/>
  <c r="G97" i="5" s="1"/>
  <c r="H74" i="5"/>
  <c r="H77" i="5"/>
  <c r="H97" i="5" s="1"/>
  <c r="D74" i="5"/>
  <c r="D77" i="5"/>
  <c r="D97" i="5" s="1"/>
  <c r="E74" i="5"/>
  <c r="E77" i="5"/>
  <c r="E97" i="5" s="1"/>
  <c r="I74" i="5"/>
  <c r="I77" i="5"/>
  <c r="I97" i="5" s="1"/>
  <c r="J74" i="5"/>
  <c r="J77" i="5"/>
  <c r="J97" i="5" s="1"/>
  <c r="K74" i="5"/>
  <c r="K77" i="5"/>
  <c r="K97" i="5" s="1"/>
  <c r="L74" i="5"/>
  <c r="L77" i="5"/>
  <c r="L97" i="5" s="1"/>
  <c r="M74" i="5"/>
  <c r="M77" i="5"/>
  <c r="M97" i="5" s="1"/>
  <c r="N74" i="5"/>
  <c r="N77" i="5"/>
  <c r="N97" i="5" s="1"/>
  <c r="O74" i="5"/>
  <c r="O77" i="5"/>
  <c r="O97" i="5" s="1"/>
  <c r="N59" i="5" l="1"/>
  <c r="F59" i="5"/>
  <c r="M59" i="5"/>
  <c r="G59" i="5"/>
  <c r="S89" i="5"/>
  <c r="C93" i="5"/>
  <c r="H3" i="2" s="1"/>
  <c r="C92" i="5"/>
  <c r="P97" i="5"/>
  <c r="C79" i="5"/>
  <c r="H59" i="5"/>
  <c r="T89" i="5"/>
  <c r="B53" i="6"/>
  <c r="O69" i="5"/>
  <c r="Q67" i="5"/>
  <c r="R63" i="5"/>
  <c r="Q64" i="5"/>
  <c r="P65" i="5"/>
  <c r="P66" i="5"/>
  <c r="Q57" i="5"/>
  <c r="R51" i="5"/>
  <c r="Q54" i="5"/>
  <c r="P55" i="5"/>
  <c r="P56" i="5"/>
  <c r="Q45" i="5"/>
  <c r="R42" i="5"/>
  <c r="Q43" i="5"/>
  <c r="Q44" i="5"/>
  <c r="C47" i="6"/>
  <c r="G20" i="2"/>
  <c r="Y87" i="5"/>
  <c r="Z83" i="5"/>
  <c r="Y84" i="5"/>
  <c r="X86" i="5"/>
  <c r="X85" i="5"/>
  <c r="Q77" i="5"/>
  <c r="R73" i="5"/>
  <c r="Q74" i="5"/>
  <c r="P76" i="5"/>
  <c r="P75" i="5"/>
  <c r="P79" i="5" s="1"/>
  <c r="F75" i="5"/>
  <c r="F76" i="5"/>
  <c r="F93" i="5" s="1"/>
  <c r="K3" i="2" s="1"/>
  <c r="G75" i="5"/>
  <c r="G76" i="5"/>
  <c r="G93" i="5" s="1"/>
  <c r="L3" i="2" s="1"/>
  <c r="H75" i="5"/>
  <c r="H76" i="5"/>
  <c r="H93" i="5" s="1"/>
  <c r="M3" i="2" s="1"/>
  <c r="D75" i="5"/>
  <c r="D76" i="5"/>
  <c r="D93" i="5" s="1"/>
  <c r="I3" i="2" s="1"/>
  <c r="E75" i="5"/>
  <c r="E76" i="5"/>
  <c r="E93" i="5" s="1"/>
  <c r="J3" i="2" s="1"/>
  <c r="I75" i="5"/>
  <c r="I92" i="5" s="1"/>
  <c r="I76" i="5"/>
  <c r="I93" i="5" s="1"/>
  <c r="N3" i="2" s="1"/>
  <c r="J75" i="5"/>
  <c r="J76" i="5"/>
  <c r="J93" i="5" s="1"/>
  <c r="O3" i="2" s="1"/>
  <c r="K75" i="5"/>
  <c r="K76" i="5"/>
  <c r="K93" i="5" s="1"/>
  <c r="P3" i="2" s="1"/>
  <c r="L75" i="5"/>
  <c r="L92" i="5" s="1"/>
  <c r="L76" i="5"/>
  <c r="L93" i="5" s="1"/>
  <c r="Q3" i="2" s="1"/>
  <c r="M75" i="5"/>
  <c r="M76" i="5"/>
  <c r="M93" i="5" s="1"/>
  <c r="R3" i="2" s="1"/>
  <c r="N75" i="5"/>
  <c r="N76" i="5"/>
  <c r="N93" i="5" s="1"/>
  <c r="S3" i="2" s="1"/>
  <c r="O75" i="5"/>
  <c r="O76" i="5"/>
  <c r="O93" i="5" s="1"/>
  <c r="T3" i="2" s="1"/>
  <c r="O89" i="5"/>
  <c r="E89" i="5"/>
  <c r="G89" i="5"/>
  <c r="J89" i="5"/>
  <c r="L89" i="5"/>
  <c r="R89" i="5"/>
  <c r="U89" i="5"/>
  <c r="W89" i="5"/>
  <c r="B55" i="6"/>
  <c r="O59" i="5"/>
  <c r="B54" i="6"/>
  <c r="P47" i="5"/>
  <c r="B52" i="6"/>
  <c r="L59" i="5"/>
  <c r="K59" i="5"/>
  <c r="K92" i="5"/>
  <c r="J59" i="5"/>
  <c r="J92" i="5"/>
  <c r="I59" i="5"/>
  <c r="X89" i="5" l="1"/>
  <c r="C98" i="5"/>
  <c r="C99" i="5" s="1"/>
  <c r="H6" i="2" s="1"/>
  <c r="C95" i="5"/>
  <c r="C96" i="5" s="1"/>
  <c r="H2" i="2"/>
  <c r="R67" i="5"/>
  <c r="S63" i="5"/>
  <c r="R64" i="5"/>
  <c r="Q65" i="5"/>
  <c r="Q66" i="5"/>
  <c r="R57" i="5"/>
  <c r="S51" i="5"/>
  <c r="R54" i="5"/>
  <c r="Q55" i="5"/>
  <c r="Q56" i="5"/>
  <c r="P92" i="5"/>
  <c r="P59" i="5"/>
  <c r="R45" i="5"/>
  <c r="S42" i="5"/>
  <c r="R43" i="5"/>
  <c r="R44" i="5"/>
  <c r="Q47" i="5"/>
  <c r="C48" i="6"/>
  <c r="B20" i="7"/>
  <c r="H9" i="2"/>
  <c r="Z87" i="5"/>
  <c r="Z84" i="5"/>
  <c r="Y85" i="5"/>
  <c r="Y86" i="5"/>
  <c r="R77" i="5"/>
  <c r="S73" i="5"/>
  <c r="R74" i="5"/>
  <c r="Q76" i="5"/>
  <c r="Q75" i="5"/>
  <c r="F92" i="5"/>
  <c r="F79" i="5"/>
  <c r="G92" i="5"/>
  <c r="G79" i="5"/>
  <c r="H92" i="5"/>
  <c r="H79" i="5"/>
  <c r="D92" i="5"/>
  <c r="D79" i="5"/>
  <c r="E92" i="5"/>
  <c r="E79" i="5"/>
  <c r="M92" i="5"/>
  <c r="M79" i="5"/>
  <c r="N92" i="5"/>
  <c r="N79" i="5"/>
  <c r="O92" i="5"/>
  <c r="O79" i="5"/>
  <c r="Q2" i="2"/>
  <c r="L95" i="5"/>
  <c r="L96" i="5" s="1"/>
  <c r="L98" i="5"/>
  <c r="L99" i="5" s="1"/>
  <c r="Q6" i="2" s="1"/>
  <c r="P2" i="2"/>
  <c r="K95" i="5"/>
  <c r="K96" i="5" s="1"/>
  <c r="K98" i="5"/>
  <c r="K99" i="5" s="1"/>
  <c r="P6" i="2" s="1"/>
  <c r="O2" i="2"/>
  <c r="J95" i="5"/>
  <c r="J96" i="5" s="1"/>
  <c r="J98" i="5"/>
  <c r="J99" i="5" s="1"/>
  <c r="O6" i="2" s="1"/>
  <c r="N2" i="2"/>
  <c r="I95" i="5"/>
  <c r="I96" i="5" s="1"/>
  <c r="I98" i="5"/>
  <c r="I99" i="5" s="1"/>
  <c r="N6" i="2" s="1"/>
  <c r="P93" i="5"/>
  <c r="U3" i="2" s="1"/>
  <c r="Q97" i="5"/>
  <c r="I79" i="5"/>
  <c r="J79" i="5"/>
  <c r="K79" i="5"/>
  <c r="L79" i="5"/>
  <c r="P69" i="5"/>
  <c r="H16" i="2" l="1"/>
  <c r="H4" i="2"/>
  <c r="D8" i="6"/>
  <c r="S67" i="5"/>
  <c r="T63" i="5"/>
  <c r="S64" i="5"/>
  <c r="R65" i="5"/>
  <c r="R66" i="5"/>
  <c r="S57" i="5"/>
  <c r="T51" i="5"/>
  <c r="S54" i="5"/>
  <c r="R55" i="5"/>
  <c r="R56" i="5"/>
  <c r="U2" i="2"/>
  <c r="P95" i="5"/>
  <c r="P96" i="5" s="1"/>
  <c r="P98" i="5"/>
  <c r="P99" i="5" s="1"/>
  <c r="U6" i="2" s="1"/>
  <c r="S45" i="5"/>
  <c r="T42" i="5"/>
  <c r="S43" i="5"/>
  <c r="S44" i="5"/>
  <c r="R47" i="5"/>
  <c r="C100" i="5"/>
  <c r="H5" i="2"/>
  <c r="H7" i="2" s="1"/>
  <c r="H8" i="2" s="1"/>
  <c r="H17" i="2"/>
  <c r="Z86" i="5"/>
  <c r="Z85" i="5"/>
  <c r="Z89" i="5" s="1"/>
  <c r="S77" i="5"/>
  <c r="T73" i="5"/>
  <c r="S74" i="5"/>
  <c r="R76" i="5"/>
  <c r="R75" i="5"/>
  <c r="K2" i="2"/>
  <c r="F98" i="5"/>
  <c r="F99" i="5" s="1"/>
  <c r="K6" i="2" s="1"/>
  <c r="F95" i="5"/>
  <c r="F96" i="5" s="1"/>
  <c r="L2" i="2"/>
  <c r="G95" i="5"/>
  <c r="G96" i="5" s="1"/>
  <c r="G98" i="5"/>
  <c r="G99" i="5" s="1"/>
  <c r="L6" i="2" s="1"/>
  <c r="M2" i="2"/>
  <c r="N16" i="2" s="1"/>
  <c r="H95" i="5"/>
  <c r="H96" i="5" s="1"/>
  <c r="H98" i="5"/>
  <c r="H99" i="5" s="1"/>
  <c r="M6" i="2" s="1"/>
  <c r="I2" i="2"/>
  <c r="D95" i="5"/>
  <c r="D98" i="5"/>
  <c r="D99" i="5" s="1"/>
  <c r="I6" i="2" s="1"/>
  <c r="J2" i="2"/>
  <c r="E98" i="5"/>
  <c r="E99" i="5" s="1"/>
  <c r="J6" i="2" s="1"/>
  <c r="E95" i="5"/>
  <c r="E96" i="5" s="1"/>
  <c r="R2" i="2"/>
  <c r="M95" i="5"/>
  <c r="M96" i="5" s="1"/>
  <c r="M98" i="5"/>
  <c r="M99" i="5" s="1"/>
  <c r="R6" i="2" s="1"/>
  <c r="S2" i="2"/>
  <c r="N95" i="5"/>
  <c r="N96" i="5" s="1"/>
  <c r="N98" i="5"/>
  <c r="N99" i="5" s="1"/>
  <c r="S6" i="2" s="1"/>
  <c r="T2" i="2"/>
  <c r="O98" i="5"/>
  <c r="O99" i="5" s="1"/>
  <c r="T6" i="2" s="1"/>
  <c r="O95" i="5"/>
  <c r="O96" i="5" s="1"/>
  <c r="Q4" i="2"/>
  <c r="M8" i="6"/>
  <c r="Q16" i="2"/>
  <c r="P4" i="2"/>
  <c r="L8" i="6"/>
  <c r="P16" i="2"/>
  <c r="O4" i="2"/>
  <c r="K8" i="6"/>
  <c r="O16" i="2"/>
  <c r="N4" i="2"/>
  <c r="J8" i="6"/>
  <c r="Q69" i="5"/>
  <c r="Q59" i="5"/>
  <c r="Q93" i="5"/>
  <c r="V3" i="2" s="1"/>
  <c r="R97" i="5"/>
  <c r="Y89" i="5"/>
  <c r="Q79" i="5"/>
  <c r="Q92" i="5"/>
  <c r="Q5" i="2"/>
  <c r="Q7" i="2" s="1"/>
  <c r="L100" i="5"/>
  <c r="P5" i="2"/>
  <c r="P7" i="2" s="1"/>
  <c r="K100" i="5"/>
  <c r="O5" i="2"/>
  <c r="O7" i="2" s="1"/>
  <c r="J100" i="5"/>
  <c r="N5" i="2"/>
  <c r="N7" i="2" s="1"/>
  <c r="I100" i="5"/>
  <c r="R69" i="5" l="1"/>
  <c r="T67" i="5"/>
  <c r="U63" i="5"/>
  <c r="T64" i="5"/>
  <c r="S65" i="5"/>
  <c r="S66" i="5"/>
  <c r="T57" i="5"/>
  <c r="U51" i="5"/>
  <c r="T54" i="5"/>
  <c r="S55" i="5"/>
  <c r="S56" i="5"/>
  <c r="U4" i="2"/>
  <c r="Q8" i="6"/>
  <c r="U16" i="2"/>
  <c r="T45" i="5"/>
  <c r="U42" i="5"/>
  <c r="T43" i="5"/>
  <c r="T44" i="5"/>
  <c r="S47" i="5"/>
  <c r="H10" i="2"/>
  <c r="D9" i="6"/>
  <c r="T77" i="5"/>
  <c r="U73" i="5"/>
  <c r="T74" i="5"/>
  <c r="S76" i="5"/>
  <c r="S75" i="5"/>
  <c r="S79" i="5" s="1"/>
  <c r="K4" i="2"/>
  <c r="G8" i="6"/>
  <c r="K16" i="2"/>
  <c r="L4" i="2"/>
  <c r="H8" i="6"/>
  <c r="L16" i="2"/>
  <c r="M4" i="2"/>
  <c r="I8" i="6"/>
  <c r="M16" i="2"/>
  <c r="I4" i="2"/>
  <c r="E8" i="6"/>
  <c r="I16" i="2"/>
  <c r="D96" i="5"/>
  <c r="J4" i="2"/>
  <c r="F8" i="6"/>
  <c r="J16" i="2"/>
  <c r="R4" i="2"/>
  <c r="N8" i="6"/>
  <c r="R16" i="2"/>
  <c r="S4" i="2"/>
  <c r="O8" i="6"/>
  <c r="S16" i="2"/>
  <c r="T4" i="2"/>
  <c r="P8" i="6"/>
  <c r="T16" i="2"/>
  <c r="Q8" i="2"/>
  <c r="Q17" i="2"/>
  <c r="P8" i="2"/>
  <c r="P17" i="2"/>
  <c r="O8" i="2"/>
  <c r="O17" i="2"/>
  <c r="N8" i="2"/>
  <c r="N17" i="2"/>
  <c r="Q98" i="5"/>
  <c r="Q99" i="5" s="1"/>
  <c r="V6" i="2" s="1"/>
  <c r="Q95" i="5"/>
  <c r="Q96" i="5" s="1"/>
  <c r="V2" i="2"/>
  <c r="B60" i="6"/>
  <c r="R59" i="5"/>
  <c r="R93" i="5"/>
  <c r="W3" i="2" s="1"/>
  <c r="S97" i="5"/>
  <c r="U5" i="2"/>
  <c r="U7" i="2" s="1"/>
  <c r="P100" i="5"/>
  <c r="R79" i="5"/>
  <c r="R92" i="5"/>
  <c r="K5" i="2"/>
  <c r="K7" i="2" s="1"/>
  <c r="F100" i="5"/>
  <c r="L5" i="2"/>
  <c r="L7" i="2" s="1"/>
  <c r="G100" i="5"/>
  <c r="M5" i="2"/>
  <c r="M7" i="2" s="1"/>
  <c r="H100" i="5"/>
  <c r="J5" i="2"/>
  <c r="J7" i="2" s="1"/>
  <c r="E100" i="5"/>
  <c r="R5" i="2"/>
  <c r="R7" i="2" s="1"/>
  <c r="M100" i="5"/>
  <c r="S5" i="2"/>
  <c r="S7" i="2" s="1"/>
  <c r="N100" i="5"/>
  <c r="T5" i="2"/>
  <c r="T7" i="2" s="1"/>
  <c r="O100" i="5"/>
  <c r="S69" i="5" l="1"/>
  <c r="S93" i="5"/>
  <c r="X3" i="2" s="1"/>
  <c r="V5" i="2"/>
  <c r="V7" i="2" s="1"/>
  <c r="Q100" i="5"/>
  <c r="U67" i="5"/>
  <c r="V63" i="5"/>
  <c r="U64" i="5"/>
  <c r="T65" i="5"/>
  <c r="T66" i="5"/>
  <c r="U57" i="5"/>
  <c r="V51" i="5"/>
  <c r="U54" i="5"/>
  <c r="T55" i="5"/>
  <c r="T56" i="5"/>
  <c r="U8" i="2"/>
  <c r="U17" i="2"/>
  <c r="U45" i="5"/>
  <c r="V42" i="5"/>
  <c r="U43" i="5"/>
  <c r="U44" i="5"/>
  <c r="T47" i="5"/>
  <c r="H21" i="2"/>
  <c r="H11" i="2"/>
  <c r="H12" i="2" s="1"/>
  <c r="D10" i="6"/>
  <c r="D11" i="6" s="1"/>
  <c r="D15" i="6" s="1"/>
  <c r="U77" i="5"/>
  <c r="V73" i="5"/>
  <c r="U74" i="5"/>
  <c r="T76" i="5"/>
  <c r="T75" i="5"/>
  <c r="T79" i="5" s="1"/>
  <c r="K8" i="2"/>
  <c r="K17" i="2"/>
  <c r="L8" i="2"/>
  <c r="L17" i="2"/>
  <c r="M8" i="2"/>
  <c r="M17" i="2"/>
  <c r="I17" i="2"/>
  <c r="D100" i="5"/>
  <c r="I5" i="2"/>
  <c r="I7" i="2" s="1"/>
  <c r="I8" i="2" s="1"/>
  <c r="J8" i="2"/>
  <c r="J17" i="2"/>
  <c r="R8" i="2"/>
  <c r="R17" i="2"/>
  <c r="S8" i="2"/>
  <c r="S17" i="2"/>
  <c r="T8" i="2"/>
  <c r="T17" i="2"/>
  <c r="M9" i="6"/>
  <c r="L9" i="6"/>
  <c r="K9" i="6"/>
  <c r="J9" i="6"/>
  <c r="V4" i="2"/>
  <c r="R8" i="6"/>
  <c r="V16" i="2"/>
  <c r="R95" i="5"/>
  <c r="R98" i="5"/>
  <c r="R99" i="5" s="1"/>
  <c r="W6" i="2" s="1"/>
  <c r="W2" i="2"/>
  <c r="T97" i="5"/>
  <c r="S59" i="5"/>
  <c r="S92" i="5"/>
  <c r="T92" i="5" l="1"/>
  <c r="T98" i="5" s="1"/>
  <c r="T99" i="5" s="1"/>
  <c r="T93" i="5"/>
  <c r="Y3" i="2" s="1"/>
  <c r="U97" i="5"/>
  <c r="V67" i="5"/>
  <c r="W63" i="5"/>
  <c r="V64" i="5"/>
  <c r="U65" i="5"/>
  <c r="U66" i="5"/>
  <c r="V57" i="5"/>
  <c r="W51" i="5"/>
  <c r="V54" i="5"/>
  <c r="U55" i="5"/>
  <c r="U56" i="5"/>
  <c r="Q9" i="6"/>
  <c r="V45" i="5"/>
  <c r="W42" i="5"/>
  <c r="V43" i="5"/>
  <c r="V44" i="5"/>
  <c r="U47" i="5"/>
  <c r="H20" i="2"/>
  <c r="H13" i="2"/>
  <c r="V77" i="5"/>
  <c r="W73" i="5"/>
  <c r="V74" i="5"/>
  <c r="U76" i="5"/>
  <c r="U75" i="5"/>
  <c r="G9" i="6"/>
  <c r="H9" i="6"/>
  <c r="I9" i="6"/>
  <c r="E9" i="6"/>
  <c r="F9" i="6"/>
  <c r="N9" i="6"/>
  <c r="O9" i="6"/>
  <c r="P9" i="6"/>
  <c r="V8" i="2"/>
  <c r="V17" i="2"/>
  <c r="R96" i="5"/>
  <c r="W4" i="2"/>
  <c r="S8" i="6"/>
  <c r="W16" i="2"/>
  <c r="X2" i="2"/>
  <c r="S95" i="5"/>
  <c r="S98" i="5"/>
  <c r="S99" i="5" s="1"/>
  <c r="X6" i="2" s="1"/>
  <c r="T69" i="5"/>
  <c r="T59" i="5"/>
  <c r="T95" i="5" l="1"/>
  <c r="T96" i="5" s="1"/>
  <c r="Y2" i="2"/>
  <c r="W67" i="5"/>
  <c r="X63" i="5"/>
  <c r="W64" i="5"/>
  <c r="V65" i="5"/>
  <c r="V66" i="5"/>
  <c r="W57" i="5"/>
  <c r="X51" i="5"/>
  <c r="W54" i="5"/>
  <c r="V55" i="5"/>
  <c r="V56" i="5"/>
  <c r="W45" i="5"/>
  <c r="X42" i="5"/>
  <c r="W43" i="5"/>
  <c r="W44" i="5"/>
  <c r="V47" i="5"/>
  <c r="Y16" i="2"/>
  <c r="I9" i="2"/>
  <c r="I10" i="2" s="1"/>
  <c r="W77" i="5"/>
  <c r="X73" i="5"/>
  <c r="W74" i="5"/>
  <c r="V76" i="5"/>
  <c r="V75" i="5"/>
  <c r="E10" i="6"/>
  <c r="E11" i="6" s="1"/>
  <c r="E15" i="6" s="1"/>
  <c r="R9" i="6"/>
  <c r="R100" i="5"/>
  <c r="W5" i="2"/>
  <c r="W7" i="2" s="1"/>
  <c r="W8" i="2" s="1"/>
  <c r="W17" i="2"/>
  <c r="X4" i="2"/>
  <c r="T8" i="6"/>
  <c r="X16" i="2"/>
  <c r="U69" i="5"/>
  <c r="U59" i="5"/>
  <c r="U93" i="5"/>
  <c r="Z3" i="2" s="1"/>
  <c r="V97" i="5"/>
  <c r="Y6" i="2"/>
  <c r="U79" i="5"/>
  <c r="U92" i="5"/>
  <c r="S96" i="5"/>
  <c r="Y4" i="2" l="1"/>
  <c r="Y17" i="2" s="1"/>
  <c r="U8" i="6"/>
  <c r="Y5" i="2"/>
  <c r="Y7" i="2" s="1"/>
  <c r="Y8" i="2" s="1"/>
  <c r="T100" i="5"/>
  <c r="V92" i="5"/>
  <c r="X5" i="2"/>
  <c r="X7" i="2" s="1"/>
  <c r="X8" i="2" s="1"/>
  <c r="S100" i="5"/>
  <c r="X67" i="5"/>
  <c r="Y63" i="5"/>
  <c r="X64" i="5"/>
  <c r="W65" i="5"/>
  <c r="W66" i="5"/>
  <c r="X57" i="5"/>
  <c r="Y51" i="5"/>
  <c r="X54" i="5"/>
  <c r="W55" i="5"/>
  <c r="W56" i="5"/>
  <c r="X45" i="5"/>
  <c r="Y42" i="5"/>
  <c r="X43" i="5"/>
  <c r="X44" i="5"/>
  <c r="W47" i="5"/>
  <c r="X77" i="5"/>
  <c r="Y73" i="5"/>
  <c r="X74" i="5"/>
  <c r="W76" i="5"/>
  <c r="W75" i="5"/>
  <c r="R10" i="6"/>
  <c r="R11" i="6" s="1"/>
  <c r="R15" i="6" s="1"/>
  <c r="S9" i="6"/>
  <c r="X17" i="2"/>
  <c r="U95" i="5"/>
  <c r="U98" i="5"/>
  <c r="U99" i="5" s="1"/>
  <c r="Z6" i="2" s="1"/>
  <c r="Z2" i="2"/>
  <c r="V93" i="5"/>
  <c r="AA3" i="2" s="1"/>
  <c r="V69" i="5"/>
  <c r="V79" i="5"/>
  <c r="V59" i="5"/>
  <c r="W97" i="5"/>
  <c r="I21" i="2"/>
  <c r="I11" i="2"/>
  <c r="I12" i="2" s="1"/>
  <c r="W79" i="5" l="1"/>
  <c r="W92" i="5"/>
  <c r="W93" i="5"/>
  <c r="AB3" i="2" s="1"/>
  <c r="V98" i="5"/>
  <c r="V99" i="5" s="1"/>
  <c r="AA6" i="2" s="1"/>
  <c r="V95" i="5"/>
  <c r="V96" i="5" s="1"/>
  <c r="AA2" i="2"/>
  <c r="X97" i="5"/>
  <c r="Y67" i="5"/>
  <c r="Z63" i="5"/>
  <c r="Y64" i="5"/>
  <c r="X65" i="5"/>
  <c r="X66" i="5"/>
  <c r="Y57" i="5"/>
  <c r="Z51" i="5"/>
  <c r="Y54" i="5"/>
  <c r="X55" i="5"/>
  <c r="X56" i="5"/>
  <c r="Y45" i="5"/>
  <c r="Z42" i="5"/>
  <c r="Y43" i="5"/>
  <c r="Y44" i="5"/>
  <c r="X47" i="5"/>
  <c r="U9" i="6"/>
  <c r="Y77" i="5"/>
  <c r="Z73" i="5"/>
  <c r="Y74" i="5"/>
  <c r="X76" i="5"/>
  <c r="X75" i="5"/>
  <c r="X79" i="5" s="1"/>
  <c r="T9" i="6"/>
  <c r="U96" i="5"/>
  <c r="Z4" i="2"/>
  <c r="V8" i="6"/>
  <c r="Z16" i="2"/>
  <c r="F10" i="6"/>
  <c r="I20" i="2"/>
  <c r="I13" i="2"/>
  <c r="W59" i="5"/>
  <c r="W69" i="5"/>
  <c r="W95" i="5" l="1"/>
  <c r="W96" i="5" s="1"/>
  <c r="AB5" i="2" s="1"/>
  <c r="AB2" i="2"/>
  <c r="W98" i="5"/>
  <c r="W99" i="5" s="1"/>
  <c r="AA5" i="2"/>
  <c r="AA7" i="2" s="1"/>
  <c r="V100" i="5"/>
  <c r="AA4" i="2"/>
  <c r="AA16" i="2"/>
  <c r="W8" i="6"/>
  <c r="X59" i="5"/>
  <c r="X93" i="5"/>
  <c r="AC3" i="2" s="1"/>
  <c r="Y97" i="5"/>
  <c r="X69" i="5"/>
  <c r="X92" i="5"/>
  <c r="Z67" i="5"/>
  <c r="Z64" i="5"/>
  <c r="Y65" i="5"/>
  <c r="Y66" i="5"/>
  <c r="Z57" i="5"/>
  <c r="Z54" i="5"/>
  <c r="Y55" i="5"/>
  <c r="Y56" i="5"/>
  <c r="Z45" i="5"/>
  <c r="Z43" i="5"/>
  <c r="Z44" i="5"/>
  <c r="Y47" i="5"/>
  <c r="Z77" i="5"/>
  <c r="Z74" i="5"/>
  <c r="Y76" i="5"/>
  <c r="Y75" i="5"/>
  <c r="U100" i="5"/>
  <c r="Z5" i="2"/>
  <c r="Z7" i="2" s="1"/>
  <c r="Z8" i="2" s="1"/>
  <c r="Z17" i="2"/>
  <c r="F11" i="6"/>
  <c r="F15" i="6" s="1"/>
  <c r="J9" i="2"/>
  <c r="J10" i="2" s="1"/>
  <c r="Y79" i="5" l="1"/>
  <c r="AB4" i="2"/>
  <c r="X8" i="6"/>
  <c r="AB16" i="2"/>
  <c r="AB6" i="2"/>
  <c r="AB7" i="2" s="1"/>
  <c r="W100" i="5"/>
  <c r="Y92" i="5"/>
  <c r="Y93" i="5"/>
  <c r="AD3" i="2" s="1"/>
  <c r="Z97" i="5"/>
  <c r="AA8" i="2"/>
  <c r="W9" i="6" s="1"/>
  <c r="AA17" i="2"/>
  <c r="Y59" i="5"/>
  <c r="AC2" i="2"/>
  <c r="X95" i="5"/>
  <c r="X96" i="5" s="1"/>
  <c r="X98" i="5"/>
  <c r="X99" i="5" s="1"/>
  <c r="AC6" i="2" s="1"/>
  <c r="Z65" i="5"/>
  <c r="Z66" i="5"/>
  <c r="Z55" i="5"/>
  <c r="Z56" i="5"/>
  <c r="Z47" i="5"/>
  <c r="B56" i="6" s="1"/>
  <c r="AB8" i="2"/>
  <c r="AB17" i="2"/>
  <c r="Z76" i="5"/>
  <c r="Z75" i="5"/>
  <c r="Z79" i="5" s="1"/>
  <c r="B59" i="6" s="1"/>
  <c r="V9" i="6"/>
  <c r="J21" i="2"/>
  <c r="J11" i="2"/>
  <c r="J12" i="2" s="1"/>
  <c r="Y69" i="5"/>
  <c r="Y98" i="5" l="1"/>
  <c r="Y99" i="5" s="1"/>
  <c r="Y95" i="5"/>
  <c r="Y96" i="5" s="1"/>
  <c r="AD5" i="2" s="1"/>
  <c r="AD2" i="2"/>
  <c r="AD16" i="2" s="1"/>
  <c r="AC4" i="2"/>
  <c r="AC17" i="2" s="1"/>
  <c r="Y8" i="6"/>
  <c r="AC16" i="2"/>
  <c r="AD6" i="2"/>
  <c r="AD7" i="2" s="1"/>
  <c r="Y100" i="5"/>
  <c r="AD4" i="2"/>
  <c r="Z8" i="6"/>
  <c r="X100" i="5"/>
  <c r="AC5" i="2"/>
  <c r="AC7" i="2" s="1"/>
  <c r="X9" i="6"/>
  <c r="G10" i="6"/>
  <c r="J20" i="2"/>
  <c r="J13" i="2"/>
  <c r="Z93" i="5"/>
  <c r="AE3" i="2" s="1"/>
  <c r="Z69" i="5"/>
  <c r="B58" i="6" s="1"/>
  <c r="Z59" i="5"/>
  <c r="B57" i="6" s="1"/>
  <c r="Z92" i="5"/>
  <c r="AC8" i="2" l="1"/>
  <c r="Y9" i="6" s="1"/>
  <c r="AD8" i="2"/>
  <c r="AD17" i="2"/>
  <c r="G11" i="6"/>
  <c r="G15" i="6" s="1"/>
  <c r="K9" i="2"/>
  <c r="K10" i="2" s="1"/>
  <c r="Z98" i="5"/>
  <c r="Z99" i="5" s="1"/>
  <c r="AE6" i="2" s="1"/>
  <c r="Z95" i="5"/>
  <c r="AE2" i="2"/>
  <c r="Z9" i="6" l="1"/>
  <c r="K21" i="2"/>
  <c r="K11" i="2"/>
  <c r="K12" i="2" s="1"/>
  <c r="B61" i="6"/>
  <c r="Z96" i="5"/>
  <c r="AE4" i="2"/>
  <c r="AA8" i="6"/>
  <c r="AE16" i="2"/>
  <c r="H10" i="6" l="1"/>
  <c r="K20" i="2"/>
  <c r="K13" i="2"/>
  <c r="Z100" i="5"/>
  <c r="AE5" i="2"/>
  <c r="AE7" i="2" s="1"/>
  <c r="AE8" i="2" s="1"/>
  <c r="AE17" i="2"/>
  <c r="H11" i="6" l="1"/>
  <c r="H15" i="6" s="1"/>
  <c r="L9" i="2"/>
  <c r="L10" i="2" s="1"/>
  <c r="AA9" i="6"/>
  <c r="L21" i="2" l="1"/>
  <c r="L11" i="2"/>
  <c r="L12" i="2" s="1"/>
  <c r="I10" i="6" l="1"/>
  <c r="L20" i="2"/>
  <c r="L13" i="2"/>
  <c r="I11" i="6" l="1"/>
  <c r="I15" i="6" s="1"/>
  <c r="M9" i="2"/>
  <c r="M10" i="2" s="1"/>
  <c r="M21" i="2" l="1"/>
  <c r="M11" i="2"/>
  <c r="M12" i="2" s="1"/>
  <c r="J10" i="6" l="1"/>
  <c r="M20" i="2"/>
  <c r="M13" i="2"/>
  <c r="J11" i="6" l="1"/>
  <c r="J15" i="6" s="1"/>
  <c r="N9" i="2"/>
  <c r="N10" i="2" s="1"/>
  <c r="N21" i="2" l="1"/>
  <c r="N11" i="2"/>
  <c r="N12" i="2" s="1"/>
  <c r="K10" i="6" l="1"/>
  <c r="N20" i="2"/>
  <c r="N13" i="2"/>
  <c r="K11" i="6" l="1"/>
  <c r="K15" i="6" s="1"/>
  <c r="O9" i="2"/>
  <c r="O10" i="2" s="1"/>
  <c r="O21" i="2" l="1"/>
  <c r="O11" i="2"/>
  <c r="O12" i="2" s="1"/>
  <c r="L10" i="6" l="1"/>
  <c r="O20" i="2"/>
  <c r="O13" i="2"/>
  <c r="L11" i="6" l="1"/>
  <c r="L15" i="6" s="1"/>
  <c r="P9" i="2"/>
  <c r="P10" i="2" s="1"/>
  <c r="P21" i="2" l="1"/>
  <c r="P11" i="2"/>
  <c r="P12" i="2" s="1"/>
  <c r="M10" i="6" l="1"/>
  <c r="P20" i="2"/>
  <c r="P13" i="2"/>
  <c r="M11" i="6" l="1"/>
  <c r="M15" i="6" s="1"/>
  <c r="Q9" i="2"/>
  <c r="Q10" i="2" s="1"/>
  <c r="Q21" i="2" l="1"/>
  <c r="Q11" i="2"/>
  <c r="Q12" i="2" s="1"/>
  <c r="N10" i="6" l="1"/>
  <c r="Q20" i="2"/>
  <c r="Q13" i="2"/>
  <c r="N11" i="6" l="1"/>
  <c r="N15" i="6" s="1"/>
  <c r="R9" i="2"/>
  <c r="R10" i="2" s="1"/>
  <c r="R21" i="2" l="1"/>
  <c r="R11" i="2"/>
  <c r="R12" i="2" s="1"/>
  <c r="O10" i="6" l="1"/>
  <c r="R20" i="2"/>
  <c r="R13" i="2"/>
  <c r="O11" i="6" l="1"/>
  <c r="O15" i="6" s="1"/>
  <c r="S9" i="2"/>
  <c r="S10" i="2" s="1"/>
  <c r="S21" i="2" l="1"/>
  <c r="S11" i="2"/>
  <c r="S12" i="2" s="1"/>
  <c r="P10" i="6" l="1"/>
  <c r="S20" i="2"/>
  <c r="S13" i="2"/>
  <c r="P11" i="6" l="1"/>
  <c r="P15" i="6" s="1"/>
  <c r="T9" i="2"/>
  <c r="T10" i="2" s="1"/>
  <c r="T21" i="2" l="1"/>
  <c r="T11" i="2"/>
  <c r="T12" i="2" s="1"/>
  <c r="Q10" i="6" l="1"/>
  <c r="T20" i="2"/>
  <c r="T13" i="2"/>
  <c r="Q11" i="6" l="1"/>
  <c r="Q15" i="6" s="1"/>
  <c r="U9" i="2"/>
  <c r="U10" i="2" s="1"/>
  <c r="U21" i="2" l="1"/>
  <c r="U11" i="2"/>
  <c r="U12" i="2" s="1"/>
  <c r="U20" i="2" l="1"/>
  <c r="U13" i="2"/>
  <c r="V9" i="2" l="1"/>
  <c r="V10" i="2" s="1"/>
  <c r="V21" i="2" l="1"/>
  <c r="V11" i="2"/>
  <c r="V12" i="2" s="1"/>
  <c r="S10" i="6" l="1"/>
  <c r="V20" i="2"/>
  <c r="V13" i="2"/>
  <c r="S11" i="6" l="1"/>
  <c r="S15" i="6" s="1"/>
  <c r="W9" i="2"/>
  <c r="W10" i="2" s="1"/>
  <c r="W21" i="2" l="1"/>
  <c r="W11" i="2"/>
  <c r="W12" i="2" s="1"/>
  <c r="T10" i="6" l="1"/>
  <c r="W20" i="2"/>
  <c r="W13" i="2"/>
  <c r="T11" i="6" l="1"/>
  <c r="T15" i="6" s="1"/>
  <c r="X9" i="2"/>
  <c r="X10" i="2" s="1"/>
  <c r="X21" i="2" l="1"/>
  <c r="X11" i="2"/>
  <c r="X12" i="2" s="1"/>
  <c r="U10" i="6" l="1"/>
  <c r="X20" i="2"/>
  <c r="X13" i="2"/>
  <c r="U11" i="6" l="1"/>
  <c r="U15" i="6" s="1"/>
  <c r="Y9" i="2"/>
  <c r="Y10" i="2" s="1"/>
  <c r="Y21" i="2" l="1"/>
  <c r="Y11" i="2"/>
  <c r="Y12" i="2" s="1"/>
  <c r="V10" i="6" l="1"/>
  <c r="Y20" i="2"/>
  <c r="Y13" i="2"/>
  <c r="V11" i="6" l="1"/>
  <c r="V15" i="6" s="1"/>
  <c r="Z9" i="2"/>
  <c r="Z10" i="2" s="1"/>
  <c r="Z21" i="2" l="1"/>
  <c r="Z11" i="2"/>
  <c r="Z12" i="2" s="1"/>
  <c r="W10" i="6" l="1"/>
  <c r="Z20" i="2"/>
  <c r="Z13" i="2"/>
  <c r="W11" i="6" l="1"/>
  <c r="W15" i="6" s="1"/>
  <c r="AA9" i="2"/>
  <c r="AA10" i="2" s="1"/>
  <c r="AA21" i="2" l="1"/>
  <c r="AA11" i="2"/>
  <c r="AA12" i="2" s="1"/>
  <c r="X10" i="6" l="1"/>
  <c r="AA20" i="2"/>
  <c r="AA13" i="2"/>
  <c r="X11" i="6" l="1"/>
  <c r="X15" i="6" s="1"/>
  <c r="AB9" i="2"/>
  <c r="AB10" i="2" s="1"/>
  <c r="AB21" i="2" l="1"/>
  <c r="AB11" i="2"/>
  <c r="AB12" i="2" s="1"/>
  <c r="Y10" i="6" l="1"/>
  <c r="AB20" i="2"/>
  <c r="AB13" i="2"/>
  <c r="Y11" i="6" l="1"/>
  <c r="Y15" i="6" s="1"/>
  <c r="AC9" i="2"/>
  <c r="AC10" i="2" s="1"/>
  <c r="AC21" i="2" l="1"/>
  <c r="AC11" i="2"/>
  <c r="AC12" i="2" s="1"/>
  <c r="Z10" i="6" l="1"/>
  <c r="AC20" i="2"/>
  <c r="AC13" i="2"/>
  <c r="Z11" i="6" l="1"/>
  <c r="Z15" i="6" s="1"/>
  <c r="AD9" i="2"/>
  <c r="AD10" i="2" s="1"/>
  <c r="AD21" i="2" l="1"/>
  <c r="AD11" i="2"/>
  <c r="AD12" i="2" s="1"/>
  <c r="AA10" i="6" l="1"/>
  <c r="AD20" i="2"/>
  <c r="AD13" i="2"/>
  <c r="B63" i="6" l="1"/>
  <c r="AA11" i="6"/>
  <c r="AA15" i="6" s="1"/>
  <c r="C18" i="6" s="1"/>
  <c r="C21" i="6" s="1"/>
  <c r="AE9" i="2"/>
  <c r="AE10" i="2" s="1"/>
  <c r="C23" i="6" l="1"/>
  <c r="AE21" i="2"/>
  <c r="AE11" i="2"/>
  <c r="AE12" i="2" s="1"/>
  <c r="E26" i="6" l="1"/>
  <c r="E27" i="6"/>
  <c r="E28" i="6"/>
  <c r="E29" i="6"/>
  <c r="E30" i="6"/>
  <c r="AE20" i="2"/>
  <c r="AE13" i="2"/>
  <c r="C31" i="6" l="1"/>
  <c r="C32" i="6"/>
  <c r="B65" i="6"/>
  <c r="C187" i="4" l="1"/>
  <c r="C180" i="4"/>
  <c r="C33" i="6"/>
  <c r="B66" i="6"/>
  <c r="D36" i="6" l="1"/>
  <c r="D37" i="6"/>
  <c r="D38" i="6"/>
  <c r="D39" i="6"/>
  <c r="D40" i="6"/>
  <c r="D41" i="6"/>
  <c r="B67" i="6"/>
  <c r="C42" i="6" l="1"/>
  <c r="C63" i="6" l="1"/>
  <c r="C61" i="6"/>
  <c r="C58" i="6"/>
  <c r="C57" i="6"/>
  <c r="C59" i="6"/>
  <c r="C56" i="6"/>
  <c r="C60" i="6"/>
  <c r="C52" i="6"/>
  <c r="C55" i="6"/>
  <c r="C54" i="6"/>
  <c r="C53" i="6"/>
  <c r="C62" i="6"/>
  <c r="C64" i="6"/>
  <c r="C43" i="6"/>
  <c r="C65" i="6"/>
  <c r="C66" i="6"/>
  <c r="F180" i="4" l="1"/>
  <c r="F187" i="4"/>
  <c r="B14" i="7"/>
  <c r="C11" i="1"/>
  <c r="B204" i="4"/>
  <c r="B193" i="4"/>
  <c r="D187" i="4"/>
  <c r="D180" i="4"/>
  <c r="C45" i="6"/>
  <c r="B21" i="7" l="1"/>
  <c r="B22" i="7"/>
  <c r="C12" i="1"/>
  <c r="E180" i="4"/>
  <c r="E187" i="4"/>
  <c r="B25" i="7" l="1"/>
  <c r="B27" i="7" s="1"/>
  <c r="B23" i="7"/>
  <c r="K42" i="7"/>
  <c r="K44" i="7"/>
  <c r="K41" i="7"/>
  <c r="K43" i="7"/>
  <c r="L44" i="7"/>
  <c r="L42" i="7"/>
  <c r="L41" i="7"/>
  <c r="L43" i="7"/>
  <c r="D57" i="7" l="1"/>
  <c r="B56" i="7"/>
  <c r="C56" i="7"/>
  <c r="E56" i="7"/>
  <c r="B57" i="7"/>
  <c r="C57" i="7"/>
  <c r="E57" i="7"/>
  <c r="D56" i="7"/>
  <c r="D58" i="7" l="1"/>
  <c r="D59" i="7" s="1"/>
  <c r="E58" i="7"/>
  <c r="E59" i="7" s="1"/>
  <c r="B58" i="7"/>
  <c r="B59" i="7" s="1"/>
  <c r="C58" i="7"/>
  <c r="C59" i="7" s="1"/>
</calcChain>
</file>

<file path=xl/sharedStrings.xml><?xml version="1.0" encoding="utf-8"?>
<sst xmlns="http://schemas.openxmlformats.org/spreadsheetml/2006/main" count="538" uniqueCount="298">
  <si>
    <t>Vanda Pharmaceuticals Inc</t>
  </si>
  <si>
    <t>Price</t>
  </si>
  <si>
    <t>Shares</t>
  </si>
  <si>
    <t>Market Cap.</t>
  </si>
  <si>
    <t>Cash</t>
  </si>
  <si>
    <t>Debt</t>
  </si>
  <si>
    <t>Enterprise V.</t>
  </si>
  <si>
    <t>rNPV / Share</t>
  </si>
  <si>
    <t>Upside</t>
  </si>
  <si>
    <t>Cash / Share</t>
  </si>
  <si>
    <t>Scenario</t>
  </si>
  <si>
    <t>PDUFA Date</t>
  </si>
  <si>
    <t>P(Approval)</t>
  </si>
  <si>
    <t>If Approved</t>
  </si>
  <si>
    <t>If CRL</t>
  </si>
  <si>
    <t>Revenue</t>
  </si>
  <si>
    <t>Cost of Sales</t>
  </si>
  <si>
    <t>Gross Margin</t>
  </si>
  <si>
    <t>Research &amp; Dev.</t>
  </si>
  <si>
    <t>General &amp; Admin</t>
  </si>
  <si>
    <t>Operating Expense</t>
  </si>
  <si>
    <t>Operating Income</t>
  </si>
  <si>
    <t>Interest &amp; Other</t>
  </si>
  <si>
    <t>Pretax</t>
  </si>
  <si>
    <t>Taxes</t>
  </si>
  <si>
    <t>Net Income</t>
  </si>
  <si>
    <t>Earnings per Share</t>
  </si>
  <si>
    <t>Revenue Change</t>
  </si>
  <si>
    <t>Actual / Estimate</t>
  </si>
  <si>
    <t>A</t>
  </si>
  <si>
    <t>A+E</t>
  </si>
  <si>
    <t>E</t>
  </si>
  <si>
    <t>Cash &amp; Investments</t>
  </si>
  <si>
    <t>Tax-Loss Pool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</si>
  <si>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</si>
  <si>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</si>
  <si>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</si>
  <si>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</si>
  <si>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</si>
  <si>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</si>
  <si>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</si>
  <si>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</si>
  <si>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Revenue Change (YoY)</t>
  </si>
  <si>
    <t>Other Cash Flows (est.)</t>
  </si>
  <si>
    <t>VNDA — rNPV assumptions ($mm unless noted)</t>
  </si>
  <si>
    <t>Scenario (1 = Bear, 2 = Base, 3 = Bull)</t>
  </si>
  <si>
    <t>Overrides (blank = scenario value; the sensitivity tables drive these)</t>
  </si>
  <si>
    <t>Discount rate override</t>
  </si>
  <si>
    <t>PDUFA approval probability override</t>
  </si>
  <si>
    <t>PDUFA program peak sales override ($mm)</t>
  </si>
  <si>
    <t>Parameter</t>
  </si>
  <si>
    <t>Active</t>
  </si>
  <si>
    <t>Bear</t>
  </si>
  <si>
    <t>Base</t>
  </si>
  <si>
    <t>Bull</t>
  </si>
  <si>
    <t>Valuation &amp; corporate</t>
  </si>
  <si>
    <t>Valuation date</t>
  </si>
  <si>
    <t>Discount rate (cost of equity)</t>
  </si>
  <si>
    <t>Tax rate</t>
  </si>
  <si>
    <t>Interest yield on cash</t>
  </si>
  <si>
    <t>Average cash cost of debt (P&amp;L display only)</t>
  </si>
  <si>
    <t>Tax-loss pool at 12/31/2025</t>
  </si>
  <si>
    <t>Corporate G&amp;A, 2027</t>
  </si>
  <si>
    <t>Platform / unallocated R&amp;D, 2027</t>
  </si>
  <si>
    <t>Cost inflation</t>
  </si>
  <si>
    <t>Corporate G&amp;A floor, % of revenue</t>
  </si>
  <si>
    <t>Platform R&amp;D floor, % of revenue</t>
  </si>
  <si>
    <t>Corporate cost cut after a CRL (2027+)</t>
  </si>
  <si>
    <t>Last year of base-level corporate costs (then % of revenue only)</t>
  </si>
  <si>
    <t>Annual share count growth (EPS display only)</t>
  </si>
  <si>
    <t>Wind-down cost for liquidation value</t>
  </si>
  <si>
    <t>PDUFA event</t>
  </si>
  <si>
    <t>PDUFA target action date</t>
  </si>
  <si>
    <t>Application</t>
  </si>
  <si>
    <t>Quimilza (imsidolimab) BLA, generalized pustular psoriasis</t>
  </si>
  <si>
    <t>Probability of approval at this PDUFA</t>
  </si>
  <si>
    <t>Probability of approval later, after a CRL</t>
  </si>
  <si>
    <t>Launch delay after a CRL (years)</t>
  </si>
  <si>
    <t>Probability of approval, scenario value (before override)</t>
  </si>
  <si>
    <t>Read-through: relative cut to other programs' PoS after a CRL</t>
  </si>
  <si>
    <t>Read-through multiplier on other programs' PoS (1 = none)</t>
  </si>
  <si>
    <t>Expected corporate cost multiplier (2027+)</t>
  </si>
  <si>
    <t>Commercial curves (by year since launch)</t>
  </si>
  <si>
    <t>Year since launch</t>
  </si>
  <si>
    <t>Ramp 1 — standard launch, % of peak</t>
  </si>
  <si>
    <t>Ramp 2 — orphan-disease launch, % of peak</t>
  </si>
  <si>
    <t>Commercial SG&amp;A, % of sales (years 1–5; floor = program maturity %)</t>
  </si>
  <si>
    <t>Fanapt (iloperidone) — schizophrenia, bipolar I  (marketed)</t>
  </si>
  <si>
    <t>Launch year (first commercial year)</t>
  </si>
  <si>
    <t>Peak net sales, unrisked</t>
  </si>
  <si>
    <t>Year peak is reached</t>
  </si>
  <si>
    <t>Path to peak (1 = straight line, &gt;1 = slower start)</t>
  </si>
  <si>
    <t>Company revenue, % of product net sales</t>
  </si>
  <si>
    <t>Cost of goods, % of product sales</t>
  </si>
  <si>
    <t>Royalties owed, % of product sales</t>
  </si>
  <si>
    <t>Commercial SG&amp;A at maturity, % of sales</t>
  </si>
  <si>
    <t>Loss of exclusivity (year)</t>
  </si>
  <si>
    <t>Post-LOE annual sales erosion</t>
  </si>
  <si>
    <t>2026E net sales (estimate; see note)</t>
  </si>
  <si>
    <t>Bysanti (milsaperidone) — bipolar I, schizophrenia (launch 2H26)  (marketed)</t>
  </si>
  <si>
    <t>Hetlioz (tasimelteon) — generic erosion  (marketed)</t>
  </si>
  <si>
    <t>Ponvory (ponesimod) — relapsing MS  (marketed)</t>
  </si>
  <si>
    <t>Nereus (tradipitant) — motion sickness (launched May 2026)  (marketed)</t>
  </si>
  <si>
    <t>Quimilza (imsidolimab) — generalized pustular psoriasis  (PDUFA)</t>
  </si>
  <si>
    <t>Launch year (first full year of sales)</t>
  </si>
  <si>
    <t>Probability of approval (PDUFA event above)</t>
  </si>
  <si>
    <t>Pre-launch commercial spend, year before launch</t>
  </si>
  <si>
    <t>Launch ramp (1 = standard, 2 = orphan)</t>
  </si>
  <si>
    <t>Development spend, unrisked ($mm) by year</t>
  </si>
  <si>
    <t xml:space="preserve">  Cost</t>
  </si>
  <si>
    <t xml:space="preserve">  Probability the cost is incurred</t>
  </si>
  <si>
    <t>Nereus — vomiting on GLP-1 therapy (Phase 3 Thetis)  (pipeline)</t>
  </si>
  <si>
    <t>Probability of reaching market</t>
  </si>
  <si>
    <t>VQW-765 — social anxiety disorder (Phase 3)  (pipeline)</t>
  </si>
  <si>
    <t>Bysanti — adjunctive MDD (Phase 3, data 1H27)  (pipeline)</t>
  </si>
  <si>
    <t>Sensitivity tables (Excel data tables)</t>
  </si>
  <si>
    <t>Scenario summary</t>
  </si>
  <si>
    <t>Case</t>
  </si>
  <si>
    <t>Equity value</t>
  </si>
  <si>
    <t>rNPV / share</t>
  </si>
  <si>
    <t>Quimilza PV / share</t>
  </si>
  <si>
    <t>P(approval)</t>
  </si>
  <si>
    <t>Discount rate</t>
  </si>
  <si>
    <t>Live (active scenario)</t>
  </si>
  <si>
    <t>PDUFA outcome (Quimilza): value if the FDA approves vs. issues a CRL</t>
  </si>
  <si>
    <t>Outcome</t>
  </si>
  <si>
    <t>Live (probability-weighted)</t>
  </si>
  <si>
    <t>Complete response letter (CRL)</t>
  </si>
  <si>
    <t>Approved on time</t>
  </si>
  <si>
    <t>rNPV / share: Quimilza peak sales × probability of approval</t>
  </si>
  <si>
    <t>Probability of approval →</t>
  </si>
  <si>
    <t>Peak sales ($mm) ↓</t>
  </si>
  <si>
    <t>rNPV / share: discount rate × scenario</t>
  </si>
  <si>
    <t>Scenario →</t>
  </si>
  <si>
    <t>Discount rate ↓</t>
  </si>
  <si>
    <t>1 = Bear, 2 = Base, 3 = Bull</t>
  </si>
  <si>
    <t>VNDA — risk-adjusted program build ($mm)</t>
  </si>
  <si>
    <t>Year</t>
  </si>
  <si>
    <t>Fanapt (iloperidone) — schizophrenia, bipolar I</t>
  </si>
  <si>
    <t>Years since launch</t>
  </si>
  <si>
    <t>Net sales</t>
  </si>
  <si>
    <t>Company revenue</t>
  </si>
  <si>
    <t>COGS + royalties</t>
  </si>
  <si>
    <t>Commercial SG&amp;A</t>
  </si>
  <si>
    <t>Development R&amp;D</t>
  </si>
  <si>
    <t>Program contribution (pre-tax)</t>
  </si>
  <si>
    <t>Bysanti (milsaperidone) — bipolar I, schizophrenia (launch 2H26)</t>
  </si>
  <si>
    <t>Hetlioz (tasimelteon) — generic erosion</t>
  </si>
  <si>
    <t>Ponvory (ponesimod) — relapsing MS</t>
  </si>
  <si>
    <t>Nereus (tradipitant) — motion sickness (launched May 2026)</t>
  </si>
  <si>
    <t>Quimilza (imsidolimab) — generalized pustular psoriasis</t>
  </si>
  <si>
    <t>Years since launch (approved on time)</t>
  </si>
  <si>
    <t>Net sales, unrisked (approved on time)</t>
  </si>
  <si>
    <t>Years since launch (approved after a CRL)</t>
  </si>
  <si>
    <t>Net sales, unrisked (approved after a CRL)</t>
  </si>
  <si>
    <t>Product net sales, risk-adjusted</t>
  </si>
  <si>
    <t>Company revenue, risk-adjusted (incl. milestones)</t>
  </si>
  <si>
    <t>COGS + royalties, risk-adjusted</t>
  </si>
  <si>
    <t>Commercial SG&amp;A, risk-adjusted</t>
  </si>
  <si>
    <t>Development R&amp;D, risk-adjusted</t>
  </si>
  <si>
    <t>Nereus — vomiting on GLP-1 therapy (Phase 3 Thetis)</t>
  </si>
  <si>
    <t>Net sales, unrisked</t>
  </si>
  <si>
    <t>VQW-765 — social anxiety disorder (Phase 3)</t>
  </si>
  <si>
    <t>Bysanti — adjunctive MDD (Phase 3, data 1H27)</t>
  </si>
  <si>
    <t>Company totals (risk-adjusted)</t>
  </si>
  <si>
    <t>Cost of sales (COGS + royalties)</t>
  </si>
  <si>
    <t>Program development R&amp;D</t>
  </si>
  <si>
    <t>Platform / unallocated R&amp;D</t>
  </si>
  <si>
    <t>Total R&amp;D</t>
  </si>
  <si>
    <t>Corporate G&amp;A</t>
  </si>
  <si>
    <t>Total G&amp;A incl. SG&amp;A</t>
  </si>
  <si>
    <t>Operating income (EBIT)</t>
  </si>
  <si>
    <t>VNDA — risk-adjusted NPV (rNPV), $mm except per share</t>
  </si>
  <si>
    <t>Period</t>
  </si>
  <si>
    <t>2H 2026</t>
  </si>
  <si>
    <t>Revenue, risk-adjusted</t>
  </si>
  <si>
    <t>Taxes on EBIT (after tax-loss pool)</t>
  </si>
  <si>
    <t>Unlevered free cash flow</t>
  </si>
  <si>
    <t>Cash-flow date (mid-period)</t>
  </si>
  <si>
    <t>Years from valuation date</t>
  </si>
  <si>
    <t>Discount factor</t>
  </si>
  <si>
    <t>PV of free cash flow</t>
  </si>
  <si>
    <t>Valuation summary</t>
  </si>
  <si>
    <t>PV of risk-adjusted free cash flows</t>
  </si>
  <si>
    <t>Cash &amp; investments (Main; incl. post-quarter financing)</t>
  </si>
  <si>
    <t>Debt, convertibles &amp; preferred at face (Main)</t>
  </si>
  <si>
    <t>Equity value, all claims treated as debt</t>
  </si>
  <si>
    <t>Basic shares incl. pre-funded / as-converted (Main)</t>
  </si>
  <si>
    <t>Value / share before conversions</t>
  </si>
  <si>
    <t>Convertible instruments (converted if value / share before conversions &gt; conversion price)</t>
  </si>
  <si>
    <t>Face ($mm)</t>
  </si>
  <si>
    <t>Shares (mm)</t>
  </si>
  <si>
    <t>Conv. price</t>
  </si>
  <si>
    <t>Converted?</t>
  </si>
  <si>
    <t>—</t>
  </si>
  <si>
    <t>Equity value (rNPV) after conversions</t>
  </si>
  <si>
    <t>Shares after conversions (mm)</t>
  </si>
  <si>
    <t>Value / share before options &amp; warrants</t>
  </si>
  <si>
    <t>Options, warrants &amp; RSUs (treasury-stock method)</t>
  </si>
  <si>
    <t>Count (mm)</t>
  </si>
  <si>
    <t>Strike</t>
  </si>
  <si>
    <t>Dilution (mm)</t>
  </si>
  <si>
    <t>Options</t>
  </si>
  <si>
    <t>RSUs / PSUs</t>
  </si>
  <si>
    <t>Diluted shares (mm)</t>
  </si>
  <si>
    <t>rNPV / share, diluted</t>
  </si>
  <si>
    <t>Current price (Main)</t>
  </si>
  <si>
    <t>Upside / (downside) to rNPV</t>
  </si>
  <si>
    <t>Net cash / share</t>
  </si>
  <si>
    <t>Est. cash &amp; investments at 12/31/2026</t>
  </si>
  <si>
    <t>Liquidation value / share (12/31/2026E cash − debt − wind-down)</t>
  </si>
  <si>
    <t>Market-implied value of pipeline (market cap − net cash)</t>
  </si>
  <si>
    <t>Sum of the parts (PV)</t>
  </si>
  <si>
    <t>$mm</t>
  </si>
  <si>
    <t>$ / share</t>
  </si>
  <si>
    <t>Corporate G&amp;A + platform R&amp;D (2027+)</t>
  </si>
  <si>
    <t>2H 2026 operating result</t>
  </si>
  <si>
    <t>Net cash (cash − all claims at face)</t>
  </si>
  <si>
    <t>Add back converted claims</t>
  </si>
  <si>
    <t>Check vs. equity value above (should be 0)</t>
  </si>
  <si>
    <t>VNDA — PDUFA options analysis (per contract = 100 shares)</t>
  </si>
  <si>
    <t>Inputs</t>
  </si>
  <si>
    <t>Spot price (close 10/16/2026)</t>
  </si>
  <si>
    <t>Pricing date</t>
  </si>
  <si>
    <t>PDUFA date</t>
  </si>
  <si>
    <t>Expiry (first monthly after the PDUFA date)</t>
  </si>
  <si>
    <t>Years to expiry (T)</t>
  </si>
  <si>
    <t>Risk-free rate</t>
  </si>
  <si>
    <t>Reference IV for wide quotes (theo prices)</t>
  </si>
  <si>
    <t>Contract multiplier</t>
  </si>
  <si>
    <t>Event model (two outcomes at the PDUFA)</t>
  </si>
  <si>
    <t>Model value / share, probability-weighted</t>
  </si>
  <si>
    <t>Model value / share if approved</t>
  </si>
  <si>
    <t>Model value / share if CRL</t>
  </si>
  <si>
    <t>Model probability of approval</t>
  </si>
  <si>
    <t>Event-move scale (share of model jump priced at expiry)</t>
  </si>
  <si>
    <t>Floor after a CRL, % of est. 12/31/2026 net cash / share</t>
  </si>
  <si>
    <t>Floor price after a CRL</t>
  </si>
  <si>
    <t>Price if approved (center of outcome)</t>
  </si>
  <si>
    <t>Price if CRL (center of outcome)</t>
  </si>
  <si>
    <t>Model expected price after the decision</t>
  </si>
  <si>
    <t>Non-event volatility (6-month realized, 3 largest days removed)</t>
  </si>
  <si>
    <t>Model fair ATM straddle, % of spot (jump + non-event volatility)</t>
  </si>
  <si>
    <t>Market ATM straddle, % of spot</t>
  </si>
  <si>
    <t>Options richness (market straddle ÷ model straddle)</t>
  </si>
  <si>
    <t>Market snapshot — 12/18/2026 expiry (Cboe delayed quotes, 10/16/2026 close)</t>
  </si>
  <si>
    <t>Call bid</t>
  </si>
  <si>
    <t>Call ask</t>
  </si>
  <si>
    <t>Call mid</t>
  </si>
  <si>
    <t>Call IV</t>
  </si>
  <si>
    <t>Put bid</t>
  </si>
  <si>
    <t>Put ask</t>
  </si>
  <si>
    <t>Put mid</t>
  </si>
  <si>
    <t>Put IV</t>
  </si>
  <si>
    <t>Call OI</t>
  </si>
  <si>
    <t>Put OI</t>
  </si>
  <si>
    <t>Legs (premium = mid when the market is tight, else Black-Scholes at the reference IV)</t>
  </si>
  <si>
    <t>Leg</t>
  </si>
  <si>
    <t>Type</t>
  </si>
  <si>
    <t>Mid</t>
  </si>
  <si>
    <t>Spread % of mid</t>
  </si>
  <si>
    <t>BS value</t>
  </si>
  <si>
    <t>Premium used</t>
  </si>
  <si>
    <t>Source</t>
  </si>
  <si>
    <t>d1</t>
  </si>
  <si>
    <t>Delta</t>
  </si>
  <si>
    <t>E[payoff] if approved</t>
  </si>
  <si>
    <t>E[payoff] if CRL</t>
  </si>
  <si>
    <t>Dec-26 $4 call</t>
  </si>
  <si>
    <t>C</t>
  </si>
  <si>
    <t>Dec-26 $4 put</t>
  </si>
  <si>
    <t>P</t>
  </si>
  <si>
    <t>Dec-26 $6 call</t>
  </si>
  <si>
    <t>Dec-26 $2 put</t>
  </si>
  <si>
    <t>Strategies (+ = credit received, − = debit paid; per share unless noted)</t>
  </si>
  <si>
    <t>Metric</t>
  </si>
  <si>
    <t>Long straddle</t>
  </si>
  <si>
    <t>Bull call spread</t>
  </si>
  <si>
    <t>Bear put spread</t>
  </si>
  <si>
    <t>Iron butterfly</t>
  </si>
  <si>
    <t>Structure</t>
  </si>
  <si>
    <t>Buy $4 call + $4 put</t>
  </si>
  <si>
    <t>Buy $4 / sell $6 call</t>
  </si>
  <si>
    <t>Buy $4 / sell $2 put</t>
  </si>
  <si>
    <t>Sell $4 straddle, buy $2 put + $6 call</t>
  </si>
  <si>
    <t>Net premium</t>
  </si>
  <si>
    <t>Net premium / contract</t>
  </si>
  <si>
    <t>Max profit / contract</t>
  </si>
  <si>
    <t>Max loss / contract</t>
  </si>
  <si>
    <t>Breakeven (low)</t>
  </si>
  <si>
    <t>Breakeven (high)</t>
  </si>
  <si>
    <t>Prob. of profit (market-implied, lognormal)</t>
  </si>
  <si>
    <t>Expected P/L if approved</t>
  </si>
  <si>
    <t>Expected P/L if CRL</t>
  </si>
  <si>
    <t>Model expected P/L</t>
  </si>
  <si>
    <t>Expected P/L ÷ max loss</t>
  </si>
  <si>
    <t>Payoff at expiry per contract ($)</t>
  </si>
  <si>
    <t>Price at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</si>
</sst>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;\(0.0%\);&quot;-&quot;"/>
    <numFmt numFmtId="165" formatCode="#,##0;\(#,##0\);&quot;-&quot;"/>
    <numFmt numFmtId="166" formatCode="yyyy\-mm\-dd"/>
    <numFmt numFmtId="167" formatCode="0%;\(0%\);&quot;-&quot;"/>
    <numFmt numFmtId="168" formatCode="0.0"/>
    <numFmt numFmtId="169" formatCode="#,##0.0;\(#,##0.0\);&quot;-&quot;"/>
    <numFmt numFmtId="170" formatCode="0.0%"/>
    <numFmt numFmtId="171" formatCode="0.000"/>
    <numFmt numFmtId="172" formatCode="\$#,##0.00;\(\$#,##0.00\);&quot;-&quot;"/>
    <numFmt numFmtId="173" formatCode="0.000000"/>
    <numFmt numFmtId="174" formatCode="0.00\x"/>
    <numFmt numFmtId="175" formatCode="\$#,##0;\(\$#,##0\);&quot;-&quot;"/>
    <numFmt numFmtId="176" formatCode="#,##0.0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rgb="FF000000"/>
      <name val="Aptos Narrow"/>
    </font>
    <font>
      <b/>
      <sz val="12"/>
      <color rgb="FF000000"/>
      <name val="Aptos Narrow"/>
    </font>
    <font>
      <sz val="12"/>
      <color rgb="FF0000FF"/>
      <name val="Aptos Narrow"/>
    </font>
    <font>
      <i/>
      <sz val="12"/>
      <color rgb="FF000000"/>
      <name val="Aptos Narrow"/>
    </font>
    <font>
      <sz val="12"/>
      <color rgb="FF000000"/>
      <name val="Aptos Narrow"/>
    </font>
    <font>
      <b/>
      <sz val="12"/>
      <color rgb="FF0000FF"/>
      <name val="Aptos Narrow"/>
    </font>
    <font>
      <b/>
      <sz val="12"/>
      <color rgb="FF008000"/>
      <name val="Aptos Narrow"/>
    </font>
    <font>
      <sz val="12"/>
      <color rgb="FF008000"/>
      <name val="Aptos Narrow"/>
    </font>
    <font>
      <b/>
      <sz val="13"/>
      <color rgb="FF000000"/>
      <name val="Aptos Narrow"/>
    </font>
    <font>
      <i/>
      <sz val="12"/>
      <color rgb="FF008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3" fontId="0" fillId="0" borderId="0" xfId="0" applyNumberFormat="1"/>
    <xf numFmtId="0" fontId="0" fillId="0" borderId="2" xfId="0" applyBorder="1"/>
    <xf numFmtId="10" fontId="0" fillId="0" borderId="2" xfId="0" applyNumberFormat="1" applyBorder="1"/>
    <xf numFmtId="10" fontId="0" fillId="0" borderId="0" xfId="0" applyNumberFormat="1"/>
    <xf numFmtId="3" fontId="0" fillId="0" borderId="2" xfId="0" applyNumberFormat="1" applyBorder="1"/>
    <xf numFmtId="0" fontId="1" fillId="0" borderId="1" xfId="0" applyFont="1" applyBorder="1"/>
    <xf numFmtId="0" fontId="1" fillId="0" borderId="3" xfId="0" applyFont="1" applyBorder="1"/>
    <xf numFmtId="2" fontId="6" fillId="0" borderId="0" xfId="0" applyNumberFormat="1" applyFont="1"/>
    <xf numFmtId="176" fontId="6" fillId="0" borderId="0" xfId="0" applyNumberFormat="1" applyFont="1"/>
    <xf numFmtId="0" fontId="6" fillId="0" borderId="0" xfId="0" applyFont="1"/>
    <xf numFmtId="170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/>
    <xf numFmtId="0" fontId="3" fillId="0" borderId="1" xfId="0" applyFont="1" applyBorder="1"/>
    <xf numFmtId="169" fontId="6" fillId="0" borderId="0" xfId="0" applyNumberFormat="1" applyFont="1"/>
    <xf numFmtId="0" fontId="6" fillId="0" borderId="2" xfId="0" applyFont="1" applyBorder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164" fontId="4" fillId="2" borderId="0" xfId="0" applyNumberFormat="1" applyFont="1" applyFill="1"/>
    <xf numFmtId="165" fontId="4" fillId="2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/>
    <xf numFmtId="0" fontId="0" fillId="4" borderId="0" xfId="0" applyFill="1"/>
    <xf numFmtId="166" fontId="7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7" fontId="4" fillId="0" borderId="0" xfId="0" applyNumberFormat="1" applyFont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8" fontId="4" fillId="0" borderId="0" xfId="0" applyNumberFormat="1" applyFont="1" applyAlignment="1">
      <alignment horizontal="center"/>
    </xf>
    <xf numFmtId="0" fontId="10" fillId="0" borderId="0" xfId="0" applyFont="1"/>
    <xf numFmtId="165" fontId="11" fillId="0" borderId="0" xfId="0" applyNumberFormat="1" applyFont="1"/>
    <xf numFmtId="172" fontId="11" fillId="0" borderId="0" xfId="0" applyNumberFormat="1" applyFont="1"/>
    <xf numFmtId="164" fontId="11" fillId="0" borderId="0" xfId="0" applyNumberFormat="1" applyFont="1"/>
    <xf numFmtId="167" fontId="5" fillId="0" borderId="0" xfId="0" applyNumberFormat="1" applyFont="1"/>
    <xf numFmtId="164" fontId="5" fillId="0" borderId="0" xfId="0" applyNumberFormat="1" applyFont="1"/>
    <xf numFmtId="0" fontId="6" fillId="0" borderId="0" xfId="0" applyFont="1" applyAlignment="1">
      <alignment horizontal="center"/>
    </xf>
    <xf numFmtId="165" fontId="6" fillId="0" borderId="0" xfId="0" applyNumberFormat="1" applyFont="1"/>
    <xf numFmtId="172" fontId="6" fillId="0" borderId="0" xfId="0" applyNumberFormat="1" applyFont="1"/>
    <xf numFmtId="164" fontId="6" fillId="0" borderId="0" xfId="0" applyNumberFormat="1" applyFont="1"/>
    <xf numFmtId="167" fontId="6" fillId="0" borderId="0" xfId="0" applyNumberFormat="1" applyFont="1"/>
    <xf numFmtId="165" fontId="3" fillId="0" borderId="0" xfId="0" applyNumberFormat="1" applyFont="1"/>
    <xf numFmtId="172" fontId="3" fillId="0" borderId="0" xfId="0" applyNumberFormat="1" applyFont="1"/>
    <xf numFmtId="164" fontId="3" fillId="0" borderId="0" xfId="0" applyNumberFormat="1" applyFont="1"/>
    <xf numFmtId="167" fontId="3" fillId="0" borderId="0" xfId="0" applyNumberFormat="1" applyFont="1"/>
    <xf numFmtId="167" fontId="5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" fontId="6" fillId="0" borderId="0" xfId="0" applyNumberFormat="1" applyFont="1"/>
    <xf numFmtId="165" fontId="3" fillId="0" borderId="5" xfId="0" applyNumberFormat="1" applyFont="1" applyBorder="1"/>
    <xf numFmtId="0" fontId="8" fillId="0" borderId="0" xfId="0" applyFont="1"/>
    <xf numFmtId="166" fontId="9" fillId="0" borderId="0" xfId="0" applyNumberFormat="1" applyFont="1"/>
    <xf numFmtId="164" fontId="9" fillId="0" borderId="0" xfId="0" applyNumberFormat="1" applyFont="1"/>
    <xf numFmtId="0" fontId="6" fillId="3" borderId="0" xfId="0" applyFont="1" applyFill="1"/>
    <xf numFmtId="0" fontId="3" fillId="3" borderId="0" xfId="0" applyFont="1" applyFill="1" applyAlignment="1">
      <alignment horizontal="right"/>
    </xf>
    <xf numFmtId="165" fontId="9" fillId="0" borderId="0" xfId="0" applyNumberFormat="1" applyFont="1"/>
    <xf numFmtId="166" fontId="6" fillId="0" borderId="0" xfId="0" applyNumberFormat="1" applyFont="1" applyAlignment="1">
      <alignment horizontal="right"/>
    </xf>
    <xf numFmtId="171" fontId="6" fillId="0" borderId="0" xfId="0" applyNumberFormat="1" applyFont="1"/>
    <xf numFmtId="169" fontId="9" fillId="0" borderId="0" xfId="0" applyNumberFormat="1" applyFont="1"/>
    <xf numFmtId="1" fontId="6" fillId="0" borderId="0" xfId="0" applyNumberFormat="1" applyFont="1" applyAlignment="1">
      <alignment horizontal="center"/>
    </xf>
    <xf numFmtId="171" fontId="4" fillId="0" borderId="0" xfId="0" applyNumberFormat="1" applyFont="1"/>
    <xf numFmtId="172" fontId="4" fillId="0" borderId="0" xfId="0" applyNumberFormat="1" applyFont="1"/>
    <xf numFmtId="172" fontId="3" fillId="2" borderId="0" xfId="0" applyNumberFormat="1" applyFont="1" applyFill="1"/>
    <xf numFmtId="172" fontId="9" fillId="0" borderId="0" xfId="0" applyNumberFormat="1" applyFont="1"/>
    <xf numFmtId="0" fontId="3" fillId="4" borderId="0" xfId="0" applyFont="1" applyFill="1" applyAlignment="1">
      <alignment horizontal="right"/>
    </xf>
    <xf numFmtId="172" fontId="3" fillId="0" borderId="5" xfId="0" applyNumberFormat="1" applyFont="1" applyBorder="1"/>
    <xf numFmtId="173" fontId="5" fillId="0" borderId="0" xfId="0" applyNumberFormat="1" applyFont="1"/>
    <xf numFmtId="166" fontId="4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174" fontId="3" fillId="0" borderId="0" xfId="0" applyNumberFormat="1" applyFont="1"/>
    <xf numFmtId="2" fontId="4" fillId="0" borderId="0" xfId="0" applyNumberFormat="1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175" fontId="6" fillId="0" borderId="0" xfId="0" applyNumberFormat="1" applyFont="1"/>
    <xf numFmtId="175" fontId="6" fillId="0" borderId="0" xfId="0" applyNumberFormat="1" applyFont="1" applyAlignment="1">
      <alignment horizontal="right"/>
    </xf>
    <xf numFmtId="172" fontId="6" fillId="0" borderId="0" xfId="0" applyNumberFormat="1" applyFont="1" applyAlignment="1">
      <alignment horizontal="right"/>
    </xf>
    <xf numFmtId="175" fontId="3" fillId="0" borderId="0" xfId="0" applyNumberFormat="1" applyFont="1"/>
    <xf numFmtId="172" fontId="6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P/L at expiry per contract (Dec 18, 2026)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Options!$B$62</c:f>
              <c:strCache>
                <c:ptCount val="1"/>
                <c:pt idx="0">
                  <c:v>Long straddle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Options!$A$63:$A$93</c:f>
              <c:numCache>
                <c:formatCode>\$#,##0.00;\(\$#,##0.00\);"-"</c:formatCode>
                <c:ptCount val="31"/>
                <c:pt idx="0">
                  <c:v>0</c:v>
                </c:pt>
                <c:pt idx="1">
                  <c:v>0.33</c:v>
                </c:pt>
                <c:pt idx="2">
                  <c:v>0.65</c:v>
                </c:pt>
                <c:pt idx="3">
                  <c:v>0.98</c:v>
                </c:pt>
                <c:pt idx="4">
                  <c:v>1.31</c:v>
                </c:pt>
                <c:pt idx="5">
                  <c:v>1.63</c:v>
                </c:pt>
                <c:pt idx="6">
                  <c:v>1.96</c:v>
                </c:pt>
                <c:pt idx="7">
                  <c:v>2.29</c:v>
                </c:pt>
                <c:pt idx="8">
                  <c:v>2.61</c:v>
                </c:pt>
                <c:pt idx="9">
                  <c:v>2.94</c:v>
                </c:pt>
                <c:pt idx="10">
                  <c:v>3.27</c:v>
                </c:pt>
                <c:pt idx="11">
                  <c:v>3.59</c:v>
                </c:pt>
                <c:pt idx="12">
                  <c:v>3.92</c:v>
                </c:pt>
                <c:pt idx="13">
                  <c:v>4.25</c:v>
                </c:pt>
                <c:pt idx="14">
                  <c:v>4.57</c:v>
                </c:pt>
                <c:pt idx="15">
                  <c:v>4.9000000000000004</c:v>
                </c:pt>
                <c:pt idx="16">
                  <c:v>5.23</c:v>
                </c:pt>
                <c:pt idx="17">
                  <c:v>5.55</c:v>
                </c:pt>
                <c:pt idx="18">
                  <c:v>5.88</c:v>
                </c:pt>
                <c:pt idx="19">
                  <c:v>6.21</c:v>
                </c:pt>
                <c:pt idx="20">
                  <c:v>6.53</c:v>
                </c:pt>
                <c:pt idx="21">
                  <c:v>6.86</c:v>
                </c:pt>
                <c:pt idx="22">
                  <c:v>7.19</c:v>
                </c:pt>
                <c:pt idx="23">
                  <c:v>7.51</c:v>
                </c:pt>
                <c:pt idx="24">
                  <c:v>7.84</c:v>
                </c:pt>
                <c:pt idx="25">
                  <c:v>8.17</c:v>
                </c:pt>
                <c:pt idx="26">
                  <c:v>8.49</c:v>
                </c:pt>
                <c:pt idx="27">
                  <c:v>8.82</c:v>
                </c:pt>
                <c:pt idx="28">
                  <c:v>9.15</c:v>
                </c:pt>
                <c:pt idx="29">
                  <c:v>9.4700000000000006</c:v>
                </c:pt>
                <c:pt idx="30">
                  <c:v>9.8000000000000007</c:v>
                </c:pt>
              </c:numCache>
            </c:numRef>
          </c:xVal>
          <c:yVal>
            <c:numRef>
              <c:f>Options!$B$63:$B$93</c:f>
              <c:numCache>
                <c:formatCode>#,##0;\(#,##0\);"-"</c:formatCode>
                <c:ptCount val="31"/>
                <c:pt idx="0">
                  <c:v>207.68199914173647</c:v>
                </c:pt>
                <c:pt idx="1">
                  <c:v>174.68199914173644</c:v>
                </c:pt>
                <c:pt idx="2">
                  <c:v>142.6819991417365</c:v>
                </c:pt>
                <c:pt idx="3">
                  <c:v>109.68199914173648</c:v>
                </c:pt>
                <c:pt idx="4">
                  <c:v>76.681999141736455</c:v>
                </c:pt>
                <c:pt idx="5">
                  <c:v>44.681999141736469</c:v>
                </c:pt>
                <c:pt idx="6">
                  <c:v>11.681999141736465</c:v>
                </c:pt>
                <c:pt idx="7">
                  <c:v>-21.318000858263542</c:v>
                </c:pt>
                <c:pt idx="8">
                  <c:v>-53.318000858263524</c:v>
                </c:pt>
                <c:pt idx="9">
                  <c:v>-86.318000858263531</c:v>
                </c:pt>
                <c:pt idx="10">
                  <c:v>-119.31800085826355</c:v>
                </c:pt>
                <c:pt idx="11">
                  <c:v>-151.31800085826353</c:v>
                </c:pt>
                <c:pt idx="12">
                  <c:v>-184.31800085826353</c:v>
                </c:pt>
                <c:pt idx="13">
                  <c:v>-167.31800085826353</c:v>
                </c:pt>
                <c:pt idx="14">
                  <c:v>-135.3180008582635</c:v>
                </c:pt>
                <c:pt idx="15">
                  <c:v>-102.3180008582635</c:v>
                </c:pt>
                <c:pt idx="16">
                  <c:v>-69.318000858263503</c:v>
                </c:pt>
                <c:pt idx="17">
                  <c:v>-37.318000858263559</c:v>
                </c:pt>
                <c:pt idx="18">
                  <c:v>-4.3180008582635487</c:v>
                </c:pt>
                <c:pt idx="19">
                  <c:v>28.681999141736458</c:v>
                </c:pt>
                <c:pt idx="20">
                  <c:v>60.681999141736483</c:v>
                </c:pt>
                <c:pt idx="21">
                  <c:v>93.681999141736497</c:v>
                </c:pt>
                <c:pt idx="22">
                  <c:v>126.68199914173648</c:v>
                </c:pt>
                <c:pt idx="23">
                  <c:v>158.68199914173641</c:v>
                </c:pt>
                <c:pt idx="24">
                  <c:v>191.68199914173641</c:v>
                </c:pt>
                <c:pt idx="25">
                  <c:v>224.68199914173647</c:v>
                </c:pt>
                <c:pt idx="26">
                  <c:v>256.68199914173647</c:v>
                </c:pt>
                <c:pt idx="27">
                  <c:v>289.68199914173647</c:v>
                </c:pt>
                <c:pt idx="28">
                  <c:v>322.68199914173647</c:v>
                </c:pt>
                <c:pt idx="29">
                  <c:v>354.68199914173653</c:v>
                </c:pt>
                <c:pt idx="30">
                  <c:v>387.68199914173653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7B-244F-AB3D-9104317A3E6A}"/>
            </c:ext>
          </c:extLst>
        </c:ser>
        <c:ser>
          <c:idx val="1"/>
          <c:order val="1"/>
          <c:tx>
            <c:strRef>
              <c:f>Options!$C$62</c:f>
              <c:strCache>
                <c:ptCount val="1"/>
                <c:pt idx="0">
                  <c:v>Bull call spread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Options!$A$63:$A$93</c:f>
              <c:numCache>
                <c:formatCode>\$#,##0.00;\(\$#,##0.00\);"-"</c:formatCode>
                <c:ptCount val="31"/>
                <c:pt idx="0">
                  <c:v>0</c:v>
                </c:pt>
                <c:pt idx="1">
                  <c:v>0.33</c:v>
                </c:pt>
                <c:pt idx="2">
                  <c:v>0.65</c:v>
                </c:pt>
                <c:pt idx="3">
                  <c:v>0.98</c:v>
                </c:pt>
                <c:pt idx="4">
                  <c:v>1.31</c:v>
                </c:pt>
                <c:pt idx="5">
                  <c:v>1.63</c:v>
                </c:pt>
                <c:pt idx="6">
                  <c:v>1.96</c:v>
                </c:pt>
                <c:pt idx="7">
                  <c:v>2.29</c:v>
                </c:pt>
                <c:pt idx="8">
                  <c:v>2.61</c:v>
                </c:pt>
                <c:pt idx="9">
                  <c:v>2.94</c:v>
                </c:pt>
                <c:pt idx="10">
                  <c:v>3.27</c:v>
                </c:pt>
                <c:pt idx="11">
                  <c:v>3.59</c:v>
                </c:pt>
                <c:pt idx="12">
                  <c:v>3.92</c:v>
                </c:pt>
                <c:pt idx="13">
                  <c:v>4.25</c:v>
                </c:pt>
                <c:pt idx="14">
                  <c:v>4.57</c:v>
                </c:pt>
                <c:pt idx="15">
                  <c:v>4.9000000000000004</c:v>
                </c:pt>
                <c:pt idx="16">
                  <c:v>5.23</c:v>
                </c:pt>
                <c:pt idx="17">
                  <c:v>5.55</c:v>
                </c:pt>
                <c:pt idx="18">
                  <c:v>5.88</c:v>
                </c:pt>
                <c:pt idx="19">
                  <c:v>6.21</c:v>
                </c:pt>
                <c:pt idx="20">
                  <c:v>6.53</c:v>
                </c:pt>
                <c:pt idx="21">
                  <c:v>6.86</c:v>
                </c:pt>
                <c:pt idx="22">
                  <c:v>7.19</c:v>
                </c:pt>
                <c:pt idx="23">
                  <c:v>7.51</c:v>
                </c:pt>
                <c:pt idx="24">
                  <c:v>7.84</c:v>
                </c:pt>
                <c:pt idx="25">
                  <c:v>8.17</c:v>
                </c:pt>
                <c:pt idx="26">
                  <c:v>8.49</c:v>
                </c:pt>
                <c:pt idx="27">
                  <c:v>8.82</c:v>
                </c:pt>
                <c:pt idx="28">
                  <c:v>9.15</c:v>
                </c:pt>
                <c:pt idx="29">
                  <c:v>9.4700000000000006</c:v>
                </c:pt>
                <c:pt idx="30">
                  <c:v>9.8000000000000007</c:v>
                </c:pt>
              </c:numCache>
            </c:numRef>
          </c:xVal>
          <c:yVal>
            <c:numRef>
              <c:f>Options!$C$63:$C$93</c:f>
              <c:numCache>
                <c:formatCode>#,##0;\(#,##0\);"-"</c:formatCode>
                <c:ptCount val="31"/>
                <c:pt idx="0">
                  <c:v>-52.840116846070018</c:v>
                </c:pt>
                <c:pt idx="1">
                  <c:v>-52.840116846070018</c:v>
                </c:pt>
                <c:pt idx="2">
                  <c:v>-52.840116846070018</c:v>
                </c:pt>
                <c:pt idx="3">
                  <c:v>-52.840116846070018</c:v>
                </c:pt>
                <c:pt idx="4">
                  <c:v>-52.840116846070018</c:v>
                </c:pt>
                <c:pt idx="5">
                  <c:v>-52.840116846070018</c:v>
                </c:pt>
                <c:pt idx="6">
                  <c:v>-52.840116846070018</c:v>
                </c:pt>
                <c:pt idx="7">
                  <c:v>-52.840116846070018</c:v>
                </c:pt>
                <c:pt idx="8">
                  <c:v>-52.840116846070018</c:v>
                </c:pt>
                <c:pt idx="9">
                  <c:v>-52.840116846070018</c:v>
                </c:pt>
                <c:pt idx="10">
                  <c:v>-52.840116846070018</c:v>
                </c:pt>
                <c:pt idx="11">
                  <c:v>-52.840116846070018</c:v>
                </c:pt>
                <c:pt idx="12">
                  <c:v>-52.840116846070018</c:v>
                </c:pt>
                <c:pt idx="13">
                  <c:v>-27.840116846070018</c:v>
                </c:pt>
                <c:pt idx="14">
                  <c:v>4.1598831539300107</c:v>
                </c:pt>
                <c:pt idx="15">
                  <c:v>37.159883153930018</c:v>
                </c:pt>
                <c:pt idx="16">
                  <c:v>70.159883153930025</c:v>
                </c:pt>
                <c:pt idx="17">
                  <c:v>102.15988315392997</c:v>
                </c:pt>
                <c:pt idx="18">
                  <c:v>135.15988315392997</c:v>
                </c:pt>
                <c:pt idx="19">
                  <c:v>147.15988315392997</c:v>
                </c:pt>
                <c:pt idx="20">
                  <c:v>147.15988315392997</c:v>
                </c:pt>
                <c:pt idx="21">
                  <c:v>147.15988315392997</c:v>
                </c:pt>
                <c:pt idx="22">
                  <c:v>147.15988315392997</c:v>
                </c:pt>
                <c:pt idx="23">
                  <c:v>147.15988315392997</c:v>
                </c:pt>
                <c:pt idx="24">
                  <c:v>147.15988315392997</c:v>
                </c:pt>
                <c:pt idx="25">
                  <c:v>147.15988315392997</c:v>
                </c:pt>
                <c:pt idx="26">
                  <c:v>147.15988315392997</c:v>
                </c:pt>
                <c:pt idx="27">
                  <c:v>147.15988315392997</c:v>
                </c:pt>
                <c:pt idx="28">
                  <c:v>147.15988315392997</c:v>
                </c:pt>
                <c:pt idx="29">
                  <c:v>147.15988315392997</c:v>
                </c:pt>
                <c:pt idx="30">
                  <c:v>147.15988315392997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7B-244F-AB3D-9104317A3E6A}"/>
            </c:ext>
          </c:extLst>
        </c:ser>
        <c:ser>
          <c:idx val="2"/>
          <c:order val="2"/>
          <c:tx>
            <c:strRef>
              <c:f>Options!$D$62</c:f>
              <c:strCache>
                <c:ptCount val="1"/>
                <c:pt idx="0">
                  <c:v>Bear put spread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Options!$A$63:$A$93</c:f>
              <c:numCache>
                <c:formatCode>\$#,##0.00;\(\$#,##0.00\);"-"</c:formatCode>
                <c:ptCount val="31"/>
                <c:pt idx="0">
                  <c:v>0</c:v>
                </c:pt>
                <c:pt idx="1">
                  <c:v>0.33</c:v>
                </c:pt>
                <c:pt idx="2">
                  <c:v>0.65</c:v>
                </c:pt>
                <c:pt idx="3">
                  <c:v>0.98</c:v>
                </c:pt>
                <c:pt idx="4">
                  <c:v>1.31</c:v>
                </c:pt>
                <c:pt idx="5">
                  <c:v>1.63</c:v>
                </c:pt>
                <c:pt idx="6">
                  <c:v>1.96</c:v>
                </c:pt>
                <c:pt idx="7">
                  <c:v>2.29</c:v>
                </c:pt>
                <c:pt idx="8">
                  <c:v>2.61</c:v>
                </c:pt>
                <c:pt idx="9">
                  <c:v>2.94</c:v>
                </c:pt>
                <c:pt idx="10">
                  <c:v>3.27</c:v>
                </c:pt>
                <c:pt idx="11">
                  <c:v>3.59</c:v>
                </c:pt>
                <c:pt idx="12">
                  <c:v>3.92</c:v>
                </c:pt>
                <c:pt idx="13">
                  <c:v>4.25</c:v>
                </c:pt>
                <c:pt idx="14">
                  <c:v>4.57</c:v>
                </c:pt>
                <c:pt idx="15">
                  <c:v>4.9000000000000004</c:v>
                </c:pt>
                <c:pt idx="16">
                  <c:v>5.23</c:v>
                </c:pt>
                <c:pt idx="17">
                  <c:v>5.55</c:v>
                </c:pt>
                <c:pt idx="18">
                  <c:v>5.88</c:v>
                </c:pt>
                <c:pt idx="19">
                  <c:v>6.21</c:v>
                </c:pt>
                <c:pt idx="20">
                  <c:v>6.53</c:v>
                </c:pt>
                <c:pt idx="21">
                  <c:v>6.86</c:v>
                </c:pt>
                <c:pt idx="22">
                  <c:v>7.19</c:v>
                </c:pt>
                <c:pt idx="23">
                  <c:v>7.51</c:v>
                </c:pt>
                <c:pt idx="24">
                  <c:v>7.84</c:v>
                </c:pt>
                <c:pt idx="25">
                  <c:v>8.17</c:v>
                </c:pt>
                <c:pt idx="26">
                  <c:v>8.49</c:v>
                </c:pt>
                <c:pt idx="27">
                  <c:v>8.82</c:v>
                </c:pt>
                <c:pt idx="28">
                  <c:v>9.15</c:v>
                </c:pt>
                <c:pt idx="29">
                  <c:v>9.4700000000000006</c:v>
                </c:pt>
                <c:pt idx="30">
                  <c:v>9.8000000000000007</c:v>
                </c:pt>
              </c:numCache>
            </c:numRef>
          </c:xVal>
          <c:yVal>
            <c:numRef>
              <c:f>Options!$D$63:$D$93</c:f>
              <c:numCache>
                <c:formatCode>#,##0;\(#,##0\);"-"</c:formatCode>
                <c:ptCount val="31"/>
                <c:pt idx="0">
                  <c:v>118.06207734390036</c:v>
                </c:pt>
                <c:pt idx="1">
                  <c:v>118.06207734390036</c:v>
                </c:pt>
                <c:pt idx="2">
                  <c:v>118.06207734390036</c:v>
                </c:pt>
                <c:pt idx="3">
                  <c:v>118.06207734390036</c:v>
                </c:pt>
                <c:pt idx="4">
                  <c:v>118.06207734390036</c:v>
                </c:pt>
                <c:pt idx="5">
                  <c:v>118.06207734390036</c:v>
                </c:pt>
                <c:pt idx="6">
                  <c:v>118.06207734390036</c:v>
                </c:pt>
                <c:pt idx="7">
                  <c:v>89.062077343900341</c:v>
                </c:pt>
                <c:pt idx="8">
                  <c:v>57.062077343900363</c:v>
                </c:pt>
                <c:pt idx="9">
                  <c:v>24.062077343900352</c:v>
                </c:pt>
                <c:pt idx="10">
                  <c:v>-8.9379226560996567</c:v>
                </c:pt>
                <c:pt idx="11">
                  <c:v>-40.937922656099637</c:v>
                </c:pt>
                <c:pt idx="12">
                  <c:v>-73.937922656099644</c:v>
                </c:pt>
                <c:pt idx="13">
                  <c:v>-81.937922656099644</c:v>
                </c:pt>
                <c:pt idx="14">
                  <c:v>-81.937922656099644</c:v>
                </c:pt>
                <c:pt idx="15">
                  <c:v>-81.937922656099644</c:v>
                </c:pt>
                <c:pt idx="16">
                  <c:v>-81.937922656099644</c:v>
                </c:pt>
                <c:pt idx="17">
                  <c:v>-81.937922656099644</c:v>
                </c:pt>
                <c:pt idx="18">
                  <c:v>-81.937922656099644</c:v>
                </c:pt>
                <c:pt idx="19">
                  <c:v>-81.937922656099644</c:v>
                </c:pt>
                <c:pt idx="20">
                  <c:v>-81.937922656099644</c:v>
                </c:pt>
                <c:pt idx="21">
                  <c:v>-81.937922656099644</c:v>
                </c:pt>
                <c:pt idx="22">
                  <c:v>-81.937922656099644</c:v>
                </c:pt>
                <c:pt idx="23">
                  <c:v>-81.937922656099644</c:v>
                </c:pt>
                <c:pt idx="24">
                  <c:v>-81.937922656099644</c:v>
                </c:pt>
                <c:pt idx="25">
                  <c:v>-81.937922656099644</c:v>
                </c:pt>
                <c:pt idx="26">
                  <c:v>-81.937922656099644</c:v>
                </c:pt>
                <c:pt idx="27">
                  <c:v>-81.937922656099644</c:v>
                </c:pt>
                <c:pt idx="28">
                  <c:v>-81.937922656099644</c:v>
                </c:pt>
                <c:pt idx="29">
                  <c:v>-81.937922656099644</c:v>
                </c:pt>
                <c:pt idx="30">
                  <c:v>-81.937922656099644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7B-244F-AB3D-9104317A3E6A}"/>
            </c:ext>
          </c:extLst>
        </c:ser>
        <c:ser>
          <c:idx val="3"/>
          <c:order val="3"/>
          <c:tx>
            <c:strRef>
              <c:f>Options!$E$62</c:f>
              <c:strCache>
                <c:ptCount val="1"/>
                <c:pt idx="0">
                  <c:v>Iron butterfly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Options!$A$63:$A$93</c:f>
              <c:numCache>
                <c:formatCode>\$#,##0.00;\(\$#,##0.00\);"-"</c:formatCode>
                <c:ptCount val="31"/>
                <c:pt idx="0">
                  <c:v>0</c:v>
                </c:pt>
                <c:pt idx="1">
                  <c:v>0.33</c:v>
                </c:pt>
                <c:pt idx="2">
                  <c:v>0.65</c:v>
                </c:pt>
                <c:pt idx="3">
                  <c:v>0.98</c:v>
                </c:pt>
                <c:pt idx="4">
                  <c:v>1.31</c:v>
                </c:pt>
                <c:pt idx="5">
                  <c:v>1.63</c:v>
                </c:pt>
                <c:pt idx="6">
                  <c:v>1.96</c:v>
                </c:pt>
                <c:pt idx="7">
                  <c:v>2.29</c:v>
                </c:pt>
                <c:pt idx="8">
                  <c:v>2.61</c:v>
                </c:pt>
                <c:pt idx="9">
                  <c:v>2.94</c:v>
                </c:pt>
                <c:pt idx="10">
                  <c:v>3.27</c:v>
                </c:pt>
                <c:pt idx="11">
                  <c:v>3.59</c:v>
                </c:pt>
                <c:pt idx="12">
                  <c:v>3.92</c:v>
                </c:pt>
                <c:pt idx="13">
                  <c:v>4.25</c:v>
                </c:pt>
                <c:pt idx="14">
                  <c:v>4.57</c:v>
                </c:pt>
                <c:pt idx="15">
                  <c:v>4.9000000000000004</c:v>
                </c:pt>
                <c:pt idx="16">
                  <c:v>5.23</c:v>
                </c:pt>
                <c:pt idx="17">
                  <c:v>5.55</c:v>
                </c:pt>
                <c:pt idx="18">
                  <c:v>5.88</c:v>
                </c:pt>
                <c:pt idx="19">
                  <c:v>6.21</c:v>
                </c:pt>
                <c:pt idx="20">
                  <c:v>6.53</c:v>
                </c:pt>
                <c:pt idx="21">
                  <c:v>6.86</c:v>
                </c:pt>
                <c:pt idx="22">
                  <c:v>7.19</c:v>
                </c:pt>
                <c:pt idx="23">
                  <c:v>7.51</c:v>
                </c:pt>
                <c:pt idx="24">
                  <c:v>7.84</c:v>
                </c:pt>
                <c:pt idx="25">
                  <c:v>8.17</c:v>
                </c:pt>
                <c:pt idx="26">
                  <c:v>8.49</c:v>
                </c:pt>
                <c:pt idx="27">
                  <c:v>8.82</c:v>
                </c:pt>
                <c:pt idx="28">
                  <c:v>9.15</c:v>
                </c:pt>
                <c:pt idx="29">
                  <c:v>9.4700000000000006</c:v>
                </c:pt>
                <c:pt idx="30">
                  <c:v>9.8000000000000007</c:v>
                </c:pt>
              </c:numCache>
            </c:numRef>
          </c:xVal>
          <c:yVal>
            <c:numRef>
              <c:f>Options!$E$63:$E$93</c:f>
              <c:numCache>
                <c:formatCode>#,##0;\(#,##0\);"-"</c:formatCode>
                <c:ptCount val="31"/>
                <c:pt idx="0">
                  <c:v>-65.221960497830352</c:v>
                </c:pt>
                <c:pt idx="1">
                  <c:v>-65.221960497830352</c:v>
                </c:pt>
                <c:pt idx="2">
                  <c:v>-65.22196049783031</c:v>
                </c:pt>
                <c:pt idx="3">
                  <c:v>-65.221960497830338</c:v>
                </c:pt>
                <c:pt idx="4">
                  <c:v>-65.221960497830338</c:v>
                </c:pt>
                <c:pt idx="5">
                  <c:v>-65.221960497830338</c:v>
                </c:pt>
                <c:pt idx="6">
                  <c:v>-65.221960497830338</c:v>
                </c:pt>
                <c:pt idx="7">
                  <c:v>-36.221960497830331</c:v>
                </c:pt>
                <c:pt idx="8">
                  <c:v>-4.221960497830346</c:v>
                </c:pt>
                <c:pt idx="9">
                  <c:v>28.778039502169662</c:v>
                </c:pt>
                <c:pt idx="10">
                  <c:v>61.778039502169669</c:v>
                </c:pt>
                <c:pt idx="11">
                  <c:v>93.778039502169648</c:v>
                </c:pt>
                <c:pt idx="12">
                  <c:v>126.77803950216966</c:v>
                </c:pt>
                <c:pt idx="13">
                  <c:v>109.77803950216966</c:v>
                </c:pt>
                <c:pt idx="14">
                  <c:v>77.778039502169634</c:v>
                </c:pt>
                <c:pt idx="15">
                  <c:v>44.778039502169634</c:v>
                </c:pt>
                <c:pt idx="16">
                  <c:v>11.778039502169623</c:v>
                </c:pt>
                <c:pt idx="17">
                  <c:v>-20.221960497830317</c:v>
                </c:pt>
                <c:pt idx="18">
                  <c:v>-53.221960497830324</c:v>
                </c:pt>
                <c:pt idx="19">
                  <c:v>-65.221960497830338</c:v>
                </c:pt>
                <c:pt idx="20">
                  <c:v>-65.221960497830338</c:v>
                </c:pt>
                <c:pt idx="21">
                  <c:v>-65.221960497830338</c:v>
                </c:pt>
                <c:pt idx="22">
                  <c:v>-65.221960497830338</c:v>
                </c:pt>
                <c:pt idx="23">
                  <c:v>-65.221960497830352</c:v>
                </c:pt>
                <c:pt idx="24">
                  <c:v>-65.221960497830352</c:v>
                </c:pt>
                <c:pt idx="25">
                  <c:v>-65.221960497830352</c:v>
                </c:pt>
                <c:pt idx="26">
                  <c:v>-65.221960497830352</c:v>
                </c:pt>
                <c:pt idx="27">
                  <c:v>-65.221960497830352</c:v>
                </c:pt>
                <c:pt idx="28">
                  <c:v>-65.221960497830352</c:v>
                </c:pt>
                <c:pt idx="29">
                  <c:v>-65.221960497830352</c:v>
                </c:pt>
                <c:pt idx="30">
                  <c:v>-65.221960497830352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7B-244F-AB3D-9104317A3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VNDA price at expiry ($)</a:t>
                </a:r>
              </a:p>
            </c:rich>
          </c:tx>
          <c:overlay val="1"/>
        </c:title>
        <c:numFmt formatCode="\$#,##0.00;\(\$#,##0.00\);&quot;-&quot;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P/L ($)</a:t>
                </a:r>
              </a:p>
            </c:rich>
          </c:tx>
          <c:overlay val="1"/>
        </c:title>
        <c:numFmt formatCode="#,##0;\(#,##0\);&quot;-&quot;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../Screener.xlsx" TargetMode="External"/><Relationship Id="rId1" Type="http://schemas.openxmlformats.org/officeDocument/2006/relationships/externalLinkPath" Target="/Users/eric/Documents/Stock%20Models/Screener.xlsx" TargetMode="External"/><Relationship Id="rId1" Type="http://schemas.openxmlformats.org/officeDocument/2006/relationships/externalLinkPath" Target="/Users/eric/Documents/Stock%20Models/Screen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MAIA</v>
          </cell>
          <cell r="F3">
            <v>1286.835</v>
          </cell>
        </row>
        <row r="4">
          <cell r="B4" t="str">
            <v>CDIO</v>
          </cell>
          <cell r="F4">
            <v>259.4</v>
          </cell>
        </row>
        <row r="5">
          <cell r="B5" t="str">
            <v>UPC</v>
          </cell>
          <cell r="F5">
            <v>289.15</v>
          </cell>
        </row>
        <row r="6">
          <cell r="B6" t="str">
            <v>AAPG</v>
          </cell>
          <cell r="F6">
            <v>148.3</v>
          </cell>
        </row>
        <row r="7">
          <cell r="B7" t="str">
            <v>ADRX</v>
          </cell>
          <cell r="F7">
            <v>153.64</v>
          </cell>
        </row>
        <row r="8">
          <cell r="B8" t="str">
            <v>ADXN</v>
          </cell>
          <cell r="F8">
            <v>168.82</v>
          </cell>
        </row>
        <row r="9">
          <cell r="B9" t="str">
            <v>AGMB</v>
          </cell>
          <cell r="F9">
            <v>438.94</v>
          </cell>
        </row>
        <row r="10">
          <cell r="B10" t="str">
            <v>ALPS</v>
          </cell>
          <cell r="F10">
            <v>156.51</v>
          </cell>
        </row>
        <row r="11">
          <cell r="B11" t="str">
            <v>ANL</v>
          </cell>
          <cell r="F11">
            <v>39.345</v>
          </cell>
        </row>
        <row r="12">
          <cell r="B12" t="str">
            <v>APLM</v>
          </cell>
          <cell r="F12">
            <v>30.13</v>
          </cell>
        </row>
        <row r="13">
          <cell r="B13" t="str">
            <v>BNR</v>
          </cell>
          <cell r="F13">
            <v>514.65</v>
          </cell>
        </row>
        <row r="14">
          <cell r="B14" t="str">
            <v>CUVL</v>
          </cell>
          <cell r="F14">
            <v>61.715</v>
          </cell>
        </row>
        <row r="15">
          <cell r="B15" t="str">
            <v>DRUG</v>
          </cell>
          <cell r="F15">
            <v>50.645</v>
          </cell>
        </row>
        <row r="16">
          <cell r="B16" t="str">
            <v>ETRA</v>
          </cell>
          <cell r="F16">
            <v>41.4</v>
          </cell>
        </row>
        <row r="17">
          <cell r="B17" t="str">
            <v>GRFS</v>
          </cell>
          <cell r="F17">
            <v>242.08</v>
          </cell>
        </row>
        <row r="18">
          <cell r="B18" t="str">
            <v>INCR</v>
          </cell>
          <cell r="F18">
            <v>807.48</v>
          </cell>
        </row>
        <row r="19">
          <cell r="B19" t="str">
            <v>NIKI</v>
          </cell>
          <cell r="F19">
            <v>20.08</v>
          </cell>
        </row>
        <row r="20">
          <cell r="B20" t="str">
            <v>OGI</v>
          </cell>
          <cell r="F20">
            <v>405.92</v>
          </cell>
        </row>
        <row r="21">
          <cell r="B21" t="str">
            <v>OPTH</v>
          </cell>
          <cell r="F21">
            <v>869.72</v>
          </cell>
        </row>
        <row r="22">
          <cell r="B22" t="str">
            <v>QNRX</v>
          </cell>
          <cell r="F22">
            <v>40.855</v>
          </cell>
        </row>
        <row r="23">
          <cell r="B23" t="str">
            <v>RADX</v>
          </cell>
          <cell r="F23">
            <v>10.17</v>
          </cell>
        </row>
        <row r="24">
          <cell r="B24" t="str">
            <v>SERA</v>
          </cell>
          <cell r="F24">
            <v>384.5</v>
          </cell>
        </row>
        <row r="25">
          <cell r="B25" t="str">
            <v>SLBT</v>
          </cell>
          <cell r="F25">
            <v>196.55</v>
          </cell>
        </row>
        <row r="26">
          <cell r="B26" t="str">
            <v>TLSA</v>
          </cell>
          <cell r="F26">
            <v>62.25</v>
          </cell>
        </row>
        <row r="27">
          <cell r="B27" t="str">
            <v>VCRE</v>
          </cell>
          <cell r="F27">
            <v>243.1</v>
          </cell>
        </row>
        <row r="28">
          <cell r="B28" t="str">
            <v>VRXA</v>
          </cell>
          <cell r="F28">
            <v>80.04</v>
          </cell>
        </row>
        <row r="29">
          <cell r="B29" t="str">
            <v>XRTX</v>
          </cell>
          <cell r="F29">
            <v>230.71</v>
          </cell>
        </row>
        <row r="30">
          <cell r="B30" t="str">
            <v>XTLB</v>
          </cell>
          <cell r="F30">
            <v>34.92</v>
          </cell>
        </row>
        <row r="31">
          <cell r="B31" t="str">
            <v>SXTC</v>
          </cell>
          <cell r="F31">
            <v>39.07</v>
          </cell>
        </row>
        <row r="32">
          <cell r="B32" t="str">
            <v>SBFM</v>
          </cell>
          <cell r="F32">
            <v>553.88</v>
          </cell>
        </row>
        <row r="33">
          <cell r="B33" t="str">
            <v>MDXH</v>
          </cell>
          <cell r="F33">
            <v>116.615</v>
          </cell>
        </row>
        <row r="34">
          <cell r="B34" t="str">
            <v>BDRX</v>
          </cell>
          <cell r="F34">
            <v>91.17</v>
          </cell>
        </row>
        <row r="35">
          <cell r="B35" t="str">
            <v>DCOY</v>
          </cell>
          <cell r="F35">
            <v>18.65</v>
          </cell>
        </row>
        <row r="36">
          <cell r="B36" t="str">
            <v>CMND</v>
          </cell>
          <cell r="F36">
            <v>95.67</v>
          </cell>
        </row>
        <row r="37">
          <cell r="B37" t="str">
            <v>GNPX</v>
          </cell>
          <cell r="F37">
            <v>64.39</v>
          </cell>
        </row>
        <row r="38">
          <cell r="B38" t="str">
            <v>PPBT</v>
          </cell>
          <cell r="F38">
            <v>234.33</v>
          </cell>
        </row>
        <row r="39">
          <cell r="B39" t="str">
            <v>NCNA</v>
          </cell>
          <cell r="F39">
            <v>124.37</v>
          </cell>
        </row>
        <row r="40">
          <cell r="B40" t="str">
            <v>CRIS</v>
          </cell>
          <cell r="F40">
            <v>142.0</v>
          </cell>
        </row>
        <row r="41">
          <cell r="B41" t="str">
            <v>REVB</v>
          </cell>
          <cell r="F41">
            <v>213.76</v>
          </cell>
        </row>
        <row r="42">
          <cell r="B42" t="str">
            <v>APRE</v>
          </cell>
          <cell r="F42">
            <v>16.09</v>
          </cell>
        </row>
        <row r="43">
          <cell r="B43" t="str">
            <v>MBIO</v>
          </cell>
          <cell r="F43">
            <v>67.55</v>
          </cell>
        </row>
        <row r="44">
          <cell r="B44" t="str">
            <v>PMCB</v>
          </cell>
          <cell r="F44">
            <v>83.17</v>
          </cell>
        </row>
        <row r="45">
          <cell r="B45" t="str">
            <v>PRFX</v>
          </cell>
          <cell r="F45">
            <v>116.45</v>
          </cell>
        </row>
        <row r="46">
          <cell r="B46" t="str">
            <v>TCRX</v>
          </cell>
          <cell r="F46">
            <v>22.7</v>
          </cell>
        </row>
        <row r="47">
          <cell r="B47" t="str">
            <v>KYNB</v>
          </cell>
          <cell r="F47">
            <v>13.26</v>
          </cell>
        </row>
        <row r="48">
          <cell r="B48" t="str">
            <v>KZIA</v>
          </cell>
          <cell r="F48">
            <v>56.44</v>
          </cell>
        </row>
        <row r="49">
          <cell r="B49" t="str">
            <v>MGX</v>
          </cell>
          <cell r="F49">
            <v>467.54</v>
          </cell>
        </row>
        <row r="50">
          <cell r="B50" t="str">
            <v>EVGN</v>
          </cell>
          <cell r="F50">
            <v>8.77</v>
          </cell>
        </row>
        <row r="51">
          <cell r="B51" t="str">
            <v>BBLG</v>
          </cell>
          <cell r="F51">
            <v>66.23</v>
          </cell>
        </row>
        <row r="52">
          <cell r="B52" t="str">
            <v>GRI</v>
          </cell>
          <cell r="F52">
            <v>325.42</v>
          </cell>
        </row>
        <row r="53">
          <cell r="B53" t="str">
            <v>QNCX</v>
          </cell>
          <cell r="F53">
            <v>113.46</v>
          </cell>
        </row>
        <row r="54">
          <cell r="B54" t="str">
            <v>VTGN</v>
          </cell>
          <cell r="F54">
            <v>31.11</v>
          </cell>
        </row>
        <row r="55">
          <cell r="B55" t="str">
            <v>ATYR</v>
          </cell>
          <cell r="F55">
            <v>63.95</v>
          </cell>
        </row>
        <row r="56">
          <cell r="B56" t="str">
            <v>VNDA</v>
          </cell>
          <cell r="F56">
            <v>159.58</v>
          </cell>
        </row>
        <row r="57">
          <cell r="B57" t="str">
            <v>KTTA</v>
          </cell>
          <cell r="F57">
            <v>137.99</v>
          </cell>
        </row>
        <row r="58">
          <cell r="B58" t="str">
            <v>APVO</v>
          </cell>
          <cell r="F58">
            <v>142.7</v>
          </cell>
        </row>
        <row r="59">
          <cell r="B59" t="str">
            <v>LABT</v>
          </cell>
          <cell r="F59">
            <v>54.53</v>
          </cell>
        </row>
        <row r="60">
          <cell r="B60" t="str">
            <v>CLRB</v>
          </cell>
          <cell r="F60">
            <v>58.92</v>
          </cell>
        </row>
        <row r="61">
          <cell r="B61" t="str">
            <v>ADIL</v>
          </cell>
          <cell r="F61">
            <v>45.4</v>
          </cell>
        </row>
        <row r="62">
          <cell r="B62" t="str">
            <v>EOCN</v>
          </cell>
          <cell r="F62">
            <v>264.49</v>
          </cell>
        </row>
        <row r="63">
          <cell r="B63" t="str">
            <v>ONCO</v>
          </cell>
          <cell r="F63">
            <v>91.4</v>
          </cell>
        </row>
        <row r="64">
          <cell r="B64" t="str">
            <v>IMA</v>
          </cell>
          <cell r="F64">
            <v>92.59</v>
          </cell>
        </row>
        <row r="65">
          <cell r="B65" t="str">
            <v>CGEN</v>
          </cell>
          <cell r="F65">
            <v>44.11</v>
          </cell>
        </row>
        <row r="66">
          <cell r="B66" t="str">
            <v>ORGO</v>
          </cell>
          <cell r="F66">
            <v>14.86</v>
          </cell>
        </row>
        <row r="67">
          <cell r="B67" t="str">
            <v>PLRX</v>
          </cell>
          <cell r="F67">
            <v>19.84</v>
          </cell>
        </row>
        <row r="68">
          <cell r="B68" t="str">
            <v>CNSP</v>
          </cell>
          <cell r="F68">
            <v>90.2</v>
          </cell>
        </row>
        <row r="69">
          <cell r="B69" t="str">
            <v>SILO</v>
          </cell>
          <cell r="F69">
            <v>306.4</v>
          </cell>
        </row>
        <row r="70">
          <cell r="B70" t="str">
            <v>ACET</v>
          </cell>
          <cell r="F70">
            <v>154.45</v>
          </cell>
        </row>
        <row r="71">
          <cell r="B71" t="str">
            <v>ARVN</v>
          </cell>
          <cell r="F71">
            <v>31.24</v>
          </cell>
        </row>
        <row r="72">
          <cell r="B72" t="str">
            <v>SLXN</v>
          </cell>
          <cell r="F72">
            <v>28.59</v>
          </cell>
        </row>
        <row r="73">
          <cell r="B73" t="str">
            <v>CLLS</v>
          </cell>
          <cell r="F73">
            <v>92.97</v>
          </cell>
        </row>
        <row r="74">
          <cell r="B74" t="str">
            <v>FLNA</v>
          </cell>
          <cell r="F74">
            <v>61.93</v>
          </cell>
        </row>
        <row r="75">
          <cell r="B75" t="str">
            <v>FBIO</v>
          </cell>
          <cell r="F75">
            <v>124.67</v>
          </cell>
        </row>
        <row r="76">
          <cell r="B76" t="str">
            <v>SPRC</v>
          </cell>
          <cell r="F76">
            <v>2.2145</v>
          </cell>
        </row>
        <row r="77">
          <cell r="B77" t="str">
            <v>ACB</v>
          </cell>
          <cell r="F77">
            <v>85.07</v>
          </cell>
        </row>
        <row r="78">
          <cell r="B78" t="str">
            <v>SNDL</v>
          </cell>
          <cell r="F78">
            <v>62.92</v>
          </cell>
        </row>
        <row r="79">
          <cell r="B79" t="str">
            <v>MGNX</v>
          </cell>
          <cell r="F79">
            <v>41.36</v>
          </cell>
        </row>
        <row r="80">
          <cell r="B80" t="str">
            <v>XLO</v>
          </cell>
          <cell r="F80">
            <v>79.09</v>
          </cell>
        </row>
        <row r="81">
          <cell r="B81" t="str">
            <v>QCLS</v>
          </cell>
          <cell r="F81">
            <v>49.88</v>
          </cell>
        </row>
        <row r="82">
          <cell r="B82" t="str">
            <v>HRMY</v>
          </cell>
          <cell r="F82">
            <v>10.45</v>
          </cell>
        </row>
        <row r="83">
          <cell r="B83" t="str">
            <v>PAHC</v>
          </cell>
          <cell r="F83">
            <v>14.62</v>
          </cell>
        </row>
        <row r="84">
          <cell r="B84" t="str">
            <v>TENX</v>
          </cell>
          <cell r="F84">
            <v>52.3</v>
          </cell>
        </row>
        <row r="85">
          <cell r="B85" t="str">
            <v>CANF</v>
          </cell>
          <cell r="F85">
            <v>127.23</v>
          </cell>
        </row>
        <row r="86">
          <cell r="B86" t="str">
            <v>CRBU</v>
          </cell>
          <cell r="F86">
            <v>35.09</v>
          </cell>
        </row>
        <row r="87">
          <cell r="B87" t="str">
            <v>BOLT</v>
          </cell>
          <cell r="F87">
            <v>9.58</v>
          </cell>
        </row>
        <row r="88">
          <cell r="B88" t="str">
            <v>ANIP</v>
          </cell>
          <cell r="F88">
            <v>39.75</v>
          </cell>
        </row>
        <row r="89">
          <cell r="B89" t="str">
            <v>ENGN</v>
          </cell>
          <cell r="F89">
            <v>78.75</v>
          </cell>
        </row>
        <row r="90">
          <cell r="B90" t="str">
            <v>PASG</v>
          </cell>
          <cell r="F90">
            <v>34.77</v>
          </cell>
        </row>
        <row r="91">
          <cell r="B91" t="str">
            <v>LENZ</v>
          </cell>
          <cell r="F91">
            <v>25.255</v>
          </cell>
        </row>
        <row r="92">
          <cell r="B92" t="str">
            <v>OKUR</v>
          </cell>
          <cell r="F92">
            <v>32.82</v>
          </cell>
        </row>
        <row r="93">
          <cell r="B93" t="str">
            <v>RNA</v>
          </cell>
          <cell r="F93">
            <v>11.16</v>
          </cell>
        </row>
        <row r="94">
          <cell r="B94" t="str">
            <v>NVO</v>
          </cell>
          <cell r="F94">
            <v>13.755</v>
          </cell>
        </row>
        <row r="95">
          <cell r="B95" t="str">
            <v>KALA</v>
          </cell>
          <cell r="F95">
            <v>18.45</v>
          </cell>
        </row>
        <row r="96">
          <cell r="B96" t="str">
            <v>SCYX</v>
          </cell>
          <cell r="F96">
            <v>44.79</v>
          </cell>
        </row>
        <row r="97">
          <cell r="B97" t="str">
            <v>INVA</v>
          </cell>
          <cell r="F97">
            <v>19.01</v>
          </cell>
        </row>
        <row r="98">
          <cell r="B98" t="str">
            <v>CNTX</v>
          </cell>
          <cell r="F98">
            <v>69.2</v>
          </cell>
        </row>
        <row r="99">
          <cell r="B99" t="str">
            <v>IXHL</v>
          </cell>
          <cell r="F99">
            <v>20.44</v>
          </cell>
        </row>
        <row r="100">
          <cell r="B100" t="str">
            <v>OGEN</v>
          </cell>
          <cell r="F100">
            <v>36.27</v>
          </cell>
        </row>
        <row r="101">
          <cell r="B101" t="str">
            <v>PHAR</v>
          </cell>
          <cell r="F101">
            <v>35.36</v>
          </cell>
        </row>
        <row r="102">
          <cell r="B102" t="str">
            <v>ACXP</v>
          </cell>
          <cell r="F102">
            <v>36.35</v>
          </cell>
        </row>
        <row r="103">
          <cell r="B103" t="str">
            <v>KLRS</v>
          </cell>
          <cell r="F103">
            <v>71.225</v>
          </cell>
        </row>
        <row r="104">
          <cell r="B104" t="str">
            <v>GOVX</v>
          </cell>
          <cell r="F104">
            <v>26.71</v>
          </cell>
        </row>
        <row r="105">
          <cell r="B105" t="str">
            <v>IBIO</v>
          </cell>
          <cell r="F105">
            <v>28.77</v>
          </cell>
        </row>
        <row r="106">
          <cell r="B106" t="str">
            <v>HRTX</v>
          </cell>
          <cell r="F106">
            <v>23.75</v>
          </cell>
        </row>
        <row r="107">
          <cell r="B107" t="str">
            <v>CELZ</v>
          </cell>
          <cell r="F107">
            <v>18.93</v>
          </cell>
        </row>
        <row r="108">
          <cell r="B108" t="str">
            <v>INCY</v>
          </cell>
          <cell r="F108">
            <v>27.08</v>
          </cell>
        </row>
        <row r="109">
          <cell r="B109" t="str">
            <v>BTMD</v>
          </cell>
          <cell r="F109">
            <v>60.0</v>
          </cell>
        </row>
        <row r="110">
          <cell r="B110" t="str">
            <v>UPB</v>
          </cell>
          <cell r="F110">
            <v>41.25</v>
          </cell>
        </row>
        <row r="111">
          <cell r="B111" t="str">
            <v>PFE</v>
          </cell>
          <cell r="F111">
            <v>16.27</v>
          </cell>
        </row>
        <row r="112">
          <cell r="B112" t="str">
            <v>LKFT</v>
          </cell>
          <cell r="F112">
            <v>25.08</v>
          </cell>
        </row>
        <row r="113">
          <cell r="B113" t="str">
            <v>BHC</v>
          </cell>
          <cell r="F113">
            <v>26.1</v>
          </cell>
        </row>
        <row r="114">
          <cell r="B114" t="str">
            <v>TNXP</v>
          </cell>
          <cell r="F114">
            <v>14.74</v>
          </cell>
        </row>
        <row r="115">
          <cell r="B115" t="str">
            <v>XBIT</v>
          </cell>
          <cell r="F115">
            <v>24.93</v>
          </cell>
        </row>
        <row r="116">
          <cell r="B116" t="str">
            <v>LPCN</v>
          </cell>
          <cell r="F116">
            <v>11.23</v>
          </cell>
        </row>
        <row r="117">
          <cell r="B117" t="str">
            <v>INAB</v>
          </cell>
          <cell r="F117">
            <v>53.5</v>
          </cell>
        </row>
        <row r="118">
          <cell r="B118" t="str">
            <v>IMUX</v>
          </cell>
          <cell r="F118">
            <v>21.5</v>
          </cell>
        </row>
        <row r="119">
          <cell r="B119" t="str">
            <v>KPRX</v>
          </cell>
          <cell r="F119">
            <v>49.35</v>
          </cell>
        </row>
        <row r="120">
          <cell r="B120" t="str">
            <v>AMRN</v>
          </cell>
          <cell r="F120">
            <v>6.415</v>
          </cell>
        </row>
        <row r="121">
          <cell r="B121" t="str">
            <v>AZTR</v>
          </cell>
          <cell r="F121">
            <v>16.17</v>
          </cell>
        </row>
        <row r="122">
          <cell r="B122" t="str">
            <v>CLDI</v>
          </cell>
          <cell r="F122">
            <v>6.83</v>
          </cell>
        </row>
        <row r="123">
          <cell r="B123" t="str">
            <v>SION</v>
          </cell>
          <cell r="F123">
            <v>38.7</v>
          </cell>
        </row>
        <row r="124">
          <cell r="B124" t="str">
            <v>BBOT</v>
          </cell>
          <cell r="F124">
            <v>41.23</v>
          </cell>
        </row>
        <row r="125">
          <cell r="B125" t="str">
            <v>HALO</v>
          </cell>
          <cell r="F125">
            <v>16.74</v>
          </cell>
        </row>
        <row r="126">
          <cell r="B126" t="str">
            <v>PYPD</v>
          </cell>
          <cell r="F126">
            <v>79.48</v>
          </cell>
        </row>
        <row r="127">
          <cell r="B127" t="str">
            <v>CRON</v>
          </cell>
          <cell r="F127">
            <v>30.29</v>
          </cell>
        </row>
        <row r="128">
          <cell r="B128" t="str">
            <v>GNTA</v>
          </cell>
          <cell r="F128">
            <v>22.43</v>
          </cell>
        </row>
        <row r="129">
          <cell r="B129" t="str">
            <v>SIGA</v>
          </cell>
          <cell r="F129">
            <v>40.58</v>
          </cell>
        </row>
        <row r="130">
          <cell r="B130" t="str">
            <v>AYTU</v>
          </cell>
          <cell r="F130">
            <v>11.98</v>
          </cell>
        </row>
        <row r="131">
          <cell r="B131" t="str">
            <v>NBP</v>
          </cell>
          <cell r="F131">
            <v>30.06</v>
          </cell>
        </row>
        <row r="132">
          <cell r="B132" t="str">
            <v>CTNM</v>
          </cell>
          <cell r="F132">
            <v>7.94</v>
          </cell>
        </row>
        <row r="133">
          <cell r="B133" t="str">
            <v>BIOA</v>
          </cell>
          <cell r="F133">
            <v>30.75</v>
          </cell>
        </row>
        <row r="134">
          <cell r="B134" t="str">
            <v>TLRY</v>
          </cell>
          <cell r="F134">
            <v>10.78</v>
          </cell>
        </row>
        <row r="135">
          <cell r="B135" t="str">
            <v>ERNA</v>
          </cell>
          <cell r="F135">
            <v>11.13</v>
          </cell>
        </row>
        <row r="136">
          <cell r="B136" t="str">
            <v>NKTX</v>
          </cell>
          <cell r="F136">
            <v>17.92</v>
          </cell>
        </row>
        <row r="137">
          <cell r="B137" t="str">
            <v>SNES</v>
          </cell>
          <cell r="F137">
            <v>36.64</v>
          </cell>
        </row>
        <row r="138">
          <cell r="B138" t="str">
            <v>MTVA</v>
          </cell>
          <cell r="F138">
            <v>8.97</v>
          </cell>
        </row>
        <row r="139">
          <cell r="B139" t="str">
            <v>RDY</v>
          </cell>
          <cell r="F139">
            <v>11.43</v>
          </cell>
        </row>
        <row r="140">
          <cell r="B140" t="str">
            <v>XBIO</v>
          </cell>
          <cell r="F140">
            <v>3.66</v>
          </cell>
        </row>
        <row r="141">
          <cell r="B141" t="str">
            <v>SNY</v>
          </cell>
          <cell r="F141">
            <v>30.9</v>
          </cell>
        </row>
        <row r="142">
          <cell r="B142" t="str">
            <v>NBIX</v>
          </cell>
          <cell r="F142">
            <v>19.17</v>
          </cell>
        </row>
        <row r="143">
          <cell r="B143" t="str">
            <v>BOLD</v>
          </cell>
          <cell r="F143">
            <v>21.58</v>
          </cell>
        </row>
        <row r="144">
          <cell r="B144" t="str">
            <v>GSK</v>
          </cell>
          <cell r="F144">
            <v>9.15</v>
          </cell>
        </row>
        <row r="145">
          <cell r="B145" t="str">
            <v>LEGN</v>
          </cell>
          <cell r="F145">
            <v>26.91</v>
          </cell>
        </row>
        <row r="146">
          <cell r="B146" t="str">
            <v>CRBP</v>
          </cell>
          <cell r="F146">
            <v>39.35</v>
          </cell>
        </row>
        <row r="147">
          <cell r="B147" t="str">
            <v>CTXR</v>
          </cell>
          <cell r="F147">
            <v>123.92</v>
          </cell>
        </row>
        <row r="148">
          <cell r="B148" t="str">
            <v>ENVB</v>
          </cell>
          <cell r="F148">
            <v>12.41</v>
          </cell>
        </row>
        <row r="149">
          <cell r="B149" t="str">
            <v>MYGN</v>
          </cell>
          <cell r="F149">
            <v>24.94</v>
          </cell>
        </row>
        <row r="150">
          <cell r="B150" t="str">
            <v>AKBA</v>
          </cell>
          <cell r="F150">
            <v>12.83</v>
          </cell>
        </row>
        <row r="151">
          <cell r="B151" t="str">
            <v>BCYC</v>
          </cell>
          <cell r="F151">
            <v>35.01</v>
          </cell>
        </row>
        <row r="152">
          <cell r="B152" t="str">
            <v>MBRX</v>
          </cell>
          <cell r="F152">
            <v>10.74</v>
          </cell>
        </row>
        <row r="153">
          <cell r="B153" t="str">
            <v>NMRA</v>
          </cell>
          <cell r="F153">
            <v>20.27</v>
          </cell>
        </row>
        <row r="154">
          <cell r="B154" t="str">
            <v>BCRX</v>
          </cell>
          <cell r="F154">
            <v>72.67</v>
          </cell>
        </row>
        <row r="155">
          <cell r="B155" t="str">
            <v>EVMN</v>
          </cell>
          <cell r="F155">
            <v>11.82</v>
          </cell>
        </row>
        <row r="156">
          <cell r="B156" t="str">
            <v>HITI</v>
          </cell>
          <cell r="F156">
            <v>28.18</v>
          </cell>
        </row>
        <row r="157">
          <cell r="B157" t="str">
            <v>EIKN</v>
          </cell>
          <cell r="F157">
            <v>11.84</v>
          </cell>
        </row>
        <row r="158">
          <cell r="B158" t="str">
            <v>ZTS</v>
          </cell>
          <cell r="F158">
            <v>38.8</v>
          </cell>
        </row>
        <row r="159">
          <cell r="B159" t="str">
            <v>SNGX</v>
          </cell>
          <cell r="F159">
            <v>5.03</v>
          </cell>
        </row>
        <row r="160">
          <cell r="B160" t="str">
            <v>ACRV</v>
          </cell>
          <cell r="F160">
            <v>26.61</v>
          </cell>
        </row>
        <row r="161">
          <cell r="B161" t="str">
            <v>DRMA</v>
          </cell>
          <cell r="F161">
            <v>4.765</v>
          </cell>
        </row>
        <row r="162">
          <cell r="B162" t="str">
            <v>VYGR</v>
          </cell>
          <cell r="F162">
            <v>12.9</v>
          </cell>
        </row>
        <row r="163">
          <cell r="B163" t="str">
            <v>PHIO</v>
          </cell>
          <cell r="F163">
            <v>32.45</v>
          </cell>
        </row>
        <row r="164">
          <cell r="B164" t="str">
            <v>MIST</v>
          </cell>
          <cell r="F164">
            <v>32.6</v>
          </cell>
        </row>
        <row r="165">
          <cell r="B165" t="str">
            <v>ARDX</v>
          </cell>
          <cell r="F165">
            <v>6.65</v>
          </cell>
        </row>
        <row r="166">
          <cell r="B166" t="str">
            <v>ALNY</v>
          </cell>
          <cell r="F166">
            <v>22.88</v>
          </cell>
        </row>
        <row r="167">
          <cell r="B167" t="str">
            <v>AIM</v>
          </cell>
          <cell r="F167">
            <v>21.28</v>
          </cell>
        </row>
        <row r="168">
          <cell r="B168" t="str">
            <v>COLL</v>
          </cell>
          <cell r="F168">
            <v>11.9</v>
          </cell>
        </row>
        <row r="169">
          <cell r="B169" t="str">
            <v>PMVP</v>
          </cell>
          <cell r="F169">
            <v>12.89</v>
          </cell>
        </row>
        <row r="170">
          <cell r="B170" t="str">
            <v>ALZN</v>
          </cell>
          <cell r="F170">
            <v>36.38</v>
          </cell>
        </row>
        <row r="171">
          <cell r="B171" t="str">
            <v>TRDA</v>
          </cell>
          <cell r="F171">
            <v>50.19</v>
          </cell>
        </row>
        <row r="172">
          <cell r="B172" t="str">
            <v>BMY</v>
          </cell>
          <cell r="F172">
            <v>15.89</v>
          </cell>
        </row>
        <row r="173">
          <cell r="B173" t="str">
            <v>ANAB</v>
          </cell>
          <cell r="F173">
            <v>16.02</v>
          </cell>
        </row>
        <row r="174">
          <cell r="B174" t="str">
            <v>IMCR</v>
          </cell>
          <cell r="F174">
            <v>9.07</v>
          </cell>
        </row>
        <row r="175">
          <cell r="B175" t="str">
            <v>ARTV</v>
          </cell>
          <cell r="F175">
            <v>34.17</v>
          </cell>
        </row>
        <row r="176">
          <cell r="B176" t="str">
            <v>NVS</v>
          </cell>
          <cell r="F176">
            <v>45.43</v>
          </cell>
        </row>
        <row r="177">
          <cell r="B177" t="str">
            <v>ONC</v>
          </cell>
          <cell r="F177">
            <v>22.715</v>
          </cell>
        </row>
        <row r="178">
          <cell r="B178" t="str">
            <v>KROS</v>
          </cell>
          <cell r="F178">
            <v>29.37</v>
          </cell>
        </row>
        <row r="179">
          <cell r="B179" t="str">
            <v>TVRD</v>
          </cell>
          <cell r="F179">
            <v>95.3</v>
          </cell>
        </row>
        <row r="180">
          <cell r="B180" t="str">
            <v>CMPX</v>
          </cell>
          <cell r="F180">
            <v>13.78</v>
          </cell>
        </row>
        <row r="181">
          <cell r="B181" t="str">
            <v>RDHL</v>
          </cell>
          <cell r="F181">
            <v>41.25</v>
          </cell>
        </row>
        <row r="182">
          <cell r="B182" t="str">
            <v>AMPH</v>
          </cell>
          <cell r="F182">
            <v>39.22</v>
          </cell>
        </row>
        <row r="183">
          <cell r="B183" t="str">
            <v>WHWK</v>
          </cell>
          <cell r="F183">
            <v>13.51</v>
          </cell>
        </row>
        <row r="184">
          <cell r="B184" t="str">
            <v>ZNTL</v>
          </cell>
          <cell r="F184">
            <v>41.0</v>
          </cell>
        </row>
        <row r="185">
          <cell r="B185" t="str">
            <v>DARE</v>
          </cell>
          <cell r="F185">
            <v>3.28</v>
          </cell>
        </row>
        <row r="186">
          <cell r="B186" t="str">
            <v>MLYS</v>
          </cell>
          <cell r="F186">
            <v>4.11</v>
          </cell>
        </row>
        <row r="187">
          <cell r="B187" t="str">
            <v>PRAX</v>
          </cell>
          <cell r="F187">
            <v>16.35</v>
          </cell>
        </row>
        <row r="188">
          <cell r="B188" t="str">
            <v>CMMB</v>
          </cell>
          <cell r="F188">
            <v>18.35</v>
          </cell>
        </row>
        <row r="189">
          <cell r="B189" t="str">
            <v>BDTX</v>
          </cell>
          <cell r="F189">
            <v>13.25</v>
          </cell>
        </row>
        <row r="190">
          <cell r="B190" t="str">
            <v>AGIO</v>
          </cell>
          <cell r="F190">
            <v>19.03</v>
          </cell>
        </row>
        <row r="191">
          <cell r="B191" t="str">
            <v>NEUP</v>
          </cell>
          <cell r="F191">
            <v>20.67</v>
          </cell>
        </row>
        <row r="192">
          <cell r="B192" t="str">
            <v>ACAD</v>
          </cell>
          <cell r="F192">
            <v>4.76</v>
          </cell>
        </row>
        <row r="193">
          <cell r="B193" t="str">
            <v>RCKT</v>
          </cell>
          <cell r="F193">
            <v>19.165</v>
          </cell>
        </row>
        <row r="194">
          <cell r="B194" t="str">
            <v>ATNM</v>
          </cell>
          <cell r="F194">
            <v>20.47</v>
          </cell>
        </row>
        <row r="195">
          <cell r="B195" t="str">
            <v>LSTA</v>
          </cell>
          <cell r="F195">
            <v>25.94</v>
          </cell>
        </row>
        <row r="196">
          <cell r="B196" t="str">
            <v>ALDX</v>
          </cell>
          <cell r="F196">
            <v>24.63</v>
          </cell>
        </row>
        <row r="197">
          <cell r="B197" t="str">
            <v>TLX</v>
          </cell>
          <cell r="F197">
            <v>24.14</v>
          </cell>
        </row>
        <row r="198">
          <cell r="B198" t="str">
            <v>BIVI</v>
          </cell>
          <cell r="F198">
            <v>11.42</v>
          </cell>
        </row>
        <row r="199">
          <cell r="B199" t="str">
            <v>RLYB</v>
          </cell>
          <cell r="F199">
            <v>28.07</v>
          </cell>
        </row>
        <row r="200">
          <cell r="B200" t="str">
            <v>TARA</v>
          </cell>
          <cell r="F200">
            <v>16.74</v>
          </cell>
        </row>
        <row r="201">
          <cell r="B201" t="str">
            <v>LXEO</v>
          </cell>
          <cell r="F201">
            <v>3.1</v>
          </cell>
        </row>
        <row r="202">
          <cell r="B202" t="str">
            <v>LONA</v>
          </cell>
          <cell r="F202">
            <v>19.28</v>
          </cell>
        </row>
        <row r="203">
          <cell r="B203" t="str">
            <v>LYEL</v>
          </cell>
          <cell r="F203">
            <v>6.2</v>
          </cell>
        </row>
        <row r="204">
          <cell r="B204" t="str">
            <v>KMDA</v>
          </cell>
          <cell r="F204">
            <v>15.25</v>
          </cell>
        </row>
        <row r="205">
          <cell r="B205" t="str">
            <v>AGEN</v>
          </cell>
          <cell r="F205">
            <v>7.51</v>
          </cell>
        </row>
        <row r="206">
          <cell r="B206" t="str">
            <v>ASBP</v>
          </cell>
          <cell r="F206">
            <v>9.97</v>
          </cell>
        </row>
        <row r="207">
          <cell r="B207" t="str">
            <v>ALGS</v>
          </cell>
          <cell r="F207">
            <v>48.11</v>
          </cell>
        </row>
        <row r="208">
          <cell r="B208" t="str">
            <v>ASMB</v>
          </cell>
          <cell r="F208">
            <v>24.415</v>
          </cell>
        </row>
        <row r="209">
          <cell r="B209" t="str">
            <v>TOVX</v>
          </cell>
          <cell r="F209">
            <v>14.86</v>
          </cell>
        </row>
        <row r="210">
          <cell r="B210" t="str">
            <v>MNKD</v>
          </cell>
          <cell r="F210">
            <v>18.99</v>
          </cell>
        </row>
        <row r="211">
          <cell r="B211" t="str">
            <v>AKAN</v>
          </cell>
          <cell r="F211">
            <v>4.33</v>
          </cell>
        </row>
        <row r="212">
          <cell r="B212" t="str">
            <v>AVXL</v>
          </cell>
          <cell r="F212">
            <v>14.83</v>
          </cell>
        </row>
        <row r="213">
          <cell r="B213" t="str">
            <v>SNOA</v>
          </cell>
          <cell r="F213">
            <v>11.36</v>
          </cell>
        </row>
        <row r="214">
          <cell r="B214" t="str">
            <v>JANX</v>
          </cell>
          <cell r="F214">
            <v>26.16</v>
          </cell>
        </row>
        <row r="215">
          <cell r="B215" t="str">
            <v>IMNN</v>
          </cell>
          <cell r="F215">
            <v>18.85</v>
          </cell>
        </row>
        <row r="216">
          <cell r="B216" t="str">
            <v>CABA</v>
          </cell>
          <cell r="F216">
            <v>3.21</v>
          </cell>
        </row>
        <row r="217">
          <cell r="B217" t="str">
            <v>ALLO</v>
          </cell>
          <cell r="F217">
            <v>10.32</v>
          </cell>
        </row>
        <row r="218">
          <cell r="B218" t="str">
            <v>KRRO</v>
          </cell>
          <cell r="F218">
            <v>9.98</v>
          </cell>
        </row>
        <row r="219">
          <cell r="B219" t="str">
            <v>EXEL</v>
          </cell>
          <cell r="F219">
            <v>16.08</v>
          </cell>
        </row>
        <row r="220">
          <cell r="B220" t="str">
            <v>AMRX</v>
          </cell>
          <cell r="F220">
            <v>10.23</v>
          </cell>
        </row>
        <row r="221">
          <cell r="B221" t="str">
            <v>STRO</v>
          </cell>
          <cell r="F221">
            <v>6.7</v>
          </cell>
        </row>
        <row r="222">
          <cell r="B222" t="str">
            <v>REGN</v>
          </cell>
          <cell r="F222">
            <v>9.34</v>
          </cell>
        </row>
        <row r="223">
          <cell r="B223" t="str">
            <v>ATOS</v>
          </cell>
          <cell r="F223">
            <v>18.51</v>
          </cell>
        </row>
        <row r="224">
          <cell r="B224" t="str">
            <v>UTHR</v>
          </cell>
          <cell r="F224">
            <v>23.33</v>
          </cell>
        </row>
        <row r="225">
          <cell r="B225" t="str">
            <v>TAK</v>
          </cell>
          <cell r="F225">
            <v>13.25</v>
          </cell>
        </row>
        <row r="226">
          <cell r="B226" t="str">
            <v>GPCR</v>
          </cell>
          <cell r="F226">
            <v>1.24</v>
          </cell>
        </row>
        <row r="227">
          <cell r="B227" t="str">
            <v>AARD</v>
          </cell>
          <cell r="F227">
            <v>2.36</v>
          </cell>
        </row>
        <row r="228">
          <cell r="B228" t="str">
            <v>GMAB</v>
          </cell>
          <cell r="F228">
            <v>13.1</v>
          </cell>
        </row>
        <row r="229">
          <cell r="B229" t="str">
            <v>AUPH</v>
          </cell>
          <cell r="F229">
            <v>3.83</v>
          </cell>
        </row>
        <row r="230">
          <cell r="B230" t="str">
            <v>ARGX</v>
          </cell>
          <cell r="F230">
            <v>6.17</v>
          </cell>
        </row>
        <row r="231">
          <cell r="B231" t="str">
            <v>CCCC</v>
          </cell>
          <cell r="F231">
            <v>1.55</v>
          </cell>
        </row>
        <row r="232">
          <cell r="B232" t="str">
            <v>CATX</v>
          </cell>
          <cell r="F232">
            <v>14.04</v>
          </cell>
        </row>
        <row r="233">
          <cell r="B233" t="str">
            <v>INO</v>
          </cell>
          <cell r="F233">
            <v>9.75</v>
          </cell>
        </row>
        <row r="234">
          <cell r="B234" t="str">
            <v>ALXO</v>
          </cell>
          <cell r="F234">
            <v>6.51</v>
          </cell>
        </row>
        <row r="235">
          <cell r="B235" t="str">
            <v>INTS</v>
          </cell>
          <cell r="F235">
            <v>4.23</v>
          </cell>
        </row>
        <row r="236">
          <cell r="B236" t="str">
            <v>INDV</v>
          </cell>
          <cell r="F236">
            <v>11.1</v>
          </cell>
        </row>
        <row r="237">
          <cell r="B237" t="str">
            <v>SRPT</v>
          </cell>
          <cell r="F237">
            <v>12.36</v>
          </cell>
        </row>
        <row r="238">
          <cell r="B238" t="str">
            <v>LTRN</v>
          </cell>
          <cell r="F238">
            <v>6.56</v>
          </cell>
        </row>
        <row r="239">
          <cell r="B239" t="str">
            <v>AZN</v>
          </cell>
          <cell r="F239">
            <v>3.92</v>
          </cell>
        </row>
        <row r="240">
          <cell r="B240" t="str">
            <v>TNYA</v>
          </cell>
          <cell r="F240">
            <v>8.64</v>
          </cell>
        </row>
        <row r="241">
          <cell r="B241" t="str">
            <v>TRLV</v>
          </cell>
          <cell r="F241">
            <v>10.8</v>
          </cell>
        </row>
        <row r="242">
          <cell r="B242" t="str">
            <v>MPLT</v>
          </cell>
          <cell r="F242">
            <v>3.63</v>
          </cell>
        </row>
        <row r="243">
          <cell r="B243" t="str">
            <v>BIIB</v>
          </cell>
          <cell r="F243">
            <v>8.91</v>
          </cell>
        </row>
        <row r="244">
          <cell r="B244" t="str">
            <v>SVRA</v>
          </cell>
          <cell r="F244">
            <v>20.59</v>
          </cell>
        </row>
        <row r="245">
          <cell r="B245" t="str">
            <v>PRGO</v>
          </cell>
          <cell r="F245">
            <v>3.385</v>
          </cell>
        </row>
        <row r="246">
          <cell r="B246" t="str">
            <v>VTVT</v>
          </cell>
          <cell r="F246">
            <v>10.47</v>
          </cell>
        </row>
        <row r="247">
          <cell r="B247" t="str">
            <v>BBIO</v>
          </cell>
          <cell r="F247">
            <v>6.4</v>
          </cell>
        </row>
        <row r="248">
          <cell r="B248" t="str">
            <v>TARS</v>
          </cell>
          <cell r="F248">
            <v>7.25</v>
          </cell>
        </row>
        <row r="249">
          <cell r="B249" t="str">
            <v>TEVA</v>
          </cell>
          <cell r="F249">
            <v>3.26</v>
          </cell>
        </row>
        <row r="250">
          <cell r="B250" t="str">
            <v>TRAW</v>
          </cell>
          <cell r="F250">
            <v>7.57</v>
          </cell>
        </row>
        <row r="251">
          <cell r="B251" t="str">
            <v>VRTX</v>
          </cell>
          <cell r="F251">
            <v>7.31</v>
          </cell>
        </row>
        <row r="252">
          <cell r="B252" t="str">
            <v>RNTX</v>
          </cell>
          <cell r="F252">
            <v>5.84</v>
          </cell>
        </row>
        <row r="253">
          <cell r="B253" t="str">
            <v>KLRA</v>
          </cell>
          <cell r="F253">
            <v>9.48</v>
          </cell>
        </row>
        <row r="254">
          <cell r="B254" t="str">
            <v>ELAN</v>
          </cell>
          <cell r="F254">
            <v>5.69</v>
          </cell>
        </row>
        <row r="255">
          <cell r="B255" t="str">
            <v>PBYI</v>
          </cell>
          <cell r="F255">
            <v>4.05</v>
          </cell>
        </row>
        <row r="256">
          <cell r="B256" t="str">
            <v>OLMA</v>
          </cell>
          <cell r="F256">
            <v>9.74</v>
          </cell>
        </row>
        <row r="257">
          <cell r="B257" t="str">
            <v>EOLS</v>
          </cell>
          <cell r="F257">
            <v>10.76</v>
          </cell>
        </row>
        <row r="258">
          <cell r="B258" t="str">
            <v>ALEC</v>
          </cell>
          <cell r="F258">
            <v>2.51</v>
          </cell>
        </row>
        <row r="259">
          <cell r="B259" t="str">
            <v>OGN</v>
          </cell>
          <cell r="F259">
            <v>20.79</v>
          </cell>
        </row>
        <row r="260">
          <cell r="B260" t="str">
            <v>MOLN</v>
          </cell>
          <cell r="F260">
            <v>3.48</v>
          </cell>
        </row>
        <row r="261">
          <cell r="B261" t="str">
            <v>SPRB</v>
          </cell>
          <cell r="F261">
            <v>14.4</v>
          </cell>
        </row>
        <row r="262">
          <cell r="B262" t="str">
            <v>XERS</v>
          </cell>
          <cell r="F262">
            <v>7.37</v>
          </cell>
        </row>
        <row r="263">
          <cell r="B263" t="str">
            <v>CAPR</v>
          </cell>
          <cell r="F263">
            <v>3.26</v>
          </cell>
        </row>
        <row r="264">
          <cell r="B264" t="str">
            <v>BCTX</v>
          </cell>
          <cell r="F264">
            <v>25.4</v>
          </cell>
        </row>
        <row r="265">
          <cell r="B265" t="str">
            <v>SPRO</v>
          </cell>
          <cell r="F265">
            <v>74.23</v>
          </cell>
        </row>
        <row r="266">
          <cell r="B266" t="str">
            <v>RGNT</v>
          </cell>
          <cell r="F266">
            <v>3.02</v>
          </cell>
        </row>
        <row r="267">
          <cell r="B267" t="str">
            <v>EVAX</v>
          </cell>
          <cell r="F267">
            <v>7.4</v>
          </cell>
        </row>
        <row r="268">
          <cell r="B268" t="str">
            <v>LRMR</v>
          </cell>
          <cell r="F268">
            <v>7.66</v>
          </cell>
        </row>
        <row r="269">
          <cell r="B269" t="str">
            <v>EQ</v>
          </cell>
          <cell r="F269">
            <v>1.33</v>
          </cell>
        </row>
        <row r="270">
          <cell r="B270" t="str">
            <v>BNTX</v>
          </cell>
          <cell r="F270">
            <v>3.73</v>
          </cell>
        </row>
        <row r="271">
          <cell r="B271" t="str">
            <v>GLUE</v>
          </cell>
          <cell r="F271">
            <v>3.03</v>
          </cell>
        </row>
        <row r="272">
          <cell r="B272" t="str">
            <v>ADMA</v>
          </cell>
          <cell r="F272">
            <v>7.85</v>
          </cell>
        </row>
        <row r="273">
          <cell r="B273" t="str">
            <v>CRVO</v>
          </cell>
          <cell r="F273">
            <v>19.61</v>
          </cell>
        </row>
        <row r="274">
          <cell r="B274" t="str">
            <v>AVTX</v>
          </cell>
          <cell r="F274">
            <v>13.07</v>
          </cell>
        </row>
        <row r="275">
          <cell r="B275" t="str">
            <v>PCRX</v>
          </cell>
          <cell r="F275">
            <v>7.49</v>
          </cell>
        </row>
        <row r="276">
          <cell r="B276" t="str">
            <v>PMN</v>
          </cell>
          <cell r="F276">
            <v>8.5</v>
          </cell>
        </row>
        <row r="277">
          <cell r="B277" t="str">
            <v>PTCT</v>
          </cell>
          <cell r="F277">
            <v>2.3</v>
          </cell>
        </row>
        <row r="278">
          <cell r="B278" t="str">
            <v>CYTK</v>
          </cell>
          <cell r="F278">
            <v>1.66</v>
          </cell>
        </row>
        <row r="279">
          <cell r="B279" t="str">
            <v>PBM</v>
          </cell>
          <cell r="F279">
            <v>2.36</v>
          </cell>
        </row>
        <row r="280">
          <cell r="B280" t="str">
            <v>FATE</v>
          </cell>
          <cell r="F280">
            <v>5.84</v>
          </cell>
        </row>
        <row r="281">
          <cell r="B281" t="str">
            <v>VIVS</v>
          </cell>
          <cell r="F281">
            <v>21.19</v>
          </cell>
        </row>
        <row r="282">
          <cell r="B282" t="str">
            <v>JAZZ</v>
          </cell>
          <cell r="F282">
            <v>8.18</v>
          </cell>
        </row>
        <row r="283">
          <cell r="B283" t="str">
            <v>NXTC</v>
          </cell>
          <cell r="F283">
            <v>8.67</v>
          </cell>
        </row>
        <row r="284">
          <cell r="B284" t="str">
            <v>ADAG</v>
          </cell>
          <cell r="F284">
            <v>4.29</v>
          </cell>
        </row>
        <row r="285">
          <cell r="B285" t="str">
            <v>CAI</v>
          </cell>
          <cell r="F285">
            <v>21.825</v>
          </cell>
        </row>
        <row r="286">
          <cell r="B286" t="str">
            <v>EYPT</v>
          </cell>
          <cell r="F286">
            <v>13.8</v>
          </cell>
        </row>
        <row r="287">
          <cell r="B287" t="str">
            <v>MDXG</v>
          </cell>
          <cell r="F287">
            <v>1.44</v>
          </cell>
        </row>
        <row r="288">
          <cell r="B288" t="str">
            <v>IKT</v>
          </cell>
          <cell r="F288">
            <v>19.81</v>
          </cell>
        </row>
        <row r="289">
          <cell r="B289" t="str">
            <v>JUNS</v>
          </cell>
          <cell r="F289">
            <v>6.755</v>
          </cell>
        </row>
        <row r="290">
          <cell r="B290" t="str">
            <v>ALT</v>
          </cell>
          <cell r="F290">
            <v>5.54</v>
          </cell>
        </row>
        <row r="291">
          <cell r="B291" t="str">
            <v>WVE</v>
          </cell>
          <cell r="F291">
            <v>2.58</v>
          </cell>
        </row>
        <row r="292">
          <cell r="B292" t="str">
            <v>JNJ</v>
          </cell>
          <cell r="F292">
            <v>4.0</v>
          </cell>
        </row>
        <row r="293">
          <cell r="B293" t="str">
            <v>HCM</v>
          </cell>
          <cell r="F293">
            <v>6.04</v>
          </cell>
        </row>
        <row r="294">
          <cell r="B294" t="str">
            <v>PRTA</v>
          </cell>
          <cell r="F294">
            <v>3.43</v>
          </cell>
        </row>
        <row r="295">
          <cell r="B295" t="str">
            <v>NERV</v>
          </cell>
          <cell r="F295">
            <v>8.24</v>
          </cell>
        </row>
        <row r="296">
          <cell r="B296" t="str">
            <v>CNSY</v>
          </cell>
          <cell r="F296">
            <v>4.465</v>
          </cell>
        </row>
        <row r="297">
          <cell r="B297" t="str">
            <v>CTMX</v>
          </cell>
          <cell r="F297">
            <v>2.96</v>
          </cell>
        </row>
        <row r="298">
          <cell r="B298" t="str">
            <v>UNCY</v>
          </cell>
          <cell r="F298">
            <v>10.46</v>
          </cell>
        </row>
        <row r="299">
          <cell r="B299" t="str">
            <v>MRKR</v>
          </cell>
          <cell r="F299">
            <v>3.7</v>
          </cell>
        </row>
        <row r="300">
          <cell r="B300" t="str">
            <v>ARCT</v>
          </cell>
          <cell r="F300">
            <v>10.47</v>
          </cell>
        </row>
        <row r="301">
          <cell r="B301" t="str">
            <v>PEPG</v>
          </cell>
          <cell r="F301">
            <v>7.59</v>
          </cell>
        </row>
        <row r="302">
          <cell r="B302" t="str">
            <v>PTN</v>
          </cell>
          <cell r="F302">
            <v>3.36</v>
          </cell>
        </row>
        <row r="303">
          <cell r="B303" t="str">
            <v>IMRX</v>
          </cell>
          <cell r="F303">
            <v>3.16</v>
          </cell>
        </row>
        <row r="304">
          <cell r="B304" t="str">
            <v>PRQR</v>
          </cell>
          <cell r="F304">
            <v>1.28</v>
          </cell>
        </row>
        <row r="305">
          <cell r="B305" t="str">
            <v>ABOS</v>
          </cell>
          <cell r="F305">
            <v>6.29</v>
          </cell>
        </row>
        <row r="306">
          <cell r="B306" t="str">
            <v>AKTS</v>
          </cell>
          <cell r="F306">
            <v>11.67</v>
          </cell>
        </row>
        <row r="307">
          <cell r="B307" t="str">
            <v>DERM</v>
          </cell>
          <cell r="F307">
            <v>4.01</v>
          </cell>
        </row>
        <row r="308">
          <cell r="B308" t="str">
            <v>COGT</v>
          </cell>
          <cell r="F308">
            <v>7.31</v>
          </cell>
        </row>
        <row r="309">
          <cell r="B309" t="str">
            <v>RLMD</v>
          </cell>
          <cell r="F309">
            <v>0.72</v>
          </cell>
        </row>
        <row r="310">
          <cell r="B310" t="str">
            <v>SLDB</v>
          </cell>
          <cell r="F310">
            <v>6.56</v>
          </cell>
        </row>
        <row r="311">
          <cell r="B311" t="str">
            <v>SCNI</v>
          </cell>
          <cell r="F311">
            <v>9.04</v>
          </cell>
        </row>
        <row r="312">
          <cell r="B312" t="str">
            <v>ALMS</v>
          </cell>
          <cell r="F312">
            <v>10.98</v>
          </cell>
        </row>
        <row r="313">
          <cell r="B313" t="str">
            <v>BGMS</v>
          </cell>
          <cell r="F313">
            <v>3.2</v>
          </cell>
        </row>
        <row r="314">
          <cell r="B314" t="str">
            <v>AMGN</v>
          </cell>
          <cell r="F314">
            <v>3.72</v>
          </cell>
        </row>
        <row r="315">
          <cell r="B315" t="str">
            <v>MREO</v>
          </cell>
          <cell r="F315">
            <v>2.81</v>
          </cell>
        </row>
        <row r="316">
          <cell r="B316" t="str">
            <v>MCRB</v>
          </cell>
          <cell r="F316">
            <v>25.14</v>
          </cell>
        </row>
        <row r="317">
          <cell r="B317" t="str">
            <v>ARQT</v>
          </cell>
          <cell r="F317">
            <v>6.42</v>
          </cell>
        </row>
        <row r="318">
          <cell r="B318" t="str">
            <v>FENC</v>
          </cell>
          <cell r="F318">
            <v>1.43</v>
          </cell>
        </row>
        <row r="319">
          <cell r="B319" t="str">
            <v>FHTX</v>
          </cell>
          <cell r="F319">
            <v>20.44</v>
          </cell>
        </row>
        <row r="320">
          <cell r="B320" t="str">
            <v>ANTX</v>
          </cell>
          <cell r="F320">
            <v>2.3</v>
          </cell>
        </row>
        <row r="321">
          <cell r="B321" t="str">
            <v>CVKD</v>
          </cell>
          <cell r="F321">
            <v>0.8125</v>
          </cell>
        </row>
        <row r="322">
          <cell r="B322" t="str">
            <v>VCYT</v>
          </cell>
          <cell r="F322">
            <v>3.02</v>
          </cell>
        </row>
        <row r="323">
          <cell r="B323" t="str">
            <v>BNTC</v>
          </cell>
          <cell r="F323">
            <v>3.53</v>
          </cell>
        </row>
        <row r="324">
          <cell r="B324" t="str">
            <v>VERU</v>
          </cell>
          <cell r="F324">
            <v>2.34</v>
          </cell>
        </row>
        <row r="325">
          <cell r="B325" t="str">
            <v>AVIR</v>
          </cell>
          <cell r="F325">
            <v>0.4052</v>
          </cell>
        </row>
        <row r="326">
          <cell r="B326" t="str">
            <v>SUPN</v>
          </cell>
          <cell r="F326">
            <v>4.43</v>
          </cell>
        </row>
        <row r="327">
          <cell r="B327" t="str">
            <v>HIND</v>
          </cell>
          <cell r="F327">
            <v>4.6</v>
          </cell>
        </row>
        <row r="328">
          <cell r="B328" t="str">
            <v>HLN</v>
          </cell>
          <cell r="F328">
            <v>0.9726</v>
          </cell>
        </row>
        <row r="329">
          <cell r="B329" t="str">
            <v>RKTO</v>
          </cell>
          <cell r="F329">
            <v>1.64</v>
          </cell>
        </row>
        <row r="330">
          <cell r="B330" t="str">
            <v>IMTX</v>
          </cell>
          <cell r="F330">
            <v>4.17</v>
          </cell>
        </row>
        <row r="331">
          <cell r="B331" t="str">
            <v>LLY</v>
          </cell>
          <cell r="F331">
            <v>2.49</v>
          </cell>
        </row>
        <row r="332">
          <cell r="B332" t="str">
            <v>VTRS</v>
          </cell>
          <cell r="F332">
            <v>3.6</v>
          </cell>
        </row>
        <row r="333">
          <cell r="B333" t="str">
            <v>PRLD</v>
          </cell>
          <cell r="F333">
            <v>1.61</v>
          </cell>
        </row>
        <row r="334">
          <cell r="B334" t="str">
            <v>TGTX</v>
          </cell>
          <cell r="F334">
            <v>18.75</v>
          </cell>
        </row>
        <row r="335">
          <cell r="B335" t="str">
            <v>BMEA</v>
          </cell>
          <cell r="F335">
            <v>11.48</v>
          </cell>
        </row>
        <row r="336">
          <cell r="B336" t="str">
            <v>MRK</v>
          </cell>
          <cell r="F336">
            <v>3.73</v>
          </cell>
        </row>
        <row r="337">
          <cell r="B337" t="str">
            <v>ELUT</v>
          </cell>
          <cell r="F337">
            <v>1.71</v>
          </cell>
        </row>
        <row r="338">
          <cell r="B338" t="str">
            <v>BMRN</v>
          </cell>
          <cell r="F338">
            <v>2.88</v>
          </cell>
        </row>
        <row r="339">
          <cell r="B339" t="str">
            <v>TECX</v>
          </cell>
          <cell r="F339">
            <v>10.94</v>
          </cell>
        </row>
        <row r="340">
          <cell r="B340" t="str">
            <v>PLX</v>
          </cell>
          <cell r="F340">
            <v>3.15</v>
          </cell>
        </row>
        <row r="341">
          <cell r="B341" t="str">
            <v>IRWD</v>
          </cell>
          <cell r="F341">
            <v>3.02</v>
          </cell>
        </row>
        <row r="342">
          <cell r="B342" t="str">
            <v>KRYS</v>
          </cell>
          <cell r="F342">
            <v>2.72</v>
          </cell>
        </row>
        <row r="343">
          <cell r="B343" t="str">
            <v>IMRN</v>
          </cell>
          <cell r="F343">
            <v>3.97</v>
          </cell>
        </row>
        <row r="344">
          <cell r="B344" t="str">
            <v>CDNA</v>
          </cell>
          <cell r="F344">
            <v>2.65</v>
          </cell>
        </row>
        <row r="345">
          <cell r="B345" t="str">
            <v>EBS</v>
          </cell>
          <cell r="F345">
            <v>8.62</v>
          </cell>
        </row>
        <row r="346">
          <cell r="B346" t="str">
            <v>ZURA</v>
          </cell>
          <cell r="F346">
            <v>3.66</v>
          </cell>
        </row>
        <row r="347">
          <cell r="B347" t="str">
            <v>CNTB</v>
          </cell>
          <cell r="F347">
            <v>5.28</v>
          </cell>
        </row>
        <row r="348">
          <cell r="B348" t="str">
            <v>KARD</v>
          </cell>
          <cell r="F348">
            <v>11.4</v>
          </cell>
        </row>
        <row r="349">
          <cell r="B349" t="str">
            <v>ANIK</v>
          </cell>
          <cell r="F349">
            <v>2.06</v>
          </cell>
        </row>
        <row r="350">
          <cell r="B350" t="str">
            <v>JBIO</v>
          </cell>
          <cell r="F350">
            <v>16.24</v>
          </cell>
        </row>
        <row r="351">
          <cell r="B351" t="str">
            <v>MLTX</v>
          </cell>
          <cell r="F351">
            <v>2.635</v>
          </cell>
        </row>
        <row r="352">
          <cell r="B352" t="str">
            <v>RIGL</v>
          </cell>
          <cell r="F352">
            <v>3.49</v>
          </cell>
        </row>
        <row r="353">
          <cell r="B353" t="str">
            <v>ALVO</v>
          </cell>
          <cell r="F353">
            <v>2.44</v>
          </cell>
        </row>
        <row r="354">
          <cell r="B354" t="str">
            <v>YCBD</v>
          </cell>
          <cell r="F354">
            <v>1.97</v>
          </cell>
        </row>
        <row r="355">
          <cell r="B355" t="str">
            <v>FBLG</v>
          </cell>
          <cell r="F355">
            <v>2.72</v>
          </cell>
        </row>
        <row r="356">
          <cell r="B356" t="str">
            <v>CALC</v>
          </cell>
          <cell r="F356">
            <v>3.19</v>
          </cell>
        </row>
        <row r="357">
          <cell r="B357" t="str">
            <v>ABEO</v>
          </cell>
          <cell r="F357">
            <v>9.7</v>
          </cell>
        </row>
        <row r="358">
          <cell r="B358" t="str">
            <v>XFOR</v>
          </cell>
          <cell r="F358">
            <v>6.395</v>
          </cell>
        </row>
        <row r="359">
          <cell r="B359" t="str">
            <v>VCEL</v>
          </cell>
          <cell r="F359">
            <v>3.16</v>
          </cell>
        </row>
        <row r="360">
          <cell r="B360" t="str">
            <v>SGMT</v>
          </cell>
          <cell r="F360">
            <v>2.14</v>
          </cell>
        </row>
        <row r="361">
          <cell r="B361" t="str">
            <v>CRDF</v>
          </cell>
          <cell r="F361">
            <v>5.35</v>
          </cell>
        </row>
        <row r="362">
          <cell r="B362" t="str">
            <v>CGTX</v>
          </cell>
          <cell r="F362">
            <v>7.41</v>
          </cell>
        </row>
        <row r="363">
          <cell r="B363" t="str">
            <v>CORT</v>
          </cell>
          <cell r="F363">
            <v>4.99</v>
          </cell>
        </row>
        <row r="364">
          <cell r="B364" t="str">
            <v>NGNE</v>
          </cell>
          <cell r="F364">
            <v>0.6181</v>
          </cell>
        </row>
        <row r="365">
          <cell r="B365" t="str">
            <v>IPSC</v>
          </cell>
          <cell r="F365">
            <v>2.255</v>
          </cell>
        </row>
        <row r="366">
          <cell r="B366" t="str">
            <v>ELDN</v>
          </cell>
          <cell r="F366">
            <v>0.6366</v>
          </cell>
        </row>
        <row r="367">
          <cell r="B367" t="str">
            <v>FDMT</v>
          </cell>
          <cell r="F367">
            <v>11.54</v>
          </cell>
        </row>
        <row r="368">
          <cell r="B368" t="str">
            <v>RNAC</v>
          </cell>
          <cell r="F368">
            <v>2.875</v>
          </cell>
        </row>
        <row r="369">
          <cell r="B369" t="str">
            <v>DMRA</v>
          </cell>
          <cell r="F369">
            <v>1.53</v>
          </cell>
        </row>
        <row r="370">
          <cell r="B370" t="str">
            <v>QTTB</v>
          </cell>
          <cell r="F370">
            <v>65.81</v>
          </cell>
        </row>
        <row r="371">
          <cell r="B371" t="str">
            <v>AUTL</v>
          </cell>
          <cell r="F371">
            <v>8.58</v>
          </cell>
        </row>
        <row r="372">
          <cell r="B372" t="str">
            <v>KYTX</v>
          </cell>
          <cell r="F372">
            <v>4.15</v>
          </cell>
        </row>
        <row r="373">
          <cell r="B373" t="str">
            <v>ATHE</v>
          </cell>
          <cell r="F373">
            <v>4.15</v>
          </cell>
        </row>
        <row r="374">
          <cell r="B374" t="str">
            <v>PALI</v>
          </cell>
          <cell r="F374">
            <v>3.19</v>
          </cell>
        </row>
        <row r="375">
          <cell r="B375" t="str">
            <v>HOWL</v>
          </cell>
          <cell r="F375">
            <v>8.46</v>
          </cell>
        </row>
        <row r="376">
          <cell r="B376" t="str">
            <v>GILD</v>
          </cell>
          <cell r="F376">
            <v>6.56</v>
          </cell>
        </row>
        <row r="377">
          <cell r="B377" t="str">
            <v>ABBV</v>
          </cell>
          <cell r="F377">
            <v>0.8333</v>
          </cell>
        </row>
        <row r="378">
          <cell r="B378" t="str">
            <v>ACIU</v>
          </cell>
          <cell r="F378">
            <v>1.0</v>
          </cell>
        </row>
        <row r="379">
          <cell r="B379" t="str">
            <v>KNSA</v>
          </cell>
          <cell r="F379">
            <v>1.38</v>
          </cell>
        </row>
        <row r="380">
          <cell r="B380" t="str">
            <v>AVBP</v>
          </cell>
          <cell r="F380">
            <v>2.39</v>
          </cell>
        </row>
        <row r="381">
          <cell r="B381" t="str">
            <v>CRMD</v>
          </cell>
          <cell r="F381">
            <v>12.1</v>
          </cell>
        </row>
        <row r="382">
          <cell r="B382" t="str">
            <v>SABS</v>
          </cell>
          <cell r="F382">
            <v>31.03</v>
          </cell>
        </row>
        <row r="383">
          <cell r="B383" t="str">
            <v>ANVS</v>
          </cell>
          <cell r="F383">
            <v>2.82</v>
          </cell>
        </row>
        <row r="384">
          <cell r="B384" t="str">
            <v>SER</v>
          </cell>
          <cell r="F384">
            <v>1.86</v>
          </cell>
        </row>
        <row r="385">
          <cell r="B385" t="str">
            <v>CAMP</v>
          </cell>
          <cell r="F385">
            <v>1.84</v>
          </cell>
        </row>
        <row r="386">
          <cell r="B386" t="str">
            <v>JSPR</v>
          </cell>
          <cell r="F386">
            <v>1.73</v>
          </cell>
        </row>
        <row r="387">
          <cell r="B387" t="str">
            <v>YARW</v>
          </cell>
          <cell r="F387">
            <v>1.14</v>
          </cell>
        </row>
        <row r="388">
          <cell r="B388" t="str">
            <v>PBH</v>
          </cell>
          <cell r="F388">
            <v>1.425</v>
          </cell>
        </row>
        <row r="389">
          <cell r="B389" t="str">
            <v>BCAX</v>
          </cell>
          <cell r="F389">
            <v>4.92</v>
          </cell>
        </row>
        <row r="390">
          <cell r="B390" t="str">
            <v>TVTX</v>
          </cell>
          <cell r="F390">
            <v>3.7</v>
          </cell>
        </row>
        <row r="391">
          <cell r="B391" t="str">
            <v>COYA</v>
          </cell>
          <cell r="F391">
            <v>5.22</v>
          </cell>
        </row>
        <row r="392">
          <cell r="B392" t="str">
            <v>NKTR</v>
          </cell>
          <cell r="F392">
            <v>1.578</v>
          </cell>
        </row>
        <row r="393">
          <cell r="B393" t="str">
            <v>MIRM</v>
          </cell>
          <cell r="F393">
            <v>2.56</v>
          </cell>
        </row>
        <row r="394">
          <cell r="B394" t="str">
            <v>AKTX</v>
          </cell>
          <cell r="F394">
            <v>7.98</v>
          </cell>
        </row>
        <row r="395">
          <cell r="B395" t="str">
            <v>PULM</v>
          </cell>
          <cell r="F395">
            <v>1.74</v>
          </cell>
        </row>
        <row r="396">
          <cell r="B396" t="str">
            <v>RPRX</v>
          </cell>
          <cell r="F396">
            <v>1.02</v>
          </cell>
        </row>
        <row r="397">
          <cell r="B397" t="str">
            <v>NUVB</v>
          </cell>
          <cell r="F397">
            <v>3.56</v>
          </cell>
        </row>
        <row r="398">
          <cell r="B398" t="str">
            <v>HELP</v>
          </cell>
          <cell r="F398">
            <v>1.54</v>
          </cell>
        </row>
        <row r="399">
          <cell r="B399" t="str">
            <v>RFL</v>
          </cell>
          <cell r="F399">
            <v>1.01</v>
          </cell>
        </row>
        <row r="400">
          <cell r="B400" t="str">
            <v>TXMD</v>
          </cell>
          <cell r="F400">
            <v>3.18</v>
          </cell>
        </row>
        <row r="401">
          <cell r="B401" t="str">
            <v>EDIT</v>
          </cell>
          <cell r="F401">
            <v>9.44</v>
          </cell>
        </row>
        <row r="402">
          <cell r="B402" t="str">
            <v>EDSA</v>
          </cell>
          <cell r="F402">
            <v>2.015</v>
          </cell>
        </row>
        <row r="403">
          <cell r="B403" t="str">
            <v>DTIL</v>
          </cell>
          <cell r="F403">
            <v>1.36</v>
          </cell>
        </row>
        <row r="404">
          <cell r="B404" t="str">
            <v>VOR</v>
          </cell>
          <cell r="F404">
            <v>17.04</v>
          </cell>
        </row>
        <row r="405">
          <cell r="B405" t="str">
            <v>XGN</v>
          </cell>
          <cell r="F405">
            <v>0.406</v>
          </cell>
        </row>
        <row r="406">
          <cell r="B406" t="str">
            <v>OVID</v>
          </cell>
          <cell r="F406">
            <v>0.52</v>
          </cell>
        </row>
        <row r="407">
          <cell r="B407" t="str">
            <v>INMB</v>
          </cell>
          <cell r="F407">
            <v>2.19</v>
          </cell>
        </row>
        <row r="408">
          <cell r="B408" t="str">
            <v>CGEM</v>
          </cell>
          <cell r="F408">
            <v>41.23</v>
          </cell>
        </row>
        <row r="409">
          <cell r="B409" t="str">
            <v>PBLS</v>
          </cell>
          <cell r="F409">
            <v>2.62</v>
          </cell>
        </row>
        <row r="410">
          <cell r="B410" t="str">
            <v>QURE</v>
          </cell>
          <cell r="F410">
            <v>2.53</v>
          </cell>
        </row>
        <row r="411">
          <cell r="B411" t="str">
            <v>AXSM</v>
          </cell>
          <cell r="F411">
            <v>1.76</v>
          </cell>
        </row>
        <row r="412">
          <cell r="B412" t="str">
            <v>CBIO</v>
          </cell>
          <cell r="F412">
            <v>1.67</v>
          </cell>
        </row>
        <row r="413">
          <cell r="B413" t="str">
            <v>FTH</v>
          </cell>
          <cell r="F413">
            <v>1.15</v>
          </cell>
        </row>
        <row r="414">
          <cell r="B414" t="str">
            <v>STTK</v>
          </cell>
          <cell r="F414">
            <v>2.01</v>
          </cell>
        </row>
        <row r="415">
          <cell r="B415" t="str">
            <v>SMMT</v>
          </cell>
          <cell r="F415">
            <v>2.5</v>
          </cell>
        </row>
        <row r="416">
          <cell r="B416" t="str">
            <v>IMMX</v>
          </cell>
          <cell r="F416">
            <v>5.15</v>
          </cell>
        </row>
        <row r="417">
          <cell r="B417" t="str">
            <v>CRSP</v>
          </cell>
          <cell r="F417">
            <v>7.96</v>
          </cell>
        </row>
        <row r="418">
          <cell r="B418" t="str">
            <v>OCGN</v>
          </cell>
          <cell r="F418">
            <v>7.0</v>
          </cell>
        </row>
        <row r="419">
          <cell r="B419" t="str">
            <v>SRZN</v>
          </cell>
          <cell r="F419">
            <v>27.845</v>
          </cell>
        </row>
        <row r="420">
          <cell r="B420" t="str">
            <v>CING</v>
          </cell>
          <cell r="F420">
            <v>14.06</v>
          </cell>
        </row>
        <row r="421">
          <cell r="B421" t="str">
            <v>ODTX</v>
          </cell>
          <cell r="F421">
            <v>0.99</v>
          </cell>
        </row>
        <row r="422">
          <cell r="B422" t="str">
            <v>HUMA</v>
          </cell>
          <cell r="F422">
            <v>1.54</v>
          </cell>
        </row>
        <row r="423">
          <cell r="B423" t="str">
            <v>MNOV</v>
          </cell>
          <cell r="F423">
            <v>5.78</v>
          </cell>
        </row>
        <row r="424">
          <cell r="B424" t="str">
            <v>ZVRA</v>
          </cell>
          <cell r="F424">
            <v>3.19</v>
          </cell>
        </row>
        <row r="425">
          <cell r="B425" t="str">
            <v>ACRS</v>
          </cell>
          <cell r="F425">
            <v>1.01</v>
          </cell>
        </row>
        <row r="426">
          <cell r="B426" t="str">
            <v>SNTI</v>
          </cell>
          <cell r="F426">
            <v>4.21</v>
          </cell>
        </row>
        <row r="427">
          <cell r="B427" t="str">
            <v>MDWD</v>
          </cell>
          <cell r="F427">
            <v>1.39</v>
          </cell>
        </row>
        <row r="428">
          <cell r="B428" t="str">
            <v>GRCE</v>
          </cell>
          <cell r="F428">
            <v>3.03</v>
          </cell>
        </row>
        <row r="429">
          <cell r="B429" t="str">
            <v>TSHA</v>
          </cell>
          <cell r="F429">
            <v>2.39</v>
          </cell>
        </row>
        <row r="430">
          <cell r="B430" t="str">
            <v>ETON</v>
          </cell>
          <cell r="F430">
            <v>2.07</v>
          </cell>
        </row>
        <row r="431">
          <cell r="B431" t="str">
            <v>ARTL</v>
          </cell>
          <cell r="F431">
            <v>10.45</v>
          </cell>
        </row>
        <row r="432">
          <cell r="B432" t="str">
            <v>AQB</v>
          </cell>
          <cell r="F432">
            <v>2.5</v>
          </cell>
        </row>
        <row r="433">
          <cell r="B433" t="str">
            <v>CLDX</v>
          </cell>
          <cell r="F433">
            <v>9.16</v>
          </cell>
        </row>
        <row r="434">
          <cell r="B434" t="str">
            <v>RAPP</v>
          </cell>
          <cell r="F434">
            <v>7.41</v>
          </cell>
        </row>
        <row r="435">
          <cell r="B435" t="str">
            <v>ENTA</v>
          </cell>
          <cell r="F435">
            <v>1.91</v>
          </cell>
        </row>
        <row r="436">
          <cell r="B436" t="str">
            <v>ELVN</v>
          </cell>
          <cell r="F436">
            <v>3.8</v>
          </cell>
        </row>
        <row r="437">
          <cell r="B437" t="str">
            <v>DBVT</v>
          </cell>
          <cell r="F437">
            <v>2.68</v>
          </cell>
        </row>
        <row r="438">
          <cell r="B438" t="str">
            <v>COAG</v>
          </cell>
          <cell r="F438">
            <v>1.07</v>
          </cell>
        </row>
        <row r="439">
          <cell r="B439" t="str">
            <v>NTRA</v>
          </cell>
          <cell r="F439">
            <v>0.41</v>
          </cell>
        </row>
        <row r="440">
          <cell r="B440" t="str">
            <v>DSGN</v>
          </cell>
          <cell r="F440">
            <v>0.6528</v>
          </cell>
        </row>
        <row r="441">
          <cell r="B441" t="str">
            <v>DYAI</v>
          </cell>
          <cell r="F441">
            <v>16.38</v>
          </cell>
        </row>
        <row r="442">
          <cell r="B442" t="str">
            <v>LGND</v>
          </cell>
          <cell r="F442">
            <v>0.465</v>
          </cell>
        </row>
        <row r="443">
          <cell r="B443" t="str">
            <v>VIR</v>
          </cell>
          <cell r="F443">
            <v>0.7185</v>
          </cell>
        </row>
        <row r="444">
          <cell r="B444" t="str">
            <v>RZLT</v>
          </cell>
          <cell r="F444">
            <v>4.42</v>
          </cell>
        </row>
        <row r="445">
          <cell r="B445" t="str">
            <v>AVLN</v>
          </cell>
          <cell r="F445">
            <v>2.99</v>
          </cell>
        </row>
        <row r="446">
          <cell r="B446" t="str">
            <v>INM</v>
          </cell>
          <cell r="F446">
            <v>2.36</v>
          </cell>
        </row>
        <row r="447">
          <cell r="B447" t="str">
            <v>TLPH</v>
          </cell>
          <cell r="F447">
            <v>3.9</v>
          </cell>
        </row>
        <row r="448">
          <cell r="B448" t="str">
            <v>MIRA</v>
          </cell>
          <cell r="F448">
            <v>3.38</v>
          </cell>
        </row>
        <row r="449">
          <cell r="B449" t="str">
            <v>ACTU</v>
          </cell>
          <cell r="F449">
            <v>20.5</v>
          </cell>
        </row>
        <row r="450">
          <cell r="B450" t="str">
            <v>IRON</v>
          </cell>
          <cell r="F450">
            <v>5.85</v>
          </cell>
        </row>
        <row r="451">
          <cell r="B451" t="str">
            <v>ANNX</v>
          </cell>
          <cell r="F451">
            <v>1.38</v>
          </cell>
        </row>
        <row r="452">
          <cell r="B452" t="str">
            <v>ALKS</v>
          </cell>
          <cell r="F452">
            <v>1.37</v>
          </cell>
        </row>
        <row r="453">
          <cell r="B453" t="str">
            <v>ELTX</v>
          </cell>
          <cell r="F453">
            <v>8.09</v>
          </cell>
        </row>
        <row r="454">
          <cell r="B454" t="str">
            <v>IONS</v>
          </cell>
          <cell r="F454">
            <v>1.01</v>
          </cell>
        </row>
        <row r="455">
          <cell r="B455" t="str">
            <v>BCDA</v>
          </cell>
          <cell r="F455">
            <v>1.31</v>
          </cell>
        </row>
        <row r="456">
          <cell r="B456" t="str">
            <v>GENB</v>
          </cell>
          <cell r="F456">
            <v>0.671</v>
          </cell>
        </row>
        <row r="457">
          <cell r="B457" t="str">
            <v>CLYM</v>
          </cell>
          <cell r="F457">
            <v>2.65</v>
          </cell>
        </row>
        <row r="458">
          <cell r="B458" t="str">
            <v>PPCB</v>
          </cell>
          <cell r="F458">
            <v>1.795</v>
          </cell>
        </row>
        <row r="459">
          <cell r="B459" t="str">
            <v>IVA</v>
          </cell>
          <cell r="F459">
            <v>0.9315</v>
          </cell>
        </row>
        <row r="460">
          <cell r="B460" t="str">
            <v>VRDN</v>
          </cell>
          <cell r="F460">
            <v>2.77</v>
          </cell>
        </row>
        <row r="461">
          <cell r="B461" t="str">
            <v>XENE</v>
          </cell>
          <cell r="F461">
            <v>1.36</v>
          </cell>
        </row>
        <row r="462">
          <cell r="B462" t="str">
            <v>SPTX</v>
          </cell>
          <cell r="F462">
            <v>0.7338</v>
          </cell>
        </row>
        <row r="463">
          <cell r="B463" t="str">
            <v>SXTP</v>
          </cell>
          <cell r="F463">
            <v>0.3545</v>
          </cell>
        </row>
        <row r="464">
          <cell r="B464" t="str">
            <v>BYSI</v>
          </cell>
          <cell r="F464">
            <v>1.12</v>
          </cell>
        </row>
        <row r="465">
          <cell r="B465" t="str">
            <v>NVAX</v>
          </cell>
          <cell r="F465">
            <v>1.49</v>
          </cell>
        </row>
        <row r="466">
          <cell r="B466" t="str">
            <v>IPHA</v>
          </cell>
          <cell r="F466">
            <v>1.22</v>
          </cell>
        </row>
        <row r="467">
          <cell r="B467" t="str">
            <v>IMNM</v>
          </cell>
          <cell r="F467">
            <v>1.27</v>
          </cell>
        </row>
        <row r="468">
          <cell r="B468" t="str">
            <v>LBRX</v>
          </cell>
          <cell r="F468">
            <v>1.39</v>
          </cell>
        </row>
        <row r="469">
          <cell r="B469" t="str">
            <v>ASND</v>
          </cell>
          <cell r="F469">
            <v>2.02</v>
          </cell>
        </row>
        <row r="470">
          <cell r="B470" t="str">
            <v>SGP</v>
          </cell>
          <cell r="F470">
            <v>0.4986</v>
          </cell>
        </row>
        <row r="471">
          <cell r="B471" t="str">
            <v>CRVS</v>
          </cell>
          <cell r="F471">
            <v>4.53</v>
          </cell>
        </row>
        <row r="472">
          <cell r="B472" t="str">
            <v>RNAZ</v>
          </cell>
          <cell r="F472">
            <v>0.9605</v>
          </cell>
        </row>
        <row r="473">
          <cell r="B473" t="str">
            <v>NAMS</v>
          </cell>
          <cell r="F473">
            <v>3.72</v>
          </cell>
        </row>
        <row r="474">
          <cell r="B474" t="str">
            <v>ANRO</v>
          </cell>
          <cell r="F474">
            <v>1.94</v>
          </cell>
        </row>
        <row r="475">
          <cell r="B475" t="str">
            <v>DYN</v>
          </cell>
          <cell r="F475">
            <v>3.47</v>
          </cell>
        </row>
        <row r="476">
          <cell r="B476" t="str">
            <v>ACHV</v>
          </cell>
          <cell r="F476">
            <v>0.7356</v>
          </cell>
        </row>
        <row r="477">
          <cell r="B477" t="str">
            <v>MSLE</v>
          </cell>
          <cell r="F477">
            <v>1.19</v>
          </cell>
        </row>
        <row r="478">
          <cell r="B478" t="str">
            <v>IDYA</v>
          </cell>
          <cell r="F478">
            <v>0.8752</v>
          </cell>
        </row>
        <row r="479">
          <cell r="B479" t="str">
            <v>CMPS</v>
          </cell>
          <cell r="F479">
            <v>0.33</v>
          </cell>
        </row>
        <row r="480">
          <cell r="B480" t="str">
            <v>DNLI</v>
          </cell>
          <cell r="F480">
            <v>8.54</v>
          </cell>
        </row>
        <row r="481">
          <cell r="B481" t="str">
            <v>CNTN</v>
          </cell>
          <cell r="F481">
            <v>0.9124</v>
          </cell>
        </row>
        <row r="482">
          <cell r="B482" t="str">
            <v>CADL</v>
          </cell>
          <cell r="F482">
            <v>1.07</v>
          </cell>
        </row>
        <row r="483">
          <cell r="B483" t="str">
            <v>MAZE</v>
          </cell>
          <cell r="F483">
            <v>1.62</v>
          </cell>
        </row>
        <row r="484">
          <cell r="B484" t="str">
            <v>GYRE</v>
          </cell>
          <cell r="F484">
            <v>0.5951</v>
          </cell>
        </row>
        <row r="485">
          <cell r="B485" t="str">
            <v>DFTX</v>
          </cell>
          <cell r="F485">
            <v>1.2</v>
          </cell>
        </row>
        <row r="486">
          <cell r="B486" t="str">
            <v>GERN</v>
          </cell>
          <cell r="F486">
            <v>20.21</v>
          </cell>
        </row>
        <row r="487">
          <cell r="B487" t="str">
            <v>XCUR</v>
          </cell>
          <cell r="F487">
            <v>2.43</v>
          </cell>
        </row>
        <row r="488">
          <cell r="B488" t="str">
            <v>OCUL</v>
          </cell>
          <cell r="F488">
            <v>2.07</v>
          </cell>
        </row>
        <row r="489">
          <cell r="B489" t="str">
            <v>EPRX</v>
          </cell>
          <cell r="F489">
            <v>1.63</v>
          </cell>
        </row>
        <row r="490">
          <cell r="B490" t="str">
            <v>NRXP</v>
          </cell>
          <cell r="F490">
            <v>9.86</v>
          </cell>
        </row>
        <row r="491">
          <cell r="B491" t="str">
            <v>ZBIO</v>
          </cell>
          <cell r="F491">
            <v>0.519</v>
          </cell>
        </row>
        <row r="492">
          <cell r="B492" t="str">
            <v>ACOG</v>
          </cell>
          <cell r="F492">
            <v>5.27</v>
          </cell>
        </row>
        <row r="493">
          <cell r="B493" t="str">
            <v>DWTX</v>
          </cell>
          <cell r="F493">
            <v>2.37</v>
          </cell>
        </row>
        <row r="494">
          <cell r="B494" t="str">
            <v>OCS</v>
          </cell>
          <cell r="F494">
            <v>0.821</v>
          </cell>
        </row>
        <row r="495">
          <cell r="B495" t="str">
            <v>LGVN</v>
          </cell>
          <cell r="F495">
            <v>2.975</v>
          </cell>
        </row>
        <row r="496">
          <cell r="B496" t="str">
            <v>MNPR</v>
          </cell>
          <cell r="F496">
            <v>0.2237</v>
          </cell>
        </row>
        <row r="497">
          <cell r="B497" t="str">
            <v>DNTH</v>
          </cell>
          <cell r="F497">
            <v>0.2951</v>
          </cell>
        </row>
        <row r="498">
          <cell r="B498" t="str">
            <v>PYXS</v>
          </cell>
          <cell r="F498">
            <v>1.05</v>
          </cell>
        </row>
        <row r="499">
          <cell r="B499" t="str">
            <v>GANX</v>
          </cell>
          <cell r="F499">
            <v>3.88</v>
          </cell>
        </row>
        <row r="500">
          <cell r="B500" t="str">
            <v>GHRS</v>
          </cell>
          <cell r="F500">
            <v>1.57</v>
          </cell>
        </row>
        <row r="501">
          <cell r="B501" t="str">
            <v>SANA</v>
          </cell>
          <cell r="F501">
            <v>22.0481</v>
          </cell>
        </row>
        <row r="502">
          <cell r="B502" t="str">
            <v>CVM</v>
          </cell>
          <cell r="F502">
            <v>6.43</v>
          </cell>
        </row>
        <row r="503">
          <cell r="B503" t="str">
            <v>SEPN</v>
          </cell>
          <cell r="F503">
            <v>1.6</v>
          </cell>
        </row>
        <row r="504">
          <cell r="B504" t="str">
            <v>VERA</v>
          </cell>
          <cell r="F504">
            <v>4.13</v>
          </cell>
        </row>
        <row r="505">
          <cell r="B505" t="str">
            <v>ORIC</v>
          </cell>
          <cell r="F505">
            <v>1.66</v>
          </cell>
        </row>
        <row r="506">
          <cell r="B506" t="str">
            <v>LXRX</v>
          </cell>
          <cell r="F506">
            <v>0.8935</v>
          </cell>
        </row>
        <row r="507">
          <cell r="B507" t="str">
            <v>NMAD</v>
          </cell>
          <cell r="F507">
            <v>1.5</v>
          </cell>
        </row>
        <row r="508">
          <cell r="B508" t="str">
            <v>LCTX</v>
          </cell>
          <cell r="F508">
            <v>4.52</v>
          </cell>
        </row>
        <row r="509">
          <cell r="B509" t="str">
            <v>BLSM</v>
          </cell>
          <cell r="F509">
            <v>0.9932</v>
          </cell>
        </row>
        <row r="510">
          <cell r="B510" t="str">
            <v>CBUS</v>
          </cell>
          <cell r="F510">
            <v>0.6651</v>
          </cell>
        </row>
        <row r="511">
          <cell r="B511" t="str">
            <v>CGON</v>
          </cell>
          <cell r="F511">
            <v>1.15</v>
          </cell>
        </row>
        <row r="512">
          <cell r="B512" t="str">
            <v>IMMP</v>
          </cell>
          <cell r="F512">
            <v>1.26</v>
          </cell>
        </row>
        <row r="513">
          <cell r="B513" t="str">
            <v>TRVI</v>
          </cell>
          <cell r="F513">
            <v>5.94</v>
          </cell>
        </row>
        <row r="514">
          <cell r="B514" t="str">
            <v>STOK</v>
          </cell>
          <cell r="F514">
            <v>3.73</v>
          </cell>
        </row>
        <row r="515">
          <cell r="B515" t="str">
            <v>PROK</v>
          </cell>
          <cell r="F515">
            <v>1.98</v>
          </cell>
        </row>
        <row r="516">
          <cell r="B516" t="str">
            <v>HROW</v>
          </cell>
          <cell r="F516">
            <v>2.38</v>
          </cell>
        </row>
        <row r="517">
          <cell r="B517" t="str">
            <v>ORKA</v>
          </cell>
          <cell r="F517">
            <v>1.07</v>
          </cell>
        </row>
        <row r="518">
          <cell r="B518" t="str">
            <v>PHVS</v>
          </cell>
          <cell r="F518">
            <v>1.56</v>
          </cell>
        </row>
        <row r="519">
          <cell r="B519" t="str">
            <v>VRCA</v>
          </cell>
          <cell r="F519">
            <v>4.12</v>
          </cell>
        </row>
        <row r="520">
          <cell r="B520" t="str">
            <v>SKYE</v>
          </cell>
          <cell r="F520">
            <v>1.64</v>
          </cell>
        </row>
        <row r="521">
          <cell r="B521" t="str">
            <v>MANE</v>
          </cell>
          <cell r="F521">
            <v>3.8</v>
          </cell>
        </row>
        <row r="522">
          <cell r="B522" t="str">
            <v>IMDX</v>
          </cell>
          <cell r="F522">
            <v>1.7</v>
          </cell>
        </row>
        <row r="523">
          <cell r="B523" t="str">
            <v>RNXT</v>
          </cell>
          <cell r="F523">
            <v>1.065</v>
          </cell>
        </row>
        <row r="524">
          <cell r="B524" t="str">
            <v>MBX</v>
          </cell>
          <cell r="F524">
            <v>2.78</v>
          </cell>
        </row>
        <row r="525">
          <cell r="B525" t="str">
            <v>NRIX</v>
          </cell>
          <cell r="F525">
            <v>1.5</v>
          </cell>
        </row>
        <row r="526">
          <cell r="B526" t="str">
            <v>APMD</v>
          </cell>
          <cell r="F526">
            <v>0.8105</v>
          </cell>
        </row>
        <row r="527">
          <cell r="B527" t="str">
            <v>FULC</v>
          </cell>
          <cell r="F527">
            <v>1.19</v>
          </cell>
        </row>
        <row r="528">
          <cell r="B528" t="str">
            <v>INKT</v>
          </cell>
          <cell r="F528">
            <v>0.6885</v>
          </cell>
        </row>
        <row r="529">
          <cell r="B529" t="str">
            <v>IFRX</v>
          </cell>
          <cell r="F529">
            <v>2.29</v>
          </cell>
        </row>
        <row r="530">
          <cell r="B530" t="str">
            <v>TNGX</v>
          </cell>
          <cell r="F530">
            <v>1.395</v>
          </cell>
        </row>
        <row r="531">
          <cell r="B531" t="str">
            <v>VKTX</v>
          </cell>
          <cell r="F531">
            <v>40.27</v>
          </cell>
        </row>
        <row r="532">
          <cell r="B532" t="str">
            <v>GNLX</v>
          </cell>
          <cell r="F532">
            <v>3.66</v>
          </cell>
        </row>
        <row r="533">
          <cell r="B533" t="str">
            <v>ATTO</v>
          </cell>
          <cell r="F533">
            <v>1.56</v>
          </cell>
        </row>
        <row r="534">
          <cell r="B534" t="str">
            <v>IRD</v>
          </cell>
          <cell r="F534">
            <v>5.03</v>
          </cell>
        </row>
        <row r="535">
          <cell r="B535" t="str">
            <v>NTLA</v>
          </cell>
          <cell r="F535">
            <v>4.63</v>
          </cell>
        </row>
        <row r="536">
          <cell r="B536" t="str">
            <v>KAPA</v>
          </cell>
          <cell r="F536">
            <v>0.8313</v>
          </cell>
        </row>
        <row r="537">
          <cell r="B537" t="str">
            <v>SLN</v>
          </cell>
          <cell r="F537">
            <v>3.46</v>
          </cell>
        </row>
        <row r="538">
          <cell r="B538" t="str">
            <v>LITS</v>
          </cell>
          <cell r="F538">
            <v>0.7243</v>
          </cell>
        </row>
        <row r="539">
          <cell r="B539" t="str">
            <v>SYRE</v>
          </cell>
          <cell r="F539">
            <v>2.54</v>
          </cell>
        </row>
        <row r="540">
          <cell r="B540" t="str">
            <v>BSEM</v>
          </cell>
          <cell r="F540">
            <v>1.66</v>
          </cell>
        </row>
        <row r="541">
          <cell r="B541" t="str">
            <v>ROIV</v>
          </cell>
          <cell r="F541">
            <v>5.44</v>
          </cell>
        </row>
        <row r="542">
          <cell r="B542" t="str">
            <v>RXRX</v>
          </cell>
          <cell r="F542">
            <v>3.24</v>
          </cell>
        </row>
        <row r="543">
          <cell r="B543" t="str">
            <v>PCVX</v>
          </cell>
          <cell r="F543">
            <v>0.6501</v>
          </cell>
        </row>
        <row r="544">
          <cell r="B544" t="str">
            <v>SDEV</v>
          </cell>
          <cell r="F544">
            <v>4.91</v>
          </cell>
        </row>
        <row r="545">
          <cell r="B545" t="str">
            <v>ZYME</v>
          </cell>
          <cell r="F545">
            <v>0.245</v>
          </cell>
        </row>
        <row r="546">
          <cell r="B546" t="str">
            <v>PRME</v>
          </cell>
          <cell r="F546">
            <v>1.19</v>
          </cell>
        </row>
        <row r="547">
          <cell r="B547" t="str">
            <v>ANIX</v>
          </cell>
          <cell r="F547">
            <v>2.31</v>
          </cell>
        </row>
        <row r="548">
          <cell r="B548" t="str">
            <v>EXOZ</v>
          </cell>
          <cell r="F548">
            <v>2.82</v>
          </cell>
        </row>
        <row r="549">
          <cell r="B549" t="str">
            <v>PVLA</v>
          </cell>
          <cell r="F549">
            <v>0.515</v>
          </cell>
        </row>
        <row r="550">
          <cell r="B550" t="str">
            <v>IMVT</v>
          </cell>
          <cell r="F550">
            <v>0.93</v>
          </cell>
        </row>
        <row r="551">
          <cell r="B551" t="str">
            <v>QUCY</v>
          </cell>
          <cell r="F551">
            <v>2.53</v>
          </cell>
        </row>
        <row r="552">
          <cell r="B552" t="str">
            <v>CUE</v>
          </cell>
          <cell r="F552">
            <v>1.08</v>
          </cell>
        </row>
        <row r="553">
          <cell r="B553" t="str">
            <v>CTOR</v>
          </cell>
          <cell r="F553">
            <v>4.05</v>
          </cell>
        </row>
        <row r="554">
          <cell r="B554" t="str">
            <v>ABSI</v>
          </cell>
          <cell r="F554">
            <v>0.5227</v>
          </cell>
        </row>
        <row r="555">
          <cell r="B555" t="str">
            <v>AEON</v>
          </cell>
          <cell r="F555">
            <v>0.2438</v>
          </cell>
        </row>
        <row r="556">
          <cell r="B556" t="str">
            <v>CRDL</v>
          </cell>
          <cell r="F556">
            <v>1.88</v>
          </cell>
        </row>
        <row r="557">
          <cell r="B557" t="str">
            <v>TRAX</v>
          </cell>
          <cell r="F557">
            <v>5.28</v>
          </cell>
        </row>
        <row r="558">
          <cell r="B558" t="str">
            <v>NCEL</v>
          </cell>
          <cell r="F558">
            <v>2.01</v>
          </cell>
        </row>
        <row r="559">
          <cell r="B559" t="str">
            <v>SLGL</v>
          </cell>
          <cell r="F559">
            <v>0.9429</v>
          </cell>
        </row>
        <row r="560">
          <cell r="B560" t="str">
            <v>GDTC</v>
          </cell>
          <cell r="F560">
            <v>0.4</v>
          </cell>
        </row>
        <row r="561">
          <cell r="B561" t="str">
            <v>PLYX</v>
          </cell>
          <cell r="F561">
            <v>2.63</v>
          </cell>
        </row>
        <row r="562">
          <cell r="B562" t="str">
            <v>NGEN</v>
          </cell>
          <cell r="F562">
            <v>1.94</v>
          </cell>
        </row>
        <row r="563">
          <cell r="B563" t="str">
            <v>LNAI</v>
          </cell>
          <cell r="F563">
            <v>3.39</v>
          </cell>
        </row>
        <row r="564">
          <cell r="B564" t="str">
            <v>CLGN</v>
          </cell>
          <cell r="F564">
            <v>1.16</v>
          </cell>
        </row>
        <row r="565">
          <cell r="B565" t="str">
            <v>ENLV</v>
          </cell>
          <cell r="F565">
            <v>0.1733</v>
          </cell>
        </row>
        <row r="566">
          <cell r="B566" t="str">
            <v>TWST</v>
          </cell>
          <cell r="F566">
            <v>9.29</v>
          </cell>
        </row>
        <row r="567">
          <cell r="B567" t="str">
            <v>ABUS</v>
          </cell>
          <cell r="F567">
            <v>0.4999</v>
          </cell>
        </row>
        <row r="568">
          <cell r="B568" t="str">
            <v>COCP</v>
          </cell>
          <cell r="F568">
            <v>0.5837</v>
          </cell>
        </row>
        <row r="569">
          <cell r="B569" t="str">
            <v>KURA</v>
          </cell>
          <cell r="F569">
            <v>0.615</v>
          </cell>
        </row>
        <row r="570">
          <cell r="B570" t="str">
            <v>REPL</v>
          </cell>
          <cell r="F570">
            <v>0.224</v>
          </cell>
        </row>
        <row r="571">
          <cell r="B571" t="str">
            <v>CLNN</v>
          </cell>
          <cell r="F571">
            <v>0.3851</v>
          </cell>
        </row>
        <row r="572">
          <cell r="B572" t="str">
            <v>AURA</v>
          </cell>
          <cell r="F572">
            <v>9.15</v>
          </cell>
        </row>
        <row r="573">
          <cell r="B573" t="str">
            <v>DMAC</v>
          </cell>
          <cell r="F573">
            <v>0.6161</v>
          </cell>
        </row>
        <row r="574">
          <cell r="B574" t="str">
            <v>ATRA</v>
          </cell>
          <cell r="F574">
            <v>0.8758</v>
          </cell>
        </row>
        <row r="575">
          <cell r="B575" t="str">
            <v>QNTM</v>
          </cell>
          <cell r="F575">
            <v>0.41</v>
          </cell>
        </row>
        <row r="576">
          <cell r="B576" t="str">
            <v>INSM</v>
          </cell>
          <cell r="F576">
            <v>1.04</v>
          </cell>
        </row>
        <row r="577">
          <cell r="B577" t="str">
            <v>ORMP</v>
          </cell>
          <cell r="F577">
            <v>1.62</v>
          </cell>
        </row>
        <row r="578">
          <cell r="B578" t="str">
            <v>OTLK</v>
          </cell>
          <cell r="F578">
            <v>2.61</v>
          </cell>
        </row>
        <row r="579">
          <cell r="B579" t="str">
            <v>BRTX</v>
          </cell>
          <cell r="F579">
            <v>0.992</v>
          </cell>
        </row>
        <row r="580">
          <cell r="B580" t="str">
            <v>PTGX</v>
          </cell>
          <cell r="F580">
            <v>0.5311</v>
          </cell>
        </row>
        <row r="581">
          <cell r="B581" t="str">
            <v>ARWR</v>
          </cell>
          <cell r="F581">
            <v>1.84</v>
          </cell>
        </row>
        <row r="582">
          <cell r="B582" t="str">
            <v>LQDA</v>
          </cell>
          <cell r="F582">
            <v>1.68</v>
          </cell>
        </row>
        <row r="583">
          <cell r="B583" t="str">
            <v>RVMD</v>
          </cell>
          <cell r="F583">
            <v>0.4175</v>
          </cell>
        </row>
        <row r="584">
          <cell r="B584" t="str">
            <v>PLRZ</v>
          </cell>
          <cell r="F584">
            <v>2.62</v>
          </cell>
        </row>
        <row r="585">
          <cell r="B585" t="str">
            <v>BEAM</v>
          </cell>
          <cell r="F585">
            <v>0.804</v>
          </cell>
        </row>
        <row r="586">
          <cell r="B586" t="str">
            <v>BLTE</v>
          </cell>
          <cell r="F586">
            <v>0.2315</v>
          </cell>
        </row>
        <row r="587">
          <cell r="B587" t="str">
            <v>AMLX</v>
          </cell>
          <cell r="F587">
            <v>8.72</v>
          </cell>
        </row>
        <row r="588">
          <cell r="B588" t="str">
            <v>ABVX</v>
          </cell>
          <cell r="F588">
            <v>7.88</v>
          </cell>
        </row>
        <row r="589">
          <cell r="B589" t="str">
            <v>ERAS</v>
          </cell>
          <cell r="F589">
            <v>0.4986</v>
          </cell>
        </row>
        <row r="590">
          <cell r="B590" t="str">
            <v>CGC</v>
          </cell>
          <cell r="F590">
            <v>5.52</v>
          </cell>
        </row>
        <row r="591">
          <cell r="B591" t="str">
            <v>VSTM</v>
          </cell>
          <cell r="F591">
            <v>3.6</v>
          </cell>
        </row>
        <row r="592">
          <cell r="B592" t="str">
            <v>NNVC</v>
          </cell>
          <cell r="F592">
            <v>0.689</v>
          </cell>
        </row>
        <row r="593">
          <cell r="B593" t="str">
            <v>TPST</v>
          </cell>
          <cell r="F593">
            <v>0.9</v>
          </cell>
        </row>
        <row r="594">
          <cell r="B594" t="str">
            <v>PURR</v>
          </cell>
          <cell r="F594">
            <v>1.14</v>
          </cell>
        </row>
        <row r="595">
          <cell r="B595" t="str">
            <v>BIAF</v>
          </cell>
          <cell r="F595">
            <v>3.28</v>
          </cell>
        </row>
        <row r="596">
          <cell r="B596" t="str">
            <v>BRVE</v>
          </cell>
          <cell r="F596">
            <v>1.23</v>
          </cell>
        </row>
        <row r="597">
          <cell r="B597" t="str">
            <v>TELO</v>
          </cell>
          <cell r="F597">
            <v>2.33</v>
          </cell>
        </row>
        <row r="598">
          <cell r="B598" t="str">
            <v>ZLAB</v>
          </cell>
          <cell r="F598">
            <v>0.1944</v>
          </cell>
        </row>
        <row r="599">
          <cell r="B599" t="str">
            <v>SLS</v>
          </cell>
          <cell r="F599">
            <v>2.43</v>
          </cell>
        </row>
        <row r="600">
          <cell r="B600" t="str">
            <v>TYRA</v>
          </cell>
          <cell r="F600">
            <v>0.8715</v>
          </cell>
        </row>
        <row r="601">
          <cell r="B601" t="str">
            <v>ONCY</v>
          </cell>
          <cell r="F601">
            <v>0.8921</v>
          </cell>
        </row>
        <row r="602">
          <cell r="B602" t="str">
            <v>KYMR</v>
          </cell>
          <cell r="F602">
            <v>0.5762</v>
          </cell>
        </row>
        <row r="603">
          <cell r="B603" t="str">
            <v>AQST</v>
          </cell>
          <cell r="F603">
            <v>4.24</v>
          </cell>
        </row>
        <row r="604">
          <cell r="B604" t="str">
            <v>SRRK</v>
          </cell>
          <cell r="F604">
            <v>0.2047</v>
          </cell>
        </row>
        <row r="605">
          <cell r="B605" t="str">
            <v>TLSI</v>
          </cell>
          <cell r="F605">
            <v>1.04</v>
          </cell>
        </row>
        <row r="606">
          <cell r="B606" t="str">
            <v>NBTX</v>
          </cell>
          <cell r="F606">
            <v>1.18</v>
          </cell>
        </row>
        <row r="607">
          <cell r="B607" t="str">
            <v>RANI</v>
          </cell>
          <cell r="F607">
            <v>3.82</v>
          </cell>
        </row>
        <row r="608">
          <cell r="B608" t="str">
            <v>LEXX</v>
          </cell>
          <cell r="F608">
            <v>1.29</v>
          </cell>
        </row>
        <row r="609">
          <cell r="B609" t="str">
            <v>OMER</v>
          </cell>
          <cell r="F609">
            <v>0.1978</v>
          </cell>
        </row>
        <row r="610">
          <cell r="B610" t="str">
            <v>MGTX</v>
          </cell>
          <cell r="F610">
            <v>0.3586</v>
          </cell>
        </row>
        <row r="611">
          <cell r="B611" t="str">
            <v>MDGL</v>
          </cell>
          <cell r="F611">
            <v>0.6564</v>
          </cell>
        </row>
        <row r="612">
          <cell r="B612" t="str">
            <v>OBX</v>
          </cell>
          <cell r="F612">
            <v>1.37</v>
          </cell>
        </row>
        <row r="613">
          <cell r="B613" t="str">
            <v>RYTM</v>
          </cell>
          <cell r="F613">
            <v>1.4</v>
          </cell>
        </row>
        <row r="614">
          <cell r="B614" t="str">
            <v>NSRX</v>
          </cell>
          <cell r="F614">
            <v>4.31</v>
          </cell>
        </row>
        <row r="615">
          <cell r="B615" t="str">
            <v>NTRB</v>
          </cell>
          <cell r="F615">
            <v>1.47</v>
          </cell>
        </row>
        <row r="616">
          <cell r="B616" t="str">
            <v>PCSA</v>
          </cell>
          <cell r="F616">
            <v>0.9564</v>
          </cell>
        </row>
        <row r="617">
          <cell r="B617" t="str">
            <v>GLSI</v>
          </cell>
          <cell r="F617">
            <v>0.3546</v>
          </cell>
        </row>
        <row r="618">
          <cell r="B618" t="str">
            <v>ENSC</v>
          </cell>
          <cell r="F618">
            <v>0.5612</v>
          </cell>
        </row>
        <row r="619">
          <cell r="B619" t="str">
            <v>GALT</v>
          </cell>
          <cell r="F619">
            <v>1.34</v>
          </cell>
        </row>
        <row r="620">
          <cell r="B620" t="str">
            <v>NVCT</v>
          </cell>
          <cell r="F620">
            <v>0.9987</v>
          </cell>
        </row>
        <row r="621">
          <cell r="B621" t="str">
            <v>CPIX</v>
          </cell>
          <cell r="F621">
            <v>4.99</v>
          </cell>
        </row>
        <row r="622">
          <cell r="B622" t="str">
            <v>URGN</v>
          </cell>
          <cell r="F622">
            <v>0.2277</v>
          </cell>
        </row>
        <row r="623">
          <cell r="B623" t="str">
            <v>RLAY</v>
          </cell>
          <cell r="F623">
            <v>2.97</v>
          </cell>
        </row>
        <row r="624">
          <cell r="B624" t="str">
            <v>INDP</v>
          </cell>
          <cell r="F624">
            <v>0.9199</v>
          </cell>
        </row>
        <row r="625">
          <cell r="B625" t="str">
            <v>PHAT</v>
          </cell>
          <cell r="F625">
            <v>1.3</v>
          </cell>
        </row>
        <row r="626">
          <cell r="B626" t="str">
            <v>GRAL</v>
          </cell>
          <cell r="F626">
            <v>0.3767</v>
          </cell>
        </row>
        <row r="627">
          <cell r="B627" t="str">
            <v>CYPH</v>
          </cell>
          <cell r="F627">
            <v>1.44</v>
          </cell>
        </row>
        <row r="628">
          <cell r="B628" t="str">
            <v>LTGO</v>
          </cell>
          <cell r="F628">
            <v>0.94</v>
          </cell>
        </row>
        <row r="629">
          <cell r="B629" t="str">
            <v>NNNN</v>
          </cell>
          <cell r="F629">
            <v>3.41</v>
          </cell>
        </row>
        <row r="630">
          <cell r="B630" t="str">
            <v>HYPD</v>
          </cell>
          <cell r="F630">
            <v>0.2323</v>
          </cell>
        </row>
        <row r="631">
          <cell r="B631" t="str">
            <v>NTHI</v>
          </cell>
          <cell r="F631">
            <v>1.14</v>
          </cell>
        </row>
        <row r="632">
          <cell r="B632" t="str">
            <v>KOD</v>
          </cell>
          <cell r="F632">
            <v>1.005</v>
          </cell>
        </row>
        <row r="633">
          <cell r="B633" t="str">
            <v>ENTX</v>
          </cell>
          <cell r="F633">
            <v>1.15</v>
          </cell>
        </row>
        <row r="634">
          <cell r="B634" t="str">
            <v>CNXU</v>
          </cell>
          <cell r="F634">
            <v>6.19</v>
          </cell>
        </row>
        <row r="635">
          <cell r="B635" t="str">
            <v>GTBP</v>
          </cell>
          <cell r="F635">
            <v>1.15</v>
          </cell>
        </row>
        <row r="636">
          <cell r="B636" t="str">
            <v>MTNB</v>
          </cell>
          <cell r="F636">
            <v>1.43</v>
          </cell>
        </row>
        <row r="637">
          <cell r="B637" t="str">
            <v>CURX</v>
          </cell>
          <cell r="F637">
            <v>0.1679</v>
          </cell>
        </row>
        <row r="638">
          <cell r="B638" t="str">
            <v>PDSB</v>
          </cell>
          <cell r="F638">
            <v>1.72</v>
          </cell>
        </row>
        <row r="639">
          <cell r="B639" t="str">
            <v>TCRT</v>
          </cell>
          <cell r="F639">
            <v>0.7547</v>
          </cell>
        </row>
        <row r="640">
          <cell r="B640" t="str">
            <v>EWTX</v>
          </cell>
          <cell r="F640">
            <v>0.448</v>
          </cell>
        </row>
        <row r="641">
          <cell r="B641" t="str">
            <v>MRNA</v>
          </cell>
          <cell r="F641">
            <v>1.79</v>
          </cell>
        </row>
        <row r="642">
          <cell r="B642" t="str">
            <v>YDES</v>
          </cell>
          <cell r="F642">
            <v>2.0</v>
          </cell>
        </row>
        <row r="643">
          <cell r="B643" t="str">
            <v>SCTX</v>
          </cell>
          <cell r="F643">
            <v>0.5</v>
          </cell>
        </row>
        <row r="644">
          <cell r="B644" t="str">
            <v>IOVA</v>
          </cell>
          <cell r="F644">
            <v>0.0715</v>
          </cell>
        </row>
        <row r="645">
          <cell r="B645" t="str">
            <v>TTRX</v>
          </cell>
          <cell r="F645">
            <v>1.0056</v>
          </cell>
        </row>
        <row r="646">
          <cell r="B646" t="str">
            <v>GRML</v>
          </cell>
          <cell r="F646">
            <v>0.3873</v>
          </cell>
        </row>
        <row r="647">
          <cell r="B647" t="str">
            <v>KRSA</v>
          </cell>
          <cell r="F647">
            <v>1.04</v>
          </cell>
        </row>
        <row r="648">
          <cell r="B648" t="str">
            <v>CELU</v>
          </cell>
          <cell r="F648">
            <v>0.3422</v>
          </cell>
        </row>
        <row r="649">
          <cell r="B649" t="str">
            <v>LIMN</v>
          </cell>
          <cell r="F649">
            <v>0.1897</v>
          </cell>
        </row>
        <row r="650">
          <cell r="B650" t="str">
            <v>ICCC</v>
          </cell>
          <cell r="F650">
            <v>2.24</v>
          </cell>
        </row>
        <row r="651">
          <cell r="B651" t="str">
            <v>ESLA</v>
          </cell>
          <cell r="F651">
            <v>0.6893</v>
          </cell>
        </row>
        <row r="652">
          <cell r="B652" t="str">
            <v>BHVN</v>
          </cell>
          <cell r="F652">
            <v>0.8699</v>
          </cell>
        </row>
        <row r="653">
          <cell r="B653" t="str">
            <v>BGM</v>
          </cell>
          <cell r="F653">
            <v>0.3716</v>
          </cell>
        </row>
        <row r="654">
          <cell r="B654" t="str">
            <v>FFR</v>
          </cell>
          <cell r="F654">
            <v>1.615</v>
          </cell>
        </row>
        <row r="655">
          <cell r="B655" t="str">
            <v>FRNM</v>
          </cell>
          <cell r="F655">
            <v>0.9222</v>
          </cell>
        </row>
        <row r="656">
          <cell r="B656" t="str">
            <v>SHPH</v>
          </cell>
          <cell r="F656">
            <v>1.46</v>
          </cell>
        </row>
        <row r="657">
          <cell r="B657" t="str">
            <v>BFRI</v>
          </cell>
          <cell r="F657">
            <v>3.07</v>
          </cell>
        </row>
        <row r="658">
          <cell r="B658" t="str">
            <v>OSTX</v>
          </cell>
          <cell r="F658">
            <v>0.3795</v>
          </cell>
        </row>
        <row r="659">
          <cell r="B659" t="str">
            <v>RGC</v>
          </cell>
          <cell r="F659">
            <v>0.6813</v>
          </cell>
        </row>
        <row r="660">
          <cell r="B660" t="str">
            <v>ALP</v>
          </cell>
          <cell r="F660">
            <v>0.5073</v>
          </cell>
        </row>
        <row r="661">
          <cell r="B661" t="str">
            <v>MESO</v>
          </cell>
          <cell r="F661">
            <v>1.89</v>
          </cell>
        </row>
        <row r="662">
          <cell r="B662" t="str">
            <v>NRSN</v>
          </cell>
          <cell r="F662">
            <v>1.08</v>
          </cell>
        </row>
        <row r="663">
          <cell r="B663" t="str">
            <v>ABVC</v>
          </cell>
          <cell r="F663">
            <v>3.54</v>
          </cell>
        </row>
        <row r="664">
          <cell r="B664" t="str">
            <v>CELC</v>
          </cell>
          <cell r="F664">
            <v>0.1713</v>
          </cell>
        </row>
        <row r="665">
          <cell r="B665" t="str">
            <v>IBO</v>
          </cell>
          <cell r="F665">
            <v>1.23</v>
          </cell>
        </row>
        <row r="666">
          <cell r="B666" t="str">
            <v>BLRX</v>
          </cell>
          <cell r="F666">
            <v>0.77</v>
          </cell>
        </row>
        <row r="667">
          <cell r="B667" t="str">
            <v>VOGX</v>
          </cell>
          <cell r="F667">
            <v>2.8</v>
          </cell>
        </row>
        <row r="668">
          <cell r="B668" t="str">
            <v>IBRX</v>
          </cell>
          <cell r="F668">
            <v>0.321</v>
          </cell>
        </row>
        <row r="669">
          <cell r="B669" t="str">
            <v>RCUS</v>
          </cell>
          <cell r="F669">
            <v>0.434</v>
          </cell>
        </row>
        <row r="670">
          <cell r="B670" t="str">
            <v>GRDX</v>
          </cell>
          <cell r="F670">
            <v>3.75</v>
          </cell>
        </row>
        <row r="671">
          <cell r="B671" t="str">
            <v>XNCR</v>
          </cell>
          <cell r="F671">
            <v>0.4064</v>
          </cell>
        </row>
        <row r="672">
          <cell r="B672" t="str">
            <v>TVGN</v>
          </cell>
          <cell r="F672">
            <v>1.2</v>
          </cell>
        </row>
        <row r="673">
          <cell r="B673" t="str">
            <v>OKYO</v>
          </cell>
          <cell r="F673">
            <v>0.2271</v>
          </cell>
        </row>
        <row r="674">
          <cell r="B674" t="str">
            <v>HURA</v>
          </cell>
          <cell r="F674">
            <v>2.13</v>
          </cell>
        </row>
        <row r="675">
          <cell r="B675" t="str">
            <v>GOSS</v>
          </cell>
          <cell r="F675">
            <v>0.5775</v>
          </cell>
        </row>
        <row r="676">
          <cell r="B676" t="str">
            <v>PGEN</v>
          </cell>
          <cell r="F676">
            <v>0.43</v>
          </cell>
        </row>
        <row r="677">
          <cell r="B677" t="str">
            <v>IGC</v>
          </cell>
          <cell r="F677">
            <v>1.085</v>
          </cell>
        </row>
        <row r="678">
          <cell r="B678" t="str">
            <v>MDCX</v>
          </cell>
          <cell r="F678">
            <v>0.3855</v>
          </cell>
        </row>
        <row r="679">
          <cell r="B679" t="str">
            <v>INBX</v>
          </cell>
          <cell r="F679">
            <v>6.12</v>
          </cell>
        </row>
        <row r="680">
          <cell r="B680" t="str">
            <v>SNDX</v>
          </cell>
          <cell r="F680">
            <v>0.2418</v>
          </cell>
        </row>
        <row r="681">
          <cell r="B681" t="str">
            <v>ZYBT</v>
          </cell>
          <cell r="F681">
            <v>0.3996</v>
          </cell>
        </row>
        <row r="682">
          <cell r="B682" t="str">
            <v>MENS</v>
          </cell>
          <cell r="F682">
            <v>0.153</v>
          </cell>
        </row>
        <row r="683">
          <cell r="B683" t="str">
            <v>RCEL</v>
          </cell>
          <cell r="F683">
            <v>1.135</v>
          </cell>
        </row>
        <row r="684">
          <cell r="B684" t="str">
            <v>CPHI</v>
          </cell>
          <cell r="F684">
            <v>0.7246</v>
          </cell>
        </row>
        <row r="685">
          <cell r="B685" t="str">
            <v>HLSQ</v>
          </cell>
          <cell r="F685">
            <v>1.33</v>
          </cell>
        </row>
        <row r="686">
          <cell r="B686" t="str">
            <v>VBIO</v>
          </cell>
          <cell r="F686">
            <v>0.0653</v>
          </cell>
        </row>
        <row r="687">
          <cell r="B687" t="str">
            <v>RARE</v>
          </cell>
          <cell r="F687">
            <v>17.68</v>
          </cell>
        </row>
        <row r="688">
          <cell r="B688" t="str">
            <v>VALN</v>
          </cell>
          <cell r="F688">
            <v>3.05</v>
          </cell>
        </row>
        <row r="689">
          <cell r="B689" t="str">
            <v>ALLR</v>
          </cell>
          <cell r="F689">
            <v>8.73</v>
          </cell>
        </row>
        <row r="690">
          <cell r="B690" t="str">
            <v>RGNX</v>
          </cell>
          <cell r="F690">
            <v>10.64</v>
          </cell>
        </row>
        <row r="691">
          <cell r="B691" t="str">
            <v>ADCT</v>
          </cell>
          <cell r="F691">
            <v>12.66</v>
          </cell>
        </row>
        <row r="692">
          <cell r="B692" t="str">
            <v>GELS</v>
          </cell>
          <cell r="F692">
            <v>5.19</v>
          </cell>
        </row>
        <row r="693">
          <cell r="B693" t="str">
            <v>PTHS</v>
          </cell>
          <cell r="F693">
            <v>55.2</v>
          </cell>
        </row>
        <row r="694">
          <cell r="B694" t="str">
            <v>JAGX</v>
          </cell>
          <cell r="F694">
            <v>8.81</v>
          </cell>
        </row>
        <row r="695">
          <cell r="B695" t="str">
            <v>IVVD</v>
          </cell>
          <cell r="F695">
            <v>7.64</v>
          </cell>
        </row>
        <row r="696">
          <cell r="B696" t="str">
            <v>IMCC</v>
          </cell>
          <cell r="F696">
            <v>2.03</v>
          </cell>
        </row>
        <row r="697">
          <cell r="B697" t="str">
            <v>CHRS</v>
          </cell>
          <cell r="F697">
            <v>0.937</v>
          </cell>
        </row>
        <row r="698">
          <cell r="B698" t="str">
            <v>SPRY</v>
          </cell>
          <cell r="F698">
            <v>3.36</v>
          </cell>
        </row>
        <row r="699">
          <cell r="B699" t="str">
            <v>ARMP</v>
          </cell>
          <cell r="F699">
            <v>4.04</v>
          </cell>
        </row>
        <row r="700">
          <cell r="B700" t="str">
            <v>PLUR</v>
          </cell>
          <cell r="F700">
            <v>0.99</v>
          </cell>
        </row>
        <row r="701">
          <cell r="B701" t="str">
            <v>TIL</v>
          </cell>
          <cell r="F701">
            <v>2.03</v>
          </cell>
        </row>
        <row r="702">
          <cell r="B702" t="str">
            <v>APUS</v>
          </cell>
          <cell r="F702">
            <v>1.5</v>
          </cell>
        </row>
        <row r="703">
          <cell r="B703" t="str">
            <v>HCWB</v>
          </cell>
          <cell r="F703">
            <v>9.0</v>
          </cell>
        </row>
        <row r="704">
          <cell r="B704" t="str">
            <v>SCLX</v>
          </cell>
          <cell r="F704">
            <v>1.01</v>
          </cell>
        </row>
        <row r="705">
          <cell r="B705" t="str">
            <v>KPTI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9"/>
  <sheetViews>
    <sheetView showGridLines="0" tabSelected="1" zoomScale="150" workbookViewId="0">
      <selection activeCell="D21" sqref="D21"/>
    </sheetView>
  </sheetViews>
  <sheetFormatPr baseColWidth="10" defaultRowHeight="16" x14ac:dyDescent="0.2"/>
  <cols>
    <col min="1" max="1" width="3.33203125" customWidth="1"/>
    <col min="2" max="2" width="12.6640625" customWidth="1"/>
    <col min="5" max="5" width="11" customWidth="1"/>
  </cols>
  <sheetData>
    <row r="2" spans="2:6" x14ac:dyDescent="0.2">
      <c r="B2" s="93" t="s">
        <v>0</v>
      </c>
      <c r="C2" s="94"/>
    </row>
    <row r="3" spans="2:6" x14ac:dyDescent="0.2">
      <c r="B3" t="s">
        <v>1</v>
      </c>
      <c r="C3" s="8">
        <f>INDEX([1]Pharma!$F$1:$F$1000,MATCH("VNDA",[1]Pharma!$B$1:$B$1000,0))</f>
        <v>4.17</v>
      </c>
      <c r="F3" s="1"/>
    </row>
    <row r="4" spans="2:6" x14ac:dyDescent="0.2">
      <c r="B4" t="s">
        <v>2</v>
      </c>
      <c r="C4" s="9">
        <f>60.462687</f>
        <v>60.462687</v>
      </c>
      <c r="F4" s="1"/>
    </row>
    <row r="5" spans="2:6" x14ac:dyDescent="0.2">
      <c r="B5" t="s">
        <v>3</v>
      </c>
      <c r="C5" s="1">
        <f>C3*C4</f>
        <v>252.12940479</v>
      </c>
      <c r="F5" s="1"/>
    </row>
    <row r="7" spans="2:6" x14ac:dyDescent="0.2">
      <c r="B7" t="s">
        <v>4</v>
      </c>
      <c r="C7" s="9">
        <f>170</f>
        <v>170</v>
      </c>
    </row>
    <row r="8" spans="2:6" x14ac:dyDescent="0.2">
      <c r="B8" t="s">
        <v>5</v>
      </c>
      <c r="C8" s="9">
        <v>0</v>
      </c>
    </row>
    <row r="9" spans="2:6" x14ac:dyDescent="0.2">
      <c r="B9" t="s">
        <v>6</v>
      </c>
      <c r="C9" s="1">
        <f>C5-C7+C8</f>
        <v>82.12940479</v>
      </c>
    </row>
    <row r="11" spans="2:6" x14ac:dyDescent="0.2">
      <c r="B11" s="10" t="s">
        <v>7</v>
      </c>
      <c r="C11" s="8">
        <f>NPV!C43</f>
        <v>13.314826577100533</v>
      </c>
    </row>
    <row r="12" spans="2:6" x14ac:dyDescent="0.2">
      <c r="B12" s="10" t="s">
        <v>8</v>
      </c>
      <c r="C12" s="11">
        <f>C11/C3-1</f>
        <v>2.193003975323869</v>
      </c>
    </row>
    <row r="13" spans="2:6" x14ac:dyDescent="0.2">
      <c r="B13" s="10" t="s">
        <v>9</v>
      </c>
      <c r="C13" s="8">
        <f>(C7-C8)/C4</f>
        <v>2.8116514239600368</v>
      </c>
    </row>
    <row r="14" spans="2:6" x14ac:dyDescent="0.2">
      <c r="B14" s="10" t="s">
        <v>10</v>
      </c>
      <c r="C14" s="10" t="str">
        <f>Assumptions!$C$4</f>
        <v>Base</v>
      </c>
    </row>
    <row r="16" spans="2:6" x14ac:dyDescent="0.2">
      <c r="B16" s="10" t="s">
        <v>11</v>
      </c>
      <c r="C16" s="12">
        <f>Assumptions!$B$30</f>
        <v>46368</v>
      </c>
    </row>
    <row r="17" spans="2:3" x14ac:dyDescent="0.2">
      <c r="B17" s="10" t="s">
        <v>12</v>
      </c>
      <c r="C17" s="13">
        <f>Assumptions!$B$32</f>
        <v>0.85</v>
      </c>
    </row>
    <row r="18" spans="2:3" x14ac:dyDescent="0.2">
      <c r="B18" s="10" t="s">
        <v>13</v>
      </c>
      <c r="C18" s="8">
        <f>Assumptions!$D$189</f>
        <v>13.654729718319361</v>
      </c>
    </row>
    <row r="19" spans="2:3" x14ac:dyDescent="0.2">
      <c r="B19" s="10" t="s">
        <v>14</v>
      </c>
      <c r="C19" s="8">
        <f>Assumptions!$D$188</f>
        <v>11.062715847253962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1"/>
  <sheetViews>
    <sheetView zoomScale="138" workbookViewId="0">
      <selection activeCell="A2" sqref="A2"/>
    </sheetView>
  </sheetViews>
  <sheetFormatPr baseColWidth="10" defaultRowHeight="16" x14ac:dyDescent="0.2"/>
  <cols>
    <col min="1" max="1" width="22" style="2" customWidth="1"/>
  </cols>
  <sheetData>
    <row r="1" spans="1:31" s="6" customFormat="1" x14ac:dyDescent="0.2">
      <c r="A1" s="7"/>
      <c r="B1" s="14">
        <v>2021</v>
      </c>
      <c r="C1" s="14">
        <v>2022</v>
      </c>
      <c r="D1" s="14">
        <v>2023</v>
      </c>
      <c r="E1" s="14">
        <v>2024</v>
      </c>
      <c r="F1" s="14">
        <v>2025</v>
      </c>
      <c r="G1" s="14">
        <v>2026</v>
      </c>
      <c r="H1" s="14">
        <v>2027</v>
      </c>
      <c r="I1" s="14">
        <v>2028</v>
      </c>
      <c r="J1" s="14">
        <v>2029</v>
      </c>
      <c r="K1" s="14">
        <v>2030</v>
      </c>
      <c r="L1" s="14">
        <v>2031</v>
      </c>
      <c r="M1" s="14">
        <v>2032</v>
      </c>
      <c r="N1" s="14">
        <v>2033</v>
      </c>
      <c r="O1" s="14">
        <v>2034</v>
      </c>
      <c r="P1" s="14">
        <v>2035</v>
      </c>
      <c r="Q1" s="14">
        <v>2036</v>
      </c>
      <c r="R1" s="14">
        <v>2037</v>
      </c>
      <c r="S1" s="14">
        <v>2038</v>
      </c>
      <c r="T1" s="14">
        <v>2039</v>
      </c>
      <c r="U1" s="14">
        <v>2040</v>
      </c>
      <c r="V1" s="14">
        <v>2041</v>
      </c>
      <c r="W1" s="14">
        <v>2042</v>
      </c>
      <c r="X1" s="14">
        <v>2043</v>
      </c>
      <c r="Y1" s="14">
        <v>2044</v>
      </c>
      <c r="Z1" s="14">
        <v>2045</v>
      </c>
      <c r="AA1" s="14">
        <v>2046</v>
      </c>
      <c r="AB1" s="14">
        <v>2047</v>
      </c>
      <c r="AC1" s="14">
        <v>2048</v>
      </c>
      <c r="AD1" s="14">
        <v>2049</v>
      </c>
      <c r="AE1" s="14">
        <v>2050</v>
      </c>
    </row>
    <row r="2" spans="1:31" s="1" customFormat="1" x14ac:dyDescent="0.2">
      <c r="A2" s="5" t="s">
        <v>15</v>
      </c>
      <c r="B2" s="15">
        <v>268.68200000000002</v>
      </c>
      <c r="C2" s="15">
        <v>254.38200000000001</v>
      </c>
      <c r="D2" s="15">
        <v>192.64</v>
      </c>
      <c r="E2" s="15">
        <v>198.77199999999999</v>
      </c>
      <c r="F2" s="15">
        <v>216.10499999999999</v>
      </c>
      <c r="G2" s="15">
        <f>SUM('Quarterly Model'!F2:I2)</f>
        <v>240.247</v>
      </c>
      <c r="H2" s="15">
        <f>Pipeline!C92</f>
        <v>320.1539507882076</v>
      </c>
      <c r="I2" s="15">
        <f>Pipeline!D92</f>
        <v>453.4147074809043</v>
      </c>
      <c r="J2" s="15">
        <f>Pipeline!E92</f>
        <v>613.178314673547</v>
      </c>
      <c r="K2" s="15">
        <f>Pipeline!F92</f>
        <v>766.0762425593085</v>
      </c>
      <c r="L2" s="15">
        <f>Pipeline!G92</f>
        <v>786.4779711735255</v>
      </c>
      <c r="M2" s="15">
        <f>Pipeline!H92</f>
        <v>853.1486083984375</v>
      </c>
      <c r="N2" s="15">
        <f>Pipeline!I92</f>
        <v>833.0445812988281</v>
      </c>
      <c r="O2" s="15">
        <f>Pipeline!J92</f>
        <v>831.4866859741211</v>
      </c>
      <c r="P2" s="15">
        <f>Pipeline!K92</f>
        <v>822.7488144805908</v>
      </c>
      <c r="Q2" s="15">
        <f>Pipeline!L92</f>
        <v>818.8901308604432</v>
      </c>
      <c r="R2" s="15">
        <f>Pipeline!M92</f>
        <v>817.0740061453323</v>
      </c>
      <c r="S2" s="15">
        <f>Pipeline!N92</f>
        <v>816.1430678089993</v>
      </c>
      <c r="T2" s="15">
        <f>Pipeline!O92</f>
        <v>683.6173261367494</v>
      </c>
      <c r="U2" s="15">
        <f>Pipeline!P92</f>
        <v>548.2420047145621</v>
      </c>
      <c r="V2" s="15">
        <f>Pipeline!Q92</f>
        <v>227.78060758072158</v>
      </c>
      <c r="W2" s="15">
        <f>Pipeline!R92</f>
        <v>95.41884730346118</v>
      </c>
      <c r="X2" s="15">
        <f>Pipeline!S92</f>
        <v>40.369367124763876</v>
      </c>
      <c r="Y2" s="15">
        <f>Pipeline!T92</f>
        <v>17.28505550244011</v>
      </c>
      <c r="Z2" s="15">
        <f>Pipeline!U92</f>
        <v>7.509972440376962</v>
      </c>
      <c r="AA2" s="15">
        <f>Pipeline!V92</f>
        <v>3.322436030701474</v>
      </c>
      <c r="AB2" s="15">
        <f>Pipeline!W92</f>
        <v>1.5035518906936054</v>
      </c>
      <c r="AC2" s="15">
        <f>Pipeline!X92</f>
        <v>0.7002249588372045</v>
      </c>
      <c r="AD2" s="15">
        <f>Pipeline!Y92</f>
        <v>0.33812868232970344</v>
      </c>
      <c r="AE2" s="15">
        <f>Pipeline!Z92</f>
        <v>0.1707482704654976</v>
      </c>
    </row>
    <row r="3" spans="1:31" s="1" customFormat="1" x14ac:dyDescent="0.2">
      <c r="A3" s="5" t="s">
        <v>16</v>
      </c>
      <c r="B3" s="15">
        <v>25.629000000000001</v>
      </c>
      <c r="C3" s="15">
        <v>24.282</v>
      </c>
      <c r="D3" s="15">
        <v>14.795999999999999</v>
      </c>
      <c r="E3" s="15">
        <v>11.314</v>
      </c>
      <c r="F3" s="15">
        <v>13.044</v>
      </c>
      <c r="G3" s="15">
        <f>SUM('Quarterly Model'!F3:I3)</f>
        <v>15.689</v>
      </c>
      <c r="H3" s="15">
        <f>Pipeline!C93</f>
        <v>24.785778713959125</v>
      </c>
      <c r="I3" s="15">
        <f>Pipeline!D93</f>
        <v>38.61096578218759</v>
      </c>
      <c r="J3" s="15">
        <f>Pipeline!E93</f>
        <v>54.63410513041282</v>
      </c>
      <c r="K3" s="15">
        <f>Pipeline!F93</f>
        <v>70.4514417410585</v>
      </c>
      <c r="L3" s="15">
        <f>Pipeline!G93</f>
        <v>76.92776616103653</v>
      </c>
      <c r="M3" s="15">
        <f>Pipeline!H93</f>
        <v>84.711513671875</v>
      </c>
      <c r="N3" s="15">
        <f>Pipeline!I93</f>
        <v>83.64121650390625</v>
      </c>
      <c r="O3" s="15">
        <f>Pipeline!J93</f>
        <v>83.77129487792969</v>
      </c>
      <c r="P3" s="15">
        <f>Pipeline!K93</f>
        <v>83.13984915844728</v>
      </c>
      <c r="Q3" s="15">
        <f>Pipeline!L93</f>
        <v>82.85818806883546</v>
      </c>
      <c r="R3" s="15">
        <f>Pipeline!M93</f>
        <v>82.72371153162659</v>
      </c>
      <c r="S3" s="15">
        <f>Pipeline!N93</f>
        <v>82.65356184071995</v>
      </c>
      <c r="T3" s="15">
        <f>Pipeline!O93</f>
        <v>74.69323265733995</v>
      </c>
      <c r="U3" s="15">
        <f>Pipeline!P93</f>
        <v>50.93739900372498</v>
      </c>
      <c r="V3" s="15">
        <f>Pipeline!Q93</f>
        <v>22.451914057081723</v>
      </c>
      <c r="W3" s="15">
        <f>Pipeline!R93</f>
        <v>10.024418964526493</v>
      </c>
      <c r="X3" s="15">
        <f>Pipeline!S93</f>
        <v>4.53547634208095</v>
      </c>
      <c r="Y3" s="15">
        <f>Pipeline!T93</f>
        <v>2.0799564790351446</v>
      </c>
      <c r="Z3" s="15">
        <f>Pipeline!U93</f>
        <v>0.9670492357661314</v>
      </c>
      <c r="AA3" s="15">
        <f>Pipeline!V93</f>
        <v>0.4559907711705076</v>
      </c>
      <c r="AB3" s="15">
        <f>Pipeline!W93</f>
        <v>0.21821016299124435</v>
      </c>
      <c r="AC3" s="15">
        <f>Pipeline!X93</f>
        <v>0.10611222952627872</v>
      </c>
      <c r="AD3" s="15">
        <f>Pipeline!Y93</f>
        <v>0.05254990177659722</v>
      </c>
      <c r="AE3" s="15">
        <f>Pipeline!Z93</f>
        <v>0.026590661544578183</v>
      </c>
    </row>
    <row r="4" spans="1:31" s="1" customFormat="1" x14ac:dyDescent="0.2">
      <c r="A4" s="5" t="s">
        <v>17</v>
      </c>
      <c r="B4" s="15">
        <f t="shared" ref="B4:AE4" si="0">B2-B3</f>
        <v>243.05300000000003</v>
      </c>
      <c r="C4" s="15">
        <f t="shared" si="0"/>
        <v>230.1</v>
      </c>
      <c r="D4" s="15">
        <f t="shared" si="0"/>
        <v>177.844</v>
      </c>
      <c r="E4" s="15">
        <f t="shared" si="0"/>
        <v>187.458</v>
      </c>
      <c r="F4" s="15">
        <f t="shared" si="0"/>
        <v>203.06099999999998</v>
      </c>
      <c r="G4" s="15">
        <f t="shared" si="0"/>
        <v>224.55800000000002</v>
      </c>
      <c r="H4" s="15">
        <f t="shared" si="0"/>
        <v>295.3681720742485</v>
      </c>
      <c r="I4" s="15">
        <f t="shared" si="0"/>
        <v>414.80374169871675</v>
      </c>
      <c r="J4" s="15">
        <f t="shared" si="0"/>
        <v>558.5442095431342</v>
      </c>
      <c r="K4" s="15">
        <f t="shared" si="0"/>
        <v>695.62480081825</v>
      </c>
      <c r="L4" s="15">
        <f t="shared" si="0"/>
        <v>709.550205012489</v>
      </c>
      <c r="M4" s="15">
        <f t="shared" si="0"/>
        <v>768.4370947265626</v>
      </c>
      <c r="N4" s="15">
        <f t="shared" si="0"/>
        <v>749.4033647949219</v>
      </c>
      <c r="O4" s="15">
        <f t="shared" si="0"/>
        <v>747.7153910961914</v>
      </c>
      <c r="P4" s="15">
        <f t="shared" si="0"/>
        <v>739.6089653221435</v>
      </c>
      <c r="Q4" s="15">
        <f t="shared" si="0"/>
        <v>736.0319427916077</v>
      </c>
      <c r="R4" s="15">
        <f t="shared" si="0"/>
        <v>734.3502946137057</v>
      </c>
      <c r="S4" s="15">
        <f t="shared" si="0"/>
        <v>733.4895059682793</v>
      </c>
      <c r="T4" s="15">
        <f t="shared" si="0"/>
        <v>608.9240934794094</v>
      </c>
      <c r="U4" s="15">
        <f t="shared" si="0"/>
        <v>497.3046057108371</v>
      </c>
      <c r="V4" s="15">
        <f t="shared" si="0"/>
        <v>205.32869352363986</v>
      </c>
      <c r="W4" s="15">
        <f t="shared" si="0"/>
        <v>85.39442833893469</v>
      </c>
      <c r="X4" s="15">
        <f t="shared" si="0"/>
        <v>35.83389078268293</v>
      </c>
      <c r="Y4" s="15">
        <f t="shared" si="0"/>
        <v>15.205099023404964</v>
      </c>
      <c r="Z4" s="15">
        <f t="shared" si="0"/>
        <v>6.5429232046108305</v>
      </c>
      <c r="AA4" s="15">
        <f t="shared" si="0"/>
        <v>2.866445259530966</v>
      </c>
      <c r="AB4" s="15">
        <f t="shared" si="0"/>
        <v>1.285341727702361</v>
      </c>
      <c r="AC4" s="15">
        <f t="shared" si="0"/>
        <v>0.5941127293109257</v>
      </c>
      <c r="AD4" s="15">
        <f t="shared" si="0"/>
        <v>0.2855787805531062</v>
      </c>
      <c r="AE4" s="15">
        <f t="shared" si="0"/>
        <v>0.14415760892091942</v>
      </c>
    </row>
    <row r="5" spans="1:31" x14ac:dyDescent="0.2">
      <c r="A5" s="2" t="s">
        <v>18</v>
      </c>
      <c r="B5" s="15">
        <v>75.363</v>
      </c>
      <c r="C5" s="15">
        <v>85.77</v>
      </c>
      <c r="D5" s="15">
        <v>76.822999999999993</v>
      </c>
      <c r="E5" s="15">
        <v>74.430999999999997</v>
      </c>
      <c r="F5" s="15">
        <v>109.271</v>
      </c>
      <c r="G5" s="15">
        <f>SUM('Quarterly Model'!F5:I5)</f>
        <v>130.388</v>
      </c>
      <c r="H5" s="15">
        <f>Pipeline!C96</f>
        <v>115.0</v>
      </c>
      <c r="I5" s="15">
        <f>Pipeline!D96</f>
        <v>77.10000000000001</v>
      </c>
      <c r="J5" s="15">
        <f>Pipeline!E96</f>
        <v>74.26299999999999</v>
      </c>
      <c r="K5" s="15">
        <f>Pipeline!F96</f>
        <v>76.60762425593086</v>
      </c>
      <c r="L5" s="15">
        <f>Pipeline!G96</f>
        <v>78.7856167</v>
      </c>
      <c r="M5" s="15">
        <f>Pipeline!H96</f>
        <v>85.31486083984376</v>
      </c>
      <c r="N5" s="15">
        <f>Pipeline!I96</f>
        <v>83.58366075703</v>
      </c>
      <c r="O5" s="15">
        <f>Pipeline!J96</f>
        <v>86.09117057974092</v>
      </c>
      <c r="P5" s="15">
        <f>Pipeline!K96</f>
        <v>88.67390569713315</v>
      </c>
      <c r="Q5" s="15">
        <f>Pipeline!L96</f>
        <v>91.33412286804715</v>
      </c>
      <c r="R5" s="15">
        <f>Pipeline!M96</f>
        <v>94.07414655408856</v>
      </c>
      <c r="S5" s="15">
        <f>Pipeline!N96</f>
        <v>96.89637095071122</v>
      </c>
      <c r="T5" s="15">
        <f>Pipeline!O96</f>
        <v>99.80326207923255</v>
      </c>
      <c r="U5" s="15">
        <f>Pipeline!P96</f>
        <v>102.79735994160954</v>
      </c>
      <c r="V5" s="15">
        <f>Pipeline!Q96</f>
        <v>105.88128073985783</v>
      </c>
      <c r="W5" s="15">
        <f>Pipeline!R96</f>
        <v>9.541884730346117</v>
      </c>
      <c r="X5" s="15">
        <f>Pipeline!S96</f>
        <v>4.036936712476388</v>
      </c>
      <c r="Y5" s="15">
        <f>Pipeline!T96</f>
        <v>1.728505550244011</v>
      </c>
      <c r="Z5" s="15">
        <f>Pipeline!U96</f>
        <v>0.7509972440376962</v>
      </c>
      <c r="AA5" s="15">
        <f>Pipeline!V96</f>
        <v>0.33224360307014744</v>
      </c>
      <c r="AB5" s="15">
        <f>Pipeline!W96</f>
        <v>0.15035518906936055</v>
      </c>
      <c r="AC5" s="15">
        <f>Pipeline!X96</f>
        <v>0.07002249588372045</v>
      </c>
      <c r="AD5" s="15">
        <f>Pipeline!Y96</f>
        <v>0.03381286823297035</v>
      </c>
      <c r="AE5" s="15">
        <f>Pipeline!Z96</f>
        <v>0.01707482704654976</v>
      </c>
    </row>
    <row r="6" spans="1:31" x14ac:dyDescent="0.2">
      <c r="A6" s="2" t="s">
        <v>19</v>
      </c>
      <c r="B6" s="15">
        <v>125.52500000000001</v>
      </c>
      <c r="C6" s="15">
        <v>138.001</v>
      </c>
      <c r="D6" s="15">
        <v>114.973</v>
      </c>
      <c r="E6" s="15">
        <v>153.68700000000001</v>
      </c>
      <c r="F6" s="15">
        <v>244.958</v>
      </c>
      <c r="G6" s="15">
        <f>SUM('Quarterly Model'!F6:I6)</f>
        <v>284.173</v>
      </c>
      <c r="H6" s="15">
        <f>Pipeline!C99</f>
        <v>278.8169646001809</v>
      </c>
      <c r="I6" s="15">
        <f>Pipeline!D99</f>
        <v>318.9948413256951</v>
      </c>
      <c r="J6" s="15">
        <f>Pipeline!E99</f>
        <v>360.9457565506464</v>
      </c>
      <c r="K6" s="15">
        <f>Pipeline!F99</f>
        <v>400.1576963045411</v>
      </c>
      <c r="L6" s="15">
        <f>Pipeline!G99</f>
        <v>412.0111483989327</v>
      </c>
      <c r="M6" s="15">
        <f>Pipeline!H99</f>
        <v>438.8053328246875</v>
      </c>
      <c r="N6" s="15">
        <f>Pipeline!I99</f>
        <v>434.6232607391156</v>
      </c>
      <c r="O6" s="15">
        <f>Pipeline!J99</f>
        <v>440.23001700855474</v>
      </c>
      <c r="P6" s="15">
        <f>Pipeline!K99</f>
        <v>443.41591510426065</v>
      </c>
      <c r="Q6" s="15">
        <f>Pipeline!L99</f>
        <v>448.10425974647535</v>
      </c>
      <c r="R6" s="15">
        <f>Pipeline!M99</f>
        <v>453.5163605306848</v>
      </c>
      <c r="S6" s="15">
        <f>Pipeline!N99</f>
        <v>459.33933513046674</v>
      </c>
      <c r="T6" s="15">
        <f>Pipeline!O99</f>
        <v>419.2478546382768</v>
      </c>
      <c r="U6" s="15">
        <f>Pipeline!P99</f>
        <v>382.43756051424714</v>
      </c>
      <c r="V6" s="15">
        <f>Pipeline!Q99</f>
        <v>294.2707212658511</v>
      </c>
      <c r="W6" s="15">
        <f>Pipeline!R99</f>
        <v>39.675737545683575</v>
      </c>
      <c r="X6" s="15">
        <f>Pipeline!S99</f>
        <v>16.780505043354843</v>
      </c>
      <c r="Y6" s="15">
        <f>Pipeline!T99</f>
        <v>7.1789532861529946</v>
      </c>
      <c r="Z6" s="15">
        <f>Pipeline!U99</f>
        <v>3.113691641069492</v>
      </c>
      <c r="AA6" s="15">
        <f>Pipeline!V99</f>
        <v>1.373082838884017</v>
      </c>
      <c r="AB6" s="15">
        <f>Pipeline!W99</f>
        <v>0.617949491145772</v>
      </c>
      <c r="AC6" s="15">
        <f>Pipeline!X99</f>
        <v>0.2852229225274327</v>
      </c>
      <c r="AD6" s="15">
        <f>Pipeline!Y99</f>
        <v>0.135874443250316</v>
      </c>
      <c r="AE6" s="15">
        <f>Pipeline!Z99</f>
        <v>0.0673151978233836</v>
      </c>
    </row>
    <row r="7" spans="1:31" x14ac:dyDescent="0.2">
      <c r="A7" s="2" t="s">
        <v>20</v>
      </c>
      <c r="B7" s="15">
        <f t="shared" ref="B7:AE7" si="1">SUM(B5:B6)</f>
        <v>200.888</v>
      </c>
      <c r="C7" s="15">
        <f t="shared" si="1"/>
        <v>223.77100000000002</v>
      </c>
      <c r="D7" s="15">
        <f t="shared" si="1"/>
        <v>191.796</v>
      </c>
      <c r="E7" s="15">
        <f t="shared" si="1"/>
        <v>228.118</v>
      </c>
      <c r="F7" s="15">
        <f t="shared" si="1"/>
        <v>354.229</v>
      </c>
      <c r="G7" s="15">
        <f t="shared" si="1"/>
        <v>414.56100000000004</v>
      </c>
      <c r="H7" s="15">
        <f t="shared" si="1"/>
        <v>393.8169646001809</v>
      </c>
      <c r="I7" s="15">
        <f t="shared" si="1"/>
        <v>396.09484132569514</v>
      </c>
      <c r="J7" s="15">
        <f t="shared" si="1"/>
        <v>435.2087565506464</v>
      </c>
      <c r="K7" s="15">
        <f t="shared" si="1"/>
        <v>476.765320560472</v>
      </c>
      <c r="L7" s="15">
        <f t="shared" si="1"/>
        <v>490.79676509893267</v>
      </c>
      <c r="M7" s="15">
        <f t="shared" si="1"/>
        <v>524.1201936645313</v>
      </c>
      <c r="N7" s="15">
        <f t="shared" si="1"/>
        <v>518.2069214961456</v>
      </c>
      <c r="O7" s="15">
        <f t="shared" si="1"/>
        <v>526.3211875882956</v>
      </c>
      <c r="P7" s="15">
        <f t="shared" si="1"/>
        <v>532.0898208013938</v>
      </c>
      <c r="Q7" s="15">
        <f t="shared" si="1"/>
        <v>539.4383826145225</v>
      </c>
      <c r="R7" s="15">
        <f t="shared" si="1"/>
        <v>547.5905070847733</v>
      </c>
      <c r="S7" s="15">
        <f t="shared" si="1"/>
        <v>556.2357060811779</v>
      </c>
      <c r="T7" s="15">
        <f t="shared" si="1"/>
        <v>519.0511167175093</v>
      </c>
      <c r="U7" s="15">
        <f t="shared" si="1"/>
        <v>485.2349204558567</v>
      </c>
      <c r="V7" s="15">
        <f t="shared" si="1"/>
        <v>400.15200200570894</v>
      </c>
      <c r="W7" s="15">
        <f t="shared" si="1"/>
        <v>49.217622276029694</v>
      </c>
      <c r="X7" s="15">
        <f t="shared" si="1"/>
        <v>20.817441755831233</v>
      </c>
      <c r="Y7" s="15">
        <f t="shared" si="1"/>
        <v>8.907458836397005</v>
      </c>
      <c r="Z7" s="15">
        <f t="shared" si="1"/>
        <v>3.864688885107188</v>
      </c>
      <c r="AA7" s="15">
        <f t="shared" si="1"/>
        <v>1.7053264419541645</v>
      </c>
      <c r="AB7" s="15">
        <f t="shared" si="1"/>
        <v>0.7683046802151325</v>
      </c>
      <c r="AC7" s="15">
        <f t="shared" si="1"/>
        <v>0.35524541841115315</v>
      </c>
      <c r="AD7" s="15">
        <f t="shared" si="1"/>
        <v>0.16968731148328636</v>
      </c>
      <c r="AE7" s="15">
        <f t="shared" si="1"/>
        <v>0.08439002486993337</v>
      </c>
    </row>
    <row r="8" spans="1:31" x14ac:dyDescent="0.2">
      <c r="A8" s="2" t="s">
        <v>21</v>
      </c>
      <c r="B8" s="15">
        <f t="shared" ref="B8:AE8" si="2">B4-B7</f>
        <v>42.16500000000002</v>
      </c>
      <c r="C8" s="15">
        <f t="shared" si="2"/>
        <v>6.328999999999979</v>
      </c>
      <c r="D8" s="15">
        <f t="shared" si="2"/>
        <v>-13.951999999999998</v>
      </c>
      <c r="E8" s="15">
        <f t="shared" si="2"/>
        <v>-40.66</v>
      </c>
      <c r="F8" s="15">
        <f t="shared" si="2"/>
        <v>-151.168</v>
      </c>
      <c r="G8" s="15">
        <f t="shared" si="2"/>
        <v>-190.00300000000001</v>
      </c>
      <c r="H8" s="15">
        <f t="shared" si="2"/>
        <v>-98.44879252593239</v>
      </c>
      <c r="I8" s="15">
        <f t="shared" si="2"/>
        <v>18.708900373021606</v>
      </c>
      <c r="J8" s="15">
        <f t="shared" si="2"/>
        <v>123.33545299248783</v>
      </c>
      <c r="K8" s="15">
        <f t="shared" si="2"/>
        <v>218.85948025777805</v>
      </c>
      <c r="L8" s="15">
        <f t="shared" si="2"/>
        <v>218.7534399135563</v>
      </c>
      <c r="M8" s="15">
        <f t="shared" si="2"/>
        <v>244.31690106203132</v>
      </c>
      <c r="N8" s="15">
        <f t="shared" si="2"/>
        <v>231.19644329877633</v>
      </c>
      <c r="O8" s="15">
        <f t="shared" si="2"/>
        <v>221.39420350789578</v>
      </c>
      <c r="P8" s="15">
        <f t="shared" si="2"/>
        <v>207.5191445207497</v>
      </c>
      <c r="Q8" s="15">
        <f t="shared" si="2"/>
        <v>196.59356017708512</v>
      </c>
      <c r="R8" s="15">
        <f t="shared" si="2"/>
        <v>186.7597875289324</v>
      </c>
      <c r="S8" s="15">
        <f t="shared" si="2"/>
        <v>177.25379988710142</v>
      </c>
      <c r="T8" s="15">
        <f t="shared" si="2"/>
        <v>89.87297676190008</v>
      </c>
      <c r="U8" s="15">
        <f t="shared" si="2"/>
        <v>12.069685254980413</v>
      </c>
      <c r="V8" s="15">
        <f t="shared" si="2"/>
        <v>-194.82330848206908</v>
      </c>
      <c r="W8" s="15">
        <f t="shared" si="2"/>
        <v>36.176806062904994</v>
      </c>
      <c r="X8" s="15">
        <f t="shared" si="2"/>
        <v>15.016449026851696</v>
      </c>
      <c r="Y8" s="15">
        <f t="shared" si="2"/>
        <v>6.297640187007959</v>
      </c>
      <c r="Z8" s="15">
        <f t="shared" si="2"/>
        <v>2.6782343195036424</v>
      </c>
      <c r="AA8" s="15">
        <f t="shared" si="2"/>
        <v>1.1611188175768017</v>
      </c>
      <c r="AB8" s="15">
        <f t="shared" si="2"/>
        <v>0.5170370474872286</v>
      </c>
      <c r="AC8" s="15">
        <f t="shared" si="2"/>
        <v>0.2388673108997726</v>
      </c>
      <c r="AD8" s="15">
        <f t="shared" si="2"/>
        <v>0.11589146906981984</v>
      </c>
      <c r="AE8" s="15">
        <f t="shared" si="2"/>
        <v>0.05976758405098605</v>
      </c>
    </row>
    <row r="9" spans="1:31" x14ac:dyDescent="0.2">
      <c r="A9" s="16" t="s">
        <v>22</v>
      </c>
      <c r="B9" s="15">
        <v>0.247</v>
      </c>
      <c r="C9" s="15">
        <v>4.9960000000000004</v>
      </c>
      <c r="D9" s="15">
        <v>20.282</v>
      </c>
      <c r="E9" s="15">
        <v>17.739000000000001</v>
      </c>
      <c r="F9" s="15">
        <v>12.494999999999999</v>
      </c>
      <c r="G9" s="15">
        <f>SUM('Quarterly Model'!F9:I9)</f>
        <v>5.925</v>
      </c>
      <c r="H9" s="15">
        <f>Assumptions!$B$16*MAX(0,G20)-Assumptions!$B$17*Main!$C$8</f>
        <v>3.627375</v>
      </c>
      <c r="I9" s="15">
        <f>Assumptions!$B$16*MAX(0,H20)-Assumptions!$B$17*Main!$C$8</f>
        <v>0.07157184277753555</v>
      </c>
      <c r="J9" s="15">
        <f>Assumptions!$B$16*MAX(0,I20)-Assumptions!$B$17*Main!$C$8</f>
        <v>0.7758395508700034</v>
      </c>
      <c r="K9" s="15">
        <f>Assumptions!$B$16*MAX(0,J20)-Assumptions!$B$17*Main!$C$8</f>
        <v>5.430013021245922</v>
      </c>
      <c r="L9" s="15">
        <f>Assumptions!$B$16*MAX(0,K20)-Assumptions!$B$17*Main!$C$8</f>
        <v>13.84086901920932</v>
      </c>
      <c r="M9" s="15">
        <f>Assumptions!$B$16*MAX(0,L20)-Assumptions!$B$17*Main!$C$8</f>
        <v>22.398755927308546</v>
      </c>
      <c r="N9" s="15">
        <f>Assumptions!$B$16*MAX(0,M20)-Assumptions!$B$17*Main!$C$8</f>
        <v>30.300207265617736</v>
      </c>
      <c r="O9" s="15">
        <f>Assumptions!$B$16*MAX(0,N20)-Assumptions!$B$17*Main!$C$8</f>
        <v>38.04704553858791</v>
      </c>
      <c r="P9" s="15">
        <f>Assumptions!$B$16*MAX(0,O20)-Assumptions!$B$17*Main!$C$8</f>
        <v>45.732992541589994</v>
      </c>
      <c r="Q9" s="15">
        <f>Assumptions!$B$16*MAX(0,P20)-Assumptions!$B$17*Main!$C$8</f>
        <v>53.23558710206181</v>
      </c>
      <c r="R9" s="15">
        <f>Assumptions!$B$16*MAX(0,Q20)-Assumptions!$B$17*Main!$C$8</f>
        <v>60.63677559020653</v>
      </c>
      <c r="S9" s="15">
        <f>Assumptions!$B$16*MAX(0,R20)-Assumptions!$B$17*Main!$C$8</f>
        <v>67.96589877261103</v>
      </c>
      <c r="T9" s="15">
        <f>Assumptions!$B$16*MAX(0,S20)-Assumptions!$B$17*Main!$C$8</f>
        <v>75.23053234540501</v>
      </c>
      <c r="U9" s="15">
        <f>Assumptions!$B$16*MAX(0,T20)-Assumptions!$B$17*Main!$C$8</f>
        <v>80.12172380270891</v>
      </c>
      <c r="V9" s="15">
        <f>Assumptions!$B$16*MAX(0,U20)-Assumptions!$B$17*Main!$C$8</f>
        <v>82.85289429604296</v>
      </c>
      <c r="W9" s="15">
        <f>Assumptions!$B$16*MAX(0,V20)-Assumptions!$B$17*Main!$C$8</f>
        <v>78.65400376406699</v>
      </c>
      <c r="X9" s="15">
        <f>Assumptions!$B$16*MAX(0,W20)-Assumptions!$B$17*Main!$C$8</f>
        <v>82.93763351690598</v>
      </c>
      <c r="Y9" s="15">
        <f>Assumptions!$B$16*MAX(0,X20)-Assumptions!$B$17*Main!$C$8</f>
        <v>85.8395232122648</v>
      </c>
      <c r="Z9" s="15">
        <f>Assumptions!$B$16*MAX(0,Y20)-Assumptions!$B$17*Main!$C$8</f>
        <v>88.56908667796824</v>
      </c>
      <c r="AA9" s="15">
        <f>Assumptions!$B$16*MAX(0,Z20)-Assumptions!$B$17*Main!$C$8</f>
        <v>91.27228856251836</v>
      </c>
      <c r="AB9" s="15">
        <f>Assumptions!$B$16*MAX(0,AA20)-Assumptions!$B$17*Main!$C$8</f>
        <v>94.01062825615368</v>
      </c>
      <c r="AC9" s="15">
        <f>Assumptions!$B$16*MAX(0,AB20)-Assumptions!$B$17*Main!$C$8</f>
        <v>96.81101034077405</v>
      </c>
      <c r="AD9" s="15">
        <f>Assumptions!$B$16*MAX(0,AC20)-Assumptions!$B$17*Main!$C$8</f>
        <v>99.68611296620489</v>
      </c>
      <c r="AE9" s="15">
        <f>Assumptions!$B$16*MAX(0,AD20)-Assumptions!$B$17*Main!$C$8</f>
        <v>102.64274734759991</v>
      </c>
    </row>
    <row r="10" spans="1:31" x14ac:dyDescent="0.2">
      <c r="A10" s="2" t="s">
        <v>23</v>
      </c>
      <c r="B10" s="15">
        <f t="shared" ref="B10:AE10" si="3">B8+B9</f>
        <v>42.41200000000002</v>
      </c>
      <c r="C10" s="15">
        <f t="shared" si="3"/>
        <v>11.32499999999998</v>
      </c>
      <c r="D10" s="15">
        <f t="shared" si="3"/>
        <v>6.330000000000002</v>
      </c>
      <c r="E10" s="15">
        <f t="shared" si="3"/>
        <v>-22.920999999999996</v>
      </c>
      <c r="F10" s="15">
        <f t="shared" si="3"/>
        <v>-138.673</v>
      </c>
      <c r="G10" s="15">
        <f t="shared" si="3"/>
        <v>-184.078</v>
      </c>
      <c r="H10" s="15">
        <f t="shared" si="3"/>
        <v>-94.82141752593239</v>
      </c>
      <c r="I10" s="15">
        <f t="shared" si="3"/>
        <v>18.780472215799143</v>
      </c>
      <c r="J10" s="15">
        <f t="shared" si="3"/>
        <v>124.11129254335783</v>
      </c>
      <c r="K10" s="15">
        <f t="shared" si="3"/>
        <v>224.28949327902396</v>
      </c>
      <c r="L10" s="15">
        <f t="shared" si="3"/>
        <v>232.5943089327656</v>
      </c>
      <c r="M10" s="15">
        <f t="shared" si="3"/>
        <v>266.7156569893399</v>
      </c>
      <c r="N10" s="15">
        <f t="shared" si="3"/>
        <v>261.4966505643941</v>
      </c>
      <c r="O10" s="15">
        <f t="shared" si="3"/>
        <v>259.4412490464837</v>
      </c>
      <c r="P10" s="15">
        <f t="shared" si="3"/>
        <v>253.2521370623397</v>
      </c>
      <c r="Q10" s="15">
        <f t="shared" si="3"/>
        <v>249.82914727914692</v>
      </c>
      <c r="R10" s="15">
        <f t="shared" si="3"/>
        <v>247.39656311913893</v>
      </c>
      <c r="S10" s="15">
        <f t="shared" si="3"/>
        <v>245.21969865971244</v>
      </c>
      <c r="T10" s="15">
        <f t="shared" si="3"/>
        <v>165.1035091073051</v>
      </c>
      <c r="U10" s="15">
        <f t="shared" si="3"/>
        <v>92.19140905768933</v>
      </c>
      <c r="V10" s="15">
        <f t="shared" si="3"/>
        <v>-111.97041418602612</v>
      </c>
      <c r="W10" s="15">
        <f t="shared" si="3"/>
        <v>114.83080982697197</v>
      </c>
      <c r="X10" s="15">
        <f t="shared" si="3"/>
        <v>97.95408254375766</v>
      </c>
      <c r="Y10" s="15">
        <f t="shared" si="3"/>
        <v>92.13716339927275</v>
      </c>
      <c r="Z10" s="15">
        <f t="shared" si="3"/>
        <v>91.24732099747189</v>
      </c>
      <c r="AA10" s="15">
        <f t="shared" si="3"/>
        <v>92.43340738009516</v>
      </c>
      <c r="AB10" s="15">
        <f t="shared" si="3"/>
        <v>94.5276653036409</v>
      </c>
      <c r="AC10" s="15">
        <f t="shared" si="3"/>
        <v>97.04987765167382</v>
      </c>
      <c r="AD10" s="15">
        <f t="shared" si="3"/>
        <v>99.80200443527471</v>
      </c>
      <c r="AE10" s="15">
        <f t="shared" si="3"/>
        <v>102.7025149316509</v>
      </c>
    </row>
    <row r="11" spans="1:31" x14ac:dyDescent="0.2">
      <c r="A11" s="2" t="s">
        <v>24</v>
      </c>
      <c r="B11" s="15">
        <v>9.2119999999999997</v>
      </c>
      <c r="C11" s="15">
        <v>5.0250000000000004</v>
      </c>
      <c r="D11" s="15">
        <v>3.83</v>
      </c>
      <c r="E11" s="15">
        <v>-4.0209999999999999</v>
      </c>
      <c r="F11" s="15">
        <v>81.826999999999998</v>
      </c>
      <c r="G11" s="15">
        <f>SUM('Quarterly Model'!F11:I11)</f>
        <v>0.272</v>
      </c>
      <c r="H11" s="15">
        <f>MAX(0,H10-G21)*Assumptions!$B$15</f>
        <v>0.0</v>
      </c>
      <c r="I11" s="15">
        <f>MAX(0,I10-H21)*Assumptions!$B$15</f>
        <v>0.0</v>
      </c>
      <c r="J11" s="15">
        <f>MAX(0,J10-I21)*Assumptions!$B$15</f>
        <v>0.0</v>
      </c>
      <c r="K11" s="15">
        <f>MAX(0,K10-J21)*Assumptions!$B$15</f>
        <v>0.0</v>
      </c>
      <c r="L11" s="15">
        <f>MAX(0,L10-K21)*Assumptions!$B$15</f>
        <v>4.3839913834529805</v>
      </c>
      <c r="M11" s="15">
        <f>MAX(0,M10-L21)*Assumptions!$B$15</f>
        <v>56.01028796776138</v>
      </c>
      <c r="N11" s="15">
        <f>MAX(0,N10-M21)*Assumptions!$B$15</f>
        <v>54.914296618522755</v>
      </c>
      <c r="O11" s="15">
        <f>MAX(0,O10-N21)*Assumptions!$B$15</f>
        <v>54.48266229976157</v>
      </c>
      <c r="P11" s="15">
        <f>MAX(0,P10-O21)*Assumptions!$B$15</f>
        <v>53.182948783091334</v>
      </c>
      <c r="Q11" s="15">
        <f>MAX(0,Q10-P21)*Assumptions!$B$15</f>
        <v>52.46412092862085</v>
      </c>
      <c r="R11" s="15">
        <f>MAX(0,R10-Q21)*Assumptions!$B$15</f>
        <v>51.95327825501917</v>
      </c>
      <c r="S11" s="15">
        <f>MAX(0,S10-R21)*Assumptions!$B$15</f>
        <v>51.49613671853961</v>
      </c>
      <c r="T11" s="15">
        <f>MAX(0,T10-S21)*Assumptions!$B$15</f>
        <v>34.671736912534065</v>
      </c>
      <c r="U11" s="15">
        <f>MAX(0,U10-T21)*Assumptions!$B$15</f>
        <v>19.360195902114757</v>
      </c>
      <c r="V11" s="15">
        <f>MAX(0,V10-U21)*Assumptions!$B$15</f>
        <v>0.0</v>
      </c>
      <c r="W11" s="15">
        <f>MAX(0,W10-V21)*Assumptions!$B$15</f>
        <v>0.6006830845986292</v>
      </c>
      <c r="X11" s="15">
        <f>MAX(0,X10-W21)*Assumptions!$B$15</f>
        <v>20.570357334189108</v>
      </c>
      <c r="Y11" s="15">
        <f>MAX(0,Y10-X21)*Assumptions!$B$15</f>
        <v>19.34880431384728</v>
      </c>
      <c r="Z11" s="15">
        <f>MAX(0,Z10-Y21)*Assumptions!$B$15</f>
        <v>19.161937409469097</v>
      </c>
      <c r="AA11" s="15">
        <f>MAX(0,AA10-Z21)*Assumptions!$B$15</f>
        <v>19.411015549819982</v>
      </c>
      <c r="AB11" s="15">
        <f>MAX(0,AB10-AA21)*Assumptions!$B$15</f>
        <v>19.850809713764587</v>
      </c>
      <c r="AC11" s="15">
        <f>MAX(0,AC10-AB21)*Assumptions!$B$15</f>
        <v>20.380474306851504</v>
      </c>
      <c r="AD11" s="15">
        <f>MAX(0,AD10-AC21)*Assumptions!$B$15</f>
        <v>20.958420931407687</v>
      </c>
      <c r="AE11" s="15">
        <f>MAX(0,AE10-AD21)*Assumptions!$B$15</f>
        <v>21.567528135646686</v>
      </c>
    </row>
    <row r="12" spans="1:31" x14ac:dyDescent="0.2">
      <c r="A12" s="2" t="s">
        <v>25</v>
      </c>
      <c r="B12" s="15">
        <v>33.200000000000003</v>
      </c>
      <c r="C12" s="15">
        <v>6.3</v>
      </c>
      <c r="D12" s="15">
        <v>2.5</v>
      </c>
      <c r="E12" s="15">
        <v>-18.899999999999999</v>
      </c>
      <c r="F12" s="15">
        <v>-220.5</v>
      </c>
      <c r="G12" s="15">
        <f t="shared" ref="G12:AE12" si="4">G10-G11</f>
        <v>-184.35</v>
      </c>
      <c r="H12" s="15">
        <f t="shared" si="4"/>
        <v>-94.82141752593239</v>
      </c>
      <c r="I12" s="15">
        <f t="shared" si="4"/>
        <v>18.780472215799143</v>
      </c>
      <c r="J12" s="15">
        <f t="shared" si="4"/>
        <v>124.11129254335783</v>
      </c>
      <c r="K12" s="15">
        <f t="shared" si="4"/>
        <v>224.28949327902396</v>
      </c>
      <c r="L12" s="15">
        <f t="shared" si="4"/>
        <v>228.21031754931263</v>
      </c>
      <c r="M12" s="15">
        <f t="shared" si="4"/>
        <v>210.70536902157852</v>
      </c>
      <c r="N12" s="15">
        <f t="shared" si="4"/>
        <v>206.58235394587132</v>
      </c>
      <c r="O12" s="15">
        <f t="shared" si="4"/>
        <v>204.95858674672212</v>
      </c>
      <c r="P12" s="15">
        <f t="shared" si="4"/>
        <v>200.06918827924835</v>
      </c>
      <c r="Q12" s="15">
        <f t="shared" si="4"/>
        <v>197.36502635052608</v>
      </c>
      <c r="R12" s="15">
        <f t="shared" si="4"/>
        <v>195.44328486411976</v>
      </c>
      <c r="S12" s="15">
        <f t="shared" si="4"/>
        <v>193.72356194117282</v>
      </c>
      <c r="T12" s="15">
        <f t="shared" si="4"/>
        <v>130.431772194771</v>
      </c>
      <c r="U12" s="15">
        <f t="shared" si="4"/>
        <v>72.83121315557457</v>
      </c>
      <c r="V12" s="15">
        <f t="shared" si="4"/>
        <v>-111.97041418602612</v>
      </c>
      <c r="W12" s="15">
        <f t="shared" si="4"/>
        <v>114.23012674237334</v>
      </c>
      <c r="X12" s="15">
        <f t="shared" si="4"/>
        <v>77.38372520956855</v>
      </c>
      <c r="Y12" s="15">
        <f t="shared" si="4"/>
        <v>72.78835908542547</v>
      </c>
      <c r="Z12" s="15">
        <f t="shared" si="4"/>
        <v>72.0853835880028</v>
      </c>
      <c r="AA12" s="15">
        <f t="shared" si="4"/>
        <v>73.02239183027518</v>
      </c>
      <c r="AB12" s="15">
        <f t="shared" si="4"/>
        <v>74.67685558987631</v>
      </c>
      <c r="AC12" s="15">
        <f t="shared" si="4"/>
        <v>76.66940334482231</v>
      </c>
      <c r="AD12" s="15">
        <f t="shared" si="4"/>
        <v>78.84358350386702</v>
      </c>
      <c r="AE12" s="15">
        <f t="shared" si="4"/>
        <v>81.13498679600421</v>
      </c>
    </row>
    <row r="13" spans="1:31" x14ac:dyDescent="0.2">
      <c r="A13" s="2" t="s">
        <v>26</v>
      </c>
      <c r="B13" s="8">
        <f t="shared" ref="B13:AE13" si="5">IFERROR(B12/B14,0)</f>
        <v>0.5832542777836338</v>
      </c>
      <c r="C13" s="8">
        <f t="shared" si="5"/>
        <v>0.11055928961269151</v>
      </c>
      <c r="D13" s="8">
        <f t="shared" si="5"/>
        <v>0.04343444872997672</v>
      </c>
      <c r="E13" s="8">
        <f t="shared" si="5"/>
        <v>-0.32502708559046584</v>
      </c>
      <c r="F13" s="8">
        <f t="shared" si="5"/>
        <v>-3.741727473273375</v>
      </c>
      <c r="G13" s="8">
        <f t="shared" si="5"/>
        <v>-3.062457690822179</v>
      </c>
      <c r="H13" s="8">
        <f t="shared" si="5"/>
        <v>-1.5682633741688057</v>
      </c>
      <c r="I13" s="8">
        <f t="shared" si="5"/>
        <v>0.3106125967540798</v>
      </c>
      <c r="J13" s="8">
        <f t="shared" si="5"/>
        <v>2.0526923082885453</v>
      </c>
      <c r="K13" s="8">
        <f t="shared" si="5"/>
        <v>3.7095521950426047</v>
      </c>
      <c r="L13" s="8">
        <f t="shared" si="5"/>
        <v>3.7743992017641</v>
      </c>
      <c r="M13" s="8">
        <f t="shared" si="5"/>
        <v>3.484882652032625</v>
      </c>
      <c r="N13" s="8">
        <f t="shared" si="5"/>
        <v>3.416691586099561</v>
      </c>
      <c r="O13" s="8">
        <f t="shared" si="5"/>
        <v>3.3898358957603407</v>
      </c>
      <c r="P13" s="8">
        <f t="shared" si="5"/>
        <v>3.30896951832869</v>
      </c>
      <c r="Q13" s="8">
        <f t="shared" si="5"/>
        <v>3.2642450434021577</v>
      </c>
      <c r="R13" s="8">
        <f t="shared" si="5"/>
        <v>3.2324611187742907</v>
      </c>
      <c r="S13" s="8">
        <f t="shared" si="5"/>
        <v>3.204018404626523</v>
      </c>
      <c r="T13" s="8">
        <f t="shared" si="5"/>
        <v>2.1572275177709352</v>
      </c>
      <c r="U13" s="8">
        <f t="shared" si="5"/>
        <v>1.20456461280946</v>
      </c>
      <c r="V13" s="8">
        <f t="shared" si="5"/>
        <v>-1.8518927911031495</v>
      </c>
      <c r="W13" s="8">
        <f t="shared" si="5"/>
        <v>1.889266461848997</v>
      </c>
      <c r="X13" s="8">
        <f t="shared" si="5"/>
        <v>1.279859183393033</v>
      </c>
      <c r="Y13" s="8">
        <f t="shared" si="5"/>
        <v>1.2038558439426528</v>
      </c>
      <c r="Z13" s="8">
        <f t="shared" si="5"/>
        <v>1.1922292435994912</v>
      </c>
      <c r="AA13" s="8">
        <f t="shared" si="5"/>
        <v>1.2077265410032998</v>
      </c>
      <c r="AB13" s="8">
        <f t="shared" si="5"/>
        <v>1.2350899256243162</v>
      </c>
      <c r="AC13" s="8">
        <f t="shared" si="5"/>
        <v>1.2680449240508003</v>
      </c>
      <c r="AD13" s="8">
        <f t="shared" si="5"/>
        <v>1.304003963698587</v>
      </c>
      <c r="AE13" s="8">
        <f t="shared" si="5"/>
        <v>1.3419017715174353</v>
      </c>
    </row>
    <row r="14" spans="1:31" x14ac:dyDescent="0.2">
      <c r="A14" s="2" t="s">
        <v>2</v>
      </c>
      <c r="B14" s="15">
        <v>56.921999999999997</v>
      </c>
      <c r="C14" s="15">
        <v>56.982999999999997</v>
      </c>
      <c r="D14" s="15">
        <v>57.558</v>
      </c>
      <c r="E14" s="15">
        <v>58.149000000000001</v>
      </c>
      <c r="F14" s="15">
        <v>58.93</v>
      </c>
      <c r="G14" s="15">
        <f>AVERAGE('Quarterly Model'!F14:I14)</f>
        <v>60.19675</v>
      </c>
      <c r="H14" s="15">
        <f>Main!$C$4*(1+Assumptions!$B$26)^(H1-2026)</f>
        <v>60.462687</v>
      </c>
      <c r="I14" s="15">
        <f>Main!$C$4*(1+Assumptions!$B$26)^(I1-2026)</f>
        <v>60.462687</v>
      </c>
      <c r="J14" s="15">
        <f>Main!$C$4*(1+Assumptions!$B$26)^(J1-2026)</f>
        <v>60.462687</v>
      </c>
      <c r="K14" s="15">
        <f>Main!$C$4*(1+Assumptions!$B$26)^(K1-2026)</f>
        <v>60.462687</v>
      </c>
      <c r="L14" s="15">
        <f>Main!$C$4*(1+Assumptions!$B$26)^(L1-2026)</f>
        <v>60.462687</v>
      </c>
      <c r="M14" s="15">
        <f>Main!$C$4*(1+Assumptions!$B$26)^(M1-2026)</f>
        <v>60.462687</v>
      </c>
      <c r="N14" s="15">
        <f>Main!$C$4*(1+Assumptions!$B$26)^(N1-2026)</f>
        <v>60.462687</v>
      </c>
      <c r="O14" s="15">
        <f>Main!$C$4*(1+Assumptions!$B$26)^(O1-2026)</f>
        <v>60.462687</v>
      </c>
      <c r="P14" s="15">
        <f>Main!$C$4*(1+Assumptions!$B$26)^(P1-2026)</f>
        <v>60.462687</v>
      </c>
      <c r="Q14" s="15">
        <f>Main!$C$4*(1+Assumptions!$B$26)^(Q1-2026)</f>
        <v>60.462687</v>
      </c>
      <c r="R14" s="15">
        <f>Main!$C$4*(1+Assumptions!$B$26)^(R1-2026)</f>
        <v>60.462687</v>
      </c>
      <c r="S14" s="15">
        <f>Main!$C$4*(1+Assumptions!$B$26)^(S1-2026)</f>
        <v>60.462687</v>
      </c>
      <c r="T14" s="15">
        <f>Main!$C$4*(1+Assumptions!$B$26)^(T1-2026)</f>
        <v>60.462687</v>
      </c>
      <c r="U14" s="15">
        <f>Main!$C$4*(1+Assumptions!$B$26)^(U1-2026)</f>
        <v>60.462687</v>
      </c>
      <c r="V14" s="15">
        <f>Main!$C$4*(1+Assumptions!$B$26)^(V1-2026)</f>
        <v>60.462687</v>
      </c>
      <c r="W14" s="15">
        <f>Main!$C$4*(1+Assumptions!$B$26)^(W1-2026)</f>
        <v>60.462687</v>
      </c>
      <c r="X14" s="15">
        <f>Main!$C$4*(1+Assumptions!$B$26)^(X1-2026)</f>
        <v>60.462687</v>
      </c>
      <c r="Y14" s="15">
        <f>Main!$C$4*(1+Assumptions!$B$26)^(Y1-2026)</f>
        <v>60.462687</v>
      </c>
      <c r="Z14" s="15">
        <f>Main!$C$4*(1+Assumptions!$B$26)^(Z1-2026)</f>
        <v>60.462687</v>
      </c>
      <c r="AA14" s="15">
        <f>Main!$C$4*(1+Assumptions!$B$26)^(AA1-2026)</f>
        <v>60.462687</v>
      </c>
      <c r="AB14" s="15">
        <f>Main!$C$4*(1+Assumptions!$B$26)^(AB1-2026)</f>
        <v>60.462687</v>
      </c>
      <c r="AC14" s="15">
        <f>Main!$C$4*(1+Assumptions!$B$26)^(AC1-2026)</f>
        <v>60.462687</v>
      </c>
      <c r="AD14" s="15">
        <f>Main!$C$4*(1+Assumptions!$B$26)^(AD1-2026)</f>
        <v>60.462687</v>
      </c>
      <c r="AE14" s="15">
        <f>Main!$C$4*(1+Assumptions!$B$26)^(AE1-2026)</f>
        <v>60.462687</v>
      </c>
    </row>
    <row r="16" spans="1:31" s="4" customFormat="1" x14ac:dyDescent="0.2">
      <c r="A16" s="3" t="s">
        <v>27</v>
      </c>
      <c r="C16" s="11">
        <f t="shared" ref="C16:AE16" si="6">IFERROR(C2/B2-1,"")</f>
        <v>-0.05322276892385802</v>
      </c>
      <c r="D16" s="11">
        <f t="shared" si="6"/>
        <v>-0.24271371402064623</v>
      </c>
      <c r="E16" s="11">
        <f t="shared" si="6"/>
        <v>0.031831395348837166</v>
      </c>
      <c r="F16" s="11">
        <f t="shared" si="6"/>
        <v>0.08720041052059635</v>
      </c>
      <c r="G16" s="11">
        <f t="shared" si="6"/>
        <v>0.11171421299831108</v>
      </c>
      <c r="H16" s="11">
        <f t="shared" si="6"/>
        <v>0.33260332402988424</v>
      </c>
      <c r="I16" s="11">
        <f t="shared" si="6"/>
        <v>0.4162396133629258</v>
      </c>
      <c r="J16" s="11">
        <f t="shared" si="6"/>
        <v>0.3523564731286779</v>
      </c>
      <c r="K16" s="11">
        <f t="shared" si="6"/>
        <v>0.24935312327077908</v>
      </c>
      <c r="L16" s="11">
        <f t="shared" si="6"/>
        <v>0.026631459743561292</v>
      </c>
      <c r="M16" s="11">
        <f t="shared" si="6"/>
        <v>0.08477114384453888</v>
      </c>
      <c r="N16" s="11">
        <f t="shared" si="6"/>
        <v>-0.023564507873193974</v>
      </c>
      <c r="O16" s="11">
        <f t="shared" si="6"/>
        <v>-0.0018701223916228749</v>
      </c>
      <c r="P16" s="11">
        <f t="shared" si="6"/>
        <v>-0.0105087329008684</v>
      </c>
      <c r="Q16" s="11">
        <f t="shared" si="6"/>
        <v>-0.004689989887841639</v>
      </c>
      <c r="R16" s="11">
        <f t="shared" si="6"/>
        <v>-0.0022177880116867055</v>
      </c>
      <c r="S16" s="11">
        <f t="shared" si="6"/>
        <v>-0.001139356201924624</v>
      </c>
      <c r="T16" s="11">
        <f t="shared" si="6"/>
        <v>-0.16238052726224306</v>
      </c>
      <c r="U16" s="11">
        <f t="shared" si="6"/>
        <v>-0.1980279262189255</v>
      </c>
      <c r="V16" s="11">
        <f t="shared" si="6"/>
        <v>-0.5845254365372574</v>
      </c>
      <c r="W16" s="11">
        <f t="shared" si="6"/>
        <v>-0.5810931917474742</v>
      </c>
      <c r="X16" s="11">
        <f t="shared" si="6"/>
        <v>-0.5769245985923838</v>
      </c>
      <c r="Y16" s="11">
        <f t="shared" si="6"/>
        <v>-0.5718274341775129</v>
      </c>
      <c r="Z16" s="11">
        <f t="shared" si="6"/>
        <v>-0.5655222258721246</v>
      </c>
      <c r="AA16" s="11">
        <f t="shared" si="6"/>
        <v>-0.557596774544927</v>
      </c>
      <c r="AB16" s="11">
        <f t="shared" si="6"/>
        <v>-0.547454976770115</v>
      </c>
      <c r="AC16" s="11">
        <f t="shared" si="6"/>
        <v>-0.534286137265151</v>
      </c>
      <c r="AD16" s="11">
        <f t="shared" si="6"/>
        <v>-0.5171142101372666</v>
      </c>
      <c r="AE16" s="11">
        <f t="shared" si="6"/>
        <v>-0.4950198566739633</v>
      </c>
    </row>
    <row r="17" spans="1:31" s="4" customFormat="1" x14ac:dyDescent="0.2">
      <c r="A17" s="3" t="s">
        <v>17</v>
      </c>
      <c r="B17" s="11">
        <f t="shared" ref="B17:AE17" si="7">IFERROR(B4/B2,"")</f>
        <v>0.9046121437238074</v>
      </c>
      <c r="C17" s="11">
        <f t="shared" si="7"/>
        <v>0.9045451329103474</v>
      </c>
      <c r="D17" s="11">
        <f t="shared" si="7"/>
        <v>0.9231935215946844</v>
      </c>
      <c r="E17" s="11">
        <f t="shared" si="7"/>
        <v>0.9430805143581591</v>
      </c>
      <c r="F17" s="11">
        <f t="shared" si="7"/>
        <v>0.9396404525577844</v>
      </c>
      <c r="G17" s="11">
        <f t="shared" si="7"/>
        <v>0.934696374980749</v>
      </c>
      <c r="H17" s="11">
        <f t="shared" si="7"/>
        <v>0.9225816871760057</v>
      </c>
      <c r="I17" s="11">
        <f t="shared" si="7"/>
        <v>0.9148440375992575</v>
      </c>
      <c r="J17" s="11">
        <f t="shared" si="7"/>
        <v>0.9109001348824612</v>
      </c>
      <c r="K17" s="11">
        <f t="shared" si="7"/>
        <v>0.9080359919455351</v>
      </c>
      <c r="L17" s="11">
        <f t="shared" si="7"/>
        <v>0.9021870046197855</v>
      </c>
      <c r="M17" s="11">
        <f t="shared" si="7"/>
        <v>0.900707200553373</v>
      </c>
      <c r="N17" s="11">
        <f t="shared" si="7"/>
        <v>0.8995957498775176</v>
      </c>
      <c r="O17" s="11">
        <f t="shared" si="7"/>
        <v>0.8992511891158087</v>
      </c>
      <c r="P17" s="11">
        <f t="shared" si="7"/>
        <v>0.8989486855585027</v>
      </c>
      <c r="Q17" s="11">
        <f t="shared" si="7"/>
        <v>0.8988164773926719</v>
      </c>
      <c r="R17" s="11">
        <f t="shared" si="7"/>
        <v>0.8987561580597969</v>
      </c>
      <c r="S17" s="11">
        <f t="shared" si="7"/>
        <v>0.8987266263712685</v>
      </c>
      <c r="T17" s="11">
        <f t="shared" si="7"/>
        <v>0.8907382393605418</v>
      </c>
      <c r="U17" s="11">
        <f t="shared" si="7"/>
        <v>0.9070895725506383</v>
      </c>
      <c r="V17" s="11">
        <f t="shared" si="7"/>
        <v>0.9014318457767518</v>
      </c>
      <c r="W17" s="11">
        <f t="shared" si="7"/>
        <v>0.8949429882269929</v>
      </c>
      <c r="X17" s="11">
        <f t="shared" si="7"/>
        <v>0.8876505463148878</v>
      </c>
      <c r="Y17" s="11">
        <f t="shared" si="7"/>
        <v>0.8796673531802359</v>
      </c>
      <c r="Z17" s="11">
        <f t="shared" si="7"/>
        <v>0.8712313202952858</v>
      </c>
      <c r="AA17" s="11">
        <f t="shared" si="7"/>
        <v>0.862754085569487</v>
      </c>
      <c r="AB17" s="11">
        <f t="shared" si="7"/>
        <v>0.8548702147615395</v>
      </c>
      <c r="AC17" s="11">
        <f t="shared" si="7"/>
        <v>0.8484598011152173</v>
      </c>
      <c r="AD17" s="11">
        <f t="shared" si="7"/>
        <v>0.8445860865321188</v>
      </c>
      <c r="AE17" s="11">
        <f t="shared" si="7"/>
        <v>0.8442698044783344</v>
      </c>
    </row>
    <row r="19" spans="1:31" x14ac:dyDescent="0.2">
      <c r="A19" s="10" t="s">
        <v>28</v>
      </c>
      <c r="B19" s="17" t="s">
        <v>29</v>
      </c>
      <c r="C19" s="17" t="s">
        <v>29</v>
      </c>
      <c r="D19" s="17" t="s">
        <v>29</v>
      </c>
      <c r="E19" s="17" t="s">
        <v>29</v>
      </c>
      <c r="F19" s="17" t="s">
        <v>29</v>
      </c>
      <c r="G19" s="17" t="s">
        <v>30</v>
      </c>
      <c r="H19" s="17" t="s">
        <v>31</v>
      </c>
      <c r="I19" s="17" t="s">
        <v>31</v>
      </c>
      <c r="J19" s="17" t="s">
        <v>31</v>
      </c>
      <c r="K19" s="17" t="s">
        <v>31</v>
      </c>
      <c r="L19" s="17" t="s">
        <v>31</v>
      </c>
      <c r="M19" s="17" t="s">
        <v>31</v>
      </c>
      <c r="N19" s="17" t="s">
        <v>31</v>
      </c>
      <c r="O19" s="17" t="s">
        <v>31</v>
      </c>
      <c r="P19" s="17" t="s">
        <v>31</v>
      </c>
      <c r="Q19" s="17" t="s">
        <v>31</v>
      </c>
      <c r="R19" s="17" t="s">
        <v>31</v>
      </c>
      <c r="S19" s="17" t="s">
        <v>31</v>
      </c>
      <c r="T19" s="17" t="s">
        <v>31</v>
      </c>
      <c r="U19" s="17" t="s">
        <v>31</v>
      </c>
      <c r="V19" s="17" t="s">
        <v>31</v>
      </c>
      <c r="W19" s="17" t="s">
        <v>31</v>
      </c>
      <c r="X19" s="17" t="s">
        <v>31</v>
      </c>
      <c r="Y19" s="17" t="s">
        <v>31</v>
      </c>
      <c r="Z19" s="17" t="s">
        <v>31</v>
      </c>
      <c r="AA19" s="17" t="s">
        <v>31</v>
      </c>
      <c r="AB19" s="17" t="s">
        <v>31</v>
      </c>
      <c r="AC19" s="17" t="s">
        <v>31</v>
      </c>
      <c r="AD19" s="17" t="s">
        <v>31</v>
      </c>
      <c r="AE19" s="17" t="s">
        <v>31</v>
      </c>
    </row>
    <row r="20" spans="1:31" x14ac:dyDescent="0.2">
      <c r="A20" s="10" t="s">
        <v>32</v>
      </c>
      <c r="G20" s="15">
        <f>'Quarterly Model'!I20</f>
        <v>96.73</v>
      </c>
      <c r="H20" s="15">
        <f t="shared" ref="H20:AE20" si="8">G20+H12</f>
        <v>1.9085824740676145</v>
      </c>
      <c r="I20" s="15">
        <f t="shared" si="8"/>
        <v>20.689054689866758</v>
      </c>
      <c r="J20" s="15">
        <f t="shared" si="8"/>
        <v>144.80034723322458</v>
      </c>
      <c r="K20" s="15">
        <f t="shared" si="8"/>
        <v>369.08984051224854</v>
      </c>
      <c r="L20" s="15">
        <f t="shared" si="8"/>
        <v>597.3001580615612</v>
      </c>
      <c r="M20" s="15">
        <f t="shared" si="8"/>
        <v>808.0055270831397</v>
      </c>
      <c r="N20" s="15">
        <f t="shared" si="8"/>
        <v>1014.587881029011</v>
      </c>
      <c r="O20" s="15">
        <f t="shared" si="8"/>
        <v>1219.5464677757332</v>
      </c>
      <c r="P20" s="15">
        <f t="shared" si="8"/>
        <v>1419.6156560549816</v>
      </c>
      <c r="Q20" s="15">
        <f t="shared" si="8"/>
        <v>1616.9806824055077</v>
      </c>
      <c r="R20" s="15">
        <f t="shared" si="8"/>
        <v>1812.4239672696274</v>
      </c>
      <c r="S20" s="15">
        <f t="shared" si="8"/>
        <v>2006.1475292108003</v>
      </c>
      <c r="T20" s="15">
        <f t="shared" si="8"/>
        <v>2136.579301405571</v>
      </c>
      <c r="U20" s="15">
        <f t="shared" si="8"/>
        <v>2209.4105145611456</v>
      </c>
      <c r="V20" s="15">
        <f t="shared" si="8"/>
        <v>2097.4401003751195</v>
      </c>
      <c r="W20" s="15">
        <f t="shared" si="8"/>
        <v>2211.6702271174927</v>
      </c>
      <c r="X20" s="15">
        <f t="shared" si="8"/>
        <v>2289.0539523270613</v>
      </c>
      <c r="Y20" s="15">
        <f t="shared" si="8"/>
        <v>2361.8423114124867</v>
      </c>
      <c r="Z20" s="15">
        <f t="shared" si="8"/>
        <v>2433.9276950004896</v>
      </c>
      <c r="AA20" s="15">
        <f t="shared" si="8"/>
        <v>2506.950086830765</v>
      </c>
      <c r="AB20" s="15">
        <f t="shared" si="8"/>
        <v>2581.626942420641</v>
      </c>
      <c r="AC20" s="15">
        <f t="shared" si="8"/>
        <v>2658.2963457654637</v>
      </c>
      <c r="AD20" s="15">
        <f t="shared" si="8"/>
        <v>2737.139929269331</v>
      </c>
      <c r="AE20" s="15">
        <f t="shared" si="8"/>
        <v>2818.274916065335</v>
      </c>
    </row>
    <row r="21" spans="1:31" x14ac:dyDescent="0.2">
      <c r="A21" s="10" t="s">
        <v>33</v>
      </c>
      <c r="F21" s="15">
        <f>Assumptions!$B$18</f>
        <v>300</v>
      </c>
      <c r="G21" s="15">
        <f t="shared" ref="G21:AE21" si="9">F21-MIN(F21,MAX(0,G10))+MAX(0,-G10)</f>
        <v>484.078</v>
      </c>
      <c r="H21" s="15">
        <f t="shared" si="9"/>
        <v>578.8994175259323</v>
      </c>
      <c r="I21" s="15">
        <f t="shared" si="9"/>
        <v>560.1189453101332</v>
      </c>
      <c r="J21" s="15">
        <f t="shared" si="9"/>
        <v>436.0076527667754</v>
      </c>
      <c r="K21" s="15">
        <f t="shared" si="9"/>
        <v>211.71815948775142</v>
      </c>
      <c r="L21" s="15">
        <f t="shared" si="9"/>
        <v>0.0</v>
      </c>
      <c r="M21" s="15">
        <f t="shared" si="9"/>
        <v>0.0</v>
      </c>
      <c r="N21" s="15">
        <f t="shared" si="9"/>
        <v>0.0</v>
      </c>
      <c r="O21" s="15">
        <f t="shared" si="9"/>
        <v>0.0</v>
      </c>
      <c r="P21" s="15">
        <f t="shared" si="9"/>
        <v>0.0</v>
      </c>
      <c r="Q21" s="15">
        <f t="shared" si="9"/>
        <v>0.0</v>
      </c>
      <c r="R21" s="15">
        <f t="shared" si="9"/>
        <v>0.0</v>
      </c>
      <c r="S21" s="15">
        <f t="shared" si="9"/>
        <v>0.0</v>
      </c>
      <c r="T21" s="15">
        <f t="shared" si="9"/>
        <v>0.0</v>
      </c>
      <c r="U21" s="15">
        <f t="shared" si="9"/>
        <v>0.0</v>
      </c>
      <c r="V21" s="15">
        <f t="shared" si="9"/>
        <v>111.97041418602612</v>
      </c>
      <c r="W21" s="15">
        <f t="shared" si="9"/>
        <v>0.0</v>
      </c>
      <c r="X21" s="15">
        <f t="shared" si="9"/>
        <v>0.0</v>
      </c>
      <c r="Y21" s="15">
        <f t="shared" si="9"/>
        <v>0.0</v>
      </c>
      <c r="Z21" s="15">
        <f t="shared" si="9"/>
        <v>0.0</v>
      </c>
      <c r="AA21" s="15">
        <f t="shared" si="9"/>
        <v>0.0</v>
      </c>
      <c r="AB21" s="15">
        <f t="shared" si="9"/>
        <v>0.0</v>
      </c>
      <c r="AC21" s="15">
        <f t="shared" si="9"/>
        <v>0.0</v>
      </c>
      <c r="AD21" s="15">
        <f t="shared" si="9"/>
        <v>0.0</v>
      </c>
      <c r="AE21" s="15">
        <f t="shared" si="9"/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/>
  </sheetViews>
  <sheetFormatPr baseColWidth="10" defaultRowHeight="16" x14ac:dyDescent="0.2"/>
  <cols>
    <col min="1" max="1" width="26" customWidth="1"/>
    <col min="2" max="9" width="10" customWidth="1"/>
  </cols>
  <sheetData>
    <row r="1" spans="1:9" x14ac:dyDescent="0.2">
      <c r="B1" s="18" t="s">
        <v>34</v>
      </c>
      <c r="C1" s="18" t="s">
        <v>35</v>
      </c>
      <c r="D1" s="18" t="s">
        <v>36</v>
      </c>
      <c r="E1" s="18" t="s">
        <v>37</v>
      </c>
      <c r="F1" s="18" t="s">
        <v>38</v>
      </c>
      <c r="G1" s="18" t="s">
        <v>39</v>
      </c>
      <c r="H1" s="18" t="s">
        <v>40</v>
      </c>
      <c r="I1" s="18" t="s">
        <v>41</v>
      </c>
    </row>
    <row r="2" spans="1:9" x14ac:dyDescent="0.2">
      <c r="A2" s="10" t="s">
        <v>15</v>
      </c>
      <c r="B2" s="15">
        <v>50.040999999999997</v>
      </c>
      <c r="C2" s="15">
        <v>52.59</v>
      </c>
      <c r="D2" s="15">
        <v>56.258000000000003</v>
      </c>
      <c r="E2" s="15">
        <v>57.216000000000001</v>
      </c>
      <c r="F2" s="15">
        <v>51.718000000000004</v>
      </c>
      <c r="G2" s="15">
        <v>50.529000000000003</v>
      </c>
      <c r="H2" s="15">
        <v>66</v>
      </c>
      <c r="I2" s="15">
        <v>72</v>
      </c>
    </row>
    <row r="3" spans="1:9" x14ac:dyDescent="0.2">
      <c r="A3" s="10" t="s">
        <v>16</v>
      </c>
      <c r="B3" s="15">
        <v>3.5209999999999999</v>
      </c>
      <c r="C3" s="15">
        <v>2.7360000000000002</v>
      </c>
      <c r="D3" s="15">
        <v>2.9540000000000002</v>
      </c>
      <c r="E3" s="15">
        <v>3.8330000000000002</v>
      </c>
      <c r="F3" s="15">
        <v>3.1589999999999998</v>
      </c>
      <c r="G3" s="15">
        <v>3.56</v>
      </c>
      <c r="H3" s="15">
        <f>H2*0.065</f>
        <v>4.29</v>
      </c>
      <c r="I3" s="15">
        <f>I2*0.065</f>
        <v>4.68</v>
      </c>
    </row>
    <row r="4" spans="1:9" x14ac:dyDescent="0.2">
      <c r="A4" s="10" t="s">
        <v>17</v>
      </c>
      <c r="B4" s="15">
        <f t="shared" ref="B4:I4" si="0">B2-B3</f>
        <v>46.519999999999996</v>
      </c>
      <c r="C4" s="15">
        <f t="shared" si="0"/>
        <v>49.854000000000006</v>
      </c>
      <c r="D4" s="15">
        <f t="shared" si="0"/>
        <v>53.304</v>
      </c>
      <c r="E4" s="15">
        <f t="shared" si="0"/>
        <v>53.383</v>
      </c>
      <c r="F4" s="15">
        <f t="shared" si="0"/>
        <v>48.559000000000005</v>
      </c>
      <c r="G4" s="15">
        <f t="shared" si="0"/>
        <v>46.969</v>
      </c>
      <c r="H4" s="15">
        <f t="shared" si="0"/>
        <v>61.71</v>
      </c>
      <c r="I4" s="15">
        <f t="shared" si="0"/>
        <v>67.32</v>
      </c>
    </row>
    <row r="5" spans="1:9" x14ac:dyDescent="0.2">
      <c r="A5" s="10" t="s">
        <v>18</v>
      </c>
      <c r="B5" s="15">
        <v>35.712000000000003</v>
      </c>
      <c r="C5" s="15">
        <v>21.99</v>
      </c>
      <c r="D5" s="15">
        <v>22.562999999999999</v>
      </c>
      <c r="E5" s="15">
        <v>29.006</v>
      </c>
      <c r="F5" s="15">
        <v>28.434999999999999</v>
      </c>
      <c r="G5" s="15">
        <v>36.953000000000003</v>
      </c>
      <c r="H5" s="15">
        <v>35</v>
      </c>
      <c r="I5" s="15">
        <v>30</v>
      </c>
    </row>
    <row r="6" spans="1:9" x14ac:dyDescent="0.2">
      <c r="A6" s="10" t="s">
        <v>19</v>
      </c>
      <c r="B6" s="15">
        <v>51.835999999999999</v>
      </c>
      <c r="C6" s="15">
        <v>66.367000000000004</v>
      </c>
      <c r="D6" s="15">
        <v>62.024999999999999</v>
      </c>
      <c r="E6" s="15">
        <v>64.73</v>
      </c>
      <c r="F6" s="15">
        <v>70.347999999999999</v>
      </c>
      <c r="G6" s="15">
        <v>73.825000000000003</v>
      </c>
      <c r="H6" s="15">
        <v>72</v>
      </c>
      <c r="I6" s="15">
        <v>68</v>
      </c>
    </row>
    <row r="7" spans="1:9" x14ac:dyDescent="0.2">
      <c r="A7" s="10" t="s">
        <v>20</v>
      </c>
      <c r="B7" s="15">
        <f t="shared" ref="B7:I7" si="1">SUM(B5:B6)</f>
        <v>87.548</v>
      </c>
      <c r="C7" s="15">
        <f t="shared" si="1"/>
        <v>88.357</v>
      </c>
      <c r="D7" s="15">
        <f t="shared" si="1"/>
        <v>84.588</v>
      </c>
      <c r="E7" s="15">
        <f t="shared" si="1"/>
        <v>93.736</v>
      </c>
      <c r="F7" s="15">
        <f t="shared" si="1"/>
        <v>98.783</v>
      </c>
      <c r="G7" s="15">
        <f t="shared" si="1"/>
        <v>110.778</v>
      </c>
      <c r="H7" s="15">
        <f t="shared" si="1"/>
        <v>107.0</v>
      </c>
      <c r="I7" s="15">
        <f t="shared" si="1"/>
        <v>98.0</v>
      </c>
    </row>
    <row r="8" spans="1:9" x14ac:dyDescent="0.2">
      <c r="A8" s="10" t="s">
        <v>21</v>
      </c>
      <c r="B8" s="15">
        <f t="shared" ref="B8:I8" si="2">B4-B7</f>
        <v>-41.028000000000006</v>
      </c>
      <c r="C8" s="15">
        <f t="shared" si="2"/>
        <v>-38.50299999999999</v>
      </c>
      <c r="D8" s="15">
        <f t="shared" si="2"/>
        <v>-31.283999999999992</v>
      </c>
      <c r="E8" s="15">
        <f t="shared" si="2"/>
        <v>-40.353</v>
      </c>
      <c r="F8" s="15">
        <f t="shared" si="2"/>
        <v>-50.224</v>
      </c>
      <c r="G8" s="15">
        <f t="shared" si="2"/>
        <v>-63.809000000000005</v>
      </c>
      <c r="H8" s="15">
        <f t="shared" si="2"/>
        <v>-45.29</v>
      </c>
      <c r="I8" s="15">
        <f t="shared" si="2"/>
        <v>-30.680000000000007</v>
      </c>
    </row>
    <row r="9" spans="1:9" x14ac:dyDescent="0.2">
      <c r="A9" s="10" t="s">
        <v>22</v>
      </c>
      <c r="B9" s="15">
        <v>3.66</v>
      </c>
      <c r="C9" s="15">
        <v>3.6160000000000001</v>
      </c>
      <c r="D9" s="15">
        <v>2.8940000000000001</v>
      </c>
      <c r="E9" s="15">
        <v>2.3250000000000002</v>
      </c>
      <c r="F9" s="15">
        <v>1.8</v>
      </c>
      <c r="G9" s="15">
        <v>1.425</v>
      </c>
      <c r="H9" s="15">
        <v>1.5</v>
      </c>
      <c r="I9" s="15">
        <v>1.2</v>
      </c>
    </row>
    <row r="10" spans="1:9" x14ac:dyDescent="0.2">
      <c r="A10" s="10" t="s">
        <v>23</v>
      </c>
      <c r="B10" s="15">
        <f t="shared" ref="B10:I10" si="3">B8+B9</f>
        <v>-37.36800000000001</v>
      </c>
      <c r="C10" s="15">
        <f t="shared" si="3"/>
        <v>-34.88699999999999</v>
      </c>
      <c r="D10" s="15">
        <f t="shared" si="3"/>
        <v>-28.389999999999993</v>
      </c>
      <c r="E10" s="15">
        <f t="shared" si="3"/>
        <v>-38.028</v>
      </c>
      <c r="F10" s="15">
        <f t="shared" si="3"/>
        <v>-48.424</v>
      </c>
      <c r="G10" s="15">
        <f t="shared" si="3"/>
        <v>-62.38400000000001</v>
      </c>
      <c r="H10" s="15">
        <f t="shared" si="3"/>
        <v>-43.79</v>
      </c>
      <c r="I10" s="15">
        <f t="shared" si="3"/>
        <v>-29.480000000000008</v>
      </c>
    </row>
    <row r="11" spans="1:9" x14ac:dyDescent="0.2">
      <c r="A11" s="10" t="s">
        <v>24</v>
      </c>
      <c r="B11" s="15">
        <v>-7.8739999999999997</v>
      </c>
      <c r="C11" s="15">
        <v>-7.68</v>
      </c>
      <c r="D11" s="15">
        <v>-5.8040000000000003</v>
      </c>
      <c r="E11" s="15">
        <v>103.185</v>
      </c>
      <c r="F11" s="15">
        <v>0.14299999999999999</v>
      </c>
      <c r="G11" s="15">
        <v>0.129</v>
      </c>
      <c r="H11" s="15">
        <v>0</v>
      </c>
      <c r="I11" s="15">
        <v>0</v>
      </c>
    </row>
    <row r="12" spans="1:9" x14ac:dyDescent="0.2">
      <c r="A12" s="10" t="s">
        <v>25</v>
      </c>
      <c r="B12" s="15">
        <f t="shared" ref="B12:I12" si="4">B10-B11</f>
        <v>-29.49400000000001</v>
      </c>
      <c r="C12" s="15">
        <f t="shared" si="4"/>
        <v>-27.206999999999994</v>
      </c>
      <c r="D12" s="15">
        <f t="shared" si="4"/>
        <v>-22.58599999999999</v>
      </c>
      <c r="E12" s="15">
        <f t="shared" si="4"/>
        <v>-141.213</v>
      </c>
      <c r="F12" s="15">
        <f t="shared" si="4"/>
        <v>-48.567</v>
      </c>
      <c r="G12" s="15">
        <f t="shared" si="4"/>
        <v>-62.513000000000005</v>
      </c>
      <c r="H12" s="15">
        <f t="shared" si="4"/>
        <v>-43.79</v>
      </c>
      <c r="I12" s="15">
        <f t="shared" si="4"/>
        <v>-29.480000000000008</v>
      </c>
    </row>
    <row r="13" spans="1:9" x14ac:dyDescent="0.2">
      <c r="A13" s="10" t="s">
        <v>26</v>
      </c>
      <c r="B13" s="8">
        <f t="shared" ref="B13:I13" si="5">IFERROR(B12/B14,0)</f>
        <v>-0.5039297430289778</v>
      </c>
      <c r="C13" s="8">
        <f t="shared" si="5"/>
        <v>-0.46118249313489496</v>
      </c>
      <c r="D13" s="8">
        <f t="shared" si="5"/>
        <v>-0.3822240273476501</v>
      </c>
      <c r="E13" s="8">
        <f t="shared" si="5"/>
        <v>-2.3891078890825113</v>
      </c>
      <c r="F13" s="8">
        <f t="shared" si="5"/>
        <v>-0.8168012108980828</v>
      </c>
      <c r="G13" s="8">
        <f t="shared" si="5"/>
        <v>-1.0379563982931246</v>
      </c>
      <c r="H13" s="8">
        <f t="shared" si="5"/>
        <v>-0.7238016528925619</v>
      </c>
      <c r="I13" s="8">
        <f t="shared" si="5"/>
        <v>-0.4864686468646866</v>
      </c>
    </row>
    <row r="14" spans="1:9" x14ac:dyDescent="0.2">
      <c r="A14" s="10" t="s">
        <v>2</v>
      </c>
      <c r="B14" s="15">
        <v>58.527999999999999</v>
      </c>
      <c r="C14" s="15">
        <v>58.994</v>
      </c>
      <c r="D14" s="15">
        <v>59.091000000000001</v>
      </c>
      <c r="E14" s="15">
        <v>59.106999999999999</v>
      </c>
      <c r="F14" s="15">
        <v>59.46</v>
      </c>
      <c r="G14" s="15">
        <v>60.226999999999997</v>
      </c>
      <c r="H14" s="15">
        <v>60.5</v>
      </c>
      <c r="I14" s="15">
        <v>60.6</v>
      </c>
    </row>
    <row r="16" spans="1:9" x14ac:dyDescent="0.2">
      <c r="A16" s="10" t="s">
        <v>42</v>
      </c>
      <c r="F16" s="11">
        <f>IFERROR(F2/B2-1,"")</f>
        <v>0.03351251973381841</v>
      </c>
      <c r="G16" s="11">
        <f>IFERROR(G2/C2-1,"")</f>
        <v>-0.0391899600684541</v>
      </c>
      <c r="H16" s="11">
        <f>IFERROR(H2/D2-1,"")</f>
        <v>0.173166482989086</v>
      </c>
      <c r="I16" s="11">
        <f>IFERROR(I2/E2-1,"")</f>
        <v>0.25838926174496635</v>
      </c>
    </row>
    <row r="17" spans="1:9" x14ac:dyDescent="0.2">
      <c r="A17" s="10" t="s">
        <v>17</v>
      </c>
      <c r="B17" s="11">
        <f t="shared" ref="B17:I17" si="6">IFERROR(B4/B2,"")</f>
        <v>0.9296376970883875</v>
      </c>
      <c r="C17" s="11">
        <f t="shared" si="6"/>
        <v>0.9479749001711353</v>
      </c>
      <c r="D17" s="11">
        <f t="shared" si="6"/>
        <v>0.9474919122613673</v>
      </c>
      <c r="E17" s="11">
        <f t="shared" si="6"/>
        <v>0.9330082494407159</v>
      </c>
      <c r="F17" s="11">
        <f t="shared" si="6"/>
        <v>0.9389187516918674</v>
      </c>
      <c r="G17" s="11">
        <f t="shared" si="6"/>
        <v>0.9295454095667834</v>
      </c>
      <c r="H17" s="11">
        <f t="shared" si="6"/>
        <v>0.935</v>
      </c>
      <c r="I17" s="11">
        <f t="shared" si="6"/>
        <v>0.9349999999999999</v>
      </c>
    </row>
    <row r="19" spans="1:9" x14ac:dyDescent="0.2">
      <c r="A19" s="10" t="s">
        <v>28</v>
      </c>
      <c r="B19" s="17" t="s">
        <v>29</v>
      </c>
      <c r="C19" s="17" t="s">
        <v>29</v>
      </c>
      <c r="D19" s="17" t="s">
        <v>29</v>
      </c>
      <c r="E19" s="17" t="s">
        <v>29</v>
      </c>
      <c r="F19" s="17" t="s">
        <v>29</v>
      </c>
      <c r="G19" s="17" t="s">
        <v>29</v>
      </c>
      <c r="H19" s="17" t="s">
        <v>31</v>
      </c>
      <c r="I19" s="17" t="s">
        <v>31</v>
      </c>
    </row>
    <row r="20" spans="1:9" x14ac:dyDescent="0.2">
      <c r="A20" s="10" t="s">
        <v>32</v>
      </c>
      <c r="G20" s="15">
        <v>170</v>
      </c>
      <c r="H20" s="15">
        <f>G20+H12+H21</f>
        <v>126.21000000000001</v>
      </c>
      <c r="I20" s="15">
        <f>H20+I12+I21</f>
        <v>96.73</v>
      </c>
    </row>
    <row r="21" spans="1:9" x14ac:dyDescent="0.2">
      <c r="A21" s="10" t="s">
        <v>43</v>
      </c>
      <c r="H21" s="15">
        <v>0</v>
      </c>
      <c r="I21" s="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6" x14ac:dyDescent="0.2"/>
  <cols>
    <col min="1" max="1" width="58" customWidth="1"/>
    <col min="2" max="12" width="11" customWidth="1"/>
  </cols>
  <sheetData>
    <row r="1" spans="1:5" ht="19" x14ac:dyDescent="0.25">
      <c r="A1" s="19" t="s">
        <v>44</v>
      </c>
    </row>
    <row r="4" spans="1:5" x14ac:dyDescent="0.2">
      <c r="A4" s="20" t="s">
        <v>45</v>
      </c>
      <c r="B4" s="21">
        <v>2</v>
      </c>
      <c r="C4" s="20" t="str">
        <f>CHOOSE($B$4,"Bear","Base","Bull")</f>
        <v>Base</v>
      </c>
    </row>
    <row r="5" spans="1:5" x14ac:dyDescent="0.2">
      <c r="A5" s="22" t="s">
        <v>46</v>
      </c>
    </row>
    <row r="6" spans="1:5" x14ac:dyDescent="0.2">
      <c r="A6" s="10" t="s">
        <v>47</v>
      </c>
      <c r="B6" s="23"/>
    </row>
    <row r="7" spans="1:5" x14ac:dyDescent="0.2">
      <c r="A7" s="10" t="s">
        <v>48</v>
      </c>
      <c r="B7" s="23"/>
    </row>
    <row r="8" spans="1:5" x14ac:dyDescent="0.2">
      <c r="A8" s="10" t="s">
        <v>49</v>
      </c>
      <c r="B8" s="24"/>
    </row>
    <row r="10" spans="1:5" x14ac:dyDescent="0.2">
      <c r="A10" s="25" t="s">
        <v>50</v>
      </c>
      <c r="B10" s="26" t="s">
        <v>51</v>
      </c>
      <c r="C10" s="26" t="s">
        <v>52</v>
      </c>
      <c r="D10" s="26" t="s">
        <v>53</v>
      </c>
      <c r="E10" s="26" t="s">
        <v>54</v>
      </c>
    </row>
    <row r="12" spans="1:5" x14ac:dyDescent="0.2">
      <c r="A12" s="27" t="s">
        <v>55</v>
      </c>
      <c r="B12" s="28"/>
      <c r="C12" s="28"/>
      <c r="D12" s="28"/>
      <c r="E12" s="28"/>
    </row>
    <row r="13" spans="1:5" x14ac:dyDescent="0.2">
      <c r="A13" s="10" t="s">
        <v>56</v>
      </c>
      <c r="B13" s="29">
        <f>DATE(2026,10,16)</f>
        <v>46311</v>
      </c>
    </row>
    <row r="14" spans="1:5" x14ac:dyDescent="0.2">
      <c r="A14" s="10" t="s">
        <v>57</v>
      </c>
      <c r="B14" s="30">
        <f>IF(ISNUMBER($B$6),$B$6,CHOOSE($B$4,C14,D14,E14))</f>
        <v>0.12</v>
      </c>
      <c r="C14" s="31">
        <v>0.14000000000000001</v>
      </c>
      <c r="D14" s="31">
        <v>0.12</v>
      </c>
      <c r="E14" s="31">
        <v>0.105</v>
      </c>
    </row>
    <row r="15" spans="1:5" x14ac:dyDescent="0.2">
      <c r="A15" s="10" t="s">
        <v>58</v>
      </c>
      <c r="B15" s="30">
        <f t="shared" ref="B15:B27" si="0">CHOOSE($B$4,C15,D15,E15)</f>
        <v>0.21</v>
      </c>
      <c r="C15" s="32">
        <v>0.21</v>
      </c>
      <c r="D15" s="32">
        <v>0.21</v>
      </c>
      <c r="E15" s="32">
        <v>0.21</v>
      </c>
    </row>
    <row r="16" spans="1:5" x14ac:dyDescent="0.2">
      <c r="A16" s="10" t="s">
        <v>59</v>
      </c>
      <c r="B16" s="30">
        <f t="shared" si="0"/>
        <v>0.0375</v>
      </c>
      <c r="C16" s="32">
        <v>3.7499999999999999E-2</v>
      </c>
      <c r="D16" s="32">
        <v>3.7499999999999999E-2</v>
      </c>
      <c r="E16" s="32">
        <v>3.7499999999999999E-2</v>
      </c>
    </row>
    <row r="17" spans="1:5" x14ac:dyDescent="0.2">
      <c r="A17" s="10" t="s">
        <v>60</v>
      </c>
      <c r="B17" s="30">
        <f t="shared" si="0"/>
        <v>0.025</v>
      </c>
      <c r="C17" s="32">
        <v>2.5000000000000001E-2</v>
      </c>
      <c r="D17" s="32">
        <v>2.5000000000000001E-2</v>
      </c>
      <c r="E17" s="32">
        <v>2.5000000000000001E-2</v>
      </c>
    </row>
    <row r="18" spans="1:5" x14ac:dyDescent="0.2">
      <c r="A18" s="10" t="s">
        <v>61</v>
      </c>
      <c r="B18" s="33">
        <f t="shared" si="0"/>
        <v>300</v>
      </c>
      <c r="C18" s="34">
        <v>300</v>
      </c>
      <c r="D18" s="34">
        <v>300</v>
      </c>
      <c r="E18" s="34">
        <v>300</v>
      </c>
    </row>
    <row r="19" spans="1:5" x14ac:dyDescent="0.2">
      <c r="A19" s="10" t="s">
        <v>62</v>
      </c>
      <c r="B19" s="33">
        <f t="shared" si="0"/>
        <v>150</v>
      </c>
      <c r="C19" s="34">
        <v>150</v>
      </c>
      <c r="D19" s="34">
        <v>150</v>
      </c>
      <c r="E19" s="34">
        <v>150</v>
      </c>
    </row>
    <row r="20" spans="1:5" x14ac:dyDescent="0.2">
      <c r="A20" s="10" t="s">
        <v>63</v>
      </c>
      <c r="B20" s="33">
        <f t="shared" si="0"/>
        <v>70</v>
      </c>
      <c r="C20" s="34">
        <v>70</v>
      </c>
      <c r="D20" s="34">
        <v>70</v>
      </c>
      <c r="E20" s="34">
        <v>70</v>
      </c>
    </row>
    <row r="21" spans="1:5" x14ac:dyDescent="0.2">
      <c r="A21" s="10" t="s">
        <v>64</v>
      </c>
      <c r="B21" s="30">
        <f t="shared" si="0"/>
        <v>0.03</v>
      </c>
      <c r="C21" s="32">
        <v>0.03</v>
      </c>
      <c r="D21" s="32">
        <v>0.03</v>
      </c>
      <c r="E21" s="32">
        <v>0.03</v>
      </c>
    </row>
    <row r="22" spans="1:5" x14ac:dyDescent="0.2">
      <c r="A22" s="10" t="s">
        <v>65</v>
      </c>
      <c r="B22" s="30">
        <f t="shared" si="0"/>
        <v>0.12</v>
      </c>
      <c r="C22" s="32">
        <v>0.12</v>
      </c>
      <c r="D22" s="32">
        <v>0.12</v>
      </c>
      <c r="E22" s="32">
        <v>0.12</v>
      </c>
    </row>
    <row r="23" spans="1:5" x14ac:dyDescent="0.2">
      <c r="A23" s="10" t="s">
        <v>66</v>
      </c>
      <c r="B23" s="30">
        <f t="shared" si="0"/>
        <v>0.1</v>
      </c>
      <c r="C23" s="32">
        <v>0.1</v>
      </c>
      <c r="D23" s="32">
        <v>0.1</v>
      </c>
      <c r="E23" s="32">
        <v>0.1</v>
      </c>
    </row>
    <row r="24" spans="1:5" x14ac:dyDescent="0.2">
      <c r="A24" s="10" t="s">
        <v>67</v>
      </c>
      <c r="B24" s="30">
        <f t="shared" si="0"/>
        <v>0</v>
      </c>
      <c r="C24" s="32">
        <v>0</v>
      </c>
      <c r="D24" s="32">
        <v>0</v>
      </c>
      <c r="E24" s="32">
        <v>0</v>
      </c>
    </row>
    <row r="25" spans="1:5" x14ac:dyDescent="0.2">
      <c r="A25" s="10" t="s">
        <v>68</v>
      </c>
      <c r="B25" s="35">
        <f t="shared" si="0"/>
        <v>2041</v>
      </c>
      <c r="C25" s="36">
        <v>2041</v>
      </c>
      <c r="D25" s="36">
        <v>2041</v>
      </c>
      <c r="E25" s="36">
        <v>2041</v>
      </c>
    </row>
    <row r="26" spans="1:5" x14ac:dyDescent="0.2">
      <c r="A26" s="10" t="s">
        <v>69</v>
      </c>
      <c r="B26" s="30">
        <f t="shared" si="0"/>
        <v>0</v>
      </c>
      <c r="C26" s="32">
        <v>0</v>
      </c>
      <c r="D26" s="32">
        <v>0</v>
      </c>
      <c r="E26" s="32">
        <v>0</v>
      </c>
    </row>
    <row r="27" spans="1:5" x14ac:dyDescent="0.2">
      <c r="A27" s="10" t="s">
        <v>70</v>
      </c>
      <c r="B27" s="33">
        <f t="shared" si="0"/>
        <v>30</v>
      </c>
      <c r="C27" s="34">
        <v>30</v>
      </c>
      <c r="D27" s="34">
        <v>30</v>
      </c>
      <c r="E27" s="34">
        <v>30</v>
      </c>
    </row>
    <row r="29" spans="1:5" x14ac:dyDescent="0.2">
      <c r="A29" s="27" t="s">
        <v>71</v>
      </c>
      <c r="B29" s="28"/>
      <c r="C29" s="28"/>
      <c r="D29" s="28"/>
      <c r="E29" s="28"/>
    </row>
    <row r="30" spans="1:5" x14ac:dyDescent="0.2">
      <c r="A30" s="10" t="s">
        <v>72</v>
      </c>
      <c r="B30" s="29">
        <f>DATE(2026,12,12)</f>
        <v>46368</v>
      </c>
    </row>
    <row r="31" spans="1:5" x14ac:dyDescent="0.2">
      <c r="A31" s="10" t="s">
        <v>73</v>
      </c>
      <c r="B31" s="22" t="s">
        <v>74</v>
      </c>
    </row>
    <row r="32" spans="1:5" x14ac:dyDescent="0.2">
      <c r="A32" s="10" t="s">
        <v>75</v>
      </c>
      <c r="B32" s="30">
        <f>IF(ISNUMBER($B$7),$B$7,CHOOSE($B$4,C32,D32,E32))</f>
        <v>0.85</v>
      </c>
      <c r="C32" s="31">
        <v>0.75</v>
      </c>
      <c r="D32" s="31">
        <v>0.85</v>
      </c>
      <c r="E32" s="31">
        <v>0.92</v>
      </c>
    </row>
    <row r="33" spans="1:8" x14ac:dyDescent="0.2">
      <c r="A33" s="10" t="s">
        <v>76</v>
      </c>
      <c r="B33" s="30">
        <f>CHOOSE($B$4,C33,D33,E33)</f>
        <v>0.6</v>
      </c>
      <c r="C33" s="32">
        <v>0.55000000000000004</v>
      </c>
      <c r="D33" s="32">
        <v>0.6</v>
      </c>
      <c r="E33" s="32">
        <v>0.7</v>
      </c>
    </row>
    <row r="34" spans="1:8" x14ac:dyDescent="0.2">
      <c r="A34" s="10" t="s">
        <v>77</v>
      </c>
      <c r="B34" s="35">
        <f>CHOOSE($B$4,C34,D34,E34)</f>
        <v>2</v>
      </c>
      <c r="C34" s="36">
        <v>2</v>
      </c>
      <c r="D34" s="36">
        <v>2</v>
      </c>
      <c r="E34" s="36">
        <v>2</v>
      </c>
    </row>
    <row r="35" spans="1:8" x14ac:dyDescent="0.2">
      <c r="A35" s="10" t="s">
        <v>78</v>
      </c>
      <c r="B35" s="37">
        <f>CHOOSE($B$4,C32,D32,E32)</f>
        <v>0.85</v>
      </c>
    </row>
    <row r="36" spans="1:8" x14ac:dyDescent="0.2">
      <c r="A36" s="10" t="s">
        <v>79</v>
      </c>
      <c r="B36" s="30">
        <f>CHOOSE($B$4,C36,D36,E36)</f>
        <v>0</v>
      </c>
      <c r="C36" s="32">
        <v>0</v>
      </c>
      <c r="D36" s="32">
        <v>0</v>
      </c>
      <c r="E36" s="32">
        <v>0</v>
      </c>
    </row>
    <row r="37" spans="1:8" x14ac:dyDescent="0.2">
      <c r="A37" s="10" t="s">
        <v>80</v>
      </c>
      <c r="B37" s="38">
        <f>1+$B$36*($B$32-$B$35)/$B$35</f>
        <v>1.0</v>
      </c>
    </row>
    <row r="38" spans="1:8" x14ac:dyDescent="0.2">
      <c r="A38" s="10" t="s">
        <v>81</v>
      </c>
      <c r="B38" s="38">
        <f>$B$32+(1-$B$32)*(1-$B$24)</f>
        <v>1.0</v>
      </c>
    </row>
    <row r="40" spans="1:8" x14ac:dyDescent="0.2">
      <c r="A40" s="27" t="s">
        <v>82</v>
      </c>
      <c r="B40" s="28"/>
      <c r="C40" s="28"/>
      <c r="D40" s="28"/>
      <c r="E40" s="28"/>
      <c r="F40" s="28"/>
      <c r="G40" s="28"/>
      <c r="H40" s="28"/>
    </row>
    <row r="41" spans="1:8" x14ac:dyDescent="0.2">
      <c r="A41" s="20" t="s">
        <v>83</v>
      </c>
      <c r="B41" s="39">
        <v>1</v>
      </c>
      <c r="C41" s="39">
        <v>2</v>
      </c>
      <c r="D41" s="39">
        <v>3</v>
      </c>
      <c r="E41" s="39">
        <v>4</v>
      </c>
      <c r="F41" s="39">
        <v>5</v>
      </c>
      <c r="G41" s="39">
        <v>6</v>
      </c>
      <c r="H41" s="39">
        <v>7</v>
      </c>
    </row>
    <row r="42" spans="1:8" x14ac:dyDescent="0.2">
      <c r="A42" s="10" t="s">
        <v>84</v>
      </c>
      <c r="B42" s="40">
        <v>0.1</v>
      </c>
      <c r="C42" s="40">
        <v>0.25</v>
      </c>
      <c r="D42" s="40">
        <v>0.45</v>
      </c>
      <c r="E42" s="40">
        <v>0.65</v>
      </c>
      <c r="F42" s="40">
        <v>0.82</v>
      </c>
      <c r="G42" s="40">
        <v>0.93</v>
      </c>
      <c r="H42" s="40">
        <v>1</v>
      </c>
    </row>
    <row r="43" spans="1:8" x14ac:dyDescent="0.2">
      <c r="A43" s="10" t="s">
        <v>85</v>
      </c>
      <c r="B43" s="40">
        <v>0.15</v>
      </c>
      <c r="C43" s="40">
        <v>0.35</v>
      </c>
      <c r="D43" s="40">
        <v>0.55000000000000004</v>
      </c>
      <c r="E43" s="40">
        <v>0.75</v>
      </c>
      <c r="F43" s="40">
        <v>0.9</v>
      </c>
      <c r="G43" s="40">
        <v>1</v>
      </c>
      <c r="H43" s="40">
        <v>1</v>
      </c>
    </row>
    <row r="44" spans="1:8" x14ac:dyDescent="0.2">
      <c r="A44" s="10" t="s">
        <v>86</v>
      </c>
      <c r="B44" s="40">
        <v>0.9</v>
      </c>
      <c r="C44" s="40">
        <v>0.55000000000000004</v>
      </c>
      <c r="D44" s="40">
        <v>0.4</v>
      </c>
      <c r="E44" s="40">
        <v>0.32</v>
      </c>
      <c r="F44" s="40">
        <v>0.28000000000000003</v>
      </c>
    </row>
    <row r="46" spans="1:8" x14ac:dyDescent="0.2">
      <c r="A46" s="27" t="s">
        <v>87</v>
      </c>
      <c r="B46" s="28"/>
      <c r="C46" s="28"/>
      <c r="D46" s="28"/>
      <c r="E46" s="28"/>
    </row>
    <row r="47" spans="1:8" x14ac:dyDescent="0.2">
      <c r="A47" s="10" t="s">
        <v>88</v>
      </c>
      <c r="B47" s="36">
        <v>2009</v>
      </c>
    </row>
    <row r="48" spans="1:8" x14ac:dyDescent="0.2">
      <c r="A48" s="10" t="s">
        <v>89</v>
      </c>
      <c r="B48" s="33">
        <f>CHOOSE($B$4,C48,D48,E48)</f>
        <v>220</v>
      </c>
      <c r="C48" s="41">
        <v>170</v>
      </c>
      <c r="D48" s="41">
        <v>220</v>
      </c>
      <c r="E48" s="41">
        <v>280</v>
      </c>
    </row>
    <row r="49" spans="1:5" x14ac:dyDescent="0.2">
      <c r="A49" s="10" t="s">
        <v>90</v>
      </c>
      <c r="B49" s="35">
        <f>CHOOSE($B$4,C49,D49,E49)</f>
        <v>2029</v>
      </c>
      <c r="C49" s="36">
        <v>2028</v>
      </c>
      <c r="D49" s="36">
        <v>2029</v>
      </c>
      <c r="E49" s="36">
        <v>2029</v>
      </c>
    </row>
    <row r="50" spans="1:5" x14ac:dyDescent="0.2">
      <c r="A50" s="10" t="s">
        <v>91</v>
      </c>
      <c r="B50" s="42">
        <v>1</v>
      </c>
    </row>
    <row r="51" spans="1:5" x14ac:dyDescent="0.2">
      <c r="A51" s="10" t="s">
        <v>92</v>
      </c>
      <c r="B51" s="32">
        <v>1</v>
      </c>
    </row>
    <row r="52" spans="1:5" x14ac:dyDescent="0.2">
      <c r="A52" s="10" t="s">
        <v>93</v>
      </c>
      <c r="B52" s="32">
        <v>0.06</v>
      </c>
    </row>
    <row r="53" spans="1:5" x14ac:dyDescent="0.2">
      <c r="A53" s="10" t="s">
        <v>94</v>
      </c>
      <c r="B53" s="32">
        <v>0</v>
      </c>
    </row>
    <row r="54" spans="1:5" x14ac:dyDescent="0.2">
      <c r="A54" s="10" t="s">
        <v>95</v>
      </c>
      <c r="B54" s="32">
        <v>0.25</v>
      </c>
    </row>
    <row r="55" spans="1:5" x14ac:dyDescent="0.2">
      <c r="A55" s="10" t="s">
        <v>96</v>
      </c>
      <c r="B55" s="35">
        <f>CHOOSE($B$4,C55,D55,E55)</f>
        <v>2030</v>
      </c>
      <c r="C55" s="36">
        <v>2028</v>
      </c>
      <c r="D55" s="36">
        <v>2030</v>
      </c>
      <c r="E55" s="36">
        <v>2032</v>
      </c>
    </row>
    <row r="56" spans="1:5" x14ac:dyDescent="0.2">
      <c r="A56" s="10" t="s">
        <v>97</v>
      </c>
      <c r="B56" s="32">
        <v>0.6</v>
      </c>
    </row>
    <row r="57" spans="1:5" x14ac:dyDescent="0.2">
      <c r="A57" s="10" t="s">
        <v>98</v>
      </c>
      <c r="B57" s="34">
        <v>147.5</v>
      </c>
    </row>
    <row r="59" spans="1:5" x14ac:dyDescent="0.2">
      <c r="A59" s="27" t="s">
        <v>99</v>
      </c>
      <c r="B59" s="28"/>
      <c r="C59" s="28"/>
      <c r="D59" s="28"/>
      <c r="E59" s="28"/>
    </row>
    <row r="60" spans="1:5" x14ac:dyDescent="0.2">
      <c r="A60" s="10" t="s">
        <v>88</v>
      </c>
      <c r="B60" s="36">
        <v>2026</v>
      </c>
    </row>
    <row r="61" spans="1:5" x14ac:dyDescent="0.2">
      <c r="A61" s="10" t="s">
        <v>89</v>
      </c>
      <c r="B61" s="33">
        <f>CHOOSE($B$4,C61,D61,E61)</f>
        <v>300</v>
      </c>
      <c r="C61" s="41">
        <v>150</v>
      </c>
      <c r="D61" s="41">
        <v>300</v>
      </c>
      <c r="E61" s="41">
        <v>600</v>
      </c>
    </row>
    <row r="62" spans="1:5" x14ac:dyDescent="0.2">
      <c r="A62" s="10" t="s">
        <v>90</v>
      </c>
      <c r="B62" s="35">
        <f>CHOOSE($B$4,C62,D62,E62)</f>
        <v>2032</v>
      </c>
      <c r="C62" s="36">
        <v>2032</v>
      </c>
      <c r="D62" s="36">
        <v>2032</v>
      </c>
      <c r="E62" s="36">
        <v>2032</v>
      </c>
    </row>
    <row r="63" spans="1:5" x14ac:dyDescent="0.2">
      <c r="A63" s="10" t="s">
        <v>91</v>
      </c>
      <c r="B63" s="42">
        <v>1.3</v>
      </c>
    </row>
    <row r="64" spans="1:5" x14ac:dyDescent="0.2">
      <c r="A64" s="10" t="s">
        <v>92</v>
      </c>
      <c r="B64" s="32">
        <v>1</v>
      </c>
    </row>
    <row r="65" spans="1:5" x14ac:dyDescent="0.2">
      <c r="A65" s="10" t="s">
        <v>93</v>
      </c>
      <c r="B65" s="32">
        <v>0.06</v>
      </c>
    </row>
    <row r="66" spans="1:5" x14ac:dyDescent="0.2">
      <c r="A66" s="10" t="s">
        <v>94</v>
      </c>
      <c r="B66" s="32">
        <v>0</v>
      </c>
    </row>
    <row r="67" spans="1:5" x14ac:dyDescent="0.2">
      <c r="A67" s="10" t="s">
        <v>95</v>
      </c>
      <c r="B67" s="32">
        <v>0.3</v>
      </c>
    </row>
    <row r="68" spans="1:5" x14ac:dyDescent="0.2">
      <c r="A68" s="10" t="s">
        <v>96</v>
      </c>
      <c r="B68" s="35">
        <f>CHOOSE($B$4,C68,D68,E68)</f>
        <v>2040</v>
      </c>
      <c r="C68" s="36">
        <v>2038</v>
      </c>
      <c r="D68" s="36">
        <v>2040</v>
      </c>
      <c r="E68" s="36">
        <v>2042</v>
      </c>
    </row>
    <row r="69" spans="1:5" x14ac:dyDescent="0.2">
      <c r="A69" s="10" t="s">
        <v>97</v>
      </c>
      <c r="B69" s="32">
        <v>0.6</v>
      </c>
    </row>
    <row r="70" spans="1:5" x14ac:dyDescent="0.2">
      <c r="A70" s="10" t="s">
        <v>98</v>
      </c>
      <c r="B70" s="34">
        <v>9</v>
      </c>
    </row>
    <row r="72" spans="1:5" x14ac:dyDescent="0.2">
      <c r="A72" s="27" t="s">
        <v>100</v>
      </c>
      <c r="B72" s="28"/>
      <c r="C72" s="28"/>
      <c r="D72" s="28"/>
      <c r="E72" s="28"/>
    </row>
    <row r="73" spans="1:5" x14ac:dyDescent="0.2">
      <c r="A73" s="10" t="s">
        <v>88</v>
      </c>
      <c r="B73" s="36">
        <v>2014</v>
      </c>
    </row>
    <row r="74" spans="1:5" x14ac:dyDescent="0.2">
      <c r="A74" s="10" t="s">
        <v>89</v>
      </c>
      <c r="B74" s="33">
        <f>CHOOSE($B$4,C74,D74,E74)</f>
        <v>40</v>
      </c>
      <c r="C74" s="41">
        <v>40</v>
      </c>
      <c r="D74" s="41">
        <v>40</v>
      </c>
      <c r="E74" s="41">
        <v>40</v>
      </c>
    </row>
    <row r="75" spans="1:5" x14ac:dyDescent="0.2">
      <c r="A75" s="10" t="s">
        <v>90</v>
      </c>
      <c r="B75" s="35">
        <f>CHOOSE($B$4,C75,D75,E75)</f>
        <v>2026</v>
      </c>
      <c r="C75" s="36">
        <v>2026</v>
      </c>
      <c r="D75" s="36">
        <v>2026</v>
      </c>
      <c r="E75" s="36">
        <v>2026</v>
      </c>
    </row>
    <row r="76" spans="1:5" x14ac:dyDescent="0.2">
      <c r="A76" s="10" t="s">
        <v>91</v>
      </c>
      <c r="B76" s="42">
        <v>1</v>
      </c>
    </row>
    <row r="77" spans="1:5" x14ac:dyDescent="0.2">
      <c r="A77" s="10" t="s">
        <v>92</v>
      </c>
      <c r="B77" s="32">
        <v>1</v>
      </c>
    </row>
    <row r="78" spans="1:5" x14ac:dyDescent="0.2">
      <c r="A78" s="10" t="s">
        <v>93</v>
      </c>
      <c r="B78" s="32">
        <v>0.08</v>
      </c>
    </row>
    <row r="79" spans="1:5" x14ac:dyDescent="0.2">
      <c r="A79" s="10" t="s">
        <v>94</v>
      </c>
      <c r="B79" s="32">
        <v>0</v>
      </c>
    </row>
    <row r="80" spans="1:5" x14ac:dyDescent="0.2">
      <c r="A80" s="10" t="s">
        <v>95</v>
      </c>
      <c r="B80" s="32">
        <v>0.2</v>
      </c>
    </row>
    <row r="81" spans="1:5" x14ac:dyDescent="0.2">
      <c r="A81" s="10" t="s">
        <v>96</v>
      </c>
      <c r="B81" s="35">
        <f>CHOOSE($B$4,C81,D81,E81)</f>
        <v>2026</v>
      </c>
      <c r="C81" s="36">
        <v>2026</v>
      </c>
      <c r="D81" s="36">
        <v>2026</v>
      </c>
      <c r="E81" s="36">
        <v>2026</v>
      </c>
    </row>
    <row r="82" spans="1:5" x14ac:dyDescent="0.2">
      <c r="A82" s="10" t="s">
        <v>97</v>
      </c>
      <c r="B82" s="30">
        <f>CHOOSE($B$4,C82,D82,E82)</f>
        <v>0.25</v>
      </c>
      <c r="C82" s="32">
        <v>0.35</v>
      </c>
      <c r="D82" s="32">
        <v>0.25</v>
      </c>
      <c r="E82" s="32">
        <v>0.15</v>
      </c>
    </row>
    <row r="83" spans="1:5" x14ac:dyDescent="0.2">
      <c r="A83" s="10" t="s">
        <v>98</v>
      </c>
      <c r="B83" s="34">
        <v>41.5</v>
      </c>
    </row>
    <row r="85" spans="1:5" x14ac:dyDescent="0.2">
      <c r="A85" s="27" t="s">
        <v>101</v>
      </c>
      <c r="B85" s="28"/>
      <c r="C85" s="28"/>
      <c r="D85" s="28"/>
      <c r="E85" s="28"/>
    </row>
    <row r="86" spans="1:5" x14ac:dyDescent="0.2">
      <c r="A86" s="10" t="s">
        <v>88</v>
      </c>
      <c r="B86" s="36">
        <v>2021</v>
      </c>
    </row>
    <row r="87" spans="1:5" x14ac:dyDescent="0.2">
      <c r="A87" s="10" t="s">
        <v>89</v>
      </c>
      <c r="B87" s="33">
        <f>CHOOSE($B$4,C87,D87,E87)</f>
        <v>45</v>
      </c>
      <c r="C87" s="41">
        <v>30</v>
      </c>
      <c r="D87" s="41">
        <v>45</v>
      </c>
      <c r="E87" s="41">
        <v>60</v>
      </c>
    </row>
    <row r="88" spans="1:5" x14ac:dyDescent="0.2">
      <c r="A88" s="10" t="s">
        <v>90</v>
      </c>
      <c r="B88" s="35">
        <f>CHOOSE($B$4,C88,D88,E88)</f>
        <v>2029</v>
      </c>
      <c r="C88" s="36">
        <v>2029</v>
      </c>
      <c r="D88" s="36">
        <v>2029</v>
      </c>
      <c r="E88" s="36">
        <v>2029</v>
      </c>
    </row>
    <row r="89" spans="1:5" x14ac:dyDescent="0.2">
      <c r="A89" s="10" t="s">
        <v>91</v>
      </c>
      <c r="B89" s="42">
        <v>1</v>
      </c>
    </row>
    <row r="90" spans="1:5" x14ac:dyDescent="0.2">
      <c r="A90" s="10" t="s">
        <v>92</v>
      </c>
      <c r="B90" s="32">
        <v>1</v>
      </c>
    </row>
    <row r="91" spans="1:5" x14ac:dyDescent="0.2">
      <c r="A91" s="10" t="s">
        <v>93</v>
      </c>
      <c r="B91" s="32">
        <v>0.08</v>
      </c>
    </row>
    <row r="92" spans="1:5" x14ac:dyDescent="0.2">
      <c r="A92" s="10" t="s">
        <v>94</v>
      </c>
      <c r="B92" s="32">
        <v>0</v>
      </c>
    </row>
    <row r="93" spans="1:5" x14ac:dyDescent="0.2">
      <c r="A93" s="10" t="s">
        <v>95</v>
      </c>
      <c r="B93" s="32">
        <v>0.3</v>
      </c>
    </row>
    <row r="94" spans="1:5" x14ac:dyDescent="0.2">
      <c r="A94" s="10" t="s">
        <v>96</v>
      </c>
      <c r="B94" s="35">
        <f>CHOOSE($B$4,C94,D94,E94)</f>
        <v>2032</v>
      </c>
      <c r="C94" s="36">
        <v>2032</v>
      </c>
      <c r="D94" s="36">
        <v>2032</v>
      </c>
      <c r="E94" s="36">
        <v>2032</v>
      </c>
    </row>
    <row r="95" spans="1:5" x14ac:dyDescent="0.2">
      <c r="A95" s="10" t="s">
        <v>97</v>
      </c>
      <c r="B95" s="32">
        <v>0.6</v>
      </c>
    </row>
    <row r="96" spans="1:5" x14ac:dyDescent="0.2">
      <c r="A96" s="10" t="s">
        <v>98</v>
      </c>
      <c r="B96" s="34">
        <v>31.1</v>
      </c>
    </row>
    <row r="98" spans="1:5" x14ac:dyDescent="0.2">
      <c r="A98" s="27" t="s">
        <v>102</v>
      </c>
      <c r="B98" s="28"/>
      <c r="C98" s="28"/>
      <c r="D98" s="28"/>
      <c r="E98" s="28"/>
    </row>
    <row r="99" spans="1:5" x14ac:dyDescent="0.2">
      <c r="A99" s="10" t="s">
        <v>88</v>
      </c>
      <c r="B99" s="36">
        <v>2026</v>
      </c>
    </row>
    <row r="100" spans="1:5" x14ac:dyDescent="0.2">
      <c r="A100" s="10" t="s">
        <v>89</v>
      </c>
      <c r="B100" s="33">
        <f>CHOOSE($B$4,C100,D100,E100)</f>
        <v>100</v>
      </c>
      <c r="C100" s="41">
        <v>40</v>
      </c>
      <c r="D100" s="41">
        <v>100</v>
      </c>
      <c r="E100" s="41">
        <v>200</v>
      </c>
    </row>
    <row r="101" spans="1:5" x14ac:dyDescent="0.2">
      <c r="A101" s="10" t="s">
        <v>90</v>
      </c>
      <c r="B101" s="35">
        <f>CHOOSE($B$4,C101,D101,E101)</f>
        <v>2031</v>
      </c>
      <c r="C101" s="36">
        <v>2031</v>
      </c>
      <c r="D101" s="36">
        <v>2031</v>
      </c>
      <c r="E101" s="36">
        <v>2031</v>
      </c>
    </row>
    <row r="102" spans="1:5" x14ac:dyDescent="0.2">
      <c r="A102" s="10" t="s">
        <v>91</v>
      </c>
      <c r="B102" s="42">
        <v>1.3</v>
      </c>
    </row>
    <row r="103" spans="1:5" x14ac:dyDescent="0.2">
      <c r="A103" s="10" t="s">
        <v>92</v>
      </c>
      <c r="B103" s="32">
        <v>1</v>
      </c>
    </row>
    <row r="104" spans="1:5" x14ac:dyDescent="0.2">
      <c r="A104" s="10" t="s">
        <v>93</v>
      </c>
      <c r="B104" s="32">
        <v>0.06</v>
      </c>
    </row>
    <row r="105" spans="1:5" x14ac:dyDescent="0.2">
      <c r="A105" s="10" t="s">
        <v>94</v>
      </c>
      <c r="B105" s="32">
        <v>0</v>
      </c>
    </row>
    <row r="106" spans="1:5" x14ac:dyDescent="0.2">
      <c r="A106" s="10" t="s">
        <v>95</v>
      </c>
      <c r="B106" s="32">
        <v>0.35</v>
      </c>
    </row>
    <row r="107" spans="1:5" x14ac:dyDescent="0.2">
      <c r="A107" s="10" t="s">
        <v>96</v>
      </c>
      <c r="B107" s="35">
        <f>CHOOSE($B$4,C107,D107,E107)</f>
        <v>2038</v>
      </c>
      <c r="C107" s="36">
        <v>2038</v>
      </c>
      <c r="D107" s="36">
        <v>2038</v>
      </c>
      <c r="E107" s="36">
        <v>2038</v>
      </c>
    </row>
    <row r="108" spans="1:5" x14ac:dyDescent="0.2">
      <c r="A108" s="10" t="s">
        <v>97</v>
      </c>
      <c r="B108" s="32">
        <v>0.6</v>
      </c>
    </row>
    <row r="109" spans="1:5" x14ac:dyDescent="0.2">
      <c r="A109" s="10" t="s">
        <v>98</v>
      </c>
      <c r="B109" s="34">
        <v>11</v>
      </c>
    </row>
    <row r="111" spans="1:5" x14ac:dyDescent="0.2">
      <c r="A111" s="27" t="s">
        <v>103</v>
      </c>
      <c r="B111" s="28"/>
      <c r="C111" s="28"/>
      <c r="D111" s="28"/>
      <c r="E111" s="28"/>
    </row>
    <row r="112" spans="1:5" x14ac:dyDescent="0.2">
      <c r="A112" s="10" t="s">
        <v>104</v>
      </c>
      <c r="B112" s="35">
        <f>CHOOSE($B$4,C112,D112,E112)</f>
        <v>2027</v>
      </c>
      <c r="C112" s="36">
        <v>2027</v>
      </c>
      <c r="D112" s="36">
        <v>2027</v>
      </c>
      <c r="E112" s="36">
        <v>2027</v>
      </c>
    </row>
    <row r="113" spans="1:9" x14ac:dyDescent="0.2">
      <c r="A113" s="10" t="s">
        <v>89</v>
      </c>
      <c r="B113" s="33">
        <f>IF(ISNUMBER($B$8),$B$8,CHOOSE($B$4,C113,D113,E113))</f>
        <v>175</v>
      </c>
      <c r="C113" s="41">
        <v>80</v>
      </c>
      <c r="D113" s="41">
        <v>175</v>
      </c>
      <c r="E113" s="41">
        <v>350</v>
      </c>
    </row>
    <row r="114" spans="1:9" x14ac:dyDescent="0.2">
      <c r="A114" s="10" t="s">
        <v>105</v>
      </c>
      <c r="B114" s="30">
        <f>$B$32</f>
        <v>0.85</v>
      </c>
    </row>
    <row r="115" spans="1:9" x14ac:dyDescent="0.2">
      <c r="A115" s="10" t="s">
        <v>92</v>
      </c>
      <c r="B115" s="32">
        <v>1</v>
      </c>
    </row>
    <row r="116" spans="1:9" x14ac:dyDescent="0.2">
      <c r="A116" s="10" t="s">
        <v>93</v>
      </c>
      <c r="B116" s="32">
        <v>0.12</v>
      </c>
    </row>
    <row r="117" spans="1:9" x14ac:dyDescent="0.2">
      <c r="A117" s="10" t="s">
        <v>94</v>
      </c>
      <c r="B117" s="32">
        <v>0.13</v>
      </c>
    </row>
    <row r="118" spans="1:9" x14ac:dyDescent="0.2">
      <c r="A118" s="10" t="s">
        <v>95</v>
      </c>
      <c r="B118" s="32">
        <v>0.3</v>
      </c>
    </row>
    <row r="119" spans="1:9" x14ac:dyDescent="0.2">
      <c r="A119" s="10" t="s">
        <v>106</v>
      </c>
      <c r="B119" s="34">
        <v>10</v>
      </c>
    </row>
    <row r="120" spans="1:9" x14ac:dyDescent="0.2">
      <c r="A120" s="10" t="s">
        <v>107</v>
      </c>
      <c r="B120" s="36">
        <v>2</v>
      </c>
    </row>
    <row r="121" spans="1:9" x14ac:dyDescent="0.2">
      <c r="A121" s="10" t="s">
        <v>96</v>
      </c>
      <c r="B121" s="35">
        <f>CHOOSE($B$4,C121,D121,E121)</f>
        <v>2039</v>
      </c>
      <c r="C121" s="36">
        <v>2039</v>
      </c>
      <c r="D121" s="36">
        <v>2039</v>
      </c>
      <c r="E121" s="36">
        <v>2039</v>
      </c>
    </row>
    <row r="122" spans="1:9" x14ac:dyDescent="0.2">
      <c r="A122" s="10" t="s">
        <v>97</v>
      </c>
      <c r="B122" s="32">
        <v>0.5</v>
      </c>
    </row>
    <row r="123" spans="1:9" x14ac:dyDescent="0.2">
      <c r="A123" s="22" t="s">
        <v>108</v>
      </c>
      <c r="B123" s="39">
        <v>2027</v>
      </c>
      <c r="C123" s="39">
        <v>2028</v>
      </c>
      <c r="D123" s="39">
        <v>2029</v>
      </c>
      <c r="E123" s="39">
        <v>2030</v>
      </c>
      <c r="F123" s="39">
        <v>2031</v>
      </c>
      <c r="G123" s="39">
        <v>2032</v>
      </c>
      <c r="H123" s="39">
        <v>2033</v>
      </c>
      <c r="I123" s="39">
        <v>2034</v>
      </c>
    </row>
    <row r="124" spans="1:9" x14ac:dyDescent="0.2">
      <c r="A124" s="10" t="s">
        <v>109</v>
      </c>
      <c r="B124" s="34">
        <v>5</v>
      </c>
      <c r="C124" s="34">
        <v>5</v>
      </c>
      <c r="D124" s="34">
        <v>0</v>
      </c>
      <c r="E124" s="34">
        <v>0</v>
      </c>
      <c r="F124" s="34">
        <v>0</v>
      </c>
      <c r="G124" s="34">
        <v>0</v>
      </c>
      <c r="H124" s="34">
        <v>0</v>
      </c>
      <c r="I124" s="34">
        <v>0</v>
      </c>
    </row>
    <row r="125" spans="1:9" x14ac:dyDescent="0.2">
      <c r="A125" s="10" t="s">
        <v>110</v>
      </c>
      <c r="B125" s="40">
        <v>1</v>
      </c>
      <c r="C125" s="40">
        <v>1</v>
      </c>
      <c r="D125" s="40">
        <v>1</v>
      </c>
      <c r="E125" s="40">
        <v>1</v>
      </c>
      <c r="F125" s="40">
        <v>1</v>
      </c>
      <c r="G125" s="40">
        <v>1</v>
      </c>
      <c r="H125" s="40">
        <v>1</v>
      </c>
      <c r="I125" s="40">
        <v>1</v>
      </c>
    </row>
    <row r="127" spans="1:9" x14ac:dyDescent="0.2">
      <c r="A127" s="27" t="s">
        <v>111</v>
      </c>
      <c r="B127" s="28"/>
      <c r="C127" s="28"/>
      <c r="D127" s="28"/>
      <c r="E127" s="28"/>
    </row>
    <row r="128" spans="1:9" x14ac:dyDescent="0.2">
      <c r="A128" s="10" t="s">
        <v>104</v>
      </c>
      <c r="B128" s="35">
        <f>CHOOSE($B$4,C128,D128,E128)</f>
        <v>2028</v>
      </c>
      <c r="C128" s="36">
        <v>2028</v>
      </c>
      <c r="D128" s="36">
        <v>2028</v>
      </c>
      <c r="E128" s="36">
        <v>2028</v>
      </c>
    </row>
    <row r="129" spans="1:9" x14ac:dyDescent="0.2">
      <c r="A129" s="10" t="s">
        <v>89</v>
      </c>
      <c r="B129" s="33">
        <f>CHOOSE($B$4,C129,D129,E129)</f>
        <v>400</v>
      </c>
      <c r="C129" s="41">
        <v>150</v>
      </c>
      <c r="D129" s="41">
        <v>400</v>
      </c>
      <c r="E129" s="41">
        <v>800</v>
      </c>
    </row>
    <row r="130" spans="1:9" x14ac:dyDescent="0.2">
      <c r="A130" s="10" t="s">
        <v>112</v>
      </c>
      <c r="B130" s="30">
        <f>CHOOSE($B$4,C130,D130,E130)</f>
        <v>0.3</v>
      </c>
      <c r="C130" s="31">
        <v>0.2</v>
      </c>
      <c r="D130" s="31">
        <v>0.3</v>
      </c>
      <c r="E130" s="31">
        <v>0.4</v>
      </c>
    </row>
    <row r="131" spans="1:9" x14ac:dyDescent="0.2">
      <c r="A131" s="10" t="s">
        <v>92</v>
      </c>
      <c r="B131" s="32">
        <v>1</v>
      </c>
    </row>
    <row r="132" spans="1:9" x14ac:dyDescent="0.2">
      <c r="A132" s="10" t="s">
        <v>93</v>
      </c>
      <c r="B132" s="32">
        <v>0.06</v>
      </c>
    </row>
    <row r="133" spans="1:9" x14ac:dyDescent="0.2">
      <c r="A133" s="10" t="s">
        <v>94</v>
      </c>
      <c r="B133" s="32">
        <v>0</v>
      </c>
    </row>
    <row r="134" spans="1:9" x14ac:dyDescent="0.2">
      <c r="A134" s="10" t="s">
        <v>95</v>
      </c>
      <c r="B134" s="32">
        <v>0.35</v>
      </c>
    </row>
    <row r="135" spans="1:9" x14ac:dyDescent="0.2">
      <c r="A135" s="10" t="s">
        <v>106</v>
      </c>
      <c r="B135" s="34">
        <v>30</v>
      </c>
    </row>
    <row r="136" spans="1:9" x14ac:dyDescent="0.2">
      <c r="A136" s="10" t="s">
        <v>107</v>
      </c>
      <c r="B136" s="36">
        <v>1</v>
      </c>
    </row>
    <row r="137" spans="1:9" x14ac:dyDescent="0.2">
      <c r="A137" s="10" t="s">
        <v>96</v>
      </c>
      <c r="B137" s="35">
        <f>CHOOSE($B$4,C137,D137,E137)</f>
        <v>2038</v>
      </c>
      <c r="C137" s="36">
        <v>2038</v>
      </c>
      <c r="D137" s="36">
        <v>2038</v>
      </c>
      <c r="E137" s="36">
        <v>2038</v>
      </c>
    </row>
    <row r="138" spans="1:9" x14ac:dyDescent="0.2">
      <c r="A138" s="10" t="s">
        <v>97</v>
      </c>
      <c r="B138" s="32">
        <v>0.6</v>
      </c>
    </row>
    <row r="139" spans="1:9" x14ac:dyDescent="0.2">
      <c r="A139" s="22" t="s">
        <v>108</v>
      </c>
      <c r="B139" s="39">
        <v>2027</v>
      </c>
      <c r="C139" s="39">
        <v>2028</v>
      </c>
      <c r="D139" s="39">
        <v>2029</v>
      </c>
      <c r="E139" s="39">
        <v>2030</v>
      </c>
      <c r="F139" s="39">
        <v>2031</v>
      </c>
      <c r="G139" s="39">
        <v>2032</v>
      </c>
      <c r="H139" s="39">
        <v>2033</v>
      </c>
      <c r="I139" s="39">
        <v>2034</v>
      </c>
    </row>
    <row r="140" spans="1:9" x14ac:dyDescent="0.2">
      <c r="A140" s="10" t="s">
        <v>109</v>
      </c>
      <c r="B140" s="34">
        <v>10</v>
      </c>
      <c r="C140" s="34">
        <v>0</v>
      </c>
      <c r="D140" s="34">
        <v>0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</row>
    <row r="141" spans="1:9" x14ac:dyDescent="0.2">
      <c r="A141" s="10" t="s">
        <v>110</v>
      </c>
      <c r="B141" s="40">
        <v>1</v>
      </c>
      <c r="C141" s="40">
        <v>1</v>
      </c>
      <c r="D141" s="40">
        <v>1</v>
      </c>
      <c r="E141" s="40">
        <v>1</v>
      </c>
      <c r="F141" s="40">
        <v>1</v>
      </c>
      <c r="G141" s="40">
        <v>1</v>
      </c>
      <c r="H141" s="40">
        <v>1</v>
      </c>
      <c r="I141" s="40">
        <v>1</v>
      </c>
    </row>
    <row r="143" spans="1:9" x14ac:dyDescent="0.2">
      <c r="A143" s="27" t="s">
        <v>113</v>
      </c>
      <c r="B143" s="28"/>
      <c r="C143" s="28"/>
      <c r="D143" s="28"/>
      <c r="E143" s="28"/>
    </row>
    <row r="144" spans="1:9" x14ac:dyDescent="0.2">
      <c r="A144" s="10" t="s">
        <v>104</v>
      </c>
      <c r="B144" s="35">
        <f>CHOOSE($B$4,C144,D144,E144)</f>
        <v>2028</v>
      </c>
      <c r="C144" s="36">
        <v>2028</v>
      </c>
      <c r="D144" s="36">
        <v>2028</v>
      </c>
      <c r="E144" s="36">
        <v>2028</v>
      </c>
    </row>
    <row r="145" spans="1:9" x14ac:dyDescent="0.2">
      <c r="A145" s="10" t="s">
        <v>89</v>
      </c>
      <c r="B145" s="33">
        <f>CHOOSE($B$4,C145,D145,E145)</f>
        <v>400</v>
      </c>
      <c r="C145" s="41">
        <v>150</v>
      </c>
      <c r="D145" s="41">
        <v>400</v>
      </c>
      <c r="E145" s="41">
        <v>800</v>
      </c>
    </row>
    <row r="146" spans="1:9" x14ac:dyDescent="0.2">
      <c r="A146" s="10" t="s">
        <v>112</v>
      </c>
      <c r="B146" s="30">
        <f>CHOOSE($B$4,C146,D146,E146)</f>
        <v>0.15</v>
      </c>
      <c r="C146" s="31">
        <v>0.1</v>
      </c>
      <c r="D146" s="31">
        <v>0.15</v>
      </c>
      <c r="E146" s="31">
        <v>0.2</v>
      </c>
    </row>
    <row r="147" spans="1:9" x14ac:dyDescent="0.2">
      <c r="A147" s="10" t="s">
        <v>92</v>
      </c>
      <c r="B147" s="32">
        <v>1</v>
      </c>
    </row>
    <row r="148" spans="1:9" x14ac:dyDescent="0.2">
      <c r="A148" s="10" t="s">
        <v>93</v>
      </c>
      <c r="B148" s="32">
        <v>0.05</v>
      </c>
    </row>
    <row r="149" spans="1:9" x14ac:dyDescent="0.2">
      <c r="A149" s="10" t="s">
        <v>94</v>
      </c>
      <c r="B149" s="32">
        <v>0.05</v>
      </c>
    </row>
    <row r="150" spans="1:9" x14ac:dyDescent="0.2">
      <c r="A150" s="10" t="s">
        <v>95</v>
      </c>
      <c r="B150" s="32">
        <v>0.35</v>
      </c>
    </row>
    <row r="151" spans="1:9" x14ac:dyDescent="0.2">
      <c r="A151" s="10" t="s">
        <v>106</v>
      </c>
      <c r="B151" s="34">
        <v>25</v>
      </c>
    </row>
    <row r="152" spans="1:9" x14ac:dyDescent="0.2">
      <c r="A152" s="10" t="s">
        <v>107</v>
      </c>
      <c r="B152" s="36">
        <v>1</v>
      </c>
    </row>
    <row r="153" spans="1:9" x14ac:dyDescent="0.2">
      <c r="A153" s="10" t="s">
        <v>96</v>
      </c>
      <c r="B153" s="35">
        <f>CHOOSE($B$4,C153,D153,E153)</f>
        <v>2040</v>
      </c>
      <c r="C153" s="36">
        <v>2040</v>
      </c>
      <c r="D153" s="36">
        <v>2040</v>
      </c>
      <c r="E153" s="36">
        <v>2040</v>
      </c>
    </row>
    <row r="154" spans="1:9" x14ac:dyDescent="0.2">
      <c r="A154" s="10" t="s">
        <v>97</v>
      </c>
      <c r="B154" s="32">
        <v>0.6</v>
      </c>
    </row>
    <row r="155" spans="1:9" x14ac:dyDescent="0.2">
      <c r="A155" s="22" t="s">
        <v>108</v>
      </c>
      <c r="B155" s="39">
        <v>2027</v>
      </c>
      <c r="C155" s="39">
        <v>2028</v>
      </c>
      <c r="D155" s="39">
        <v>2029</v>
      </c>
      <c r="E155" s="39">
        <v>2030</v>
      </c>
      <c r="F155" s="39">
        <v>2031</v>
      </c>
      <c r="G155" s="39">
        <v>2032</v>
      </c>
      <c r="H155" s="39">
        <v>2033</v>
      </c>
      <c r="I155" s="39">
        <v>2034</v>
      </c>
    </row>
    <row r="156" spans="1:9" x14ac:dyDescent="0.2">
      <c r="A156" s="10" t="s">
        <v>109</v>
      </c>
      <c r="B156" s="34">
        <v>15</v>
      </c>
      <c r="C156" s="34">
        <v>0</v>
      </c>
      <c r="D156" s="34">
        <v>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</row>
    <row r="157" spans="1:9" x14ac:dyDescent="0.2">
      <c r="A157" s="10" t="s">
        <v>110</v>
      </c>
      <c r="B157" s="40">
        <v>1</v>
      </c>
      <c r="C157" s="40">
        <v>1</v>
      </c>
      <c r="D157" s="40">
        <v>1</v>
      </c>
      <c r="E157" s="40">
        <v>1</v>
      </c>
      <c r="F157" s="40">
        <v>1</v>
      </c>
      <c r="G157" s="40">
        <v>1</v>
      </c>
      <c r="H157" s="40">
        <v>1</v>
      </c>
      <c r="I157" s="40">
        <v>1</v>
      </c>
    </row>
    <row r="159" spans="1:9" x14ac:dyDescent="0.2">
      <c r="A159" s="27" t="s">
        <v>114</v>
      </c>
      <c r="B159" s="28"/>
      <c r="C159" s="28"/>
      <c r="D159" s="28"/>
      <c r="E159" s="28"/>
    </row>
    <row r="160" spans="1:9" x14ac:dyDescent="0.2">
      <c r="A160" s="10" t="s">
        <v>104</v>
      </c>
      <c r="B160" s="35">
        <f>CHOOSE($B$4,C160,D160,E160)</f>
        <v>2028</v>
      </c>
      <c r="C160" s="36">
        <v>2028</v>
      </c>
      <c r="D160" s="36">
        <v>2028</v>
      </c>
      <c r="E160" s="36">
        <v>2028</v>
      </c>
    </row>
    <row r="161" spans="1:9" x14ac:dyDescent="0.2">
      <c r="A161" s="10" t="s">
        <v>89</v>
      </c>
      <c r="B161" s="33">
        <f>CHOOSE($B$4,C161,D161,E161)</f>
        <v>200</v>
      </c>
      <c r="C161" s="41">
        <v>100</v>
      </c>
      <c r="D161" s="41">
        <v>200</v>
      </c>
      <c r="E161" s="41">
        <v>400</v>
      </c>
    </row>
    <row r="162" spans="1:9" x14ac:dyDescent="0.2">
      <c r="A162" s="10" t="s">
        <v>112</v>
      </c>
      <c r="B162" s="30">
        <f>CHOOSE($B$4,C162,D162,E162)</f>
        <v>0.35</v>
      </c>
      <c r="C162" s="31">
        <v>0.25</v>
      </c>
      <c r="D162" s="31">
        <v>0.35</v>
      </c>
      <c r="E162" s="31">
        <v>0.45</v>
      </c>
    </row>
    <row r="163" spans="1:9" x14ac:dyDescent="0.2">
      <c r="A163" s="10" t="s">
        <v>92</v>
      </c>
      <c r="B163" s="32">
        <v>1</v>
      </c>
    </row>
    <row r="164" spans="1:9" x14ac:dyDescent="0.2">
      <c r="A164" s="10" t="s">
        <v>93</v>
      </c>
      <c r="B164" s="32">
        <v>0.06</v>
      </c>
    </row>
    <row r="165" spans="1:9" x14ac:dyDescent="0.2">
      <c r="A165" s="10" t="s">
        <v>94</v>
      </c>
      <c r="B165" s="32">
        <v>0</v>
      </c>
    </row>
    <row r="166" spans="1:9" x14ac:dyDescent="0.2">
      <c r="A166" s="10" t="s">
        <v>95</v>
      </c>
      <c r="B166" s="32">
        <v>0.2</v>
      </c>
    </row>
    <row r="167" spans="1:9" x14ac:dyDescent="0.2">
      <c r="A167" s="10" t="s">
        <v>106</v>
      </c>
      <c r="B167" s="34">
        <v>10</v>
      </c>
    </row>
    <row r="168" spans="1:9" x14ac:dyDescent="0.2">
      <c r="A168" s="10" t="s">
        <v>107</v>
      </c>
      <c r="B168" s="36">
        <v>1</v>
      </c>
    </row>
    <row r="169" spans="1:9" x14ac:dyDescent="0.2">
      <c r="A169" s="10" t="s">
        <v>96</v>
      </c>
      <c r="B169" s="35">
        <f>CHOOSE($B$4,C169,D169,E169)</f>
        <v>2040</v>
      </c>
      <c r="C169" s="36">
        <v>2038</v>
      </c>
      <c r="D169" s="36">
        <v>2040</v>
      </c>
      <c r="E169" s="36">
        <v>2042</v>
      </c>
    </row>
    <row r="170" spans="1:9" x14ac:dyDescent="0.2">
      <c r="A170" s="10" t="s">
        <v>97</v>
      </c>
      <c r="B170" s="32">
        <v>0.6</v>
      </c>
    </row>
    <row r="171" spans="1:9" x14ac:dyDescent="0.2">
      <c r="A171" s="22" t="s">
        <v>108</v>
      </c>
      <c r="B171" s="39">
        <v>2027</v>
      </c>
      <c r="C171" s="39">
        <v>2028</v>
      </c>
      <c r="D171" s="39">
        <v>2029</v>
      </c>
      <c r="E171" s="39">
        <v>2030</v>
      </c>
      <c r="F171" s="39">
        <v>2031</v>
      </c>
      <c r="G171" s="39">
        <v>2032</v>
      </c>
      <c r="H171" s="39">
        <v>2033</v>
      </c>
      <c r="I171" s="39">
        <v>2034</v>
      </c>
    </row>
    <row r="172" spans="1:9" x14ac:dyDescent="0.2">
      <c r="A172" s="10" t="s">
        <v>109</v>
      </c>
      <c r="B172" s="34">
        <v>15</v>
      </c>
      <c r="C172" s="34">
        <v>0</v>
      </c>
      <c r="D172" s="34">
        <v>0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</row>
    <row r="173" spans="1:9" x14ac:dyDescent="0.2">
      <c r="A173" s="10" t="s">
        <v>110</v>
      </c>
      <c r="B173" s="40">
        <v>1</v>
      </c>
      <c r="C173" s="40">
        <v>1</v>
      </c>
      <c r="D173" s="40">
        <v>1</v>
      </c>
      <c r="E173" s="40">
        <v>1</v>
      </c>
      <c r="F173" s="40">
        <v>1</v>
      </c>
      <c r="G173" s="40">
        <v>1</v>
      </c>
      <c r="H173" s="40">
        <v>1</v>
      </c>
      <c r="I173" s="40">
        <v>1</v>
      </c>
    </row>
    <row r="176" spans="1:9" ht="18" x14ac:dyDescent="0.25">
      <c r="A176" s="43" t="s">
        <v>115</v>
      </c>
    </row>
    <row r="178" spans="1:8" x14ac:dyDescent="0.2">
      <c r="A178" s="27" t="s">
        <v>116</v>
      </c>
    </row>
    <row r="179" spans="1:8" x14ac:dyDescent="0.2">
      <c r="A179" s="10" t="s">
        <v>10</v>
      </c>
      <c r="B179" s="39" t="s">
        <v>117</v>
      </c>
      <c r="C179" s="39" t="s">
        <v>118</v>
      </c>
      <c r="D179" s="39" t="s">
        <v>119</v>
      </c>
      <c r="E179" s="39" t="s">
        <v>8</v>
      </c>
      <c r="F179" s="39" t="s">
        <v>120</v>
      </c>
      <c r="G179" s="39" t="s">
        <v>121</v>
      </c>
      <c r="H179" s="39" t="s">
        <v>122</v>
      </c>
    </row>
    <row r="180" spans="1:8" x14ac:dyDescent="0.2">
      <c r="A180" s="22" t="s">
        <v>123</v>
      </c>
      <c r="C180" s="44">
        <f>NPV!C31</f>
        <v>824.8773468642072</v>
      </c>
      <c r="D180" s="45">
        <f>NPV!C43</f>
        <v>13.314826577100533</v>
      </c>
      <c r="E180" s="46">
        <f>NPV!C45</f>
        <v>2.193003975323869</v>
      </c>
      <c r="F180" s="45">
        <f>NPV!C57</f>
        <v>5.0786143511203985</v>
      </c>
      <c r="G180" s="47">
        <f>$B$32</f>
        <v>0.85</v>
      </c>
      <c r="H180" s="48">
        <f>$B$14</f>
        <v>0.12</v>
      </c>
    </row>
    <row r="181" spans="1:8" x14ac:dyDescent="0.2">
      <c r="A181" s="20" t="s">
        <v>52</v>
      </c>
      <c r="B181" s="49">
        <v>1</v>
      </c>
      <c r="C181" s="50">
        <f t="dataTable" ref="C181:H183" dt2D="0" dtr="0" r1="B4"/>
        <v>-493.34894874548365</v>
      </c>
      <c r="D181" s="51">
        <v>-8.15956043676133</v>
      </c>
      <c r="E181" s="52">
        <v>-2.956729121525499</v>
      </c>
      <c r="F181" s="51">
        <v>1.8337345318977065</v>
      </c>
      <c r="G181" s="53">
        <v>0.75</v>
      </c>
      <c r="H181" s="52">
        <v>0.14</v>
      </c>
    </row>
    <row r="182" spans="1:8" x14ac:dyDescent="0.2">
      <c r="A182" s="20" t="s">
        <v>53</v>
      </c>
      <c r="B182" s="49">
        <v>2</v>
      </c>
      <c r="C182" s="54">
        <v>824.8773468642072</v>
      </c>
      <c r="D182" s="55">
        <v>13.314826577100533</v>
      </c>
      <c r="E182" s="56">
        <v>2.193003975323869</v>
      </c>
      <c r="F182" s="55">
        <v>5.0786143511203985</v>
      </c>
      <c r="G182" s="57">
        <v>0.85</v>
      </c>
      <c r="H182" s="56">
        <v>0.12</v>
      </c>
    </row>
    <row r="183" spans="1:8" x14ac:dyDescent="0.2">
      <c r="A183" s="20" t="s">
        <v>54</v>
      </c>
      <c r="B183" s="49">
        <v>3</v>
      </c>
      <c r="C183" s="50">
        <v>3017.720355734624</v>
      </c>
      <c r="D183" s="51">
        <v>46.52305914139919</v>
      </c>
      <c r="E183" s="52">
        <v>10.156608906810357</v>
      </c>
      <c r="F183" s="51">
        <v>11.463891011873063</v>
      </c>
      <c r="G183" s="53">
        <v>0.92</v>
      </c>
      <c r="H183" s="52">
        <v>0.105</v>
      </c>
    </row>
    <row r="185" spans="1:8" x14ac:dyDescent="0.2">
      <c r="A185" s="27" t="s">
        <v>124</v>
      </c>
    </row>
    <row r="186" spans="1:8" x14ac:dyDescent="0.2">
      <c r="A186" s="10" t="s">
        <v>125</v>
      </c>
      <c r="B186" s="39" t="s">
        <v>121</v>
      </c>
      <c r="C186" s="39" t="s">
        <v>118</v>
      </c>
      <c r="D186" s="39" t="s">
        <v>119</v>
      </c>
      <c r="E186" s="39" t="s">
        <v>8</v>
      </c>
      <c r="F186" s="39" t="s">
        <v>120</v>
      </c>
    </row>
    <row r="187" spans="1:8" x14ac:dyDescent="0.2">
      <c r="A187" s="22" t="s">
        <v>126</v>
      </c>
      <c r="B187" s="58">
        <f>$B$32</f>
        <v>0.85</v>
      </c>
      <c r="C187" s="44">
        <f>NPV!C31</f>
        <v>824.8773468642072</v>
      </c>
      <c r="D187" s="45">
        <f>NPV!C43</f>
        <v>13.314826577100533</v>
      </c>
      <c r="E187" s="46">
        <f>NPV!C45</f>
        <v>2.193003975323869</v>
      </c>
      <c r="F187" s="45">
        <f>NPV!C57</f>
        <v>5.0786143511203985</v>
      </c>
    </row>
    <row r="188" spans="1:8" x14ac:dyDescent="0.2">
      <c r="A188" s="20" t="s">
        <v>127</v>
      </c>
      <c r="B188" s="59">
        <v>0</v>
      </c>
      <c r="C188" s="54">
        <f t="dataTable" ref="C188:F189" dt2D="0" dtr="0" r1="B7" ca="1"/>
        <v>683.5174987083732</v>
      </c>
      <c r="D188" s="55">
        <v>11.062715847253962</v>
      </c>
      <c r="E188" s="56">
        <v>1.6529294597731323</v>
      </c>
      <c r="F188" s="55">
        <v>2.2456697204368106</v>
      </c>
    </row>
    <row r="189" spans="1:8" x14ac:dyDescent="0.2">
      <c r="A189" s="20" t="s">
        <v>128</v>
      </c>
      <c r="B189" s="59">
        <v>1</v>
      </c>
      <c r="C189" s="54">
        <v>847.3892852063361</v>
      </c>
      <c r="D189" s="55">
        <v>13.654729718319361</v>
      </c>
      <c r="E189" s="56">
        <v>2.274515519980662</v>
      </c>
      <c r="F189" s="55">
        <v>5.570032299966435</v>
      </c>
    </row>
    <row r="191" spans="1:8" x14ac:dyDescent="0.2">
      <c r="A191" s="27" t="s">
        <v>129</v>
      </c>
    </row>
    <row r="192" spans="1:8" x14ac:dyDescent="0.2">
      <c r="C192" s="22" t="s">
        <v>130</v>
      </c>
    </row>
    <row r="193" spans="1:7" x14ac:dyDescent="0.2">
      <c r="A193" s="22" t="s">
        <v>131</v>
      </c>
      <c r="B193" s="45">
        <f>NPV!C43</f>
        <v>13.314826577100533</v>
      </c>
      <c r="C193" s="60">
        <v>0</v>
      </c>
      <c r="D193" s="60">
        <v>0.25</v>
      </c>
      <c r="E193" s="60">
        <v>0.5</v>
      </c>
      <c r="F193" s="60">
        <v>0.75</v>
      </c>
      <c r="G193" s="60">
        <v>1</v>
      </c>
    </row>
    <row r="194" spans="1:7" x14ac:dyDescent="0.2">
      <c r="B194" s="54">
        <v>75</v>
      </c>
      <c r="C194" s="51">
        <f t="dataTable" ref="C194:G200" dt2D="1" dtr="0" r1="B7" r2="B8" ca="1"/>
        <v>9.936661670638804</v>
      </c>
      <c r="D194" s="51">
        <v>10.237572377774171</v>
      </c>
      <c r="E194" s="51">
        <v>10.53848308490954</v>
      </c>
      <c r="F194" s="51">
        <v>10.839393792044909</v>
      </c>
      <c r="G194" s="51">
        <v>11.14030449918028</v>
      </c>
    </row>
    <row r="195" spans="1:7" x14ac:dyDescent="0.2">
      <c r="B195" s="54">
        <v>100</v>
      </c>
      <c r="C195" s="51">
        <v>10.218175214792591</v>
      </c>
      <c r="D195" s="51">
        <v>10.613715289516668</v>
      </c>
      <c r="E195" s="51">
        <v>11.009255364240744</v>
      </c>
      <c r="F195" s="51">
        <v>11.404795438964822</v>
      </c>
      <c r="G195" s="51">
        <v>11.800335513688896</v>
      </c>
    </row>
    <row r="196" spans="1:7" x14ac:dyDescent="0.2">
      <c r="B196" s="54">
        <v>150</v>
      </c>
      <c r="C196" s="51">
        <v>10.781202303100173</v>
      </c>
      <c r="D196" s="51">
        <v>11.366001113001662</v>
      </c>
      <c r="E196" s="51">
        <v>11.94932114297959</v>
      </c>
      <c r="F196" s="51">
        <v>12.523242391506136</v>
      </c>
      <c r="G196" s="51">
        <v>13.091005222594562</v>
      </c>
    </row>
    <row r="197" spans="1:7" x14ac:dyDescent="0.2">
      <c r="B197" s="54">
        <v>175</v>
      </c>
      <c r="C197" s="51">
        <v>11.062715847253962</v>
      </c>
      <c r="D197" s="51">
        <v>11.740260899268833</v>
      </c>
      <c r="E197" s="51">
        <v>12.409978565521639</v>
      </c>
      <c r="F197" s="51">
        <v>13.057378964755376</v>
      </c>
      <c r="G197" s="51">
        <v>13.654729718319361</v>
      </c>
    </row>
    <row r="198" spans="1:7" x14ac:dyDescent="0.2">
      <c r="B198" s="54">
        <v>225</v>
      </c>
      <c r="C198" s="51">
        <v>11.621838082327404</v>
      </c>
      <c r="D198" s="51">
        <v>12.473873712524506</v>
      </c>
      <c r="E198" s="51">
        <v>13.27695828346803</v>
      </c>
      <c r="F198" s="51">
        <v>14.026839560046014</v>
      </c>
      <c r="G198" s="51">
        <v>14.734510843664332</v>
      </c>
    </row>
    <row r="199" spans="1:7" x14ac:dyDescent="0.2">
      <c r="B199" s="54">
        <v>250</v>
      </c>
      <c r="C199" s="51">
        <v>11.900565911949405</v>
      </c>
      <c r="D199" s="51">
        <v>12.832748752957565</v>
      </c>
      <c r="E199" s="51">
        <v>13.690406568946145</v>
      </c>
      <c r="F199" s="51">
        <v>14.48515326785095</v>
      </c>
      <c r="G199" s="51">
        <v>15.26031481695232</v>
      </c>
    </row>
    <row r="200" spans="1:7" x14ac:dyDescent="0.2">
      <c r="B200" s="54">
        <v>350</v>
      </c>
      <c r="C200" s="51">
        <v>12.951363967677398</v>
      </c>
      <c r="D200" s="51">
        <v>14.100953720371667</v>
      </c>
      <c r="E200" s="51">
        <v>15.195308077367221</v>
      </c>
      <c r="F200" s="51">
        <v>16.249059025153958</v>
      </c>
      <c r="G200" s="51">
        <v>17.28985906232481</v>
      </c>
    </row>
    <row r="202" spans="1:7" x14ac:dyDescent="0.2">
      <c r="A202" s="27" t="s">
        <v>132</v>
      </c>
    </row>
    <row r="203" spans="1:7" x14ac:dyDescent="0.2">
      <c r="C203" s="22" t="s">
        <v>133</v>
      </c>
    </row>
    <row r="204" spans="1:7" x14ac:dyDescent="0.2">
      <c r="A204" s="22" t="s">
        <v>134</v>
      </c>
      <c r="B204" s="45">
        <f>NPV!C43</f>
        <v>13.314826577100533</v>
      </c>
      <c r="C204" s="35">
        <v>1</v>
      </c>
      <c r="D204" s="35">
        <v>2</v>
      </c>
      <c r="E204" s="35">
        <v>3</v>
      </c>
      <c r="F204" s="22" t="s">
        <v>135</v>
      </c>
    </row>
    <row r="205" spans="1:7" x14ac:dyDescent="0.2">
      <c r="B205" s="56">
        <v>0.09</v>
      </c>
      <c r="C205" s="51">
        <f t="dataTable" ref="C205:E211" dt2D="1" dtr="0" r1="B4" r2="B6" ca="1"/>
        <v>-11.875484263672456</v>
      </c>
      <c r="D205" s="51">
        <v>15.502753283971627</v>
      </c>
      <c r="E205" s="51">
        <v>51.39526055809209</v>
      </c>
    </row>
    <row r="206" spans="1:7" x14ac:dyDescent="0.2">
      <c r="B206" s="56">
        <v>0.1</v>
      </c>
      <c r="C206" s="51">
        <v>-10.968132595474898</v>
      </c>
      <c r="D206" s="51">
        <v>14.718899838743923</v>
      </c>
      <c r="E206" s="51">
        <v>48.071569148165956</v>
      </c>
    </row>
    <row r="207" spans="1:7" x14ac:dyDescent="0.2">
      <c r="B207" s="56">
        <v>0.11</v>
      </c>
      <c r="C207" s="51">
        <v>-10.153155611635931</v>
      </c>
      <c r="D207" s="51">
        <v>13.991156249777996</v>
      </c>
      <c r="E207" s="51">
        <v>45.04452984792215</v>
      </c>
    </row>
    <row r="208" spans="1:7" x14ac:dyDescent="0.2">
      <c r="B208" s="56">
        <v>0.12</v>
      </c>
      <c r="C208" s="51">
        <v>-9.419562044799568</v>
      </c>
      <c r="D208" s="51">
        <v>13.314826577100533</v>
      </c>
      <c r="E208" s="51">
        <v>42.282262999470966</v>
      </c>
    </row>
    <row r="209" spans="2:5" x14ac:dyDescent="0.2">
      <c r="B209" s="56">
        <v>0.13</v>
      </c>
      <c r="C209" s="51">
        <v>-8.757801333545432</v>
      </c>
      <c r="D209" s="51">
        <v>12.675951404932652</v>
      </c>
      <c r="E209" s="51">
        <v>39.756806538364</v>
      </c>
    </row>
    <row r="210" spans="2:5" x14ac:dyDescent="0.2">
      <c r="B210" s="56">
        <v>0.14000000000000001</v>
      </c>
      <c r="C210" s="51">
        <v>-8.15956043676133</v>
      </c>
      <c r="D210" s="51">
        <v>12.047396848384635</v>
      </c>
      <c r="E210" s="51">
        <v>37.44358212947561</v>
      </c>
    </row>
    <row r="211" spans="2:5" x14ac:dyDescent="0.2">
      <c r="B211" s="56">
        <v>0.15</v>
      </c>
      <c r="C211" s="51">
        <v>-7.617591100594197</v>
      </c>
      <c r="D211" s="51">
        <v>11.46122281455815</v>
      </c>
      <c r="E211" s="51">
        <v>35.32094042973141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8.83203125" defaultRowHeight="16" x14ac:dyDescent="0.2"/>
  <cols>
    <col min="1" max="1" width="50" customWidth="1"/>
    <col min="2" max="2" width="2" customWidth="1"/>
    <col min="3" max="26" width="9" customWidth="1"/>
  </cols>
  <sheetData>
    <row r="1" spans="1:26" ht="19" x14ac:dyDescent="0.25">
      <c r="A1" s="19" t="s">
        <v>136</v>
      </c>
    </row>
    <row r="2" spans="1:26" x14ac:dyDescent="0.2">
      <c r="A2" s="20" t="s">
        <v>137</v>
      </c>
      <c r="C2" s="20">
        <v>2027</v>
      </c>
      <c r="D2" s="20">
        <v>2028</v>
      </c>
      <c r="E2" s="20">
        <v>2029</v>
      </c>
      <c r="F2" s="20">
        <v>2030</v>
      </c>
      <c r="G2" s="20">
        <v>2031</v>
      </c>
      <c r="H2" s="20">
        <v>2032</v>
      </c>
      <c r="I2" s="20">
        <v>2033</v>
      </c>
      <c r="J2" s="20">
        <v>2034</v>
      </c>
      <c r="K2" s="20">
        <v>2035</v>
      </c>
      <c r="L2" s="20">
        <v>2036</v>
      </c>
      <c r="M2" s="20">
        <v>2037</v>
      </c>
      <c r="N2" s="20">
        <v>2038</v>
      </c>
      <c r="O2" s="20">
        <v>2039</v>
      </c>
      <c r="P2" s="20">
        <v>2040</v>
      </c>
      <c r="Q2" s="20">
        <v>2041</v>
      </c>
      <c r="R2" s="20">
        <v>2042</v>
      </c>
      <c r="S2" s="20">
        <v>2043</v>
      </c>
      <c r="T2" s="20">
        <v>2044</v>
      </c>
      <c r="U2" s="20">
        <v>2045</v>
      </c>
      <c r="V2" s="20">
        <v>2046</v>
      </c>
      <c r="W2" s="20">
        <v>2047</v>
      </c>
      <c r="X2" s="20">
        <v>2048</v>
      </c>
      <c r="Y2" s="20">
        <v>2049</v>
      </c>
      <c r="Z2" s="20">
        <v>2050</v>
      </c>
    </row>
    <row r="4" spans="1:26" x14ac:dyDescent="0.2">
      <c r="A4" s="27" t="s">
        <v>138</v>
      </c>
    </row>
    <row r="5" spans="1:26" x14ac:dyDescent="0.2">
      <c r="A5" s="10" t="s">
        <v>139</v>
      </c>
      <c r="C5" s="61">
        <f>C$2-Assumptions!$B$47+1</f>
        <v>19.0</v>
      </c>
      <c r="D5" s="61">
        <f>D$2-Assumptions!$B$47+1</f>
        <v>20.0</v>
      </c>
      <c r="E5" s="61">
        <f>E$2-Assumptions!$B$47+1</f>
        <v>21.0</v>
      </c>
      <c r="F5" s="61">
        <f>F$2-Assumptions!$B$47+1</f>
        <v>22.0</v>
      </c>
      <c r="G5" s="61">
        <f>G$2-Assumptions!$B$47+1</f>
        <v>23.0</v>
      </c>
      <c r="H5" s="61">
        <f>H$2-Assumptions!$B$47+1</f>
        <v>24.0</v>
      </c>
      <c r="I5" s="61">
        <f>I$2-Assumptions!$B$47+1</f>
        <v>25.0</v>
      </c>
      <c r="J5" s="61">
        <f>J$2-Assumptions!$B$47+1</f>
        <v>26.0</v>
      </c>
      <c r="K5" s="61">
        <f>K$2-Assumptions!$B$47+1</f>
        <v>27.0</v>
      </c>
      <c r="L5" s="61">
        <f>L$2-Assumptions!$B$47+1</f>
        <v>28.0</v>
      </c>
      <c r="M5" s="61">
        <f>M$2-Assumptions!$B$47+1</f>
        <v>29.0</v>
      </c>
      <c r="N5" s="61">
        <f>N$2-Assumptions!$B$47+1</f>
        <v>30.0</v>
      </c>
      <c r="O5" s="61">
        <f>O$2-Assumptions!$B$47+1</f>
        <v>31.0</v>
      </c>
      <c r="P5" s="61">
        <f>P$2-Assumptions!$B$47+1</f>
        <v>32.0</v>
      </c>
      <c r="Q5" s="61">
        <f>Q$2-Assumptions!$B$47+1</f>
        <v>33.0</v>
      </c>
      <c r="R5" s="61">
        <f>R$2-Assumptions!$B$47+1</f>
        <v>34.0</v>
      </c>
      <c r="S5" s="61">
        <f>S$2-Assumptions!$B$47+1</f>
        <v>35.0</v>
      </c>
      <c r="T5" s="61">
        <f>T$2-Assumptions!$B$47+1</f>
        <v>36.0</v>
      </c>
      <c r="U5" s="61">
        <f>U$2-Assumptions!$B$47+1</f>
        <v>37.0</v>
      </c>
      <c r="V5" s="61">
        <f>V$2-Assumptions!$B$47+1</f>
        <v>38.0</v>
      </c>
      <c r="W5" s="61">
        <f>W$2-Assumptions!$B$47+1</f>
        <v>39.0</v>
      </c>
      <c r="X5" s="61">
        <f>X$2-Assumptions!$B$47+1</f>
        <v>40.0</v>
      </c>
      <c r="Y5" s="61">
        <f>Y$2-Assumptions!$B$47+1</f>
        <v>41.0</v>
      </c>
      <c r="Z5" s="61">
        <f>Z$2-Assumptions!$B$47+1</f>
        <v>42.0</v>
      </c>
    </row>
    <row r="6" spans="1:26" x14ac:dyDescent="0.2">
      <c r="A6" s="10" t="s">
        <v>140</v>
      </c>
      <c r="C6" s="50">
        <f>IF(C$2&gt;Assumptions!$B$55,Assumptions!$B$57*(1-Assumptions!$B$56),IF(C$2&lt;Assumptions!$B$49,Assumptions!$B$57+(Assumptions!$B$48-Assumptions!$B$57)*((C$2-2026)/(Assumptions!$B$49-2026))^Assumptions!$B$50,Assumptions!$B$48))</f>
        <v>171.66666666666666</v>
      </c>
      <c r="D6" s="50">
        <f>IF(D$2&gt;Assumptions!$B$55,C6*(1-Assumptions!$B$56),IF(D$2&lt;Assumptions!$B$49,Assumptions!$B$57+(Assumptions!$B$48-Assumptions!$B$57)*((D$2-2026)/(Assumptions!$B$49-2026))^Assumptions!$B$50,Assumptions!$B$48))</f>
        <v>195.83333333333331</v>
      </c>
      <c r="E6" s="50">
        <f>IF(E$2&gt;Assumptions!$B$55,D6*(1-Assumptions!$B$56),IF(E$2&lt;Assumptions!$B$49,Assumptions!$B$57+(Assumptions!$B$48-Assumptions!$B$57)*((E$2-2026)/(Assumptions!$B$49-2026))^Assumptions!$B$50,Assumptions!$B$48))</f>
        <v>220</v>
      </c>
      <c r="F6" s="50">
        <f>IF(F$2&gt;Assumptions!$B$55,E6*(1-Assumptions!$B$56),IF(F$2&lt;Assumptions!$B$49,Assumptions!$B$57+(Assumptions!$B$48-Assumptions!$B$57)*((F$2-2026)/(Assumptions!$B$49-2026))^Assumptions!$B$50,Assumptions!$B$48))</f>
        <v>220</v>
      </c>
      <c r="G6" s="50">
        <f>IF(G$2&gt;Assumptions!$B$55,F6*(1-Assumptions!$B$56),IF(G$2&lt;Assumptions!$B$49,Assumptions!$B$57+(Assumptions!$B$48-Assumptions!$B$57)*((G$2-2026)/(Assumptions!$B$49-2026))^Assumptions!$B$50,Assumptions!$B$48))</f>
        <v>88.0</v>
      </c>
      <c r="H6" s="50">
        <f>IF(H$2&gt;Assumptions!$B$55,G6*(1-Assumptions!$B$56),IF(H$2&lt;Assumptions!$B$49,Assumptions!$B$57+(Assumptions!$B$48-Assumptions!$B$57)*((H$2-2026)/(Assumptions!$B$49-2026))^Assumptions!$B$50,Assumptions!$B$48))</f>
        <v>35.2</v>
      </c>
      <c r="I6" s="50">
        <f>IF(I$2&gt;Assumptions!$B$55,H6*(1-Assumptions!$B$56),IF(I$2&lt;Assumptions!$B$49,Assumptions!$B$57+(Assumptions!$B$48-Assumptions!$B$57)*((I$2-2026)/(Assumptions!$B$49-2026))^Assumptions!$B$50,Assumptions!$B$48))</f>
        <v>14.080000000000002</v>
      </c>
      <c r="J6" s="50">
        <f>IF(J$2&gt;Assumptions!$B$55,I6*(1-Assumptions!$B$56),IF(J$2&lt;Assumptions!$B$49,Assumptions!$B$57+(Assumptions!$B$48-Assumptions!$B$57)*((J$2-2026)/(Assumptions!$B$49-2026))^Assumptions!$B$50,Assumptions!$B$48))</f>
        <v>5.6320000000000014</v>
      </c>
      <c r="K6" s="50">
        <f>IF(K$2&gt;Assumptions!$B$55,J6*(1-Assumptions!$B$56),IF(K$2&lt;Assumptions!$B$49,Assumptions!$B$57+(Assumptions!$B$48-Assumptions!$B$57)*((K$2-2026)/(Assumptions!$B$49-2026))^Assumptions!$B$50,Assumptions!$B$48))</f>
        <v>2.2528000000000006</v>
      </c>
      <c r="L6" s="50">
        <f>IF(L$2&gt;Assumptions!$B$55,K6*(1-Assumptions!$B$56),IF(L$2&lt;Assumptions!$B$49,Assumptions!$B$57+(Assumptions!$B$48-Assumptions!$B$57)*((L$2-2026)/(Assumptions!$B$49-2026))^Assumptions!$B$50,Assumptions!$B$48))</f>
        <v>0.9011200000000003</v>
      </c>
      <c r="M6" s="50">
        <f>IF(M$2&gt;Assumptions!$B$55,L6*(1-Assumptions!$B$56),IF(M$2&lt;Assumptions!$B$49,Assumptions!$B$57+(Assumptions!$B$48-Assumptions!$B$57)*((M$2-2026)/(Assumptions!$B$49-2026))^Assumptions!$B$50,Assumptions!$B$48))</f>
        <v>0.3604480000000001</v>
      </c>
      <c r="N6" s="50">
        <f>IF(N$2&gt;Assumptions!$B$55,M6*(1-Assumptions!$B$56),IF(N$2&lt;Assumptions!$B$49,Assumptions!$B$57+(Assumptions!$B$48-Assumptions!$B$57)*((N$2-2026)/(Assumptions!$B$49-2026))^Assumptions!$B$50,Assumptions!$B$48))</f>
        <v>0.14417920000000004</v>
      </c>
      <c r="O6" s="50">
        <f>IF(O$2&gt;Assumptions!$B$55,N6*(1-Assumptions!$B$56),IF(O$2&lt;Assumptions!$B$49,Assumptions!$B$57+(Assumptions!$B$48-Assumptions!$B$57)*((O$2-2026)/(Assumptions!$B$49-2026))^Assumptions!$B$50,Assumptions!$B$48))</f>
        <v>0.05767168000000002</v>
      </c>
      <c r="P6" s="50">
        <f>IF(P$2&gt;Assumptions!$B$55,O6*(1-Assumptions!$B$56),IF(P$2&lt;Assumptions!$B$49,Assumptions!$B$57+(Assumptions!$B$48-Assumptions!$B$57)*((P$2-2026)/(Assumptions!$B$49-2026))^Assumptions!$B$50,Assumptions!$B$48))</f>
        <v>0.02306867200000001</v>
      </c>
      <c r="Q6" s="50">
        <f>IF(Q$2&gt;Assumptions!$B$55,P6*(1-Assumptions!$B$56),IF(Q$2&lt;Assumptions!$B$49,Assumptions!$B$57+(Assumptions!$B$48-Assumptions!$B$57)*((Q$2-2026)/(Assumptions!$B$49-2026))^Assumptions!$B$50,Assumptions!$B$48))</f>
        <v>0.009227468800000005</v>
      </c>
      <c r="R6" s="50">
        <f>IF(R$2&gt;Assumptions!$B$55,Q6*(1-Assumptions!$B$56),IF(R$2&lt;Assumptions!$B$49,Assumptions!$B$57+(Assumptions!$B$48-Assumptions!$B$57)*((R$2-2026)/(Assumptions!$B$49-2026))^Assumptions!$B$50,Assumptions!$B$48))</f>
        <v>0.003690987520000002</v>
      </c>
      <c r="S6" s="50">
        <f>IF(S$2&gt;Assumptions!$B$55,R6*(1-Assumptions!$B$56),IF(S$2&lt;Assumptions!$B$49,Assumptions!$B$57+(Assumptions!$B$48-Assumptions!$B$57)*((S$2-2026)/(Assumptions!$B$49-2026))^Assumptions!$B$50,Assumptions!$B$48))</f>
        <v>0.001476395008000001</v>
      </c>
      <c r="T6" s="50">
        <f>IF(T$2&gt;Assumptions!$B$55,S6*(1-Assumptions!$B$56),IF(T$2&lt;Assumptions!$B$49,Assumptions!$B$57+(Assumptions!$B$48-Assumptions!$B$57)*((T$2-2026)/(Assumptions!$B$49-2026))^Assumptions!$B$50,Assumptions!$B$48))</f>
        <v>0.0005905580032000004</v>
      </c>
      <c r="U6" s="50">
        <f>IF(U$2&gt;Assumptions!$B$55,T6*(1-Assumptions!$B$56),IF(U$2&lt;Assumptions!$B$49,Assumptions!$B$57+(Assumptions!$B$48-Assumptions!$B$57)*((U$2-2026)/(Assumptions!$B$49-2026))^Assumptions!$B$50,Assumptions!$B$48))</f>
        <v>0.00023622320128000019</v>
      </c>
      <c r="V6" s="50">
        <f>IF(V$2&gt;Assumptions!$B$55,U6*(1-Assumptions!$B$56),IF(V$2&lt;Assumptions!$B$49,Assumptions!$B$57+(Assumptions!$B$48-Assumptions!$B$57)*((V$2-2026)/(Assumptions!$B$49-2026))^Assumptions!$B$50,Assumptions!$B$48))</f>
        <v>9.448928051200009e-05</v>
      </c>
      <c r="W6" s="50">
        <f>IF(W$2&gt;Assumptions!$B$55,V6*(1-Assumptions!$B$56),IF(W$2&lt;Assumptions!$B$49,Assumptions!$B$57+(Assumptions!$B$48-Assumptions!$B$57)*((W$2-2026)/(Assumptions!$B$49-2026))^Assumptions!$B$50,Assumptions!$B$48))</f>
        <v>3.779571220480004e-05</v>
      </c>
      <c r="X6" s="50">
        <f>IF(X$2&gt;Assumptions!$B$55,W6*(1-Assumptions!$B$56),IF(X$2&lt;Assumptions!$B$49,Assumptions!$B$57+(Assumptions!$B$48-Assumptions!$B$57)*((X$2-2026)/(Assumptions!$B$49-2026))^Assumptions!$B$50,Assumptions!$B$48))</f>
        <v>1.5118284881920015e-05</v>
      </c>
      <c r="Y6" s="50">
        <f>IF(Y$2&gt;Assumptions!$B$55,X6*(1-Assumptions!$B$56),IF(Y$2&lt;Assumptions!$B$49,Assumptions!$B$57+(Assumptions!$B$48-Assumptions!$B$57)*((Y$2-2026)/(Assumptions!$B$49-2026))^Assumptions!$B$50,Assumptions!$B$48))</f>
        <v>6.047313952768007e-06</v>
      </c>
      <c r="Z6" s="50">
        <f>IF(Z$2&gt;Assumptions!$B$55,Y6*(1-Assumptions!$B$56),IF(Z$2&lt;Assumptions!$B$49,Assumptions!$B$57+(Assumptions!$B$48-Assumptions!$B$57)*((Z$2-2026)/(Assumptions!$B$49-2026))^Assumptions!$B$50,Assumptions!$B$48))</f>
        <v>2.418925581107203e-06</v>
      </c>
    </row>
    <row r="7" spans="1:26" x14ac:dyDescent="0.2">
      <c r="A7" s="10" t="s">
        <v>141</v>
      </c>
      <c r="C7" s="50">
        <f>C6*Assumptions!$B$51</f>
        <v>171.66666666666666</v>
      </c>
      <c r="D7" s="50">
        <f>D6*Assumptions!$B$51</f>
        <v>195.83333333333331</v>
      </c>
      <c r="E7" s="50">
        <f>E6*Assumptions!$B$51</f>
        <v>220.0</v>
      </c>
      <c r="F7" s="50">
        <f>F6*Assumptions!$B$51</f>
        <v>220.0</v>
      </c>
      <c r="G7" s="50">
        <f>G6*Assumptions!$B$51</f>
        <v>88.0</v>
      </c>
      <c r="H7" s="50">
        <f>H6*Assumptions!$B$51</f>
        <v>35.2</v>
      </c>
      <c r="I7" s="50">
        <f>I6*Assumptions!$B$51</f>
        <v>14.080000000000002</v>
      </c>
      <c r="J7" s="50">
        <f>J6*Assumptions!$B$51</f>
        <v>5.6320000000000014</v>
      </c>
      <c r="K7" s="50">
        <f>K6*Assumptions!$B$51</f>
        <v>2.2528000000000006</v>
      </c>
      <c r="L7" s="50">
        <f>L6*Assumptions!$B$51</f>
        <v>0.9011200000000003</v>
      </c>
      <c r="M7" s="50">
        <f>M6*Assumptions!$B$51</f>
        <v>0.3604480000000001</v>
      </c>
      <c r="N7" s="50">
        <f>N6*Assumptions!$B$51</f>
        <v>0.14417920000000004</v>
      </c>
      <c r="O7" s="50">
        <f>O6*Assumptions!$B$51</f>
        <v>0.05767168000000002</v>
      </c>
      <c r="P7" s="50">
        <f>P6*Assumptions!$B$51</f>
        <v>0.02306867200000001</v>
      </c>
      <c r="Q7" s="50">
        <f>Q6*Assumptions!$B$51</f>
        <v>0.009227468800000005</v>
      </c>
      <c r="R7" s="50">
        <f>R6*Assumptions!$B$51</f>
        <v>0.003690987520000002</v>
      </c>
      <c r="S7" s="50">
        <f>S6*Assumptions!$B$51</f>
        <v>0.001476395008000001</v>
      </c>
      <c r="T7" s="50">
        <f>T6*Assumptions!$B$51</f>
        <v>0.0005905580032000004</v>
      </c>
      <c r="U7" s="50">
        <f>U6*Assumptions!$B$51</f>
        <v>0.00023622320128000019</v>
      </c>
      <c r="V7" s="50">
        <f>V6*Assumptions!$B$51</f>
        <v>9.448928051200009e-05</v>
      </c>
      <c r="W7" s="50">
        <f>W6*Assumptions!$B$51</f>
        <v>3.779571220480004e-05</v>
      </c>
      <c r="X7" s="50">
        <f>X6*Assumptions!$B$51</f>
        <v>1.5118284881920015e-05</v>
      </c>
      <c r="Y7" s="50">
        <f>Y6*Assumptions!$B$51</f>
        <v>6.047313952768007e-06</v>
      </c>
      <c r="Z7" s="50">
        <f>Z6*Assumptions!$B$51</f>
        <v>2.418925581107203e-06</v>
      </c>
    </row>
    <row r="8" spans="1:26" x14ac:dyDescent="0.2">
      <c r="A8" s="10" t="s">
        <v>142</v>
      </c>
      <c r="C8" s="50">
        <f>C6*(Assumptions!$B$52+Assumptions!$B$53)</f>
        <v>10.299999999999999</v>
      </c>
      <c r="D8" s="50">
        <f>D6*(Assumptions!$B$52+Assumptions!$B$53)</f>
        <v>11.749999999999998</v>
      </c>
      <c r="E8" s="50">
        <f>E6*(Assumptions!$B$52+Assumptions!$B$53)</f>
        <v>13.2</v>
      </c>
      <c r="F8" s="50">
        <f>F6*(Assumptions!$B$52+Assumptions!$B$53)</f>
        <v>13.2</v>
      </c>
      <c r="G8" s="50">
        <f>G6*(Assumptions!$B$52+Assumptions!$B$53)</f>
        <v>5.279999999999999</v>
      </c>
      <c r="H8" s="50">
        <f>H6*(Assumptions!$B$52+Assumptions!$B$53)</f>
        <v>2.112</v>
      </c>
      <c r="I8" s="50">
        <f>I6*(Assumptions!$B$52+Assumptions!$B$53)</f>
        <v>0.8448000000000001</v>
      </c>
      <c r="J8" s="50">
        <f>J6*(Assumptions!$B$52+Assumptions!$B$53)</f>
        <v>0.33792000000000005</v>
      </c>
      <c r="K8" s="50">
        <f>K6*(Assumptions!$B$52+Assumptions!$B$53)</f>
        <v>0.13516800000000004</v>
      </c>
      <c r="L8" s="50">
        <f>L6*(Assumptions!$B$52+Assumptions!$B$53)</f>
        <v>0.05406720000000002</v>
      </c>
      <c r="M8" s="50">
        <f>M6*(Assumptions!$B$52+Assumptions!$B$53)</f>
        <v>0.021626880000000005</v>
      </c>
      <c r="N8" s="50">
        <f>N6*(Assumptions!$B$52+Assumptions!$B$53)</f>
        <v>0.008650752000000001</v>
      </c>
      <c r="O8" s="50">
        <f>O6*(Assumptions!$B$52+Assumptions!$B$53)</f>
        <v>0.003460300800000001</v>
      </c>
      <c r="P8" s="50">
        <f>P6*(Assumptions!$B$52+Assumptions!$B$53)</f>
        <v>0.0013841203200000004</v>
      </c>
      <c r="Q8" s="50">
        <f>Q6*(Assumptions!$B$52+Assumptions!$B$53)</f>
        <v>0.0005536481280000003</v>
      </c>
      <c r="R8" s="50">
        <f>R6*(Assumptions!$B$52+Assumptions!$B$53)</f>
        <v>0.0002214592512000001</v>
      </c>
      <c r="S8" s="50">
        <f>S6*(Assumptions!$B$52+Assumptions!$B$53)</f>
        <v>8.858370048000006e-05</v>
      </c>
      <c r="T8" s="50">
        <f>T6*(Assumptions!$B$52+Assumptions!$B$53)</f>
        <v>3.5433480192000025e-05</v>
      </c>
      <c r="U8" s="50">
        <f>U6*(Assumptions!$B$52+Assumptions!$B$53)</f>
        <v>1.417339207680001e-05</v>
      </c>
      <c r="V8" s="50">
        <f>V6*(Assumptions!$B$52+Assumptions!$B$53)</f>
        <v>5.669356830720005e-06</v>
      </c>
      <c r="W8" s="50">
        <f>W6*(Assumptions!$B$52+Assumptions!$B$53)</f>
        <v>2.267742732288002e-06</v>
      </c>
      <c r="X8" s="50">
        <f>X6*(Assumptions!$B$52+Assumptions!$B$53)</f>
        <v>9.070970929152009e-07</v>
      </c>
      <c r="Y8" s="50">
        <f>Y6*(Assumptions!$B$52+Assumptions!$B$53)</f>
        <v>3.628388371660804e-07</v>
      </c>
      <c r="Z8" s="50">
        <f>Z6*(Assumptions!$B$52+Assumptions!$B$53)</f>
        <v>1.4513553486643216e-07</v>
      </c>
    </row>
    <row r="9" spans="1:26" x14ac:dyDescent="0.2">
      <c r="A9" s="10" t="s">
        <v>143</v>
      </c>
      <c r="C9" s="50">
        <f>IF(Assumptions!$B$54=0,0,IF(FALSE,0,IF(C5&gt;=1,C6*IF(OR(Assumptions!$B$51&lt;1,C5&gt;5),Assumptions!$B$54,MAX(Assumptions!$B$54,INDEX(Assumptions!$B$44:$F$44,C5))),0)))</f>
        <v>42.916666666666664</v>
      </c>
      <c r="D9" s="50">
        <f>IF(Assumptions!$B$54=0,0,IF(FALSE,0,IF(D5&gt;=1,D6*IF(OR(Assumptions!$B$51&lt;1,D5&gt;5),Assumptions!$B$54,MAX(Assumptions!$B$54,INDEX(Assumptions!$B$44:$F$44,D5))),0)))</f>
        <v>48.95833333333333</v>
      </c>
      <c r="E9" s="50">
        <f>IF(Assumptions!$B$54=0,0,IF(FALSE,0,IF(E5&gt;=1,E6*IF(OR(Assumptions!$B$51&lt;1,E5&gt;5),Assumptions!$B$54,MAX(Assumptions!$B$54,INDEX(Assumptions!$B$44:$F$44,E5))),0)))</f>
        <v>55.0</v>
      </c>
      <c r="F9" s="50">
        <f>IF(Assumptions!$B$54=0,0,IF(FALSE,0,IF(F5&gt;=1,F6*IF(OR(Assumptions!$B$51&lt;1,F5&gt;5),Assumptions!$B$54,MAX(Assumptions!$B$54,INDEX(Assumptions!$B$44:$F$44,F5))),0)))</f>
        <v>55.0</v>
      </c>
      <c r="G9" s="50">
        <f>IF(Assumptions!$B$54=0,0,IF(FALSE,0,IF(G5&gt;=1,G6*IF(OR(Assumptions!$B$51&lt;1,G5&gt;5),Assumptions!$B$54,MAX(Assumptions!$B$54,INDEX(Assumptions!$B$44:$F$44,G5))),0)))</f>
        <v>22.0</v>
      </c>
      <c r="H9" s="50">
        <f>IF(Assumptions!$B$54=0,0,IF(FALSE,0,IF(H5&gt;=1,H6*IF(OR(Assumptions!$B$51&lt;1,H5&gt;5),Assumptions!$B$54,MAX(Assumptions!$B$54,INDEX(Assumptions!$B$44:$F$44,H5))),0)))</f>
        <v>8.8</v>
      </c>
      <c r="I9" s="50">
        <f>IF(Assumptions!$B$54=0,0,IF(FALSE,0,IF(I5&gt;=1,I6*IF(OR(Assumptions!$B$51&lt;1,I5&gt;5),Assumptions!$B$54,MAX(Assumptions!$B$54,INDEX(Assumptions!$B$44:$F$44,I5))),0)))</f>
        <v>3.5200000000000005</v>
      </c>
      <c r="J9" s="50">
        <f>IF(Assumptions!$B$54=0,0,IF(FALSE,0,IF(J5&gt;=1,J6*IF(OR(Assumptions!$B$51&lt;1,J5&gt;5),Assumptions!$B$54,MAX(Assumptions!$B$54,INDEX(Assumptions!$B$44:$F$44,J5))),0)))</f>
        <v>1.4080000000000004</v>
      </c>
      <c r="K9" s="50">
        <f>IF(Assumptions!$B$54=0,0,IF(FALSE,0,IF(K5&gt;=1,K6*IF(OR(Assumptions!$B$51&lt;1,K5&gt;5),Assumptions!$B$54,MAX(Assumptions!$B$54,INDEX(Assumptions!$B$44:$F$44,K5))),0)))</f>
        <v>0.5632000000000001</v>
      </c>
      <c r="L9" s="50">
        <f>IF(Assumptions!$B$54=0,0,IF(FALSE,0,IF(L5&gt;=1,L6*IF(OR(Assumptions!$B$51&lt;1,L5&gt;5),Assumptions!$B$54,MAX(Assumptions!$B$54,INDEX(Assumptions!$B$44:$F$44,L5))),0)))</f>
        <v>0.22528000000000006</v>
      </c>
      <c r="M9" s="50">
        <f>IF(Assumptions!$B$54=0,0,IF(FALSE,0,IF(M5&gt;=1,M6*IF(OR(Assumptions!$B$51&lt;1,M5&gt;5),Assumptions!$B$54,MAX(Assumptions!$B$54,INDEX(Assumptions!$B$44:$F$44,M5))),0)))</f>
        <v>0.09011200000000003</v>
      </c>
      <c r="N9" s="50">
        <f>IF(Assumptions!$B$54=0,0,IF(FALSE,0,IF(N5&gt;=1,N6*IF(OR(Assumptions!$B$51&lt;1,N5&gt;5),Assumptions!$B$54,MAX(Assumptions!$B$54,INDEX(Assumptions!$B$44:$F$44,N5))),0)))</f>
        <v>0.03604480000000001</v>
      </c>
      <c r="O9" s="50">
        <f>IF(Assumptions!$B$54=0,0,IF(FALSE,0,IF(O5&gt;=1,O6*IF(OR(Assumptions!$B$51&lt;1,O5&gt;5),Assumptions!$B$54,MAX(Assumptions!$B$54,INDEX(Assumptions!$B$44:$F$44,O5))),0)))</f>
        <v>0.014417920000000004</v>
      </c>
      <c r="P9" s="50">
        <f>IF(Assumptions!$B$54=0,0,IF(FALSE,0,IF(P5&gt;=1,P6*IF(OR(Assumptions!$B$51&lt;1,P5&gt;5),Assumptions!$B$54,MAX(Assumptions!$B$54,INDEX(Assumptions!$B$44:$F$44,P5))),0)))</f>
        <v>0.005767168000000002</v>
      </c>
      <c r="Q9" s="50">
        <f>IF(Assumptions!$B$54=0,0,IF(FALSE,0,IF(Q5&gt;=1,Q6*IF(OR(Assumptions!$B$51&lt;1,Q5&gt;5),Assumptions!$B$54,MAX(Assumptions!$B$54,INDEX(Assumptions!$B$44:$F$44,Q5))),0)))</f>
        <v>0.002306867200000001</v>
      </c>
      <c r="R9" s="50">
        <f>IF(Assumptions!$B$54=0,0,IF(FALSE,0,IF(R5&gt;=1,R6*IF(OR(Assumptions!$B$51&lt;1,R5&gt;5),Assumptions!$B$54,MAX(Assumptions!$B$54,INDEX(Assumptions!$B$44:$F$44,R5))),0)))</f>
        <v>0.0009227468800000005</v>
      </c>
      <c r="S9" s="50">
        <f>IF(Assumptions!$B$54=0,0,IF(FALSE,0,IF(S5&gt;=1,S6*IF(OR(Assumptions!$B$51&lt;1,S5&gt;5),Assumptions!$B$54,MAX(Assumptions!$B$54,INDEX(Assumptions!$B$44:$F$44,S5))),0)))</f>
        <v>0.00036909875200000024</v>
      </c>
      <c r="T9" s="50">
        <f>IF(Assumptions!$B$54=0,0,IF(FALSE,0,IF(T5&gt;=1,T6*IF(OR(Assumptions!$B$51&lt;1,T5&gt;5),Assumptions!$B$54,MAX(Assumptions!$B$54,INDEX(Assumptions!$B$44:$F$44,T5))),0)))</f>
        <v>0.0001476395008000001</v>
      </c>
      <c r="U9" s="50">
        <f>IF(Assumptions!$B$54=0,0,IF(FALSE,0,IF(U5&gt;=1,U6*IF(OR(Assumptions!$B$51&lt;1,U5&gt;5),Assumptions!$B$54,MAX(Assumptions!$B$54,INDEX(Assumptions!$B$44:$F$44,U5))),0)))</f>
        <v>5.9055800320000047e-05</v>
      </c>
      <c r="V9" s="50">
        <f>IF(Assumptions!$B$54=0,0,IF(FALSE,0,IF(V5&gt;=1,V6*IF(OR(Assumptions!$B$51&lt;1,V5&gt;5),Assumptions!$B$54,MAX(Assumptions!$B$54,INDEX(Assumptions!$B$44:$F$44,V5))),0)))</f>
        <v>2.362232012800002e-05</v>
      </c>
      <c r="W9" s="50">
        <f>IF(Assumptions!$B$54=0,0,IF(FALSE,0,IF(W5&gt;=1,W6*IF(OR(Assumptions!$B$51&lt;1,W5&gt;5),Assumptions!$B$54,MAX(Assumptions!$B$54,INDEX(Assumptions!$B$44:$F$44,W5))),0)))</f>
        <v>9.44892805120001e-06</v>
      </c>
      <c r="X9" s="50">
        <f>IF(Assumptions!$B$54=0,0,IF(FALSE,0,IF(X5&gt;=1,X6*IF(OR(Assumptions!$B$51&lt;1,X5&gt;5),Assumptions!$B$54,MAX(Assumptions!$B$54,INDEX(Assumptions!$B$44:$F$44,X5))),0)))</f>
        <v>3.779571220480004e-06</v>
      </c>
      <c r="Y9" s="50">
        <f>IF(Assumptions!$B$54=0,0,IF(FALSE,0,IF(Y5&gt;=1,Y6*IF(OR(Assumptions!$B$51&lt;1,Y5&gt;5),Assumptions!$B$54,MAX(Assumptions!$B$54,INDEX(Assumptions!$B$44:$F$44,Y5))),0)))</f>
        <v>1.5118284881920017e-06</v>
      </c>
      <c r="Z9" s="50">
        <f>IF(Assumptions!$B$54=0,0,IF(FALSE,0,IF(Z5&gt;=1,Z6*IF(OR(Assumptions!$B$51&lt;1,Z5&gt;5),Assumptions!$B$54,MAX(Assumptions!$B$54,INDEX(Assumptions!$B$44:$F$44,Z5))),0)))</f>
        <v>6.047313952768007e-07</v>
      </c>
    </row>
    <row r="10" spans="1:26" x14ac:dyDescent="0.2">
      <c r="A10" s="10" t="s">
        <v>144</v>
      </c>
      <c r="C10" s="50">
        <f>0</f>
        <v>0</v>
      </c>
      <c r="D10" s="50">
        <f>0</f>
        <v>0</v>
      </c>
      <c r="E10" s="50">
        <f>0</f>
        <v>0</v>
      </c>
      <c r="F10" s="50">
        <f>0</f>
        <v>0</v>
      </c>
      <c r="G10" s="50">
        <f>0</f>
        <v>0</v>
      </c>
      <c r="H10" s="50">
        <f>0</f>
        <v>0</v>
      </c>
      <c r="I10" s="50">
        <f>0</f>
        <v>0</v>
      </c>
      <c r="J10" s="50">
        <f>0</f>
        <v>0</v>
      </c>
      <c r="K10" s="50">
        <f>0</f>
        <v>0</v>
      </c>
      <c r="L10" s="50">
        <f>0</f>
        <v>0</v>
      </c>
      <c r="M10" s="50">
        <f>0</f>
        <v>0</v>
      </c>
      <c r="N10" s="50">
        <f>0</f>
        <v>0</v>
      </c>
      <c r="O10" s="50">
        <f>0</f>
        <v>0</v>
      </c>
      <c r="P10" s="50">
        <f>0</f>
        <v>0</v>
      </c>
      <c r="Q10" s="50">
        <f>0</f>
        <v>0</v>
      </c>
      <c r="R10" s="50">
        <f>0</f>
        <v>0</v>
      </c>
      <c r="S10" s="50">
        <f>0</f>
        <v>0</v>
      </c>
      <c r="T10" s="50">
        <f>0</f>
        <v>0</v>
      </c>
      <c r="U10" s="50">
        <f>0</f>
        <v>0</v>
      </c>
      <c r="V10" s="50">
        <f>0</f>
        <v>0</v>
      </c>
      <c r="W10" s="50">
        <f>0</f>
        <v>0</v>
      </c>
      <c r="X10" s="50">
        <f>0</f>
        <v>0</v>
      </c>
      <c r="Y10" s="50">
        <f>0</f>
        <v>0</v>
      </c>
      <c r="Z10" s="50">
        <f>0</f>
        <v>0</v>
      </c>
    </row>
    <row r="11" spans="1:26" x14ac:dyDescent="0.2">
      <c r="A11" s="20" t="s">
        <v>145</v>
      </c>
      <c r="C11" s="54">
        <f t="shared" ref="C11:Z11" si="0">C7-C8-C9-C10</f>
        <v>118.44999999999999</v>
      </c>
      <c r="D11" s="54">
        <f t="shared" si="0"/>
        <v>135.125</v>
      </c>
      <c r="E11" s="54">
        <f t="shared" si="0"/>
        <v>151.8</v>
      </c>
      <c r="F11" s="54">
        <f t="shared" si="0"/>
        <v>151.8</v>
      </c>
      <c r="G11" s="54">
        <f t="shared" si="0"/>
        <v>60.72</v>
      </c>
      <c r="H11" s="54">
        <f t="shared" si="0"/>
        <v>24.288</v>
      </c>
      <c r="I11" s="54">
        <f t="shared" si="0"/>
        <v>9.715200000000003</v>
      </c>
      <c r="J11" s="54">
        <f t="shared" si="0"/>
        <v>3.8860800000000006</v>
      </c>
      <c r="K11" s="54">
        <f t="shared" si="0"/>
        <v>1.5544320000000003</v>
      </c>
      <c r="L11" s="54">
        <f t="shared" si="0"/>
        <v>0.6217728000000002</v>
      </c>
      <c r="M11" s="54">
        <f t="shared" si="0"/>
        <v>0.24870912000000006</v>
      </c>
      <c r="N11" s="54">
        <f t="shared" si="0"/>
        <v>0.09948364800000001</v>
      </c>
      <c r="O11" s="54">
        <f t="shared" si="0"/>
        <v>0.039793459200000006</v>
      </c>
      <c r="P11" s="54">
        <f t="shared" si="0"/>
        <v>0.015917383680000004</v>
      </c>
      <c r="Q11" s="54">
        <f t="shared" si="0"/>
        <v>0.006366953472000003</v>
      </c>
      <c r="R11" s="54">
        <f t="shared" si="0"/>
        <v>0.0025467813888000014</v>
      </c>
      <c r="S11" s="54">
        <f t="shared" si="0"/>
        <v>0.0010187125555200006</v>
      </c>
      <c r="T11" s="54">
        <f t="shared" si="0"/>
        <v>0.00040748502220800027</v>
      </c>
      <c r="U11" s="54">
        <f t="shared" si="0"/>
        <v>0.00016299400888320013</v>
      </c>
      <c r="V11" s="54">
        <f t="shared" si="0"/>
        <v>6.519760355328006e-05</v>
      </c>
      <c r="W11" s="54">
        <f t="shared" si="0"/>
        <v>2.6079041421312024e-05</v>
      </c>
      <c r="X11" s="54">
        <f t="shared" si="0"/>
        <v>1.043161656852481e-05</v>
      </c>
      <c r="Y11" s="54">
        <f t="shared" si="0"/>
        <v>4.1726466274099245e-06</v>
      </c>
      <c r="Z11" s="54">
        <f t="shared" si="0"/>
        <v>1.66905865096397e-06</v>
      </c>
    </row>
    <row r="13" spans="1:26" x14ac:dyDescent="0.2">
      <c r="A13" s="27" t="s">
        <v>146</v>
      </c>
    </row>
    <row r="14" spans="1:26" x14ac:dyDescent="0.2">
      <c r="A14" s="10" t="s">
        <v>139</v>
      </c>
      <c r="C14" s="61">
        <f>C$2-Assumptions!$B$60+1</f>
        <v>2.0</v>
      </c>
      <c r="D14" s="61">
        <f>D$2-Assumptions!$B$60+1</f>
        <v>3.0</v>
      </c>
      <c r="E14" s="61">
        <f>E$2-Assumptions!$B$60+1</f>
        <v>4.0</v>
      </c>
      <c r="F14" s="61">
        <f>F$2-Assumptions!$B$60+1</f>
        <v>5.0</v>
      </c>
      <c r="G14" s="61">
        <f>G$2-Assumptions!$B$60+1</f>
        <v>6.0</v>
      </c>
      <c r="H14" s="61">
        <f>H$2-Assumptions!$B$60+1</f>
        <v>7.0</v>
      </c>
      <c r="I14" s="61">
        <f>I$2-Assumptions!$B$60+1</f>
        <v>8.0</v>
      </c>
      <c r="J14" s="61">
        <f>J$2-Assumptions!$B$60+1</f>
        <v>9.0</v>
      </c>
      <c r="K14" s="61">
        <f>K$2-Assumptions!$B$60+1</f>
        <v>10.0</v>
      </c>
      <c r="L14" s="61">
        <f>L$2-Assumptions!$B$60+1</f>
        <v>11.0</v>
      </c>
      <c r="M14" s="61">
        <f>M$2-Assumptions!$B$60+1</f>
        <v>12.0</v>
      </c>
      <c r="N14" s="61">
        <f>N$2-Assumptions!$B$60+1</f>
        <v>13.0</v>
      </c>
      <c r="O14" s="61">
        <f>O$2-Assumptions!$B$60+1</f>
        <v>14.0</v>
      </c>
      <c r="P14" s="61">
        <f>P$2-Assumptions!$B$60+1</f>
        <v>15.0</v>
      </c>
      <c r="Q14" s="61">
        <f>Q$2-Assumptions!$B$60+1</f>
        <v>16.0</v>
      </c>
      <c r="R14" s="61">
        <f>R$2-Assumptions!$B$60+1</f>
        <v>17.0</v>
      </c>
      <c r="S14" s="61">
        <f>S$2-Assumptions!$B$60+1</f>
        <v>18.0</v>
      </c>
      <c r="T14" s="61">
        <f>T$2-Assumptions!$B$60+1</f>
        <v>19.0</v>
      </c>
      <c r="U14" s="61">
        <f>U$2-Assumptions!$B$60+1</f>
        <v>20.0</v>
      </c>
      <c r="V14" s="61">
        <f>V$2-Assumptions!$B$60+1</f>
        <v>21.0</v>
      </c>
      <c r="W14" s="61">
        <f>W$2-Assumptions!$B$60+1</f>
        <v>22.0</v>
      </c>
      <c r="X14" s="61">
        <f>X$2-Assumptions!$B$60+1</f>
        <v>23.0</v>
      </c>
      <c r="Y14" s="61">
        <f>Y$2-Assumptions!$B$60+1</f>
        <v>24.0</v>
      </c>
      <c r="Z14" s="61">
        <f>Z$2-Assumptions!$B$60+1</f>
        <v>25.0</v>
      </c>
    </row>
    <row r="15" spans="1:26" x14ac:dyDescent="0.2">
      <c r="A15" s="10" t="s">
        <v>140</v>
      </c>
      <c r="C15" s="50">
        <f>IF(C$2&gt;Assumptions!$B$68,Assumptions!$B$70*(1-Assumptions!$B$69),IF(C$2&lt;Assumptions!$B$62,Assumptions!$B$70+(Assumptions!$B$61-Assumptions!$B$70)*((C$2-2026)/(Assumptions!$B$62-2026))^Assumptions!$B$63,Assumptions!$B$61))</f>
        <v>37.33324803179147</v>
      </c>
      <c r="D15" s="50">
        <f>IF(D$2&gt;Assumptions!$B$68,C15*(1-Assumptions!$B$69),IF(D$2&lt;Assumptions!$B$62,Assumptions!$B$70+(Assumptions!$B$61-Assumptions!$B$70)*((D$2-2026)/(Assumptions!$B$62-2026))^Assumptions!$B$63,Assumptions!$B$61))</f>
        <v>78.76464005251184</v>
      </c>
      <c r="E15" s="50">
        <f>IF(E$2&gt;Assumptions!$B$68,D15*(1-Assumptions!$B$69),IF(E$2&lt;Assumptions!$B$62,Assumptions!$B$70+(Assumptions!$B$61-Assumptions!$B$70)*((E$2-2026)/(Assumptions!$B$62-2026))^Assumptions!$B$63,Assumptions!$B$61))</f>
        <v>127.18272366983226</v>
      </c>
      <c r="F15" s="50">
        <f>IF(F$2&gt;Assumptions!$B$68,E15*(1-Assumptions!$B$69),IF(F$2&lt;Assumptions!$B$62,Assumptions!$B$70+(Assumptions!$B$61-Assumptions!$B$70)*((F$2-2026)/(Assumptions!$B$62-2026))^Assumptions!$B$63,Assumptions!$B$61))</f>
        <v>180.78069369933786</v>
      </c>
      <c r="G15" s="50">
        <f>IF(G$2&gt;Assumptions!$B$68,F15*(1-Assumptions!$B$69),IF(G$2&lt;Assumptions!$B$62,Assumptions!$B$70+(Assumptions!$B$61-Assumptions!$B$70)*((G$2-2026)/(Assumptions!$B$62-2026))^Assumptions!$B$63,Assumptions!$B$61))</f>
        <v>238.59232664227542</v>
      </c>
      <c r="H15" s="50">
        <f>IF(H$2&gt;Assumptions!$B$68,G15*(1-Assumptions!$B$69),IF(H$2&lt;Assumptions!$B$62,Assumptions!$B$70+(Assumptions!$B$61-Assumptions!$B$70)*((H$2-2026)/(Assumptions!$B$62-2026))^Assumptions!$B$63,Assumptions!$B$61))</f>
        <v>300</v>
      </c>
      <c r="I15" s="50">
        <f>IF(I$2&gt;Assumptions!$B$68,H15*(1-Assumptions!$B$69),IF(I$2&lt;Assumptions!$B$62,Assumptions!$B$70+(Assumptions!$B$61-Assumptions!$B$70)*((I$2-2026)/(Assumptions!$B$62-2026))^Assumptions!$B$63,Assumptions!$B$61))</f>
        <v>300</v>
      </c>
      <c r="J15" s="50">
        <f>IF(J$2&gt;Assumptions!$B$68,I15*(1-Assumptions!$B$69),IF(J$2&lt;Assumptions!$B$62,Assumptions!$B$70+(Assumptions!$B$61-Assumptions!$B$70)*((J$2-2026)/(Assumptions!$B$62-2026))^Assumptions!$B$63,Assumptions!$B$61))</f>
        <v>300</v>
      </c>
      <c r="K15" s="50">
        <f>IF(K$2&gt;Assumptions!$B$68,J15*(1-Assumptions!$B$69),IF(K$2&lt;Assumptions!$B$62,Assumptions!$B$70+(Assumptions!$B$61-Assumptions!$B$70)*((K$2-2026)/(Assumptions!$B$62-2026))^Assumptions!$B$63,Assumptions!$B$61))</f>
        <v>300</v>
      </c>
      <c r="L15" s="50">
        <f>IF(L$2&gt;Assumptions!$B$68,K15*(1-Assumptions!$B$69),IF(L$2&lt;Assumptions!$B$62,Assumptions!$B$70+(Assumptions!$B$61-Assumptions!$B$70)*((L$2-2026)/(Assumptions!$B$62-2026))^Assumptions!$B$63,Assumptions!$B$61))</f>
        <v>300</v>
      </c>
      <c r="M15" s="50">
        <f>IF(M$2&gt;Assumptions!$B$68,L15*(1-Assumptions!$B$69),IF(M$2&lt;Assumptions!$B$62,Assumptions!$B$70+(Assumptions!$B$61-Assumptions!$B$70)*((M$2-2026)/(Assumptions!$B$62-2026))^Assumptions!$B$63,Assumptions!$B$61))</f>
        <v>300</v>
      </c>
      <c r="N15" s="50">
        <f>IF(N$2&gt;Assumptions!$B$68,M15*(1-Assumptions!$B$69),IF(N$2&lt;Assumptions!$B$62,Assumptions!$B$70+(Assumptions!$B$61-Assumptions!$B$70)*((N$2-2026)/(Assumptions!$B$62-2026))^Assumptions!$B$63,Assumptions!$B$61))</f>
        <v>300</v>
      </c>
      <c r="O15" s="50">
        <f>IF(O$2&gt;Assumptions!$B$68,N15*(1-Assumptions!$B$69),IF(O$2&lt;Assumptions!$B$62,Assumptions!$B$70+(Assumptions!$B$61-Assumptions!$B$70)*((O$2-2026)/(Assumptions!$B$62-2026))^Assumptions!$B$63,Assumptions!$B$61))</f>
        <v>300</v>
      </c>
      <c r="P15" s="50">
        <f>IF(P$2&gt;Assumptions!$B$68,O15*(1-Assumptions!$B$69),IF(P$2&lt;Assumptions!$B$62,Assumptions!$B$70+(Assumptions!$B$61-Assumptions!$B$70)*((P$2-2026)/(Assumptions!$B$62-2026))^Assumptions!$B$63,Assumptions!$B$61))</f>
        <v>300</v>
      </c>
      <c r="Q15" s="50">
        <f>IF(Q$2&gt;Assumptions!$B$68,P15*(1-Assumptions!$B$69),IF(Q$2&lt;Assumptions!$B$62,Assumptions!$B$70+(Assumptions!$B$61-Assumptions!$B$70)*((Q$2-2026)/(Assumptions!$B$62-2026))^Assumptions!$B$63,Assumptions!$B$61))</f>
        <v>120.0</v>
      </c>
      <c r="R15" s="50">
        <f>IF(R$2&gt;Assumptions!$B$68,Q15*(1-Assumptions!$B$69),IF(R$2&lt;Assumptions!$B$62,Assumptions!$B$70+(Assumptions!$B$61-Assumptions!$B$70)*((R$2-2026)/(Assumptions!$B$62-2026))^Assumptions!$B$63,Assumptions!$B$61))</f>
        <v>48.0</v>
      </c>
      <c r="S15" s="50">
        <f>IF(S$2&gt;Assumptions!$B$68,R15*(1-Assumptions!$B$69),IF(S$2&lt;Assumptions!$B$62,Assumptions!$B$70+(Assumptions!$B$61-Assumptions!$B$70)*((S$2-2026)/(Assumptions!$B$62-2026))^Assumptions!$B$63,Assumptions!$B$61))</f>
        <v>19.200000000000003</v>
      </c>
      <c r="T15" s="50">
        <f>IF(T$2&gt;Assumptions!$B$68,S15*(1-Assumptions!$B$69),IF(T$2&lt;Assumptions!$B$62,Assumptions!$B$70+(Assumptions!$B$61-Assumptions!$B$70)*((T$2-2026)/(Assumptions!$B$62-2026))^Assumptions!$B$63,Assumptions!$B$61))</f>
        <v>7.6800000000000015</v>
      </c>
      <c r="U15" s="50">
        <f>IF(U$2&gt;Assumptions!$B$68,T15*(1-Assumptions!$B$69),IF(U$2&lt;Assumptions!$B$62,Assumptions!$B$70+(Assumptions!$B$61-Assumptions!$B$70)*((U$2-2026)/(Assumptions!$B$62-2026))^Assumptions!$B$63,Assumptions!$B$61))</f>
        <v>3.072000000000001</v>
      </c>
      <c r="V15" s="50">
        <f>IF(V$2&gt;Assumptions!$B$68,U15*(1-Assumptions!$B$69),IF(V$2&lt;Assumptions!$B$62,Assumptions!$B$70+(Assumptions!$B$61-Assumptions!$B$70)*((V$2-2026)/(Assumptions!$B$62-2026))^Assumptions!$B$63,Assumptions!$B$61))</f>
        <v>1.2288000000000006</v>
      </c>
      <c r="W15" s="50">
        <f>IF(W$2&gt;Assumptions!$B$68,V15*(1-Assumptions!$B$69),IF(W$2&lt;Assumptions!$B$62,Assumptions!$B$70+(Assumptions!$B$61-Assumptions!$B$70)*((W$2-2026)/(Assumptions!$B$62-2026))^Assumptions!$B$63,Assumptions!$B$61))</f>
        <v>0.49152000000000023</v>
      </c>
      <c r="X15" s="50">
        <f>IF(X$2&gt;Assumptions!$B$68,W15*(1-Assumptions!$B$69),IF(X$2&lt;Assumptions!$B$62,Assumptions!$B$70+(Assumptions!$B$61-Assumptions!$B$70)*((X$2-2026)/(Assumptions!$B$62-2026))^Assumptions!$B$63,Assumptions!$B$61))</f>
        <v>0.19660800000000012</v>
      </c>
      <c r="Y15" s="50">
        <f>IF(Y$2&gt;Assumptions!$B$68,X15*(1-Assumptions!$B$69),IF(Y$2&lt;Assumptions!$B$62,Assumptions!$B$70+(Assumptions!$B$61-Assumptions!$B$70)*((Y$2-2026)/(Assumptions!$B$62-2026))^Assumptions!$B$63,Assumptions!$B$61))</f>
        <v>0.07864320000000005</v>
      </c>
      <c r="Z15" s="50">
        <f>IF(Z$2&gt;Assumptions!$B$68,Y15*(1-Assumptions!$B$69),IF(Z$2&lt;Assumptions!$B$62,Assumptions!$B$70+(Assumptions!$B$61-Assumptions!$B$70)*((Z$2-2026)/(Assumptions!$B$62-2026))^Assumptions!$B$63,Assumptions!$B$61))</f>
        <v>0.031457280000000025</v>
      </c>
    </row>
    <row r="16" spans="1:26" x14ac:dyDescent="0.2">
      <c r="A16" s="10" t="s">
        <v>141</v>
      </c>
      <c r="C16" s="50">
        <f>C15*Assumptions!$B$64</f>
        <v>37.33324803179147</v>
      </c>
      <c r="D16" s="50">
        <f>D15*Assumptions!$B$64</f>
        <v>78.76464005251184</v>
      </c>
      <c r="E16" s="50">
        <f>E15*Assumptions!$B$64</f>
        <v>127.18272366983226</v>
      </c>
      <c r="F16" s="50">
        <f>F15*Assumptions!$B$64</f>
        <v>180.78069369933786</v>
      </c>
      <c r="G16" s="50">
        <f>G15*Assumptions!$B$64</f>
        <v>238.59232664227542</v>
      </c>
      <c r="H16" s="50">
        <f>H15*Assumptions!$B$64</f>
        <v>300.0</v>
      </c>
      <c r="I16" s="50">
        <f>I15*Assumptions!$B$64</f>
        <v>300.0</v>
      </c>
      <c r="J16" s="50">
        <f>J15*Assumptions!$B$64</f>
        <v>300.0</v>
      </c>
      <c r="K16" s="50">
        <f>K15*Assumptions!$B$64</f>
        <v>300.0</v>
      </c>
      <c r="L16" s="50">
        <f>L15*Assumptions!$B$64</f>
        <v>300.0</v>
      </c>
      <c r="M16" s="50">
        <f>M15*Assumptions!$B$64</f>
        <v>300.0</v>
      </c>
      <c r="N16" s="50">
        <f>N15*Assumptions!$B$64</f>
        <v>300.0</v>
      </c>
      <c r="O16" s="50">
        <f>O15*Assumptions!$B$64</f>
        <v>300.0</v>
      </c>
      <c r="P16" s="50">
        <f>P15*Assumptions!$B$64</f>
        <v>300.0</v>
      </c>
      <c r="Q16" s="50">
        <f>Q15*Assumptions!$B$64</f>
        <v>120.0</v>
      </c>
      <c r="R16" s="50">
        <f>R15*Assumptions!$B$64</f>
        <v>48.0</v>
      </c>
      <c r="S16" s="50">
        <f>S15*Assumptions!$B$64</f>
        <v>19.200000000000003</v>
      </c>
      <c r="T16" s="50">
        <f>T15*Assumptions!$B$64</f>
        <v>7.6800000000000015</v>
      </c>
      <c r="U16" s="50">
        <f>U15*Assumptions!$B$64</f>
        <v>3.072000000000001</v>
      </c>
      <c r="V16" s="50">
        <f>V15*Assumptions!$B$64</f>
        <v>1.2288000000000006</v>
      </c>
      <c r="W16" s="50">
        <f>W15*Assumptions!$B$64</f>
        <v>0.49152000000000023</v>
      </c>
      <c r="X16" s="50">
        <f>X15*Assumptions!$B$64</f>
        <v>0.19660800000000012</v>
      </c>
      <c r="Y16" s="50">
        <f>Y15*Assumptions!$B$64</f>
        <v>0.07864320000000005</v>
      </c>
      <c r="Z16" s="50">
        <f>Z15*Assumptions!$B$64</f>
        <v>0.031457280000000025</v>
      </c>
    </row>
    <row r="17" spans="1:26" x14ac:dyDescent="0.2">
      <c r="A17" s="10" t="s">
        <v>142</v>
      </c>
      <c r="C17" s="50">
        <f>C15*(Assumptions!$B$65+Assumptions!$B$66)</f>
        <v>2.239994881907488</v>
      </c>
      <c r="D17" s="50">
        <f>D15*(Assumptions!$B$65+Assumptions!$B$66)</f>
        <v>4.72587840315071</v>
      </c>
      <c r="E17" s="50">
        <f>E15*(Assumptions!$B$65+Assumptions!$B$66)</f>
        <v>7.630963420189935</v>
      </c>
      <c r="F17" s="50">
        <f>F15*(Assumptions!$B$65+Assumptions!$B$66)</f>
        <v>10.846841621960271</v>
      </c>
      <c r="G17" s="50">
        <f>G15*(Assumptions!$B$65+Assumptions!$B$66)</f>
        <v>14.315539598536525</v>
      </c>
      <c r="H17" s="50">
        <f>H15*(Assumptions!$B$65+Assumptions!$B$66)</f>
        <v>18.0</v>
      </c>
      <c r="I17" s="50">
        <f>I15*(Assumptions!$B$65+Assumptions!$B$66)</f>
        <v>18.0</v>
      </c>
      <c r="J17" s="50">
        <f>J15*(Assumptions!$B$65+Assumptions!$B$66)</f>
        <v>18.0</v>
      </c>
      <c r="K17" s="50">
        <f>K15*(Assumptions!$B$65+Assumptions!$B$66)</f>
        <v>18.0</v>
      </c>
      <c r="L17" s="50">
        <f>L15*(Assumptions!$B$65+Assumptions!$B$66)</f>
        <v>18.0</v>
      </c>
      <c r="M17" s="50">
        <f>M15*(Assumptions!$B$65+Assumptions!$B$66)</f>
        <v>18.0</v>
      </c>
      <c r="N17" s="50">
        <f>N15*(Assumptions!$B$65+Assumptions!$B$66)</f>
        <v>18.0</v>
      </c>
      <c r="O17" s="50">
        <f>O15*(Assumptions!$B$65+Assumptions!$B$66)</f>
        <v>18.0</v>
      </c>
      <c r="P17" s="50">
        <f>P15*(Assumptions!$B$65+Assumptions!$B$66)</f>
        <v>18.0</v>
      </c>
      <c r="Q17" s="50">
        <f>Q15*(Assumptions!$B$65+Assumptions!$B$66)</f>
        <v>7.199999999999999</v>
      </c>
      <c r="R17" s="50">
        <f>R15*(Assumptions!$B$65+Assumptions!$B$66)</f>
        <v>2.88</v>
      </c>
      <c r="S17" s="50">
        <f>S15*(Assumptions!$B$65+Assumptions!$B$66)</f>
        <v>1.1520000000000001</v>
      </c>
      <c r="T17" s="50">
        <f>T15*(Assumptions!$B$65+Assumptions!$B$66)</f>
        <v>0.4608000000000001</v>
      </c>
      <c r="U17" s="50">
        <f>U15*(Assumptions!$B$65+Assumptions!$B$66)</f>
        <v>0.18432000000000004</v>
      </c>
      <c r="V17" s="50">
        <f>V15*(Assumptions!$B$65+Assumptions!$B$66)</f>
        <v>0.07372800000000003</v>
      </c>
      <c r="W17" s="50">
        <f>W15*(Assumptions!$B$65+Assumptions!$B$66)</f>
        <v>0.029491200000000013</v>
      </c>
      <c r="X17" s="50">
        <f>X15*(Assumptions!$B$65+Assumptions!$B$66)</f>
        <v>0.011796480000000007</v>
      </c>
      <c r="Y17" s="50">
        <f>Y15*(Assumptions!$B$65+Assumptions!$B$66)</f>
        <v>0.004718592000000003</v>
      </c>
      <c r="Z17" s="50">
        <f>Z15*(Assumptions!$B$65+Assumptions!$B$66)</f>
        <v>0.0018874368000000015</v>
      </c>
    </row>
    <row r="18" spans="1:26" x14ac:dyDescent="0.2">
      <c r="A18" s="10" t="s">
        <v>143</v>
      </c>
      <c r="C18" s="50">
        <f>IF(Assumptions!$B$67=0,0,IF(FALSE,0,IF(C14&gt;=1,C15*IF(OR(Assumptions!$B$64&lt;1,C14&gt;5),Assumptions!$B$67,MAX(Assumptions!$B$67,INDEX(Assumptions!$B$44:$F$44,C14))),0)))</f>
        <v>20.53328641748531</v>
      </c>
      <c r="D18" s="50">
        <f>IF(Assumptions!$B$67=0,0,IF(FALSE,0,IF(D14&gt;=1,D15*IF(OR(Assumptions!$B$64&lt;1,D14&gt;5),Assumptions!$B$67,MAX(Assumptions!$B$67,INDEX(Assumptions!$B$44:$F$44,D14))),0)))</f>
        <v>31.505856021004735</v>
      </c>
      <c r="E18" s="50">
        <f>IF(Assumptions!$B$67=0,0,IF(FALSE,0,IF(E14&gt;=1,E15*IF(OR(Assumptions!$B$64&lt;1,E14&gt;5),Assumptions!$B$67,MAX(Assumptions!$B$67,INDEX(Assumptions!$B$44:$F$44,E14))),0)))</f>
        <v>40.69847157434632</v>
      </c>
      <c r="F18" s="50">
        <f>IF(Assumptions!$B$67=0,0,IF(FALSE,0,IF(F14&gt;=1,F15*IF(OR(Assumptions!$B$64&lt;1,F14&gt;5),Assumptions!$B$67,MAX(Assumptions!$B$67,INDEX(Assumptions!$B$44:$F$44,F14))),0)))</f>
        <v>54.23420810980136</v>
      </c>
      <c r="G18" s="50">
        <f>IF(Assumptions!$B$67=0,0,IF(FALSE,0,IF(G14&gt;=1,G15*IF(OR(Assumptions!$B$64&lt;1,G14&gt;5),Assumptions!$B$67,MAX(Assumptions!$B$67,INDEX(Assumptions!$B$44:$F$44,G14))),0)))</f>
        <v>71.57769799268263</v>
      </c>
      <c r="H18" s="50">
        <f>IF(Assumptions!$B$67=0,0,IF(FALSE,0,IF(H14&gt;=1,H15*IF(OR(Assumptions!$B$64&lt;1,H14&gt;5),Assumptions!$B$67,MAX(Assumptions!$B$67,INDEX(Assumptions!$B$44:$F$44,H14))),0)))</f>
        <v>90.0</v>
      </c>
      <c r="I18" s="50">
        <f>IF(Assumptions!$B$67=0,0,IF(FALSE,0,IF(I14&gt;=1,I15*IF(OR(Assumptions!$B$64&lt;1,I14&gt;5),Assumptions!$B$67,MAX(Assumptions!$B$67,INDEX(Assumptions!$B$44:$F$44,I14))),0)))</f>
        <v>90.0</v>
      </c>
      <c r="J18" s="50">
        <f>IF(Assumptions!$B$67=0,0,IF(FALSE,0,IF(J14&gt;=1,J15*IF(OR(Assumptions!$B$64&lt;1,J14&gt;5),Assumptions!$B$67,MAX(Assumptions!$B$67,INDEX(Assumptions!$B$44:$F$44,J14))),0)))</f>
        <v>90.0</v>
      </c>
      <c r="K18" s="50">
        <f>IF(Assumptions!$B$67=0,0,IF(FALSE,0,IF(K14&gt;=1,K15*IF(OR(Assumptions!$B$64&lt;1,K14&gt;5),Assumptions!$B$67,MAX(Assumptions!$B$67,INDEX(Assumptions!$B$44:$F$44,K14))),0)))</f>
        <v>90.0</v>
      </c>
      <c r="L18" s="50">
        <f>IF(Assumptions!$B$67=0,0,IF(FALSE,0,IF(L14&gt;=1,L15*IF(OR(Assumptions!$B$64&lt;1,L14&gt;5),Assumptions!$B$67,MAX(Assumptions!$B$67,INDEX(Assumptions!$B$44:$F$44,L14))),0)))</f>
        <v>90.0</v>
      </c>
      <c r="M18" s="50">
        <f>IF(Assumptions!$B$67=0,0,IF(FALSE,0,IF(M14&gt;=1,M15*IF(OR(Assumptions!$B$64&lt;1,M14&gt;5),Assumptions!$B$67,MAX(Assumptions!$B$67,INDEX(Assumptions!$B$44:$F$44,M14))),0)))</f>
        <v>90.0</v>
      </c>
      <c r="N18" s="50">
        <f>IF(Assumptions!$B$67=0,0,IF(FALSE,0,IF(N14&gt;=1,N15*IF(OR(Assumptions!$B$64&lt;1,N14&gt;5),Assumptions!$B$67,MAX(Assumptions!$B$67,INDEX(Assumptions!$B$44:$F$44,N14))),0)))</f>
        <v>90.0</v>
      </c>
      <c r="O18" s="50">
        <f>IF(Assumptions!$B$67=0,0,IF(FALSE,0,IF(O14&gt;=1,O15*IF(OR(Assumptions!$B$64&lt;1,O14&gt;5),Assumptions!$B$67,MAX(Assumptions!$B$67,INDEX(Assumptions!$B$44:$F$44,O14))),0)))</f>
        <v>90.0</v>
      </c>
      <c r="P18" s="50">
        <f>IF(Assumptions!$B$67=0,0,IF(FALSE,0,IF(P14&gt;=1,P15*IF(OR(Assumptions!$B$64&lt;1,P14&gt;5),Assumptions!$B$67,MAX(Assumptions!$B$67,INDEX(Assumptions!$B$44:$F$44,P14))),0)))</f>
        <v>90.0</v>
      </c>
      <c r="Q18" s="50">
        <f>IF(Assumptions!$B$67=0,0,IF(FALSE,0,IF(Q14&gt;=1,Q15*IF(OR(Assumptions!$B$64&lt;1,Q14&gt;5),Assumptions!$B$67,MAX(Assumptions!$B$67,INDEX(Assumptions!$B$44:$F$44,Q14))),0)))</f>
        <v>36.0</v>
      </c>
      <c r="R18" s="50">
        <f>IF(Assumptions!$B$67=0,0,IF(FALSE,0,IF(R14&gt;=1,R15*IF(OR(Assumptions!$B$64&lt;1,R14&gt;5),Assumptions!$B$67,MAX(Assumptions!$B$67,INDEX(Assumptions!$B$44:$F$44,R14))),0)))</f>
        <v>14.399999999999999</v>
      </c>
      <c r="S18" s="50">
        <f>IF(Assumptions!$B$67=0,0,IF(FALSE,0,IF(S14&gt;=1,S15*IF(OR(Assumptions!$B$64&lt;1,S14&gt;5),Assumptions!$B$67,MAX(Assumptions!$B$67,INDEX(Assumptions!$B$44:$F$44,S14))),0)))</f>
        <v>5.760000000000001</v>
      </c>
      <c r="T18" s="50">
        <f>IF(Assumptions!$B$67=0,0,IF(FALSE,0,IF(T14&gt;=1,T15*IF(OR(Assumptions!$B$64&lt;1,T14&gt;5),Assumptions!$B$67,MAX(Assumptions!$B$67,INDEX(Assumptions!$B$44:$F$44,T14))),0)))</f>
        <v>2.3040000000000003</v>
      </c>
      <c r="U18" s="50">
        <f>IF(Assumptions!$B$67=0,0,IF(FALSE,0,IF(U14&gt;=1,U15*IF(OR(Assumptions!$B$64&lt;1,U14&gt;5),Assumptions!$B$67,MAX(Assumptions!$B$67,INDEX(Assumptions!$B$44:$F$44,U14))),0)))</f>
        <v>0.9216000000000002</v>
      </c>
      <c r="V18" s="50">
        <f>IF(Assumptions!$B$67=0,0,IF(FALSE,0,IF(V14&gt;=1,V15*IF(OR(Assumptions!$B$64&lt;1,V14&gt;5),Assumptions!$B$67,MAX(Assumptions!$B$67,INDEX(Assumptions!$B$44:$F$44,V14))),0)))</f>
        <v>0.36864000000000013</v>
      </c>
      <c r="W18" s="50">
        <f>IF(Assumptions!$B$67=0,0,IF(FALSE,0,IF(W14&gt;=1,W15*IF(OR(Assumptions!$B$64&lt;1,W14&gt;5),Assumptions!$B$67,MAX(Assumptions!$B$67,INDEX(Assumptions!$B$44:$F$44,W14))),0)))</f>
        <v>0.14745600000000006</v>
      </c>
      <c r="X18" s="50">
        <f>IF(Assumptions!$B$67=0,0,IF(FALSE,0,IF(X14&gt;=1,X15*IF(OR(Assumptions!$B$64&lt;1,X14&gt;5),Assumptions!$B$67,MAX(Assumptions!$B$67,INDEX(Assumptions!$B$44:$F$44,X14))),0)))</f>
        <v>0.05898240000000003</v>
      </c>
      <c r="Y18" s="50">
        <f>IF(Assumptions!$B$67=0,0,IF(FALSE,0,IF(Y14&gt;=1,Y15*IF(OR(Assumptions!$B$64&lt;1,Y14&gt;5),Assumptions!$B$67,MAX(Assumptions!$B$67,INDEX(Assumptions!$B$44:$F$44,Y14))),0)))</f>
        <v>0.023592960000000014</v>
      </c>
      <c r="Z18" s="50">
        <f>IF(Assumptions!$B$67=0,0,IF(FALSE,0,IF(Z14&gt;=1,Z15*IF(OR(Assumptions!$B$64&lt;1,Z14&gt;5),Assumptions!$B$67,MAX(Assumptions!$B$67,INDEX(Assumptions!$B$44:$F$44,Z14))),0)))</f>
        <v>0.009437184000000006</v>
      </c>
    </row>
    <row r="19" spans="1:26" x14ac:dyDescent="0.2">
      <c r="A19" s="10" t="s">
        <v>144</v>
      </c>
      <c r="C19" s="50">
        <f>0</f>
        <v>0</v>
      </c>
      <c r="D19" s="50">
        <f>0</f>
        <v>0</v>
      </c>
      <c r="E19" s="50">
        <f>0</f>
        <v>0</v>
      </c>
      <c r="F19" s="50">
        <f>0</f>
        <v>0</v>
      </c>
      <c r="G19" s="50">
        <f>0</f>
        <v>0</v>
      </c>
      <c r="H19" s="50">
        <f>0</f>
        <v>0</v>
      </c>
      <c r="I19" s="50">
        <f>0</f>
        <v>0</v>
      </c>
      <c r="J19" s="50">
        <f>0</f>
        <v>0</v>
      </c>
      <c r="K19" s="50">
        <f>0</f>
        <v>0</v>
      </c>
      <c r="L19" s="50">
        <f>0</f>
        <v>0</v>
      </c>
      <c r="M19" s="50">
        <f>0</f>
        <v>0</v>
      </c>
      <c r="N19" s="50">
        <f>0</f>
        <v>0</v>
      </c>
      <c r="O19" s="50">
        <f>0</f>
        <v>0</v>
      </c>
      <c r="P19" s="50">
        <f>0</f>
        <v>0</v>
      </c>
      <c r="Q19" s="50">
        <f>0</f>
        <v>0</v>
      </c>
      <c r="R19" s="50">
        <f>0</f>
        <v>0</v>
      </c>
      <c r="S19" s="50">
        <f>0</f>
        <v>0</v>
      </c>
      <c r="T19" s="50">
        <f>0</f>
        <v>0</v>
      </c>
      <c r="U19" s="50">
        <f>0</f>
        <v>0</v>
      </c>
      <c r="V19" s="50">
        <f>0</f>
        <v>0</v>
      </c>
      <c r="W19" s="50">
        <f>0</f>
        <v>0</v>
      </c>
      <c r="X19" s="50">
        <f>0</f>
        <v>0</v>
      </c>
      <c r="Y19" s="50">
        <f>0</f>
        <v>0</v>
      </c>
      <c r="Z19" s="50">
        <f>0</f>
        <v>0</v>
      </c>
    </row>
    <row r="20" spans="1:26" x14ac:dyDescent="0.2">
      <c r="A20" s="20" t="s">
        <v>145</v>
      </c>
      <c r="C20" s="54">
        <f t="shared" ref="C20:Z20" si="1">C16-C17-C18-C19</f>
        <v>14.559966732398674</v>
      </c>
      <c r="D20" s="54">
        <f t="shared" si="1"/>
        <v>42.53290562835639</v>
      </c>
      <c r="E20" s="54">
        <f t="shared" si="1"/>
        <v>78.853288675296</v>
      </c>
      <c r="F20" s="54">
        <f t="shared" si="1"/>
        <v>115.69964396757624</v>
      </c>
      <c r="G20" s="54">
        <f t="shared" si="1"/>
        <v>152.69908905105626</v>
      </c>
      <c r="H20" s="54">
        <f t="shared" si="1"/>
        <v>192.0</v>
      </c>
      <c r="I20" s="54">
        <f t="shared" si="1"/>
        <v>192.0</v>
      </c>
      <c r="J20" s="54">
        <f t="shared" si="1"/>
        <v>192.0</v>
      </c>
      <c r="K20" s="54">
        <f t="shared" si="1"/>
        <v>192.0</v>
      </c>
      <c r="L20" s="54">
        <f t="shared" si="1"/>
        <v>192.0</v>
      </c>
      <c r="M20" s="54">
        <f t="shared" si="1"/>
        <v>192.0</v>
      </c>
      <c r="N20" s="54">
        <f t="shared" si="1"/>
        <v>192.0</v>
      </c>
      <c r="O20" s="54">
        <f t="shared" si="1"/>
        <v>192.0</v>
      </c>
      <c r="P20" s="54">
        <f t="shared" si="1"/>
        <v>192.0</v>
      </c>
      <c r="Q20" s="54">
        <f t="shared" si="1"/>
        <v>76.8</v>
      </c>
      <c r="R20" s="54">
        <f t="shared" si="1"/>
        <v>30.72</v>
      </c>
      <c r="S20" s="54">
        <f t="shared" si="1"/>
        <v>12.288</v>
      </c>
      <c r="T20" s="54">
        <f t="shared" si="1"/>
        <v>4.915200000000001</v>
      </c>
      <c r="U20" s="54">
        <f t="shared" si="1"/>
        <v>1.9660800000000007</v>
      </c>
      <c r="V20" s="54">
        <f t="shared" si="1"/>
        <v>0.7864320000000005</v>
      </c>
      <c r="W20" s="54">
        <f t="shared" si="1"/>
        <v>0.3145728000000002</v>
      </c>
      <c r="X20" s="54">
        <f t="shared" si="1"/>
        <v>0.12582912000000007</v>
      </c>
      <c r="Y20" s="54">
        <f t="shared" si="1"/>
        <v>0.050331648000000034</v>
      </c>
      <c r="Z20" s="54">
        <f t="shared" si="1"/>
        <v>0.020132659200000014</v>
      </c>
    </row>
    <row r="22" spans="1:26" x14ac:dyDescent="0.2">
      <c r="A22" s="27" t="s">
        <v>147</v>
      </c>
    </row>
    <row r="23" spans="1:26" x14ac:dyDescent="0.2">
      <c r="A23" s="10" t="s">
        <v>139</v>
      </c>
      <c r="C23" s="61">
        <f>C$2-Assumptions!$B$73+1</f>
        <v>14.0</v>
      </c>
      <c r="D23" s="61">
        <f>D$2-Assumptions!$B$73+1</f>
        <v>15.0</v>
      </c>
      <c r="E23" s="61">
        <f>E$2-Assumptions!$B$73+1</f>
        <v>16.0</v>
      </c>
      <c r="F23" s="61">
        <f>F$2-Assumptions!$B$73+1</f>
        <v>17.0</v>
      </c>
      <c r="G23" s="61">
        <f>G$2-Assumptions!$B$73+1</f>
        <v>18.0</v>
      </c>
      <c r="H23" s="61">
        <f>H$2-Assumptions!$B$73+1</f>
        <v>19.0</v>
      </c>
      <c r="I23" s="61">
        <f>I$2-Assumptions!$B$73+1</f>
        <v>20.0</v>
      </c>
      <c r="J23" s="61">
        <f>J$2-Assumptions!$B$73+1</f>
        <v>21.0</v>
      </c>
      <c r="K23" s="61">
        <f>K$2-Assumptions!$B$73+1</f>
        <v>22.0</v>
      </c>
      <c r="L23" s="61">
        <f>L$2-Assumptions!$B$73+1</f>
        <v>23.0</v>
      </c>
      <c r="M23" s="61">
        <f>M$2-Assumptions!$B$73+1</f>
        <v>24.0</v>
      </c>
      <c r="N23" s="61">
        <f>N$2-Assumptions!$B$73+1</f>
        <v>25.0</v>
      </c>
      <c r="O23" s="61">
        <f>O$2-Assumptions!$B$73+1</f>
        <v>26.0</v>
      </c>
      <c r="P23" s="61">
        <f>P$2-Assumptions!$B$73+1</f>
        <v>27.0</v>
      </c>
      <c r="Q23" s="61">
        <f>Q$2-Assumptions!$B$73+1</f>
        <v>28.0</v>
      </c>
      <c r="R23" s="61">
        <f>R$2-Assumptions!$B$73+1</f>
        <v>29.0</v>
      </c>
      <c r="S23" s="61">
        <f>S$2-Assumptions!$B$73+1</f>
        <v>30.0</v>
      </c>
      <c r="T23" s="61">
        <f>T$2-Assumptions!$B$73+1</f>
        <v>31.0</v>
      </c>
      <c r="U23" s="61">
        <f>U$2-Assumptions!$B$73+1</f>
        <v>32.0</v>
      </c>
      <c r="V23" s="61">
        <f>V$2-Assumptions!$B$73+1</f>
        <v>33.0</v>
      </c>
      <c r="W23" s="61">
        <f>W$2-Assumptions!$B$73+1</f>
        <v>34.0</v>
      </c>
      <c r="X23" s="61">
        <f>X$2-Assumptions!$B$73+1</f>
        <v>35.0</v>
      </c>
      <c r="Y23" s="61">
        <f>Y$2-Assumptions!$B$73+1</f>
        <v>36.0</v>
      </c>
      <c r="Z23" s="61">
        <f>Z$2-Assumptions!$B$73+1</f>
        <v>37.0</v>
      </c>
    </row>
    <row r="24" spans="1:26" x14ac:dyDescent="0.2">
      <c r="A24" s="10" t="s">
        <v>140</v>
      </c>
      <c r="C24" s="50">
        <f>IF(C$2&gt;Assumptions!$B$81,Assumptions!$B$83*(1-Assumptions!$B$82),IF(C$2&lt;Assumptions!$B$75,Assumptions!$B$83+(Assumptions!$B$74-Assumptions!$B$83)*((C$2-2026)/(Assumptions!$B$75-2026))^Assumptions!$B$76,Assumptions!$B$74))</f>
        <v>31.125</v>
      </c>
      <c r="D24" s="50">
        <f>IF(D$2&gt;Assumptions!$B$81,C24*(1-Assumptions!$B$82),IF(D$2&lt;Assumptions!$B$75,Assumptions!$B$83+(Assumptions!$B$74-Assumptions!$B$83)*((D$2-2026)/(Assumptions!$B$75-2026))^Assumptions!$B$76,Assumptions!$B$74))</f>
        <v>23.34375</v>
      </c>
      <c r="E24" s="50">
        <f>IF(E$2&gt;Assumptions!$B$81,D24*(1-Assumptions!$B$82),IF(E$2&lt;Assumptions!$B$75,Assumptions!$B$83+(Assumptions!$B$74-Assumptions!$B$83)*((E$2-2026)/(Assumptions!$B$75-2026))^Assumptions!$B$76,Assumptions!$B$74))</f>
        <v>17.5078125</v>
      </c>
      <c r="F24" s="50">
        <f>IF(F$2&gt;Assumptions!$B$81,E24*(1-Assumptions!$B$82),IF(F$2&lt;Assumptions!$B$75,Assumptions!$B$83+(Assumptions!$B$74-Assumptions!$B$83)*((F$2-2026)/(Assumptions!$B$75-2026))^Assumptions!$B$76,Assumptions!$B$74))</f>
        <v>13.130859375</v>
      </c>
      <c r="G24" s="50">
        <f>IF(G$2&gt;Assumptions!$B$81,F24*(1-Assumptions!$B$82),IF(G$2&lt;Assumptions!$B$75,Assumptions!$B$83+(Assumptions!$B$74-Assumptions!$B$83)*((G$2-2026)/(Assumptions!$B$75-2026))^Assumptions!$B$76,Assumptions!$B$74))</f>
        <v>9.84814453125</v>
      </c>
      <c r="H24" s="50">
        <f>IF(H$2&gt;Assumptions!$B$81,G24*(1-Assumptions!$B$82),IF(H$2&lt;Assumptions!$B$75,Assumptions!$B$83+(Assumptions!$B$74-Assumptions!$B$83)*((H$2-2026)/(Assumptions!$B$75-2026))^Assumptions!$B$76,Assumptions!$B$74))</f>
        <v>7.3861083984375</v>
      </c>
      <c r="I24" s="50">
        <f>IF(I$2&gt;Assumptions!$B$81,H24*(1-Assumptions!$B$82),IF(I$2&lt;Assumptions!$B$75,Assumptions!$B$83+(Assumptions!$B$74-Assumptions!$B$83)*((I$2-2026)/(Assumptions!$B$75-2026))^Assumptions!$B$76,Assumptions!$B$74))</f>
        <v>5.539581298828125</v>
      </c>
      <c r="J24" s="50">
        <f>IF(J$2&gt;Assumptions!$B$81,I24*(1-Assumptions!$B$82),IF(J$2&lt;Assumptions!$B$75,Assumptions!$B$83+(Assumptions!$B$74-Assumptions!$B$83)*((J$2-2026)/(Assumptions!$B$75-2026))^Assumptions!$B$76,Assumptions!$B$74))</f>
        <v>4.154685974121094</v>
      </c>
      <c r="K24" s="50">
        <f>IF(K$2&gt;Assumptions!$B$81,J24*(1-Assumptions!$B$82),IF(K$2&lt;Assumptions!$B$75,Assumptions!$B$83+(Assumptions!$B$74-Assumptions!$B$83)*((K$2-2026)/(Assumptions!$B$75-2026))^Assumptions!$B$76,Assumptions!$B$74))</f>
        <v>3.1160144805908203</v>
      </c>
      <c r="L24" s="50">
        <f>IF(L$2&gt;Assumptions!$B$81,K24*(1-Assumptions!$B$82),IF(L$2&lt;Assumptions!$B$75,Assumptions!$B$83+(Assumptions!$B$74-Assumptions!$B$83)*((L$2-2026)/(Assumptions!$B$75-2026))^Assumptions!$B$76,Assumptions!$B$74))</f>
        <v>2.3370108604431152</v>
      </c>
      <c r="M24" s="50">
        <f>IF(M$2&gt;Assumptions!$B$81,L24*(1-Assumptions!$B$82),IF(M$2&lt;Assumptions!$B$75,Assumptions!$B$83+(Assumptions!$B$74-Assumptions!$B$83)*((M$2-2026)/(Assumptions!$B$75-2026))^Assumptions!$B$76,Assumptions!$B$74))</f>
        <v>1.7527581453323364</v>
      </c>
      <c r="N24" s="50">
        <f>IF(N$2&gt;Assumptions!$B$81,M24*(1-Assumptions!$B$82),IF(N$2&lt;Assumptions!$B$75,Assumptions!$B$83+(Assumptions!$B$74-Assumptions!$B$83)*((N$2-2026)/(Assumptions!$B$75-2026))^Assumptions!$B$76,Assumptions!$B$74))</f>
        <v>1.3145686089992523</v>
      </c>
      <c r="O24" s="50">
        <f>IF(O$2&gt;Assumptions!$B$81,N24*(1-Assumptions!$B$82),IF(O$2&lt;Assumptions!$B$75,Assumptions!$B$83+(Assumptions!$B$74-Assumptions!$B$83)*((O$2-2026)/(Assumptions!$B$75-2026))^Assumptions!$B$76,Assumptions!$B$74))</f>
        <v>0.9859264567494392</v>
      </c>
      <c r="P24" s="50">
        <f>IF(P$2&gt;Assumptions!$B$81,O24*(1-Assumptions!$B$82),IF(P$2&lt;Assumptions!$B$75,Assumptions!$B$83+(Assumptions!$B$74-Assumptions!$B$83)*((P$2-2026)/(Assumptions!$B$75-2026))^Assumptions!$B$76,Assumptions!$B$74))</f>
        <v>0.7394448425620794</v>
      </c>
      <c r="Q24" s="50">
        <f>IF(Q$2&gt;Assumptions!$B$81,P24*(1-Assumptions!$B$82),IF(Q$2&lt;Assumptions!$B$75,Assumptions!$B$83+(Assumptions!$B$74-Assumptions!$B$83)*((Q$2-2026)/(Assumptions!$B$75-2026))^Assumptions!$B$76,Assumptions!$B$74))</f>
        <v>0.5545836319215596</v>
      </c>
      <c r="R24" s="50">
        <f>IF(R$2&gt;Assumptions!$B$81,Q24*(1-Assumptions!$B$82),IF(R$2&lt;Assumptions!$B$75,Assumptions!$B$83+(Assumptions!$B$74-Assumptions!$B$83)*((R$2-2026)/(Assumptions!$B$75-2026))^Assumptions!$B$76,Assumptions!$B$74))</f>
        <v>0.4159377239411697</v>
      </c>
      <c r="S24" s="50">
        <f>IF(S$2&gt;Assumptions!$B$81,R24*(1-Assumptions!$B$82),IF(S$2&lt;Assumptions!$B$75,Assumptions!$B$83+(Assumptions!$B$74-Assumptions!$B$83)*((S$2-2026)/(Assumptions!$B$75-2026))^Assumptions!$B$76,Assumptions!$B$74))</f>
        <v>0.31195329295587726</v>
      </c>
      <c r="T24" s="50">
        <f>IF(T$2&gt;Assumptions!$B$81,S24*(1-Assumptions!$B$82),IF(T$2&lt;Assumptions!$B$75,Assumptions!$B$83+(Assumptions!$B$74-Assumptions!$B$83)*((T$2-2026)/(Assumptions!$B$75-2026))^Assumptions!$B$76,Assumptions!$B$74))</f>
        <v>0.23396496971690794</v>
      </c>
      <c r="U24" s="50">
        <f>IF(U$2&gt;Assumptions!$B$81,T24*(1-Assumptions!$B$82),IF(U$2&lt;Assumptions!$B$75,Assumptions!$B$83+(Assumptions!$B$74-Assumptions!$B$83)*((U$2-2026)/(Assumptions!$B$75-2026))^Assumptions!$B$76,Assumptions!$B$74))</f>
        <v>0.17547372728768096</v>
      </c>
      <c r="V24" s="50">
        <f>IF(V$2&gt;Assumptions!$B$81,U24*(1-Assumptions!$B$82),IF(V$2&lt;Assumptions!$B$75,Assumptions!$B$83+(Assumptions!$B$74-Assumptions!$B$83)*((V$2-2026)/(Assumptions!$B$75-2026))^Assumptions!$B$76,Assumptions!$B$74))</f>
        <v>0.13160529546576072</v>
      </c>
      <c r="W24" s="50">
        <f>IF(W$2&gt;Assumptions!$B$81,V24*(1-Assumptions!$B$82),IF(W$2&lt;Assumptions!$B$75,Assumptions!$B$83+(Assumptions!$B$74-Assumptions!$B$83)*((W$2-2026)/(Assumptions!$B$75-2026))^Assumptions!$B$76,Assumptions!$B$74))</f>
        <v>0.09870397159932054</v>
      </c>
      <c r="X24" s="50">
        <f>IF(X$2&gt;Assumptions!$B$81,W24*(1-Assumptions!$B$82),IF(X$2&lt;Assumptions!$B$75,Assumptions!$B$83+(Assumptions!$B$74-Assumptions!$B$83)*((X$2-2026)/(Assumptions!$B$75-2026))^Assumptions!$B$76,Assumptions!$B$74))</f>
        <v>0.0740279786994904</v>
      </c>
      <c r="Y24" s="50">
        <f>IF(Y$2&gt;Assumptions!$B$81,X24*(1-Assumptions!$B$82),IF(Y$2&lt;Assumptions!$B$75,Assumptions!$B$83+(Assumptions!$B$74-Assumptions!$B$83)*((Y$2-2026)/(Assumptions!$B$75-2026))^Assumptions!$B$76,Assumptions!$B$74))</f>
        <v>0.0555209840246178</v>
      </c>
      <c r="Z24" s="50">
        <f>IF(Z$2&gt;Assumptions!$B$81,Y24*(1-Assumptions!$B$82),IF(Z$2&lt;Assumptions!$B$75,Assumptions!$B$83+(Assumptions!$B$74-Assumptions!$B$83)*((Z$2-2026)/(Assumptions!$B$75-2026))^Assumptions!$B$76,Assumptions!$B$74))</f>
        <v>0.04164073801846335</v>
      </c>
    </row>
    <row r="25" spans="1:26" x14ac:dyDescent="0.2">
      <c r="A25" s="10" t="s">
        <v>141</v>
      </c>
      <c r="C25" s="50">
        <f>C24*Assumptions!$B$77</f>
        <v>31.125</v>
      </c>
      <c r="D25" s="50">
        <f>D24*Assumptions!$B$77</f>
        <v>23.34375</v>
      </c>
      <c r="E25" s="50">
        <f>E24*Assumptions!$B$77</f>
        <v>17.5078125</v>
      </c>
      <c r="F25" s="50">
        <f>F24*Assumptions!$B$77</f>
        <v>13.130859375</v>
      </c>
      <c r="G25" s="50">
        <f>G24*Assumptions!$B$77</f>
        <v>9.84814453125</v>
      </c>
      <c r="H25" s="50">
        <f>H24*Assumptions!$B$77</f>
        <v>7.3861083984375</v>
      </c>
      <c r="I25" s="50">
        <f>I24*Assumptions!$B$77</f>
        <v>5.539581298828125</v>
      </c>
      <c r="J25" s="50">
        <f>J24*Assumptions!$B$77</f>
        <v>4.154685974121094</v>
      </c>
      <c r="K25" s="50">
        <f>K24*Assumptions!$B$77</f>
        <v>3.1160144805908203</v>
      </c>
      <c r="L25" s="50">
        <f>L24*Assumptions!$B$77</f>
        <v>2.3370108604431152</v>
      </c>
      <c r="M25" s="50">
        <f>M24*Assumptions!$B$77</f>
        <v>1.7527581453323364</v>
      </c>
      <c r="N25" s="50">
        <f>N24*Assumptions!$B$77</f>
        <v>1.3145686089992523</v>
      </c>
      <c r="O25" s="50">
        <f>O24*Assumptions!$B$77</f>
        <v>0.9859264567494392</v>
      </c>
      <c r="P25" s="50">
        <f>P24*Assumptions!$B$77</f>
        <v>0.7394448425620794</v>
      </c>
      <c r="Q25" s="50">
        <f>Q24*Assumptions!$B$77</f>
        <v>0.5545836319215596</v>
      </c>
      <c r="R25" s="50">
        <f>R24*Assumptions!$B$77</f>
        <v>0.4159377239411697</v>
      </c>
      <c r="S25" s="50">
        <f>S24*Assumptions!$B$77</f>
        <v>0.31195329295587726</v>
      </c>
      <c r="T25" s="50">
        <f>T24*Assumptions!$B$77</f>
        <v>0.23396496971690794</v>
      </c>
      <c r="U25" s="50">
        <f>U24*Assumptions!$B$77</f>
        <v>0.17547372728768096</v>
      </c>
      <c r="V25" s="50">
        <f>V24*Assumptions!$B$77</f>
        <v>0.13160529546576072</v>
      </c>
      <c r="W25" s="50">
        <f>W24*Assumptions!$B$77</f>
        <v>0.09870397159932054</v>
      </c>
      <c r="X25" s="50">
        <f>X24*Assumptions!$B$77</f>
        <v>0.0740279786994904</v>
      </c>
      <c r="Y25" s="50">
        <f>Y24*Assumptions!$B$77</f>
        <v>0.0555209840246178</v>
      </c>
      <c r="Z25" s="50">
        <f>Z24*Assumptions!$B$77</f>
        <v>0.04164073801846335</v>
      </c>
    </row>
    <row r="26" spans="1:26" x14ac:dyDescent="0.2">
      <c r="A26" s="10" t="s">
        <v>142</v>
      </c>
      <c r="C26" s="50">
        <f>C24*(Assumptions!$B$78+Assumptions!$B$79)</f>
        <v>2.49</v>
      </c>
      <c r="D26" s="50">
        <f>D24*(Assumptions!$B$78+Assumptions!$B$79)</f>
        <v>1.8675</v>
      </c>
      <c r="E26" s="50">
        <f>E24*(Assumptions!$B$78+Assumptions!$B$79)</f>
        <v>1.400625</v>
      </c>
      <c r="F26" s="50">
        <f>F24*(Assumptions!$B$78+Assumptions!$B$79)</f>
        <v>1.05046875</v>
      </c>
      <c r="G26" s="50">
        <f>G24*(Assumptions!$B$78+Assumptions!$B$79)</f>
        <v>0.7878515625</v>
      </c>
      <c r="H26" s="50">
        <f>H24*(Assumptions!$B$78+Assumptions!$B$79)</f>
        <v>0.590888671875</v>
      </c>
      <c r="I26" s="50">
        <f>I24*(Assumptions!$B$78+Assumptions!$B$79)</f>
        <v>0.44316650390625</v>
      </c>
      <c r="J26" s="50">
        <f>J24*(Assumptions!$B$78+Assumptions!$B$79)</f>
        <v>0.3323748779296875</v>
      </c>
      <c r="K26" s="50">
        <f>K24*(Assumptions!$B$78+Assumptions!$B$79)</f>
        <v>0.24928115844726564</v>
      </c>
      <c r="L26" s="50">
        <f>L24*(Assumptions!$B$78+Assumptions!$B$79)</f>
        <v>0.1869608688354492</v>
      </c>
      <c r="M26" s="50">
        <f>M24*(Assumptions!$B$78+Assumptions!$B$79)</f>
        <v>0.14022065162658692</v>
      </c>
      <c r="N26" s="50">
        <f>N24*(Assumptions!$B$78+Assumptions!$B$79)</f>
        <v>0.10516548871994019</v>
      </c>
      <c r="O26" s="50">
        <f>O24*(Assumptions!$B$78+Assumptions!$B$79)</f>
        <v>0.07887411653995514</v>
      </c>
      <c r="P26" s="50">
        <f>P24*(Assumptions!$B$78+Assumptions!$B$79)</f>
        <v>0.059155587404966355</v>
      </c>
      <c r="Q26" s="50">
        <f>Q24*(Assumptions!$B$78+Assumptions!$B$79)</f>
        <v>0.04436669055372477</v>
      </c>
      <c r="R26" s="50">
        <f>R24*(Assumptions!$B$78+Assumptions!$B$79)</f>
        <v>0.033275017915293574</v>
      </c>
      <c r="S26" s="50">
        <f>S24*(Assumptions!$B$78+Assumptions!$B$79)</f>
        <v>0.024956263436470182</v>
      </c>
      <c r="T26" s="50">
        <f>T24*(Assumptions!$B$78+Assumptions!$B$79)</f>
        <v>0.018717197577352636</v>
      </c>
      <c r="U26" s="50">
        <f>U24*(Assumptions!$B$78+Assumptions!$B$79)</f>
        <v>0.014037898183014477</v>
      </c>
      <c r="V26" s="50">
        <f>V24*(Assumptions!$B$78+Assumptions!$B$79)</f>
        <v>0.010528423637260857</v>
      </c>
      <c r="W26" s="50">
        <f>W24*(Assumptions!$B$78+Assumptions!$B$79)</f>
        <v>0.007896317727945643</v>
      </c>
      <c r="X26" s="50">
        <f>X24*(Assumptions!$B$78+Assumptions!$B$79)</f>
        <v>0.005922238295959233</v>
      </c>
      <c r="Y26" s="50">
        <f>Y24*(Assumptions!$B$78+Assumptions!$B$79)</f>
        <v>0.0044416787219694245</v>
      </c>
      <c r="Z26" s="50">
        <f>Z24*(Assumptions!$B$78+Assumptions!$B$79)</f>
        <v>0.0033312590414770684</v>
      </c>
    </row>
    <row r="27" spans="1:26" x14ac:dyDescent="0.2">
      <c r="A27" s="10" t="s">
        <v>143</v>
      </c>
      <c r="C27" s="50">
        <f>IF(Assumptions!$B$80=0,0,IF(FALSE,0,IF(C23&gt;=1,C24*IF(OR(Assumptions!$B$77&lt;1,C23&gt;5),Assumptions!$B$80,MAX(Assumptions!$B$80,INDEX(Assumptions!$B$44:$F$44,C23))),0)))</f>
        <v>6.2250000000000005</v>
      </c>
      <c r="D27" s="50">
        <f>IF(Assumptions!$B$80=0,0,IF(FALSE,0,IF(D23&gt;=1,D24*IF(OR(Assumptions!$B$77&lt;1,D23&gt;5),Assumptions!$B$80,MAX(Assumptions!$B$80,INDEX(Assumptions!$B$44:$F$44,D23))),0)))</f>
        <v>4.66875</v>
      </c>
      <c r="E27" s="50">
        <f>IF(Assumptions!$B$80=0,0,IF(FALSE,0,IF(E23&gt;=1,E24*IF(OR(Assumptions!$B$77&lt;1,E23&gt;5),Assumptions!$B$80,MAX(Assumptions!$B$80,INDEX(Assumptions!$B$44:$F$44,E23))),0)))</f>
        <v>3.5015625000000004</v>
      </c>
      <c r="F27" s="50">
        <f>IF(Assumptions!$B$80=0,0,IF(FALSE,0,IF(F23&gt;=1,F24*IF(OR(Assumptions!$B$77&lt;1,F23&gt;5),Assumptions!$B$80,MAX(Assumptions!$B$80,INDEX(Assumptions!$B$44:$F$44,F23))),0)))</f>
        <v>2.6261718750000003</v>
      </c>
      <c r="G27" s="50">
        <f>IF(Assumptions!$B$80=0,0,IF(FALSE,0,IF(G23&gt;=1,G24*IF(OR(Assumptions!$B$77&lt;1,G23&gt;5),Assumptions!$B$80,MAX(Assumptions!$B$80,INDEX(Assumptions!$B$44:$F$44,G23))),0)))</f>
        <v>1.96962890625</v>
      </c>
      <c r="H27" s="50">
        <f>IF(Assumptions!$B$80=0,0,IF(FALSE,0,IF(H23&gt;=1,H24*IF(OR(Assumptions!$B$77&lt;1,H23&gt;5),Assumptions!$B$80,MAX(Assumptions!$B$80,INDEX(Assumptions!$B$44:$F$44,H23))),0)))</f>
        <v>1.4772216796875002</v>
      </c>
      <c r="I27" s="50">
        <f>IF(Assumptions!$B$80=0,0,IF(FALSE,0,IF(I23&gt;=1,I24*IF(OR(Assumptions!$B$77&lt;1,I23&gt;5),Assumptions!$B$80,MAX(Assumptions!$B$80,INDEX(Assumptions!$B$44:$F$44,I23))),0)))</f>
        <v>1.1079162597656251</v>
      </c>
      <c r="J27" s="50">
        <f>IF(Assumptions!$B$80=0,0,IF(FALSE,0,IF(J23&gt;=1,J24*IF(OR(Assumptions!$B$77&lt;1,J23&gt;5),Assumptions!$B$80,MAX(Assumptions!$B$80,INDEX(Assumptions!$B$44:$F$44,J23))),0)))</f>
        <v>0.8309371948242188</v>
      </c>
      <c r="K27" s="50">
        <f>IF(Assumptions!$B$80=0,0,IF(FALSE,0,IF(K23&gt;=1,K24*IF(OR(Assumptions!$B$77&lt;1,K23&gt;5),Assumptions!$B$80,MAX(Assumptions!$B$80,INDEX(Assumptions!$B$44:$F$44,K23))),0)))</f>
        <v>0.6232028961181642</v>
      </c>
      <c r="L27" s="50">
        <f>IF(Assumptions!$B$80=0,0,IF(FALSE,0,IF(L23&gt;=1,L24*IF(OR(Assumptions!$B$77&lt;1,L23&gt;5),Assumptions!$B$80,MAX(Assumptions!$B$80,INDEX(Assumptions!$B$44:$F$44,L23))),0)))</f>
        <v>0.46740217208862306</v>
      </c>
      <c r="M27" s="50">
        <f>IF(Assumptions!$B$80=0,0,IF(FALSE,0,IF(M23&gt;=1,M24*IF(OR(Assumptions!$B$77&lt;1,M23&gt;5),Assumptions!$B$80,MAX(Assumptions!$B$80,INDEX(Assumptions!$B$44:$F$44,M23))),0)))</f>
        <v>0.3505516290664673</v>
      </c>
      <c r="N27" s="50">
        <f>IF(Assumptions!$B$80=0,0,IF(FALSE,0,IF(N23&gt;=1,N24*IF(OR(Assumptions!$B$77&lt;1,N23&gt;5),Assumptions!$B$80,MAX(Assumptions!$B$80,INDEX(Assumptions!$B$44:$F$44,N23))),0)))</f>
        <v>0.26291372179985045</v>
      </c>
      <c r="O27" s="50">
        <f>IF(Assumptions!$B$80=0,0,IF(FALSE,0,IF(O23&gt;=1,O24*IF(OR(Assumptions!$B$77&lt;1,O23&gt;5),Assumptions!$B$80,MAX(Assumptions!$B$80,INDEX(Assumptions!$B$44:$F$44,O23))),0)))</f>
        <v>0.19718529134988785</v>
      </c>
      <c r="P27" s="50">
        <f>IF(Assumptions!$B$80=0,0,IF(FALSE,0,IF(P23&gt;=1,P24*IF(OR(Assumptions!$B$77&lt;1,P23&gt;5),Assumptions!$B$80,MAX(Assumptions!$B$80,INDEX(Assumptions!$B$44:$F$44,P23))),0)))</f>
        <v>0.1478889685124159</v>
      </c>
      <c r="Q27" s="50">
        <f>IF(Assumptions!$B$80=0,0,IF(FALSE,0,IF(Q23&gt;=1,Q24*IF(OR(Assumptions!$B$77&lt;1,Q23&gt;5),Assumptions!$B$80,MAX(Assumptions!$B$80,INDEX(Assumptions!$B$44:$F$44,Q23))),0)))</f>
        <v>0.11091672638431192</v>
      </c>
      <c r="R27" s="50">
        <f>IF(Assumptions!$B$80=0,0,IF(FALSE,0,IF(R23&gt;=1,R24*IF(OR(Assumptions!$B$77&lt;1,R23&gt;5),Assumptions!$B$80,MAX(Assumptions!$B$80,INDEX(Assumptions!$B$44:$F$44,R23))),0)))</f>
        <v>0.08318754478823394</v>
      </c>
      <c r="S27" s="50">
        <f>IF(Assumptions!$B$80=0,0,IF(FALSE,0,IF(S23&gt;=1,S24*IF(OR(Assumptions!$B$77&lt;1,S23&gt;5),Assumptions!$B$80,MAX(Assumptions!$B$80,INDEX(Assumptions!$B$44:$F$44,S23))),0)))</f>
        <v>0.06239065859117546</v>
      </c>
      <c r="T27" s="50">
        <f>IF(Assumptions!$B$80=0,0,IF(FALSE,0,IF(T23&gt;=1,T24*IF(OR(Assumptions!$B$77&lt;1,T23&gt;5),Assumptions!$B$80,MAX(Assumptions!$B$80,INDEX(Assumptions!$B$44:$F$44,T23))),0)))</f>
        <v>0.04679299394338159</v>
      </c>
      <c r="U27" s="50">
        <f>IF(Assumptions!$B$80=0,0,IF(FALSE,0,IF(U23&gt;=1,U24*IF(OR(Assumptions!$B$77&lt;1,U23&gt;5),Assumptions!$B$80,MAX(Assumptions!$B$80,INDEX(Assumptions!$B$44:$F$44,U23))),0)))</f>
        <v>0.03509474545753619</v>
      </c>
      <c r="V27" s="50">
        <f>IF(Assumptions!$B$80=0,0,IF(FALSE,0,IF(V23&gt;=1,V24*IF(OR(Assumptions!$B$77&lt;1,V23&gt;5),Assumptions!$B$80,MAX(Assumptions!$B$80,INDEX(Assumptions!$B$44:$F$44,V23))),0)))</f>
        <v>0.026321059093152147</v>
      </c>
      <c r="W27" s="50">
        <f>IF(Assumptions!$B$80=0,0,IF(FALSE,0,IF(W23&gt;=1,W24*IF(OR(Assumptions!$B$77&lt;1,W23&gt;5),Assumptions!$B$80,MAX(Assumptions!$B$80,INDEX(Assumptions!$B$44:$F$44,W23))),0)))</f>
        <v>0.01974079431986411</v>
      </c>
      <c r="X27" s="50">
        <f>IF(Assumptions!$B$80=0,0,IF(FALSE,0,IF(X23&gt;=1,X24*IF(OR(Assumptions!$B$77&lt;1,X23&gt;5),Assumptions!$B$80,MAX(Assumptions!$B$80,INDEX(Assumptions!$B$44:$F$44,X23))),0)))</f>
        <v>0.014805595739898082</v>
      </c>
      <c r="Y27" s="50">
        <f>IF(Assumptions!$B$80=0,0,IF(FALSE,0,IF(Y23&gt;=1,Y24*IF(OR(Assumptions!$B$77&lt;1,Y23&gt;5),Assumptions!$B$80,MAX(Assumptions!$B$80,INDEX(Assumptions!$B$44:$F$44,Y23))),0)))</f>
        <v>0.011104196804923562</v>
      </c>
      <c r="Z27" s="50">
        <f>IF(Assumptions!$B$80=0,0,IF(FALSE,0,IF(Z23&gt;=1,Z24*IF(OR(Assumptions!$B$77&lt;1,Z23&gt;5),Assumptions!$B$80,MAX(Assumptions!$B$80,INDEX(Assumptions!$B$44:$F$44,Z23))),0)))</f>
        <v>0.008328147603692672</v>
      </c>
    </row>
    <row r="28" spans="1:26" x14ac:dyDescent="0.2">
      <c r="A28" s="10" t="s">
        <v>144</v>
      </c>
      <c r="C28" s="50">
        <f>0</f>
        <v>0</v>
      </c>
      <c r="D28" s="50">
        <f>0</f>
        <v>0</v>
      </c>
      <c r="E28" s="50">
        <f>0</f>
        <v>0</v>
      </c>
      <c r="F28" s="50">
        <f>0</f>
        <v>0</v>
      </c>
      <c r="G28" s="50">
        <f>0</f>
        <v>0</v>
      </c>
      <c r="H28" s="50">
        <f>0</f>
        <v>0</v>
      </c>
      <c r="I28" s="50">
        <f>0</f>
        <v>0</v>
      </c>
      <c r="J28" s="50">
        <f>0</f>
        <v>0</v>
      </c>
      <c r="K28" s="50">
        <f>0</f>
        <v>0</v>
      </c>
      <c r="L28" s="50">
        <f>0</f>
        <v>0</v>
      </c>
      <c r="M28" s="50">
        <f>0</f>
        <v>0</v>
      </c>
      <c r="N28" s="50">
        <f>0</f>
        <v>0</v>
      </c>
      <c r="O28" s="50">
        <f>0</f>
        <v>0</v>
      </c>
      <c r="P28" s="50">
        <f>0</f>
        <v>0</v>
      </c>
      <c r="Q28" s="50">
        <f>0</f>
        <v>0</v>
      </c>
      <c r="R28" s="50">
        <f>0</f>
        <v>0</v>
      </c>
      <c r="S28" s="50">
        <f>0</f>
        <v>0</v>
      </c>
      <c r="T28" s="50">
        <f>0</f>
        <v>0</v>
      </c>
      <c r="U28" s="50">
        <f>0</f>
        <v>0</v>
      </c>
      <c r="V28" s="50">
        <f>0</f>
        <v>0</v>
      </c>
      <c r="W28" s="50">
        <f>0</f>
        <v>0</v>
      </c>
      <c r="X28" s="50">
        <f>0</f>
        <v>0</v>
      </c>
      <c r="Y28" s="50">
        <f>0</f>
        <v>0</v>
      </c>
      <c r="Z28" s="50">
        <f>0</f>
        <v>0</v>
      </c>
    </row>
    <row r="29" spans="1:26" x14ac:dyDescent="0.2">
      <c r="A29" s="20" t="s">
        <v>145</v>
      </c>
      <c r="C29" s="54">
        <f t="shared" ref="C29:Z29" si="2">C25-C26-C27-C28</f>
        <v>22.409999999999997</v>
      </c>
      <c r="D29" s="54">
        <f t="shared" si="2"/>
        <v>16.8075</v>
      </c>
      <c r="E29" s="54">
        <f t="shared" si="2"/>
        <v>12.605624999999998</v>
      </c>
      <c r="F29" s="54">
        <f t="shared" si="2"/>
        <v>9.454218749999999</v>
      </c>
      <c r="G29" s="54">
        <f t="shared" si="2"/>
        <v>7.0906640625</v>
      </c>
      <c r="H29" s="54">
        <f t="shared" si="2"/>
        <v>5.317998046875</v>
      </c>
      <c r="I29" s="54">
        <f t="shared" si="2"/>
        <v>3.98849853515625</v>
      </c>
      <c r="J29" s="54">
        <f t="shared" si="2"/>
        <v>2.9913739013671874</v>
      </c>
      <c r="K29" s="54">
        <f t="shared" si="2"/>
        <v>2.2435304260253903</v>
      </c>
      <c r="L29" s="54">
        <f t="shared" si="2"/>
        <v>1.6826478195190429</v>
      </c>
      <c r="M29" s="54">
        <f t="shared" si="2"/>
        <v>1.261985864639282</v>
      </c>
      <c r="N29" s="54">
        <f t="shared" si="2"/>
        <v>0.9464893984794616</v>
      </c>
      <c r="O29" s="54">
        <f t="shared" si="2"/>
        <v>0.7098670488595963</v>
      </c>
      <c r="P29" s="54">
        <f t="shared" si="2"/>
        <v>0.5324002866446971</v>
      </c>
      <c r="Q29" s="54">
        <f t="shared" si="2"/>
        <v>0.39930021498352286</v>
      </c>
      <c r="R29" s="54">
        <f t="shared" si="2"/>
        <v>0.2994751612376422</v>
      </c>
      <c r="S29" s="54">
        <f t="shared" si="2"/>
        <v>0.22460637092823163</v>
      </c>
      <c r="T29" s="54">
        <f t="shared" si="2"/>
        <v>0.16845477819617372</v>
      </c>
      <c r="U29" s="54">
        <f t="shared" si="2"/>
        <v>0.1263410836471303</v>
      </c>
      <c r="V29" s="54">
        <f t="shared" si="2"/>
        <v>0.09475581273534771</v>
      </c>
      <c r="W29" s="54">
        <f t="shared" si="2"/>
        <v>0.07106685955151078</v>
      </c>
      <c r="X29" s="54">
        <f t="shared" si="2"/>
        <v>0.0533001446636331</v>
      </c>
      <c r="Y29" s="54">
        <f t="shared" si="2"/>
        <v>0.039975108497724815</v>
      </c>
      <c r="Z29" s="54">
        <f t="shared" si="2"/>
        <v>0.02998133137329361</v>
      </c>
    </row>
    <row r="31" spans="1:26" x14ac:dyDescent="0.2">
      <c r="A31" s="27" t="s">
        <v>148</v>
      </c>
    </row>
    <row r="32" spans="1:26" x14ac:dyDescent="0.2">
      <c r="A32" s="10" t="s">
        <v>139</v>
      </c>
      <c r="C32" s="61">
        <f>C$2-Assumptions!$B$86+1</f>
        <v>7.0</v>
      </c>
      <c r="D32" s="61">
        <f>D$2-Assumptions!$B$86+1</f>
        <v>8.0</v>
      </c>
      <c r="E32" s="61">
        <f>E$2-Assumptions!$B$86+1</f>
        <v>9.0</v>
      </c>
      <c r="F32" s="61">
        <f>F$2-Assumptions!$B$86+1</f>
        <v>10.0</v>
      </c>
      <c r="G32" s="61">
        <f>G$2-Assumptions!$B$86+1</f>
        <v>11.0</v>
      </c>
      <c r="H32" s="61">
        <f>H$2-Assumptions!$B$86+1</f>
        <v>12.0</v>
      </c>
      <c r="I32" s="61">
        <f>I$2-Assumptions!$B$86+1</f>
        <v>13.0</v>
      </c>
      <c r="J32" s="61">
        <f>J$2-Assumptions!$B$86+1</f>
        <v>14.0</v>
      </c>
      <c r="K32" s="61">
        <f>K$2-Assumptions!$B$86+1</f>
        <v>15.0</v>
      </c>
      <c r="L32" s="61">
        <f>L$2-Assumptions!$B$86+1</f>
        <v>16.0</v>
      </c>
      <c r="M32" s="61">
        <f>M$2-Assumptions!$B$86+1</f>
        <v>17.0</v>
      </c>
      <c r="N32" s="61">
        <f>N$2-Assumptions!$B$86+1</f>
        <v>18.0</v>
      </c>
      <c r="O32" s="61">
        <f>O$2-Assumptions!$B$86+1</f>
        <v>19.0</v>
      </c>
      <c r="P32" s="61">
        <f>P$2-Assumptions!$B$86+1</f>
        <v>20.0</v>
      </c>
      <c r="Q32" s="61">
        <f>Q$2-Assumptions!$B$86+1</f>
        <v>21.0</v>
      </c>
      <c r="R32" s="61">
        <f>R$2-Assumptions!$B$86+1</f>
        <v>22.0</v>
      </c>
      <c r="S32" s="61">
        <f>S$2-Assumptions!$B$86+1</f>
        <v>23.0</v>
      </c>
      <c r="T32" s="61">
        <f>T$2-Assumptions!$B$86+1</f>
        <v>24.0</v>
      </c>
      <c r="U32" s="61">
        <f>U$2-Assumptions!$B$86+1</f>
        <v>25.0</v>
      </c>
      <c r="V32" s="61">
        <f>V$2-Assumptions!$B$86+1</f>
        <v>26.0</v>
      </c>
      <c r="W32" s="61">
        <f>W$2-Assumptions!$B$86+1</f>
        <v>27.0</v>
      </c>
      <c r="X32" s="61">
        <f>X$2-Assumptions!$B$86+1</f>
        <v>28.0</v>
      </c>
      <c r="Y32" s="61">
        <f>Y$2-Assumptions!$B$86+1</f>
        <v>29.0</v>
      </c>
      <c r="Z32" s="61">
        <f>Z$2-Assumptions!$B$86+1</f>
        <v>30.0</v>
      </c>
    </row>
    <row r="33" spans="1:26" x14ac:dyDescent="0.2">
      <c r="A33" s="10" t="s">
        <v>140</v>
      </c>
      <c r="C33" s="50">
        <f>IF(C$2&gt;Assumptions!$B$94,Assumptions!$B$96*(1-Assumptions!$B$95),IF(C$2&lt;Assumptions!$B$88,Assumptions!$B$96+(Assumptions!$B$87-Assumptions!$B$96)*((C$2-2026)/(Assumptions!$B$88-2026))^Assumptions!$B$89,Assumptions!$B$87))</f>
        <v>35.733333333333334</v>
      </c>
      <c r="D33" s="50">
        <f>IF(D$2&gt;Assumptions!$B$94,C33*(1-Assumptions!$B$95),IF(D$2&lt;Assumptions!$B$88,Assumptions!$B$96+(Assumptions!$B$87-Assumptions!$B$96)*((D$2-2026)/(Assumptions!$B$88-2026))^Assumptions!$B$89,Assumptions!$B$87))</f>
        <v>40.36666666666667</v>
      </c>
      <c r="E33" s="50">
        <f>IF(E$2&gt;Assumptions!$B$94,D33*(1-Assumptions!$B$95),IF(E$2&lt;Assumptions!$B$88,Assumptions!$B$96+(Assumptions!$B$87-Assumptions!$B$96)*((E$2-2026)/(Assumptions!$B$88-2026))^Assumptions!$B$89,Assumptions!$B$87))</f>
        <v>45</v>
      </c>
      <c r="F33" s="50">
        <f>IF(F$2&gt;Assumptions!$B$94,E33*(1-Assumptions!$B$95),IF(F$2&lt;Assumptions!$B$88,Assumptions!$B$96+(Assumptions!$B$87-Assumptions!$B$96)*((F$2-2026)/(Assumptions!$B$88-2026))^Assumptions!$B$89,Assumptions!$B$87))</f>
        <v>45</v>
      </c>
      <c r="G33" s="50">
        <f>IF(G$2&gt;Assumptions!$B$94,F33*(1-Assumptions!$B$95),IF(G$2&lt;Assumptions!$B$88,Assumptions!$B$96+(Assumptions!$B$87-Assumptions!$B$96)*((G$2-2026)/(Assumptions!$B$88-2026))^Assumptions!$B$89,Assumptions!$B$87))</f>
        <v>45</v>
      </c>
      <c r="H33" s="50">
        <f>IF(H$2&gt;Assumptions!$B$94,G33*(1-Assumptions!$B$95),IF(H$2&lt;Assumptions!$B$88,Assumptions!$B$96+(Assumptions!$B$87-Assumptions!$B$96)*((H$2-2026)/(Assumptions!$B$88-2026))^Assumptions!$B$89,Assumptions!$B$87))</f>
        <v>45</v>
      </c>
      <c r="I33" s="50">
        <f>IF(I$2&gt;Assumptions!$B$94,H33*(1-Assumptions!$B$95),IF(I$2&lt;Assumptions!$B$88,Assumptions!$B$96+(Assumptions!$B$87-Assumptions!$B$96)*((I$2-2026)/(Assumptions!$B$88-2026))^Assumptions!$B$89,Assumptions!$B$87))</f>
        <v>18.0</v>
      </c>
      <c r="J33" s="50">
        <f>IF(J$2&gt;Assumptions!$B$94,I33*(1-Assumptions!$B$95),IF(J$2&lt;Assumptions!$B$88,Assumptions!$B$96+(Assumptions!$B$87-Assumptions!$B$96)*((J$2-2026)/(Assumptions!$B$88-2026))^Assumptions!$B$89,Assumptions!$B$87))</f>
        <v>7.2</v>
      </c>
      <c r="K33" s="50">
        <f>IF(K$2&gt;Assumptions!$B$94,J33*(1-Assumptions!$B$95),IF(K$2&lt;Assumptions!$B$88,Assumptions!$B$96+(Assumptions!$B$87-Assumptions!$B$96)*((K$2-2026)/(Assumptions!$B$88-2026))^Assumptions!$B$89,Assumptions!$B$87))</f>
        <v>2.8800000000000003</v>
      </c>
      <c r="L33" s="50">
        <f>IF(L$2&gt;Assumptions!$B$94,K33*(1-Assumptions!$B$95),IF(L$2&lt;Assumptions!$B$88,Assumptions!$B$96+(Assumptions!$B$87-Assumptions!$B$96)*((L$2-2026)/(Assumptions!$B$88-2026))^Assumptions!$B$89,Assumptions!$B$87))</f>
        <v>1.1520000000000001</v>
      </c>
      <c r="M33" s="50">
        <f>IF(M$2&gt;Assumptions!$B$94,L33*(1-Assumptions!$B$95),IF(M$2&lt;Assumptions!$B$88,Assumptions!$B$96+(Assumptions!$B$87-Assumptions!$B$96)*((M$2-2026)/(Assumptions!$B$88-2026))^Assumptions!$B$89,Assumptions!$B$87))</f>
        <v>0.4608000000000001</v>
      </c>
      <c r="N33" s="50">
        <f>IF(N$2&gt;Assumptions!$B$94,M33*(1-Assumptions!$B$95),IF(N$2&lt;Assumptions!$B$88,Assumptions!$B$96+(Assumptions!$B$87-Assumptions!$B$96)*((N$2-2026)/(Assumptions!$B$88-2026))^Assumptions!$B$89,Assumptions!$B$87))</f>
        <v>0.18432000000000004</v>
      </c>
      <c r="O33" s="50">
        <f>IF(O$2&gt;Assumptions!$B$94,N33*(1-Assumptions!$B$95),IF(O$2&lt;Assumptions!$B$88,Assumptions!$B$96+(Assumptions!$B$87-Assumptions!$B$96)*((O$2-2026)/(Assumptions!$B$88-2026))^Assumptions!$B$89,Assumptions!$B$87))</f>
        <v>0.07372800000000002</v>
      </c>
      <c r="P33" s="50">
        <f>IF(P$2&gt;Assumptions!$B$94,O33*(1-Assumptions!$B$95),IF(P$2&lt;Assumptions!$B$88,Assumptions!$B$96+(Assumptions!$B$87-Assumptions!$B$96)*((P$2-2026)/(Assumptions!$B$88-2026))^Assumptions!$B$89,Assumptions!$B$87))</f>
        <v>0.02949120000000001</v>
      </c>
      <c r="Q33" s="50">
        <f>IF(Q$2&gt;Assumptions!$B$94,P33*(1-Assumptions!$B$95),IF(Q$2&lt;Assumptions!$B$88,Assumptions!$B$96+(Assumptions!$B$87-Assumptions!$B$96)*((Q$2-2026)/(Assumptions!$B$88-2026))^Assumptions!$B$89,Assumptions!$B$87))</f>
        <v>0.011796480000000005</v>
      </c>
      <c r="R33" s="50">
        <f>IF(R$2&gt;Assumptions!$B$94,Q33*(1-Assumptions!$B$95),IF(R$2&lt;Assumptions!$B$88,Assumptions!$B$96+(Assumptions!$B$87-Assumptions!$B$96)*((R$2-2026)/(Assumptions!$B$88-2026))^Assumptions!$B$89,Assumptions!$B$87))</f>
        <v>0.004718592000000002</v>
      </c>
      <c r="S33" s="50">
        <f>IF(S$2&gt;Assumptions!$B$94,R33*(1-Assumptions!$B$95),IF(S$2&lt;Assumptions!$B$88,Assumptions!$B$96+(Assumptions!$B$87-Assumptions!$B$96)*((S$2-2026)/(Assumptions!$B$88-2026))^Assumptions!$B$89,Assumptions!$B$87))</f>
        <v>0.001887436800000001</v>
      </c>
      <c r="T33" s="50">
        <f>IF(T$2&gt;Assumptions!$B$94,S33*(1-Assumptions!$B$95),IF(T$2&lt;Assumptions!$B$88,Assumptions!$B$96+(Assumptions!$B$87-Assumptions!$B$96)*((T$2-2026)/(Assumptions!$B$88-2026))^Assumptions!$B$89,Assumptions!$B$87))</f>
        <v>0.0007549747200000004</v>
      </c>
      <c r="U33" s="50">
        <f>IF(U$2&gt;Assumptions!$B$94,T33*(1-Assumptions!$B$95),IF(U$2&lt;Assumptions!$B$88,Assumptions!$B$96+(Assumptions!$B$87-Assumptions!$B$96)*((U$2-2026)/(Assumptions!$B$88-2026))^Assumptions!$B$89,Assumptions!$B$87))</f>
        <v>0.0003019898880000002</v>
      </c>
      <c r="V33" s="50">
        <f>IF(V$2&gt;Assumptions!$B$94,U33*(1-Assumptions!$B$95),IF(V$2&lt;Assumptions!$B$88,Assumptions!$B$96+(Assumptions!$B$87-Assumptions!$B$96)*((V$2-2026)/(Assumptions!$B$88-2026))^Assumptions!$B$89,Assumptions!$B$87))</f>
        <v>0.00012079595520000008</v>
      </c>
      <c r="W33" s="50">
        <f>IF(W$2&gt;Assumptions!$B$94,V33*(1-Assumptions!$B$95),IF(W$2&lt;Assumptions!$B$88,Assumptions!$B$96+(Assumptions!$B$87-Assumptions!$B$96)*((W$2-2026)/(Assumptions!$B$88-2026))^Assumptions!$B$89,Assumptions!$B$87))</f>
        <v>4.831838208000004e-05</v>
      </c>
      <c r="X33" s="50">
        <f>IF(X$2&gt;Assumptions!$B$94,W33*(1-Assumptions!$B$95),IF(X$2&lt;Assumptions!$B$88,Assumptions!$B$96+(Assumptions!$B$87-Assumptions!$B$96)*((X$2-2026)/(Assumptions!$B$88-2026))^Assumptions!$B$89,Assumptions!$B$87))</f>
        <v>1.9327352832000016e-05</v>
      </c>
      <c r="Y33" s="50">
        <f>IF(Y$2&gt;Assumptions!$B$94,X33*(1-Assumptions!$B$95),IF(Y$2&lt;Assumptions!$B$88,Assumptions!$B$96+(Assumptions!$B$87-Assumptions!$B$96)*((Y$2-2026)/(Assumptions!$B$88-2026))^Assumptions!$B$89,Assumptions!$B$87))</f>
        <v>7.730941132800007e-06</v>
      </c>
      <c r="Z33" s="50">
        <f>IF(Z$2&gt;Assumptions!$B$94,Y33*(1-Assumptions!$B$95),IF(Z$2&lt;Assumptions!$B$88,Assumptions!$B$96+(Assumptions!$B$87-Assumptions!$B$96)*((Z$2-2026)/(Assumptions!$B$88-2026))^Assumptions!$B$89,Assumptions!$B$87))</f>
        <v>3.092376453120003e-06</v>
      </c>
    </row>
    <row r="34" spans="1:26" x14ac:dyDescent="0.2">
      <c r="A34" s="10" t="s">
        <v>141</v>
      </c>
      <c r="C34" s="50">
        <f>C33*Assumptions!$B$90</f>
        <v>35.733333333333334</v>
      </c>
      <c r="D34" s="50">
        <f>D33*Assumptions!$B$90</f>
        <v>40.36666666666667</v>
      </c>
      <c r="E34" s="50">
        <f>E33*Assumptions!$B$90</f>
        <v>45.0</v>
      </c>
      <c r="F34" s="50">
        <f>F33*Assumptions!$B$90</f>
        <v>45.0</v>
      </c>
      <c r="G34" s="50">
        <f>G33*Assumptions!$B$90</f>
        <v>45.0</v>
      </c>
      <c r="H34" s="50">
        <f>H33*Assumptions!$B$90</f>
        <v>45.0</v>
      </c>
      <c r="I34" s="50">
        <f>I33*Assumptions!$B$90</f>
        <v>18.0</v>
      </c>
      <c r="J34" s="50">
        <f>J33*Assumptions!$B$90</f>
        <v>7.2</v>
      </c>
      <c r="K34" s="50">
        <f>K33*Assumptions!$B$90</f>
        <v>2.8800000000000003</v>
      </c>
      <c r="L34" s="50">
        <f>L33*Assumptions!$B$90</f>
        <v>1.1520000000000001</v>
      </c>
      <c r="M34" s="50">
        <f>M33*Assumptions!$B$90</f>
        <v>0.4608000000000001</v>
      </c>
      <c r="N34" s="50">
        <f>N33*Assumptions!$B$90</f>
        <v>0.18432000000000004</v>
      </c>
      <c r="O34" s="50">
        <f>O33*Assumptions!$B$90</f>
        <v>0.07372800000000002</v>
      </c>
      <c r="P34" s="50">
        <f>P33*Assumptions!$B$90</f>
        <v>0.02949120000000001</v>
      </c>
      <c r="Q34" s="50">
        <f>Q33*Assumptions!$B$90</f>
        <v>0.011796480000000005</v>
      </c>
      <c r="R34" s="50">
        <f>R33*Assumptions!$B$90</f>
        <v>0.004718592000000002</v>
      </c>
      <c r="S34" s="50">
        <f>S33*Assumptions!$B$90</f>
        <v>0.001887436800000001</v>
      </c>
      <c r="T34" s="50">
        <f>T33*Assumptions!$B$90</f>
        <v>0.0007549747200000004</v>
      </c>
      <c r="U34" s="50">
        <f>U33*Assumptions!$B$90</f>
        <v>0.0003019898880000002</v>
      </c>
      <c r="V34" s="50">
        <f>V33*Assumptions!$B$90</f>
        <v>0.00012079595520000008</v>
      </c>
      <c r="W34" s="50">
        <f>W33*Assumptions!$B$90</f>
        <v>4.831838208000004e-05</v>
      </c>
      <c r="X34" s="50">
        <f>X33*Assumptions!$B$90</f>
        <v>1.9327352832000016e-05</v>
      </c>
      <c r="Y34" s="50">
        <f>Y33*Assumptions!$B$90</f>
        <v>7.730941132800007e-06</v>
      </c>
      <c r="Z34" s="50">
        <f>Z33*Assumptions!$B$90</f>
        <v>3.092376453120003e-06</v>
      </c>
    </row>
    <row r="35" spans="1:26" x14ac:dyDescent="0.2">
      <c r="A35" s="10" t="s">
        <v>142</v>
      </c>
      <c r="C35" s="50">
        <f>C33*(Assumptions!$B$91+Assumptions!$B$92)</f>
        <v>2.8586666666666667</v>
      </c>
      <c r="D35" s="50">
        <f>D33*(Assumptions!$B$91+Assumptions!$B$92)</f>
        <v>3.2293333333333334</v>
      </c>
      <c r="E35" s="50">
        <f>E33*(Assumptions!$B$91+Assumptions!$B$92)</f>
        <v>3.6</v>
      </c>
      <c r="F35" s="50">
        <f>F33*(Assumptions!$B$91+Assumptions!$B$92)</f>
        <v>3.6</v>
      </c>
      <c r="G35" s="50">
        <f>G33*(Assumptions!$B$91+Assumptions!$B$92)</f>
        <v>3.6</v>
      </c>
      <c r="H35" s="50">
        <f>H33*(Assumptions!$B$91+Assumptions!$B$92)</f>
        <v>3.6</v>
      </c>
      <c r="I35" s="50">
        <f>I33*(Assumptions!$B$91+Assumptions!$B$92)</f>
        <v>1.44</v>
      </c>
      <c r="J35" s="50">
        <f>J33*(Assumptions!$B$91+Assumptions!$B$92)</f>
        <v>0.5760000000000001</v>
      </c>
      <c r="K35" s="50">
        <f>K33*(Assumptions!$B$91+Assumptions!$B$92)</f>
        <v>0.23040000000000002</v>
      </c>
      <c r="L35" s="50">
        <f>L33*(Assumptions!$B$91+Assumptions!$B$92)</f>
        <v>0.09216</v>
      </c>
      <c r="M35" s="50">
        <f>M33*(Assumptions!$B$91+Assumptions!$B$92)</f>
        <v>0.03686400000000001</v>
      </c>
      <c r="N35" s="50">
        <f>N33*(Assumptions!$B$91+Assumptions!$B$92)</f>
        <v>0.014745600000000003</v>
      </c>
      <c r="O35" s="50">
        <f>O33*(Assumptions!$B$91+Assumptions!$B$92)</f>
        <v>0.005898240000000002</v>
      </c>
      <c r="P35" s="50">
        <f>P33*(Assumptions!$B$91+Assumptions!$B$92)</f>
        <v>0.0023592960000000007</v>
      </c>
      <c r="Q35" s="50">
        <f>Q33*(Assumptions!$B$91+Assumptions!$B$92)</f>
        <v>0.0009437184000000004</v>
      </c>
      <c r="R35" s="50">
        <f>R33*(Assumptions!$B$91+Assumptions!$B$92)</f>
        <v>0.0003774873600000002</v>
      </c>
      <c r="S35" s="50">
        <f>S33*(Assumptions!$B$91+Assumptions!$B$92)</f>
        <v>0.0001509949440000001</v>
      </c>
      <c r="T35" s="50">
        <f>T33*(Assumptions!$B$91+Assumptions!$B$92)</f>
        <v>6.0397977600000034e-05</v>
      </c>
      <c r="U35" s="50">
        <f>U33*(Assumptions!$B$91+Assumptions!$B$92)</f>
        <v>2.4159191040000016e-05</v>
      </c>
      <c r="V35" s="50">
        <f>V33*(Assumptions!$B$91+Assumptions!$B$92)</f>
        <v>9.663676416000006e-06</v>
      </c>
      <c r="W35" s="50">
        <f>W33*(Assumptions!$B$91+Assumptions!$B$92)</f>
        <v>3.8654705664000035e-06</v>
      </c>
      <c r="X35" s="50">
        <f>X33*(Assumptions!$B$91+Assumptions!$B$92)</f>
        <v>1.5461882265600014e-06</v>
      </c>
      <c r="Y35" s="50">
        <f>Y33*(Assumptions!$B$91+Assumptions!$B$92)</f>
        <v>6.184752906240006e-07</v>
      </c>
      <c r="Z35" s="50">
        <f>Z33*(Assumptions!$B$91+Assumptions!$B$92)</f>
        <v>2.473901162496002e-07</v>
      </c>
    </row>
    <row r="36" spans="1:26" x14ac:dyDescent="0.2">
      <c r="A36" s="10" t="s">
        <v>143</v>
      </c>
      <c r="C36" s="50">
        <f>IF(Assumptions!$B$93=0,0,IF(FALSE,0,IF(C32&gt;=1,C33*IF(OR(Assumptions!$B$90&lt;1,C32&gt;5),Assumptions!$B$93,MAX(Assumptions!$B$93,INDEX(Assumptions!$B$44:$F$44,C32))),0)))</f>
        <v>10.72</v>
      </c>
      <c r="D36" s="50">
        <f>IF(Assumptions!$B$93=0,0,IF(FALSE,0,IF(D32&gt;=1,D33*IF(OR(Assumptions!$B$90&lt;1,D32&gt;5),Assumptions!$B$93,MAX(Assumptions!$B$93,INDEX(Assumptions!$B$44:$F$44,D32))),0)))</f>
        <v>12.11</v>
      </c>
      <c r="E36" s="50">
        <f>IF(Assumptions!$B$93=0,0,IF(FALSE,0,IF(E32&gt;=1,E33*IF(OR(Assumptions!$B$90&lt;1,E32&gt;5),Assumptions!$B$93,MAX(Assumptions!$B$93,INDEX(Assumptions!$B$44:$F$44,E32))),0)))</f>
        <v>13.5</v>
      </c>
      <c r="F36" s="50">
        <f>IF(Assumptions!$B$93=0,0,IF(FALSE,0,IF(F32&gt;=1,F33*IF(OR(Assumptions!$B$90&lt;1,F32&gt;5),Assumptions!$B$93,MAX(Assumptions!$B$93,INDEX(Assumptions!$B$44:$F$44,F32))),0)))</f>
        <v>13.5</v>
      </c>
      <c r="G36" s="50">
        <f>IF(Assumptions!$B$93=0,0,IF(FALSE,0,IF(G32&gt;=1,G33*IF(OR(Assumptions!$B$90&lt;1,G32&gt;5),Assumptions!$B$93,MAX(Assumptions!$B$93,INDEX(Assumptions!$B$44:$F$44,G32))),0)))</f>
        <v>13.5</v>
      </c>
      <c r="H36" s="50">
        <f>IF(Assumptions!$B$93=0,0,IF(FALSE,0,IF(H32&gt;=1,H33*IF(OR(Assumptions!$B$90&lt;1,H32&gt;5),Assumptions!$B$93,MAX(Assumptions!$B$93,INDEX(Assumptions!$B$44:$F$44,H32))),0)))</f>
        <v>13.5</v>
      </c>
      <c r="I36" s="50">
        <f>IF(Assumptions!$B$93=0,0,IF(FALSE,0,IF(I32&gt;=1,I33*IF(OR(Assumptions!$B$90&lt;1,I32&gt;5),Assumptions!$B$93,MAX(Assumptions!$B$93,INDEX(Assumptions!$B$44:$F$44,I32))),0)))</f>
        <v>5.3999999999999995</v>
      </c>
      <c r="J36" s="50">
        <f>IF(Assumptions!$B$93=0,0,IF(FALSE,0,IF(J32&gt;=1,J33*IF(OR(Assumptions!$B$90&lt;1,J32&gt;5),Assumptions!$B$93,MAX(Assumptions!$B$93,INDEX(Assumptions!$B$44:$F$44,J32))),0)))</f>
        <v>2.16</v>
      </c>
      <c r="K36" s="50">
        <f>IF(Assumptions!$B$93=0,0,IF(FALSE,0,IF(K32&gt;=1,K33*IF(OR(Assumptions!$B$90&lt;1,K32&gt;5),Assumptions!$B$93,MAX(Assumptions!$B$93,INDEX(Assumptions!$B$44:$F$44,K32))),0)))</f>
        <v>0.8640000000000001</v>
      </c>
      <c r="L36" s="50">
        <f>IF(Assumptions!$B$93=0,0,IF(FALSE,0,IF(L32&gt;=1,L33*IF(OR(Assumptions!$B$90&lt;1,L32&gt;5),Assumptions!$B$93,MAX(Assumptions!$B$93,INDEX(Assumptions!$B$44:$F$44,L32))),0)))</f>
        <v>0.3456</v>
      </c>
      <c r="M36" s="50">
        <f>IF(Assumptions!$B$93=0,0,IF(FALSE,0,IF(M32&gt;=1,M33*IF(OR(Assumptions!$B$90&lt;1,M32&gt;5),Assumptions!$B$93,MAX(Assumptions!$B$93,INDEX(Assumptions!$B$44:$F$44,M32))),0)))</f>
        <v>0.13824000000000003</v>
      </c>
      <c r="N36" s="50">
        <f>IF(Assumptions!$B$93=0,0,IF(FALSE,0,IF(N32&gt;=1,N33*IF(OR(Assumptions!$B$90&lt;1,N32&gt;5),Assumptions!$B$93,MAX(Assumptions!$B$93,INDEX(Assumptions!$B$44:$F$44,N32))),0)))</f>
        <v>0.05529600000000001</v>
      </c>
      <c r="O36" s="50">
        <f>IF(Assumptions!$B$93=0,0,IF(FALSE,0,IF(O32&gt;=1,O33*IF(OR(Assumptions!$B$90&lt;1,O32&gt;5),Assumptions!$B$93,MAX(Assumptions!$B$93,INDEX(Assumptions!$B$44:$F$44,O32))),0)))</f>
        <v>0.022118400000000003</v>
      </c>
      <c r="P36" s="50">
        <f>IF(Assumptions!$B$93=0,0,IF(FALSE,0,IF(P32&gt;=1,P33*IF(OR(Assumptions!$B$90&lt;1,P32&gt;5),Assumptions!$B$93,MAX(Assumptions!$B$93,INDEX(Assumptions!$B$44:$F$44,P32))),0)))</f>
        <v>0.008847360000000002</v>
      </c>
      <c r="Q36" s="50">
        <f>IF(Assumptions!$B$93=0,0,IF(FALSE,0,IF(Q32&gt;=1,Q33*IF(OR(Assumptions!$B$90&lt;1,Q32&gt;5),Assumptions!$B$93,MAX(Assumptions!$B$93,INDEX(Assumptions!$B$44:$F$44,Q32))),0)))</f>
        <v>0.0035389440000000013</v>
      </c>
      <c r="R36" s="50">
        <f>IF(Assumptions!$B$93=0,0,IF(FALSE,0,IF(R32&gt;=1,R33*IF(OR(Assumptions!$B$90&lt;1,R32&gt;5),Assumptions!$B$93,MAX(Assumptions!$B$93,INDEX(Assumptions!$B$44:$F$44,R32))),0)))</f>
        <v>0.0014155776000000007</v>
      </c>
      <c r="S36" s="50">
        <f>IF(Assumptions!$B$93=0,0,IF(FALSE,0,IF(S32&gt;=1,S33*IF(OR(Assumptions!$B$90&lt;1,S32&gt;5),Assumptions!$B$93,MAX(Assumptions!$B$93,INDEX(Assumptions!$B$44:$F$44,S32))),0)))</f>
        <v>0.0005662310400000003</v>
      </c>
      <c r="T36" s="50">
        <f>IF(Assumptions!$B$93=0,0,IF(FALSE,0,IF(T32&gt;=1,T33*IF(OR(Assumptions!$B$90&lt;1,T32&gt;5),Assumptions!$B$93,MAX(Assumptions!$B$93,INDEX(Assumptions!$B$44:$F$44,T32))),0)))</f>
        <v>0.0002264924160000001</v>
      </c>
      <c r="U36" s="50">
        <f>IF(Assumptions!$B$93=0,0,IF(FALSE,0,IF(U32&gt;=1,U33*IF(OR(Assumptions!$B$90&lt;1,U32&gt;5),Assumptions!$B$93,MAX(Assumptions!$B$93,INDEX(Assumptions!$B$44:$F$44,U32))),0)))</f>
        <v>9.059696640000006e-05</v>
      </c>
      <c r="V36" s="50">
        <f>IF(Assumptions!$B$93=0,0,IF(FALSE,0,IF(V32&gt;=1,V33*IF(OR(Assumptions!$B$90&lt;1,V32&gt;5),Assumptions!$B$93,MAX(Assumptions!$B$93,INDEX(Assumptions!$B$44:$F$44,V32))),0)))</f>
        <v>3.623878656000002e-05</v>
      </c>
      <c r="W36" s="50">
        <f>IF(Assumptions!$B$93=0,0,IF(FALSE,0,IF(W32&gt;=1,W33*IF(OR(Assumptions!$B$90&lt;1,W32&gt;5),Assumptions!$B$93,MAX(Assumptions!$B$93,INDEX(Assumptions!$B$44:$F$44,W32))),0)))</f>
        <v>1.4495514624000011e-05</v>
      </c>
      <c r="X36" s="50">
        <f>IF(Assumptions!$B$93=0,0,IF(FALSE,0,IF(X32&gt;=1,X33*IF(OR(Assumptions!$B$90&lt;1,X32&gt;5),Assumptions!$B$93,MAX(Assumptions!$B$93,INDEX(Assumptions!$B$44:$F$44,X32))),0)))</f>
        <v>5.7982058496000044e-06</v>
      </c>
      <c r="Y36" s="50">
        <f>IF(Assumptions!$B$93=0,0,IF(FALSE,0,IF(Y32&gt;=1,Y33*IF(OR(Assumptions!$B$90&lt;1,Y32&gt;5),Assumptions!$B$93,MAX(Assumptions!$B$93,INDEX(Assumptions!$B$44:$F$44,Y32))),0)))</f>
        <v>2.319282339840002e-06</v>
      </c>
      <c r="Z36" s="50">
        <f>IF(Assumptions!$B$93=0,0,IF(FALSE,0,IF(Z32&gt;=1,Z33*IF(OR(Assumptions!$B$90&lt;1,Z32&gt;5),Assumptions!$B$93,MAX(Assumptions!$B$93,INDEX(Assumptions!$B$44:$F$44,Z32))),0)))</f>
        <v>9.277129359360008e-07</v>
      </c>
    </row>
    <row r="37" spans="1:26" x14ac:dyDescent="0.2">
      <c r="A37" s="10" t="s">
        <v>144</v>
      </c>
      <c r="C37" s="50">
        <f>0</f>
        <v>0</v>
      </c>
      <c r="D37" s="50">
        <f>0</f>
        <v>0</v>
      </c>
      <c r="E37" s="50">
        <f>0</f>
        <v>0</v>
      </c>
      <c r="F37" s="50">
        <f>0</f>
        <v>0</v>
      </c>
      <c r="G37" s="50">
        <f>0</f>
        <v>0</v>
      </c>
      <c r="H37" s="50">
        <f>0</f>
        <v>0</v>
      </c>
      <c r="I37" s="50">
        <f>0</f>
        <v>0</v>
      </c>
      <c r="J37" s="50">
        <f>0</f>
        <v>0</v>
      </c>
      <c r="K37" s="50">
        <f>0</f>
        <v>0</v>
      </c>
      <c r="L37" s="50">
        <f>0</f>
        <v>0</v>
      </c>
      <c r="M37" s="50">
        <f>0</f>
        <v>0</v>
      </c>
      <c r="N37" s="50">
        <f>0</f>
        <v>0</v>
      </c>
      <c r="O37" s="50">
        <f>0</f>
        <v>0</v>
      </c>
      <c r="P37" s="50">
        <f>0</f>
        <v>0</v>
      </c>
      <c r="Q37" s="50">
        <f>0</f>
        <v>0</v>
      </c>
      <c r="R37" s="50">
        <f>0</f>
        <v>0</v>
      </c>
      <c r="S37" s="50">
        <f>0</f>
        <v>0</v>
      </c>
      <c r="T37" s="50">
        <f>0</f>
        <v>0</v>
      </c>
      <c r="U37" s="50">
        <f>0</f>
        <v>0</v>
      </c>
      <c r="V37" s="50">
        <f>0</f>
        <v>0</v>
      </c>
      <c r="W37" s="50">
        <f>0</f>
        <v>0</v>
      </c>
      <c r="X37" s="50">
        <f>0</f>
        <v>0</v>
      </c>
      <c r="Y37" s="50">
        <f>0</f>
        <v>0</v>
      </c>
      <c r="Z37" s="50">
        <f>0</f>
        <v>0</v>
      </c>
    </row>
    <row r="38" spans="1:26" x14ac:dyDescent="0.2">
      <c r="A38" s="20" t="s">
        <v>145</v>
      </c>
      <c r="C38" s="54">
        <f t="shared" ref="C38:Z38" si="3">C34-C35-C36-C37</f>
        <v>22.15466666666667</v>
      </c>
      <c r="D38" s="54">
        <f t="shared" si="3"/>
        <v>25.02733333333333</v>
      </c>
      <c r="E38" s="54">
        <f t="shared" si="3"/>
        <v>27.9</v>
      </c>
      <c r="F38" s="54">
        <f t="shared" si="3"/>
        <v>27.9</v>
      </c>
      <c r="G38" s="54">
        <f t="shared" si="3"/>
        <v>27.9</v>
      </c>
      <c r="H38" s="54">
        <f t="shared" si="3"/>
        <v>27.9</v>
      </c>
      <c r="I38" s="54">
        <f t="shared" si="3"/>
        <v>11.16</v>
      </c>
      <c r="J38" s="54">
        <f t="shared" si="3"/>
        <v>4.464</v>
      </c>
      <c r="K38" s="54">
        <f t="shared" si="3"/>
        <v>1.7856000000000003</v>
      </c>
      <c r="L38" s="54">
        <f t="shared" si="3"/>
        <v>0.7142400000000001</v>
      </c>
      <c r="M38" s="54">
        <f t="shared" si="3"/>
        <v>0.28569600000000006</v>
      </c>
      <c r="N38" s="54">
        <f t="shared" si="3"/>
        <v>0.11427840000000003</v>
      </c>
      <c r="O38" s="54">
        <f t="shared" si="3"/>
        <v>0.04571136000000001</v>
      </c>
      <c r="P38" s="54">
        <f t="shared" si="3"/>
        <v>0.018284544000000007</v>
      </c>
      <c r="Q38" s="54">
        <f t="shared" si="3"/>
        <v>0.007313817600000004</v>
      </c>
      <c r="R38" s="54">
        <f t="shared" si="3"/>
        <v>0.0029255270400000014</v>
      </c>
      <c r="S38" s="54">
        <f t="shared" si="3"/>
        <v>0.0011702108160000007</v>
      </c>
      <c r="T38" s="54">
        <f t="shared" si="3"/>
        <v>0.00046808432640000036</v>
      </c>
      <c r="U38" s="54">
        <f t="shared" si="3"/>
        <v>0.00018723373056000014</v>
      </c>
      <c r="V38" s="54">
        <f t="shared" si="3"/>
        <v>7.489349222400005e-05</v>
      </c>
      <c r="W38" s="54">
        <f t="shared" si="3"/>
        <v>2.995739688960002e-05</v>
      </c>
      <c r="X38" s="54">
        <f t="shared" si="3"/>
        <v>1.198295875584001e-05</v>
      </c>
      <c r="Y38" s="54">
        <f t="shared" si="3"/>
        <v>4.793183502336004e-06</v>
      </c>
      <c r="Z38" s="54">
        <f t="shared" si="3"/>
        <v>1.9172734009344018e-06</v>
      </c>
    </row>
    <row r="40" spans="1:26" x14ac:dyDescent="0.2">
      <c r="A40" s="27" t="s">
        <v>149</v>
      </c>
    </row>
    <row r="41" spans="1:26" x14ac:dyDescent="0.2">
      <c r="A41" s="10" t="s">
        <v>139</v>
      </c>
      <c r="C41" s="61">
        <f>C$2-Assumptions!$B$99+1</f>
        <v>2.0</v>
      </c>
      <c r="D41" s="61">
        <f>D$2-Assumptions!$B$99+1</f>
        <v>3.0</v>
      </c>
      <c r="E41" s="61">
        <f>E$2-Assumptions!$B$99+1</f>
        <v>4.0</v>
      </c>
      <c r="F41" s="61">
        <f>F$2-Assumptions!$B$99+1</f>
        <v>5.0</v>
      </c>
      <c r="G41" s="61">
        <f>G$2-Assumptions!$B$99+1</f>
        <v>6.0</v>
      </c>
      <c r="H41" s="61">
        <f>H$2-Assumptions!$B$99+1</f>
        <v>7.0</v>
      </c>
      <c r="I41" s="61">
        <f>I$2-Assumptions!$B$99+1</f>
        <v>8.0</v>
      </c>
      <c r="J41" s="61">
        <f>J$2-Assumptions!$B$99+1</f>
        <v>9.0</v>
      </c>
      <c r="K41" s="61">
        <f>K$2-Assumptions!$B$99+1</f>
        <v>10.0</v>
      </c>
      <c r="L41" s="61">
        <f>L$2-Assumptions!$B$99+1</f>
        <v>11.0</v>
      </c>
      <c r="M41" s="61">
        <f>M$2-Assumptions!$B$99+1</f>
        <v>12.0</v>
      </c>
      <c r="N41" s="61">
        <f>N$2-Assumptions!$B$99+1</f>
        <v>13.0</v>
      </c>
      <c r="O41" s="61">
        <f>O$2-Assumptions!$B$99+1</f>
        <v>14.0</v>
      </c>
      <c r="P41" s="61">
        <f>P$2-Assumptions!$B$99+1</f>
        <v>15.0</v>
      </c>
      <c r="Q41" s="61">
        <f>Q$2-Assumptions!$B$99+1</f>
        <v>16.0</v>
      </c>
      <c r="R41" s="61">
        <f>R$2-Assumptions!$B$99+1</f>
        <v>17.0</v>
      </c>
      <c r="S41" s="61">
        <f>S$2-Assumptions!$B$99+1</f>
        <v>18.0</v>
      </c>
      <c r="T41" s="61">
        <f>T$2-Assumptions!$B$99+1</f>
        <v>19.0</v>
      </c>
      <c r="U41" s="61">
        <f>U$2-Assumptions!$B$99+1</f>
        <v>20.0</v>
      </c>
      <c r="V41" s="61">
        <f>V$2-Assumptions!$B$99+1</f>
        <v>21.0</v>
      </c>
      <c r="W41" s="61">
        <f>W$2-Assumptions!$B$99+1</f>
        <v>22.0</v>
      </c>
      <c r="X41" s="61">
        <f>X$2-Assumptions!$B$99+1</f>
        <v>23.0</v>
      </c>
      <c r="Y41" s="61">
        <f>Y$2-Assumptions!$B$99+1</f>
        <v>24.0</v>
      </c>
      <c r="Z41" s="61">
        <f>Z$2-Assumptions!$B$99+1</f>
        <v>25.0</v>
      </c>
    </row>
    <row r="42" spans="1:26" x14ac:dyDescent="0.2">
      <c r="A42" s="10" t="s">
        <v>140</v>
      </c>
      <c r="C42" s="50">
        <f>IF(C$2&gt;Assumptions!$B$107,Assumptions!$B$109*(1-Assumptions!$B$108),IF(C$2&lt;Assumptions!$B$101,Assumptions!$B$109+(Assumptions!$B$100-Assumptions!$B$109)*((C$2-2026)/(Assumptions!$B$101-2026))^Assumptions!$B$102,Assumptions!$B$100))</f>
        <v>21.98320275641617</v>
      </c>
      <c r="D42" s="50">
        <f>IF(D$2&gt;Assumptions!$B$107,C42*(1-Assumptions!$B$108),IF(D$2&lt;Assumptions!$B$101,Assumptions!$B$109+(Assumptions!$B$100-Assumptions!$B$109)*((D$2-2026)/(Assumptions!$B$101-2026))^Assumptions!$B$102,Assumptions!$B$100))</f>
        <v>38.043817428392515</v>
      </c>
      <c r="E42" s="50">
        <f>IF(E$2&gt;Assumptions!$B$107,D42*(1-Assumptions!$B$108),IF(E$2&lt;Assumptions!$B$101,Assumptions!$B$109+(Assumptions!$B$100-Assumptions!$B$109)*((E$2-2026)/(Assumptions!$B$101-2026))^Assumptions!$B$102,Assumptions!$B$100))</f>
        <v>56.81277850371467</v>
      </c>
      <c r="F42" s="50">
        <f>IF(F$2&gt;Assumptions!$B$107,E42*(1-Assumptions!$B$108),IF(F$2&lt;Assumptions!$B$101,Assumptions!$B$109+(Assumptions!$B$100-Assumptions!$B$109)*((F$2-2026)/(Assumptions!$B$101-2026))^Assumptions!$B$102,Assumptions!$B$100))</f>
        <v>77.58968948497065</v>
      </c>
      <c r="G42" s="50">
        <f>IF(G$2&gt;Assumptions!$B$107,F42*(1-Assumptions!$B$108),IF(G$2&lt;Assumptions!$B$101,Assumptions!$B$109+(Assumptions!$B$100-Assumptions!$B$109)*((G$2-2026)/(Assumptions!$B$101-2026))^Assumptions!$B$102,Assumptions!$B$100))</f>
        <v>100</v>
      </c>
      <c r="H42" s="50">
        <f>IF(H$2&gt;Assumptions!$B$107,G42*(1-Assumptions!$B$108),IF(H$2&lt;Assumptions!$B$101,Assumptions!$B$109+(Assumptions!$B$100-Assumptions!$B$109)*((H$2-2026)/(Assumptions!$B$101-2026))^Assumptions!$B$102,Assumptions!$B$100))</f>
        <v>100</v>
      </c>
      <c r="I42" s="50">
        <f>IF(I$2&gt;Assumptions!$B$107,H42*(1-Assumptions!$B$108),IF(I$2&lt;Assumptions!$B$101,Assumptions!$B$109+(Assumptions!$B$100-Assumptions!$B$109)*((I$2-2026)/(Assumptions!$B$101-2026))^Assumptions!$B$102,Assumptions!$B$100))</f>
        <v>100</v>
      </c>
      <c r="J42" s="50">
        <f>IF(J$2&gt;Assumptions!$B$107,I42*(1-Assumptions!$B$108),IF(J$2&lt;Assumptions!$B$101,Assumptions!$B$109+(Assumptions!$B$100-Assumptions!$B$109)*((J$2-2026)/(Assumptions!$B$101-2026))^Assumptions!$B$102,Assumptions!$B$100))</f>
        <v>100</v>
      </c>
      <c r="K42" s="50">
        <f>IF(K$2&gt;Assumptions!$B$107,J42*(1-Assumptions!$B$108),IF(K$2&lt;Assumptions!$B$101,Assumptions!$B$109+(Assumptions!$B$100-Assumptions!$B$109)*((K$2-2026)/(Assumptions!$B$101-2026))^Assumptions!$B$102,Assumptions!$B$100))</f>
        <v>100</v>
      </c>
      <c r="L42" s="50">
        <f>IF(L$2&gt;Assumptions!$B$107,K42*(1-Assumptions!$B$108),IF(L$2&lt;Assumptions!$B$101,Assumptions!$B$109+(Assumptions!$B$100-Assumptions!$B$109)*((L$2-2026)/(Assumptions!$B$101-2026))^Assumptions!$B$102,Assumptions!$B$100))</f>
        <v>100</v>
      </c>
      <c r="M42" s="50">
        <f>IF(M$2&gt;Assumptions!$B$107,L42*(1-Assumptions!$B$108),IF(M$2&lt;Assumptions!$B$101,Assumptions!$B$109+(Assumptions!$B$100-Assumptions!$B$109)*((M$2-2026)/(Assumptions!$B$101-2026))^Assumptions!$B$102,Assumptions!$B$100))</f>
        <v>100</v>
      </c>
      <c r="N42" s="50">
        <f>IF(N$2&gt;Assumptions!$B$107,M42*(1-Assumptions!$B$108),IF(N$2&lt;Assumptions!$B$101,Assumptions!$B$109+(Assumptions!$B$100-Assumptions!$B$109)*((N$2-2026)/(Assumptions!$B$101-2026))^Assumptions!$B$102,Assumptions!$B$100))</f>
        <v>100</v>
      </c>
      <c r="O42" s="50">
        <f>IF(O$2&gt;Assumptions!$B$107,N42*(1-Assumptions!$B$108),IF(O$2&lt;Assumptions!$B$101,Assumptions!$B$109+(Assumptions!$B$100-Assumptions!$B$109)*((O$2-2026)/(Assumptions!$B$101-2026))^Assumptions!$B$102,Assumptions!$B$100))</f>
        <v>40.0</v>
      </c>
      <c r="P42" s="50">
        <f>IF(P$2&gt;Assumptions!$B$107,O42*(1-Assumptions!$B$108),IF(P$2&lt;Assumptions!$B$101,Assumptions!$B$109+(Assumptions!$B$100-Assumptions!$B$109)*((P$2-2026)/(Assumptions!$B$101-2026))^Assumptions!$B$102,Assumptions!$B$100))</f>
        <v>16.0</v>
      </c>
      <c r="Q42" s="50">
        <f>IF(Q$2&gt;Assumptions!$B$107,P42*(1-Assumptions!$B$108),IF(Q$2&lt;Assumptions!$B$101,Assumptions!$B$109+(Assumptions!$B$100-Assumptions!$B$109)*((Q$2-2026)/(Assumptions!$B$101-2026))^Assumptions!$B$102,Assumptions!$B$100))</f>
        <v>6.4</v>
      </c>
      <c r="R42" s="50">
        <f>IF(R$2&gt;Assumptions!$B$107,Q42*(1-Assumptions!$B$108),IF(R$2&lt;Assumptions!$B$101,Assumptions!$B$109+(Assumptions!$B$100-Assumptions!$B$109)*((R$2-2026)/(Assumptions!$B$101-2026))^Assumptions!$B$102,Assumptions!$B$100))</f>
        <v>2.5600000000000005</v>
      </c>
      <c r="S42" s="50">
        <f>IF(S$2&gt;Assumptions!$B$107,R42*(1-Assumptions!$B$108),IF(S$2&lt;Assumptions!$B$101,Assumptions!$B$109+(Assumptions!$B$100-Assumptions!$B$109)*((S$2-2026)/(Assumptions!$B$101-2026))^Assumptions!$B$102,Assumptions!$B$100))</f>
        <v>1.0240000000000002</v>
      </c>
      <c r="T42" s="50">
        <f>IF(T$2&gt;Assumptions!$B$107,S42*(1-Assumptions!$B$108),IF(T$2&lt;Assumptions!$B$101,Assumptions!$B$109+(Assumptions!$B$100-Assumptions!$B$109)*((T$2-2026)/(Assumptions!$B$101-2026))^Assumptions!$B$102,Assumptions!$B$100))</f>
        <v>0.40960000000000013</v>
      </c>
      <c r="U42" s="50">
        <f>IF(U$2&gt;Assumptions!$B$107,T42*(1-Assumptions!$B$108),IF(U$2&lt;Assumptions!$B$101,Assumptions!$B$109+(Assumptions!$B$100-Assumptions!$B$109)*((U$2-2026)/(Assumptions!$B$101-2026))^Assumptions!$B$102,Assumptions!$B$100))</f>
        <v>0.16384000000000007</v>
      </c>
      <c r="V42" s="50">
        <f>IF(V$2&gt;Assumptions!$B$107,U42*(1-Assumptions!$B$108),IF(V$2&lt;Assumptions!$B$101,Assumptions!$B$109+(Assumptions!$B$100-Assumptions!$B$109)*((V$2-2026)/(Assumptions!$B$101-2026))^Assumptions!$B$102,Assumptions!$B$100))</f>
        <v>0.06553600000000002</v>
      </c>
      <c r="W42" s="50">
        <f>IF(W$2&gt;Assumptions!$B$107,V42*(1-Assumptions!$B$108),IF(W$2&lt;Assumptions!$B$101,Assumptions!$B$109+(Assumptions!$B$100-Assumptions!$B$109)*((W$2-2026)/(Assumptions!$B$101-2026))^Assumptions!$B$102,Assumptions!$B$100))</f>
        <v>0.026214400000000013</v>
      </c>
      <c r="X42" s="50">
        <f>IF(X$2&gt;Assumptions!$B$107,W42*(1-Assumptions!$B$108),IF(X$2&lt;Assumptions!$B$101,Assumptions!$B$109+(Assumptions!$B$100-Assumptions!$B$109)*((X$2-2026)/(Assumptions!$B$101-2026))^Assumptions!$B$102,Assumptions!$B$100))</f>
        <v>0.010485760000000005</v>
      </c>
      <c r="Y42" s="50">
        <f>IF(Y$2&gt;Assumptions!$B$107,X42*(1-Assumptions!$B$108),IF(Y$2&lt;Assumptions!$B$101,Assumptions!$B$109+(Assumptions!$B$100-Assumptions!$B$109)*((Y$2-2026)/(Assumptions!$B$101-2026))^Assumptions!$B$102,Assumptions!$B$100))</f>
        <v>0.004194304000000002</v>
      </c>
      <c r="Z42" s="50">
        <f>IF(Z$2&gt;Assumptions!$B$107,Y42*(1-Assumptions!$B$108),IF(Z$2&lt;Assumptions!$B$101,Assumptions!$B$109+(Assumptions!$B$100-Assumptions!$B$109)*((Z$2-2026)/(Assumptions!$B$101-2026))^Assumptions!$B$102,Assumptions!$B$100))</f>
        <v>0.001677721600000001</v>
      </c>
    </row>
    <row r="43" spans="1:26" x14ac:dyDescent="0.2">
      <c r="A43" s="10" t="s">
        <v>141</v>
      </c>
      <c r="C43" s="50">
        <f>C42*Assumptions!$B$103</f>
        <v>21.98320275641617</v>
      </c>
      <c r="D43" s="50">
        <f>D42*Assumptions!$B$103</f>
        <v>38.043817428392515</v>
      </c>
      <c r="E43" s="50">
        <f>E42*Assumptions!$B$103</f>
        <v>56.81277850371467</v>
      </c>
      <c r="F43" s="50">
        <f>F42*Assumptions!$B$103</f>
        <v>77.58968948497065</v>
      </c>
      <c r="G43" s="50">
        <f>G42*Assumptions!$B$103</f>
        <v>100.0</v>
      </c>
      <c r="H43" s="50">
        <f>H42*Assumptions!$B$103</f>
        <v>100.0</v>
      </c>
      <c r="I43" s="50">
        <f>I42*Assumptions!$B$103</f>
        <v>100.0</v>
      </c>
      <c r="J43" s="50">
        <f>J42*Assumptions!$B$103</f>
        <v>100.0</v>
      </c>
      <c r="K43" s="50">
        <f>K42*Assumptions!$B$103</f>
        <v>100.0</v>
      </c>
      <c r="L43" s="50">
        <f>L42*Assumptions!$B$103</f>
        <v>100.0</v>
      </c>
      <c r="M43" s="50">
        <f>M42*Assumptions!$B$103</f>
        <v>100.0</v>
      </c>
      <c r="N43" s="50">
        <f>N42*Assumptions!$B$103</f>
        <v>100.0</v>
      </c>
      <c r="O43" s="50">
        <f>O42*Assumptions!$B$103</f>
        <v>40.0</v>
      </c>
      <c r="P43" s="50">
        <f>P42*Assumptions!$B$103</f>
        <v>16.0</v>
      </c>
      <c r="Q43" s="50">
        <f>Q42*Assumptions!$B$103</f>
        <v>6.4</v>
      </c>
      <c r="R43" s="50">
        <f>R42*Assumptions!$B$103</f>
        <v>2.5600000000000005</v>
      </c>
      <c r="S43" s="50">
        <f>S42*Assumptions!$B$103</f>
        <v>1.0240000000000002</v>
      </c>
      <c r="T43" s="50">
        <f>T42*Assumptions!$B$103</f>
        <v>0.40960000000000013</v>
      </c>
      <c r="U43" s="50">
        <f>U42*Assumptions!$B$103</f>
        <v>0.16384000000000007</v>
      </c>
      <c r="V43" s="50">
        <f>V42*Assumptions!$B$103</f>
        <v>0.06553600000000002</v>
      </c>
      <c r="W43" s="50">
        <f>W42*Assumptions!$B$103</f>
        <v>0.026214400000000013</v>
      </c>
      <c r="X43" s="50">
        <f>X42*Assumptions!$B$103</f>
        <v>0.010485760000000005</v>
      </c>
      <c r="Y43" s="50">
        <f>Y42*Assumptions!$B$103</f>
        <v>0.004194304000000002</v>
      </c>
      <c r="Z43" s="50">
        <f>Z42*Assumptions!$B$103</f>
        <v>0.001677721600000001</v>
      </c>
    </row>
    <row r="44" spans="1:26" x14ac:dyDescent="0.2">
      <c r="A44" s="10" t="s">
        <v>142</v>
      </c>
      <c r="C44" s="50">
        <f>C42*(Assumptions!$B$104+Assumptions!$B$105)</f>
        <v>1.31899216538497</v>
      </c>
      <c r="D44" s="50">
        <f>D42*(Assumptions!$B$104+Assumptions!$B$105)</f>
        <v>2.2826290457035507</v>
      </c>
      <c r="E44" s="50">
        <f>E42*(Assumptions!$B$104+Assumptions!$B$105)</f>
        <v>3.40876671022288</v>
      </c>
      <c r="F44" s="50">
        <f>F42*(Assumptions!$B$104+Assumptions!$B$105)</f>
        <v>4.655381369098238</v>
      </c>
      <c r="G44" s="50">
        <f>G42*(Assumptions!$B$104+Assumptions!$B$105)</f>
        <v>6.0</v>
      </c>
      <c r="H44" s="50">
        <f>H42*(Assumptions!$B$104+Assumptions!$B$105)</f>
        <v>6.0</v>
      </c>
      <c r="I44" s="50">
        <f>I42*(Assumptions!$B$104+Assumptions!$B$105)</f>
        <v>6.0</v>
      </c>
      <c r="J44" s="50">
        <f>J42*(Assumptions!$B$104+Assumptions!$B$105)</f>
        <v>6.0</v>
      </c>
      <c r="K44" s="50">
        <f>K42*(Assumptions!$B$104+Assumptions!$B$105)</f>
        <v>6.0</v>
      </c>
      <c r="L44" s="50">
        <f>L42*(Assumptions!$B$104+Assumptions!$B$105)</f>
        <v>6.0</v>
      </c>
      <c r="M44" s="50">
        <f>M42*(Assumptions!$B$104+Assumptions!$B$105)</f>
        <v>6.0</v>
      </c>
      <c r="N44" s="50">
        <f>N42*(Assumptions!$B$104+Assumptions!$B$105)</f>
        <v>6.0</v>
      </c>
      <c r="O44" s="50">
        <f>O42*(Assumptions!$B$104+Assumptions!$B$105)</f>
        <v>2.4</v>
      </c>
      <c r="P44" s="50">
        <f>P42*(Assumptions!$B$104+Assumptions!$B$105)</f>
        <v>0.96</v>
      </c>
      <c r="Q44" s="50">
        <f>Q42*(Assumptions!$B$104+Assumptions!$B$105)</f>
        <v>0.384</v>
      </c>
      <c r="R44" s="50">
        <f>R42*(Assumptions!$B$104+Assumptions!$B$105)</f>
        <v>0.15360000000000001</v>
      </c>
      <c r="S44" s="50">
        <f>S42*(Assumptions!$B$104+Assumptions!$B$105)</f>
        <v>0.061440000000000015</v>
      </c>
      <c r="T44" s="50">
        <f>T42*(Assumptions!$B$104+Assumptions!$B$105)</f>
        <v>0.024576000000000008</v>
      </c>
      <c r="U44" s="50">
        <f>U42*(Assumptions!$B$104+Assumptions!$B$105)</f>
        <v>0.009830400000000003</v>
      </c>
      <c r="V44" s="50">
        <f>V42*(Assumptions!$B$104+Assumptions!$B$105)</f>
        <v>0.003932160000000001</v>
      </c>
      <c r="W44" s="50">
        <f>W42*(Assumptions!$B$104+Assumptions!$B$105)</f>
        <v>0.0015728640000000006</v>
      </c>
      <c r="X44" s="50">
        <f>X42*(Assumptions!$B$104+Assumptions!$B$105)</f>
        <v>0.0006291456000000003</v>
      </c>
      <c r="Y44" s="50">
        <f>Y42*(Assumptions!$B$104+Assumptions!$B$105)</f>
        <v>0.0002516582400000001</v>
      </c>
      <c r="Z44" s="50">
        <f>Z42*(Assumptions!$B$104+Assumptions!$B$105)</f>
        <v>0.00010066329600000005</v>
      </c>
    </row>
    <row r="45" spans="1:26" x14ac:dyDescent="0.2">
      <c r="A45" s="10" t="s">
        <v>143</v>
      </c>
      <c r="C45" s="50">
        <f>IF(Assumptions!$B$106=0,0,IF(FALSE,0,IF(C41&gt;=1,C42*IF(OR(Assumptions!$B$103&lt;1,C41&gt;5),Assumptions!$B$106,MAX(Assumptions!$B$106,INDEX(Assumptions!$B$44:$F$44,C41))),0)))</f>
        <v>12.090761516028895</v>
      </c>
      <c r="D45" s="50">
        <f>IF(Assumptions!$B$106=0,0,IF(FALSE,0,IF(D41&gt;=1,D42*IF(OR(Assumptions!$B$103&lt;1,D41&gt;5),Assumptions!$B$106,MAX(Assumptions!$B$106,INDEX(Assumptions!$B$44:$F$44,D41))),0)))</f>
        <v>15.217526971357007</v>
      </c>
      <c r="E45" s="50">
        <f>IF(Assumptions!$B$106=0,0,IF(FALSE,0,IF(E41&gt;=1,E42*IF(OR(Assumptions!$B$103&lt;1,E41&gt;5),Assumptions!$B$106,MAX(Assumptions!$B$106,INDEX(Assumptions!$B$44:$F$44,E41))),0)))</f>
        <v>19.884472476300132</v>
      </c>
      <c r="F45" s="50">
        <f>IF(Assumptions!$B$106=0,0,IF(FALSE,0,IF(F41&gt;=1,F42*IF(OR(Assumptions!$B$103&lt;1,F41&gt;5),Assumptions!$B$106,MAX(Assumptions!$B$106,INDEX(Assumptions!$B$44:$F$44,F41))),0)))</f>
        <v>27.156391319739726</v>
      </c>
      <c r="G45" s="50">
        <f>IF(Assumptions!$B$106=0,0,IF(FALSE,0,IF(G41&gt;=1,G42*IF(OR(Assumptions!$B$103&lt;1,G41&gt;5),Assumptions!$B$106,MAX(Assumptions!$B$106,INDEX(Assumptions!$B$44:$F$44,G41))),0)))</f>
        <v>35.0</v>
      </c>
      <c r="H45" s="50">
        <f>IF(Assumptions!$B$106=0,0,IF(FALSE,0,IF(H41&gt;=1,H42*IF(OR(Assumptions!$B$103&lt;1,H41&gt;5),Assumptions!$B$106,MAX(Assumptions!$B$106,INDEX(Assumptions!$B$44:$F$44,H41))),0)))</f>
        <v>35.0</v>
      </c>
      <c r="I45" s="50">
        <f>IF(Assumptions!$B$106=0,0,IF(FALSE,0,IF(I41&gt;=1,I42*IF(OR(Assumptions!$B$103&lt;1,I41&gt;5),Assumptions!$B$106,MAX(Assumptions!$B$106,INDEX(Assumptions!$B$44:$F$44,I41))),0)))</f>
        <v>35.0</v>
      </c>
      <c r="J45" s="50">
        <f>IF(Assumptions!$B$106=0,0,IF(FALSE,0,IF(J41&gt;=1,J42*IF(OR(Assumptions!$B$103&lt;1,J41&gt;5),Assumptions!$B$106,MAX(Assumptions!$B$106,INDEX(Assumptions!$B$44:$F$44,J41))),0)))</f>
        <v>35.0</v>
      </c>
      <c r="K45" s="50">
        <f>IF(Assumptions!$B$106=0,0,IF(FALSE,0,IF(K41&gt;=1,K42*IF(OR(Assumptions!$B$103&lt;1,K41&gt;5),Assumptions!$B$106,MAX(Assumptions!$B$106,INDEX(Assumptions!$B$44:$F$44,K41))),0)))</f>
        <v>35.0</v>
      </c>
      <c r="L45" s="50">
        <f>IF(Assumptions!$B$106=0,0,IF(FALSE,0,IF(L41&gt;=1,L42*IF(OR(Assumptions!$B$103&lt;1,L41&gt;5),Assumptions!$B$106,MAX(Assumptions!$B$106,INDEX(Assumptions!$B$44:$F$44,L41))),0)))</f>
        <v>35.0</v>
      </c>
      <c r="M45" s="50">
        <f>IF(Assumptions!$B$106=0,0,IF(FALSE,0,IF(M41&gt;=1,M42*IF(OR(Assumptions!$B$103&lt;1,M41&gt;5),Assumptions!$B$106,MAX(Assumptions!$B$106,INDEX(Assumptions!$B$44:$F$44,M41))),0)))</f>
        <v>35.0</v>
      </c>
      <c r="N45" s="50">
        <f>IF(Assumptions!$B$106=0,0,IF(FALSE,0,IF(N41&gt;=1,N42*IF(OR(Assumptions!$B$103&lt;1,N41&gt;5),Assumptions!$B$106,MAX(Assumptions!$B$106,INDEX(Assumptions!$B$44:$F$44,N41))),0)))</f>
        <v>35.0</v>
      </c>
      <c r="O45" s="50">
        <f>IF(Assumptions!$B$106=0,0,IF(FALSE,0,IF(O41&gt;=1,O42*IF(OR(Assumptions!$B$103&lt;1,O41&gt;5),Assumptions!$B$106,MAX(Assumptions!$B$106,INDEX(Assumptions!$B$44:$F$44,O41))),0)))</f>
        <v>14.0</v>
      </c>
      <c r="P45" s="50">
        <f>IF(Assumptions!$B$106=0,0,IF(FALSE,0,IF(P41&gt;=1,P42*IF(OR(Assumptions!$B$103&lt;1,P41&gt;5),Assumptions!$B$106,MAX(Assumptions!$B$106,INDEX(Assumptions!$B$44:$F$44,P41))),0)))</f>
        <v>5.6</v>
      </c>
      <c r="Q45" s="50">
        <f>IF(Assumptions!$B$106=0,0,IF(FALSE,0,IF(Q41&gt;=1,Q42*IF(OR(Assumptions!$B$103&lt;1,Q41&gt;5),Assumptions!$B$106,MAX(Assumptions!$B$106,INDEX(Assumptions!$B$44:$F$44,Q41))),0)))</f>
        <v>2.2399999999999998</v>
      </c>
      <c r="R45" s="50">
        <f>IF(Assumptions!$B$106=0,0,IF(FALSE,0,IF(R41&gt;=1,R42*IF(OR(Assumptions!$B$103&lt;1,R41&gt;5),Assumptions!$B$106,MAX(Assumptions!$B$106,INDEX(Assumptions!$B$44:$F$44,R41))),0)))</f>
        <v>0.8960000000000001</v>
      </c>
      <c r="S45" s="50">
        <f>IF(Assumptions!$B$106=0,0,IF(FALSE,0,IF(S41&gt;=1,S42*IF(OR(Assumptions!$B$103&lt;1,S41&gt;5),Assumptions!$B$106,MAX(Assumptions!$B$106,INDEX(Assumptions!$B$44:$F$44,S41))),0)))</f>
        <v>0.35840000000000005</v>
      </c>
      <c r="T45" s="50">
        <f>IF(Assumptions!$B$106=0,0,IF(FALSE,0,IF(T41&gt;=1,T42*IF(OR(Assumptions!$B$103&lt;1,T41&gt;5),Assumptions!$B$106,MAX(Assumptions!$B$106,INDEX(Assumptions!$B$44:$F$44,T41))),0)))</f>
        <v>0.14336000000000004</v>
      </c>
      <c r="U45" s="50">
        <f>IF(Assumptions!$B$106=0,0,IF(FALSE,0,IF(U41&gt;=1,U42*IF(OR(Assumptions!$B$103&lt;1,U41&gt;5),Assumptions!$B$106,MAX(Assumptions!$B$106,INDEX(Assumptions!$B$44:$F$44,U41))),0)))</f>
        <v>0.05734400000000002</v>
      </c>
      <c r="V45" s="50">
        <f>IF(Assumptions!$B$106=0,0,IF(FALSE,0,IF(V41&gt;=1,V42*IF(OR(Assumptions!$B$103&lt;1,V41&gt;5),Assumptions!$B$106,MAX(Assumptions!$B$106,INDEX(Assumptions!$B$44:$F$44,V41))),0)))</f>
        <v>0.022937600000000006</v>
      </c>
      <c r="W45" s="50">
        <f>IF(Assumptions!$B$106=0,0,IF(FALSE,0,IF(W41&gt;=1,W42*IF(OR(Assumptions!$B$103&lt;1,W41&gt;5),Assumptions!$B$106,MAX(Assumptions!$B$106,INDEX(Assumptions!$B$44:$F$44,W41))),0)))</f>
        <v>0.009175040000000004</v>
      </c>
      <c r="X45" s="50">
        <f>IF(Assumptions!$B$106=0,0,IF(FALSE,0,IF(X41&gt;=1,X42*IF(OR(Assumptions!$B$103&lt;1,X41&gt;5),Assumptions!$B$106,MAX(Assumptions!$B$106,INDEX(Assumptions!$B$44:$F$44,X41))),0)))</f>
        <v>0.0036700160000000016</v>
      </c>
      <c r="Y45" s="50">
        <f>IF(Assumptions!$B$106=0,0,IF(FALSE,0,IF(Y41&gt;=1,Y42*IF(OR(Assumptions!$B$103&lt;1,Y41&gt;5),Assumptions!$B$106,MAX(Assumptions!$B$106,INDEX(Assumptions!$B$44:$F$44,Y41))),0)))</f>
        <v>0.0014680064000000006</v>
      </c>
      <c r="Z45" s="50">
        <f>IF(Assumptions!$B$106=0,0,IF(FALSE,0,IF(Z41&gt;=1,Z42*IF(OR(Assumptions!$B$103&lt;1,Z41&gt;5),Assumptions!$B$106,MAX(Assumptions!$B$106,INDEX(Assumptions!$B$44:$F$44,Z41))),0)))</f>
        <v>0.0005872025600000002</v>
      </c>
    </row>
    <row r="46" spans="1:26" x14ac:dyDescent="0.2">
      <c r="A46" s="10" t="s">
        <v>144</v>
      </c>
      <c r="C46" s="50">
        <f>0</f>
        <v>0</v>
      </c>
      <c r="D46" s="50">
        <f>0</f>
        <v>0</v>
      </c>
      <c r="E46" s="50">
        <f>0</f>
        <v>0</v>
      </c>
      <c r="F46" s="50">
        <f>0</f>
        <v>0</v>
      </c>
      <c r="G46" s="50">
        <f>0</f>
        <v>0</v>
      </c>
      <c r="H46" s="50">
        <f>0</f>
        <v>0</v>
      </c>
      <c r="I46" s="50">
        <f>0</f>
        <v>0</v>
      </c>
      <c r="J46" s="50">
        <f>0</f>
        <v>0</v>
      </c>
      <c r="K46" s="50">
        <f>0</f>
        <v>0</v>
      </c>
      <c r="L46" s="50">
        <f>0</f>
        <v>0</v>
      </c>
      <c r="M46" s="50">
        <f>0</f>
        <v>0</v>
      </c>
      <c r="N46" s="50">
        <f>0</f>
        <v>0</v>
      </c>
      <c r="O46" s="50">
        <f>0</f>
        <v>0</v>
      </c>
      <c r="P46" s="50">
        <f>0</f>
        <v>0</v>
      </c>
      <c r="Q46" s="50">
        <f>0</f>
        <v>0</v>
      </c>
      <c r="R46" s="50">
        <f>0</f>
        <v>0</v>
      </c>
      <c r="S46" s="50">
        <f>0</f>
        <v>0</v>
      </c>
      <c r="T46" s="50">
        <f>0</f>
        <v>0</v>
      </c>
      <c r="U46" s="50">
        <f>0</f>
        <v>0</v>
      </c>
      <c r="V46" s="50">
        <f>0</f>
        <v>0</v>
      </c>
      <c r="W46" s="50">
        <f>0</f>
        <v>0</v>
      </c>
      <c r="X46" s="50">
        <f>0</f>
        <v>0</v>
      </c>
      <c r="Y46" s="50">
        <f>0</f>
        <v>0</v>
      </c>
      <c r="Z46" s="50">
        <f>0</f>
        <v>0</v>
      </c>
    </row>
    <row r="47" spans="1:26" x14ac:dyDescent="0.2">
      <c r="A47" s="20" t="s">
        <v>145</v>
      </c>
      <c r="C47" s="54">
        <f t="shared" ref="C47:Z47" si="4">C43-C44-C45-C46</f>
        <v>8.573449075002305</v>
      </c>
      <c r="D47" s="54">
        <f t="shared" si="4"/>
        <v>20.543661411331957</v>
      </c>
      <c r="E47" s="54">
        <f t="shared" si="4"/>
        <v>33.51953931719166</v>
      </c>
      <c r="F47" s="54">
        <f t="shared" si="4"/>
        <v>45.777916796132686</v>
      </c>
      <c r="G47" s="54">
        <f t="shared" si="4"/>
        <v>59.0</v>
      </c>
      <c r="H47" s="54">
        <f t="shared" si="4"/>
        <v>59.0</v>
      </c>
      <c r="I47" s="54">
        <f t="shared" si="4"/>
        <v>59.0</v>
      </c>
      <c r="J47" s="54">
        <f t="shared" si="4"/>
        <v>59.0</v>
      </c>
      <c r="K47" s="54">
        <f t="shared" si="4"/>
        <v>59.0</v>
      </c>
      <c r="L47" s="54">
        <f t="shared" si="4"/>
        <v>59.0</v>
      </c>
      <c r="M47" s="54">
        <f t="shared" si="4"/>
        <v>59.0</v>
      </c>
      <c r="N47" s="54">
        <f t="shared" si="4"/>
        <v>59.0</v>
      </c>
      <c r="O47" s="54">
        <f t="shared" si="4"/>
        <v>23.6</v>
      </c>
      <c r="P47" s="54">
        <f t="shared" si="4"/>
        <v>9.44</v>
      </c>
      <c r="Q47" s="54">
        <f t="shared" si="4"/>
        <v>3.7760000000000002</v>
      </c>
      <c r="R47" s="54">
        <f t="shared" si="4"/>
        <v>1.5104000000000004</v>
      </c>
      <c r="S47" s="54">
        <f t="shared" si="4"/>
        <v>0.6041600000000001</v>
      </c>
      <c r="T47" s="54">
        <f t="shared" si="4"/>
        <v>0.2416640000000001</v>
      </c>
      <c r="U47" s="54">
        <f t="shared" si="4"/>
        <v>0.09666560000000006</v>
      </c>
      <c r="V47" s="54">
        <f t="shared" si="4"/>
        <v>0.03866624000000002</v>
      </c>
      <c r="W47" s="54">
        <f t="shared" si="4"/>
        <v>0.015466496000000008</v>
      </c>
      <c r="X47" s="54">
        <f t="shared" si="4"/>
        <v>0.006186598400000003</v>
      </c>
      <c r="Y47" s="54">
        <f t="shared" si="4"/>
        <v>0.0024746393600000014</v>
      </c>
      <c r="Z47" s="54">
        <f t="shared" si="4"/>
        <v>0.0009898557440000005</v>
      </c>
    </row>
    <row r="49" spans="1:26" x14ac:dyDescent="0.2">
      <c r="A49" s="27" t="s">
        <v>150</v>
      </c>
    </row>
    <row r="50" spans="1:26" x14ac:dyDescent="0.2">
      <c r="A50" s="10" t="s">
        <v>151</v>
      </c>
      <c r="C50" s="61">
        <f>C$2-Assumptions!$B$112+1</f>
        <v>1.0</v>
      </c>
      <c r="D50" s="61">
        <f>D$2-Assumptions!$B$112+1</f>
        <v>2.0</v>
      </c>
      <c r="E50" s="61">
        <f>E$2-Assumptions!$B$112+1</f>
        <v>3.0</v>
      </c>
      <c r="F50" s="61">
        <f>F$2-Assumptions!$B$112+1</f>
        <v>4.0</v>
      </c>
      <c r="G50" s="61">
        <f>G$2-Assumptions!$B$112+1</f>
        <v>5.0</v>
      </c>
      <c r="H50" s="61">
        <f>H$2-Assumptions!$B$112+1</f>
        <v>6.0</v>
      </c>
      <c r="I50" s="61">
        <f>I$2-Assumptions!$B$112+1</f>
        <v>7.0</v>
      </c>
      <c r="J50" s="61">
        <f>J$2-Assumptions!$B$112+1</f>
        <v>8.0</v>
      </c>
      <c r="K50" s="61">
        <f>K$2-Assumptions!$B$112+1</f>
        <v>9.0</v>
      </c>
      <c r="L50" s="61">
        <f>L$2-Assumptions!$B$112+1</f>
        <v>10.0</v>
      </c>
      <c r="M50" s="61">
        <f>M$2-Assumptions!$B$112+1</f>
        <v>11.0</v>
      </c>
      <c r="N50" s="61">
        <f>N$2-Assumptions!$B$112+1</f>
        <v>12.0</v>
      </c>
      <c r="O50" s="61">
        <f>O$2-Assumptions!$B$112+1</f>
        <v>13.0</v>
      </c>
      <c r="P50" s="61">
        <f>P$2-Assumptions!$B$112+1</f>
        <v>14.0</v>
      </c>
      <c r="Q50" s="61">
        <f>Q$2-Assumptions!$B$112+1</f>
        <v>15.0</v>
      </c>
      <c r="R50" s="61">
        <f>R$2-Assumptions!$B$112+1</f>
        <v>16.0</v>
      </c>
      <c r="S50" s="61">
        <f>S$2-Assumptions!$B$112+1</f>
        <v>17.0</v>
      </c>
      <c r="T50" s="61">
        <f>T$2-Assumptions!$B$112+1</f>
        <v>18.0</v>
      </c>
      <c r="U50" s="61">
        <f>U$2-Assumptions!$B$112+1</f>
        <v>19.0</v>
      </c>
      <c r="V50" s="61">
        <f>V$2-Assumptions!$B$112+1</f>
        <v>20.0</v>
      </c>
      <c r="W50" s="61">
        <f>W$2-Assumptions!$B$112+1</f>
        <v>21.0</v>
      </c>
      <c r="X50" s="61">
        <f>X$2-Assumptions!$B$112+1</f>
        <v>22.0</v>
      </c>
      <c r="Y50" s="61">
        <f>Y$2-Assumptions!$B$112+1</f>
        <v>23.0</v>
      </c>
      <c r="Z50" s="61">
        <f>Z$2-Assumptions!$B$112+1</f>
        <v>24.0</v>
      </c>
    </row>
    <row r="51" spans="1:26" x14ac:dyDescent="0.2">
      <c r="A51" s="10" t="s">
        <v>152</v>
      </c>
      <c r="C51" s="50">
        <f>IF(C$2&gt;Assumptions!$B$121,0*(1-Assumptions!$B$122),IF(C50&gt;=1,Assumptions!$B$113*CHOOSE(Assumptions!$B$120,INDEX(Assumptions!$B$42:$H$42,MIN(C50,7)),INDEX(Assumptions!$B$43:$H$43,MIN(C50,7))),0))</f>
        <v>26.25</v>
      </c>
      <c r="D51" s="50">
        <f>IF(D$2&gt;Assumptions!$B$121,C51*(1-Assumptions!$B$122),IF(D50&gt;=1,Assumptions!$B$113*CHOOSE(Assumptions!$B$120,INDEX(Assumptions!$B$42:$H$42,MIN(D50,7)),INDEX(Assumptions!$B$43:$H$43,MIN(D50,7))),0))</f>
        <v>61.24999999999999</v>
      </c>
      <c r="E51" s="50">
        <f>IF(E$2&gt;Assumptions!$B$121,D51*(1-Assumptions!$B$122),IF(E50&gt;=1,Assumptions!$B$113*CHOOSE(Assumptions!$B$120,INDEX(Assumptions!$B$42:$H$42,MIN(E50,7)),INDEX(Assumptions!$B$43:$H$43,MIN(E50,7))),0))</f>
        <v>96.25000000000001</v>
      </c>
      <c r="F51" s="50">
        <f>IF(F$2&gt;Assumptions!$B$121,E51*(1-Assumptions!$B$122),IF(F50&gt;=1,Assumptions!$B$113*CHOOSE(Assumptions!$B$120,INDEX(Assumptions!$B$42:$H$42,MIN(F50,7)),INDEX(Assumptions!$B$43:$H$43,MIN(F50,7))),0))</f>
        <v>131.25</v>
      </c>
      <c r="G51" s="50">
        <f>IF(G$2&gt;Assumptions!$B$121,F51*(1-Assumptions!$B$122),IF(G50&gt;=1,Assumptions!$B$113*CHOOSE(Assumptions!$B$120,INDEX(Assumptions!$B$42:$H$42,MIN(G50,7)),INDEX(Assumptions!$B$43:$H$43,MIN(G50,7))),0))</f>
        <v>157.5</v>
      </c>
      <c r="H51" s="50">
        <f>IF(H$2&gt;Assumptions!$B$121,G51*(1-Assumptions!$B$122),IF(H50&gt;=1,Assumptions!$B$113*CHOOSE(Assumptions!$B$120,INDEX(Assumptions!$B$42:$H$42,MIN(H50,7)),INDEX(Assumptions!$B$43:$H$43,MIN(H50,7))),0))</f>
        <v>175.0</v>
      </c>
      <c r="I51" s="50">
        <f>IF(I$2&gt;Assumptions!$B$121,H51*(1-Assumptions!$B$122),IF(I50&gt;=1,Assumptions!$B$113*CHOOSE(Assumptions!$B$120,INDEX(Assumptions!$B$42:$H$42,MIN(I50,7)),INDEX(Assumptions!$B$43:$H$43,MIN(I50,7))),0))</f>
        <v>175.0</v>
      </c>
      <c r="J51" s="50">
        <f>IF(J$2&gt;Assumptions!$B$121,I51*(1-Assumptions!$B$122),IF(J50&gt;=1,Assumptions!$B$113*CHOOSE(Assumptions!$B$120,INDEX(Assumptions!$B$42:$H$42,MIN(J50,7)),INDEX(Assumptions!$B$43:$H$43,MIN(J50,7))),0))</f>
        <v>175.0</v>
      </c>
      <c r="K51" s="50">
        <f>IF(K$2&gt;Assumptions!$B$121,J51*(1-Assumptions!$B$122),IF(K50&gt;=1,Assumptions!$B$113*CHOOSE(Assumptions!$B$120,INDEX(Assumptions!$B$42:$H$42,MIN(K50,7)),INDEX(Assumptions!$B$43:$H$43,MIN(K50,7))),0))</f>
        <v>175.0</v>
      </c>
      <c r="L51" s="50">
        <f>IF(L$2&gt;Assumptions!$B$121,K51*(1-Assumptions!$B$122),IF(L50&gt;=1,Assumptions!$B$113*CHOOSE(Assumptions!$B$120,INDEX(Assumptions!$B$42:$H$42,MIN(L50,7)),INDEX(Assumptions!$B$43:$H$43,MIN(L50,7))),0))</f>
        <v>175.0</v>
      </c>
      <c r="M51" s="50">
        <f>IF(M$2&gt;Assumptions!$B$121,L51*(1-Assumptions!$B$122),IF(M50&gt;=1,Assumptions!$B$113*CHOOSE(Assumptions!$B$120,INDEX(Assumptions!$B$42:$H$42,MIN(M50,7)),INDEX(Assumptions!$B$43:$H$43,MIN(M50,7))),0))</f>
        <v>175.0</v>
      </c>
      <c r="N51" s="50">
        <f>IF(N$2&gt;Assumptions!$B$121,M51*(1-Assumptions!$B$122),IF(N50&gt;=1,Assumptions!$B$113*CHOOSE(Assumptions!$B$120,INDEX(Assumptions!$B$42:$H$42,MIN(N50,7)),INDEX(Assumptions!$B$43:$H$43,MIN(N50,7))),0))</f>
        <v>175.0</v>
      </c>
      <c r="O51" s="50">
        <f>IF(O$2&gt;Assumptions!$B$121,N51*(1-Assumptions!$B$122),IF(O50&gt;=1,Assumptions!$B$113*CHOOSE(Assumptions!$B$120,INDEX(Assumptions!$B$42:$H$42,MIN(O50,7)),INDEX(Assumptions!$B$43:$H$43,MIN(O50,7))),0))</f>
        <v>175.0</v>
      </c>
      <c r="P51" s="50">
        <f>IF(P$2&gt;Assumptions!$B$121,O51*(1-Assumptions!$B$122),IF(P50&gt;=1,Assumptions!$B$113*CHOOSE(Assumptions!$B$120,INDEX(Assumptions!$B$42:$H$42,MIN(P50,7)),INDEX(Assumptions!$B$43:$H$43,MIN(P50,7))),0))</f>
        <v>87.5</v>
      </c>
      <c r="Q51" s="50">
        <f>IF(Q$2&gt;Assumptions!$B$121,P51*(1-Assumptions!$B$122),IF(Q50&gt;=1,Assumptions!$B$113*CHOOSE(Assumptions!$B$120,INDEX(Assumptions!$B$42:$H$42,MIN(Q50,7)),INDEX(Assumptions!$B$43:$H$43,MIN(Q50,7))),0))</f>
        <v>43.75</v>
      </c>
      <c r="R51" s="50">
        <f>IF(R$2&gt;Assumptions!$B$121,Q51*(1-Assumptions!$B$122),IF(R50&gt;=1,Assumptions!$B$113*CHOOSE(Assumptions!$B$120,INDEX(Assumptions!$B$42:$H$42,MIN(R50,7)),INDEX(Assumptions!$B$43:$H$43,MIN(R50,7))),0))</f>
        <v>21.875</v>
      </c>
      <c r="S51" s="50">
        <f>IF(S$2&gt;Assumptions!$B$121,R51*(1-Assumptions!$B$122),IF(S50&gt;=1,Assumptions!$B$113*CHOOSE(Assumptions!$B$120,INDEX(Assumptions!$B$42:$H$42,MIN(S50,7)),INDEX(Assumptions!$B$43:$H$43,MIN(S50,7))),0))</f>
        <v>10.9375</v>
      </c>
      <c r="T51" s="50">
        <f>IF(T$2&gt;Assumptions!$B$121,S51*(1-Assumptions!$B$122),IF(T50&gt;=1,Assumptions!$B$113*CHOOSE(Assumptions!$B$120,INDEX(Assumptions!$B$42:$H$42,MIN(T50,7)),INDEX(Assumptions!$B$43:$H$43,MIN(T50,7))),0))</f>
        <v>5.46875</v>
      </c>
      <c r="U51" s="50">
        <f>IF(U$2&gt;Assumptions!$B$121,T51*(1-Assumptions!$B$122),IF(U50&gt;=1,Assumptions!$B$113*CHOOSE(Assumptions!$B$120,INDEX(Assumptions!$B$42:$H$42,MIN(U50,7)),INDEX(Assumptions!$B$43:$H$43,MIN(U50,7))),0))</f>
        <v>2.734375</v>
      </c>
      <c r="V51" s="50">
        <f>IF(V$2&gt;Assumptions!$B$121,U51*(1-Assumptions!$B$122),IF(V50&gt;=1,Assumptions!$B$113*CHOOSE(Assumptions!$B$120,INDEX(Assumptions!$B$42:$H$42,MIN(V50,7)),INDEX(Assumptions!$B$43:$H$43,MIN(V50,7))),0))</f>
        <v>1.3671875</v>
      </c>
      <c r="W51" s="50">
        <f>IF(W$2&gt;Assumptions!$B$121,V51*(1-Assumptions!$B$122),IF(W50&gt;=1,Assumptions!$B$113*CHOOSE(Assumptions!$B$120,INDEX(Assumptions!$B$42:$H$42,MIN(W50,7)),INDEX(Assumptions!$B$43:$H$43,MIN(W50,7))),0))</f>
        <v>0.68359375</v>
      </c>
      <c r="X51" s="50">
        <f>IF(X$2&gt;Assumptions!$B$121,W51*(1-Assumptions!$B$122),IF(X50&gt;=1,Assumptions!$B$113*CHOOSE(Assumptions!$B$120,INDEX(Assumptions!$B$42:$H$42,MIN(X50,7)),INDEX(Assumptions!$B$43:$H$43,MIN(X50,7))),0))</f>
        <v>0.341796875</v>
      </c>
      <c r="Y51" s="50">
        <f>IF(Y$2&gt;Assumptions!$B$121,X51*(1-Assumptions!$B$122),IF(Y50&gt;=1,Assumptions!$B$113*CHOOSE(Assumptions!$B$120,INDEX(Assumptions!$B$42:$H$42,MIN(Y50,7)),INDEX(Assumptions!$B$43:$H$43,MIN(Y50,7))),0))</f>
        <v>0.1708984375</v>
      </c>
      <c r="Z51" s="50">
        <f>IF(Z$2&gt;Assumptions!$B$121,Y51*(1-Assumptions!$B$122),IF(Z50&gt;=1,Assumptions!$B$113*CHOOSE(Assumptions!$B$120,INDEX(Assumptions!$B$42:$H$42,MIN(Z50,7)),INDEX(Assumptions!$B$43:$H$43,MIN(Z50,7))),0))</f>
        <v>0.08544921875</v>
      </c>
    </row>
    <row r="52" spans="1:26" x14ac:dyDescent="0.2">
      <c r="A52" s="10" t="s">
        <v>153</v>
      </c>
      <c r="C52" s="61">
        <f>C$2-(Assumptions!$B$112+Assumptions!$B$34)+1</f>
        <v>-1.0</v>
      </c>
      <c r="D52" s="61">
        <f>D$2-(Assumptions!$B$112+Assumptions!$B$34)+1</f>
        <v>0.0</v>
      </c>
      <c r="E52" s="61">
        <f>E$2-(Assumptions!$B$112+Assumptions!$B$34)+1</f>
        <v>1.0</v>
      </c>
      <c r="F52" s="61">
        <f>F$2-(Assumptions!$B$112+Assumptions!$B$34)+1</f>
        <v>2.0</v>
      </c>
      <c r="G52" s="61">
        <f>G$2-(Assumptions!$B$112+Assumptions!$B$34)+1</f>
        <v>3.0</v>
      </c>
      <c r="H52" s="61">
        <f>H$2-(Assumptions!$B$112+Assumptions!$B$34)+1</f>
        <v>4.0</v>
      </c>
      <c r="I52" s="61">
        <f>I$2-(Assumptions!$B$112+Assumptions!$B$34)+1</f>
        <v>5.0</v>
      </c>
      <c r="J52" s="61">
        <f>J$2-(Assumptions!$B$112+Assumptions!$B$34)+1</f>
        <v>6.0</v>
      </c>
      <c r="K52" s="61">
        <f>K$2-(Assumptions!$B$112+Assumptions!$B$34)+1</f>
        <v>7.0</v>
      </c>
      <c r="L52" s="61">
        <f>L$2-(Assumptions!$B$112+Assumptions!$B$34)+1</f>
        <v>8.0</v>
      </c>
      <c r="M52" s="61">
        <f>M$2-(Assumptions!$B$112+Assumptions!$B$34)+1</f>
        <v>9.0</v>
      </c>
      <c r="N52" s="61">
        <f>N$2-(Assumptions!$B$112+Assumptions!$B$34)+1</f>
        <v>10.0</v>
      </c>
      <c r="O52" s="61">
        <f>O$2-(Assumptions!$B$112+Assumptions!$B$34)+1</f>
        <v>11.0</v>
      </c>
      <c r="P52" s="61">
        <f>P$2-(Assumptions!$B$112+Assumptions!$B$34)+1</f>
        <v>12.0</v>
      </c>
      <c r="Q52" s="61">
        <f>Q$2-(Assumptions!$B$112+Assumptions!$B$34)+1</f>
        <v>13.0</v>
      </c>
      <c r="R52" s="61">
        <f>R$2-(Assumptions!$B$112+Assumptions!$B$34)+1</f>
        <v>14.0</v>
      </c>
      <c r="S52" s="61">
        <f>S$2-(Assumptions!$B$112+Assumptions!$B$34)+1</f>
        <v>15.0</v>
      </c>
      <c r="T52" s="61">
        <f>T$2-(Assumptions!$B$112+Assumptions!$B$34)+1</f>
        <v>16.0</v>
      </c>
      <c r="U52" s="61">
        <f>U$2-(Assumptions!$B$112+Assumptions!$B$34)+1</f>
        <v>17.0</v>
      </c>
      <c r="V52" s="61">
        <f>V$2-(Assumptions!$B$112+Assumptions!$B$34)+1</f>
        <v>18.0</v>
      </c>
      <c r="W52" s="61">
        <f>W$2-(Assumptions!$B$112+Assumptions!$B$34)+1</f>
        <v>19.0</v>
      </c>
      <c r="X52" s="61">
        <f>X$2-(Assumptions!$B$112+Assumptions!$B$34)+1</f>
        <v>20.0</v>
      </c>
      <c r="Y52" s="61">
        <f>Y$2-(Assumptions!$B$112+Assumptions!$B$34)+1</f>
        <v>21.0</v>
      </c>
      <c r="Z52" s="61">
        <f>Z$2-(Assumptions!$B$112+Assumptions!$B$34)+1</f>
        <v>22.0</v>
      </c>
    </row>
    <row r="53" spans="1:26" x14ac:dyDescent="0.2">
      <c r="A53" s="10" t="s">
        <v>154</v>
      </c>
      <c r="C53" s="50">
        <f>IF(C$2&gt;Assumptions!$B$121,0*(1-Assumptions!$B$122),IF(C52&gt;=1,Assumptions!$B$113*CHOOSE(Assumptions!$B$120,INDEX(Assumptions!$B$42:$H$42,MIN(C52,7)),INDEX(Assumptions!$B$43:$H$43,MIN(C52,7))),0))</f>
        <v>0</v>
      </c>
      <c r="D53" s="50">
        <f>IF(D$2&gt;Assumptions!$B$121,C53*(1-Assumptions!$B$122),IF(D52&gt;=1,Assumptions!$B$113*CHOOSE(Assumptions!$B$120,INDEX(Assumptions!$B$42:$H$42,MIN(D52,7)),INDEX(Assumptions!$B$43:$H$43,MIN(D52,7))),0))</f>
        <v>0</v>
      </c>
      <c r="E53" s="50">
        <f>IF(E$2&gt;Assumptions!$B$121,D53*(1-Assumptions!$B$122),IF(E52&gt;=1,Assumptions!$B$113*CHOOSE(Assumptions!$B$120,INDEX(Assumptions!$B$42:$H$42,MIN(E52,7)),INDEX(Assumptions!$B$43:$H$43,MIN(E52,7))),0))</f>
        <v>26.25</v>
      </c>
      <c r="F53" s="50">
        <f>IF(F$2&gt;Assumptions!$B$121,E53*(1-Assumptions!$B$122),IF(F52&gt;=1,Assumptions!$B$113*CHOOSE(Assumptions!$B$120,INDEX(Assumptions!$B$42:$H$42,MIN(F52,7)),INDEX(Assumptions!$B$43:$H$43,MIN(F52,7))),0))</f>
        <v>61.24999999999999</v>
      </c>
      <c r="G53" s="50">
        <f>IF(G$2&gt;Assumptions!$B$121,F53*(1-Assumptions!$B$122),IF(G52&gt;=1,Assumptions!$B$113*CHOOSE(Assumptions!$B$120,INDEX(Assumptions!$B$42:$H$42,MIN(G52,7)),INDEX(Assumptions!$B$43:$H$43,MIN(G52,7))),0))</f>
        <v>96.25000000000001</v>
      </c>
      <c r="H53" s="50">
        <f>IF(H$2&gt;Assumptions!$B$121,G53*(1-Assumptions!$B$122),IF(H52&gt;=1,Assumptions!$B$113*CHOOSE(Assumptions!$B$120,INDEX(Assumptions!$B$42:$H$42,MIN(H52,7)),INDEX(Assumptions!$B$43:$H$43,MIN(H52,7))),0))</f>
        <v>131.25</v>
      </c>
      <c r="I53" s="50">
        <f>IF(I$2&gt;Assumptions!$B$121,H53*(1-Assumptions!$B$122),IF(I52&gt;=1,Assumptions!$B$113*CHOOSE(Assumptions!$B$120,INDEX(Assumptions!$B$42:$H$42,MIN(I52,7)),INDEX(Assumptions!$B$43:$H$43,MIN(I52,7))),0))</f>
        <v>157.5</v>
      </c>
      <c r="J53" s="50">
        <f>IF(J$2&gt;Assumptions!$B$121,I53*(1-Assumptions!$B$122),IF(J52&gt;=1,Assumptions!$B$113*CHOOSE(Assumptions!$B$120,INDEX(Assumptions!$B$42:$H$42,MIN(J52,7)),INDEX(Assumptions!$B$43:$H$43,MIN(J52,7))),0))</f>
        <v>175.0</v>
      </c>
      <c r="K53" s="50">
        <f>IF(K$2&gt;Assumptions!$B$121,J53*(1-Assumptions!$B$122),IF(K52&gt;=1,Assumptions!$B$113*CHOOSE(Assumptions!$B$120,INDEX(Assumptions!$B$42:$H$42,MIN(K52,7)),INDEX(Assumptions!$B$43:$H$43,MIN(K52,7))),0))</f>
        <v>175.0</v>
      </c>
      <c r="L53" s="50">
        <f>IF(L$2&gt;Assumptions!$B$121,K53*(1-Assumptions!$B$122),IF(L52&gt;=1,Assumptions!$B$113*CHOOSE(Assumptions!$B$120,INDEX(Assumptions!$B$42:$H$42,MIN(L52,7)),INDEX(Assumptions!$B$43:$H$43,MIN(L52,7))),0))</f>
        <v>175.0</v>
      </c>
      <c r="M53" s="50">
        <f>IF(M$2&gt;Assumptions!$B$121,L53*(1-Assumptions!$B$122),IF(M52&gt;=1,Assumptions!$B$113*CHOOSE(Assumptions!$B$120,INDEX(Assumptions!$B$42:$H$42,MIN(M52,7)),INDEX(Assumptions!$B$43:$H$43,MIN(M52,7))),0))</f>
        <v>175.0</v>
      </c>
      <c r="N53" s="50">
        <f>IF(N$2&gt;Assumptions!$B$121,M53*(1-Assumptions!$B$122),IF(N52&gt;=1,Assumptions!$B$113*CHOOSE(Assumptions!$B$120,INDEX(Assumptions!$B$42:$H$42,MIN(N52,7)),INDEX(Assumptions!$B$43:$H$43,MIN(N52,7))),0))</f>
        <v>175.0</v>
      </c>
      <c r="O53" s="50">
        <f>IF(O$2&gt;Assumptions!$B$121,N53*(1-Assumptions!$B$122),IF(O52&gt;=1,Assumptions!$B$113*CHOOSE(Assumptions!$B$120,INDEX(Assumptions!$B$42:$H$42,MIN(O52,7)),INDEX(Assumptions!$B$43:$H$43,MIN(O52,7))),0))</f>
        <v>175.0</v>
      </c>
      <c r="P53" s="50">
        <f>IF(P$2&gt;Assumptions!$B$121,O53*(1-Assumptions!$B$122),IF(P52&gt;=1,Assumptions!$B$113*CHOOSE(Assumptions!$B$120,INDEX(Assumptions!$B$42:$H$42,MIN(P52,7)),INDEX(Assumptions!$B$43:$H$43,MIN(P52,7))),0))</f>
        <v>87.5</v>
      </c>
      <c r="Q53" s="50">
        <f>IF(Q$2&gt;Assumptions!$B$121,P53*(1-Assumptions!$B$122),IF(Q52&gt;=1,Assumptions!$B$113*CHOOSE(Assumptions!$B$120,INDEX(Assumptions!$B$42:$H$42,MIN(Q52,7)),INDEX(Assumptions!$B$43:$H$43,MIN(Q52,7))),0))</f>
        <v>43.75</v>
      </c>
      <c r="R53" s="50">
        <f>IF(R$2&gt;Assumptions!$B$121,Q53*(1-Assumptions!$B$122),IF(R52&gt;=1,Assumptions!$B$113*CHOOSE(Assumptions!$B$120,INDEX(Assumptions!$B$42:$H$42,MIN(R52,7)),INDEX(Assumptions!$B$43:$H$43,MIN(R52,7))),0))</f>
        <v>21.875</v>
      </c>
      <c r="S53" s="50">
        <f>IF(S$2&gt;Assumptions!$B$121,R53*(1-Assumptions!$B$122),IF(S52&gt;=1,Assumptions!$B$113*CHOOSE(Assumptions!$B$120,INDEX(Assumptions!$B$42:$H$42,MIN(S52,7)),INDEX(Assumptions!$B$43:$H$43,MIN(S52,7))),0))</f>
        <v>10.9375</v>
      </c>
      <c r="T53" s="50">
        <f>IF(T$2&gt;Assumptions!$B$121,S53*(1-Assumptions!$B$122),IF(T52&gt;=1,Assumptions!$B$113*CHOOSE(Assumptions!$B$120,INDEX(Assumptions!$B$42:$H$42,MIN(T52,7)),INDEX(Assumptions!$B$43:$H$43,MIN(T52,7))),0))</f>
        <v>5.46875</v>
      </c>
      <c r="U53" s="50">
        <f>IF(U$2&gt;Assumptions!$B$121,T53*(1-Assumptions!$B$122),IF(U52&gt;=1,Assumptions!$B$113*CHOOSE(Assumptions!$B$120,INDEX(Assumptions!$B$42:$H$42,MIN(U52,7)),INDEX(Assumptions!$B$43:$H$43,MIN(U52,7))),0))</f>
        <v>2.734375</v>
      </c>
      <c r="V53" s="50">
        <f>IF(V$2&gt;Assumptions!$B$121,U53*(1-Assumptions!$B$122),IF(V52&gt;=1,Assumptions!$B$113*CHOOSE(Assumptions!$B$120,INDEX(Assumptions!$B$42:$H$42,MIN(V52,7)),INDEX(Assumptions!$B$43:$H$43,MIN(V52,7))),0))</f>
        <v>1.3671875</v>
      </c>
      <c r="W53" s="50">
        <f>IF(W$2&gt;Assumptions!$B$121,V53*(1-Assumptions!$B$122),IF(W52&gt;=1,Assumptions!$B$113*CHOOSE(Assumptions!$B$120,INDEX(Assumptions!$B$42:$H$42,MIN(W52,7)),INDEX(Assumptions!$B$43:$H$43,MIN(W52,7))),0))</f>
        <v>0.68359375</v>
      </c>
      <c r="X53" s="50">
        <f>IF(X$2&gt;Assumptions!$B$121,W53*(1-Assumptions!$B$122),IF(X52&gt;=1,Assumptions!$B$113*CHOOSE(Assumptions!$B$120,INDEX(Assumptions!$B$42:$H$42,MIN(X52,7)),INDEX(Assumptions!$B$43:$H$43,MIN(X52,7))),0))</f>
        <v>0.341796875</v>
      </c>
      <c r="Y53" s="50">
        <f>IF(Y$2&gt;Assumptions!$B$121,X53*(1-Assumptions!$B$122),IF(Y52&gt;=1,Assumptions!$B$113*CHOOSE(Assumptions!$B$120,INDEX(Assumptions!$B$42:$H$42,MIN(Y52,7)),INDEX(Assumptions!$B$43:$H$43,MIN(Y52,7))),0))</f>
        <v>0.1708984375</v>
      </c>
      <c r="Z53" s="50">
        <f>IF(Z$2&gt;Assumptions!$B$121,Y53*(1-Assumptions!$B$122),IF(Z52&gt;=1,Assumptions!$B$113*CHOOSE(Assumptions!$B$120,INDEX(Assumptions!$B$42:$H$42,MIN(Z52,7)),INDEX(Assumptions!$B$43:$H$43,MIN(Z52,7))),0))</f>
        <v>0.08544921875</v>
      </c>
    </row>
    <row r="54" spans="1:26" x14ac:dyDescent="0.2">
      <c r="A54" s="10" t="s">
        <v>155</v>
      </c>
      <c r="C54" s="50">
        <f>Assumptions!$B$32*C51+(1-Assumptions!$B$32)*Assumptions!$B$33*C53</f>
        <v>22.3125</v>
      </c>
      <c r="D54" s="50">
        <f>Assumptions!$B$32*D51+(1-Assumptions!$B$32)*Assumptions!$B$33*D53</f>
        <v>52.06249999999999</v>
      </c>
      <c r="E54" s="50">
        <f>Assumptions!$B$32*E51+(1-Assumptions!$B$32)*Assumptions!$B$33*E53</f>
        <v>84.17500000000001</v>
      </c>
      <c r="F54" s="50">
        <f>Assumptions!$B$32*F51+(1-Assumptions!$B$32)*Assumptions!$B$33*F53</f>
        <v>117.075</v>
      </c>
      <c r="G54" s="50">
        <f>Assumptions!$B$32*G51+(1-Assumptions!$B$32)*Assumptions!$B$33*G53</f>
        <v>142.5375</v>
      </c>
      <c r="H54" s="50">
        <f>Assumptions!$B$32*H51+(1-Assumptions!$B$32)*Assumptions!$B$33*H53</f>
        <v>160.5625</v>
      </c>
      <c r="I54" s="50">
        <f>Assumptions!$B$32*I51+(1-Assumptions!$B$32)*Assumptions!$B$33*I53</f>
        <v>162.925</v>
      </c>
      <c r="J54" s="50">
        <f>Assumptions!$B$32*J51+(1-Assumptions!$B$32)*Assumptions!$B$33*J53</f>
        <v>164.5</v>
      </c>
      <c r="K54" s="50">
        <f>Assumptions!$B$32*K51+(1-Assumptions!$B$32)*Assumptions!$B$33*K53</f>
        <v>164.5</v>
      </c>
      <c r="L54" s="50">
        <f>Assumptions!$B$32*L51+(1-Assumptions!$B$32)*Assumptions!$B$33*L53</f>
        <v>164.5</v>
      </c>
      <c r="M54" s="50">
        <f>Assumptions!$B$32*M51+(1-Assumptions!$B$32)*Assumptions!$B$33*M53</f>
        <v>164.5</v>
      </c>
      <c r="N54" s="50">
        <f>Assumptions!$B$32*N51+(1-Assumptions!$B$32)*Assumptions!$B$33*N53</f>
        <v>164.5</v>
      </c>
      <c r="O54" s="50">
        <f>Assumptions!$B$32*O51+(1-Assumptions!$B$32)*Assumptions!$B$33*O53</f>
        <v>164.5</v>
      </c>
      <c r="P54" s="50">
        <f>Assumptions!$B$32*P51+(1-Assumptions!$B$32)*Assumptions!$B$33*P53</f>
        <v>82.25</v>
      </c>
      <c r="Q54" s="50">
        <f>Assumptions!$B$32*Q51+(1-Assumptions!$B$32)*Assumptions!$B$33*Q53</f>
        <v>41.125</v>
      </c>
      <c r="R54" s="50">
        <f>Assumptions!$B$32*R51+(1-Assumptions!$B$32)*Assumptions!$B$33*R53</f>
        <v>20.5625</v>
      </c>
      <c r="S54" s="50">
        <f>Assumptions!$B$32*S51+(1-Assumptions!$B$32)*Assumptions!$B$33*S53</f>
        <v>10.28125</v>
      </c>
      <c r="T54" s="50">
        <f>Assumptions!$B$32*T51+(1-Assumptions!$B$32)*Assumptions!$B$33*T53</f>
        <v>5.140625</v>
      </c>
      <c r="U54" s="50">
        <f>Assumptions!$B$32*U51+(1-Assumptions!$B$32)*Assumptions!$B$33*U53</f>
        <v>2.5703125</v>
      </c>
      <c r="V54" s="50">
        <f>Assumptions!$B$32*V51+(1-Assumptions!$B$32)*Assumptions!$B$33*V53</f>
        <v>1.28515625</v>
      </c>
      <c r="W54" s="50">
        <f>Assumptions!$B$32*W51+(1-Assumptions!$B$32)*Assumptions!$B$33*W53</f>
        <v>0.642578125</v>
      </c>
      <c r="X54" s="50">
        <f>Assumptions!$B$32*X51+(1-Assumptions!$B$32)*Assumptions!$B$33*X53</f>
        <v>0.3212890625</v>
      </c>
      <c r="Y54" s="50">
        <f>Assumptions!$B$32*Y51+(1-Assumptions!$B$32)*Assumptions!$B$33*Y53</f>
        <v>0.16064453125</v>
      </c>
      <c r="Z54" s="50">
        <f>Assumptions!$B$32*Z51+(1-Assumptions!$B$32)*Assumptions!$B$33*Z53</f>
        <v>0.080322265625</v>
      </c>
    </row>
    <row r="55" spans="1:26" x14ac:dyDescent="0.2">
      <c r="A55" s="10" t="s">
        <v>156</v>
      </c>
      <c r="C55" s="50">
        <f>C54*Assumptions!$B$115</f>
        <v>22.3125</v>
      </c>
      <c r="D55" s="50">
        <f>D54*Assumptions!$B$115</f>
        <v>52.06249999999999</v>
      </c>
      <c r="E55" s="50">
        <f>E54*Assumptions!$B$115</f>
        <v>84.17500000000001</v>
      </c>
      <c r="F55" s="50">
        <f>F54*Assumptions!$B$115</f>
        <v>117.075</v>
      </c>
      <c r="G55" s="50">
        <f>G54*Assumptions!$B$115</f>
        <v>142.5375</v>
      </c>
      <c r="H55" s="50">
        <f>H54*Assumptions!$B$115</f>
        <v>160.5625</v>
      </c>
      <c r="I55" s="50">
        <f>I54*Assumptions!$B$115</f>
        <v>162.925</v>
      </c>
      <c r="J55" s="50">
        <f>J54*Assumptions!$B$115</f>
        <v>164.5</v>
      </c>
      <c r="K55" s="50">
        <f>K54*Assumptions!$B$115</f>
        <v>164.5</v>
      </c>
      <c r="L55" s="50">
        <f>L54*Assumptions!$B$115</f>
        <v>164.5</v>
      </c>
      <c r="M55" s="50">
        <f>M54*Assumptions!$B$115</f>
        <v>164.5</v>
      </c>
      <c r="N55" s="50">
        <f>N54*Assumptions!$B$115</f>
        <v>164.5</v>
      </c>
      <c r="O55" s="50">
        <f>O54*Assumptions!$B$115</f>
        <v>164.5</v>
      </c>
      <c r="P55" s="50">
        <f>P54*Assumptions!$B$115</f>
        <v>82.25</v>
      </c>
      <c r="Q55" s="50">
        <f>Q54*Assumptions!$B$115</f>
        <v>41.125</v>
      </c>
      <c r="R55" s="50">
        <f>R54*Assumptions!$B$115</f>
        <v>20.5625</v>
      </c>
      <c r="S55" s="50">
        <f>S54*Assumptions!$B$115</f>
        <v>10.28125</v>
      </c>
      <c r="T55" s="50">
        <f>T54*Assumptions!$B$115</f>
        <v>5.140625</v>
      </c>
      <c r="U55" s="50">
        <f>U54*Assumptions!$B$115</f>
        <v>2.5703125</v>
      </c>
      <c r="V55" s="50">
        <f>V54*Assumptions!$B$115</f>
        <v>1.28515625</v>
      </c>
      <c r="W55" s="50">
        <f>W54*Assumptions!$B$115</f>
        <v>0.642578125</v>
      </c>
      <c r="X55" s="50">
        <f>X54*Assumptions!$B$115</f>
        <v>0.3212890625</v>
      </c>
      <c r="Y55" s="50">
        <f>Y54*Assumptions!$B$115</f>
        <v>0.16064453125</v>
      </c>
      <c r="Z55" s="50">
        <f>Z54*Assumptions!$B$115</f>
        <v>0.080322265625</v>
      </c>
    </row>
    <row r="56" spans="1:26" x14ac:dyDescent="0.2">
      <c r="A56" s="10" t="s">
        <v>157</v>
      </c>
      <c r="C56" s="50">
        <f>C54*(Assumptions!$B$116+Assumptions!$B$117)</f>
        <v>5.578125</v>
      </c>
      <c r="D56" s="50">
        <f>D54*(Assumptions!$B$116+Assumptions!$B$117)</f>
        <v>13.015624999999998</v>
      </c>
      <c r="E56" s="50">
        <f>E54*(Assumptions!$B$116+Assumptions!$B$117)</f>
        <v>21.043750000000003</v>
      </c>
      <c r="F56" s="50">
        <f>F54*(Assumptions!$B$116+Assumptions!$B$117)</f>
        <v>29.26875</v>
      </c>
      <c r="G56" s="50">
        <f>G54*(Assumptions!$B$116+Assumptions!$B$117)</f>
        <v>35.634375</v>
      </c>
      <c r="H56" s="50">
        <f>H54*(Assumptions!$B$116+Assumptions!$B$117)</f>
        <v>40.140625</v>
      </c>
      <c r="I56" s="50">
        <f>I54*(Assumptions!$B$116+Assumptions!$B$117)</f>
        <v>40.73125</v>
      </c>
      <c r="J56" s="50">
        <f>J54*(Assumptions!$B$116+Assumptions!$B$117)</f>
        <v>41.125</v>
      </c>
      <c r="K56" s="50">
        <f>K54*(Assumptions!$B$116+Assumptions!$B$117)</f>
        <v>41.125</v>
      </c>
      <c r="L56" s="50">
        <f>L54*(Assumptions!$B$116+Assumptions!$B$117)</f>
        <v>41.125</v>
      </c>
      <c r="M56" s="50">
        <f>M54*(Assumptions!$B$116+Assumptions!$B$117)</f>
        <v>41.125</v>
      </c>
      <c r="N56" s="50">
        <f>N54*(Assumptions!$B$116+Assumptions!$B$117)</f>
        <v>41.125</v>
      </c>
      <c r="O56" s="50">
        <f>O54*(Assumptions!$B$116+Assumptions!$B$117)</f>
        <v>41.125</v>
      </c>
      <c r="P56" s="50">
        <f>P54*(Assumptions!$B$116+Assumptions!$B$117)</f>
        <v>20.5625</v>
      </c>
      <c r="Q56" s="50">
        <f>Q54*(Assumptions!$B$116+Assumptions!$B$117)</f>
        <v>10.28125</v>
      </c>
      <c r="R56" s="50">
        <f>R54*(Assumptions!$B$116+Assumptions!$B$117)</f>
        <v>5.140625</v>
      </c>
      <c r="S56" s="50">
        <f>S54*(Assumptions!$B$116+Assumptions!$B$117)</f>
        <v>2.5703125</v>
      </c>
      <c r="T56" s="50">
        <f>T54*(Assumptions!$B$116+Assumptions!$B$117)</f>
        <v>1.28515625</v>
      </c>
      <c r="U56" s="50">
        <f>U54*(Assumptions!$B$116+Assumptions!$B$117)</f>
        <v>0.642578125</v>
      </c>
      <c r="V56" s="50">
        <f>V54*(Assumptions!$B$116+Assumptions!$B$117)</f>
        <v>0.3212890625</v>
      </c>
      <c r="W56" s="50">
        <f>W54*(Assumptions!$B$116+Assumptions!$B$117)</f>
        <v>0.16064453125</v>
      </c>
      <c r="X56" s="50">
        <f>X54*(Assumptions!$B$116+Assumptions!$B$117)</f>
        <v>0.080322265625</v>
      </c>
      <c r="Y56" s="50">
        <f>Y54*(Assumptions!$B$116+Assumptions!$B$117)</f>
        <v>0.0401611328125</v>
      </c>
      <c r="Z56" s="50">
        <f>Z54*(Assumptions!$B$116+Assumptions!$B$117)</f>
        <v>0.02008056640625</v>
      </c>
    </row>
    <row r="57" spans="1:26" x14ac:dyDescent="0.2">
      <c r="A57" s="10" t="s">
        <v>158</v>
      </c>
      <c r="C57" s="50">
        <f>Assumptions!$B$32*IF(Assumptions!$B$118=0,0,IF(C50=0,Assumptions!$B$119,IF(C50&gt;=1,C51*IF(OR(Assumptions!$B$115&lt;1,C50&gt;5),Assumptions!$B$118,MAX(Assumptions!$B$118,INDEX(Assumptions!$B$44:$F$44,C50))),0)))+(1-Assumptions!$B$32)*Assumptions!$B$33*IF(Assumptions!$B$118=0,0,IF(C52=0,Assumptions!$B$119,IF(C52&gt;=1,C53*IF(OR(Assumptions!$B$115&lt;1,C52&gt;5),Assumptions!$B$118,MAX(Assumptions!$B$118,INDEX(Assumptions!$B$44:$F$44,C52))),0)))</f>
        <v>20.08125</v>
      </c>
      <c r="D57" s="50">
        <f>Assumptions!$B$32*IF(Assumptions!$B$118=0,0,IF(D50=0,Assumptions!$B$119,IF(D50&gt;=1,D51*IF(OR(Assumptions!$B$115&lt;1,D50&gt;5),Assumptions!$B$118,MAX(Assumptions!$B$118,INDEX(Assumptions!$B$44:$F$44,D50))),0)))+(1-Assumptions!$B$32)*Assumptions!$B$33*IF(Assumptions!$B$118=0,0,IF(D52=0,Assumptions!$B$119,IF(D52&gt;=1,D53*IF(OR(Assumptions!$B$115&lt;1,D52&gt;5),Assumptions!$B$118,MAX(Assumptions!$B$118,INDEX(Assumptions!$B$44:$F$44,D52))),0)))</f>
        <v>29.534374999999997</v>
      </c>
      <c r="E57" s="50">
        <f>Assumptions!$B$32*IF(Assumptions!$B$118=0,0,IF(E50=0,Assumptions!$B$119,IF(E50&gt;=1,E51*IF(OR(Assumptions!$B$115&lt;1,E50&gt;5),Assumptions!$B$118,MAX(Assumptions!$B$118,INDEX(Assumptions!$B$44:$F$44,E50))),0)))+(1-Assumptions!$B$32)*Assumptions!$B$33*IF(Assumptions!$B$118=0,0,IF(E52=0,Assumptions!$B$119,IF(E52&gt;=1,E53*IF(OR(Assumptions!$B$115&lt;1,E52&gt;5),Assumptions!$B$118,MAX(Assumptions!$B$118,INDEX(Assumptions!$B$44:$F$44,E52))),0)))</f>
        <v>34.85125000000001</v>
      </c>
      <c r="F57" s="50">
        <f>Assumptions!$B$32*IF(Assumptions!$B$118=0,0,IF(F50=0,Assumptions!$B$119,IF(F50&gt;=1,F51*IF(OR(Assumptions!$B$115&lt;1,F50&gt;5),Assumptions!$B$118,MAX(Assumptions!$B$118,INDEX(Assumptions!$B$44:$F$44,F50))),0)))+(1-Assumptions!$B$32)*Assumptions!$B$33*IF(Assumptions!$B$118=0,0,IF(F52=0,Assumptions!$B$119,IF(F52&gt;=1,F53*IF(OR(Assumptions!$B$115&lt;1,F52&gt;5),Assumptions!$B$118,MAX(Assumptions!$B$118,INDEX(Assumptions!$B$44:$F$44,F52))),0)))</f>
        <v>38.731874999999995</v>
      </c>
      <c r="G57" s="50">
        <f>Assumptions!$B$32*IF(Assumptions!$B$118=0,0,IF(G50=0,Assumptions!$B$119,IF(G50&gt;=1,G51*IF(OR(Assumptions!$B$115&lt;1,G50&gt;5),Assumptions!$B$118,MAX(Assumptions!$B$118,INDEX(Assumptions!$B$44:$F$44,G50))),0)))+(1-Assumptions!$B$32)*Assumptions!$B$33*IF(Assumptions!$B$118=0,0,IF(G52=0,Assumptions!$B$119,IF(G52&gt;=1,G53*IF(OR(Assumptions!$B$115&lt;1,G52&gt;5),Assumptions!$B$118,MAX(Assumptions!$B$118,INDEX(Assumptions!$B$44:$F$44,G52))),0)))</f>
        <v>43.627500000000005</v>
      </c>
      <c r="H57" s="50">
        <f>Assumptions!$B$32*IF(Assumptions!$B$118=0,0,IF(H50=0,Assumptions!$B$119,IF(H50&gt;=1,H51*IF(OR(Assumptions!$B$115&lt;1,H50&gt;5),Assumptions!$B$118,MAX(Assumptions!$B$118,INDEX(Assumptions!$B$44:$F$44,H50))),0)))+(1-Assumptions!$B$32)*Assumptions!$B$33*IF(Assumptions!$B$118=0,0,IF(H52=0,Assumptions!$B$119,IF(H52&gt;=1,H53*IF(OR(Assumptions!$B$115&lt;1,H52&gt;5),Assumptions!$B$118,MAX(Assumptions!$B$118,INDEX(Assumptions!$B$44:$F$44,H52))),0)))</f>
        <v>48.405</v>
      </c>
      <c r="I57" s="50">
        <f>Assumptions!$B$32*IF(Assumptions!$B$118=0,0,IF(I50=0,Assumptions!$B$119,IF(I50&gt;=1,I51*IF(OR(Assumptions!$B$115&lt;1,I50&gt;5),Assumptions!$B$118,MAX(Assumptions!$B$118,INDEX(Assumptions!$B$44:$F$44,I50))),0)))+(1-Assumptions!$B$32)*Assumptions!$B$33*IF(Assumptions!$B$118=0,0,IF(I52=0,Assumptions!$B$119,IF(I52&gt;=1,I53*IF(OR(Assumptions!$B$115&lt;1,I52&gt;5),Assumptions!$B$118,MAX(Assumptions!$B$118,INDEX(Assumptions!$B$44:$F$44,I52))),0)))</f>
        <v>48.8775</v>
      </c>
      <c r="J57" s="50">
        <f>Assumptions!$B$32*IF(Assumptions!$B$118=0,0,IF(J50=0,Assumptions!$B$119,IF(J50&gt;=1,J51*IF(OR(Assumptions!$B$115&lt;1,J50&gt;5),Assumptions!$B$118,MAX(Assumptions!$B$118,INDEX(Assumptions!$B$44:$F$44,J50))),0)))+(1-Assumptions!$B$32)*Assumptions!$B$33*IF(Assumptions!$B$118=0,0,IF(J52=0,Assumptions!$B$119,IF(J52&gt;=1,J53*IF(OR(Assumptions!$B$115&lt;1,J52&gt;5),Assumptions!$B$118,MAX(Assumptions!$B$118,INDEX(Assumptions!$B$44:$F$44,J52))),0)))</f>
        <v>49.35</v>
      </c>
      <c r="K57" s="50">
        <f>Assumptions!$B$32*IF(Assumptions!$B$118=0,0,IF(K50=0,Assumptions!$B$119,IF(K50&gt;=1,K51*IF(OR(Assumptions!$B$115&lt;1,K50&gt;5),Assumptions!$B$118,MAX(Assumptions!$B$118,INDEX(Assumptions!$B$44:$F$44,K50))),0)))+(1-Assumptions!$B$32)*Assumptions!$B$33*IF(Assumptions!$B$118=0,0,IF(K52=0,Assumptions!$B$119,IF(K52&gt;=1,K53*IF(OR(Assumptions!$B$115&lt;1,K52&gt;5),Assumptions!$B$118,MAX(Assumptions!$B$118,INDEX(Assumptions!$B$44:$F$44,K52))),0)))</f>
        <v>49.35</v>
      </c>
      <c r="L57" s="50">
        <f>Assumptions!$B$32*IF(Assumptions!$B$118=0,0,IF(L50=0,Assumptions!$B$119,IF(L50&gt;=1,L51*IF(OR(Assumptions!$B$115&lt;1,L50&gt;5),Assumptions!$B$118,MAX(Assumptions!$B$118,INDEX(Assumptions!$B$44:$F$44,L50))),0)))+(1-Assumptions!$B$32)*Assumptions!$B$33*IF(Assumptions!$B$118=0,0,IF(L52=0,Assumptions!$B$119,IF(L52&gt;=1,L53*IF(OR(Assumptions!$B$115&lt;1,L52&gt;5),Assumptions!$B$118,MAX(Assumptions!$B$118,INDEX(Assumptions!$B$44:$F$44,L52))),0)))</f>
        <v>49.35</v>
      </c>
      <c r="M57" s="50">
        <f>Assumptions!$B$32*IF(Assumptions!$B$118=0,0,IF(M50=0,Assumptions!$B$119,IF(M50&gt;=1,M51*IF(OR(Assumptions!$B$115&lt;1,M50&gt;5),Assumptions!$B$118,MAX(Assumptions!$B$118,INDEX(Assumptions!$B$44:$F$44,M50))),0)))+(1-Assumptions!$B$32)*Assumptions!$B$33*IF(Assumptions!$B$118=0,0,IF(M52=0,Assumptions!$B$119,IF(M52&gt;=1,M53*IF(OR(Assumptions!$B$115&lt;1,M52&gt;5),Assumptions!$B$118,MAX(Assumptions!$B$118,INDEX(Assumptions!$B$44:$F$44,M52))),0)))</f>
        <v>49.35</v>
      </c>
      <c r="N57" s="50">
        <f>Assumptions!$B$32*IF(Assumptions!$B$118=0,0,IF(N50=0,Assumptions!$B$119,IF(N50&gt;=1,N51*IF(OR(Assumptions!$B$115&lt;1,N50&gt;5),Assumptions!$B$118,MAX(Assumptions!$B$118,INDEX(Assumptions!$B$44:$F$44,N50))),0)))+(1-Assumptions!$B$32)*Assumptions!$B$33*IF(Assumptions!$B$118=0,0,IF(N52=0,Assumptions!$B$119,IF(N52&gt;=1,N53*IF(OR(Assumptions!$B$115&lt;1,N52&gt;5),Assumptions!$B$118,MAX(Assumptions!$B$118,INDEX(Assumptions!$B$44:$F$44,N52))),0)))</f>
        <v>49.35</v>
      </c>
      <c r="O57" s="50">
        <f>Assumptions!$B$32*IF(Assumptions!$B$118=0,0,IF(O50=0,Assumptions!$B$119,IF(O50&gt;=1,O51*IF(OR(Assumptions!$B$115&lt;1,O50&gt;5),Assumptions!$B$118,MAX(Assumptions!$B$118,INDEX(Assumptions!$B$44:$F$44,O50))),0)))+(1-Assumptions!$B$32)*Assumptions!$B$33*IF(Assumptions!$B$118=0,0,IF(O52=0,Assumptions!$B$119,IF(O52&gt;=1,O53*IF(OR(Assumptions!$B$115&lt;1,O52&gt;5),Assumptions!$B$118,MAX(Assumptions!$B$118,INDEX(Assumptions!$B$44:$F$44,O52))),0)))</f>
        <v>49.35</v>
      </c>
      <c r="P57" s="50">
        <f>Assumptions!$B$32*IF(Assumptions!$B$118=0,0,IF(P50=0,Assumptions!$B$119,IF(P50&gt;=1,P51*IF(OR(Assumptions!$B$115&lt;1,P50&gt;5),Assumptions!$B$118,MAX(Assumptions!$B$118,INDEX(Assumptions!$B$44:$F$44,P50))),0)))+(1-Assumptions!$B$32)*Assumptions!$B$33*IF(Assumptions!$B$118=0,0,IF(P52=0,Assumptions!$B$119,IF(P52&gt;=1,P53*IF(OR(Assumptions!$B$115&lt;1,P52&gt;5),Assumptions!$B$118,MAX(Assumptions!$B$118,INDEX(Assumptions!$B$44:$F$44,P52))),0)))</f>
        <v>24.675</v>
      </c>
      <c r="Q57" s="50">
        <f>Assumptions!$B$32*IF(Assumptions!$B$118=0,0,IF(Q50=0,Assumptions!$B$119,IF(Q50&gt;=1,Q51*IF(OR(Assumptions!$B$115&lt;1,Q50&gt;5),Assumptions!$B$118,MAX(Assumptions!$B$118,INDEX(Assumptions!$B$44:$F$44,Q50))),0)))+(1-Assumptions!$B$32)*Assumptions!$B$33*IF(Assumptions!$B$118=0,0,IF(Q52=0,Assumptions!$B$119,IF(Q52&gt;=1,Q53*IF(OR(Assumptions!$B$115&lt;1,Q52&gt;5),Assumptions!$B$118,MAX(Assumptions!$B$118,INDEX(Assumptions!$B$44:$F$44,Q52))),0)))</f>
        <v>12.3375</v>
      </c>
      <c r="R57" s="50">
        <f>Assumptions!$B$32*IF(Assumptions!$B$118=0,0,IF(R50=0,Assumptions!$B$119,IF(R50&gt;=1,R51*IF(OR(Assumptions!$B$115&lt;1,R50&gt;5),Assumptions!$B$118,MAX(Assumptions!$B$118,INDEX(Assumptions!$B$44:$F$44,R50))),0)))+(1-Assumptions!$B$32)*Assumptions!$B$33*IF(Assumptions!$B$118=0,0,IF(R52=0,Assumptions!$B$119,IF(R52&gt;=1,R53*IF(OR(Assumptions!$B$115&lt;1,R52&gt;5),Assumptions!$B$118,MAX(Assumptions!$B$118,INDEX(Assumptions!$B$44:$F$44,R52))),0)))</f>
        <v>6.16875</v>
      </c>
      <c r="S57" s="50">
        <f>Assumptions!$B$32*IF(Assumptions!$B$118=0,0,IF(S50=0,Assumptions!$B$119,IF(S50&gt;=1,S51*IF(OR(Assumptions!$B$115&lt;1,S50&gt;5),Assumptions!$B$118,MAX(Assumptions!$B$118,INDEX(Assumptions!$B$44:$F$44,S50))),0)))+(1-Assumptions!$B$32)*Assumptions!$B$33*IF(Assumptions!$B$118=0,0,IF(S52=0,Assumptions!$B$119,IF(S52&gt;=1,S53*IF(OR(Assumptions!$B$115&lt;1,S52&gt;5),Assumptions!$B$118,MAX(Assumptions!$B$118,INDEX(Assumptions!$B$44:$F$44,S52))),0)))</f>
        <v>3.084375</v>
      </c>
      <c r="T57" s="50">
        <f>Assumptions!$B$32*IF(Assumptions!$B$118=0,0,IF(T50=0,Assumptions!$B$119,IF(T50&gt;=1,T51*IF(OR(Assumptions!$B$115&lt;1,T50&gt;5),Assumptions!$B$118,MAX(Assumptions!$B$118,INDEX(Assumptions!$B$44:$F$44,T50))),0)))+(1-Assumptions!$B$32)*Assumptions!$B$33*IF(Assumptions!$B$118=0,0,IF(T52=0,Assumptions!$B$119,IF(T52&gt;=1,T53*IF(OR(Assumptions!$B$115&lt;1,T52&gt;5),Assumptions!$B$118,MAX(Assumptions!$B$118,INDEX(Assumptions!$B$44:$F$44,T52))),0)))</f>
        <v>1.5421875</v>
      </c>
      <c r="U57" s="50">
        <f>Assumptions!$B$32*IF(Assumptions!$B$118=0,0,IF(U50=0,Assumptions!$B$119,IF(U50&gt;=1,U51*IF(OR(Assumptions!$B$115&lt;1,U50&gt;5),Assumptions!$B$118,MAX(Assumptions!$B$118,INDEX(Assumptions!$B$44:$F$44,U50))),0)))+(1-Assumptions!$B$32)*Assumptions!$B$33*IF(Assumptions!$B$118=0,0,IF(U52=0,Assumptions!$B$119,IF(U52&gt;=1,U53*IF(OR(Assumptions!$B$115&lt;1,U52&gt;5),Assumptions!$B$118,MAX(Assumptions!$B$118,INDEX(Assumptions!$B$44:$F$44,U52))),0)))</f>
        <v>0.77109375</v>
      </c>
      <c r="V57" s="50">
        <f>Assumptions!$B$32*IF(Assumptions!$B$118=0,0,IF(V50=0,Assumptions!$B$119,IF(V50&gt;=1,V51*IF(OR(Assumptions!$B$115&lt;1,V50&gt;5),Assumptions!$B$118,MAX(Assumptions!$B$118,INDEX(Assumptions!$B$44:$F$44,V50))),0)))+(1-Assumptions!$B$32)*Assumptions!$B$33*IF(Assumptions!$B$118=0,0,IF(V52=0,Assumptions!$B$119,IF(V52&gt;=1,V53*IF(OR(Assumptions!$B$115&lt;1,V52&gt;5),Assumptions!$B$118,MAX(Assumptions!$B$118,INDEX(Assumptions!$B$44:$F$44,V52))),0)))</f>
        <v>0.385546875</v>
      </c>
      <c r="W57" s="50">
        <f>Assumptions!$B$32*IF(Assumptions!$B$118=0,0,IF(W50=0,Assumptions!$B$119,IF(W50&gt;=1,W51*IF(OR(Assumptions!$B$115&lt;1,W50&gt;5),Assumptions!$B$118,MAX(Assumptions!$B$118,INDEX(Assumptions!$B$44:$F$44,W50))),0)))+(1-Assumptions!$B$32)*Assumptions!$B$33*IF(Assumptions!$B$118=0,0,IF(W52=0,Assumptions!$B$119,IF(W52&gt;=1,W53*IF(OR(Assumptions!$B$115&lt;1,W52&gt;5),Assumptions!$B$118,MAX(Assumptions!$B$118,INDEX(Assumptions!$B$44:$F$44,W52))),0)))</f>
        <v>0.1927734375</v>
      </c>
      <c r="X57" s="50">
        <f>Assumptions!$B$32*IF(Assumptions!$B$118=0,0,IF(X50=0,Assumptions!$B$119,IF(X50&gt;=1,X51*IF(OR(Assumptions!$B$115&lt;1,X50&gt;5),Assumptions!$B$118,MAX(Assumptions!$B$118,INDEX(Assumptions!$B$44:$F$44,X50))),0)))+(1-Assumptions!$B$32)*Assumptions!$B$33*IF(Assumptions!$B$118=0,0,IF(X52=0,Assumptions!$B$119,IF(X52&gt;=1,X53*IF(OR(Assumptions!$B$115&lt;1,X52&gt;5),Assumptions!$B$118,MAX(Assumptions!$B$118,INDEX(Assumptions!$B$44:$F$44,X52))),0)))</f>
        <v>0.09638671875</v>
      </c>
      <c r="Y57" s="50">
        <f>Assumptions!$B$32*IF(Assumptions!$B$118=0,0,IF(Y50=0,Assumptions!$B$119,IF(Y50&gt;=1,Y51*IF(OR(Assumptions!$B$115&lt;1,Y50&gt;5),Assumptions!$B$118,MAX(Assumptions!$B$118,INDEX(Assumptions!$B$44:$F$44,Y50))),0)))+(1-Assumptions!$B$32)*Assumptions!$B$33*IF(Assumptions!$B$118=0,0,IF(Y52=0,Assumptions!$B$119,IF(Y52&gt;=1,Y53*IF(OR(Assumptions!$B$115&lt;1,Y52&gt;5),Assumptions!$B$118,MAX(Assumptions!$B$118,INDEX(Assumptions!$B$44:$F$44,Y52))),0)))</f>
        <v>0.048193359375</v>
      </c>
      <c r="Z57" s="50">
        <f>Assumptions!$B$32*IF(Assumptions!$B$118=0,0,IF(Z50=0,Assumptions!$B$119,IF(Z50&gt;=1,Z51*IF(OR(Assumptions!$B$115&lt;1,Z50&gt;5),Assumptions!$B$118,MAX(Assumptions!$B$118,INDEX(Assumptions!$B$44:$F$44,Z50))),0)))+(1-Assumptions!$B$32)*Assumptions!$B$33*IF(Assumptions!$B$118=0,0,IF(Z52=0,Assumptions!$B$119,IF(Z52&gt;=1,Z53*IF(OR(Assumptions!$B$115&lt;1,Z52&gt;5),Assumptions!$B$118,MAX(Assumptions!$B$118,INDEX(Assumptions!$B$44:$F$44,Z52))),0)))</f>
        <v>0.0240966796875</v>
      </c>
    </row>
    <row r="58" spans="1:26" x14ac:dyDescent="0.2">
      <c r="A58" s="10" t="s">
        <v>159</v>
      </c>
      <c r="C58" s="50">
        <f>IFERROR(INDEX(Assumptions!$B$124:$I$124,MATCH(C$2,Assumptions!$B$123:$I$123,0))*INDEX(Assumptions!$B$125:$I$125,MATCH(C$2,Assumptions!$B$123:$I$123,0)),0)</f>
        <v>5.0</v>
      </c>
      <c r="D58" s="50">
        <f>IFERROR(INDEX(Assumptions!$B$124:$I$124,MATCH(D$2,Assumptions!$B$123:$I$123,0))*INDEX(Assumptions!$B$125:$I$125,MATCH(D$2,Assumptions!$B$123:$I$123,0)),0)</f>
        <v>5.0</v>
      </c>
      <c r="E58" s="50">
        <f>IFERROR(INDEX(Assumptions!$B$124:$I$124,MATCH(E$2,Assumptions!$B$123:$I$123,0))*INDEX(Assumptions!$B$125:$I$125,MATCH(E$2,Assumptions!$B$123:$I$123,0)),0)</f>
        <v>0.0</v>
      </c>
      <c r="F58" s="50">
        <f>IFERROR(INDEX(Assumptions!$B$124:$I$124,MATCH(F$2,Assumptions!$B$123:$I$123,0))*INDEX(Assumptions!$B$125:$I$125,MATCH(F$2,Assumptions!$B$123:$I$123,0)),0)</f>
        <v>0.0</v>
      </c>
      <c r="G58" s="50">
        <f>IFERROR(INDEX(Assumptions!$B$124:$I$124,MATCH(G$2,Assumptions!$B$123:$I$123,0))*INDEX(Assumptions!$B$125:$I$125,MATCH(G$2,Assumptions!$B$123:$I$123,0)),0)</f>
        <v>0.0</v>
      </c>
      <c r="H58" s="50">
        <f>IFERROR(INDEX(Assumptions!$B$124:$I$124,MATCH(H$2,Assumptions!$B$123:$I$123,0))*INDEX(Assumptions!$B$125:$I$125,MATCH(H$2,Assumptions!$B$123:$I$123,0)),0)</f>
        <v>0.0</v>
      </c>
      <c r="I58" s="50">
        <f>IFERROR(INDEX(Assumptions!$B$124:$I$124,MATCH(I$2,Assumptions!$B$123:$I$123,0))*INDEX(Assumptions!$B$125:$I$125,MATCH(I$2,Assumptions!$B$123:$I$123,0)),0)</f>
        <v>0.0</v>
      </c>
      <c r="J58" s="50">
        <f>IFERROR(INDEX(Assumptions!$B$124:$I$124,MATCH(J$2,Assumptions!$B$123:$I$123,0))*INDEX(Assumptions!$B$125:$I$125,MATCH(J$2,Assumptions!$B$123:$I$123,0)),0)</f>
        <v>0.0</v>
      </c>
      <c r="K58" s="50">
        <f>IFERROR(INDEX(Assumptions!$B$124:$I$124,MATCH(K$2,Assumptions!$B$123:$I$123,0))*INDEX(Assumptions!$B$125:$I$125,MATCH(K$2,Assumptions!$B$123:$I$123,0)),0)</f>
        <v>0</v>
      </c>
      <c r="L58" s="50">
        <f>IFERROR(INDEX(Assumptions!$B$124:$I$124,MATCH(L$2,Assumptions!$B$123:$I$123,0))*INDEX(Assumptions!$B$125:$I$125,MATCH(L$2,Assumptions!$B$123:$I$123,0)),0)</f>
        <v>0</v>
      </c>
      <c r="M58" s="50">
        <f>IFERROR(INDEX(Assumptions!$B$124:$I$124,MATCH(M$2,Assumptions!$B$123:$I$123,0))*INDEX(Assumptions!$B$125:$I$125,MATCH(M$2,Assumptions!$B$123:$I$123,0)),0)</f>
        <v>0</v>
      </c>
      <c r="N58" s="50">
        <f>IFERROR(INDEX(Assumptions!$B$124:$I$124,MATCH(N$2,Assumptions!$B$123:$I$123,0))*INDEX(Assumptions!$B$125:$I$125,MATCH(N$2,Assumptions!$B$123:$I$123,0)),0)</f>
        <v>0</v>
      </c>
      <c r="O58" s="50">
        <f>IFERROR(INDEX(Assumptions!$B$124:$I$124,MATCH(O$2,Assumptions!$B$123:$I$123,0))*INDEX(Assumptions!$B$125:$I$125,MATCH(O$2,Assumptions!$B$123:$I$123,0)),0)</f>
        <v>0</v>
      </c>
      <c r="P58" s="50">
        <f>IFERROR(INDEX(Assumptions!$B$124:$I$124,MATCH(P$2,Assumptions!$B$123:$I$123,0))*INDEX(Assumptions!$B$125:$I$125,MATCH(P$2,Assumptions!$B$123:$I$123,0)),0)</f>
        <v>0</v>
      </c>
      <c r="Q58" s="50">
        <f>IFERROR(INDEX(Assumptions!$B$124:$I$124,MATCH(Q$2,Assumptions!$B$123:$I$123,0))*INDEX(Assumptions!$B$125:$I$125,MATCH(Q$2,Assumptions!$B$123:$I$123,0)),0)</f>
        <v>0</v>
      </c>
      <c r="R58" s="50">
        <f>IFERROR(INDEX(Assumptions!$B$124:$I$124,MATCH(R$2,Assumptions!$B$123:$I$123,0))*INDEX(Assumptions!$B$125:$I$125,MATCH(R$2,Assumptions!$B$123:$I$123,0)),0)</f>
        <v>0</v>
      </c>
      <c r="S58" s="50">
        <f>IFERROR(INDEX(Assumptions!$B$124:$I$124,MATCH(S$2,Assumptions!$B$123:$I$123,0))*INDEX(Assumptions!$B$125:$I$125,MATCH(S$2,Assumptions!$B$123:$I$123,0)),0)</f>
        <v>0</v>
      </c>
      <c r="T58" s="50">
        <f>IFERROR(INDEX(Assumptions!$B$124:$I$124,MATCH(T$2,Assumptions!$B$123:$I$123,0))*INDEX(Assumptions!$B$125:$I$125,MATCH(T$2,Assumptions!$B$123:$I$123,0)),0)</f>
        <v>0</v>
      </c>
      <c r="U58" s="50">
        <f>IFERROR(INDEX(Assumptions!$B$124:$I$124,MATCH(U$2,Assumptions!$B$123:$I$123,0))*INDEX(Assumptions!$B$125:$I$125,MATCH(U$2,Assumptions!$B$123:$I$123,0)),0)</f>
        <v>0</v>
      </c>
      <c r="V58" s="50">
        <f>IFERROR(INDEX(Assumptions!$B$124:$I$124,MATCH(V$2,Assumptions!$B$123:$I$123,0))*INDEX(Assumptions!$B$125:$I$125,MATCH(V$2,Assumptions!$B$123:$I$123,0)),0)</f>
        <v>0</v>
      </c>
      <c r="W58" s="50">
        <f>IFERROR(INDEX(Assumptions!$B$124:$I$124,MATCH(W$2,Assumptions!$B$123:$I$123,0))*INDEX(Assumptions!$B$125:$I$125,MATCH(W$2,Assumptions!$B$123:$I$123,0)),0)</f>
        <v>0</v>
      </c>
      <c r="X58" s="50">
        <f>IFERROR(INDEX(Assumptions!$B$124:$I$124,MATCH(X$2,Assumptions!$B$123:$I$123,0))*INDEX(Assumptions!$B$125:$I$125,MATCH(X$2,Assumptions!$B$123:$I$123,0)),0)</f>
        <v>0</v>
      </c>
      <c r="Y58" s="50">
        <f>IFERROR(INDEX(Assumptions!$B$124:$I$124,MATCH(Y$2,Assumptions!$B$123:$I$123,0))*INDEX(Assumptions!$B$125:$I$125,MATCH(Y$2,Assumptions!$B$123:$I$123,0)),0)</f>
        <v>0</v>
      </c>
      <c r="Z58" s="50">
        <f>IFERROR(INDEX(Assumptions!$B$124:$I$124,MATCH(Z$2,Assumptions!$B$123:$I$123,0))*INDEX(Assumptions!$B$125:$I$125,MATCH(Z$2,Assumptions!$B$123:$I$123,0)),0)</f>
        <v>0</v>
      </c>
    </row>
    <row r="59" spans="1:26" x14ac:dyDescent="0.2">
      <c r="A59" s="20" t="s">
        <v>145</v>
      </c>
      <c r="C59" s="54">
        <f t="shared" ref="C59:Z59" si="5">C55-C56-C57-C58</f>
        <v>-8.346875</v>
      </c>
      <c r="D59" s="54">
        <f t="shared" si="5"/>
        <v>4.512499999999996</v>
      </c>
      <c r="E59" s="54">
        <f t="shared" si="5"/>
        <v>28.28</v>
      </c>
      <c r="F59" s="54">
        <f t="shared" si="5"/>
        <v>49.07437500000001</v>
      </c>
      <c r="G59" s="54">
        <f t="shared" si="5"/>
        <v>63.275624999999984</v>
      </c>
      <c r="H59" s="54">
        <f t="shared" si="5"/>
        <v>72.016875</v>
      </c>
      <c r="I59" s="54">
        <f t="shared" si="5"/>
        <v>73.31625000000001</v>
      </c>
      <c r="J59" s="54">
        <f t="shared" si="5"/>
        <v>74.025</v>
      </c>
      <c r="K59" s="54">
        <f t="shared" si="5"/>
        <v>74.025</v>
      </c>
      <c r="L59" s="54">
        <f t="shared" si="5"/>
        <v>74.025</v>
      </c>
      <c r="M59" s="54">
        <f t="shared" si="5"/>
        <v>74.025</v>
      </c>
      <c r="N59" s="54">
        <f t="shared" si="5"/>
        <v>74.025</v>
      </c>
      <c r="O59" s="54">
        <f t="shared" si="5"/>
        <v>74.025</v>
      </c>
      <c r="P59" s="54">
        <f t="shared" si="5"/>
        <v>37.0125</v>
      </c>
      <c r="Q59" s="54">
        <f t="shared" si="5"/>
        <v>18.50625</v>
      </c>
      <c r="R59" s="54">
        <f t="shared" si="5"/>
        <v>9.253125</v>
      </c>
      <c r="S59" s="54">
        <f t="shared" si="5"/>
        <v>4.6265625</v>
      </c>
      <c r="T59" s="54">
        <f t="shared" si="5"/>
        <v>2.31328125</v>
      </c>
      <c r="U59" s="54">
        <f t="shared" si="5"/>
        <v>1.156640625</v>
      </c>
      <c r="V59" s="54">
        <f t="shared" si="5"/>
        <v>0.5783203125</v>
      </c>
      <c r="W59" s="54">
        <f t="shared" si="5"/>
        <v>0.28916015625</v>
      </c>
      <c r="X59" s="54">
        <f t="shared" si="5"/>
        <v>0.144580078125</v>
      </c>
      <c r="Y59" s="54">
        <f t="shared" si="5"/>
        <v>0.0722900390625</v>
      </c>
      <c r="Z59" s="54">
        <f t="shared" si="5"/>
        <v>0.03614501953125</v>
      </c>
    </row>
    <row r="61" spans="1:26" x14ac:dyDescent="0.2">
      <c r="A61" s="27" t="s">
        <v>160</v>
      </c>
    </row>
    <row r="62" spans="1:26" x14ac:dyDescent="0.2">
      <c r="A62" s="10" t="s">
        <v>139</v>
      </c>
      <c r="C62" s="61">
        <f>C$2-Assumptions!$B$128+1</f>
        <v>0.0</v>
      </c>
      <c r="D62" s="61">
        <f>D$2-Assumptions!$B$128+1</f>
        <v>1.0</v>
      </c>
      <c r="E62" s="61">
        <f>E$2-Assumptions!$B$128+1</f>
        <v>2.0</v>
      </c>
      <c r="F62" s="61">
        <f>F$2-Assumptions!$B$128+1</f>
        <v>3.0</v>
      </c>
      <c r="G62" s="61">
        <f>G$2-Assumptions!$B$128+1</f>
        <v>4.0</v>
      </c>
      <c r="H62" s="61">
        <f>H$2-Assumptions!$B$128+1</f>
        <v>5.0</v>
      </c>
      <c r="I62" s="61">
        <f>I$2-Assumptions!$B$128+1</f>
        <v>6.0</v>
      </c>
      <c r="J62" s="61">
        <f>J$2-Assumptions!$B$128+1</f>
        <v>7.0</v>
      </c>
      <c r="K62" s="61">
        <f>K$2-Assumptions!$B$128+1</f>
        <v>8.0</v>
      </c>
      <c r="L62" s="61">
        <f>L$2-Assumptions!$B$128+1</f>
        <v>9.0</v>
      </c>
      <c r="M62" s="61">
        <f>M$2-Assumptions!$B$128+1</f>
        <v>10.0</v>
      </c>
      <c r="N62" s="61">
        <f>N$2-Assumptions!$B$128+1</f>
        <v>11.0</v>
      </c>
      <c r="O62" s="61">
        <f>O$2-Assumptions!$B$128+1</f>
        <v>12.0</v>
      </c>
      <c r="P62" s="61">
        <f>P$2-Assumptions!$B$128+1</f>
        <v>13.0</v>
      </c>
      <c r="Q62" s="61">
        <f>Q$2-Assumptions!$B$128+1</f>
        <v>14.0</v>
      </c>
      <c r="R62" s="61">
        <f>R$2-Assumptions!$B$128+1</f>
        <v>15.0</v>
      </c>
      <c r="S62" s="61">
        <f>S$2-Assumptions!$B$128+1</f>
        <v>16.0</v>
      </c>
      <c r="T62" s="61">
        <f>T$2-Assumptions!$B$128+1</f>
        <v>17.0</v>
      </c>
      <c r="U62" s="61">
        <f>U$2-Assumptions!$B$128+1</f>
        <v>18.0</v>
      </c>
      <c r="V62" s="61">
        <f>V$2-Assumptions!$B$128+1</f>
        <v>19.0</v>
      </c>
      <c r="W62" s="61">
        <f>W$2-Assumptions!$B$128+1</f>
        <v>20.0</v>
      </c>
      <c r="X62" s="61">
        <f>X$2-Assumptions!$B$128+1</f>
        <v>21.0</v>
      </c>
      <c r="Y62" s="61">
        <f>Y$2-Assumptions!$B$128+1</f>
        <v>22.0</v>
      </c>
      <c r="Z62" s="61">
        <f>Z$2-Assumptions!$B$128+1</f>
        <v>23.0</v>
      </c>
    </row>
    <row r="63" spans="1:26" x14ac:dyDescent="0.2">
      <c r="A63" s="10" t="s">
        <v>161</v>
      </c>
      <c r="C63" s="50">
        <f>IF(C$2&gt;Assumptions!$B$137,0*(1-Assumptions!$B$138),IF(C62&gt;=1,Assumptions!$B$129*CHOOSE(Assumptions!$B$136,INDEX(Assumptions!$B$42:$H$42,MIN(C62,7)),INDEX(Assumptions!$B$43:$H$43,MIN(C62,7))),0))</f>
        <v>0</v>
      </c>
      <c r="D63" s="50">
        <f>IF(D$2&gt;Assumptions!$B$137,C63*(1-Assumptions!$B$138),IF(D62&gt;=1,Assumptions!$B$129*CHOOSE(Assumptions!$B$136,INDEX(Assumptions!$B$42:$H$42,MIN(D62,7)),INDEX(Assumptions!$B$43:$H$43,MIN(D62,7))),0))</f>
        <v>40.0</v>
      </c>
      <c r="E63" s="50">
        <f>IF(E$2&gt;Assumptions!$B$137,D63*(1-Assumptions!$B$138),IF(E62&gt;=1,Assumptions!$B$129*CHOOSE(Assumptions!$B$136,INDEX(Assumptions!$B$42:$H$42,MIN(E62,7)),INDEX(Assumptions!$B$43:$H$43,MIN(E62,7))),0))</f>
        <v>100.0</v>
      </c>
      <c r="F63" s="50">
        <f>IF(F$2&gt;Assumptions!$B$137,E63*(1-Assumptions!$B$138),IF(F62&gt;=1,Assumptions!$B$129*CHOOSE(Assumptions!$B$136,INDEX(Assumptions!$B$42:$H$42,MIN(F62,7)),INDEX(Assumptions!$B$43:$H$43,MIN(F62,7))),0))</f>
        <v>180.0</v>
      </c>
      <c r="G63" s="50">
        <f>IF(G$2&gt;Assumptions!$B$137,F63*(1-Assumptions!$B$138),IF(G62&gt;=1,Assumptions!$B$129*CHOOSE(Assumptions!$B$136,INDEX(Assumptions!$B$42:$H$42,MIN(G62,7)),INDEX(Assumptions!$B$43:$H$43,MIN(G62,7))),0))</f>
        <v>260.0</v>
      </c>
      <c r="H63" s="50">
        <f>IF(H$2&gt;Assumptions!$B$137,G63*(1-Assumptions!$B$138),IF(H62&gt;=1,Assumptions!$B$129*CHOOSE(Assumptions!$B$136,INDEX(Assumptions!$B$42:$H$42,MIN(H62,7)),INDEX(Assumptions!$B$43:$H$43,MIN(H62,7))),0))</f>
        <v>328.0</v>
      </c>
      <c r="I63" s="50">
        <f>IF(I$2&gt;Assumptions!$B$137,H63*(1-Assumptions!$B$138),IF(I62&gt;=1,Assumptions!$B$129*CHOOSE(Assumptions!$B$136,INDEX(Assumptions!$B$42:$H$42,MIN(I62,7)),INDEX(Assumptions!$B$43:$H$43,MIN(I62,7))),0))</f>
        <v>372.0</v>
      </c>
      <c r="J63" s="50">
        <f>IF(J$2&gt;Assumptions!$B$137,I63*(1-Assumptions!$B$138),IF(J62&gt;=1,Assumptions!$B$129*CHOOSE(Assumptions!$B$136,INDEX(Assumptions!$B$42:$H$42,MIN(J62,7)),INDEX(Assumptions!$B$43:$H$43,MIN(J62,7))),0))</f>
        <v>400.0</v>
      </c>
      <c r="K63" s="50">
        <f>IF(K$2&gt;Assumptions!$B$137,J63*(1-Assumptions!$B$138),IF(K62&gt;=1,Assumptions!$B$129*CHOOSE(Assumptions!$B$136,INDEX(Assumptions!$B$42:$H$42,MIN(K62,7)),INDEX(Assumptions!$B$43:$H$43,MIN(K62,7))),0))</f>
        <v>400.0</v>
      </c>
      <c r="L63" s="50">
        <f>IF(L$2&gt;Assumptions!$B$137,K63*(1-Assumptions!$B$138),IF(L62&gt;=1,Assumptions!$B$129*CHOOSE(Assumptions!$B$136,INDEX(Assumptions!$B$42:$H$42,MIN(L62,7)),INDEX(Assumptions!$B$43:$H$43,MIN(L62,7))),0))</f>
        <v>400.0</v>
      </c>
      <c r="M63" s="50">
        <f>IF(M$2&gt;Assumptions!$B$137,L63*(1-Assumptions!$B$138),IF(M62&gt;=1,Assumptions!$B$129*CHOOSE(Assumptions!$B$136,INDEX(Assumptions!$B$42:$H$42,MIN(M62,7)),INDEX(Assumptions!$B$43:$H$43,MIN(M62,7))),0))</f>
        <v>400.0</v>
      </c>
      <c r="N63" s="50">
        <f>IF(N$2&gt;Assumptions!$B$137,M63*(1-Assumptions!$B$138),IF(N62&gt;=1,Assumptions!$B$129*CHOOSE(Assumptions!$B$136,INDEX(Assumptions!$B$42:$H$42,MIN(N62,7)),INDEX(Assumptions!$B$43:$H$43,MIN(N62,7))),0))</f>
        <v>400.0</v>
      </c>
      <c r="O63" s="50">
        <f>IF(O$2&gt;Assumptions!$B$137,N63*(1-Assumptions!$B$138),IF(O62&gt;=1,Assumptions!$B$129*CHOOSE(Assumptions!$B$136,INDEX(Assumptions!$B$42:$H$42,MIN(O62,7)),INDEX(Assumptions!$B$43:$H$43,MIN(O62,7))),0))</f>
        <v>160.0</v>
      </c>
      <c r="P63" s="50">
        <f>IF(P$2&gt;Assumptions!$B$137,O63*(1-Assumptions!$B$138),IF(P62&gt;=1,Assumptions!$B$129*CHOOSE(Assumptions!$B$136,INDEX(Assumptions!$B$42:$H$42,MIN(P62,7)),INDEX(Assumptions!$B$43:$H$43,MIN(P62,7))),0))</f>
        <v>64.0</v>
      </c>
      <c r="Q63" s="50">
        <f>IF(Q$2&gt;Assumptions!$B$137,P63*(1-Assumptions!$B$138),IF(Q62&gt;=1,Assumptions!$B$129*CHOOSE(Assumptions!$B$136,INDEX(Assumptions!$B$42:$H$42,MIN(Q62,7)),INDEX(Assumptions!$B$43:$H$43,MIN(Q62,7))),0))</f>
        <v>25.6</v>
      </c>
      <c r="R63" s="50">
        <f>IF(R$2&gt;Assumptions!$B$137,Q63*(1-Assumptions!$B$138),IF(R62&gt;=1,Assumptions!$B$129*CHOOSE(Assumptions!$B$136,INDEX(Assumptions!$B$42:$H$42,MIN(R62,7)),INDEX(Assumptions!$B$43:$H$43,MIN(R62,7))),0))</f>
        <v>10.240000000000002</v>
      </c>
      <c r="S63" s="50">
        <f>IF(S$2&gt;Assumptions!$B$137,R63*(1-Assumptions!$B$138),IF(S62&gt;=1,Assumptions!$B$129*CHOOSE(Assumptions!$B$136,INDEX(Assumptions!$B$42:$H$42,MIN(S62,7)),INDEX(Assumptions!$B$43:$H$43,MIN(S62,7))),0))</f>
        <v>4.096000000000001</v>
      </c>
      <c r="T63" s="50">
        <f>IF(T$2&gt;Assumptions!$B$137,S63*(1-Assumptions!$B$138),IF(T62&gt;=1,Assumptions!$B$129*CHOOSE(Assumptions!$B$136,INDEX(Assumptions!$B$42:$H$42,MIN(T62,7)),INDEX(Assumptions!$B$43:$H$43,MIN(T62,7))),0))</f>
        <v>1.6384000000000005</v>
      </c>
      <c r="U63" s="50">
        <f>IF(U$2&gt;Assumptions!$B$137,T63*(1-Assumptions!$B$138),IF(U62&gt;=1,Assumptions!$B$129*CHOOSE(Assumptions!$B$136,INDEX(Assumptions!$B$42:$H$42,MIN(U62,7)),INDEX(Assumptions!$B$43:$H$43,MIN(U62,7))),0))</f>
        <v>0.6553600000000003</v>
      </c>
      <c r="V63" s="50">
        <f>IF(V$2&gt;Assumptions!$B$137,U63*(1-Assumptions!$B$138),IF(V62&gt;=1,Assumptions!$B$129*CHOOSE(Assumptions!$B$136,INDEX(Assumptions!$B$42:$H$42,MIN(V62,7)),INDEX(Assumptions!$B$43:$H$43,MIN(V62,7))),0))</f>
        <v>0.2621440000000001</v>
      </c>
      <c r="W63" s="50">
        <f>IF(W$2&gt;Assumptions!$B$137,V63*(1-Assumptions!$B$138),IF(W62&gt;=1,Assumptions!$B$129*CHOOSE(Assumptions!$B$136,INDEX(Assumptions!$B$42:$H$42,MIN(W62,7)),INDEX(Assumptions!$B$43:$H$43,MIN(W62,7))),0))</f>
        <v>0.10485760000000005</v>
      </c>
      <c r="X63" s="50">
        <f>IF(X$2&gt;Assumptions!$B$137,W63*(1-Assumptions!$B$138),IF(X62&gt;=1,Assumptions!$B$129*CHOOSE(Assumptions!$B$136,INDEX(Assumptions!$B$42:$H$42,MIN(X62,7)),INDEX(Assumptions!$B$43:$H$43,MIN(X62,7))),0))</f>
        <v>0.04194304000000002</v>
      </c>
      <c r="Y63" s="50">
        <f>IF(Y$2&gt;Assumptions!$B$137,X63*(1-Assumptions!$B$138),IF(Y62&gt;=1,Assumptions!$B$129*CHOOSE(Assumptions!$B$136,INDEX(Assumptions!$B$42:$H$42,MIN(Y62,7)),INDEX(Assumptions!$B$43:$H$43,MIN(Y62,7))),0))</f>
        <v>0.016777216000000008</v>
      </c>
      <c r="Z63" s="50">
        <f>IF(Z$2&gt;Assumptions!$B$137,Y63*(1-Assumptions!$B$138),IF(Z62&gt;=1,Assumptions!$B$129*CHOOSE(Assumptions!$B$136,INDEX(Assumptions!$B$42:$H$42,MIN(Z62,7)),INDEX(Assumptions!$B$43:$H$43,MIN(Z62,7))),0))</f>
        <v>0.006710886400000004</v>
      </c>
    </row>
    <row r="64" spans="1:26" x14ac:dyDescent="0.2">
      <c r="A64" s="10" t="s">
        <v>155</v>
      </c>
      <c r="C64" s="50">
        <f>C63*MIN(1,Assumptions!$B$130*Assumptions!$B$37)</f>
        <v>0.0</v>
      </c>
      <c r="D64" s="50">
        <f>D63*MIN(1,Assumptions!$B$130*Assumptions!$B$37)</f>
        <v>12.0</v>
      </c>
      <c r="E64" s="50">
        <f>E63*MIN(1,Assumptions!$B$130*Assumptions!$B$37)</f>
        <v>30.0</v>
      </c>
      <c r="F64" s="50">
        <f>F63*MIN(1,Assumptions!$B$130*Assumptions!$B$37)</f>
        <v>54.0</v>
      </c>
      <c r="G64" s="50">
        <f>G63*MIN(1,Assumptions!$B$130*Assumptions!$B$37)</f>
        <v>78.0</v>
      </c>
      <c r="H64" s="50">
        <f>H63*MIN(1,Assumptions!$B$130*Assumptions!$B$37)</f>
        <v>98.39999999999999</v>
      </c>
      <c r="I64" s="50">
        <f>I63*MIN(1,Assumptions!$B$130*Assumptions!$B$37)</f>
        <v>111.6</v>
      </c>
      <c r="J64" s="50">
        <f>J63*MIN(1,Assumptions!$B$130*Assumptions!$B$37)</f>
        <v>120.0</v>
      </c>
      <c r="K64" s="50">
        <f>K63*MIN(1,Assumptions!$B$130*Assumptions!$B$37)</f>
        <v>120.0</v>
      </c>
      <c r="L64" s="50">
        <f>L63*MIN(1,Assumptions!$B$130*Assumptions!$B$37)</f>
        <v>120.0</v>
      </c>
      <c r="M64" s="50">
        <f>M63*MIN(1,Assumptions!$B$130*Assumptions!$B$37)</f>
        <v>120.0</v>
      </c>
      <c r="N64" s="50">
        <f>N63*MIN(1,Assumptions!$B$130*Assumptions!$B$37)</f>
        <v>120.0</v>
      </c>
      <c r="O64" s="50">
        <f>O63*MIN(1,Assumptions!$B$130*Assumptions!$B$37)</f>
        <v>48.0</v>
      </c>
      <c r="P64" s="50">
        <f>P63*MIN(1,Assumptions!$B$130*Assumptions!$B$37)</f>
        <v>19.2</v>
      </c>
      <c r="Q64" s="50">
        <f>Q63*MIN(1,Assumptions!$B$130*Assumptions!$B$37)</f>
        <v>7.68</v>
      </c>
      <c r="R64" s="50">
        <f>R63*MIN(1,Assumptions!$B$130*Assumptions!$B$37)</f>
        <v>3.0720000000000005</v>
      </c>
      <c r="S64" s="50">
        <f>S63*MIN(1,Assumptions!$B$130*Assumptions!$B$37)</f>
        <v>1.2288000000000003</v>
      </c>
      <c r="T64" s="50">
        <f>T63*MIN(1,Assumptions!$B$130*Assumptions!$B$37)</f>
        <v>0.4915200000000001</v>
      </c>
      <c r="U64" s="50">
        <f>U63*MIN(1,Assumptions!$B$130*Assumptions!$B$37)</f>
        <v>0.1966080000000001</v>
      </c>
      <c r="V64" s="50">
        <f>V63*MIN(1,Assumptions!$B$130*Assumptions!$B$37)</f>
        <v>0.07864320000000002</v>
      </c>
      <c r="W64" s="50">
        <f>W63*MIN(1,Assumptions!$B$130*Assumptions!$B$37)</f>
        <v>0.03145728000000001</v>
      </c>
      <c r="X64" s="50">
        <f>X63*MIN(1,Assumptions!$B$130*Assumptions!$B$37)</f>
        <v>0.012582912000000007</v>
      </c>
      <c r="Y64" s="50">
        <f>Y63*MIN(1,Assumptions!$B$130*Assumptions!$B$37)</f>
        <v>0.005033164800000003</v>
      </c>
      <c r="Z64" s="50">
        <f>Z63*MIN(1,Assumptions!$B$130*Assumptions!$B$37)</f>
        <v>0.002013265920000001</v>
      </c>
    </row>
    <row r="65" spans="1:26" x14ac:dyDescent="0.2">
      <c r="A65" s="10" t="s">
        <v>156</v>
      </c>
      <c r="C65" s="50">
        <f>C64*Assumptions!$B$131</f>
        <v>0.0</v>
      </c>
      <c r="D65" s="50">
        <f>D64*Assumptions!$B$131</f>
        <v>12.0</v>
      </c>
      <c r="E65" s="50">
        <f>E64*Assumptions!$B$131</f>
        <v>30.0</v>
      </c>
      <c r="F65" s="50">
        <f>F64*Assumptions!$B$131</f>
        <v>54.0</v>
      </c>
      <c r="G65" s="50">
        <f>G64*Assumptions!$B$131</f>
        <v>78.0</v>
      </c>
      <c r="H65" s="50">
        <f>H64*Assumptions!$B$131</f>
        <v>98.39999999999999</v>
      </c>
      <c r="I65" s="50">
        <f>I64*Assumptions!$B$131</f>
        <v>111.6</v>
      </c>
      <c r="J65" s="50">
        <f>J64*Assumptions!$B$131</f>
        <v>120.0</v>
      </c>
      <c r="K65" s="50">
        <f>K64*Assumptions!$B$131</f>
        <v>120.0</v>
      </c>
      <c r="L65" s="50">
        <f>L64*Assumptions!$B$131</f>
        <v>120.0</v>
      </c>
      <c r="M65" s="50">
        <f>M64*Assumptions!$B$131</f>
        <v>120.0</v>
      </c>
      <c r="N65" s="50">
        <f>N64*Assumptions!$B$131</f>
        <v>120.0</v>
      </c>
      <c r="O65" s="50">
        <f>O64*Assumptions!$B$131</f>
        <v>48.0</v>
      </c>
      <c r="P65" s="50">
        <f>P64*Assumptions!$B$131</f>
        <v>19.2</v>
      </c>
      <c r="Q65" s="50">
        <f>Q64*Assumptions!$B$131</f>
        <v>7.68</v>
      </c>
      <c r="R65" s="50">
        <f>R64*Assumptions!$B$131</f>
        <v>3.0720000000000005</v>
      </c>
      <c r="S65" s="50">
        <f>S64*Assumptions!$B$131</f>
        <v>1.2288000000000003</v>
      </c>
      <c r="T65" s="50">
        <f>T64*Assumptions!$B$131</f>
        <v>0.4915200000000001</v>
      </c>
      <c r="U65" s="50">
        <f>U64*Assumptions!$B$131</f>
        <v>0.1966080000000001</v>
      </c>
      <c r="V65" s="50">
        <f>V64*Assumptions!$B$131</f>
        <v>0.07864320000000002</v>
      </c>
      <c r="W65" s="50">
        <f>W64*Assumptions!$B$131</f>
        <v>0.03145728000000001</v>
      </c>
      <c r="X65" s="50">
        <f>X64*Assumptions!$B$131</f>
        <v>0.012582912000000007</v>
      </c>
      <c r="Y65" s="50">
        <f>Y64*Assumptions!$B$131</f>
        <v>0.005033164800000003</v>
      </c>
      <c r="Z65" s="50">
        <f>Z64*Assumptions!$B$131</f>
        <v>0.002013265920000001</v>
      </c>
    </row>
    <row r="66" spans="1:26" x14ac:dyDescent="0.2">
      <c r="A66" s="10" t="s">
        <v>157</v>
      </c>
      <c r="C66" s="50">
        <f>C64*(Assumptions!$B$132+Assumptions!$B$133)</f>
        <v>0.0</v>
      </c>
      <c r="D66" s="50">
        <f>D64*(Assumptions!$B$132+Assumptions!$B$133)</f>
        <v>0.72</v>
      </c>
      <c r="E66" s="50">
        <f>E64*(Assumptions!$B$132+Assumptions!$B$133)</f>
        <v>1.7999999999999998</v>
      </c>
      <c r="F66" s="50">
        <f>F64*(Assumptions!$B$132+Assumptions!$B$133)</f>
        <v>3.2399999999999998</v>
      </c>
      <c r="G66" s="50">
        <f>G64*(Assumptions!$B$132+Assumptions!$B$133)</f>
        <v>4.68</v>
      </c>
      <c r="H66" s="50">
        <f>H64*(Assumptions!$B$132+Assumptions!$B$133)</f>
        <v>5.903999999999999</v>
      </c>
      <c r="I66" s="50">
        <f>I64*(Assumptions!$B$132+Assumptions!$B$133)</f>
        <v>6.696</v>
      </c>
      <c r="J66" s="50">
        <f>J64*(Assumptions!$B$132+Assumptions!$B$133)</f>
        <v>7.199999999999999</v>
      </c>
      <c r="K66" s="50">
        <f>K64*(Assumptions!$B$132+Assumptions!$B$133)</f>
        <v>7.199999999999999</v>
      </c>
      <c r="L66" s="50">
        <f>L64*(Assumptions!$B$132+Assumptions!$B$133)</f>
        <v>7.199999999999999</v>
      </c>
      <c r="M66" s="50">
        <f>M64*(Assumptions!$B$132+Assumptions!$B$133)</f>
        <v>7.199999999999999</v>
      </c>
      <c r="N66" s="50">
        <f>N64*(Assumptions!$B$132+Assumptions!$B$133)</f>
        <v>7.199999999999999</v>
      </c>
      <c r="O66" s="50">
        <f>O64*(Assumptions!$B$132+Assumptions!$B$133)</f>
        <v>2.88</v>
      </c>
      <c r="P66" s="50">
        <f>P64*(Assumptions!$B$132+Assumptions!$B$133)</f>
        <v>1.152</v>
      </c>
      <c r="Q66" s="50">
        <f>Q64*(Assumptions!$B$132+Assumptions!$B$133)</f>
        <v>0.4608</v>
      </c>
      <c r="R66" s="50">
        <f>R64*(Assumptions!$B$132+Assumptions!$B$133)</f>
        <v>0.18432</v>
      </c>
      <c r="S66" s="50">
        <f>S64*(Assumptions!$B$132+Assumptions!$B$133)</f>
        <v>0.07372800000000002</v>
      </c>
      <c r="T66" s="50">
        <f>T64*(Assumptions!$B$132+Assumptions!$B$133)</f>
        <v>0.029491200000000006</v>
      </c>
      <c r="U66" s="50">
        <f>U64*(Assumptions!$B$132+Assumptions!$B$133)</f>
        <v>0.011796480000000005</v>
      </c>
      <c r="V66" s="50">
        <f>V64*(Assumptions!$B$132+Assumptions!$B$133)</f>
        <v>0.0047185920000000015</v>
      </c>
      <c r="W66" s="50">
        <f>W64*(Assumptions!$B$132+Assumptions!$B$133)</f>
        <v>0.0018874368000000006</v>
      </c>
      <c r="X66" s="50">
        <f>X64*(Assumptions!$B$132+Assumptions!$B$133)</f>
        <v>0.0007549747200000004</v>
      </c>
      <c r="Y66" s="50">
        <f>Y64*(Assumptions!$B$132+Assumptions!$B$133)</f>
        <v>0.00030198988800000015</v>
      </c>
      <c r="Z66" s="50">
        <f>Z64*(Assumptions!$B$132+Assumptions!$B$133)</f>
        <v>0.00012079595520000004</v>
      </c>
    </row>
    <row r="67" spans="1:26" x14ac:dyDescent="0.2">
      <c r="A67" s="10" t="s">
        <v>158</v>
      </c>
      <c r="C67" s="50">
        <f>MIN(1,Assumptions!$B$130*Assumptions!$B$37)*IF(Assumptions!$B$134=0,0,IF(C62=0,Assumptions!$B$135,IF(C62&gt;=1,C63*IF(OR(Assumptions!$B$131&lt;1,C62&gt;5),Assumptions!$B$134,MAX(Assumptions!$B$134,INDEX(Assumptions!$B$44:$F$44,C62))),0)))</f>
        <v>9.0</v>
      </c>
      <c r="D67" s="50">
        <f>MIN(1,Assumptions!$B$130*Assumptions!$B$37)*IF(Assumptions!$B$134=0,0,IF(D62=0,Assumptions!$B$135,IF(D62&gt;=1,D63*IF(OR(Assumptions!$B$131&lt;1,D62&gt;5),Assumptions!$B$134,MAX(Assumptions!$B$134,INDEX(Assumptions!$B$44:$F$44,D62))),0)))</f>
        <v>10.799999999999999</v>
      </c>
      <c r="E67" s="50">
        <f>MIN(1,Assumptions!$B$130*Assumptions!$B$37)*IF(Assumptions!$B$134=0,0,IF(E62=0,Assumptions!$B$135,IF(E62&gt;=1,E63*IF(OR(Assumptions!$B$131&lt;1,E62&gt;5),Assumptions!$B$134,MAX(Assumptions!$B$134,INDEX(Assumptions!$B$44:$F$44,E62))),0)))</f>
        <v>16.5</v>
      </c>
      <c r="F67" s="50">
        <f>MIN(1,Assumptions!$B$130*Assumptions!$B$37)*IF(Assumptions!$B$134=0,0,IF(F62=0,Assumptions!$B$135,IF(F62&gt;=1,F63*IF(OR(Assumptions!$B$131&lt;1,F62&gt;5),Assumptions!$B$134,MAX(Assumptions!$B$134,INDEX(Assumptions!$B$44:$F$44,F62))),0)))</f>
        <v>21.599999999999998</v>
      </c>
      <c r="G67" s="50">
        <f>MIN(1,Assumptions!$B$130*Assumptions!$B$37)*IF(Assumptions!$B$134=0,0,IF(G62=0,Assumptions!$B$135,IF(G62&gt;=1,G63*IF(OR(Assumptions!$B$131&lt;1,G62&gt;5),Assumptions!$B$134,MAX(Assumptions!$B$134,INDEX(Assumptions!$B$44:$F$44,G62))),0)))</f>
        <v>27.3</v>
      </c>
      <c r="H67" s="50">
        <f>MIN(1,Assumptions!$B$130*Assumptions!$B$37)*IF(Assumptions!$B$134=0,0,IF(H62=0,Assumptions!$B$135,IF(H62&gt;=1,H63*IF(OR(Assumptions!$B$131&lt;1,H62&gt;5),Assumptions!$B$134,MAX(Assumptions!$B$134,INDEX(Assumptions!$B$44:$F$44,H62))),0)))</f>
        <v>34.44</v>
      </c>
      <c r="I67" s="50">
        <f>MIN(1,Assumptions!$B$130*Assumptions!$B$37)*IF(Assumptions!$B$134=0,0,IF(I62=0,Assumptions!$B$135,IF(I62&gt;=1,I63*IF(OR(Assumptions!$B$131&lt;1,I62&gt;5),Assumptions!$B$134,MAX(Assumptions!$B$134,INDEX(Assumptions!$B$44:$F$44,I62))),0)))</f>
        <v>39.059999999999995</v>
      </c>
      <c r="J67" s="50">
        <f>MIN(1,Assumptions!$B$130*Assumptions!$B$37)*IF(Assumptions!$B$134=0,0,IF(J62=0,Assumptions!$B$135,IF(J62&gt;=1,J63*IF(OR(Assumptions!$B$131&lt;1,J62&gt;5),Assumptions!$B$134,MAX(Assumptions!$B$134,INDEX(Assumptions!$B$44:$F$44,J62))),0)))</f>
        <v>42.0</v>
      </c>
      <c r="K67" s="50">
        <f>MIN(1,Assumptions!$B$130*Assumptions!$B$37)*IF(Assumptions!$B$134=0,0,IF(K62=0,Assumptions!$B$135,IF(K62&gt;=1,K63*IF(OR(Assumptions!$B$131&lt;1,K62&gt;5),Assumptions!$B$134,MAX(Assumptions!$B$134,INDEX(Assumptions!$B$44:$F$44,K62))),0)))</f>
        <v>42.0</v>
      </c>
      <c r="L67" s="50">
        <f>MIN(1,Assumptions!$B$130*Assumptions!$B$37)*IF(Assumptions!$B$134=0,0,IF(L62=0,Assumptions!$B$135,IF(L62&gt;=1,L63*IF(OR(Assumptions!$B$131&lt;1,L62&gt;5),Assumptions!$B$134,MAX(Assumptions!$B$134,INDEX(Assumptions!$B$44:$F$44,L62))),0)))</f>
        <v>42.0</v>
      </c>
      <c r="M67" s="50">
        <f>MIN(1,Assumptions!$B$130*Assumptions!$B$37)*IF(Assumptions!$B$134=0,0,IF(M62=0,Assumptions!$B$135,IF(M62&gt;=1,M63*IF(OR(Assumptions!$B$131&lt;1,M62&gt;5),Assumptions!$B$134,MAX(Assumptions!$B$134,INDEX(Assumptions!$B$44:$F$44,M62))),0)))</f>
        <v>42.0</v>
      </c>
      <c r="N67" s="50">
        <f>MIN(1,Assumptions!$B$130*Assumptions!$B$37)*IF(Assumptions!$B$134=0,0,IF(N62=0,Assumptions!$B$135,IF(N62&gt;=1,N63*IF(OR(Assumptions!$B$131&lt;1,N62&gt;5),Assumptions!$B$134,MAX(Assumptions!$B$134,INDEX(Assumptions!$B$44:$F$44,N62))),0)))</f>
        <v>42.0</v>
      </c>
      <c r="O67" s="50">
        <f>MIN(1,Assumptions!$B$130*Assumptions!$B$37)*IF(Assumptions!$B$134=0,0,IF(O62=0,Assumptions!$B$135,IF(O62&gt;=1,O63*IF(OR(Assumptions!$B$131&lt;1,O62&gt;5),Assumptions!$B$134,MAX(Assumptions!$B$134,INDEX(Assumptions!$B$44:$F$44,O62))),0)))</f>
        <v>16.8</v>
      </c>
      <c r="P67" s="50">
        <f>MIN(1,Assumptions!$B$130*Assumptions!$B$37)*IF(Assumptions!$B$134=0,0,IF(P62=0,Assumptions!$B$135,IF(P62&gt;=1,P63*IF(OR(Assumptions!$B$131&lt;1,P62&gt;5),Assumptions!$B$134,MAX(Assumptions!$B$134,INDEX(Assumptions!$B$44:$F$44,P62))),0)))</f>
        <v>6.72</v>
      </c>
      <c r="Q67" s="50">
        <f>MIN(1,Assumptions!$B$130*Assumptions!$B$37)*IF(Assumptions!$B$134=0,0,IF(Q62=0,Assumptions!$B$135,IF(Q62&gt;=1,Q63*IF(OR(Assumptions!$B$131&lt;1,Q62&gt;5),Assumptions!$B$134,MAX(Assumptions!$B$134,INDEX(Assumptions!$B$44:$F$44,Q62))),0)))</f>
        <v>2.6879999999999997</v>
      </c>
      <c r="R67" s="50">
        <f>MIN(1,Assumptions!$B$130*Assumptions!$B$37)*IF(Assumptions!$B$134=0,0,IF(R62=0,Assumptions!$B$135,IF(R62&gt;=1,R63*IF(OR(Assumptions!$B$131&lt;1,R62&gt;5),Assumptions!$B$134,MAX(Assumptions!$B$134,INDEX(Assumptions!$B$44:$F$44,R62))),0)))</f>
        <v>1.0752000000000002</v>
      </c>
      <c r="S67" s="50">
        <f>MIN(1,Assumptions!$B$130*Assumptions!$B$37)*IF(Assumptions!$B$134=0,0,IF(S62=0,Assumptions!$B$135,IF(S62&gt;=1,S63*IF(OR(Assumptions!$B$131&lt;1,S62&gt;5),Assumptions!$B$134,MAX(Assumptions!$B$134,INDEX(Assumptions!$B$44:$F$44,S62))),0)))</f>
        <v>0.4300800000000001</v>
      </c>
      <c r="T67" s="50">
        <f>MIN(1,Assumptions!$B$130*Assumptions!$B$37)*IF(Assumptions!$B$134=0,0,IF(T62=0,Assumptions!$B$135,IF(T62&gt;=1,T63*IF(OR(Assumptions!$B$131&lt;1,T62&gt;5),Assumptions!$B$134,MAX(Assumptions!$B$134,INDEX(Assumptions!$B$44:$F$44,T62))),0)))</f>
        <v>0.17203200000000005</v>
      </c>
      <c r="U67" s="50">
        <f>MIN(1,Assumptions!$B$130*Assumptions!$B$37)*IF(Assumptions!$B$134=0,0,IF(U62=0,Assumptions!$B$135,IF(U62&gt;=1,U63*IF(OR(Assumptions!$B$131&lt;1,U62&gt;5),Assumptions!$B$134,MAX(Assumptions!$B$134,INDEX(Assumptions!$B$44:$F$44,U62))),0)))</f>
        <v>0.06881280000000002</v>
      </c>
      <c r="V67" s="50">
        <f>MIN(1,Assumptions!$B$130*Assumptions!$B$37)*IF(Assumptions!$B$134=0,0,IF(V62=0,Assumptions!$B$135,IF(V62&gt;=1,V63*IF(OR(Assumptions!$B$131&lt;1,V62&gt;5),Assumptions!$B$134,MAX(Assumptions!$B$134,INDEX(Assumptions!$B$44:$F$44,V62))),0)))</f>
        <v>0.027525120000000007</v>
      </c>
      <c r="W67" s="50">
        <f>MIN(1,Assumptions!$B$130*Assumptions!$B$37)*IF(Assumptions!$B$134=0,0,IF(W62=0,Assumptions!$B$135,IF(W62&gt;=1,W63*IF(OR(Assumptions!$B$131&lt;1,W62&gt;5),Assumptions!$B$134,MAX(Assumptions!$B$134,INDEX(Assumptions!$B$44:$F$44,W62))),0)))</f>
        <v>0.011010048000000005</v>
      </c>
      <c r="X67" s="50">
        <f>MIN(1,Assumptions!$B$130*Assumptions!$B$37)*IF(Assumptions!$B$134=0,0,IF(X62=0,Assumptions!$B$135,IF(X62&gt;=1,X63*IF(OR(Assumptions!$B$131&lt;1,X62&gt;5),Assumptions!$B$134,MAX(Assumptions!$B$134,INDEX(Assumptions!$B$44:$F$44,X62))),0)))</f>
        <v>0.004404019200000002</v>
      </c>
      <c r="Y67" s="50">
        <f>MIN(1,Assumptions!$B$130*Assumptions!$B$37)*IF(Assumptions!$B$134=0,0,IF(Y62=0,Assumptions!$B$135,IF(Y62&gt;=1,Y63*IF(OR(Assumptions!$B$131&lt;1,Y62&gt;5),Assumptions!$B$134,MAX(Assumptions!$B$134,INDEX(Assumptions!$B$44:$F$44,Y62))),0)))</f>
        <v>0.0017616076800000006</v>
      </c>
      <c r="Z67" s="50">
        <f>MIN(1,Assumptions!$B$130*Assumptions!$B$37)*IF(Assumptions!$B$134=0,0,IF(Z62=0,Assumptions!$B$135,IF(Z62&gt;=1,Z63*IF(OR(Assumptions!$B$131&lt;1,Z62&gt;5),Assumptions!$B$134,MAX(Assumptions!$B$134,INDEX(Assumptions!$B$44:$F$44,Z62))),0)))</f>
        <v>0.0007046430720000003</v>
      </c>
    </row>
    <row r="68" spans="1:26" x14ac:dyDescent="0.2">
      <c r="A68" s="10" t="s">
        <v>159</v>
      </c>
      <c r="C68" s="50">
        <f>IFERROR(INDEX(Assumptions!$B$140:$I$140,MATCH(C$2,Assumptions!$B$139:$I$139,0))*INDEX(Assumptions!$B$141:$I$141,MATCH(C$2,Assumptions!$B$139:$I$139,0)),0)</f>
        <v>10.0</v>
      </c>
      <c r="D68" s="50">
        <f>IFERROR(INDEX(Assumptions!$B$140:$I$140,MATCH(D$2,Assumptions!$B$139:$I$139,0))*INDEX(Assumptions!$B$141:$I$141,MATCH(D$2,Assumptions!$B$139:$I$139,0)),0)</f>
        <v>0.0</v>
      </c>
      <c r="E68" s="50">
        <f>IFERROR(INDEX(Assumptions!$B$140:$I$140,MATCH(E$2,Assumptions!$B$139:$I$139,0))*INDEX(Assumptions!$B$141:$I$141,MATCH(E$2,Assumptions!$B$139:$I$139,0)),0)</f>
        <v>0.0</v>
      </c>
      <c r="F68" s="50">
        <f>IFERROR(INDEX(Assumptions!$B$140:$I$140,MATCH(F$2,Assumptions!$B$139:$I$139,0))*INDEX(Assumptions!$B$141:$I$141,MATCH(F$2,Assumptions!$B$139:$I$139,0)),0)</f>
        <v>0.0</v>
      </c>
      <c r="G68" s="50">
        <f>IFERROR(INDEX(Assumptions!$B$140:$I$140,MATCH(G$2,Assumptions!$B$139:$I$139,0))*INDEX(Assumptions!$B$141:$I$141,MATCH(G$2,Assumptions!$B$139:$I$139,0)),0)</f>
        <v>0.0</v>
      </c>
      <c r="H68" s="50">
        <f>IFERROR(INDEX(Assumptions!$B$140:$I$140,MATCH(H$2,Assumptions!$B$139:$I$139,0))*INDEX(Assumptions!$B$141:$I$141,MATCH(H$2,Assumptions!$B$139:$I$139,0)),0)</f>
        <v>0.0</v>
      </c>
      <c r="I68" s="50">
        <f>IFERROR(INDEX(Assumptions!$B$140:$I$140,MATCH(I$2,Assumptions!$B$139:$I$139,0))*INDEX(Assumptions!$B$141:$I$141,MATCH(I$2,Assumptions!$B$139:$I$139,0)),0)</f>
        <v>0.0</v>
      </c>
      <c r="J68" s="50">
        <f>IFERROR(INDEX(Assumptions!$B$140:$I$140,MATCH(J$2,Assumptions!$B$139:$I$139,0))*INDEX(Assumptions!$B$141:$I$141,MATCH(J$2,Assumptions!$B$139:$I$139,0)),0)</f>
        <v>0.0</v>
      </c>
      <c r="K68" s="50">
        <f>IFERROR(INDEX(Assumptions!$B$140:$I$140,MATCH(K$2,Assumptions!$B$139:$I$139,0))*INDEX(Assumptions!$B$141:$I$141,MATCH(K$2,Assumptions!$B$139:$I$139,0)),0)</f>
        <v>0</v>
      </c>
      <c r="L68" s="50">
        <f>IFERROR(INDEX(Assumptions!$B$140:$I$140,MATCH(L$2,Assumptions!$B$139:$I$139,0))*INDEX(Assumptions!$B$141:$I$141,MATCH(L$2,Assumptions!$B$139:$I$139,0)),0)</f>
        <v>0</v>
      </c>
      <c r="M68" s="50">
        <f>IFERROR(INDEX(Assumptions!$B$140:$I$140,MATCH(M$2,Assumptions!$B$139:$I$139,0))*INDEX(Assumptions!$B$141:$I$141,MATCH(M$2,Assumptions!$B$139:$I$139,0)),0)</f>
        <v>0</v>
      </c>
      <c r="N68" s="50">
        <f>IFERROR(INDEX(Assumptions!$B$140:$I$140,MATCH(N$2,Assumptions!$B$139:$I$139,0))*INDEX(Assumptions!$B$141:$I$141,MATCH(N$2,Assumptions!$B$139:$I$139,0)),0)</f>
        <v>0</v>
      </c>
      <c r="O68" s="50">
        <f>IFERROR(INDEX(Assumptions!$B$140:$I$140,MATCH(O$2,Assumptions!$B$139:$I$139,0))*INDEX(Assumptions!$B$141:$I$141,MATCH(O$2,Assumptions!$B$139:$I$139,0)),0)</f>
        <v>0</v>
      </c>
      <c r="P68" s="50">
        <f>IFERROR(INDEX(Assumptions!$B$140:$I$140,MATCH(P$2,Assumptions!$B$139:$I$139,0))*INDEX(Assumptions!$B$141:$I$141,MATCH(P$2,Assumptions!$B$139:$I$139,0)),0)</f>
        <v>0</v>
      </c>
      <c r="Q68" s="50">
        <f>IFERROR(INDEX(Assumptions!$B$140:$I$140,MATCH(Q$2,Assumptions!$B$139:$I$139,0))*INDEX(Assumptions!$B$141:$I$141,MATCH(Q$2,Assumptions!$B$139:$I$139,0)),0)</f>
        <v>0</v>
      </c>
      <c r="R68" s="50">
        <f>IFERROR(INDEX(Assumptions!$B$140:$I$140,MATCH(R$2,Assumptions!$B$139:$I$139,0))*INDEX(Assumptions!$B$141:$I$141,MATCH(R$2,Assumptions!$B$139:$I$139,0)),0)</f>
        <v>0</v>
      </c>
      <c r="S68" s="50">
        <f>IFERROR(INDEX(Assumptions!$B$140:$I$140,MATCH(S$2,Assumptions!$B$139:$I$139,0))*INDEX(Assumptions!$B$141:$I$141,MATCH(S$2,Assumptions!$B$139:$I$139,0)),0)</f>
        <v>0</v>
      </c>
      <c r="T68" s="50">
        <f>IFERROR(INDEX(Assumptions!$B$140:$I$140,MATCH(T$2,Assumptions!$B$139:$I$139,0))*INDEX(Assumptions!$B$141:$I$141,MATCH(T$2,Assumptions!$B$139:$I$139,0)),0)</f>
        <v>0</v>
      </c>
      <c r="U68" s="50">
        <f>IFERROR(INDEX(Assumptions!$B$140:$I$140,MATCH(U$2,Assumptions!$B$139:$I$139,0))*INDEX(Assumptions!$B$141:$I$141,MATCH(U$2,Assumptions!$B$139:$I$139,0)),0)</f>
        <v>0</v>
      </c>
      <c r="V68" s="50">
        <f>IFERROR(INDEX(Assumptions!$B$140:$I$140,MATCH(V$2,Assumptions!$B$139:$I$139,0))*INDEX(Assumptions!$B$141:$I$141,MATCH(V$2,Assumptions!$B$139:$I$139,0)),0)</f>
        <v>0</v>
      </c>
      <c r="W68" s="50">
        <f>IFERROR(INDEX(Assumptions!$B$140:$I$140,MATCH(W$2,Assumptions!$B$139:$I$139,0))*INDEX(Assumptions!$B$141:$I$141,MATCH(W$2,Assumptions!$B$139:$I$139,0)),0)</f>
        <v>0</v>
      </c>
      <c r="X68" s="50">
        <f>IFERROR(INDEX(Assumptions!$B$140:$I$140,MATCH(X$2,Assumptions!$B$139:$I$139,0))*INDEX(Assumptions!$B$141:$I$141,MATCH(X$2,Assumptions!$B$139:$I$139,0)),0)</f>
        <v>0</v>
      </c>
      <c r="Y68" s="50">
        <f>IFERROR(INDEX(Assumptions!$B$140:$I$140,MATCH(Y$2,Assumptions!$B$139:$I$139,0))*INDEX(Assumptions!$B$141:$I$141,MATCH(Y$2,Assumptions!$B$139:$I$139,0)),0)</f>
        <v>0</v>
      </c>
      <c r="Z68" s="50">
        <f>IFERROR(INDEX(Assumptions!$B$140:$I$140,MATCH(Z$2,Assumptions!$B$139:$I$139,0))*INDEX(Assumptions!$B$141:$I$141,MATCH(Z$2,Assumptions!$B$139:$I$139,0)),0)</f>
        <v>0</v>
      </c>
    </row>
    <row r="69" spans="1:26" x14ac:dyDescent="0.2">
      <c r="A69" s="20" t="s">
        <v>145</v>
      </c>
      <c r="C69" s="54">
        <f t="shared" ref="C69:Z69" si="6">C65-C66-C67-C68</f>
        <v>-19.0</v>
      </c>
      <c r="D69" s="54">
        <f t="shared" si="6"/>
        <v>0.4800000000000004</v>
      </c>
      <c r="E69" s="54">
        <f t="shared" si="6"/>
        <v>11.7</v>
      </c>
      <c r="F69" s="54">
        <f t="shared" si="6"/>
        <v>29.16</v>
      </c>
      <c r="G69" s="54">
        <f t="shared" si="6"/>
        <v>46.019999999999996</v>
      </c>
      <c r="H69" s="54">
        <f t="shared" si="6"/>
        <v>58.056</v>
      </c>
      <c r="I69" s="54">
        <f t="shared" si="6"/>
        <v>65.844</v>
      </c>
      <c r="J69" s="54">
        <f t="shared" si="6"/>
        <v>70.8</v>
      </c>
      <c r="K69" s="54">
        <f t="shared" si="6"/>
        <v>70.8</v>
      </c>
      <c r="L69" s="54">
        <f t="shared" si="6"/>
        <v>70.8</v>
      </c>
      <c r="M69" s="54">
        <f t="shared" si="6"/>
        <v>70.8</v>
      </c>
      <c r="N69" s="54">
        <f t="shared" si="6"/>
        <v>70.8</v>
      </c>
      <c r="O69" s="54">
        <f t="shared" si="6"/>
        <v>28.319999999999997</v>
      </c>
      <c r="P69" s="54">
        <f t="shared" si="6"/>
        <v>11.328</v>
      </c>
      <c r="Q69" s="54">
        <f t="shared" si="6"/>
        <v>4.5312</v>
      </c>
      <c r="R69" s="54">
        <f t="shared" si="6"/>
        <v>1.8124800000000003</v>
      </c>
      <c r="S69" s="54">
        <f t="shared" si="6"/>
        <v>0.7249920000000003</v>
      </c>
      <c r="T69" s="54">
        <f t="shared" si="6"/>
        <v>0.28999680000000005</v>
      </c>
      <c r="U69" s="54">
        <f t="shared" si="6"/>
        <v>0.11599872000000007</v>
      </c>
      <c r="V69" s="54">
        <f t="shared" si="6"/>
        <v>0.04639948800000001</v>
      </c>
      <c r="W69" s="54">
        <f t="shared" si="6"/>
        <v>0.018559795200000007</v>
      </c>
      <c r="X69" s="54">
        <f t="shared" si="6"/>
        <v>0.007423918080000004</v>
      </c>
      <c r="Y69" s="54">
        <f t="shared" si="6"/>
        <v>0.002969567232000002</v>
      </c>
      <c r="Z69" s="54">
        <f t="shared" si="6"/>
        <v>0.0011878268928000005</v>
      </c>
    </row>
    <row r="71" spans="1:26" x14ac:dyDescent="0.2">
      <c r="A71" s="27" t="s">
        <v>162</v>
      </c>
    </row>
    <row r="72" spans="1:26" x14ac:dyDescent="0.2">
      <c r="A72" s="10" t="s">
        <v>139</v>
      </c>
      <c r="C72" s="61">
        <f>C$2-Assumptions!$B$144+1</f>
        <v>0.0</v>
      </c>
      <c r="D72" s="61">
        <f>D$2-Assumptions!$B$144+1</f>
        <v>1.0</v>
      </c>
      <c r="E72" s="61">
        <f>E$2-Assumptions!$B$144+1</f>
        <v>2.0</v>
      </c>
      <c r="F72" s="61">
        <f>F$2-Assumptions!$B$144+1</f>
        <v>3.0</v>
      </c>
      <c r="G72" s="61">
        <f>G$2-Assumptions!$B$144+1</f>
        <v>4.0</v>
      </c>
      <c r="H72" s="61">
        <f>H$2-Assumptions!$B$144+1</f>
        <v>5.0</v>
      </c>
      <c r="I72" s="61">
        <f>I$2-Assumptions!$B$144+1</f>
        <v>6.0</v>
      </c>
      <c r="J72" s="61">
        <f>J$2-Assumptions!$B$144+1</f>
        <v>7.0</v>
      </c>
      <c r="K72" s="61">
        <f>K$2-Assumptions!$B$144+1</f>
        <v>8.0</v>
      </c>
      <c r="L72" s="61">
        <f>L$2-Assumptions!$B$144+1</f>
        <v>9.0</v>
      </c>
      <c r="M72" s="61">
        <f>M$2-Assumptions!$B$144+1</f>
        <v>10.0</v>
      </c>
      <c r="N72" s="61">
        <f>N$2-Assumptions!$B$144+1</f>
        <v>11.0</v>
      </c>
      <c r="O72" s="61">
        <f>O$2-Assumptions!$B$144+1</f>
        <v>12.0</v>
      </c>
      <c r="P72" s="61">
        <f>P$2-Assumptions!$B$144+1</f>
        <v>13.0</v>
      </c>
      <c r="Q72" s="61">
        <f>Q$2-Assumptions!$B$144+1</f>
        <v>14.0</v>
      </c>
      <c r="R72" s="61">
        <f>R$2-Assumptions!$B$144+1</f>
        <v>15.0</v>
      </c>
      <c r="S72" s="61">
        <f>S$2-Assumptions!$B$144+1</f>
        <v>16.0</v>
      </c>
      <c r="T72" s="61">
        <f>T$2-Assumptions!$B$144+1</f>
        <v>17.0</v>
      </c>
      <c r="U72" s="61">
        <f>U$2-Assumptions!$B$144+1</f>
        <v>18.0</v>
      </c>
      <c r="V72" s="61">
        <f>V$2-Assumptions!$B$144+1</f>
        <v>19.0</v>
      </c>
      <c r="W72" s="61">
        <f>W$2-Assumptions!$B$144+1</f>
        <v>20.0</v>
      </c>
      <c r="X72" s="61">
        <f>X$2-Assumptions!$B$144+1</f>
        <v>21.0</v>
      </c>
      <c r="Y72" s="61">
        <f>Y$2-Assumptions!$B$144+1</f>
        <v>22.0</v>
      </c>
      <c r="Z72" s="61">
        <f>Z$2-Assumptions!$B$144+1</f>
        <v>23.0</v>
      </c>
    </row>
    <row r="73" spans="1:26" x14ac:dyDescent="0.2">
      <c r="A73" s="10" t="s">
        <v>161</v>
      </c>
      <c r="C73" s="50">
        <f>IF(C$2&gt;Assumptions!$B$153,0*(1-Assumptions!$B$154),IF(C72&gt;=1,Assumptions!$B$145*CHOOSE(Assumptions!$B$152,INDEX(Assumptions!$B$42:$H$42,MIN(C72,7)),INDEX(Assumptions!$B$43:$H$43,MIN(C72,7))),0))</f>
        <v>0</v>
      </c>
      <c r="D73" s="50">
        <f>IF(D$2&gt;Assumptions!$B$153,C73*(1-Assumptions!$B$154),IF(D72&gt;=1,Assumptions!$B$145*CHOOSE(Assumptions!$B$152,INDEX(Assumptions!$B$42:$H$42,MIN(D72,7)),INDEX(Assumptions!$B$43:$H$43,MIN(D72,7))),0))</f>
        <v>40.0</v>
      </c>
      <c r="E73" s="50">
        <f>IF(E$2&gt;Assumptions!$B$153,D73*(1-Assumptions!$B$154),IF(E72&gt;=1,Assumptions!$B$145*CHOOSE(Assumptions!$B$152,INDEX(Assumptions!$B$42:$H$42,MIN(E72,7)),INDEX(Assumptions!$B$43:$H$43,MIN(E72,7))),0))</f>
        <v>100.0</v>
      </c>
      <c r="F73" s="50">
        <f>IF(F$2&gt;Assumptions!$B$153,E73*(1-Assumptions!$B$154),IF(F72&gt;=1,Assumptions!$B$145*CHOOSE(Assumptions!$B$152,INDEX(Assumptions!$B$42:$H$42,MIN(F72,7)),INDEX(Assumptions!$B$43:$H$43,MIN(F72,7))),0))</f>
        <v>180.0</v>
      </c>
      <c r="G73" s="50">
        <f>IF(G$2&gt;Assumptions!$B$153,F73*(1-Assumptions!$B$154),IF(G72&gt;=1,Assumptions!$B$145*CHOOSE(Assumptions!$B$152,INDEX(Assumptions!$B$42:$H$42,MIN(G72,7)),INDEX(Assumptions!$B$43:$H$43,MIN(G72,7))),0))</f>
        <v>260.0</v>
      </c>
      <c r="H73" s="50">
        <f>IF(H$2&gt;Assumptions!$B$153,G73*(1-Assumptions!$B$154),IF(H72&gt;=1,Assumptions!$B$145*CHOOSE(Assumptions!$B$152,INDEX(Assumptions!$B$42:$H$42,MIN(H72,7)),INDEX(Assumptions!$B$43:$H$43,MIN(H72,7))),0))</f>
        <v>328.0</v>
      </c>
      <c r="I73" s="50">
        <f>IF(I$2&gt;Assumptions!$B$153,H73*(1-Assumptions!$B$154),IF(I72&gt;=1,Assumptions!$B$145*CHOOSE(Assumptions!$B$152,INDEX(Assumptions!$B$42:$H$42,MIN(I72,7)),INDEX(Assumptions!$B$43:$H$43,MIN(I72,7))),0))</f>
        <v>372.0</v>
      </c>
      <c r="J73" s="50">
        <f>IF(J$2&gt;Assumptions!$B$153,I73*(1-Assumptions!$B$154),IF(J72&gt;=1,Assumptions!$B$145*CHOOSE(Assumptions!$B$152,INDEX(Assumptions!$B$42:$H$42,MIN(J72,7)),INDEX(Assumptions!$B$43:$H$43,MIN(J72,7))),0))</f>
        <v>400.0</v>
      </c>
      <c r="K73" s="50">
        <f>IF(K$2&gt;Assumptions!$B$153,J73*(1-Assumptions!$B$154),IF(K72&gt;=1,Assumptions!$B$145*CHOOSE(Assumptions!$B$152,INDEX(Assumptions!$B$42:$H$42,MIN(K72,7)),INDEX(Assumptions!$B$43:$H$43,MIN(K72,7))),0))</f>
        <v>400.0</v>
      </c>
      <c r="L73" s="50">
        <f>IF(L$2&gt;Assumptions!$B$153,K73*(1-Assumptions!$B$154),IF(L72&gt;=1,Assumptions!$B$145*CHOOSE(Assumptions!$B$152,INDEX(Assumptions!$B$42:$H$42,MIN(L72,7)),INDEX(Assumptions!$B$43:$H$43,MIN(L72,7))),0))</f>
        <v>400.0</v>
      </c>
      <c r="M73" s="50">
        <f>IF(M$2&gt;Assumptions!$B$153,L73*(1-Assumptions!$B$154),IF(M72&gt;=1,Assumptions!$B$145*CHOOSE(Assumptions!$B$152,INDEX(Assumptions!$B$42:$H$42,MIN(M72,7)),INDEX(Assumptions!$B$43:$H$43,MIN(M72,7))),0))</f>
        <v>400.0</v>
      </c>
      <c r="N73" s="50">
        <f>IF(N$2&gt;Assumptions!$B$153,M73*(1-Assumptions!$B$154),IF(N72&gt;=1,Assumptions!$B$145*CHOOSE(Assumptions!$B$152,INDEX(Assumptions!$B$42:$H$42,MIN(N72,7)),INDEX(Assumptions!$B$43:$H$43,MIN(N72,7))),0))</f>
        <v>400.0</v>
      </c>
      <c r="O73" s="50">
        <f>IF(O$2&gt;Assumptions!$B$153,N73*(1-Assumptions!$B$154),IF(O72&gt;=1,Assumptions!$B$145*CHOOSE(Assumptions!$B$152,INDEX(Assumptions!$B$42:$H$42,MIN(O72,7)),INDEX(Assumptions!$B$43:$H$43,MIN(O72,7))),0))</f>
        <v>400.0</v>
      </c>
      <c r="P73" s="50">
        <f>IF(P$2&gt;Assumptions!$B$153,O73*(1-Assumptions!$B$154),IF(P72&gt;=1,Assumptions!$B$145*CHOOSE(Assumptions!$B$152,INDEX(Assumptions!$B$42:$H$42,MIN(P72,7)),INDEX(Assumptions!$B$43:$H$43,MIN(P72,7))),0))</f>
        <v>400.0</v>
      </c>
      <c r="Q73" s="50">
        <f>IF(Q$2&gt;Assumptions!$B$153,P73*(1-Assumptions!$B$154),IF(Q72&gt;=1,Assumptions!$B$145*CHOOSE(Assumptions!$B$152,INDEX(Assumptions!$B$42:$H$42,MIN(Q72,7)),INDEX(Assumptions!$B$43:$H$43,MIN(Q72,7))),0))</f>
        <v>160.0</v>
      </c>
      <c r="R73" s="50">
        <f>IF(R$2&gt;Assumptions!$B$153,Q73*(1-Assumptions!$B$154),IF(R72&gt;=1,Assumptions!$B$145*CHOOSE(Assumptions!$B$152,INDEX(Assumptions!$B$42:$H$42,MIN(R72,7)),INDEX(Assumptions!$B$43:$H$43,MIN(R72,7))),0))</f>
        <v>64.0</v>
      </c>
      <c r="S73" s="50">
        <f>IF(S$2&gt;Assumptions!$B$153,R73*(1-Assumptions!$B$154),IF(S72&gt;=1,Assumptions!$B$145*CHOOSE(Assumptions!$B$152,INDEX(Assumptions!$B$42:$H$42,MIN(S72,7)),INDEX(Assumptions!$B$43:$H$43,MIN(S72,7))),0))</f>
        <v>25.6</v>
      </c>
      <c r="T73" s="50">
        <f>IF(T$2&gt;Assumptions!$B$153,S73*(1-Assumptions!$B$154),IF(T72&gt;=1,Assumptions!$B$145*CHOOSE(Assumptions!$B$152,INDEX(Assumptions!$B$42:$H$42,MIN(T72,7)),INDEX(Assumptions!$B$43:$H$43,MIN(T72,7))),0))</f>
        <v>10.240000000000002</v>
      </c>
      <c r="U73" s="50">
        <f>IF(U$2&gt;Assumptions!$B$153,T73*(1-Assumptions!$B$154),IF(U72&gt;=1,Assumptions!$B$145*CHOOSE(Assumptions!$B$152,INDEX(Assumptions!$B$42:$H$42,MIN(U72,7)),INDEX(Assumptions!$B$43:$H$43,MIN(U72,7))),0))</f>
        <v>4.096000000000001</v>
      </c>
      <c r="V73" s="50">
        <f>IF(V$2&gt;Assumptions!$B$153,U73*(1-Assumptions!$B$154),IF(V72&gt;=1,Assumptions!$B$145*CHOOSE(Assumptions!$B$152,INDEX(Assumptions!$B$42:$H$42,MIN(V72,7)),INDEX(Assumptions!$B$43:$H$43,MIN(V72,7))),0))</f>
        <v>1.6384000000000005</v>
      </c>
      <c r="W73" s="50">
        <f>IF(W$2&gt;Assumptions!$B$153,V73*(1-Assumptions!$B$154),IF(W72&gt;=1,Assumptions!$B$145*CHOOSE(Assumptions!$B$152,INDEX(Assumptions!$B$42:$H$42,MIN(W72,7)),INDEX(Assumptions!$B$43:$H$43,MIN(W72,7))),0))</f>
        <v>0.6553600000000003</v>
      </c>
      <c r="X73" s="50">
        <f>IF(X$2&gt;Assumptions!$B$153,W73*(1-Assumptions!$B$154),IF(X72&gt;=1,Assumptions!$B$145*CHOOSE(Assumptions!$B$152,INDEX(Assumptions!$B$42:$H$42,MIN(X72,7)),INDEX(Assumptions!$B$43:$H$43,MIN(X72,7))),0))</f>
        <v>0.2621440000000001</v>
      </c>
      <c r="Y73" s="50">
        <f>IF(Y$2&gt;Assumptions!$B$153,X73*(1-Assumptions!$B$154),IF(Y72&gt;=1,Assumptions!$B$145*CHOOSE(Assumptions!$B$152,INDEX(Assumptions!$B$42:$H$42,MIN(Y72,7)),INDEX(Assumptions!$B$43:$H$43,MIN(Y72,7))),0))</f>
        <v>0.10485760000000005</v>
      </c>
      <c r="Z73" s="50">
        <f>IF(Z$2&gt;Assumptions!$B$153,Y73*(1-Assumptions!$B$154),IF(Z72&gt;=1,Assumptions!$B$145*CHOOSE(Assumptions!$B$152,INDEX(Assumptions!$B$42:$H$42,MIN(Z72,7)),INDEX(Assumptions!$B$43:$H$43,MIN(Z72,7))),0))</f>
        <v>0.04194304000000002</v>
      </c>
    </row>
    <row r="74" spans="1:26" x14ac:dyDescent="0.2">
      <c r="A74" s="10" t="s">
        <v>155</v>
      </c>
      <c r="C74" s="50">
        <f>C73*MIN(1,Assumptions!$B$146*Assumptions!$B$37)</f>
        <v>0.0</v>
      </c>
      <c r="D74" s="50">
        <f>D73*MIN(1,Assumptions!$B$146*Assumptions!$B$37)</f>
        <v>6.0</v>
      </c>
      <c r="E74" s="50">
        <f>E73*MIN(1,Assumptions!$B$146*Assumptions!$B$37)</f>
        <v>15.0</v>
      </c>
      <c r="F74" s="50">
        <f>F73*MIN(1,Assumptions!$B$146*Assumptions!$B$37)</f>
        <v>27.0</v>
      </c>
      <c r="G74" s="50">
        <f>G73*MIN(1,Assumptions!$B$146*Assumptions!$B$37)</f>
        <v>39.0</v>
      </c>
      <c r="H74" s="50">
        <f>H73*MIN(1,Assumptions!$B$146*Assumptions!$B$37)</f>
        <v>49.199999999999996</v>
      </c>
      <c r="I74" s="50">
        <f>I73*MIN(1,Assumptions!$B$146*Assumptions!$B$37)</f>
        <v>55.8</v>
      </c>
      <c r="J74" s="50">
        <f>J73*MIN(1,Assumptions!$B$146*Assumptions!$B$37)</f>
        <v>60.0</v>
      </c>
      <c r="K74" s="50">
        <f>K73*MIN(1,Assumptions!$B$146*Assumptions!$B$37)</f>
        <v>60.0</v>
      </c>
      <c r="L74" s="50">
        <f>L73*MIN(1,Assumptions!$B$146*Assumptions!$B$37)</f>
        <v>60.0</v>
      </c>
      <c r="M74" s="50">
        <f>M73*MIN(1,Assumptions!$B$146*Assumptions!$B$37)</f>
        <v>60.0</v>
      </c>
      <c r="N74" s="50">
        <f>N73*MIN(1,Assumptions!$B$146*Assumptions!$B$37)</f>
        <v>60.0</v>
      </c>
      <c r="O74" s="50">
        <f>O73*MIN(1,Assumptions!$B$146*Assumptions!$B$37)</f>
        <v>60.0</v>
      </c>
      <c r="P74" s="50">
        <f>P73*MIN(1,Assumptions!$B$146*Assumptions!$B$37)</f>
        <v>60.0</v>
      </c>
      <c r="Q74" s="50">
        <f>Q73*MIN(1,Assumptions!$B$146*Assumptions!$B$37)</f>
        <v>24.0</v>
      </c>
      <c r="R74" s="50">
        <f>R73*MIN(1,Assumptions!$B$146*Assumptions!$B$37)</f>
        <v>9.6</v>
      </c>
      <c r="S74" s="50">
        <f>S73*MIN(1,Assumptions!$B$146*Assumptions!$B$37)</f>
        <v>3.84</v>
      </c>
      <c r="T74" s="50">
        <f>T73*MIN(1,Assumptions!$B$146*Assumptions!$B$37)</f>
        <v>1.5360000000000003</v>
      </c>
      <c r="U74" s="50">
        <f>U73*MIN(1,Assumptions!$B$146*Assumptions!$B$37)</f>
        <v>0.6144000000000002</v>
      </c>
      <c r="V74" s="50">
        <f>V73*MIN(1,Assumptions!$B$146*Assumptions!$B$37)</f>
        <v>0.24576000000000006</v>
      </c>
      <c r="W74" s="50">
        <f>W73*MIN(1,Assumptions!$B$146*Assumptions!$B$37)</f>
        <v>0.09830400000000004</v>
      </c>
      <c r="X74" s="50">
        <f>X73*MIN(1,Assumptions!$B$146*Assumptions!$B$37)</f>
        <v>0.03932160000000001</v>
      </c>
      <c r="Y74" s="50">
        <f>Y73*MIN(1,Assumptions!$B$146*Assumptions!$B$37)</f>
        <v>0.015728640000000006</v>
      </c>
      <c r="Z74" s="50">
        <f>Z73*MIN(1,Assumptions!$B$146*Assumptions!$B$37)</f>
        <v>0.006291456000000003</v>
      </c>
    </row>
    <row r="75" spans="1:26" x14ac:dyDescent="0.2">
      <c r="A75" s="10" t="s">
        <v>156</v>
      </c>
      <c r="C75" s="50">
        <f>C74*Assumptions!$B$147</f>
        <v>0.0</v>
      </c>
      <c r="D75" s="50">
        <f>D74*Assumptions!$B$147</f>
        <v>6.0</v>
      </c>
      <c r="E75" s="50">
        <f>E74*Assumptions!$B$147</f>
        <v>15.0</v>
      </c>
      <c r="F75" s="50">
        <f>F74*Assumptions!$B$147</f>
        <v>27.0</v>
      </c>
      <c r="G75" s="50">
        <f>G74*Assumptions!$B$147</f>
        <v>39.0</v>
      </c>
      <c r="H75" s="50">
        <f>H74*Assumptions!$B$147</f>
        <v>49.199999999999996</v>
      </c>
      <c r="I75" s="50">
        <f>I74*Assumptions!$B$147</f>
        <v>55.8</v>
      </c>
      <c r="J75" s="50">
        <f>J74*Assumptions!$B$147</f>
        <v>60.0</v>
      </c>
      <c r="K75" s="50">
        <f>K74*Assumptions!$B$147</f>
        <v>60.0</v>
      </c>
      <c r="L75" s="50">
        <f>L74*Assumptions!$B$147</f>
        <v>60.0</v>
      </c>
      <c r="M75" s="50">
        <f>M74*Assumptions!$B$147</f>
        <v>60.0</v>
      </c>
      <c r="N75" s="50">
        <f>N74*Assumptions!$B$147</f>
        <v>60.0</v>
      </c>
      <c r="O75" s="50">
        <f>O74*Assumptions!$B$147</f>
        <v>60.0</v>
      </c>
      <c r="P75" s="50">
        <f>P74*Assumptions!$B$147</f>
        <v>60.0</v>
      </c>
      <c r="Q75" s="50">
        <f>Q74*Assumptions!$B$147</f>
        <v>24.0</v>
      </c>
      <c r="R75" s="50">
        <f>R74*Assumptions!$B$147</f>
        <v>9.6</v>
      </c>
      <c r="S75" s="50">
        <f>S74*Assumptions!$B$147</f>
        <v>3.84</v>
      </c>
      <c r="T75" s="50">
        <f>T74*Assumptions!$B$147</f>
        <v>1.5360000000000003</v>
      </c>
      <c r="U75" s="50">
        <f>U74*Assumptions!$B$147</f>
        <v>0.6144000000000002</v>
      </c>
      <c r="V75" s="50">
        <f>V74*Assumptions!$B$147</f>
        <v>0.24576000000000006</v>
      </c>
      <c r="W75" s="50">
        <f>W74*Assumptions!$B$147</f>
        <v>0.09830400000000004</v>
      </c>
      <c r="X75" s="50">
        <f>X74*Assumptions!$B$147</f>
        <v>0.03932160000000001</v>
      </c>
      <c r="Y75" s="50">
        <f>Y74*Assumptions!$B$147</f>
        <v>0.015728640000000006</v>
      </c>
      <c r="Z75" s="50">
        <f>Z74*Assumptions!$B$147</f>
        <v>0.006291456000000003</v>
      </c>
    </row>
    <row r="76" spans="1:26" x14ac:dyDescent="0.2">
      <c r="A76" s="10" t="s">
        <v>157</v>
      </c>
      <c r="C76" s="50">
        <f>C74*(Assumptions!$B$148+Assumptions!$B$149)</f>
        <v>0.0</v>
      </c>
      <c r="D76" s="50">
        <f>D74*(Assumptions!$B$148+Assumptions!$B$149)</f>
        <v>0.6000000000000001</v>
      </c>
      <c r="E76" s="50">
        <f>E74*(Assumptions!$B$148+Assumptions!$B$149)</f>
        <v>1.5</v>
      </c>
      <c r="F76" s="50">
        <f>F74*(Assumptions!$B$148+Assumptions!$B$149)</f>
        <v>2.7</v>
      </c>
      <c r="G76" s="50">
        <f>G74*(Assumptions!$B$148+Assumptions!$B$149)</f>
        <v>3.9000000000000004</v>
      </c>
      <c r="H76" s="50">
        <f>H74*(Assumptions!$B$148+Assumptions!$B$149)</f>
        <v>4.92</v>
      </c>
      <c r="I76" s="50">
        <f>I74*(Assumptions!$B$148+Assumptions!$B$149)</f>
        <v>5.58</v>
      </c>
      <c r="J76" s="50">
        <f>J74*(Assumptions!$B$148+Assumptions!$B$149)</f>
        <v>6.0</v>
      </c>
      <c r="K76" s="50">
        <f>K74*(Assumptions!$B$148+Assumptions!$B$149)</f>
        <v>6.0</v>
      </c>
      <c r="L76" s="50">
        <f>L74*(Assumptions!$B$148+Assumptions!$B$149)</f>
        <v>6.0</v>
      </c>
      <c r="M76" s="50">
        <f>M74*(Assumptions!$B$148+Assumptions!$B$149)</f>
        <v>6.0</v>
      </c>
      <c r="N76" s="50">
        <f>N74*(Assumptions!$B$148+Assumptions!$B$149)</f>
        <v>6.0</v>
      </c>
      <c r="O76" s="50">
        <f>O74*(Assumptions!$B$148+Assumptions!$B$149)</f>
        <v>6.0</v>
      </c>
      <c r="P76" s="50">
        <f>P74*(Assumptions!$B$148+Assumptions!$B$149)</f>
        <v>6.0</v>
      </c>
      <c r="Q76" s="50">
        <f>Q74*(Assumptions!$B$148+Assumptions!$B$149)</f>
        <v>2.4000000000000004</v>
      </c>
      <c r="R76" s="50">
        <f>R74*(Assumptions!$B$148+Assumptions!$B$149)</f>
        <v>0.96</v>
      </c>
      <c r="S76" s="50">
        <f>S74*(Assumptions!$B$148+Assumptions!$B$149)</f>
        <v>0.384</v>
      </c>
      <c r="T76" s="50">
        <f>T74*(Assumptions!$B$148+Assumptions!$B$149)</f>
        <v>0.15360000000000004</v>
      </c>
      <c r="U76" s="50">
        <f>U74*(Assumptions!$B$148+Assumptions!$B$149)</f>
        <v>0.06144000000000002</v>
      </c>
      <c r="V76" s="50">
        <f>V74*(Assumptions!$B$148+Assumptions!$B$149)</f>
        <v>0.024576000000000008</v>
      </c>
      <c r="W76" s="50">
        <f>W74*(Assumptions!$B$148+Assumptions!$B$149)</f>
        <v>0.009830400000000005</v>
      </c>
      <c r="X76" s="50">
        <f>X74*(Assumptions!$B$148+Assumptions!$B$149)</f>
        <v>0.003932160000000001</v>
      </c>
      <c r="Y76" s="50">
        <f>Y74*(Assumptions!$B$148+Assumptions!$B$149)</f>
        <v>0.0015728640000000006</v>
      </c>
      <c r="Z76" s="50">
        <f>Z74*(Assumptions!$B$148+Assumptions!$B$149)</f>
        <v>0.0006291456000000004</v>
      </c>
    </row>
    <row r="77" spans="1:26" x14ac:dyDescent="0.2">
      <c r="A77" s="10" t="s">
        <v>158</v>
      </c>
      <c r="C77" s="50">
        <f>MIN(1,Assumptions!$B$146*Assumptions!$B$37)*IF(Assumptions!$B$150=0,0,IF(C72=0,Assumptions!$B$151,IF(C72&gt;=1,C73*IF(OR(Assumptions!$B$147&lt;1,C72&gt;5),Assumptions!$B$150,MAX(Assumptions!$B$150,INDEX(Assumptions!$B$44:$F$44,C72))),0)))</f>
        <v>3.75</v>
      </c>
      <c r="D77" s="50">
        <f>MIN(1,Assumptions!$B$146*Assumptions!$B$37)*IF(Assumptions!$B$150=0,0,IF(D72=0,Assumptions!$B$151,IF(D72&gt;=1,D73*IF(OR(Assumptions!$B$147&lt;1,D72&gt;5),Assumptions!$B$150,MAX(Assumptions!$B$150,INDEX(Assumptions!$B$44:$F$44,D72))),0)))</f>
        <v>5.3999999999999995</v>
      </c>
      <c r="E77" s="50">
        <f>MIN(1,Assumptions!$B$146*Assumptions!$B$37)*IF(Assumptions!$B$150=0,0,IF(E72=0,Assumptions!$B$151,IF(E72&gt;=1,E73*IF(OR(Assumptions!$B$147&lt;1,E72&gt;5),Assumptions!$B$150,MAX(Assumptions!$B$150,INDEX(Assumptions!$B$44:$F$44,E72))),0)))</f>
        <v>8.25</v>
      </c>
      <c r="F77" s="50">
        <f>MIN(1,Assumptions!$B$146*Assumptions!$B$37)*IF(Assumptions!$B$150=0,0,IF(F72=0,Assumptions!$B$151,IF(F72&gt;=1,F73*IF(OR(Assumptions!$B$147&lt;1,F72&gt;5),Assumptions!$B$150,MAX(Assumptions!$B$150,INDEX(Assumptions!$B$44:$F$44,F72))),0)))</f>
        <v>10.799999999999999</v>
      </c>
      <c r="G77" s="50">
        <f>MIN(1,Assumptions!$B$146*Assumptions!$B$37)*IF(Assumptions!$B$150=0,0,IF(G72=0,Assumptions!$B$151,IF(G72&gt;=1,G73*IF(OR(Assumptions!$B$147&lt;1,G72&gt;5),Assumptions!$B$150,MAX(Assumptions!$B$150,INDEX(Assumptions!$B$44:$F$44,G72))),0)))</f>
        <v>13.65</v>
      </c>
      <c r="H77" s="50">
        <f>MIN(1,Assumptions!$B$146*Assumptions!$B$37)*IF(Assumptions!$B$150=0,0,IF(H72=0,Assumptions!$B$151,IF(H72&gt;=1,H73*IF(OR(Assumptions!$B$147&lt;1,H72&gt;5),Assumptions!$B$150,MAX(Assumptions!$B$150,INDEX(Assumptions!$B$44:$F$44,H72))),0)))</f>
        <v>17.22</v>
      </c>
      <c r="I77" s="50">
        <f>MIN(1,Assumptions!$B$146*Assumptions!$B$37)*IF(Assumptions!$B$150=0,0,IF(I72=0,Assumptions!$B$151,IF(I72&gt;=1,I73*IF(OR(Assumptions!$B$147&lt;1,I72&gt;5),Assumptions!$B$150,MAX(Assumptions!$B$150,INDEX(Assumptions!$B$44:$F$44,I72))),0)))</f>
        <v>19.529999999999998</v>
      </c>
      <c r="J77" s="50">
        <f>MIN(1,Assumptions!$B$146*Assumptions!$B$37)*IF(Assumptions!$B$150=0,0,IF(J72=0,Assumptions!$B$151,IF(J72&gt;=1,J73*IF(OR(Assumptions!$B$147&lt;1,J72&gt;5),Assumptions!$B$150,MAX(Assumptions!$B$150,INDEX(Assumptions!$B$44:$F$44,J72))),0)))</f>
        <v>21.0</v>
      </c>
      <c r="K77" s="50">
        <f>MIN(1,Assumptions!$B$146*Assumptions!$B$37)*IF(Assumptions!$B$150=0,0,IF(K72=0,Assumptions!$B$151,IF(K72&gt;=1,K73*IF(OR(Assumptions!$B$147&lt;1,K72&gt;5),Assumptions!$B$150,MAX(Assumptions!$B$150,INDEX(Assumptions!$B$44:$F$44,K72))),0)))</f>
        <v>21.0</v>
      </c>
      <c r="L77" s="50">
        <f>MIN(1,Assumptions!$B$146*Assumptions!$B$37)*IF(Assumptions!$B$150=0,0,IF(L72=0,Assumptions!$B$151,IF(L72&gt;=1,L73*IF(OR(Assumptions!$B$147&lt;1,L72&gt;5),Assumptions!$B$150,MAX(Assumptions!$B$150,INDEX(Assumptions!$B$44:$F$44,L72))),0)))</f>
        <v>21.0</v>
      </c>
      <c r="M77" s="50">
        <f>MIN(1,Assumptions!$B$146*Assumptions!$B$37)*IF(Assumptions!$B$150=0,0,IF(M72=0,Assumptions!$B$151,IF(M72&gt;=1,M73*IF(OR(Assumptions!$B$147&lt;1,M72&gt;5),Assumptions!$B$150,MAX(Assumptions!$B$150,INDEX(Assumptions!$B$44:$F$44,M72))),0)))</f>
        <v>21.0</v>
      </c>
      <c r="N77" s="50">
        <f>MIN(1,Assumptions!$B$146*Assumptions!$B$37)*IF(Assumptions!$B$150=0,0,IF(N72=0,Assumptions!$B$151,IF(N72&gt;=1,N73*IF(OR(Assumptions!$B$147&lt;1,N72&gt;5),Assumptions!$B$150,MAX(Assumptions!$B$150,INDEX(Assumptions!$B$44:$F$44,N72))),0)))</f>
        <v>21.0</v>
      </c>
      <c r="O77" s="50">
        <f>MIN(1,Assumptions!$B$146*Assumptions!$B$37)*IF(Assumptions!$B$150=0,0,IF(O72=0,Assumptions!$B$151,IF(O72&gt;=1,O73*IF(OR(Assumptions!$B$147&lt;1,O72&gt;5),Assumptions!$B$150,MAX(Assumptions!$B$150,INDEX(Assumptions!$B$44:$F$44,O72))),0)))</f>
        <v>21.0</v>
      </c>
      <c r="P77" s="50">
        <f>MIN(1,Assumptions!$B$146*Assumptions!$B$37)*IF(Assumptions!$B$150=0,0,IF(P72=0,Assumptions!$B$151,IF(P72&gt;=1,P73*IF(OR(Assumptions!$B$147&lt;1,P72&gt;5),Assumptions!$B$150,MAX(Assumptions!$B$150,INDEX(Assumptions!$B$44:$F$44,P72))),0)))</f>
        <v>21.0</v>
      </c>
      <c r="Q77" s="50">
        <f>MIN(1,Assumptions!$B$146*Assumptions!$B$37)*IF(Assumptions!$B$150=0,0,IF(Q72=0,Assumptions!$B$151,IF(Q72&gt;=1,Q73*IF(OR(Assumptions!$B$147&lt;1,Q72&gt;5),Assumptions!$B$150,MAX(Assumptions!$B$150,INDEX(Assumptions!$B$44:$F$44,Q72))),0)))</f>
        <v>8.4</v>
      </c>
      <c r="R77" s="50">
        <f>MIN(1,Assumptions!$B$146*Assumptions!$B$37)*IF(Assumptions!$B$150=0,0,IF(R72=0,Assumptions!$B$151,IF(R72&gt;=1,R73*IF(OR(Assumptions!$B$147&lt;1,R72&gt;5),Assumptions!$B$150,MAX(Assumptions!$B$150,INDEX(Assumptions!$B$44:$F$44,R72))),0)))</f>
        <v>3.36</v>
      </c>
      <c r="S77" s="50">
        <f>MIN(1,Assumptions!$B$146*Assumptions!$B$37)*IF(Assumptions!$B$150=0,0,IF(S72=0,Assumptions!$B$151,IF(S72&gt;=1,S73*IF(OR(Assumptions!$B$147&lt;1,S72&gt;5),Assumptions!$B$150,MAX(Assumptions!$B$150,INDEX(Assumptions!$B$44:$F$44,S72))),0)))</f>
        <v>1.3439999999999999</v>
      </c>
      <c r="T77" s="50">
        <f>MIN(1,Assumptions!$B$146*Assumptions!$B$37)*IF(Assumptions!$B$150=0,0,IF(T72=0,Assumptions!$B$151,IF(T72&gt;=1,T73*IF(OR(Assumptions!$B$147&lt;1,T72&gt;5),Assumptions!$B$150,MAX(Assumptions!$B$150,INDEX(Assumptions!$B$44:$F$44,T72))),0)))</f>
        <v>0.5376000000000001</v>
      </c>
      <c r="U77" s="50">
        <f>MIN(1,Assumptions!$B$146*Assumptions!$B$37)*IF(Assumptions!$B$150=0,0,IF(U72=0,Assumptions!$B$151,IF(U72&gt;=1,U73*IF(OR(Assumptions!$B$147&lt;1,U72&gt;5),Assumptions!$B$150,MAX(Assumptions!$B$150,INDEX(Assumptions!$B$44:$F$44,U72))),0)))</f>
        <v>0.21504000000000004</v>
      </c>
      <c r="V77" s="50">
        <f>MIN(1,Assumptions!$B$146*Assumptions!$B$37)*IF(Assumptions!$B$150=0,0,IF(V72=0,Assumptions!$B$151,IF(V72&gt;=1,V73*IF(OR(Assumptions!$B$147&lt;1,V72&gt;5),Assumptions!$B$150,MAX(Assumptions!$B$150,INDEX(Assumptions!$B$44:$F$44,V72))),0)))</f>
        <v>0.08601600000000002</v>
      </c>
      <c r="W77" s="50">
        <f>MIN(1,Assumptions!$B$146*Assumptions!$B$37)*IF(Assumptions!$B$150=0,0,IF(W72=0,Assumptions!$B$151,IF(W72&gt;=1,W73*IF(OR(Assumptions!$B$147&lt;1,W72&gt;5),Assumptions!$B$150,MAX(Assumptions!$B$150,INDEX(Assumptions!$B$44:$F$44,W72))),0)))</f>
        <v>0.03440640000000001</v>
      </c>
      <c r="X77" s="50">
        <f>MIN(1,Assumptions!$B$146*Assumptions!$B$37)*IF(Assumptions!$B$150=0,0,IF(X72=0,Assumptions!$B$151,IF(X72&gt;=1,X73*IF(OR(Assumptions!$B$147&lt;1,X72&gt;5),Assumptions!$B$150,MAX(Assumptions!$B$150,INDEX(Assumptions!$B$44:$F$44,X72))),0)))</f>
        <v>0.013762560000000004</v>
      </c>
      <c r="Y77" s="50">
        <f>MIN(1,Assumptions!$B$146*Assumptions!$B$37)*IF(Assumptions!$B$150=0,0,IF(Y72=0,Assumptions!$B$151,IF(Y72&gt;=1,Y73*IF(OR(Assumptions!$B$147&lt;1,Y72&gt;5),Assumptions!$B$150,MAX(Assumptions!$B$150,INDEX(Assumptions!$B$44:$F$44,Y72))),0)))</f>
        <v>0.0055050240000000025</v>
      </c>
      <c r="Z77" s="50">
        <f>MIN(1,Assumptions!$B$146*Assumptions!$B$37)*IF(Assumptions!$B$150=0,0,IF(Z72=0,Assumptions!$B$151,IF(Z72&gt;=1,Z73*IF(OR(Assumptions!$B$147&lt;1,Z72&gt;5),Assumptions!$B$150,MAX(Assumptions!$B$150,INDEX(Assumptions!$B$44:$F$44,Z72))),0)))</f>
        <v>0.002202009600000001</v>
      </c>
    </row>
    <row r="78" spans="1:26" x14ac:dyDescent="0.2">
      <c r="A78" s="10" t="s">
        <v>159</v>
      </c>
      <c r="C78" s="50">
        <f>IFERROR(INDEX(Assumptions!$B$156:$I$156,MATCH(C$2,Assumptions!$B$155:$I$155,0))*INDEX(Assumptions!$B$157:$I$157,MATCH(C$2,Assumptions!$B$155:$I$155,0)),0)</f>
        <v>15.0</v>
      </c>
      <c r="D78" s="50">
        <f>IFERROR(INDEX(Assumptions!$B$156:$I$156,MATCH(D$2,Assumptions!$B$155:$I$155,0))*INDEX(Assumptions!$B$157:$I$157,MATCH(D$2,Assumptions!$B$155:$I$155,0)),0)</f>
        <v>0.0</v>
      </c>
      <c r="E78" s="50">
        <f>IFERROR(INDEX(Assumptions!$B$156:$I$156,MATCH(E$2,Assumptions!$B$155:$I$155,0))*INDEX(Assumptions!$B$157:$I$157,MATCH(E$2,Assumptions!$B$155:$I$155,0)),0)</f>
        <v>0.0</v>
      </c>
      <c r="F78" s="50">
        <f>IFERROR(INDEX(Assumptions!$B$156:$I$156,MATCH(F$2,Assumptions!$B$155:$I$155,0))*INDEX(Assumptions!$B$157:$I$157,MATCH(F$2,Assumptions!$B$155:$I$155,0)),0)</f>
        <v>0.0</v>
      </c>
      <c r="G78" s="50">
        <f>IFERROR(INDEX(Assumptions!$B$156:$I$156,MATCH(G$2,Assumptions!$B$155:$I$155,0))*INDEX(Assumptions!$B$157:$I$157,MATCH(G$2,Assumptions!$B$155:$I$155,0)),0)</f>
        <v>0.0</v>
      </c>
      <c r="H78" s="50">
        <f>IFERROR(INDEX(Assumptions!$B$156:$I$156,MATCH(H$2,Assumptions!$B$155:$I$155,0))*INDEX(Assumptions!$B$157:$I$157,MATCH(H$2,Assumptions!$B$155:$I$155,0)),0)</f>
        <v>0.0</v>
      </c>
      <c r="I78" s="50">
        <f>IFERROR(INDEX(Assumptions!$B$156:$I$156,MATCH(I$2,Assumptions!$B$155:$I$155,0))*INDEX(Assumptions!$B$157:$I$157,MATCH(I$2,Assumptions!$B$155:$I$155,0)),0)</f>
        <v>0.0</v>
      </c>
      <c r="J78" s="50">
        <f>IFERROR(INDEX(Assumptions!$B$156:$I$156,MATCH(J$2,Assumptions!$B$155:$I$155,0))*INDEX(Assumptions!$B$157:$I$157,MATCH(J$2,Assumptions!$B$155:$I$155,0)),0)</f>
        <v>0.0</v>
      </c>
      <c r="K78" s="50">
        <f>IFERROR(INDEX(Assumptions!$B$156:$I$156,MATCH(K$2,Assumptions!$B$155:$I$155,0))*INDEX(Assumptions!$B$157:$I$157,MATCH(K$2,Assumptions!$B$155:$I$155,0)),0)</f>
        <v>0</v>
      </c>
      <c r="L78" s="50">
        <f>IFERROR(INDEX(Assumptions!$B$156:$I$156,MATCH(L$2,Assumptions!$B$155:$I$155,0))*INDEX(Assumptions!$B$157:$I$157,MATCH(L$2,Assumptions!$B$155:$I$155,0)),0)</f>
        <v>0</v>
      </c>
      <c r="M78" s="50">
        <f>IFERROR(INDEX(Assumptions!$B$156:$I$156,MATCH(M$2,Assumptions!$B$155:$I$155,0))*INDEX(Assumptions!$B$157:$I$157,MATCH(M$2,Assumptions!$B$155:$I$155,0)),0)</f>
        <v>0</v>
      </c>
      <c r="N78" s="50">
        <f>IFERROR(INDEX(Assumptions!$B$156:$I$156,MATCH(N$2,Assumptions!$B$155:$I$155,0))*INDEX(Assumptions!$B$157:$I$157,MATCH(N$2,Assumptions!$B$155:$I$155,0)),0)</f>
        <v>0</v>
      </c>
      <c r="O78" s="50">
        <f>IFERROR(INDEX(Assumptions!$B$156:$I$156,MATCH(O$2,Assumptions!$B$155:$I$155,0))*INDEX(Assumptions!$B$157:$I$157,MATCH(O$2,Assumptions!$B$155:$I$155,0)),0)</f>
        <v>0</v>
      </c>
      <c r="P78" s="50">
        <f>IFERROR(INDEX(Assumptions!$B$156:$I$156,MATCH(P$2,Assumptions!$B$155:$I$155,0))*INDEX(Assumptions!$B$157:$I$157,MATCH(P$2,Assumptions!$B$155:$I$155,0)),0)</f>
        <v>0</v>
      </c>
      <c r="Q78" s="50">
        <f>IFERROR(INDEX(Assumptions!$B$156:$I$156,MATCH(Q$2,Assumptions!$B$155:$I$155,0))*INDEX(Assumptions!$B$157:$I$157,MATCH(Q$2,Assumptions!$B$155:$I$155,0)),0)</f>
        <v>0</v>
      </c>
      <c r="R78" s="50">
        <f>IFERROR(INDEX(Assumptions!$B$156:$I$156,MATCH(R$2,Assumptions!$B$155:$I$155,0))*INDEX(Assumptions!$B$157:$I$157,MATCH(R$2,Assumptions!$B$155:$I$155,0)),0)</f>
        <v>0</v>
      </c>
      <c r="S78" s="50">
        <f>IFERROR(INDEX(Assumptions!$B$156:$I$156,MATCH(S$2,Assumptions!$B$155:$I$155,0))*INDEX(Assumptions!$B$157:$I$157,MATCH(S$2,Assumptions!$B$155:$I$155,0)),0)</f>
        <v>0</v>
      </c>
      <c r="T78" s="50">
        <f>IFERROR(INDEX(Assumptions!$B$156:$I$156,MATCH(T$2,Assumptions!$B$155:$I$155,0))*INDEX(Assumptions!$B$157:$I$157,MATCH(T$2,Assumptions!$B$155:$I$155,0)),0)</f>
        <v>0</v>
      </c>
      <c r="U78" s="50">
        <f>IFERROR(INDEX(Assumptions!$B$156:$I$156,MATCH(U$2,Assumptions!$B$155:$I$155,0))*INDEX(Assumptions!$B$157:$I$157,MATCH(U$2,Assumptions!$B$155:$I$155,0)),0)</f>
        <v>0</v>
      </c>
      <c r="V78" s="50">
        <f>IFERROR(INDEX(Assumptions!$B$156:$I$156,MATCH(V$2,Assumptions!$B$155:$I$155,0))*INDEX(Assumptions!$B$157:$I$157,MATCH(V$2,Assumptions!$B$155:$I$155,0)),0)</f>
        <v>0</v>
      </c>
      <c r="W78" s="50">
        <f>IFERROR(INDEX(Assumptions!$B$156:$I$156,MATCH(W$2,Assumptions!$B$155:$I$155,0))*INDEX(Assumptions!$B$157:$I$157,MATCH(W$2,Assumptions!$B$155:$I$155,0)),0)</f>
        <v>0</v>
      </c>
      <c r="X78" s="50">
        <f>IFERROR(INDEX(Assumptions!$B$156:$I$156,MATCH(X$2,Assumptions!$B$155:$I$155,0))*INDEX(Assumptions!$B$157:$I$157,MATCH(X$2,Assumptions!$B$155:$I$155,0)),0)</f>
        <v>0</v>
      </c>
      <c r="Y78" s="50">
        <f>IFERROR(INDEX(Assumptions!$B$156:$I$156,MATCH(Y$2,Assumptions!$B$155:$I$155,0))*INDEX(Assumptions!$B$157:$I$157,MATCH(Y$2,Assumptions!$B$155:$I$155,0)),0)</f>
        <v>0</v>
      </c>
      <c r="Z78" s="50">
        <f>IFERROR(INDEX(Assumptions!$B$156:$I$156,MATCH(Z$2,Assumptions!$B$155:$I$155,0))*INDEX(Assumptions!$B$157:$I$157,MATCH(Z$2,Assumptions!$B$155:$I$155,0)),0)</f>
        <v>0</v>
      </c>
    </row>
    <row r="79" spans="1:26" x14ac:dyDescent="0.2">
      <c r="A79" s="20" t="s">
        <v>145</v>
      </c>
      <c r="C79" s="54">
        <f t="shared" ref="C79:Z79" si="7">C75-C76-C77-C78</f>
        <v>-18.75</v>
      </c>
      <c r="D79" s="54">
        <f t="shared" si="7"/>
        <v>8.881784197001252e-16</v>
      </c>
      <c r="E79" s="54">
        <f t="shared" si="7"/>
        <v>5.25</v>
      </c>
      <c r="F79" s="54">
        <f t="shared" si="7"/>
        <v>13.500000000000002</v>
      </c>
      <c r="G79" s="54">
        <f t="shared" si="7"/>
        <v>21.450000000000003</v>
      </c>
      <c r="H79" s="54">
        <f t="shared" si="7"/>
        <v>27.059999999999995</v>
      </c>
      <c r="I79" s="54">
        <f t="shared" si="7"/>
        <v>30.69</v>
      </c>
      <c r="J79" s="54">
        <f t="shared" si="7"/>
        <v>33.0</v>
      </c>
      <c r="K79" s="54">
        <f t="shared" si="7"/>
        <v>33.0</v>
      </c>
      <c r="L79" s="54">
        <f t="shared" si="7"/>
        <v>33.0</v>
      </c>
      <c r="M79" s="54">
        <f t="shared" si="7"/>
        <v>33.0</v>
      </c>
      <c r="N79" s="54">
        <f t="shared" si="7"/>
        <v>33.0</v>
      </c>
      <c r="O79" s="54">
        <f t="shared" si="7"/>
        <v>33.0</v>
      </c>
      <c r="P79" s="54">
        <f t="shared" si="7"/>
        <v>33.0</v>
      </c>
      <c r="Q79" s="54">
        <f t="shared" si="7"/>
        <v>13.200000000000001</v>
      </c>
      <c r="R79" s="54">
        <f t="shared" si="7"/>
        <v>5.280000000000001</v>
      </c>
      <c r="S79" s="54">
        <f t="shared" si="7"/>
        <v>2.112</v>
      </c>
      <c r="T79" s="54">
        <f t="shared" si="7"/>
        <v>0.8448000000000002</v>
      </c>
      <c r="U79" s="54">
        <f t="shared" si="7"/>
        <v>0.3379200000000001</v>
      </c>
      <c r="V79" s="54">
        <f t="shared" si="7"/>
        <v>0.135168</v>
      </c>
      <c r="W79" s="54">
        <f t="shared" si="7"/>
        <v>0.05406720000000003</v>
      </c>
      <c r="X79" s="54">
        <f t="shared" si="7"/>
        <v>0.021626880000000005</v>
      </c>
      <c r="Y79" s="54">
        <f t="shared" si="7"/>
        <v>0.008650752000000003</v>
      </c>
      <c r="Z79" s="54">
        <f t="shared" si="7"/>
        <v>0.003460300800000002</v>
      </c>
    </row>
    <row r="81" spans="1:26" x14ac:dyDescent="0.2">
      <c r="A81" s="27" t="s">
        <v>163</v>
      </c>
    </row>
    <row r="82" spans="1:26" x14ac:dyDescent="0.2">
      <c r="A82" s="10" t="s">
        <v>139</v>
      </c>
      <c r="C82" s="61">
        <f>C$2-Assumptions!$B$160+1</f>
        <v>0.0</v>
      </c>
      <c r="D82" s="61">
        <f>D$2-Assumptions!$B$160+1</f>
        <v>1.0</v>
      </c>
      <c r="E82" s="61">
        <f>E$2-Assumptions!$B$160+1</f>
        <v>2.0</v>
      </c>
      <c r="F82" s="61">
        <f>F$2-Assumptions!$B$160+1</f>
        <v>3.0</v>
      </c>
      <c r="G82" s="61">
        <f>G$2-Assumptions!$B$160+1</f>
        <v>4.0</v>
      </c>
      <c r="H82" s="61">
        <f>H$2-Assumptions!$B$160+1</f>
        <v>5.0</v>
      </c>
      <c r="I82" s="61">
        <f>I$2-Assumptions!$B$160+1</f>
        <v>6.0</v>
      </c>
      <c r="J82" s="61">
        <f>J$2-Assumptions!$B$160+1</f>
        <v>7.0</v>
      </c>
      <c r="K82" s="61">
        <f>K$2-Assumptions!$B$160+1</f>
        <v>8.0</v>
      </c>
      <c r="L82" s="61">
        <f>L$2-Assumptions!$B$160+1</f>
        <v>9.0</v>
      </c>
      <c r="M82" s="61">
        <f>M$2-Assumptions!$B$160+1</f>
        <v>10.0</v>
      </c>
      <c r="N82" s="61">
        <f>N$2-Assumptions!$B$160+1</f>
        <v>11.0</v>
      </c>
      <c r="O82" s="61">
        <f>O$2-Assumptions!$B$160+1</f>
        <v>12.0</v>
      </c>
      <c r="P82" s="61">
        <f>P$2-Assumptions!$B$160+1</f>
        <v>13.0</v>
      </c>
      <c r="Q82" s="61">
        <f>Q$2-Assumptions!$B$160+1</f>
        <v>14.0</v>
      </c>
      <c r="R82" s="61">
        <f>R$2-Assumptions!$B$160+1</f>
        <v>15.0</v>
      </c>
      <c r="S82" s="61">
        <f>S$2-Assumptions!$B$160+1</f>
        <v>16.0</v>
      </c>
      <c r="T82" s="61">
        <f>T$2-Assumptions!$B$160+1</f>
        <v>17.0</v>
      </c>
      <c r="U82" s="61">
        <f>U$2-Assumptions!$B$160+1</f>
        <v>18.0</v>
      </c>
      <c r="V82" s="61">
        <f>V$2-Assumptions!$B$160+1</f>
        <v>19.0</v>
      </c>
      <c r="W82" s="61">
        <f>W$2-Assumptions!$B$160+1</f>
        <v>20.0</v>
      </c>
      <c r="X82" s="61">
        <f>X$2-Assumptions!$B$160+1</f>
        <v>21.0</v>
      </c>
      <c r="Y82" s="61">
        <f>Y$2-Assumptions!$B$160+1</f>
        <v>22.0</v>
      </c>
      <c r="Z82" s="61">
        <f>Z$2-Assumptions!$B$160+1</f>
        <v>23.0</v>
      </c>
    </row>
    <row r="83" spans="1:26" x14ac:dyDescent="0.2">
      <c r="A83" s="10" t="s">
        <v>161</v>
      </c>
      <c r="C83" s="50">
        <f>IF(C$2&gt;Assumptions!$B$169,0*(1-Assumptions!$B$170),IF(C82&gt;=1,Assumptions!$B$161*CHOOSE(Assumptions!$B$168,INDEX(Assumptions!$B$42:$H$42,MIN(C82,7)),INDEX(Assumptions!$B$43:$H$43,MIN(C82,7))),0))</f>
        <v>0</v>
      </c>
      <c r="D83" s="50">
        <f>IF(D$2&gt;Assumptions!$B$169,C83*(1-Assumptions!$B$170),IF(D82&gt;=1,Assumptions!$B$161*CHOOSE(Assumptions!$B$168,INDEX(Assumptions!$B$42:$H$42,MIN(D82,7)),INDEX(Assumptions!$B$43:$H$43,MIN(D82,7))),0))</f>
        <v>20.0</v>
      </c>
      <c r="E83" s="50">
        <f>IF(E$2&gt;Assumptions!$B$169,D83*(1-Assumptions!$B$170),IF(E82&gt;=1,Assumptions!$B$161*CHOOSE(Assumptions!$B$168,INDEX(Assumptions!$B$42:$H$42,MIN(E82,7)),INDEX(Assumptions!$B$43:$H$43,MIN(E82,7))),0))</f>
        <v>50.0</v>
      </c>
      <c r="F83" s="50">
        <f>IF(F$2&gt;Assumptions!$B$169,E83*(1-Assumptions!$B$170),IF(F82&gt;=1,Assumptions!$B$161*CHOOSE(Assumptions!$B$168,INDEX(Assumptions!$B$42:$H$42,MIN(F82,7)),INDEX(Assumptions!$B$43:$H$43,MIN(F82,7))),0))</f>
        <v>90.0</v>
      </c>
      <c r="G83" s="50">
        <f>IF(G$2&gt;Assumptions!$B$169,F83*(1-Assumptions!$B$170),IF(G82&gt;=1,Assumptions!$B$161*CHOOSE(Assumptions!$B$168,INDEX(Assumptions!$B$42:$H$42,MIN(G82,7)),INDEX(Assumptions!$B$43:$H$43,MIN(G82,7))),0))</f>
        <v>130.0</v>
      </c>
      <c r="H83" s="50">
        <f>IF(H$2&gt;Assumptions!$B$169,G83*(1-Assumptions!$B$170),IF(H82&gt;=1,Assumptions!$B$161*CHOOSE(Assumptions!$B$168,INDEX(Assumptions!$B$42:$H$42,MIN(H82,7)),INDEX(Assumptions!$B$43:$H$43,MIN(H82,7))),0))</f>
        <v>164.0</v>
      </c>
      <c r="I83" s="50">
        <f>IF(I$2&gt;Assumptions!$B$169,H83*(1-Assumptions!$B$170),IF(I82&gt;=1,Assumptions!$B$161*CHOOSE(Assumptions!$B$168,INDEX(Assumptions!$B$42:$H$42,MIN(I82,7)),INDEX(Assumptions!$B$43:$H$43,MIN(I82,7))),0))</f>
        <v>186.0</v>
      </c>
      <c r="J83" s="50">
        <f>IF(J$2&gt;Assumptions!$B$169,I83*(1-Assumptions!$B$170),IF(J82&gt;=1,Assumptions!$B$161*CHOOSE(Assumptions!$B$168,INDEX(Assumptions!$B$42:$H$42,MIN(J82,7)),INDEX(Assumptions!$B$43:$H$43,MIN(J82,7))),0))</f>
        <v>200.0</v>
      </c>
      <c r="K83" s="50">
        <f>IF(K$2&gt;Assumptions!$B$169,J83*(1-Assumptions!$B$170),IF(K82&gt;=1,Assumptions!$B$161*CHOOSE(Assumptions!$B$168,INDEX(Assumptions!$B$42:$H$42,MIN(K82,7)),INDEX(Assumptions!$B$43:$H$43,MIN(K82,7))),0))</f>
        <v>200.0</v>
      </c>
      <c r="L83" s="50">
        <f>IF(L$2&gt;Assumptions!$B$169,K83*(1-Assumptions!$B$170),IF(L82&gt;=1,Assumptions!$B$161*CHOOSE(Assumptions!$B$168,INDEX(Assumptions!$B$42:$H$42,MIN(L82,7)),INDEX(Assumptions!$B$43:$H$43,MIN(L82,7))),0))</f>
        <v>200.0</v>
      </c>
      <c r="M83" s="50">
        <f>IF(M$2&gt;Assumptions!$B$169,L83*(1-Assumptions!$B$170),IF(M82&gt;=1,Assumptions!$B$161*CHOOSE(Assumptions!$B$168,INDEX(Assumptions!$B$42:$H$42,MIN(M82,7)),INDEX(Assumptions!$B$43:$H$43,MIN(M82,7))),0))</f>
        <v>200.0</v>
      </c>
      <c r="N83" s="50">
        <f>IF(N$2&gt;Assumptions!$B$169,M83*(1-Assumptions!$B$170),IF(N82&gt;=1,Assumptions!$B$161*CHOOSE(Assumptions!$B$168,INDEX(Assumptions!$B$42:$H$42,MIN(N82,7)),INDEX(Assumptions!$B$43:$H$43,MIN(N82,7))),0))</f>
        <v>200.0</v>
      </c>
      <c r="O83" s="50">
        <f>IF(O$2&gt;Assumptions!$B$169,N83*(1-Assumptions!$B$170),IF(O82&gt;=1,Assumptions!$B$161*CHOOSE(Assumptions!$B$168,INDEX(Assumptions!$B$42:$H$42,MIN(O82,7)),INDEX(Assumptions!$B$43:$H$43,MIN(O82,7))),0))</f>
        <v>200.0</v>
      </c>
      <c r="P83" s="50">
        <f>IF(P$2&gt;Assumptions!$B$169,O83*(1-Assumptions!$B$170),IF(P82&gt;=1,Assumptions!$B$161*CHOOSE(Assumptions!$B$168,INDEX(Assumptions!$B$42:$H$42,MIN(P82,7)),INDEX(Assumptions!$B$43:$H$43,MIN(P82,7))),0))</f>
        <v>200.0</v>
      </c>
      <c r="Q83" s="50">
        <f>IF(Q$2&gt;Assumptions!$B$169,P83*(1-Assumptions!$B$170),IF(Q82&gt;=1,Assumptions!$B$161*CHOOSE(Assumptions!$B$168,INDEX(Assumptions!$B$42:$H$42,MIN(Q82,7)),INDEX(Assumptions!$B$43:$H$43,MIN(Q82,7))),0))</f>
        <v>80.0</v>
      </c>
      <c r="R83" s="50">
        <f>IF(R$2&gt;Assumptions!$B$169,Q83*(1-Assumptions!$B$170),IF(R82&gt;=1,Assumptions!$B$161*CHOOSE(Assumptions!$B$168,INDEX(Assumptions!$B$42:$H$42,MIN(R82,7)),INDEX(Assumptions!$B$43:$H$43,MIN(R82,7))),0))</f>
        <v>32.0</v>
      </c>
      <c r="S83" s="50">
        <f>IF(S$2&gt;Assumptions!$B$169,R83*(1-Assumptions!$B$170),IF(S82&gt;=1,Assumptions!$B$161*CHOOSE(Assumptions!$B$168,INDEX(Assumptions!$B$42:$H$42,MIN(S82,7)),INDEX(Assumptions!$B$43:$H$43,MIN(S82,7))),0))</f>
        <v>12.8</v>
      </c>
      <c r="T83" s="50">
        <f>IF(T$2&gt;Assumptions!$B$169,S83*(1-Assumptions!$B$170),IF(T82&gt;=1,Assumptions!$B$161*CHOOSE(Assumptions!$B$168,INDEX(Assumptions!$B$42:$H$42,MIN(T82,7)),INDEX(Assumptions!$B$43:$H$43,MIN(T82,7))),0))</f>
        <v>5.120000000000001</v>
      </c>
      <c r="U83" s="50">
        <f>IF(U$2&gt;Assumptions!$B$169,T83*(1-Assumptions!$B$170),IF(U82&gt;=1,Assumptions!$B$161*CHOOSE(Assumptions!$B$168,INDEX(Assumptions!$B$42:$H$42,MIN(U82,7)),INDEX(Assumptions!$B$43:$H$43,MIN(U82,7))),0))</f>
        <v>2.0480000000000005</v>
      </c>
      <c r="V83" s="50">
        <f>IF(V$2&gt;Assumptions!$B$169,U83*(1-Assumptions!$B$170),IF(V82&gt;=1,Assumptions!$B$161*CHOOSE(Assumptions!$B$168,INDEX(Assumptions!$B$42:$H$42,MIN(V82,7)),INDEX(Assumptions!$B$43:$H$43,MIN(V82,7))),0))</f>
        <v>0.8192000000000003</v>
      </c>
      <c r="W83" s="50">
        <f>IF(W$2&gt;Assumptions!$B$169,V83*(1-Assumptions!$B$170),IF(W82&gt;=1,Assumptions!$B$161*CHOOSE(Assumptions!$B$168,INDEX(Assumptions!$B$42:$H$42,MIN(W82,7)),INDEX(Assumptions!$B$43:$H$43,MIN(W82,7))),0))</f>
        <v>0.32768000000000014</v>
      </c>
      <c r="X83" s="50">
        <f>IF(X$2&gt;Assumptions!$B$169,W83*(1-Assumptions!$B$170),IF(X82&gt;=1,Assumptions!$B$161*CHOOSE(Assumptions!$B$168,INDEX(Assumptions!$B$42:$H$42,MIN(X82,7)),INDEX(Assumptions!$B$43:$H$43,MIN(X82,7))),0))</f>
        <v>0.13107200000000005</v>
      </c>
      <c r="Y83" s="50">
        <f>IF(Y$2&gt;Assumptions!$B$169,X83*(1-Assumptions!$B$170),IF(Y82&gt;=1,Assumptions!$B$161*CHOOSE(Assumptions!$B$168,INDEX(Assumptions!$B$42:$H$42,MIN(Y82,7)),INDEX(Assumptions!$B$43:$H$43,MIN(Y82,7))),0))</f>
        <v>0.052428800000000025</v>
      </c>
      <c r="Z83" s="50">
        <f>IF(Z$2&gt;Assumptions!$B$169,Y83*(1-Assumptions!$B$170),IF(Z82&gt;=1,Assumptions!$B$161*CHOOSE(Assumptions!$B$168,INDEX(Assumptions!$B$42:$H$42,MIN(Z82,7)),INDEX(Assumptions!$B$43:$H$43,MIN(Z82,7))),0))</f>
        <v>0.02097152000000001</v>
      </c>
    </row>
    <row r="84" spans="1:26" x14ac:dyDescent="0.2">
      <c r="A84" s="10" t="s">
        <v>155</v>
      </c>
      <c r="C84" s="50">
        <f>C83*MIN(1,Assumptions!$B$162*Assumptions!$B$37)</f>
        <v>0.0</v>
      </c>
      <c r="D84" s="50">
        <f>D83*MIN(1,Assumptions!$B$162*Assumptions!$B$37)</f>
        <v>7.0</v>
      </c>
      <c r="E84" s="50">
        <f>E83*MIN(1,Assumptions!$B$162*Assumptions!$B$37)</f>
        <v>17.5</v>
      </c>
      <c r="F84" s="50">
        <f>F83*MIN(1,Assumptions!$B$162*Assumptions!$B$37)</f>
        <v>31.499999999999996</v>
      </c>
      <c r="G84" s="50">
        <f>G83*MIN(1,Assumptions!$B$162*Assumptions!$B$37)</f>
        <v>45.5</v>
      </c>
      <c r="H84" s="50">
        <f>H83*MIN(1,Assumptions!$B$162*Assumptions!$B$37)</f>
        <v>57.4</v>
      </c>
      <c r="I84" s="50">
        <f>I83*MIN(1,Assumptions!$B$162*Assumptions!$B$37)</f>
        <v>65.1</v>
      </c>
      <c r="J84" s="50">
        <f>J83*MIN(1,Assumptions!$B$162*Assumptions!$B$37)</f>
        <v>70.0</v>
      </c>
      <c r="K84" s="50">
        <f>K83*MIN(1,Assumptions!$B$162*Assumptions!$B$37)</f>
        <v>70.0</v>
      </c>
      <c r="L84" s="50">
        <f>L83*MIN(1,Assumptions!$B$162*Assumptions!$B$37)</f>
        <v>70.0</v>
      </c>
      <c r="M84" s="50">
        <f>M83*MIN(1,Assumptions!$B$162*Assumptions!$B$37)</f>
        <v>70.0</v>
      </c>
      <c r="N84" s="50">
        <f>N83*MIN(1,Assumptions!$B$162*Assumptions!$B$37)</f>
        <v>70.0</v>
      </c>
      <c r="O84" s="50">
        <f>O83*MIN(1,Assumptions!$B$162*Assumptions!$B$37)</f>
        <v>70.0</v>
      </c>
      <c r="P84" s="50">
        <f>P83*MIN(1,Assumptions!$B$162*Assumptions!$B$37)</f>
        <v>70.0</v>
      </c>
      <c r="Q84" s="50">
        <f>Q83*MIN(1,Assumptions!$B$162*Assumptions!$B$37)</f>
        <v>28.0</v>
      </c>
      <c r="R84" s="50">
        <f>R83*MIN(1,Assumptions!$B$162*Assumptions!$B$37)</f>
        <v>11.2</v>
      </c>
      <c r="S84" s="50">
        <f>S83*MIN(1,Assumptions!$B$162*Assumptions!$B$37)</f>
        <v>4.4799999999999995</v>
      </c>
      <c r="T84" s="50">
        <f>T83*MIN(1,Assumptions!$B$162*Assumptions!$B$37)</f>
        <v>1.7920000000000003</v>
      </c>
      <c r="U84" s="50">
        <f>U83*MIN(1,Assumptions!$B$162*Assumptions!$B$37)</f>
        <v>0.7168000000000001</v>
      </c>
      <c r="V84" s="50">
        <f>V83*MIN(1,Assumptions!$B$162*Assumptions!$B$37)</f>
        <v>0.2867200000000001</v>
      </c>
      <c r="W84" s="50">
        <f>W83*MIN(1,Assumptions!$B$162*Assumptions!$B$37)</f>
        <v>0.11468800000000004</v>
      </c>
      <c r="X84" s="50">
        <f>X83*MIN(1,Assumptions!$B$162*Assumptions!$B$37)</f>
        <v>0.04587520000000001</v>
      </c>
      <c r="Y84" s="50">
        <f>Y83*MIN(1,Assumptions!$B$162*Assumptions!$B$37)</f>
        <v>0.018350080000000008</v>
      </c>
      <c r="Z84" s="50">
        <f>Z83*MIN(1,Assumptions!$B$162*Assumptions!$B$37)</f>
        <v>0.007340032000000003</v>
      </c>
    </row>
    <row r="85" spans="1:26" x14ac:dyDescent="0.2">
      <c r="A85" s="10" t="s">
        <v>156</v>
      </c>
      <c r="C85" s="50">
        <f>C84*Assumptions!$B$163</f>
        <v>0.0</v>
      </c>
      <c r="D85" s="50">
        <f>D84*Assumptions!$B$163</f>
        <v>7.0</v>
      </c>
      <c r="E85" s="50">
        <f>E84*Assumptions!$B$163</f>
        <v>17.5</v>
      </c>
      <c r="F85" s="50">
        <f>F84*Assumptions!$B$163</f>
        <v>31.499999999999996</v>
      </c>
      <c r="G85" s="50">
        <f>G84*Assumptions!$B$163</f>
        <v>45.5</v>
      </c>
      <c r="H85" s="50">
        <f>H84*Assumptions!$B$163</f>
        <v>57.4</v>
      </c>
      <c r="I85" s="50">
        <f>I84*Assumptions!$B$163</f>
        <v>65.1</v>
      </c>
      <c r="J85" s="50">
        <f>J84*Assumptions!$B$163</f>
        <v>70.0</v>
      </c>
      <c r="K85" s="50">
        <f>K84*Assumptions!$B$163</f>
        <v>70.0</v>
      </c>
      <c r="L85" s="50">
        <f>L84*Assumptions!$B$163</f>
        <v>70.0</v>
      </c>
      <c r="M85" s="50">
        <f>M84*Assumptions!$B$163</f>
        <v>70.0</v>
      </c>
      <c r="N85" s="50">
        <f>N84*Assumptions!$B$163</f>
        <v>70.0</v>
      </c>
      <c r="O85" s="50">
        <f>O84*Assumptions!$B$163</f>
        <v>70.0</v>
      </c>
      <c r="P85" s="50">
        <f>P84*Assumptions!$B$163</f>
        <v>70.0</v>
      </c>
      <c r="Q85" s="50">
        <f>Q84*Assumptions!$B$163</f>
        <v>28.0</v>
      </c>
      <c r="R85" s="50">
        <f>R84*Assumptions!$B$163</f>
        <v>11.2</v>
      </c>
      <c r="S85" s="50">
        <f>S84*Assumptions!$B$163</f>
        <v>4.4799999999999995</v>
      </c>
      <c r="T85" s="50">
        <f>T84*Assumptions!$B$163</f>
        <v>1.7920000000000003</v>
      </c>
      <c r="U85" s="50">
        <f>U84*Assumptions!$B$163</f>
        <v>0.7168000000000001</v>
      </c>
      <c r="V85" s="50">
        <f>V84*Assumptions!$B$163</f>
        <v>0.2867200000000001</v>
      </c>
      <c r="W85" s="50">
        <f>W84*Assumptions!$B$163</f>
        <v>0.11468800000000004</v>
      </c>
      <c r="X85" s="50">
        <f>X84*Assumptions!$B$163</f>
        <v>0.04587520000000001</v>
      </c>
      <c r="Y85" s="50">
        <f>Y84*Assumptions!$B$163</f>
        <v>0.018350080000000008</v>
      </c>
      <c r="Z85" s="50">
        <f>Z84*Assumptions!$B$163</f>
        <v>0.007340032000000003</v>
      </c>
    </row>
    <row r="86" spans="1:26" x14ac:dyDescent="0.2">
      <c r="A86" s="10" t="s">
        <v>157</v>
      </c>
      <c r="C86" s="50">
        <f>C84*(Assumptions!$B$164+Assumptions!$B$165)</f>
        <v>0.0</v>
      </c>
      <c r="D86" s="50">
        <f>D84*(Assumptions!$B$164+Assumptions!$B$165)</f>
        <v>0.42</v>
      </c>
      <c r="E86" s="50">
        <f>E84*(Assumptions!$B$164+Assumptions!$B$165)</f>
        <v>1.05</v>
      </c>
      <c r="F86" s="50">
        <f>F84*(Assumptions!$B$164+Assumptions!$B$165)</f>
        <v>1.8899999999999997</v>
      </c>
      <c r="G86" s="50">
        <f>G84*(Assumptions!$B$164+Assumptions!$B$165)</f>
        <v>2.73</v>
      </c>
      <c r="H86" s="50">
        <f>H84*(Assumptions!$B$164+Assumptions!$B$165)</f>
        <v>3.444</v>
      </c>
      <c r="I86" s="50">
        <f>I84*(Assumptions!$B$164+Assumptions!$B$165)</f>
        <v>3.9059999999999997</v>
      </c>
      <c r="J86" s="50">
        <f>J84*(Assumptions!$B$164+Assumptions!$B$165)</f>
        <v>4.2</v>
      </c>
      <c r="K86" s="50">
        <f>K84*(Assumptions!$B$164+Assumptions!$B$165)</f>
        <v>4.2</v>
      </c>
      <c r="L86" s="50">
        <f>L84*(Assumptions!$B$164+Assumptions!$B$165)</f>
        <v>4.2</v>
      </c>
      <c r="M86" s="50">
        <f>M84*(Assumptions!$B$164+Assumptions!$B$165)</f>
        <v>4.2</v>
      </c>
      <c r="N86" s="50">
        <f>N84*(Assumptions!$B$164+Assumptions!$B$165)</f>
        <v>4.2</v>
      </c>
      <c r="O86" s="50">
        <f>O84*(Assumptions!$B$164+Assumptions!$B$165)</f>
        <v>4.2</v>
      </c>
      <c r="P86" s="50">
        <f>P84*(Assumptions!$B$164+Assumptions!$B$165)</f>
        <v>4.2</v>
      </c>
      <c r="Q86" s="50">
        <f>Q84*(Assumptions!$B$164+Assumptions!$B$165)</f>
        <v>1.68</v>
      </c>
      <c r="R86" s="50">
        <f>R84*(Assumptions!$B$164+Assumptions!$B$165)</f>
        <v>0.6719999999999999</v>
      </c>
      <c r="S86" s="50">
        <f>S84*(Assumptions!$B$164+Assumptions!$B$165)</f>
        <v>0.2688</v>
      </c>
      <c r="T86" s="50">
        <f>T84*(Assumptions!$B$164+Assumptions!$B$165)</f>
        <v>0.10752000000000002</v>
      </c>
      <c r="U86" s="50">
        <f>U84*(Assumptions!$B$164+Assumptions!$B$165)</f>
        <v>0.043008000000000005</v>
      </c>
      <c r="V86" s="50">
        <f>V84*(Assumptions!$B$164+Assumptions!$B$165)</f>
        <v>0.017203200000000005</v>
      </c>
      <c r="W86" s="50">
        <f>W84*(Assumptions!$B$164+Assumptions!$B$165)</f>
        <v>0.006881280000000002</v>
      </c>
      <c r="X86" s="50">
        <f>X84*(Assumptions!$B$164+Assumptions!$B$165)</f>
        <v>0.002752512000000001</v>
      </c>
      <c r="Y86" s="50">
        <f>Y84*(Assumptions!$B$164+Assumptions!$B$165)</f>
        <v>0.0011010048000000005</v>
      </c>
      <c r="Z86" s="50">
        <f>Z84*(Assumptions!$B$164+Assumptions!$B$165)</f>
        <v>0.00044040192000000016</v>
      </c>
    </row>
    <row r="87" spans="1:26" x14ac:dyDescent="0.2">
      <c r="A87" s="10" t="s">
        <v>158</v>
      </c>
      <c r="C87" s="50">
        <f>MIN(1,Assumptions!$B$162*Assumptions!$B$37)*IF(Assumptions!$B$166=0,0,IF(C82=0,Assumptions!$B$167,IF(C82&gt;=1,C83*IF(OR(Assumptions!$B$163&lt;1,C82&gt;5),Assumptions!$B$166,MAX(Assumptions!$B$166,INDEX(Assumptions!$B$44:$F$44,C82))),0)))</f>
        <v>3.5</v>
      </c>
      <c r="D87" s="50">
        <f>MIN(1,Assumptions!$B$162*Assumptions!$B$37)*IF(Assumptions!$B$166=0,0,IF(D82=0,Assumptions!$B$167,IF(D82&gt;=1,D83*IF(OR(Assumptions!$B$163&lt;1,D82&gt;5),Assumptions!$B$166,MAX(Assumptions!$B$166,INDEX(Assumptions!$B$44:$F$44,D82))),0)))</f>
        <v>6.3</v>
      </c>
      <c r="E87" s="50">
        <f>MIN(1,Assumptions!$B$162*Assumptions!$B$37)*IF(Assumptions!$B$166=0,0,IF(E82=0,Assumptions!$B$167,IF(E82&gt;=1,E83*IF(OR(Assumptions!$B$163&lt;1,E82&gt;5),Assumptions!$B$166,MAX(Assumptions!$B$166,INDEX(Assumptions!$B$44:$F$44,E82))),0)))</f>
        <v>9.625</v>
      </c>
      <c r="F87" s="50">
        <f>MIN(1,Assumptions!$B$162*Assumptions!$B$37)*IF(Assumptions!$B$166=0,0,IF(F82=0,Assumptions!$B$167,IF(F82&gt;=1,F83*IF(OR(Assumptions!$B$163&lt;1,F82&gt;5),Assumptions!$B$166,MAX(Assumptions!$B$166,INDEX(Assumptions!$B$44:$F$44,F82))),0)))</f>
        <v>12.6</v>
      </c>
      <c r="G87" s="50">
        <f>MIN(1,Assumptions!$B$162*Assumptions!$B$37)*IF(Assumptions!$B$166=0,0,IF(G82=0,Assumptions!$B$167,IF(G82&gt;=1,G83*IF(OR(Assumptions!$B$163&lt;1,G82&gt;5),Assumptions!$B$166,MAX(Assumptions!$B$166,INDEX(Assumptions!$B$44:$F$44,G82))),0)))</f>
        <v>14.559999999999999</v>
      </c>
      <c r="H87" s="50">
        <f>MIN(1,Assumptions!$B$162*Assumptions!$B$37)*IF(Assumptions!$B$166=0,0,IF(H82=0,Assumptions!$B$167,IF(H82&gt;=1,H83*IF(OR(Assumptions!$B$163&lt;1,H82&gt;5),Assumptions!$B$166,MAX(Assumptions!$B$166,INDEX(Assumptions!$B$44:$F$44,H82))),0)))</f>
        <v>16.072</v>
      </c>
      <c r="I87" s="50">
        <f>MIN(1,Assumptions!$B$162*Assumptions!$B$37)*IF(Assumptions!$B$166=0,0,IF(I82=0,Assumptions!$B$167,IF(I82&gt;=1,I83*IF(OR(Assumptions!$B$163&lt;1,I82&gt;5),Assumptions!$B$166,MAX(Assumptions!$B$166,INDEX(Assumptions!$B$44:$F$44,I82))),0)))</f>
        <v>13.02</v>
      </c>
      <c r="J87" s="50">
        <f>MIN(1,Assumptions!$B$162*Assumptions!$B$37)*IF(Assumptions!$B$166=0,0,IF(J82=0,Assumptions!$B$167,IF(J82&gt;=1,J83*IF(OR(Assumptions!$B$163&lt;1,J82&gt;5),Assumptions!$B$166,MAX(Assumptions!$B$166,INDEX(Assumptions!$B$44:$F$44,J82))),0)))</f>
        <v>14.0</v>
      </c>
      <c r="K87" s="50">
        <f>MIN(1,Assumptions!$B$162*Assumptions!$B$37)*IF(Assumptions!$B$166=0,0,IF(K82=0,Assumptions!$B$167,IF(K82&gt;=1,K83*IF(OR(Assumptions!$B$163&lt;1,K82&gt;5),Assumptions!$B$166,MAX(Assumptions!$B$166,INDEX(Assumptions!$B$44:$F$44,K82))),0)))</f>
        <v>14.0</v>
      </c>
      <c r="L87" s="50">
        <f>MIN(1,Assumptions!$B$162*Assumptions!$B$37)*IF(Assumptions!$B$166=0,0,IF(L82=0,Assumptions!$B$167,IF(L82&gt;=1,L83*IF(OR(Assumptions!$B$163&lt;1,L82&gt;5),Assumptions!$B$166,MAX(Assumptions!$B$166,INDEX(Assumptions!$B$44:$F$44,L82))),0)))</f>
        <v>14.0</v>
      </c>
      <c r="M87" s="50">
        <f>MIN(1,Assumptions!$B$162*Assumptions!$B$37)*IF(Assumptions!$B$166=0,0,IF(M82=0,Assumptions!$B$167,IF(M82&gt;=1,M83*IF(OR(Assumptions!$B$163&lt;1,M82&gt;5),Assumptions!$B$166,MAX(Assumptions!$B$166,INDEX(Assumptions!$B$44:$F$44,M82))),0)))</f>
        <v>14.0</v>
      </c>
      <c r="N87" s="50">
        <f>MIN(1,Assumptions!$B$162*Assumptions!$B$37)*IF(Assumptions!$B$166=0,0,IF(N82=0,Assumptions!$B$167,IF(N82&gt;=1,N83*IF(OR(Assumptions!$B$163&lt;1,N82&gt;5),Assumptions!$B$166,MAX(Assumptions!$B$166,INDEX(Assumptions!$B$44:$F$44,N82))),0)))</f>
        <v>14.0</v>
      </c>
      <c r="O87" s="50">
        <f>MIN(1,Assumptions!$B$162*Assumptions!$B$37)*IF(Assumptions!$B$166=0,0,IF(O82=0,Assumptions!$B$167,IF(O82&gt;=1,O83*IF(OR(Assumptions!$B$163&lt;1,O82&gt;5),Assumptions!$B$166,MAX(Assumptions!$B$166,INDEX(Assumptions!$B$44:$F$44,O82))),0)))</f>
        <v>14.0</v>
      </c>
      <c r="P87" s="50">
        <f>MIN(1,Assumptions!$B$162*Assumptions!$B$37)*IF(Assumptions!$B$166=0,0,IF(P82=0,Assumptions!$B$167,IF(P82&gt;=1,P83*IF(OR(Assumptions!$B$163&lt;1,P82&gt;5),Assumptions!$B$166,MAX(Assumptions!$B$166,INDEX(Assumptions!$B$44:$F$44,P82))),0)))</f>
        <v>14.0</v>
      </c>
      <c r="Q87" s="50">
        <f>MIN(1,Assumptions!$B$162*Assumptions!$B$37)*IF(Assumptions!$B$166=0,0,IF(Q82=0,Assumptions!$B$167,IF(Q82&gt;=1,Q83*IF(OR(Assumptions!$B$163&lt;1,Q82&gt;5),Assumptions!$B$166,MAX(Assumptions!$B$166,INDEX(Assumptions!$B$44:$F$44,Q82))),0)))</f>
        <v>5.6</v>
      </c>
      <c r="R87" s="50">
        <f>MIN(1,Assumptions!$B$162*Assumptions!$B$37)*IF(Assumptions!$B$166=0,0,IF(R82=0,Assumptions!$B$167,IF(R82&gt;=1,R83*IF(OR(Assumptions!$B$163&lt;1,R82&gt;5),Assumptions!$B$166,MAX(Assumptions!$B$166,INDEX(Assumptions!$B$44:$F$44,R82))),0)))</f>
        <v>2.2399999999999998</v>
      </c>
      <c r="S87" s="50">
        <f>MIN(1,Assumptions!$B$162*Assumptions!$B$37)*IF(Assumptions!$B$166=0,0,IF(S82=0,Assumptions!$B$167,IF(S82&gt;=1,S83*IF(OR(Assumptions!$B$163&lt;1,S82&gt;5),Assumptions!$B$166,MAX(Assumptions!$B$166,INDEX(Assumptions!$B$44:$F$44,S82))),0)))</f>
        <v>0.8960000000000001</v>
      </c>
      <c r="T87" s="50">
        <f>MIN(1,Assumptions!$B$162*Assumptions!$B$37)*IF(Assumptions!$B$166=0,0,IF(T82=0,Assumptions!$B$167,IF(T82&gt;=1,T83*IF(OR(Assumptions!$B$163&lt;1,T82&gt;5),Assumptions!$B$166,MAX(Assumptions!$B$166,INDEX(Assumptions!$B$44:$F$44,T82))),0)))</f>
        <v>0.35840000000000005</v>
      </c>
      <c r="U87" s="50">
        <f>MIN(1,Assumptions!$B$162*Assumptions!$B$37)*IF(Assumptions!$B$166=0,0,IF(U82=0,Assumptions!$B$167,IF(U82&gt;=1,U83*IF(OR(Assumptions!$B$163&lt;1,U82&gt;5),Assumptions!$B$166,MAX(Assumptions!$B$166,INDEX(Assumptions!$B$44:$F$44,U82))),0)))</f>
        <v>0.14336000000000004</v>
      </c>
      <c r="V87" s="50">
        <f>MIN(1,Assumptions!$B$162*Assumptions!$B$37)*IF(Assumptions!$B$166=0,0,IF(V82=0,Assumptions!$B$167,IF(V82&gt;=1,V83*IF(OR(Assumptions!$B$163&lt;1,V82&gt;5),Assumptions!$B$166,MAX(Assumptions!$B$166,INDEX(Assumptions!$B$44:$F$44,V82))),0)))</f>
        <v>0.05734400000000002</v>
      </c>
      <c r="W87" s="50">
        <f>MIN(1,Assumptions!$B$162*Assumptions!$B$37)*IF(Assumptions!$B$166=0,0,IF(W82=0,Assumptions!$B$167,IF(W82&gt;=1,W83*IF(OR(Assumptions!$B$163&lt;1,W82&gt;5),Assumptions!$B$166,MAX(Assumptions!$B$166,INDEX(Assumptions!$B$44:$F$44,W82))),0)))</f>
        <v>0.022937600000000006</v>
      </c>
      <c r="X87" s="50">
        <f>MIN(1,Assumptions!$B$162*Assumptions!$B$37)*IF(Assumptions!$B$166=0,0,IF(X82=0,Assumptions!$B$167,IF(X82&gt;=1,X83*IF(OR(Assumptions!$B$163&lt;1,X82&gt;5),Assumptions!$B$166,MAX(Assumptions!$B$166,INDEX(Assumptions!$B$44:$F$44,X82))),0)))</f>
        <v>0.009175040000000004</v>
      </c>
      <c r="Y87" s="50">
        <f>MIN(1,Assumptions!$B$162*Assumptions!$B$37)*IF(Assumptions!$B$166=0,0,IF(Y82=0,Assumptions!$B$167,IF(Y82&gt;=1,Y83*IF(OR(Assumptions!$B$163&lt;1,Y82&gt;5),Assumptions!$B$166,MAX(Assumptions!$B$166,INDEX(Assumptions!$B$44:$F$44,Y82))),0)))</f>
        <v>0.0036700160000000016</v>
      </c>
      <c r="Z87" s="50">
        <f>MIN(1,Assumptions!$B$162*Assumptions!$B$37)*IF(Assumptions!$B$166=0,0,IF(Z82=0,Assumptions!$B$167,IF(Z82&gt;=1,Z83*IF(OR(Assumptions!$B$163&lt;1,Z82&gt;5),Assumptions!$B$166,MAX(Assumptions!$B$166,INDEX(Assumptions!$B$44:$F$44,Z82))),0)))</f>
        <v>0.0014680064000000006</v>
      </c>
    </row>
    <row r="88" spans="1:26" x14ac:dyDescent="0.2">
      <c r="A88" s="10" t="s">
        <v>159</v>
      </c>
      <c r="C88" s="50">
        <f>IFERROR(INDEX(Assumptions!$B$172:$I$172,MATCH(C$2,Assumptions!$B$171:$I$171,0))*INDEX(Assumptions!$B$173:$I$173,MATCH(C$2,Assumptions!$B$171:$I$171,0)),0)</f>
        <v>15.0</v>
      </c>
      <c r="D88" s="50">
        <f>IFERROR(INDEX(Assumptions!$B$172:$I$172,MATCH(D$2,Assumptions!$B$171:$I$171,0))*INDEX(Assumptions!$B$173:$I$173,MATCH(D$2,Assumptions!$B$171:$I$171,0)),0)</f>
        <v>0.0</v>
      </c>
      <c r="E88" s="50">
        <f>IFERROR(INDEX(Assumptions!$B$172:$I$172,MATCH(E$2,Assumptions!$B$171:$I$171,0))*INDEX(Assumptions!$B$173:$I$173,MATCH(E$2,Assumptions!$B$171:$I$171,0)),0)</f>
        <v>0.0</v>
      </c>
      <c r="F88" s="50">
        <f>IFERROR(INDEX(Assumptions!$B$172:$I$172,MATCH(F$2,Assumptions!$B$171:$I$171,0))*INDEX(Assumptions!$B$173:$I$173,MATCH(F$2,Assumptions!$B$171:$I$171,0)),0)</f>
        <v>0.0</v>
      </c>
      <c r="G88" s="50">
        <f>IFERROR(INDEX(Assumptions!$B$172:$I$172,MATCH(G$2,Assumptions!$B$171:$I$171,0))*INDEX(Assumptions!$B$173:$I$173,MATCH(G$2,Assumptions!$B$171:$I$171,0)),0)</f>
        <v>0.0</v>
      </c>
      <c r="H88" s="50">
        <f>IFERROR(INDEX(Assumptions!$B$172:$I$172,MATCH(H$2,Assumptions!$B$171:$I$171,0))*INDEX(Assumptions!$B$173:$I$173,MATCH(H$2,Assumptions!$B$171:$I$171,0)),0)</f>
        <v>0.0</v>
      </c>
      <c r="I88" s="50">
        <f>IFERROR(INDEX(Assumptions!$B$172:$I$172,MATCH(I$2,Assumptions!$B$171:$I$171,0))*INDEX(Assumptions!$B$173:$I$173,MATCH(I$2,Assumptions!$B$171:$I$171,0)),0)</f>
        <v>0.0</v>
      </c>
      <c r="J88" s="50">
        <f>IFERROR(INDEX(Assumptions!$B$172:$I$172,MATCH(J$2,Assumptions!$B$171:$I$171,0))*INDEX(Assumptions!$B$173:$I$173,MATCH(J$2,Assumptions!$B$171:$I$171,0)),0)</f>
        <v>0.0</v>
      </c>
      <c r="K88" s="50">
        <f>IFERROR(INDEX(Assumptions!$B$172:$I$172,MATCH(K$2,Assumptions!$B$171:$I$171,0))*INDEX(Assumptions!$B$173:$I$173,MATCH(K$2,Assumptions!$B$171:$I$171,0)),0)</f>
        <v>0</v>
      </c>
      <c r="L88" s="50">
        <f>IFERROR(INDEX(Assumptions!$B$172:$I$172,MATCH(L$2,Assumptions!$B$171:$I$171,0))*INDEX(Assumptions!$B$173:$I$173,MATCH(L$2,Assumptions!$B$171:$I$171,0)),0)</f>
        <v>0</v>
      </c>
      <c r="M88" s="50">
        <f>IFERROR(INDEX(Assumptions!$B$172:$I$172,MATCH(M$2,Assumptions!$B$171:$I$171,0))*INDEX(Assumptions!$B$173:$I$173,MATCH(M$2,Assumptions!$B$171:$I$171,0)),0)</f>
        <v>0</v>
      </c>
      <c r="N88" s="50">
        <f>IFERROR(INDEX(Assumptions!$B$172:$I$172,MATCH(N$2,Assumptions!$B$171:$I$171,0))*INDEX(Assumptions!$B$173:$I$173,MATCH(N$2,Assumptions!$B$171:$I$171,0)),0)</f>
        <v>0</v>
      </c>
      <c r="O88" s="50">
        <f>IFERROR(INDEX(Assumptions!$B$172:$I$172,MATCH(O$2,Assumptions!$B$171:$I$171,0))*INDEX(Assumptions!$B$173:$I$173,MATCH(O$2,Assumptions!$B$171:$I$171,0)),0)</f>
        <v>0</v>
      </c>
      <c r="P88" s="50">
        <f>IFERROR(INDEX(Assumptions!$B$172:$I$172,MATCH(P$2,Assumptions!$B$171:$I$171,0))*INDEX(Assumptions!$B$173:$I$173,MATCH(P$2,Assumptions!$B$171:$I$171,0)),0)</f>
        <v>0</v>
      </c>
      <c r="Q88" s="50">
        <f>IFERROR(INDEX(Assumptions!$B$172:$I$172,MATCH(Q$2,Assumptions!$B$171:$I$171,0))*INDEX(Assumptions!$B$173:$I$173,MATCH(Q$2,Assumptions!$B$171:$I$171,0)),0)</f>
        <v>0</v>
      </c>
      <c r="R88" s="50">
        <f>IFERROR(INDEX(Assumptions!$B$172:$I$172,MATCH(R$2,Assumptions!$B$171:$I$171,0))*INDEX(Assumptions!$B$173:$I$173,MATCH(R$2,Assumptions!$B$171:$I$171,0)),0)</f>
        <v>0</v>
      </c>
      <c r="S88" s="50">
        <f>IFERROR(INDEX(Assumptions!$B$172:$I$172,MATCH(S$2,Assumptions!$B$171:$I$171,0))*INDEX(Assumptions!$B$173:$I$173,MATCH(S$2,Assumptions!$B$171:$I$171,0)),0)</f>
        <v>0</v>
      </c>
      <c r="T88" s="50">
        <f>IFERROR(INDEX(Assumptions!$B$172:$I$172,MATCH(T$2,Assumptions!$B$171:$I$171,0))*INDEX(Assumptions!$B$173:$I$173,MATCH(T$2,Assumptions!$B$171:$I$171,0)),0)</f>
        <v>0</v>
      </c>
      <c r="U88" s="50">
        <f>IFERROR(INDEX(Assumptions!$B$172:$I$172,MATCH(U$2,Assumptions!$B$171:$I$171,0))*INDEX(Assumptions!$B$173:$I$173,MATCH(U$2,Assumptions!$B$171:$I$171,0)),0)</f>
        <v>0</v>
      </c>
      <c r="V88" s="50">
        <f>IFERROR(INDEX(Assumptions!$B$172:$I$172,MATCH(V$2,Assumptions!$B$171:$I$171,0))*INDEX(Assumptions!$B$173:$I$173,MATCH(V$2,Assumptions!$B$171:$I$171,0)),0)</f>
        <v>0</v>
      </c>
      <c r="W88" s="50">
        <f>IFERROR(INDEX(Assumptions!$B$172:$I$172,MATCH(W$2,Assumptions!$B$171:$I$171,0))*INDEX(Assumptions!$B$173:$I$173,MATCH(W$2,Assumptions!$B$171:$I$171,0)),0)</f>
        <v>0</v>
      </c>
      <c r="X88" s="50">
        <f>IFERROR(INDEX(Assumptions!$B$172:$I$172,MATCH(X$2,Assumptions!$B$171:$I$171,0))*INDEX(Assumptions!$B$173:$I$173,MATCH(X$2,Assumptions!$B$171:$I$171,0)),0)</f>
        <v>0</v>
      </c>
      <c r="Y88" s="50">
        <f>IFERROR(INDEX(Assumptions!$B$172:$I$172,MATCH(Y$2,Assumptions!$B$171:$I$171,0))*INDEX(Assumptions!$B$173:$I$173,MATCH(Y$2,Assumptions!$B$171:$I$171,0)),0)</f>
        <v>0</v>
      </c>
      <c r="Z88" s="50">
        <f>IFERROR(INDEX(Assumptions!$B$172:$I$172,MATCH(Z$2,Assumptions!$B$171:$I$171,0))*INDEX(Assumptions!$B$173:$I$173,MATCH(Z$2,Assumptions!$B$171:$I$171,0)),0)</f>
        <v>0</v>
      </c>
    </row>
    <row r="89" spans="1:26" x14ac:dyDescent="0.2">
      <c r="A89" s="20" t="s">
        <v>145</v>
      </c>
      <c r="C89" s="54">
        <f t="shared" ref="C89:Z89" si="8">C85-C86-C87-C88</f>
        <v>-18.5</v>
      </c>
      <c r="D89" s="54">
        <f t="shared" si="8"/>
        <v>0.28000000000000025</v>
      </c>
      <c r="E89" s="54">
        <f t="shared" si="8"/>
        <v>6.824999999999999</v>
      </c>
      <c r="F89" s="54">
        <f t="shared" si="8"/>
        <v>17.009999999999998</v>
      </c>
      <c r="G89" s="54">
        <f t="shared" si="8"/>
        <v>28.210000000000004</v>
      </c>
      <c r="H89" s="54">
        <f t="shared" si="8"/>
        <v>37.884</v>
      </c>
      <c r="I89" s="54">
        <f t="shared" si="8"/>
        <v>48.17399999999999</v>
      </c>
      <c r="J89" s="54">
        <f t="shared" si="8"/>
        <v>51.8</v>
      </c>
      <c r="K89" s="54">
        <f t="shared" si="8"/>
        <v>51.8</v>
      </c>
      <c r="L89" s="54">
        <f t="shared" si="8"/>
        <v>51.8</v>
      </c>
      <c r="M89" s="54">
        <f t="shared" si="8"/>
        <v>51.8</v>
      </c>
      <c r="N89" s="54">
        <f t="shared" si="8"/>
        <v>51.8</v>
      </c>
      <c r="O89" s="54">
        <f t="shared" si="8"/>
        <v>51.8</v>
      </c>
      <c r="P89" s="54">
        <f t="shared" si="8"/>
        <v>51.8</v>
      </c>
      <c r="Q89" s="54">
        <f t="shared" si="8"/>
        <v>20.72</v>
      </c>
      <c r="R89" s="54">
        <f t="shared" si="8"/>
        <v>8.287999999999998</v>
      </c>
      <c r="S89" s="54">
        <f t="shared" si="8"/>
        <v>3.3152</v>
      </c>
      <c r="T89" s="54">
        <f t="shared" si="8"/>
        <v>1.3260800000000001</v>
      </c>
      <c r="U89" s="54">
        <f t="shared" si="8"/>
        <v>0.530432</v>
      </c>
      <c r="V89" s="54">
        <f t="shared" si="8"/>
        <v>0.21217280000000005</v>
      </c>
      <c r="W89" s="54">
        <f t="shared" si="8"/>
        <v>0.08486912000000003</v>
      </c>
      <c r="X89" s="54">
        <f t="shared" si="8"/>
        <v>0.03394764800000001</v>
      </c>
      <c r="Y89" s="54">
        <f t="shared" si="8"/>
        <v>0.013579059200000007</v>
      </c>
      <c r="Z89" s="54">
        <f t="shared" si="8"/>
        <v>0.0054316236800000025</v>
      </c>
    </row>
    <row r="91" spans="1:26" x14ac:dyDescent="0.2">
      <c r="A91" s="27" t="s">
        <v>164</v>
      </c>
    </row>
    <row r="92" spans="1:26" x14ac:dyDescent="0.2">
      <c r="A92" s="20" t="s">
        <v>15</v>
      </c>
      <c r="C92" s="54">
        <f t="shared" ref="C92:Z92" si="9">C7+C16+C25+C34+C43+C55+C65+C75+C85</f>
        <v>320.1539507882076</v>
      </c>
      <c r="D92" s="54">
        <f t="shared" si="9"/>
        <v>453.4147074809043</v>
      </c>
      <c r="E92" s="54">
        <f t="shared" si="9"/>
        <v>613.178314673547</v>
      </c>
      <c r="F92" s="54">
        <f t="shared" si="9"/>
        <v>766.0762425593085</v>
      </c>
      <c r="G92" s="54">
        <f t="shared" si="9"/>
        <v>786.4779711735255</v>
      </c>
      <c r="H92" s="54">
        <f t="shared" si="9"/>
        <v>853.1486083984375</v>
      </c>
      <c r="I92" s="54">
        <f t="shared" si="9"/>
        <v>833.0445812988281</v>
      </c>
      <c r="J92" s="54">
        <f t="shared" si="9"/>
        <v>831.4866859741211</v>
      </c>
      <c r="K92" s="54">
        <f t="shared" si="9"/>
        <v>822.7488144805908</v>
      </c>
      <c r="L92" s="54">
        <f t="shared" si="9"/>
        <v>818.8901308604432</v>
      </c>
      <c r="M92" s="54">
        <f t="shared" si="9"/>
        <v>817.0740061453323</v>
      </c>
      <c r="N92" s="54">
        <f t="shared" si="9"/>
        <v>816.1430678089993</v>
      </c>
      <c r="O92" s="54">
        <f t="shared" si="9"/>
        <v>683.6173261367494</v>
      </c>
      <c r="P92" s="54">
        <f t="shared" si="9"/>
        <v>548.2420047145621</v>
      </c>
      <c r="Q92" s="54">
        <f t="shared" si="9"/>
        <v>227.78060758072158</v>
      </c>
      <c r="R92" s="54">
        <f t="shared" si="9"/>
        <v>95.41884730346118</v>
      </c>
      <c r="S92" s="54">
        <f t="shared" si="9"/>
        <v>40.369367124763876</v>
      </c>
      <c r="T92" s="54">
        <f t="shared" si="9"/>
        <v>17.28505550244011</v>
      </c>
      <c r="U92" s="54">
        <f t="shared" si="9"/>
        <v>7.509972440376962</v>
      </c>
      <c r="V92" s="54">
        <f t="shared" si="9"/>
        <v>3.322436030701474</v>
      </c>
      <c r="W92" s="54">
        <f t="shared" si="9"/>
        <v>1.5035518906936054</v>
      </c>
      <c r="X92" s="54">
        <f t="shared" si="9"/>
        <v>0.7002249588372045</v>
      </c>
      <c r="Y92" s="54">
        <f t="shared" si="9"/>
        <v>0.33812868232970344</v>
      </c>
      <c r="Z92" s="54">
        <f t="shared" si="9"/>
        <v>0.1707482704654976</v>
      </c>
    </row>
    <row r="93" spans="1:26" x14ac:dyDescent="0.2">
      <c r="A93" s="10" t="s">
        <v>165</v>
      </c>
      <c r="C93" s="50">
        <f t="shared" ref="C93:Z93" si="10">C8+C17+C26+C35+C44+C56+C66+C76+C86</f>
        <v>24.785778713959125</v>
      </c>
      <c r="D93" s="50">
        <f t="shared" si="10"/>
        <v>38.61096578218759</v>
      </c>
      <c r="E93" s="50">
        <f t="shared" si="10"/>
        <v>54.63410513041282</v>
      </c>
      <c r="F93" s="50">
        <f t="shared" si="10"/>
        <v>70.4514417410585</v>
      </c>
      <c r="G93" s="50">
        <f t="shared" si="10"/>
        <v>76.92776616103653</v>
      </c>
      <c r="H93" s="50">
        <f t="shared" si="10"/>
        <v>84.711513671875</v>
      </c>
      <c r="I93" s="50">
        <f t="shared" si="10"/>
        <v>83.64121650390625</v>
      </c>
      <c r="J93" s="50">
        <f t="shared" si="10"/>
        <v>83.77129487792969</v>
      </c>
      <c r="K93" s="50">
        <f t="shared" si="10"/>
        <v>83.13984915844728</v>
      </c>
      <c r="L93" s="50">
        <f t="shared" si="10"/>
        <v>82.85818806883546</v>
      </c>
      <c r="M93" s="50">
        <f t="shared" si="10"/>
        <v>82.72371153162659</v>
      </c>
      <c r="N93" s="50">
        <f t="shared" si="10"/>
        <v>82.65356184071995</v>
      </c>
      <c r="O93" s="50">
        <f t="shared" si="10"/>
        <v>74.69323265733995</v>
      </c>
      <c r="P93" s="50">
        <f t="shared" si="10"/>
        <v>50.93739900372498</v>
      </c>
      <c r="Q93" s="50">
        <f t="shared" si="10"/>
        <v>22.451914057081723</v>
      </c>
      <c r="R93" s="50">
        <f t="shared" si="10"/>
        <v>10.024418964526493</v>
      </c>
      <c r="S93" s="50">
        <f t="shared" si="10"/>
        <v>4.53547634208095</v>
      </c>
      <c r="T93" s="50">
        <f t="shared" si="10"/>
        <v>2.0799564790351446</v>
      </c>
      <c r="U93" s="50">
        <f t="shared" si="10"/>
        <v>0.9670492357661314</v>
      </c>
      <c r="V93" s="50">
        <f t="shared" si="10"/>
        <v>0.4559907711705076</v>
      </c>
      <c r="W93" s="50">
        <f t="shared" si="10"/>
        <v>0.21821016299124435</v>
      </c>
      <c r="X93" s="50">
        <f t="shared" si="10"/>
        <v>0.10611222952627872</v>
      </c>
      <c r="Y93" s="50">
        <f t="shared" si="10"/>
        <v>0.05254990177659722</v>
      </c>
      <c r="Z93" s="50">
        <f t="shared" si="10"/>
        <v>0.026590661544578183</v>
      </c>
    </row>
    <row r="94" spans="1:26" x14ac:dyDescent="0.2">
      <c r="A94" s="10" t="s">
        <v>166</v>
      </c>
      <c r="C94" s="50">
        <f t="shared" ref="C94:Z94" si="11">C10+C19+C28+C37+C46+C58+C68+C78+C88</f>
        <v>45.0</v>
      </c>
      <c r="D94" s="50">
        <f t="shared" si="11"/>
        <v>5.0</v>
      </c>
      <c r="E94" s="50">
        <f t="shared" si="11"/>
        <v>0.0</v>
      </c>
      <c r="F94" s="50">
        <f t="shared" si="11"/>
        <v>0.0</v>
      </c>
      <c r="G94" s="50">
        <f t="shared" si="11"/>
        <v>0.0</v>
      </c>
      <c r="H94" s="50">
        <f t="shared" si="11"/>
        <v>0.0</v>
      </c>
      <c r="I94" s="50">
        <f t="shared" si="11"/>
        <v>0.0</v>
      </c>
      <c r="J94" s="50">
        <f t="shared" si="11"/>
        <v>0.0</v>
      </c>
      <c r="K94" s="50">
        <f t="shared" si="11"/>
        <v>0.0</v>
      </c>
      <c r="L94" s="50">
        <f t="shared" si="11"/>
        <v>0.0</v>
      </c>
      <c r="M94" s="50">
        <f t="shared" si="11"/>
        <v>0.0</v>
      </c>
      <c r="N94" s="50">
        <f t="shared" si="11"/>
        <v>0.0</v>
      </c>
      <c r="O94" s="50">
        <f t="shared" si="11"/>
        <v>0.0</v>
      </c>
      <c r="P94" s="50">
        <f t="shared" si="11"/>
        <v>0.0</v>
      </c>
      <c r="Q94" s="50">
        <f t="shared" si="11"/>
        <v>0.0</v>
      </c>
      <c r="R94" s="50">
        <f t="shared" si="11"/>
        <v>0.0</v>
      </c>
      <c r="S94" s="50">
        <f t="shared" si="11"/>
        <v>0.0</v>
      </c>
      <c r="T94" s="50">
        <f t="shared" si="11"/>
        <v>0.0</v>
      </c>
      <c r="U94" s="50">
        <f t="shared" si="11"/>
        <v>0.0</v>
      </c>
      <c r="V94" s="50">
        <f t="shared" si="11"/>
        <v>0.0</v>
      </c>
      <c r="W94" s="50">
        <f t="shared" si="11"/>
        <v>0.0</v>
      </c>
      <c r="X94" s="50">
        <f t="shared" si="11"/>
        <v>0.0</v>
      </c>
      <c r="Y94" s="50">
        <f t="shared" si="11"/>
        <v>0.0</v>
      </c>
      <c r="Z94" s="50">
        <f t="shared" si="11"/>
        <v>0.0</v>
      </c>
    </row>
    <row r="95" spans="1:26" x14ac:dyDescent="0.2">
      <c r="A95" s="10" t="s">
        <v>167</v>
      </c>
      <c r="C95" s="50">
        <f>IF(C$2&gt;Assumptions!$B$25,Assumptions!$B$23*C92,MAX(Assumptions!$B$20*(1+Assumptions!$B$21)^(C$2-2027)*Assumptions!$B$38,Assumptions!$B$23*C92))</f>
        <v>70.0</v>
      </c>
      <c r="D95" s="50">
        <f>IF(D$2&gt;Assumptions!$B$25,Assumptions!$B$23*D92,MAX(Assumptions!$B$20*(1+Assumptions!$B$21)^(D$2-2027)*Assumptions!$B$38,Assumptions!$B$23*D92))</f>
        <v>72.10000000000001</v>
      </c>
      <c r="E95" s="50">
        <f>IF(E$2&gt;Assumptions!$B$25,Assumptions!$B$23*E92,MAX(Assumptions!$B$20*(1+Assumptions!$B$21)^(E$2-2027)*Assumptions!$B$38,Assumptions!$B$23*E92))</f>
        <v>74.26299999999999</v>
      </c>
      <c r="F95" s="50">
        <f>IF(F$2&gt;Assumptions!$B$25,Assumptions!$B$23*F92,MAX(Assumptions!$B$20*(1+Assumptions!$B$21)^(F$2-2027)*Assumptions!$B$38,Assumptions!$B$23*F92))</f>
        <v>76.60762425593086</v>
      </c>
      <c r="G95" s="50">
        <f>IF(G$2&gt;Assumptions!$B$25,Assumptions!$B$23*G92,MAX(Assumptions!$B$20*(1+Assumptions!$B$21)^(G$2-2027)*Assumptions!$B$38,Assumptions!$B$23*G92))</f>
        <v>78.7856167</v>
      </c>
      <c r="H95" s="50">
        <f>IF(H$2&gt;Assumptions!$B$25,Assumptions!$B$23*H92,MAX(Assumptions!$B$20*(1+Assumptions!$B$21)^(H$2-2027)*Assumptions!$B$38,Assumptions!$B$23*H92))</f>
        <v>85.31486083984376</v>
      </c>
      <c r="I95" s="50">
        <f>IF(I$2&gt;Assumptions!$B$25,Assumptions!$B$23*I92,MAX(Assumptions!$B$20*(1+Assumptions!$B$21)^(I$2-2027)*Assumptions!$B$38,Assumptions!$B$23*I92))</f>
        <v>83.58366075703</v>
      </c>
      <c r="J95" s="50">
        <f>IF(J$2&gt;Assumptions!$B$25,Assumptions!$B$23*J92,MAX(Assumptions!$B$20*(1+Assumptions!$B$21)^(J$2-2027)*Assumptions!$B$38,Assumptions!$B$23*J92))</f>
        <v>86.09117057974092</v>
      </c>
      <c r="K95" s="50">
        <f>IF(K$2&gt;Assumptions!$B$25,Assumptions!$B$23*K92,MAX(Assumptions!$B$20*(1+Assumptions!$B$21)^(K$2-2027)*Assumptions!$B$38,Assumptions!$B$23*K92))</f>
        <v>88.67390569713315</v>
      </c>
      <c r="L95" s="50">
        <f>IF(L$2&gt;Assumptions!$B$25,Assumptions!$B$23*L92,MAX(Assumptions!$B$20*(1+Assumptions!$B$21)^(L$2-2027)*Assumptions!$B$38,Assumptions!$B$23*L92))</f>
        <v>91.33412286804715</v>
      </c>
      <c r="M95" s="50">
        <f>IF(M$2&gt;Assumptions!$B$25,Assumptions!$B$23*M92,MAX(Assumptions!$B$20*(1+Assumptions!$B$21)^(M$2-2027)*Assumptions!$B$38,Assumptions!$B$23*M92))</f>
        <v>94.07414655408856</v>
      </c>
      <c r="N95" s="50">
        <f>IF(N$2&gt;Assumptions!$B$25,Assumptions!$B$23*N92,MAX(Assumptions!$B$20*(1+Assumptions!$B$21)^(N$2-2027)*Assumptions!$B$38,Assumptions!$B$23*N92))</f>
        <v>96.89637095071122</v>
      </c>
      <c r="O95" s="50">
        <f>IF(O$2&gt;Assumptions!$B$25,Assumptions!$B$23*O92,MAX(Assumptions!$B$20*(1+Assumptions!$B$21)^(O$2-2027)*Assumptions!$B$38,Assumptions!$B$23*O92))</f>
        <v>99.80326207923255</v>
      </c>
      <c r="P95" s="50">
        <f>IF(P$2&gt;Assumptions!$B$25,Assumptions!$B$23*P92,MAX(Assumptions!$B$20*(1+Assumptions!$B$21)^(P$2-2027)*Assumptions!$B$38,Assumptions!$B$23*P92))</f>
        <v>102.79735994160954</v>
      </c>
      <c r="Q95" s="50">
        <f>IF(Q$2&gt;Assumptions!$B$25,Assumptions!$B$23*Q92,MAX(Assumptions!$B$20*(1+Assumptions!$B$21)^(Q$2-2027)*Assumptions!$B$38,Assumptions!$B$23*Q92))</f>
        <v>105.88128073985783</v>
      </c>
      <c r="R95" s="50">
        <f>IF(R$2&gt;Assumptions!$B$25,Assumptions!$B$23*R92,MAX(Assumptions!$B$20*(1+Assumptions!$B$21)^(R$2-2027)*Assumptions!$B$38,Assumptions!$B$23*R92))</f>
        <v>9.541884730346117</v>
      </c>
      <c r="S95" s="50">
        <f>IF(S$2&gt;Assumptions!$B$25,Assumptions!$B$23*S92,MAX(Assumptions!$B$20*(1+Assumptions!$B$21)^(S$2-2027)*Assumptions!$B$38,Assumptions!$B$23*S92))</f>
        <v>4.036936712476388</v>
      </c>
      <c r="T95" s="50">
        <f>IF(T$2&gt;Assumptions!$B$25,Assumptions!$B$23*T92,MAX(Assumptions!$B$20*(1+Assumptions!$B$21)^(T$2-2027)*Assumptions!$B$38,Assumptions!$B$23*T92))</f>
        <v>1.728505550244011</v>
      </c>
      <c r="U95" s="50">
        <f>IF(U$2&gt;Assumptions!$B$25,Assumptions!$B$23*U92,MAX(Assumptions!$B$20*(1+Assumptions!$B$21)^(U$2-2027)*Assumptions!$B$38,Assumptions!$B$23*U92))</f>
        <v>0.7509972440376962</v>
      </c>
      <c r="V95" s="50">
        <f>IF(V$2&gt;Assumptions!$B$25,Assumptions!$B$23*V92,MAX(Assumptions!$B$20*(1+Assumptions!$B$21)^(V$2-2027)*Assumptions!$B$38,Assumptions!$B$23*V92))</f>
        <v>0.33224360307014744</v>
      </c>
      <c r="W95" s="50">
        <f>IF(W$2&gt;Assumptions!$B$25,Assumptions!$B$23*W92,MAX(Assumptions!$B$20*(1+Assumptions!$B$21)^(W$2-2027)*Assumptions!$B$38,Assumptions!$B$23*W92))</f>
        <v>0.15035518906936055</v>
      </c>
      <c r="X95" s="50">
        <f>IF(X$2&gt;Assumptions!$B$25,Assumptions!$B$23*X92,MAX(Assumptions!$B$20*(1+Assumptions!$B$21)^(X$2-2027)*Assumptions!$B$38,Assumptions!$B$23*X92))</f>
        <v>0.07002249588372045</v>
      </c>
      <c r="Y95" s="50">
        <f>IF(Y$2&gt;Assumptions!$B$25,Assumptions!$B$23*Y92,MAX(Assumptions!$B$20*(1+Assumptions!$B$21)^(Y$2-2027)*Assumptions!$B$38,Assumptions!$B$23*Y92))</f>
        <v>0.03381286823297035</v>
      </c>
      <c r="Z95" s="50">
        <f>IF(Z$2&gt;Assumptions!$B$25,Assumptions!$B$23*Z92,MAX(Assumptions!$B$20*(1+Assumptions!$B$21)^(Z$2-2027)*Assumptions!$B$38,Assumptions!$B$23*Z92))</f>
        <v>0.01707482704654976</v>
      </c>
    </row>
    <row r="96" spans="1:26" x14ac:dyDescent="0.2">
      <c r="A96" s="10" t="s">
        <v>168</v>
      </c>
      <c r="C96" s="50">
        <f t="shared" ref="C96:Z96" si="12">C94+C95</f>
        <v>115.0</v>
      </c>
      <c r="D96" s="50">
        <f t="shared" si="12"/>
        <v>77.10000000000001</v>
      </c>
      <c r="E96" s="50">
        <f t="shared" si="12"/>
        <v>74.26299999999999</v>
      </c>
      <c r="F96" s="50">
        <f t="shared" si="12"/>
        <v>76.60762425593086</v>
      </c>
      <c r="G96" s="50">
        <f t="shared" si="12"/>
        <v>78.7856167</v>
      </c>
      <c r="H96" s="50">
        <f t="shared" si="12"/>
        <v>85.31486083984376</v>
      </c>
      <c r="I96" s="50">
        <f t="shared" si="12"/>
        <v>83.58366075703</v>
      </c>
      <c r="J96" s="50">
        <f t="shared" si="12"/>
        <v>86.09117057974092</v>
      </c>
      <c r="K96" s="50">
        <f t="shared" si="12"/>
        <v>88.67390569713315</v>
      </c>
      <c r="L96" s="50">
        <f t="shared" si="12"/>
        <v>91.33412286804715</v>
      </c>
      <c r="M96" s="50">
        <f t="shared" si="12"/>
        <v>94.07414655408856</v>
      </c>
      <c r="N96" s="50">
        <f t="shared" si="12"/>
        <v>96.89637095071122</v>
      </c>
      <c r="O96" s="50">
        <f t="shared" si="12"/>
        <v>99.80326207923255</v>
      </c>
      <c r="P96" s="50">
        <f t="shared" si="12"/>
        <v>102.79735994160954</v>
      </c>
      <c r="Q96" s="50">
        <f t="shared" si="12"/>
        <v>105.88128073985783</v>
      </c>
      <c r="R96" s="50">
        <f t="shared" si="12"/>
        <v>9.541884730346117</v>
      </c>
      <c r="S96" s="50">
        <f t="shared" si="12"/>
        <v>4.036936712476388</v>
      </c>
      <c r="T96" s="50">
        <f t="shared" si="12"/>
        <v>1.728505550244011</v>
      </c>
      <c r="U96" s="50">
        <f t="shared" si="12"/>
        <v>0.7509972440376962</v>
      </c>
      <c r="V96" s="50">
        <f t="shared" si="12"/>
        <v>0.33224360307014744</v>
      </c>
      <c r="W96" s="50">
        <f t="shared" si="12"/>
        <v>0.15035518906936055</v>
      </c>
      <c r="X96" s="50">
        <f t="shared" si="12"/>
        <v>0.07002249588372045</v>
      </c>
      <c r="Y96" s="50">
        <f t="shared" si="12"/>
        <v>0.03381286823297035</v>
      </c>
      <c r="Z96" s="50">
        <f t="shared" si="12"/>
        <v>0.01707482704654976</v>
      </c>
    </row>
    <row r="97" spans="1:26" x14ac:dyDescent="0.2">
      <c r="A97" s="10" t="s">
        <v>143</v>
      </c>
      <c r="C97" s="50">
        <f t="shared" ref="C97:Z97" si="13">C9+C18+C27+C36+C45+C57+C67+C77+C87</f>
        <v>128.81696460018085</v>
      </c>
      <c r="D97" s="50">
        <f t="shared" si="13"/>
        <v>164.4948413256951</v>
      </c>
      <c r="E97" s="50">
        <f t="shared" si="13"/>
        <v>201.81075655064643</v>
      </c>
      <c r="F97" s="50">
        <f t="shared" si="13"/>
        <v>236.24864630454107</v>
      </c>
      <c r="G97" s="50">
        <f t="shared" si="13"/>
        <v>243.18482689893264</v>
      </c>
      <c r="H97" s="50">
        <f t="shared" si="13"/>
        <v>264.9142216796875</v>
      </c>
      <c r="I97" s="50">
        <f t="shared" si="13"/>
        <v>255.51541625976563</v>
      </c>
      <c r="J97" s="50">
        <f t="shared" si="13"/>
        <v>255.7489371948242</v>
      </c>
      <c r="K97" s="50">
        <f t="shared" si="13"/>
        <v>253.40040289611815</v>
      </c>
      <c r="L97" s="50">
        <f t="shared" si="13"/>
        <v>252.38828217208862</v>
      </c>
      <c r="M97" s="50">
        <f t="shared" si="13"/>
        <v>251.92890362906647</v>
      </c>
      <c r="N97" s="50">
        <f t="shared" si="13"/>
        <v>251.70425452179984</v>
      </c>
      <c r="O97" s="50">
        <f t="shared" si="13"/>
        <v>205.3837216113499</v>
      </c>
      <c r="P97" s="50">
        <f t="shared" si="13"/>
        <v>162.15750349651242</v>
      </c>
      <c r="Q97" s="50">
        <f t="shared" si="13"/>
        <v>67.38226253758431</v>
      </c>
      <c r="R97" s="50">
        <f t="shared" si="13"/>
        <v>28.22547586926823</v>
      </c>
      <c r="S97" s="50">
        <f t="shared" si="13"/>
        <v>11.936180988383176</v>
      </c>
      <c r="T97" s="50">
        <f t="shared" si="13"/>
        <v>5.104746625860182</v>
      </c>
      <c r="U97" s="50">
        <f t="shared" si="13"/>
        <v>2.2124949482242564</v>
      </c>
      <c r="V97" s="50">
        <f t="shared" si="13"/>
        <v>0.9743905151998403</v>
      </c>
      <c r="W97" s="50">
        <f t="shared" si="13"/>
        <v>0.4375232642625394</v>
      </c>
      <c r="X97" s="50">
        <f t="shared" si="13"/>
        <v>0.20119592746696818</v>
      </c>
      <c r="Y97" s="50">
        <f t="shared" si="13"/>
        <v>0.0952990013707516</v>
      </c>
      <c r="Z97" s="50">
        <f t="shared" si="13"/>
        <v>0.046825405367523894</v>
      </c>
    </row>
    <row r="98" spans="1:26" x14ac:dyDescent="0.2">
      <c r="A98" s="10" t="s">
        <v>169</v>
      </c>
      <c r="C98" s="50">
        <f>IF(C$2&gt;Assumptions!$B$25,Assumptions!$B$22*C92,MAX(Assumptions!$B$19*(1+Assumptions!$B$21)^(C$2-2027)*Assumptions!$B$38,Assumptions!$B$22*C92))</f>
        <v>150.0</v>
      </c>
      <c r="D98" s="50">
        <f>IF(D$2&gt;Assumptions!$B$25,Assumptions!$B$22*D92,MAX(Assumptions!$B$19*(1+Assumptions!$B$21)^(D$2-2027)*Assumptions!$B$38,Assumptions!$B$22*D92))</f>
        <v>154.5</v>
      </c>
      <c r="E98" s="50">
        <f>IF(E$2&gt;Assumptions!$B$25,Assumptions!$B$22*E92,MAX(Assumptions!$B$19*(1+Assumptions!$B$21)^(E$2-2027)*Assumptions!$B$38,Assumptions!$B$22*E92))</f>
        <v>159.135</v>
      </c>
      <c r="F98" s="50">
        <f>IF(F$2&gt;Assumptions!$B$25,Assumptions!$B$22*F92,MAX(Assumptions!$B$19*(1+Assumptions!$B$21)^(F$2-2027)*Assumptions!$B$38,Assumptions!$B$22*F92))</f>
        <v>163.90905</v>
      </c>
      <c r="G98" s="50">
        <f>IF(G$2&gt;Assumptions!$B$25,Assumptions!$B$22*G92,MAX(Assumptions!$B$19*(1+Assumptions!$B$21)^(G$2-2027)*Assumptions!$B$38,Assumptions!$B$22*G92))</f>
        <v>168.82632150000003</v>
      </c>
      <c r="H98" s="50">
        <f>IF(H$2&gt;Assumptions!$B$25,Assumptions!$B$22*H92,MAX(Assumptions!$B$19*(1+Assumptions!$B$21)^(H$2-2027)*Assumptions!$B$38,Assumptions!$B$22*H92))</f>
        <v>173.891111145</v>
      </c>
      <c r="I98" s="50">
        <f>IF(I$2&gt;Assumptions!$B$25,Assumptions!$B$22*I92,MAX(Assumptions!$B$19*(1+Assumptions!$B$21)^(I$2-2027)*Assumptions!$B$38,Assumptions!$B$22*I92))</f>
        <v>179.10784447935</v>
      </c>
      <c r="J98" s="50">
        <f>IF(J$2&gt;Assumptions!$B$25,Assumptions!$B$22*J92,MAX(Assumptions!$B$19*(1+Assumptions!$B$21)^(J$2-2027)*Assumptions!$B$38,Assumptions!$B$22*J92))</f>
        <v>184.48107981373053</v>
      </c>
      <c r="K98" s="50">
        <f>IF(K$2&gt;Assumptions!$B$25,Assumptions!$B$22*K92,MAX(Assumptions!$B$19*(1+Assumptions!$B$21)^(K$2-2027)*Assumptions!$B$38,Assumptions!$B$22*K92))</f>
        <v>190.01551220814247</v>
      </c>
      <c r="L98" s="50">
        <f>IF(L$2&gt;Assumptions!$B$25,Assumptions!$B$22*L92,MAX(Assumptions!$B$19*(1+Assumptions!$B$21)^(L$2-2027)*Assumptions!$B$38,Assumptions!$B$22*L92))</f>
        <v>195.71597757438673</v>
      </c>
      <c r="M98" s="50">
        <f>IF(M$2&gt;Assumptions!$B$25,Assumptions!$B$22*M92,MAX(Assumptions!$B$19*(1+Assumptions!$B$21)^(M$2-2027)*Assumptions!$B$38,Assumptions!$B$22*M92))</f>
        <v>201.58745690161834</v>
      </c>
      <c r="N98" s="50">
        <f>IF(N$2&gt;Assumptions!$B$25,Assumptions!$B$22*N92,MAX(Assumptions!$B$19*(1+Assumptions!$B$21)^(N$2-2027)*Assumptions!$B$38,Assumptions!$B$22*N92))</f>
        <v>207.6350806086669</v>
      </c>
      <c r="O98" s="50">
        <f>IF(O$2&gt;Assumptions!$B$25,Assumptions!$B$22*O92,MAX(Assumptions!$B$19*(1+Assumptions!$B$21)^(O$2-2027)*Assumptions!$B$38,Assumptions!$B$22*O92))</f>
        <v>213.8641330269269</v>
      </c>
      <c r="P98" s="50">
        <f>IF(P$2&gt;Assumptions!$B$25,Assumptions!$B$22*P92,MAX(Assumptions!$B$19*(1+Assumptions!$B$21)^(P$2-2027)*Assumptions!$B$38,Assumptions!$B$22*P92))</f>
        <v>220.28005701773472</v>
      </c>
      <c r="Q98" s="50">
        <f>IF(Q$2&gt;Assumptions!$B$25,Assumptions!$B$22*Q92,MAX(Assumptions!$B$19*(1+Assumptions!$B$21)^(Q$2-2027)*Assumptions!$B$38,Assumptions!$B$22*Q92))</f>
        <v>226.88845872826678</v>
      </c>
      <c r="R98" s="50">
        <f>IF(R$2&gt;Assumptions!$B$25,Assumptions!$B$22*R92,MAX(Assumptions!$B$19*(1+Assumptions!$B$21)^(R$2-2027)*Assumptions!$B$38,Assumptions!$B$22*R92))</f>
        <v>11.45026167641534</v>
      </c>
      <c r="S98" s="50">
        <f>IF(S$2&gt;Assumptions!$B$25,Assumptions!$B$22*S92,MAX(Assumptions!$B$19*(1+Assumptions!$B$21)^(S$2-2027)*Assumptions!$B$38,Assumptions!$B$22*S92))</f>
        <v>4.844324054971665</v>
      </c>
      <c r="T98" s="50">
        <f>IF(T$2&gt;Assumptions!$B$25,Assumptions!$B$22*T92,MAX(Assumptions!$B$19*(1+Assumptions!$B$21)^(T$2-2027)*Assumptions!$B$38,Assumptions!$B$22*T92))</f>
        <v>2.074206660292813</v>
      </c>
      <c r="U98" s="50">
        <f>IF(U$2&gt;Assumptions!$B$25,Assumptions!$B$22*U92,MAX(Assumptions!$B$19*(1+Assumptions!$B$21)^(U$2-2027)*Assumptions!$B$38,Assumptions!$B$22*U92))</f>
        <v>0.9011966928452354</v>
      </c>
      <c r="V98" s="50">
        <f>IF(V$2&gt;Assumptions!$B$25,Assumptions!$B$22*V92,MAX(Assumptions!$B$19*(1+Assumptions!$B$21)^(V$2-2027)*Assumptions!$B$38,Assumptions!$B$22*V92))</f>
        <v>0.39869232368417684</v>
      </c>
      <c r="W98" s="50">
        <f>IF(W$2&gt;Assumptions!$B$25,Assumptions!$B$22*W92,MAX(Assumptions!$B$19*(1+Assumptions!$B$21)^(W$2-2027)*Assumptions!$B$38,Assumptions!$B$22*W92))</f>
        <v>0.18042622688323265</v>
      </c>
      <c r="X98" s="50">
        <f>IF(X$2&gt;Assumptions!$B$25,Assumptions!$B$22*X92,MAX(Assumptions!$B$19*(1+Assumptions!$B$21)^(X$2-2027)*Assumptions!$B$38,Assumptions!$B$22*X92))</f>
        <v>0.08402699506046453</v>
      </c>
      <c r="Y98" s="50">
        <f>IF(Y$2&gt;Assumptions!$B$25,Assumptions!$B$22*Y92,MAX(Assumptions!$B$19*(1+Assumptions!$B$21)^(Y$2-2027)*Assumptions!$B$38,Assumptions!$B$22*Y92))</f>
        <v>0.04057544187956441</v>
      </c>
      <c r="Z98" s="50">
        <f>IF(Z$2&gt;Assumptions!$B$25,Assumptions!$B$22*Z92,MAX(Assumptions!$B$19*(1+Assumptions!$B$21)^(Z$2-2027)*Assumptions!$B$38,Assumptions!$B$22*Z92))</f>
        <v>0.02048979245585971</v>
      </c>
    </row>
    <row r="99" spans="1:26" x14ac:dyDescent="0.2">
      <c r="A99" s="10" t="s">
        <v>170</v>
      </c>
      <c r="C99" s="50">
        <f t="shared" ref="C99:Z99" si="14">C97+C98</f>
        <v>278.8169646001809</v>
      </c>
      <c r="D99" s="50">
        <f t="shared" si="14"/>
        <v>318.9948413256951</v>
      </c>
      <c r="E99" s="50">
        <f t="shared" si="14"/>
        <v>360.9457565506464</v>
      </c>
      <c r="F99" s="50">
        <f t="shared" si="14"/>
        <v>400.1576963045411</v>
      </c>
      <c r="G99" s="50">
        <f t="shared" si="14"/>
        <v>412.0111483989327</v>
      </c>
      <c r="H99" s="50">
        <f t="shared" si="14"/>
        <v>438.8053328246875</v>
      </c>
      <c r="I99" s="50">
        <f t="shared" si="14"/>
        <v>434.6232607391156</v>
      </c>
      <c r="J99" s="50">
        <f t="shared" si="14"/>
        <v>440.23001700855474</v>
      </c>
      <c r="K99" s="50">
        <f t="shared" si="14"/>
        <v>443.41591510426065</v>
      </c>
      <c r="L99" s="50">
        <f t="shared" si="14"/>
        <v>448.10425974647535</v>
      </c>
      <c r="M99" s="50">
        <f t="shared" si="14"/>
        <v>453.5163605306848</v>
      </c>
      <c r="N99" s="50">
        <f t="shared" si="14"/>
        <v>459.33933513046674</v>
      </c>
      <c r="O99" s="50">
        <f t="shared" si="14"/>
        <v>419.2478546382768</v>
      </c>
      <c r="P99" s="50">
        <f t="shared" si="14"/>
        <v>382.43756051424714</v>
      </c>
      <c r="Q99" s="50">
        <f t="shared" si="14"/>
        <v>294.2707212658511</v>
      </c>
      <c r="R99" s="50">
        <f t="shared" si="14"/>
        <v>39.675737545683575</v>
      </c>
      <c r="S99" s="50">
        <f t="shared" si="14"/>
        <v>16.780505043354843</v>
      </c>
      <c r="T99" s="50">
        <f t="shared" si="14"/>
        <v>7.1789532861529946</v>
      </c>
      <c r="U99" s="50">
        <f t="shared" si="14"/>
        <v>3.113691641069492</v>
      </c>
      <c r="V99" s="50">
        <f t="shared" si="14"/>
        <v>1.373082838884017</v>
      </c>
      <c r="W99" s="50">
        <f t="shared" si="14"/>
        <v>0.617949491145772</v>
      </c>
      <c r="X99" s="50">
        <f t="shared" si="14"/>
        <v>0.2852229225274327</v>
      </c>
      <c r="Y99" s="50">
        <f t="shared" si="14"/>
        <v>0.135874443250316</v>
      </c>
      <c r="Z99" s="50">
        <f t="shared" si="14"/>
        <v>0.0673151978233836</v>
      </c>
    </row>
    <row r="100" spans="1:26" x14ac:dyDescent="0.2">
      <c r="A100" s="20" t="s">
        <v>171</v>
      </c>
      <c r="C100" s="62">
        <f t="shared" ref="C100:Z100" si="15">C92-C93-C96-C99</f>
        <v>-98.44879252593239</v>
      </c>
      <c r="D100" s="62">
        <f t="shared" si="15"/>
        <v>18.708900373021606</v>
      </c>
      <c r="E100" s="62">
        <f t="shared" si="15"/>
        <v>123.33545299248783</v>
      </c>
      <c r="F100" s="62">
        <f t="shared" si="15"/>
        <v>218.85948025777805</v>
      </c>
      <c r="G100" s="62">
        <f t="shared" si="15"/>
        <v>218.7534399135563</v>
      </c>
      <c r="H100" s="62">
        <f t="shared" si="15"/>
        <v>244.31690106203132</v>
      </c>
      <c r="I100" s="62">
        <f t="shared" si="15"/>
        <v>231.19644329877633</v>
      </c>
      <c r="J100" s="62">
        <f t="shared" si="15"/>
        <v>221.39420350789572</v>
      </c>
      <c r="K100" s="62">
        <f t="shared" si="15"/>
        <v>207.5191445207497</v>
      </c>
      <c r="L100" s="62">
        <f t="shared" si="15"/>
        <v>196.59356017708512</v>
      </c>
      <c r="M100" s="62">
        <f t="shared" si="15"/>
        <v>186.7597875289324</v>
      </c>
      <c r="N100" s="62">
        <f t="shared" si="15"/>
        <v>177.25379988710137</v>
      </c>
      <c r="O100" s="62">
        <f t="shared" si="15"/>
        <v>89.87297676190002</v>
      </c>
      <c r="P100" s="62">
        <f t="shared" si="15"/>
        <v>12.069685254980413</v>
      </c>
      <c r="Q100" s="62">
        <f t="shared" si="15"/>
        <v>-194.82330848206905</v>
      </c>
      <c r="R100" s="62">
        <f t="shared" si="15"/>
        <v>36.176806062905</v>
      </c>
      <c r="S100" s="62">
        <f t="shared" si="15"/>
        <v>15.016449026851696</v>
      </c>
      <c r="T100" s="62">
        <f t="shared" si="15"/>
        <v>6.297640187007959</v>
      </c>
      <c r="U100" s="62">
        <f t="shared" si="15"/>
        <v>2.678234319503643</v>
      </c>
      <c r="V100" s="62">
        <f t="shared" si="15"/>
        <v>1.1611188175768015</v>
      </c>
      <c r="W100" s="62">
        <f t="shared" si="15"/>
        <v>0.5170370474872285</v>
      </c>
      <c r="X100" s="62">
        <f t="shared" si="15"/>
        <v>0.2388673108997726</v>
      </c>
      <c r="Y100" s="62">
        <f t="shared" si="15"/>
        <v>0.11589146906981984</v>
      </c>
      <c r="Z100" s="62">
        <f t="shared" si="15"/>
        <v>0.05976758405098606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8.83203125" defaultRowHeight="16" x14ac:dyDescent="0.2"/>
  <cols>
    <col min="1" max="1" width="54" customWidth="1"/>
    <col min="2" max="3" width="12" customWidth="1"/>
    <col min="4" max="27" width="9" customWidth="1"/>
  </cols>
  <sheetData>
    <row r="1" spans="1:27" ht="19" x14ac:dyDescent="0.25">
      <c r="A1" s="19" t="s">
        <v>172</v>
      </c>
    </row>
    <row r="3" spans="1:27" x14ac:dyDescent="0.2">
      <c r="A3" s="10" t="s">
        <v>10</v>
      </c>
      <c r="B3" s="63" t="str">
        <f>Assumptions!$C$4</f>
        <v>Base</v>
      </c>
    </row>
    <row r="4" spans="1:27" x14ac:dyDescent="0.2">
      <c r="A4" s="10" t="s">
        <v>56</v>
      </c>
      <c r="B4" s="64">
        <f>Assumptions!$B$13</f>
        <v>46311</v>
      </c>
    </row>
    <row r="5" spans="1:27" x14ac:dyDescent="0.2">
      <c r="A5" s="10" t="s">
        <v>122</v>
      </c>
      <c r="B5" s="65">
        <f>Assumptions!$B$14</f>
        <v>0.12</v>
      </c>
    </row>
    <row r="7" spans="1:27" x14ac:dyDescent="0.2">
      <c r="A7" s="25" t="s">
        <v>173</v>
      </c>
      <c r="B7" s="66"/>
      <c r="C7" s="67" t="s">
        <v>174</v>
      </c>
      <c r="D7" s="25">
        <v>2027</v>
      </c>
      <c r="E7" s="25">
        <v>2028</v>
      </c>
      <c r="F7" s="25">
        <v>2029</v>
      </c>
      <c r="G7" s="25">
        <v>2030</v>
      </c>
      <c r="H7" s="25">
        <v>2031</v>
      </c>
      <c r="I7" s="25">
        <v>2032</v>
      </c>
      <c r="J7" s="25">
        <v>2033</v>
      </c>
      <c r="K7" s="25">
        <v>2034</v>
      </c>
      <c r="L7" s="25">
        <v>2035</v>
      </c>
      <c r="M7" s="25">
        <v>2036</v>
      </c>
      <c r="N7" s="25">
        <v>2037</v>
      </c>
      <c r="O7" s="25">
        <v>2038</v>
      </c>
      <c r="P7" s="25">
        <v>2039</v>
      </c>
      <c r="Q7" s="25">
        <v>2040</v>
      </c>
      <c r="R7" s="25">
        <v>2041</v>
      </c>
      <c r="S7" s="25">
        <v>2042</v>
      </c>
      <c r="T7" s="25">
        <v>2043</v>
      </c>
      <c r="U7" s="25">
        <v>2044</v>
      </c>
      <c r="V7" s="25">
        <v>2045</v>
      </c>
      <c r="W7" s="25">
        <v>2046</v>
      </c>
      <c r="X7" s="25">
        <v>2047</v>
      </c>
      <c r="Y7" s="25">
        <v>2048</v>
      </c>
      <c r="Z7" s="25">
        <v>2049</v>
      </c>
      <c r="AA7" s="25">
        <v>2050</v>
      </c>
    </row>
    <row r="8" spans="1:27" x14ac:dyDescent="0.2">
      <c r="A8" s="10" t="s">
        <v>175</v>
      </c>
      <c r="C8" s="50">
        <f>SUM('Quarterly Model'!H2:I2)</f>
        <v>138.0</v>
      </c>
      <c r="D8" s="68">
        <f>'Yearly Model'!H2</f>
        <v>320.1539507882076</v>
      </c>
      <c r="E8" s="68">
        <f>'Yearly Model'!I2</f>
        <v>453.4147074809043</v>
      </c>
      <c r="F8" s="68">
        <f>'Yearly Model'!J2</f>
        <v>613.178314673547</v>
      </c>
      <c r="G8" s="68">
        <f>'Yearly Model'!K2</f>
        <v>766.0762425593085</v>
      </c>
      <c r="H8" s="68">
        <f>'Yearly Model'!L2</f>
        <v>786.4779711735255</v>
      </c>
      <c r="I8" s="68">
        <f>'Yearly Model'!M2</f>
        <v>853.1486083984375</v>
      </c>
      <c r="J8" s="68">
        <f>'Yearly Model'!N2</f>
        <v>833.0445812988281</v>
      </c>
      <c r="K8" s="68">
        <f>'Yearly Model'!O2</f>
        <v>831.4866859741211</v>
      </c>
      <c r="L8" s="68">
        <f>'Yearly Model'!P2</f>
        <v>822.7488144805908</v>
      </c>
      <c r="M8" s="68">
        <f>'Yearly Model'!Q2</f>
        <v>818.8901308604432</v>
      </c>
      <c r="N8" s="68">
        <f>'Yearly Model'!R2</f>
        <v>817.0740061453323</v>
      </c>
      <c r="O8" s="68">
        <f>'Yearly Model'!S2</f>
        <v>816.1430678089993</v>
      </c>
      <c r="P8" s="68">
        <f>'Yearly Model'!T2</f>
        <v>683.6173261367494</v>
      </c>
      <c r="Q8" s="68">
        <f>'Yearly Model'!U2</f>
        <v>548.2420047145621</v>
      </c>
      <c r="R8" s="68">
        <f>'Yearly Model'!V2</f>
        <v>227.78060758072158</v>
      </c>
      <c r="S8" s="68">
        <f>'Yearly Model'!W2</f>
        <v>95.41884730346118</v>
      </c>
      <c r="T8" s="68">
        <f>'Yearly Model'!X2</f>
        <v>40.369367124763876</v>
      </c>
      <c r="U8" s="68">
        <f>'Yearly Model'!Y2</f>
        <v>17.28505550244011</v>
      </c>
      <c r="V8" s="68">
        <f>'Yearly Model'!Z2</f>
        <v>7.509972440376962</v>
      </c>
      <c r="W8" s="68">
        <f>'Yearly Model'!AA2</f>
        <v>3.322436030701474</v>
      </c>
      <c r="X8" s="68">
        <f>'Yearly Model'!AB2</f>
        <v>1.5035518906936054</v>
      </c>
      <c r="Y8" s="68">
        <f>'Yearly Model'!AC2</f>
        <v>0.7002249588372045</v>
      </c>
      <c r="Z8" s="68">
        <f>'Yearly Model'!AD2</f>
        <v>0.33812868232970344</v>
      </c>
      <c r="AA8" s="68">
        <f>'Yearly Model'!AE2</f>
        <v>0.1707482704654976</v>
      </c>
    </row>
    <row r="9" spans="1:27" x14ac:dyDescent="0.2">
      <c r="A9" s="10" t="s">
        <v>171</v>
      </c>
      <c r="C9" s="50">
        <f>SUM('Quarterly Model'!H8:I8)</f>
        <v>-75.97</v>
      </c>
      <c r="D9" s="68">
        <f>'Yearly Model'!H8</f>
        <v>-98.44879252593239</v>
      </c>
      <c r="E9" s="68">
        <f>'Yearly Model'!I8</f>
        <v>18.708900373021606</v>
      </c>
      <c r="F9" s="68">
        <f>'Yearly Model'!J8</f>
        <v>123.33545299248783</v>
      </c>
      <c r="G9" s="68">
        <f>'Yearly Model'!K8</f>
        <v>218.85948025777805</v>
      </c>
      <c r="H9" s="68">
        <f>'Yearly Model'!L8</f>
        <v>218.7534399135563</v>
      </c>
      <c r="I9" s="68">
        <f>'Yearly Model'!M8</f>
        <v>244.31690106203132</v>
      </c>
      <c r="J9" s="68">
        <f>'Yearly Model'!N8</f>
        <v>231.19644329877633</v>
      </c>
      <c r="K9" s="68">
        <f>'Yearly Model'!O8</f>
        <v>221.39420350789578</v>
      </c>
      <c r="L9" s="68">
        <f>'Yearly Model'!P8</f>
        <v>207.5191445207497</v>
      </c>
      <c r="M9" s="68">
        <f>'Yearly Model'!Q8</f>
        <v>196.59356017708512</v>
      </c>
      <c r="N9" s="68">
        <f>'Yearly Model'!R8</f>
        <v>186.7597875289324</v>
      </c>
      <c r="O9" s="68">
        <f>'Yearly Model'!S8</f>
        <v>177.25379988710142</v>
      </c>
      <c r="P9" s="68">
        <f>'Yearly Model'!T8</f>
        <v>89.87297676190008</v>
      </c>
      <c r="Q9" s="68">
        <f>'Yearly Model'!U8</f>
        <v>12.069685254980413</v>
      </c>
      <c r="R9" s="68">
        <f>'Yearly Model'!V8</f>
        <v>-194.82330848206908</v>
      </c>
      <c r="S9" s="68">
        <f>'Yearly Model'!W8</f>
        <v>36.176806062904994</v>
      </c>
      <c r="T9" s="68">
        <f>'Yearly Model'!X8</f>
        <v>15.016449026851696</v>
      </c>
      <c r="U9" s="68">
        <f>'Yearly Model'!Y8</f>
        <v>6.297640187007959</v>
      </c>
      <c r="V9" s="68">
        <f>'Yearly Model'!Z8</f>
        <v>2.6782343195036424</v>
      </c>
      <c r="W9" s="68">
        <f>'Yearly Model'!AA8</f>
        <v>1.1611188175768017</v>
      </c>
      <c r="X9" s="68">
        <f>'Yearly Model'!AB8</f>
        <v>0.5170370474872286</v>
      </c>
      <c r="Y9" s="68">
        <f>'Yearly Model'!AC8</f>
        <v>0.2388673108997726</v>
      </c>
      <c r="Z9" s="68">
        <f>'Yearly Model'!AD8</f>
        <v>0.11589146906981984</v>
      </c>
      <c r="AA9" s="68">
        <f>'Yearly Model'!AE8</f>
        <v>0.05976758405098605</v>
      </c>
    </row>
    <row r="10" spans="1:27" x14ac:dyDescent="0.2">
      <c r="A10" s="10" t="s">
        <v>176</v>
      </c>
      <c r="C10" s="50">
        <v>0</v>
      </c>
      <c r="D10" s="50">
        <f>IF(D9&gt;0,MAX(0,D9-'Yearly Model'!G21)*Assumptions!$B$15,0)</f>
        <v>0</v>
      </c>
      <c r="E10" s="50">
        <f>IF(E9&gt;0,MAX(0,E9-'Yearly Model'!H21)*Assumptions!$B$15,0)</f>
        <v>0.0</v>
      </c>
      <c r="F10" s="50">
        <f>IF(F9&gt;0,MAX(0,F9-'Yearly Model'!I21)*Assumptions!$B$15,0)</f>
        <v>0.0</v>
      </c>
      <c r="G10" s="50">
        <f>IF(G9&gt;0,MAX(0,G9-'Yearly Model'!J21)*Assumptions!$B$15,0)</f>
        <v>0.0</v>
      </c>
      <c r="H10" s="50">
        <f>IF(H9&gt;0,MAX(0,H9-'Yearly Model'!K21)*Assumptions!$B$15,0)</f>
        <v>1.4774088894190227</v>
      </c>
      <c r="I10" s="50">
        <f>IF(I9&gt;0,MAX(0,I9-'Yearly Model'!L21)*Assumptions!$B$15,0)</f>
        <v>51.30654922302657</v>
      </c>
      <c r="J10" s="50">
        <f>IF(J9&gt;0,MAX(0,J9-'Yearly Model'!M21)*Assumptions!$B$15,0)</f>
        <v>48.551253092743025</v>
      </c>
      <c r="K10" s="50">
        <f>IF(K9&gt;0,MAX(0,K9-'Yearly Model'!N21)*Assumptions!$B$15,0)</f>
        <v>46.492782736658114</v>
      </c>
      <c r="L10" s="50">
        <f>IF(L9&gt;0,MAX(0,L9-'Yearly Model'!O21)*Assumptions!$B$15,0)</f>
        <v>43.579020349357435</v>
      </c>
      <c r="M10" s="50">
        <f>IF(M9&gt;0,MAX(0,M9-'Yearly Model'!P21)*Assumptions!$B$15,0)</f>
        <v>41.284647637187874</v>
      </c>
      <c r="N10" s="50">
        <f>IF(N9&gt;0,MAX(0,N9-'Yearly Model'!Q21)*Assumptions!$B$15,0)</f>
        <v>39.21955538107581</v>
      </c>
      <c r="O10" s="50">
        <f>IF(O9&gt;0,MAX(0,O9-'Yearly Model'!R21)*Assumptions!$B$15,0)</f>
        <v>37.2232979762913</v>
      </c>
      <c r="P10" s="50">
        <f>IF(P9&gt;0,MAX(0,P9-'Yearly Model'!S21)*Assumptions!$B$15,0)</f>
        <v>18.873325119999016</v>
      </c>
      <c r="Q10" s="50">
        <f>IF(Q9&gt;0,MAX(0,Q9-'Yearly Model'!T21)*Assumptions!$B$15,0)</f>
        <v>2.534633903545887</v>
      </c>
      <c r="R10" s="50">
        <f>IF(R9&gt;0,MAX(0,R9-'Yearly Model'!U21)*Assumptions!$B$15,0)</f>
        <v>0</v>
      </c>
      <c r="S10" s="50">
        <f>IF(S9&gt;0,MAX(0,S9-'Yearly Model'!V21)*Assumptions!$B$15,0)</f>
        <v>0.0</v>
      </c>
      <c r="T10" s="50">
        <f>IF(T9&gt;0,MAX(0,T9-'Yearly Model'!W21)*Assumptions!$B$15,0)</f>
        <v>3.153454295638856</v>
      </c>
      <c r="U10" s="50">
        <f>IF(U9&gt;0,MAX(0,U9-'Yearly Model'!X21)*Assumptions!$B$15,0)</f>
        <v>1.3225044392716714</v>
      </c>
      <c r="V10" s="50">
        <f>IF(V9&gt;0,MAX(0,V9-'Yearly Model'!Y21)*Assumptions!$B$15,0)</f>
        <v>0.5624292070957649</v>
      </c>
      <c r="W10" s="50">
        <f>IF(W9&gt;0,MAX(0,W9-'Yearly Model'!Z21)*Assumptions!$B$15,0)</f>
        <v>0.24383495169112834</v>
      </c>
      <c r="X10" s="50">
        <f>IF(X9&gt;0,MAX(0,X9-'Yearly Model'!AA21)*Assumptions!$B$15,0)</f>
        <v>0.10857777997231799</v>
      </c>
      <c r="Y10" s="50">
        <f>IF(Y9&gt;0,MAX(0,Y9-'Yearly Model'!AB21)*Assumptions!$B$15,0)</f>
        <v>0.05016213528895224</v>
      </c>
      <c r="Z10" s="50">
        <f>IF(Z9&gt;0,MAX(0,Z9-'Yearly Model'!AC21)*Assumptions!$B$15,0)</f>
        <v>0.024337208504662165</v>
      </c>
      <c r="AA10" s="50">
        <f>IF(AA9&gt;0,MAX(0,AA9-'Yearly Model'!AD21)*Assumptions!$B$15,0)</f>
        <v>0.012551192650707069</v>
      </c>
    </row>
    <row r="11" spans="1:27" x14ac:dyDescent="0.2">
      <c r="A11" s="20" t="s">
        <v>177</v>
      </c>
      <c r="C11" s="54">
        <f t="shared" ref="C11:AA11" si="0">C9-C10</f>
        <v>-75.97</v>
      </c>
      <c r="D11" s="54">
        <f t="shared" si="0"/>
        <v>-98.44879252593239</v>
      </c>
      <c r="E11" s="54">
        <f t="shared" si="0"/>
        <v>18.708900373021606</v>
      </c>
      <c r="F11" s="54">
        <f t="shared" si="0"/>
        <v>123.33545299248783</v>
      </c>
      <c r="G11" s="54">
        <f t="shared" si="0"/>
        <v>218.85948025777805</v>
      </c>
      <c r="H11" s="54">
        <f t="shared" si="0"/>
        <v>217.27603102413727</v>
      </c>
      <c r="I11" s="54">
        <f t="shared" si="0"/>
        <v>193.01035183900476</v>
      </c>
      <c r="J11" s="54">
        <f t="shared" si="0"/>
        <v>182.6451902060333</v>
      </c>
      <c r="K11" s="54">
        <f t="shared" si="0"/>
        <v>174.90142077123767</v>
      </c>
      <c r="L11" s="54">
        <f t="shared" si="0"/>
        <v>163.94012417139226</v>
      </c>
      <c r="M11" s="54">
        <f t="shared" si="0"/>
        <v>155.30891253989725</v>
      </c>
      <c r="N11" s="54">
        <f t="shared" si="0"/>
        <v>147.5402321478566</v>
      </c>
      <c r="O11" s="54">
        <f t="shared" si="0"/>
        <v>140.03050191081013</v>
      </c>
      <c r="P11" s="54">
        <f t="shared" si="0"/>
        <v>70.99965164190107</v>
      </c>
      <c r="Q11" s="54">
        <f t="shared" si="0"/>
        <v>9.535051351434527</v>
      </c>
      <c r="R11" s="54">
        <f t="shared" si="0"/>
        <v>-194.82330848206908</v>
      </c>
      <c r="S11" s="54">
        <f t="shared" si="0"/>
        <v>36.176806062904994</v>
      </c>
      <c r="T11" s="54">
        <f t="shared" si="0"/>
        <v>11.86299473121284</v>
      </c>
      <c r="U11" s="54">
        <f t="shared" si="0"/>
        <v>4.975135747736287</v>
      </c>
      <c r="V11" s="54">
        <f t="shared" si="0"/>
        <v>2.1158051124078776</v>
      </c>
      <c r="W11" s="54">
        <f t="shared" si="0"/>
        <v>0.9172838658856733</v>
      </c>
      <c r="X11" s="54">
        <f t="shared" si="0"/>
        <v>0.4084592675149106</v>
      </c>
      <c r="Y11" s="54">
        <f t="shared" si="0"/>
        <v>0.18870517561082034</v>
      </c>
      <c r="Z11" s="54">
        <f t="shared" si="0"/>
        <v>0.09155426056515767</v>
      </c>
      <c r="AA11" s="54">
        <f t="shared" si="0"/>
        <v>0.04721639140027898</v>
      </c>
    </row>
    <row r="12" spans="1:27" x14ac:dyDescent="0.2">
      <c r="A12" s="10" t="s">
        <v>178</v>
      </c>
      <c r="C12" s="69">
        <f>DATE(2026,10,1)</f>
        <v>46296</v>
      </c>
      <c r="D12" s="69">
        <f t="shared" ref="D12:AA12" si="1">DATE(D7,7,1)</f>
        <v>46569</v>
      </c>
      <c r="E12" s="69">
        <f t="shared" si="1"/>
        <v>46935</v>
      </c>
      <c r="F12" s="69">
        <f t="shared" si="1"/>
        <v>47300</v>
      </c>
      <c r="G12" s="69">
        <f t="shared" si="1"/>
        <v>47665</v>
      </c>
      <c r="H12" s="69">
        <f t="shared" si="1"/>
        <v>48030</v>
      </c>
      <c r="I12" s="69">
        <f t="shared" si="1"/>
        <v>48396</v>
      </c>
      <c r="J12" s="69">
        <f t="shared" si="1"/>
        <v>48761</v>
      </c>
      <c r="K12" s="69">
        <f t="shared" si="1"/>
        <v>49126</v>
      </c>
      <c r="L12" s="69">
        <f t="shared" si="1"/>
        <v>49491</v>
      </c>
      <c r="M12" s="69">
        <f t="shared" si="1"/>
        <v>49857</v>
      </c>
      <c r="N12" s="69">
        <f t="shared" si="1"/>
        <v>50222</v>
      </c>
      <c r="O12" s="69">
        <f t="shared" si="1"/>
        <v>50587</v>
      </c>
      <c r="P12" s="69">
        <f t="shared" si="1"/>
        <v>50952</v>
      </c>
      <c r="Q12" s="69">
        <f t="shared" si="1"/>
        <v>51318</v>
      </c>
      <c r="R12" s="69">
        <f t="shared" si="1"/>
        <v>51683</v>
      </c>
      <c r="S12" s="69">
        <f t="shared" si="1"/>
        <v>52048</v>
      </c>
      <c r="T12" s="69">
        <f t="shared" si="1"/>
        <v>52413</v>
      </c>
      <c r="U12" s="69">
        <f t="shared" si="1"/>
        <v>52779</v>
      </c>
      <c r="V12" s="69">
        <f t="shared" si="1"/>
        <v>53144</v>
      </c>
      <c r="W12" s="69">
        <f t="shared" si="1"/>
        <v>53509</v>
      </c>
      <c r="X12" s="69">
        <f t="shared" si="1"/>
        <v>53874</v>
      </c>
      <c r="Y12" s="69">
        <f t="shared" si="1"/>
        <v>54240</v>
      </c>
      <c r="Z12" s="69">
        <f t="shared" si="1"/>
        <v>54605</v>
      </c>
      <c r="AA12" s="69">
        <f t="shared" si="1"/>
        <v>54970</v>
      </c>
    </row>
    <row r="13" spans="1:27" x14ac:dyDescent="0.2">
      <c r="A13" s="10" t="s">
        <v>179</v>
      </c>
      <c r="C13" s="8">
        <f t="shared" ref="C13:AA13" si="2">MAX(0,(C12-$B$4)/365.25)</f>
        <v>0</v>
      </c>
      <c r="D13" s="8">
        <f t="shared" si="2"/>
        <v>0.7063655030800822</v>
      </c>
      <c r="E13" s="8">
        <f t="shared" si="2"/>
        <v>1.7084188911704312</v>
      </c>
      <c r="F13" s="8">
        <f t="shared" si="2"/>
        <v>2.707734428473648</v>
      </c>
      <c r="G13" s="8">
        <f t="shared" si="2"/>
        <v>3.707049965776865</v>
      </c>
      <c r="H13" s="8">
        <f t="shared" si="2"/>
        <v>4.706365503080082</v>
      </c>
      <c r="I13" s="8">
        <f t="shared" si="2"/>
        <v>5.708418891170431</v>
      </c>
      <c r="J13" s="8">
        <f t="shared" si="2"/>
        <v>6.707734428473648</v>
      </c>
      <c r="K13" s="8">
        <f t="shared" si="2"/>
        <v>7.707049965776865</v>
      </c>
      <c r="L13" s="8">
        <f t="shared" si="2"/>
        <v>8.706365503080082</v>
      </c>
      <c r="M13" s="8">
        <f t="shared" si="2"/>
        <v>9.708418891170432</v>
      </c>
      <c r="N13" s="8">
        <f t="shared" si="2"/>
        <v>10.707734428473648</v>
      </c>
      <c r="O13" s="8">
        <f t="shared" si="2"/>
        <v>11.707049965776864</v>
      </c>
      <c r="P13" s="8">
        <f t="shared" si="2"/>
        <v>12.706365503080082</v>
      </c>
      <c r="Q13" s="8">
        <f t="shared" si="2"/>
        <v>13.708418891170432</v>
      </c>
      <c r="R13" s="8">
        <f t="shared" si="2"/>
        <v>14.707734428473648</v>
      </c>
      <c r="S13" s="8">
        <f t="shared" si="2"/>
        <v>15.707049965776864</v>
      </c>
      <c r="T13" s="8">
        <f t="shared" si="2"/>
        <v>16.706365503080082</v>
      </c>
      <c r="U13" s="8">
        <f t="shared" si="2"/>
        <v>17.70841889117043</v>
      </c>
      <c r="V13" s="8">
        <f t="shared" si="2"/>
        <v>18.70773442847365</v>
      </c>
      <c r="W13" s="8">
        <f t="shared" si="2"/>
        <v>19.707049965776864</v>
      </c>
      <c r="X13" s="8">
        <f t="shared" si="2"/>
        <v>20.706365503080082</v>
      </c>
      <c r="Y13" s="8">
        <f t="shared" si="2"/>
        <v>21.70841889117043</v>
      </c>
      <c r="Z13" s="8">
        <f t="shared" si="2"/>
        <v>22.70773442847365</v>
      </c>
      <c r="AA13" s="8">
        <f t="shared" si="2"/>
        <v>23.707049965776864</v>
      </c>
    </row>
    <row r="14" spans="1:27" x14ac:dyDescent="0.2">
      <c r="A14" s="10" t="s">
        <v>180</v>
      </c>
      <c r="C14" s="70">
        <f t="shared" ref="C14:AA14" si="3">1/(1+$B$5)^C13</f>
        <v>1.0</v>
      </c>
      <c r="D14" s="70">
        <f t="shared" si="3"/>
        <v>0.9230688312938522</v>
      </c>
      <c r="E14" s="70">
        <f t="shared" si="3"/>
        <v>0.8239768312442507</v>
      </c>
      <c r="F14" s="70">
        <f t="shared" si="3"/>
        <v>0.7357506687449087</v>
      </c>
      <c r="G14" s="70">
        <f t="shared" si="3"/>
        <v>0.656971198742498</v>
      </c>
      <c r="H14" s="70">
        <f t="shared" si="3"/>
        <v>0.5866269298992621</v>
      </c>
      <c r="I14" s="70">
        <f t="shared" si="3"/>
        <v>0.523652172442448</v>
      </c>
      <c r="J14" s="70">
        <f t="shared" si="3"/>
        <v>0.46758285118583376</v>
      </c>
      <c r="K14" s="70">
        <f t="shared" si="3"/>
        <v>0.4175170737921507</v>
      </c>
      <c r="L14" s="70">
        <f t="shared" si="3"/>
        <v>0.37281201923010465</v>
      </c>
      <c r="M14" s="70">
        <f t="shared" si="3"/>
        <v>0.33279042238313983</v>
      </c>
      <c r="N14" s="70">
        <f t="shared" si="3"/>
        <v>0.2971573550806732</v>
      </c>
      <c r="O14" s="70">
        <f t="shared" si="3"/>
        <v>0.2653396484375957</v>
      </c>
      <c r="P14" s="70">
        <f t="shared" si="3"/>
        <v>0.23692877806734103</v>
      </c>
      <c r="Q14" s="70">
        <f t="shared" si="3"/>
        <v>0.21149432974446508</v>
      </c>
      <c r="R14" s="70">
        <f t="shared" si="3"/>
        <v>0.1888488712847315</v>
      </c>
      <c r="S14" s="70">
        <f t="shared" si="3"/>
        <v>0.16862814349967428</v>
      </c>
      <c r="T14" s="70">
        <f t="shared" si="3"/>
        <v>0.15057252175616126</v>
      </c>
      <c r="U14" s="70">
        <f t="shared" si="3"/>
        <v>0.13440847003272016</v>
      </c>
      <c r="V14" s="70">
        <f t="shared" si="3"/>
        <v>0.12001687178779381</v>
      </c>
      <c r="W14" s="70">
        <f t="shared" si="3"/>
        <v>0.10716623372188709</v>
      </c>
      <c r="X14" s="70">
        <f t="shared" si="3"/>
        <v>0.09569155968704522</v>
      </c>
      <c r="Y14" s="70">
        <f t="shared" si="3"/>
        <v>0.08541901259652764</v>
      </c>
      <c r="Z14" s="70">
        <f t="shared" si="3"/>
        <v>0.07627289173473771</v>
      </c>
      <c r="AA14" s="70">
        <f t="shared" si="3"/>
        <v>0.0681060789248167</v>
      </c>
    </row>
    <row r="15" spans="1:27" x14ac:dyDescent="0.2">
      <c r="A15" s="20" t="s">
        <v>181</v>
      </c>
      <c r="C15" s="54">
        <f t="shared" ref="C15:AA15" si="4">C11*C14</f>
        <v>-75.97</v>
      </c>
      <c r="D15" s="54">
        <f t="shared" si="4"/>
        <v>-90.87501185920334</v>
      </c>
      <c r="E15" s="54">
        <f t="shared" si="4"/>
        <v>15.415700445426722</v>
      </c>
      <c r="F15" s="54">
        <f t="shared" si="4"/>
        <v>90.74414201917917</v>
      </c>
      <c r="G15" s="54">
        <f t="shared" si="4"/>
        <v>143.78437510111252</v>
      </c>
      <c r="H15" s="54">
        <f t="shared" si="4"/>
        <v>127.45997102038648</v>
      </c>
      <c r="I15" s="54">
        <f t="shared" si="4"/>
        <v>101.07029004437608</v>
      </c>
      <c r="J15" s="54">
        <f t="shared" si="4"/>
        <v>85.40175879191597</v>
      </c>
      <c r="K15" s="54">
        <f t="shared" si="4"/>
        <v>73.02432940249683</v>
      </c>
      <c r="L15" s="54">
        <f t="shared" si="4"/>
        <v>61.118848725170835</v>
      </c>
      <c r="M15" s="54">
        <f t="shared" si="4"/>
        <v>51.685318604018526</v>
      </c>
      <c r="N15" s="54">
        <f t="shared" si="4"/>
        <v>43.84266515304558</v>
      </c>
      <c r="O15" s="54">
        <f t="shared" si="4"/>
        <v>37.15564414755443</v>
      </c>
      <c r="P15" s="54">
        <f t="shared" si="4"/>
        <v>16.821860706722504</v>
      </c>
      <c r="Q15" s="54">
        <f t="shared" si="4"/>
        <v>2.016609294650701</v>
      </c>
      <c r="R15" s="54">
        <f t="shared" si="4"/>
        <v>-36.7921619067958</v>
      </c>
      <c r="S15" s="54">
        <f t="shared" si="4"/>
        <v>6.10042764413543</v>
      </c>
      <c r="T15" s="54">
        <f t="shared" si="4"/>
        <v>1.7862410322587718</v>
      </c>
      <c r="U15" s="54">
        <f t="shared" si="4"/>
        <v>0.6687003840583275</v>
      </c>
      <c r="V15" s="54">
        <f t="shared" si="4"/>
        <v>0.2539323109038149</v>
      </c>
      <c r="W15" s="54">
        <f t="shared" si="4"/>
        <v>0.0983018571608202</v>
      </c>
      <c r="X15" s="54">
        <f t="shared" si="4"/>
        <v>0.03908610437712984</v>
      </c>
      <c r="Y15" s="54">
        <f t="shared" si="4"/>
        <v>0.016119009772530623</v>
      </c>
      <c r="Z15" s="54">
        <f t="shared" si="4"/>
        <v>0.006983108203940237</v>
      </c>
      <c r="AA15" s="54">
        <f t="shared" si="4"/>
        <v>0.0032157232792524365</v>
      </c>
    </row>
    <row r="17" spans="1:5" x14ac:dyDescent="0.2">
      <c r="A17" s="27" t="s">
        <v>182</v>
      </c>
      <c r="B17" s="28"/>
      <c r="C17" s="28"/>
    </row>
    <row r="18" spans="1:5" x14ac:dyDescent="0.2">
      <c r="A18" s="10" t="s">
        <v>183</v>
      </c>
      <c r="C18" s="50">
        <f>SUM(C15:AA15)</f>
        <v>654.8773468642072</v>
      </c>
    </row>
    <row r="19" spans="1:5" x14ac:dyDescent="0.2">
      <c r="A19" s="10" t="s">
        <v>184</v>
      </c>
      <c r="C19" s="68">
        <f>Main!C7</f>
        <v>170</v>
      </c>
    </row>
    <row r="20" spans="1:5" x14ac:dyDescent="0.2">
      <c r="A20" s="10" t="s">
        <v>185</v>
      </c>
      <c r="C20" s="68">
        <f>Main!C8</f>
        <v>0</v>
      </c>
    </row>
    <row r="21" spans="1:5" x14ac:dyDescent="0.2">
      <c r="A21" s="10" t="s">
        <v>186</v>
      </c>
      <c r="C21" s="50">
        <f>C18+C19-C20</f>
        <v>824.8773468642072</v>
      </c>
    </row>
    <row r="22" spans="1:5" x14ac:dyDescent="0.2">
      <c r="A22" s="10" t="s">
        <v>187</v>
      </c>
      <c r="C22" s="71">
        <f>Main!C4</f>
        <v>60.462687</v>
      </c>
    </row>
    <row r="23" spans="1:5" x14ac:dyDescent="0.2">
      <c r="A23" s="10" t="s">
        <v>188</v>
      </c>
      <c r="C23" s="51">
        <f>C21/C22</f>
        <v>13.642750393547795</v>
      </c>
    </row>
    <row r="25" spans="1:5" x14ac:dyDescent="0.2">
      <c r="A25" s="25" t="s">
        <v>189</v>
      </c>
      <c r="B25" s="26" t="s">
        <v>190</v>
      </c>
      <c r="C25" s="26" t="s">
        <v>191</v>
      </c>
      <c r="D25" s="26" t="s">
        <v>192</v>
      </c>
      <c r="E25" s="26" t="s">
        <v>193</v>
      </c>
    </row>
    <row r="26" spans="1:5" x14ac:dyDescent="0.2">
      <c r="A26" s="10" t="s">
        <v>194</v>
      </c>
      <c r="B26" s="61">
        <v>0</v>
      </c>
      <c r="C26" s="61">
        <v>0</v>
      </c>
      <c r="D26" s="61">
        <v>0</v>
      </c>
      <c r="E26" s="72">
        <f>IF(AND(C26&gt;0,$C$23&gt;D26),1,0)</f>
        <v>0</v>
      </c>
    </row>
    <row r="27" spans="1:5" x14ac:dyDescent="0.2">
      <c r="A27" s="10" t="s">
        <v>194</v>
      </c>
      <c r="B27" s="61">
        <v>0</v>
      </c>
      <c r="C27" s="61">
        <v>0</v>
      </c>
      <c r="D27" s="61">
        <v>0</v>
      </c>
      <c r="E27" s="72">
        <f>IF(AND(C27&gt;0,$C$23&gt;D27),1,0)</f>
        <v>0</v>
      </c>
    </row>
    <row r="28" spans="1:5" x14ac:dyDescent="0.2">
      <c r="A28" s="10" t="s">
        <v>194</v>
      </c>
      <c r="B28" s="61">
        <v>0</v>
      </c>
      <c r="C28" s="61">
        <v>0</v>
      </c>
      <c r="D28" s="61">
        <v>0</v>
      </c>
      <c r="E28" s="72">
        <f>IF(AND(C28&gt;0,$C$23&gt;D28),1,0)</f>
        <v>0</v>
      </c>
    </row>
    <row r="29" spans="1:5" x14ac:dyDescent="0.2">
      <c r="A29" s="10" t="s">
        <v>194</v>
      </c>
      <c r="B29" s="61">
        <v>0</v>
      </c>
      <c r="C29" s="61">
        <v>0</v>
      </c>
      <c r="D29" s="61">
        <v>0</v>
      </c>
      <c r="E29" s="72">
        <f>IF(AND(C29&gt;0,$C$23&gt;D29),1,0)</f>
        <v>0</v>
      </c>
    </row>
    <row r="30" spans="1:5" x14ac:dyDescent="0.2">
      <c r="A30" s="10" t="s">
        <v>194</v>
      </c>
      <c r="B30" s="61">
        <v>0</v>
      </c>
      <c r="C30" s="61">
        <v>0</v>
      </c>
      <c r="D30" s="61">
        <v>0</v>
      </c>
      <c r="E30" s="72">
        <f>IF(AND(C30&gt;0,$C$23&gt;D30),1,0)</f>
        <v>0</v>
      </c>
    </row>
    <row r="31" spans="1:5" x14ac:dyDescent="0.2">
      <c r="A31" s="20" t="s">
        <v>195</v>
      </c>
      <c r="C31" s="54">
        <f>C21+SUMPRODUCT(B26:B30,E26:E30)</f>
        <v>824.8773468642072</v>
      </c>
    </row>
    <row r="32" spans="1:5" x14ac:dyDescent="0.2">
      <c r="A32" s="10" t="s">
        <v>196</v>
      </c>
      <c r="C32" s="15">
        <f>C22+SUMPRODUCT(C26:C30,E26:E30)</f>
        <v>60.462687</v>
      </c>
    </row>
    <row r="33" spans="1:4" x14ac:dyDescent="0.2">
      <c r="A33" s="10" t="s">
        <v>197</v>
      </c>
      <c r="C33" s="51">
        <f>C31/C32</f>
        <v>13.642750393547795</v>
      </c>
    </row>
    <row r="35" spans="1:4" x14ac:dyDescent="0.2">
      <c r="A35" s="25" t="s">
        <v>198</v>
      </c>
      <c r="B35" s="26" t="s">
        <v>199</v>
      </c>
      <c r="C35" s="26" t="s">
        <v>200</v>
      </c>
      <c r="D35" s="26" t="s">
        <v>201</v>
      </c>
    </row>
    <row r="36" spans="1:4" x14ac:dyDescent="0.2">
      <c r="A36" s="10" t="s">
        <v>202</v>
      </c>
      <c r="B36" s="73">
        <v>4.1752320000000003</v>
      </c>
      <c r="C36" s="74">
        <v>13.1</v>
      </c>
      <c r="D36" s="70">
        <f t="shared" ref="D36:D41" si="5">IF(AND(B36&gt;0,$C$33&gt;C36),B36*(1-C36/$C$33),0)</f>
        <v>0.16610351621071073</v>
      </c>
    </row>
    <row r="37" spans="1:4" x14ac:dyDescent="0.2">
      <c r="A37" s="10" t="s">
        <v>203</v>
      </c>
      <c r="B37" s="73">
        <v>1.323</v>
      </c>
      <c r="C37" s="74">
        <v>0</v>
      </c>
      <c r="D37" s="70">
        <f t="shared" si="5"/>
        <v>1.323</v>
      </c>
    </row>
    <row r="38" spans="1:4" x14ac:dyDescent="0.2">
      <c r="A38" s="10" t="s">
        <v>194</v>
      </c>
      <c r="B38" s="61">
        <v>0</v>
      </c>
      <c r="C38" s="61">
        <v>0</v>
      </c>
      <c r="D38" s="70">
        <f t="shared" si="5"/>
        <v>0</v>
      </c>
    </row>
    <row r="39" spans="1:4" x14ac:dyDescent="0.2">
      <c r="A39" s="10" t="s">
        <v>194</v>
      </c>
      <c r="B39" s="61">
        <v>0</v>
      </c>
      <c r="C39" s="61">
        <v>0</v>
      </c>
      <c r="D39" s="70">
        <f t="shared" si="5"/>
        <v>0</v>
      </c>
    </row>
    <row r="40" spans="1:4" x14ac:dyDescent="0.2">
      <c r="A40" s="10" t="s">
        <v>194</v>
      </c>
      <c r="B40" s="61">
        <v>0</v>
      </c>
      <c r="C40" s="61">
        <v>0</v>
      </c>
      <c r="D40" s="70">
        <f t="shared" si="5"/>
        <v>0</v>
      </c>
    </row>
    <row r="41" spans="1:4" x14ac:dyDescent="0.2">
      <c r="A41" s="10" t="s">
        <v>194</v>
      </c>
      <c r="B41" s="61">
        <v>0</v>
      </c>
      <c r="C41" s="61">
        <v>0</v>
      </c>
      <c r="D41" s="70">
        <f t="shared" si="5"/>
        <v>0</v>
      </c>
    </row>
    <row r="42" spans="1:4" x14ac:dyDescent="0.2">
      <c r="A42" s="10" t="s">
        <v>204</v>
      </c>
      <c r="C42" s="15">
        <f>C32+SUM(D36:D41)</f>
        <v>61.951790516210714</v>
      </c>
    </row>
    <row r="43" spans="1:4" x14ac:dyDescent="0.2">
      <c r="A43" s="20" t="s">
        <v>205</v>
      </c>
      <c r="C43" s="75">
        <f>C31/C42</f>
        <v>13.314826577100533</v>
      </c>
    </row>
    <row r="44" spans="1:4" x14ac:dyDescent="0.2">
      <c r="A44" s="10" t="s">
        <v>206</v>
      </c>
      <c r="C44" s="76">
        <f>Main!C3</f>
        <v>4.17</v>
      </c>
    </row>
    <row r="45" spans="1:4" x14ac:dyDescent="0.2">
      <c r="A45" s="20" t="s">
        <v>207</v>
      </c>
      <c r="C45" s="56">
        <f>C43/C44-1</f>
        <v>2.193003975323869</v>
      </c>
    </row>
    <row r="46" spans="1:4" x14ac:dyDescent="0.2">
      <c r="A46" s="10" t="s">
        <v>208</v>
      </c>
      <c r="C46" s="51">
        <f>(C19-C20)/C22</f>
        <v>2.8116514239600368</v>
      </c>
    </row>
    <row r="47" spans="1:4" x14ac:dyDescent="0.2">
      <c r="A47" s="10" t="s">
        <v>209</v>
      </c>
      <c r="C47" s="68">
        <f>'Quarterly Model'!I20</f>
        <v>96.73</v>
      </c>
    </row>
    <row r="48" spans="1:4" x14ac:dyDescent="0.2">
      <c r="A48" s="10" t="s">
        <v>210</v>
      </c>
      <c r="C48" s="51">
        <f>MAX(0,C47-C20-Assumptions!$B$27)/C22</f>
        <v>1.103655879534431</v>
      </c>
    </row>
    <row r="49" spans="1:3" x14ac:dyDescent="0.2">
      <c r="A49" s="10" t="s">
        <v>211</v>
      </c>
      <c r="C49" s="50">
        <f>Main!C5-(C19-C20)</f>
        <v>82.12940479</v>
      </c>
    </row>
    <row r="51" spans="1:3" x14ac:dyDescent="0.2">
      <c r="A51" s="27" t="s">
        <v>212</v>
      </c>
      <c r="B51" s="77" t="s">
        <v>213</v>
      </c>
      <c r="C51" s="77" t="s">
        <v>214</v>
      </c>
    </row>
    <row r="52" spans="1:3" x14ac:dyDescent="0.2">
      <c r="A52" s="10" t="s">
        <v>138</v>
      </c>
      <c r="B52" s="50">
        <f>SUMPRODUCT(Pipeline!C11:Z11,$D$14:$AA$14)</f>
        <v>487.4975673829913</v>
      </c>
      <c r="C52" s="51">
        <f t="shared" ref="C52:C66" si="6">B52/$C$42</f>
        <v>7.868982693170579</v>
      </c>
    </row>
    <row r="53" spans="1:3" x14ac:dyDescent="0.2">
      <c r="A53" s="10" t="s">
        <v>146</v>
      </c>
      <c r="B53" s="50">
        <f>SUMPRODUCT(Pipeline!C20:Z20,$D$14:$AA$14)</f>
        <v>894.7048361508286</v>
      </c>
      <c r="C53" s="51">
        <f t="shared" si="6"/>
        <v>14.441952826475841</v>
      </c>
    </row>
    <row r="54" spans="1:3" x14ac:dyDescent="0.2">
      <c r="A54" s="10" t="s">
        <v>147</v>
      </c>
      <c r="B54" s="50">
        <f>SUMPRODUCT(Pipeline!C29:Z29,$D$14:$AA$14)</f>
        <v>62.606420361407906</v>
      </c>
      <c r="C54" s="51">
        <f t="shared" si="6"/>
        <v>1.0105667623121546</v>
      </c>
    </row>
    <row r="55" spans="1:3" x14ac:dyDescent="0.2">
      <c r="A55" s="10" t="s">
        <v>148</v>
      </c>
      <c r="B55" s="50">
        <f>SUMPRODUCT(Pipeline!C38:Z38,$D$14:$AA$14)</f>
        <v>119.02342355429118</v>
      </c>
      <c r="C55" s="51">
        <f t="shared" si="6"/>
        <v>1.9212265305414655</v>
      </c>
    </row>
    <row r="56" spans="1:3" x14ac:dyDescent="0.2">
      <c r="A56" s="10" t="s">
        <v>149</v>
      </c>
      <c r="B56" s="50">
        <f>SUMPRODUCT(Pipeline!C47:Z47,$D$14:$AA$14)</f>
        <v>280.8206872183557</v>
      </c>
      <c r="C56" s="51">
        <f t="shared" si="6"/>
        <v>4.532890573112239</v>
      </c>
    </row>
    <row r="57" spans="1:3" x14ac:dyDescent="0.2">
      <c r="A57" s="10" t="s">
        <v>150</v>
      </c>
      <c r="B57" s="50">
        <f>SUMPRODUCT(Pipeline!C59:Z59,$D$14:$AA$14)</f>
        <v>314.6292523932323</v>
      </c>
      <c r="C57" s="51">
        <f t="shared" si="6"/>
        <v>5.0786143511203985</v>
      </c>
    </row>
    <row r="58" spans="1:3" x14ac:dyDescent="0.2">
      <c r="A58" s="10" t="s">
        <v>160</v>
      </c>
      <c r="B58" s="50">
        <f>SUMPRODUCT(Pipeline!C69:Z69,$D$14:$AA$14)</f>
        <v>228.58639231691808</v>
      </c>
      <c r="C58" s="51">
        <f t="shared" si="6"/>
        <v>3.689746340052991</v>
      </c>
    </row>
    <row r="59" spans="1:3" x14ac:dyDescent="0.2">
      <c r="A59" s="10" t="s">
        <v>162</v>
      </c>
      <c r="B59" s="50">
        <f>SUMPRODUCT(Pipeline!C79:Z79,$D$14:$AA$14)</f>
        <v>110.82853971865514</v>
      </c>
      <c r="C59" s="51">
        <f t="shared" si="6"/>
        <v>1.7889481287817663</v>
      </c>
    </row>
    <row r="60" spans="1:3" x14ac:dyDescent="0.2">
      <c r="A60" s="10" t="s">
        <v>163</v>
      </c>
      <c r="B60" s="50">
        <f>SUMPRODUCT(Pipeline!C89:Z89,$D$14:$AA$14)</f>
        <v>174.8926703671574</v>
      </c>
      <c r="C60" s="51">
        <f t="shared" si="6"/>
        <v>2.8230446434214653</v>
      </c>
    </row>
    <row r="61" spans="1:3" x14ac:dyDescent="0.2">
      <c r="A61" s="10" t="s">
        <v>215</v>
      </c>
      <c r="B61" s="50">
        <f>-SUMPRODUCT(Pipeline!C95:Z95,$D$14:$AA$14)-SUMPRODUCT(Pipeline!C98:Z98,$D$14:$AA$14)</f>
        <v>-1815.6072991586339</v>
      </c>
      <c r="C61" s="51">
        <f t="shared" si="6"/>
        <v>-29.30677683453798</v>
      </c>
    </row>
    <row r="62" spans="1:3" x14ac:dyDescent="0.2">
      <c r="A62" s="10" t="s">
        <v>216</v>
      </c>
      <c r="B62" s="50">
        <f>C11*C14</f>
        <v>-75.97</v>
      </c>
      <c r="C62" s="51">
        <f t="shared" si="6"/>
        <v>-1.2262760989954147</v>
      </c>
    </row>
    <row r="63" spans="1:3" x14ac:dyDescent="0.2">
      <c r="A63" s="10" t="s">
        <v>24</v>
      </c>
      <c r="B63" s="50">
        <f>-SUMPRODUCT(D10:AA10,D14:AA14)</f>
        <v>-127.13514344099673</v>
      </c>
      <c r="C63" s="51">
        <f t="shared" si="6"/>
        <v>-2.052162534474766</v>
      </c>
    </row>
    <row r="64" spans="1:3" x14ac:dyDescent="0.2">
      <c r="A64" s="10" t="s">
        <v>217</v>
      </c>
      <c r="B64" s="50">
        <f>C19-C20</f>
        <v>170.0</v>
      </c>
      <c r="C64" s="51">
        <f t="shared" si="6"/>
        <v>2.7440691961197907</v>
      </c>
    </row>
    <row r="65" spans="1:3" x14ac:dyDescent="0.2">
      <c r="A65" s="10" t="s">
        <v>218</v>
      </c>
      <c r="B65" s="50">
        <f>SUMPRODUCT(B26:B30,E26:E30)</f>
        <v>0.0</v>
      </c>
      <c r="C65" s="51">
        <f t="shared" si="6"/>
        <v>0.0</v>
      </c>
    </row>
    <row r="66" spans="1:3" x14ac:dyDescent="0.2">
      <c r="A66" s="20" t="s">
        <v>118</v>
      </c>
      <c r="B66" s="62">
        <f>SUM(B52:B65)</f>
        <v>824.8773468642069</v>
      </c>
      <c r="C66" s="78">
        <f t="shared" si="6"/>
        <v>13.314826577100527</v>
      </c>
    </row>
    <row r="67" spans="1:3" x14ac:dyDescent="0.2">
      <c r="A67" s="22" t="s">
        <v>219</v>
      </c>
      <c r="B67" s="79">
        <f>ROUND(B66-C31,6)</f>
        <v>-0.0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3"/>
  <sheetViews>
    <sheetView workbookViewId="0"/>
  </sheetViews>
  <sheetFormatPr baseColWidth="10" defaultColWidth="8.83203125" defaultRowHeight="16" x14ac:dyDescent="0.2"/>
  <cols>
    <col min="1" max="1" width="46" customWidth="1"/>
    <col min="2" max="10" width="11" customWidth="1"/>
    <col min="11" max="12" width="13" customWidth="1"/>
  </cols>
  <sheetData>
    <row r="1" spans="1:3" ht="19" x14ac:dyDescent="0.25">
      <c r="A1" s="19" t="s">
        <v>220</v>
      </c>
    </row>
    <row r="3" spans="1:3" x14ac:dyDescent="0.2">
      <c r="A3" s="27" t="s">
        <v>221</v>
      </c>
      <c r="B3" s="28"/>
    </row>
    <row r="4" spans="1:3" x14ac:dyDescent="0.2">
      <c r="A4" s="10" t="s">
        <v>222</v>
      </c>
      <c r="B4" s="74">
        <v>4.03</v>
      </c>
    </row>
    <row r="5" spans="1:3" x14ac:dyDescent="0.2">
      <c r="A5" s="10" t="s">
        <v>223</v>
      </c>
      <c r="B5" s="80">
        <f>DATE(2026,10,16)</f>
        <v>46311</v>
      </c>
    </row>
    <row r="6" spans="1:3" x14ac:dyDescent="0.2">
      <c r="A6" s="10" t="s">
        <v>224</v>
      </c>
      <c r="B6" s="64">
        <f>Assumptions!$B$30</f>
        <v>46368</v>
      </c>
    </row>
    <row r="7" spans="1:3" x14ac:dyDescent="0.2">
      <c r="A7" s="10" t="s">
        <v>225</v>
      </c>
      <c r="B7" s="80">
        <f>DATE(2026,12,18)</f>
        <v>46374</v>
      </c>
    </row>
    <row r="8" spans="1:3" x14ac:dyDescent="0.2">
      <c r="A8" s="10" t="s">
        <v>226</v>
      </c>
      <c r="B8" s="70">
        <f>(B7-B5)/365</f>
        <v>0.1726027397260274</v>
      </c>
    </row>
    <row r="9" spans="1:3" x14ac:dyDescent="0.2">
      <c r="A9" s="10" t="s">
        <v>227</v>
      </c>
      <c r="B9" s="81">
        <v>0.04</v>
      </c>
    </row>
    <row r="10" spans="1:3" x14ac:dyDescent="0.2">
      <c r="A10" s="10" t="s">
        <v>228</v>
      </c>
      <c r="B10" s="81">
        <v>1.4845999999999999</v>
      </c>
    </row>
    <row r="11" spans="1:3" x14ac:dyDescent="0.2">
      <c r="A11" s="10" t="s">
        <v>229</v>
      </c>
      <c r="B11" s="82">
        <v>100</v>
      </c>
    </row>
    <row r="13" spans="1:3" x14ac:dyDescent="0.2">
      <c r="A13" s="27" t="s">
        <v>230</v>
      </c>
      <c r="B13" s="28"/>
      <c r="C13" s="28"/>
    </row>
    <row r="14" spans="1:3" x14ac:dyDescent="0.2">
      <c r="A14" s="10" t="s">
        <v>231</v>
      </c>
      <c r="B14" s="76">
        <f>NPV!C43</f>
        <v>13.314826577100533</v>
      </c>
    </row>
    <row r="15" spans="1:3" x14ac:dyDescent="0.2">
      <c r="A15" s="10" t="s">
        <v>232</v>
      </c>
      <c r="B15" s="76">
        <f>Assumptions!$D$189</f>
        <v>13.654729718319361</v>
      </c>
    </row>
    <row r="16" spans="1:3" x14ac:dyDescent="0.2">
      <c r="A16" s="10" t="s">
        <v>233</v>
      </c>
      <c r="B16" s="76">
        <f>Assumptions!$D$188</f>
        <v>11.062715847253962</v>
      </c>
    </row>
    <row r="17" spans="1:11" x14ac:dyDescent="0.2">
      <c r="A17" s="10" t="s">
        <v>234</v>
      </c>
      <c r="B17" s="65">
        <f>Assumptions!$B$32</f>
        <v>0.85</v>
      </c>
    </row>
    <row r="18" spans="1:11" x14ac:dyDescent="0.2">
      <c r="A18" s="10" t="s">
        <v>235</v>
      </c>
      <c r="B18" s="23">
        <v>1</v>
      </c>
    </row>
    <row r="19" spans="1:11" x14ac:dyDescent="0.2">
      <c r="A19" s="10" t="s">
        <v>236</v>
      </c>
      <c r="B19" s="23">
        <v>0.5</v>
      </c>
    </row>
    <row r="20" spans="1:11" x14ac:dyDescent="0.2">
      <c r="A20" s="10" t="s">
        <v>237</v>
      </c>
      <c r="B20" s="51">
        <f>MAX(0,B19*(NPV!C47-NPV!C20)/NPV!C22)</f>
        <v>0.7999148301166304</v>
      </c>
    </row>
    <row r="21" spans="1:11" x14ac:dyDescent="0.2">
      <c r="A21" s="20" t="s">
        <v>238</v>
      </c>
      <c r="B21" s="55">
        <f>IF(B14&gt;0,B4*(1+B18*(B15/B14-1)),B4+B18*(B15-B14))</f>
        <v>4.132878520510943</v>
      </c>
    </row>
    <row r="22" spans="1:11" x14ac:dyDescent="0.2">
      <c r="A22" s="20" t="s">
        <v>239</v>
      </c>
      <c r="B22" s="55">
        <f>MAX(B20,IF(B14&gt;0,B4*(1+B18*(B16/B14-1)),B4+B18*(B16-B14)))</f>
        <v>3.348353401846704</v>
      </c>
    </row>
    <row r="23" spans="1:11" x14ac:dyDescent="0.2">
      <c r="A23" s="10" t="s">
        <v>240</v>
      </c>
      <c r="B23" s="51">
        <f>B17*B21+(1-B17)*B22</f>
        <v>4.015199752711307</v>
      </c>
    </row>
    <row r="24" spans="1:11" x14ac:dyDescent="0.2">
      <c r="A24" s="10" t="s">
        <v>241</v>
      </c>
      <c r="B24" s="23">
        <v>0.36699999999999999</v>
      </c>
    </row>
    <row r="25" spans="1:11" x14ac:dyDescent="0.2">
      <c r="A25" s="10" t="s">
        <v>242</v>
      </c>
      <c r="B25" s="56">
        <f>(B17*((B21*NORMSDIST(((LN(B21/4)+$B$24^2*$B$8/2)/($B$24*SQRT($B$8))))-4*NORMSDIST((((LN(B21/4)+$B$24^2*$B$8/2)/($B$24*SQRT($B$8)))-$B$24*SQRT($B$8))))+(4*NORMSDIST(-(((LN(B21/4)+$B$24^2*$B$8/2)/($B$24*SQRT($B$8)))-$B$24*SQRT($B$8)))-B21*NORMSDIST(-((LN(B21/4)+$B$24^2*$B$8/2)/($B$24*SQRT($B$8))))))+(1-B17)*((B22*NORMSDIST(((LN(B22/4)+$B$24^2*$B$8/2)/($B$24*SQRT($B$8))))-4*NORMSDIST((((LN(B22/4)+$B$24^2*$B$8/2)/($B$24*SQRT($B$8)))-$B$24*SQRT($B$8))))+(4*NORMSDIST(-(((LN(B22/4)+$B$24^2*$B$8/2)/($B$24*SQRT($B$8)))-$B$24*SQRT($B$8)))-B22*NORMSDIST(-((LN(B22/4)+$B$24^2*$B$8/2)/($B$24*SQRT($B$8)))))))/B4</f>
        <v>0.1333673239824464</v>
      </c>
    </row>
    <row r="26" spans="1:11" x14ac:dyDescent="0.2">
      <c r="A26" s="10" t="s">
        <v>243</v>
      </c>
      <c r="B26" s="56">
        <f>($G$41+$G$42)/B4</f>
        <v>0.47721588302298634</v>
      </c>
    </row>
    <row r="27" spans="1:11" x14ac:dyDescent="0.2">
      <c r="A27" s="20" t="s">
        <v>244</v>
      </c>
      <c r="B27" s="83">
        <f>B26/B25</f>
        <v>3.5782069308505937</v>
      </c>
    </row>
    <row r="28" spans="1:11" x14ac:dyDescent="0.2">
      <c r="A28" s="27" t="s">
        <v>245</v>
      </c>
    </row>
    <row r="29" spans="1:11" x14ac:dyDescent="0.2">
      <c r="A29" s="26" t="s">
        <v>200</v>
      </c>
      <c r="B29" s="26" t="s">
        <v>246</v>
      </c>
      <c r="C29" s="26" t="s">
        <v>247</v>
      </c>
      <c r="D29" s="26" t="s">
        <v>248</v>
      </c>
      <c r="E29" s="26" t="s">
        <v>249</v>
      </c>
      <c r="F29" s="26" t="s">
        <v>250</v>
      </c>
      <c r="G29" s="26" t="s">
        <v>251</v>
      </c>
      <c r="H29" s="26" t="s">
        <v>252</v>
      </c>
      <c r="I29" s="26" t="s">
        <v>253</v>
      </c>
      <c r="J29" s="26" t="s">
        <v>254</v>
      </c>
      <c r="K29" s="26" t="s">
        <v>255</v>
      </c>
    </row>
    <row r="30" spans="1:11" x14ac:dyDescent="0.2">
      <c r="A30" s="84">
        <v>1</v>
      </c>
      <c r="B30" s="74">
        <v>2.2999999999999998</v>
      </c>
      <c r="C30" s="74">
        <v>5.5</v>
      </c>
      <c r="D30" s="51">
        <f t="shared" ref="D30:D37" si="0">(B30+C30)/2</f>
        <v>3.9</v>
      </c>
      <c r="E30" s="81">
        <v>8.0183999999999997</v>
      </c>
      <c r="F30" s="74">
        <v>0</v>
      </c>
      <c r="G30" s="74">
        <v>0.95</v>
      </c>
      <c r="H30" s="51">
        <f t="shared" ref="H30:H37" si="1">(F30+G30)/2</f>
        <v>0.475</v>
      </c>
      <c r="I30" s="81">
        <v>5.093</v>
      </c>
      <c r="J30" s="85">
        <v>0</v>
      </c>
      <c r="K30" s="85">
        <v>0</v>
      </c>
    </row>
    <row r="31" spans="1:11" x14ac:dyDescent="0.2">
      <c r="A31" s="84">
        <v>2</v>
      </c>
      <c r="B31" s="74">
        <v>1.5</v>
      </c>
      <c r="C31" s="74">
        <v>2.85</v>
      </c>
      <c r="D31" s="51">
        <f t="shared" si="0"/>
        <v>2.175</v>
      </c>
      <c r="E31" s="81">
        <v>1.3726</v>
      </c>
      <c r="F31" s="74">
        <v>0</v>
      </c>
      <c r="G31" s="74">
        <v>4.3</v>
      </c>
      <c r="H31" s="51">
        <f t="shared" si="1"/>
        <v>2.15</v>
      </c>
      <c r="I31" s="81">
        <v>0</v>
      </c>
      <c r="J31" s="85">
        <v>0</v>
      </c>
      <c r="K31" s="85">
        <v>0</v>
      </c>
    </row>
    <row r="32" spans="1:11" x14ac:dyDescent="0.2">
      <c r="A32" s="84">
        <v>3</v>
      </c>
      <c r="B32" s="74">
        <v>1</v>
      </c>
      <c r="C32" s="74">
        <v>2</v>
      </c>
      <c r="D32" s="51">
        <f t="shared" si="0"/>
        <v>1.5</v>
      </c>
      <c r="E32" s="81">
        <v>1.4572000000000001</v>
      </c>
      <c r="F32" s="74">
        <v>0</v>
      </c>
      <c r="G32" s="74">
        <v>0.75</v>
      </c>
      <c r="H32" s="51">
        <f t="shared" si="1"/>
        <v>0.375</v>
      </c>
      <c r="I32" s="81">
        <v>1.4129</v>
      </c>
      <c r="J32" s="85">
        <v>747</v>
      </c>
      <c r="K32" s="85">
        <v>202</v>
      </c>
    </row>
    <row r="33" spans="1:12" x14ac:dyDescent="0.2">
      <c r="A33" s="84">
        <v>4</v>
      </c>
      <c r="B33" s="74">
        <v>0</v>
      </c>
      <c r="C33" s="74">
        <v>3.7</v>
      </c>
      <c r="D33" s="51">
        <f t="shared" si="0"/>
        <v>1.85</v>
      </c>
      <c r="E33" s="81">
        <v>2.8428</v>
      </c>
      <c r="F33" s="74">
        <v>0.65</v>
      </c>
      <c r="G33" s="74">
        <v>1.2</v>
      </c>
      <c r="H33" s="51">
        <f t="shared" si="1"/>
        <v>0.925</v>
      </c>
      <c r="I33" s="81">
        <v>1.4845999999999999</v>
      </c>
      <c r="J33" s="85">
        <v>1</v>
      </c>
      <c r="K33" s="85">
        <v>50</v>
      </c>
    </row>
    <row r="34" spans="1:12" x14ac:dyDescent="0.2">
      <c r="A34" s="84">
        <v>5</v>
      </c>
      <c r="B34" s="74">
        <v>0.3</v>
      </c>
      <c r="C34" s="74">
        <v>0.65</v>
      </c>
      <c r="D34" s="51">
        <f t="shared" si="0"/>
        <v>0.475</v>
      </c>
      <c r="E34" s="81">
        <v>1.1374</v>
      </c>
      <c r="F34" s="74">
        <v>0.75</v>
      </c>
      <c r="G34" s="74">
        <v>1.9</v>
      </c>
      <c r="H34" s="51">
        <f t="shared" si="1"/>
        <v>1.325</v>
      </c>
      <c r="I34" s="81">
        <v>1.0753999999999999</v>
      </c>
      <c r="J34" s="85">
        <v>865</v>
      </c>
      <c r="K34" s="85">
        <v>351</v>
      </c>
    </row>
    <row r="35" spans="1:12" x14ac:dyDescent="0.2">
      <c r="A35" s="84">
        <v>6</v>
      </c>
      <c r="B35" s="74">
        <v>0.3</v>
      </c>
      <c r="C35" s="74">
        <v>0.75</v>
      </c>
      <c r="D35" s="51">
        <f t="shared" si="0"/>
        <v>0.525</v>
      </c>
      <c r="E35" s="81">
        <v>1.5369999999999999</v>
      </c>
      <c r="F35" s="74">
        <v>1.5</v>
      </c>
      <c r="G35" s="74">
        <v>2.7</v>
      </c>
      <c r="H35" s="51">
        <f t="shared" si="1"/>
        <v>2.1</v>
      </c>
      <c r="I35" s="81">
        <v>1.0056</v>
      </c>
      <c r="J35" s="85">
        <v>160</v>
      </c>
      <c r="K35" s="85">
        <v>379</v>
      </c>
    </row>
    <row r="36" spans="1:12" x14ac:dyDescent="0.2">
      <c r="A36" s="84">
        <v>7</v>
      </c>
      <c r="B36" s="74">
        <v>0.15</v>
      </c>
      <c r="C36" s="74">
        <v>1.2</v>
      </c>
      <c r="D36" s="51">
        <f t="shared" si="0"/>
        <v>0.6749999999999999</v>
      </c>
      <c r="E36" s="81">
        <v>2.0110000000000001</v>
      </c>
      <c r="F36" s="74">
        <v>2.2999999999999998</v>
      </c>
      <c r="G36" s="74">
        <v>3.7</v>
      </c>
      <c r="H36" s="51">
        <f t="shared" si="1"/>
        <v>3.0</v>
      </c>
      <c r="I36" s="81">
        <v>0.96399999999999997</v>
      </c>
      <c r="J36" s="85">
        <v>946</v>
      </c>
      <c r="K36" s="85">
        <v>37</v>
      </c>
    </row>
    <row r="37" spans="1:12" x14ac:dyDescent="0.2">
      <c r="A37" s="84">
        <v>8</v>
      </c>
      <c r="B37" s="74">
        <v>0.1</v>
      </c>
      <c r="C37" s="74">
        <v>1.1499999999999999</v>
      </c>
      <c r="D37" s="51">
        <f t="shared" si="0"/>
        <v>0.625</v>
      </c>
      <c r="E37" s="81">
        <v>2.1324000000000001</v>
      </c>
      <c r="F37" s="74">
        <v>3.3</v>
      </c>
      <c r="G37" s="74">
        <v>4.5</v>
      </c>
      <c r="H37" s="51">
        <f t="shared" si="1"/>
        <v>3.9</v>
      </c>
      <c r="I37" s="81">
        <v>0</v>
      </c>
      <c r="J37" s="85">
        <v>350</v>
      </c>
      <c r="K37" s="85">
        <v>50</v>
      </c>
    </row>
    <row r="39" spans="1:12" x14ac:dyDescent="0.2">
      <c r="A39" s="27" t="s">
        <v>256</v>
      </c>
    </row>
    <row r="40" spans="1:12" x14ac:dyDescent="0.2">
      <c r="A40" s="26" t="s">
        <v>257</v>
      </c>
      <c r="B40" s="26" t="s">
        <v>258</v>
      </c>
      <c r="C40" s="26" t="s">
        <v>200</v>
      </c>
      <c r="D40" s="26" t="s">
        <v>259</v>
      </c>
      <c r="E40" s="26" t="s">
        <v>260</v>
      </c>
      <c r="F40" s="26" t="s">
        <v>261</v>
      </c>
      <c r="G40" s="26" t="s">
        <v>262</v>
      </c>
      <c r="H40" s="26" t="s">
        <v>263</v>
      </c>
      <c r="I40" s="26" t="s">
        <v>264</v>
      </c>
      <c r="J40" s="26" t="s">
        <v>265</v>
      </c>
      <c r="K40" s="26" t="s">
        <v>266</v>
      </c>
      <c r="L40" s="26" t="s">
        <v>267</v>
      </c>
    </row>
    <row r="41" spans="1:12" x14ac:dyDescent="0.2">
      <c r="A41" s="10" t="s">
        <v>268</v>
      </c>
      <c r="B41" s="86" t="s">
        <v>269</v>
      </c>
      <c r="C41" s="8">
        <f>A33</f>
        <v>4</v>
      </c>
      <c r="D41" s="51">
        <f>(B33+C33)/2</f>
        <v>1.85</v>
      </c>
      <c r="E41" s="53">
        <f>IF(B33&gt;0,(C33-B33)/D41,9.99)</f>
        <v>9.99</v>
      </c>
      <c r="F41" s="51">
        <f>IF(B41="C",$B$4*NORMSDIST((LN($B$4/C41)+($B$9+$B$10^2/2)*$B$8)/($B$10*SQRT($B$8)))-C41*EXP(-$B$9*$B$8)*NORMSDIST((LN($B$4/C41)+($B$9+$B$10^2/2)*$B$8)/($B$10*SQRT($B$8))-$B$10*SQRT($B$8)),C41*EXP(-$B$9*$B$8)*NORMSDIST(-((LN($B$4/C41)+($B$9+$B$10^2/2)*$B$8)/($B$10*SQRT($B$8))-$B$10*SQRT($B$8)))-$B$4*NORMSDIST(-(LN($B$4/C41)+($B$9+$B$10^2/2)*$B$8)/($B$10*SQRT($B$8))))</f>
        <v>0.9981800085826351</v>
      </c>
      <c r="G41" s="55">
        <f>IF(AND(B33&gt;0,E41&lt;=0.6),D41,F41)</f>
        <v>0.9981800085826351</v>
      </c>
      <c r="H41" s="49" t="str">
        <f>IF(AND(B33&gt;0,E41&lt;=0.6),"market","theo")</f>
        <v>theo</v>
      </c>
      <c r="I41" s="70">
        <f>(LN($B$4/C41)+($B$9+$B$10^2/2)*$B$8)/($B$10*SQRT($B$8))</f>
        <v>0.33170033034937263</v>
      </c>
      <c r="J41" s="8">
        <f>IF(B41="C",NORMSDIST(I41),NORMSDIST(I41)-1)</f>
        <v>0.6299422243969948</v>
      </c>
      <c r="K41" s="51">
        <f>IF(B41="C",($B$21*NORMSDIST(((LN($B$21/C41)+$B$24^2*$B$8/2)/($B$24*SQRT($B$8))))-C41*NORMSDIST((((LN($B$21/C41)+$B$24^2*$B$8/2)/($B$24*SQRT($B$8)))-$B$24*SQRT($B$8)))),(C41*NORMSDIST(-(((LN($B$21/C41)+$B$24^2*$B$8/2)/($B$24*SQRT($B$8)))-$B$24*SQRT($B$8)))-$B$21*NORMSDIST(-((LN($B$21/C41)+$B$24^2*$B$8/2)/($B$24*SQRT($B$8))))))</f>
        <v>0.31919400327309244</v>
      </c>
      <c r="L41" s="51">
        <f>IF(B41="C",($B$22*NORMSDIST(((LN($B$22/C41)+$B$24^2*$B$8/2)/($B$24*SQRT($B$8))))-C41*NORMSDIST((((LN($B$22/C41)+$B$24^2*$B$8/2)/($B$24*SQRT($B$8)))-$B$24*SQRT($B$8)))),(C41*NORMSDIST(-(((LN($B$22/C41)+$B$24^2*$B$8/2)/($B$24*SQRT($B$8)))-$B$24*SQRT($B$8)))-$B$22*NORMSDIST(-((LN($B$22/C41)+$B$24^2*$B$8/2)/($B$24*SQRT($B$8))))))</f>
        <v>0.03346754265436208</v>
      </c>
    </row>
    <row r="42" spans="1:12" x14ac:dyDescent="0.2">
      <c r="A42" s="10" t="s">
        <v>270</v>
      </c>
      <c r="B42" s="86" t="s">
        <v>271</v>
      </c>
      <c r="C42" s="8">
        <f>A33</f>
        <v>4</v>
      </c>
      <c r="D42" s="51">
        <f>(F33+G33)/2</f>
        <v>0.925</v>
      </c>
      <c r="E42" s="53">
        <f>IF(F33&gt;0,(G33-F33)/D42,9.99)</f>
        <v>0.5945945945945945</v>
      </c>
      <c r="F42" s="51">
        <f>IF(B42="C",$B$4*NORMSDIST((LN($B$4/C42)+($B$9+$B$10^2/2)*$B$8)/($B$10*SQRT($B$8)))-C42*EXP(-$B$9*$B$8)*NORMSDIST((LN($B$4/C42)+($B$9+$B$10^2/2)*$B$8)/($B$10*SQRT($B$8))-$B$10*SQRT($B$8)),C42*EXP(-$B$9*$B$8)*NORMSDIST(-((LN($B$4/C42)+($B$9+$B$10^2/2)*$B$8)/($B$10*SQRT($B$8))-$B$10*SQRT($B$8)))-$B$4*NORMSDIST(-(LN($B$4/C42)+($B$9+$B$10^2/2)*$B$8)/($B$10*SQRT($B$8))))</f>
        <v>0.9406586846655214</v>
      </c>
      <c r="G42" s="55">
        <f>IF(AND(F33&gt;0,E42&lt;=0.6),D42,F42)</f>
        <v>0.925</v>
      </c>
      <c r="H42" s="49" t="str">
        <f>IF(AND(F33&gt;0,E42&lt;=0.6),"market","theo")</f>
        <v>market</v>
      </c>
      <c r="I42" s="70">
        <f>(LN($B$4/C42)+($B$9+$B$10^2/2)*$B$8)/($B$10*SQRT($B$8))</f>
        <v>0.33170033034937263</v>
      </c>
      <c r="J42" s="8">
        <f>IF(B42="C",NORMSDIST(I42),NORMSDIST(I42)-1)</f>
        <v>-0.37005777560300523</v>
      </c>
      <c r="K42" s="51">
        <f>IF(B42="C",($B$21*NORMSDIST(((LN($B$21/C42)+$B$24^2*$B$8/2)/($B$24*SQRT($B$8))))-C42*NORMSDIST((((LN($B$21/C42)+$B$24^2*$B$8/2)/($B$24*SQRT($B$8)))-$B$24*SQRT($B$8)))),(C42*NORMSDIST(-(((LN($B$21/C42)+$B$24^2*$B$8/2)/($B$24*SQRT($B$8)))-$B$24*SQRT($B$8)))-$B$21*NORMSDIST(-((LN($B$21/C42)+$B$24^2*$B$8/2)/($B$24*SQRT($B$8))))))</f>
        <v>0.18631548276215004</v>
      </c>
      <c r="L42" s="51">
        <f>IF(B42="C",($B$22*NORMSDIST(((LN($B$22/C42)+$B$24^2*$B$8/2)/($B$24*SQRT($B$8))))-C42*NORMSDIST((((LN($B$22/C42)+$B$24^2*$B$8/2)/($B$24*SQRT($B$8)))-$B$24*SQRT($B$8)))),(C42*NORMSDIST(-(((LN($B$22/C42)+$B$24^2*$B$8/2)/($B$24*SQRT($B$8)))-$B$24*SQRT($B$8)))-$B$22*NORMSDIST(-((LN($B$22/C42)+$B$24^2*$B$8/2)/($B$24*SQRT($B$8))))))</f>
        <v>0.685114140807658</v>
      </c>
    </row>
    <row r="43" spans="1:12" x14ac:dyDescent="0.2">
      <c r="A43" s="10" t="s">
        <v>272</v>
      </c>
      <c r="B43" s="86" t="s">
        <v>269</v>
      </c>
      <c r="C43" s="8">
        <f>A35</f>
        <v>6</v>
      </c>
      <c r="D43" s="51">
        <f>(B35+C35)/2</f>
        <v>0.525</v>
      </c>
      <c r="E43" s="53">
        <f>IF(B35&gt;0,(C35-B35)/D43,9.99)</f>
        <v>0.8571428571428571</v>
      </c>
      <c r="F43" s="51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0.4697788401219354</v>
      </c>
      <c r="G43" s="55">
        <f>IF(AND(B35&gt;0,E43&lt;=0.6),D43,F43)</f>
        <v>0.4697788401219354</v>
      </c>
      <c r="H43" s="49" t="str">
        <f>IF(AND(B35&gt;0,E43&lt;=0.6),"market","theo")</f>
        <v>theo</v>
      </c>
      <c r="I43" s="70">
        <f>(LN($B$4/C43)+($B$9+$B$10^2/2)*$B$8)/($B$10*SQRT($B$8))</f>
        <v>-0.3256852727011445</v>
      </c>
      <c r="J43" s="8">
        <f>IF(B43="C",NORMSDIST(I43),NORMSDIST(I43)-1)</f>
        <v>0.37233124396160505</v>
      </c>
      <c r="K43" s="51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0.0017980356435948613</v>
      </c>
      <c r="L43" s="51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1.0406513080799115e-05</v>
      </c>
    </row>
    <row r="44" spans="1:12" x14ac:dyDescent="0.2">
      <c r="A44" s="10" t="s">
        <v>273</v>
      </c>
      <c r="B44" s="86" t="s">
        <v>271</v>
      </c>
      <c r="C44" s="8">
        <f>A31</f>
        <v>2</v>
      </c>
      <c r="D44" s="51">
        <f>(F31+G31)/2</f>
        <v>2.15</v>
      </c>
      <c r="E44" s="53">
        <f>IF(F31&gt;0,(G31-F31)/D44,9.99)</f>
        <v>9.99</v>
      </c>
      <c r="F44" s="51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0.10562077343900361</v>
      </c>
      <c r="G44" s="55">
        <f>IF(AND(F31&gt;0,E44&lt;=0.6),D44,F44)</f>
        <v>0.10562077343900361</v>
      </c>
      <c r="H44" s="49" t="str">
        <f>IF(AND(F31&gt;0,E44&lt;=0.6),"market","theo")</f>
        <v>theo</v>
      </c>
      <c r="I44" s="70">
        <f>(LN($B$4/C44)+($B$9+$B$10^2/2)*$B$8)/($B$10*SQRT($B$8))</f>
        <v>1.4555084415361172</v>
      </c>
      <c r="J44" s="8">
        <f>IF(B44="C",NORMSDIST(I44),NORMSDIST(I44)-1)</f>
        <v>-0.0727642774773144</v>
      </c>
      <c r="K44" s="51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8.221287476689234e-08</v>
      </c>
      <c r="L44" s="51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3.688783095254558e-05</v>
      </c>
    </row>
    <row r="46" spans="1:12" x14ac:dyDescent="0.2">
      <c r="A46" s="27" t="s">
        <v>274</v>
      </c>
    </row>
    <row r="47" spans="1:12" x14ac:dyDescent="0.2">
      <c r="A47" s="26" t="s">
        <v>275</v>
      </c>
      <c r="B47" s="26" t="s">
        <v>276</v>
      </c>
      <c r="C47" s="26" t="s">
        <v>277</v>
      </c>
      <c r="D47" s="26" t="s">
        <v>278</v>
      </c>
      <c r="E47" s="26" t="s">
        <v>279</v>
      </c>
    </row>
    <row r="48" spans="1:12" ht="50" customHeight="1" x14ac:dyDescent="0.2">
      <c r="A48" s="10" t="s">
        <v>280</v>
      </c>
      <c r="B48" s="87" t="s">
        <v>281</v>
      </c>
      <c r="C48" s="87" t="s">
        <v>282</v>
      </c>
      <c r="D48" s="87" t="s">
        <v>283</v>
      </c>
      <c r="E48" s="87" t="s">
        <v>284</v>
      </c>
    </row>
    <row r="49" spans="1:5" x14ac:dyDescent="0.2">
      <c r="A49" s="10" t="s">
        <v>285</v>
      </c>
      <c r="B49" s="51">
        <f>-$G$41-$G$42</f>
        <v>-1.9231800085826352</v>
      </c>
      <c r="C49" s="51">
        <f>-$G$41+$G$43</f>
        <v>-0.5284011684606997</v>
      </c>
      <c r="D49" s="51">
        <f>-$G$42+$G$44</f>
        <v>-0.8193792265609965</v>
      </c>
      <c r="E49" s="51">
        <f>$G$41+$G$42-$G$43-$G$44</f>
        <v>1.3477803950216962</v>
      </c>
    </row>
    <row r="50" spans="1:5" x14ac:dyDescent="0.2">
      <c r="A50" s="10" t="s">
        <v>286</v>
      </c>
      <c r="B50" s="88">
        <f>B49*$B$11</f>
        <v>-192.3180008582635</v>
      </c>
      <c r="C50" s="88">
        <f>C49*$B$11</f>
        <v>-52.840116846069975</v>
      </c>
      <c r="D50" s="88">
        <f>D49*$B$11</f>
        <v>-81.93792265609964</v>
      </c>
      <c r="E50" s="88">
        <f>E49*$B$11</f>
        <v>134.77803950216963</v>
      </c>
    </row>
    <row r="51" spans="1:5" x14ac:dyDescent="0.2">
      <c r="A51" s="10" t="s">
        <v>287</v>
      </c>
      <c r="B51" s="89" t="str">
        <f>"Unlimited"</f>
        <v>Unlimited</v>
      </c>
      <c r="C51" s="89">
        <f>(6-4+C49)*$B$11</f>
        <v>147.15988315393002</v>
      </c>
      <c r="D51" s="89">
        <f>(4-2+D49)*$B$11</f>
        <v>118.06207734390036</v>
      </c>
      <c r="E51" s="89">
        <f>E49*$B$11</f>
        <v>134.77803950216963</v>
      </c>
    </row>
    <row r="52" spans="1:5" x14ac:dyDescent="0.2">
      <c r="A52" s="10" t="s">
        <v>288</v>
      </c>
      <c r="B52" s="88">
        <f>B49*$B$11</f>
        <v>-192.3180008582635</v>
      </c>
      <c r="C52" s="88">
        <f>C49*$B$11</f>
        <v>-52.840116846069975</v>
      </c>
      <c r="D52" s="88">
        <f>D49*$B$11</f>
        <v>-81.93792265609964</v>
      </c>
      <c r="E52" s="88">
        <f>-(MAX(6-4,4-2)-E49)*$B$11</f>
        <v>-65.22196049783038</v>
      </c>
    </row>
    <row r="53" spans="1:5" x14ac:dyDescent="0.2">
      <c r="A53" s="10" t="s">
        <v>289</v>
      </c>
      <c r="B53" s="90">
        <f>4+B49</f>
        <v>2.0768199914173646</v>
      </c>
      <c r="C53" s="90" t="str">
        <f>"—"</f>
        <v>—</v>
      </c>
      <c r="D53" s="90">
        <f>4+D49</f>
        <v>3.1806207734390037</v>
      </c>
      <c r="E53" s="90">
        <f>4-E49</f>
        <v>2.6522196049783036</v>
      </c>
    </row>
    <row r="54" spans="1:5" x14ac:dyDescent="0.2">
      <c r="A54" s="10" t="s">
        <v>290</v>
      </c>
      <c r="B54" s="90">
        <f>4-B49</f>
        <v>5.923180008582635</v>
      </c>
      <c r="C54" s="90">
        <f>4-C49</f>
        <v>4.5284011684607</v>
      </c>
      <c r="D54" s="90" t="str">
        <f>"—"</f>
        <v>—</v>
      </c>
      <c r="E54" s="90">
        <f>4+E49</f>
        <v>5.347780395021696</v>
      </c>
    </row>
    <row r="55" spans="1:5" x14ac:dyDescent="0.2">
      <c r="A55" s="10" t="s">
        <v>291</v>
      </c>
      <c r="B55" s="52">
        <f>(1-NORMSDIST((LN($B$4/B53)+($B$9-IF((($E$33+$I$33)/2)&gt;0,(($E$33+$I$33)/2),$B$10)^2/2)*$B$8)/(IF((($E$33+$I$33)/2)&gt;0,(($E$33+$I$33)/2),$B$10)*SQRT($B$8))))+NORMSDIST((LN($B$4/B54)+($B$9-IF((($E$33+$I$33)/2)&gt;0,(($E$33+$I$33)/2),$B$10)^2/2)*$B$8)/(IF((($E$33+$I$33)/2)&gt;0,(($E$33+$I$33)/2),$B$10)*SQRT($B$8)))</f>
        <v>0.57583042542765</v>
      </c>
      <c r="C55" s="52">
        <f>NORMSDIST((LN($B$4/C54)+($B$9-IF((($E$33+$I$33)/2)&gt;0,(($E$33+$I$33)/2),$B$10)^2/2)*$B$8)/(IF((($E$33+$I$33)/2)&gt;0,(($E$33+$I$33)/2),$B$10)*SQRT($B$8)))</f>
        <v>0.2838325865638037</v>
      </c>
      <c r="D55" s="52">
        <f>1-NORMSDIST((LN($B$4/D53)+($B$9-IF((($E$33+$I$33)/2)&gt;0,(($E$33+$I$33)/2),$B$10)^2/2)*$B$8)/(IF((($E$33+$I$33)/2)&gt;0,(($E$33+$I$33)/2),$B$10)*SQRT($B$8)))</f>
        <v>0.5708248086502438</v>
      </c>
      <c r="E55" s="52">
        <f>MAX(0,NORMSDIST((LN($B$4/E53)+($B$9-IF((($E$33+$I$33)/2)&gt;0,(($E$33+$I$33)/2),$B$10)^2/2)*$B$8)/(IF((($E$33+$I$33)/2)&gt;0,(($E$33+$I$33)/2),$B$10)*SQRT($B$8)))-NORMSDIST((LN($B$4/E54)+($B$9-IF((($E$33+$I$33)/2)&gt;0,(($E$33+$I$33)/2),$B$10)^2/2)*$B$8)/(IF((($E$33+$I$33)/2)&gt;0,(($E$33+$I$33)/2),$B$10)*SQRT($B$8))))</f>
        <v>0.28475532054240726</v>
      </c>
    </row>
    <row r="56" spans="1:5" x14ac:dyDescent="0.2">
      <c r="A56" s="10" t="s">
        <v>292</v>
      </c>
      <c r="B56" s="88">
        <f>((1)*$K$41+(1)*$K$42+B49)*$B$11</f>
        <v>-141.76705225473927</v>
      </c>
      <c r="C56" s="88">
        <f>((1)*$K$41+(-1)*$K$43+C49)*$B$11</f>
        <v>-21.100520083120216</v>
      </c>
      <c r="D56" s="88">
        <f>((1)*$K$42+(-1)*$K$44+D49)*$B$11</f>
        <v>-63.30638260117212</v>
      </c>
      <c r="E56" s="88">
        <f>((-1)*$K$41+(-1)*$K$42+(1)*$K$43+(1)*$K$44+E49)*$B$11</f>
        <v>84.40690268429233</v>
      </c>
    </row>
    <row r="57" spans="1:5" x14ac:dyDescent="0.2">
      <c r="A57" s="10" t="s">
        <v>293</v>
      </c>
      <c r="B57" s="88">
        <f>((1)*$L$41+(1)*$L$42+B49)*$B$11</f>
        <v>-120.45983251206151</v>
      </c>
      <c r="C57" s="88">
        <f>((1)*$L$41+(-1)*$L$43+C49)*$B$11</f>
        <v>-49.494403231941845</v>
      </c>
      <c r="D57" s="88">
        <f>((1)*$L$42+(-1)*$L$44+D49)*$B$11</f>
        <v>-13.430197358429108</v>
      </c>
      <c r="E57" s="88">
        <f>((-1)*$L$41+(-1)*$L$42+(1)*$L$43+(1)*$L$44+E49)*$B$11</f>
        <v>62.92460059037096</v>
      </c>
    </row>
    <row r="58" spans="1:5" x14ac:dyDescent="0.2">
      <c r="A58" s="20" t="s">
        <v>294</v>
      </c>
      <c r="B58" s="91">
        <f>$B$17*B56+(1-$B$17)*B57</f>
        <v>-138.5709692933376</v>
      </c>
      <c r="C58" s="91">
        <f>$B$17*C56+(1-$B$17)*C57</f>
        <v>-25.35960255544346</v>
      </c>
      <c r="D58" s="91">
        <f>$B$17*D56+(1-$B$17)*D57</f>
        <v>-55.824954814760666</v>
      </c>
      <c r="E58" s="91">
        <f>$B$17*E56+(1-$B$17)*E57</f>
        <v>81.18455737020413</v>
      </c>
    </row>
    <row r="59" spans="1:5" x14ac:dyDescent="0.2">
      <c r="A59" s="10" t="s">
        <v>295</v>
      </c>
      <c r="B59" s="52">
        <f>B58/-B52</f>
        <v>-0.7205304166793158</v>
      </c>
      <c r="C59" s="52">
        <f>C58/-C52</f>
        <v>-0.47993085687753545</v>
      </c>
      <c r="D59" s="52">
        <f>D58/-D52</f>
        <v>-0.6813079097582532</v>
      </c>
      <c r="E59" s="52">
        <f>E58/-E52</f>
        <v>1.2447426718015437</v>
      </c>
    </row>
    <row r="61" spans="1:5" x14ac:dyDescent="0.2">
      <c r="A61" s="27" t="s">
        <v>296</v>
      </c>
    </row>
    <row r="62" spans="1:5" x14ac:dyDescent="0.2">
      <c r="A62" s="26" t="s">
        <v>297</v>
      </c>
      <c r="B62" s="26" t="s">
        <v>276</v>
      </c>
      <c r="C62" s="26" t="s">
        <v>277</v>
      </c>
      <c r="D62" s="26" t="s">
        <v>278</v>
      </c>
      <c r="E62" s="26" t="s">
        <v>279</v>
      </c>
    </row>
    <row r="63" spans="1:5" x14ac:dyDescent="0.2">
      <c r="A63" s="92">
        <v>0</v>
      </c>
      <c r="B63" s="50">
        <f t="shared" ref="B63:B93" si="2">(MAX($A63-4,0)+MAX(4-$A63,0)-$G$41-$G$42)*$B$11</f>
        <v>207.68199914173647</v>
      </c>
      <c r="C63" s="50">
        <f t="shared" ref="C63:C93" si="3">(MAX($A63-4,0)-MAX($A63-6,0)-$G$41+$G$43)*$B$11</f>
        <v>-52.840116846069975</v>
      </c>
      <c r="D63" s="50">
        <f t="shared" ref="D63:D93" si="4">(MAX(4-$A63,0)-MAX(2-$A63,0)-$G$42+$G$44)*$B$11</f>
        <v>118.06207734390036</v>
      </c>
      <c r="E63" s="50">
        <f t="shared" ref="E63:E93" si="5">($G$41+$G$42-$G$43-$G$44-MAX($A63-4,0)-MAX(4-$A63,0)+MAX($A63-6,0)+MAX(2-$A63,0))*$B$11</f>
        <v>-65.22196049783035</v>
      </c>
    </row>
    <row r="64" spans="1:5" x14ac:dyDescent="0.2">
      <c r="A64" s="92">
        <v>0.33</v>
      </c>
      <c r="B64" s="50">
        <f t="shared" si="2"/>
        <v>174.68199914173647</v>
      </c>
      <c r="C64" s="50">
        <f t="shared" si="3"/>
        <v>-52.840116846069975</v>
      </c>
      <c r="D64" s="50">
        <f t="shared" si="4"/>
        <v>118.06207734390036</v>
      </c>
      <c r="E64" s="50">
        <f t="shared" si="5"/>
        <v>-65.22196049783035</v>
      </c>
    </row>
    <row r="65" spans="1:5" x14ac:dyDescent="0.2">
      <c r="A65" s="92">
        <v>0.65</v>
      </c>
      <c r="B65" s="50">
        <f t="shared" si="2"/>
        <v>142.6819991417365</v>
      </c>
      <c r="C65" s="50">
        <f t="shared" si="3"/>
        <v>-52.840116846069975</v>
      </c>
      <c r="D65" s="50">
        <f t="shared" si="4"/>
        <v>118.06207734390036</v>
      </c>
      <c r="E65" s="50">
        <f t="shared" si="5"/>
        <v>-65.2219604978304</v>
      </c>
    </row>
    <row r="66" spans="1:5" x14ac:dyDescent="0.2">
      <c r="A66" s="92">
        <v>0.98</v>
      </c>
      <c r="B66" s="50">
        <f t="shared" si="2"/>
        <v>109.68199914173648</v>
      </c>
      <c r="C66" s="50">
        <f t="shared" si="3"/>
        <v>-52.840116846069975</v>
      </c>
      <c r="D66" s="50">
        <f t="shared" si="4"/>
        <v>118.06207734390036</v>
      </c>
      <c r="E66" s="50">
        <f t="shared" si="5"/>
        <v>-65.22196049783038</v>
      </c>
    </row>
    <row r="67" spans="1:5" x14ac:dyDescent="0.2">
      <c r="A67" s="92">
        <v>1.31</v>
      </c>
      <c r="B67" s="50">
        <f t="shared" si="2"/>
        <v>76.68199914173648</v>
      </c>
      <c r="C67" s="50">
        <f t="shared" si="3"/>
        <v>-52.840116846069975</v>
      </c>
      <c r="D67" s="50">
        <f t="shared" si="4"/>
        <v>118.06207734390036</v>
      </c>
      <c r="E67" s="50">
        <f t="shared" si="5"/>
        <v>-65.22196049783038</v>
      </c>
    </row>
    <row r="68" spans="1:5" x14ac:dyDescent="0.2">
      <c r="A68" s="92">
        <v>1.63</v>
      </c>
      <c r="B68" s="50">
        <f t="shared" si="2"/>
        <v>44.6819991417365</v>
      </c>
      <c r="C68" s="50">
        <f t="shared" si="3"/>
        <v>-52.840116846069975</v>
      </c>
      <c r="D68" s="50">
        <f t="shared" si="4"/>
        <v>118.06207734390036</v>
      </c>
      <c r="E68" s="50">
        <f t="shared" si="5"/>
        <v>-65.22196049783038</v>
      </c>
    </row>
    <row r="69" spans="1:5" x14ac:dyDescent="0.2">
      <c r="A69" s="92">
        <v>1.96</v>
      </c>
      <c r="B69" s="50">
        <f t="shared" si="2"/>
        <v>11.681999141736487</v>
      </c>
      <c r="C69" s="50">
        <f t="shared" si="3"/>
        <v>-52.840116846069975</v>
      </c>
      <c r="D69" s="50">
        <f t="shared" si="4"/>
        <v>118.06207734390036</v>
      </c>
      <c r="E69" s="50">
        <f t="shared" si="5"/>
        <v>-65.22196049783038</v>
      </c>
    </row>
    <row r="70" spans="1:5" x14ac:dyDescent="0.2">
      <c r="A70" s="92">
        <v>2.29</v>
      </c>
      <c r="B70" s="50">
        <f t="shared" si="2"/>
        <v>-21.31800085826352</v>
      </c>
      <c r="C70" s="50">
        <f t="shared" si="3"/>
        <v>-52.840116846069975</v>
      </c>
      <c r="D70" s="50">
        <f t="shared" si="4"/>
        <v>89.06207734390034</v>
      </c>
      <c r="E70" s="50">
        <f t="shared" si="5"/>
        <v>-36.22196049783037</v>
      </c>
    </row>
    <row r="71" spans="1:5" x14ac:dyDescent="0.2">
      <c r="A71" s="92">
        <v>2.61</v>
      </c>
      <c r="B71" s="50">
        <f t="shared" si="2"/>
        <v>-53.3180008582635</v>
      </c>
      <c r="C71" s="50">
        <f t="shared" si="3"/>
        <v>-52.840116846069975</v>
      </c>
      <c r="D71" s="50">
        <f t="shared" si="4"/>
        <v>57.06207734390036</v>
      </c>
      <c r="E71" s="50">
        <f t="shared" si="5"/>
        <v>-4.22196049783039</v>
      </c>
    </row>
    <row r="72" spans="1:5" x14ac:dyDescent="0.2">
      <c r="A72" s="92">
        <v>2.94</v>
      </c>
      <c r="B72" s="50">
        <f t="shared" si="2"/>
        <v>-86.31800085826352</v>
      </c>
      <c r="C72" s="50">
        <f t="shared" si="3"/>
        <v>-52.840116846069975</v>
      </c>
      <c r="D72" s="50">
        <f t="shared" si="4"/>
        <v>24.062077343900363</v>
      </c>
      <c r="E72" s="50">
        <f t="shared" si="5"/>
        <v>28.778039502169616</v>
      </c>
    </row>
    <row r="73" spans="1:5" x14ac:dyDescent="0.2">
      <c r="A73" s="92">
        <v>3.27</v>
      </c>
      <c r="B73" s="50">
        <f t="shared" si="2"/>
        <v>-119.31800085826352</v>
      </c>
      <c r="C73" s="50">
        <f t="shared" si="3"/>
        <v>-52.840116846069975</v>
      </c>
      <c r="D73" s="50">
        <f t="shared" si="4"/>
        <v>-8.937922656099644</v>
      </c>
      <c r="E73" s="50">
        <f t="shared" si="5"/>
        <v>61.77803950216963</v>
      </c>
    </row>
    <row r="74" spans="1:5" x14ac:dyDescent="0.2">
      <c r="A74" s="92">
        <v>3.59</v>
      </c>
      <c r="B74" s="50">
        <f t="shared" si="2"/>
        <v>-151.3180008582635</v>
      </c>
      <c r="C74" s="50">
        <f t="shared" si="3"/>
        <v>-52.840116846069975</v>
      </c>
      <c r="D74" s="50">
        <f t="shared" si="4"/>
        <v>-40.93792265609963</v>
      </c>
      <c r="E74" s="50">
        <f t="shared" si="5"/>
        <v>93.7780395021696</v>
      </c>
    </row>
    <row r="75" spans="1:5" x14ac:dyDescent="0.2">
      <c r="A75" s="92">
        <v>3.92</v>
      </c>
      <c r="B75" s="50">
        <f t="shared" si="2"/>
        <v>-184.3180008582635</v>
      </c>
      <c r="C75" s="50">
        <f t="shared" si="3"/>
        <v>-52.840116846069975</v>
      </c>
      <c r="D75" s="50">
        <f t="shared" si="4"/>
        <v>-73.93792265609964</v>
      </c>
      <c r="E75" s="50">
        <f t="shared" si="5"/>
        <v>126.77803950216962</v>
      </c>
    </row>
    <row r="76" spans="1:5" x14ac:dyDescent="0.2">
      <c r="A76" s="92">
        <v>4.25</v>
      </c>
      <c r="B76" s="50">
        <f t="shared" si="2"/>
        <v>-167.3180008582635</v>
      </c>
      <c r="C76" s="50">
        <f t="shared" si="3"/>
        <v>-27.840116846069975</v>
      </c>
      <c r="D76" s="50">
        <f t="shared" si="4"/>
        <v>-81.93792265609964</v>
      </c>
      <c r="E76" s="50">
        <f t="shared" si="5"/>
        <v>109.77803950216962</v>
      </c>
    </row>
    <row r="77" spans="1:5" x14ac:dyDescent="0.2">
      <c r="A77" s="92">
        <v>4.57</v>
      </c>
      <c r="B77" s="50">
        <f t="shared" si="2"/>
        <v>-135.31800085826347</v>
      </c>
      <c r="C77" s="50">
        <f t="shared" si="3"/>
        <v>4.159883153930055</v>
      </c>
      <c r="D77" s="50">
        <f t="shared" si="4"/>
        <v>-81.93792265609964</v>
      </c>
      <c r="E77" s="50">
        <f t="shared" si="5"/>
        <v>77.77803950216959</v>
      </c>
    </row>
    <row r="78" spans="1:5" x14ac:dyDescent="0.2">
      <c r="A78" s="92">
        <v>4.9000000000000004</v>
      </c>
      <c r="B78" s="50">
        <f t="shared" si="2"/>
        <v>-102.31800085826347</v>
      </c>
      <c r="C78" s="50">
        <f t="shared" si="3"/>
        <v>37.15988315393006</v>
      </c>
      <c r="D78" s="50">
        <f t="shared" si="4"/>
        <v>-81.93792265609964</v>
      </c>
      <c r="E78" s="50">
        <f t="shared" si="5"/>
        <v>44.778039502169584</v>
      </c>
    </row>
    <row r="79" spans="1:5" x14ac:dyDescent="0.2">
      <c r="A79" s="92">
        <v>5.23</v>
      </c>
      <c r="B79" s="50">
        <f t="shared" si="2"/>
        <v>-69.31800085826347</v>
      </c>
      <c r="C79" s="50">
        <f t="shared" si="3"/>
        <v>70.15988315393007</v>
      </c>
      <c r="D79" s="50">
        <f t="shared" si="4"/>
        <v>-81.93792265609964</v>
      </c>
      <c r="E79" s="50">
        <f t="shared" si="5"/>
        <v>11.77803950216958</v>
      </c>
    </row>
    <row r="80" spans="1:5" x14ac:dyDescent="0.2">
      <c r="A80" s="92">
        <v>5.55</v>
      </c>
      <c r="B80" s="50">
        <f t="shared" si="2"/>
        <v>-37.31800085826353</v>
      </c>
      <c r="C80" s="50">
        <f t="shared" si="3"/>
        <v>102.15988315393001</v>
      </c>
      <c r="D80" s="50">
        <f t="shared" si="4"/>
        <v>-81.93792265609964</v>
      </c>
      <c r="E80" s="50">
        <f t="shared" si="5"/>
        <v>-20.22196049783036</v>
      </c>
    </row>
    <row r="81" spans="1:5" x14ac:dyDescent="0.2">
      <c r="A81" s="92">
        <v>5.88</v>
      </c>
      <c r="B81" s="50">
        <f t="shared" si="2"/>
        <v>-4.3180008582635265</v>
      </c>
      <c r="C81" s="50">
        <f t="shared" si="3"/>
        <v>135.15988315393002</v>
      </c>
      <c r="D81" s="50">
        <f t="shared" si="4"/>
        <v>-81.93792265609964</v>
      </c>
      <c r="E81" s="50">
        <f t="shared" si="5"/>
        <v>-53.221960497830366</v>
      </c>
    </row>
    <row r="82" spans="1:5" x14ac:dyDescent="0.2">
      <c r="A82" s="92">
        <v>6.21</v>
      </c>
      <c r="B82" s="50">
        <f t="shared" si="2"/>
        <v>28.68199914173648</v>
      </c>
      <c r="C82" s="50">
        <f t="shared" si="3"/>
        <v>147.15988315393002</v>
      </c>
      <c r="D82" s="50">
        <f t="shared" si="4"/>
        <v>-81.93792265609964</v>
      </c>
      <c r="E82" s="50">
        <f t="shared" si="5"/>
        <v>-65.22196049783038</v>
      </c>
    </row>
    <row r="83" spans="1:5" x14ac:dyDescent="0.2">
      <c r="A83" s="92">
        <v>6.53</v>
      </c>
      <c r="B83" s="50">
        <f t="shared" si="2"/>
        <v>60.68199914173651</v>
      </c>
      <c r="C83" s="50">
        <f t="shared" si="3"/>
        <v>147.15988315393002</v>
      </c>
      <c r="D83" s="50">
        <f t="shared" si="4"/>
        <v>-81.93792265609964</v>
      </c>
      <c r="E83" s="50">
        <f t="shared" si="5"/>
        <v>-65.22196049783038</v>
      </c>
    </row>
    <row r="84" spans="1:5" x14ac:dyDescent="0.2">
      <c r="A84" s="92">
        <v>6.86</v>
      </c>
      <c r="B84" s="50">
        <f t="shared" si="2"/>
        <v>93.68199914173651</v>
      </c>
      <c r="C84" s="50">
        <f t="shared" si="3"/>
        <v>147.15988315393002</v>
      </c>
      <c r="D84" s="50">
        <f t="shared" si="4"/>
        <v>-81.93792265609964</v>
      </c>
      <c r="E84" s="50">
        <f t="shared" si="5"/>
        <v>-65.22196049783038</v>
      </c>
    </row>
    <row r="85" spans="1:5" x14ac:dyDescent="0.2">
      <c r="A85" s="92">
        <v>7.19</v>
      </c>
      <c r="B85" s="50">
        <f t="shared" si="2"/>
        <v>126.68199914173653</v>
      </c>
      <c r="C85" s="50">
        <f t="shared" si="3"/>
        <v>147.15988315393002</v>
      </c>
      <c r="D85" s="50">
        <f t="shared" si="4"/>
        <v>-81.93792265609964</v>
      </c>
      <c r="E85" s="50">
        <f t="shared" si="5"/>
        <v>-65.22196049783038</v>
      </c>
    </row>
    <row r="86" spans="1:5" x14ac:dyDescent="0.2">
      <c r="A86" s="92">
        <v>7.51</v>
      </c>
      <c r="B86" s="50">
        <f t="shared" si="2"/>
        <v>158.68199914173647</v>
      </c>
      <c r="C86" s="50">
        <f t="shared" si="3"/>
        <v>147.15988315393002</v>
      </c>
      <c r="D86" s="50">
        <f t="shared" si="4"/>
        <v>-81.93792265609964</v>
      </c>
      <c r="E86" s="50">
        <f t="shared" si="5"/>
        <v>-65.22196049783035</v>
      </c>
    </row>
    <row r="87" spans="1:5" x14ac:dyDescent="0.2">
      <c r="A87" s="92">
        <v>7.84</v>
      </c>
      <c r="B87" s="50">
        <f t="shared" si="2"/>
        <v>191.68199914173647</v>
      </c>
      <c r="C87" s="50">
        <f t="shared" si="3"/>
        <v>147.15988315393002</v>
      </c>
      <c r="D87" s="50">
        <f t="shared" si="4"/>
        <v>-81.93792265609964</v>
      </c>
      <c r="E87" s="50">
        <f t="shared" si="5"/>
        <v>-65.22196049783035</v>
      </c>
    </row>
    <row r="88" spans="1:5" x14ac:dyDescent="0.2">
      <c r="A88" s="92">
        <v>8.17</v>
      </c>
      <c r="B88" s="50">
        <f t="shared" si="2"/>
        <v>224.68199914173647</v>
      </c>
      <c r="C88" s="50">
        <f t="shared" si="3"/>
        <v>147.15988315393002</v>
      </c>
      <c r="D88" s="50">
        <f t="shared" si="4"/>
        <v>-81.93792265609964</v>
      </c>
      <c r="E88" s="50">
        <f t="shared" si="5"/>
        <v>-65.22196049783035</v>
      </c>
    </row>
    <row r="89" spans="1:5" x14ac:dyDescent="0.2">
      <c r="A89" s="92">
        <v>8.49</v>
      </c>
      <c r="B89" s="50">
        <f t="shared" si="2"/>
        <v>256.68199914173647</v>
      </c>
      <c r="C89" s="50">
        <f t="shared" si="3"/>
        <v>147.15988315393002</v>
      </c>
      <c r="D89" s="50">
        <f t="shared" si="4"/>
        <v>-81.93792265609964</v>
      </c>
      <c r="E89" s="50">
        <f t="shared" si="5"/>
        <v>-65.22196049783035</v>
      </c>
    </row>
    <row r="90" spans="1:5" x14ac:dyDescent="0.2">
      <c r="A90" s="92">
        <v>8.82</v>
      </c>
      <c r="B90" s="50">
        <f t="shared" si="2"/>
        <v>289.68199914173647</v>
      </c>
      <c r="C90" s="50">
        <f t="shared" si="3"/>
        <v>147.15988315393002</v>
      </c>
      <c r="D90" s="50">
        <f t="shared" si="4"/>
        <v>-81.93792265609964</v>
      </c>
      <c r="E90" s="50">
        <f t="shared" si="5"/>
        <v>-65.22196049783035</v>
      </c>
    </row>
    <row r="91" spans="1:5" x14ac:dyDescent="0.2">
      <c r="A91" s="92">
        <v>9.15</v>
      </c>
      <c r="B91" s="50">
        <f t="shared" si="2"/>
        <v>322.6819991417366</v>
      </c>
      <c r="C91" s="50">
        <f t="shared" si="3"/>
        <v>147.15988315393002</v>
      </c>
      <c r="D91" s="50">
        <f t="shared" si="4"/>
        <v>-81.93792265609964</v>
      </c>
      <c r="E91" s="50">
        <f t="shared" si="5"/>
        <v>-65.22196049783035</v>
      </c>
    </row>
    <row r="92" spans="1:5" x14ac:dyDescent="0.2">
      <c r="A92" s="92">
        <v>9.4700000000000006</v>
      </c>
      <c r="B92" s="50">
        <f t="shared" si="2"/>
        <v>354.68199914173664</v>
      </c>
      <c r="C92" s="50">
        <f t="shared" si="3"/>
        <v>147.15988315393002</v>
      </c>
      <c r="D92" s="50">
        <f t="shared" si="4"/>
        <v>-81.93792265609964</v>
      </c>
      <c r="E92" s="50">
        <f t="shared" si="5"/>
        <v>-65.22196049783035</v>
      </c>
    </row>
    <row r="93" spans="1:5" x14ac:dyDescent="0.2">
      <c r="A93" s="92">
        <v>9.8000000000000007</v>
      </c>
      <c r="B93" s="50">
        <f t="shared" si="2"/>
        <v>387.68199914173664</v>
      </c>
      <c r="C93" s="50">
        <f t="shared" si="3"/>
        <v>147.15988315393002</v>
      </c>
      <c r="D93" s="50">
        <f t="shared" si="4"/>
        <v>-81.93792265609964</v>
      </c>
      <c r="E93" s="50">
        <f t="shared" si="5"/>
        <v>-65.22196049783035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Yearly Model</vt:lpstr>
      <vt:lpstr>Quarterly Model</vt:lpstr>
      <vt:lpstr>Assumptions</vt:lpstr>
      <vt:lpstr>Pipeline</vt:lpstr>
      <vt:lpstr>NPV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Eric</dc:creator>
  <cp:lastModifiedBy>Wang, Eric</cp:lastModifiedBy>
  <dcterms:created xsi:type="dcterms:W3CDTF">2026-10-02T01:24:56Z</dcterms:created>
  <dcterms:modified xsi:type="dcterms:W3CDTF">2026-10-20T07:56:32Z</dcterms:modified>
</cp:coreProperties>
</file>