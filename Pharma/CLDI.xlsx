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Calidi Biotherapeutics Inc</t>
        </is>
      </c>
      <c r="C2" s="10" t="n"/>
    </row>
    <row r="3">
      <c r="B3" t="inlineStr">
        <is>
          <t>Price</t>
        </is>
      </c>
      <c r="C3" s="11">
        <f>INDEX([1]Pharma!$F$1:$F$1000,MATCH("CLDI",[1]Pharma!$B$1:$B$1000,0))</f>
        <v>0.77</v>
      </c>
      <c r="F3" s="1" t="n"/>
    </row>
    <row r="4">
      <c r="B4" t="inlineStr">
        <is>
          <t>Shares</t>
        </is>
      </c>
      <c r="C4" s="21" t="n">
        <v>2.584184</v>
      </c>
      <c r="F4" s="1" t="n"/>
    </row>
    <row r="5">
      <c r="B5" t="inlineStr">
        <is>
          <t>Market Cap.</t>
        </is>
      </c>
      <c r="C5" s="13">
        <f>C3*C4</f>
        <v>1.9898216800000001</v>
      </c>
      <c r="F5" s="1" t="n"/>
    </row>
    <row r="6"/>
    <row r="7">
      <c r="B7" t="inlineStr">
        <is>
          <t>Cash</t>
        </is>
      </c>
      <c r="C7" s="21" t="n">
        <v>4.071</v>
      </c>
    </row>
    <row r="8">
      <c r="B8" t="inlineStr">
        <is>
          <t>Debt</t>
        </is>
      </c>
      <c r="C8" s="21" t="n">
        <v>0.6</v>
      </c>
    </row>
    <row r="9">
      <c r="B9" t="inlineStr">
        <is>
          <t>Enterprise V.</t>
        </is>
      </c>
      <c r="C9" s="13">
        <f>C5-C7+C8</f>
        <v>-1.4811783199999993</v>
      </c>
    </row>
    <row r="10"/>
    <row r="11">
      <c r="B11" s="14" t="inlineStr">
        <is>
          <t>Net Cash / Share</t>
        </is>
      </c>
      <c r="C11" s="11">
        <f>(C7-C8)/C4</f>
        <v>1.3431706101423118</v>
      </c>
    </row>
    <row r="12">
      <c r="B12" s="14" t="inlineStr">
        <is>
          <t>Upside</t>
        </is>
      </c>
      <c r="C12" s="15">
        <f>IFERROR(C11/C3-1,"")</f>
        <v>0.744377415769236</v>
      </c>
    </row>
    <row r="13">
      <c r="B13" s="14" t="inlineStr">
        <is>
          <t>Cash / Share</t>
        </is>
      </c>
      <c r="C13" s="11">
        <f>IFERROR((C7-C8)/C4,"")</f>
        <v>1.3431706101423118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-17.751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0.19553827953354738</v>
      </c>
    </row>
    <row r="19">
      <c r="B19" s="14" t="inlineStr">
        <is>
          <t>Implied Pipeline Value</t>
        </is>
      </c>
      <c r="C19" s="13">
        <f>C9</f>
        <v>-1.4811783199999993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0.045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0.045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7.257</v>
      </c>
      <c r="C5" s="23" t="n">
        <v>13.008</v>
      </c>
      <c r="D5" s="23" t="n">
        <v>8.878</v>
      </c>
      <c r="E5" s="23" t="n">
        <v>9.737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15.916</v>
      </c>
      <c r="C6" s="23" t="n">
        <v>15.984</v>
      </c>
      <c r="D6" s="23" t="n">
        <v>12.898</v>
      </c>
      <c r="E6" s="23" t="n">
        <v>10.503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23.173000000000002</v>
      </c>
      <c r="C7" s="23">
        <f>SUM(C5:C6)</f>
        <v>28.991999999999997</v>
      </c>
      <c r="D7" s="23">
        <f>SUM(D5:D6)</f>
        <v>21.776</v>
      </c>
      <c r="E7" s="23">
        <f>SUM(E5:E6)</f>
        <v>20.240000000000002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-23.128</v>
      </c>
      <c r="C8" s="23">
        <f>C4-C7</f>
        <v>-28.991999999999997</v>
      </c>
      <c r="D8" s="23">
        <f>D4-D7</f>
        <v>-21.776</v>
      </c>
      <c r="E8" s="23">
        <f>E4-E7</f>
        <v>-20.240000000000002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-2.288</v>
      </c>
      <c r="C9" s="23" t="n">
        <v>-0.208</v>
      </c>
      <c r="D9" s="23" t="n">
        <v>-0.353</v>
      </c>
      <c r="E9" s="23" t="n">
        <v>0.349</v>
      </c>
    </row>
    <row r="10">
      <c r="A10" s="2" t="inlineStr">
        <is>
          <t>Pretax</t>
        </is>
      </c>
      <c r="B10" s="23">
        <f>B8+B9</f>
        <v>-25.416</v>
      </c>
      <c r="C10" s="23">
        <f>C8+C9</f>
        <v>-29.199999999999996</v>
      </c>
      <c r="D10" s="23">
        <f>D8+D9</f>
        <v>-22.129</v>
      </c>
      <c r="E10" s="23">
        <f>E8+E9</f>
        <v>-19.891000000000002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0.011</v>
      </c>
      <c r="C11" s="23" t="n">
        <v>0.016</v>
      </c>
      <c r="D11" s="23" t="n">
        <v>0.014</v>
      </c>
      <c r="E11" s="23" t="n">
        <v>0.015</v>
      </c>
    </row>
    <row r="12">
      <c r="A12" s="2" t="inlineStr">
        <is>
          <t>Net Income</t>
        </is>
      </c>
      <c r="B12" s="23" t="n">
        <v>-25.427</v>
      </c>
      <c r="C12" s="23" t="n">
        <v>-29.216</v>
      </c>
      <c r="D12" s="23" t="n">
        <v>-22.143</v>
      </c>
      <c r="E12" s="23" t="n">
        <v>-19.906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-5.8587557603686635</v>
      </c>
      <c r="C13" s="11">
        <f>IFERROR(C12/C14,0)</f>
        <v>-6.791259879125989</v>
      </c>
      <c r="D13" s="11">
        <f>IFERROR(D12/D14,0)</f>
        <v>-5.147140864714087</v>
      </c>
      <c r="E13" s="11">
        <f>IFERROR(E12/E14,0)</f>
        <v>-4.627150162715016</v>
      </c>
    </row>
    <row r="14">
      <c r="A14" s="2" t="inlineStr">
        <is>
          <t>Shares</t>
        </is>
      </c>
      <c r="B14" s="23" t="n">
        <v>4.34</v>
      </c>
      <c r="C14" s="23" t="n">
        <v>4.302</v>
      </c>
      <c r="D14" s="23" t="n">
        <v>4.302</v>
      </c>
      <c r="E14" s="23" t="n">
        <v>4.302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-513.9555555555556</v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2026-10-21T06:31:41Z</dcterms:modified>
  <cp:lastModifiedBy>Wang, Eric</cp:lastModifiedBy>
</cp:coreProperties>
</file>