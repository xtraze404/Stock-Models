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Xilio Therapeutics Inc</t>
        </is>
      </c>
      <c r="C2" s="10" t="n"/>
    </row>
    <row r="3">
      <c r="B3" t="inlineStr">
        <is>
          <t>Price</t>
        </is>
      </c>
      <c r="C3" s="11">
        <f>INDEX([1]Pharma!$F$1:$F$1000,MATCH("XLO",[1]Pharma!$B$1:$B$1000,0))</f>
        <v>8.54</v>
      </c>
      <c r="F3" s="1" t="n"/>
    </row>
    <row r="4">
      <c r="B4" t="inlineStr">
        <is>
          <t>Shares</t>
        </is>
      </c>
      <c r="C4" s="21" t="n">
        <v>6.580149</v>
      </c>
      <c r="F4" s="1" t="n"/>
    </row>
    <row r="5">
      <c r="B5" t="inlineStr">
        <is>
          <t>Market Cap.</t>
        </is>
      </c>
      <c r="C5" s="13">
        <f>C3*C4</f>
        <v>56.19447245999999</v>
      </c>
      <c r="F5" s="1" t="n"/>
    </row>
    <row r="6"/>
    <row r="7">
      <c r="B7" t="inlineStr">
        <is>
          <t>Cash</t>
        </is>
      </c>
      <c r="C7" s="21" t="n">
        <v>136.04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-79.84552754</v>
      </c>
    </row>
    <row r="10"/>
    <row r="11">
      <c r="B11" s="14" t="inlineStr">
        <is>
          <t>Net Cash / Share</t>
        </is>
      </c>
      <c r="C11" s="11">
        <f>(C7-C8)/C4</f>
        <v>20.674303879744972</v>
      </c>
    </row>
    <row r="12">
      <c r="B12" s="14" t="inlineStr">
        <is>
          <t>Upside</t>
        </is>
      </c>
      <c r="C12" s="15">
        <f>IFERROR(C11/C3-1,"")</f>
        <v>1.4208786744432054</v>
      </c>
    </row>
    <row r="13">
      <c r="B13" s="14" t="inlineStr">
        <is>
          <t>Cash / Share</t>
        </is>
      </c>
      <c r="C13" s="11">
        <f>IFERROR((C7-C8)/C4,"")</f>
        <v>20.674303879744972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-60.598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2.244958579491072</v>
      </c>
    </row>
    <row r="19">
      <c r="B19" s="14" t="inlineStr">
        <is>
          <t>Implied Pipeline Value</t>
        </is>
      </c>
      <c r="C19" s="13">
        <f>C9</f>
        <v>-79.84552754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6.344</v>
      </c>
      <c r="G2" s="23" t="n">
        <v>43.766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6.344</v>
      </c>
      <c r="G4" s="23">
        <f>G2-G3</f>
        <v>43.766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43.91</v>
      </c>
      <c r="C5" s="23" t="n">
        <v>51.188</v>
      </c>
      <c r="D5" s="23" t="n">
        <v>59.201</v>
      </c>
      <c r="E5" s="23" t="n">
        <v>52.136</v>
      </c>
      <c r="F5" s="23" t="n">
        <v>41.211</v>
      </c>
      <c r="G5" s="23" t="n">
        <v>56.039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10.653</v>
      </c>
      <c r="C6" s="23" t="n">
        <v>23.856</v>
      </c>
      <c r="D6" s="23" t="n">
        <v>29.948</v>
      </c>
      <c r="E6" s="23" t="n">
        <v>26.997</v>
      </c>
      <c r="F6" s="23" t="n">
        <v>25.715</v>
      </c>
      <c r="G6" s="23" t="n">
        <v>29.709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54.562999999999995</v>
      </c>
      <c r="C7" s="23">
        <f>SUM(C5:C6)</f>
        <v>75.04400000000001</v>
      </c>
      <c r="D7" s="23">
        <f>SUM(D5:D6)</f>
        <v>89.149</v>
      </c>
      <c r="E7" s="23">
        <f>SUM(E5:E6)</f>
        <v>79.13300000000001</v>
      </c>
      <c r="F7" s="23">
        <f>SUM(F5:F6)</f>
        <v>66.926</v>
      </c>
      <c r="G7" s="23">
        <f>SUM(G5:G6)</f>
        <v>85.748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-54.562999999999995</v>
      </c>
      <c r="C8" s="23">
        <f>C4-C7</f>
        <v>-75.04400000000001</v>
      </c>
      <c r="D8" s="23">
        <f>D4-D7</f>
        <v>-89.149</v>
      </c>
      <c r="E8" s="23">
        <f>E4-E7</f>
        <v>-79.13300000000001</v>
      </c>
      <c r="F8" s="23">
        <f>F4-F7</f>
        <v>-60.582</v>
      </c>
      <c r="G8" s="23">
        <f>G4-G7</f>
        <v>-41.982000000000006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-0.656</v>
      </c>
      <c r="C9" s="23" t="n">
        <v>-0.756</v>
      </c>
      <c r="D9" s="23" t="n">
        <v>0.927</v>
      </c>
      <c r="E9" s="23" t="n">
        <v>2.729</v>
      </c>
      <c r="F9" s="23" t="n">
        <v>2.341</v>
      </c>
      <c r="G9" s="23" t="n">
        <v>6.946</v>
      </c>
    </row>
    <row r="10">
      <c r="A10" s="2" t="inlineStr">
        <is>
          <t>Pretax</t>
        </is>
      </c>
      <c r="B10" s="23">
        <f>B8+B9</f>
        <v>-55.218999999999994</v>
      </c>
      <c r="C10" s="23">
        <f>C8+C9</f>
        <v>-75.80000000000001</v>
      </c>
      <c r="D10" s="23">
        <f>D8+D9</f>
        <v>-88.222</v>
      </c>
      <c r="E10" s="23">
        <f>E8+E9</f>
        <v>-76.40400000000001</v>
      </c>
      <c r="F10" s="23">
        <f>F8+F9</f>
        <v>-58.241</v>
      </c>
      <c r="G10" s="23">
        <f>G8+G9</f>
        <v>-35.03600000000001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-55.219</v>
      </c>
      <c r="C12" s="23" t="n">
        <v>-75.8</v>
      </c>
      <c r="D12" s="23" t="n">
        <v>-88.22199999999999</v>
      </c>
      <c r="E12" s="23" t="n">
        <v>-76.404</v>
      </c>
      <c r="F12" s="23" t="n">
        <v>-58.241</v>
      </c>
      <c r="G12" s="23" t="n">
        <v>-35.036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-105.37977099236642</v>
      </c>
      <c r="C13" s="11">
        <f>IFERROR(C12/C14,0)</f>
        <v>-13.521227256510882</v>
      </c>
      <c r="D13" s="11">
        <f>IFERROR(D12/D14,0)</f>
        <v>-3.2207213785046727</v>
      </c>
      <c r="E13" s="11">
        <f>IFERROR(E12/E14,0)</f>
        <v>-2.7787314518475417</v>
      </c>
      <c r="F13" s="11">
        <f>IFERROR(F12/F14,0)</f>
        <v>-15.238356881214024</v>
      </c>
      <c r="G13" s="11">
        <f>IFERROR(G12/G14,0)</f>
        <v>-4.191410455796148</v>
      </c>
    </row>
    <row r="14">
      <c r="A14" s="2" t="inlineStr">
        <is>
          <t>Shares</t>
        </is>
      </c>
      <c r="B14" s="23" t="n">
        <v>0.524</v>
      </c>
      <c r="C14" s="23" t="n">
        <v>5.606</v>
      </c>
      <c r="D14" s="23" t="n">
        <v>27.392</v>
      </c>
      <c r="E14" s="23" t="n">
        <v>27.496</v>
      </c>
      <c r="F14" s="23" t="n">
        <v>3.822</v>
      </c>
      <c r="G14" s="23" t="n">
        <v>8.359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5.898802017654476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-9.549495586380832</v>
      </c>
      <c r="G18" s="15">
        <f>IFERROR(G8/G2,"")</f>
        <v>-0.9592377644747065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2026-10-21T01:06:09Z</dcterms:modified>
  <cp:lastModifiedBy>Wang, Eric</cp:lastModifiedBy>
</cp:coreProperties>
</file>