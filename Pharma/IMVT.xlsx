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Immunovant, Inc.</t>
        </is>
      </c>
      <c r="C2" s="10" t="n"/>
    </row>
    <row r="3">
      <c r="B3" t="inlineStr">
        <is>
          <t>Price</t>
        </is>
      </c>
      <c r="C3" s="11">
        <f>INDEX([1]Pharma!$F$1:$F$1000,MATCH("IMVT",[1]Pharma!$B$1:$B$1000,0))</f>
        <v>28.59</v>
      </c>
      <c r="F3" s="1" t="n"/>
    </row>
    <row r="4">
      <c r="B4" t="inlineStr">
        <is>
          <t>Shares</t>
        </is>
      </c>
      <c r="C4" s="21" t="n">
        <v>206.552682</v>
      </c>
      <c r="F4" s="1" t="n"/>
    </row>
    <row r="5">
      <c r="B5" t="inlineStr">
        <is>
          <t>Market Cap.</t>
        </is>
      </c>
      <c r="C5" s="13">
        <f>C3*C4</f>
        <v>5905.34117838</v>
      </c>
      <c r="F5" s="1" t="n"/>
    </row>
    <row r="6"/>
    <row r="7">
      <c r="B7" t="inlineStr">
        <is>
          <t>Cash</t>
        </is>
      </c>
      <c r="C7" s="21" t="n">
        <v>797.798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5107.54317838</v>
      </c>
    </row>
    <row r="10"/>
    <row r="11">
      <c r="B11" s="14" t="inlineStr">
        <is>
          <t>Net Cash / Share</t>
        </is>
      </c>
      <c r="C11" s="11">
        <f>(C7-C8)/C4</f>
        <v>3.862443190159109</v>
      </c>
    </row>
    <row r="12">
      <c r="B12" s="14" t="inlineStr">
        <is>
          <t>Upside</t>
        </is>
      </c>
      <c r="C12" s="15">
        <f>IFERROR(C11/C3-1,"")</f>
        <v>-0.8649023018482298</v>
      </c>
    </row>
    <row r="13">
      <c r="B13" s="14" t="inlineStr">
        <is>
          <t>Cash / Share</t>
        </is>
      </c>
      <c r="C13" s="11">
        <f>IFERROR((C7-C8)/C4,"")</f>
        <v>3.862443190159109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-414.304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1.9256343168301537</v>
      </c>
    </row>
    <row r="19">
      <c r="B19" s="14" t="inlineStr">
        <is>
          <t>Implied Pipeline Value</t>
        </is>
      </c>
      <c r="C19" s="13">
        <f>C9</f>
        <v>5107.54317838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17" t="n">
        <v>2026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1" t="n"/>
      <c r="K4" s="1" t="n"/>
    </row>
    <row r="5">
      <c r="A5" s="2" t="inlineStr">
        <is>
          <t>Research &amp; Dev.</t>
        </is>
      </c>
      <c r="B5" s="23" t="n">
        <v>25.733</v>
      </c>
      <c r="C5" s="23" t="n">
        <v>47.927</v>
      </c>
      <c r="D5" s="23" t="n">
        <v>68.604</v>
      </c>
      <c r="E5" s="23" t="n">
        <v>101.808</v>
      </c>
      <c r="F5" s="23" t="n">
        <v>160.257</v>
      </c>
      <c r="G5" s="23" t="n">
        <v>212.928</v>
      </c>
      <c r="H5" s="23" t="n">
        <v>360.917</v>
      </c>
      <c r="I5" s="23" t="n">
        <v>456.66</v>
      </c>
      <c r="J5" s="1" t="n"/>
      <c r="K5" s="1" t="n"/>
    </row>
    <row r="6">
      <c r="A6" s="19" t="inlineStr">
        <is>
          <t>SG&amp;A &amp; Other</t>
        </is>
      </c>
      <c r="B6" s="23" t="n">
        <v>2.692</v>
      </c>
      <c r="C6" s="23" t="n">
        <v>18.151</v>
      </c>
      <c r="D6" s="23" t="n">
        <v>39.513</v>
      </c>
      <c r="E6" s="23" t="n">
        <v>54.225</v>
      </c>
      <c r="F6" s="23" t="n">
        <v>58.019</v>
      </c>
      <c r="G6" s="23" t="n">
        <v>69.78100000000001</v>
      </c>
      <c r="H6" s="23" t="n">
        <v>77.235</v>
      </c>
      <c r="I6" s="23" t="n">
        <v>76.242</v>
      </c>
      <c r="J6" s="1" t="n"/>
      <c r="K6" s="1" t="n"/>
    </row>
    <row r="7">
      <c r="A7" s="2" t="inlineStr">
        <is>
          <t>Operating Expense</t>
        </is>
      </c>
      <c r="B7" s="23">
        <f>SUM(B5:B6)</f>
        <v>28.425</v>
      </c>
      <c r="C7" s="23">
        <f>SUM(C5:C6)</f>
        <v>66.078</v>
      </c>
      <c r="D7" s="23">
        <f>SUM(D5:D6)</f>
        <v>108.11699999999999</v>
      </c>
      <c r="E7" s="23">
        <f>SUM(E5:E6)</f>
        <v>156.03300000000002</v>
      </c>
      <c r="F7" s="23">
        <f>SUM(F5:F6)</f>
        <v>218.276</v>
      </c>
      <c r="G7" s="23">
        <f>SUM(G5:G6)</f>
        <v>282.709</v>
      </c>
      <c r="H7" s="23">
        <f>SUM(H5:H6)</f>
        <v>438.152</v>
      </c>
      <c r="I7" s="23">
        <f>SUM(I5:I6)</f>
        <v>532.902</v>
      </c>
      <c r="J7" s="1" t="n"/>
      <c r="K7" s="1" t="n"/>
    </row>
    <row r="8">
      <c r="A8" s="2" t="inlineStr">
        <is>
          <t>Operating Income</t>
        </is>
      </c>
      <c r="B8" s="23">
        <f>B4-B7</f>
        <v>-28.425</v>
      </c>
      <c r="C8" s="23">
        <f>C4-C7</f>
        <v>-66.078</v>
      </c>
      <c r="D8" s="23">
        <f>D4-D7</f>
        <v>-108.11699999999999</v>
      </c>
      <c r="E8" s="23">
        <f>E4-E7</f>
        <v>-156.03300000000002</v>
      </c>
      <c r="F8" s="23">
        <f>F4-F7</f>
        <v>-218.276</v>
      </c>
      <c r="G8" s="23">
        <f>G4-G7</f>
        <v>-282.709</v>
      </c>
      <c r="H8" s="23">
        <f>H4-H7</f>
        <v>-438.152</v>
      </c>
      <c r="I8" s="23">
        <f>I4-I7</f>
        <v>-532.902</v>
      </c>
      <c r="J8" s="1" t="n"/>
      <c r="K8" s="1" t="n"/>
    </row>
    <row r="9">
      <c r="A9" s="19" t="inlineStr">
        <is>
          <t>Interest &amp; Other</t>
        </is>
      </c>
      <c r="B9" s="23" t="n">
        <v>-0.155</v>
      </c>
      <c r="C9" s="23" t="n">
        <v>-0.213</v>
      </c>
      <c r="D9" s="23" t="n">
        <v>0.328</v>
      </c>
      <c r="E9" s="23" t="n">
        <v>-0.781</v>
      </c>
      <c r="F9" s="23" t="n">
        <v>7.325</v>
      </c>
      <c r="G9" s="23" t="n">
        <v>23.94</v>
      </c>
      <c r="H9" s="23" t="n">
        <v>25.203</v>
      </c>
      <c r="I9" s="23" t="n">
        <v>27.511</v>
      </c>
    </row>
    <row r="10">
      <c r="A10" s="2" t="inlineStr">
        <is>
          <t>Pretax</t>
        </is>
      </c>
      <c r="B10" s="23">
        <f>B8+B9</f>
        <v>-28.580000000000002</v>
      </c>
      <c r="C10" s="23">
        <f>C8+C9</f>
        <v>-66.291</v>
      </c>
      <c r="D10" s="23">
        <f>D8+D9</f>
        <v>-107.78899999999999</v>
      </c>
      <c r="E10" s="23">
        <f>E8+E9</f>
        <v>-156.81400000000002</v>
      </c>
      <c r="F10" s="23">
        <f>F8+F9</f>
        <v>-210.95100000000002</v>
      </c>
      <c r="G10" s="23">
        <f>G8+G9</f>
        <v>-258.769</v>
      </c>
      <c r="H10" s="23">
        <f>H8+H9</f>
        <v>-412.949</v>
      </c>
      <c r="I10" s="23">
        <f>I8+I9</f>
        <v>-505.391</v>
      </c>
      <c r="J10" s="1" t="n"/>
      <c r="K10" s="1" t="n"/>
    </row>
    <row r="11">
      <c r="A11" s="2" t="inlineStr">
        <is>
          <t>Taxes</t>
        </is>
      </c>
      <c r="B11" s="23" t="n">
        <v>0.019</v>
      </c>
      <c r="C11" s="23" t="n">
        <v>0.097</v>
      </c>
      <c r="D11" s="23" t="n">
        <v>-0.358</v>
      </c>
      <c r="E11" s="23" t="n">
        <v>-0.08400000000000001</v>
      </c>
      <c r="F11" s="23" t="n">
        <v>0.008999999999999999</v>
      </c>
      <c r="G11" s="23" t="n">
        <v>0.5669999999999999</v>
      </c>
      <c r="H11" s="23" t="n">
        <v>0.891</v>
      </c>
      <c r="I11" s="23" t="n">
        <v>0.215</v>
      </c>
    </row>
    <row r="12">
      <c r="A12" s="2" t="inlineStr">
        <is>
          <t>Net Income</t>
        </is>
      </c>
      <c r="B12" s="23" t="n">
        <v>-28.599</v>
      </c>
      <c r="C12" s="23" t="n">
        <v>-66.38800000000001</v>
      </c>
      <c r="D12" s="23" t="n">
        <v>-107.431</v>
      </c>
      <c r="E12" s="23" t="n">
        <v>-156.73</v>
      </c>
      <c r="F12" s="23" t="n">
        <v>-210.96</v>
      </c>
      <c r="G12" s="23" t="n">
        <v>-259.336</v>
      </c>
      <c r="H12" s="23" t="n">
        <v>-413.84</v>
      </c>
      <c r="I12" s="23" t="n">
        <v>-505.606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-0.6449641423481124</v>
      </c>
      <c r="C13" s="11">
        <f>IFERROR(C12/C14,0)</f>
        <v>-0.768397416606866</v>
      </c>
      <c r="D13" s="11">
        <f>IFERROR(D12/D14,0)</f>
        <v>-1.2241872443223902</v>
      </c>
      <c r="E13" s="11">
        <f>IFERROR(E12/E14,0)</f>
        <v>-1.4289882292872838</v>
      </c>
      <c r="F13" s="11">
        <f>IFERROR(F12/F14,0)</f>
        <v>-1.7140767824497258</v>
      </c>
      <c r="G13" s="11">
        <f>IFERROR(G12/G14,0)</f>
        <v>-1.8778719922375653</v>
      </c>
      <c r="H13" s="11">
        <f>IFERROR(H12/H14,0)</f>
        <v>-2.7302835578661244</v>
      </c>
      <c r="I13" s="11">
        <f>IFERROR(I12/I14,0)</f>
        <v>-2.7716436155925033</v>
      </c>
    </row>
    <row r="14">
      <c r="A14" s="2" t="inlineStr">
        <is>
          <t>Shares</t>
        </is>
      </c>
      <c r="B14" s="23" t="n">
        <v>44.342</v>
      </c>
      <c r="C14" s="23" t="n">
        <v>86.398</v>
      </c>
      <c r="D14" s="23" t="n">
        <v>87.75700000000001</v>
      </c>
      <c r="E14" s="23" t="n">
        <v>109.679</v>
      </c>
      <c r="F14" s="23" t="n">
        <v>123.075</v>
      </c>
      <c r="G14" s="23" t="n">
        <v>138.101</v>
      </c>
      <c r="H14" s="23" t="n">
        <v>151.574</v>
      </c>
      <c r="I14" s="23" t="n">
        <v>182.421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2026-10-21T01:04:03Z</dcterms:modified>
  <cp:lastModifiedBy>Wang, Eric</cp:lastModifiedBy>
</cp:coreProperties>
</file>