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Immunovant, Inc.</t>
        </is>
      </c>
      <c r="C2" s="10" t="n"/>
    </row>
    <row r="3">
      <c r="B3" t="inlineStr">
        <is>
          <t>Price</t>
        </is>
      </c>
      <c r="C3" s="11">
        <f>INDEX([1]Pharma!$F$1:$F$1000,MATCH("IMVT",[1]Pharma!$B$1:$B$1000,0))</f>
        <v>28.59</v>
      </c>
      <c r="F3" s="1" t="n"/>
    </row>
    <row r="4">
      <c r="B4" t="inlineStr">
        <is>
          <t>Shares</t>
        </is>
      </c>
      <c r="C4" s="21" t="n">
        <v>206.552682</v>
      </c>
      <c r="F4" s="1" t="n"/>
    </row>
    <row r="5">
      <c r="B5" t="inlineStr">
        <is>
          <t>Market Cap.</t>
        </is>
      </c>
      <c r="C5" s="13">
        <f>C3*C4</f>
        <v>5905.34117838</v>
      </c>
      <c r="F5" s="1" t="n"/>
    </row>
    <row r="6"/>
    <row r="7">
      <c r="B7" t="inlineStr">
        <is>
          <t>Cash</t>
        </is>
      </c>
      <c r="C7" s="21" t="n">
        <v>797.798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5107.54317838</v>
      </c>
    </row>
    <row r="10"/>
    <row r="11">
      <c r="B11" s="14" t="inlineStr">
        <is>
          <t>rNPV / Share</t>
        </is>
      </c>
      <c r="C11" s="11">
        <f>NPV!B27</f>
        <v>6.570822979428436</v>
      </c>
    </row>
    <row r="12">
      <c r="B12" s="14" t="inlineStr">
        <is>
          <t>Upside</t>
        </is>
      </c>
      <c r="C12" s="15">
        <f>IFERROR(C11/C3-1,"")</f>
        <v>-0.7701705848398588</v>
      </c>
    </row>
    <row r="13">
      <c r="B13" s="14" t="inlineStr">
        <is>
          <t>Cash / Share</t>
        </is>
      </c>
      <c r="C13" s="11">
        <f>IFERROR((C7-C8)/C4,"")</f>
        <v>3.862443190159109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-414.304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1.9256343168301537</v>
      </c>
    </row>
    <row r="19">
      <c r="B19" s="14" t="inlineStr">
        <is>
          <t>Implied Pipeline Value</t>
        </is>
      </c>
      <c r="C19" s="13">
        <f>C9</f>
        <v>5107.54317838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17" t="n">
        <v>2026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25.733</v>
      </c>
      <c r="C5" s="23" t="n">
        <v>47.927</v>
      </c>
      <c r="D5" s="23" t="n">
        <v>68.604</v>
      </c>
      <c r="E5" s="23" t="n">
        <v>101.808</v>
      </c>
      <c r="F5" s="23" t="n">
        <v>160.257</v>
      </c>
      <c r="G5" s="23" t="n">
        <v>212.928</v>
      </c>
      <c r="H5" s="23" t="n">
        <v>360.917</v>
      </c>
      <c r="I5" s="23" t="n">
        <v>456.66</v>
      </c>
      <c r="J5" s="1" t="n"/>
      <c r="K5" s="1" t="n"/>
    </row>
    <row r="6">
      <c r="A6" s="19" t="inlineStr">
        <is>
          <t>SG&amp;A &amp; Other</t>
        </is>
      </c>
      <c r="B6" s="23" t="n">
        <v>2.692</v>
      </c>
      <c r="C6" s="23" t="n">
        <v>18.151</v>
      </c>
      <c r="D6" s="23" t="n">
        <v>39.513</v>
      </c>
      <c r="E6" s="23" t="n">
        <v>54.225</v>
      </c>
      <c r="F6" s="23" t="n">
        <v>58.019</v>
      </c>
      <c r="G6" s="23" t="n">
        <v>69.78100000000001</v>
      </c>
      <c r="H6" s="23" t="n">
        <v>77.235</v>
      </c>
      <c r="I6" s="23" t="n">
        <v>76.242</v>
      </c>
      <c r="J6" s="1" t="n"/>
      <c r="K6" s="1" t="n"/>
    </row>
    <row r="7">
      <c r="A7" s="2" t="inlineStr">
        <is>
          <t>Operating Expense</t>
        </is>
      </c>
      <c r="B7" s="23">
        <f>SUM(B5:B6)</f>
        <v>28.425</v>
      </c>
      <c r="C7" s="23">
        <f>SUM(C5:C6)</f>
        <v>66.078</v>
      </c>
      <c r="D7" s="23">
        <f>SUM(D5:D6)</f>
        <v>108.11699999999999</v>
      </c>
      <c r="E7" s="23">
        <f>SUM(E5:E6)</f>
        <v>156.03300000000002</v>
      </c>
      <c r="F7" s="23">
        <f>SUM(F5:F6)</f>
        <v>218.276</v>
      </c>
      <c r="G7" s="23">
        <f>SUM(G5:G6)</f>
        <v>282.709</v>
      </c>
      <c r="H7" s="23">
        <f>SUM(H5:H6)</f>
        <v>438.152</v>
      </c>
      <c r="I7" s="23">
        <f>SUM(I5:I6)</f>
        <v>532.902</v>
      </c>
      <c r="J7" s="1" t="n"/>
      <c r="K7" s="1" t="n"/>
    </row>
    <row r="8">
      <c r="A8" s="2" t="inlineStr">
        <is>
          <t>Operating Income</t>
        </is>
      </c>
      <c r="B8" s="23">
        <f>B4-B7</f>
        <v>-28.425</v>
      </c>
      <c r="C8" s="23">
        <f>C4-C7</f>
        <v>-66.078</v>
      </c>
      <c r="D8" s="23">
        <f>D4-D7</f>
        <v>-108.11699999999999</v>
      </c>
      <c r="E8" s="23">
        <f>E4-E7</f>
        <v>-156.03300000000002</v>
      </c>
      <c r="F8" s="23">
        <f>F4-F7</f>
        <v>-218.276</v>
      </c>
      <c r="G8" s="23">
        <f>G4-G7</f>
        <v>-282.709</v>
      </c>
      <c r="H8" s="23">
        <f>H4-H7</f>
        <v>-438.152</v>
      </c>
      <c r="I8" s="23">
        <f>I4-I7</f>
        <v>-532.902</v>
      </c>
      <c r="J8" s="1" t="n"/>
      <c r="K8" s="1" t="n"/>
    </row>
    <row r="9">
      <c r="A9" s="19" t="inlineStr">
        <is>
          <t>Interest &amp; Other</t>
        </is>
      </c>
      <c r="B9" s="23" t="n">
        <v>-0.155</v>
      </c>
      <c r="C9" s="23" t="n">
        <v>-0.213</v>
      </c>
      <c r="D9" s="23" t="n">
        <v>0.328</v>
      </c>
      <c r="E9" s="23" t="n">
        <v>-0.781</v>
      </c>
      <c r="F9" s="23" t="n">
        <v>7.325</v>
      </c>
      <c r="G9" s="23" t="n">
        <v>23.94</v>
      </c>
      <c r="H9" s="23" t="n">
        <v>25.203</v>
      </c>
      <c r="I9" s="23" t="n">
        <v>27.511</v>
      </c>
    </row>
    <row r="10">
      <c r="A10" s="2" t="inlineStr">
        <is>
          <t>Pretax</t>
        </is>
      </c>
      <c r="B10" s="23">
        <f>B8+B9</f>
        <v>-28.580000000000002</v>
      </c>
      <c r="C10" s="23">
        <f>C8+C9</f>
        <v>-66.291</v>
      </c>
      <c r="D10" s="23">
        <f>D8+D9</f>
        <v>-107.78899999999999</v>
      </c>
      <c r="E10" s="23">
        <f>E8+E9</f>
        <v>-156.81400000000002</v>
      </c>
      <c r="F10" s="23">
        <f>F8+F9</f>
        <v>-210.95100000000002</v>
      </c>
      <c r="G10" s="23">
        <f>G8+G9</f>
        <v>-258.769</v>
      </c>
      <c r="H10" s="23">
        <f>H8+H9</f>
        <v>-412.949</v>
      </c>
      <c r="I10" s="23">
        <f>I8+I9</f>
        <v>-505.391</v>
      </c>
      <c r="J10" s="1" t="n"/>
      <c r="K10" s="1" t="n"/>
    </row>
    <row r="11">
      <c r="A11" s="2" t="inlineStr">
        <is>
          <t>Taxes</t>
        </is>
      </c>
      <c r="B11" s="23" t="n">
        <v>0.019</v>
      </c>
      <c r="C11" s="23" t="n">
        <v>0.097</v>
      </c>
      <c r="D11" s="23" t="n">
        <v>-0.358</v>
      </c>
      <c r="E11" s="23" t="n">
        <v>-0.08400000000000001</v>
      </c>
      <c r="F11" s="23" t="n">
        <v>0.008999999999999999</v>
      </c>
      <c r="G11" s="23" t="n">
        <v>0.5669999999999999</v>
      </c>
      <c r="H11" s="23" t="n">
        <v>0.891</v>
      </c>
      <c r="I11" s="23" t="n">
        <v>0.215</v>
      </c>
    </row>
    <row r="12">
      <c r="A12" s="2" t="inlineStr">
        <is>
          <t>Net Income</t>
        </is>
      </c>
      <c r="B12" s="23" t="n">
        <v>-28.599</v>
      </c>
      <c r="C12" s="23" t="n">
        <v>-66.38800000000001</v>
      </c>
      <c r="D12" s="23" t="n">
        <v>-107.431</v>
      </c>
      <c r="E12" s="23" t="n">
        <v>-156.73</v>
      </c>
      <c r="F12" s="23" t="n">
        <v>-210.96</v>
      </c>
      <c r="G12" s="23" t="n">
        <v>-259.336</v>
      </c>
      <c r="H12" s="23" t="n">
        <v>-413.84</v>
      </c>
      <c r="I12" s="23" t="n">
        <v>-505.606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-0.6449641423481124</v>
      </c>
      <c r="C13" s="11">
        <f>IFERROR(C12/C14,0)</f>
        <v>-0.768397416606866</v>
      </c>
      <c r="D13" s="11">
        <f>IFERROR(D12/D14,0)</f>
        <v>-1.2241872443223902</v>
      </c>
      <c r="E13" s="11">
        <f>IFERROR(E12/E14,0)</f>
        <v>-1.4289882292872838</v>
      </c>
      <c r="F13" s="11">
        <f>IFERROR(F12/F14,0)</f>
        <v>-1.7140767824497258</v>
      </c>
      <c r="G13" s="11">
        <f>IFERROR(G12/G14,0)</f>
        <v>-1.8778719922375653</v>
      </c>
      <c r="H13" s="11">
        <f>IFERROR(H12/H14,0)</f>
        <v>-2.7302835578661244</v>
      </c>
      <c r="I13" s="11">
        <f>IFERROR(I12/I14,0)</f>
        <v>-2.7716436155925033</v>
      </c>
    </row>
    <row r="14">
      <c r="A14" s="2" t="inlineStr">
        <is>
          <t>Shares</t>
        </is>
      </c>
      <c r="B14" s="23" t="n">
        <v>44.342</v>
      </c>
      <c r="C14" s="23" t="n">
        <v>86.398</v>
      </c>
      <c r="D14" s="23" t="n">
        <v>87.75700000000001</v>
      </c>
      <c r="E14" s="23" t="n">
        <v>109.679</v>
      </c>
      <c r="F14" s="23" t="n">
        <v>123.075</v>
      </c>
      <c r="G14" s="23" t="n">
        <v>138.101</v>
      </c>
      <c r="H14" s="23" t="n">
        <v>151.574</v>
      </c>
      <c r="I14" s="23" t="n">
        <v>182.421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Immunovant,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1-PRODUCT(Pipeline!AG4:AG8)</f>
        <v>0.8920965224950477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566.001</v>
      </c>
    </row>
    <row r="19">
      <c r="A19" s="14" t="inlineStr">
        <is>
          <t>Years of full burn (until the first launch, max 4)</t>
        </is>
      </c>
      <c r="B19" s="39">
        <f>MIN(4,MAX(1,MIN(Pipeline!I4:I8)-2026))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1748.9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559.4231093481743</v>
      </c>
      <c r="C29" s="42">
        <f>NPV!B25</f>
        <v>1357.2211093481742</v>
      </c>
      <c r="D29" s="43">
        <f>NPV!B27</f>
        <v>6.570822979428436</v>
      </c>
      <c r="E29" s="44">
        <f>NPV!B29</f>
        <v>-0.7701705848398588</v>
      </c>
    </row>
    <row r="30">
      <c r="A30" s="45" t="n">
        <v>1</v>
      </c>
      <c r="B30" s="46">
        <f t="dataTable" ref="B30:E32" r1="B4"/>
        <v>-751.2643367956522</v>
      </c>
      <c r="C30" s="46">
        <v>46.53366320434782</v>
      </c>
      <c r="D30" s="47">
        <v>0.2252871410517333</v>
      </c>
      <c r="E30" s="48">
        <v>-0.9921200720163786</v>
      </c>
    </row>
    <row r="31">
      <c r="A31" s="45" t="n">
        <v>2</v>
      </c>
      <c r="B31" s="46">
        <v>559.4231093481743</v>
      </c>
      <c r="C31" s="46">
        <v>1357.2211093481742</v>
      </c>
      <c r="D31" s="47">
        <v>6.570822979428436</v>
      </c>
      <c r="E31" s="48">
        <v>-0.7701705848398588</v>
      </c>
    </row>
    <row r="32">
      <c r="A32" s="45" t="n">
        <v>3</v>
      </c>
      <c r="B32" s="46">
        <v>2538.402203919075</v>
      </c>
      <c r="C32" s="46">
        <v>3336.2002039190747</v>
      </c>
      <c r="D32" s="47">
        <v>16.151812562371255</v>
      </c>
      <c r="E32" s="48">
        <v>-0.43505377536302015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6.570822979428436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-1.2309619947516464</v>
      </c>
      <c r="C37" s="47">
        <v>0.8026249596188912</v>
      </c>
      <c r="D37" s="47">
        <v>2.787360498018702</v>
      </c>
      <c r="E37" s="47">
        <v>6.273575947722105</v>
      </c>
      <c r="F37" s="47">
        <v>9.642177442658106</v>
      </c>
    </row>
    <row r="38">
      <c r="A38" s="50" t="n">
        <v>0.8</v>
      </c>
      <c r="B38" s="47">
        <v>-0.44779645187381517</v>
      </c>
      <c r="C38" s="47">
        <v>2.2636528206202358</v>
      </c>
      <c r="D38" s="47">
        <v>4.628682872763985</v>
      </c>
      <c r="E38" s="47">
        <v>9.160528232316755</v>
      </c>
      <c r="F38" s="47">
        <v>13.580818357500437</v>
      </c>
    </row>
    <row r="39">
      <c r="A39" s="50" t="n">
        <v>1</v>
      </c>
      <c r="B39" s="47">
        <v>0.509209431208509</v>
      </c>
      <c r="C39" s="47">
        <v>3.694438114587033</v>
      </c>
      <c r="D39" s="47">
        <v>6.570822979428436</v>
      </c>
      <c r="E39" s="47">
        <v>12.151651177340664</v>
      </c>
      <c r="F39" s="47">
        <v>17.636365806727895</v>
      </c>
    </row>
    <row r="40">
      <c r="A40" s="50" t="n">
        <v>1.2</v>
      </c>
      <c r="B40" s="47">
        <v>1.6044681792723259</v>
      </c>
      <c r="C40" s="47">
        <v>5.204978334392978</v>
      </c>
      <c r="D40" s="47">
        <v>8.598965072694833</v>
      </c>
      <c r="E40" s="47">
        <v>15.22707490018937</v>
      </c>
      <c r="F40" s="47">
        <v>21.772138642501368</v>
      </c>
    </row>
    <row r="41">
      <c r="A41" s="50" t="n">
        <v>1.4</v>
      </c>
      <c r="B41" s="47">
        <v>2.7336881570150915</v>
      </c>
      <c r="C41" s="47">
        <v>6.781660963556821</v>
      </c>
      <c r="D41" s="47">
        <v>10.694029261437699</v>
      </c>
      <c r="E41" s="47">
        <v>18.38383054223699</v>
      </c>
      <c r="F41" s="47">
        <v>25.995934700318887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Immunovant,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Myasthenia gravis / neuromuscular</t>
        </is>
      </c>
      <c r="C4" s="14" t="inlineStr">
        <is>
          <t>IMVT-1402</t>
        </is>
      </c>
      <c r="D4" s="14" t="inlineStr">
        <is>
          <t>Phase 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1500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1216.3440841125987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84.795</v>
      </c>
      <c r="Q4" s="23">
        <f>IF(Q$3&lt;$I4,0,$G4*Assumptions!$E$11*INDEX(Assumptions!$B$24:$G$24,MIN(6,Q$3-$I4+1))*IF(Q$3&gt;$J4,(1-Assumptions!$B$26)^(Q$3-$J4),1)*IF($H4&gt;=1,1,MIN(0.97,$H4*Assumptions!$E$12)))</f>
        <v>211.9875</v>
      </c>
      <c r="R4" s="23">
        <f>IF(R$3&lt;$I4,0,$G4*Assumptions!$E$11*INDEX(Assumptions!$B$24:$G$24,MIN(6,R$3-$I4+1))*IF(R$3&gt;$J4,(1-Assumptions!$B$26)^(R$3-$J4),1)*IF($H4&gt;=1,1,MIN(0.97,$H4*Assumptions!$E$12)))</f>
        <v>381.57750000000004</v>
      </c>
      <c r="S4" s="23">
        <f>IF(S$3&lt;$I4,0,$G4*Assumptions!$E$11*INDEX(Assumptions!$B$24:$G$24,MIN(6,S$3-$I4+1))*IF(S$3&gt;$J4,(1-Assumptions!$B$26)^(S$3-$J4),1)*IF($H4&gt;=1,1,MIN(0.97,$H4*Assumptions!$E$12)))</f>
        <v>551.1675</v>
      </c>
      <c r="T4" s="23">
        <f>IF(T$3&lt;$I4,0,$G4*Assumptions!$E$11*INDEX(Assumptions!$B$24:$G$24,MIN(6,T$3-$I4+1))*IF(T$3&gt;$J4,(1-Assumptions!$B$26)^(T$3-$J4),1)*IF($H4&gt;=1,1,MIN(0.97,$H4*Assumptions!$E$12)))</f>
        <v>720.7575</v>
      </c>
      <c r="U4" s="23">
        <f>IF(U$3&lt;$I4,0,$G4*Assumptions!$E$11*INDEX(Assumptions!$B$24:$G$24,MIN(6,U$3-$I4+1))*IF(U$3&gt;$J4,(1-Assumptions!$B$26)^(U$3-$J4),1)*IF($H4&gt;=1,1,MIN(0.97,$H4*Assumptions!$E$12)))</f>
        <v>847.95</v>
      </c>
      <c r="V4" s="23">
        <f>IF(V$3&lt;$I4,0,$G4*Assumptions!$E$11*INDEX(Assumptions!$B$24:$G$24,MIN(6,V$3-$I4+1))*IF(V$3&gt;$J4,(1-Assumptions!$B$26)^(V$3-$J4),1)*IF($H4&gt;=1,1,MIN(0.97,$H4*Assumptions!$E$12)))</f>
        <v>847.95</v>
      </c>
      <c r="W4" s="23">
        <f>IF(W$3&lt;$I4,0,$G4*Assumptions!$E$11*INDEX(Assumptions!$B$24:$G$24,MIN(6,W$3-$I4+1))*IF(W$3&gt;$J4,(1-Assumptions!$B$26)^(W$3-$J4),1)*IF($H4&gt;=1,1,MIN(0.97,$H4*Assumptions!$E$12)))</f>
        <v>847.95</v>
      </c>
      <c r="X4" s="23">
        <f>IF(X$3&lt;$I4,0,$G4*Assumptions!$E$11*INDEX(Assumptions!$B$24:$G$24,MIN(6,X$3-$I4+1))*IF(X$3&gt;$J4,(1-Assumptions!$B$26)^(X$3-$J4),1)*IF($H4&gt;=1,1,MIN(0.97,$H4*Assumptions!$E$12)))</f>
        <v>847.95</v>
      </c>
      <c r="Y4" s="23">
        <f>IF(Y$3&lt;$I4,0,$G4*Assumptions!$E$11*INDEX(Assumptions!$B$24:$G$24,MIN(6,Y$3-$I4+1))*IF(Y$3&gt;$J4,(1-Assumptions!$B$26)^(Y$3-$J4),1)*IF($H4&gt;=1,1,MIN(0.97,$H4*Assumptions!$E$12)))</f>
        <v>847.95</v>
      </c>
      <c r="Z4" s="23">
        <f>IF(Z$3&lt;$I4,0,$G4*Assumptions!$E$11*INDEX(Assumptions!$B$24:$G$24,MIN(6,Z$3-$I4+1))*IF(Z$3&gt;$J4,(1-Assumptions!$B$26)^(Z$3-$J4),1)*IF($H4&gt;=1,1,MIN(0.97,$H4*Assumptions!$E$12)))</f>
        <v>847.95</v>
      </c>
      <c r="AA4" s="23">
        <f>IF(AA$3&lt;$I4,0,$G4*Assumptions!$E$11*INDEX(Assumptions!$B$24:$G$24,MIN(6,AA$3-$I4+1))*IF(AA$3&gt;$J4,(1-Assumptions!$B$26)^(AA$3-$J4),1)*IF($H4&gt;=1,1,MIN(0.97,$H4*Assumptions!$E$12)))</f>
        <v>847.95</v>
      </c>
      <c r="AB4" s="23">
        <f>IF(AB$3&lt;$I4,0,$G4*Assumptions!$E$11*INDEX(Assumptions!$B$24:$G$24,MIN(6,AB$3-$I4+1))*IF(AB$3&gt;$J4,(1-Assumptions!$B$26)^(AB$3-$J4),1)*IF($H4&gt;=1,1,MIN(0.97,$H4*Assumptions!$E$12)))</f>
        <v>847.95</v>
      </c>
      <c r="AC4" s="23">
        <f>IF(AC$3&lt;$I4,0,$G4*Assumptions!$E$11*INDEX(Assumptions!$B$24:$G$24,MIN(6,AC$3-$I4+1))*IF(AC$3&gt;$J4,(1-Assumptions!$B$26)^(AC$3-$J4),1)*IF($H4&gt;=1,1,MIN(0.97,$H4*Assumptions!$E$12)))</f>
        <v>423.975</v>
      </c>
      <c r="AD4" s="23">
        <f>IF(AD$3&lt;$I4,0,$G4*Assumptions!$E$11*INDEX(Assumptions!$B$24:$G$24,MIN(6,AD$3-$I4+1))*IF(AD$3&gt;$J4,(1-Assumptions!$B$26)^(AD$3-$J4),1)*IF($H4&gt;=1,1,MIN(0.97,$H4*Assumptions!$E$12)))</f>
        <v>211.9875</v>
      </c>
      <c r="AE4" s="23">
        <f>IF(AE$3&lt;$I4,0,$G4*Assumptions!$E$11*INDEX(Assumptions!$B$24:$G$24,MIN(6,AE$3-$I4+1))*IF(AE$3&gt;$J4,(1-Assumptions!$B$26)^(AE$3-$J4),1)*IF($H4&gt;=1,1,MIN(0.97,$H4*Assumptions!$E$12)))</f>
        <v>105.99375</v>
      </c>
      <c r="AF4" s="23">
        <f>IF(AF$3&lt;$I4,0,$G4*Assumptions!$E$11*INDEX(Assumptions!$B$24:$G$24,MIN(6,AF$3-$I4+1))*IF(AF$3&gt;$J4,(1-Assumptions!$B$26)^(AF$3-$J4),1)*IF($H4&gt;=1,1,MIN(0.97,$H4*Assumptions!$E$12)))</f>
        <v>52.996875</v>
      </c>
      <c r="AG4" s="35">
        <f>IF(F4="Owned",1-IF(H4&gt;=1,1,MIN(0.97,H4*Assumptions!$E$12)),1)</f>
        <v>0.4347</v>
      </c>
    </row>
    <row r="5">
      <c r="A5" s="39" t="n">
        <v>2</v>
      </c>
      <c r="B5" s="14" t="inlineStr">
        <is>
          <t>Rare autoimmune</t>
        </is>
      </c>
      <c r="C5" s="14" t="inlineStr">
        <is>
          <t>IMVT-1402, Batoclimab</t>
        </is>
      </c>
      <c r="D5" s="14" t="inlineStr">
        <is>
          <t>Phase 3</t>
        </is>
      </c>
      <c r="E5" s="14" t="inlineStr">
        <is>
          <t>Autoimmune / rare</t>
        </is>
      </c>
      <c r="F5" s="14" t="inlineStr">
        <is>
          <t>Owned</t>
        </is>
      </c>
      <c r="G5" s="40" t="n">
        <v>800</v>
      </c>
      <c r="H5" s="27" t="n">
        <v>0.5653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648.7168448600528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45.224000000000004</v>
      </c>
      <c r="Q5" s="23">
        <f>IF(Q$3&lt;$I5,0,$G5*Assumptions!$E$11*INDEX(Assumptions!$B$24:$G$24,MIN(6,Q$3-$I5+1))*IF(Q$3&gt;$J5,(1-Assumptions!$B$26)^(Q$3-$J5),1)*IF($H5&gt;=1,1,MIN(0.97,$H5*Assumptions!$E$12)))</f>
        <v>113.06</v>
      </c>
      <c r="R5" s="23">
        <f>IF(R$3&lt;$I5,0,$G5*Assumptions!$E$11*INDEX(Assumptions!$B$24:$G$24,MIN(6,R$3-$I5+1))*IF(R$3&gt;$J5,(1-Assumptions!$B$26)^(R$3-$J5),1)*IF($H5&gt;=1,1,MIN(0.97,$H5*Assumptions!$E$12)))</f>
        <v>203.508</v>
      </c>
      <c r="S5" s="23">
        <f>IF(S$3&lt;$I5,0,$G5*Assumptions!$E$11*INDEX(Assumptions!$B$24:$G$24,MIN(6,S$3-$I5+1))*IF(S$3&gt;$J5,(1-Assumptions!$B$26)^(S$3-$J5),1)*IF($H5&gt;=1,1,MIN(0.97,$H5*Assumptions!$E$12)))</f>
        <v>293.956</v>
      </c>
      <c r="T5" s="23">
        <f>IF(T$3&lt;$I5,0,$G5*Assumptions!$E$11*INDEX(Assumptions!$B$24:$G$24,MIN(6,T$3-$I5+1))*IF(T$3&gt;$J5,(1-Assumptions!$B$26)^(T$3-$J5),1)*IF($H5&gt;=1,1,MIN(0.97,$H5*Assumptions!$E$12)))</f>
        <v>384.404</v>
      </c>
      <c r="U5" s="23">
        <f>IF(U$3&lt;$I5,0,$G5*Assumptions!$E$11*INDEX(Assumptions!$B$24:$G$24,MIN(6,U$3-$I5+1))*IF(U$3&gt;$J5,(1-Assumptions!$B$26)^(U$3-$J5),1)*IF($H5&gt;=1,1,MIN(0.97,$H5*Assumptions!$E$12)))</f>
        <v>452.24</v>
      </c>
      <c r="V5" s="23">
        <f>IF(V$3&lt;$I5,0,$G5*Assumptions!$E$11*INDEX(Assumptions!$B$24:$G$24,MIN(6,V$3-$I5+1))*IF(V$3&gt;$J5,(1-Assumptions!$B$26)^(V$3-$J5),1)*IF($H5&gt;=1,1,MIN(0.97,$H5*Assumptions!$E$12)))</f>
        <v>452.24</v>
      </c>
      <c r="W5" s="23">
        <f>IF(W$3&lt;$I5,0,$G5*Assumptions!$E$11*INDEX(Assumptions!$B$24:$G$24,MIN(6,W$3-$I5+1))*IF(W$3&gt;$J5,(1-Assumptions!$B$26)^(W$3-$J5),1)*IF($H5&gt;=1,1,MIN(0.97,$H5*Assumptions!$E$12)))</f>
        <v>452.24</v>
      </c>
      <c r="X5" s="23">
        <f>IF(X$3&lt;$I5,0,$G5*Assumptions!$E$11*INDEX(Assumptions!$B$24:$G$24,MIN(6,X$3-$I5+1))*IF(X$3&gt;$J5,(1-Assumptions!$B$26)^(X$3-$J5),1)*IF($H5&gt;=1,1,MIN(0.97,$H5*Assumptions!$E$12)))</f>
        <v>452.24</v>
      </c>
      <c r="Y5" s="23">
        <f>IF(Y$3&lt;$I5,0,$G5*Assumptions!$E$11*INDEX(Assumptions!$B$24:$G$24,MIN(6,Y$3-$I5+1))*IF(Y$3&gt;$J5,(1-Assumptions!$B$26)^(Y$3-$J5),1)*IF($H5&gt;=1,1,MIN(0.97,$H5*Assumptions!$E$12)))</f>
        <v>452.24</v>
      </c>
      <c r="Z5" s="23">
        <f>IF(Z$3&lt;$I5,0,$G5*Assumptions!$E$11*INDEX(Assumptions!$B$24:$G$24,MIN(6,Z$3-$I5+1))*IF(Z$3&gt;$J5,(1-Assumptions!$B$26)^(Z$3-$J5),1)*IF($H5&gt;=1,1,MIN(0.97,$H5*Assumptions!$E$12)))</f>
        <v>452.24</v>
      </c>
      <c r="AA5" s="23">
        <f>IF(AA$3&lt;$I5,0,$G5*Assumptions!$E$11*INDEX(Assumptions!$B$24:$G$24,MIN(6,AA$3-$I5+1))*IF(AA$3&gt;$J5,(1-Assumptions!$B$26)^(AA$3-$J5),1)*IF($H5&gt;=1,1,MIN(0.97,$H5*Assumptions!$E$12)))</f>
        <v>452.24</v>
      </c>
      <c r="AB5" s="23">
        <f>IF(AB$3&lt;$I5,0,$G5*Assumptions!$E$11*INDEX(Assumptions!$B$24:$G$24,MIN(6,AB$3-$I5+1))*IF(AB$3&gt;$J5,(1-Assumptions!$B$26)^(AB$3-$J5),1)*IF($H5&gt;=1,1,MIN(0.97,$H5*Assumptions!$E$12)))</f>
        <v>452.24</v>
      </c>
      <c r="AC5" s="23">
        <f>IF(AC$3&lt;$I5,0,$G5*Assumptions!$E$11*INDEX(Assumptions!$B$24:$G$24,MIN(6,AC$3-$I5+1))*IF(AC$3&gt;$J5,(1-Assumptions!$B$26)^(AC$3-$J5),1)*IF($H5&gt;=1,1,MIN(0.97,$H5*Assumptions!$E$12)))</f>
        <v>226.12</v>
      </c>
      <c r="AD5" s="23">
        <f>IF(AD$3&lt;$I5,0,$G5*Assumptions!$E$11*INDEX(Assumptions!$B$24:$G$24,MIN(6,AD$3-$I5+1))*IF(AD$3&gt;$J5,(1-Assumptions!$B$26)^(AD$3-$J5),1)*IF($H5&gt;=1,1,MIN(0.97,$H5*Assumptions!$E$12)))</f>
        <v>113.06</v>
      </c>
      <c r="AE5" s="23">
        <f>IF(AE$3&lt;$I5,0,$G5*Assumptions!$E$11*INDEX(Assumptions!$B$24:$G$24,MIN(6,AE$3-$I5+1))*IF(AE$3&gt;$J5,(1-Assumptions!$B$26)^(AE$3-$J5),1)*IF($H5&gt;=1,1,MIN(0.97,$H5*Assumptions!$E$12)))</f>
        <v>56.53</v>
      </c>
      <c r="AF5" s="23">
        <f>IF(AF$3&lt;$I5,0,$G5*Assumptions!$E$11*INDEX(Assumptions!$B$24:$G$24,MIN(6,AF$3-$I5+1))*IF(AF$3&gt;$J5,(1-Assumptions!$B$26)^(AF$3-$J5),1)*IF($H5&gt;=1,1,MIN(0.97,$H5*Assumptions!$E$12)))</f>
        <v>28.265</v>
      </c>
      <c r="AG5" s="35">
        <f>IF(F5="Owned",1-IF(H5&gt;=1,1,MIN(0.97,H5*Assumptions!$E$12)),1)</f>
        <v>0.4347</v>
      </c>
    </row>
    <row r="6">
      <c r="A6" s="39" t="n">
        <v>3</v>
      </c>
      <c r="B6" s="14" t="inlineStr">
        <is>
          <t>Rheumatoid / spondyloarthritis</t>
        </is>
      </c>
      <c r="C6" s="14" t="inlineStr">
        <is>
          <t>IMVT-1402</t>
        </is>
      </c>
      <c r="D6" s="14" t="inlineStr">
        <is>
          <t>Phase 2</t>
        </is>
      </c>
      <c r="E6" s="14" t="inlineStr">
        <is>
          <t>Autoimmune / area</t>
        </is>
      </c>
      <c r="F6" s="14" t="inlineStr">
        <is>
          <t>Owned</t>
        </is>
      </c>
      <c r="G6" s="40" t="n">
        <v>2000</v>
      </c>
      <c r="H6" s="27" t="n">
        <v>0.1929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438.2853841701088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38.58</v>
      </c>
      <c r="S6" s="23">
        <f>IF(S$3&lt;$I6,0,$G6*Assumptions!$E$11*INDEX(Assumptions!$B$24:$G$24,MIN(6,S$3-$I6+1))*IF(S$3&gt;$J6,(1-Assumptions!$B$26)^(S$3-$J6),1)*IF($H6&gt;=1,1,MIN(0.97,$H6*Assumptions!$E$12)))</f>
        <v>96.44999999999999</v>
      </c>
      <c r="T6" s="23">
        <f>IF(T$3&lt;$I6,0,$G6*Assumptions!$E$11*INDEX(Assumptions!$B$24:$G$24,MIN(6,T$3-$I6+1))*IF(T$3&gt;$J6,(1-Assumptions!$B$26)^(T$3-$J6),1)*IF($H6&gt;=1,1,MIN(0.97,$H6*Assumptions!$E$12)))</f>
        <v>173.60999999999999</v>
      </c>
      <c r="U6" s="23">
        <f>IF(U$3&lt;$I6,0,$G6*Assumptions!$E$11*INDEX(Assumptions!$B$24:$G$24,MIN(6,U$3-$I6+1))*IF(U$3&gt;$J6,(1-Assumptions!$B$26)^(U$3-$J6),1)*IF($H6&gt;=1,1,MIN(0.97,$H6*Assumptions!$E$12)))</f>
        <v>250.76999999999998</v>
      </c>
      <c r="V6" s="23">
        <f>IF(V$3&lt;$I6,0,$G6*Assumptions!$E$11*INDEX(Assumptions!$B$24:$G$24,MIN(6,V$3-$I6+1))*IF(V$3&gt;$J6,(1-Assumptions!$B$26)^(V$3-$J6),1)*IF($H6&gt;=1,1,MIN(0.97,$H6*Assumptions!$E$12)))</f>
        <v>327.93</v>
      </c>
      <c r="W6" s="23">
        <f>IF(W$3&lt;$I6,0,$G6*Assumptions!$E$11*INDEX(Assumptions!$B$24:$G$24,MIN(6,W$3-$I6+1))*IF(W$3&gt;$J6,(1-Assumptions!$B$26)^(W$3-$J6),1)*IF($H6&gt;=1,1,MIN(0.97,$H6*Assumptions!$E$12)))</f>
        <v>385.79999999999995</v>
      </c>
      <c r="X6" s="23">
        <f>IF(X$3&lt;$I6,0,$G6*Assumptions!$E$11*INDEX(Assumptions!$B$24:$G$24,MIN(6,X$3-$I6+1))*IF(X$3&gt;$J6,(1-Assumptions!$B$26)^(X$3-$J6),1)*IF($H6&gt;=1,1,MIN(0.97,$H6*Assumptions!$E$12)))</f>
        <v>385.79999999999995</v>
      </c>
      <c r="Y6" s="23">
        <f>IF(Y$3&lt;$I6,0,$G6*Assumptions!$E$11*INDEX(Assumptions!$B$24:$G$24,MIN(6,Y$3-$I6+1))*IF(Y$3&gt;$J6,(1-Assumptions!$B$26)^(Y$3-$J6),1)*IF($H6&gt;=1,1,MIN(0.97,$H6*Assumptions!$E$12)))</f>
        <v>385.79999999999995</v>
      </c>
      <c r="Z6" s="23">
        <f>IF(Z$3&lt;$I6,0,$G6*Assumptions!$E$11*INDEX(Assumptions!$B$24:$G$24,MIN(6,Z$3-$I6+1))*IF(Z$3&gt;$J6,(1-Assumptions!$B$26)^(Z$3-$J6),1)*IF($H6&gt;=1,1,MIN(0.97,$H6*Assumptions!$E$12)))</f>
        <v>385.79999999999995</v>
      </c>
      <c r="AA6" s="23">
        <f>IF(AA$3&lt;$I6,0,$G6*Assumptions!$E$11*INDEX(Assumptions!$B$24:$G$24,MIN(6,AA$3-$I6+1))*IF(AA$3&gt;$J6,(1-Assumptions!$B$26)^(AA$3-$J6),1)*IF($H6&gt;=1,1,MIN(0.97,$H6*Assumptions!$E$12)))</f>
        <v>385.79999999999995</v>
      </c>
      <c r="AB6" s="23">
        <f>IF(AB$3&lt;$I6,0,$G6*Assumptions!$E$11*INDEX(Assumptions!$B$24:$G$24,MIN(6,AB$3-$I6+1))*IF(AB$3&gt;$J6,(1-Assumptions!$B$26)^(AB$3-$J6),1)*IF($H6&gt;=1,1,MIN(0.97,$H6*Assumptions!$E$12)))</f>
        <v>385.79999999999995</v>
      </c>
      <c r="AC6" s="23">
        <f>IF(AC$3&lt;$I6,0,$G6*Assumptions!$E$11*INDEX(Assumptions!$B$24:$G$24,MIN(6,AC$3-$I6+1))*IF(AC$3&gt;$J6,(1-Assumptions!$B$26)^(AC$3-$J6),1)*IF($H6&gt;=1,1,MIN(0.97,$H6*Assumptions!$E$12)))</f>
        <v>385.79999999999995</v>
      </c>
      <c r="AD6" s="23">
        <f>IF(AD$3&lt;$I6,0,$G6*Assumptions!$E$11*INDEX(Assumptions!$B$24:$G$24,MIN(6,AD$3-$I6+1))*IF(AD$3&gt;$J6,(1-Assumptions!$B$26)^(AD$3-$J6),1)*IF($H6&gt;=1,1,MIN(0.97,$H6*Assumptions!$E$12)))</f>
        <v>385.79999999999995</v>
      </c>
      <c r="AE6" s="23">
        <f>IF(AE$3&lt;$I6,0,$G6*Assumptions!$E$11*INDEX(Assumptions!$B$24:$G$24,MIN(6,AE$3-$I6+1))*IF(AE$3&gt;$J6,(1-Assumptions!$B$26)^(AE$3-$J6),1)*IF($H6&gt;=1,1,MIN(0.97,$H6*Assumptions!$E$12)))</f>
        <v>192.89999999999998</v>
      </c>
      <c r="AF6" s="23">
        <f>IF(AF$3&lt;$I6,0,$G6*Assumptions!$E$11*INDEX(Assumptions!$B$24:$G$24,MIN(6,AF$3-$I6+1))*IF(AF$3&gt;$J6,(1-Assumptions!$B$26)^(AF$3-$J6),1)*IF($H6&gt;=1,1,MIN(0.97,$H6*Assumptions!$E$12)))</f>
        <v>96.44999999999999</v>
      </c>
      <c r="AG6" s="35">
        <f>IF(F6="Owned",1-IF(H6&gt;=1,1,MIN(0.97,H6*Assumptions!$E$12)),1)</f>
        <v>0.8071</v>
      </c>
    </row>
    <row r="7">
      <c r="A7" s="39" t="n">
        <v>4</v>
      </c>
      <c r="B7" s="14" t="inlineStr">
        <is>
          <t>Lupus / Sjogren's</t>
        </is>
      </c>
      <c r="C7" s="14" t="inlineStr">
        <is>
          <t>IMVT-1402</t>
        </is>
      </c>
      <c r="D7" s="14" t="inlineStr">
        <is>
          <t>Phase 2</t>
        </is>
      </c>
      <c r="E7" s="14" t="inlineStr">
        <is>
          <t>Autoimmune / area</t>
        </is>
      </c>
      <c r="F7" s="14" t="inlineStr">
        <is>
          <t>Owned</t>
        </is>
      </c>
      <c r="G7" s="40" t="n">
        <v>1500</v>
      </c>
      <c r="H7" s="27" t="n">
        <v>0.1929</v>
      </c>
      <c r="I7" s="26" t="n">
        <v>2031</v>
      </c>
      <c r="J7" s="39">
        <f>I7+Assumptions!$B$25</f>
        <v>2043.0</v>
      </c>
      <c r="K7" s="53">
        <f>Assumptions!$E$13</f>
        <v>0.4</v>
      </c>
      <c r="L7" s="23">
        <f>K7*SUMPRODUCT(M7:AF7,NPV!$C$15:$V$15)</f>
        <v>328.71403812758155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28.935</v>
      </c>
      <c r="S7" s="23">
        <f>IF(S$3&lt;$I7,0,$G7*Assumptions!$E$11*INDEX(Assumptions!$B$24:$G$24,MIN(6,S$3-$I7+1))*IF(S$3&gt;$J7,(1-Assumptions!$B$26)^(S$3-$J7),1)*IF($H7&gt;=1,1,MIN(0.97,$H7*Assumptions!$E$12)))</f>
        <v>72.33749999999999</v>
      </c>
      <c r="T7" s="23">
        <f>IF(T$3&lt;$I7,0,$G7*Assumptions!$E$11*INDEX(Assumptions!$B$24:$G$24,MIN(6,T$3-$I7+1))*IF(T$3&gt;$J7,(1-Assumptions!$B$26)^(T$3-$J7),1)*IF($H7&gt;=1,1,MIN(0.97,$H7*Assumptions!$E$12)))</f>
        <v>130.20749999999998</v>
      </c>
      <c r="U7" s="23">
        <f>IF(U$3&lt;$I7,0,$G7*Assumptions!$E$11*INDEX(Assumptions!$B$24:$G$24,MIN(6,U$3-$I7+1))*IF(U$3&gt;$J7,(1-Assumptions!$B$26)^(U$3-$J7),1)*IF($H7&gt;=1,1,MIN(0.97,$H7*Assumptions!$E$12)))</f>
        <v>188.0775</v>
      </c>
      <c r="V7" s="23">
        <f>IF(V$3&lt;$I7,0,$G7*Assumptions!$E$11*INDEX(Assumptions!$B$24:$G$24,MIN(6,V$3-$I7+1))*IF(V$3&gt;$J7,(1-Assumptions!$B$26)^(V$3-$J7),1)*IF($H7&gt;=1,1,MIN(0.97,$H7*Assumptions!$E$12)))</f>
        <v>245.9475</v>
      </c>
      <c r="W7" s="23">
        <f>IF(W$3&lt;$I7,0,$G7*Assumptions!$E$11*INDEX(Assumptions!$B$24:$G$24,MIN(6,W$3-$I7+1))*IF(W$3&gt;$J7,(1-Assumptions!$B$26)^(W$3-$J7),1)*IF($H7&gt;=1,1,MIN(0.97,$H7*Assumptions!$E$12)))</f>
        <v>289.34999999999997</v>
      </c>
      <c r="X7" s="23">
        <f>IF(X$3&lt;$I7,0,$G7*Assumptions!$E$11*INDEX(Assumptions!$B$24:$G$24,MIN(6,X$3-$I7+1))*IF(X$3&gt;$J7,(1-Assumptions!$B$26)^(X$3-$J7),1)*IF($H7&gt;=1,1,MIN(0.97,$H7*Assumptions!$E$12)))</f>
        <v>289.34999999999997</v>
      </c>
      <c r="Y7" s="23">
        <f>IF(Y$3&lt;$I7,0,$G7*Assumptions!$E$11*INDEX(Assumptions!$B$24:$G$24,MIN(6,Y$3-$I7+1))*IF(Y$3&gt;$J7,(1-Assumptions!$B$26)^(Y$3-$J7),1)*IF($H7&gt;=1,1,MIN(0.97,$H7*Assumptions!$E$12)))</f>
        <v>289.34999999999997</v>
      </c>
      <c r="Z7" s="23">
        <f>IF(Z$3&lt;$I7,0,$G7*Assumptions!$E$11*INDEX(Assumptions!$B$24:$G$24,MIN(6,Z$3-$I7+1))*IF(Z$3&gt;$J7,(1-Assumptions!$B$26)^(Z$3-$J7),1)*IF($H7&gt;=1,1,MIN(0.97,$H7*Assumptions!$E$12)))</f>
        <v>289.34999999999997</v>
      </c>
      <c r="AA7" s="23">
        <f>IF(AA$3&lt;$I7,0,$G7*Assumptions!$E$11*INDEX(Assumptions!$B$24:$G$24,MIN(6,AA$3-$I7+1))*IF(AA$3&gt;$J7,(1-Assumptions!$B$26)^(AA$3-$J7),1)*IF($H7&gt;=1,1,MIN(0.97,$H7*Assumptions!$E$12)))</f>
        <v>289.34999999999997</v>
      </c>
      <c r="AB7" s="23">
        <f>IF(AB$3&lt;$I7,0,$G7*Assumptions!$E$11*INDEX(Assumptions!$B$24:$G$24,MIN(6,AB$3-$I7+1))*IF(AB$3&gt;$J7,(1-Assumptions!$B$26)^(AB$3-$J7),1)*IF($H7&gt;=1,1,MIN(0.97,$H7*Assumptions!$E$12)))</f>
        <v>289.34999999999997</v>
      </c>
      <c r="AC7" s="23">
        <f>IF(AC$3&lt;$I7,0,$G7*Assumptions!$E$11*INDEX(Assumptions!$B$24:$G$24,MIN(6,AC$3-$I7+1))*IF(AC$3&gt;$J7,(1-Assumptions!$B$26)^(AC$3-$J7),1)*IF($H7&gt;=1,1,MIN(0.97,$H7*Assumptions!$E$12)))</f>
        <v>289.34999999999997</v>
      </c>
      <c r="AD7" s="23">
        <f>IF(AD$3&lt;$I7,0,$G7*Assumptions!$E$11*INDEX(Assumptions!$B$24:$G$24,MIN(6,AD$3-$I7+1))*IF(AD$3&gt;$J7,(1-Assumptions!$B$26)^(AD$3-$J7),1)*IF($H7&gt;=1,1,MIN(0.97,$H7*Assumptions!$E$12)))</f>
        <v>289.34999999999997</v>
      </c>
      <c r="AE7" s="23">
        <f>IF(AE$3&lt;$I7,0,$G7*Assumptions!$E$11*INDEX(Assumptions!$B$24:$G$24,MIN(6,AE$3-$I7+1))*IF(AE$3&gt;$J7,(1-Assumptions!$B$26)^(AE$3-$J7),1)*IF($H7&gt;=1,1,MIN(0.97,$H7*Assumptions!$E$12)))</f>
        <v>144.67499999999998</v>
      </c>
      <c r="AF7" s="23">
        <f>IF(AF$3&lt;$I7,0,$G7*Assumptions!$E$11*INDEX(Assumptions!$B$24:$G$24,MIN(6,AF$3-$I7+1))*IF(AF$3&gt;$J7,(1-Assumptions!$B$26)^(AF$3-$J7),1)*IF($H7&gt;=1,1,MIN(0.97,$H7*Assumptions!$E$12)))</f>
        <v>72.33749999999999</v>
      </c>
      <c r="AG7" s="35">
        <f>IF(F7="Owned",1-IF(H7&gt;=1,1,MIN(0.97,H7*Assumptions!$E$12)),1)</f>
        <v>0.8071</v>
      </c>
    </row>
    <row r="8">
      <c r="A8" s="39" t="n">
        <v>5</v>
      </c>
      <c r="B8" s="14" t="inlineStr">
        <is>
          <t>Migraine / pain</t>
        </is>
      </c>
      <c r="C8" s="14" t="inlineStr">
        <is>
          <t>Imeroprubart</t>
        </is>
      </c>
      <c r="D8" s="14" t="inlineStr">
        <is>
          <t>Phase 2</t>
        </is>
      </c>
      <c r="E8" s="14" t="inlineStr">
        <is>
          <t>Neurology / area</t>
        </is>
      </c>
      <c r="F8" s="14" t="inlineStr">
        <is>
          <t>Owned</t>
        </is>
      </c>
      <c r="G8" s="40" t="n">
        <v>1200</v>
      </c>
      <c r="H8" s="27" t="n">
        <v>0.1234</v>
      </c>
      <c r="I8" s="26" t="n">
        <v>2031</v>
      </c>
      <c r="J8" s="39">
        <f>I8+Assumptions!$B$25</f>
        <v>2043.0</v>
      </c>
      <c r="K8" s="53">
        <f>Assumptions!$E$13</f>
        <v>0.4</v>
      </c>
      <c r="L8" s="23">
        <f>K8*SUMPRODUCT(M8:AF8,NPV!$C$15:$V$15)</f>
        <v>168.22524543263273</v>
      </c>
      <c r="M8" s="23">
        <f>IF(M$3&lt;$I8,0,$G8*Assumptions!$E$11*INDEX(Assumptions!$B$24:$G$24,MIN(6,M$3-$I8+1))*IF(M$3&gt;$J8,(1-Assumptions!$B$26)^(M$3-$J8),1)*IF($H8&gt;=1,1,MIN(0.97,$H8*Assumptions!$E$12)))</f>
        <v>0</v>
      </c>
      <c r="N8" s="23">
        <f>IF(N$3&lt;$I8,0,$G8*Assumptions!$E$11*INDEX(Assumptions!$B$24:$G$24,MIN(6,N$3-$I8+1))*IF(N$3&gt;$J8,(1-Assumptions!$B$26)^(N$3-$J8),1)*IF($H8&gt;=1,1,MIN(0.97,$H8*Assumptions!$E$12)))</f>
        <v>0</v>
      </c>
      <c r="O8" s="23">
        <f>IF(O$3&lt;$I8,0,$G8*Assumptions!$E$11*INDEX(Assumptions!$B$24:$G$24,MIN(6,O$3-$I8+1))*IF(O$3&gt;$J8,(1-Assumptions!$B$26)^(O$3-$J8),1)*IF($H8&gt;=1,1,MIN(0.97,$H8*Assumptions!$E$12)))</f>
        <v>0</v>
      </c>
      <c r="P8" s="23">
        <f>IF(P$3&lt;$I8,0,$G8*Assumptions!$E$11*INDEX(Assumptions!$B$24:$G$24,MIN(6,P$3-$I8+1))*IF(P$3&gt;$J8,(1-Assumptions!$B$26)^(P$3-$J8),1)*IF($H8&gt;=1,1,MIN(0.97,$H8*Assumptions!$E$12)))</f>
        <v>0</v>
      </c>
      <c r="Q8" s="23">
        <f>IF(Q$3&lt;$I8,0,$G8*Assumptions!$E$11*INDEX(Assumptions!$B$24:$G$24,MIN(6,Q$3-$I8+1))*IF(Q$3&gt;$J8,(1-Assumptions!$B$26)^(Q$3-$J8),1)*IF($H8&gt;=1,1,MIN(0.97,$H8*Assumptions!$E$12)))</f>
        <v>0</v>
      </c>
      <c r="R8" s="23">
        <f>IF(R$3&lt;$I8,0,$G8*Assumptions!$E$11*INDEX(Assumptions!$B$24:$G$24,MIN(6,R$3-$I8+1))*IF(R$3&gt;$J8,(1-Assumptions!$B$26)^(R$3-$J8),1)*IF($H8&gt;=1,1,MIN(0.97,$H8*Assumptions!$E$12)))</f>
        <v>14.808</v>
      </c>
      <c r="S8" s="23">
        <f>IF(S$3&lt;$I8,0,$G8*Assumptions!$E$11*INDEX(Assumptions!$B$24:$G$24,MIN(6,S$3-$I8+1))*IF(S$3&gt;$J8,(1-Assumptions!$B$26)^(S$3-$J8),1)*IF($H8&gt;=1,1,MIN(0.97,$H8*Assumptions!$E$12)))</f>
        <v>37.019999999999996</v>
      </c>
      <c r="T8" s="23">
        <f>IF(T$3&lt;$I8,0,$G8*Assumptions!$E$11*INDEX(Assumptions!$B$24:$G$24,MIN(6,T$3-$I8+1))*IF(T$3&gt;$J8,(1-Assumptions!$B$26)^(T$3-$J8),1)*IF($H8&gt;=1,1,MIN(0.97,$H8*Assumptions!$E$12)))</f>
        <v>66.636</v>
      </c>
      <c r="U8" s="23">
        <f>IF(U$3&lt;$I8,0,$G8*Assumptions!$E$11*INDEX(Assumptions!$B$24:$G$24,MIN(6,U$3-$I8+1))*IF(U$3&gt;$J8,(1-Assumptions!$B$26)^(U$3-$J8),1)*IF($H8&gt;=1,1,MIN(0.97,$H8*Assumptions!$E$12)))</f>
        <v>96.252</v>
      </c>
      <c r="V8" s="23">
        <f>IF(V$3&lt;$I8,0,$G8*Assumptions!$E$11*INDEX(Assumptions!$B$24:$G$24,MIN(6,V$3-$I8+1))*IF(V$3&gt;$J8,(1-Assumptions!$B$26)^(V$3-$J8),1)*IF($H8&gt;=1,1,MIN(0.97,$H8*Assumptions!$E$12)))</f>
        <v>125.868</v>
      </c>
      <c r="W8" s="23">
        <f>IF(W$3&lt;$I8,0,$G8*Assumptions!$E$11*INDEX(Assumptions!$B$24:$G$24,MIN(6,W$3-$I8+1))*IF(W$3&gt;$J8,(1-Assumptions!$B$26)^(W$3-$J8),1)*IF($H8&gt;=1,1,MIN(0.97,$H8*Assumptions!$E$12)))</f>
        <v>148.07999999999998</v>
      </c>
      <c r="X8" s="23">
        <f>IF(X$3&lt;$I8,0,$G8*Assumptions!$E$11*INDEX(Assumptions!$B$24:$G$24,MIN(6,X$3-$I8+1))*IF(X$3&gt;$J8,(1-Assumptions!$B$26)^(X$3-$J8),1)*IF($H8&gt;=1,1,MIN(0.97,$H8*Assumptions!$E$12)))</f>
        <v>148.07999999999998</v>
      </c>
      <c r="Y8" s="23">
        <f>IF(Y$3&lt;$I8,0,$G8*Assumptions!$E$11*INDEX(Assumptions!$B$24:$G$24,MIN(6,Y$3-$I8+1))*IF(Y$3&gt;$J8,(1-Assumptions!$B$26)^(Y$3-$J8),1)*IF($H8&gt;=1,1,MIN(0.97,$H8*Assumptions!$E$12)))</f>
        <v>148.07999999999998</v>
      </c>
      <c r="Z8" s="23">
        <f>IF(Z$3&lt;$I8,0,$G8*Assumptions!$E$11*INDEX(Assumptions!$B$24:$G$24,MIN(6,Z$3-$I8+1))*IF(Z$3&gt;$J8,(1-Assumptions!$B$26)^(Z$3-$J8),1)*IF($H8&gt;=1,1,MIN(0.97,$H8*Assumptions!$E$12)))</f>
        <v>148.07999999999998</v>
      </c>
      <c r="AA8" s="23">
        <f>IF(AA$3&lt;$I8,0,$G8*Assumptions!$E$11*INDEX(Assumptions!$B$24:$G$24,MIN(6,AA$3-$I8+1))*IF(AA$3&gt;$J8,(1-Assumptions!$B$26)^(AA$3-$J8),1)*IF($H8&gt;=1,1,MIN(0.97,$H8*Assumptions!$E$12)))</f>
        <v>148.07999999999998</v>
      </c>
      <c r="AB8" s="23">
        <f>IF(AB$3&lt;$I8,0,$G8*Assumptions!$E$11*INDEX(Assumptions!$B$24:$G$24,MIN(6,AB$3-$I8+1))*IF(AB$3&gt;$J8,(1-Assumptions!$B$26)^(AB$3-$J8),1)*IF($H8&gt;=1,1,MIN(0.97,$H8*Assumptions!$E$12)))</f>
        <v>148.07999999999998</v>
      </c>
      <c r="AC8" s="23">
        <f>IF(AC$3&lt;$I8,0,$G8*Assumptions!$E$11*INDEX(Assumptions!$B$24:$G$24,MIN(6,AC$3-$I8+1))*IF(AC$3&gt;$J8,(1-Assumptions!$B$26)^(AC$3-$J8),1)*IF($H8&gt;=1,1,MIN(0.97,$H8*Assumptions!$E$12)))</f>
        <v>148.07999999999998</v>
      </c>
      <c r="AD8" s="23">
        <f>IF(AD$3&lt;$I8,0,$G8*Assumptions!$E$11*INDEX(Assumptions!$B$24:$G$24,MIN(6,AD$3-$I8+1))*IF(AD$3&gt;$J8,(1-Assumptions!$B$26)^(AD$3-$J8),1)*IF($H8&gt;=1,1,MIN(0.97,$H8*Assumptions!$E$12)))</f>
        <v>148.07999999999998</v>
      </c>
      <c r="AE8" s="23">
        <f>IF(AE$3&lt;$I8,0,$G8*Assumptions!$E$11*INDEX(Assumptions!$B$24:$G$24,MIN(6,AE$3-$I8+1))*IF(AE$3&gt;$J8,(1-Assumptions!$B$26)^(AE$3-$J8),1)*IF($H8&gt;=1,1,MIN(0.97,$H8*Assumptions!$E$12)))</f>
        <v>74.03999999999999</v>
      </c>
      <c r="AF8" s="23">
        <f>IF(AF$3&lt;$I8,0,$G8*Assumptions!$E$11*INDEX(Assumptions!$B$24:$G$24,MIN(6,AF$3-$I8+1))*IF(AF$3&gt;$J8,(1-Assumptions!$B$26)^(AF$3-$J8),1)*IF($H8&gt;=1,1,MIN(0.97,$H8*Assumptions!$E$12)))</f>
        <v>37.019999999999996</v>
      </c>
      <c r="AG8" s="35">
        <f>IF(F8="Owned",1-IF(H8&gt;=1,1,MIN(0.97,H8*Assumptions!$E$12)),1)</f>
        <v>0.8766</v>
      </c>
    </row>
    <row r="9">
      <c r="B9" s="24" t="inlineStr">
        <is>
          <t>Risked revenue</t>
        </is>
      </c>
      <c r="L9" s="54">
        <f>SUM(L4:L8)</f>
        <v>2800.2855967029745</v>
      </c>
      <c r="M9" s="54">
        <f>SUM(M4:M8)</f>
        <v>0.0</v>
      </c>
      <c r="N9" s="54">
        <f>SUM(N4:N8)</f>
        <v>0.0</v>
      </c>
      <c r="O9" s="54">
        <f>SUM(O4:O8)</f>
        <v>0.0</v>
      </c>
      <c r="P9" s="54">
        <f>SUM(P4:P8)</f>
        <v>130.019</v>
      </c>
      <c r="Q9" s="54">
        <f>SUM(Q4:Q8)</f>
        <v>325.0475</v>
      </c>
      <c r="R9" s="54">
        <f>SUM(R4:R8)</f>
        <v>667.4085</v>
      </c>
      <c r="S9" s="54">
        <f>SUM(S4:S8)</f>
        <v>1050.931</v>
      </c>
      <c r="T9" s="54">
        <f>SUM(T4:T8)</f>
        <v>1475.615</v>
      </c>
      <c r="U9" s="54">
        <f>SUM(U4:U8)</f>
        <v>1835.2894999999999</v>
      </c>
      <c r="V9" s="54">
        <f>SUM(V4:V8)</f>
        <v>1999.9355</v>
      </c>
      <c r="W9" s="54">
        <f>SUM(W4:W8)</f>
        <v>2123.42</v>
      </c>
      <c r="X9" s="54">
        <f>SUM(X4:X8)</f>
        <v>2123.42</v>
      </c>
      <c r="Y9" s="54">
        <f>SUM(Y4:Y8)</f>
        <v>2123.42</v>
      </c>
      <c r="Z9" s="54">
        <f>SUM(Z4:Z8)</f>
        <v>2123.42</v>
      </c>
      <c r="AA9" s="54">
        <f>SUM(AA4:AA8)</f>
        <v>2123.42</v>
      </c>
      <c r="AB9" s="54">
        <f>SUM(AB4:AB8)</f>
        <v>2123.42</v>
      </c>
      <c r="AC9" s="54">
        <f>SUM(AC4:AC8)</f>
        <v>1473.3249999999998</v>
      </c>
      <c r="AD9" s="54">
        <f>SUM(AD4:AD8)</f>
        <v>1148.2775</v>
      </c>
      <c r="AE9" s="54">
        <f>SUM(AE4:AE8)</f>
        <v>574.13875</v>
      </c>
      <c r="AF9" s="54">
        <f>SUM(AF4:AF8)</f>
        <v>287.069375</v>
      </c>
    </row>
    <row r="10">
      <c r="B10" s="24" t="inlineStr">
        <is>
          <t>Risked contribution (revenue x share)</t>
        </is>
      </c>
      <c r="M10" s="55">
        <f>SUMPRODUCT(M4:M8,$K$4:$K$8)</f>
        <v>0.0</v>
      </c>
      <c r="N10" s="55">
        <f>SUMPRODUCT(N4:N8,$K$4:$K$8)</f>
        <v>0.0</v>
      </c>
      <c r="O10" s="55">
        <f>SUMPRODUCT(O4:O8,$K$4:$K$8)</f>
        <v>0.0</v>
      </c>
      <c r="P10" s="55">
        <f>SUMPRODUCT(P4:P8,$K$4:$K$8)</f>
        <v>52.0076</v>
      </c>
      <c r="Q10" s="55">
        <f>SUMPRODUCT(Q4:Q8,$K$4:$K$8)</f>
        <v>130.019</v>
      </c>
      <c r="R10" s="55">
        <f>SUMPRODUCT(R4:R8,$K$4:$K$8)</f>
        <v>266.96340000000004</v>
      </c>
      <c r="S10" s="55">
        <f>SUMPRODUCT(S4:S8,$K$4:$K$8)</f>
        <v>420.37239999999997</v>
      </c>
      <c r="T10" s="55">
        <f>SUMPRODUCT(T4:T8,$K$4:$K$8)</f>
        <v>590.2460000000001</v>
      </c>
      <c r="U10" s="55">
        <f>SUMPRODUCT(U4:U8,$K$4:$K$8)</f>
        <v>734.1158</v>
      </c>
      <c r="V10" s="55">
        <f>SUMPRODUCT(V4:V8,$K$4:$K$8)</f>
        <v>799.9742000000001</v>
      </c>
      <c r="W10" s="55">
        <f>SUMPRODUCT(W4:W8,$K$4:$K$8)</f>
        <v>849.3679999999999</v>
      </c>
      <c r="X10" s="55">
        <f>SUMPRODUCT(X4:X8,$K$4:$K$8)</f>
        <v>849.3679999999999</v>
      </c>
      <c r="Y10" s="55">
        <f>SUMPRODUCT(Y4:Y8,$K$4:$K$8)</f>
        <v>849.3679999999999</v>
      </c>
      <c r="Z10" s="55">
        <f>SUMPRODUCT(Z4:Z8,$K$4:$K$8)</f>
        <v>849.3679999999999</v>
      </c>
      <c r="AA10" s="55">
        <f>SUMPRODUCT(AA4:AA8,$K$4:$K$8)</f>
        <v>849.3679999999999</v>
      </c>
      <c r="AB10" s="55">
        <f>SUMPRODUCT(AB4:AB8,$K$4:$K$8)</f>
        <v>849.3679999999999</v>
      </c>
      <c r="AC10" s="55">
        <f>SUMPRODUCT(AC4:AC8,$K$4:$K$8)</f>
        <v>589.3299999999999</v>
      </c>
      <c r="AD10" s="55">
        <f>SUMPRODUCT(AD4:AD8,$K$4:$K$8)</f>
        <v>459.31100000000004</v>
      </c>
      <c r="AE10" s="55">
        <f>SUMPRODUCT(AE4:AE8,$K$4:$K$8)</f>
        <v>229.65550000000002</v>
      </c>
      <c r="AF10" s="55">
        <f>SUMPRODUCT(AF4:AF8,$K$4:$K$8)</f>
        <v>114.82775000000001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Immunovant,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Pipeline!M9</f>
        <v>0.0</v>
      </c>
      <c r="D4" s="57">
        <f>Pipeline!N9</f>
        <v>0.0</v>
      </c>
      <c r="E4" s="57">
        <f>Pipeline!O9</f>
        <v>0.0</v>
      </c>
      <c r="F4" s="57">
        <f>Pipeline!P9</f>
        <v>130.019</v>
      </c>
      <c r="G4" s="57">
        <f>Pipeline!Q9</f>
        <v>325.0475</v>
      </c>
      <c r="H4" s="57">
        <f>Pipeline!R9</f>
        <v>667.4085</v>
      </c>
      <c r="I4" s="57">
        <f>Pipeline!S9</f>
        <v>1050.931</v>
      </c>
      <c r="J4" s="57">
        <f>Pipeline!T9</f>
        <v>1475.615</v>
      </c>
      <c r="K4" s="57">
        <f>Pipeline!U9</f>
        <v>1835.2894999999999</v>
      </c>
      <c r="L4" s="57">
        <f>Pipeline!V9</f>
        <v>1999.9355</v>
      </c>
      <c r="M4" s="57">
        <f>Pipeline!W9</f>
        <v>2123.42</v>
      </c>
      <c r="N4" s="57">
        <f>Pipeline!X9</f>
        <v>2123.42</v>
      </c>
      <c r="O4" s="57">
        <f>Pipeline!Y9</f>
        <v>2123.42</v>
      </c>
      <c r="P4" s="57">
        <f>Pipeline!Z9</f>
        <v>2123.42</v>
      </c>
      <c r="Q4" s="57">
        <f>Pipeline!AA9</f>
        <v>2123.42</v>
      </c>
      <c r="R4" s="57">
        <f>Pipeline!AB9</f>
        <v>2123.42</v>
      </c>
      <c r="S4" s="57">
        <f>Pipeline!AC9</f>
        <v>1473.3249999999998</v>
      </c>
      <c r="T4" s="57">
        <f>Pipeline!AD9</f>
        <v>1148.2775</v>
      </c>
      <c r="U4" s="57">
        <f>Pipeline!AE9</f>
        <v>574.13875</v>
      </c>
      <c r="V4" s="57">
        <f>Pipeline!AF9</f>
        <v>287.069375</v>
      </c>
    </row>
    <row r="5">
      <c r="A5" s="14" t="inlineStr">
        <is>
          <t>Risked contribution</t>
        </is>
      </c>
      <c r="C5" s="57">
        <f>Pipeline!M10</f>
        <v>0.0</v>
      </c>
      <c r="D5" s="57">
        <f>Pipeline!N10</f>
        <v>0.0</v>
      </c>
      <c r="E5" s="57">
        <f>Pipeline!O10</f>
        <v>0.0</v>
      </c>
      <c r="F5" s="57">
        <f>Pipeline!P10</f>
        <v>52.0076</v>
      </c>
      <c r="G5" s="57">
        <f>Pipeline!Q10</f>
        <v>130.019</v>
      </c>
      <c r="H5" s="57">
        <f>Pipeline!R10</f>
        <v>266.96340000000004</v>
      </c>
      <c r="I5" s="57">
        <f>Pipeline!S10</f>
        <v>420.37239999999997</v>
      </c>
      <c r="J5" s="57">
        <f>Pipeline!T10</f>
        <v>590.2460000000001</v>
      </c>
      <c r="K5" s="57">
        <f>Pipeline!U10</f>
        <v>734.1158</v>
      </c>
      <c r="L5" s="57">
        <f>Pipeline!V10</f>
        <v>799.9742000000001</v>
      </c>
      <c r="M5" s="57">
        <f>Pipeline!W10</f>
        <v>849.3679999999999</v>
      </c>
      <c r="N5" s="57">
        <f>Pipeline!X10</f>
        <v>849.3679999999999</v>
      </c>
      <c r="O5" s="57">
        <f>Pipeline!Y10</f>
        <v>849.3679999999999</v>
      </c>
      <c r="P5" s="57">
        <f>Pipeline!Z10</f>
        <v>849.3679999999999</v>
      </c>
      <c r="Q5" s="57">
        <f>Pipeline!AA10</f>
        <v>849.3679999999999</v>
      </c>
      <c r="R5" s="57">
        <f>Pipeline!AB10</f>
        <v>849.3679999999999</v>
      </c>
      <c r="S5" s="57">
        <f>Pipeline!AC10</f>
        <v>589.3299999999999</v>
      </c>
      <c r="T5" s="57">
        <f>Pipeline!AD10</f>
        <v>459.31100000000004</v>
      </c>
      <c r="U5" s="57">
        <f>Pipeline!AE10</f>
        <v>229.65550000000002</v>
      </c>
      <c r="V5" s="57">
        <f>Pipeline!AF10</f>
        <v>114.82775000000001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-566.001</v>
      </c>
      <c r="D6" s="23">
        <f>-IF(D3-2026&lt;Assumptions!$B$19,Assumptions!$B$18,Assumptions!$B$18*Assumptions!$B$20*Assumptions!$B$16)</f>
        <v>-566.001</v>
      </c>
      <c r="E6" s="23">
        <f>-IF(E3-2026&lt;Assumptions!$B$19,Assumptions!$B$18,Assumptions!$B$18*Assumptions!$B$20*Assumptions!$B$16)</f>
        <v>-566.001</v>
      </c>
      <c r="F6" s="23">
        <f>-IF(F3-2026&lt;Assumptions!$B$19,Assumptions!$B$18,Assumptions!$B$18*Assumptions!$B$20*Assumptions!$B$16)</f>
        <v>-151.47825714861582</v>
      </c>
      <c r="G6" s="23">
        <f>-IF(G3-2026&lt;Assumptions!$B$19,Assumptions!$B$18,Assumptions!$B$18*Assumptions!$B$20*Assumptions!$B$16)</f>
        <v>-151.47825714861582</v>
      </c>
      <c r="H6" s="23">
        <f>-IF(H3-2026&lt;Assumptions!$B$19,Assumptions!$B$18,Assumptions!$B$18*Assumptions!$B$20*Assumptions!$B$16)</f>
        <v>-151.47825714861582</v>
      </c>
      <c r="I6" s="23">
        <f>-IF(I3-2026&lt;Assumptions!$B$19,Assumptions!$B$18,Assumptions!$B$18*Assumptions!$B$20*Assumptions!$B$16)</f>
        <v>-151.47825714861582</v>
      </c>
      <c r="J6" s="23">
        <f>-IF(J3-2026&lt;Assumptions!$B$19,Assumptions!$B$18,Assumptions!$B$18*Assumptions!$B$20*Assumptions!$B$16)</f>
        <v>-151.47825714861582</v>
      </c>
      <c r="K6" s="23">
        <f>-IF(K3-2026&lt;Assumptions!$B$19,Assumptions!$B$18,Assumptions!$B$18*Assumptions!$B$20*Assumptions!$B$16)</f>
        <v>-151.47825714861582</v>
      </c>
      <c r="L6" s="23">
        <f>-IF(L3-2026&lt;Assumptions!$B$19,Assumptions!$B$18,Assumptions!$B$18*Assumptions!$B$20*Assumptions!$B$16)</f>
        <v>-151.47825714861582</v>
      </c>
      <c r="M6" s="23">
        <f>-IF(M3-2026&lt;Assumptions!$B$19,Assumptions!$B$18,Assumptions!$B$18*Assumptions!$B$20*Assumptions!$B$16)</f>
        <v>-151.47825714861582</v>
      </c>
      <c r="N6" s="23">
        <f>-IF(N3-2026&lt;Assumptions!$B$19,Assumptions!$B$18,Assumptions!$B$18*Assumptions!$B$20*Assumptions!$B$16)</f>
        <v>-151.47825714861582</v>
      </c>
      <c r="O6" s="23">
        <f>-IF(O3-2026&lt;Assumptions!$B$19,Assumptions!$B$18,Assumptions!$B$18*Assumptions!$B$20*Assumptions!$B$16)</f>
        <v>-151.47825714861582</v>
      </c>
      <c r="P6" s="23">
        <f>-IF(P3-2026&lt;Assumptions!$B$19,Assumptions!$B$18,Assumptions!$B$18*Assumptions!$B$20*Assumptions!$B$16)</f>
        <v>-151.47825714861582</v>
      </c>
      <c r="Q6" s="23">
        <f>-IF(Q3-2026&lt;Assumptions!$B$19,Assumptions!$B$18,Assumptions!$B$18*Assumptions!$B$20*Assumptions!$B$16)</f>
        <v>-151.47825714861582</v>
      </c>
      <c r="R6" s="23">
        <f>-IF(R3-2026&lt;Assumptions!$B$19,Assumptions!$B$18,Assumptions!$B$18*Assumptions!$B$20*Assumptions!$B$16)</f>
        <v>-151.47825714861582</v>
      </c>
      <c r="S6" s="23">
        <f>-IF(S3-2026&lt;Assumptions!$B$19,Assumptions!$B$18,Assumptions!$B$18*Assumptions!$B$20*Assumptions!$B$16)</f>
        <v>-151.47825714861582</v>
      </c>
      <c r="T6" s="23">
        <f>-IF(T3-2026&lt;Assumptions!$B$19,Assumptions!$B$18,Assumptions!$B$18*Assumptions!$B$20*Assumptions!$B$16)</f>
        <v>-151.47825714861582</v>
      </c>
      <c r="U6" s="23">
        <f>-IF(U3-2026&lt;Assumptions!$B$19,Assumptions!$B$18,Assumptions!$B$18*Assumptions!$B$20*Assumptions!$B$16)</f>
        <v>-151.47825714861582</v>
      </c>
      <c r="V6" s="23">
        <f>-IF(V3-2026&lt;Assumptions!$B$19,Assumptions!$B$18,Assumptions!$B$18*Assumptions!$B$20*Assumptions!$B$16)</f>
        <v>-151.47825714861582</v>
      </c>
    </row>
    <row r="7">
      <c r="A7" s="14" t="inlineStr">
        <is>
          <t>Pre-tax cash flow</t>
        </is>
      </c>
      <c r="C7" s="23">
        <f>C5+C6</f>
        <v>-566.001</v>
      </c>
      <c r="D7" s="23">
        <f>D5+D6</f>
        <v>-566.001</v>
      </c>
      <c r="E7" s="23">
        <f>E5+E6</f>
        <v>-566.001</v>
      </c>
      <c r="F7" s="23">
        <f>F5+F6</f>
        <v>-99.47065714861583</v>
      </c>
      <c r="G7" s="23">
        <f>G5+G6</f>
        <v>-21.45925714861582</v>
      </c>
      <c r="H7" s="23">
        <f>H5+H6</f>
        <v>115.48514285138421</v>
      </c>
      <c r="I7" s="23">
        <f>I5+I6</f>
        <v>268.8941428513841</v>
      </c>
      <c r="J7" s="23">
        <f>J5+J6</f>
        <v>438.76774285138424</v>
      </c>
      <c r="K7" s="23">
        <f>K5+K6</f>
        <v>582.6375428513842</v>
      </c>
      <c r="L7" s="23">
        <f>L5+L6</f>
        <v>648.4959428513843</v>
      </c>
      <c r="M7" s="23">
        <f>M5+M6</f>
        <v>697.8897428513841</v>
      </c>
      <c r="N7" s="23">
        <f>N5+N6</f>
        <v>697.8897428513841</v>
      </c>
      <c r="O7" s="23">
        <f>O5+O6</f>
        <v>697.8897428513841</v>
      </c>
      <c r="P7" s="23">
        <f>P5+P6</f>
        <v>697.8897428513841</v>
      </c>
      <c r="Q7" s="23">
        <f>Q5+Q6</f>
        <v>697.8897428513841</v>
      </c>
      <c r="R7" s="23">
        <f>R5+R6</f>
        <v>697.8897428513841</v>
      </c>
      <c r="S7" s="23">
        <f>S5+S6</f>
        <v>437.8517428513841</v>
      </c>
      <c r="T7" s="23">
        <f>T5+T6</f>
        <v>307.8327428513842</v>
      </c>
      <c r="U7" s="23">
        <f>U5+U6</f>
        <v>78.1772428513842</v>
      </c>
      <c r="V7" s="23">
        <f>V5+V6</f>
        <v>-36.650507148615816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115.48514285138421</v>
      </c>
      <c r="I8" s="23">
        <f>MIN(H17,MAX(0,I7))</f>
        <v>268.8941428513841</v>
      </c>
      <c r="J8" s="23">
        <f>MIN(I17,MAX(0,J7))</f>
        <v>438.76774285138424</v>
      </c>
      <c r="K8" s="23">
        <f>MIN(J17,MAX(0,K7))</f>
        <v>582.6375428513842</v>
      </c>
      <c r="L8" s="23">
        <f>MIN(K17,MAX(0,L7))</f>
        <v>648.4959428513843</v>
      </c>
      <c r="M8" s="23">
        <f>MIN(L17,MAX(0,M7))</f>
        <v>697.8897428513841</v>
      </c>
      <c r="N8" s="23">
        <f>MIN(M17,MAX(0,N7))</f>
        <v>697.8897428513841</v>
      </c>
      <c r="O8" s="23">
        <f>MIN(N17,MAX(0,O7))</f>
        <v>117.77291433754249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580.1168285138416</v>
      </c>
      <c r="P9" s="23">
        <f>MAX(0,P7)-P8</f>
        <v>697.8897428513841</v>
      </c>
      <c r="Q9" s="23">
        <f>MAX(0,Q7)-Q8</f>
        <v>697.8897428513841</v>
      </c>
      <c r="R9" s="23">
        <f>MAX(0,R7)-R8</f>
        <v>697.8897428513841</v>
      </c>
      <c r="S9" s="23">
        <f>MAX(0,S7)-S8</f>
        <v>437.8517428513841</v>
      </c>
      <c r="T9" s="23">
        <f>MAX(0,T7)-T8</f>
        <v>307.8327428513842</v>
      </c>
      <c r="U9" s="23">
        <f>MAX(0,U7)-U8</f>
        <v>78.1772428513842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121.82453398790673</v>
      </c>
      <c r="P10" s="23">
        <f>P9*Assumptions!$E$15</f>
        <v>146.55684599879066</v>
      </c>
      <c r="Q10" s="23">
        <f>Q9*Assumptions!$E$15</f>
        <v>146.55684599879066</v>
      </c>
      <c r="R10" s="23">
        <f>R9*Assumptions!$E$15</f>
        <v>146.55684599879066</v>
      </c>
      <c r="S10" s="23">
        <f>S9*Assumptions!$E$15</f>
        <v>91.94886599879065</v>
      </c>
      <c r="T10" s="23">
        <f>T9*Assumptions!$E$15</f>
        <v>64.64487599879068</v>
      </c>
      <c r="U10" s="23">
        <f>U9*Assumptions!$E$15</f>
        <v>16.41722099879068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-566.001</v>
      </c>
      <c r="D11" s="55">
        <f>D7-D10</f>
        <v>-566.001</v>
      </c>
      <c r="E11" s="55">
        <f>E7-E10</f>
        <v>-566.001</v>
      </c>
      <c r="F11" s="55">
        <f>F7-F10</f>
        <v>-99.47065714861583</v>
      </c>
      <c r="G11" s="55">
        <f>G7-G10</f>
        <v>-21.45925714861582</v>
      </c>
      <c r="H11" s="55">
        <f>H7-H10</f>
        <v>115.48514285138421</v>
      </c>
      <c r="I11" s="55">
        <f>I7-I10</f>
        <v>268.8941428513841</v>
      </c>
      <c r="J11" s="55">
        <f>J7-J10</f>
        <v>438.76774285138424</v>
      </c>
      <c r="K11" s="55">
        <f>K7-K10</f>
        <v>582.6375428513842</v>
      </c>
      <c r="L11" s="55">
        <f>L7-L10</f>
        <v>648.4959428513843</v>
      </c>
      <c r="M11" s="55">
        <f>M7-M10</f>
        <v>697.8897428513841</v>
      </c>
      <c r="N11" s="55">
        <f>N7-N10</f>
        <v>697.8897428513841</v>
      </c>
      <c r="O11" s="55">
        <f>O7-O10</f>
        <v>576.0652088634773</v>
      </c>
      <c r="P11" s="55">
        <f>P7-P10</f>
        <v>551.3328968525934</v>
      </c>
      <c r="Q11" s="55">
        <f>Q7-Q10</f>
        <v>551.3328968525934</v>
      </c>
      <c r="R11" s="55">
        <f>R7-R10</f>
        <v>551.3328968525934</v>
      </c>
      <c r="S11" s="55">
        <f>S7-S10</f>
        <v>345.9028768525934</v>
      </c>
      <c r="T11" s="55">
        <f>T7-T10</f>
        <v>243.18786685259352</v>
      </c>
      <c r="U11" s="55">
        <f>U7-U10</f>
        <v>61.76002185259351</v>
      </c>
      <c r="V11" s="55">
        <f>V7-V10</f>
        <v>-36.650507148615816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-277.28635144664725</v>
      </c>
      <c r="D16" s="55">
        <f>D11*D15</f>
        <v>-505.1232768552137</v>
      </c>
      <c r="E16" s="55">
        <f>E11*E15</f>
        <v>-451.00292576358356</v>
      </c>
      <c r="F16" s="55">
        <f>F11*F15</f>
        <v>-70.76835900601017</v>
      </c>
      <c r="G16" s="55">
        <f>G11*G15</f>
        <v>-13.631410593012781</v>
      </c>
      <c r="H16" s="55">
        <f>H11*H15</f>
        <v>65.49893049725723</v>
      </c>
      <c r="I16" s="55">
        <f>I11*I15</f>
        <v>136.166856764975</v>
      </c>
      <c r="J16" s="55">
        <f>J11*J15</f>
        <v>198.38404410343952</v>
      </c>
      <c r="K16" s="55">
        <f>K11*K15</f>
        <v>235.20821721850436</v>
      </c>
      <c r="L16" s="55">
        <f>L11*L15</f>
        <v>233.74550362610694</v>
      </c>
      <c r="M16" s="55">
        <f>M11*M15</f>
        <v>224.59743637858037</v>
      </c>
      <c r="N16" s="55">
        <f>N11*N15</f>
        <v>200.53342533801813</v>
      </c>
      <c r="O16" s="55">
        <f>O11*O15</f>
        <v>147.79290345178654</v>
      </c>
      <c r="P16" s="55">
        <f>P11*P15</f>
        <v>126.29257494980413</v>
      </c>
      <c r="Q16" s="55">
        <f>Q11*Q15</f>
        <v>112.76122763375369</v>
      </c>
      <c r="R16" s="55">
        <f>R11*R15</f>
        <v>100.67966753013722</v>
      </c>
      <c r="S16" s="55">
        <f>S11*S15</f>
        <v>56.398040804588504</v>
      </c>
      <c r="T16" s="55">
        <f>T11*T15</f>
        <v>35.40248308883937</v>
      </c>
      <c r="U16" s="55">
        <f>U11*U15</f>
        <v>8.02751709401722</v>
      </c>
      <c r="V16" s="55">
        <f>V11*V15</f>
        <v>-4.253395467166464</v>
      </c>
    </row>
    <row r="17">
      <c r="A17" s="14" t="inlineStr">
        <is>
          <t>Tax-loss carryforward, end of year</t>
        </is>
      </c>
      <c r="C17" s="23">
        <f>Assumptions!$B$21-C8+MAX(0,-C7)</f>
        <v>2314.901</v>
      </c>
      <c r="D17" s="23">
        <f>C17-D8+MAX(0,-D7)</f>
        <v>2880.902</v>
      </c>
      <c r="E17" s="23">
        <f>D17-E8+MAX(0,-E7)</f>
        <v>3446.9030000000002</v>
      </c>
      <c r="F17" s="23">
        <f>E17-F8+MAX(0,-F7)</f>
        <v>3546.373657148616</v>
      </c>
      <c r="G17" s="23">
        <f>F17-G8+MAX(0,-G7)</f>
        <v>3567.832914297232</v>
      </c>
      <c r="H17" s="23">
        <f>G17-H8+MAX(0,-H7)</f>
        <v>3452.3477714458477</v>
      </c>
      <c r="I17" s="23">
        <f>H17-I8+MAX(0,-I7)</f>
        <v>3183.4536285944637</v>
      </c>
      <c r="J17" s="23">
        <f>I17-J8+MAX(0,-J7)</f>
        <v>2744.6858857430793</v>
      </c>
      <c r="K17" s="23">
        <f>J17-K8+MAX(0,-K7)</f>
        <v>2162.048342891695</v>
      </c>
      <c r="L17" s="23">
        <f>K17-L8+MAX(0,-L7)</f>
        <v>1513.5524000403107</v>
      </c>
      <c r="M17" s="23">
        <f>L17-M8+MAX(0,-M7)</f>
        <v>815.6626571889266</v>
      </c>
      <c r="N17" s="23">
        <f>M17-N8+MAX(0,-N7)</f>
        <v>117.77291433754249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36.650507148615816</v>
      </c>
    </row>
    <row r="19">
      <c r="A19" s="14" t="inlineStr">
        <is>
          <t>PV of risked pipeline contribution</t>
        </is>
      </c>
      <c r="B19" s="23">
        <f>SUMPRODUCT(C5:V5,C15:V15)</f>
        <v>2800.2855967029745</v>
      </c>
    </row>
    <row r="20">
      <c r="A20" s="14" t="inlineStr">
        <is>
          <t>PV of corporate burn</t>
        </is>
      </c>
      <c r="B20" s="23">
        <f>SUMPRODUCT(C6:V6,C15:V15)</f>
        <v>-2092.7622246356755</v>
      </c>
    </row>
    <row r="21">
      <c r="A21" s="14" t="inlineStr">
        <is>
          <t>PV of taxes</t>
        </is>
      </c>
      <c r="B21" s="23">
        <f>-SUMPRODUCT(C10:V10,C15:V15)</f>
        <v>-148.10026271912497</v>
      </c>
    </row>
    <row r="22">
      <c r="A22" s="24" t="inlineStr">
        <is>
          <t>Pipeline rNPV (operations)</t>
        </is>
      </c>
      <c r="B22" s="54">
        <f>SUM(C16:V16)</f>
        <v>559.4231093481743</v>
      </c>
    </row>
    <row r="23">
      <c r="A23" s="14" t="inlineStr">
        <is>
          <t>Cash &amp; investments</t>
        </is>
      </c>
      <c r="B23" s="57">
        <f>Main!C7</f>
        <v>797.798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1357.2211093481742</v>
      </c>
    </row>
    <row r="26">
      <c r="A26" s="14" t="inlineStr">
        <is>
          <t>Shares (mm)</t>
        </is>
      </c>
      <c r="B26" s="57">
        <f>Main!C4</f>
        <v>206.552682</v>
      </c>
    </row>
    <row r="27">
      <c r="A27" s="24" t="inlineStr">
        <is>
          <t>rNPV / share</t>
        </is>
      </c>
      <c r="B27" s="60">
        <f>B25/B26</f>
        <v>6.570822979428436</v>
      </c>
    </row>
    <row r="28">
      <c r="A28" s="14" t="inlineStr">
        <is>
          <t>Price</t>
        </is>
      </c>
      <c r="B28" s="61">
        <f>Main!C3</f>
        <v>28.59</v>
      </c>
    </row>
    <row r="29">
      <c r="A29" s="14" t="inlineStr">
        <is>
          <t>Upside</t>
        </is>
      </c>
      <c r="B29" s="62">
        <f>B27/B28-1</f>
        <v>-0.7701705848398588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2026-10-21T06:21:37Z</dcterms:modified>
  <cp:lastModifiedBy>Wang, Eric</cp:lastModifiedBy>
</cp:coreProperties>
</file>