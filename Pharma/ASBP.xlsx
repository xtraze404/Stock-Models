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Aspire-lakewood Holdings, Inc.</t>
        </is>
      </c>
      <c r="C2" s="10" t="n"/>
    </row>
    <row r="3">
      <c r="B3" t="inlineStr">
        <is>
          <t>Price</t>
        </is>
      </c>
      <c r="C3" s="11">
        <f>INDEX([1]Pharma!$F$1:$F$1000,MATCH("ASBP",[1]Pharma!$B$1:$B$1000,0))</f>
        <v>8.72</v>
      </c>
      <c r="F3" s="1" t="n"/>
    </row>
    <row r="4">
      <c r="B4" t="inlineStr">
        <is>
          <t>Shares</t>
        </is>
      </c>
      <c r="C4" s="21" t="n">
        <v>1.402557</v>
      </c>
      <c r="F4" s="1" t="n"/>
    </row>
    <row r="5">
      <c r="B5" t="inlineStr">
        <is>
          <t>Market Cap.</t>
        </is>
      </c>
      <c r="C5" s="13">
        <f>C3*C4</f>
        <v>12.230297040000002</v>
      </c>
      <c r="F5" s="1" t="n"/>
    </row>
    <row r="6"/>
    <row r="7">
      <c r="B7" t="inlineStr">
        <is>
          <t>Cash</t>
        </is>
      </c>
      <c r="C7" s="21" t="n">
        <v>12.167136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0.06316104000000244</v>
      </c>
    </row>
    <row r="10"/>
    <row r="11">
      <c r="B11" s="14" t="inlineStr">
        <is>
          <t>Net Cash / Share</t>
        </is>
      </c>
      <c r="C11" s="11">
        <f>(C7-C8)/C4</f>
        <v>8.674967220583548</v>
      </c>
    </row>
    <row r="12">
      <c r="B12" s="14" t="inlineStr">
        <is>
          <t>Upside</t>
        </is>
      </c>
      <c r="C12" s="15">
        <f>IFERROR(C11/C3-1,"")</f>
        <v>-0.005164309566106917</v>
      </c>
    </row>
    <row r="13">
      <c r="B13" s="14" t="inlineStr">
        <is>
          <t>Cash / Share</t>
        </is>
      </c>
      <c r="C13" s="11">
        <f>IFERROR((C7-C8)/C4,"")</f>
        <v>8.674967220583548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-7.186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1.6931722794322293</v>
      </c>
    </row>
    <row r="19">
      <c r="B19" s="14" t="inlineStr">
        <is>
          <t>Implied Pipeline Value</t>
        </is>
      </c>
      <c r="C19" s="13">
        <f>C9</f>
        <v>0.06316104000000244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0.006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0.006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0.144</v>
      </c>
      <c r="E5" s="23" t="n">
        <v>0.924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0.976</v>
      </c>
      <c r="C6" s="23" t="n">
        <v>1.34</v>
      </c>
      <c r="D6" s="23" t="n">
        <v>1.067</v>
      </c>
      <c r="E6" s="23" t="n">
        <v>18.427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0.976</v>
      </c>
      <c r="C7" s="23">
        <f>SUM(C5:C6)</f>
        <v>1.34</v>
      </c>
      <c r="D7" s="23">
        <f>SUM(D5:D6)</f>
        <v>1.2109999999999999</v>
      </c>
      <c r="E7" s="23">
        <f>SUM(E5:E6)</f>
        <v>19.351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-0.976</v>
      </c>
      <c r="C8" s="23">
        <f>C4-C7</f>
        <v>-1.34</v>
      </c>
      <c r="D8" s="23">
        <f>D4-D7</f>
        <v>-1.2109999999999999</v>
      </c>
      <c r="E8" s="23">
        <f>E4-E7</f>
        <v>-19.351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4.317</v>
      </c>
      <c r="C9" s="23" t="n">
        <v>5.804</v>
      </c>
      <c r="D9" s="23" t="n">
        <v>-0.098</v>
      </c>
      <c r="E9" s="23" t="n">
        <v>-5.13</v>
      </c>
    </row>
    <row r="10">
      <c r="A10" s="2" t="inlineStr">
        <is>
          <t>Pretax</t>
        </is>
      </c>
      <c r="B10" s="23">
        <f>B8+B9</f>
        <v>3.341</v>
      </c>
      <c r="C10" s="23">
        <f>C8+C9</f>
        <v>4.464</v>
      </c>
      <c r="D10" s="23">
        <f>D8+D9</f>
        <v>-1.309</v>
      </c>
      <c r="E10" s="23">
        <f>E8+E9</f>
        <v>-24.480999999999998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0.001</v>
      </c>
      <c r="E11" s="23" t="n">
        <v>0</v>
      </c>
    </row>
    <row r="12">
      <c r="A12" s="2" t="inlineStr">
        <is>
          <t>Net Income</t>
        </is>
      </c>
      <c r="B12" s="23" t="n">
        <v>3.34</v>
      </c>
      <c r="C12" s="23" t="n">
        <v>4.464</v>
      </c>
      <c r="D12" s="23" t="n">
        <v>-1.31</v>
      </c>
      <c r="E12" s="23" t="n">
        <v>-24.481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-1.8985507246376814</v>
      </c>
      <c r="E13" s="11">
        <f>IFERROR(E12/E14,0)</f>
        <v>-16.3752508361204</v>
      </c>
    </row>
    <row r="14">
      <c r="A14" s="2" t="inlineStr">
        <is>
          <t>Shares</t>
        </is>
      </c>
      <c r="B14" s="23" t="n"/>
      <c r="C14" s="23" t="n"/>
      <c r="D14" s="23" t="n">
        <v>0.6899999999999999</v>
      </c>
      <c r="E14" s="23" t="n">
        <v>1.495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0.0</v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-3225.1666666666665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2026-10-21T01:06:34Z</dcterms:modified>
  <cp:lastModifiedBy>Wang, Eric</cp:lastModifiedBy>
</cp:coreProperties>
</file>