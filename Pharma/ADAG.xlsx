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Adagene Inc.</t>
        </is>
      </c>
      <c r="C2" s="10" t="n"/>
    </row>
    <row r="3">
      <c r="B3" t="inlineStr">
        <is>
          <t>Price</t>
        </is>
      </c>
      <c r="C3" s="11">
        <f>INDEX([1]Pharma!$F$1:$F$1000,MATCH("ADAG",[1]Pharma!$B$1:$B$1000,0))</f>
        <v>2.5</v>
      </c>
      <c r="F3" s="1" t="n"/>
    </row>
    <row r="4">
      <c r="B4" t="inlineStr">
        <is>
          <t>Shares</t>
        </is>
      </c>
      <c r="C4" s="21">
        <f>59.231993/1.25</f>
        <v>47.3855944</v>
      </c>
      <c r="F4" s="1" t="n"/>
    </row>
    <row r="5">
      <c r="B5" t="inlineStr">
        <is>
          <t>Market Cap.</t>
        </is>
      </c>
      <c r="C5" s="13">
        <f>C3*C4</f>
        <v>118.463986</v>
      </c>
      <c r="F5" s="1" t="n"/>
    </row>
    <row r="6"/>
    <row r="7">
      <c r="B7" t="inlineStr">
        <is>
          <t>Cash</t>
        </is>
      </c>
      <c r="C7" s="21" t="n">
        <v>74.523782</v>
      </c>
    </row>
    <row r="8">
      <c r="B8" t="inlineStr">
        <is>
          <t>Debt</t>
        </is>
      </c>
      <c r="C8" s="21">
        <f>4.979513+1.138174</f>
        <v>6.117687</v>
      </c>
    </row>
    <row r="9">
      <c r="B9" t="inlineStr">
        <is>
          <t>Enterprise V.</t>
        </is>
      </c>
      <c r="C9" s="13">
        <f>C5-C7+C8</f>
        <v>50.05789100000001</v>
      </c>
    </row>
    <row r="10"/>
    <row r="11">
      <c r="B11" s="14" t="inlineStr">
        <is>
          <t>Net Cash / Share</t>
        </is>
      </c>
      <c r="C11" s="11">
        <f>(C7-C8)/C4</f>
        <v>1.4436052953679945</v>
      </c>
    </row>
    <row r="12">
      <c r="B12" s="14" t="inlineStr">
        <is>
          <t>Upside</t>
        </is>
      </c>
      <c r="C12" s="15">
        <f>IFERROR(C11/C3-1,"")</f>
        <v>-0.4225578818528022</v>
      </c>
    </row>
    <row r="13">
      <c r="B13" s="14" t="inlineStr">
        <is>
          <t>Cash / Share</t>
        </is>
      </c>
      <c r="C13" s="11">
        <f>IFERROR((C7-C8)/C4,"")</f>
        <v>1.4436052953679945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-15.657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4.369042281407677</v>
      </c>
    </row>
    <row r="19">
      <c r="B19" s="14" t="inlineStr">
        <is>
          <t>Implied Pipeline Value</t>
        </is>
      </c>
      <c r="C19" s="13">
        <f>C9</f>
        <v>50.05789100000001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1.511</v>
      </c>
      <c r="C2" s="23" t="n">
        <v>0.48</v>
      </c>
      <c r="D2" s="23" t="n">
        <v>0.701</v>
      </c>
      <c r="E2" s="23" t="n">
        <v>10.175</v>
      </c>
      <c r="F2" s="23" t="n">
        <v>9.292999999999999</v>
      </c>
      <c r="G2" s="23" t="n">
        <v>18.111</v>
      </c>
      <c r="H2" s="23" t="n">
        <v>0.103</v>
      </c>
      <c r="I2" s="23" t="n">
        <v>7.671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1.511</v>
      </c>
      <c r="C4" s="23">
        <f>C2-C3</f>
        <v>0.48</v>
      </c>
      <c r="D4" s="23">
        <f>D2-D3</f>
        <v>0.701</v>
      </c>
      <c r="E4" s="23">
        <f>E2-E3</f>
        <v>10.175</v>
      </c>
      <c r="F4" s="23">
        <f>F2-F3</f>
        <v>9.293</v>
      </c>
      <c r="G4" s="23">
        <f>G2-G3</f>
        <v>18.111</v>
      </c>
      <c r="H4" s="23">
        <f>H2-H3</f>
        <v>0.103</v>
      </c>
      <c r="I4" s="23">
        <f>I2-I3</f>
        <v>7.671</v>
      </c>
      <c r="J4" s="1" t="n"/>
      <c r="K4" s="1" t="n"/>
    </row>
    <row r="5">
      <c r="A5" s="2" t="inlineStr">
        <is>
          <t>Research &amp; Dev.</t>
        </is>
      </c>
      <c r="B5" s="23" t="n">
        <v>16.081</v>
      </c>
      <c r="C5" s="23" t="n">
        <v>16.212</v>
      </c>
      <c r="D5" s="23" t="n">
        <v>33.538</v>
      </c>
      <c r="E5" s="23" t="n">
        <v>68.099</v>
      </c>
      <c r="F5" s="23" t="n">
        <v>81.34</v>
      </c>
      <c r="G5" s="23" t="n">
        <v>36.639</v>
      </c>
      <c r="H5" s="23" t="n">
        <v>28.781</v>
      </c>
      <c r="I5" s="23" t="n">
        <v>22.034</v>
      </c>
      <c r="J5" s="1" t="n"/>
      <c r="K5" s="1" t="n"/>
    </row>
    <row r="6">
      <c r="A6" s="19" t="inlineStr">
        <is>
          <t>SG&amp;A &amp; Other</t>
        </is>
      </c>
      <c r="B6" s="23" t="n">
        <v>2.765</v>
      </c>
      <c r="C6" s="23" t="n">
        <v>3.438</v>
      </c>
      <c r="D6" s="23" t="n">
        <v>10.315</v>
      </c>
      <c r="E6" s="23" t="n">
        <v>14.44</v>
      </c>
      <c r="F6" s="23" t="n">
        <v>11.874</v>
      </c>
      <c r="G6" s="23" t="n">
        <v>5.192</v>
      </c>
      <c r="H6" s="23" t="n">
        <v>7.273</v>
      </c>
      <c r="I6" s="23" t="n">
        <v>7.076</v>
      </c>
      <c r="J6" s="1" t="n"/>
      <c r="K6" s="1" t="n"/>
    </row>
    <row r="7">
      <c r="A7" s="2" t="inlineStr">
        <is>
          <t>Operating Expense</t>
        </is>
      </c>
      <c r="B7" s="23">
        <f>SUM(B5:B6)</f>
        <v>18.846</v>
      </c>
      <c r="C7" s="23">
        <f>SUM(C5:C6)</f>
        <v>19.65</v>
      </c>
      <c r="D7" s="23">
        <f>SUM(D5:D6)</f>
        <v>43.852999999999994</v>
      </c>
      <c r="E7" s="23">
        <f>SUM(E5:E6)</f>
        <v>82.539</v>
      </c>
      <c r="F7" s="23">
        <f>SUM(F5:F6)</f>
        <v>93.214</v>
      </c>
      <c r="G7" s="23">
        <f>SUM(G5:G6)</f>
        <v>41.831</v>
      </c>
      <c r="H7" s="23">
        <f>SUM(H5:H6)</f>
        <v>36.054</v>
      </c>
      <c r="I7" s="23">
        <f>SUM(I5:I6)</f>
        <v>29.11</v>
      </c>
      <c r="J7" s="1" t="n"/>
      <c r="K7" s="1" t="n"/>
    </row>
    <row r="8">
      <c r="A8" s="2" t="inlineStr">
        <is>
          <t>Operating Income</t>
        </is>
      </c>
      <c r="B8" s="23">
        <f>B4-B7</f>
        <v>-17.335</v>
      </c>
      <c r="C8" s="23">
        <f>C4-C7</f>
        <v>-19.169999999999998</v>
      </c>
      <c r="D8" s="23">
        <f>D4-D7</f>
        <v>-43.151999999999994</v>
      </c>
      <c r="E8" s="23">
        <f>E4-E7</f>
        <v>-72.364</v>
      </c>
      <c r="F8" s="23">
        <f>F4-F7</f>
        <v>-83.92099999999999</v>
      </c>
      <c r="G8" s="23">
        <f>G4-G7</f>
        <v>-23.720000000000002</v>
      </c>
      <c r="H8" s="23">
        <f>H4-H7</f>
        <v>-35.951</v>
      </c>
      <c r="I8" s="23">
        <f>I4-I7</f>
        <v>-21.439</v>
      </c>
      <c r="J8" s="1" t="n"/>
      <c r="K8" s="1" t="n"/>
    </row>
    <row r="9">
      <c r="A9" s="19" t="inlineStr">
        <is>
          <t>Interest &amp; Other</t>
        </is>
      </c>
      <c r="B9" s="23" t="n">
        <v>2.068</v>
      </c>
      <c r="C9" s="23" t="n">
        <v>2.737</v>
      </c>
      <c r="D9" s="23" t="n">
        <v>0.754</v>
      </c>
      <c r="E9" s="23" t="n">
        <v>0.888</v>
      </c>
      <c r="F9" s="23" t="n">
        <v>4.408</v>
      </c>
      <c r="G9" s="23" t="n">
        <v>6.465</v>
      </c>
      <c r="H9" s="23" t="n">
        <v>2.51</v>
      </c>
      <c r="I9" s="23" t="n">
        <v>3.531</v>
      </c>
    </row>
    <row r="10">
      <c r="A10" s="2" t="inlineStr">
        <is>
          <t>Pretax</t>
        </is>
      </c>
      <c r="B10" s="23">
        <f>B8+B9</f>
        <v>-15.267000000000001</v>
      </c>
      <c r="C10" s="23">
        <f>C8+C9</f>
        <v>-16.433</v>
      </c>
      <c r="D10" s="23">
        <f>D8+D9</f>
        <v>-42.397999999999996</v>
      </c>
      <c r="E10" s="23">
        <f>E8+E9</f>
        <v>-71.476</v>
      </c>
      <c r="F10" s="23">
        <f>F8+F9</f>
        <v>-79.51299999999999</v>
      </c>
      <c r="G10" s="23">
        <f>G8+G9</f>
        <v>-17.255000000000003</v>
      </c>
      <c r="H10" s="23">
        <f>H8+H9</f>
        <v>-33.441</v>
      </c>
      <c r="I10" s="23">
        <f>I8+I9</f>
        <v>-17.908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1.702</v>
      </c>
      <c r="F11" s="23" t="n">
        <v>0.459</v>
      </c>
      <c r="G11" s="23" t="n">
        <v>1.691</v>
      </c>
      <c r="H11" s="23" t="n">
        <v>-0.018</v>
      </c>
      <c r="I11" s="23" t="n">
        <v>-0.298</v>
      </c>
    </row>
    <row r="12">
      <c r="A12" s="2" t="inlineStr">
        <is>
          <t>Net Income</t>
        </is>
      </c>
      <c r="B12" s="23" t="n">
        <v>-15.266</v>
      </c>
      <c r="C12" s="23" t="n">
        <v>-16.432</v>
      </c>
      <c r="D12" s="23" t="n">
        <v>-42.397</v>
      </c>
      <c r="E12" s="23" t="n">
        <v>-73.178</v>
      </c>
      <c r="F12" s="23" t="n">
        <v>-79.97199999999999</v>
      </c>
      <c r="G12" s="23" t="n">
        <v>-18.946</v>
      </c>
      <c r="H12" s="23" t="n">
        <v>-33.424</v>
      </c>
      <c r="I12" s="23" t="n">
        <v>-17.609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-1.0070585130945313</v>
      </c>
      <c r="C13" s="11">
        <f>IFERROR(C12/C14,0)</f>
        <v>-1.08261958097246</v>
      </c>
      <c r="D13" s="11">
        <f>IFERROR(D12/D14,0)</f>
        <v>-2.6579524794683715</v>
      </c>
      <c r="E13" s="11">
        <f>IFERROR(E12/E14,0)</f>
        <v>-1.4626239206907579</v>
      </c>
      <c r="F13" s="11">
        <f>IFERROR(F12/F14,0)</f>
        <v>-1.448427000887472</v>
      </c>
      <c r="G13" s="11">
        <f>IFERROR(G12/G14,0)</f>
        <v>-0.3461215243523695</v>
      </c>
      <c r="H13" s="11">
        <f>IFERROR(H12/H14,0)</f>
        <v>-0.5938032973280273</v>
      </c>
      <c r="I13" s="11">
        <f>IFERROR(I12/I14,0)</f>
        <v>-0.29842727858183915</v>
      </c>
    </row>
    <row r="14">
      <c r="A14" s="2" t="inlineStr">
        <is>
          <t>Shares</t>
        </is>
      </c>
      <c r="B14" s="23" t="n">
        <v>15.159</v>
      </c>
      <c r="C14" s="23" t="n">
        <v>15.178</v>
      </c>
      <c r="D14" s="23" t="n">
        <v>15.951</v>
      </c>
      <c r="E14" s="23" t="n">
        <v>50.032</v>
      </c>
      <c r="F14" s="23" t="n">
        <v>55.213</v>
      </c>
      <c r="G14" s="23" t="n">
        <v>54.738</v>
      </c>
      <c r="H14" s="23" t="n">
        <v>56.288</v>
      </c>
      <c r="I14" s="23" t="n">
        <v>59.006</v>
      </c>
    </row>
    <row r="15"/>
    <row r="16" customFormat="1" s="4">
      <c r="A16" s="3" t="inlineStr">
        <is>
          <t>Revenue Change</t>
        </is>
      </c>
      <c r="C16" s="15">
        <f>IFERROR(C2/B2-1,"")</f>
        <v>-0.6823295830575777</v>
      </c>
      <c r="D16" s="15">
        <f>IFERROR(D2/C2-1,"")</f>
        <v>0.4604166666666667</v>
      </c>
      <c r="E16" s="15">
        <f>IFERROR(E2/D2-1,"")</f>
        <v>13.514978601997148</v>
      </c>
      <c r="F16" s="15">
        <f>IFERROR(F2/E2-1,"")</f>
        <v>-0.08668304668304683</v>
      </c>
      <c r="G16" s="15">
        <f>IFERROR(G2/F2-1,"")</f>
        <v>0.9488862584741204</v>
      </c>
      <c r="H16" s="15">
        <f>IFERROR(H2/G2-1,"")</f>
        <v>-0.9943128485450831</v>
      </c>
      <c r="I16" s="15">
        <f>IFERROR(I2/H2-1,"")</f>
        <v>73.47572815533981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-11.472534745201854</v>
      </c>
      <c r="C18" s="15">
        <f>IFERROR(C8/C2,"")</f>
        <v>-39.9375</v>
      </c>
      <c r="D18" s="15">
        <f>IFERROR(D8/D2,"")</f>
        <v>-61.55777460770327</v>
      </c>
      <c r="E18" s="15">
        <f>IFERROR(E8/E2,"")</f>
        <v>-7.111941031941032</v>
      </c>
      <c r="F18" s="15">
        <f>IFERROR(F8/F2,"")</f>
        <v>-9.030560637038631</v>
      </c>
      <c r="G18" s="15">
        <f>IFERROR(G8/G2,"")</f>
        <v>-1.3097012865109603</v>
      </c>
      <c r="H18" s="15">
        <f>IFERROR(H8/H2,"")</f>
        <v>-349.03883495145635</v>
      </c>
      <c r="I18" s="15">
        <f>IFERROR(I8/I2,"")</f>
        <v>-2.794811628210142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2026-10-21T01:05:57Z</dcterms:modified>
  <cp:lastModifiedBy>Wang, Eric</cp:lastModifiedBy>
</cp:coreProperties>
</file>