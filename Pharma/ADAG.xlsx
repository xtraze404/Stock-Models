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Adagene Inc.</t>
        </is>
      </c>
      <c r="C2" s="10" t="n"/>
    </row>
    <row r="3">
      <c r="B3" t="inlineStr">
        <is>
          <t>Price</t>
        </is>
      </c>
      <c r="C3" s="11">
        <f>INDEX([1]Pharma!$F$1:$F$1000,MATCH("ADAG",[1]Pharma!$B$1:$B$1000,0))</f>
        <v>2.5</v>
      </c>
      <c r="F3" s="1" t="n"/>
    </row>
    <row r="4">
      <c r="B4" t="inlineStr">
        <is>
          <t>Shares</t>
        </is>
      </c>
      <c r="C4" s="21">
        <f>59.231993/1.25</f>
        <v>47.3855944</v>
      </c>
      <c r="F4" s="1" t="n"/>
    </row>
    <row r="5">
      <c r="B5" t="inlineStr">
        <is>
          <t>Market Cap.</t>
        </is>
      </c>
      <c r="C5" s="13">
        <f>C3*C4</f>
        <v>118.463986</v>
      </c>
      <c r="F5" s="1" t="n"/>
    </row>
    <row r="6"/>
    <row r="7">
      <c r="B7" t="inlineStr">
        <is>
          <t>Cash</t>
        </is>
      </c>
      <c r="C7" s="21" t="n">
        <v>74.523782</v>
      </c>
    </row>
    <row r="8">
      <c r="B8" t="inlineStr">
        <is>
          <t>Debt</t>
        </is>
      </c>
      <c r="C8" s="21">
        <f>4.979513+1.138174</f>
        <v>6.117687</v>
      </c>
    </row>
    <row r="9">
      <c r="B9" t="inlineStr">
        <is>
          <t>Enterprise V.</t>
        </is>
      </c>
      <c r="C9" s="13">
        <f>C5-C7+C8</f>
        <v>50.05789100000001</v>
      </c>
    </row>
    <row r="10"/>
    <row r="11">
      <c r="B11" s="14" t="inlineStr">
        <is>
          <t>rNPV / Share</t>
        </is>
      </c>
      <c r="C11" s="11">
        <f>NPV!B27</f>
        <v>2.6188618757713433</v>
      </c>
    </row>
    <row r="12">
      <c r="B12" s="14" t="inlineStr">
        <is>
          <t>Upside</t>
        </is>
      </c>
      <c r="C12" s="15">
        <f>IFERROR(C11/C3-1,"")</f>
        <v>0.04754475030853733</v>
      </c>
    </row>
    <row r="13">
      <c r="B13" s="14" t="inlineStr">
        <is>
          <t>Cash / Share</t>
        </is>
      </c>
      <c r="C13" s="11">
        <f>IFERROR((C7-C8)/C4,"")</f>
        <v>1.4436052953679945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-15.657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4.369042281407677</v>
      </c>
    </row>
    <row r="19">
      <c r="B19" s="14" t="inlineStr">
        <is>
          <t>Implied Pipeline Value</t>
        </is>
      </c>
      <c r="C19" s="13">
        <f>C9</f>
        <v>50.05789100000001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1.511</v>
      </c>
      <c r="C2" s="23" t="n">
        <v>0.48</v>
      </c>
      <c r="D2" s="23" t="n">
        <v>0.701</v>
      </c>
      <c r="E2" s="23" t="n">
        <v>10.175</v>
      </c>
      <c r="F2" s="23" t="n">
        <v>9.292999999999999</v>
      </c>
      <c r="G2" s="23" t="n">
        <v>18.111</v>
      </c>
      <c r="H2" s="23" t="n">
        <v>0.103</v>
      </c>
      <c r="I2" s="23" t="n">
        <v>7.671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1.511</v>
      </c>
      <c r="C4" s="23">
        <f>C2-C3</f>
        <v>0.48</v>
      </c>
      <c r="D4" s="23">
        <f>D2-D3</f>
        <v>0.701</v>
      </c>
      <c r="E4" s="23">
        <f>E2-E3</f>
        <v>10.175</v>
      </c>
      <c r="F4" s="23">
        <f>F2-F3</f>
        <v>9.293</v>
      </c>
      <c r="G4" s="23">
        <f>G2-G3</f>
        <v>18.111</v>
      </c>
      <c r="H4" s="23">
        <f>H2-H3</f>
        <v>0.103</v>
      </c>
      <c r="I4" s="23">
        <f>I2-I3</f>
        <v>7.671</v>
      </c>
      <c r="J4" s="1" t="n"/>
      <c r="K4" s="1" t="n"/>
    </row>
    <row r="5">
      <c r="A5" s="2" t="inlineStr">
        <is>
          <t>Research &amp; Dev.</t>
        </is>
      </c>
      <c r="B5" s="23" t="n">
        <v>16.081</v>
      </c>
      <c r="C5" s="23" t="n">
        <v>16.212</v>
      </c>
      <c r="D5" s="23" t="n">
        <v>33.538</v>
      </c>
      <c r="E5" s="23" t="n">
        <v>68.099</v>
      </c>
      <c r="F5" s="23" t="n">
        <v>81.34</v>
      </c>
      <c r="G5" s="23" t="n">
        <v>36.639</v>
      </c>
      <c r="H5" s="23" t="n">
        <v>28.781</v>
      </c>
      <c r="I5" s="23" t="n">
        <v>22.034</v>
      </c>
      <c r="J5" s="1" t="n"/>
      <c r="K5" s="1" t="n"/>
    </row>
    <row r="6">
      <c r="A6" s="19" t="inlineStr">
        <is>
          <t>SG&amp;A &amp; Other</t>
        </is>
      </c>
      <c r="B6" s="23" t="n">
        <v>2.765</v>
      </c>
      <c r="C6" s="23" t="n">
        <v>3.438</v>
      </c>
      <c r="D6" s="23" t="n">
        <v>10.315</v>
      </c>
      <c r="E6" s="23" t="n">
        <v>14.44</v>
      </c>
      <c r="F6" s="23" t="n">
        <v>11.874</v>
      </c>
      <c r="G6" s="23" t="n">
        <v>5.192</v>
      </c>
      <c r="H6" s="23" t="n">
        <v>7.273</v>
      </c>
      <c r="I6" s="23" t="n">
        <v>7.076</v>
      </c>
      <c r="J6" s="1" t="n"/>
      <c r="K6" s="1" t="n"/>
    </row>
    <row r="7">
      <c r="A7" s="2" t="inlineStr">
        <is>
          <t>Operating Expense</t>
        </is>
      </c>
      <c r="B7" s="23">
        <f>SUM(B5:B6)</f>
        <v>18.846</v>
      </c>
      <c r="C7" s="23">
        <f>SUM(C5:C6)</f>
        <v>19.65</v>
      </c>
      <c r="D7" s="23">
        <f>SUM(D5:D6)</f>
        <v>43.852999999999994</v>
      </c>
      <c r="E7" s="23">
        <f>SUM(E5:E6)</f>
        <v>82.539</v>
      </c>
      <c r="F7" s="23">
        <f>SUM(F5:F6)</f>
        <v>93.214</v>
      </c>
      <c r="G7" s="23">
        <f>SUM(G5:G6)</f>
        <v>41.831</v>
      </c>
      <c r="H7" s="23">
        <f>SUM(H5:H6)</f>
        <v>36.054</v>
      </c>
      <c r="I7" s="23">
        <f>SUM(I5:I6)</f>
        <v>29.11</v>
      </c>
      <c r="J7" s="1" t="n"/>
      <c r="K7" s="1" t="n"/>
    </row>
    <row r="8">
      <c r="A8" s="2" t="inlineStr">
        <is>
          <t>Operating Income</t>
        </is>
      </c>
      <c r="B8" s="23">
        <f>B4-B7</f>
        <v>-17.335</v>
      </c>
      <c r="C8" s="23">
        <f>C4-C7</f>
        <v>-19.169999999999998</v>
      </c>
      <c r="D8" s="23">
        <f>D4-D7</f>
        <v>-43.151999999999994</v>
      </c>
      <c r="E8" s="23">
        <f>E4-E7</f>
        <v>-72.364</v>
      </c>
      <c r="F8" s="23">
        <f>F4-F7</f>
        <v>-83.92099999999999</v>
      </c>
      <c r="G8" s="23">
        <f>G4-G7</f>
        <v>-23.720000000000002</v>
      </c>
      <c r="H8" s="23">
        <f>H4-H7</f>
        <v>-35.951</v>
      </c>
      <c r="I8" s="23">
        <f>I4-I7</f>
        <v>-21.439</v>
      </c>
      <c r="J8" s="1" t="n"/>
      <c r="K8" s="1" t="n"/>
    </row>
    <row r="9">
      <c r="A9" s="19" t="inlineStr">
        <is>
          <t>Interest &amp; Other</t>
        </is>
      </c>
      <c r="B9" s="23" t="n">
        <v>2.068</v>
      </c>
      <c r="C9" s="23" t="n">
        <v>2.737</v>
      </c>
      <c r="D9" s="23" t="n">
        <v>0.754</v>
      </c>
      <c r="E9" s="23" t="n">
        <v>0.888</v>
      </c>
      <c r="F9" s="23" t="n">
        <v>4.408</v>
      </c>
      <c r="G9" s="23" t="n">
        <v>6.465</v>
      </c>
      <c r="H9" s="23" t="n">
        <v>2.51</v>
      </c>
      <c r="I9" s="23" t="n">
        <v>3.531</v>
      </c>
    </row>
    <row r="10">
      <c r="A10" s="2" t="inlineStr">
        <is>
          <t>Pretax</t>
        </is>
      </c>
      <c r="B10" s="23">
        <f>B8+B9</f>
        <v>-15.267000000000001</v>
      </c>
      <c r="C10" s="23">
        <f>C8+C9</f>
        <v>-16.433</v>
      </c>
      <c r="D10" s="23">
        <f>D8+D9</f>
        <v>-42.397999999999996</v>
      </c>
      <c r="E10" s="23">
        <f>E8+E9</f>
        <v>-71.476</v>
      </c>
      <c r="F10" s="23">
        <f>F8+F9</f>
        <v>-79.51299999999999</v>
      </c>
      <c r="G10" s="23">
        <f>G8+G9</f>
        <v>-17.255000000000003</v>
      </c>
      <c r="H10" s="23">
        <f>H8+H9</f>
        <v>-33.441</v>
      </c>
      <c r="I10" s="23">
        <f>I8+I9</f>
        <v>-17.908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1.702</v>
      </c>
      <c r="F11" s="23" t="n">
        <v>0.459</v>
      </c>
      <c r="G11" s="23" t="n">
        <v>1.691</v>
      </c>
      <c r="H11" s="23" t="n">
        <v>-0.018</v>
      </c>
      <c r="I11" s="23" t="n">
        <v>-0.298</v>
      </c>
    </row>
    <row r="12">
      <c r="A12" s="2" t="inlineStr">
        <is>
          <t>Net Income</t>
        </is>
      </c>
      <c r="B12" s="23" t="n">
        <v>-15.266</v>
      </c>
      <c r="C12" s="23" t="n">
        <v>-16.432</v>
      </c>
      <c r="D12" s="23" t="n">
        <v>-42.397</v>
      </c>
      <c r="E12" s="23" t="n">
        <v>-73.178</v>
      </c>
      <c r="F12" s="23" t="n">
        <v>-79.97199999999999</v>
      </c>
      <c r="G12" s="23" t="n">
        <v>-18.946</v>
      </c>
      <c r="H12" s="23" t="n">
        <v>-33.424</v>
      </c>
      <c r="I12" s="23" t="n">
        <v>-17.609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-1.0070585130945313</v>
      </c>
      <c r="C13" s="11">
        <f>IFERROR(C12/C14,0)</f>
        <v>-1.08261958097246</v>
      </c>
      <c r="D13" s="11">
        <f>IFERROR(D12/D14,0)</f>
        <v>-2.6579524794683715</v>
      </c>
      <c r="E13" s="11">
        <f>IFERROR(E12/E14,0)</f>
        <v>-1.4626239206907579</v>
      </c>
      <c r="F13" s="11">
        <f>IFERROR(F12/F14,0)</f>
        <v>-1.448427000887472</v>
      </c>
      <c r="G13" s="11">
        <f>IFERROR(G12/G14,0)</f>
        <v>-0.3461215243523695</v>
      </c>
      <c r="H13" s="11">
        <f>IFERROR(H12/H14,0)</f>
        <v>-0.5938032973280273</v>
      </c>
      <c r="I13" s="11">
        <f>IFERROR(I12/I14,0)</f>
        <v>-0.29842727858183915</v>
      </c>
    </row>
    <row r="14">
      <c r="A14" s="2" t="inlineStr">
        <is>
          <t>Shares</t>
        </is>
      </c>
      <c r="B14" s="23" t="n">
        <v>15.159</v>
      </c>
      <c r="C14" s="23" t="n">
        <v>15.178</v>
      </c>
      <c r="D14" s="23" t="n">
        <v>15.951</v>
      </c>
      <c r="E14" s="23" t="n">
        <v>50.032</v>
      </c>
      <c r="F14" s="23" t="n">
        <v>55.213</v>
      </c>
      <c r="G14" s="23" t="n">
        <v>54.738</v>
      </c>
      <c r="H14" s="23" t="n">
        <v>56.288</v>
      </c>
      <c r="I14" s="23" t="n">
        <v>59.006</v>
      </c>
    </row>
    <row r="15"/>
    <row r="16" customFormat="1" s="4">
      <c r="A16" s="3" t="inlineStr">
        <is>
          <t>Revenue Change</t>
        </is>
      </c>
      <c r="C16" s="15">
        <f>IFERROR(C2/B2-1,"")</f>
        <v>-0.6823295830575777</v>
      </c>
      <c r="D16" s="15">
        <f>IFERROR(D2/C2-1,"")</f>
        <v>0.4604166666666667</v>
      </c>
      <c r="E16" s="15">
        <f>IFERROR(E2/D2-1,"")</f>
        <v>13.514978601997148</v>
      </c>
      <c r="F16" s="15">
        <f>IFERROR(F2/E2-1,"")</f>
        <v>-0.08668304668304683</v>
      </c>
      <c r="G16" s="15">
        <f>IFERROR(G2/F2-1,"")</f>
        <v>0.9488862584741204</v>
      </c>
      <c r="H16" s="15">
        <f>IFERROR(H2/G2-1,"")</f>
        <v>-0.9943128485450831</v>
      </c>
      <c r="I16" s="15">
        <f>IFERROR(I2/H2-1,"")</f>
        <v>73.47572815533981</v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>-11.472534745201854</v>
      </c>
      <c r="C18" s="15">
        <f>IFERROR(C8/C2,"")</f>
        <v>-39.9375</v>
      </c>
      <c r="D18" s="15">
        <f>IFERROR(D8/D2,"")</f>
        <v>-61.55777460770327</v>
      </c>
      <c r="E18" s="15">
        <f>IFERROR(E8/E2,"")</f>
        <v>-7.111941031941032</v>
      </c>
      <c r="F18" s="15">
        <f>IFERROR(F8/F2,"")</f>
        <v>-9.030560637038631</v>
      </c>
      <c r="G18" s="15">
        <f>IFERROR(G8/G2,"")</f>
        <v>-1.3097012865109603</v>
      </c>
      <c r="H18" s="15">
        <f>IFERROR(H8/H2,"")</f>
        <v>-349.03883495145635</v>
      </c>
      <c r="I18" s="15">
        <f>IFERROR(I8/I2,"")</f>
        <v>-2.794811628210142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Adagene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0.07540000000000002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21.438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297.2</v>
      </c>
    </row>
    <row r="22">
      <c r="A22" s="14" t="inlineStr">
        <is>
          <t>First year, fraction after the balance sheet date</t>
        </is>
      </c>
      <c r="B22" s="28" t="n">
        <v>1</v>
      </c>
    </row>
    <row r="23">
      <c r="A23" s="14" t="inlineStr">
        <is>
          <t>Balance sheet date</t>
        </is>
      </c>
      <c r="B23" s="41" t="n">
        <v>46022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55.69023163492407</v>
      </c>
      <c r="C29" s="42">
        <f>NPV!B25</f>
        <v>124.09632663492407</v>
      </c>
      <c r="D29" s="43">
        <f>NPV!B27</f>
        <v>2.6188618757713433</v>
      </c>
      <c r="E29" s="44">
        <f>NPV!B29</f>
        <v>0.04754475030853733</v>
      </c>
    </row>
    <row r="30">
      <c r="A30" s="45" t="n">
        <v>1</v>
      </c>
      <c r="B30" s="46">
        <f t="dataTable" ref="B30:E32" r1="B4"/>
        <v>-17.156801132350846</v>
      </c>
      <c r="C30" s="46">
        <v>51.24929386764914</v>
      </c>
      <c r="D30" s="47">
        <v>1.08153742749398</v>
      </c>
      <c r="E30" s="48">
        <v>-0.5673850290024081</v>
      </c>
    </row>
    <row r="31">
      <c r="A31" s="45" t="n">
        <v>2</v>
      </c>
      <c r="B31" s="46">
        <v>55.69023163492407</v>
      </c>
      <c r="C31" s="46">
        <v>124.09632663492407</v>
      </c>
      <c r="D31" s="47">
        <v>2.6188618757713433</v>
      </c>
      <c r="E31" s="48">
        <v>0.04754475030853733</v>
      </c>
    </row>
    <row r="32">
      <c r="A32" s="45" t="n">
        <v>3</v>
      </c>
      <c r="B32" s="46">
        <v>169.28501265115162</v>
      </c>
      <c r="C32" s="46">
        <v>237.69110765115164</v>
      </c>
      <c r="D32" s="47">
        <v>5.016104802753126</v>
      </c>
      <c r="E32" s="48">
        <v>1.00644192110125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2.6188618757713433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0.8032390126587325</v>
      </c>
      <c r="C37" s="47">
        <v>1.224585497755952</v>
      </c>
      <c r="D37" s="47">
        <v>1.6459319828531718</v>
      </c>
      <c r="E37" s="47">
        <v>2.396469123440738</v>
      </c>
      <c r="F37" s="47">
        <v>3.1081385053340362</v>
      </c>
    </row>
    <row r="38">
      <c r="A38" s="50" t="n">
        <v>0.8</v>
      </c>
      <c r="B38" s="47">
        <v>1.0745365080601978</v>
      </c>
      <c r="C38" s="47">
        <v>1.6363318215231573</v>
      </c>
      <c r="D38" s="47">
        <v>2.1455018641706354</v>
      </c>
      <c r="E38" s="47">
        <v>3.0997520497346924</v>
      </c>
      <c r="F38" s="47">
        <v>4.029218061951365</v>
      </c>
    </row>
    <row r="39">
      <c r="A39" s="50" t="n">
        <v>1</v>
      </c>
      <c r="B39" s="47">
        <v>1.345834003461663</v>
      </c>
      <c r="C39" s="47">
        <v>2.014499678552261</v>
      </c>
      <c r="D39" s="47">
        <v>2.6188618757713433</v>
      </c>
      <c r="E39" s="47">
        <v>3.789337307332085</v>
      </c>
      <c r="F39" s="47">
        <v>4.936352823221977</v>
      </c>
    </row>
    <row r="40">
      <c r="A40" s="50" t="n">
        <v>1.2</v>
      </c>
      <c r="B40" s="47">
        <v>1.6171314988631287</v>
      </c>
      <c r="C40" s="47">
        <v>2.3707297292261553</v>
      </c>
      <c r="D40" s="47">
        <v>3.082979138536007</v>
      </c>
      <c r="E40" s="47">
        <v>4.470534457323885</v>
      </c>
      <c r="F40" s="47">
        <v>5.836119495399892</v>
      </c>
    </row>
    <row r="41">
      <c r="A41" s="50" t="n">
        <v>1.4</v>
      </c>
      <c r="B41" s="47">
        <v>1.8730440008555391</v>
      </c>
      <c r="C41" s="47">
        <v>2.7208409460367116</v>
      </c>
      <c r="D41" s="47">
        <v>3.5411698211254317</v>
      </c>
      <c r="E41" s="47">
        <v>5.148748348316856</v>
      </c>
      <c r="F41" s="47">
        <v>6.733746710444028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Adagene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Solid tumors (basket)</t>
        </is>
      </c>
      <c r="C4" s="14" t="inlineStr">
        <is>
          <t>ADG106, ADG116</t>
        </is>
      </c>
      <c r="D4" s="14" t="inlineStr">
        <is>
          <t>Phase 1/2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0.07539999999999999</v>
      </c>
      <c r="I4" s="26" t="n">
        <v>2032</v>
      </c>
      <c r="J4" s="39">
        <f>I4+Assumptions!$B$25</f>
        <v>2044.0</v>
      </c>
      <c r="K4" s="53">
        <f>Assumptions!$E$13</f>
        <v>0.4</v>
      </c>
      <c r="L4" s="23">
        <f>K4*SUMPRODUCT(M4:AF4,NPV!$C$15:$V$15)</f>
        <v>107.34276153055107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11.309999999999999</v>
      </c>
      <c r="T4" s="23">
        <f>IF(T$3&lt;$I4,0,$G4*Assumptions!$E$11*INDEX(Assumptions!$B$24:$G$24,MIN(6,T$3-$I4+1))*IF(T$3&gt;$J4,(1-Assumptions!$B$26)^(T$3-$J4),1)*IF($H4&gt;=1,1,MIN(0.97,$H4*Assumptions!$E$12)))</f>
        <v>28.275</v>
      </c>
      <c r="U4" s="23">
        <f>IF(U$3&lt;$I4,0,$G4*Assumptions!$E$11*INDEX(Assumptions!$B$24:$G$24,MIN(6,U$3-$I4+1))*IF(U$3&gt;$J4,(1-Assumptions!$B$26)^(U$3-$J4),1)*IF($H4&gt;=1,1,MIN(0.97,$H4*Assumptions!$E$12)))</f>
        <v>50.894999999999996</v>
      </c>
      <c r="V4" s="23">
        <f>IF(V$3&lt;$I4,0,$G4*Assumptions!$E$11*INDEX(Assumptions!$B$24:$G$24,MIN(6,V$3-$I4+1))*IF(V$3&gt;$J4,(1-Assumptions!$B$26)^(V$3-$J4),1)*IF($H4&gt;=1,1,MIN(0.97,$H4*Assumptions!$E$12)))</f>
        <v>73.515</v>
      </c>
      <c r="W4" s="23">
        <f>IF(W$3&lt;$I4,0,$G4*Assumptions!$E$11*INDEX(Assumptions!$B$24:$G$24,MIN(6,W$3-$I4+1))*IF(W$3&gt;$J4,(1-Assumptions!$B$26)^(W$3-$J4),1)*IF($H4&gt;=1,1,MIN(0.97,$H4*Assumptions!$E$12)))</f>
        <v>96.13499999999999</v>
      </c>
      <c r="X4" s="23">
        <f>IF(X$3&lt;$I4,0,$G4*Assumptions!$E$11*INDEX(Assumptions!$B$24:$G$24,MIN(6,X$3-$I4+1))*IF(X$3&gt;$J4,(1-Assumptions!$B$26)^(X$3-$J4),1)*IF($H4&gt;=1,1,MIN(0.97,$H4*Assumptions!$E$12)))</f>
        <v>113.1</v>
      </c>
      <c r="Y4" s="23">
        <f>IF(Y$3&lt;$I4,0,$G4*Assumptions!$E$11*INDEX(Assumptions!$B$24:$G$24,MIN(6,Y$3-$I4+1))*IF(Y$3&gt;$J4,(1-Assumptions!$B$26)^(Y$3-$J4),1)*IF($H4&gt;=1,1,MIN(0.97,$H4*Assumptions!$E$12)))</f>
        <v>113.1</v>
      </c>
      <c r="Z4" s="23">
        <f>IF(Z$3&lt;$I4,0,$G4*Assumptions!$E$11*INDEX(Assumptions!$B$24:$G$24,MIN(6,Z$3-$I4+1))*IF(Z$3&gt;$J4,(1-Assumptions!$B$26)^(Z$3-$J4),1)*IF($H4&gt;=1,1,MIN(0.97,$H4*Assumptions!$E$12)))</f>
        <v>113.1</v>
      </c>
      <c r="AA4" s="23">
        <f>IF(AA$3&lt;$I4,0,$G4*Assumptions!$E$11*INDEX(Assumptions!$B$24:$G$24,MIN(6,AA$3-$I4+1))*IF(AA$3&gt;$J4,(1-Assumptions!$B$26)^(AA$3-$J4),1)*IF($H4&gt;=1,1,MIN(0.97,$H4*Assumptions!$E$12)))</f>
        <v>113.1</v>
      </c>
      <c r="AB4" s="23">
        <f>IF(AB$3&lt;$I4,0,$G4*Assumptions!$E$11*INDEX(Assumptions!$B$24:$G$24,MIN(6,AB$3-$I4+1))*IF(AB$3&gt;$J4,(1-Assumptions!$B$26)^(AB$3-$J4),1)*IF($H4&gt;=1,1,MIN(0.97,$H4*Assumptions!$E$12)))</f>
        <v>113.1</v>
      </c>
      <c r="AC4" s="23">
        <f>IF(AC$3&lt;$I4,0,$G4*Assumptions!$E$11*INDEX(Assumptions!$B$24:$G$24,MIN(6,AC$3-$I4+1))*IF(AC$3&gt;$J4,(1-Assumptions!$B$26)^(AC$3-$J4),1)*IF($H4&gt;=1,1,MIN(0.97,$H4*Assumptions!$E$12)))</f>
        <v>113.1</v>
      </c>
      <c r="AD4" s="23">
        <f>IF(AD$3&lt;$I4,0,$G4*Assumptions!$E$11*INDEX(Assumptions!$B$24:$G$24,MIN(6,AD$3-$I4+1))*IF(AD$3&gt;$J4,(1-Assumptions!$B$26)^(AD$3-$J4),1)*IF($H4&gt;=1,1,MIN(0.97,$H4*Assumptions!$E$12)))</f>
        <v>113.1</v>
      </c>
      <c r="AE4" s="23">
        <f>IF(AE$3&lt;$I4,0,$G4*Assumptions!$E$11*INDEX(Assumptions!$B$24:$G$24,MIN(6,AE$3-$I4+1))*IF(AE$3&gt;$J4,(1-Assumptions!$B$26)^(AE$3-$J4),1)*IF($H4&gt;=1,1,MIN(0.97,$H4*Assumptions!$E$12)))</f>
        <v>113.1</v>
      </c>
      <c r="AF4" s="23">
        <f>IF(AF$3&lt;$I4,0,$G4*Assumptions!$E$11*INDEX(Assumptions!$B$24:$G$24,MIN(6,AF$3-$I4+1))*IF(AF$3&gt;$J4,(1-Assumptions!$B$26)^(AF$3-$J4),1)*IF($H4&gt;=1,1,MIN(0.97,$H4*Assumptions!$E$12)))</f>
        <v>56.55</v>
      </c>
      <c r="AG4" s="35">
        <f>IF(F4="Owned",1-IF(H4&gt;=1,1,MIN(0.97,H4*Assumptions!$E$12)),1)</f>
        <v>0.9246</v>
      </c>
    </row>
    <row r="5">
      <c r="A5" s="39" t="n">
        <v>2</v>
      </c>
      <c r="B5" s="14" t="inlineStr">
        <is>
          <t>Liver cancer</t>
        </is>
      </c>
      <c r="C5" s="14" t="inlineStr">
        <is>
          <t>Tiragolumab, Tocilizumab</t>
        </is>
      </c>
      <c r="D5" s="14" t="inlineStr">
        <is>
          <t>Phase 1/2</t>
        </is>
      </c>
      <c r="E5" s="14" t="inlineStr">
        <is>
          <t>Oncology / area</t>
        </is>
      </c>
      <c r="F5" s="14" t="inlineStr">
        <is>
          <t>Partnered</t>
        </is>
      </c>
      <c r="G5" s="40" t="n">
        <v>1200</v>
      </c>
      <c r="H5" s="27" t="n">
        <v>0.07539999999999999</v>
      </c>
      <c r="I5" s="26" t="n">
        <v>2032</v>
      </c>
      <c r="J5" s="39">
        <f>I5+Assumptions!$B$25</f>
        <v>2044.0</v>
      </c>
      <c r="K5" s="53">
        <f>Assumptions!$E$14</f>
        <v>0.12</v>
      </c>
      <c r="L5" s="23">
        <f>K5*SUMPRODUCT(M5:AF5,NPV!$C$15:$V$15)</f>
        <v>25.762262767332256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9.048</v>
      </c>
      <c r="T5" s="23">
        <f>IF(T$3&lt;$I5,0,$G5*Assumptions!$E$11*INDEX(Assumptions!$B$24:$G$24,MIN(6,T$3-$I5+1))*IF(T$3&gt;$J5,(1-Assumptions!$B$26)^(T$3-$J5),1)*IF($H5&gt;=1,1,MIN(0.97,$H5*Assumptions!$E$12)))</f>
        <v>22.619999999999997</v>
      </c>
      <c r="U5" s="23">
        <f>IF(U$3&lt;$I5,0,$G5*Assumptions!$E$11*INDEX(Assumptions!$B$24:$G$24,MIN(6,U$3-$I5+1))*IF(U$3&gt;$J5,(1-Assumptions!$B$26)^(U$3-$J5),1)*IF($H5&gt;=1,1,MIN(0.97,$H5*Assumptions!$E$12)))</f>
        <v>40.715999999999994</v>
      </c>
      <c r="V5" s="23">
        <f>IF(V$3&lt;$I5,0,$G5*Assumptions!$E$11*INDEX(Assumptions!$B$24:$G$24,MIN(6,V$3-$I5+1))*IF(V$3&gt;$J5,(1-Assumptions!$B$26)^(V$3-$J5),1)*IF($H5&gt;=1,1,MIN(0.97,$H5*Assumptions!$E$12)))</f>
        <v>58.812</v>
      </c>
      <c r="W5" s="23">
        <f>IF(W$3&lt;$I5,0,$G5*Assumptions!$E$11*INDEX(Assumptions!$B$24:$G$24,MIN(6,W$3-$I5+1))*IF(W$3&gt;$J5,(1-Assumptions!$B$26)^(W$3-$J5),1)*IF($H5&gt;=1,1,MIN(0.97,$H5*Assumptions!$E$12)))</f>
        <v>76.908</v>
      </c>
      <c r="X5" s="23">
        <f>IF(X$3&lt;$I5,0,$G5*Assumptions!$E$11*INDEX(Assumptions!$B$24:$G$24,MIN(6,X$3-$I5+1))*IF(X$3&gt;$J5,(1-Assumptions!$B$26)^(X$3-$J5),1)*IF($H5&gt;=1,1,MIN(0.97,$H5*Assumptions!$E$12)))</f>
        <v>90.47999999999999</v>
      </c>
      <c r="Y5" s="23">
        <f>IF(Y$3&lt;$I5,0,$G5*Assumptions!$E$11*INDEX(Assumptions!$B$24:$G$24,MIN(6,Y$3-$I5+1))*IF(Y$3&gt;$J5,(1-Assumptions!$B$26)^(Y$3-$J5),1)*IF($H5&gt;=1,1,MIN(0.97,$H5*Assumptions!$E$12)))</f>
        <v>90.47999999999999</v>
      </c>
      <c r="Z5" s="23">
        <f>IF(Z$3&lt;$I5,0,$G5*Assumptions!$E$11*INDEX(Assumptions!$B$24:$G$24,MIN(6,Z$3-$I5+1))*IF(Z$3&gt;$J5,(1-Assumptions!$B$26)^(Z$3-$J5),1)*IF($H5&gt;=1,1,MIN(0.97,$H5*Assumptions!$E$12)))</f>
        <v>90.47999999999999</v>
      </c>
      <c r="AA5" s="23">
        <f>IF(AA$3&lt;$I5,0,$G5*Assumptions!$E$11*INDEX(Assumptions!$B$24:$G$24,MIN(6,AA$3-$I5+1))*IF(AA$3&gt;$J5,(1-Assumptions!$B$26)^(AA$3-$J5),1)*IF($H5&gt;=1,1,MIN(0.97,$H5*Assumptions!$E$12)))</f>
        <v>90.47999999999999</v>
      </c>
      <c r="AB5" s="23">
        <f>IF(AB$3&lt;$I5,0,$G5*Assumptions!$E$11*INDEX(Assumptions!$B$24:$G$24,MIN(6,AB$3-$I5+1))*IF(AB$3&gt;$J5,(1-Assumptions!$B$26)^(AB$3-$J5),1)*IF($H5&gt;=1,1,MIN(0.97,$H5*Assumptions!$E$12)))</f>
        <v>90.47999999999999</v>
      </c>
      <c r="AC5" s="23">
        <f>IF(AC$3&lt;$I5,0,$G5*Assumptions!$E$11*INDEX(Assumptions!$B$24:$G$24,MIN(6,AC$3-$I5+1))*IF(AC$3&gt;$J5,(1-Assumptions!$B$26)^(AC$3-$J5),1)*IF($H5&gt;=1,1,MIN(0.97,$H5*Assumptions!$E$12)))</f>
        <v>90.47999999999999</v>
      </c>
      <c r="AD5" s="23">
        <f>IF(AD$3&lt;$I5,0,$G5*Assumptions!$E$11*INDEX(Assumptions!$B$24:$G$24,MIN(6,AD$3-$I5+1))*IF(AD$3&gt;$J5,(1-Assumptions!$B$26)^(AD$3-$J5),1)*IF($H5&gt;=1,1,MIN(0.97,$H5*Assumptions!$E$12)))</f>
        <v>90.47999999999999</v>
      </c>
      <c r="AE5" s="23">
        <f>IF(AE$3&lt;$I5,0,$G5*Assumptions!$E$11*INDEX(Assumptions!$B$24:$G$24,MIN(6,AE$3-$I5+1))*IF(AE$3&gt;$J5,(1-Assumptions!$B$26)^(AE$3-$J5),1)*IF($H5&gt;=1,1,MIN(0.97,$H5*Assumptions!$E$12)))</f>
        <v>90.47999999999999</v>
      </c>
      <c r="AF5" s="23">
        <f>IF(AF$3&lt;$I5,0,$G5*Assumptions!$E$11*INDEX(Assumptions!$B$24:$G$24,MIN(6,AF$3-$I5+1))*IF(AF$3&gt;$J5,(1-Assumptions!$B$26)^(AF$3-$J5),1)*IF($H5&gt;=1,1,MIN(0.97,$H5*Assumptions!$E$12)))</f>
        <v>45.239999999999995</v>
      </c>
      <c r="AG5" s="35">
        <f>IF(F5="Owned",1-IF(H5&gt;=1,1,MIN(0.97,H5*Assumptions!$E$12)),1)</f>
        <v>1</v>
      </c>
    </row>
    <row r="6">
      <c r="B6" s="24" t="inlineStr">
        <is>
          <t>Risked revenue</t>
        </is>
      </c>
      <c r="L6" s="54">
        <f>SUM(L4:L5)</f>
        <v>133.10502429788332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0.0</v>
      </c>
      <c r="S6" s="54">
        <f>SUM(S4:S5)</f>
        <v>20.357999999999997</v>
      </c>
      <c r="T6" s="54">
        <f>SUM(T4:T5)</f>
        <v>50.894999999999996</v>
      </c>
      <c r="U6" s="54">
        <f>SUM(U4:U5)</f>
        <v>91.61099999999999</v>
      </c>
      <c r="V6" s="54">
        <f>SUM(V4:V5)</f>
        <v>132.327</v>
      </c>
      <c r="W6" s="54">
        <f>SUM(W4:W5)</f>
        <v>173.043</v>
      </c>
      <c r="X6" s="54">
        <f>SUM(X4:X5)</f>
        <v>203.57999999999998</v>
      </c>
      <c r="Y6" s="54">
        <f>SUM(Y4:Y5)</f>
        <v>203.57999999999998</v>
      </c>
      <c r="Z6" s="54">
        <f>SUM(Z4:Z5)</f>
        <v>203.57999999999998</v>
      </c>
      <c r="AA6" s="54">
        <f>SUM(AA4:AA5)</f>
        <v>203.57999999999998</v>
      </c>
      <c r="AB6" s="54">
        <f>SUM(AB4:AB5)</f>
        <v>203.57999999999998</v>
      </c>
      <c r="AC6" s="54">
        <f>SUM(AC4:AC5)</f>
        <v>203.57999999999998</v>
      </c>
      <c r="AD6" s="54">
        <f>SUM(AD4:AD5)</f>
        <v>203.57999999999998</v>
      </c>
      <c r="AE6" s="54">
        <f>SUM(AE4:AE5)</f>
        <v>203.57999999999998</v>
      </c>
      <c r="AF6" s="54">
        <f>SUM(AF4:AF5)</f>
        <v>101.78999999999999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0.0</v>
      </c>
      <c r="S7" s="55">
        <f>SUMPRODUCT(S4:S5,$K$4:$K$5)</f>
        <v>5.60976</v>
      </c>
      <c r="T7" s="55">
        <f>SUMPRODUCT(T4:T5,$K$4:$K$5)</f>
        <v>14.0244</v>
      </c>
      <c r="U7" s="55">
        <f>SUMPRODUCT(U4:U5,$K$4:$K$5)</f>
        <v>25.24392</v>
      </c>
      <c r="V7" s="55">
        <f>SUMPRODUCT(V4:V5,$K$4:$K$5)</f>
        <v>36.463440000000006</v>
      </c>
      <c r="W7" s="55">
        <f>SUMPRODUCT(W4:W5,$K$4:$K$5)</f>
        <v>47.68296</v>
      </c>
      <c r="X7" s="55">
        <f>SUMPRODUCT(X4:X5,$K$4:$K$5)</f>
        <v>56.0976</v>
      </c>
      <c r="Y7" s="55">
        <f>SUMPRODUCT(Y4:Y5,$K$4:$K$5)</f>
        <v>56.0976</v>
      </c>
      <c r="Z7" s="55">
        <f>SUMPRODUCT(Z4:Z5,$K$4:$K$5)</f>
        <v>56.0976</v>
      </c>
      <c r="AA7" s="55">
        <f>SUMPRODUCT(AA4:AA5,$K$4:$K$5)</f>
        <v>56.0976</v>
      </c>
      <c r="AB7" s="55">
        <f>SUMPRODUCT(AB4:AB5,$K$4:$K$5)</f>
        <v>56.0976</v>
      </c>
      <c r="AC7" s="55">
        <f>SUMPRODUCT(AC4:AC5,$K$4:$K$5)</f>
        <v>56.0976</v>
      </c>
      <c r="AD7" s="55">
        <f>SUMPRODUCT(AD4:AD5,$K$4:$K$5)</f>
        <v>56.0976</v>
      </c>
      <c r="AE7" s="55">
        <f>SUMPRODUCT(AE4:AE5,$K$4:$K$5)</f>
        <v>56.0976</v>
      </c>
      <c r="AF7" s="55">
        <f>SUMPRODUCT(AF4:AF5,$K$4:$K$5)</f>
        <v>28.0488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Adagene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0.0</v>
      </c>
      <c r="I4" s="57">
        <f>Pipeline!S6</f>
        <v>20.357999999999997</v>
      </c>
      <c r="J4" s="57">
        <f>Pipeline!T6</f>
        <v>50.894999999999996</v>
      </c>
      <c r="K4" s="57">
        <f>Pipeline!U6</f>
        <v>91.61099999999999</v>
      </c>
      <c r="L4" s="57">
        <f>Pipeline!V6</f>
        <v>132.327</v>
      </c>
      <c r="M4" s="57">
        <f>Pipeline!W6</f>
        <v>173.043</v>
      </c>
      <c r="N4" s="57">
        <f>Pipeline!X6</f>
        <v>203.57999999999998</v>
      </c>
      <c r="O4" s="57">
        <f>Pipeline!Y6</f>
        <v>203.57999999999998</v>
      </c>
      <c r="P4" s="57">
        <f>Pipeline!Z6</f>
        <v>203.57999999999998</v>
      </c>
      <c r="Q4" s="57">
        <f>Pipeline!AA6</f>
        <v>203.57999999999998</v>
      </c>
      <c r="R4" s="57">
        <f>Pipeline!AB6</f>
        <v>203.57999999999998</v>
      </c>
      <c r="S4" s="57">
        <f>Pipeline!AC6</f>
        <v>203.57999999999998</v>
      </c>
      <c r="T4" s="57">
        <f>Pipeline!AD6</f>
        <v>203.57999999999998</v>
      </c>
      <c r="U4" s="57">
        <f>Pipeline!AE6</f>
        <v>203.57999999999998</v>
      </c>
      <c r="V4" s="57">
        <f>Pipeline!AF6</f>
        <v>101.78999999999999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0.0</v>
      </c>
      <c r="I5" s="57">
        <f>Pipeline!S7</f>
        <v>5.60976</v>
      </c>
      <c r="J5" s="57">
        <f>Pipeline!T7</f>
        <v>14.0244</v>
      </c>
      <c r="K5" s="57">
        <f>Pipeline!U7</f>
        <v>25.24392</v>
      </c>
      <c r="L5" s="57">
        <f>Pipeline!V7</f>
        <v>36.463440000000006</v>
      </c>
      <c r="M5" s="57">
        <f>Pipeline!W7</f>
        <v>47.68296</v>
      </c>
      <c r="N5" s="57">
        <f>Pipeline!X7</f>
        <v>56.0976</v>
      </c>
      <c r="O5" s="57">
        <f>Pipeline!Y7</f>
        <v>56.0976</v>
      </c>
      <c r="P5" s="57">
        <f>Pipeline!Z7</f>
        <v>56.0976</v>
      </c>
      <c r="Q5" s="57">
        <f>Pipeline!AA7</f>
        <v>56.0976</v>
      </c>
      <c r="R5" s="57">
        <f>Pipeline!AB7</f>
        <v>56.0976</v>
      </c>
      <c r="S5" s="57">
        <f>Pipeline!AC7</f>
        <v>56.0976</v>
      </c>
      <c r="T5" s="57">
        <f>Pipeline!AD7</f>
        <v>56.0976</v>
      </c>
      <c r="U5" s="57">
        <f>Pipeline!AE7</f>
        <v>56.0976</v>
      </c>
      <c r="V5" s="57">
        <f>Pipeline!AF7</f>
        <v>28.0488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-21.438</v>
      </c>
      <c r="D6" s="23">
        <f>-IF(D3-2026&lt;Assumptions!$B$19,Assumptions!$B$18,Assumptions!$B$18*Assumptions!$B$20*Assumptions!$B$16)</f>
        <v>-21.438</v>
      </c>
      <c r="E6" s="23">
        <f>-IF(E3-2026&lt;Assumptions!$B$19,Assumptions!$B$18,Assumptions!$B$18*Assumptions!$B$20*Assumptions!$B$16)</f>
        <v>-21.438</v>
      </c>
      <c r="F6" s="23">
        <f>-IF(F3-2026&lt;Assumptions!$B$19,Assumptions!$B$18,Assumptions!$B$18*Assumptions!$B$20*Assumptions!$B$16)</f>
        <v>-21.438</v>
      </c>
      <c r="G6" s="23">
        <f>-IF(G3-2026&lt;Assumptions!$B$19,Assumptions!$B$18,Assumptions!$B$18*Assumptions!$B$20*Assumptions!$B$16)</f>
        <v>-0.4849275600000001</v>
      </c>
      <c r="H6" s="23">
        <f>-IF(H3-2026&lt;Assumptions!$B$19,Assumptions!$B$18,Assumptions!$B$18*Assumptions!$B$20*Assumptions!$B$16)</f>
        <v>-0.4849275600000001</v>
      </c>
      <c r="I6" s="23">
        <f>-IF(I3-2026&lt;Assumptions!$B$19,Assumptions!$B$18,Assumptions!$B$18*Assumptions!$B$20*Assumptions!$B$16)</f>
        <v>-0.4849275600000001</v>
      </c>
      <c r="J6" s="23">
        <f>-IF(J3-2026&lt;Assumptions!$B$19,Assumptions!$B$18,Assumptions!$B$18*Assumptions!$B$20*Assumptions!$B$16)</f>
        <v>-0.4849275600000001</v>
      </c>
      <c r="K6" s="23">
        <f>-IF(K3-2026&lt;Assumptions!$B$19,Assumptions!$B$18,Assumptions!$B$18*Assumptions!$B$20*Assumptions!$B$16)</f>
        <v>-0.4849275600000001</v>
      </c>
      <c r="L6" s="23">
        <f>-IF(L3-2026&lt;Assumptions!$B$19,Assumptions!$B$18,Assumptions!$B$18*Assumptions!$B$20*Assumptions!$B$16)</f>
        <v>-0.4849275600000001</v>
      </c>
      <c r="M6" s="23">
        <f>-IF(M3-2026&lt;Assumptions!$B$19,Assumptions!$B$18,Assumptions!$B$18*Assumptions!$B$20*Assumptions!$B$16)</f>
        <v>-0.4849275600000001</v>
      </c>
      <c r="N6" s="23">
        <f>-IF(N3-2026&lt;Assumptions!$B$19,Assumptions!$B$18,Assumptions!$B$18*Assumptions!$B$20*Assumptions!$B$16)</f>
        <v>-0.4849275600000001</v>
      </c>
      <c r="O6" s="23">
        <f>-IF(O3-2026&lt;Assumptions!$B$19,Assumptions!$B$18,Assumptions!$B$18*Assumptions!$B$20*Assumptions!$B$16)</f>
        <v>-0.4849275600000001</v>
      </c>
      <c r="P6" s="23">
        <f>-IF(P3-2026&lt;Assumptions!$B$19,Assumptions!$B$18,Assumptions!$B$18*Assumptions!$B$20*Assumptions!$B$16)</f>
        <v>-0.4849275600000001</v>
      </c>
      <c r="Q6" s="23">
        <f>-IF(Q3-2026&lt;Assumptions!$B$19,Assumptions!$B$18,Assumptions!$B$18*Assumptions!$B$20*Assumptions!$B$16)</f>
        <v>-0.4849275600000001</v>
      </c>
      <c r="R6" s="23">
        <f>-IF(R3-2026&lt;Assumptions!$B$19,Assumptions!$B$18,Assumptions!$B$18*Assumptions!$B$20*Assumptions!$B$16)</f>
        <v>-0.4849275600000001</v>
      </c>
      <c r="S6" s="23">
        <f>-IF(S3-2026&lt;Assumptions!$B$19,Assumptions!$B$18,Assumptions!$B$18*Assumptions!$B$20*Assumptions!$B$16)</f>
        <v>-0.4849275600000001</v>
      </c>
      <c r="T6" s="23">
        <f>-IF(T3-2026&lt;Assumptions!$B$19,Assumptions!$B$18,Assumptions!$B$18*Assumptions!$B$20*Assumptions!$B$16)</f>
        <v>-0.4849275600000001</v>
      </c>
      <c r="U6" s="23">
        <f>-IF(U3-2026&lt;Assumptions!$B$19,Assumptions!$B$18,Assumptions!$B$18*Assumptions!$B$20*Assumptions!$B$16)</f>
        <v>-0.4849275600000001</v>
      </c>
      <c r="V6" s="23">
        <f>-IF(V3-2026&lt;Assumptions!$B$19,Assumptions!$B$18,Assumptions!$B$18*Assumptions!$B$20*Assumptions!$B$16)</f>
        <v>-0.4849275600000001</v>
      </c>
    </row>
    <row r="7">
      <c r="A7" s="14" t="inlineStr">
        <is>
          <t>Pre-tax cash flow</t>
        </is>
      </c>
      <c r="C7" s="23">
        <f>C5+C6</f>
        <v>-21.438</v>
      </c>
      <c r="D7" s="23">
        <f>D5+D6</f>
        <v>-21.438</v>
      </c>
      <c r="E7" s="23">
        <f>E5+E6</f>
        <v>-21.438</v>
      </c>
      <c r="F7" s="23">
        <f>F5+F6</f>
        <v>-21.438</v>
      </c>
      <c r="G7" s="23">
        <f>G5+G6</f>
        <v>-0.4849275600000001</v>
      </c>
      <c r="H7" s="23">
        <f>H5+H6</f>
        <v>-0.4849275600000001</v>
      </c>
      <c r="I7" s="23">
        <f>I5+I6</f>
        <v>5.12483244</v>
      </c>
      <c r="J7" s="23">
        <f>J5+J6</f>
        <v>13.539472439999999</v>
      </c>
      <c r="K7" s="23">
        <f>K5+K6</f>
        <v>24.75899244</v>
      </c>
      <c r="L7" s="23">
        <f>L5+L6</f>
        <v>35.97851244</v>
      </c>
      <c r="M7" s="23">
        <f>M5+M6</f>
        <v>47.19803244</v>
      </c>
      <c r="N7" s="23">
        <f>N5+N6</f>
        <v>55.61267244</v>
      </c>
      <c r="O7" s="23">
        <f>O5+O6</f>
        <v>55.61267244</v>
      </c>
      <c r="P7" s="23">
        <f>P5+P6</f>
        <v>55.61267244</v>
      </c>
      <c r="Q7" s="23">
        <f>Q5+Q6</f>
        <v>55.61267244</v>
      </c>
      <c r="R7" s="23">
        <f>R5+R6</f>
        <v>55.61267244</v>
      </c>
      <c r="S7" s="23">
        <f>S5+S6</f>
        <v>55.61267244</v>
      </c>
      <c r="T7" s="23">
        <f>T5+T6</f>
        <v>55.61267244</v>
      </c>
      <c r="U7" s="23">
        <f>U5+U6</f>
        <v>55.61267244</v>
      </c>
      <c r="V7" s="23">
        <f>V5+V6</f>
        <v>27.56387244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5.12483244</v>
      </c>
      <c r="J8" s="23">
        <f>MIN(I17,MAX(0,J7))</f>
        <v>13.539472439999999</v>
      </c>
      <c r="K8" s="23">
        <f>MIN(J17,MAX(0,K7))</f>
        <v>24.75899244</v>
      </c>
      <c r="L8" s="23">
        <f>MIN(K17,MAX(0,L7))</f>
        <v>35.97851244</v>
      </c>
      <c r="M8" s="23">
        <f>MIN(L17,MAX(0,M7))</f>
        <v>47.19803244</v>
      </c>
      <c r="N8" s="23">
        <f>MIN(M17,MAX(0,N7))</f>
        <v>55.61267244</v>
      </c>
      <c r="O8" s="23">
        <f>MIN(N17,MAX(0,O7))</f>
        <v>55.61267244</v>
      </c>
      <c r="P8" s="23">
        <f>MIN(O17,MAX(0,P7))</f>
        <v>55.61267244</v>
      </c>
      <c r="Q8" s="23">
        <f>MIN(P17,MAX(0,Q7))</f>
        <v>55.61267244</v>
      </c>
      <c r="R8" s="23">
        <f>MIN(Q17,MAX(0,R7))</f>
        <v>34.87132316000006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20.741349279999937</v>
      </c>
      <c r="S9" s="23">
        <f>MAX(0,S7)-S8</f>
        <v>55.61267244</v>
      </c>
      <c r="T9" s="23">
        <f>MAX(0,T7)-T8</f>
        <v>55.61267244</v>
      </c>
      <c r="U9" s="23">
        <f>MAX(0,U7)-U8</f>
        <v>55.61267244</v>
      </c>
      <c r="V9" s="23">
        <f>MAX(0,V7)-V8</f>
        <v>27.56387244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4.355683348799987</v>
      </c>
      <c r="S10" s="23">
        <f>S9*Assumptions!$E$15</f>
        <v>11.6786612124</v>
      </c>
      <c r="T10" s="23">
        <f>T9*Assumptions!$E$15</f>
        <v>11.6786612124</v>
      </c>
      <c r="U10" s="23">
        <f>U9*Assumptions!$E$15</f>
        <v>11.6786612124</v>
      </c>
      <c r="V10" s="23">
        <f>V9*Assumptions!$E$15</f>
        <v>5.7884132124</v>
      </c>
    </row>
    <row r="11">
      <c r="A11" s="24" t="inlineStr">
        <is>
          <t>Free cash flow</t>
        </is>
      </c>
      <c r="C11" s="55">
        <f>C7-C10</f>
        <v>-21.438</v>
      </c>
      <c r="D11" s="55">
        <f>D7-D10</f>
        <v>-21.438</v>
      </c>
      <c r="E11" s="55">
        <f>E7-E10</f>
        <v>-21.438</v>
      </c>
      <c r="F11" s="55">
        <f>F7-F10</f>
        <v>-21.438</v>
      </c>
      <c r="G11" s="55">
        <f>G7-G10</f>
        <v>-0.4849275600000001</v>
      </c>
      <c r="H11" s="55">
        <f>H7-H10</f>
        <v>-0.4849275600000001</v>
      </c>
      <c r="I11" s="55">
        <f>I7-I10</f>
        <v>5.12483244</v>
      </c>
      <c r="J11" s="55">
        <f>J7-J10</f>
        <v>13.539472439999999</v>
      </c>
      <c r="K11" s="55">
        <f>K7-K10</f>
        <v>24.75899244</v>
      </c>
      <c r="L11" s="55">
        <f>L7-L10</f>
        <v>35.97851244</v>
      </c>
      <c r="M11" s="55">
        <f>M7-M10</f>
        <v>47.19803244</v>
      </c>
      <c r="N11" s="55">
        <f>N7-N10</f>
        <v>55.61267244</v>
      </c>
      <c r="O11" s="55">
        <f>O7-O10</f>
        <v>55.61267244</v>
      </c>
      <c r="P11" s="55">
        <f>P7-P10</f>
        <v>55.61267244</v>
      </c>
      <c r="Q11" s="55">
        <f>Q7-Q10</f>
        <v>55.61267244</v>
      </c>
      <c r="R11" s="55">
        <f>R7-R10</f>
        <v>51.25698909120001</v>
      </c>
      <c r="S11" s="55">
        <f>S7-S10</f>
        <v>43.934011227599996</v>
      </c>
      <c r="T11" s="55">
        <f>T7-T10</f>
        <v>43.934011227599996</v>
      </c>
      <c r="U11" s="55">
        <f>U7-U10</f>
        <v>43.934011227599996</v>
      </c>
      <c r="V11" s="55">
        <f>V7-V10</f>
        <v>21.775459227600003</v>
      </c>
    </row>
    <row r="12">
      <c r="A12" s="14" t="inlineStr">
        <is>
          <t>Year fraction</t>
        </is>
      </c>
      <c r="C12" s="58">
        <f>Assumptions!$B$22</f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0.5</v>
      </c>
      <c r="D13" s="11">
        <f>C13+C12/2+D12/2</f>
        <v>1.5</v>
      </c>
      <c r="E13" s="11">
        <f>D13+D12/2+E12/2</f>
        <v>2.5</v>
      </c>
      <c r="F13" s="11">
        <f>E13+E12/2+F12/2</f>
        <v>3.5</v>
      </c>
      <c r="G13" s="11">
        <f>F13+F12/2+G12/2</f>
        <v>4.5</v>
      </c>
      <c r="H13" s="11">
        <f>G13+G12/2+H12/2</f>
        <v>5.5</v>
      </c>
      <c r="I13" s="11">
        <f>H13+H12/2+I12/2</f>
        <v>6.5</v>
      </c>
      <c r="J13" s="11">
        <f>I13+I12/2+J12/2</f>
        <v>7.5</v>
      </c>
      <c r="K13" s="11">
        <f>J13+J12/2+K12/2</f>
        <v>8.5</v>
      </c>
      <c r="L13" s="11">
        <f>K13+K12/2+L12/2</f>
        <v>9.5</v>
      </c>
      <c r="M13" s="11">
        <f>L13+L12/2+M12/2</f>
        <v>10.5</v>
      </c>
      <c r="N13" s="11">
        <f>M13+M12/2+N12/2</f>
        <v>11.5</v>
      </c>
      <c r="O13" s="11">
        <f>N13+N12/2+O12/2</f>
        <v>12.5</v>
      </c>
      <c r="P13" s="11">
        <f>O13+O12/2+P12/2</f>
        <v>13.5</v>
      </c>
      <c r="Q13" s="11">
        <f>P13+P12/2+Q12/2</f>
        <v>14.5</v>
      </c>
      <c r="R13" s="11">
        <f>Q13+Q12/2+R12/2</f>
        <v>15.5</v>
      </c>
      <c r="S13" s="11">
        <f>R13+R12/2+S12/2</f>
        <v>16.5</v>
      </c>
      <c r="T13" s="11">
        <f>S13+S12/2+T12/2</f>
        <v>17.5</v>
      </c>
      <c r="U13" s="11">
        <f>T13+T12/2+U12/2</f>
        <v>18.5</v>
      </c>
      <c r="V13" s="11">
        <f>U13+U12/2+V12/2</f>
        <v>19.5</v>
      </c>
    </row>
    <row r="14">
      <c r="A14" s="14" t="inlineStr">
        <is>
          <t>Discount factor</t>
        </is>
      </c>
      <c r="C14" s="59">
        <f>1/(1+Assumptions!$E$10)^C13</f>
        <v>0.9449111825230679</v>
      </c>
      <c r="D14" s="59">
        <f>1/(1+Assumptions!$E$10)^D13</f>
        <v>0.8436706986813106</v>
      </c>
      <c r="E14" s="59">
        <f>1/(1+Assumptions!$E$10)^E13</f>
        <v>0.7532774095368845</v>
      </c>
      <c r="F14" s="59">
        <f>1/(1+Assumptions!$E$10)^F13</f>
        <v>0.6725691156579324</v>
      </c>
      <c r="G14" s="59">
        <f>1/(1+Assumptions!$E$10)^G13</f>
        <v>0.6005081389802968</v>
      </c>
      <c r="H14" s="59">
        <f>1/(1+Assumptions!$E$10)^H13</f>
        <v>0.5361679812324078</v>
      </c>
      <c r="I14" s="59">
        <f>1/(1+Assumptions!$E$10)^I13</f>
        <v>0.4787214118146497</v>
      </c>
      <c r="J14" s="59">
        <f>1/(1+Assumptions!$E$10)^J13</f>
        <v>0.42742983197736584</v>
      </c>
      <c r="K14" s="59">
        <f>1/(1+Assumptions!$E$10)^K13</f>
        <v>0.38163377855121944</v>
      </c>
      <c r="L14" s="59">
        <f>1/(1+Assumptions!$E$10)^L13</f>
        <v>0.34074444513501734</v>
      </c>
      <c r="M14" s="59">
        <f>1/(1+Assumptions!$E$10)^M13</f>
        <v>0.304236111727694</v>
      </c>
      <c r="N14" s="59">
        <f>1/(1+Assumptions!$E$10)^N13</f>
        <v>0.27163938547115535</v>
      </c>
      <c r="O14" s="59">
        <f>1/(1+Assumptions!$E$10)^O13</f>
        <v>0.24253516559924582</v>
      </c>
      <c r="P14" s="59">
        <f>1/(1+Assumptions!$E$10)^P13</f>
        <v>0.21654925499932662</v>
      </c>
      <c r="Q14" s="59">
        <f>1/(1+Assumptions!$E$10)^Q13</f>
        <v>0.1933475491065416</v>
      </c>
      <c r="R14" s="59">
        <f>1/(1+Assumptions!$E$10)^R13</f>
        <v>0.17263174027369785</v>
      </c>
      <c r="S14" s="59">
        <f>1/(1+Assumptions!$E$10)^S13</f>
        <v>0.15413548238723018</v>
      </c>
      <c r="T14" s="59">
        <f>1/(1+Assumptions!$E$10)^T13</f>
        <v>0.1376209664171698</v>
      </c>
      <c r="U14" s="59">
        <f>1/(1+Assumptions!$E$10)^U13</f>
        <v>0.12287586287247303</v>
      </c>
      <c r="V14" s="59">
        <f>1/(1+Assumptions!$E$10)^V13</f>
        <v>0.10971059185042233</v>
      </c>
    </row>
    <row r="15">
      <c r="A15" s="14" t="inlineStr">
        <is>
          <t>PV factor</t>
        </is>
      </c>
      <c r="C15" s="59">
        <f>C12*C14</f>
        <v>0.9449111825230679</v>
      </c>
      <c r="D15" s="59">
        <f>D12*D14</f>
        <v>0.8436706986813106</v>
      </c>
      <c r="E15" s="59">
        <f>E12*E14</f>
        <v>0.7532774095368845</v>
      </c>
      <c r="F15" s="59">
        <f>F12*F14</f>
        <v>0.6725691156579324</v>
      </c>
      <c r="G15" s="59">
        <f>G12*G14</f>
        <v>0.6005081389802968</v>
      </c>
      <c r="H15" s="59">
        <f>H12*H14</f>
        <v>0.5361679812324078</v>
      </c>
      <c r="I15" s="59">
        <f>I12*I14</f>
        <v>0.4787214118146497</v>
      </c>
      <c r="J15" s="59">
        <f>J12*J14</f>
        <v>0.42742983197736584</v>
      </c>
      <c r="K15" s="59">
        <f>K12*K14</f>
        <v>0.38163377855121944</v>
      </c>
      <c r="L15" s="59">
        <f>L12*L14</f>
        <v>0.34074444513501734</v>
      </c>
      <c r="M15" s="59">
        <f>M12*M14</f>
        <v>0.304236111727694</v>
      </c>
      <c r="N15" s="59">
        <f>N12*N14</f>
        <v>0.27163938547115535</v>
      </c>
      <c r="O15" s="59">
        <f>O12*O14</f>
        <v>0.24253516559924582</v>
      </c>
      <c r="P15" s="59">
        <f>P12*P14</f>
        <v>0.21654925499932662</v>
      </c>
      <c r="Q15" s="59">
        <f>Q12*Q14</f>
        <v>0.1933475491065416</v>
      </c>
      <c r="R15" s="59">
        <f>R12*R14</f>
        <v>0.17263174027369785</v>
      </c>
      <c r="S15" s="59">
        <f>S12*S14</f>
        <v>0.15413548238723018</v>
      </c>
      <c r="T15" s="59">
        <f>T12*T14</f>
        <v>0.1376209664171698</v>
      </c>
      <c r="U15" s="59">
        <f>U12*U14</f>
        <v>0.12287586287247303</v>
      </c>
      <c r="V15" s="59">
        <f>V12*V14</f>
        <v>0.10971059185042233</v>
      </c>
    </row>
    <row r="16">
      <c r="A16" s="24" t="inlineStr">
        <is>
          <t>PV of free cash flow</t>
        </is>
      </c>
      <c r="C16" s="55">
        <f>C11*C15</f>
        <v>-20.25700593092953</v>
      </c>
      <c r="D16" s="55">
        <f>D11*D15</f>
        <v>-18.086612438329936</v>
      </c>
      <c r="E16" s="55">
        <f>E11*E15</f>
        <v>-16.14876110565173</v>
      </c>
      <c r="F16" s="55">
        <f>F11*F15</f>
        <v>-14.418536701474755</v>
      </c>
      <c r="G16" s="55">
        <f>G11*G15</f>
        <v>-0.29120294659585627</v>
      </c>
      <c r="H16" s="55">
        <f>H11*H15</f>
        <v>-0.26000263088915737</v>
      </c>
      <c r="I16" s="55">
        <f>I11*I15</f>
        <v>2.453367020990316</v>
      </c>
      <c r="J16" s="55">
        <f>J11*J15</f>
        <v>5.787174430091375</v>
      </c>
      <c r="K16" s="55">
        <f>K11*K15</f>
        <v>9.448867837998277</v>
      </c>
      <c r="L16" s="55">
        <f>L11*L15</f>
        <v>12.25947825815112</v>
      </c>
      <c r="M16" s="55">
        <f>M11*M15</f>
        <v>14.359345870743166</v>
      </c>
      <c r="N16" s="55">
        <f>N11*N15</f>
        <v>15.106592166010257</v>
      </c>
      <c r="O16" s="55">
        <f>O11*O15</f>
        <v>13.488028719652013</v>
      </c>
      <c r="P16" s="55">
        <f>P11*P15</f>
        <v>12.042882785403583</v>
      </c>
      <c r="Q16" s="55">
        <f>Q11*Q15</f>
        <v>10.752573915538912</v>
      </c>
      <c r="R16" s="55">
        <f>R11*R15</f>
        <v>8.848583228003804</v>
      </c>
      <c r="S16" s="55">
        <f>S11*S15</f>
        <v>6.7717900137721125</v>
      </c>
      <c r="T16" s="55">
        <f>T11*T15</f>
        <v>6.0462410837251</v>
      </c>
      <c r="U16" s="55">
        <f>U11*U15</f>
        <v>5.398429539040268</v>
      </c>
      <c r="V16" s="55">
        <f>V11*V15</f>
        <v>2.3889985196747365</v>
      </c>
    </row>
    <row r="17">
      <c r="A17" s="14" t="inlineStr">
        <is>
          <t>Tax-loss carryforward, end of year</t>
        </is>
      </c>
      <c r="C17" s="23">
        <f>Assumptions!$B$21-C8+MAX(0,-C7)</f>
        <v>318.638</v>
      </c>
      <c r="D17" s="23">
        <f>C17-D8+MAX(0,-D7)</f>
        <v>340.07599999999996</v>
      </c>
      <c r="E17" s="23">
        <f>D17-E8+MAX(0,-E7)</f>
        <v>361.51399999999995</v>
      </c>
      <c r="F17" s="23">
        <f>E17-F8+MAX(0,-F7)</f>
        <v>382.95199999999994</v>
      </c>
      <c r="G17" s="23">
        <f>F17-G8+MAX(0,-G7)</f>
        <v>383.43692755999996</v>
      </c>
      <c r="H17" s="23">
        <f>G17-H8+MAX(0,-H7)</f>
        <v>383.92185512</v>
      </c>
      <c r="I17" s="23">
        <f>H17-I8+MAX(0,-I7)</f>
        <v>378.79702268</v>
      </c>
      <c r="J17" s="23">
        <f>I17-J8+MAX(0,-J7)</f>
        <v>365.25755024</v>
      </c>
      <c r="K17" s="23">
        <f>J17-K8+MAX(0,-K7)</f>
        <v>340.4985578</v>
      </c>
      <c r="L17" s="23">
        <f>K17-L8+MAX(0,-L7)</f>
        <v>304.52004536000004</v>
      </c>
      <c r="M17" s="23">
        <f>L17-M8+MAX(0,-M7)</f>
        <v>257.32201292</v>
      </c>
      <c r="N17" s="23">
        <f>M17-N8+MAX(0,-N7)</f>
        <v>201.70934048000004</v>
      </c>
      <c r="O17" s="23">
        <f>N17-O8+MAX(0,-O7)</f>
        <v>146.09666804000005</v>
      </c>
      <c r="P17" s="23">
        <f>O17-P8+MAX(0,-P7)</f>
        <v>90.48399560000006</v>
      </c>
      <c r="Q17" s="23">
        <f>P17-Q8+MAX(0,-Q7)</f>
        <v>34.87132316000006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133.10502429788332</v>
      </c>
    </row>
    <row r="20">
      <c r="A20" s="14" t="inlineStr">
        <is>
          <t>PV of corporate burn</t>
        </is>
      </c>
      <c r="B20" s="23">
        <f>SUMPRODUCT(C6:V6,C15:V15)</f>
        <v>-71.1854629311791</v>
      </c>
    </row>
    <row r="21">
      <c r="A21" s="14" t="inlineStr">
        <is>
          <t>PV of taxes</t>
        </is>
      </c>
      <c r="B21" s="23">
        <f>-SUMPRODUCT(C10:V10,C15:V15)</f>
        <v>-6.2293297317801635</v>
      </c>
    </row>
    <row r="22">
      <c r="A22" s="24" t="inlineStr">
        <is>
          <t>Pipeline rNPV (operations)</t>
        </is>
      </c>
      <c r="B22" s="54">
        <f>SUM(C16:V16)</f>
        <v>55.69023163492407</v>
      </c>
    </row>
    <row r="23">
      <c r="A23" s="14" t="inlineStr">
        <is>
          <t>Cash &amp; investments</t>
        </is>
      </c>
      <c r="B23" s="57">
        <f>Main!C7</f>
        <v>74.523782</v>
      </c>
    </row>
    <row r="24">
      <c r="A24" s="14" t="inlineStr">
        <is>
          <t>Debt</t>
        </is>
      </c>
      <c r="B24" s="57">
        <f>Main!C8</f>
        <v>6.117687</v>
      </c>
    </row>
    <row r="25">
      <c r="A25" s="24" t="inlineStr">
        <is>
          <t>Equity value</t>
        </is>
      </c>
      <c r="B25" s="54">
        <f>B22+B23-B24</f>
        <v>124.09632663492407</v>
      </c>
    </row>
    <row r="26">
      <c r="A26" s="14" t="inlineStr">
        <is>
          <t>Shares (mm)</t>
        </is>
      </c>
      <c r="B26" s="57">
        <f>Main!C4</f>
        <v>47.3855944</v>
      </c>
    </row>
    <row r="27">
      <c r="A27" s="24" t="inlineStr">
        <is>
          <t>rNPV / share</t>
        </is>
      </c>
      <c r="B27" s="60">
        <f>B25/B26</f>
        <v>2.6188618757713433</v>
      </c>
    </row>
    <row r="28">
      <c r="A28" s="14" t="inlineStr">
        <is>
          <t>Price</t>
        </is>
      </c>
      <c r="B28" s="61">
        <f>Main!C3</f>
        <v>2.5</v>
      </c>
    </row>
    <row r="29">
      <c r="A29" s="14" t="inlineStr">
        <is>
          <t>Upside</t>
        </is>
      </c>
      <c r="B29" s="62">
        <f>B27/B28-1</f>
        <v>0.04754475030853733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2026-10-21T06:28:14Z</dcterms:modified>
  <cp:lastModifiedBy>Wang, Eric</cp:lastModifiedBy>
</cp:coreProperties>
</file>