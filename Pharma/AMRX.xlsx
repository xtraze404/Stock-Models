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Amneal Pharmaceuticals, Inc</t>
        </is>
      </c>
      <c r="C2" s="10" t="n"/>
    </row>
    <row r="3">
      <c r="B3" t="inlineStr">
        <is>
          <t>Price</t>
        </is>
      </c>
      <c r="C3" s="11">
        <f>INDEX([1]Pharma!$F$1:$F$1000,MATCH("AMRX",[1]Pharma!$B$1:$B$1000,0))</f>
        <v>19.84</v>
      </c>
      <c r="F3" s="1" t="n"/>
    </row>
    <row r="4">
      <c r="B4" t="inlineStr">
        <is>
          <t>Shares</t>
        </is>
      </c>
      <c r="C4" s="51" t="n">
        <v>319.353919</v>
      </c>
      <c r="F4" s="1" t="n"/>
    </row>
    <row r="5">
      <c r="B5" t="inlineStr">
        <is>
          <t>Market Cap.</t>
        </is>
      </c>
      <c r="C5" s="13">
        <f>C3*C4</f>
        <v>6335.98175296</v>
      </c>
      <c r="F5" s="1" t="n"/>
    </row>
    <row r="6"/>
    <row r="7">
      <c r="B7" t="inlineStr">
        <is>
          <t>Cash</t>
        </is>
      </c>
      <c r="C7" s="51" t="n">
        <v>127.637</v>
      </c>
    </row>
    <row r="8">
      <c r="B8" t="inlineStr">
        <is>
          <t>Debt</t>
        </is>
      </c>
      <c r="C8" s="51">
        <f>5.961+100+2564.335</f>
        <v>2670.296</v>
      </c>
    </row>
    <row r="9">
      <c r="B9" t="inlineStr">
        <is>
          <t>Enterprise V.</t>
        </is>
      </c>
      <c r="C9" s="13">
        <f>C5-C7+C8</f>
        <v>8878.64075296</v>
      </c>
    </row>
    <row r="10"/>
    <row r="11">
      <c r="B11" s="14" t="inlineStr">
        <is>
          <t>NPV / Share</t>
        </is>
      </c>
      <c r="C11" s="11">
        <f>NPV!B28</f>
        <v>17.53203349331973</v>
      </c>
    </row>
    <row r="12">
      <c r="B12" s="14" t="inlineStr">
        <is>
          <t>Upside</t>
        </is>
      </c>
      <c r="C12" s="15">
        <f>IFERROR(C11/C3-1,"")</f>
        <v>-0.11632895698993295</v>
      </c>
    </row>
    <row r="13">
      <c r="B13" s="14" t="inlineStr">
        <is>
          <t>Cash / Share</t>
        </is>
      </c>
      <c r="C13" s="11">
        <f>IFERROR((C7-C8)/C4,"")</f>
        <v>-7.961884444574483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2016</v>
      </c>
      <c r="C1" s="16" t="n">
        <v>2017</v>
      </c>
      <c r="D1" s="16" t="n">
        <v>2018</v>
      </c>
      <c r="E1" s="16" t="n">
        <v>2019</v>
      </c>
      <c r="F1" s="16" t="n">
        <v>2020</v>
      </c>
      <c r="G1" s="16" t="n">
        <v>2021</v>
      </c>
      <c r="H1" s="16" t="n">
        <v>2022</v>
      </c>
      <c r="I1" s="16" t="n">
        <v>2023</v>
      </c>
      <c r="J1" s="16" t="n">
        <v>2024</v>
      </c>
      <c r="K1" s="16" t="n">
        <v>2025</v>
      </c>
      <c r="L1" s="16" t="n">
        <v>2026</v>
      </c>
      <c r="M1" s="16" t="n">
        <v>2027</v>
      </c>
      <c r="N1" s="16" t="n">
        <v>2028</v>
      </c>
      <c r="O1" s="16" t="n">
        <v>2029</v>
      </c>
      <c r="P1" s="16" t="n">
        <v>2030</v>
      </c>
      <c r="Q1" s="16" t="n">
        <v>2031</v>
      </c>
      <c r="R1" s="16" t="n">
        <v>2032</v>
      </c>
      <c r="S1" s="16" t="n">
        <v>2033</v>
      </c>
      <c r="T1" s="16" t="n">
        <v>2034</v>
      </c>
      <c r="U1" s="16" t="n">
        <v>2035</v>
      </c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1018.225</v>
      </c>
      <c r="C2" s="52" t="n">
        <v>1033.654</v>
      </c>
      <c r="D2" s="52" t="n">
        <v>1662.991</v>
      </c>
      <c r="E2" s="52" t="n">
        <v>1626.373</v>
      </c>
      <c r="F2" s="52" t="n">
        <v>1992.523</v>
      </c>
      <c r="G2" s="52" t="n">
        <v>2093.669</v>
      </c>
      <c r="H2" s="52" t="n">
        <v>2212.304</v>
      </c>
      <c r="I2" s="52" t="n">
        <v>2393.607</v>
      </c>
      <c r="J2" s="52" t="n">
        <v>2793.957</v>
      </c>
      <c r="K2" s="52" t="n">
        <v>3018.76</v>
      </c>
      <c r="L2" s="52">
        <f>K2*(1+NPV!C5)</f>
        <v>3228.865696</v>
      </c>
      <c r="M2" s="52">
        <f>L2*(1+NPV!D5)</f>
        <v>3437.5939251036443</v>
      </c>
      <c r="N2" s="52">
        <f>M2*(1+NPV!E5)</f>
        <v>3642.7800869442754</v>
      </c>
      <c r="O2" s="52">
        <f>N2*(1+NPV!F5)</f>
        <v>3842.1615837030254</v>
      </c>
      <c r="P2" s="52">
        <f>O2*(1+NPV!G5)</f>
        <v>4033.415849202909</v>
      </c>
      <c r="Q2" s="52">
        <f>P2*(1+NPV!H5)</f>
        <v>4214.2025107105155</v>
      </c>
      <c r="R2" s="52">
        <f>Q2*(1+NPV!I5)</f>
        <v>4382.208717470841</v>
      </c>
      <c r="S2" s="52">
        <f>R2*(1+NPV!J5)</f>
        <v>4535.196492918545</v>
      </c>
      <c r="T2" s="52">
        <f>S2*(1+NPV!K5)</f>
        <v>4671.050823417527</v>
      </c>
      <c r="U2" s="52">
        <f>T2*(1+NPV!L5)</f>
        <v>4787.827094002964</v>
      </c>
    </row>
    <row r="3" customFormat="1" s="1">
      <c r="A3" s="5" t="inlineStr">
        <is>
          <t>Cost of Sales</t>
        </is>
      </c>
      <c r="B3" s="52" t="n">
        <v>420.77</v>
      </c>
      <c r="C3" s="52" t="n">
        <v>507.476</v>
      </c>
      <c r="D3" s="52" t="n">
        <v>938.773</v>
      </c>
      <c r="E3" s="52" t="n">
        <v>1147.214</v>
      </c>
      <c r="F3" s="52" t="n">
        <v>1329.551</v>
      </c>
      <c r="G3" s="52" t="n">
        <v>1324.696</v>
      </c>
      <c r="H3" s="52" t="n">
        <v>1427.596</v>
      </c>
      <c r="I3" s="52" t="n">
        <v>1573.042</v>
      </c>
      <c r="J3" s="52" t="n">
        <v>1773.519</v>
      </c>
      <c r="K3" s="52" t="n">
        <v>1905.452</v>
      </c>
      <c r="L3" s="52">
        <f>L2*(1-Assumptions!$B$19)</f>
        <v>2038.0600273152</v>
      </c>
      <c r="M3" s="52">
        <f>M2*(1-Assumptions!$B$19)</f>
        <v>2169.8092855254204</v>
      </c>
      <c r="N3" s="52">
        <f>N2*(1-Assumptions!$B$19)</f>
        <v>2299.3227908792264</v>
      </c>
      <c r="O3" s="52">
        <f>O2*(1-Assumptions!$B$19)</f>
        <v>2425.1723916333494</v>
      </c>
      <c r="P3" s="52">
        <f>P2*(1-Assumptions!$B$19)</f>
        <v>2545.892084016876</v>
      </c>
      <c r="Q3" s="52">
        <f>Q2*(1-Assumptions!$B$19)</f>
        <v>2660.0046247604773</v>
      </c>
      <c r="R3" s="52">
        <f>R2*(1-Assumptions!$B$19)</f>
        <v>2766.050142467595</v>
      </c>
      <c r="S3" s="52">
        <f>S2*(1-Assumptions!$B$19)</f>
        <v>2862.6160263301854</v>
      </c>
      <c r="T3" s="52">
        <f>T2*(1-Assumptions!$B$19)</f>
        <v>2948.3672797411427</v>
      </c>
      <c r="U3" s="52">
        <f>U2*(1-Assumptions!$B$19)</f>
        <v>3022.076461734671</v>
      </c>
    </row>
    <row r="4" customFormat="1" s="1">
      <c r="A4" s="5" t="inlineStr">
        <is>
          <t>Gross Margin</t>
        </is>
      </c>
      <c r="B4" s="52">
        <f>B2-B3</f>
        <v>597.455</v>
      </c>
      <c r="C4" s="52">
        <f>C2-C3</f>
        <v>526.178</v>
      </c>
      <c r="D4" s="52">
        <f>D2-D3</f>
        <v>724.218</v>
      </c>
      <c r="E4" s="52">
        <f>E2-E3</f>
        <v>479.1590000000001</v>
      </c>
      <c r="F4" s="52">
        <f>F2-F3</f>
        <v>662.972</v>
      </c>
      <c r="G4" s="52">
        <f>G2-G3</f>
        <v>768.973</v>
      </c>
      <c r="H4" s="52">
        <f>H2-H3</f>
        <v>784.7080000000001</v>
      </c>
      <c r="I4" s="52">
        <f>I2-I3</f>
        <v>820.565</v>
      </c>
      <c r="J4" s="52">
        <f>J2-J3</f>
        <v>1020.4379999999999</v>
      </c>
      <c r="K4" s="52">
        <f>K2-K3</f>
        <v>1113.3080000000002</v>
      </c>
      <c r="L4" s="52">
        <f>L2-L3</f>
        <v>1190.8056686848</v>
      </c>
      <c r="M4" s="52">
        <f>M2-M3</f>
        <v>1267.784639578224</v>
      </c>
      <c r="N4" s="52">
        <f>N2-N3</f>
        <v>1343.457296065049</v>
      </c>
      <c r="O4" s="52">
        <f>O2-O3</f>
        <v>1416.989192069676</v>
      </c>
      <c r="P4" s="52">
        <f>P2-P3</f>
        <v>1487.523765186033</v>
      </c>
      <c r="Q4" s="52">
        <f>Q2-Q3</f>
        <v>1554.1978859500382</v>
      </c>
      <c r="R4" s="52">
        <f>R2-R3</f>
        <v>1616.1585750032464</v>
      </c>
      <c r="S4" s="52">
        <f>S2-S3</f>
        <v>1672.5804665883597</v>
      </c>
      <c r="T4" s="52">
        <f>T2-T3</f>
        <v>1722.683543676384</v>
      </c>
      <c r="U4" s="52">
        <f>U2-U3</f>
        <v>1765.7506322682934</v>
      </c>
    </row>
    <row r="5">
      <c r="A5" s="2" t="inlineStr">
        <is>
          <t>Research &amp; Dev.</t>
        </is>
      </c>
      <c r="B5" s="52" t="n">
        <v>179.019</v>
      </c>
      <c r="C5" s="52" t="n">
        <v>171.42</v>
      </c>
      <c r="D5" s="52" t="n">
        <v>194.19</v>
      </c>
      <c r="E5" s="52" t="n">
        <v>188.049</v>
      </c>
      <c r="F5" s="52" t="n">
        <v>179.93</v>
      </c>
      <c r="G5" s="52" t="n">
        <v>201.847</v>
      </c>
      <c r="H5" s="52" t="n">
        <v>195.688</v>
      </c>
      <c r="I5" s="52" t="n">
        <v>163.95</v>
      </c>
      <c r="J5" s="52" t="n">
        <v>190.714</v>
      </c>
      <c r="K5" s="52" t="n">
        <v>186.175</v>
      </c>
      <c r="L5" s="52">
        <f>L7*Assumptions!$B$20</f>
        <v>182.03719685649256</v>
      </c>
      <c r="M5" s="52">
        <f>M7*Assumptions!$B$20</f>
        <v>188.96332802988567</v>
      </c>
      <c r="N5" s="52">
        <f>N7*Assumptions!$B$20</f>
        <v>195.11178936180255</v>
      </c>
      <c r="O5" s="52">
        <f>O7*Assumptions!$B$20</f>
        <v>200.37954611713255</v>
      </c>
      <c r="P5" s="52">
        <f>P7*Assumptions!$B$20</f>
        <v>204.67326721829212</v>
      </c>
      <c r="Q5" s="52">
        <f>Q7*Assumptions!$B$20</f>
        <v>207.91182764117383</v>
      </c>
      <c r="R5" s="52">
        <f>R7*Assumptions!$B$20</f>
        <v>210.02860629677656</v>
      </c>
      <c r="S5" s="52">
        <f>S7*Assumptions!$B$20</f>
        <v>210.9734950039448</v>
      </c>
      <c r="T5" s="52">
        <f>T7*Assumptions!$B$20</f>
        <v>210.71454053777072</v>
      </c>
      <c r="U5" s="52">
        <f>U7*Assumptions!$B$20</f>
        <v>209.2391517667877</v>
      </c>
    </row>
    <row r="6">
      <c r="A6" s="18" t="inlineStr">
        <is>
          <t>SG&amp;A &amp; Other</t>
        </is>
      </c>
      <c r="B6" s="52" t="n">
        <v>133.555</v>
      </c>
      <c r="C6" s="52" t="n">
        <v>109.655</v>
      </c>
      <c r="D6" s="52" t="n">
        <v>549.701</v>
      </c>
      <c r="E6" s="52" t="n">
        <v>539.792</v>
      </c>
      <c r="F6" s="52" t="n">
        <v>391.887</v>
      </c>
      <c r="G6" s="52" t="n">
        <v>414.41</v>
      </c>
      <c r="H6" s="52" t="n">
        <v>683.948</v>
      </c>
      <c r="I6" s="52" t="n">
        <v>452.241</v>
      </c>
      <c r="J6" s="52" t="n">
        <v>580.398</v>
      </c>
      <c r="K6" s="52" t="n">
        <v>533.037</v>
      </c>
      <c r="L6" s="52">
        <f>L7-L5</f>
        <v>521.0805971044674</v>
      </c>
      <c r="M6" s="52">
        <f>M7-M5</f>
        <v>540.90661414812</v>
      </c>
      <c r="N6" s="52">
        <f>N7-N5</f>
        <v>558.5065550252293</v>
      </c>
      <c r="O6" s="52">
        <f>O7-O5</f>
        <v>573.585483304005</v>
      </c>
      <c r="P6" s="52">
        <f>P7-P5</f>
        <v>585.8762392254781</v>
      </c>
      <c r="Q6" s="52">
        <f>Q7-Q5</f>
        <v>595.146602799822</v>
      </c>
      <c r="R6" s="52">
        <f>R7-R5</f>
        <v>601.2058714814257</v>
      </c>
      <c r="S6" s="52">
        <f>S7-S5</f>
        <v>603.9106108436597</v>
      </c>
      <c r="T6" s="52">
        <f>T7-T5</f>
        <v>603.1693549344992</v>
      </c>
      <c r="U6" s="52">
        <f>U7-U5</f>
        <v>598.9460617009129</v>
      </c>
    </row>
    <row r="7">
      <c r="A7" s="2" t="inlineStr">
        <is>
          <t>Operating Expense</t>
        </is>
      </c>
      <c r="B7" s="52">
        <f>SUM(B5:B6)</f>
        <v>312.574</v>
      </c>
      <c r="C7" s="52">
        <f>SUM(C5:C6)</f>
        <v>281.075</v>
      </c>
      <c r="D7" s="52">
        <f>SUM(D5:D6)</f>
        <v>743.8910000000001</v>
      </c>
      <c r="E7" s="52">
        <f>SUM(E5:E6)</f>
        <v>727.841</v>
      </c>
      <c r="F7" s="52">
        <f>SUM(F5:F6)</f>
        <v>571.817</v>
      </c>
      <c r="G7" s="52">
        <f>SUM(G5:G6)</f>
        <v>616.2570000000001</v>
      </c>
      <c r="H7" s="52">
        <f>SUM(H5:H6)</f>
        <v>879.636</v>
      </c>
      <c r="I7" s="52">
        <f>SUM(I5:I6)</f>
        <v>616.191</v>
      </c>
      <c r="J7" s="52">
        <f>SUM(J5:J6)</f>
        <v>771.1120000000001</v>
      </c>
      <c r="K7" s="52">
        <f>SUM(K5:K6)</f>
        <v>719.212</v>
      </c>
      <c r="L7" s="52">
        <f>L4-L2*NPV!C6</f>
        <v>703.11779396096</v>
      </c>
      <c r="M7" s="52">
        <f>M4-M2*NPV!D6</f>
        <v>729.8699421780057</v>
      </c>
      <c r="N7" s="52">
        <f>N4-N2*NPV!E6</f>
        <v>753.6183443870318</v>
      </c>
      <c r="O7" s="52">
        <f>O4-O2*NPV!F6</f>
        <v>773.9650294211376</v>
      </c>
      <c r="P7" s="52">
        <f>P4-P2*NPV!G6</f>
        <v>790.5495064437703</v>
      </c>
      <c r="Q7" s="52">
        <f>Q4-Q2*NPV!H6</f>
        <v>803.0584304409958</v>
      </c>
      <c r="R7" s="52">
        <f>R4-R2*NPV!I6</f>
        <v>811.2344777782022</v>
      </c>
      <c r="S7" s="52">
        <f>S4-S2*NPV!J6</f>
        <v>814.8841058476045</v>
      </c>
      <c r="T7" s="52">
        <f>T4-T2*NPV!K6</f>
        <v>813.88389547227</v>
      </c>
      <c r="U7" s="52">
        <f>U4-U2*NPV!L6</f>
        <v>808.1852134677006</v>
      </c>
    </row>
    <row r="8">
      <c r="A8" s="2" t="inlineStr">
        <is>
          <t>Operating Income</t>
        </is>
      </c>
      <c r="B8" s="52">
        <f>B4-B7</f>
        <v>284.88100000000003</v>
      </c>
      <c r="C8" s="52">
        <f>C4-C7</f>
        <v>245.103</v>
      </c>
      <c r="D8" s="52">
        <f>D4-D7</f>
        <v>-19.673000000000116</v>
      </c>
      <c r="E8" s="52">
        <f>E4-E7</f>
        <v>-248.6819999999999</v>
      </c>
      <c r="F8" s="52">
        <f>F4-F7</f>
        <v>91.15499999999997</v>
      </c>
      <c r="G8" s="52">
        <f>G4-G7</f>
        <v>152.7159999999999</v>
      </c>
      <c r="H8" s="52">
        <f>H4-H7</f>
        <v>-94.92799999999988</v>
      </c>
      <c r="I8" s="52">
        <f>I4-I7</f>
        <v>204.37400000000002</v>
      </c>
      <c r="J8" s="52">
        <f>J4-J7</f>
        <v>249.3259999999998</v>
      </c>
      <c r="K8" s="52">
        <f>K4-K7</f>
        <v>394.09600000000023</v>
      </c>
      <c r="L8" s="52">
        <f>L4-L7</f>
        <v>487.68787472383997</v>
      </c>
      <c r="M8" s="52">
        <f>M4-M7</f>
        <v>537.9146974002183</v>
      </c>
      <c r="N8" s="52">
        <f>N4-N7</f>
        <v>589.8389516780171</v>
      </c>
      <c r="O8" s="52">
        <f>O4-O7</f>
        <v>643.0241626485383</v>
      </c>
      <c r="P8" s="52">
        <f>P4-P7</f>
        <v>696.9742587422627</v>
      </c>
      <c r="Q8" s="52">
        <f>Q4-Q7</f>
        <v>751.1394555090424</v>
      </c>
      <c r="R8" s="52">
        <f>R4-R7</f>
        <v>804.9240972250442</v>
      </c>
      <c r="S8" s="52">
        <f>S4-S7</f>
        <v>857.6963607407553</v>
      </c>
      <c r="T8" s="52">
        <f>T4-T7</f>
        <v>908.7996482041141</v>
      </c>
      <c r="U8" s="52">
        <f>U4-U7</f>
        <v>957.5654188005929</v>
      </c>
    </row>
    <row r="9">
      <c r="A9" s="18" t="inlineStr">
        <is>
          <t>Interest &amp; Other</t>
        </is>
      </c>
      <c r="B9" s="52" t="n">
        <v>-279.486</v>
      </c>
      <c r="C9" s="52" t="n">
        <v>-243.105</v>
      </c>
      <c r="D9" s="52" t="n">
        <v>-1.49</v>
      </c>
      <c r="E9" s="52" t="n">
        <v>28.44</v>
      </c>
      <c r="F9" s="52" t="n">
        <v>-127.722</v>
      </c>
      <c r="G9" s="52" t="n">
        <v>-128.357</v>
      </c>
      <c r="H9" s="52" t="n">
        <v>-168.994</v>
      </c>
      <c r="I9" s="52" t="n">
        <v>-279.915</v>
      </c>
      <c r="J9" s="52" t="n">
        <v>-347.349</v>
      </c>
      <c r="K9" s="52" t="n">
        <v>-310.763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</row>
    <row r="10">
      <c r="A10" s="2" t="inlineStr">
        <is>
          <t>Pretax</t>
        </is>
      </c>
      <c r="B10" s="52">
        <f>B8+B9</f>
        <v>5.395000000000039</v>
      </c>
      <c r="C10" s="52">
        <f>C8+C9</f>
        <v>1.9980000000000189</v>
      </c>
      <c r="D10" s="52">
        <f>D8+D9</f>
        <v>-21.163000000000114</v>
      </c>
      <c r="E10" s="52">
        <f>E8+E9</f>
        <v>-220.2419999999999</v>
      </c>
      <c r="F10" s="52">
        <f>F8+F9</f>
        <v>-36.56700000000002</v>
      </c>
      <c r="G10" s="52">
        <f>G8+G9</f>
        <v>24.358999999999895</v>
      </c>
      <c r="H10" s="52">
        <f>H8+H9</f>
        <v>-263.9219999999999</v>
      </c>
      <c r="I10" s="52">
        <f>I8+I9</f>
        <v>-75.541</v>
      </c>
      <c r="J10" s="52">
        <f>J8+J9</f>
        <v>-98.0230000000002</v>
      </c>
      <c r="K10" s="52">
        <f>K8+K9</f>
        <v>83.33300000000025</v>
      </c>
      <c r="L10" s="52">
        <f>L8+L9</f>
        <v>487.68787472383997</v>
      </c>
      <c r="M10" s="52">
        <f>M8+M9</f>
        <v>537.9146974002183</v>
      </c>
      <c r="N10" s="52">
        <f>N8+N9</f>
        <v>589.8389516780171</v>
      </c>
      <c r="O10" s="52">
        <f>O8+O9</f>
        <v>643.0241626485383</v>
      </c>
      <c r="P10" s="52">
        <f>P8+P9</f>
        <v>696.9742587422627</v>
      </c>
      <c r="Q10" s="52">
        <f>Q8+Q9</f>
        <v>751.1394555090424</v>
      </c>
      <c r="R10" s="52">
        <f>R8+R9</f>
        <v>804.9240972250442</v>
      </c>
      <c r="S10" s="52">
        <f>S8+S9</f>
        <v>857.6963607407553</v>
      </c>
      <c r="T10" s="52">
        <f>T8+T9</f>
        <v>908.7996482041141</v>
      </c>
      <c r="U10" s="52">
        <f>U8+U9</f>
        <v>957.5654188005929</v>
      </c>
    </row>
    <row r="11">
      <c r="A11" s="2" t="inlineStr">
        <is>
          <t>Taxes</t>
        </is>
      </c>
      <c r="B11" s="52" t="n">
        <v>5.395</v>
      </c>
      <c r="C11" s="52" t="n">
        <v>1.998</v>
      </c>
      <c r="D11" s="52" t="n">
        <v>-1.419</v>
      </c>
      <c r="E11" s="52" t="n">
        <v>383.331</v>
      </c>
      <c r="F11" s="52" t="n">
        <v>-104.358</v>
      </c>
      <c r="G11" s="52" t="n">
        <v>11.196</v>
      </c>
      <c r="H11" s="52" t="n">
        <v>6.662</v>
      </c>
      <c r="I11" s="52" t="n">
        <v>8.452</v>
      </c>
      <c r="J11" s="52" t="n">
        <v>18.863</v>
      </c>
      <c r="K11" s="52" t="n">
        <v>11.276</v>
      </c>
      <c r="L11" s="52">
        <f>MAX(0,L10)*Assumptions!$E$14</f>
        <v>82.9069387030528</v>
      </c>
      <c r="M11" s="52">
        <f>MAX(0,M10)*Assumptions!$E$14</f>
        <v>91.44549855803712</v>
      </c>
      <c r="N11" s="52">
        <f>MAX(0,N10)*Assumptions!$E$14</f>
        <v>100.27262178526291</v>
      </c>
      <c r="O11" s="52">
        <f>MAX(0,O10)*Assumptions!$E$14</f>
        <v>109.31410765025153</v>
      </c>
      <c r="P11" s="52">
        <f>MAX(0,P10)*Assumptions!$E$14</f>
        <v>118.48562398618466</v>
      </c>
      <c r="Q11" s="52">
        <f>MAX(0,Q10)*Assumptions!$E$14</f>
        <v>127.69370743653721</v>
      </c>
      <c r="R11" s="52">
        <f>MAX(0,R10)*Assumptions!$E$14</f>
        <v>136.83709652825752</v>
      </c>
      <c r="S11" s="52">
        <f>MAX(0,S10)*Assumptions!$E$14</f>
        <v>145.8083813259284</v>
      </c>
      <c r="T11" s="52">
        <f>MAX(0,T10)*Assumptions!$E$14</f>
        <v>154.49594019469941</v>
      </c>
      <c r="U11" s="52">
        <f>MAX(0,U10)*Assumptions!$E$14</f>
        <v>162.7861211961008</v>
      </c>
    </row>
    <row r="12">
      <c r="A12" s="2" t="inlineStr">
        <is>
          <t>Net Income</t>
        </is>
      </c>
      <c r="B12" s="52" t="n">
        <v>0</v>
      </c>
      <c r="C12" s="52" t="n">
        <v>0</v>
      </c>
      <c r="D12" s="52" t="n">
        <v>-19.744</v>
      </c>
      <c r="E12" s="52" t="n">
        <v>-603.573</v>
      </c>
      <c r="F12" s="52" t="n">
        <v>67.791</v>
      </c>
      <c r="G12" s="52" t="n">
        <v>13.163</v>
      </c>
      <c r="H12" s="52" t="n">
        <v>-270.584</v>
      </c>
      <c r="I12" s="52" t="n">
        <v>-83.99299999999999</v>
      </c>
      <c r="J12" s="52" t="n">
        <v>-116.886</v>
      </c>
      <c r="K12" s="52" t="n">
        <v>72.057</v>
      </c>
      <c r="L12" s="52">
        <f>L10-L11</f>
        <v>404.7809360207872</v>
      </c>
      <c r="M12" s="52">
        <f>M10-M11</f>
        <v>446.4691988421812</v>
      </c>
      <c r="N12" s="52">
        <f>N10-N11</f>
        <v>489.5663298927542</v>
      </c>
      <c r="O12" s="52">
        <f>O10-O11</f>
        <v>533.7100549982868</v>
      </c>
      <c r="P12" s="52">
        <f>P10-P11</f>
        <v>578.488634756078</v>
      </c>
      <c r="Q12" s="52">
        <f>Q10-Q11</f>
        <v>623.4457480725051</v>
      </c>
      <c r="R12" s="52">
        <f>R10-R11</f>
        <v>668.0870006967866</v>
      </c>
      <c r="S12" s="52">
        <f>S10-S11</f>
        <v>711.8879794148269</v>
      </c>
      <c r="T12" s="52">
        <f>T10-T11</f>
        <v>754.3037080094147</v>
      </c>
      <c r="U12" s="52">
        <f>U10-U11</f>
        <v>794.7792976044921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-0.15515669694778864</v>
      </c>
      <c r="E13" s="11">
        <f>IFERROR(E12/E14,0)</f>
        <v>-4.568853799221837</v>
      </c>
      <c r="F13" s="11">
        <f>IFERROR(F12/F14,0)</f>
        <v>0.45523896503327443</v>
      </c>
      <c r="G13" s="11">
        <f>IFERROR(G12/G14,0)</f>
        <v>0.08670078579379664</v>
      </c>
      <c r="H13" s="11">
        <f>IFERROR(H12/H14,0)</f>
        <v>-1.792611829552682</v>
      </c>
      <c r="I13" s="11">
        <f>IFERROR(I12/I14,0)</f>
        <v>-0.476864468365354</v>
      </c>
      <c r="J13" s="11">
        <f>IFERROR(J12/J14,0)</f>
        <v>-0.3782987785538129</v>
      </c>
      <c r="K13" s="11">
        <f>IFERROR(K12/K14,0)</f>
        <v>0.22184695432644203</v>
      </c>
      <c r="L13" s="11">
        <f>IFERROR(L12/L14,0)</f>
        <v>1.2674995105376714</v>
      </c>
      <c r="M13" s="11">
        <f>IFERROR(M12/M14,0)</f>
        <v>1.3980388912721662</v>
      </c>
      <c r="N13" s="11">
        <f>IFERROR(N12/N14,0)</f>
        <v>1.5329898922979999</v>
      </c>
      <c r="O13" s="11">
        <f>IFERROR(O12/O14,0)</f>
        <v>1.6712181164693543</v>
      </c>
      <c r="P13" s="11">
        <f>IFERROR(P12/P14,0)</f>
        <v>1.8114342750748518</v>
      </c>
      <c r="Q13" s="11">
        <f>IFERROR(Q12/Q14,0)</f>
        <v>1.9522094797668823</v>
      </c>
      <c r="R13" s="11">
        <f>IFERROR(R12/R14,0)</f>
        <v>2.0919956228775343</v>
      </c>
      <c r="S13" s="11">
        <f>IFERROR(S12/S14,0)</f>
        <v>2.229150597694174</v>
      </c>
      <c r="T13" s="11">
        <f>IFERROR(T12/T14,0)</f>
        <v>2.361967908117059</v>
      </c>
      <c r="U13" s="11">
        <f>IFERROR(U12/U14,0)</f>
        <v>2.488710018318241</v>
      </c>
    </row>
    <row r="14">
      <c r="A14" s="2" t="inlineStr">
        <is>
          <t>Shares</t>
        </is>
      </c>
      <c r="B14" s="52" t="n"/>
      <c r="C14" s="52" t="n"/>
      <c r="D14" s="52" t="n">
        <v>127.252</v>
      </c>
      <c r="E14" s="52" t="n">
        <v>132.106</v>
      </c>
      <c r="F14" s="52" t="n">
        <v>148.913</v>
      </c>
      <c r="G14" s="52" t="n">
        <v>151.821</v>
      </c>
      <c r="H14" s="52" t="n">
        <v>150.944</v>
      </c>
      <c r="I14" s="52" t="n">
        <v>176.136</v>
      </c>
      <c r="J14" s="52" t="n">
        <v>308.978</v>
      </c>
      <c r="K14" s="52" t="n">
        <v>324.805</v>
      </c>
      <c r="L14" s="52">
        <f>Main!$C$4</f>
        <v>319.353919</v>
      </c>
      <c r="M14" s="52">
        <f>Main!$C$4</f>
        <v>319.353919</v>
      </c>
      <c r="N14" s="52">
        <f>Main!$C$4</f>
        <v>319.353919</v>
      </c>
      <c r="O14" s="52">
        <f>Main!$C$4</f>
        <v>319.353919</v>
      </c>
      <c r="P14" s="52">
        <f>Main!$C$4</f>
        <v>319.353919</v>
      </c>
      <c r="Q14" s="52">
        <f>Main!$C$4</f>
        <v>319.353919</v>
      </c>
      <c r="R14" s="52">
        <f>Main!$C$4</f>
        <v>319.353919</v>
      </c>
      <c r="S14" s="52">
        <f>Main!$C$4</f>
        <v>319.353919</v>
      </c>
      <c r="T14" s="52">
        <f>Main!$C$4</f>
        <v>319.353919</v>
      </c>
      <c r="U14" s="52">
        <f>Main!$C$4</f>
        <v>319.353919</v>
      </c>
    </row>
    <row r="15"/>
    <row r="16" customFormat="1" s="4">
      <c r="A16" s="3" t="inlineStr">
        <is>
          <t>Revenue Change</t>
        </is>
      </c>
      <c r="C16" s="15">
        <f>IFERROR(C2/B2-1,"")</f>
        <v>0.015152839500110371</v>
      </c>
      <c r="D16" s="15">
        <f>IFERROR(D2/C2-1,"")</f>
        <v>0.6088468675204661</v>
      </c>
      <c r="E16" s="15">
        <f>IFERROR(E2/D2-1,"")</f>
        <v>-0.02201936149985173</v>
      </c>
      <c r="F16" s="15">
        <f>IFERROR(F2/E2-1,"")</f>
        <v>0.22513285697684338</v>
      </c>
      <c r="G16" s="15">
        <f>IFERROR(G2/F2-1,"")</f>
        <v>0.05076277664047035</v>
      </c>
      <c r="H16" s="15">
        <f>IFERROR(H2/G2-1,"")</f>
        <v>0.056663684660756</v>
      </c>
      <c r="I16" s="15">
        <f>IFERROR(I2/H2-1,"")</f>
        <v>0.0819521186961647</v>
      </c>
      <c r="J16" s="15">
        <f>IFERROR(J2/I2-1,"")</f>
        <v>0.16725803358696734</v>
      </c>
      <c r="K16" s="15">
        <f>IFERROR(K2/J2-1,"")</f>
        <v>0.0804604365779431</v>
      </c>
      <c r="L16" s="15">
        <f>IFERROR(L2/K2-1,"")</f>
        <v>0.06959999999999988</v>
      </c>
      <c r="M16" s="15">
        <f>IFERROR(M2/L2-1,"")</f>
        <v>0.0646444444444445</v>
      </c>
      <c r="N16" s="15">
        <f>IFERROR(N2/M2-1,"")</f>
        <v>0.0596888888888889</v>
      </c>
      <c r="O16" s="15">
        <f>IFERROR(O2/N2-1,"")</f>
        <v>0.0547333333333333</v>
      </c>
      <c r="P16" s="15">
        <f>IFERROR(P2/O2-1,"")</f>
        <v>0.0497777777777777</v>
      </c>
      <c r="Q16" s="15">
        <f>IFERROR(Q2/P2-1,"")</f>
        <v>0.04482222222222232</v>
      </c>
      <c r="R16" s="15">
        <f>IFERROR(R2/Q2-1,"")</f>
        <v>0.03986666666666672</v>
      </c>
      <c r="S16" s="15">
        <f>IFERROR(S2/R2-1,"")</f>
        <v>0.034911111111111115</v>
      </c>
      <c r="T16" s="15">
        <f>IFERROR(T2/S2-1,"")</f>
        <v>0.029955555555555513</v>
      </c>
      <c r="U16" s="15">
        <f>IFERROR(U2/T2-1,"")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0.586761275749466</v>
      </c>
      <c r="C17" s="15">
        <f>IFERROR(C4/C2,"")</f>
        <v>0.5090465474907464</v>
      </c>
      <c r="D17" s="15">
        <f>IFERROR(D4/D2,"")</f>
        <v>0.43549123236385523</v>
      </c>
      <c r="E17" s="15">
        <f>IFERROR(E4/E2,"")</f>
        <v>0.2946181472515838</v>
      </c>
      <c r="F17" s="15">
        <f>IFERROR(F4/F2,"")</f>
        <v>0.33272991077141895</v>
      </c>
      <c r="G17" s="15">
        <f>IFERROR(G4/G2,"")</f>
        <v>0.3672848955589446</v>
      </c>
      <c r="H17" s="15">
        <f>IFERROR(H4/H2,"")</f>
        <v>0.3547017046481858</v>
      </c>
      <c r="I17" s="15">
        <f>IFERROR(I4/I2,"")</f>
        <v>0.34281525747543357</v>
      </c>
      <c r="J17" s="15">
        <f>IFERROR(J4/J2,"")</f>
        <v>0.36523038829874616</v>
      </c>
      <c r="K17" s="15">
        <f>IFERROR(K4/K2,"")</f>
        <v>0.3687964594734262</v>
      </c>
      <c r="L17" s="15">
        <f>IFERROR(L4/L2,"")</f>
        <v>0.3688</v>
      </c>
      <c r="M17" s="15">
        <f>IFERROR(M4/M2,"")</f>
        <v>0.36879999999999996</v>
      </c>
      <c r="N17" s="15">
        <f>IFERROR(N4/N2,"")</f>
        <v>0.36880000000000007</v>
      </c>
      <c r="O17" s="15">
        <f>IFERROR(O4/O2,"")</f>
        <v>0.36880000000000007</v>
      </c>
      <c r="P17" s="15">
        <f>IFERROR(P4/P2,"")</f>
        <v>0.3688</v>
      </c>
      <c r="Q17" s="15">
        <f>IFERROR(Q4/Q2,"")</f>
        <v>0.3688</v>
      </c>
      <c r="R17" s="15">
        <f>IFERROR(R4/R2,"")</f>
        <v>0.3688</v>
      </c>
      <c r="S17" s="15">
        <f>IFERROR(S4/S2,"")</f>
        <v>0.36880000000000007</v>
      </c>
      <c r="T17" s="15">
        <f>IFERROR(T4/T2,"")</f>
        <v>0.3688</v>
      </c>
      <c r="U17" s="15">
        <f>IFERROR(U4/U2,"")</f>
        <v>0.3688</v>
      </c>
    </row>
    <row r="18">
      <c r="A18" s="14" t="inlineStr">
        <is>
          <t>Operating Margin</t>
        </is>
      </c>
      <c r="B18" s="15">
        <f>IFERROR(B8/B2,"")</f>
        <v>0.27978197353237255</v>
      </c>
      <c r="C18" s="15">
        <f>IFERROR(C8/C2,"")</f>
        <v>0.2371228670328756</v>
      </c>
      <c r="D18" s="15">
        <f>IFERROR(D8/D2,"")</f>
        <v>-0.011829889638609058</v>
      </c>
      <c r="E18" s="15">
        <f>IFERROR(E8/E2,"")</f>
        <v>-0.15290588321375226</v>
      </c>
      <c r="F18" s="15">
        <f>IFERROR(F8/F2,"")</f>
        <v>0.04574853088270498</v>
      </c>
      <c r="G18" s="15">
        <f>IFERROR(G8/G2,"")</f>
        <v>0.07294180694274019</v>
      </c>
      <c r="H18" s="15">
        <f>IFERROR(H8/H2,"")</f>
        <v>-0.04290911194844826</v>
      </c>
      <c r="I18" s="15">
        <f>IFERROR(I8/I2,"")</f>
        <v>0.08538327302685864</v>
      </c>
      <c r="J18" s="15">
        <f>IFERROR(J8/J2,"")</f>
        <v>0.08923759384986948</v>
      </c>
      <c r="K18" s="15">
        <f>IFERROR(K8/K2,"")</f>
        <v>0.13054896712557482</v>
      </c>
      <c r="L18" s="15">
        <f>IFERROR(L8/L2,"")</f>
        <v>0.15104</v>
      </c>
      <c r="M18" s="15">
        <f>IFERROR(M8/M2,"")</f>
        <v>0.15648</v>
      </c>
      <c r="N18" s="15">
        <f>IFERROR(N8/N2,"")</f>
        <v>0.16192</v>
      </c>
      <c r="O18" s="15">
        <f>IFERROR(O8/O2,"")</f>
        <v>0.16736</v>
      </c>
      <c r="P18" s="15">
        <f>IFERROR(P8/P2,"")</f>
        <v>0.1728</v>
      </c>
      <c r="Q18" s="15">
        <f>IFERROR(Q8/Q2,"")</f>
        <v>0.17824</v>
      </c>
      <c r="R18" s="15">
        <f>IFERROR(R8/R2,"")</f>
        <v>0.18368</v>
      </c>
      <c r="S18" s="15">
        <f>IFERROR(S8/S2,"")</f>
        <v>0.18912</v>
      </c>
      <c r="T18" s="15">
        <f>IFERROR(T8/T2,"")</f>
        <v>0.19456</v>
      </c>
      <c r="U18" s="15">
        <f>IFERROR(U8/U2,"")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Amneal Pharmaceuticals,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0.0196</v>
      </c>
      <c r="C12" s="53" t="n">
        <v>0.0696</v>
      </c>
      <c r="D12" s="53" t="n">
        <v>0.1196</v>
      </c>
      <c r="E12" s="54">
        <f>CHOOSE($B$4,B12,C12,D12)</f>
        <v>0.0696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0.1456</v>
      </c>
    </row>
    <row r="19">
      <c r="A19" s="14" t="inlineStr">
        <is>
          <t>Gross margin (forecast)</t>
        </is>
      </c>
      <c r="B19" s="53" t="n">
        <v>0.3688</v>
      </c>
    </row>
    <row r="20">
      <c r="A20" s="14" t="inlineStr">
        <is>
          <t>R&amp;D share of operating expense (forecast)</t>
        </is>
      </c>
      <c r="B20" s="53" t="n">
        <v>0.2589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Model'!K2</f>
        <v>3018.76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8141.5826041309165</v>
      </c>
      <c r="C29" s="56">
        <f>NPV!B26</f>
        <v>5598.923604130916</v>
      </c>
      <c r="D29" s="35">
        <f>NPV!B28</f>
        <v>17.53203349331973</v>
      </c>
      <c r="E29" s="57">
        <f>NPV!B30</f>
        <v>-0.11632895698993295</v>
      </c>
    </row>
    <row r="30">
      <c r="A30" s="58" t="n">
        <v>1</v>
      </c>
      <c r="B30" s="59">
        <f t="dataTable" ref="B30:E32" r1="B4"/>
        <v>4451.006131241468</v>
      </c>
      <c r="C30" s="59">
        <v>1908.347131241468</v>
      </c>
      <c r="D30" s="39">
        <v>5.975649640427516</v>
      </c>
      <c r="E30" s="60">
        <v>-0.6988079818332905</v>
      </c>
    </row>
    <row r="31">
      <c r="A31" s="58" t="n">
        <v>2</v>
      </c>
      <c r="B31" s="59">
        <v>8141.5826041309165</v>
      </c>
      <c r="C31" s="59">
        <v>5598.923604130916</v>
      </c>
      <c r="D31" s="39">
        <v>17.53203349331973</v>
      </c>
      <c r="E31" s="60">
        <v>-0.11632895698993295</v>
      </c>
    </row>
    <row r="32">
      <c r="A32" s="58" t="n">
        <v>3</v>
      </c>
      <c r="B32" s="59">
        <v>15541.694196088076</v>
      </c>
      <c r="C32" s="59">
        <v>12999.035196088076</v>
      </c>
      <c r="D32" s="39">
        <v>40.70416682780109</v>
      </c>
      <c r="E32" s="60">
        <v>1.0516213118851354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17.53203349331973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23.304976616209714</v>
      </c>
      <c r="C37" s="39">
        <v>25.628374963727136</v>
      </c>
      <c r="D37" s="39">
        <v>28.414207309368344</v>
      </c>
      <c r="E37" s="39">
        <v>31.816599322243437</v>
      </c>
      <c r="F37" s="39">
        <v>36.06673939007351</v>
      </c>
    </row>
    <row r="38">
      <c r="A38" s="62" t="n">
        <v>0.08500000000000001</v>
      </c>
      <c r="B38" s="39">
        <v>18.562709651473956</v>
      </c>
      <c r="C38" s="39">
        <v>20.173807885144228</v>
      </c>
      <c r="D38" s="39">
        <v>22.051630202779823</v>
      </c>
      <c r="E38" s="39">
        <v>24.268904625850986</v>
      </c>
      <c r="F38" s="39">
        <v>26.927450295297007</v>
      </c>
    </row>
    <row r="39">
      <c r="A39" s="62" t="n">
        <v>0.095</v>
      </c>
      <c r="B39" s="39">
        <v>15.028434608271553</v>
      </c>
      <c r="C39" s="39">
        <v>16.197466901244308</v>
      </c>
      <c r="D39" s="39">
        <v>17.53203349331973</v>
      </c>
      <c r="E39" s="39">
        <v>19.070322520312995</v>
      </c>
      <c r="F39" s="39">
        <v>20.863251425418493</v>
      </c>
    </row>
    <row r="40">
      <c r="A40" s="62" t="n">
        <v>0.105</v>
      </c>
      <c r="B40" s="39">
        <v>12.297510182389656</v>
      </c>
      <c r="C40" s="39">
        <v>13.175529088463668</v>
      </c>
      <c r="D40" s="39">
        <v>14.16206976680238</v>
      </c>
      <c r="E40" s="39">
        <v>15.278826547831574</v>
      </c>
      <c r="F40" s="39">
        <v>16.5536920836395</v>
      </c>
    </row>
    <row r="41">
      <c r="A41" s="62" t="n">
        <v>0.115</v>
      </c>
      <c r="B41" s="39">
        <v>10.127354125534469</v>
      </c>
      <c r="C41" s="39">
        <v>10.804943461482743</v>
      </c>
      <c r="D41" s="39">
        <v>11.556774725660333</v>
      </c>
      <c r="E41" s="39">
        <v>12.39594097991745</v>
      </c>
      <c r="F41" s="39">
        <v>13.338808502654421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Amneal Pharmaceuticals, Inc: free-cash-flow DCF ($mm)</t>
        </is>
      </c>
    </row>
    <row r="3">
      <c r="A3" s="20" t="inlineStr">
        <is>
          <t>Fiscal year</t>
        </is>
      </c>
      <c r="B3" s="43">
        <f>'Yearly Model'!K1</f>
        <v>2025</v>
      </c>
      <c r="C3" s="43">
        <f>'Yearly Model'!L1</f>
        <v>2026</v>
      </c>
      <c r="D3" s="43">
        <f>'Yearly Model'!M1</f>
        <v>2027</v>
      </c>
      <c r="E3" s="43">
        <f>'Yearly Model'!N1</f>
        <v>2028</v>
      </c>
      <c r="F3" s="43">
        <f>'Yearly Model'!O1</f>
        <v>2029</v>
      </c>
      <c r="G3" s="43">
        <f>'Yearly Model'!P1</f>
        <v>2030</v>
      </c>
      <c r="H3" s="43">
        <f>'Yearly Model'!Q1</f>
        <v>2031</v>
      </c>
      <c r="I3" s="43">
        <f>'Yearly Model'!R1</f>
        <v>2032</v>
      </c>
      <c r="J3" s="43">
        <f>'Yearly Model'!S1</f>
        <v>2033</v>
      </c>
      <c r="K3" s="43">
        <f>'Yearly Model'!T1</f>
        <v>2034</v>
      </c>
      <c r="L3" s="43">
        <f>'Yearly Model'!U1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0.0696</v>
      </c>
      <c r="D5" s="63">
        <f>Assumptions!$E$12+(Assumptions!$E$11-Assumptions!$E$12)*(D4-1)/(Assumptions!$B$21-1)</f>
        <v>0.06464444444444443</v>
      </c>
      <c r="E5" s="63">
        <f>Assumptions!$E$12+(Assumptions!$E$11-Assumptions!$E$12)*(E4-1)/(Assumptions!$B$21-1)</f>
        <v>0.05968888888888889</v>
      </c>
      <c r="F5" s="63">
        <f>Assumptions!$E$12+(Assumptions!$E$11-Assumptions!$E$12)*(F4-1)/(Assumptions!$B$21-1)</f>
        <v>0.05473333333333333</v>
      </c>
      <c r="G5" s="63">
        <f>Assumptions!$E$12+(Assumptions!$E$11-Assumptions!$E$12)*(G4-1)/(Assumptions!$B$21-1)</f>
        <v>0.049777777777777775</v>
      </c>
      <c r="H5" s="63">
        <f>Assumptions!$E$12+(Assumptions!$E$11-Assumptions!$E$12)*(H4-1)/(Assumptions!$B$21-1)</f>
        <v>0.04482222222222222</v>
      </c>
      <c r="I5" s="63">
        <f>Assumptions!$E$12+(Assumptions!$E$11-Assumptions!$E$12)*(I4-1)/(Assumptions!$B$21-1)</f>
        <v>0.03986666666666667</v>
      </c>
      <c r="J5" s="63">
        <f>Assumptions!$E$12+(Assumptions!$E$11-Assumptions!$E$12)*(J4-1)/(Assumptions!$B$21-1)</f>
        <v>0.03491111111111111</v>
      </c>
      <c r="K5" s="63">
        <f>Assumptions!$E$12+(Assumptions!$E$11-Assumptions!$E$12)*(K4-1)/(Assumptions!$B$21-1)</f>
        <v>0.029955555555555555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0.13054896712557482</v>
      </c>
      <c r="C6" s="63">
        <f>Assumptions!$B$18+(Assumptions!$E$13-Assumptions!$B$18)*C4/Assumptions!$B$21</f>
        <v>0.15104</v>
      </c>
      <c r="D6" s="63">
        <f>Assumptions!$B$18+(Assumptions!$E$13-Assumptions!$B$18)*D4/Assumptions!$B$21</f>
        <v>0.15648</v>
      </c>
      <c r="E6" s="63">
        <f>Assumptions!$B$18+(Assumptions!$E$13-Assumptions!$B$18)*E4/Assumptions!$B$21</f>
        <v>0.16192</v>
      </c>
      <c r="F6" s="63">
        <f>Assumptions!$B$18+(Assumptions!$E$13-Assumptions!$B$18)*F4/Assumptions!$B$21</f>
        <v>0.16736</v>
      </c>
      <c r="G6" s="63">
        <f>Assumptions!$B$18+(Assumptions!$E$13-Assumptions!$B$18)*G4/Assumptions!$B$21</f>
        <v>0.1728</v>
      </c>
      <c r="H6" s="63">
        <f>Assumptions!$B$18+(Assumptions!$E$13-Assumptions!$B$18)*H4/Assumptions!$B$21</f>
        <v>0.17824</v>
      </c>
      <c r="I6" s="63">
        <f>Assumptions!$B$18+(Assumptions!$E$13-Assumptions!$B$18)*I4/Assumptions!$B$21</f>
        <v>0.18368</v>
      </c>
      <c r="J6" s="63">
        <f>Assumptions!$B$18+(Assumptions!$E$13-Assumptions!$B$18)*J4/Assumptions!$B$21</f>
        <v>0.18912</v>
      </c>
      <c r="K6" s="63">
        <f>Assumptions!$B$18+(Assumptions!$E$13-Assumptions!$B$18)*K4/Assumptions!$B$21</f>
        <v>0.19456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Model'!K2</f>
        <v>3018.76</v>
      </c>
      <c r="C7" s="55">
        <f>'Yearly Model'!L2</f>
        <v>3228.865696</v>
      </c>
      <c r="D7" s="55">
        <f>'Yearly Model'!M2</f>
        <v>3437.5939251036443</v>
      </c>
      <c r="E7" s="55">
        <f>'Yearly Model'!N2</f>
        <v>3642.7800869442754</v>
      </c>
      <c r="F7" s="55">
        <f>'Yearly Model'!O2</f>
        <v>3842.1615837030254</v>
      </c>
      <c r="G7" s="55">
        <f>'Yearly Model'!P2</f>
        <v>4033.415849202909</v>
      </c>
      <c r="H7" s="55">
        <f>'Yearly Model'!Q2</f>
        <v>4214.2025107105155</v>
      </c>
      <c r="I7" s="55">
        <f>'Yearly Model'!R2</f>
        <v>4382.208717470841</v>
      </c>
      <c r="J7" s="55">
        <f>'Yearly Model'!S2</f>
        <v>4535.196492918545</v>
      </c>
      <c r="K7" s="55">
        <f>'Yearly Model'!T2</f>
        <v>4671.050823417527</v>
      </c>
      <c r="L7" s="55">
        <f>'Yearly Model'!U2</f>
        <v>4787.827094002964</v>
      </c>
    </row>
    <row r="8">
      <c r="A8" s="14" t="inlineStr">
        <is>
          <t>Operating income</t>
        </is>
      </c>
      <c r="B8" s="55">
        <f>'Yearly Model'!K8</f>
        <v>394.09600000000023</v>
      </c>
      <c r="C8" s="55">
        <f>'Yearly Model'!L8</f>
        <v>487.68787472383997</v>
      </c>
      <c r="D8" s="55">
        <f>'Yearly Model'!M8</f>
        <v>537.9146974002183</v>
      </c>
      <c r="E8" s="55">
        <f>'Yearly Model'!N8</f>
        <v>589.8389516780171</v>
      </c>
      <c r="F8" s="55">
        <f>'Yearly Model'!O8</f>
        <v>643.0241626485383</v>
      </c>
      <c r="G8" s="55">
        <f>'Yearly Model'!P8</f>
        <v>696.9742587422627</v>
      </c>
      <c r="H8" s="55">
        <f>'Yearly Model'!Q8</f>
        <v>751.1394555090424</v>
      </c>
      <c r="I8" s="55">
        <f>'Yearly Model'!R8</f>
        <v>804.9240972250442</v>
      </c>
      <c r="J8" s="55">
        <f>'Yearly Model'!S8</f>
        <v>857.6963607407553</v>
      </c>
      <c r="K8" s="55">
        <f>'Yearly Model'!T8</f>
        <v>908.7996482041141</v>
      </c>
      <c r="L8" s="55">
        <f>'Yearly Model'!U8</f>
        <v>957.5654188005929</v>
      </c>
    </row>
    <row r="9">
      <c r="A9" s="14" t="inlineStr">
        <is>
          <t>Tax on operating income</t>
        </is>
      </c>
      <c r="C9" s="52">
        <f>MAX(0,C8)*Assumptions!$E$14</f>
        <v>82.9069387030528</v>
      </c>
      <c r="D9" s="52">
        <f>MAX(0,D8)*Assumptions!$E$14</f>
        <v>91.44549855803712</v>
      </c>
      <c r="E9" s="52">
        <f>MAX(0,E8)*Assumptions!$E$14</f>
        <v>100.27262178526291</v>
      </c>
      <c r="F9" s="52">
        <f>MAX(0,F8)*Assumptions!$E$14</f>
        <v>109.31410765025153</v>
      </c>
      <c r="G9" s="52">
        <f>MAX(0,G8)*Assumptions!$E$14</f>
        <v>118.48562398618466</v>
      </c>
      <c r="H9" s="52">
        <f>MAX(0,H8)*Assumptions!$E$14</f>
        <v>127.69370743653721</v>
      </c>
      <c r="I9" s="52">
        <f>MAX(0,I8)*Assumptions!$E$14</f>
        <v>136.83709652825752</v>
      </c>
      <c r="J9" s="52">
        <f>MAX(0,J8)*Assumptions!$E$14</f>
        <v>145.8083813259284</v>
      </c>
      <c r="K9" s="52">
        <f>MAX(0,K8)*Assumptions!$E$14</f>
        <v>154.49594019469941</v>
      </c>
      <c r="L9" s="52">
        <f>MAX(0,L8)*Assumptions!$E$14</f>
        <v>162.7861211961008</v>
      </c>
    </row>
    <row r="10">
      <c r="A10" s="14" t="inlineStr">
        <is>
          <t>NOPAT</t>
        </is>
      </c>
      <c r="C10" s="52">
        <f>C8-C9</f>
        <v>404.7809360207872</v>
      </c>
      <c r="D10" s="52">
        <f>D8-D9</f>
        <v>446.4691988421812</v>
      </c>
      <c r="E10" s="52">
        <f>E8-E9</f>
        <v>489.5663298927542</v>
      </c>
      <c r="F10" s="52">
        <f>F8-F9</f>
        <v>533.7100549982868</v>
      </c>
      <c r="G10" s="52">
        <f>G8-G9</f>
        <v>578.488634756078</v>
      </c>
      <c r="H10" s="52">
        <f>H8-H9</f>
        <v>623.4457480725051</v>
      </c>
      <c r="I10" s="52">
        <f>I8-I9</f>
        <v>668.0870006967866</v>
      </c>
      <c r="J10" s="52">
        <f>J8-J9</f>
        <v>711.8879794148269</v>
      </c>
      <c r="K10" s="52">
        <f>K8-K9</f>
        <v>754.3037080094147</v>
      </c>
      <c r="L10" s="52">
        <f>L8-L9</f>
        <v>794.7792976044921</v>
      </c>
    </row>
    <row r="11">
      <c r="A11" s="14" t="inlineStr">
        <is>
          <t>Reinvestment</t>
        </is>
      </c>
      <c r="C11" s="52">
        <f>(C7-B7)*Assumptions!$E$15</f>
        <v>52.526423999999906</v>
      </c>
      <c r="D11" s="52">
        <f>(D7-C7)*Assumptions!$E$15</f>
        <v>52.18205727591112</v>
      </c>
      <c r="E11" s="52">
        <f>(E7-D7)*Assumptions!$E$15</f>
        <v>51.29654046015776</v>
      </c>
      <c r="F11" s="52">
        <f>(F7-E7)*Assumptions!$E$15</f>
        <v>49.845374189687504</v>
      </c>
      <c r="G11" s="52">
        <f>(G7-F7)*Assumptions!$E$15</f>
        <v>47.81356637497095</v>
      </c>
      <c r="H11" s="52">
        <f>(H7-G7)*Assumptions!$E$15</f>
        <v>45.19666537690159</v>
      </c>
      <c r="I11" s="52">
        <f>(I7-H7)*Assumptions!$E$15</f>
        <v>42.00155169008144</v>
      </c>
      <c r="J11" s="52">
        <f>(J7-I7)*Assumptions!$E$15</f>
        <v>38.246943861925956</v>
      </c>
      <c r="K11" s="52">
        <f>(K7-J7)*Assumptions!$E$15</f>
        <v>33.96358262474541</v>
      </c>
      <c r="L11" s="52">
        <f>(L7-K7)*Assumptions!$E$15</f>
        <v>29.194067646359372</v>
      </c>
    </row>
    <row r="12">
      <c r="A12" s="20" t="inlineStr">
        <is>
          <t>Free cash flow</t>
        </is>
      </c>
      <c r="C12" s="64">
        <f>C10-C11</f>
        <v>352.2545120207873</v>
      </c>
      <c r="D12" s="64">
        <f>D10-D11</f>
        <v>394.28714156627007</v>
      </c>
      <c r="E12" s="64">
        <f>E10-E11</f>
        <v>438.26978943259644</v>
      </c>
      <c r="F12" s="64">
        <f>F10-F11</f>
        <v>483.86468080859925</v>
      </c>
      <c r="G12" s="64">
        <f>G10-G11</f>
        <v>530.675068381107</v>
      </c>
      <c r="H12" s="64">
        <f>H10-H11</f>
        <v>578.2490826956035</v>
      </c>
      <c r="I12" s="64">
        <f>I10-I11</f>
        <v>626.0854490067052</v>
      </c>
      <c r="J12" s="64">
        <f>J10-J11</f>
        <v>673.6410355529009</v>
      </c>
      <c r="K12" s="64">
        <f>K10-K11</f>
        <v>720.3401253846692</v>
      </c>
      <c r="L12" s="64">
        <f>L10-L11</f>
        <v>765.5852299581327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173.55572071482234</v>
      </c>
      <c r="D16" s="64">
        <f>D12*D13*D15</f>
        <v>359.9456232112038</v>
      </c>
      <c r="E16" s="64">
        <f>E12*E13*E15</f>
        <v>365.38582823248566</v>
      </c>
      <c r="F16" s="64">
        <f>F12*F13*F15</f>
        <v>368.40029304142263</v>
      </c>
      <c r="G16" s="64">
        <f>G12*G13*G15</f>
        <v>368.9866129167774</v>
      </c>
      <c r="H16" s="64">
        <f>H12*H13*H15</f>
        <v>367.18316308603426</v>
      </c>
      <c r="I16" s="64">
        <f>I12*I13*I15</f>
        <v>363.0674353391024</v>
      </c>
      <c r="J16" s="64">
        <f>J12*J13*J15</f>
        <v>356.75338511363657</v>
      </c>
      <c r="K16" s="64">
        <f>K12*K13*K15</f>
        <v>348.38789429218133</v>
      </c>
      <c r="L16" s="64">
        <f>L12*L13*L15</f>
        <v>338.1464837698759</v>
      </c>
    </row>
    <row r="19">
      <c r="A19" s="14" t="inlineStr">
        <is>
          <t>PV of forecast free cash flow</t>
        </is>
      </c>
      <c r="B19" s="52">
        <f>SUM(C16:L16)</f>
        <v>3409.8124397175425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784.7248607070858</v>
      </c>
    </row>
    <row r="21">
      <c r="A21" s="14" t="inlineStr">
        <is>
          <t>Terminal value</t>
        </is>
      </c>
      <c r="B21" s="52">
        <f>B20/(Assumptions!$E$10-Assumptions!$E$11)</f>
        <v>11210.355152958367</v>
      </c>
    </row>
    <row r="22">
      <c r="A22" s="14" t="inlineStr">
        <is>
          <t>PV of terminal value</t>
        </is>
      </c>
      <c r="B22" s="52">
        <f>B21/(1+Assumptions!$E$10)^(L14+0.5)</f>
        <v>4731.770164413374</v>
      </c>
    </row>
    <row r="23">
      <c r="A23" s="20" t="inlineStr">
        <is>
          <t>Enterprise value</t>
        </is>
      </c>
      <c r="B23" s="66">
        <f>B19+B22</f>
        <v>8141.5826041309165</v>
      </c>
    </row>
    <row r="24">
      <c r="A24" s="14" t="inlineStr">
        <is>
          <t>Cash &amp; investments</t>
        </is>
      </c>
      <c r="B24" s="55">
        <f>Main!C7</f>
        <v>127.637</v>
      </c>
    </row>
    <row r="25">
      <c r="A25" s="14" t="inlineStr">
        <is>
          <t>Debt</t>
        </is>
      </c>
      <c r="B25" s="55">
        <f>Main!C8</f>
        <v>2670.296</v>
      </c>
    </row>
    <row r="26">
      <c r="A26" s="20" t="inlineStr">
        <is>
          <t>Equity value</t>
        </is>
      </c>
      <c r="B26" s="66">
        <f>B23+B24-B25</f>
        <v>5598.923604130916</v>
      </c>
    </row>
    <row r="27">
      <c r="A27" s="14" t="inlineStr">
        <is>
          <t>Shares (mm)</t>
        </is>
      </c>
      <c r="B27" s="55">
        <f>Main!C4</f>
        <v>319.353919</v>
      </c>
    </row>
    <row r="28">
      <c r="A28" s="20" t="inlineStr">
        <is>
          <t>NPV / share</t>
        </is>
      </c>
      <c r="B28" s="49">
        <f>B26/B27</f>
        <v>17.53203349331973</v>
      </c>
    </row>
    <row r="29">
      <c r="A29" s="14" t="inlineStr">
        <is>
          <t>Price</t>
        </is>
      </c>
      <c r="B29" s="50">
        <f>Main!C3</f>
        <v>19.84</v>
      </c>
    </row>
    <row r="30">
      <c r="A30" s="14" t="inlineStr">
        <is>
          <t>Upside</t>
        </is>
      </c>
      <c r="B30" s="63">
        <f>B28/B29-1</f>
        <v>-0.11632895698993295</v>
      </c>
    </row>
    <row r="31">
      <c r="A31" s="14" t="inlineStr">
        <is>
          <t>Terminal value, % of EV</t>
        </is>
      </c>
      <c r="B31" s="63">
        <f>IFERROR(B22/B23,0)</f>
        <v>0.5811855500934849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2026-10-21T01:04:01Z</dcterms:modified>
  <cp:lastModifiedBy>Wang, Eric</cp:lastModifiedBy>
</cp:coreProperties>
</file>