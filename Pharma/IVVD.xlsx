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Invivyd, Inc.</t>
        </is>
      </c>
      <c r="C2" s="10" t="n"/>
    </row>
    <row r="3">
      <c r="B3" t="inlineStr">
        <is>
          <t>Price</t>
        </is>
      </c>
      <c r="C3" s="11">
        <f>INDEX([1]Pharma!$F$1:$F$1000,MATCH("IVVD",[1]Pharma!$B$1:$B$1000,0))</f>
        <v>0.6366</v>
      </c>
      <c r="F3" s="1" t="n"/>
    </row>
    <row r="4">
      <c r="B4" t="inlineStr">
        <is>
          <t>Shares</t>
        </is>
      </c>
      <c r="C4" s="51" t="n">
        <v>294.758746</v>
      </c>
      <c r="F4" s="1" t="n"/>
    </row>
    <row r="5">
      <c r="B5" t="inlineStr">
        <is>
          <t>Market Cap.</t>
        </is>
      </c>
      <c r="C5" s="13">
        <f>C3*C4</f>
        <v>187.6434177036</v>
      </c>
      <c r="F5" s="1" t="n"/>
    </row>
    <row r="6"/>
    <row r="7">
      <c r="B7" t="inlineStr">
        <is>
          <t>Cash</t>
        </is>
      </c>
      <c r="C7" s="51" t="n">
        <v>160.08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27.56341770359998</v>
      </c>
    </row>
    <row r="10"/>
    <row r="11">
      <c r="B11" s="14" t="inlineStr">
        <is>
          <t>NPV / Share</t>
        </is>
      </c>
      <c r="C11" s="11">
        <f>NPV!B28</f>
        <v>-0.4244927800833068</v>
      </c>
    </row>
    <row r="12">
      <c r="B12" s="14" t="inlineStr">
        <is>
          <t>Upside</t>
        </is>
      </c>
      <c r="C12" s="15">
        <f>IFERROR(C11/C3-1,"")</f>
        <v>-1.6668124098072679</v>
      </c>
    </row>
    <row r="13">
      <c r="B13" s="14" t="inlineStr">
        <is>
          <t>Cash / Share</t>
        </is>
      </c>
      <c r="C13" s="11">
        <f>IFERROR((C7-C8)/C4,"")</f>
        <v>0.5430882108583812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2021</v>
      </c>
      <c r="C1" s="16" t="n">
        <v>2022</v>
      </c>
      <c r="D1" s="16" t="n">
        <v>2023</v>
      </c>
      <c r="E1" s="16" t="n">
        <v>2024</v>
      </c>
      <c r="F1" s="16" t="n">
        <v>2025</v>
      </c>
      <c r="G1" s="16" t="n">
        <v>2026</v>
      </c>
      <c r="H1" s="16" t="n">
        <v>2027</v>
      </c>
      <c r="I1" s="16" t="n">
        <v>2028</v>
      </c>
      <c r="J1" s="16" t="n">
        <v>2029</v>
      </c>
      <c r="K1" s="16" t="n">
        <v>2030</v>
      </c>
      <c r="L1" s="16" t="n">
        <v>2031</v>
      </c>
      <c r="M1" s="16" t="n">
        <v>2032</v>
      </c>
      <c r="N1" s="16" t="n">
        <v>2033</v>
      </c>
      <c r="O1" s="16" t="n">
        <v>2034</v>
      </c>
      <c r="P1" s="16" t="n">
        <v>2035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25.384</v>
      </c>
      <c r="F2" s="52" t="n">
        <v>53.426</v>
      </c>
      <c r="G2" s="52">
        <f>F2*(1+NPV!C5)</f>
        <v>64.8538214</v>
      </c>
      <c r="H2" s="52">
        <f>G2*(1+NPV!D5)</f>
        <v>77.36484414607555</v>
      </c>
      <c r="I2" s="52">
        <f>H2*(1+NPV!E5)</f>
        <v>90.66558007354475</v>
      </c>
      <c r="J2" s="52">
        <f>I2*(1+NPV!F5)</f>
        <v>104.3500382926451</v>
      </c>
      <c r="K2" s="52">
        <f>J2*(1+NPV!G5)</f>
        <v>117.90974604633936</v>
      </c>
      <c r="L2" s="52">
        <f>K2*(1+NPV!H5)</f>
        <v>130.75666793223274</v>
      </c>
      <c r="M2" s="52">
        <f>L2*(1+NPV!I5)</f>
        <v>142.2588961546715</v>
      </c>
      <c r="N2" s="52">
        <f>M2*(1+NPV!J5)</f>
        <v>151.78708088823106</v>
      </c>
      <c r="O2" s="52">
        <f>N2*(1+NPV!K5)</f>
        <v>158.7676000859687</v>
      </c>
      <c r="P2" s="52">
        <f>O2*(1+NPV!L5)</f>
        <v>162.73679008811789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>
        <f>G2*(1-Assumptions!$B$19)</f>
        <v>0.0</v>
      </c>
      <c r="H3" s="52">
        <f>H2*(1-Assumptions!$B$19)</f>
        <v>0.0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25.384</v>
      </c>
      <c r="F4" s="52">
        <f>F2-F3</f>
        <v>53.426</v>
      </c>
      <c r="G4" s="52">
        <f>G2-G3</f>
        <v>64.8538214</v>
      </c>
      <c r="H4" s="52">
        <f>H2-H3</f>
        <v>77.36484414607555</v>
      </c>
      <c r="I4" s="52">
        <f>I2-I3</f>
        <v>90.66558007354475</v>
      </c>
      <c r="J4" s="52">
        <f>J2-J3</f>
        <v>104.3500382926451</v>
      </c>
      <c r="K4" s="52">
        <f>K2-K3</f>
        <v>117.90974604633936</v>
      </c>
      <c r="L4" s="52">
        <f>L2-L3</f>
        <v>130.75666793223274</v>
      </c>
      <c r="M4" s="52">
        <f>M2-M3</f>
        <v>142.2588961546715</v>
      </c>
      <c r="N4" s="52">
        <f>N2-N3</f>
        <v>151.78708088823106</v>
      </c>
      <c r="O4" s="52">
        <f>O2-O3</f>
        <v>158.7676000859687</v>
      </c>
      <c r="P4" s="52">
        <f>P2-P3</f>
        <v>162.73679008811789</v>
      </c>
    </row>
    <row r="5">
      <c r="A5" s="2" t="inlineStr">
        <is>
          <t>Research &amp; Dev.</t>
        </is>
      </c>
      <c r="B5" s="52" t="n">
        <v>182.891</v>
      </c>
      <c r="C5" s="52" t="n">
        <v>179.214</v>
      </c>
      <c r="D5" s="52" t="n">
        <v>158.658</v>
      </c>
      <c r="E5" s="52" t="n">
        <v>137.254</v>
      </c>
      <c r="F5" s="52" t="n">
        <v>38.308</v>
      </c>
      <c r="G5" s="52">
        <f>G7*Assumptions!$B$20</f>
        <v>53.114955457493004</v>
      </c>
      <c r="H5" s="52">
        <f>H7*Assumptions!$B$20</f>
        <v>58.738484269466404</v>
      </c>
      <c r="I5" s="52">
        <f>I7*Assumptions!$B$20</f>
        <v>63.419213277743445</v>
      </c>
      <c r="J5" s="52">
        <f>J7*Assumptions!$B$20</f>
        <v>66.75584999695384</v>
      </c>
      <c r="K5" s="52">
        <f>K7*Assumptions!$B$20</f>
        <v>68.38470496322567</v>
      </c>
      <c r="L5" s="52">
        <f>L7*Assumptions!$B$20</f>
        <v>68.02223379170611</v>
      </c>
      <c r="M5" s="52">
        <f>M7*Assumptions!$B$20</f>
        <v>65.50524261786082</v>
      </c>
      <c r="N5" s="52">
        <f>N7*Assumptions!$B$20</f>
        <v>60.82260118272307</v>
      </c>
      <c r="O5" s="52">
        <f>O7*Assumptions!$B$20</f>
        <v>54.13260708731146</v>
      </c>
      <c r="P5" s="52">
        <f>P7*Assumptions!$B$20</f>
        <v>45.761585372778754</v>
      </c>
    </row>
    <row r="6">
      <c r="A6" s="18" t="inlineStr">
        <is>
          <t>SG&amp;A &amp; Other</t>
        </is>
      </c>
      <c r="B6" s="52" t="n">
        <v>44.017</v>
      </c>
      <c r="C6" s="52" t="n">
        <v>68.81699999999999</v>
      </c>
      <c r="D6" s="52" t="n">
        <v>54.1</v>
      </c>
      <c r="E6" s="52" t="n">
        <v>65.006</v>
      </c>
      <c r="F6" s="52" t="n">
        <v>70.678</v>
      </c>
      <c r="G6" s="52">
        <f>G7-G5</f>
        <v>97.99444840450701</v>
      </c>
      <c r="H6" s="52">
        <f>H7-H5</f>
        <v>108.3695790860568</v>
      </c>
      <c r="I6" s="52">
        <f>I7-I5</f>
        <v>117.0052910686106</v>
      </c>
      <c r="J6" s="52">
        <f>J7-J5</f>
        <v>123.16121969566022</v>
      </c>
      <c r="K6" s="52">
        <f>K7-K5</f>
        <v>126.16637601323428</v>
      </c>
      <c r="L6" s="52">
        <f>L7-L5</f>
        <v>125.49763474799836</v>
      </c>
      <c r="M6" s="52">
        <f>M7-M5</f>
        <v>120.85391134475886</v>
      </c>
      <c r="N6" s="52">
        <f>N7-N5</f>
        <v>112.21467102986034</v>
      </c>
      <c r="O6" s="52">
        <f>O7-O5</f>
        <v>99.87196499607819</v>
      </c>
      <c r="P6" s="52">
        <f>P7-P5</f>
        <v>84.42784669771557</v>
      </c>
    </row>
    <row r="7">
      <c r="A7" s="2" t="inlineStr">
        <is>
          <t>Operating Expense</t>
        </is>
      </c>
      <c r="B7" s="52">
        <f>SUM(B5:B6)</f>
        <v>226.908</v>
      </c>
      <c r="C7" s="52">
        <f>SUM(C5:C6)</f>
        <v>248.031</v>
      </c>
      <c r="D7" s="52">
        <f>SUM(D5:D6)</f>
        <v>212.75799999999998</v>
      </c>
      <c r="E7" s="52">
        <f>SUM(E5:E6)</f>
        <v>202.26</v>
      </c>
      <c r="F7" s="52">
        <f>SUM(F5:F6)</f>
        <v>108.98599999999999</v>
      </c>
      <c r="G7" s="52">
        <f>G4-G2*NPV!C6</f>
        <v>151.10940386200002</v>
      </c>
      <c r="H7" s="52">
        <f>H4-H2*NPV!D6</f>
        <v>167.1080633555232</v>
      </c>
      <c r="I7" s="52">
        <f>I4-I2*NPV!E6</f>
        <v>180.42450434635404</v>
      </c>
      <c r="J7" s="52">
        <f>J4-J2*NPV!F6</f>
        <v>189.91706969261406</v>
      </c>
      <c r="K7" s="52">
        <f>K4-K2*NPV!G6</f>
        <v>194.55108097645996</v>
      </c>
      <c r="L7" s="52">
        <f>L4-L2*NPV!H6</f>
        <v>193.51986853970448</v>
      </c>
      <c r="M7" s="52">
        <f>M4-M2*NPV!I6</f>
        <v>186.35915396261967</v>
      </c>
      <c r="N7" s="52">
        <f>N4-N2*NPV!J6</f>
        <v>173.03727221258342</v>
      </c>
      <c r="O7" s="52">
        <f>O4-O2*NPV!K6</f>
        <v>154.00457208338966</v>
      </c>
      <c r="P7" s="52">
        <f>P4-P2*NPV!L6</f>
        <v>130.18943207049432</v>
      </c>
    </row>
    <row r="8">
      <c r="A8" s="2" t="inlineStr">
        <is>
          <t>Operating Income</t>
        </is>
      </c>
      <c r="B8" s="52">
        <f>B4-B7</f>
        <v>-226.908</v>
      </c>
      <c r="C8" s="52">
        <f>C4-C7</f>
        <v>-248.031</v>
      </c>
      <c r="D8" s="52">
        <f>D4-D7</f>
        <v>-212.75799999999998</v>
      </c>
      <c r="E8" s="52">
        <f>E4-E7</f>
        <v>-176.87599999999998</v>
      </c>
      <c r="F8" s="52">
        <f>F4-F7</f>
        <v>-55.55999999999999</v>
      </c>
      <c r="G8" s="52">
        <f>G4-G7</f>
        <v>-86.25558246200002</v>
      </c>
      <c r="H8" s="52">
        <f>H4-H7</f>
        <v>-89.74321920944764</v>
      </c>
      <c r="I8" s="52">
        <f>I4-I7</f>
        <v>-89.7589242728093</v>
      </c>
      <c r="J8" s="52">
        <f>J4-J7</f>
        <v>-85.56703139996897</v>
      </c>
      <c r="K8" s="52">
        <f>K4-K7</f>
        <v>-76.64133493012059</v>
      </c>
      <c r="L8" s="52">
        <f>L4-L7</f>
        <v>-62.76320060747173</v>
      </c>
      <c r="M8" s="52">
        <f>M4-M7</f>
        <v>-44.10025780794817</v>
      </c>
      <c r="N8" s="52">
        <f>N4-N7</f>
        <v>-21.250191324352357</v>
      </c>
      <c r="O8" s="52">
        <f>O4-O7</f>
        <v>4.763028002579034</v>
      </c>
      <c r="P8" s="52">
        <f>P4-P7</f>
        <v>32.547358017623566</v>
      </c>
    </row>
    <row r="9">
      <c r="A9" s="18" t="inlineStr">
        <is>
          <t>Interest &amp; Other</t>
        </is>
      </c>
      <c r="B9" s="52" t="n">
        <v>0.118</v>
      </c>
      <c r="C9" s="52" t="n">
        <v>6.714</v>
      </c>
      <c r="D9" s="52" t="n">
        <v>14.115</v>
      </c>
      <c r="E9" s="52" t="n">
        <v>6.951</v>
      </c>
      <c r="F9" s="52" t="n">
        <v>3.071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</row>
    <row r="10">
      <c r="A10" s="2" t="inlineStr">
        <is>
          <t>Pretax</t>
        </is>
      </c>
      <c r="B10" s="52">
        <f>B8+B9</f>
        <v>-226.79</v>
      </c>
      <c r="C10" s="52">
        <f>C8+C9</f>
        <v>-241.317</v>
      </c>
      <c r="D10" s="52">
        <f>D8+D9</f>
        <v>-198.64299999999997</v>
      </c>
      <c r="E10" s="52">
        <f>E8+E9</f>
        <v>-169.92499999999998</v>
      </c>
      <c r="F10" s="52">
        <f>F8+F9</f>
        <v>-52.48899999999999</v>
      </c>
      <c r="G10" s="52">
        <f>G8+G9</f>
        <v>-86.25558246200002</v>
      </c>
      <c r="H10" s="52">
        <f>H8+H9</f>
        <v>-89.74321920944764</v>
      </c>
      <c r="I10" s="52">
        <f>I8+I9</f>
        <v>-89.7589242728093</v>
      </c>
      <c r="J10" s="52">
        <f>J8+J9</f>
        <v>-85.56703139996897</v>
      </c>
      <c r="K10" s="52">
        <f>K8+K9</f>
        <v>-76.64133493012059</v>
      </c>
      <c r="L10" s="52">
        <f>L8+L9</f>
        <v>-62.76320060747173</v>
      </c>
      <c r="M10" s="52">
        <f>M8+M9</f>
        <v>-44.10025780794817</v>
      </c>
      <c r="N10" s="52">
        <f>N8+N9</f>
        <v>-21.250191324352357</v>
      </c>
      <c r="O10" s="52">
        <f>O8+O9</f>
        <v>4.763028002579034</v>
      </c>
      <c r="P10" s="52">
        <f>P8+P9</f>
        <v>32.547358017623566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>
        <f>MAX(0,G10)*Assumptions!$E$14</f>
        <v>0.0</v>
      </c>
      <c r="H11" s="52">
        <f>MAX(0,H10)*Assumptions!$E$14</f>
        <v>0.0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0.8097147604384358</v>
      </c>
      <c r="P11" s="52">
        <f>MAX(0,P10)*Assumptions!$E$14</f>
        <v>5.5330508629960065</v>
      </c>
    </row>
    <row r="12">
      <c r="A12" s="2" t="inlineStr">
        <is>
          <t>Net Income</t>
        </is>
      </c>
      <c r="B12" s="52" t="n">
        <v>-226.79</v>
      </c>
      <c r="C12" s="52" t="n">
        <v>-241.317</v>
      </c>
      <c r="D12" s="52" t="n">
        <v>-198.643</v>
      </c>
      <c r="E12" s="52" t="n">
        <v>-169.925</v>
      </c>
      <c r="F12" s="52" t="n">
        <v>-52.489</v>
      </c>
      <c r="G12" s="52">
        <f>G10-G11</f>
        <v>-86.25558246200002</v>
      </c>
      <c r="H12" s="52">
        <f>H10-H11</f>
        <v>-89.74321920944764</v>
      </c>
      <c r="I12" s="52">
        <f>I10-I11</f>
        <v>-89.7589242728093</v>
      </c>
      <c r="J12" s="52">
        <f>J10-J11</f>
        <v>-85.56703139996897</v>
      </c>
      <c r="K12" s="52">
        <f>K10-K11</f>
        <v>-76.64133493012059</v>
      </c>
      <c r="L12" s="52">
        <f>L10-L11</f>
        <v>-62.76320060747173</v>
      </c>
      <c r="M12" s="52">
        <f>M10-M11</f>
        <v>-44.10025780794817</v>
      </c>
      <c r="N12" s="52">
        <f>N10-N11</f>
        <v>-21.250191324352357</v>
      </c>
      <c r="O12" s="52">
        <f>O10-O11</f>
        <v>3.9533132421405983</v>
      </c>
      <c r="P12" s="52">
        <f>P10-P11</f>
        <v>27.01430715462756</v>
      </c>
    </row>
    <row r="13">
      <c r="A13" s="2" t="inlineStr">
        <is>
          <t>Earnings per Share</t>
        </is>
      </c>
      <c r="B13" s="11">
        <f>IFERROR(B12/B14,0)</f>
        <v>-5.321085849698505</v>
      </c>
      <c r="C13" s="11">
        <f>IFERROR(C12/C14,0)</f>
        <v>-2.228885728008276</v>
      </c>
      <c r="D13" s="11">
        <f>IFERROR(D12/D14,0)</f>
        <v>-1.813660683308073</v>
      </c>
      <c r="E13" s="11">
        <f>IFERROR(E12/E14,0)</f>
        <v>-1.4333009995360804</v>
      </c>
      <c r="F13" s="11">
        <f>IFERROR(F12/F14,0)</f>
        <v>-0.30479115978468524</v>
      </c>
      <c r="G13" s="11">
        <f>IFERROR(G12/G14,0)</f>
        <v>-0.29263112166313815</v>
      </c>
      <c r="H13" s="11">
        <f>IFERROR(H12/H14,0)</f>
        <v>-0.30446329558427304</v>
      </c>
      <c r="I13" s="11">
        <f>IFERROR(I12/I14,0)</f>
        <v>-0.30451657666100024</v>
      </c>
      <c r="J13" s="11">
        <f>IFERROR(J12/J14,0)</f>
        <v>-0.29029513987676203</v>
      </c>
      <c r="K13" s="11">
        <f>IFERROR(K12/K14,0)</f>
        <v>-0.26001377726759833</v>
      </c>
      <c r="L13" s="11">
        <f>IFERROR(L12/L14,0)</f>
        <v>-0.2129307491607789</v>
      </c>
      <c r="M13" s="11">
        <f>IFERROR(M12/M14,0)</f>
        <v>-0.14961475581779063</v>
      </c>
      <c r="N13" s="11">
        <f>IFERROR(N12/N14,0)</f>
        <v>-0.07209350566429795</v>
      </c>
      <c r="O13" s="11">
        <f>IFERROR(O12/O14,0)</f>
        <v>0.013412030332564242</v>
      </c>
      <c r="P13" s="11">
        <f>IFERROR(P12/P14,0)</f>
        <v>0.09164887393918944</v>
      </c>
    </row>
    <row r="14">
      <c r="A14" s="2" t="inlineStr">
        <is>
          <t>Shares</t>
        </is>
      </c>
      <c r="B14" s="52" t="n">
        <v>42.621</v>
      </c>
      <c r="C14" s="52" t="n">
        <v>108.268</v>
      </c>
      <c r="D14" s="52" t="n">
        <v>109.526</v>
      </c>
      <c r="E14" s="52" t="n">
        <v>118.555</v>
      </c>
      <c r="F14" s="52" t="n">
        <v>172.213</v>
      </c>
      <c r="G14" s="52">
        <f>Main!$C$4</f>
        <v>294.758746</v>
      </c>
      <c r="H14" s="52">
        <f>Main!$C$4</f>
        <v>294.758746</v>
      </c>
      <c r="I14" s="52">
        <f>Main!$C$4</f>
        <v>294.758746</v>
      </c>
      <c r="J14" s="52">
        <f>Main!$C$4</f>
        <v>294.758746</v>
      </c>
      <c r="K14" s="52">
        <f>Main!$C$4</f>
        <v>294.758746</v>
      </c>
      <c r="L14" s="52">
        <f>Main!$C$4</f>
        <v>294.758746</v>
      </c>
      <c r="M14" s="52">
        <f>Main!$C$4</f>
        <v>294.758746</v>
      </c>
      <c r="N14" s="52">
        <f>Main!$C$4</f>
        <v>294.758746</v>
      </c>
      <c r="O14" s="52">
        <f>Main!$C$4</f>
        <v>294.758746</v>
      </c>
      <c r="P14" s="52">
        <f>Main!$C$4</f>
        <v>294.758746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1.1047116293728334</v>
      </c>
      <c r="G16" s="15">
        <f>IFERROR(G2/F2-1,"")</f>
        <v>0.21389999999999998</v>
      </c>
      <c r="H16" s="15">
        <f>IFERROR(H2/G2-1,"")</f>
        <v>0.19291111111111103</v>
      </c>
      <c r="I16" s="15">
        <f>IFERROR(I2/H2-1,"")</f>
        <v>0.1719222222222223</v>
      </c>
      <c r="J16" s="15">
        <f>IFERROR(J2/I2-1,"")</f>
        <v>0.15093333333333336</v>
      </c>
      <c r="K16" s="15">
        <f>IFERROR(K2/J2-1,"")</f>
        <v>0.12994444444444442</v>
      </c>
      <c r="L16" s="15">
        <f>IFERROR(L2/K2-1,"")</f>
        <v>0.1089555555555557</v>
      </c>
      <c r="M16" s="15">
        <f>IFERROR(M2/L2-1,"")</f>
        <v>0.08796666666666675</v>
      </c>
      <c r="N16" s="15">
        <f>IFERROR(N2/M2-1,"")</f>
        <v>0.0669777777777778</v>
      </c>
      <c r="O16" s="15">
        <f>IFERROR(O2/N2-1,"")</f>
        <v>0.04598888888888886</v>
      </c>
      <c r="P16" s="15">
        <f>IFERROR(P2/O2-1,"")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-6.968011345729592</v>
      </c>
      <c r="F18" s="15">
        <f>IFERROR(F8/F2,"")</f>
        <v>-1.0399430988657206</v>
      </c>
      <c r="G18" s="15">
        <f>IFERROR(G8/G2,"")</f>
        <v>-1.3300000000000003</v>
      </c>
      <c r="H18" s="15">
        <f>IFERROR(H8/H2,"")</f>
        <v>-1.16</v>
      </c>
      <c r="I18" s="15">
        <f>IFERROR(I8/I2,"")</f>
        <v>-0.99</v>
      </c>
      <c r="J18" s="15">
        <f>IFERROR(J8/J2,"")</f>
        <v>-0.82</v>
      </c>
      <c r="K18" s="15">
        <f>IFERROR(K8/K2,"")</f>
        <v>-0.65</v>
      </c>
      <c r="L18" s="15">
        <f>IFERROR(L8/L2,"")</f>
        <v>-0.4800000000000001</v>
      </c>
      <c r="M18" s="15">
        <f>IFERROR(M8/M2,"")</f>
        <v>-0.31</v>
      </c>
      <c r="N18" s="15">
        <f>IFERROR(N8/N2,"")</f>
        <v>-0.14000000000000007</v>
      </c>
      <c r="O18" s="15">
        <f>IFERROR(O8/O2,"")</f>
        <v>0.029999999999999832</v>
      </c>
      <c r="P18" s="15">
        <f>IFERROR(P8/P2,"")</f>
        <v>0.19999999999999993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E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Invivyd,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0.1639</v>
      </c>
      <c r="C12" s="53" t="n">
        <v>0.2139</v>
      </c>
      <c r="D12" s="53" t="n">
        <v>0.2639</v>
      </c>
      <c r="E12" s="54">
        <f>CHOOSE($B$4,B12,C12,D12)</f>
        <v>0.2139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0.3515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Model'!F2</f>
        <v>53.426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-285.2029595434093</v>
      </c>
      <c r="C29" s="56">
        <f>NPV!B26</f>
        <v>-125.12295954340928</v>
      </c>
      <c r="D29" s="35">
        <f>NPV!B28</f>
        <v>-0.4244927800833068</v>
      </c>
      <c r="E29" s="57">
        <f>NPV!B30</f>
        <v>-1.6668124098072679</v>
      </c>
    </row>
    <row r="30">
      <c r="A30" s="58" t="n">
        <v>1</v>
      </c>
      <c r="B30" s="59">
        <f t="dataTable" ref="B30:E32" r1="B4"/>
        <v>-291.74414842555575</v>
      </c>
      <c r="C30" s="59">
        <v>-131.66414842555574</v>
      </c>
      <c r="D30" s="39">
        <v>-0.4466844502912757</v>
      </c>
      <c r="E30" s="60">
        <v>-1.7016720865398614</v>
      </c>
    </row>
    <row r="31">
      <c r="A31" s="58" t="n">
        <v>2</v>
      </c>
      <c r="B31" s="59">
        <v>-285.2029595434093</v>
      </c>
      <c r="C31" s="59">
        <v>-125.12295954340928</v>
      </c>
      <c r="D31" s="39">
        <v>-0.4244927800833068</v>
      </c>
      <c r="E31" s="60">
        <v>-1.6668124098072679</v>
      </c>
    </row>
    <row r="32">
      <c r="A32" s="58" t="n">
        <v>3</v>
      </c>
      <c r="B32" s="59">
        <v>-234.98248402934283</v>
      </c>
      <c r="C32" s="59">
        <v>-74.90248402934282</v>
      </c>
      <c r="D32" s="39">
        <v>-0.2541145429806613</v>
      </c>
      <c r="E32" s="60">
        <v>-1.3991745884082019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-0.4244927800833068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-0.3953615086137879</v>
      </c>
      <c r="C37" s="39">
        <v>-0.3699911929443586</v>
      </c>
      <c r="D37" s="39">
        <v>-0.3407242953184993</v>
      </c>
      <c r="E37" s="39">
        <v>-0.30677340120581953</v>
      </c>
      <c r="F37" s="39">
        <v>-0.267126031279477</v>
      </c>
    </row>
    <row r="38">
      <c r="A38" s="62" t="n">
        <v>0.115</v>
      </c>
      <c r="B38" s="39">
        <v>-0.43071673560280443</v>
      </c>
      <c r="C38" s="39">
        <v>-0.4123709322679262</v>
      </c>
      <c r="D38" s="39">
        <v>-0.3913754154422375</v>
      </c>
      <c r="E38" s="39">
        <v>-0.36725587337753696</v>
      </c>
      <c r="F38" s="39">
        <v>-0.3394193433208919</v>
      </c>
    </row>
    <row r="39">
      <c r="A39" s="62" t="n">
        <v>0.125</v>
      </c>
      <c r="B39" s="39">
        <v>-0.4531647217372643</v>
      </c>
      <c r="C39" s="39">
        <v>-0.43976002656511815</v>
      </c>
      <c r="D39" s="39">
        <v>-0.4244927800833068</v>
      </c>
      <c r="E39" s="39">
        <v>-0.4070632443832194</v>
      </c>
      <c r="F39" s="39">
        <v>-0.38710501229846905</v>
      </c>
    </row>
    <row r="40">
      <c r="A40" s="62" t="n">
        <v>0.135</v>
      </c>
      <c r="B40" s="39">
        <v>-0.4663663079206588</v>
      </c>
      <c r="C40" s="39">
        <v>-0.4565306733556089</v>
      </c>
      <c r="D40" s="39">
        <v>-0.4453501275841772</v>
      </c>
      <c r="E40" s="39">
        <v>-0.43262772847073433</v>
      </c>
      <c r="F40" s="39">
        <v>-0.418127094136857</v>
      </c>
    </row>
    <row r="41">
      <c r="A41" s="62" t="n">
        <v>0.145</v>
      </c>
      <c r="B41" s="39">
        <v>-0.47282213253879585</v>
      </c>
      <c r="C41" s="39">
        <v>-0.46562014728628776</v>
      </c>
      <c r="D41" s="39">
        <v>-0.45742525356041935</v>
      </c>
      <c r="E41" s="39">
        <v>-0.4481038034900799</v>
      </c>
      <c r="F41" s="39">
        <v>-0.43749780583817105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Invivyd, Inc.: free-cash-flow DCF ($mm)</t>
        </is>
      </c>
    </row>
    <row r="3">
      <c r="A3" s="20" t="inlineStr">
        <is>
          <t>Fiscal year</t>
        </is>
      </c>
      <c r="B3" s="43">
        <f>'Yearly Model'!F1</f>
        <v>2025</v>
      </c>
      <c r="C3" s="43">
        <f>'Yearly Model'!G1</f>
        <v>2026</v>
      </c>
      <c r="D3" s="43">
        <f>'Yearly Model'!H1</f>
        <v>2027</v>
      </c>
      <c r="E3" s="43">
        <f>'Yearly Model'!I1</f>
        <v>2028</v>
      </c>
      <c r="F3" s="43">
        <f>'Yearly Model'!J1</f>
        <v>2029</v>
      </c>
      <c r="G3" s="43">
        <f>'Yearly Model'!K1</f>
        <v>2030</v>
      </c>
      <c r="H3" s="43">
        <f>'Yearly Model'!L1</f>
        <v>2031</v>
      </c>
      <c r="I3" s="43">
        <f>'Yearly Model'!M1</f>
        <v>2032</v>
      </c>
      <c r="J3" s="43">
        <f>'Yearly Model'!N1</f>
        <v>2033</v>
      </c>
      <c r="K3" s="43">
        <f>'Yearly Model'!O1</f>
        <v>2034</v>
      </c>
      <c r="L3" s="43">
        <f>'Yearly Model'!P1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0.2139</v>
      </c>
      <c r="D5" s="63">
        <f>Assumptions!$E$12+(Assumptions!$E$11-Assumptions!$E$12)*(D4-1)/(Assumptions!$B$21-1)</f>
        <v>0.19291111111111112</v>
      </c>
      <c r="E5" s="63">
        <f>Assumptions!$E$12+(Assumptions!$E$11-Assumptions!$E$12)*(E4-1)/(Assumptions!$B$21-1)</f>
        <v>0.17192222222222223</v>
      </c>
      <c r="F5" s="63">
        <f>Assumptions!$E$12+(Assumptions!$E$11-Assumptions!$E$12)*(F4-1)/(Assumptions!$B$21-1)</f>
        <v>0.15093333333333334</v>
      </c>
      <c r="G5" s="63">
        <f>Assumptions!$E$12+(Assumptions!$E$11-Assumptions!$E$12)*(G4-1)/(Assumptions!$B$21-1)</f>
        <v>0.12994444444444445</v>
      </c>
      <c r="H5" s="63">
        <f>Assumptions!$E$12+(Assumptions!$E$11-Assumptions!$E$12)*(H4-1)/(Assumptions!$B$21-1)</f>
        <v>0.10895555555555556</v>
      </c>
      <c r="I5" s="63">
        <f>Assumptions!$E$12+(Assumptions!$E$11-Assumptions!$E$12)*(I4-1)/(Assumptions!$B$21-1)</f>
        <v>0.08796666666666667</v>
      </c>
      <c r="J5" s="63">
        <f>Assumptions!$E$12+(Assumptions!$E$11-Assumptions!$E$12)*(J4-1)/(Assumptions!$B$21-1)</f>
        <v>0.06697777777777777</v>
      </c>
      <c r="K5" s="63">
        <f>Assumptions!$E$12+(Assumptions!$E$11-Assumptions!$E$12)*(K4-1)/(Assumptions!$B$21-1)</f>
        <v>0.045988888888888885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-1.0399430988657206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Model'!F2</f>
        <v>53.426</v>
      </c>
      <c r="C7" s="55">
        <f>'Yearly Model'!G2</f>
        <v>64.8538214</v>
      </c>
      <c r="D7" s="55">
        <f>'Yearly Model'!H2</f>
        <v>77.36484414607555</v>
      </c>
      <c r="E7" s="55">
        <f>'Yearly Model'!I2</f>
        <v>90.66558007354475</v>
      </c>
      <c r="F7" s="55">
        <f>'Yearly Model'!J2</f>
        <v>104.3500382926451</v>
      </c>
      <c r="G7" s="55">
        <f>'Yearly Model'!K2</f>
        <v>117.90974604633936</v>
      </c>
      <c r="H7" s="55">
        <f>'Yearly Model'!L2</f>
        <v>130.75666793223274</v>
      </c>
      <c r="I7" s="55">
        <f>'Yearly Model'!M2</f>
        <v>142.2588961546715</v>
      </c>
      <c r="J7" s="55">
        <f>'Yearly Model'!N2</f>
        <v>151.78708088823106</v>
      </c>
      <c r="K7" s="55">
        <f>'Yearly Model'!O2</f>
        <v>158.7676000859687</v>
      </c>
      <c r="L7" s="55">
        <f>'Yearly Model'!P2</f>
        <v>162.73679008811789</v>
      </c>
    </row>
    <row r="8">
      <c r="A8" s="14" t="inlineStr">
        <is>
          <t>Operating income</t>
        </is>
      </c>
      <c r="B8" s="55">
        <f>'Yearly Model'!F8</f>
        <v>-55.55999999999999</v>
      </c>
      <c r="C8" s="55">
        <f>'Yearly Model'!G8</f>
        <v>-86.25558246200002</v>
      </c>
      <c r="D8" s="55">
        <f>'Yearly Model'!H8</f>
        <v>-89.74321920944764</v>
      </c>
      <c r="E8" s="55">
        <f>'Yearly Model'!I8</f>
        <v>-89.7589242728093</v>
      </c>
      <c r="F8" s="55">
        <f>'Yearly Model'!J8</f>
        <v>-85.56703139996897</v>
      </c>
      <c r="G8" s="55">
        <f>'Yearly Model'!K8</f>
        <v>-76.64133493012059</v>
      </c>
      <c r="H8" s="55">
        <f>'Yearly Model'!L8</f>
        <v>-62.76320060747173</v>
      </c>
      <c r="I8" s="55">
        <f>'Yearly Model'!M8</f>
        <v>-44.10025780794817</v>
      </c>
      <c r="J8" s="55">
        <f>'Yearly Model'!N8</f>
        <v>-21.250191324352357</v>
      </c>
      <c r="K8" s="55">
        <f>'Yearly Model'!O8</f>
        <v>4.763028002579034</v>
      </c>
      <c r="L8" s="55">
        <f>'Yearly Model'!P8</f>
        <v>32.547358017623566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0.8097147604384358</v>
      </c>
      <c r="L9" s="52">
        <f>MAX(0,L8)*Assumptions!$E$14</f>
        <v>5.5330508629960065</v>
      </c>
    </row>
    <row r="10">
      <c r="A10" s="14" t="inlineStr">
        <is>
          <t>NOPAT</t>
        </is>
      </c>
      <c r="C10" s="52">
        <f>C8-C9</f>
        <v>-86.25558246200002</v>
      </c>
      <c r="D10" s="52">
        <f>D8-D9</f>
        <v>-89.74321920944764</v>
      </c>
      <c r="E10" s="52">
        <f>E8-E9</f>
        <v>-89.7589242728093</v>
      </c>
      <c r="F10" s="52">
        <f>F8-F9</f>
        <v>-85.56703139996897</v>
      </c>
      <c r="G10" s="52">
        <f>G8-G9</f>
        <v>-76.64133493012059</v>
      </c>
      <c r="H10" s="52">
        <f>H8-H9</f>
        <v>-62.76320060747173</v>
      </c>
      <c r="I10" s="52">
        <f>I8-I9</f>
        <v>-44.10025780794817</v>
      </c>
      <c r="J10" s="52">
        <f>J8-J9</f>
        <v>-21.250191324352357</v>
      </c>
      <c r="K10" s="52">
        <f>K8-K9</f>
        <v>3.9533132421405983</v>
      </c>
      <c r="L10" s="52">
        <f>L8-L9</f>
        <v>27.01430715462756</v>
      </c>
    </row>
    <row r="11">
      <c r="A11" s="14" t="inlineStr">
        <is>
          <t>Reinvestment</t>
        </is>
      </c>
      <c r="C11" s="52">
        <f>(C7-B7)*Assumptions!$E$15</f>
        <v>2.85695535</v>
      </c>
      <c r="D11" s="52">
        <f>(D7-C7)*Assumptions!$E$15</f>
        <v>3.1277556865188885</v>
      </c>
      <c r="E11" s="52">
        <f>(E7-D7)*Assumptions!$E$15</f>
        <v>3.3251839818672977</v>
      </c>
      <c r="F11" s="52">
        <f>(F7-E7)*Assumptions!$E$15</f>
        <v>3.4211145547750874</v>
      </c>
      <c r="G11" s="52">
        <f>(G7-F7)*Assumptions!$E$15</f>
        <v>3.3899269384235673</v>
      </c>
      <c r="H11" s="52">
        <f>(H7-G7)*Assumptions!$E$15</f>
        <v>3.211730471473345</v>
      </c>
      <c r="I11" s="52">
        <f>(I7-H7)*Assumptions!$E$15</f>
        <v>2.87555705560969</v>
      </c>
      <c r="J11" s="52">
        <f>(J7-I7)*Assumptions!$E$15</f>
        <v>2.382046183389889</v>
      </c>
      <c r="K11" s="52">
        <f>(K7-J7)*Assumptions!$E$15</f>
        <v>1.7451297994344088</v>
      </c>
      <c r="L11" s="52">
        <f>(L7-K7)*Assumptions!$E$15</f>
        <v>0.9922975005372976</v>
      </c>
    </row>
    <row r="12">
      <c r="A12" s="20" t="inlineStr">
        <is>
          <t>Free cash flow</t>
        </is>
      </c>
      <c r="C12" s="64">
        <f>C10-C11</f>
        <v>-89.11253781200003</v>
      </c>
      <c r="D12" s="64">
        <f>D10-D11</f>
        <v>-92.87097489596653</v>
      </c>
      <c r="E12" s="64">
        <f>E10-E11</f>
        <v>-93.0841082546766</v>
      </c>
      <c r="F12" s="64">
        <f>F10-F11</f>
        <v>-88.98814595474406</v>
      </c>
      <c r="G12" s="64">
        <f>G10-G11</f>
        <v>-80.03126186854416</v>
      </c>
      <c r="H12" s="64">
        <f>H10-H11</f>
        <v>-65.97493107894508</v>
      </c>
      <c r="I12" s="64">
        <f>I10-I11</f>
        <v>-46.97581486355786</v>
      </c>
      <c r="J12" s="64">
        <f>J10-J11</f>
        <v>-23.632237507742246</v>
      </c>
      <c r="K12" s="64">
        <f>K10-K11</f>
        <v>2.2081834427061895</v>
      </c>
      <c r="L12" s="64">
        <f>L10-L11</f>
        <v>26.02200965409026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-43.60763321328132</v>
      </c>
      <c r="D16" s="64">
        <f>D12*D13*D15</f>
        <v>-82.51212209704009</v>
      </c>
      <c r="E16" s="64">
        <f>E12*E13*E15</f>
        <v>-73.51242889355254</v>
      </c>
      <c r="F16" s="64">
        <f>F12*F13*F15</f>
        <v>-62.46904486728993</v>
      </c>
      <c r="G16" s="64">
        <f>G12*G13*G15</f>
        <v>-49.93900089913305</v>
      </c>
      <c r="H16" s="64">
        <f>H12*H13*H15</f>
        <v>-36.59372395289392</v>
      </c>
      <c r="I16" s="64">
        <f>I12*I13*I15</f>
        <v>-23.160581666287378</v>
      </c>
      <c r="J16" s="64">
        <f>J12*J13*J15</f>
        <v>-10.356844608371121</v>
      </c>
      <c r="K16" s="64">
        <f>K12*K13*K15</f>
        <v>0.8602114999485958</v>
      </c>
      <c r="L16" s="64">
        <f>L12*L13*L15</f>
        <v>9.01069741995271</v>
      </c>
    </row>
    <row r="19">
      <c r="A19" s="14" t="inlineStr">
        <is>
          <t>PV of forecast free cash flow</t>
        </is>
      </c>
      <c r="B19" s="52">
        <f>SUM(C16:L16)</f>
        <v>-372.28047127794804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26.67255989544251</v>
      </c>
    </row>
    <row r="21">
      <c r="A21" s="14" t="inlineStr">
        <is>
          <t>Terminal value</t>
        </is>
      </c>
      <c r="B21" s="52">
        <f>B20/(Assumptions!$E$10-Assumptions!$E$11)</f>
        <v>266.7255989544251</v>
      </c>
    </row>
    <row r="22">
      <c r="A22" s="14" t="inlineStr">
        <is>
          <t>PV of terminal value</t>
        </is>
      </c>
      <c r="B22" s="52">
        <f>B21/(1+Assumptions!$E$10)^(L14+0.5)</f>
        <v>87.07751173453872</v>
      </c>
    </row>
    <row r="23">
      <c r="A23" s="20" t="inlineStr">
        <is>
          <t>Enterprise value</t>
        </is>
      </c>
      <c r="B23" s="66">
        <f>B19+B22</f>
        <v>-285.2029595434093</v>
      </c>
    </row>
    <row r="24">
      <c r="A24" s="14" t="inlineStr">
        <is>
          <t>Cash &amp; investments</t>
        </is>
      </c>
      <c r="B24" s="55">
        <f>Main!C7</f>
        <v>160.08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-125.12295954340928</v>
      </c>
    </row>
    <row r="27">
      <c r="A27" s="14" t="inlineStr">
        <is>
          <t>Shares (mm)</t>
        </is>
      </c>
      <c r="B27" s="55">
        <f>Main!C4</f>
        <v>294.758746</v>
      </c>
    </row>
    <row r="28">
      <c r="A28" s="20" t="inlineStr">
        <is>
          <t>NPV / share</t>
        </is>
      </c>
      <c r="B28" s="49">
        <f>B26/B27</f>
        <v>-0.4244927800833068</v>
      </c>
    </row>
    <row r="29">
      <c r="A29" s="14" t="inlineStr">
        <is>
          <t>Price</t>
        </is>
      </c>
      <c r="B29" s="50">
        <f>Main!C3</f>
        <v>0.6366</v>
      </c>
    </row>
    <row r="30">
      <c r="A30" s="14" t="inlineStr">
        <is>
          <t>Upside</t>
        </is>
      </c>
      <c r="B30" s="63">
        <f>B28/B29-1</f>
        <v>-1.6668124098072679</v>
      </c>
    </row>
    <row r="31">
      <c r="A31" s="14" t="inlineStr">
        <is>
          <t>Terminal value, % of EV</t>
        </is>
      </c>
      <c r="B31" s="63">
        <f>IFERROR(B22/B23,0)</f>
        <v>-0.30531770032801886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2026-10-21T01:05:40Z</dcterms:modified>
  <cp:lastModifiedBy>Wang, Eric</cp:lastModifiedBy>
</cp:coreProperties>
</file>