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Veracyte, Inc.</t>
        </is>
      </c>
      <c r="C2" s="10" t="n"/>
    </row>
    <row r="3">
      <c r="B3" t="inlineStr">
        <is>
          <t>Price</t>
        </is>
      </c>
      <c r="C3" s="11">
        <f>INDEX([1]Pharma!$F$1:$F$1000,MATCH("VCYT",[1]Pharma!$B$1:$B$1000,0))</f>
        <v>44.79</v>
      </c>
      <c r="F3" s="1" t="n"/>
    </row>
    <row r="4">
      <c r="B4" t="inlineStr">
        <is>
          <t>Shares</t>
        </is>
      </c>
      <c r="C4" s="51" t="n">
        <v>80.390731</v>
      </c>
      <c r="F4" s="1" t="n"/>
    </row>
    <row r="5">
      <c r="B5" t="inlineStr">
        <is>
          <t>Market Cap.</t>
        </is>
      </c>
      <c r="C5" s="13">
        <f>C3*C4</f>
        <v>3600.70084149</v>
      </c>
      <c r="F5" s="1" t="n"/>
    </row>
    <row r="6"/>
    <row r="7">
      <c r="B7" t="inlineStr">
        <is>
          <t>Cash</t>
        </is>
      </c>
      <c r="C7" s="51" t="n">
        <v>299.521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3301.17984149</v>
      </c>
    </row>
    <row r="10"/>
    <row r="11">
      <c r="B11" s="14" t="inlineStr">
        <is>
          <t>NPV / Share</t>
        </is>
      </c>
      <c r="C11" s="11">
        <f>NPV!B28</f>
        <v>26.3696919364776</v>
      </c>
    </row>
    <row r="12">
      <c r="B12" s="14" t="inlineStr">
        <is>
          <t>Upside</t>
        </is>
      </c>
      <c r="C12" s="15">
        <f>IFERROR(C11/C3-1,"")</f>
        <v>-0.41125938967453446</v>
      </c>
    </row>
    <row r="13">
      <c r="B13" s="14" t="inlineStr">
        <is>
          <t>Cash / Share</t>
        </is>
      </c>
      <c r="C13" s="11">
        <f>IFERROR((C7-C8)/C4,"")</f>
        <v>3.7258151067192062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2011</v>
      </c>
      <c r="C1" s="16" t="n">
        <v>2012</v>
      </c>
      <c r="D1" s="16" t="n">
        <v>2013</v>
      </c>
      <c r="E1" s="16" t="n">
        <v>2014</v>
      </c>
      <c r="F1" s="16" t="n">
        <v>2015</v>
      </c>
      <c r="G1" s="16" t="n">
        <v>2016</v>
      </c>
      <c r="H1" s="16" t="n">
        <v>2017</v>
      </c>
      <c r="I1" s="16" t="n">
        <v>2018</v>
      </c>
      <c r="J1" s="16" t="n">
        <v>2019</v>
      </c>
      <c r="K1" s="16" t="n">
        <v>2020</v>
      </c>
      <c r="L1" s="16" t="n">
        <v>2021</v>
      </c>
      <c r="M1" s="16" t="n">
        <v>2022</v>
      </c>
      <c r="N1" s="16" t="n">
        <v>2023</v>
      </c>
      <c r="O1" s="16" t="n">
        <v>2024</v>
      </c>
      <c r="P1" s="16" t="n">
        <v>2025</v>
      </c>
      <c r="Q1" s="16" t="n">
        <v>2026</v>
      </c>
      <c r="R1" s="16" t="n">
        <v>2027</v>
      </c>
      <c r="S1" s="16" t="n">
        <v>2028</v>
      </c>
      <c r="T1" s="16" t="n">
        <v>2029</v>
      </c>
      <c r="U1" s="16" t="n">
        <v>2030</v>
      </c>
      <c r="V1" s="16" t="n">
        <v>2031</v>
      </c>
      <c r="W1" s="16" t="n">
        <v>2032</v>
      </c>
      <c r="X1" s="16" t="n">
        <v>2033</v>
      </c>
      <c r="Y1" s="16" t="n">
        <v>2034</v>
      </c>
      <c r="Z1" s="16" t="n">
        <v>2035</v>
      </c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2.645</v>
      </c>
      <c r="C2" s="52" t="n">
        <v>11.628</v>
      </c>
      <c r="D2" s="52" t="n">
        <v>21.884</v>
      </c>
      <c r="E2" s="52" t="n">
        <v>38.19</v>
      </c>
      <c r="F2" s="52" t="n">
        <v>49.503</v>
      </c>
      <c r="G2" s="52" t="n">
        <v>65.08499999999999</v>
      </c>
      <c r="H2" s="52" t="n">
        <v>71.953</v>
      </c>
      <c r="I2" s="52" t="n">
        <v>92.008</v>
      </c>
      <c r="J2" s="52" t="n">
        <v>120.368</v>
      </c>
      <c r="K2" s="52" t="n">
        <v>117.483</v>
      </c>
      <c r="L2" s="52" t="n">
        <v>219.514</v>
      </c>
      <c r="M2" s="52" t="n">
        <v>296.536</v>
      </c>
      <c r="N2" s="52" t="n">
        <v>361.051</v>
      </c>
      <c r="O2" s="52" t="n">
        <v>445.764</v>
      </c>
      <c r="P2" s="52" t="n">
        <v>517.145</v>
      </c>
      <c r="Q2" s="52">
        <f>P2*(1+NPV!C5)</f>
        <v>611.7308205</v>
      </c>
      <c r="R2" s="52">
        <f>Q2*(1+NPV!D5)</f>
        <v>712.8839101742334</v>
      </c>
      <c r="S2" s="52">
        <f>R2*(1+NPV!E5)</f>
        <v>818.2560730303204</v>
      </c>
      <c r="T2" s="52">
        <f>S2*(1+NPV!F5)</f>
        <v>924.8475641437369</v>
      </c>
      <c r="U2" s="52">
        <f>T2*(1+NPV!G5)</f>
        <v>1029.0984367908281</v>
      </c>
      <c r="V2" s="52">
        <f>U2*(1+NPV!H5)</f>
        <v>1127.0457391191642</v>
      </c>
      <c r="W2" s="52">
        <f>V2*(1+NPV!I5)</f>
        <v>1214.5420566661155</v>
      </c>
      <c r="X2" s="52">
        <f>W2*(1+NPV!J5)</f>
        <v>1287.5225393600083</v>
      </c>
      <c r="Y2" s="52">
        <f>X2*(1+NPV!K5)</f>
        <v>1342.2994705067804</v>
      </c>
      <c r="Z2" s="52">
        <f>Y2*(1+NPV!L5)</f>
        <v>1375.8569572694498</v>
      </c>
    </row>
    <row r="3" customFormat="1" s="1">
      <c r="A3" s="5" t="inlineStr">
        <is>
          <t>Cost of Sales</t>
        </is>
      </c>
      <c r="B3" s="52" t="n">
        <v>2.925</v>
      </c>
      <c r="C3" s="52" t="n">
        <v>7.584</v>
      </c>
      <c r="D3" s="52" t="n">
        <v>12.607</v>
      </c>
      <c r="E3" s="52" t="n">
        <v>16.606</v>
      </c>
      <c r="F3" s="52" t="n">
        <v>21.497</v>
      </c>
      <c r="G3" s="52" t="n">
        <v>25.462</v>
      </c>
      <c r="H3" s="52" t="n">
        <v>28.195</v>
      </c>
      <c r="I3" s="52" t="n">
        <v>33.078</v>
      </c>
      <c r="J3" s="52" t="n">
        <v>36.077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>
        <f>Q2*(1-Assumptions!$B$19)</f>
        <v>183.33572690385</v>
      </c>
      <c r="R3" s="52">
        <f>R2*(1-Assumptions!$B$19)</f>
        <v>213.6513078792177</v>
      </c>
      <c r="S3" s="52">
        <f>S2*(1-Assumptions!$B$19)</f>
        <v>245.231345087187</v>
      </c>
      <c r="T3" s="52">
        <f>T2*(1-Assumptions!$B$19)</f>
        <v>277.1768149738779</v>
      </c>
      <c r="U3" s="52">
        <f>U2*(1-Assumptions!$B$19)</f>
        <v>308.42080150621115</v>
      </c>
      <c r="V3" s="52">
        <f>V2*(1-Assumptions!$B$19)</f>
        <v>337.77560801401347</v>
      </c>
      <c r="W3" s="52">
        <f>W2*(1-Assumptions!$B$19)</f>
        <v>363.9982543828348</v>
      </c>
      <c r="X3" s="52">
        <f>X2*(1-Assumptions!$B$19)</f>
        <v>385.87050504619447</v>
      </c>
      <c r="Y3" s="52">
        <f>Y2*(1-Assumptions!$B$19)</f>
        <v>402.28715131088205</v>
      </c>
      <c r="Z3" s="52">
        <f>Z2*(1-Assumptions!$B$19)</f>
        <v>412.3443300936541</v>
      </c>
    </row>
    <row r="4" customFormat="1" s="1">
      <c r="A4" s="5" t="inlineStr">
        <is>
          <t>Gross Margin</t>
        </is>
      </c>
      <c r="B4" s="52">
        <f>B2-B3</f>
        <v>-0.2799999999999998</v>
      </c>
      <c r="C4" s="52">
        <f>C2-C3</f>
        <v>4.0440000000000005</v>
      </c>
      <c r="D4" s="52">
        <f>D2-D3</f>
        <v>9.277000000000001</v>
      </c>
      <c r="E4" s="52">
        <f>E2-E3</f>
        <v>21.583999999999996</v>
      </c>
      <c r="F4" s="52">
        <f>F2-F3</f>
        <v>28.006</v>
      </c>
      <c r="G4" s="52">
        <f>G2-G3</f>
        <v>39.62299999999999</v>
      </c>
      <c r="H4" s="52">
        <f>H2-H3</f>
        <v>43.758</v>
      </c>
      <c r="I4" s="52">
        <f>I2-I3</f>
        <v>58.92999999999999</v>
      </c>
      <c r="J4" s="52">
        <f>J2-J3</f>
        <v>84.291</v>
      </c>
      <c r="K4" s="52">
        <f>K2-K3</f>
        <v>117.483</v>
      </c>
      <c r="L4" s="52">
        <f>L2-L3</f>
        <v>219.514</v>
      </c>
      <c r="M4" s="52">
        <f>M2-M3</f>
        <v>296.536</v>
      </c>
      <c r="N4" s="52">
        <f>N2-N3</f>
        <v>361.051</v>
      </c>
      <c r="O4" s="52">
        <f>O2-O3</f>
        <v>445.764</v>
      </c>
      <c r="P4" s="52">
        <f>P2-P3</f>
        <v>517.145</v>
      </c>
      <c r="Q4" s="52">
        <f>Q2-Q3</f>
        <v>428.39509359615005</v>
      </c>
      <c r="R4" s="52">
        <f>R2-R3</f>
        <v>499.2326022950157</v>
      </c>
      <c r="S4" s="52">
        <f>S2-S3</f>
        <v>573.0247279431334</v>
      </c>
      <c r="T4" s="52">
        <f>T2-T3</f>
        <v>647.6707491698589</v>
      </c>
      <c r="U4" s="52">
        <f>U2-U3</f>
        <v>720.677635284617</v>
      </c>
      <c r="V4" s="52">
        <f>V2-V3</f>
        <v>789.2701311051508</v>
      </c>
      <c r="W4" s="52">
        <f>W2-W3</f>
        <v>850.5438022832807</v>
      </c>
      <c r="X4" s="52">
        <f>X2-X3</f>
        <v>901.6520343138138</v>
      </c>
      <c r="Y4" s="52">
        <f>Y2-Y3</f>
        <v>940.0123191958983</v>
      </c>
      <c r="Z4" s="52">
        <f>Z2-Z3</f>
        <v>963.5126271757957</v>
      </c>
    </row>
    <row r="5">
      <c r="A5" s="2" t="inlineStr">
        <is>
          <t>Research &amp; Dev.</t>
        </is>
      </c>
      <c r="B5" s="52" t="n">
        <v>6.68</v>
      </c>
      <c r="C5" s="52" t="n">
        <v>6.608</v>
      </c>
      <c r="D5" s="52" t="n">
        <v>7.81</v>
      </c>
      <c r="E5" s="52" t="n">
        <v>9.804</v>
      </c>
      <c r="F5" s="52" t="n">
        <v>12.796</v>
      </c>
      <c r="G5" s="52" t="n">
        <v>15.324</v>
      </c>
      <c r="H5" s="52" t="n">
        <v>13.881</v>
      </c>
      <c r="I5" s="52" t="n">
        <v>14.82</v>
      </c>
      <c r="J5" s="52" t="n">
        <v>14.851</v>
      </c>
      <c r="K5" s="52" t="n">
        <v>17.204</v>
      </c>
      <c r="L5" s="52" t="n">
        <v>29.843</v>
      </c>
      <c r="M5" s="52" t="n">
        <v>40.603</v>
      </c>
      <c r="N5" s="52" t="n">
        <v>57.305</v>
      </c>
      <c r="O5" s="52" t="n">
        <v>69.294</v>
      </c>
      <c r="P5" s="52" t="n">
        <v>70.81399999999999</v>
      </c>
      <c r="Q5" s="52">
        <f>Q7*Assumptions!$B$20</f>
        <v>48.19451776688042</v>
      </c>
      <c r="R5" s="52">
        <f>R7*Assumptions!$B$20</f>
        <v>56.03403552219537</v>
      </c>
      <c r="S5" s="52">
        <f>S7*Assumptions!$B$20</f>
        <v>64.16760197074622</v>
      </c>
      <c r="T5" s="52">
        <f>T7*Assumptions!$B$20</f>
        <v>72.35822002408743</v>
      </c>
      <c r="U5" s="52">
        <f>U7*Assumptions!$B$20</f>
        <v>80.32734874608238</v>
      </c>
      <c r="V5" s="52">
        <f>V7*Assumptions!$B$20</f>
        <v>87.7676545600079</v>
      </c>
      <c r="W5" s="52">
        <f>W7*Assumptions!$B$20</f>
        <v>94.36035692788708</v>
      </c>
      <c r="X5" s="52">
        <f>X7*Assumptions!$B$20</f>
        <v>99.79609347967101</v>
      </c>
      <c r="Y5" s="52">
        <f>Y7*Assumptions!$B$20</f>
        <v>103.79762339203394</v>
      </c>
      <c r="Z5" s="52">
        <f>Z7*Assumptions!$B$20</f>
        <v>106.14221854831789</v>
      </c>
    </row>
    <row r="6">
      <c r="A6" s="18" t="inlineStr">
        <is>
          <t>SG&amp;A &amp; Other</t>
        </is>
      </c>
      <c r="B6" s="52" t="n">
        <v>8.305999999999999</v>
      </c>
      <c r="C6" s="52" t="n">
        <v>16.365</v>
      </c>
      <c r="D6" s="52" t="n">
        <v>24.64</v>
      </c>
      <c r="E6" s="52" t="n">
        <v>40.786</v>
      </c>
      <c r="F6" s="52" t="n">
        <v>48.676</v>
      </c>
      <c r="G6" s="52" t="n">
        <v>53.102</v>
      </c>
      <c r="H6" s="52" t="n">
        <v>56.415</v>
      </c>
      <c r="I6" s="52" t="n">
        <v>66.343</v>
      </c>
      <c r="J6" s="52" t="n">
        <v>84.56699999999999</v>
      </c>
      <c r="K6" s="52" t="n">
        <v>135.668</v>
      </c>
      <c r="L6" s="52" t="n">
        <v>271.574</v>
      </c>
      <c r="M6" s="52" t="n">
        <v>297.014</v>
      </c>
      <c r="N6" s="52" t="n">
        <v>389.541</v>
      </c>
      <c r="O6" s="52" t="n">
        <v>360.328</v>
      </c>
      <c r="P6" s="52" t="n">
        <v>388.554</v>
      </c>
      <c r="Q6" s="52">
        <f>Q7-Q5</f>
        <v>264.3509930429796</v>
      </c>
      <c r="R6" s="52">
        <f>R7-R5</f>
        <v>307.3514088500184</v>
      </c>
      <c r="S6" s="52">
        <f>S7-S5</f>
        <v>351.9647065295535</v>
      </c>
      <c r="T6" s="52">
        <f>T7-T5</f>
        <v>396.8909370711618</v>
      </c>
      <c r="U6" s="52">
        <f>U7-U5</f>
        <v>440.6022799574349</v>
      </c>
      <c r="V6" s="52">
        <f>V7-V5</f>
        <v>481.4129846099525</v>
      </c>
      <c r="W6" s="52">
        <f>W7-W5</f>
        <v>517.5745129027684</v>
      </c>
      <c r="X6" s="52">
        <f>X7-X5</f>
        <v>547.3899861550308</v>
      </c>
      <c r="Y6" s="52">
        <f>Y7-Y5</f>
        <v>569.3387150777062</v>
      </c>
      <c r="Z6" s="52">
        <f>Z7-Z5</f>
        <v>582.1990171735879</v>
      </c>
    </row>
    <row r="7">
      <c r="A7" s="2" t="inlineStr">
        <is>
          <t>Operating Expense</t>
        </is>
      </c>
      <c r="B7" s="52">
        <f>SUM(B5:B6)</f>
        <v>14.985999999999999</v>
      </c>
      <c r="C7" s="52">
        <f>SUM(C5:C6)</f>
        <v>22.973</v>
      </c>
      <c r="D7" s="52">
        <f>SUM(D5:D6)</f>
        <v>32.45</v>
      </c>
      <c r="E7" s="52">
        <f>SUM(E5:E6)</f>
        <v>50.59</v>
      </c>
      <c r="F7" s="52">
        <f>SUM(F5:F6)</f>
        <v>61.472</v>
      </c>
      <c r="G7" s="52">
        <f>SUM(G5:G6)</f>
        <v>68.426</v>
      </c>
      <c r="H7" s="52">
        <f>SUM(H5:H6)</f>
        <v>70.29599999999999</v>
      </c>
      <c r="I7" s="52">
        <f>SUM(I5:I6)</f>
        <v>81.16300000000001</v>
      </c>
      <c r="J7" s="52">
        <f>SUM(J5:J6)</f>
        <v>99.41799999999999</v>
      </c>
      <c r="K7" s="52">
        <f>SUM(K5:K6)</f>
        <v>152.872</v>
      </c>
      <c r="L7" s="52">
        <f>SUM(L5:L6)</f>
        <v>301.41700000000003</v>
      </c>
      <c r="M7" s="52">
        <f>SUM(M5:M6)</f>
        <v>337.617</v>
      </c>
      <c r="N7" s="52">
        <f>SUM(N5:N6)</f>
        <v>446.846</v>
      </c>
      <c r="O7" s="52">
        <f>SUM(O5:O6)</f>
        <v>429.62199999999996</v>
      </c>
      <c r="P7" s="52">
        <f>SUM(P5:P6)</f>
        <v>459.36799999999994</v>
      </c>
      <c r="Q7" s="52">
        <f>Q4-Q2*NPV!C6</f>
        <v>312.54551080986005</v>
      </c>
      <c r="R7" s="52">
        <f>R4-R2*NPV!D6</f>
        <v>363.3854443722138</v>
      </c>
      <c r="S7" s="52">
        <f>S4-S2*NPV!E6</f>
        <v>416.1323085002997</v>
      </c>
      <c r="T7" s="52">
        <f>T4-T2*NPV!F6</f>
        <v>469.2491570952492</v>
      </c>
      <c r="U7" s="52">
        <f>U4-U2*NPV!G6</f>
        <v>520.9296287035173</v>
      </c>
      <c r="V7" s="52">
        <f>V4-V2*NPV!H6</f>
        <v>569.1806391699604</v>
      </c>
      <c r="W7" s="52">
        <f>W4-W2*NPV!I6</f>
        <v>611.9348698306555</v>
      </c>
      <c r="X7" s="52">
        <f>X4-X2*NPV!J6</f>
        <v>647.1860796347017</v>
      </c>
      <c r="Y7" s="52">
        <f>Y4-Y2*NPV!K6</f>
        <v>673.1363384697402</v>
      </c>
      <c r="Z7" s="52">
        <f>Z4-Z2*NPV!L6</f>
        <v>688.3412357219058</v>
      </c>
    </row>
    <row r="8">
      <c r="A8" s="2" t="inlineStr">
        <is>
          <t>Operating Income</t>
        </is>
      </c>
      <c r="B8" s="52">
        <f>B4-B7</f>
        <v>-15.265999999999998</v>
      </c>
      <c r="C8" s="52">
        <f>C4-C7</f>
        <v>-18.929</v>
      </c>
      <c r="D8" s="52">
        <f>D4-D7</f>
        <v>-23.173000000000002</v>
      </c>
      <c r="E8" s="52">
        <f>E4-E7</f>
        <v>-29.006000000000007</v>
      </c>
      <c r="F8" s="52">
        <f>F4-F7</f>
        <v>-33.466</v>
      </c>
      <c r="G8" s="52">
        <f>G4-G7</f>
        <v>-28.80300000000001</v>
      </c>
      <c r="H8" s="52">
        <f>H4-H7</f>
        <v>-26.53799999999999</v>
      </c>
      <c r="I8" s="52">
        <f>I4-I7</f>
        <v>-22.23300000000002</v>
      </c>
      <c r="J8" s="52">
        <f>J4-J7</f>
        <v>-15.126999999999995</v>
      </c>
      <c r="K8" s="52">
        <f>K4-K7</f>
        <v>-35.38900000000001</v>
      </c>
      <c r="L8" s="52">
        <f>L4-L7</f>
        <v>-81.90300000000002</v>
      </c>
      <c r="M8" s="52">
        <f>M4-M7</f>
        <v>-41.08100000000002</v>
      </c>
      <c r="N8" s="52">
        <f>N4-N7</f>
        <v>-85.79500000000002</v>
      </c>
      <c r="O8" s="52">
        <f>O4-O7</f>
        <v>16.142000000000053</v>
      </c>
      <c r="P8" s="52">
        <f>P4-P7</f>
        <v>57.777000000000044</v>
      </c>
      <c r="Q8" s="52">
        <f>Q4-Q7</f>
        <v>115.84958278629</v>
      </c>
      <c r="R8" s="52">
        <f>R4-R7</f>
        <v>135.8471579228019</v>
      </c>
      <c r="S8" s="52">
        <f>S4-S7</f>
        <v>156.89241944283367</v>
      </c>
      <c r="T8" s="52">
        <f>T4-T7</f>
        <v>178.42159207460975</v>
      </c>
      <c r="U8" s="52">
        <f>U4-U7</f>
        <v>199.74800658109973</v>
      </c>
      <c r="V8" s="52">
        <f>V4-V7</f>
        <v>220.08949193519038</v>
      </c>
      <c r="W8" s="52">
        <f>W4-W7</f>
        <v>238.60893245262514</v>
      </c>
      <c r="X8" s="52">
        <f>X4-X7</f>
        <v>254.4659546791121</v>
      </c>
      <c r="Y8" s="52">
        <f>Y4-Y7</f>
        <v>266.8759807261581</v>
      </c>
      <c r="Z8" s="52">
        <f>Z4-Z7</f>
        <v>275.1713914538899</v>
      </c>
    </row>
    <row r="9">
      <c r="A9" s="18" t="inlineStr">
        <is>
          <t>Interest &amp; Other</t>
        </is>
      </c>
      <c r="B9" s="52" t="n">
        <v>0.821</v>
      </c>
      <c r="C9" s="52" t="n">
        <v>0.28</v>
      </c>
      <c r="D9" s="52" t="n">
        <v>-2.407</v>
      </c>
      <c r="E9" s="52" t="n">
        <v>-0.367</v>
      </c>
      <c r="F9" s="52" t="n">
        <v>-0.238</v>
      </c>
      <c r="G9" s="52" t="n">
        <v>-2.555</v>
      </c>
      <c r="H9" s="52" t="n">
        <v>-4.465</v>
      </c>
      <c r="I9" s="52" t="n">
        <v>-0.766</v>
      </c>
      <c r="J9" s="52" t="n">
        <v>2.528</v>
      </c>
      <c r="K9" s="52" t="n">
        <v>0.48</v>
      </c>
      <c r="L9" s="52" t="n">
        <v>0.217</v>
      </c>
      <c r="M9" s="52" t="n">
        <v>4.614</v>
      </c>
      <c r="N9" s="52" t="n">
        <v>9.186999999999999</v>
      </c>
      <c r="O9" s="52" t="n">
        <v>9.564</v>
      </c>
      <c r="P9" s="52" t="n">
        <v>10.471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</row>
    <row r="10">
      <c r="A10" s="2" t="inlineStr">
        <is>
          <t>Pretax</t>
        </is>
      </c>
      <c r="B10" s="52">
        <f>B8+B9</f>
        <v>-14.444999999999999</v>
      </c>
      <c r="C10" s="52">
        <f>C8+C9</f>
        <v>-18.648999999999997</v>
      </c>
      <c r="D10" s="52">
        <f>D8+D9</f>
        <v>-25.580000000000002</v>
      </c>
      <c r="E10" s="52">
        <f>E8+E9</f>
        <v>-29.373000000000008</v>
      </c>
      <c r="F10" s="52">
        <f>F8+F9</f>
        <v>-33.704</v>
      </c>
      <c r="G10" s="52">
        <f>G8+G9</f>
        <v>-31.35800000000001</v>
      </c>
      <c r="H10" s="52">
        <f>H8+H9</f>
        <v>-31.00299999999999</v>
      </c>
      <c r="I10" s="52">
        <f>I8+I9</f>
        <v>-22.999000000000017</v>
      </c>
      <c r="J10" s="52">
        <f>J8+J9</f>
        <v>-12.598999999999995</v>
      </c>
      <c r="K10" s="52">
        <f>K8+K9</f>
        <v>-34.90900000000001</v>
      </c>
      <c r="L10" s="52">
        <f>L8+L9</f>
        <v>-81.68600000000002</v>
      </c>
      <c r="M10" s="52">
        <f>M8+M9</f>
        <v>-36.46700000000002</v>
      </c>
      <c r="N10" s="52">
        <f>N8+N9</f>
        <v>-76.60800000000002</v>
      </c>
      <c r="O10" s="52">
        <f>O8+O9</f>
        <v>25.706000000000053</v>
      </c>
      <c r="P10" s="52">
        <f>P8+P9</f>
        <v>68.24800000000005</v>
      </c>
      <c r="Q10" s="52">
        <f>Q8+Q9</f>
        <v>115.84958278629</v>
      </c>
      <c r="R10" s="52">
        <f>R8+R9</f>
        <v>135.8471579228019</v>
      </c>
      <c r="S10" s="52">
        <f>S8+S9</f>
        <v>156.89241944283367</v>
      </c>
      <c r="T10" s="52">
        <f>T8+T9</f>
        <v>178.42159207460975</v>
      </c>
      <c r="U10" s="52">
        <f>U8+U9</f>
        <v>199.74800658109973</v>
      </c>
      <c r="V10" s="52">
        <f>V8+V9</f>
        <v>220.08949193519038</v>
      </c>
      <c r="W10" s="52">
        <f>W8+W9</f>
        <v>238.60893245262514</v>
      </c>
      <c r="X10" s="52">
        <f>X8+X9</f>
        <v>254.4659546791121</v>
      </c>
      <c r="Y10" s="52">
        <f>Y8+Y9</f>
        <v>266.8759807261581</v>
      </c>
      <c r="Z10" s="52">
        <f>Z8+Z9</f>
        <v>275.1713914538899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-6.086</v>
      </c>
      <c r="M11" s="52" t="n">
        <v>0.133</v>
      </c>
      <c r="N11" s="52" t="n">
        <v>-2.208</v>
      </c>
      <c r="O11" s="52" t="n">
        <v>1.606</v>
      </c>
      <c r="P11" s="52" t="n">
        <v>1.848</v>
      </c>
      <c r="Q11" s="52">
        <f>MAX(0,Q10)*Assumptions!$E$14</f>
        <v>19.6944290736693</v>
      </c>
      <c r="R11" s="52">
        <f>MAX(0,R10)*Assumptions!$E$14</f>
        <v>23.094016846876325</v>
      </c>
      <c r="S11" s="52">
        <f>MAX(0,S10)*Assumptions!$E$14</f>
        <v>26.671711305281725</v>
      </c>
      <c r="T11" s="52">
        <f>MAX(0,T10)*Assumptions!$E$14</f>
        <v>30.33167065268366</v>
      </c>
      <c r="U11" s="52">
        <f>MAX(0,U10)*Assumptions!$E$14</f>
        <v>33.957161118786956</v>
      </c>
      <c r="V11" s="52">
        <f>MAX(0,V10)*Assumptions!$E$14</f>
        <v>37.415213628982364</v>
      </c>
      <c r="W11" s="52">
        <f>MAX(0,W10)*Assumptions!$E$14</f>
        <v>40.563518516946274</v>
      </c>
      <c r="X11" s="52">
        <f>MAX(0,X10)*Assumptions!$E$14</f>
        <v>43.25921229544906</v>
      </c>
      <c r="Y11" s="52">
        <f>MAX(0,Y10)*Assumptions!$E$14</f>
        <v>45.36891672344688</v>
      </c>
      <c r="Z11" s="52">
        <f>MAX(0,Z10)*Assumptions!$E$14</f>
        <v>46.779136547161286</v>
      </c>
    </row>
    <row r="12">
      <c r="A12" s="2" t="inlineStr">
        <is>
          <t>Net Income</t>
        </is>
      </c>
      <c r="B12" s="52" t="n">
        <v>-14.445</v>
      </c>
      <c r="C12" s="52" t="n">
        <v>-18.649</v>
      </c>
      <c r="D12" s="52" t="n">
        <v>-25.58</v>
      </c>
      <c r="E12" s="52" t="n">
        <v>-29.373</v>
      </c>
      <c r="F12" s="52" t="n">
        <v>-33.704</v>
      </c>
      <c r="G12" s="52" t="n">
        <v>-31.358</v>
      </c>
      <c r="H12" s="52" t="n">
        <v>-31.003</v>
      </c>
      <c r="I12" s="52" t="n">
        <v>-22.999</v>
      </c>
      <c r="J12" s="52" t="n">
        <v>-12.599</v>
      </c>
      <c r="K12" s="52" t="n">
        <v>-34.909</v>
      </c>
      <c r="L12" s="52" t="n">
        <v>-75.59999999999999</v>
      </c>
      <c r="M12" s="52" t="n">
        <v>-36.6</v>
      </c>
      <c r="N12" s="52" t="n">
        <v>-74.40000000000001</v>
      </c>
      <c r="O12" s="52" t="n">
        <v>24.1</v>
      </c>
      <c r="P12" s="52" t="n">
        <v>66.40000000000001</v>
      </c>
      <c r="Q12" s="52">
        <f>Q10-Q11</f>
        <v>96.1551537126207</v>
      </c>
      <c r="R12" s="52">
        <f>R10-R11</f>
        <v>112.75314107592557</v>
      </c>
      <c r="S12" s="52">
        <f>S10-S11</f>
        <v>130.22070813755195</v>
      </c>
      <c r="T12" s="52">
        <f>T10-T11</f>
        <v>148.08992142192608</v>
      </c>
      <c r="U12" s="52">
        <f>U10-U11</f>
        <v>165.79084546231277</v>
      </c>
      <c r="V12" s="52">
        <f>V10-V11</f>
        <v>182.674278306208</v>
      </c>
      <c r="W12" s="52">
        <f>W10-W11</f>
        <v>198.04541393567888</v>
      </c>
      <c r="X12" s="52">
        <f>X10-X11</f>
        <v>211.20674238366303</v>
      </c>
      <c r="Y12" s="52">
        <f>Y10-Y11</f>
        <v>221.50706400271122</v>
      </c>
      <c r="Z12" s="52">
        <f>Z10-Z11</f>
        <v>228.39225490672862</v>
      </c>
    </row>
    <row r="13">
      <c r="A13" s="2" t="inlineStr">
        <is>
          <t>Earnings per Share</t>
        </is>
      </c>
      <c r="B13" s="11">
        <f>IFERROR(B12/B14,0)</f>
        <v>-24.905172413793107</v>
      </c>
      <c r="C13" s="11">
        <f>IFERROR(C12/C14,0)</f>
        <v>-28.69076923076923</v>
      </c>
      <c r="D13" s="11">
        <f>IFERROR(D12/D14,0)</f>
        <v>-6.15051695119019</v>
      </c>
      <c r="E13" s="11">
        <f>IFERROR(E12/E14,0)</f>
        <v>-1.3574102315264107</v>
      </c>
      <c r="F13" s="11">
        <f>IFERROR(F12/F14,0)</f>
        <v>-1.2966069092867585</v>
      </c>
      <c r="G13" s="11">
        <f>IFERROR(G12/G14,0)</f>
        <v>-1.087686437738467</v>
      </c>
      <c r="H13" s="11">
        <f>IFERROR(H12/H14,0)</f>
        <v>-0.9138418911749101</v>
      </c>
      <c r="I13" s="11">
        <f>IFERROR(I12/I14,0)</f>
        <v>-0.6212587790383576</v>
      </c>
      <c r="J13" s="11">
        <f>IFERROR(J12/J14,0)</f>
        <v>-0.27307208808357536</v>
      </c>
      <c r="K13" s="11">
        <f>IFERROR(K12/K14,0)</f>
        <v>-0.6557035256109244</v>
      </c>
      <c r="L13" s="11">
        <f>IFERROR(L12/L14,0)</f>
        <v>-1.1135660627485637</v>
      </c>
      <c r="M13" s="11">
        <f>IFERROR(M12/M14,0)</f>
        <v>-0.5115375476945869</v>
      </c>
      <c r="N13" s="11">
        <f>IFERROR(N12/N14,0)</f>
        <v>-1.0241726777159847</v>
      </c>
      <c r="O13" s="11">
        <f>IFERROR(O12/O14,0)</f>
        <v>0.30833002827424744</v>
      </c>
      <c r="P13" s="11">
        <f>IFERROR(P12/P14,0)</f>
        <v>0.824097402355628</v>
      </c>
      <c r="Q13" s="11">
        <f>IFERROR(Q12/Q14,0)</f>
        <v>1.1960975166729197</v>
      </c>
      <c r="R13" s="11">
        <f>IFERROR(R12/R14,0)</f>
        <v>1.4025639482731607</v>
      </c>
      <c r="S13" s="11">
        <f>IFERROR(S12/S14,0)</f>
        <v>1.6198472948025806</v>
      </c>
      <c r="T13" s="11">
        <f>IFERROR(T12/T14,0)</f>
        <v>1.8421268171068885</v>
      </c>
      <c r="U13" s="11">
        <f>IFERROR(U12/U14,0)</f>
        <v>2.0623129482715212</v>
      </c>
      <c r="V13" s="11">
        <f>IFERROR(V12/V14,0)</f>
        <v>2.272330106143804</v>
      </c>
      <c r="W13" s="11">
        <f>IFERROR(W12/W14,0)</f>
        <v>2.463535428427425</v>
      </c>
      <c r="X13" s="11">
        <f>IFERROR(X12/X14,0)</f>
        <v>2.6272524177403365</v>
      </c>
      <c r="Y13" s="11">
        <f>IFERROR(Y12/Y14,0)</f>
        <v>2.7553806421129723</v>
      </c>
      <c r="Z13" s="11">
        <f>IFERROR(Z12/Z14,0)</f>
        <v>2.8410272187564587</v>
      </c>
    </row>
    <row r="14">
      <c r="A14" s="2" t="inlineStr">
        <is>
          <t>Shares</t>
        </is>
      </c>
      <c r="B14" s="52" t="n">
        <v>0.58</v>
      </c>
      <c r="C14" s="52" t="n">
        <v>0.65</v>
      </c>
      <c r="D14" s="52" t="n">
        <v>4.159</v>
      </c>
      <c r="E14" s="52" t="n">
        <v>21.639</v>
      </c>
      <c r="F14" s="52" t="n">
        <v>25.994</v>
      </c>
      <c r="G14" s="52" t="n">
        <v>28.83</v>
      </c>
      <c r="H14" s="52" t="n">
        <v>33.926</v>
      </c>
      <c r="I14" s="52" t="n">
        <v>37.02</v>
      </c>
      <c r="J14" s="52" t="n">
        <v>46.138</v>
      </c>
      <c r="K14" s="52" t="n">
        <v>53.239</v>
      </c>
      <c r="L14" s="52" t="n">
        <v>67.89</v>
      </c>
      <c r="M14" s="52" t="n">
        <v>71.54900000000001</v>
      </c>
      <c r="N14" s="52" t="n">
        <v>72.64400000000001</v>
      </c>
      <c r="O14" s="52" t="n">
        <v>78.163</v>
      </c>
      <c r="P14" s="52" t="n">
        <v>80.57299999999999</v>
      </c>
      <c r="Q14" s="52">
        <f>Main!$C$4</f>
        <v>80.390731</v>
      </c>
      <c r="R14" s="52">
        <f>Main!$C$4</f>
        <v>80.390731</v>
      </c>
      <c r="S14" s="52">
        <f>Main!$C$4</f>
        <v>80.390731</v>
      </c>
      <c r="T14" s="52">
        <f>Main!$C$4</f>
        <v>80.390731</v>
      </c>
      <c r="U14" s="52">
        <f>Main!$C$4</f>
        <v>80.390731</v>
      </c>
      <c r="V14" s="52">
        <f>Main!$C$4</f>
        <v>80.390731</v>
      </c>
      <c r="W14" s="52">
        <f>Main!$C$4</f>
        <v>80.390731</v>
      </c>
      <c r="X14" s="52">
        <f>Main!$C$4</f>
        <v>80.390731</v>
      </c>
      <c r="Y14" s="52">
        <f>Main!$C$4</f>
        <v>80.390731</v>
      </c>
      <c r="Z14" s="52">
        <f>Main!$C$4</f>
        <v>80.390731</v>
      </c>
    </row>
    <row r="15"/>
    <row r="16" customFormat="1" s="4">
      <c r="A16" s="3" t="inlineStr">
        <is>
          <t>Revenue Change</t>
        </is>
      </c>
      <c r="C16" s="15">
        <f>IFERROR(C2/B2-1,"")</f>
        <v>3.396219281663516</v>
      </c>
      <c r="D16" s="15">
        <f>IFERROR(D2/C2-1,"")</f>
        <v>0.8820089439284486</v>
      </c>
      <c r="E16" s="15">
        <f>IFERROR(E2/D2-1,"")</f>
        <v>0.745110583074392</v>
      </c>
      <c r="F16" s="15">
        <f>IFERROR(F2/E2-1,"")</f>
        <v>0.2962293794186961</v>
      </c>
      <c r="G16" s="15">
        <f>IFERROR(G2/F2-1,"")</f>
        <v>0.31476880189079437</v>
      </c>
      <c r="H16" s="15">
        <f>IFERROR(H2/G2-1,"")</f>
        <v>0.10552354613198145</v>
      </c>
      <c r="I16" s="15">
        <f>IFERROR(I2/H2-1,"")</f>
        <v>0.27872361124623013</v>
      </c>
      <c r="J16" s="15">
        <f>IFERROR(J2/I2-1,"")</f>
        <v>0.3082340666029042</v>
      </c>
      <c r="K16" s="15">
        <f>IFERROR(K2/J2-1,"")</f>
        <v>-0.023968164296158334</v>
      </c>
      <c r="L16" s="15">
        <f>IFERROR(L2/K2-1,"")</f>
        <v>0.8684745878127049</v>
      </c>
      <c r="M16" s="15">
        <f>IFERROR(M2/L2-1,"")</f>
        <v>0.3508751150268319</v>
      </c>
      <c r="N16" s="15">
        <f>IFERROR(N2/M2-1,"")</f>
        <v>0.2175621172471469</v>
      </c>
      <c r="O16" s="15">
        <f>IFERROR(O2/N2-1,"")</f>
        <v>0.2346289028419808</v>
      </c>
      <c r="P16" s="15">
        <f>IFERROR(P2/O2-1,"")</f>
        <v>0.1601318186304861</v>
      </c>
      <c r="Q16" s="15">
        <f>IFERROR(Q2/P2-1,"")</f>
        <v>0.18290000000000006</v>
      </c>
      <c r="R16" s="15">
        <f>IFERROR(R2/Q2-1,"")</f>
        <v>0.16535555555555548</v>
      </c>
      <c r="S16" s="15">
        <f>IFERROR(S2/R2-1,"")</f>
        <v>0.14781111111111112</v>
      </c>
      <c r="T16" s="15">
        <f>IFERROR(T2/S2-1,"")</f>
        <v>0.13026666666666675</v>
      </c>
      <c r="U16" s="15">
        <f>IFERROR(U2/T2-1,"")</f>
        <v>0.11272222222222217</v>
      </c>
      <c r="V16" s="15">
        <f>IFERROR(V2/U2-1,"")</f>
        <v>0.0951777777777778</v>
      </c>
      <c r="W16" s="15">
        <f>IFERROR(W2/V2-1,"")</f>
        <v>0.07763333333333344</v>
      </c>
      <c r="X16" s="15">
        <f>IFERROR(X2/W2-1,"")</f>
        <v>0.06008888888888886</v>
      </c>
      <c r="Y16" s="15">
        <f>IFERROR(Y2/X2-1,"")</f>
        <v>0.042544444444444496</v>
      </c>
      <c r="Z16" s="15">
        <f>IFERROR(Z2/Y2-1,"")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-0.10586011342155002</v>
      </c>
      <c r="C17" s="15">
        <f>IFERROR(C4/C2,"")</f>
        <v>0.34778121775025805</v>
      </c>
      <c r="D17" s="15">
        <f>IFERROR(D4/D2,"")</f>
        <v>0.4239170169987206</v>
      </c>
      <c r="E17" s="15">
        <f>IFERROR(E4/E2,"")</f>
        <v>0.5651741293532337</v>
      </c>
      <c r="F17" s="15">
        <f>IFERROR(F4/F2,"")</f>
        <v>0.5657434902935176</v>
      </c>
      <c r="G17" s="15">
        <f>IFERROR(G4/G2,"")</f>
        <v>0.6087885073365598</v>
      </c>
      <c r="H17" s="15">
        <f>IFERROR(H4/H2,"")</f>
        <v>0.6081469848373243</v>
      </c>
      <c r="I17" s="15">
        <f>IFERROR(I4/I2,"")</f>
        <v>0.6404877836709851</v>
      </c>
      <c r="J17" s="15">
        <f>IFERROR(J4/J2,"")</f>
        <v>0.7002774823873454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0.7003</v>
      </c>
      <c r="R17" s="15">
        <f>IFERROR(R4/R2,"")</f>
        <v>0.7003</v>
      </c>
      <c r="S17" s="15">
        <f>IFERROR(S4/S2,"")</f>
        <v>0.7003</v>
      </c>
      <c r="T17" s="15">
        <f>IFERROR(T4/T2,"")</f>
        <v>0.7002999999999999</v>
      </c>
      <c r="U17" s="15">
        <f>IFERROR(U4/U2,"")</f>
        <v>0.7003000000000001</v>
      </c>
      <c r="V17" s="15">
        <f>IFERROR(V4/V2,"")</f>
        <v>0.7003</v>
      </c>
      <c r="W17" s="15">
        <f>IFERROR(W4/W2,"")</f>
        <v>0.7003</v>
      </c>
      <c r="X17" s="15">
        <f>IFERROR(X4/X2,"")</f>
        <v>0.7003</v>
      </c>
      <c r="Y17" s="15">
        <f>IFERROR(Y4/Y2,"")</f>
        <v>0.7003</v>
      </c>
      <c r="Z17" s="15">
        <f>IFERROR(Z4/Z2,"")</f>
        <v>0.7003</v>
      </c>
    </row>
    <row r="18">
      <c r="A18" s="14" t="inlineStr">
        <is>
          <t>Operating Margin</t>
        </is>
      </c>
      <c r="B18" s="15">
        <f>IFERROR(B8/B2,"")</f>
        <v>-5.771644612476369</v>
      </c>
      <c r="C18" s="15">
        <f>IFERROR(C8/C2,"")</f>
        <v>-1.6278809769521843</v>
      </c>
      <c r="D18" s="15">
        <f>IFERROR(D8/D2,"")</f>
        <v>-1.0589014805337233</v>
      </c>
      <c r="E18" s="15">
        <f>IFERROR(E8/E2,"")</f>
        <v>-0.7595181984812781</v>
      </c>
      <c r="F18" s="15">
        <f>IFERROR(F8/F2,"")</f>
        <v>-0.6760398359695372</v>
      </c>
      <c r="G18" s="15">
        <f>IFERROR(G8/G2,"")</f>
        <v>-0.4425443650610742</v>
      </c>
      <c r="H18" s="15">
        <f>IFERROR(H8/H2,"")</f>
        <v>-0.36882409350548256</v>
      </c>
      <c r="I18" s="15">
        <f>IFERROR(I8/I2,"")</f>
        <v>-0.24164203112772822</v>
      </c>
      <c r="J18" s="15">
        <f>IFERROR(J8/J2,"")</f>
        <v>-0.12567293632859228</v>
      </c>
      <c r="K18" s="15">
        <f>IFERROR(K8/K2,"")</f>
        <v>-0.30122656043853163</v>
      </c>
      <c r="L18" s="15">
        <f>IFERROR(L8/L2,"")</f>
        <v>-0.37311059886840936</v>
      </c>
      <c r="M18" s="15">
        <f>IFERROR(M8/M2,"")</f>
        <v>-0.13853629913400065</v>
      </c>
      <c r="N18" s="15">
        <f>IFERROR(N8/N2,"")</f>
        <v>-0.23762570938731653</v>
      </c>
      <c r="O18" s="15">
        <f>IFERROR(O8/O2,"")</f>
        <v>0.03621198661174983</v>
      </c>
      <c r="P18" s="15">
        <f>IFERROR(P8/P2,"")</f>
        <v>0.11172301772230235</v>
      </c>
      <c r="Q18" s="15">
        <f>IFERROR(Q8/Q2,"")</f>
        <v>0.18938</v>
      </c>
      <c r="R18" s="15">
        <f>IFERROR(R8/R2,"")</f>
        <v>0.19055999999999998</v>
      </c>
      <c r="S18" s="15">
        <f>IFERROR(S8/S2,"")</f>
        <v>0.19174000000000005</v>
      </c>
      <c r="T18" s="15">
        <f>IFERROR(T8/T2,"")</f>
        <v>0.19292000000000004</v>
      </c>
      <c r="U18" s="15">
        <f>IFERROR(U8/U2,"")</f>
        <v>0.1941</v>
      </c>
      <c r="V18" s="15">
        <f>IFERROR(V8/V2,"")</f>
        <v>0.19528</v>
      </c>
      <c r="W18" s="15">
        <f>IFERROR(W8/W2,"")</f>
        <v>0.19646000000000008</v>
      </c>
      <c r="X18" s="15">
        <f>IFERROR(X8/X2,"")</f>
        <v>0.19764000000000004</v>
      </c>
      <c r="Y18" s="15">
        <f>IFERROR(Y8/Y2,"")</f>
        <v>0.19882000000000002</v>
      </c>
      <c r="Z18" s="15">
        <f>IFERROR(Z8/Z2,"")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Veracyte,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0.1329</v>
      </c>
      <c r="C12" s="53" t="n">
        <v>0.1829</v>
      </c>
      <c r="D12" s="53" t="n">
        <v>0.2329</v>
      </c>
      <c r="E12" s="54">
        <f>CHOOSE($B$4,B12,C12,D12)</f>
        <v>0.1829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0.1882</v>
      </c>
    </row>
    <row r="19">
      <c r="A19" s="14" t="inlineStr">
        <is>
          <t>Gross margin (forecast)</t>
        </is>
      </c>
      <c r="B19" s="53" t="n">
        <v>0.7003</v>
      </c>
    </row>
    <row r="20">
      <c r="A20" s="14" t="inlineStr">
        <is>
          <t>R&amp;D share of operating expense (forecast)</t>
        </is>
      </c>
      <c r="B20" s="53" t="n">
        <v>0.1542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Model'!P2</f>
        <v>517.145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1820.3578110182398</v>
      </c>
      <c r="C29" s="56">
        <f>NPV!B26</f>
        <v>2119.87881101824</v>
      </c>
      <c r="D29" s="35">
        <f>NPV!B28</f>
        <v>26.3696919364776</v>
      </c>
      <c r="E29" s="57">
        <f>NPV!B30</f>
        <v>-0.41125938967453446</v>
      </c>
    </row>
    <row r="30">
      <c r="A30" s="58" t="n">
        <v>1</v>
      </c>
      <c r="B30" s="59">
        <f t="dataTable" ref="B30:E32" r1="B4"/>
        <v>1035.5546980618772</v>
      </c>
      <c r="C30" s="59">
        <v>1335.0756980618771</v>
      </c>
      <c r="D30" s="39">
        <v>16.607333724355325</v>
      </c>
      <c r="E30" s="60">
        <v>-0.6292178226310488</v>
      </c>
    </row>
    <row r="31">
      <c r="A31" s="58" t="n">
        <v>2</v>
      </c>
      <c r="B31" s="59">
        <v>1820.3578110182398</v>
      </c>
      <c r="C31" s="59">
        <v>2119.87881101824</v>
      </c>
      <c r="D31" s="39">
        <v>26.3696919364776</v>
      </c>
      <c r="E31" s="60">
        <v>-0.41125938967453446</v>
      </c>
    </row>
    <row r="32">
      <c r="A32" s="58" t="n">
        <v>3</v>
      </c>
      <c r="B32" s="59">
        <v>3271.2741728196124</v>
      </c>
      <c r="C32" s="59">
        <v>3570.7951728196126</v>
      </c>
      <c r="D32" s="39">
        <v>44.41799606001359</v>
      </c>
      <c r="E32" s="60">
        <v>-0.008305513283911714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26.3696919364776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30.8014204871735</v>
      </c>
      <c r="C37" s="39">
        <v>32.348561485632914</v>
      </c>
      <c r="D37" s="39">
        <v>34.13155604139701</v>
      </c>
      <c r="E37" s="39">
        <v>36.20934701408317</v>
      </c>
      <c r="F37" s="39">
        <v>38.66231086705238</v>
      </c>
    </row>
    <row r="38">
      <c r="A38" s="62" t="n">
        <v>0.1</v>
      </c>
      <c r="B38" s="39">
        <v>27.284263402329646</v>
      </c>
      <c r="C38" s="39">
        <v>28.42662324337493</v>
      </c>
      <c r="D38" s="39">
        <v>29.719503403219594</v>
      </c>
      <c r="E38" s="39">
        <v>31.195141499489125</v>
      </c>
      <c r="F38" s="39">
        <v>32.89569428614045</v>
      </c>
    </row>
    <row r="39">
      <c r="A39" s="62" t="n">
        <v>0.11</v>
      </c>
      <c r="B39" s="39">
        <v>24.52960516213899</v>
      </c>
      <c r="C39" s="39">
        <v>25.399248797306218</v>
      </c>
      <c r="D39" s="39">
        <v>26.3696919364776</v>
      </c>
      <c r="E39" s="39">
        <v>27.459820563829194</v>
      </c>
      <c r="F39" s="39">
        <v>28.693556819026206</v>
      </c>
    </row>
    <row r="40">
      <c r="A40" s="62" t="n">
        <v>0.12</v>
      </c>
      <c r="B40" s="39">
        <v>22.31779095683746</v>
      </c>
      <c r="C40" s="39">
        <v>22.9961834284289</v>
      </c>
      <c r="D40" s="39">
        <v>23.744694706406676</v>
      </c>
      <c r="E40" s="39">
        <v>24.574999496245063</v>
      </c>
      <c r="F40" s="39">
        <v>25.50151940378882</v>
      </c>
    </row>
    <row r="41">
      <c r="A41" s="62" t="n">
        <v>0.13</v>
      </c>
      <c r="B41" s="39">
        <v>20.505743754819175</v>
      </c>
      <c r="C41" s="39">
        <v>21.045631980638937</v>
      </c>
      <c r="D41" s="39">
        <v>21.635823380241195</v>
      </c>
      <c r="E41" s="39">
        <v>22.283853371218544</v>
      </c>
      <c r="F41" s="39">
        <v>22.998843699516193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Veracyte, Inc.: free-cash-flow DCF ($mm)</t>
        </is>
      </c>
    </row>
    <row r="3">
      <c r="A3" s="20" t="inlineStr">
        <is>
          <t>Fiscal year</t>
        </is>
      </c>
      <c r="B3" s="43">
        <f>'Yearly Model'!P1</f>
        <v>2025</v>
      </c>
      <c r="C3" s="43">
        <f>'Yearly Model'!Q1</f>
        <v>2026</v>
      </c>
      <c r="D3" s="43">
        <f>'Yearly Model'!R1</f>
        <v>2027</v>
      </c>
      <c r="E3" s="43">
        <f>'Yearly Model'!S1</f>
        <v>2028</v>
      </c>
      <c r="F3" s="43">
        <f>'Yearly Model'!T1</f>
        <v>2029</v>
      </c>
      <c r="G3" s="43">
        <f>'Yearly Model'!U1</f>
        <v>2030</v>
      </c>
      <c r="H3" s="43">
        <f>'Yearly Model'!V1</f>
        <v>2031</v>
      </c>
      <c r="I3" s="43">
        <f>'Yearly Model'!W1</f>
        <v>2032</v>
      </c>
      <c r="J3" s="43">
        <f>'Yearly Model'!X1</f>
        <v>2033</v>
      </c>
      <c r="K3" s="43">
        <f>'Yearly Model'!Y1</f>
        <v>2034</v>
      </c>
      <c r="L3" s="43">
        <f>'Yearly Model'!Z1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0.1829</v>
      </c>
      <c r="D5" s="63">
        <f>Assumptions!$E$12+(Assumptions!$E$11-Assumptions!$E$12)*(D4-1)/(Assumptions!$B$21-1)</f>
        <v>0.16535555555555556</v>
      </c>
      <c r="E5" s="63">
        <f>Assumptions!$E$12+(Assumptions!$E$11-Assumptions!$E$12)*(E4-1)/(Assumptions!$B$21-1)</f>
        <v>0.14781111111111112</v>
      </c>
      <c r="F5" s="63">
        <f>Assumptions!$E$12+(Assumptions!$E$11-Assumptions!$E$12)*(F4-1)/(Assumptions!$B$21-1)</f>
        <v>0.13026666666666667</v>
      </c>
      <c r="G5" s="63">
        <f>Assumptions!$E$12+(Assumptions!$E$11-Assumptions!$E$12)*(G4-1)/(Assumptions!$B$21-1)</f>
        <v>0.11272222222222222</v>
      </c>
      <c r="H5" s="63">
        <f>Assumptions!$E$12+(Assumptions!$E$11-Assumptions!$E$12)*(H4-1)/(Assumptions!$B$21-1)</f>
        <v>0.09517777777777778</v>
      </c>
      <c r="I5" s="63">
        <f>Assumptions!$E$12+(Assumptions!$E$11-Assumptions!$E$12)*(I4-1)/(Assumptions!$B$21-1)</f>
        <v>0.07763333333333333</v>
      </c>
      <c r="J5" s="63">
        <f>Assumptions!$E$12+(Assumptions!$E$11-Assumptions!$E$12)*(J4-1)/(Assumptions!$B$21-1)</f>
        <v>0.06008888888888887</v>
      </c>
      <c r="K5" s="63">
        <f>Assumptions!$E$12+(Assumptions!$E$11-Assumptions!$E$12)*(K4-1)/(Assumptions!$B$21-1)</f>
        <v>0.04254444444444444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0.11172301772230235</v>
      </c>
      <c r="C6" s="63">
        <f>Assumptions!$B$18+(Assumptions!$E$13-Assumptions!$B$18)*C4/Assumptions!$B$21</f>
        <v>0.18938</v>
      </c>
      <c r="D6" s="63">
        <f>Assumptions!$B$18+(Assumptions!$E$13-Assumptions!$B$18)*D4/Assumptions!$B$21</f>
        <v>0.19056</v>
      </c>
      <c r="E6" s="63">
        <f>Assumptions!$B$18+(Assumptions!$E$13-Assumptions!$B$18)*E4/Assumptions!$B$21</f>
        <v>0.19174000000000002</v>
      </c>
      <c r="F6" s="63">
        <f>Assumptions!$B$18+(Assumptions!$E$13-Assumptions!$B$18)*F4/Assumptions!$B$21</f>
        <v>0.19292</v>
      </c>
      <c r="G6" s="63">
        <f>Assumptions!$B$18+(Assumptions!$E$13-Assumptions!$B$18)*G4/Assumptions!$B$21</f>
        <v>0.1941</v>
      </c>
      <c r="H6" s="63">
        <f>Assumptions!$B$18+(Assumptions!$E$13-Assumptions!$B$18)*H4/Assumptions!$B$21</f>
        <v>0.19528</v>
      </c>
      <c r="I6" s="63">
        <f>Assumptions!$B$18+(Assumptions!$E$13-Assumptions!$B$18)*I4/Assumptions!$B$21</f>
        <v>0.19646000000000002</v>
      </c>
      <c r="J6" s="63">
        <f>Assumptions!$B$18+(Assumptions!$E$13-Assumptions!$B$18)*J4/Assumptions!$B$21</f>
        <v>0.19764</v>
      </c>
      <c r="K6" s="63">
        <f>Assumptions!$B$18+(Assumptions!$E$13-Assumptions!$B$18)*K4/Assumptions!$B$21</f>
        <v>0.19882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Model'!P2</f>
        <v>517.145</v>
      </c>
      <c r="C7" s="55">
        <f>'Yearly Model'!Q2</f>
        <v>611.7308205</v>
      </c>
      <c r="D7" s="55">
        <f>'Yearly Model'!R2</f>
        <v>712.8839101742334</v>
      </c>
      <c r="E7" s="55">
        <f>'Yearly Model'!S2</f>
        <v>818.2560730303204</v>
      </c>
      <c r="F7" s="55">
        <f>'Yearly Model'!T2</f>
        <v>924.8475641437369</v>
      </c>
      <c r="G7" s="55">
        <f>'Yearly Model'!U2</f>
        <v>1029.0984367908281</v>
      </c>
      <c r="H7" s="55">
        <f>'Yearly Model'!V2</f>
        <v>1127.0457391191642</v>
      </c>
      <c r="I7" s="55">
        <f>'Yearly Model'!W2</f>
        <v>1214.5420566661155</v>
      </c>
      <c r="J7" s="55">
        <f>'Yearly Model'!X2</f>
        <v>1287.5225393600083</v>
      </c>
      <c r="K7" s="55">
        <f>'Yearly Model'!Y2</f>
        <v>1342.2994705067804</v>
      </c>
      <c r="L7" s="55">
        <f>'Yearly Model'!Z2</f>
        <v>1375.8569572694498</v>
      </c>
    </row>
    <row r="8">
      <c r="A8" s="14" t="inlineStr">
        <is>
          <t>Operating income</t>
        </is>
      </c>
      <c r="B8" s="55">
        <f>'Yearly Model'!P8</f>
        <v>57.777000000000044</v>
      </c>
      <c r="C8" s="55">
        <f>'Yearly Model'!Q8</f>
        <v>115.84958278629</v>
      </c>
      <c r="D8" s="55">
        <f>'Yearly Model'!R8</f>
        <v>135.8471579228019</v>
      </c>
      <c r="E8" s="55">
        <f>'Yearly Model'!S8</f>
        <v>156.89241944283367</v>
      </c>
      <c r="F8" s="55">
        <f>'Yearly Model'!T8</f>
        <v>178.42159207460975</v>
      </c>
      <c r="G8" s="55">
        <f>'Yearly Model'!U8</f>
        <v>199.74800658109973</v>
      </c>
      <c r="H8" s="55">
        <f>'Yearly Model'!V8</f>
        <v>220.08949193519038</v>
      </c>
      <c r="I8" s="55">
        <f>'Yearly Model'!W8</f>
        <v>238.60893245262514</v>
      </c>
      <c r="J8" s="55">
        <f>'Yearly Model'!X8</f>
        <v>254.4659546791121</v>
      </c>
      <c r="K8" s="55">
        <f>'Yearly Model'!Y8</f>
        <v>266.8759807261581</v>
      </c>
      <c r="L8" s="55">
        <f>'Yearly Model'!Z8</f>
        <v>275.1713914538899</v>
      </c>
    </row>
    <row r="9">
      <c r="A9" s="14" t="inlineStr">
        <is>
          <t>Tax on operating income</t>
        </is>
      </c>
      <c r="C9" s="52">
        <f>MAX(0,C8)*Assumptions!$E$14</f>
        <v>19.6944290736693</v>
      </c>
      <c r="D9" s="52">
        <f>MAX(0,D8)*Assumptions!$E$14</f>
        <v>23.094016846876325</v>
      </c>
      <c r="E9" s="52">
        <f>MAX(0,E8)*Assumptions!$E$14</f>
        <v>26.671711305281725</v>
      </c>
      <c r="F9" s="52">
        <f>MAX(0,F8)*Assumptions!$E$14</f>
        <v>30.33167065268366</v>
      </c>
      <c r="G9" s="52">
        <f>MAX(0,G8)*Assumptions!$E$14</f>
        <v>33.957161118786956</v>
      </c>
      <c r="H9" s="52">
        <f>MAX(0,H8)*Assumptions!$E$14</f>
        <v>37.415213628982364</v>
      </c>
      <c r="I9" s="52">
        <f>MAX(0,I8)*Assumptions!$E$14</f>
        <v>40.563518516946274</v>
      </c>
      <c r="J9" s="52">
        <f>MAX(0,J8)*Assumptions!$E$14</f>
        <v>43.25921229544906</v>
      </c>
      <c r="K9" s="52">
        <f>MAX(0,K8)*Assumptions!$E$14</f>
        <v>45.36891672344688</v>
      </c>
      <c r="L9" s="52">
        <f>MAX(0,L8)*Assumptions!$E$14</f>
        <v>46.779136547161286</v>
      </c>
    </row>
    <row r="10">
      <c r="A10" s="14" t="inlineStr">
        <is>
          <t>NOPAT</t>
        </is>
      </c>
      <c r="C10" s="52">
        <f>C8-C9</f>
        <v>96.1551537126207</v>
      </c>
      <c r="D10" s="52">
        <f>D8-D9</f>
        <v>112.75314107592557</v>
      </c>
      <c r="E10" s="52">
        <f>E8-E9</f>
        <v>130.22070813755195</v>
      </c>
      <c r="F10" s="52">
        <f>F8-F9</f>
        <v>148.08992142192608</v>
      </c>
      <c r="G10" s="52">
        <f>G8-G9</f>
        <v>165.79084546231277</v>
      </c>
      <c r="H10" s="52">
        <f>H8-H9</f>
        <v>182.674278306208</v>
      </c>
      <c r="I10" s="52">
        <f>I8-I9</f>
        <v>198.04541393567888</v>
      </c>
      <c r="J10" s="52">
        <f>J8-J9</f>
        <v>211.20674238366303</v>
      </c>
      <c r="K10" s="52">
        <f>K8-K9</f>
        <v>221.50706400271122</v>
      </c>
      <c r="L10" s="52">
        <f>L8-L9</f>
        <v>228.39225490672862</v>
      </c>
    </row>
    <row r="11">
      <c r="A11" s="14" t="inlineStr">
        <is>
          <t>Reinvestment</t>
        </is>
      </c>
      <c r="C11" s="52">
        <f>(C7-B7)*Assumptions!$E$15</f>
        <v>23.646455125000017</v>
      </c>
      <c r="D11" s="52">
        <f>(D7-C7)*Assumptions!$E$15</f>
        <v>25.288272418558336</v>
      </c>
      <c r="E11" s="52">
        <f>(E7-D7)*Assumptions!$E$15</f>
        <v>26.343040714021754</v>
      </c>
      <c r="F11" s="52">
        <f>(F7-E7)*Assumptions!$E$15</f>
        <v>26.647872778354127</v>
      </c>
      <c r="G11" s="52">
        <f>(G7-F7)*Assumptions!$E$15</f>
        <v>26.062718161772807</v>
      </c>
      <c r="H11" s="52">
        <f>(H7-G7)*Assumptions!$E$15</f>
        <v>24.48682558208401</v>
      </c>
      <c r="I11" s="52">
        <f>(I7-H7)*Assumptions!$E$15</f>
        <v>21.874079386737833</v>
      </c>
      <c r="J11" s="52">
        <f>(J7-I7)*Assumptions!$E$15</f>
        <v>18.245120673473195</v>
      </c>
      <c r="K11" s="52">
        <f>(K7-J7)*Assumptions!$E$15</f>
        <v>13.694232786693021</v>
      </c>
      <c r="L11" s="52">
        <f>(L7-K7)*Assumptions!$E$15</f>
        <v>8.38937169066736</v>
      </c>
    </row>
    <row r="12">
      <c r="A12" s="20" t="inlineStr">
        <is>
          <t>Free cash flow</t>
        </is>
      </c>
      <c r="C12" s="64">
        <f>C10-C11</f>
        <v>72.50869858762069</v>
      </c>
      <c r="D12" s="64">
        <f>D10-D11</f>
        <v>87.46486865736723</v>
      </c>
      <c r="E12" s="64">
        <f>E10-E11</f>
        <v>103.8776674235302</v>
      </c>
      <c r="F12" s="64">
        <f>F10-F11</f>
        <v>121.44204864357195</v>
      </c>
      <c r="G12" s="64">
        <f>G10-G11</f>
        <v>139.72812730053997</v>
      </c>
      <c r="H12" s="64">
        <f>H10-H11</f>
        <v>158.187452724124</v>
      </c>
      <c r="I12" s="64">
        <f>I10-I11</f>
        <v>176.17133454894105</v>
      </c>
      <c r="J12" s="64">
        <f>J10-J11</f>
        <v>192.96162171018983</v>
      </c>
      <c r="K12" s="64">
        <f>K10-K11</f>
        <v>207.8128312160182</v>
      </c>
      <c r="L12" s="64">
        <f>L10-L11</f>
        <v>220.00288321606126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35.60271772116712</v>
      </c>
      <c r="D16" s="64">
        <f>D12*D13*D15</f>
        <v>78.76347075588447</v>
      </c>
      <c r="E16" s="64">
        <f>E12*E13*E15</f>
        <v>84.27337891703186</v>
      </c>
      <c r="F16" s="64">
        <f>F12*F13*F15</f>
        <v>88.75939314992873</v>
      </c>
      <c r="G16" s="64">
        <f>G12*G13*G15</f>
        <v>92.00387073502591</v>
      </c>
      <c r="H16" s="64">
        <f>H12*H13*H15</f>
        <v>93.8363949631934</v>
      </c>
      <c r="I16" s="64">
        <f>I12*I13*I15</f>
        <v>94.14809726149643</v>
      </c>
      <c r="J16" s="64">
        <f>J12*J13*J15</f>
        <v>92.90182910162656</v>
      </c>
      <c r="K16" s="64">
        <f>K12*K13*K15</f>
        <v>90.1369180535095</v>
      </c>
      <c r="L16" s="64">
        <f>L12*L13*L15</f>
        <v>85.96778540922912</v>
      </c>
    </row>
    <row r="19">
      <c r="A19" s="14" t="inlineStr">
        <is>
          <t>PV of forecast free cash flow</t>
        </is>
      </c>
      <c r="B19" s="52">
        <f>SUM(C16:L16)</f>
        <v>836.3938560680931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225.50295529646277</v>
      </c>
    </row>
    <row r="21">
      <c r="A21" s="14" t="inlineStr">
        <is>
          <t>Terminal value</t>
        </is>
      </c>
      <c r="B21" s="52">
        <f>B20/(Assumptions!$E$10-Assumptions!$E$11)</f>
        <v>2652.9759446642684</v>
      </c>
    </row>
    <row r="22">
      <c r="A22" s="14" t="inlineStr">
        <is>
          <t>PV of terminal value</t>
        </is>
      </c>
      <c r="B22" s="52">
        <f>B21/(1+Assumptions!$E$10)^(L14+0.5)</f>
        <v>983.9639549501468</v>
      </c>
    </row>
    <row r="23">
      <c r="A23" s="20" t="inlineStr">
        <is>
          <t>Enterprise value</t>
        </is>
      </c>
      <c r="B23" s="66">
        <f>B19+B22</f>
        <v>1820.3578110182398</v>
      </c>
    </row>
    <row r="24">
      <c r="A24" s="14" t="inlineStr">
        <is>
          <t>Cash &amp; investments</t>
        </is>
      </c>
      <c r="B24" s="55">
        <f>Main!C7</f>
        <v>299.521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2119.87881101824</v>
      </c>
    </row>
    <row r="27">
      <c r="A27" s="14" t="inlineStr">
        <is>
          <t>Shares (mm)</t>
        </is>
      </c>
      <c r="B27" s="55">
        <f>Main!C4</f>
        <v>80.390731</v>
      </c>
    </row>
    <row r="28">
      <c r="A28" s="20" t="inlineStr">
        <is>
          <t>NPV / share</t>
        </is>
      </c>
      <c r="B28" s="49">
        <f>B26/B27</f>
        <v>26.3696919364776</v>
      </c>
    </row>
    <row r="29">
      <c r="A29" s="14" t="inlineStr">
        <is>
          <t>Price</t>
        </is>
      </c>
      <c r="B29" s="50">
        <f>Main!C3</f>
        <v>44.79</v>
      </c>
    </row>
    <row r="30">
      <c r="A30" s="14" t="inlineStr">
        <is>
          <t>Upside</t>
        </is>
      </c>
      <c r="B30" s="63">
        <f>B28/B29-1</f>
        <v>-0.41125938967453446</v>
      </c>
    </row>
    <row r="31">
      <c r="A31" s="14" t="inlineStr">
        <is>
          <t>Terminal value, % of EV</t>
        </is>
      </c>
      <c r="B31" s="63">
        <f>IFERROR(B22/B23,0)</f>
        <v>0.5405332671381536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2026-10-21T06:22:04Z</dcterms:modified>
  <cp:lastModifiedBy>Wang, Eric</cp:lastModifiedBy>
</cp:coreProperties>
</file>