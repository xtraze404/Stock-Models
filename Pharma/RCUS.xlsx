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Arcus Biosciences, Inc.</t>
        </is>
      </c>
      <c r="C2" s="10" t="n"/>
    </row>
    <row r="3">
      <c r="B3" t="inlineStr">
        <is>
          <t>Price</t>
        </is>
      </c>
      <c r="C3" s="11">
        <f>INDEX([1]Pharma!$F$1:$F$1000,MATCH("RCUS",[1]Pharma!$B$1:$B$1000,0))</f>
        <v>23.75</v>
      </c>
      <c r="F3" s="1" t="n"/>
    </row>
    <row r="4">
      <c r="B4" t="inlineStr">
        <is>
          <t>Shares</t>
        </is>
      </c>
      <c r="C4" s="51" t="n">
        <v>127.333376</v>
      </c>
      <c r="F4" s="1" t="n"/>
    </row>
    <row r="5">
      <c r="B5" t="inlineStr">
        <is>
          <t>Market Cap.</t>
        </is>
      </c>
      <c r="C5" s="13">
        <f>C3*C4</f>
        <v>3024.16768</v>
      </c>
      <c r="F5" s="1" t="n"/>
    </row>
    <row r="6"/>
    <row r="7">
      <c r="B7" t="inlineStr">
        <is>
          <t>Cash</t>
        </is>
      </c>
      <c r="C7" s="51">
        <f>150+552</f>
        <v>702.0</v>
      </c>
    </row>
    <row r="8">
      <c r="B8" t="inlineStr">
        <is>
          <t>Debt</t>
        </is>
      </c>
      <c r="C8" s="51" t="n">
        <v>101</v>
      </c>
    </row>
    <row r="9">
      <c r="B9" t="inlineStr">
        <is>
          <t>Enterprise V.</t>
        </is>
      </c>
      <c r="C9" s="13">
        <f>C5-C7+C8</f>
        <v>2423.16768</v>
      </c>
    </row>
    <row r="10"/>
    <row r="11">
      <c r="B11" s="14" t="inlineStr">
        <is>
          <t>NPV / Share</t>
        </is>
      </c>
      <c r="C11" s="11">
        <f>NPV!B28</f>
        <v>-0.19540691435743784</v>
      </c>
    </row>
    <row r="12">
      <c r="B12" s="14" t="inlineStr">
        <is>
          <t>Upside</t>
        </is>
      </c>
      <c r="C12" s="15">
        <f>IFERROR(C11/C3-1,"")</f>
        <v>-1.0082276595518922</v>
      </c>
    </row>
    <row r="13">
      <c r="B13" s="14" t="inlineStr">
        <is>
          <t>Cash / Share</t>
        </is>
      </c>
      <c r="C13" s="11">
        <f>IFERROR((C7-C8)/C4,"")</f>
        <v>4.7198937064230515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1.413</v>
      </c>
      <c r="D2" s="52" t="n">
        <v>8.353</v>
      </c>
      <c r="E2" s="52" t="n">
        <v>15</v>
      </c>
      <c r="F2" s="52" t="n">
        <v>78</v>
      </c>
      <c r="G2" s="52" t="n">
        <v>383</v>
      </c>
      <c r="H2" s="52" t="n">
        <v>112</v>
      </c>
      <c r="I2" s="52" t="n">
        <v>117</v>
      </c>
      <c r="J2" s="52" t="n">
        <v>258</v>
      </c>
      <c r="K2" s="52" t="n">
        <v>247</v>
      </c>
      <c r="L2" s="52">
        <f>K2*(1+NPV!C5)</f>
        <v>222.3</v>
      </c>
      <c r="M2" s="52">
        <f>L2*(1+NPV!D5)</f>
        <v>203.1575</v>
      </c>
      <c r="N2" s="52">
        <f>M2*(1+NPV!E5)</f>
        <v>188.4850138888889</v>
      </c>
      <c r="O2" s="52">
        <f>N2*(1+NPV!F5)</f>
        <v>177.49005474537037</v>
      </c>
      <c r="P2" s="52">
        <f>O2*(1+NPV!G5)</f>
        <v>169.60160786779835</v>
      </c>
      <c r="Q2" s="52">
        <f>P2*(1+NPV!H5)</f>
        <v>164.4193365162823</v>
      </c>
      <c r="R2" s="52">
        <f>Q2*(1+NPV!I5)</f>
        <v>161.67901424101092</v>
      </c>
      <c r="S2" s="52">
        <f>R2*(1+NPV!J5)</f>
        <v>161.22990586811923</v>
      </c>
      <c r="T2" s="52">
        <f>S2*(1+NPV!K5)</f>
        <v>163.02134926665389</v>
      </c>
      <c r="U2" s="52">
        <f>T2*(1+NPV!L5)</f>
        <v>167.0968829983202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1.413</v>
      </c>
      <c r="D4" s="52">
        <f>D2-D3</f>
        <v>8.353</v>
      </c>
      <c r="E4" s="52">
        <f>E2-E3</f>
        <v>15.0</v>
      </c>
      <c r="F4" s="52">
        <f>F2-F3</f>
        <v>78.0</v>
      </c>
      <c r="G4" s="52">
        <f>G2-G3</f>
        <v>383.0</v>
      </c>
      <c r="H4" s="52">
        <f>H2-H3</f>
        <v>112.0</v>
      </c>
      <c r="I4" s="52">
        <f>I2-I3</f>
        <v>117.0</v>
      </c>
      <c r="J4" s="52">
        <f>J2-J3</f>
        <v>258.0</v>
      </c>
      <c r="K4" s="52">
        <f>K2-K3</f>
        <v>247.0</v>
      </c>
      <c r="L4" s="52">
        <f>L2-L3</f>
        <v>222.3</v>
      </c>
      <c r="M4" s="52">
        <f>M2-M3</f>
        <v>203.1575</v>
      </c>
      <c r="N4" s="52">
        <f>N2-N3</f>
        <v>188.4850138888889</v>
      </c>
      <c r="O4" s="52">
        <f>O2-O3</f>
        <v>177.49005474537037</v>
      </c>
      <c r="P4" s="52">
        <f>P2-P3</f>
        <v>169.60160786779835</v>
      </c>
      <c r="Q4" s="52">
        <f>Q2-Q3</f>
        <v>164.4193365162823</v>
      </c>
      <c r="R4" s="52">
        <f>R2-R3</f>
        <v>161.67901424101092</v>
      </c>
      <c r="S4" s="52">
        <f>S2-S3</f>
        <v>161.22990586811923</v>
      </c>
      <c r="T4" s="52">
        <f>T2-T3</f>
        <v>163.02134926665389</v>
      </c>
      <c r="U4" s="52">
        <f>U2-U3</f>
        <v>167.0968829983202</v>
      </c>
    </row>
    <row r="5">
      <c r="A5" s="2" t="inlineStr">
        <is>
          <t>Research &amp; Dev.</t>
        </is>
      </c>
      <c r="B5" s="52" t="n">
        <v>14.247</v>
      </c>
      <c r="C5" s="52" t="n">
        <v>47.218</v>
      </c>
      <c r="D5" s="52" t="n">
        <v>49.646</v>
      </c>
      <c r="E5" s="52" t="n">
        <v>78.48099999999999</v>
      </c>
      <c r="F5" s="52" t="n">
        <v>159</v>
      </c>
      <c r="G5" s="52" t="n">
        <v>257</v>
      </c>
      <c r="H5" s="52" t="n">
        <v>288</v>
      </c>
      <c r="I5" s="52" t="n">
        <v>340</v>
      </c>
      <c r="J5" s="52" t="n">
        <v>448</v>
      </c>
      <c r="K5" s="52" t="n">
        <v>523</v>
      </c>
      <c r="L5" s="52">
        <f>L7*Assumptions!$B$20</f>
        <v>427.93772580000007</v>
      </c>
      <c r="M5" s="52">
        <f>M7*Assumptions!$B$20</f>
        <v>362.55324924</v>
      </c>
      <c r="N5" s="52">
        <f>N7*Assumptions!$B$20</f>
        <v>309.89537376525004</v>
      </c>
      <c r="O5" s="52">
        <f>O7*Assumptions!$B$20</f>
        <v>266.8889554797375</v>
      </c>
      <c r="P5" s="52">
        <f>P7*Assumptions!$B$20</f>
        <v>231.20599989361875</v>
      </c>
      <c r="Q5" s="52">
        <f>Q7*Assumptions!$B$20</f>
        <v>201.04801862803362</v>
      </c>
      <c r="R5" s="52">
        <f>R7*Assumptions!$B$20</f>
        <v>174.98875405135942</v>
      </c>
      <c r="S5" s="52">
        <f>S7*Assumptions!$B$20</f>
        <v>151.85728898019374</v>
      </c>
      <c r="T5" s="52">
        <f>T7*Assumptions!$B$20</f>
        <v>130.64759160118618</v>
      </c>
      <c r="U5" s="52">
        <f>U7*Assumptions!$B$20</f>
        <v>110.44435578656976</v>
      </c>
    </row>
    <row r="6">
      <c r="A6" s="18" t="inlineStr">
        <is>
          <t>SG&amp;A &amp; Other</t>
        </is>
      </c>
      <c r="B6" s="52" t="n">
        <v>3.935</v>
      </c>
      <c r="C6" s="52" t="n">
        <v>7.636</v>
      </c>
      <c r="D6" s="52" t="n">
        <v>13.566</v>
      </c>
      <c r="E6" s="52" t="n">
        <v>25.228</v>
      </c>
      <c r="F6" s="52" t="n">
        <v>43</v>
      </c>
      <c r="G6" s="52" t="n">
        <v>72</v>
      </c>
      <c r="H6" s="52" t="n">
        <v>104</v>
      </c>
      <c r="I6" s="52" t="n">
        <v>117</v>
      </c>
      <c r="J6" s="52" t="n">
        <v>140</v>
      </c>
      <c r="K6" s="52" t="n">
        <v>110</v>
      </c>
      <c r="L6" s="52">
        <f>L7-L5</f>
        <v>90.0212742</v>
      </c>
      <c r="M6" s="52">
        <f>M7-M5</f>
        <v>76.26695075999999</v>
      </c>
      <c r="N6" s="52">
        <f>N7-N5</f>
        <v>65.18980387363888</v>
      </c>
      <c r="O6" s="52">
        <f>O7-O5</f>
        <v>56.14294415683656</v>
      </c>
      <c r="P6" s="52">
        <f>P7-P5</f>
        <v>48.63665308824852</v>
      </c>
      <c r="Q6" s="52">
        <f>Q7-Q5</f>
        <v>42.29259941606418</v>
      </c>
      <c r="R6" s="52">
        <f>R7-R5</f>
        <v>36.81075460436489</v>
      </c>
      <c r="S6" s="52">
        <f>S7-S5</f>
        <v>31.944803709462207</v>
      </c>
      <c r="T6" s="52">
        <f>T7-T5</f>
        <v>27.48311718746811</v>
      </c>
      <c r="U6" s="52">
        <f>U7-U5</f>
        <v>23.233150612086433</v>
      </c>
    </row>
    <row r="7">
      <c r="A7" s="2" t="inlineStr">
        <is>
          <t>Operating Expense</t>
        </is>
      </c>
      <c r="B7" s="52">
        <f>SUM(B5:B6)</f>
        <v>18.182</v>
      </c>
      <c r="C7" s="52">
        <f>SUM(C5:C6)</f>
        <v>54.854000000000006</v>
      </c>
      <c r="D7" s="52">
        <f>SUM(D5:D6)</f>
        <v>63.212</v>
      </c>
      <c r="E7" s="52">
        <f>SUM(E5:E6)</f>
        <v>103.709</v>
      </c>
      <c r="F7" s="52">
        <f>SUM(F5:F6)</f>
        <v>202.0</v>
      </c>
      <c r="G7" s="52">
        <f>SUM(G5:G6)</f>
        <v>329.0</v>
      </c>
      <c r="H7" s="52">
        <f>SUM(H5:H6)</f>
        <v>392.0</v>
      </c>
      <c r="I7" s="52">
        <f>SUM(I5:I6)</f>
        <v>457.0</v>
      </c>
      <c r="J7" s="52">
        <f>SUM(J5:J6)</f>
        <v>588.0</v>
      </c>
      <c r="K7" s="52">
        <f>SUM(K5:K6)</f>
        <v>633.0</v>
      </c>
      <c r="L7" s="52">
        <f>L4-L2*NPV!C6</f>
        <v>517.9590000000001</v>
      </c>
      <c r="M7" s="52">
        <f>M4-M2*NPV!D6</f>
        <v>438.8202</v>
      </c>
      <c r="N7" s="52">
        <f>N4-N2*NPV!E6</f>
        <v>375.0851776388889</v>
      </c>
      <c r="O7" s="52">
        <f>O4-O2*NPV!F6</f>
        <v>323.03189963657405</v>
      </c>
      <c r="P7" s="52">
        <f>P4-P2*NPV!G6</f>
        <v>279.8426529818673</v>
      </c>
      <c r="Q7" s="52">
        <f>Q4-Q2*NPV!H6</f>
        <v>243.3406180440978</v>
      </c>
      <c r="R7" s="52">
        <f>R4-R2*NPV!I6</f>
        <v>211.7995086557243</v>
      </c>
      <c r="S7" s="52">
        <f>S4-S2*NPV!J6</f>
        <v>183.80209268965595</v>
      </c>
      <c r="T7" s="52">
        <f>T4-T2*NPV!K6</f>
        <v>158.1307087886543</v>
      </c>
      <c r="U7" s="52">
        <f>U4-U2*NPV!L6</f>
        <v>133.6775063986562</v>
      </c>
    </row>
    <row r="8">
      <c r="A8" s="2" t="inlineStr">
        <is>
          <t>Operating Income</t>
        </is>
      </c>
      <c r="B8" s="52">
        <f>B4-B7</f>
        <v>-18.182</v>
      </c>
      <c r="C8" s="52">
        <f>C4-C7</f>
        <v>-53.44100000000001</v>
      </c>
      <c r="D8" s="52">
        <f>D4-D7</f>
        <v>-54.859</v>
      </c>
      <c r="E8" s="52">
        <f>E4-E7</f>
        <v>-88.709</v>
      </c>
      <c r="F8" s="52">
        <f>F4-F7</f>
        <v>-124.0</v>
      </c>
      <c r="G8" s="52">
        <f>G4-G7</f>
        <v>54.0</v>
      </c>
      <c r="H8" s="52">
        <f>H4-H7</f>
        <v>-280.0</v>
      </c>
      <c r="I8" s="52">
        <f>I4-I7</f>
        <v>-340.0</v>
      </c>
      <c r="J8" s="52">
        <f>J4-J7</f>
        <v>-330.0</v>
      </c>
      <c r="K8" s="52">
        <f>K4-K7</f>
        <v>-386.0</v>
      </c>
      <c r="L8" s="52">
        <f>L4-L7</f>
        <v>-295.65900000000005</v>
      </c>
      <c r="M8" s="52">
        <f>M4-M7</f>
        <v>-235.6627</v>
      </c>
      <c r="N8" s="52">
        <f>N4-N7</f>
        <v>-186.60016375000004</v>
      </c>
      <c r="O8" s="52">
        <f>O4-O7</f>
        <v>-145.54184489120368</v>
      </c>
      <c r="P8" s="52">
        <f>P4-P7</f>
        <v>-110.24104511406892</v>
      </c>
      <c r="Q8" s="52">
        <f>Q4-Q7</f>
        <v>-78.9212815278155</v>
      </c>
      <c r="R8" s="52">
        <f>R4-R7</f>
        <v>-50.12049441471339</v>
      </c>
      <c r="S8" s="52">
        <f>S4-S7</f>
        <v>-22.572186821536718</v>
      </c>
      <c r="T8" s="52">
        <f>T4-T7</f>
        <v>4.890640477999597</v>
      </c>
      <c r="U8" s="52">
        <f>U4-U7</f>
        <v>33.41937659966402</v>
      </c>
    </row>
    <row r="9">
      <c r="A9" s="18" t="inlineStr">
        <is>
          <t>Interest &amp; Other</t>
        </is>
      </c>
      <c r="B9" s="52" t="n">
        <v>0.212</v>
      </c>
      <c r="C9" s="52" t="n">
        <v>0.359</v>
      </c>
      <c r="D9" s="52" t="n">
        <v>5.265</v>
      </c>
      <c r="E9" s="52" t="n">
        <v>3.999</v>
      </c>
      <c r="F9" s="52" t="n">
        <v>1</v>
      </c>
      <c r="G9" s="52" t="n">
        <v>1</v>
      </c>
      <c r="H9" s="52" t="n">
        <v>14</v>
      </c>
      <c r="I9" s="52" t="n">
        <v>39</v>
      </c>
      <c r="J9" s="52" t="n">
        <v>48</v>
      </c>
      <c r="K9" s="52" t="n">
        <v>33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-17.97</v>
      </c>
      <c r="C10" s="52">
        <f>C8+C9</f>
        <v>-53.08200000000001</v>
      </c>
      <c r="D10" s="52">
        <f>D8+D9</f>
        <v>-49.594</v>
      </c>
      <c r="E10" s="52">
        <f>E8+E9</f>
        <v>-84.71000000000001</v>
      </c>
      <c r="F10" s="52">
        <f>F8+F9</f>
        <v>-123.0</v>
      </c>
      <c r="G10" s="52">
        <f>G8+G9</f>
        <v>55.0</v>
      </c>
      <c r="H10" s="52">
        <f>H8+H9</f>
        <v>-266.0</v>
      </c>
      <c r="I10" s="52">
        <f>I8+I9</f>
        <v>-301.0</v>
      </c>
      <c r="J10" s="52">
        <f>J8+J9</f>
        <v>-282.0</v>
      </c>
      <c r="K10" s="52">
        <f>K8+K9</f>
        <v>-353.0</v>
      </c>
      <c r="L10" s="52">
        <f>L8+L9</f>
        <v>-295.65900000000005</v>
      </c>
      <c r="M10" s="52">
        <f>M8+M9</f>
        <v>-235.6627</v>
      </c>
      <c r="N10" s="52">
        <f>N8+N9</f>
        <v>-186.60016375000004</v>
      </c>
      <c r="O10" s="52">
        <f>O8+O9</f>
        <v>-145.54184489120368</v>
      </c>
      <c r="P10" s="52">
        <f>P8+P9</f>
        <v>-110.24104511406892</v>
      </c>
      <c r="Q10" s="52">
        <f>Q8+Q9</f>
        <v>-78.9212815278155</v>
      </c>
      <c r="R10" s="52">
        <f>R8+R9</f>
        <v>-50.12049441471339</v>
      </c>
      <c r="S10" s="52">
        <f>S8+S9</f>
        <v>-22.572186821536718</v>
      </c>
      <c r="T10" s="52">
        <f>T8+T9</f>
        <v>4.890640477999597</v>
      </c>
      <c r="U10" s="52">
        <f>U8+U9</f>
        <v>33.41937659966402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2</v>
      </c>
      <c r="H11" s="52" t="n">
        <v>1</v>
      </c>
      <c r="I11" s="52" t="n">
        <v>6</v>
      </c>
      <c r="J11" s="52" t="n">
        <v>1</v>
      </c>
      <c r="K11" s="52" t="n">
        <v>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0.8314088812599315</v>
      </c>
      <c r="U11" s="52">
        <f>MAX(0,U10)*Assumptions!$E$14</f>
        <v>5.681294021942883</v>
      </c>
    </row>
    <row r="12">
      <c r="A12" s="2" t="inlineStr">
        <is>
          <t>Net Income</t>
        </is>
      </c>
      <c r="B12" s="52" t="n">
        <v>-17.97</v>
      </c>
      <c r="C12" s="52" t="n">
        <v>-53.082</v>
      </c>
      <c r="D12" s="52" t="n">
        <v>-49.594</v>
      </c>
      <c r="E12" s="52" t="n">
        <v>-84.70999999999999</v>
      </c>
      <c r="F12" s="52" t="n">
        <v>-123</v>
      </c>
      <c r="G12" s="52" t="n">
        <v>53</v>
      </c>
      <c r="H12" s="52" t="n">
        <v>-267</v>
      </c>
      <c r="I12" s="52" t="n">
        <v>-307</v>
      </c>
      <c r="J12" s="52" t="n">
        <v>-283</v>
      </c>
      <c r="K12" s="52" t="n">
        <v>-353</v>
      </c>
      <c r="L12" s="52">
        <f>L10-L11</f>
        <v>-295.65900000000005</v>
      </c>
      <c r="M12" s="52">
        <f>M10-M11</f>
        <v>-235.6627</v>
      </c>
      <c r="N12" s="52">
        <f>N10-N11</f>
        <v>-186.60016375000004</v>
      </c>
      <c r="O12" s="52">
        <f>O10-O11</f>
        <v>-145.54184489120368</v>
      </c>
      <c r="P12" s="52">
        <f>P10-P11</f>
        <v>-110.24104511406892</v>
      </c>
      <c r="Q12" s="52">
        <f>Q10-Q11</f>
        <v>-78.9212815278155</v>
      </c>
      <c r="R12" s="52">
        <f>R10-R11</f>
        <v>-50.12049441471339</v>
      </c>
      <c r="S12" s="52">
        <f>S10-S11</f>
        <v>-22.572186821536718</v>
      </c>
      <c r="T12" s="52">
        <f>T10-T11</f>
        <v>4.059231596739665</v>
      </c>
      <c r="U12" s="52">
        <f>U10-U11</f>
        <v>27.738082577721137</v>
      </c>
    </row>
    <row r="13">
      <c r="A13" s="2" t="inlineStr">
        <is>
          <t>Earnings per Share</t>
        </is>
      </c>
      <c r="B13" s="11">
        <f>IFERROR(B12/B14,0)</f>
        <v>-1.0946637426900583</v>
      </c>
      <c r="C13" s="11">
        <f>IFERROR(C12/C14,0)</f>
        <v>-1.5281112358580187</v>
      </c>
      <c r="D13" s="11">
        <f>IFERROR(D12/D14,0)</f>
        <v>-1.4326073141140447</v>
      </c>
      <c r="E13" s="11">
        <f>IFERROR(E12/E14,0)</f>
        <v>-1.93287089855337</v>
      </c>
      <c r="F13" s="11">
        <f>IFERROR(F12/F14,0)</f>
        <v>-2.2445255474452557</v>
      </c>
      <c r="G13" s="11">
        <f>IFERROR(G12/G14,0)</f>
        <v>0.7162162162162162</v>
      </c>
      <c r="H13" s="11">
        <f>IFERROR(H12/H14,0)</f>
        <v>-3.7083333333333335</v>
      </c>
      <c r="I13" s="11">
        <f>IFERROR(I12/I14,0)</f>
        <v>-4.148648648648648</v>
      </c>
      <c r="J13" s="11">
        <f>IFERROR(J12/J14,0)</f>
        <v>-3.1409544950055497</v>
      </c>
      <c r="K13" s="11">
        <f>IFERROR(K12/K14,0)</f>
        <v>-3.286778398510242</v>
      </c>
      <c r="L13" s="11">
        <f>IFERROR(L12/L14,0)</f>
        <v>-2.321928541343316</v>
      </c>
      <c r="M13" s="11">
        <f>IFERROR(M12/M14,0)</f>
        <v>-1.850753568333883</v>
      </c>
      <c r="N13" s="11">
        <f>IFERROR(N12/N14,0)</f>
        <v>-1.4654458211333377</v>
      </c>
      <c r="O13" s="11">
        <f>IFERROR(O12/O14,0)</f>
        <v>-1.142998398873864</v>
      </c>
      <c r="P13" s="11">
        <f>IFERROR(P12/P14,0)</f>
        <v>-0.8657670799058129</v>
      </c>
      <c r="Q13" s="11">
        <f>IFERROR(Q12/Q14,0)</f>
        <v>-0.619800432588982</v>
      </c>
      <c r="R13" s="11">
        <f>IFERROR(R12/R14,0)</f>
        <v>-0.3936163163907112</v>
      </c>
      <c r="S13" s="11">
        <f>IFERROR(S12/S14,0)</f>
        <v>-0.17726842349280614</v>
      </c>
      <c r="T13" s="11">
        <f>IFERROR(T12/T14,0)</f>
        <v>0.03187877149145614</v>
      </c>
      <c r="U13" s="11">
        <f>IFERROR(U12/U14,0)</f>
        <v>0.21783827185828433</v>
      </c>
    </row>
    <row r="14">
      <c r="A14" s="2" t="inlineStr">
        <is>
          <t>Shares</t>
        </is>
      </c>
      <c r="B14" s="52" t="n">
        <v>16.416</v>
      </c>
      <c r="C14" s="52" t="n">
        <v>34.737</v>
      </c>
      <c r="D14" s="52" t="n">
        <v>34.618</v>
      </c>
      <c r="E14" s="52" t="n">
        <v>43.826</v>
      </c>
      <c r="F14" s="52" t="n">
        <v>54.8</v>
      </c>
      <c r="G14" s="52" t="n">
        <v>74</v>
      </c>
      <c r="H14" s="52" t="n">
        <v>72</v>
      </c>
      <c r="I14" s="52" t="n">
        <v>74</v>
      </c>
      <c r="J14" s="52" t="n">
        <v>90.09999999999999</v>
      </c>
      <c r="K14" s="52" t="n">
        <v>107.4</v>
      </c>
      <c r="L14" s="52">
        <f>Main!$C$4</f>
        <v>127.333376</v>
      </c>
      <c r="M14" s="52">
        <f>Main!$C$4</f>
        <v>127.333376</v>
      </c>
      <c r="N14" s="52">
        <f>Main!$C$4</f>
        <v>127.333376</v>
      </c>
      <c r="O14" s="52">
        <f>Main!$C$4</f>
        <v>127.333376</v>
      </c>
      <c r="P14" s="52">
        <f>Main!$C$4</f>
        <v>127.333376</v>
      </c>
      <c r="Q14" s="52">
        <f>Main!$C$4</f>
        <v>127.333376</v>
      </c>
      <c r="R14" s="52">
        <f>Main!$C$4</f>
        <v>127.333376</v>
      </c>
      <c r="S14" s="52">
        <f>Main!$C$4</f>
        <v>127.333376</v>
      </c>
      <c r="T14" s="52">
        <f>Main!$C$4</f>
        <v>127.333376</v>
      </c>
      <c r="U14" s="52">
        <f>Main!$C$4</f>
        <v>127.333376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4.911535739561217</v>
      </c>
      <c r="E16" s="15">
        <f>IFERROR(E2/D2-1,"")</f>
        <v>0.7957620016760445</v>
      </c>
      <c r="F16" s="15">
        <f>IFERROR(F2/E2-1,"")</f>
        <v>4.2</v>
      </c>
      <c r="G16" s="15">
        <f>IFERROR(G2/F2-1,"")</f>
        <v>3.9102564102564106</v>
      </c>
      <c r="H16" s="15">
        <f>IFERROR(H2/G2-1,"")</f>
        <v>-0.7075718015665796</v>
      </c>
      <c r="I16" s="15">
        <f>IFERROR(I2/H2-1,"")</f>
        <v>0.044642857142857206</v>
      </c>
      <c r="J16" s="15">
        <f>IFERROR(J2/I2-1,"")</f>
        <v>1.2051282051282053</v>
      </c>
      <c r="K16" s="15">
        <f>IFERROR(K2/J2-1,"")</f>
        <v>-0.04263565891472865</v>
      </c>
      <c r="L16" s="15">
        <f>IFERROR(L2/K2-1,"")</f>
        <v>-0.09999999999999998</v>
      </c>
      <c r="M16" s="15">
        <f>IFERROR(M2/L2-1,"")</f>
        <v>-0.08611111111111114</v>
      </c>
      <c r="N16" s="15">
        <f>IFERROR(N2/M2-1,"")</f>
        <v>-0.07222222222222219</v>
      </c>
      <c r="O16" s="15">
        <f>IFERROR(O2/N2-1,"")</f>
        <v>-0.05833333333333335</v>
      </c>
      <c r="P16" s="15">
        <f>IFERROR(P2/O2-1,"")</f>
        <v>-0.04444444444444451</v>
      </c>
      <c r="Q16" s="15">
        <f>IFERROR(Q2/P2-1,"")</f>
        <v>-0.030555555555555447</v>
      </c>
      <c r="R16" s="15">
        <f>IFERROR(R2/Q2-1,"")</f>
        <v>-0.01666666666666672</v>
      </c>
      <c r="S16" s="15">
        <f>IFERROR(S2/R2-1,"")</f>
        <v>-0.002777777777777657</v>
      </c>
      <c r="T16" s="15">
        <f>IFERROR(T2/S2-1,"")</f>
        <v>0.011111111111111072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-37.82094833687191</v>
      </c>
      <c r="D18" s="15">
        <f>IFERROR(D8/D2,"")</f>
        <v>-6.567580509996409</v>
      </c>
      <c r="E18" s="15">
        <f>IFERROR(E8/E2,"")</f>
        <v>-5.9139333333333335</v>
      </c>
      <c r="F18" s="15">
        <f>IFERROR(F8/F2,"")</f>
        <v>-1.5897435897435896</v>
      </c>
      <c r="G18" s="15">
        <f>IFERROR(G8/G2,"")</f>
        <v>0.1409921671018277</v>
      </c>
      <c r="H18" s="15">
        <f>IFERROR(H8/H2,"")</f>
        <v>-2.5</v>
      </c>
      <c r="I18" s="15">
        <f>IFERROR(I8/I2,"")</f>
        <v>-2.905982905982906</v>
      </c>
      <c r="J18" s="15">
        <f>IFERROR(J8/J2,"")</f>
        <v>-1.2790697674418605</v>
      </c>
      <c r="K18" s="15">
        <f>IFERROR(K8/K2,"")</f>
        <v>-1.562753036437247</v>
      </c>
      <c r="L18" s="15">
        <f>IFERROR(L8/L2,"")</f>
        <v>-1.33</v>
      </c>
      <c r="M18" s="15">
        <f>IFERROR(M8/M2,"")</f>
        <v>-1.16</v>
      </c>
      <c r="N18" s="15">
        <f>IFERROR(N8/N2,"")</f>
        <v>-0.9900000000000002</v>
      </c>
      <c r="O18" s="15">
        <f>IFERROR(O8/O2,"")</f>
        <v>-0.8199999999999998</v>
      </c>
      <c r="P18" s="15">
        <f>IFERROR(P8/P2,"")</f>
        <v>-0.65</v>
      </c>
      <c r="Q18" s="15">
        <f>IFERROR(Q8/Q2,"")</f>
        <v>-0.4799999999999999</v>
      </c>
      <c r="R18" s="15">
        <f>IFERROR(R8/R2,"")</f>
        <v>-0.31000000000000005</v>
      </c>
      <c r="S18" s="15">
        <f>IFERROR(S8/S2,"")</f>
        <v>-0.14000000000000015</v>
      </c>
      <c r="T18" s="15">
        <f>IFERROR(T8/T2,"")</f>
        <v>0.029999999999999877</v>
      </c>
      <c r="U18" s="15">
        <f>IFERROR(U8/U2,"")</f>
        <v>0.19999999999999987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Arcus Biosciences,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0.8262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247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-625.8818220988754</v>
      </c>
      <c r="C29" s="56">
        <f>NPV!B26</f>
        <v>-24.881822098875432</v>
      </c>
      <c r="D29" s="35">
        <f>NPV!B28</f>
        <v>-0.19540691435743784</v>
      </c>
      <c r="E29" s="57">
        <f>NPV!B30</f>
        <v>-1.0082276595518922</v>
      </c>
    </row>
    <row r="30">
      <c r="A30" s="58" t="n">
        <v>1</v>
      </c>
      <c r="B30" s="59">
        <f t="dataTable" ref="B30:E32" r1="B4"/>
        <v>-594.9005507946483</v>
      </c>
      <c r="C30" s="59">
        <v>6.099449205351675</v>
      </c>
      <c r="D30" s="39">
        <v>0.04790141749914551</v>
      </c>
      <c r="E30" s="60">
        <v>-0.9979830982105623</v>
      </c>
    </row>
    <row r="31">
      <c r="A31" s="58" t="n">
        <v>2</v>
      </c>
      <c r="B31" s="59">
        <v>-625.8818220988754</v>
      </c>
      <c r="C31" s="59">
        <v>-24.881822098875432</v>
      </c>
      <c r="D31" s="39">
        <v>-0.19540691435743784</v>
      </c>
      <c r="E31" s="60">
        <v>-1.0082276595518922</v>
      </c>
    </row>
    <row r="32">
      <c r="A32" s="58" t="n">
        <v>3</v>
      </c>
      <c r="B32" s="59">
        <v>-586.0708111429008</v>
      </c>
      <c r="C32" s="59">
        <v>14.929188857099234</v>
      </c>
      <c r="D32" s="39">
        <v>0.11724489938206958</v>
      </c>
      <c r="E32" s="60">
        <v>-0.995063372657597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-0.19540691435743784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-0.10650114656200982</v>
      </c>
      <c r="C37" s="39">
        <v>-0.01008020902918289</v>
      </c>
      <c r="D37" s="39">
        <v>0.10470745381621291</v>
      </c>
      <c r="E37" s="39">
        <v>0.24249378236991684</v>
      </c>
      <c r="F37" s="39">
        <v>0.4095955454658089</v>
      </c>
    </row>
    <row r="38">
      <c r="A38" s="62" t="n">
        <v>0.1</v>
      </c>
      <c r="B38" s="39">
        <v>-0.2264619521138709</v>
      </c>
      <c r="C38" s="39">
        <v>-0.1604795177748892</v>
      </c>
      <c r="D38" s="39">
        <v>-0.08278512627644406</v>
      </c>
      <c r="E38" s="39">
        <v>0.009163396835773786</v>
      </c>
      <c r="F38" s="39">
        <v>0.11869081882968283</v>
      </c>
    </row>
    <row r="39">
      <c r="A39" s="62" t="n">
        <v>0.11</v>
      </c>
      <c r="B39" s="39">
        <v>-0.29464497043701143</v>
      </c>
      <c r="C39" s="39">
        <v>-0.2489393887898131</v>
      </c>
      <c r="D39" s="39">
        <v>-0.19540691435743784</v>
      </c>
      <c r="E39" s="39">
        <v>-0.13255325144343397</v>
      </c>
      <c r="F39" s="39">
        <v>-0.058485312727132435</v>
      </c>
    </row>
    <row r="40">
      <c r="A40" s="62" t="n">
        <v>0.12</v>
      </c>
      <c r="B40" s="39">
        <v>-0.3274473122206729</v>
      </c>
      <c r="C40" s="39">
        <v>-0.29575830726920843</v>
      </c>
      <c r="D40" s="39">
        <v>-0.2586436630918878</v>
      </c>
      <c r="E40" s="39">
        <v>-0.21517669590249686</v>
      </c>
      <c r="F40" s="39">
        <v>-0.16421241998946934</v>
      </c>
    </row>
    <row r="41">
      <c r="A41" s="62" t="n">
        <v>0.13</v>
      </c>
      <c r="B41" s="39">
        <v>-0.3354446384775533</v>
      </c>
      <c r="C41" s="39">
        <v>-0.3137275068047036</v>
      </c>
      <c r="D41" s="39">
        <v>-0.288137608922387</v>
      </c>
      <c r="E41" s="39">
        <v>-0.25807500815876583</v>
      </c>
      <c r="F41" s="39">
        <v>-0.2228132482859985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Arcus Biosciences,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-1.562753036437247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Model'!K2</f>
        <v>247</v>
      </c>
      <c r="C7" s="55">
        <f>'Yearly Model'!L2</f>
        <v>222.3</v>
      </c>
      <c r="D7" s="55">
        <f>'Yearly Model'!M2</f>
        <v>203.1575</v>
      </c>
      <c r="E7" s="55">
        <f>'Yearly Model'!N2</f>
        <v>188.4850138888889</v>
      </c>
      <c r="F7" s="55">
        <f>'Yearly Model'!O2</f>
        <v>177.49005474537037</v>
      </c>
      <c r="G7" s="55">
        <f>'Yearly Model'!P2</f>
        <v>169.60160786779835</v>
      </c>
      <c r="H7" s="55">
        <f>'Yearly Model'!Q2</f>
        <v>164.4193365162823</v>
      </c>
      <c r="I7" s="55">
        <f>'Yearly Model'!R2</f>
        <v>161.67901424101092</v>
      </c>
      <c r="J7" s="55">
        <f>'Yearly Model'!S2</f>
        <v>161.22990586811923</v>
      </c>
      <c r="K7" s="55">
        <f>'Yearly Model'!T2</f>
        <v>163.02134926665389</v>
      </c>
      <c r="L7" s="55">
        <f>'Yearly Model'!U2</f>
        <v>167.0968829983202</v>
      </c>
    </row>
    <row r="8">
      <c r="A8" s="14" t="inlineStr">
        <is>
          <t>Operating income</t>
        </is>
      </c>
      <c r="B8" s="55">
        <f>'Yearly Model'!K8</f>
        <v>-386.0</v>
      </c>
      <c r="C8" s="55">
        <f>'Yearly Model'!L8</f>
        <v>-295.65900000000005</v>
      </c>
      <c r="D8" s="55">
        <f>'Yearly Model'!M8</f>
        <v>-235.6627</v>
      </c>
      <c r="E8" s="55">
        <f>'Yearly Model'!N8</f>
        <v>-186.60016375000004</v>
      </c>
      <c r="F8" s="55">
        <f>'Yearly Model'!O8</f>
        <v>-145.54184489120368</v>
      </c>
      <c r="G8" s="55">
        <f>'Yearly Model'!P8</f>
        <v>-110.24104511406892</v>
      </c>
      <c r="H8" s="55">
        <f>'Yearly Model'!Q8</f>
        <v>-78.9212815278155</v>
      </c>
      <c r="I8" s="55">
        <f>'Yearly Model'!R8</f>
        <v>-50.12049441471339</v>
      </c>
      <c r="J8" s="55">
        <f>'Yearly Model'!S8</f>
        <v>-22.572186821536718</v>
      </c>
      <c r="K8" s="55">
        <f>'Yearly Model'!T8</f>
        <v>4.890640477999597</v>
      </c>
      <c r="L8" s="55">
        <f>'Yearly Model'!U8</f>
        <v>33.41937659966402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0.8314088812599315</v>
      </c>
      <c r="L9" s="52">
        <f>MAX(0,L8)*Assumptions!$E$14</f>
        <v>5.681294021942883</v>
      </c>
    </row>
    <row r="10">
      <c r="A10" s="14" t="inlineStr">
        <is>
          <t>NOPAT</t>
        </is>
      </c>
      <c r="C10" s="52">
        <f>C8-C9</f>
        <v>-295.65900000000005</v>
      </c>
      <c r="D10" s="52">
        <f>D8-D9</f>
        <v>-235.6627</v>
      </c>
      <c r="E10" s="52">
        <f>E8-E9</f>
        <v>-186.60016375000004</v>
      </c>
      <c r="F10" s="52">
        <f>F8-F9</f>
        <v>-145.54184489120368</v>
      </c>
      <c r="G10" s="52">
        <f>G8-G9</f>
        <v>-110.24104511406892</v>
      </c>
      <c r="H10" s="52">
        <f>H8-H9</f>
        <v>-78.9212815278155</v>
      </c>
      <c r="I10" s="52">
        <f>I8-I9</f>
        <v>-50.12049441471339</v>
      </c>
      <c r="J10" s="52">
        <f>J8-J9</f>
        <v>-22.572186821536718</v>
      </c>
      <c r="K10" s="52">
        <f>K8-K9</f>
        <v>4.059231596739665</v>
      </c>
      <c r="L10" s="52">
        <f>L8-L9</f>
        <v>27.738082577721137</v>
      </c>
    </row>
    <row r="11">
      <c r="A11" s="14" t="inlineStr">
        <is>
          <t>Reinvestment</t>
        </is>
      </c>
      <c r="C11" s="52">
        <f>(C7-B7)*Assumptions!$E$15</f>
        <v>-6.174999999999997</v>
      </c>
      <c r="D11" s="52">
        <f>(D7-C7)*Assumptions!$E$15</f>
        <v>-4.785625000000003</v>
      </c>
      <c r="E11" s="52">
        <f>(E7-D7)*Assumptions!$E$15</f>
        <v>-3.668121527777778</v>
      </c>
      <c r="F11" s="52">
        <f>(F7-E7)*Assumptions!$E$15</f>
        <v>-2.7487397858796285</v>
      </c>
      <c r="G11" s="52">
        <f>(G7-F7)*Assumptions!$E$15</f>
        <v>-1.9721117193930056</v>
      </c>
      <c r="H11" s="52">
        <f>(H7-G7)*Assumptions!$E$15</f>
        <v>-1.2955678378790125</v>
      </c>
      <c r="I11" s="52">
        <f>(I7-H7)*Assumptions!$E$15</f>
        <v>-0.6850805688178454</v>
      </c>
      <c r="J11" s="52">
        <f>(J7-I7)*Assumptions!$E$15</f>
        <v>-0.11227709322292156</v>
      </c>
      <c r="K11" s="52">
        <f>(K7-J7)*Assumptions!$E$15</f>
        <v>0.44786084963366335</v>
      </c>
      <c r="L11" s="52">
        <f>(L7-K7)*Assumptions!$E$15</f>
        <v>1.0188834329165815</v>
      </c>
    </row>
    <row r="12">
      <c r="A12" s="20" t="inlineStr">
        <is>
          <t>Free cash flow</t>
        </is>
      </c>
      <c r="C12" s="64">
        <f>C10-C11</f>
        <v>-289.48400000000004</v>
      </c>
      <c r="D12" s="64">
        <f>D10-D11</f>
        <v>-230.877075</v>
      </c>
      <c r="E12" s="64">
        <f>E10-E11</f>
        <v>-182.93204222222226</v>
      </c>
      <c r="F12" s="64">
        <f>F10-F11</f>
        <v>-142.79310510532406</v>
      </c>
      <c r="G12" s="64">
        <f>G10-G11</f>
        <v>-108.26893339467591</v>
      </c>
      <c r="H12" s="64">
        <f>H10-H11</f>
        <v>-77.62571368993648</v>
      </c>
      <c r="I12" s="64">
        <f>I10-I11</f>
        <v>-49.435413845895546</v>
      </c>
      <c r="J12" s="64">
        <f>J10-J11</f>
        <v>-22.459909728313797</v>
      </c>
      <c r="K12" s="64">
        <f>K10-K11</f>
        <v>3.611370747106002</v>
      </c>
      <c r="L12" s="64">
        <f>L10-L11</f>
        <v>26.719199144804556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-142.14042366709842</v>
      </c>
      <c r="D16" s="64">
        <f>D12*D13*D15</f>
        <v>-207.9083868084553</v>
      </c>
      <c r="E16" s="64">
        <f>E12*E13*E15</f>
        <v>-148.40823530821538</v>
      </c>
      <c r="F16" s="64">
        <f>F12*F13*F15</f>
        <v>-104.36442316895493</v>
      </c>
      <c r="G16" s="64">
        <f>G12*G13*G15</f>
        <v>-71.28959032877842</v>
      </c>
      <c r="H16" s="64">
        <f>H12*H13*H15</f>
        <v>-46.04737609506877</v>
      </c>
      <c r="I16" s="64">
        <f>I12*I13*I15</f>
        <v>-26.4188845639512</v>
      </c>
      <c r="J16" s="64">
        <f>J12*J13*J15</f>
        <v>-10.813376653475657</v>
      </c>
      <c r="K16" s="64">
        <f>K12*K13*K15</f>
        <v>1.5663990870436888</v>
      </c>
      <c r="L16" s="64">
        <f>L12*L13*L15</f>
        <v>10.44072852504928</v>
      </c>
    </row>
    <row r="19">
      <c r="A19" s="14" t="inlineStr">
        <is>
          <t>PV of forecast free cash flow</t>
        </is>
      </c>
      <c r="B19" s="52">
        <f>SUM(C16:L16)</f>
        <v>-745.383568981905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27.387179123424662</v>
      </c>
    </row>
    <row r="21">
      <c r="A21" s="14" t="inlineStr">
        <is>
          <t>Terminal value</t>
        </is>
      </c>
      <c r="B21" s="52">
        <f>B20/(Assumptions!$E$10-Assumptions!$E$11)</f>
        <v>322.2021073344078</v>
      </c>
    </row>
    <row r="22">
      <c r="A22" s="14" t="inlineStr">
        <is>
          <t>PV of terminal value</t>
        </is>
      </c>
      <c r="B22" s="52">
        <f>B21/(1+Assumptions!$E$10)^(L14+0.5)</f>
        <v>119.50174688302954</v>
      </c>
    </row>
    <row r="23">
      <c r="A23" s="20" t="inlineStr">
        <is>
          <t>Enterprise value</t>
        </is>
      </c>
      <c r="B23" s="66">
        <f>B19+B22</f>
        <v>-625.8818220988754</v>
      </c>
    </row>
    <row r="24">
      <c r="A24" s="14" t="inlineStr">
        <is>
          <t>Cash &amp; investments</t>
        </is>
      </c>
      <c r="B24" s="55">
        <f>Main!C7</f>
        <v>702.0</v>
      </c>
    </row>
    <row r="25">
      <c r="A25" s="14" t="inlineStr">
        <is>
          <t>Debt</t>
        </is>
      </c>
      <c r="B25" s="55">
        <f>Main!C8</f>
        <v>101</v>
      </c>
    </row>
    <row r="26">
      <c r="A26" s="20" t="inlineStr">
        <is>
          <t>Equity value</t>
        </is>
      </c>
      <c r="B26" s="66">
        <f>B23+B24-B25</f>
        <v>-24.881822098875432</v>
      </c>
    </row>
    <row r="27">
      <c r="A27" s="14" t="inlineStr">
        <is>
          <t>Shares (mm)</t>
        </is>
      </c>
      <c r="B27" s="55">
        <f>Main!C4</f>
        <v>127.333376</v>
      </c>
    </row>
    <row r="28">
      <c r="A28" s="20" t="inlineStr">
        <is>
          <t>NPV / share</t>
        </is>
      </c>
      <c r="B28" s="49">
        <f>B26/B27</f>
        <v>-0.19540691435743784</v>
      </c>
    </row>
    <row r="29">
      <c r="A29" s="14" t="inlineStr">
        <is>
          <t>Price</t>
        </is>
      </c>
      <c r="B29" s="50">
        <f>Main!C3</f>
        <v>23.75</v>
      </c>
    </row>
    <row r="30">
      <c r="A30" s="14" t="inlineStr">
        <is>
          <t>Upside</t>
        </is>
      </c>
      <c r="B30" s="63">
        <f>B28/B29-1</f>
        <v>-1.0082276595518922</v>
      </c>
    </row>
    <row r="31">
      <c r="A31" s="14" t="inlineStr">
        <is>
          <t>Terminal value, % of EV</t>
        </is>
      </c>
      <c r="B31" s="63">
        <f>IFERROR(B22/B23,0)</f>
        <v>-0.19093340414055182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2026-10-21T06:22:11Z</dcterms:modified>
  <cp:lastModifiedBy>Wang, Eric</cp:lastModifiedBy>
</cp:coreProperties>
</file>