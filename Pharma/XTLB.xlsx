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X T L Biopharmaceuticals Ltd</t>
        </is>
      </c>
      <c r="C2" s="10" t="n"/>
    </row>
    <row r="3">
      <c r="B3" t="inlineStr">
        <is>
          <t>Price</t>
        </is>
      </c>
      <c r="C3" s="11">
        <f>INDEX([1]Pharma!$F$1:$F$1000,MATCH("XTLB",[1]Pharma!$B$1:$B$1000,0))</f>
        <v>1.94</v>
      </c>
      <c r="F3" s="1" t="n"/>
    </row>
    <row r="4">
      <c r="B4" t="inlineStr">
        <is>
          <t>Shares</t>
        </is>
      </c>
      <c r="C4" s="21">
        <f>946.243356/100</f>
        <v>9.46243356</v>
      </c>
      <c r="F4" s="1" t="n"/>
    </row>
    <row r="5">
      <c r="B5" t="inlineStr">
        <is>
          <t>Market Cap.</t>
        </is>
      </c>
      <c r="C5" s="13">
        <f>C3*C4</f>
        <v>18.357121106399998</v>
      </c>
      <c r="F5" s="1" t="n"/>
    </row>
    <row r="6"/>
    <row r="7">
      <c r="B7" t="inlineStr">
        <is>
          <t>Cash</t>
        </is>
      </c>
      <c r="C7" s="21" t="n"/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18.357121106399998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>0.0</v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-1.618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18.357121106399998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0.451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0.448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0.0030000000000000027</v>
      </c>
    </row>
    <row r="5">
      <c r="A5" s="2" t="inlineStr">
        <is>
          <t>Research &amp; Dev.</t>
        </is>
      </c>
      <c r="B5" s="23" t="n">
        <v>0.578</v>
      </c>
      <c r="C5" s="23" t="n">
        <v>0.443</v>
      </c>
      <c r="D5" s="23" t="n">
        <v>0.043</v>
      </c>
      <c r="E5" s="23" t="n">
        <v>0.038</v>
      </c>
      <c r="F5" s="23" t="n">
        <v>0.035</v>
      </c>
      <c r="G5" s="23" t="n">
        <v>0.038</v>
      </c>
      <c r="H5" s="23" t="n">
        <v>0.03</v>
      </c>
      <c r="I5" s="23" t="n">
        <v>0.03</v>
      </c>
      <c r="J5" s="23" t="n">
        <v>0.031</v>
      </c>
      <c r="K5" s="23" t="n">
        <v>0.098</v>
      </c>
    </row>
    <row r="6">
      <c r="A6" s="19" t="inlineStr">
        <is>
          <t>SG&amp;A &amp; Other</t>
        </is>
      </c>
      <c r="B6" s="23" t="n">
        <v>3.033</v>
      </c>
      <c r="C6" s="23" t="n">
        <v>2.118</v>
      </c>
      <c r="D6" s="23" t="n">
        <v>1.203</v>
      </c>
      <c r="E6" s="23" t="n">
        <v>0.755</v>
      </c>
      <c r="F6" s="23" t="n">
        <v>0.8070000000000001</v>
      </c>
      <c r="G6" s="23" t="n">
        <v>0.91</v>
      </c>
      <c r="H6" s="23" t="n">
        <v>1.001</v>
      </c>
      <c r="I6" s="23" t="n">
        <v>0.85</v>
      </c>
      <c r="J6" s="23" t="n">
        <v>0.734</v>
      </c>
      <c r="K6" s="23" t="n">
        <v>2.077</v>
      </c>
    </row>
    <row r="7">
      <c r="A7" s="2" t="inlineStr">
        <is>
          <t>Operating Expense</t>
        </is>
      </c>
      <c r="B7" s="23">
        <f>SUM(B5:B6)</f>
        <v>3.6109999999999998</v>
      </c>
      <c r="C7" s="23">
        <f>SUM(C5:C6)</f>
        <v>2.561</v>
      </c>
      <c r="D7" s="23">
        <f>SUM(D5:D6)</f>
        <v>1.246</v>
      </c>
      <c r="E7" s="23">
        <f>SUM(E5:E6)</f>
        <v>0.793</v>
      </c>
      <c r="F7" s="23">
        <f>SUM(F5:F6)</f>
        <v>0.8420000000000001</v>
      </c>
      <c r="G7" s="23">
        <f>SUM(G5:G6)</f>
        <v>0.9480000000000001</v>
      </c>
      <c r="H7" s="23">
        <f>SUM(H5:H6)</f>
        <v>1.031</v>
      </c>
      <c r="I7" s="23">
        <f>SUM(I5:I6)</f>
        <v>0.88</v>
      </c>
      <c r="J7" s="23">
        <f>SUM(J5:J6)</f>
        <v>0.765</v>
      </c>
      <c r="K7" s="23">
        <f>SUM(K5:K6)</f>
        <v>2.175</v>
      </c>
    </row>
    <row r="8">
      <c r="A8" s="2" t="inlineStr">
        <is>
          <t>Operating Income</t>
        </is>
      </c>
      <c r="B8" s="23">
        <f>B4-B7</f>
        <v>-3.6109999999999998</v>
      </c>
      <c r="C8" s="23">
        <f>C4-C7</f>
        <v>-2.561</v>
      </c>
      <c r="D8" s="23">
        <f>D4-D7</f>
        <v>-1.246</v>
      </c>
      <c r="E8" s="23">
        <f>E4-E7</f>
        <v>-0.793</v>
      </c>
      <c r="F8" s="23">
        <f>F4-F7</f>
        <v>-0.8420000000000001</v>
      </c>
      <c r="G8" s="23">
        <f>G4-G7</f>
        <v>-0.9480000000000001</v>
      </c>
      <c r="H8" s="23">
        <f>H4-H7</f>
        <v>-1.031</v>
      </c>
      <c r="I8" s="23">
        <f>I4-I7</f>
        <v>-0.88</v>
      </c>
      <c r="J8" s="23">
        <f>J4-J7</f>
        <v>-0.765</v>
      </c>
      <c r="K8" s="23">
        <f>K4-K7</f>
        <v>-2.1719999999999997</v>
      </c>
    </row>
    <row r="9">
      <c r="A9" s="19" t="inlineStr">
        <is>
          <t>Interest &amp; Other</t>
        </is>
      </c>
      <c r="B9" s="23" t="n">
        <v>3.613</v>
      </c>
      <c r="C9" s="23" t="n">
        <v>0.016</v>
      </c>
      <c r="D9" s="23" t="n">
        <v>0.465</v>
      </c>
      <c r="E9" s="23" t="n">
        <v>4.423</v>
      </c>
      <c r="F9" s="23" t="n">
        <v>0.079</v>
      </c>
      <c r="G9" s="23" t="n">
        <v>-2.006</v>
      </c>
      <c r="H9" s="23" t="n">
        <v>1.466</v>
      </c>
      <c r="I9" s="23" t="n">
        <v>-0.468</v>
      </c>
      <c r="J9" s="23" t="n">
        <v>-1.017</v>
      </c>
      <c r="K9" s="23" t="n">
        <v>1.015</v>
      </c>
    </row>
    <row r="10">
      <c r="A10" s="2" t="inlineStr">
        <is>
          <t>Pretax</t>
        </is>
      </c>
      <c r="B10" s="23">
        <f>B8+B9</f>
        <v>0.002000000000000224</v>
      </c>
      <c r="C10" s="23">
        <f>C8+C9</f>
        <v>-2.545</v>
      </c>
      <c r="D10" s="23">
        <f>D8+D9</f>
        <v>-0.7809999999999999</v>
      </c>
      <c r="E10" s="23">
        <f>E8+E9</f>
        <v>3.63</v>
      </c>
      <c r="F10" s="23">
        <f>F8+F9</f>
        <v>-0.7630000000000001</v>
      </c>
      <c r="G10" s="23">
        <f>G8+G9</f>
        <v>-2.9539999999999997</v>
      </c>
      <c r="H10" s="23">
        <f>H8+H9</f>
        <v>0.43500000000000005</v>
      </c>
      <c r="I10" s="23">
        <f>I8+I9</f>
        <v>-1.348</v>
      </c>
      <c r="J10" s="23">
        <f>J8+J9</f>
        <v>-1.782</v>
      </c>
      <c r="K10" s="23">
        <f>K8+K9</f>
        <v>-1.1569999999999998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-0.13</v>
      </c>
    </row>
    <row r="12">
      <c r="A12" s="2" t="inlineStr">
        <is>
          <t>Net Income</t>
        </is>
      </c>
      <c r="B12" s="23" t="n">
        <v>0.002</v>
      </c>
      <c r="C12" s="23" t="n">
        <v>-2.545</v>
      </c>
      <c r="D12" s="23" t="n">
        <v>-0.781</v>
      </c>
      <c r="E12" s="23" t="n">
        <v>3.63</v>
      </c>
      <c r="F12" s="23" t="n">
        <v>-0.763</v>
      </c>
      <c r="G12" s="23" t="n">
        <v>-2.954</v>
      </c>
      <c r="H12" s="23" t="n">
        <v>0.435</v>
      </c>
      <c r="I12" s="23" t="n">
        <v>-1.348</v>
      </c>
      <c r="J12" s="23" t="n">
        <v>-1.782</v>
      </c>
      <c r="K12" s="23" t="n">
        <v>-1.027</v>
      </c>
    </row>
    <row r="13">
      <c r="A13" s="2" t="inlineStr">
        <is>
          <t>Earnings per Share</t>
        </is>
      </c>
      <c r="B13" s="11">
        <f>IFERROR(B12/B14,0)</f>
        <v>7.583513441777575e-06</v>
      </c>
      <c r="C13" s="11">
        <f>IFERROR(C12/C14,0)</f>
        <v>-0.009287100964836736</v>
      </c>
      <c r="D13" s="11">
        <f>IFERROR(D12/D14,0)</f>
        <v>-0.0016610341798723493</v>
      </c>
      <c r="E13" s="11">
        <f>IFERROR(E12/E14,0)</f>
        <v>0.007059427544602747</v>
      </c>
      <c r="F13" s="11">
        <f>IFERROR(F12/F14,0)</f>
        <v>-0.001483841106482616</v>
      </c>
      <c r="G13" s="11">
        <f>IFERROR(G12/G14,0)</f>
        <v>-0.0057447793296849905</v>
      </c>
      <c r="H13" s="11">
        <f>IFERROR(H12/H14,0)</f>
        <v>0.0007066873745020697</v>
      </c>
      <c r="I13" s="11">
        <f>IFERROR(I12/I14,0)</f>
        <v>-0.00247380755318778</v>
      </c>
      <c r="J13" s="11">
        <f>IFERROR(J12/J14,0)</f>
        <v>-0.003270288820457107</v>
      </c>
      <c r="K13" s="11">
        <f>IFERROR(K12/K14,0)</f>
        <v>-0.001458469132857023</v>
      </c>
    </row>
    <row r="14">
      <c r="A14" s="2" t="inlineStr">
        <is>
          <t>Shares</t>
        </is>
      </c>
      <c r="B14" s="23" t="n">
        <v>263.73</v>
      </c>
      <c r="C14" s="23" t="n">
        <v>274.036</v>
      </c>
      <c r="D14" s="23" t="n">
        <v>470.189</v>
      </c>
      <c r="E14" s="23" t="n">
        <v>514.206</v>
      </c>
      <c r="F14" s="23" t="n">
        <v>514.206</v>
      </c>
      <c r="G14" s="23" t="n">
        <v>514.206</v>
      </c>
      <c r="H14" s="23" t="n">
        <v>615.548</v>
      </c>
      <c r="I14" s="23" t="n">
        <v>544.909</v>
      </c>
      <c r="J14" s="23" t="n">
        <v>544.9059999999999</v>
      </c>
      <c r="K14" s="23" t="n">
        <v>704.163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>0.0066518847006651945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>-4.815964523281596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2026-10-21T01:06:28Z</dcterms:modified>
  <cp:lastModifiedBy>Wang, Eric</cp:lastModifiedBy>
</cp:coreProperties>
</file>