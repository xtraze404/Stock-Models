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Disc Medicine, Inc.</t>
        </is>
      </c>
      <c r="C2" s="10" t="n"/>
    </row>
    <row r="3">
      <c r="B3" t="inlineStr">
        <is>
          <t>Price</t>
        </is>
      </c>
      <c r="C3" s="11">
        <f>INDEX([1]Pharma!$F$1:$F$1000,MATCH("IRON",[1]Pharma!$B$1:$B$1000,0))</f>
        <v>79.48</v>
      </c>
      <c r="F3" s="1" t="n"/>
    </row>
    <row r="4">
      <c r="B4" t="inlineStr">
        <is>
          <t>Shares</t>
        </is>
      </c>
      <c r="C4" s="21" t="n">
        <v>38.392844</v>
      </c>
      <c r="F4" s="1" t="n"/>
    </row>
    <row r="5">
      <c r="B5" t="inlineStr">
        <is>
          <t>Market Cap.</t>
        </is>
      </c>
      <c r="C5" s="13">
        <f>C3*C4</f>
        <v>3051.46324112</v>
      </c>
      <c r="F5" s="1" t="n"/>
    </row>
    <row r="6"/>
    <row r="7">
      <c r="B7" t="inlineStr">
        <is>
          <t>Cash</t>
        </is>
      </c>
      <c r="C7" s="21">
        <f>98.676+619.07</f>
        <v>717.7460000000001</v>
      </c>
    </row>
    <row r="8">
      <c r="B8" t="inlineStr">
        <is>
          <t>Debt</t>
        </is>
      </c>
      <c r="C8" s="21" t="n">
        <v>59.34</v>
      </c>
    </row>
    <row r="9">
      <c r="B9" t="inlineStr">
        <is>
          <t>Enterprise V.</t>
        </is>
      </c>
      <c r="C9" s="13">
        <f>C5-C7+C8</f>
        <v>2393.05724112</v>
      </c>
    </row>
    <row r="10"/>
    <row r="11">
      <c r="B11" s="14" t="inlineStr">
        <is>
          <t>Net Cash / Share</t>
        </is>
      </c>
      <c r="C11" s="11">
        <f>(C7-C8)/C4</f>
        <v>17.149185405488588</v>
      </c>
    </row>
    <row r="12">
      <c r="B12" s="14" t="inlineStr">
        <is>
          <t>Upside</t>
        </is>
      </c>
      <c r="C12" s="15">
        <f>IFERROR(C11/C3-1,"")</f>
        <v>-0.7842326949485583</v>
      </c>
    </row>
    <row r="13">
      <c r="B13" s="14" t="inlineStr">
        <is>
          <t>Cash / Share</t>
        </is>
      </c>
      <c r="C13" s="11">
        <f>IFERROR((C7-C8)/C4,"")</f>
        <v>17.149185405488588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-197.536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3.3330937145634216</v>
      </c>
    </row>
    <row r="19">
      <c r="B19" s="14" t="inlineStr">
        <is>
          <t>Implied Pipeline Value</t>
        </is>
      </c>
      <c r="C19" s="13">
        <f>C9</f>
        <v>2393.05724112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28.17</v>
      </c>
      <c r="C5" s="23" t="n">
        <v>25.17</v>
      </c>
      <c r="D5" s="23" t="n">
        <v>33.437</v>
      </c>
      <c r="E5" s="23" t="n">
        <v>69.264</v>
      </c>
      <c r="F5" s="23" t="n">
        <v>96.67100000000001</v>
      </c>
      <c r="G5" s="23" t="n">
        <v>170.64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5.87</v>
      </c>
      <c r="C6" s="23" t="n">
        <v>5.763</v>
      </c>
      <c r="D6" s="23" t="n">
        <v>14.038</v>
      </c>
      <c r="E6" s="23" t="n">
        <v>21.861</v>
      </c>
      <c r="F6" s="23" t="n">
        <v>33.049</v>
      </c>
      <c r="G6" s="23" t="n">
        <v>65.38200000000001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34.04</v>
      </c>
      <c r="C7" s="23">
        <f>SUM(C5:C6)</f>
        <v>30.933</v>
      </c>
      <c r="D7" s="23">
        <f>SUM(D5:D6)</f>
        <v>47.474999999999994</v>
      </c>
      <c r="E7" s="23">
        <f>SUM(E5:E6)</f>
        <v>91.125</v>
      </c>
      <c r="F7" s="23">
        <f>SUM(F5:F6)</f>
        <v>129.72</v>
      </c>
      <c r="G7" s="23">
        <f>SUM(G5:G6)</f>
        <v>236.022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-34.04</v>
      </c>
      <c r="C8" s="23">
        <f>C4-C7</f>
        <v>-30.933</v>
      </c>
      <c r="D8" s="23">
        <f>D4-D7</f>
        <v>-47.474999999999994</v>
      </c>
      <c r="E8" s="23">
        <f>E4-E7</f>
        <v>-91.125</v>
      </c>
      <c r="F8" s="23">
        <f>F4-F7</f>
        <v>-129.72</v>
      </c>
      <c r="G8" s="23">
        <f>G4-G7</f>
        <v>-236.022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-6.797</v>
      </c>
      <c r="C9" s="23" t="n">
        <v>-5.036</v>
      </c>
      <c r="D9" s="23" t="n">
        <v>0.648</v>
      </c>
      <c r="E9" s="23" t="n">
        <v>14.795</v>
      </c>
      <c r="F9" s="23" t="n">
        <v>20.718</v>
      </c>
      <c r="G9" s="23" t="n">
        <v>24.199</v>
      </c>
    </row>
    <row r="10">
      <c r="A10" s="2" t="inlineStr">
        <is>
          <t>Pretax</t>
        </is>
      </c>
      <c r="B10" s="23">
        <f>B8+B9</f>
        <v>-40.836999999999996</v>
      </c>
      <c r="C10" s="23">
        <f>C8+C9</f>
        <v>-35.969</v>
      </c>
      <c r="D10" s="23">
        <f>D8+D9</f>
        <v>-46.82699999999999</v>
      </c>
      <c r="E10" s="23">
        <f>E8+E9</f>
        <v>-76.33</v>
      </c>
      <c r="F10" s="23">
        <f>F8+F9</f>
        <v>-109.002</v>
      </c>
      <c r="G10" s="23">
        <f>G8+G9</f>
        <v>-211.82299999999998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0.099</v>
      </c>
      <c r="F11" s="23" t="n">
        <v>0.355</v>
      </c>
      <c r="G11" s="23" t="n">
        <v>0.361</v>
      </c>
    </row>
    <row r="12">
      <c r="A12" s="2" t="inlineStr">
        <is>
          <t>Net Income</t>
        </is>
      </c>
      <c r="B12" s="23" t="n">
        <v>-40.837</v>
      </c>
      <c r="C12" s="23" t="n">
        <v>-35.969</v>
      </c>
      <c r="D12" s="23" t="n">
        <v>-46.827</v>
      </c>
      <c r="E12" s="23" t="n">
        <v>-76.429</v>
      </c>
      <c r="F12" s="23" t="n">
        <v>-109.357</v>
      </c>
      <c r="G12" s="23" t="n">
        <v>-212.184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-45.93588301462317</v>
      </c>
      <c r="C13" s="11">
        <f>IFERROR(C12/C14,0)</f>
        <v>-40.966970387243734</v>
      </c>
      <c r="D13" s="11">
        <f>IFERROR(D12/D14,0)</f>
        <v>-45.06929740134745</v>
      </c>
      <c r="E13" s="11">
        <f>IFERROR(E12/E14,0)</f>
        <v>-3.424852124036566</v>
      </c>
      <c r="F13" s="11">
        <f>IFERROR(F12/F14,0)</f>
        <v>-3.9613489821053394</v>
      </c>
      <c r="G13" s="11">
        <f>IFERROR(G12/G14,0)</f>
        <v>-6.011559383499547</v>
      </c>
    </row>
    <row r="14">
      <c r="A14" s="2" t="inlineStr">
        <is>
          <t>Shares</t>
        </is>
      </c>
      <c r="B14" s="23" t="n">
        <v>0.889</v>
      </c>
      <c r="C14" s="23" t="n">
        <v>0.878</v>
      </c>
      <c r="D14" s="23" t="n">
        <v>1.039</v>
      </c>
      <c r="E14" s="23" t="n">
        <v>22.316</v>
      </c>
      <c r="F14" s="23" t="n">
        <v>27.606</v>
      </c>
      <c r="G14" s="23" t="n">
        <v>35.296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2026-10-21T01:04:25Z</dcterms:modified>
  <cp:lastModifiedBy>Wang, Eric</cp:lastModifiedBy>
</cp:coreProperties>
</file>