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Protara Therapeutics Inc</t>
        </is>
      </c>
      <c r="C2" s="10" t="n"/>
    </row>
    <row r="3">
      <c r="B3" t="inlineStr">
        <is>
          <t>Price</t>
        </is>
      </c>
      <c r="C3" s="11">
        <f>INDEX([1]Pharma!$F$1:$F$1000,MATCH("TARA",[1]Pharma!$B$1:$B$1000,0))</f>
        <v>2.56</v>
      </c>
      <c r="F3" s="1" t="n"/>
    </row>
    <row r="4">
      <c r="B4" t="inlineStr">
        <is>
          <t>Shares</t>
        </is>
      </c>
      <c r="C4" s="21" t="n">
        <v>59.095488</v>
      </c>
      <c r="F4" s="1" t="n"/>
    </row>
    <row r="5">
      <c r="B5" t="inlineStr">
        <is>
          <t>Market Cap.</t>
        </is>
      </c>
      <c r="C5" s="13">
        <f>C3*C4</f>
        <v>151.28444928000002</v>
      </c>
      <c r="F5" s="1" t="n"/>
    </row>
    <row r="6"/>
    <row r="7">
      <c r="B7" t="inlineStr">
        <is>
          <t>Cash</t>
        </is>
      </c>
      <c r="C7" s="21">
        <f>17.076+125.418</f>
        <v>142.494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8.790449280000018</v>
      </c>
    </row>
    <row r="10"/>
    <row r="11">
      <c r="B11" s="14" t="inlineStr">
        <is>
          <t>Net Cash / Share</t>
        </is>
      </c>
      <c r="C11" s="11">
        <f>(C7-C8)/C4</f>
        <v>2.4112500771632512</v>
      </c>
    </row>
    <row r="12">
      <c r="B12" s="14" t="inlineStr">
        <is>
          <t>Upside</t>
        </is>
      </c>
      <c r="C12" s="15">
        <f>IFERROR(C11/C3-1,"")</f>
        <v>-0.05810543860810502</v>
      </c>
    </row>
    <row r="13">
      <c r="B13" s="14" t="inlineStr">
        <is>
          <t>Cash / Share</t>
        </is>
      </c>
      <c r="C13" s="11">
        <f>IFERROR((C7-C8)/C4,"")</f>
        <v>2.4112500771632512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-66.134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2.1546254574046633</v>
      </c>
    </row>
    <row r="19">
      <c r="B19" s="14" t="inlineStr">
        <is>
          <t>Implied Pipeline Value</t>
        </is>
      </c>
      <c r="C19" s="13">
        <f>C9</f>
        <v>8.790449280000018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2.948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2.948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5.907</v>
      </c>
      <c r="C5" s="23" t="n">
        <v>3.994</v>
      </c>
      <c r="D5" s="23" t="n">
        <v>6.432</v>
      </c>
      <c r="E5" s="23" t="n">
        <v>12.381</v>
      </c>
      <c r="F5" s="23" t="n">
        <v>18.869</v>
      </c>
      <c r="G5" s="23" t="n">
        <v>21.686</v>
      </c>
      <c r="H5" s="23" t="n">
        <v>11.848</v>
      </c>
      <c r="I5" s="23" t="n">
        <v>3.878</v>
      </c>
      <c r="J5" s="23" t="n">
        <v>11.982</v>
      </c>
      <c r="K5" s="23" t="n">
        <v>21.088</v>
      </c>
      <c r="L5" s="23" t="n">
        <v>16.808</v>
      </c>
      <c r="M5" s="23" t="n">
        <v>24.989</v>
      </c>
      <c r="N5" s="23" t="n">
        <v>31.704</v>
      </c>
      <c r="O5" s="23" t="n">
        <v>42.633</v>
      </c>
    </row>
    <row r="6">
      <c r="A6" s="19" t="inlineStr">
        <is>
          <t>SG&amp;A &amp; Other</t>
        </is>
      </c>
      <c r="B6" s="23" t="n">
        <v>2.089</v>
      </c>
      <c r="C6" s="23" t="n">
        <v>3.128</v>
      </c>
      <c r="D6" s="23" t="n">
        <v>4.096</v>
      </c>
      <c r="E6" s="23" t="n">
        <v>8.489000000000001</v>
      </c>
      <c r="F6" s="23" t="n">
        <v>9.836</v>
      </c>
      <c r="G6" s="23" t="n">
        <v>8.676</v>
      </c>
      <c r="H6" s="23" t="n">
        <v>9.523999999999999</v>
      </c>
      <c r="I6" s="23" t="n">
        <v>3.952</v>
      </c>
      <c r="J6" s="23" t="n">
        <v>22.462</v>
      </c>
      <c r="K6" s="23" t="n">
        <v>26.401</v>
      </c>
      <c r="L6" s="23" t="n">
        <v>50.254</v>
      </c>
      <c r="M6" s="23" t="n">
        <v>18.624</v>
      </c>
      <c r="N6" s="23" t="n">
        <v>17.45</v>
      </c>
      <c r="O6" s="23" t="n">
        <v>21.916</v>
      </c>
    </row>
    <row r="7">
      <c r="A7" s="2" t="inlineStr">
        <is>
          <t>Operating Expense</t>
        </is>
      </c>
      <c r="B7" s="23">
        <f>SUM(B5:B6)</f>
        <v>7.996</v>
      </c>
      <c r="C7" s="23">
        <f>SUM(C5:C6)</f>
        <v>7.122</v>
      </c>
      <c r="D7" s="23">
        <f>SUM(D5:D6)</f>
        <v>10.528</v>
      </c>
      <c r="E7" s="23">
        <f>SUM(E5:E6)</f>
        <v>20.87</v>
      </c>
      <c r="F7" s="23">
        <f>SUM(F5:F6)</f>
        <v>28.705</v>
      </c>
      <c r="G7" s="23">
        <f>SUM(G5:G6)</f>
        <v>30.362000000000002</v>
      </c>
      <c r="H7" s="23">
        <f>SUM(H5:H6)</f>
        <v>21.372</v>
      </c>
      <c r="I7" s="23">
        <f>SUM(I5:I6)</f>
        <v>7.83</v>
      </c>
      <c r="J7" s="23">
        <f>SUM(J5:J6)</f>
        <v>34.444</v>
      </c>
      <c r="K7" s="23">
        <f>SUM(K5:K6)</f>
        <v>47.489000000000004</v>
      </c>
      <c r="L7" s="23">
        <f>SUM(L5:L6)</f>
        <v>67.062</v>
      </c>
      <c r="M7" s="23">
        <f>SUM(M5:M6)</f>
        <v>43.613</v>
      </c>
      <c r="N7" s="23">
        <f>SUM(N5:N6)</f>
        <v>49.153999999999996</v>
      </c>
      <c r="O7" s="23">
        <f>SUM(O5:O6)</f>
        <v>64.549</v>
      </c>
    </row>
    <row r="8">
      <c r="A8" s="2" t="inlineStr">
        <is>
          <t>Operating Income</t>
        </is>
      </c>
      <c r="B8" s="23">
        <f>B4-B7</f>
        <v>-7.996</v>
      </c>
      <c r="C8" s="23">
        <f>C4-C7</f>
        <v>-7.122</v>
      </c>
      <c r="D8" s="23">
        <f>D4-D7</f>
        <v>-7.58</v>
      </c>
      <c r="E8" s="23">
        <f>E4-E7</f>
        <v>-20.87</v>
      </c>
      <c r="F8" s="23">
        <f>F4-F7</f>
        <v>-28.705</v>
      </c>
      <c r="G8" s="23">
        <f>G4-G7</f>
        <v>-30.362000000000002</v>
      </c>
      <c r="H8" s="23">
        <f>H4-H7</f>
        <v>-21.372</v>
      </c>
      <c r="I8" s="23">
        <f>I4-I7</f>
        <v>-7.83</v>
      </c>
      <c r="J8" s="23">
        <f>J4-J7</f>
        <v>-34.444</v>
      </c>
      <c r="K8" s="23">
        <f>K4-K7</f>
        <v>-47.489000000000004</v>
      </c>
      <c r="L8" s="23">
        <f>L4-L7</f>
        <v>-67.062</v>
      </c>
      <c r="M8" s="23">
        <f>M4-M7</f>
        <v>-43.613</v>
      </c>
      <c r="N8" s="23">
        <f>N4-N7</f>
        <v>-49.153999999999996</v>
      </c>
      <c r="O8" s="23">
        <f>O4-O7</f>
        <v>-64.549</v>
      </c>
    </row>
    <row r="9">
      <c r="A9" s="19" t="inlineStr">
        <is>
          <t>Interest &amp; Other</t>
        </is>
      </c>
      <c r="B9" s="23" t="n">
        <v>-0.114</v>
      </c>
      <c r="C9" s="23" t="n">
        <v>-0.698</v>
      </c>
      <c r="D9" s="23" t="n">
        <v>4.128</v>
      </c>
      <c r="E9" s="23" t="n">
        <v>-0.507</v>
      </c>
      <c r="F9" s="23" t="n">
        <v>0.179</v>
      </c>
      <c r="G9" s="23" t="n">
        <v>0.398</v>
      </c>
      <c r="H9" s="23" t="n">
        <v>0.643</v>
      </c>
      <c r="I9" s="23" t="n">
        <v>0</v>
      </c>
      <c r="J9" s="23" t="n">
        <v>0.466</v>
      </c>
      <c r="K9" s="23" t="n">
        <v>0.237</v>
      </c>
      <c r="L9" s="23" t="n">
        <v>1.11</v>
      </c>
      <c r="M9" s="23" t="n">
        <v>3.213</v>
      </c>
      <c r="N9" s="23" t="n">
        <v>4.554</v>
      </c>
      <c r="O9" s="23" t="n">
        <v>7.149</v>
      </c>
    </row>
    <row r="10">
      <c r="A10" s="2" t="inlineStr">
        <is>
          <t>Pretax</t>
        </is>
      </c>
      <c r="B10" s="23">
        <f>B8+B9</f>
        <v>-8.110000000000001</v>
      </c>
      <c r="C10" s="23">
        <f>C8+C9</f>
        <v>-7.82</v>
      </c>
      <c r="D10" s="23">
        <f>D8+D9</f>
        <v>-3.452</v>
      </c>
      <c r="E10" s="23">
        <f>E8+E9</f>
        <v>-21.377000000000002</v>
      </c>
      <c r="F10" s="23">
        <f>F8+F9</f>
        <v>-28.526</v>
      </c>
      <c r="G10" s="23">
        <f>G8+G9</f>
        <v>-29.964000000000002</v>
      </c>
      <c r="H10" s="23">
        <f>H8+H9</f>
        <v>-20.729</v>
      </c>
      <c r="I10" s="23">
        <f>I8+I9</f>
        <v>-7.83</v>
      </c>
      <c r="J10" s="23">
        <f>J8+J9</f>
        <v>-33.978</v>
      </c>
      <c r="K10" s="23">
        <f>K8+K9</f>
        <v>-47.252</v>
      </c>
      <c r="L10" s="23">
        <f>L8+L9</f>
        <v>-65.952</v>
      </c>
      <c r="M10" s="23">
        <f>M8+M9</f>
        <v>-40.4</v>
      </c>
      <c r="N10" s="23">
        <f>N8+N9</f>
        <v>-44.599999999999994</v>
      </c>
      <c r="O10" s="23">
        <f>O8+O9</f>
        <v>-57.400000000000006</v>
      </c>
    </row>
    <row r="11">
      <c r="A11" s="2" t="inlineStr">
        <is>
          <t>Taxes</t>
        </is>
      </c>
      <c r="B11" s="23" t="n">
        <v>-0.14</v>
      </c>
      <c r="C11" s="23" t="n">
        <v>0.092</v>
      </c>
      <c r="D11" s="23" t="n">
        <v>-0.11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-7.97</v>
      </c>
      <c r="C12" s="23" t="n">
        <v>-7.912</v>
      </c>
      <c r="D12" s="23" t="n">
        <v>-3.342</v>
      </c>
      <c r="E12" s="23" t="n">
        <v>-21.377</v>
      </c>
      <c r="F12" s="23" t="n">
        <v>-28.526</v>
      </c>
      <c r="G12" s="23" t="n">
        <v>-29.964</v>
      </c>
      <c r="H12" s="23" t="n">
        <v>-20.729</v>
      </c>
      <c r="I12" s="23" t="n">
        <v>-7.83</v>
      </c>
      <c r="J12" s="23" t="n">
        <v>-33.978</v>
      </c>
      <c r="K12" s="23" t="n">
        <v>-47.252</v>
      </c>
      <c r="L12" s="23" t="n">
        <v>-65.952</v>
      </c>
      <c r="M12" s="23" t="n">
        <v>-40.4</v>
      </c>
      <c r="N12" s="23" t="n">
        <v>-44.6</v>
      </c>
      <c r="O12" s="23" t="n">
        <v>-57.4</v>
      </c>
    </row>
    <row r="13">
      <c r="A13" s="2" t="inlineStr">
        <is>
          <t>Earnings per Share</t>
        </is>
      </c>
      <c r="B13" s="11">
        <f>IFERROR(B12/B14,0)</f>
        <v>-100.88607594936708</v>
      </c>
      <c r="C13" s="11">
        <f>IFERROR(C12/C14,0)</f>
        <v>-98.89999999999999</v>
      </c>
      <c r="D13" s="11">
        <f>IFERROR(D12/D14,0)</f>
        <v>-41.25925925925926</v>
      </c>
      <c r="E13" s="11">
        <f>IFERROR(E12/E14,0)</f>
        <v>-49.36951501154734</v>
      </c>
      <c r="F13" s="11">
        <f>IFERROR(F12/F14,0)</f>
        <v>-65.42660550458716</v>
      </c>
      <c r="G13" s="11">
        <f>IFERROR(G12/G14,0)</f>
        <v>-65.85494505494505</v>
      </c>
      <c r="H13" s="11">
        <f>IFERROR(H12/H14,0)</f>
        <v>-45.75938189845474</v>
      </c>
      <c r="I13" s="11">
        <f>IFERROR(I12/I14,0)</f>
        <v>-3.038416763678696</v>
      </c>
      <c r="J13" s="11">
        <f>IFERROR(J12/J14,0)</f>
        <v>-4.696986452861488</v>
      </c>
      <c r="K13" s="11">
        <f>IFERROR(K12/K14,0)</f>
        <v>-4.206534318525772</v>
      </c>
      <c r="L13" s="11">
        <f>IFERROR(L12/L14,0)</f>
        <v>-5.857193605683837</v>
      </c>
      <c r="M13" s="11">
        <f>IFERROR(M12/M14,0)</f>
        <v>-3.565439943517783</v>
      </c>
      <c r="N13" s="11">
        <f>IFERROR(N12/N14,0)</f>
        <v>-2.1657844898752003</v>
      </c>
      <c r="O13" s="11">
        <f>IFERROR(O12/O14,0)</f>
        <v>-1.3399943972359698</v>
      </c>
    </row>
    <row r="14">
      <c r="A14" s="2" t="inlineStr">
        <is>
          <t>Shares</t>
        </is>
      </c>
      <c r="B14" s="23" t="n">
        <v>0.079</v>
      </c>
      <c r="C14" s="23" t="n">
        <v>0.08</v>
      </c>
      <c r="D14" s="23" t="n">
        <v>0.081</v>
      </c>
      <c r="E14" s="23" t="n">
        <v>0.433</v>
      </c>
      <c r="F14" s="23" t="n">
        <v>0.436</v>
      </c>
      <c r="G14" s="23" t="n">
        <v>0.455</v>
      </c>
      <c r="H14" s="23" t="n">
        <v>0.453</v>
      </c>
      <c r="I14" s="23" t="n">
        <v>2.577</v>
      </c>
      <c r="J14" s="23" t="n">
        <v>7.234</v>
      </c>
      <c r="K14" s="23" t="n">
        <v>11.233</v>
      </c>
      <c r="L14" s="23" t="n">
        <v>11.26</v>
      </c>
      <c r="M14" s="23" t="n">
        <v>11.331</v>
      </c>
      <c r="N14" s="23" t="n">
        <v>20.593</v>
      </c>
      <c r="O14" s="23" t="n">
        <v>42.836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-2.57123473541384</v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2026-10-21T01:05:48Z</dcterms:modified>
  <cp:lastModifiedBy>Wang, Eric</cp:lastModifiedBy>
</cp:coreProperties>
</file>