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EyePoint Inc</t>
        </is>
      </c>
      <c r="C2" s="10" t="n"/>
    </row>
    <row r="3">
      <c r="B3" t="inlineStr">
        <is>
          <t>Price</t>
        </is>
      </c>
      <c r="C3" s="11">
        <f>INDEX([1]Pharma!$F$1:$F$1000,MATCH("EYPT",[1]Pharma!$B$1:$B$1000,0))</f>
        <v>0.4052</v>
      </c>
      <c r="F3" s="1" t="n"/>
    </row>
    <row r="4">
      <c r="B4" t="inlineStr">
        <is>
          <t>Shares</t>
        </is>
      </c>
      <c r="C4" s="21" t="n">
        <v>86.212138</v>
      </c>
      <c r="F4" s="1" t="n"/>
    </row>
    <row r="5">
      <c r="B5" t="inlineStr">
        <is>
          <t>Market Cap.</t>
        </is>
      </c>
      <c r="C5" s="13">
        <f>C3*C4</f>
        <v>34.9331583176</v>
      </c>
      <c r="F5" s="1" t="n"/>
    </row>
    <row r="6"/>
    <row r="7">
      <c r="B7" t="inlineStr">
        <is>
          <t>Cash</t>
        </is>
      </c>
      <c r="C7" s="21">
        <f>110.458+70.014</f>
        <v>180.47199999999998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-145.53884168239998</v>
      </c>
    </row>
    <row r="10"/>
    <row r="11">
      <c r="B11" s="14" t="inlineStr">
        <is>
          <t>Net Cash / Share</t>
        </is>
      </c>
      <c r="C11" s="11">
        <f>(C7-C8)/C4</f>
        <v>2.093347922771617</v>
      </c>
    </row>
    <row r="12">
      <c r="B12" s="14" t="inlineStr">
        <is>
          <t>Upside</t>
        </is>
      </c>
      <c r="C12" s="15">
        <f>IFERROR(C11/C3-1,"")</f>
        <v>4.166209088774968</v>
      </c>
    </row>
    <row r="13">
      <c r="B13" s="14" t="inlineStr">
        <is>
          <t>Cash / Share</t>
        </is>
      </c>
      <c r="C13" s="11">
        <f>IFERROR((C7-C8)/C4,"")</f>
        <v>2.093347922771617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-267.298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0.6751715313994118</v>
      </c>
    </row>
    <row r="19">
      <c r="B19" s="14" t="inlineStr">
        <is>
          <t>Implied Pipeline Value</t>
        </is>
      </c>
      <c r="C19" s="13">
        <f>C9</f>
        <v>-145.53884168239998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23.053</v>
      </c>
      <c r="C2" s="23" t="n">
        <v>4.965</v>
      </c>
      <c r="D2" s="23" t="n">
        <v>3.526</v>
      </c>
      <c r="E2" s="23" t="n">
        <v>2.143</v>
      </c>
      <c r="F2" s="23" t="n">
        <v>3.473</v>
      </c>
      <c r="G2" s="23" t="n">
        <v>26.565</v>
      </c>
      <c r="H2" s="23" t="n">
        <v>1.62</v>
      </c>
      <c r="I2" s="23" t="n">
        <v>7.539</v>
      </c>
      <c r="J2" s="23" t="n">
        <v>4.571</v>
      </c>
      <c r="K2" s="23" t="n">
        <v>20.365</v>
      </c>
      <c r="L2" s="23" t="n">
        <v>34.437</v>
      </c>
      <c r="M2" s="23" t="n">
        <v>36.939</v>
      </c>
      <c r="N2" s="23" t="n">
        <v>41.404</v>
      </c>
      <c r="O2" s="23" t="n">
        <v>46.018</v>
      </c>
      <c r="P2" s="23" t="n">
        <v>43.273</v>
      </c>
      <c r="Q2" s="23" t="n">
        <v>31.371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23.053</v>
      </c>
      <c r="C4" s="23">
        <f>C2-C3</f>
        <v>4.965</v>
      </c>
      <c r="D4" s="23">
        <f>D2-D3</f>
        <v>3.526</v>
      </c>
      <c r="E4" s="23">
        <f>E2-E3</f>
        <v>2.143</v>
      </c>
      <c r="F4" s="23">
        <f>F2-F3</f>
        <v>3.473</v>
      </c>
      <c r="G4" s="23">
        <f>G2-G3</f>
        <v>26.565</v>
      </c>
      <c r="H4" s="23">
        <f>H2-H3</f>
        <v>1.62</v>
      </c>
      <c r="I4" s="23">
        <f>I2-I3</f>
        <v>7.539</v>
      </c>
      <c r="J4" s="23">
        <f>J2-J3</f>
        <v>4.571</v>
      </c>
      <c r="K4" s="23">
        <f>K2-K3</f>
        <v>20.365</v>
      </c>
      <c r="L4" s="23">
        <f>L2-L3</f>
        <v>34.437</v>
      </c>
      <c r="M4" s="23">
        <f>M2-M3</f>
        <v>36.939</v>
      </c>
      <c r="N4" s="23">
        <f>N2-N3</f>
        <v>41.404</v>
      </c>
      <c r="O4" s="23">
        <f>O2-O3</f>
        <v>46.018</v>
      </c>
      <c r="P4" s="23">
        <f>P2-P3</f>
        <v>43.273</v>
      </c>
      <c r="Q4" s="23">
        <f>Q2-Q3</f>
        <v>31.371</v>
      </c>
    </row>
    <row r="5">
      <c r="A5" s="2" t="inlineStr">
        <is>
          <t>Research &amp; Dev.</t>
        </is>
      </c>
      <c r="B5" s="23" t="n">
        <v>6.994</v>
      </c>
      <c r="C5" s="23" t="n">
        <v>6.864</v>
      </c>
      <c r="D5" s="23" t="n">
        <v>7.039</v>
      </c>
      <c r="E5" s="23" t="n">
        <v>7.005</v>
      </c>
      <c r="F5" s="23" t="n">
        <v>9.573</v>
      </c>
      <c r="G5" s="23" t="n">
        <v>12.088</v>
      </c>
      <c r="H5" s="23" t="n">
        <v>14.381</v>
      </c>
      <c r="I5" s="23" t="n">
        <v>14.88</v>
      </c>
      <c r="J5" s="23" t="n">
        <v>18.502</v>
      </c>
      <c r="K5" s="23" t="n">
        <v>15.368</v>
      </c>
      <c r="L5" s="23" t="n">
        <v>17.424</v>
      </c>
      <c r="M5" s="23" t="n">
        <v>28.5</v>
      </c>
      <c r="N5" s="23" t="n">
        <v>49.642</v>
      </c>
      <c r="O5" s="23" t="n">
        <v>64.66200000000001</v>
      </c>
      <c r="P5" s="23" t="n">
        <v>132.926</v>
      </c>
      <c r="Q5" s="23" t="n">
        <v>221.039</v>
      </c>
    </row>
    <row r="6">
      <c r="A6" s="19" t="inlineStr">
        <is>
          <t>SG&amp;A &amp; Other</t>
        </is>
      </c>
      <c r="B6" s="23" t="n">
        <v>6.968</v>
      </c>
      <c r="C6" s="23" t="n">
        <v>8.103999999999999</v>
      </c>
      <c r="D6" s="23" t="n">
        <v>21.698</v>
      </c>
      <c r="E6" s="23" t="n">
        <v>7.169</v>
      </c>
      <c r="F6" s="23" t="n">
        <v>7.39</v>
      </c>
      <c r="G6" s="23" t="n">
        <v>8.055999999999999</v>
      </c>
      <c r="H6" s="23" t="n">
        <v>9.013</v>
      </c>
      <c r="I6" s="23" t="n">
        <v>11.235</v>
      </c>
      <c r="J6" s="23" t="n">
        <v>25.088</v>
      </c>
      <c r="K6" s="23" t="n">
        <v>52.858</v>
      </c>
      <c r="L6" s="23" t="n">
        <v>54.303</v>
      </c>
      <c r="M6" s="23" t="n">
        <v>63.715</v>
      </c>
      <c r="N6" s="23" t="n">
        <v>91.399</v>
      </c>
      <c r="O6" s="23" t="n">
        <v>56.423</v>
      </c>
      <c r="P6" s="23" t="n">
        <v>56.201</v>
      </c>
      <c r="Q6" s="23" t="n">
        <v>53.766</v>
      </c>
    </row>
    <row r="7">
      <c r="A7" s="2" t="inlineStr">
        <is>
          <t>Operating Expense</t>
        </is>
      </c>
      <c r="B7" s="23">
        <f>SUM(B5:B6)</f>
        <v>13.962</v>
      </c>
      <c r="C7" s="23">
        <f>SUM(C5:C6)</f>
        <v>14.968</v>
      </c>
      <c r="D7" s="23">
        <f>SUM(D5:D6)</f>
        <v>28.737000000000002</v>
      </c>
      <c r="E7" s="23">
        <f>SUM(E5:E6)</f>
        <v>14.174</v>
      </c>
      <c r="F7" s="23">
        <f>SUM(F5:F6)</f>
        <v>16.963</v>
      </c>
      <c r="G7" s="23">
        <f>SUM(G5:G6)</f>
        <v>20.144</v>
      </c>
      <c r="H7" s="23">
        <f>SUM(H5:H6)</f>
        <v>23.394</v>
      </c>
      <c r="I7" s="23">
        <f>SUM(I5:I6)</f>
        <v>26.115000000000002</v>
      </c>
      <c r="J7" s="23">
        <f>SUM(J5:J6)</f>
        <v>43.59</v>
      </c>
      <c r="K7" s="23">
        <f>SUM(K5:K6)</f>
        <v>68.226</v>
      </c>
      <c r="L7" s="23">
        <f>SUM(L5:L6)</f>
        <v>71.727</v>
      </c>
      <c r="M7" s="23">
        <f>SUM(M5:M6)</f>
        <v>92.215</v>
      </c>
      <c r="N7" s="23">
        <f>SUM(N5:N6)</f>
        <v>141.041</v>
      </c>
      <c r="O7" s="23">
        <f>SUM(O5:O6)</f>
        <v>121.08500000000001</v>
      </c>
      <c r="P7" s="23">
        <f>SUM(P5:P6)</f>
        <v>189.12699999999998</v>
      </c>
      <c r="Q7" s="23">
        <f>SUM(Q5:Q6)</f>
        <v>274.805</v>
      </c>
    </row>
    <row r="8">
      <c r="A8" s="2" t="inlineStr">
        <is>
          <t>Operating Income</t>
        </is>
      </c>
      <c r="B8" s="23">
        <f>B4-B7</f>
        <v>9.091000000000001</v>
      </c>
      <c r="C8" s="23">
        <f>C4-C7</f>
        <v>-10.003</v>
      </c>
      <c r="D8" s="23">
        <f>D4-D7</f>
        <v>-25.211000000000002</v>
      </c>
      <c r="E8" s="23">
        <f>E4-E7</f>
        <v>-12.030999999999999</v>
      </c>
      <c r="F8" s="23">
        <f>F4-F7</f>
        <v>-13.490000000000002</v>
      </c>
      <c r="G8" s="23">
        <f>G4-G7</f>
        <v>6.421000000000003</v>
      </c>
      <c r="H8" s="23">
        <f>H4-H7</f>
        <v>-21.773999999999997</v>
      </c>
      <c r="I8" s="23">
        <f>I4-I7</f>
        <v>-18.576</v>
      </c>
      <c r="J8" s="23">
        <f>J4-J7</f>
        <v>-39.019000000000005</v>
      </c>
      <c r="K8" s="23">
        <f>K4-K7</f>
        <v>-47.861000000000004</v>
      </c>
      <c r="L8" s="23">
        <f>L4-L7</f>
        <v>-37.290000000000006</v>
      </c>
      <c r="M8" s="23">
        <f>M4-M7</f>
        <v>-55.276</v>
      </c>
      <c r="N8" s="23">
        <f>N4-N7</f>
        <v>-99.637</v>
      </c>
      <c r="O8" s="23">
        <f>O4-O7</f>
        <v>-75.06700000000001</v>
      </c>
      <c r="P8" s="23">
        <f>P4-P7</f>
        <v>-145.85399999999998</v>
      </c>
      <c r="Q8" s="23">
        <f>Q4-Q7</f>
        <v>-243.434</v>
      </c>
    </row>
    <row r="9">
      <c r="A9" s="19" t="inlineStr">
        <is>
          <t>Interest &amp; Other</t>
        </is>
      </c>
      <c r="B9" s="23" t="n">
        <v>-0.315</v>
      </c>
      <c r="C9" s="23" t="n">
        <v>1.157</v>
      </c>
      <c r="D9" s="23" t="n">
        <v>0.207</v>
      </c>
      <c r="E9" s="23" t="n">
        <v>0.014</v>
      </c>
      <c r="F9" s="23" t="n">
        <v>0.005</v>
      </c>
      <c r="G9" s="23" t="n">
        <v>0.022</v>
      </c>
      <c r="H9" s="23" t="n">
        <v>0.07199999999999999</v>
      </c>
      <c r="I9" s="23" t="n">
        <v>0.091</v>
      </c>
      <c r="J9" s="23" t="n">
        <v>-47.106</v>
      </c>
      <c r="K9" s="23" t="n">
        <v>-8.932</v>
      </c>
      <c r="L9" s="23" t="n">
        <v>-8.103999999999999</v>
      </c>
      <c r="M9" s="23" t="n">
        <v>-3.141</v>
      </c>
      <c r="N9" s="23" t="n">
        <v>-2.617</v>
      </c>
      <c r="O9" s="23" t="n">
        <v>4.355</v>
      </c>
      <c r="P9" s="23" t="n">
        <v>15.074</v>
      </c>
      <c r="Q9" s="23" t="n">
        <v>11.751</v>
      </c>
    </row>
    <row r="10">
      <c r="A10" s="2" t="inlineStr">
        <is>
          <t>Pretax</t>
        </is>
      </c>
      <c r="B10" s="23">
        <f>B8+B9</f>
        <v>8.776000000000002</v>
      </c>
      <c r="C10" s="23">
        <f>C8+C9</f>
        <v>-8.846</v>
      </c>
      <c r="D10" s="23">
        <f>D8+D9</f>
        <v>-25.004</v>
      </c>
      <c r="E10" s="23">
        <f>E8+E9</f>
        <v>-12.017</v>
      </c>
      <c r="F10" s="23">
        <f>F8+F9</f>
        <v>-13.485000000000001</v>
      </c>
      <c r="G10" s="23">
        <f>G8+G9</f>
        <v>6.443000000000003</v>
      </c>
      <c r="H10" s="23">
        <f>H8+H9</f>
        <v>-21.701999999999998</v>
      </c>
      <c r="I10" s="23">
        <f>I8+I9</f>
        <v>-18.485</v>
      </c>
      <c r="J10" s="23">
        <f>J8+J9</f>
        <v>-86.125</v>
      </c>
      <c r="K10" s="23">
        <f>K8+K9</f>
        <v>-56.793000000000006</v>
      </c>
      <c r="L10" s="23">
        <f>L8+L9</f>
        <v>-45.394000000000005</v>
      </c>
      <c r="M10" s="23">
        <f>M8+M9</f>
        <v>-58.417</v>
      </c>
      <c r="N10" s="23">
        <f>N8+N9</f>
        <v>-102.254</v>
      </c>
      <c r="O10" s="23">
        <f>O8+O9</f>
        <v>-70.712</v>
      </c>
      <c r="P10" s="23">
        <f>P8+P9</f>
        <v>-130.77999999999997</v>
      </c>
      <c r="Q10" s="23">
        <f>Q8+Q9</f>
        <v>-231.683</v>
      </c>
    </row>
    <row r="11">
      <c r="A11" s="2" t="inlineStr">
        <is>
          <t>Taxes</t>
        </is>
      </c>
      <c r="B11" s="23" t="n">
        <v>0.023</v>
      </c>
      <c r="C11" s="23" t="n">
        <v>-0.218</v>
      </c>
      <c r="D11" s="23" t="n">
        <v>-0.169</v>
      </c>
      <c r="E11" s="23" t="n">
        <v>-0.117</v>
      </c>
      <c r="F11" s="23" t="n">
        <v>-0.13</v>
      </c>
      <c r="G11" s="23" t="n">
        <v>0.096</v>
      </c>
      <c r="H11" s="23" t="n">
        <v>-0.155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0.083</v>
      </c>
      <c r="P11" s="23" t="n">
        <v>0.09</v>
      </c>
      <c r="Q11" s="23" t="n">
        <v>0.279</v>
      </c>
    </row>
    <row r="12">
      <c r="A12" s="2" t="inlineStr">
        <is>
          <t>Net Income</t>
        </is>
      </c>
      <c r="B12" s="23" t="n">
        <v>8.753</v>
      </c>
      <c r="C12" s="23" t="n">
        <v>-8.628</v>
      </c>
      <c r="D12" s="23" t="n">
        <v>-24.835</v>
      </c>
      <c r="E12" s="23" t="n">
        <v>-11.9</v>
      </c>
      <c r="F12" s="23" t="n">
        <v>-13.355</v>
      </c>
      <c r="G12" s="23" t="n">
        <v>6.347</v>
      </c>
      <c r="H12" s="23" t="n">
        <v>-21.547</v>
      </c>
      <c r="I12" s="23" t="n">
        <v>-18.485</v>
      </c>
      <c r="J12" s="23" t="n">
        <v>-86.125</v>
      </c>
      <c r="K12" s="23" t="n">
        <v>-56.793</v>
      </c>
      <c r="L12" s="23" t="n">
        <v>-45.394</v>
      </c>
      <c r="M12" s="23" t="n">
        <v>-58.417</v>
      </c>
      <c r="N12" s="23" t="n">
        <v>-102.254</v>
      </c>
      <c r="O12" s="23" t="n">
        <v>-70.795</v>
      </c>
      <c r="P12" s="23" t="n">
        <v>-130.87</v>
      </c>
      <c r="Q12" s="23" t="n">
        <v>-231.962</v>
      </c>
    </row>
    <row r="13">
      <c r="A13" s="2" t="inlineStr">
        <is>
          <t>Earnings per Share</t>
        </is>
      </c>
      <c r="B13" s="11">
        <f>IFERROR(B12/B14,0)</f>
        <v>0.46324424450912943</v>
      </c>
      <c r="C13" s="11">
        <f>IFERROR(C12/C14,0)</f>
        <v>-0.4427112730258094</v>
      </c>
      <c r="D13" s="11">
        <f>IFERROR(D12/D14,0)</f>
        <v>-1.1945072387090567</v>
      </c>
      <c r="E13" s="11">
        <f>IFERROR(E12/E14,0)</f>
        <v>-0.5164034021871203</v>
      </c>
      <c r="F13" s="11">
        <f>IFERROR(F12/F14,0)</f>
        <v>-0.48662731380265273</v>
      </c>
      <c r="G13" s="11">
        <f>IFERROR(G12/G14,0)</f>
        <v>0.20752681140465604</v>
      </c>
      <c r="H13" s="11">
        <f>IFERROR(H12/H14,0)</f>
        <v>-0.6813711539069665</v>
      </c>
      <c r="I13" s="11">
        <f>IFERROR(I12/I14,0)</f>
        <v>-0.5230024898143956</v>
      </c>
      <c r="J13" s="11">
        <f>IFERROR(J12/J14,0)</f>
        <v>-1.267625327485208</v>
      </c>
      <c r="K13" s="11">
        <f>IFERROR(K12/K14,0)</f>
        <v>-5.444636180615474</v>
      </c>
      <c r="L13" s="11">
        <f>IFERROR(L12/L14,0)</f>
        <v>-3.5364599563727017</v>
      </c>
      <c r="M13" s="11">
        <f>IFERROR(M12/M14,0)</f>
        <v>-2.0313304124069824</v>
      </c>
      <c r="N13" s="11">
        <f>IFERROR(N12/N14,0)</f>
        <v>-2.740145242114854</v>
      </c>
      <c r="O13" s="11">
        <f>IFERROR(O12/O14,0)</f>
        <v>-1.8197357598190416</v>
      </c>
      <c r="P13" s="11">
        <f>IFERROR(P12/P14,0)</f>
        <v>-2.324594124125191</v>
      </c>
      <c r="Q13" s="11">
        <f>IFERROR(Q12/Q14,0)</f>
        <v>-3.1666734925120474</v>
      </c>
    </row>
    <row r="14">
      <c r="A14" s="2" t="inlineStr">
        <is>
          <t>Shares</t>
        </is>
      </c>
      <c r="B14" s="23" t="n">
        <v>18.895</v>
      </c>
      <c r="C14" s="23" t="n">
        <v>19.489</v>
      </c>
      <c r="D14" s="23" t="n">
        <v>20.791</v>
      </c>
      <c r="E14" s="23" t="n">
        <v>23.044</v>
      </c>
      <c r="F14" s="23" t="n">
        <v>27.444</v>
      </c>
      <c r="G14" s="23" t="n">
        <v>30.584</v>
      </c>
      <c r="H14" s="23" t="n">
        <v>31.623</v>
      </c>
      <c r="I14" s="23" t="n">
        <v>35.344</v>
      </c>
      <c r="J14" s="23" t="n">
        <v>67.94199999999999</v>
      </c>
      <c r="K14" s="23" t="n">
        <v>10.431</v>
      </c>
      <c r="L14" s="23" t="n">
        <v>12.836</v>
      </c>
      <c r="M14" s="23" t="n">
        <v>28.758</v>
      </c>
      <c r="N14" s="23" t="n">
        <v>37.317</v>
      </c>
      <c r="O14" s="23" t="n">
        <v>38.904</v>
      </c>
      <c r="P14" s="23" t="n">
        <v>56.298</v>
      </c>
      <c r="Q14" s="23" t="n">
        <v>73.251</v>
      </c>
    </row>
    <row r="15"/>
    <row r="16" customFormat="1" s="4">
      <c r="A16" s="3" t="inlineStr">
        <is>
          <t>Revenue Change</t>
        </is>
      </c>
      <c r="C16" s="15">
        <f>IFERROR(C2/B2-1,"")</f>
        <v>-0.7846267297097992</v>
      </c>
      <c r="D16" s="15">
        <f>IFERROR(D2/C2-1,"")</f>
        <v>-0.289828801611279</v>
      </c>
      <c r="E16" s="15">
        <f>IFERROR(E2/D2-1,"")</f>
        <v>-0.392229154849688</v>
      </c>
      <c r="F16" s="15">
        <f>IFERROR(F2/E2-1,"")</f>
        <v>0.6206252916472237</v>
      </c>
      <c r="G16" s="15">
        <f>IFERROR(G2/F2-1,"")</f>
        <v>6.649006622516557</v>
      </c>
      <c r="H16" s="15">
        <f>IFERROR(H2/G2-1,"")</f>
        <v>-0.9390175042348955</v>
      </c>
      <c r="I16" s="15">
        <f>IFERROR(I2/H2-1,"")</f>
        <v>3.6537037037037035</v>
      </c>
      <c r="J16" s="15">
        <f>IFERROR(J2/I2-1,"")</f>
        <v>-0.393686165273909</v>
      </c>
      <c r="K16" s="15">
        <f>IFERROR(K2/J2-1,"")</f>
        <v>3.4552614307591334</v>
      </c>
      <c r="L16" s="15">
        <f>IFERROR(L2/K2-1,"")</f>
        <v>0.6909894426712497</v>
      </c>
      <c r="M16" s="15">
        <f>IFERROR(M2/L2-1,"")</f>
        <v>0.07265441240526194</v>
      </c>
      <c r="N16" s="15">
        <f>IFERROR(N2/M2-1,"")</f>
        <v>0.12087495600855469</v>
      </c>
      <c r="O16" s="15">
        <f>IFERROR(O2/N2-1,"")</f>
        <v>0.11143850835668045</v>
      </c>
      <c r="P16" s="15">
        <f>IFERROR(P2/O2-1,"")</f>
        <v>-0.05965057151549391</v>
      </c>
      <c r="Q16" s="15">
        <f>IFERROR(Q2/P2-1,"")</f>
        <v>-0.27504448501375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</row>
    <row r="18">
      <c r="A18" s="14" t="inlineStr">
        <is>
          <t>Operating Margin</t>
        </is>
      </c>
      <c r="B18" s="15">
        <f>IFERROR(B8/B2,"")</f>
        <v>0.3943521450570425</v>
      </c>
      <c r="C18" s="15">
        <f>IFERROR(C8/C2,"")</f>
        <v>-2.014702920443102</v>
      </c>
      <c r="D18" s="15">
        <f>IFERROR(D8/D2,"")</f>
        <v>-7.150028360748725</v>
      </c>
      <c r="E18" s="15">
        <f>IFERROR(E8/E2,"")</f>
        <v>-5.61409239384041</v>
      </c>
      <c r="F18" s="15">
        <f>IFERROR(F8/F2,"")</f>
        <v>-3.884249928016125</v>
      </c>
      <c r="G18" s="15">
        <f>IFERROR(G8/G2,"")</f>
        <v>0.2417090156220592</v>
      </c>
      <c r="H18" s="15">
        <f>IFERROR(H8/H2,"")</f>
        <v>-13.440740740740738</v>
      </c>
      <c r="I18" s="15">
        <f>IFERROR(I8/I2,"")</f>
        <v>-2.4639872662156788</v>
      </c>
      <c r="J18" s="15">
        <f>IFERROR(J8/J2,"")</f>
        <v>-8.536206519361192</v>
      </c>
      <c r="K18" s="15">
        <f>IFERROR(K8/K2,"")</f>
        <v>-2.3501595875276213</v>
      </c>
      <c r="L18" s="15">
        <f>IFERROR(L8/L2,"")</f>
        <v>-1.0828469378865757</v>
      </c>
      <c r="M18" s="15">
        <f>IFERROR(M8/M2,"")</f>
        <v>-1.4964130052248301</v>
      </c>
      <c r="N18" s="15">
        <f>IFERROR(N8/N2,"")</f>
        <v>-2.4064583132064534</v>
      </c>
      <c r="O18" s="15">
        <f>IFERROR(O8/O2,"")</f>
        <v>-1.6312529879612327</v>
      </c>
      <c r="P18" s="15">
        <f>IFERROR(P8/P2,"")</f>
        <v>-3.3705543872622648</v>
      </c>
      <c r="Q18" s="15">
        <f>IFERROR(Q8/Q2,"")</f>
        <v>-7.759841892193427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2026-10-21T01:05:28Z</dcterms:modified>
  <cp:lastModifiedBy>Wang, Eric</cp:lastModifiedBy>
</cp:coreProperties>
</file>