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EyePoint Inc</t>
        </is>
      </c>
      <c r="C2" s="10" t="n"/>
    </row>
    <row r="3">
      <c r="B3" t="inlineStr">
        <is>
          <t>Price</t>
        </is>
      </c>
      <c r="C3" s="11">
        <f>INDEX([1]Pharma!$F$1:$F$1000,MATCH("EYPT",[1]Pharma!$B$1:$B$1000,0))</f>
        <v>0.4052</v>
      </c>
      <c r="F3" s="1" t="n"/>
    </row>
    <row r="4">
      <c r="B4" t="inlineStr">
        <is>
          <t>Shares</t>
        </is>
      </c>
      <c r="C4" s="21" t="n">
        <v>86.212138</v>
      </c>
      <c r="F4" s="1" t="n"/>
    </row>
    <row r="5">
      <c r="B5" t="inlineStr">
        <is>
          <t>Market Cap.</t>
        </is>
      </c>
      <c r="C5" s="13">
        <f>C3*C4</f>
        <v>34.9331583176</v>
      </c>
      <c r="F5" s="1" t="n"/>
    </row>
    <row r="6"/>
    <row r="7">
      <c r="B7" t="inlineStr">
        <is>
          <t>Cash</t>
        </is>
      </c>
      <c r="C7" s="21">
        <f>110.458+70.014</f>
        <v>180.47199999999998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-145.53884168239998</v>
      </c>
    </row>
    <row r="10"/>
    <row r="11">
      <c r="B11" s="14" t="inlineStr">
        <is>
          <t>rNPV / Share</t>
        </is>
      </c>
      <c r="C11" s="11">
        <f>NPV!B27</f>
        <v>9.042441025226218</v>
      </c>
    </row>
    <row r="12">
      <c r="B12" s="14" t="inlineStr">
        <is>
          <t>Upside</t>
        </is>
      </c>
      <c r="C12" s="15">
        <f>IFERROR(C11/C3-1,"")</f>
        <v>21.315994632838642</v>
      </c>
    </row>
    <row r="13">
      <c r="B13" s="14" t="inlineStr">
        <is>
          <t>Cash / Share</t>
        </is>
      </c>
      <c r="C13" s="11">
        <f>IFERROR((C7-C8)/C4,"")</f>
        <v>2.093347922771617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-267.298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0.6751715313994118</v>
      </c>
    </row>
    <row r="19">
      <c r="B19" s="14" t="inlineStr">
        <is>
          <t>Implied Pipeline Value</t>
        </is>
      </c>
      <c r="C19" s="13">
        <f>C9</f>
        <v>-145.53884168239998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23.053</v>
      </c>
      <c r="C2" s="23" t="n">
        <v>4.965</v>
      </c>
      <c r="D2" s="23" t="n">
        <v>3.526</v>
      </c>
      <c r="E2" s="23" t="n">
        <v>2.143</v>
      </c>
      <c r="F2" s="23" t="n">
        <v>3.473</v>
      </c>
      <c r="G2" s="23" t="n">
        <v>26.565</v>
      </c>
      <c r="H2" s="23" t="n">
        <v>1.62</v>
      </c>
      <c r="I2" s="23" t="n">
        <v>7.539</v>
      </c>
      <c r="J2" s="23" t="n">
        <v>4.571</v>
      </c>
      <c r="K2" s="23" t="n">
        <v>20.365</v>
      </c>
      <c r="L2" s="23" t="n">
        <v>34.437</v>
      </c>
      <c r="M2" s="23" t="n">
        <v>36.939</v>
      </c>
      <c r="N2" s="23" t="n">
        <v>41.404</v>
      </c>
      <c r="O2" s="23" t="n">
        <v>46.018</v>
      </c>
      <c r="P2" s="23" t="n">
        <v>43.273</v>
      </c>
      <c r="Q2" s="23" t="n">
        <v>31.371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23.053</v>
      </c>
      <c r="C4" s="23">
        <f>C2-C3</f>
        <v>4.965</v>
      </c>
      <c r="D4" s="23">
        <f>D2-D3</f>
        <v>3.526</v>
      </c>
      <c r="E4" s="23">
        <f>E2-E3</f>
        <v>2.143</v>
      </c>
      <c r="F4" s="23">
        <f>F2-F3</f>
        <v>3.473</v>
      </c>
      <c r="G4" s="23">
        <f>G2-G3</f>
        <v>26.565</v>
      </c>
      <c r="H4" s="23">
        <f>H2-H3</f>
        <v>1.62</v>
      </c>
      <c r="I4" s="23">
        <f>I2-I3</f>
        <v>7.539</v>
      </c>
      <c r="J4" s="23">
        <f>J2-J3</f>
        <v>4.571</v>
      </c>
      <c r="K4" s="23">
        <f>K2-K3</f>
        <v>20.365</v>
      </c>
      <c r="L4" s="23">
        <f>L2-L3</f>
        <v>34.437</v>
      </c>
      <c r="M4" s="23">
        <f>M2-M3</f>
        <v>36.939</v>
      </c>
      <c r="N4" s="23">
        <f>N2-N3</f>
        <v>41.404</v>
      </c>
      <c r="O4" s="23">
        <f>O2-O3</f>
        <v>46.018</v>
      </c>
      <c r="P4" s="23">
        <f>P2-P3</f>
        <v>43.273</v>
      </c>
      <c r="Q4" s="23">
        <f>Q2-Q3</f>
        <v>31.371</v>
      </c>
    </row>
    <row r="5">
      <c r="A5" s="2" t="inlineStr">
        <is>
          <t>Research &amp; Dev.</t>
        </is>
      </c>
      <c r="B5" s="23" t="n">
        <v>6.994</v>
      </c>
      <c r="C5" s="23" t="n">
        <v>6.864</v>
      </c>
      <c r="D5" s="23" t="n">
        <v>7.039</v>
      </c>
      <c r="E5" s="23" t="n">
        <v>7.005</v>
      </c>
      <c r="F5" s="23" t="n">
        <v>9.573</v>
      </c>
      <c r="G5" s="23" t="n">
        <v>12.088</v>
      </c>
      <c r="H5" s="23" t="n">
        <v>14.381</v>
      </c>
      <c r="I5" s="23" t="n">
        <v>14.88</v>
      </c>
      <c r="J5" s="23" t="n">
        <v>18.502</v>
      </c>
      <c r="K5" s="23" t="n">
        <v>15.368</v>
      </c>
      <c r="L5" s="23" t="n">
        <v>17.424</v>
      </c>
      <c r="M5" s="23" t="n">
        <v>28.5</v>
      </c>
      <c r="N5" s="23" t="n">
        <v>49.642</v>
      </c>
      <c r="O5" s="23" t="n">
        <v>64.66200000000001</v>
      </c>
      <c r="P5" s="23" t="n">
        <v>132.926</v>
      </c>
      <c r="Q5" s="23" t="n">
        <v>221.039</v>
      </c>
    </row>
    <row r="6">
      <c r="A6" s="19" t="inlineStr">
        <is>
          <t>SG&amp;A &amp; Other</t>
        </is>
      </c>
      <c r="B6" s="23" t="n">
        <v>6.968</v>
      </c>
      <c r="C6" s="23" t="n">
        <v>8.103999999999999</v>
      </c>
      <c r="D6" s="23" t="n">
        <v>21.698</v>
      </c>
      <c r="E6" s="23" t="n">
        <v>7.169</v>
      </c>
      <c r="F6" s="23" t="n">
        <v>7.39</v>
      </c>
      <c r="G6" s="23" t="n">
        <v>8.055999999999999</v>
      </c>
      <c r="H6" s="23" t="n">
        <v>9.013</v>
      </c>
      <c r="I6" s="23" t="n">
        <v>11.235</v>
      </c>
      <c r="J6" s="23" t="n">
        <v>25.088</v>
      </c>
      <c r="K6" s="23" t="n">
        <v>52.858</v>
      </c>
      <c r="L6" s="23" t="n">
        <v>54.303</v>
      </c>
      <c r="M6" s="23" t="n">
        <v>63.715</v>
      </c>
      <c r="N6" s="23" t="n">
        <v>91.399</v>
      </c>
      <c r="O6" s="23" t="n">
        <v>56.423</v>
      </c>
      <c r="P6" s="23" t="n">
        <v>56.201</v>
      </c>
      <c r="Q6" s="23" t="n">
        <v>53.766</v>
      </c>
    </row>
    <row r="7">
      <c r="A7" s="2" t="inlineStr">
        <is>
          <t>Operating Expense</t>
        </is>
      </c>
      <c r="B7" s="23">
        <f>SUM(B5:B6)</f>
        <v>13.962</v>
      </c>
      <c r="C7" s="23">
        <f>SUM(C5:C6)</f>
        <v>14.968</v>
      </c>
      <c r="D7" s="23">
        <f>SUM(D5:D6)</f>
        <v>28.737000000000002</v>
      </c>
      <c r="E7" s="23">
        <f>SUM(E5:E6)</f>
        <v>14.174</v>
      </c>
      <c r="F7" s="23">
        <f>SUM(F5:F6)</f>
        <v>16.963</v>
      </c>
      <c r="G7" s="23">
        <f>SUM(G5:G6)</f>
        <v>20.144</v>
      </c>
      <c r="H7" s="23">
        <f>SUM(H5:H6)</f>
        <v>23.394</v>
      </c>
      <c r="I7" s="23">
        <f>SUM(I5:I6)</f>
        <v>26.115000000000002</v>
      </c>
      <c r="J7" s="23">
        <f>SUM(J5:J6)</f>
        <v>43.59</v>
      </c>
      <c r="K7" s="23">
        <f>SUM(K5:K6)</f>
        <v>68.226</v>
      </c>
      <c r="L7" s="23">
        <f>SUM(L5:L6)</f>
        <v>71.727</v>
      </c>
      <c r="M7" s="23">
        <f>SUM(M5:M6)</f>
        <v>92.215</v>
      </c>
      <c r="N7" s="23">
        <f>SUM(N5:N6)</f>
        <v>141.041</v>
      </c>
      <c r="O7" s="23">
        <f>SUM(O5:O6)</f>
        <v>121.08500000000001</v>
      </c>
      <c r="P7" s="23">
        <f>SUM(P5:P6)</f>
        <v>189.12699999999998</v>
      </c>
      <c r="Q7" s="23">
        <f>SUM(Q5:Q6)</f>
        <v>274.805</v>
      </c>
    </row>
    <row r="8">
      <c r="A8" s="2" t="inlineStr">
        <is>
          <t>Operating Income</t>
        </is>
      </c>
      <c r="B8" s="23">
        <f>B4-B7</f>
        <v>9.091000000000001</v>
      </c>
      <c r="C8" s="23">
        <f>C4-C7</f>
        <v>-10.003</v>
      </c>
      <c r="D8" s="23">
        <f>D4-D7</f>
        <v>-25.211000000000002</v>
      </c>
      <c r="E8" s="23">
        <f>E4-E7</f>
        <v>-12.030999999999999</v>
      </c>
      <c r="F8" s="23">
        <f>F4-F7</f>
        <v>-13.490000000000002</v>
      </c>
      <c r="G8" s="23">
        <f>G4-G7</f>
        <v>6.421000000000003</v>
      </c>
      <c r="H8" s="23">
        <f>H4-H7</f>
        <v>-21.773999999999997</v>
      </c>
      <c r="I8" s="23">
        <f>I4-I7</f>
        <v>-18.576</v>
      </c>
      <c r="J8" s="23">
        <f>J4-J7</f>
        <v>-39.019000000000005</v>
      </c>
      <c r="K8" s="23">
        <f>K4-K7</f>
        <v>-47.861000000000004</v>
      </c>
      <c r="L8" s="23">
        <f>L4-L7</f>
        <v>-37.290000000000006</v>
      </c>
      <c r="M8" s="23">
        <f>M4-M7</f>
        <v>-55.276</v>
      </c>
      <c r="N8" s="23">
        <f>N4-N7</f>
        <v>-99.637</v>
      </c>
      <c r="O8" s="23">
        <f>O4-O7</f>
        <v>-75.06700000000001</v>
      </c>
      <c r="P8" s="23">
        <f>P4-P7</f>
        <v>-145.85399999999998</v>
      </c>
      <c r="Q8" s="23">
        <f>Q4-Q7</f>
        <v>-243.434</v>
      </c>
    </row>
    <row r="9">
      <c r="A9" s="19" t="inlineStr">
        <is>
          <t>Interest &amp; Other</t>
        </is>
      </c>
      <c r="B9" s="23" t="n">
        <v>-0.315</v>
      </c>
      <c r="C9" s="23" t="n">
        <v>1.157</v>
      </c>
      <c r="D9" s="23" t="n">
        <v>0.207</v>
      </c>
      <c r="E9" s="23" t="n">
        <v>0.014</v>
      </c>
      <c r="F9" s="23" t="n">
        <v>0.005</v>
      </c>
      <c r="G9" s="23" t="n">
        <v>0.022</v>
      </c>
      <c r="H9" s="23" t="n">
        <v>0.07199999999999999</v>
      </c>
      <c r="I9" s="23" t="n">
        <v>0.091</v>
      </c>
      <c r="J9" s="23" t="n">
        <v>-47.106</v>
      </c>
      <c r="K9" s="23" t="n">
        <v>-8.932</v>
      </c>
      <c r="L9" s="23" t="n">
        <v>-8.103999999999999</v>
      </c>
      <c r="M9" s="23" t="n">
        <v>-3.141</v>
      </c>
      <c r="N9" s="23" t="n">
        <v>-2.617</v>
      </c>
      <c r="O9" s="23" t="n">
        <v>4.355</v>
      </c>
      <c r="P9" s="23" t="n">
        <v>15.074</v>
      </c>
      <c r="Q9" s="23" t="n">
        <v>11.751</v>
      </c>
    </row>
    <row r="10">
      <c r="A10" s="2" t="inlineStr">
        <is>
          <t>Pretax</t>
        </is>
      </c>
      <c r="B10" s="23">
        <f>B8+B9</f>
        <v>8.776000000000002</v>
      </c>
      <c r="C10" s="23">
        <f>C8+C9</f>
        <v>-8.846</v>
      </c>
      <c r="D10" s="23">
        <f>D8+D9</f>
        <v>-25.004</v>
      </c>
      <c r="E10" s="23">
        <f>E8+E9</f>
        <v>-12.017</v>
      </c>
      <c r="F10" s="23">
        <f>F8+F9</f>
        <v>-13.485000000000001</v>
      </c>
      <c r="G10" s="23">
        <f>G8+G9</f>
        <v>6.443000000000003</v>
      </c>
      <c r="H10" s="23">
        <f>H8+H9</f>
        <v>-21.701999999999998</v>
      </c>
      <c r="I10" s="23">
        <f>I8+I9</f>
        <v>-18.485</v>
      </c>
      <c r="J10" s="23">
        <f>J8+J9</f>
        <v>-86.125</v>
      </c>
      <c r="K10" s="23">
        <f>K8+K9</f>
        <v>-56.793000000000006</v>
      </c>
      <c r="L10" s="23">
        <f>L8+L9</f>
        <v>-45.394000000000005</v>
      </c>
      <c r="M10" s="23">
        <f>M8+M9</f>
        <v>-58.417</v>
      </c>
      <c r="N10" s="23">
        <f>N8+N9</f>
        <v>-102.254</v>
      </c>
      <c r="O10" s="23">
        <f>O8+O9</f>
        <v>-70.712</v>
      </c>
      <c r="P10" s="23">
        <f>P8+P9</f>
        <v>-130.77999999999997</v>
      </c>
      <c r="Q10" s="23">
        <f>Q8+Q9</f>
        <v>-231.683</v>
      </c>
    </row>
    <row r="11">
      <c r="A11" s="2" t="inlineStr">
        <is>
          <t>Taxes</t>
        </is>
      </c>
      <c r="B11" s="23" t="n">
        <v>0.023</v>
      </c>
      <c r="C11" s="23" t="n">
        <v>-0.218</v>
      </c>
      <c r="D11" s="23" t="n">
        <v>-0.169</v>
      </c>
      <c r="E11" s="23" t="n">
        <v>-0.117</v>
      </c>
      <c r="F11" s="23" t="n">
        <v>-0.13</v>
      </c>
      <c r="G11" s="23" t="n">
        <v>0.096</v>
      </c>
      <c r="H11" s="23" t="n">
        <v>-0.155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0.083</v>
      </c>
      <c r="P11" s="23" t="n">
        <v>0.09</v>
      </c>
      <c r="Q11" s="23" t="n">
        <v>0.279</v>
      </c>
    </row>
    <row r="12">
      <c r="A12" s="2" t="inlineStr">
        <is>
          <t>Net Income</t>
        </is>
      </c>
      <c r="B12" s="23" t="n">
        <v>8.753</v>
      </c>
      <c r="C12" s="23" t="n">
        <v>-8.628</v>
      </c>
      <c r="D12" s="23" t="n">
        <v>-24.835</v>
      </c>
      <c r="E12" s="23" t="n">
        <v>-11.9</v>
      </c>
      <c r="F12" s="23" t="n">
        <v>-13.355</v>
      </c>
      <c r="G12" s="23" t="n">
        <v>6.347</v>
      </c>
      <c r="H12" s="23" t="n">
        <v>-21.547</v>
      </c>
      <c r="I12" s="23" t="n">
        <v>-18.485</v>
      </c>
      <c r="J12" s="23" t="n">
        <v>-86.125</v>
      </c>
      <c r="K12" s="23" t="n">
        <v>-56.793</v>
      </c>
      <c r="L12" s="23" t="n">
        <v>-45.394</v>
      </c>
      <c r="M12" s="23" t="n">
        <v>-58.417</v>
      </c>
      <c r="N12" s="23" t="n">
        <v>-102.254</v>
      </c>
      <c r="O12" s="23" t="n">
        <v>-70.795</v>
      </c>
      <c r="P12" s="23" t="n">
        <v>-130.87</v>
      </c>
      <c r="Q12" s="23" t="n">
        <v>-231.962</v>
      </c>
    </row>
    <row r="13">
      <c r="A13" s="2" t="inlineStr">
        <is>
          <t>Earnings per Share</t>
        </is>
      </c>
      <c r="B13" s="11">
        <f>IFERROR(B12/B14,0)</f>
        <v>0.46324424450912943</v>
      </c>
      <c r="C13" s="11">
        <f>IFERROR(C12/C14,0)</f>
        <v>-0.4427112730258094</v>
      </c>
      <c r="D13" s="11">
        <f>IFERROR(D12/D14,0)</f>
        <v>-1.1945072387090567</v>
      </c>
      <c r="E13" s="11">
        <f>IFERROR(E12/E14,0)</f>
        <v>-0.5164034021871203</v>
      </c>
      <c r="F13" s="11">
        <f>IFERROR(F12/F14,0)</f>
        <v>-0.48662731380265273</v>
      </c>
      <c r="G13" s="11">
        <f>IFERROR(G12/G14,0)</f>
        <v>0.20752681140465604</v>
      </c>
      <c r="H13" s="11">
        <f>IFERROR(H12/H14,0)</f>
        <v>-0.6813711539069665</v>
      </c>
      <c r="I13" s="11">
        <f>IFERROR(I12/I14,0)</f>
        <v>-0.5230024898143956</v>
      </c>
      <c r="J13" s="11">
        <f>IFERROR(J12/J14,0)</f>
        <v>-1.267625327485208</v>
      </c>
      <c r="K13" s="11">
        <f>IFERROR(K12/K14,0)</f>
        <v>-5.444636180615474</v>
      </c>
      <c r="L13" s="11">
        <f>IFERROR(L12/L14,0)</f>
        <v>-3.5364599563727017</v>
      </c>
      <c r="M13" s="11">
        <f>IFERROR(M12/M14,0)</f>
        <v>-2.0313304124069824</v>
      </c>
      <c r="N13" s="11">
        <f>IFERROR(N12/N14,0)</f>
        <v>-2.740145242114854</v>
      </c>
      <c r="O13" s="11">
        <f>IFERROR(O12/O14,0)</f>
        <v>-1.8197357598190416</v>
      </c>
      <c r="P13" s="11">
        <f>IFERROR(P12/P14,0)</f>
        <v>-2.324594124125191</v>
      </c>
      <c r="Q13" s="11">
        <f>IFERROR(Q12/Q14,0)</f>
        <v>-3.1666734925120474</v>
      </c>
    </row>
    <row r="14">
      <c r="A14" s="2" t="inlineStr">
        <is>
          <t>Shares</t>
        </is>
      </c>
      <c r="B14" s="23" t="n">
        <v>18.895</v>
      </c>
      <c r="C14" s="23" t="n">
        <v>19.489</v>
      </c>
      <c r="D14" s="23" t="n">
        <v>20.791</v>
      </c>
      <c r="E14" s="23" t="n">
        <v>23.044</v>
      </c>
      <c r="F14" s="23" t="n">
        <v>27.444</v>
      </c>
      <c r="G14" s="23" t="n">
        <v>30.584</v>
      </c>
      <c r="H14" s="23" t="n">
        <v>31.623</v>
      </c>
      <c r="I14" s="23" t="n">
        <v>35.344</v>
      </c>
      <c r="J14" s="23" t="n">
        <v>67.94199999999999</v>
      </c>
      <c r="K14" s="23" t="n">
        <v>10.431</v>
      </c>
      <c r="L14" s="23" t="n">
        <v>12.836</v>
      </c>
      <c r="M14" s="23" t="n">
        <v>28.758</v>
      </c>
      <c r="N14" s="23" t="n">
        <v>37.317</v>
      </c>
      <c r="O14" s="23" t="n">
        <v>38.904</v>
      </c>
      <c r="P14" s="23" t="n">
        <v>56.298</v>
      </c>
      <c r="Q14" s="23" t="n">
        <v>73.251</v>
      </c>
    </row>
    <row r="15"/>
    <row r="16" customFormat="1" s="4">
      <c r="A16" s="3" t="inlineStr">
        <is>
          <t>Revenue Change</t>
        </is>
      </c>
      <c r="C16" s="15">
        <f>IFERROR(C2/B2-1,"")</f>
        <v>-0.7846267297097992</v>
      </c>
      <c r="D16" s="15">
        <f>IFERROR(D2/C2-1,"")</f>
        <v>-0.289828801611279</v>
      </c>
      <c r="E16" s="15">
        <f>IFERROR(E2/D2-1,"")</f>
        <v>-0.392229154849688</v>
      </c>
      <c r="F16" s="15">
        <f>IFERROR(F2/E2-1,"")</f>
        <v>0.6206252916472237</v>
      </c>
      <c r="G16" s="15">
        <f>IFERROR(G2/F2-1,"")</f>
        <v>6.649006622516557</v>
      </c>
      <c r="H16" s="15">
        <f>IFERROR(H2/G2-1,"")</f>
        <v>-0.9390175042348955</v>
      </c>
      <c r="I16" s="15">
        <f>IFERROR(I2/H2-1,"")</f>
        <v>3.6537037037037035</v>
      </c>
      <c r="J16" s="15">
        <f>IFERROR(J2/I2-1,"")</f>
        <v>-0.393686165273909</v>
      </c>
      <c r="K16" s="15">
        <f>IFERROR(K2/J2-1,"")</f>
        <v>3.4552614307591334</v>
      </c>
      <c r="L16" s="15">
        <f>IFERROR(L2/K2-1,"")</f>
        <v>0.6909894426712497</v>
      </c>
      <c r="M16" s="15">
        <f>IFERROR(M2/L2-1,"")</f>
        <v>0.07265441240526194</v>
      </c>
      <c r="N16" s="15">
        <f>IFERROR(N2/M2-1,"")</f>
        <v>0.12087495600855469</v>
      </c>
      <c r="O16" s="15">
        <f>IFERROR(O2/N2-1,"")</f>
        <v>0.11143850835668045</v>
      </c>
      <c r="P16" s="15">
        <f>IFERROR(P2/O2-1,"")</f>
        <v>-0.05965057151549391</v>
      </c>
      <c r="Q16" s="15">
        <f>IFERROR(Q2/P2-1,"")</f>
        <v>-0.27504448501375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0.3943521450570425</v>
      </c>
      <c r="C18" s="15">
        <f>IFERROR(C8/C2,"")</f>
        <v>-2.014702920443102</v>
      </c>
      <c r="D18" s="15">
        <f>IFERROR(D8/D2,"")</f>
        <v>-7.150028360748725</v>
      </c>
      <c r="E18" s="15">
        <f>IFERROR(E8/E2,"")</f>
        <v>-5.61409239384041</v>
      </c>
      <c r="F18" s="15">
        <f>IFERROR(F8/F2,"")</f>
        <v>-3.884249928016125</v>
      </c>
      <c r="G18" s="15">
        <f>IFERROR(G8/G2,"")</f>
        <v>0.2417090156220592</v>
      </c>
      <c r="H18" s="15">
        <f>IFERROR(H8/H2,"")</f>
        <v>-13.440740740740738</v>
      </c>
      <c r="I18" s="15">
        <f>IFERROR(I8/I2,"")</f>
        <v>-2.4639872662156788</v>
      </c>
      <c r="J18" s="15">
        <f>IFERROR(J8/J2,"")</f>
        <v>-8.536206519361192</v>
      </c>
      <c r="K18" s="15">
        <f>IFERROR(K8/K2,"")</f>
        <v>-2.3501595875276213</v>
      </c>
      <c r="L18" s="15">
        <f>IFERROR(L8/L2,"")</f>
        <v>-1.0828469378865757</v>
      </c>
      <c r="M18" s="15">
        <f>IFERROR(M8/M2,"")</f>
        <v>-1.4964130052248301</v>
      </c>
      <c r="N18" s="15">
        <f>IFERROR(N8/N2,"")</f>
        <v>-2.4064583132064534</v>
      </c>
      <c r="O18" s="15">
        <f>IFERROR(O8/O2,"")</f>
        <v>-1.6312529879612327</v>
      </c>
      <c r="P18" s="15">
        <f>IFERROR(P8/P2,"")</f>
        <v>-3.3705543872622648</v>
      </c>
      <c r="Q18" s="15">
        <f>IFERROR(Q8/Q2,"")</f>
        <v>-7.759841892193427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EyePoint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0.4663999999999999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316.976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881.4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599.0961735236641</v>
      </c>
      <c r="C29" s="42">
        <f>NPV!B25</f>
        <v>779.5681735236641</v>
      </c>
      <c r="D29" s="43">
        <f>NPV!B27</f>
        <v>9.042441025226218</v>
      </c>
      <c r="E29" s="44">
        <f>NPV!B29</f>
        <v>21.315994632838642</v>
      </c>
    </row>
    <row r="30">
      <c r="A30" s="45" t="n">
        <v>1</v>
      </c>
      <c r="B30" s="46">
        <f t="dataTable" ref="B30:E32" r1="B4"/>
        <v>-171.7887980033763</v>
      </c>
      <c r="C30" s="46">
        <v>8.683201996623694</v>
      </c>
      <c r="D30" s="47">
        <v>0.10071901936388232</v>
      </c>
      <c r="E30" s="48">
        <v>-0.7514338120338541</v>
      </c>
    </row>
    <row r="31">
      <c r="A31" s="45" t="n">
        <v>2</v>
      </c>
      <c r="B31" s="46">
        <v>599.0961735236641</v>
      </c>
      <c r="C31" s="46">
        <v>779.5681735236641</v>
      </c>
      <c r="D31" s="47">
        <v>9.042441025226218</v>
      </c>
      <c r="E31" s="48">
        <v>21.315994632838642</v>
      </c>
    </row>
    <row r="32">
      <c r="A32" s="45" t="n">
        <v>3</v>
      </c>
      <c r="B32" s="46">
        <v>1762.4161283260523</v>
      </c>
      <c r="C32" s="46">
        <v>1942.8881283260523</v>
      </c>
      <c r="D32" s="47">
        <v>22.53613207372322</v>
      </c>
      <c r="E32" s="48">
        <v>54.617305216493634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9.042441025226218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-1.8496980610974774</v>
      </c>
      <c r="C37" s="47">
        <v>1.026675814325713</v>
      </c>
      <c r="D37" s="47">
        <v>3.5584078528404235</v>
      </c>
      <c r="E37" s="47">
        <v>8.4302446134531</v>
      </c>
      <c r="F37" s="47">
        <v>13.189123386806669</v>
      </c>
    </row>
    <row r="38">
      <c r="A38" s="50" t="n">
        <v>0.8</v>
      </c>
      <c r="B38" s="47">
        <v>-0.49332968767885255</v>
      </c>
      <c r="C38" s="47">
        <v>3.0468369569189444</v>
      </c>
      <c r="D38" s="47">
        <v>6.325825476621771</v>
      </c>
      <c r="E38" s="47">
        <v>12.703804153963752</v>
      </c>
      <c r="F38" s="47">
        <v>18.978206184881707</v>
      </c>
    </row>
    <row r="39">
      <c r="A39" s="50" t="n">
        <v>1</v>
      </c>
      <c r="B39" s="47">
        <v>0.8321525812353213</v>
      </c>
      <c r="C39" s="47">
        <v>5.014054752019966</v>
      </c>
      <c r="D39" s="47">
        <v>9.042441025226218</v>
      </c>
      <c r="E39" s="47">
        <v>16.935116111042923</v>
      </c>
      <c r="F39" s="47">
        <v>24.741226867037867</v>
      </c>
    </row>
    <row r="40">
      <c r="A40" s="50" t="n">
        <v>1.2</v>
      </c>
      <c r="B40" s="47">
        <v>2.012710655947889</v>
      </c>
      <c r="C40" s="47">
        <v>6.946625486195535</v>
      </c>
      <c r="D40" s="47">
        <v>11.728433933846864</v>
      </c>
      <c r="E40" s="47">
        <v>21.14553869199954</v>
      </c>
      <c r="F40" s="47">
        <v>30.469628245890743</v>
      </c>
    </row>
    <row r="41">
      <c r="A41" s="50" t="n">
        <v>1.4</v>
      </c>
      <c r="B41" s="47">
        <v>3.170863174834807</v>
      </c>
      <c r="C41" s="47">
        <v>8.854735557907516</v>
      </c>
      <c r="D41" s="47">
        <v>14.401514169175892</v>
      </c>
      <c r="E41" s="47">
        <v>25.342989996087763</v>
      </c>
      <c r="F41" s="47">
        <v>36.198029624743654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EyePoint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Retinal disease (AMD / DME)</t>
        </is>
      </c>
      <c r="C4" s="14" t="inlineStr">
        <is>
          <t>EYP-1901, Aflibercept (2.0 mg)</t>
        </is>
      </c>
      <c r="D4" s="14" t="inlineStr">
        <is>
          <t>Phase 3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2500</v>
      </c>
      <c r="H4" s="27" t="n">
        <v>0.4664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1672.571734271231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116.6</v>
      </c>
      <c r="Q4" s="23">
        <f>IF(Q$3&lt;$I4,0,$G4*Assumptions!$E$11*INDEX(Assumptions!$B$24:$G$24,MIN(6,Q$3-$I4+1))*IF(Q$3&gt;$J4,(1-Assumptions!$B$26)^(Q$3-$J4),1)*IF($H4&gt;=1,1,MIN(0.97,$H4*Assumptions!$E$12)))</f>
        <v>291.5</v>
      </c>
      <c r="R4" s="23">
        <f>IF(R$3&lt;$I4,0,$G4*Assumptions!$E$11*INDEX(Assumptions!$B$24:$G$24,MIN(6,R$3-$I4+1))*IF(R$3&gt;$J4,(1-Assumptions!$B$26)^(R$3-$J4),1)*IF($H4&gt;=1,1,MIN(0.97,$H4*Assumptions!$E$12)))</f>
        <v>524.6999999999999</v>
      </c>
      <c r="S4" s="23">
        <f>IF(S$3&lt;$I4,0,$G4*Assumptions!$E$11*INDEX(Assumptions!$B$24:$G$24,MIN(6,S$3-$I4+1))*IF(S$3&gt;$J4,(1-Assumptions!$B$26)^(S$3-$J4),1)*IF($H4&gt;=1,1,MIN(0.97,$H4*Assumptions!$E$12)))</f>
        <v>757.9</v>
      </c>
      <c r="T4" s="23">
        <f>IF(T$3&lt;$I4,0,$G4*Assumptions!$E$11*INDEX(Assumptions!$B$24:$G$24,MIN(6,T$3-$I4+1))*IF(T$3&gt;$J4,(1-Assumptions!$B$26)^(T$3-$J4),1)*IF($H4&gt;=1,1,MIN(0.97,$H4*Assumptions!$E$12)))</f>
        <v>991.0999999999999</v>
      </c>
      <c r="U4" s="23">
        <f>IF(U$3&lt;$I4,0,$G4*Assumptions!$E$11*INDEX(Assumptions!$B$24:$G$24,MIN(6,U$3-$I4+1))*IF(U$3&gt;$J4,(1-Assumptions!$B$26)^(U$3-$J4),1)*IF($H4&gt;=1,1,MIN(0.97,$H4*Assumptions!$E$12)))</f>
        <v>1166.0</v>
      </c>
      <c r="V4" s="23">
        <f>IF(V$3&lt;$I4,0,$G4*Assumptions!$E$11*INDEX(Assumptions!$B$24:$G$24,MIN(6,V$3-$I4+1))*IF(V$3&gt;$J4,(1-Assumptions!$B$26)^(V$3-$J4),1)*IF($H4&gt;=1,1,MIN(0.97,$H4*Assumptions!$E$12)))</f>
        <v>1166.0</v>
      </c>
      <c r="W4" s="23">
        <f>IF(W$3&lt;$I4,0,$G4*Assumptions!$E$11*INDEX(Assumptions!$B$24:$G$24,MIN(6,W$3-$I4+1))*IF(W$3&gt;$J4,(1-Assumptions!$B$26)^(W$3-$J4),1)*IF($H4&gt;=1,1,MIN(0.97,$H4*Assumptions!$E$12)))</f>
        <v>1166.0</v>
      </c>
      <c r="X4" s="23">
        <f>IF(X$3&lt;$I4,0,$G4*Assumptions!$E$11*INDEX(Assumptions!$B$24:$G$24,MIN(6,X$3-$I4+1))*IF(X$3&gt;$J4,(1-Assumptions!$B$26)^(X$3-$J4),1)*IF($H4&gt;=1,1,MIN(0.97,$H4*Assumptions!$E$12)))</f>
        <v>1166.0</v>
      </c>
      <c r="Y4" s="23">
        <f>IF(Y$3&lt;$I4,0,$G4*Assumptions!$E$11*INDEX(Assumptions!$B$24:$G$24,MIN(6,Y$3-$I4+1))*IF(Y$3&gt;$J4,(1-Assumptions!$B$26)^(Y$3-$J4),1)*IF($H4&gt;=1,1,MIN(0.97,$H4*Assumptions!$E$12)))</f>
        <v>1166.0</v>
      </c>
      <c r="Z4" s="23">
        <f>IF(Z$3&lt;$I4,0,$G4*Assumptions!$E$11*INDEX(Assumptions!$B$24:$G$24,MIN(6,Z$3-$I4+1))*IF(Z$3&gt;$J4,(1-Assumptions!$B$26)^(Z$3-$J4),1)*IF($H4&gt;=1,1,MIN(0.97,$H4*Assumptions!$E$12)))</f>
        <v>1166.0</v>
      </c>
      <c r="AA4" s="23">
        <f>IF(AA$3&lt;$I4,0,$G4*Assumptions!$E$11*INDEX(Assumptions!$B$24:$G$24,MIN(6,AA$3-$I4+1))*IF(AA$3&gt;$J4,(1-Assumptions!$B$26)^(AA$3-$J4),1)*IF($H4&gt;=1,1,MIN(0.97,$H4*Assumptions!$E$12)))</f>
        <v>1166.0</v>
      </c>
      <c r="AB4" s="23">
        <f>IF(AB$3&lt;$I4,0,$G4*Assumptions!$E$11*INDEX(Assumptions!$B$24:$G$24,MIN(6,AB$3-$I4+1))*IF(AB$3&gt;$J4,(1-Assumptions!$B$26)^(AB$3-$J4),1)*IF($H4&gt;=1,1,MIN(0.97,$H4*Assumptions!$E$12)))</f>
        <v>1166.0</v>
      </c>
      <c r="AC4" s="23">
        <f>IF(AC$3&lt;$I4,0,$G4*Assumptions!$E$11*INDEX(Assumptions!$B$24:$G$24,MIN(6,AC$3-$I4+1))*IF(AC$3&gt;$J4,(1-Assumptions!$B$26)^(AC$3-$J4),1)*IF($H4&gt;=1,1,MIN(0.97,$H4*Assumptions!$E$12)))</f>
        <v>583.0</v>
      </c>
      <c r="AD4" s="23">
        <f>IF(AD$3&lt;$I4,0,$G4*Assumptions!$E$11*INDEX(Assumptions!$B$24:$G$24,MIN(6,AD$3-$I4+1))*IF(AD$3&gt;$J4,(1-Assumptions!$B$26)^(AD$3-$J4),1)*IF($H4&gt;=1,1,MIN(0.97,$H4*Assumptions!$E$12)))</f>
        <v>291.5</v>
      </c>
      <c r="AE4" s="23">
        <f>IF(AE$3&lt;$I4,0,$G4*Assumptions!$E$11*INDEX(Assumptions!$B$24:$G$24,MIN(6,AE$3-$I4+1))*IF(AE$3&gt;$J4,(1-Assumptions!$B$26)^(AE$3-$J4),1)*IF($H4&gt;=1,1,MIN(0.97,$H4*Assumptions!$E$12)))</f>
        <v>145.75</v>
      </c>
      <c r="AF4" s="23">
        <f>IF(AF$3&lt;$I4,0,$G4*Assumptions!$E$11*INDEX(Assumptions!$B$24:$G$24,MIN(6,AF$3-$I4+1))*IF(AF$3&gt;$J4,(1-Assumptions!$B$26)^(AF$3-$J4),1)*IF($H4&gt;=1,1,MIN(0.97,$H4*Assumptions!$E$12)))</f>
        <v>72.875</v>
      </c>
      <c r="AG4" s="35">
        <f>IF(F4="Owned",1-IF(H4&gt;=1,1,MIN(0.97,H4*Assumptions!$E$12)),1)</f>
        <v>0.5336000000000001</v>
      </c>
    </row>
    <row r="5">
      <c r="B5" s="24" t="inlineStr">
        <is>
          <t>Risked revenue</t>
        </is>
      </c>
      <c r="L5" s="54">
        <f>SUM(L4:L4)</f>
        <v>1672.571734271231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116.6</v>
      </c>
      <c r="Q5" s="54">
        <f>SUM(Q4:Q4)</f>
        <v>291.5</v>
      </c>
      <c r="R5" s="54">
        <f>SUM(R4:R4)</f>
        <v>524.6999999999999</v>
      </c>
      <c r="S5" s="54">
        <f>SUM(S4:S4)</f>
        <v>757.9</v>
      </c>
      <c r="T5" s="54">
        <f>SUM(T4:T4)</f>
        <v>991.0999999999999</v>
      </c>
      <c r="U5" s="54">
        <f>SUM(U4:U4)</f>
        <v>1166.0</v>
      </c>
      <c r="V5" s="54">
        <f>SUM(V4:V4)</f>
        <v>1166.0</v>
      </c>
      <c r="W5" s="54">
        <f>SUM(W4:W4)</f>
        <v>1166.0</v>
      </c>
      <c r="X5" s="54">
        <f>SUM(X4:X4)</f>
        <v>1166.0</v>
      </c>
      <c r="Y5" s="54">
        <f>SUM(Y4:Y4)</f>
        <v>1166.0</v>
      </c>
      <c r="Z5" s="54">
        <f>SUM(Z4:Z4)</f>
        <v>1166.0</v>
      </c>
      <c r="AA5" s="54">
        <f>SUM(AA4:AA4)</f>
        <v>1166.0</v>
      </c>
      <c r="AB5" s="54">
        <f>SUM(AB4:AB4)</f>
        <v>1166.0</v>
      </c>
      <c r="AC5" s="54">
        <f>SUM(AC4:AC4)</f>
        <v>583.0</v>
      </c>
      <c r="AD5" s="54">
        <f>SUM(AD4:AD4)</f>
        <v>291.5</v>
      </c>
      <c r="AE5" s="54">
        <f>SUM(AE4:AE4)</f>
        <v>145.75</v>
      </c>
      <c r="AF5" s="54">
        <f>SUM(AF4:AF4)</f>
        <v>72.875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46.64</v>
      </c>
      <c r="Q6" s="55">
        <f>SUMPRODUCT(Q4:Q4,$K$4:$K$4)</f>
        <v>116.60000000000001</v>
      </c>
      <c r="R6" s="55">
        <f>SUMPRODUCT(R4:R4,$K$4:$K$4)</f>
        <v>209.88</v>
      </c>
      <c r="S6" s="55">
        <f>SUMPRODUCT(S4:S4,$K$4:$K$4)</f>
        <v>303.16</v>
      </c>
      <c r="T6" s="55">
        <f>SUMPRODUCT(T4:T4,$K$4:$K$4)</f>
        <v>396.44</v>
      </c>
      <c r="U6" s="55">
        <f>SUMPRODUCT(U4:U4,$K$4:$K$4)</f>
        <v>466.40000000000003</v>
      </c>
      <c r="V6" s="55">
        <f>SUMPRODUCT(V4:V4,$K$4:$K$4)</f>
        <v>466.40000000000003</v>
      </c>
      <c r="W6" s="55">
        <f>SUMPRODUCT(W4:W4,$K$4:$K$4)</f>
        <v>466.40000000000003</v>
      </c>
      <c r="X6" s="55">
        <f>SUMPRODUCT(X4:X4,$K$4:$K$4)</f>
        <v>466.40000000000003</v>
      </c>
      <c r="Y6" s="55">
        <f>SUMPRODUCT(Y4:Y4,$K$4:$K$4)</f>
        <v>466.40000000000003</v>
      </c>
      <c r="Z6" s="55">
        <f>SUMPRODUCT(Z4:Z4,$K$4:$K$4)</f>
        <v>466.40000000000003</v>
      </c>
      <c r="AA6" s="55">
        <f>SUMPRODUCT(AA4:AA4,$K$4:$K$4)</f>
        <v>466.40000000000003</v>
      </c>
      <c r="AB6" s="55">
        <f>SUMPRODUCT(AB4:AB4,$K$4:$K$4)</f>
        <v>466.40000000000003</v>
      </c>
      <c r="AC6" s="55">
        <f>SUMPRODUCT(AC4:AC4,$K$4:$K$4)</f>
        <v>233.20000000000002</v>
      </c>
      <c r="AD6" s="55">
        <f>SUMPRODUCT(AD4:AD4,$K$4:$K$4)</f>
        <v>116.60000000000001</v>
      </c>
      <c r="AE6" s="55">
        <f>SUMPRODUCT(AE4:AE4,$K$4:$K$4)</f>
        <v>58.300000000000004</v>
      </c>
      <c r="AF6" s="55">
        <f>SUMPRODUCT(AF4:AF4,$K$4:$K$4)</f>
        <v>29.150000000000002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EyePoint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116.6</v>
      </c>
      <c r="G4" s="57">
        <f>Pipeline!Q5</f>
        <v>291.5</v>
      </c>
      <c r="H4" s="57">
        <f>Pipeline!R5</f>
        <v>524.6999999999999</v>
      </c>
      <c r="I4" s="57">
        <f>Pipeline!S5</f>
        <v>757.9</v>
      </c>
      <c r="J4" s="57">
        <f>Pipeline!T5</f>
        <v>991.0999999999999</v>
      </c>
      <c r="K4" s="57">
        <f>Pipeline!U5</f>
        <v>1166.0</v>
      </c>
      <c r="L4" s="57">
        <f>Pipeline!V5</f>
        <v>1166.0</v>
      </c>
      <c r="M4" s="57">
        <f>Pipeline!W5</f>
        <v>1166.0</v>
      </c>
      <c r="N4" s="57">
        <f>Pipeline!X5</f>
        <v>1166.0</v>
      </c>
      <c r="O4" s="57">
        <f>Pipeline!Y5</f>
        <v>1166.0</v>
      </c>
      <c r="P4" s="57">
        <f>Pipeline!Z5</f>
        <v>1166.0</v>
      </c>
      <c r="Q4" s="57">
        <f>Pipeline!AA5</f>
        <v>1166.0</v>
      </c>
      <c r="R4" s="57">
        <f>Pipeline!AB5</f>
        <v>1166.0</v>
      </c>
      <c r="S4" s="57">
        <f>Pipeline!AC5</f>
        <v>583.0</v>
      </c>
      <c r="T4" s="57">
        <f>Pipeline!AD5</f>
        <v>291.5</v>
      </c>
      <c r="U4" s="57">
        <f>Pipeline!AE5</f>
        <v>145.75</v>
      </c>
      <c r="V4" s="57">
        <f>Pipeline!AF5</f>
        <v>72.875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46.64</v>
      </c>
      <c r="G5" s="57">
        <f>Pipeline!Q6</f>
        <v>116.60000000000001</v>
      </c>
      <c r="H5" s="57">
        <f>Pipeline!R6</f>
        <v>209.88</v>
      </c>
      <c r="I5" s="57">
        <f>Pipeline!S6</f>
        <v>303.16</v>
      </c>
      <c r="J5" s="57">
        <f>Pipeline!T6</f>
        <v>396.44</v>
      </c>
      <c r="K5" s="57">
        <f>Pipeline!U6</f>
        <v>466.40000000000003</v>
      </c>
      <c r="L5" s="57">
        <f>Pipeline!V6</f>
        <v>466.40000000000003</v>
      </c>
      <c r="M5" s="57">
        <f>Pipeline!W6</f>
        <v>466.40000000000003</v>
      </c>
      <c r="N5" s="57">
        <f>Pipeline!X6</f>
        <v>466.40000000000003</v>
      </c>
      <c r="O5" s="57">
        <f>Pipeline!Y6</f>
        <v>466.40000000000003</v>
      </c>
      <c r="P5" s="57">
        <f>Pipeline!Z6</f>
        <v>466.40000000000003</v>
      </c>
      <c r="Q5" s="57">
        <f>Pipeline!AA6</f>
        <v>466.40000000000003</v>
      </c>
      <c r="R5" s="57">
        <f>Pipeline!AB6</f>
        <v>466.40000000000003</v>
      </c>
      <c r="S5" s="57">
        <f>Pipeline!AC6</f>
        <v>233.20000000000002</v>
      </c>
      <c r="T5" s="57">
        <f>Pipeline!AD6</f>
        <v>116.60000000000001</v>
      </c>
      <c r="U5" s="57">
        <f>Pipeline!AE6</f>
        <v>58.300000000000004</v>
      </c>
      <c r="V5" s="57">
        <f>Pipeline!AF6</f>
        <v>29.150000000000002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-316.976</v>
      </c>
      <c r="D6" s="23">
        <f>-IF(D3-2026&lt;Assumptions!$B$19,Assumptions!$B$18,Assumptions!$B$18*Assumptions!$B$20*Assumptions!$B$16)</f>
        <v>-316.976</v>
      </c>
      <c r="E6" s="23">
        <f>-IF(E3-2026&lt;Assumptions!$B$19,Assumptions!$B$18,Assumptions!$B$18*Assumptions!$B$20*Assumptions!$B$16)</f>
        <v>-316.976</v>
      </c>
      <c r="F6" s="23">
        <f>-IF(F3-2026&lt;Assumptions!$B$19,Assumptions!$B$18,Assumptions!$B$18*Assumptions!$B$20*Assumptions!$B$16)</f>
        <v>-44.35128191999999</v>
      </c>
      <c r="G6" s="23">
        <f>-IF(G3-2026&lt;Assumptions!$B$19,Assumptions!$B$18,Assumptions!$B$18*Assumptions!$B$20*Assumptions!$B$16)</f>
        <v>-44.35128191999999</v>
      </c>
      <c r="H6" s="23">
        <f>-IF(H3-2026&lt;Assumptions!$B$19,Assumptions!$B$18,Assumptions!$B$18*Assumptions!$B$20*Assumptions!$B$16)</f>
        <v>-44.35128191999999</v>
      </c>
      <c r="I6" s="23">
        <f>-IF(I3-2026&lt;Assumptions!$B$19,Assumptions!$B$18,Assumptions!$B$18*Assumptions!$B$20*Assumptions!$B$16)</f>
        <v>-44.35128191999999</v>
      </c>
      <c r="J6" s="23">
        <f>-IF(J3-2026&lt;Assumptions!$B$19,Assumptions!$B$18,Assumptions!$B$18*Assumptions!$B$20*Assumptions!$B$16)</f>
        <v>-44.35128191999999</v>
      </c>
      <c r="K6" s="23">
        <f>-IF(K3-2026&lt;Assumptions!$B$19,Assumptions!$B$18,Assumptions!$B$18*Assumptions!$B$20*Assumptions!$B$16)</f>
        <v>-44.35128191999999</v>
      </c>
      <c r="L6" s="23">
        <f>-IF(L3-2026&lt;Assumptions!$B$19,Assumptions!$B$18,Assumptions!$B$18*Assumptions!$B$20*Assumptions!$B$16)</f>
        <v>-44.35128191999999</v>
      </c>
      <c r="M6" s="23">
        <f>-IF(M3-2026&lt;Assumptions!$B$19,Assumptions!$B$18,Assumptions!$B$18*Assumptions!$B$20*Assumptions!$B$16)</f>
        <v>-44.35128191999999</v>
      </c>
      <c r="N6" s="23">
        <f>-IF(N3-2026&lt;Assumptions!$B$19,Assumptions!$B$18,Assumptions!$B$18*Assumptions!$B$20*Assumptions!$B$16)</f>
        <v>-44.35128191999999</v>
      </c>
      <c r="O6" s="23">
        <f>-IF(O3-2026&lt;Assumptions!$B$19,Assumptions!$B$18,Assumptions!$B$18*Assumptions!$B$20*Assumptions!$B$16)</f>
        <v>-44.35128191999999</v>
      </c>
      <c r="P6" s="23">
        <f>-IF(P3-2026&lt;Assumptions!$B$19,Assumptions!$B$18,Assumptions!$B$18*Assumptions!$B$20*Assumptions!$B$16)</f>
        <v>-44.35128191999999</v>
      </c>
      <c r="Q6" s="23">
        <f>-IF(Q3-2026&lt;Assumptions!$B$19,Assumptions!$B$18,Assumptions!$B$18*Assumptions!$B$20*Assumptions!$B$16)</f>
        <v>-44.35128191999999</v>
      </c>
      <c r="R6" s="23">
        <f>-IF(R3-2026&lt;Assumptions!$B$19,Assumptions!$B$18,Assumptions!$B$18*Assumptions!$B$20*Assumptions!$B$16)</f>
        <v>-44.35128191999999</v>
      </c>
      <c r="S6" s="23">
        <f>-IF(S3-2026&lt;Assumptions!$B$19,Assumptions!$B$18,Assumptions!$B$18*Assumptions!$B$20*Assumptions!$B$16)</f>
        <v>-44.35128191999999</v>
      </c>
      <c r="T6" s="23">
        <f>-IF(T3-2026&lt;Assumptions!$B$19,Assumptions!$B$18,Assumptions!$B$18*Assumptions!$B$20*Assumptions!$B$16)</f>
        <v>-44.35128191999999</v>
      </c>
      <c r="U6" s="23">
        <f>-IF(U3-2026&lt;Assumptions!$B$19,Assumptions!$B$18,Assumptions!$B$18*Assumptions!$B$20*Assumptions!$B$16)</f>
        <v>-44.35128191999999</v>
      </c>
      <c r="V6" s="23">
        <f>-IF(V3-2026&lt;Assumptions!$B$19,Assumptions!$B$18,Assumptions!$B$18*Assumptions!$B$20*Assumptions!$B$16)</f>
        <v>-44.35128191999999</v>
      </c>
    </row>
    <row r="7">
      <c r="A7" s="14" t="inlineStr">
        <is>
          <t>Pre-tax cash flow</t>
        </is>
      </c>
      <c r="C7" s="23">
        <f>C5+C6</f>
        <v>-316.976</v>
      </c>
      <c r="D7" s="23">
        <f>D5+D6</f>
        <v>-316.976</v>
      </c>
      <c r="E7" s="23">
        <f>E5+E6</f>
        <v>-316.976</v>
      </c>
      <c r="F7" s="23">
        <f>F5+F6</f>
        <v>2.2887180800000095</v>
      </c>
      <c r="G7" s="23">
        <f>G5+G6</f>
        <v>72.24871808000002</v>
      </c>
      <c r="H7" s="23">
        <f>H5+H6</f>
        <v>165.52871808</v>
      </c>
      <c r="I7" s="23">
        <f>I5+I6</f>
        <v>258.80871808000006</v>
      </c>
      <c r="J7" s="23">
        <f>J5+J6</f>
        <v>352.08871808000004</v>
      </c>
      <c r="K7" s="23">
        <f>K5+K6</f>
        <v>422.04871808000007</v>
      </c>
      <c r="L7" s="23">
        <f>L5+L6</f>
        <v>422.04871808000007</v>
      </c>
      <c r="M7" s="23">
        <f>M5+M6</f>
        <v>422.04871808000007</v>
      </c>
      <c r="N7" s="23">
        <f>N5+N6</f>
        <v>422.04871808000007</v>
      </c>
      <c r="O7" s="23">
        <f>O5+O6</f>
        <v>422.04871808000007</v>
      </c>
      <c r="P7" s="23">
        <f>P5+P6</f>
        <v>422.04871808000007</v>
      </c>
      <c r="Q7" s="23">
        <f>Q5+Q6</f>
        <v>422.04871808000007</v>
      </c>
      <c r="R7" s="23">
        <f>R5+R6</f>
        <v>422.04871808000007</v>
      </c>
      <c r="S7" s="23">
        <f>S5+S6</f>
        <v>188.84871808000003</v>
      </c>
      <c r="T7" s="23">
        <f>T5+T6</f>
        <v>72.24871808000002</v>
      </c>
      <c r="U7" s="23">
        <f>U5+U6</f>
        <v>13.948718080000013</v>
      </c>
      <c r="V7" s="23">
        <f>V5+V6</f>
        <v>-15.201281919999989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2.2887180800000095</v>
      </c>
      <c r="G8" s="23">
        <f>MIN(F17,MAX(0,G7))</f>
        <v>72.24871808000002</v>
      </c>
      <c r="H8" s="23">
        <f>MIN(G17,MAX(0,H7))</f>
        <v>165.52871808</v>
      </c>
      <c r="I8" s="23">
        <f>MIN(H17,MAX(0,I7))</f>
        <v>258.80871808000006</v>
      </c>
      <c r="J8" s="23">
        <f>MIN(I17,MAX(0,J7))</f>
        <v>352.08871808000004</v>
      </c>
      <c r="K8" s="23">
        <f>MIN(J17,MAX(0,K7))</f>
        <v>422.04871808000007</v>
      </c>
      <c r="L8" s="23">
        <f>MIN(K17,MAX(0,L7))</f>
        <v>422.04871808000007</v>
      </c>
      <c r="M8" s="23">
        <f>MIN(L17,MAX(0,M7))</f>
        <v>137.26697343999945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284.7817446400006</v>
      </c>
      <c r="N9" s="23">
        <f>MAX(0,N7)-N8</f>
        <v>422.04871808000007</v>
      </c>
      <c r="O9" s="23">
        <f>MAX(0,O7)-O8</f>
        <v>422.04871808000007</v>
      </c>
      <c r="P9" s="23">
        <f>MAX(0,P7)-P8</f>
        <v>422.04871808000007</v>
      </c>
      <c r="Q9" s="23">
        <f>MAX(0,Q7)-Q8</f>
        <v>422.04871808000007</v>
      </c>
      <c r="R9" s="23">
        <f>MAX(0,R7)-R8</f>
        <v>422.04871808000007</v>
      </c>
      <c r="S9" s="23">
        <f>MAX(0,S7)-S8</f>
        <v>188.84871808000003</v>
      </c>
      <c r="T9" s="23">
        <f>MAX(0,T7)-T8</f>
        <v>72.24871808000002</v>
      </c>
      <c r="U9" s="23">
        <f>MAX(0,U7)-U8</f>
        <v>13.948718080000013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59.804166374400126</v>
      </c>
      <c r="N10" s="23">
        <f>N9*Assumptions!$E$15</f>
        <v>88.6302307968</v>
      </c>
      <c r="O10" s="23">
        <f>O9*Assumptions!$E$15</f>
        <v>88.6302307968</v>
      </c>
      <c r="P10" s="23">
        <f>P9*Assumptions!$E$15</f>
        <v>88.6302307968</v>
      </c>
      <c r="Q10" s="23">
        <f>Q9*Assumptions!$E$15</f>
        <v>88.6302307968</v>
      </c>
      <c r="R10" s="23">
        <f>R9*Assumptions!$E$15</f>
        <v>88.6302307968</v>
      </c>
      <c r="S10" s="23">
        <f>S9*Assumptions!$E$15</f>
        <v>39.658230796800005</v>
      </c>
      <c r="T10" s="23">
        <f>T9*Assumptions!$E$15</f>
        <v>15.172230796800003</v>
      </c>
      <c r="U10" s="23">
        <f>U9*Assumptions!$E$15</f>
        <v>2.929230796800003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-316.976</v>
      </c>
      <c r="D11" s="55">
        <f>D7-D10</f>
        <v>-316.976</v>
      </c>
      <c r="E11" s="55">
        <f>E7-E10</f>
        <v>-316.976</v>
      </c>
      <c r="F11" s="55">
        <f>F7-F10</f>
        <v>2.2887180800000095</v>
      </c>
      <c r="G11" s="55">
        <f>G7-G10</f>
        <v>72.24871808000002</v>
      </c>
      <c r="H11" s="55">
        <f>H7-H10</f>
        <v>165.52871808</v>
      </c>
      <c r="I11" s="55">
        <f>I7-I10</f>
        <v>258.80871808000006</v>
      </c>
      <c r="J11" s="55">
        <f>J7-J10</f>
        <v>352.08871808000004</v>
      </c>
      <c r="K11" s="55">
        <f>K7-K10</f>
        <v>422.04871808000007</v>
      </c>
      <c r="L11" s="55">
        <f>L7-L10</f>
        <v>422.04871808000007</v>
      </c>
      <c r="M11" s="55">
        <f>M7-M10</f>
        <v>362.2445517056</v>
      </c>
      <c r="N11" s="55">
        <f>N7-N10</f>
        <v>333.4184872832001</v>
      </c>
      <c r="O11" s="55">
        <f>O7-O10</f>
        <v>333.4184872832001</v>
      </c>
      <c r="P11" s="55">
        <f>P7-P10</f>
        <v>333.4184872832001</v>
      </c>
      <c r="Q11" s="55">
        <f>Q7-Q10</f>
        <v>333.4184872832001</v>
      </c>
      <c r="R11" s="55">
        <f>R7-R10</f>
        <v>333.4184872832001</v>
      </c>
      <c r="S11" s="55">
        <f>S7-S10</f>
        <v>149.1904872832</v>
      </c>
      <c r="T11" s="55">
        <f>T7-T10</f>
        <v>57.07648728320002</v>
      </c>
      <c r="U11" s="55">
        <f>U7-U10</f>
        <v>11.01948728320001</v>
      </c>
      <c r="V11" s="55">
        <f>V7-V10</f>
        <v>-15.201281919999989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-155.28792093327127</v>
      </c>
      <c r="D16" s="55">
        <f>D11*D15</f>
        <v>-282.8828143491941</v>
      </c>
      <c r="E16" s="55">
        <f>E11*E15</f>
        <v>-252.57394138320896</v>
      </c>
      <c r="F16" s="55">
        <f>F11*F15</f>
        <v>1.6283075571421501</v>
      </c>
      <c r="G16" s="55">
        <f>G11*G15</f>
        <v>45.89403697186376</v>
      </c>
      <c r="H16" s="55">
        <f>H11*H15</f>
        <v>93.88180793761778</v>
      </c>
      <c r="I16" s="55">
        <f>I11*I15</f>
        <v>131.05964031281894</v>
      </c>
      <c r="J16" s="55">
        <f>J11*J15</f>
        <v>159.19306948588698</v>
      </c>
      <c r="K16" s="55">
        <f>K11*K15</f>
        <v>170.37921393313476</v>
      </c>
      <c r="L16" s="55">
        <f>L11*L15</f>
        <v>152.1242981545846</v>
      </c>
      <c r="M16" s="55">
        <f>M11*M15</f>
        <v>116.57887007018432</v>
      </c>
      <c r="N16" s="55">
        <f>N11*N15</f>
        <v>95.80532170130884</v>
      </c>
      <c r="O16" s="55">
        <f>O11*O15</f>
        <v>85.54046580474004</v>
      </c>
      <c r="P16" s="55">
        <f>P11*P15</f>
        <v>76.3754158970893</v>
      </c>
      <c r="Q16" s="55">
        <f>Q11*Q15</f>
        <v>68.19233562240116</v>
      </c>
      <c r="R16" s="55">
        <f>R11*R15</f>
        <v>60.88601394857247</v>
      </c>
      <c r="S16" s="55">
        <f>S11*S15</f>
        <v>24.324895086200762</v>
      </c>
      <c r="T16" s="55">
        <f>T11*T15</f>
        <v>8.309005716303458</v>
      </c>
      <c r="U16" s="55">
        <f>U11*U15</f>
        <v>1.4323039383684864</v>
      </c>
      <c r="V16" s="55">
        <f>V11*V15</f>
        <v>-1.7641519488793589</v>
      </c>
    </row>
    <row r="17">
      <c r="A17" s="14" t="inlineStr">
        <is>
          <t>Tax-loss carryforward, end of year</t>
        </is>
      </c>
      <c r="C17" s="23">
        <f>Assumptions!$B$21-C8+MAX(0,-C7)</f>
        <v>1198.376</v>
      </c>
      <c r="D17" s="23">
        <f>C17-D8+MAX(0,-D7)</f>
        <v>1515.3519999999999</v>
      </c>
      <c r="E17" s="23">
        <f>D17-E8+MAX(0,-E7)</f>
        <v>1832.328</v>
      </c>
      <c r="F17" s="23">
        <f>E17-F8+MAX(0,-F7)</f>
        <v>1830.03928192</v>
      </c>
      <c r="G17" s="23">
        <f>F17-G8+MAX(0,-G7)</f>
        <v>1757.7905638399998</v>
      </c>
      <c r="H17" s="23">
        <f>G17-H8+MAX(0,-H7)</f>
        <v>1592.2618457599997</v>
      </c>
      <c r="I17" s="23">
        <f>H17-I8+MAX(0,-I7)</f>
        <v>1333.4531276799996</v>
      </c>
      <c r="J17" s="23">
        <f>I17-J8+MAX(0,-J7)</f>
        <v>981.3644095999996</v>
      </c>
      <c r="K17" s="23">
        <f>J17-K8+MAX(0,-K7)</f>
        <v>559.3156915199995</v>
      </c>
      <c r="L17" s="23">
        <f>K17-L8+MAX(0,-L7)</f>
        <v>137.26697343999945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15.201281919999989</v>
      </c>
    </row>
    <row r="19">
      <c r="A19" s="14" t="inlineStr">
        <is>
          <t>PV of risked pipeline contribution</t>
        </is>
      </c>
      <c r="B19" s="23">
        <f>SUMPRODUCT(C5:V5,C15:V15)</f>
        <v>1672.5717342712308</v>
      </c>
    </row>
    <row r="20">
      <c r="A20" s="14" t="inlineStr">
        <is>
          <t>PV of corporate burn</t>
        </is>
      </c>
      <c r="B20" s="23">
        <f>SUMPRODUCT(C6:V6,C15:V15)</f>
        <v>-942.3534568612794</v>
      </c>
    </row>
    <row r="21">
      <c r="A21" s="14" t="inlineStr">
        <is>
          <t>PV of taxes</t>
        </is>
      </c>
      <c r="B21" s="23">
        <f>-SUMPRODUCT(C10:V10,C15:V15)</f>
        <v>-131.1221038862874</v>
      </c>
    </row>
    <row r="22">
      <c r="A22" s="24" t="inlineStr">
        <is>
          <t>Pipeline rNPV (operations)</t>
        </is>
      </c>
      <c r="B22" s="54">
        <f>SUM(C16:V16)</f>
        <v>599.0961735236641</v>
      </c>
    </row>
    <row r="23">
      <c r="A23" s="14" t="inlineStr">
        <is>
          <t>Cash &amp; investments</t>
        </is>
      </c>
      <c r="B23" s="57">
        <f>Main!C7</f>
        <v>180.47199999999998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779.5681735236641</v>
      </c>
    </row>
    <row r="26">
      <c r="A26" s="14" t="inlineStr">
        <is>
          <t>Shares (mm)</t>
        </is>
      </c>
      <c r="B26" s="57">
        <f>Main!C4</f>
        <v>86.212138</v>
      </c>
    </row>
    <row r="27">
      <c r="A27" s="24" t="inlineStr">
        <is>
          <t>rNPV / share</t>
        </is>
      </c>
      <c r="B27" s="60">
        <f>B25/B26</f>
        <v>9.042441025226218</v>
      </c>
    </row>
    <row r="28">
      <c r="A28" s="14" t="inlineStr">
        <is>
          <t>Price</t>
        </is>
      </c>
      <c r="B28" s="61">
        <f>Main!C3</f>
        <v>0.4052</v>
      </c>
    </row>
    <row r="29">
      <c r="A29" s="14" t="inlineStr">
        <is>
          <t>Upside</t>
        </is>
      </c>
      <c r="B29" s="62">
        <f>B27/B28-1</f>
        <v>21.315994632838642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2026-10-21T06:26:19Z</dcterms:modified>
  <cp:lastModifiedBy>Wang, Eric</cp:lastModifiedBy>
</cp:coreProperties>
</file>