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Inventiva SA</t>
        </is>
      </c>
      <c r="C2" s="10" t="n"/>
    </row>
    <row r="3">
      <c r="B3" t="inlineStr">
        <is>
          <t>Price</t>
        </is>
      </c>
      <c r="C3" s="11">
        <f>INDEX([1]Pharma!$F$1:$F$1000,MATCH("IVA",[1]Pharma!$B$1:$B$1000,0))</f>
        <v>3.26</v>
      </c>
      <c r="F3" s="1" t="n"/>
    </row>
    <row r="4">
      <c r="B4" t="inlineStr">
        <is>
          <t>Shares</t>
        </is>
      </c>
      <c r="C4" s="21" t="n">
        <v>193.236978</v>
      </c>
      <c r="F4" s="1" t="n"/>
    </row>
    <row r="5">
      <c r="B5" t="inlineStr">
        <is>
          <t>Market Cap.</t>
        </is>
      </c>
      <c r="C5" s="13">
        <f>C3*C4</f>
        <v>629.95254828</v>
      </c>
      <c r="F5" s="1" t="n"/>
    </row>
    <row r="6"/>
    <row r="7">
      <c r="B7" t="inlineStr">
        <is>
          <t>Cash</t>
        </is>
      </c>
      <c r="C7" s="21">
        <f>(122.076+24.578)/0.88865</f>
        <v>165.03010183986945</v>
      </c>
    </row>
    <row r="8">
      <c r="B8" t="inlineStr">
        <is>
          <t>Debt</t>
        </is>
      </c>
      <c r="C8" s="21" t="n"/>
    </row>
    <row r="9">
      <c r="B9" t="inlineStr">
        <is>
          <t>Enterprise V.</t>
        </is>
      </c>
      <c r="C9" s="13">
        <f>C5-C7+C8</f>
        <v>464.92244644013056</v>
      </c>
    </row>
    <row r="10"/>
    <row r="11">
      <c r="B11" s="14" t="inlineStr">
        <is>
          <t>Net Cash / Share</t>
        </is>
      </c>
      <c r="C11" s="11">
        <f>(C7-C8)/C4</f>
        <v>0.8540296145589146</v>
      </c>
    </row>
    <row r="12">
      <c r="B12" s="14" t="inlineStr">
        <is>
          <t>Upside</t>
        </is>
      </c>
      <c r="C12" s="15">
        <f>IFERROR(C11/C3-1,"")</f>
        <v>-0.738027725595425</v>
      </c>
    </row>
    <row r="13">
      <c r="B13" s="14" t="inlineStr">
        <is>
          <t>Cash / Share</t>
        </is>
      </c>
      <c r="C13" s="11">
        <f>IFERROR((C7-C8)/C4,"")</f>
        <v>0.8540296145589146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-102.752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1.6061011156947744</v>
      </c>
    </row>
    <row r="19">
      <c r="B19" s="14" t="inlineStr">
        <is>
          <t>Implied Pipeline Value</t>
        </is>
      </c>
      <c r="C19" s="13">
        <f>C9</f>
        <v>464.92244644013056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8.304</v>
      </c>
      <c r="C2" s="23" t="n">
        <v>12.706</v>
      </c>
      <c r="D2" s="23" t="n">
        <v>5.922</v>
      </c>
      <c r="E2" s="23" t="n">
        <v>9.566000000000001</v>
      </c>
      <c r="F2" s="23" t="n">
        <v>21.171</v>
      </c>
      <c r="G2" s="23" t="n">
        <v>26.065</v>
      </c>
      <c r="H2" s="23" t="n">
        <v>16.57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8.304</v>
      </c>
      <c r="C4" s="23">
        <f>C2-C3</f>
        <v>12.706</v>
      </c>
      <c r="D4" s="23">
        <f>D2-D3</f>
        <v>5.922</v>
      </c>
      <c r="E4" s="23">
        <f>E2-E3</f>
        <v>9.566</v>
      </c>
      <c r="F4" s="23">
        <f>F2-F3</f>
        <v>21.171</v>
      </c>
      <c r="G4" s="23">
        <f>G2-G3</f>
        <v>26.065</v>
      </c>
      <c r="H4" s="23">
        <f>H2-H3</f>
        <v>16.57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35.737</v>
      </c>
      <c r="C5" s="23" t="n">
        <v>38.025</v>
      </c>
      <c r="D5" s="23" t="n">
        <v>26.689</v>
      </c>
      <c r="E5" s="23" t="n">
        <v>54.523</v>
      </c>
      <c r="F5" s="23" t="n">
        <v>68.04600000000001</v>
      </c>
      <c r="G5" s="23" t="n">
        <v>123.797</v>
      </c>
      <c r="H5" s="23" t="n">
        <v>102.267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9.592000000000001</v>
      </c>
      <c r="C6" s="23" t="n">
        <v>8.791</v>
      </c>
      <c r="D6" s="23" t="n">
        <v>12.675</v>
      </c>
      <c r="E6" s="23" t="n">
        <v>13.687</v>
      </c>
      <c r="F6" s="23" t="n">
        <v>17.392</v>
      </c>
      <c r="G6" s="23" t="n">
        <v>17.847</v>
      </c>
      <c r="H6" s="23" t="n">
        <v>24.085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45.329</v>
      </c>
      <c r="C7" s="23">
        <f>SUM(C5:C6)</f>
        <v>46.816</v>
      </c>
      <c r="D7" s="23">
        <f>SUM(D5:D6)</f>
        <v>39.364000000000004</v>
      </c>
      <c r="E7" s="23">
        <f>SUM(E5:E6)</f>
        <v>68.21000000000001</v>
      </c>
      <c r="F7" s="23">
        <f>SUM(F5:F6)</f>
        <v>85.438</v>
      </c>
      <c r="G7" s="23">
        <f>SUM(G5:G6)</f>
        <v>141.644</v>
      </c>
      <c r="H7" s="23">
        <f>SUM(H5:H6)</f>
        <v>126.352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-37.025</v>
      </c>
      <c r="C8" s="23">
        <f>C4-C7</f>
        <v>-34.11</v>
      </c>
      <c r="D8" s="23">
        <f>D4-D7</f>
        <v>-33.44200000000001</v>
      </c>
      <c r="E8" s="23">
        <f>E4-E7</f>
        <v>-58.644000000000005</v>
      </c>
      <c r="F8" s="23">
        <f>F4-F7</f>
        <v>-64.267</v>
      </c>
      <c r="G8" s="23">
        <f>G4-G7</f>
        <v>-115.57900000000001</v>
      </c>
      <c r="H8" s="23">
        <f>H4-H7</f>
        <v>-109.78200000000001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-0.125</v>
      </c>
      <c r="C9" s="23" t="n">
        <v>0.106</v>
      </c>
      <c r="D9" s="23" t="n">
        <v>-4.39</v>
      </c>
      <c r="E9" s="23" t="n">
        <v>3.199</v>
      </c>
      <c r="F9" s="23" t="n">
        <v>3.169</v>
      </c>
      <c r="G9" s="23" t="n">
        <v>-8.000999999999999</v>
      </c>
      <c r="H9" s="23" t="n">
        <v>-97.16</v>
      </c>
    </row>
    <row r="10">
      <c r="A10" s="2" t="inlineStr">
        <is>
          <t>Pretax</t>
        </is>
      </c>
      <c r="B10" s="23">
        <f>B8+B9</f>
        <v>-37.15</v>
      </c>
      <c r="C10" s="23">
        <f>C8+C9</f>
        <v>-34.004</v>
      </c>
      <c r="D10" s="23">
        <f>D8+D9</f>
        <v>-37.83200000000001</v>
      </c>
      <c r="E10" s="23">
        <f>E8+E9</f>
        <v>-55.44500000000001</v>
      </c>
      <c r="F10" s="23">
        <f>F8+F9</f>
        <v>-61.098</v>
      </c>
      <c r="G10" s="23">
        <f>G8+G9</f>
        <v>-123.58000000000001</v>
      </c>
      <c r="H10" s="23">
        <f>H8+H9</f>
        <v>-206.942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0.41</v>
      </c>
      <c r="F11" s="23" t="n">
        <v>-0.023</v>
      </c>
      <c r="G11" s="23" t="n">
        <v>0.6830000000000001</v>
      </c>
      <c r="H11" s="23" t="n">
        <v>0.352</v>
      </c>
    </row>
    <row r="12">
      <c r="A12" s="2" t="inlineStr">
        <is>
          <t>Net Income</t>
        </is>
      </c>
      <c r="B12" s="23" t="n">
        <v>-37.151</v>
      </c>
      <c r="C12" s="23" t="n">
        <v>-34.004</v>
      </c>
      <c r="D12" s="23" t="n">
        <v>-37.832</v>
      </c>
      <c r="E12" s="23" t="n">
        <v>-55.854</v>
      </c>
      <c r="F12" s="23" t="n">
        <v>-61.075</v>
      </c>
      <c r="G12" s="23" t="n">
        <v>-124.263</v>
      </c>
      <c r="H12" s="23" t="n">
        <v>-207.294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-1.808626649140743</v>
      </c>
      <c r="C13" s="11">
        <f>IFERROR(C12/C14,0)</f>
        <v>-1.445748299319728</v>
      </c>
      <c r="D13" s="11">
        <f>IFERROR(D12/D14,0)</f>
        <v>-1.1168118081180811</v>
      </c>
      <c r="E13" s="11">
        <f>IFERROR(E12/E14,0)</f>
        <v>-1.4260110294117647</v>
      </c>
      <c r="F13" s="11">
        <f>IFERROR(F12/F14,0)</f>
        <v>-1.473462002412545</v>
      </c>
      <c r="G13" s="11">
        <f>IFERROR(G12/G14,0)</f>
        <v>-2.73996736637855</v>
      </c>
      <c r="H13" s="11">
        <f>IFERROR(H12/H14,0)</f>
        <v>-3.4676725940547684</v>
      </c>
    </row>
    <row r="14">
      <c r="A14" s="2" t="inlineStr">
        <is>
          <t>Shares</t>
        </is>
      </c>
      <c r="B14" s="23" t="n">
        <v>20.541</v>
      </c>
      <c r="C14" s="23" t="n">
        <v>23.52</v>
      </c>
      <c r="D14" s="23" t="n">
        <v>33.875</v>
      </c>
      <c r="E14" s="23" t="n">
        <v>39.168</v>
      </c>
      <c r="F14" s="23" t="n">
        <v>41.45</v>
      </c>
      <c r="G14" s="23" t="n">
        <v>45.352</v>
      </c>
      <c r="H14" s="23" t="n">
        <v>59.779</v>
      </c>
    </row>
    <row r="15"/>
    <row r="16" customFormat="1" s="4">
      <c r="A16" s="3" t="inlineStr">
        <is>
          <t>Revenue Change</t>
        </is>
      </c>
      <c r="C16" s="15">
        <f>IFERROR(C2/B2-1,"")</f>
        <v>0.5301059730250481</v>
      </c>
      <c r="D16" s="15">
        <f>IFERROR(D2/C2-1,"")</f>
        <v>-0.5339209822131277</v>
      </c>
      <c r="E16" s="15">
        <f>IFERROR(E2/D2-1,"")</f>
        <v>0.6153326578858496</v>
      </c>
      <c r="F16" s="15">
        <f>IFERROR(F2/E2-1,"")</f>
        <v>1.2131507422120005</v>
      </c>
      <c r="G16" s="15">
        <f>IFERROR(G2/F2-1,"")</f>
        <v>0.23116527325114555</v>
      </c>
      <c r="H16" s="15">
        <f>IFERROR(H2/G2-1,"")</f>
        <v>-0.3642816036830999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-4.458694605009634</v>
      </c>
      <c r="C18" s="15">
        <f>IFERROR(C8/C2,"")</f>
        <v>-2.6845584763104045</v>
      </c>
      <c r="D18" s="15">
        <f>IFERROR(D8/D2,"")</f>
        <v>-5.647078689631883</v>
      </c>
      <c r="E18" s="15">
        <f>IFERROR(E8/E2,"")</f>
        <v>-6.130462053104746</v>
      </c>
      <c r="F18" s="15">
        <f>IFERROR(F8/F2,"")</f>
        <v>-3.0356147560341977</v>
      </c>
      <c r="G18" s="15">
        <f>IFERROR(G8/G2,"")</f>
        <v>-4.434260502589679</v>
      </c>
      <c r="H18" s="15">
        <f>IFERROR(H8/H2,"")</f>
        <v>-6.625347012673507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2026-10-21T01:05:05Z</dcterms:modified>
  <cp:lastModifiedBy>Wang, Eric</cp:lastModifiedBy>
</cp:coreProperties>
</file>