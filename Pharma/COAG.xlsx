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Hemab Therapeutics Holdings Inc</t>
        </is>
      </c>
      <c r="C2" s="10" t="n"/>
    </row>
    <row r="3">
      <c r="B3" t="inlineStr">
        <is>
          <t>Price</t>
        </is>
      </c>
      <c r="C3" s="11">
        <f>INDEX([1]Pharma!$F$1:$F$1000,MATCH("COAG",[1]Pharma!$B$1:$B$1000,0))</f>
        <v>34.17</v>
      </c>
      <c r="F3" s="1" t="n"/>
    </row>
    <row r="4">
      <c r="B4" t="inlineStr">
        <is>
          <t>Shares</t>
        </is>
      </c>
      <c r="C4" s="12" t="n">
        <v>46.712117</v>
      </c>
      <c r="F4" s="1" t="n"/>
    </row>
    <row r="5">
      <c r="B5" t="inlineStr">
        <is>
          <t>Market Cap.</t>
        </is>
      </c>
      <c r="C5" s="13">
        <f>C3*C4</f>
        <v>1596.15303789</v>
      </c>
      <c r="F5" s="1" t="n"/>
    </row>
    <row r="6"/>
    <row r="7">
      <c r="B7" t="inlineStr">
        <is>
          <t>Cash</t>
        </is>
      </c>
      <c r="C7" s="12">
        <f>237.366+220.094</f>
        <v>457.46000000000004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1138.69303789</v>
      </c>
    </row>
    <row r="10"/>
    <row r="11">
      <c r="B11" s="14" t="inlineStr">
        <is>
          <t>rNPV / Share</t>
        </is>
      </c>
      <c r="C11" s="11">
        <f>NPV!B27</f>
        <v>13.307852096901568</v>
      </c>
    </row>
    <row r="12">
      <c r="B12" s="14" t="inlineStr">
        <is>
          <t>Upside</t>
        </is>
      </c>
      <c r="C12" s="15">
        <f>IFERROR(C11/C3-1,"")</f>
        <v>-0.6105398859554707</v>
      </c>
    </row>
    <row r="13">
      <c r="B13" s="14" t="inlineStr">
        <is>
          <t>Cash / Share</t>
        </is>
      </c>
      <c r="C13" s="11">
        <f>IFERROR((C7-C8)/C4,"")</f>
        <v>9.793176361499524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1138.69303789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Hemab Therapeutics Holdings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1-PRODUCT(Pipeline!AG4:AG4)</f>
        <v>0.20699999999999996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164.17794416916135</v>
      </c>
      <c r="C29" s="36">
        <f>NPV!B25</f>
        <v>621.6379441691614</v>
      </c>
      <c r="D29" s="37">
        <f>NPV!B27</f>
        <v>13.307852096901568</v>
      </c>
      <c r="E29" s="38">
        <f>NPV!B29</f>
        <v>-0.6105398859554707</v>
      </c>
    </row>
    <row r="30">
      <c r="A30" s="39" t="n">
        <v>1</v>
      </c>
      <c r="B30" s="40">
        <f t="dataTable" ref="B30:E32" r1="B4"/>
        <v>63.55136785767551</v>
      </c>
      <c r="C30" s="40">
        <v>521.0113678576755</v>
      </c>
      <c r="D30" s="41">
        <v>11.153666357225376</v>
      </c>
      <c r="E30" s="42">
        <v>-0.6735830741227575</v>
      </c>
    </row>
    <row r="31">
      <c r="A31" s="39" t="n">
        <v>2</v>
      </c>
      <c r="B31" s="40">
        <v>164.17794416916135</v>
      </c>
      <c r="C31" s="40">
        <v>621.6379441691614</v>
      </c>
      <c r="D31" s="41">
        <v>13.307852096901568</v>
      </c>
      <c r="E31" s="42">
        <v>-0.6105398859554707</v>
      </c>
    </row>
    <row r="32">
      <c r="A32" s="39" t="n">
        <v>3</v>
      </c>
      <c r="B32" s="40">
        <v>330.20085913894786</v>
      </c>
      <c r="C32" s="40">
        <v>787.6608591389479</v>
      </c>
      <c r="D32" s="41">
        <v>16.86202445371825</v>
      </c>
      <c r="E32" s="42">
        <v>-0.5065254769178154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13.307852096901568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10.847579082120138</v>
      </c>
      <c r="C37" s="41">
        <v>11.374780442430442</v>
      </c>
      <c r="D37" s="41">
        <v>11.901981802740751</v>
      </c>
      <c r="E37" s="41">
        <v>12.956384523361363</v>
      </c>
      <c r="F37" s="41">
        <v>14.010787243981978</v>
      </c>
    </row>
    <row r="38">
      <c r="A38" s="44" t="n">
        <v>0.8</v>
      </c>
      <c r="B38" s="41">
        <v>11.199046655660341</v>
      </c>
      <c r="C38" s="41">
        <v>11.901981802740751</v>
      </c>
      <c r="D38" s="41">
        <v>12.60491694982116</v>
      </c>
      <c r="E38" s="41">
        <v>14.010787243981978</v>
      </c>
      <c r="F38" s="41">
        <v>15.416657538142793</v>
      </c>
    </row>
    <row r="39">
      <c r="A39" s="44" t="n">
        <v>1</v>
      </c>
      <c r="B39" s="41">
        <v>11.550514229200544</v>
      </c>
      <c r="C39" s="41">
        <v>12.429183163051057</v>
      </c>
      <c r="D39" s="41">
        <v>13.307852096901568</v>
      </c>
      <c r="E39" s="41">
        <v>15.06518996460259</v>
      </c>
      <c r="F39" s="41">
        <v>16.822527832303614</v>
      </c>
    </row>
    <row r="40">
      <c r="A40" s="44" t="n">
        <v>1.2</v>
      </c>
      <c r="B40" s="41">
        <v>11.901981802740751</v>
      </c>
      <c r="C40" s="41">
        <v>12.956384523361363</v>
      </c>
      <c r="D40" s="41">
        <v>14.010787243981978</v>
      </c>
      <c r="E40" s="41">
        <v>16.119592685223203</v>
      </c>
      <c r="F40" s="41">
        <v>18.22839812646443</v>
      </c>
    </row>
    <row r="41">
      <c r="A41" s="44" t="n">
        <v>1.4</v>
      </c>
      <c r="B41" s="41">
        <v>12.253449376280955</v>
      </c>
      <c r="C41" s="41">
        <v>13.483585883671669</v>
      </c>
      <c r="D41" s="41">
        <v>14.713722391062385</v>
      </c>
      <c r="E41" s="41">
        <v>17.173995405843815</v>
      </c>
      <c r="F41" s="41">
        <v>19.634268420625247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Hemab Therapeutics Holdings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Hemophilia / bleeding</t>
        </is>
      </c>
      <c r="C4" s="14" t="inlineStr">
        <is>
          <t>HMB-002 (Part A), HMB-002 (Part B)</t>
        </is>
      </c>
      <c r="D4" s="14" t="inlineStr">
        <is>
          <t>Phase 1/2</t>
        </is>
      </c>
      <c r="E4" s="14" t="inlineStr">
        <is>
          <t>Hematology / rare</t>
        </is>
      </c>
      <c r="F4" s="14" t="inlineStr">
        <is>
          <t>Owned</t>
        </is>
      </c>
      <c r="G4" s="34" t="n">
        <v>1000</v>
      </c>
      <c r="H4" s="21" t="n">
        <v>0.207</v>
      </c>
      <c r="I4" s="20" t="n">
        <v>2032</v>
      </c>
      <c r="J4" s="33">
        <f>I4+Assumptions!$B$25</f>
        <v>2044.0</v>
      </c>
      <c r="K4" s="47">
        <f>Assumptions!$E$13</f>
        <v>0.4</v>
      </c>
      <c r="L4" s="48">
        <f>K4*SUMPRODUCT(M4:AF4,NPV!$C$15:$V$15)</f>
        <v>207.8201824926093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0</v>
      </c>
      <c r="S4" s="48">
        <f>IF(S$3&lt;$I4,0,$G4*Assumptions!$E$11*INDEX(Assumptions!$B$24:$G$24,MIN(6,S$3-$I4+1))*IF(S$3&gt;$J4,(1-Assumptions!$B$26)^(S$3-$J4),1)*IF($H4&gt;=1,1,MIN(0.97,$H4*Assumptions!$E$12)))</f>
        <v>20.7</v>
      </c>
      <c r="T4" s="48">
        <f>IF(T$3&lt;$I4,0,$G4*Assumptions!$E$11*INDEX(Assumptions!$B$24:$G$24,MIN(6,T$3-$I4+1))*IF(T$3&gt;$J4,(1-Assumptions!$B$26)^(T$3-$J4),1)*IF($H4&gt;=1,1,MIN(0.97,$H4*Assumptions!$E$12)))</f>
        <v>51.75</v>
      </c>
      <c r="U4" s="48">
        <f>IF(U$3&lt;$I4,0,$G4*Assumptions!$E$11*INDEX(Assumptions!$B$24:$G$24,MIN(6,U$3-$I4+1))*IF(U$3&gt;$J4,(1-Assumptions!$B$26)^(U$3-$J4),1)*IF($H4&gt;=1,1,MIN(0.97,$H4*Assumptions!$E$12)))</f>
        <v>93.14999999999999</v>
      </c>
      <c r="V4" s="48">
        <f>IF(V$3&lt;$I4,0,$G4*Assumptions!$E$11*INDEX(Assumptions!$B$24:$G$24,MIN(6,V$3-$I4+1))*IF(V$3&gt;$J4,(1-Assumptions!$B$26)^(V$3-$J4),1)*IF($H4&gt;=1,1,MIN(0.97,$H4*Assumptions!$E$12)))</f>
        <v>134.54999999999998</v>
      </c>
      <c r="W4" s="48">
        <f>IF(W$3&lt;$I4,0,$G4*Assumptions!$E$11*INDEX(Assumptions!$B$24:$G$24,MIN(6,W$3-$I4+1))*IF(W$3&gt;$J4,(1-Assumptions!$B$26)^(W$3-$J4),1)*IF($H4&gt;=1,1,MIN(0.97,$H4*Assumptions!$E$12)))</f>
        <v>175.95</v>
      </c>
      <c r="X4" s="48">
        <f>IF(X$3&lt;$I4,0,$G4*Assumptions!$E$11*INDEX(Assumptions!$B$24:$G$24,MIN(6,X$3-$I4+1))*IF(X$3&gt;$J4,(1-Assumptions!$B$26)^(X$3-$J4),1)*IF($H4&gt;=1,1,MIN(0.97,$H4*Assumptions!$E$12)))</f>
        <v>207.0</v>
      </c>
      <c r="Y4" s="48">
        <f>IF(Y$3&lt;$I4,0,$G4*Assumptions!$E$11*INDEX(Assumptions!$B$24:$G$24,MIN(6,Y$3-$I4+1))*IF(Y$3&gt;$J4,(1-Assumptions!$B$26)^(Y$3-$J4),1)*IF($H4&gt;=1,1,MIN(0.97,$H4*Assumptions!$E$12)))</f>
        <v>207.0</v>
      </c>
      <c r="Z4" s="48">
        <f>IF(Z$3&lt;$I4,0,$G4*Assumptions!$E$11*INDEX(Assumptions!$B$24:$G$24,MIN(6,Z$3-$I4+1))*IF(Z$3&gt;$J4,(1-Assumptions!$B$26)^(Z$3-$J4),1)*IF($H4&gt;=1,1,MIN(0.97,$H4*Assumptions!$E$12)))</f>
        <v>207.0</v>
      </c>
      <c r="AA4" s="48">
        <f>IF(AA$3&lt;$I4,0,$G4*Assumptions!$E$11*INDEX(Assumptions!$B$24:$G$24,MIN(6,AA$3-$I4+1))*IF(AA$3&gt;$J4,(1-Assumptions!$B$26)^(AA$3-$J4),1)*IF($H4&gt;=1,1,MIN(0.97,$H4*Assumptions!$E$12)))</f>
        <v>207.0</v>
      </c>
      <c r="AB4" s="48">
        <f>IF(AB$3&lt;$I4,0,$G4*Assumptions!$E$11*INDEX(Assumptions!$B$24:$G$24,MIN(6,AB$3-$I4+1))*IF(AB$3&gt;$J4,(1-Assumptions!$B$26)^(AB$3-$J4),1)*IF($H4&gt;=1,1,MIN(0.97,$H4*Assumptions!$E$12)))</f>
        <v>207.0</v>
      </c>
      <c r="AC4" s="48">
        <f>IF(AC$3&lt;$I4,0,$G4*Assumptions!$E$11*INDEX(Assumptions!$B$24:$G$24,MIN(6,AC$3-$I4+1))*IF(AC$3&gt;$J4,(1-Assumptions!$B$26)^(AC$3-$J4),1)*IF($H4&gt;=1,1,MIN(0.97,$H4*Assumptions!$E$12)))</f>
        <v>207.0</v>
      </c>
      <c r="AD4" s="48">
        <f>IF(AD$3&lt;$I4,0,$G4*Assumptions!$E$11*INDEX(Assumptions!$B$24:$G$24,MIN(6,AD$3-$I4+1))*IF(AD$3&gt;$J4,(1-Assumptions!$B$26)^(AD$3-$J4),1)*IF($H4&gt;=1,1,MIN(0.97,$H4*Assumptions!$E$12)))</f>
        <v>207.0</v>
      </c>
      <c r="AE4" s="48">
        <f>IF(AE$3&lt;$I4,0,$G4*Assumptions!$E$11*INDEX(Assumptions!$B$24:$G$24,MIN(6,AE$3-$I4+1))*IF(AE$3&gt;$J4,(1-Assumptions!$B$26)^(AE$3-$J4),1)*IF($H4&gt;=1,1,MIN(0.97,$H4*Assumptions!$E$12)))</f>
        <v>207.0</v>
      </c>
      <c r="AF4" s="48">
        <f>IF(AF$3&lt;$I4,0,$G4*Assumptions!$E$11*INDEX(Assumptions!$B$24:$G$24,MIN(6,AF$3-$I4+1))*IF(AF$3&gt;$J4,(1-Assumptions!$B$26)^(AF$3-$J4),1)*IF($H4&gt;=1,1,MIN(0.97,$H4*Assumptions!$E$12)))</f>
        <v>103.5</v>
      </c>
      <c r="AG4" s="29">
        <f>IF(F4="Owned",1-IF(H4&gt;=1,1,MIN(0.97,H4*Assumptions!$E$12)),1)</f>
        <v>0.793</v>
      </c>
    </row>
    <row r="5">
      <c r="B5" s="18" t="inlineStr">
        <is>
          <t>Risked revenue</t>
        </is>
      </c>
      <c r="L5" s="49">
        <f>SUM(L4:L4)</f>
        <v>207.8201824926093</v>
      </c>
      <c r="M5" s="49">
        <f>SUM(M4:M4)</f>
        <v>0.0</v>
      </c>
      <c r="N5" s="49">
        <f>SUM(N4:N4)</f>
        <v>0.0</v>
      </c>
      <c r="O5" s="49">
        <f>SUM(O4:O4)</f>
        <v>0.0</v>
      </c>
      <c r="P5" s="49">
        <f>SUM(P4:P4)</f>
        <v>0.0</v>
      </c>
      <c r="Q5" s="49">
        <f>SUM(Q4:Q4)</f>
        <v>0.0</v>
      </c>
      <c r="R5" s="49">
        <f>SUM(R4:R4)</f>
        <v>0.0</v>
      </c>
      <c r="S5" s="49">
        <f>SUM(S4:S4)</f>
        <v>20.7</v>
      </c>
      <c r="T5" s="49">
        <f>SUM(T4:T4)</f>
        <v>51.75</v>
      </c>
      <c r="U5" s="49">
        <f>SUM(U4:U4)</f>
        <v>93.14999999999999</v>
      </c>
      <c r="V5" s="49">
        <f>SUM(V4:V4)</f>
        <v>134.54999999999998</v>
      </c>
      <c r="W5" s="49">
        <f>SUM(W4:W4)</f>
        <v>175.95</v>
      </c>
      <c r="X5" s="49">
        <f>SUM(X4:X4)</f>
        <v>207.0</v>
      </c>
      <c r="Y5" s="49">
        <f>SUM(Y4:Y4)</f>
        <v>207.0</v>
      </c>
      <c r="Z5" s="49">
        <f>SUM(Z4:Z4)</f>
        <v>207.0</v>
      </c>
      <c r="AA5" s="49">
        <f>SUM(AA4:AA4)</f>
        <v>207.0</v>
      </c>
      <c r="AB5" s="49">
        <f>SUM(AB4:AB4)</f>
        <v>207.0</v>
      </c>
      <c r="AC5" s="49">
        <f>SUM(AC4:AC4)</f>
        <v>207.0</v>
      </c>
      <c r="AD5" s="49">
        <f>SUM(AD4:AD4)</f>
        <v>207.0</v>
      </c>
      <c r="AE5" s="49">
        <f>SUM(AE4:AE4)</f>
        <v>207.0</v>
      </c>
      <c r="AF5" s="49">
        <f>SUM(AF4:AF4)</f>
        <v>103.5</v>
      </c>
    </row>
    <row r="6">
      <c r="B6" s="18" t="inlineStr">
        <is>
          <t>Risked contribution (revenue x share)</t>
        </is>
      </c>
      <c r="M6" s="50">
        <f>SUMPRODUCT(M4:M4,$K$4:$K$4)</f>
        <v>0.0</v>
      </c>
      <c r="N6" s="50">
        <f>SUMPRODUCT(N4:N4,$K$4:$K$4)</f>
        <v>0.0</v>
      </c>
      <c r="O6" s="50">
        <f>SUMPRODUCT(O4:O4,$K$4:$K$4)</f>
        <v>0.0</v>
      </c>
      <c r="P6" s="50">
        <f>SUMPRODUCT(P4:P4,$K$4:$K$4)</f>
        <v>0.0</v>
      </c>
      <c r="Q6" s="50">
        <f>SUMPRODUCT(Q4:Q4,$K$4:$K$4)</f>
        <v>0.0</v>
      </c>
      <c r="R6" s="50">
        <f>SUMPRODUCT(R4:R4,$K$4:$K$4)</f>
        <v>0.0</v>
      </c>
      <c r="S6" s="50">
        <f>SUMPRODUCT(S4:S4,$K$4:$K$4)</f>
        <v>8.28</v>
      </c>
      <c r="T6" s="50">
        <f>SUMPRODUCT(T4:T4,$K$4:$K$4)</f>
        <v>20.700000000000003</v>
      </c>
      <c r="U6" s="50">
        <f>SUMPRODUCT(U4:U4,$K$4:$K$4)</f>
        <v>37.26</v>
      </c>
      <c r="V6" s="50">
        <f>SUMPRODUCT(V4:V4,$K$4:$K$4)</f>
        <v>53.81999999999999</v>
      </c>
      <c r="W6" s="50">
        <f>SUMPRODUCT(W4:W4,$K$4:$K$4)</f>
        <v>70.38</v>
      </c>
      <c r="X6" s="50">
        <f>SUMPRODUCT(X4:X4,$K$4:$K$4)</f>
        <v>82.80000000000001</v>
      </c>
      <c r="Y6" s="50">
        <f>SUMPRODUCT(Y4:Y4,$K$4:$K$4)</f>
        <v>82.80000000000001</v>
      </c>
      <c r="Z6" s="50">
        <f>SUMPRODUCT(Z4:Z4,$K$4:$K$4)</f>
        <v>82.80000000000001</v>
      </c>
      <c r="AA6" s="50">
        <f>SUMPRODUCT(AA4:AA4,$K$4:$K$4)</f>
        <v>82.80000000000001</v>
      </c>
      <c r="AB6" s="50">
        <f>SUMPRODUCT(AB4:AB4,$K$4:$K$4)</f>
        <v>82.80000000000001</v>
      </c>
      <c r="AC6" s="50">
        <f>SUMPRODUCT(AC4:AC4,$K$4:$K$4)</f>
        <v>82.80000000000001</v>
      </c>
      <c r="AD6" s="50">
        <f>SUMPRODUCT(AD4:AD4,$K$4:$K$4)</f>
        <v>82.80000000000001</v>
      </c>
      <c r="AE6" s="50">
        <f>SUMPRODUCT(AE4:AE4,$K$4:$K$4)</f>
        <v>82.80000000000001</v>
      </c>
      <c r="AF6" s="50">
        <f>SUMPRODUCT(AF4:AF4,$K$4:$K$4)</f>
        <v>41.400000000000006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Hemab Therapeutics Holdings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Pipeline!M5</f>
        <v>0.0</v>
      </c>
      <c r="D4" s="52">
        <f>Pipeline!N5</f>
        <v>0.0</v>
      </c>
      <c r="E4" s="52">
        <f>Pipeline!O5</f>
        <v>0.0</v>
      </c>
      <c r="F4" s="52">
        <f>Pipeline!P5</f>
        <v>0.0</v>
      </c>
      <c r="G4" s="52">
        <f>Pipeline!Q5</f>
        <v>0.0</v>
      </c>
      <c r="H4" s="52">
        <f>Pipeline!R5</f>
        <v>0.0</v>
      </c>
      <c r="I4" s="52">
        <f>Pipeline!S5</f>
        <v>20.7</v>
      </c>
      <c r="J4" s="52">
        <f>Pipeline!T5</f>
        <v>51.75</v>
      </c>
      <c r="K4" s="52">
        <f>Pipeline!U5</f>
        <v>93.14999999999999</v>
      </c>
      <c r="L4" s="52">
        <f>Pipeline!V5</f>
        <v>134.54999999999998</v>
      </c>
      <c r="M4" s="52">
        <f>Pipeline!W5</f>
        <v>175.95</v>
      </c>
      <c r="N4" s="52">
        <f>Pipeline!X5</f>
        <v>207.0</v>
      </c>
      <c r="O4" s="52">
        <f>Pipeline!Y5</f>
        <v>207.0</v>
      </c>
      <c r="P4" s="52">
        <f>Pipeline!Z5</f>
        <v>207.0</v>
      </c>
      <c r="Q4" s="52">
        <f>Pipeline!AA5</f>
        <v>207.0</v>
      </c>
      <c r="R4" s="52">
        <f>Pipeline!AB5</f>
        <v>207.0</v>
      </c>
      <c r="S4" s="52">
        <f>Pipeline!AC5</f>
        <v>207.0</v>
      </c>
      <c r="T4" s="52">
        <f>Pipeline!AD5</f>
        <v>207.0</v>
      </c>
      <c r="U4" s="52">
        <f>Pipeline!AE5</f>
        <v>207.0</v>
      </c>
      <c r="V4" s="52">
        <f>Pipeline!AF5</f>
        <v>103.5</v>
      </c>
    </row>
    <row r="5">
      <c r="A5" s="14" t="inlineStr">
        <is>
          <t>Risked contribution</t>
        </is>
      </c>
      <c r="C5" s="52">
        <f>Pipeline!M6</f>
        <v>0.0</v>
      </c>
      <c r="D5" s="52">
        <f>Pipeline!N6</f>
        <v>0.0</v>
      </c>
      <c r="E5" s="52">
        <f>Pipeline!O6</f>
        <v>0.0</v>
      </c>
      <c r="F5" s="52">
        <f>Pipeline!P6</f>
        <v>0.0</v>
      </c>
      <c r="G5" s="52">
        <f>Pipeline!Q6</f>
        <v>0.0</v>
      </c>
      <c r="H5" s="52">
        <f>Pipeline!R6</f>
        <v>0.0</v>
      </c>
      <c r="I5" s="52">
        <f>Pipeline!S6</f>
        <v>8.28</v>
      </c>
      <c r="J5" s="52">
        <f>Pipeline!T6</f>
        <v>20.700000000000003</v>
      </c>
      <c r="K5" s="52">
        <f>Pipeline!U6</f>
        <v>37.26</v>
      </c>
      <c r="L5" s="52">
        <f>Pipeline!V6</f>
        <v>53.81999999999999</v>
      </c>
      <c r="M5" s="52">
        <f>Pipeline!W6</f>
        <v>70.38</v>
      </c>
      <c r="N5" s="52">
        <f>Pipeline!X6</f>
        <v>82.80000000000001</v>
      </c>
      <c r="O5" s="52">
        <f>Pipeline!Y6</f>
        <v>82.80000000000001</v>
      </c>
      <c r="P5" s="52">
        <f>Pipeline!Z6</f>
        <v>82.80000000000001</v>
      </c>
      <c r="Q5" s="52">
        <f>Pipeline!AA6</f>
        <v>82.80000000000001</v>
      </c>
      <c r="R5" s="52">
        <f>Pipeline!AB6</f>
        <v>82.80000000000001</v>
      </c>
      <c r="S5" s="52">
        <f>Pipeline!AC6</f>
        <v>82.80000000000001</v>
      </c>
      <c r="T5" s="52">
        <f>Pipeline!AD6</f>
        <v>82.80000000000001</v>
      </c>
      <c r="U5" s="52">
        <f>Pipeline!AE6</f>
        <v>82.80000000000001</v>
      </c>
      <c r="V5" s="52">
        <f>Pipeline!AF6</f>
        <v>41.400000000000006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0.0</v>
      </c>
      <c r="I7" s="48">
        <f>I5+I6</f>
        <v>8.28</v>
      </c>
      <c r="J7" s="48">
        <f>J5+J6</f>
        <v>20.700000000000003</v>
      </c>
      <c r="K7" s="48">
        <f>K5+K6</f>
        <v>37.26</v>
      </c>
      <c r="L7" s="48">
        <f>L5+L6</f>
        <v>53.81999999999999</v>
      </c>
      <c r="M7" s="48">
        <f>M5+M6</f>
        <v>70.38</v>
      </c>
      <c r="N7" s="48">
        <f>N5+N6</f>
        <v>82.80000000000001</v>
      </c>
      <c r="O7" s="48">
        <f>O5+O6</f>
        <v>82.80000000000001</v>
      </c>
      <c r="P7" s="48">
        <f>P5+P6</f>
        <v>82.80000000000001</v>
      </c>
      <c r="Q7" s="48">
        <f>Q5+Q6</f>
        <v>82.80000000000001</v>
      </c>
      <c r="R7" s="48">
        <f>R5+R6</f>
        <v>82.80000000000001</v>
      </c>
      <c r="S7" s="48">
        <f>S5+S6</f>
        <v>82.80000000000001</v>
      </c>
      <c r="T7" s="48">
        <f>T5+T6</f>
        <v>82.80000000000001</v>
      </c>
      <c r="U7" s="48">
        <f>U5+U6</f>
        <v>82.80000000000001</v>
      </c>
      <c r="V7" s="48">
        <f>V5+V6</f>
        <v>41.400000000000006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0.0</v>
      </c>
      <c r="I9" s="48">
        <f>MAX(0,I7)-I8</f>
        <v>8.28</v>
      </c>
      <c r="J9" s="48">
        <f>MAX(0,J7)-J8</f>
        <v>20.700000000000003</v>
      </c>
      <c r="K9" s="48">
        <f>MAX(0,K7)-K8</f>
        <v>37.26</v>
      </c>
      <c r="L9" s="48">
        <f>MAX(0,L7)-L8</f>
        <v>53.81999999999999</v>
      </c>
      <c r="M9" s="48">
        <f>MAX(0,M7)-M8</f>
        <v>70.38</v>
      </c>
      <c r="N9" s="48">
        <f>MAX(0,N7)-N8</f>
        <v>82.80000000000001</v>
      </c>
      <c r="O9" s="48">
        <f>MAX(0,O7)-O8</f>
        <v>82.80000000000001</v>
      </c>
      <c r="P9" s="48">
        <f>MAX(0,P7)-P8</f>
        <v>82.80000000000001</v>
      </c>
      <c r="Q9" s="48">
        <f>MAX(0,Q7)-Q8</f>
        <v>82.80000000000001</v>
      </c>
      <c r="R9" s="48">
        <f>MAX(0,R7)-R8</f>
        <v>82.80000000000001</v>
      </c>
      <c r="S9" s="48">
        <f>MAX(0,S7)-S8</f>
        <v>82.80000000000001</v>
      </c>
      <c r="T9" s="48">
        <f>MAX(0,T7)-T8</f>
        <v>82.80000000000001</v>
      </c>
      <c r="U9" s="48">
        <f>MAX(0,U7)-U8</f>
        <v>82.80000000000001</v>
      </c>
      <c r="V9" s="48">
        <f>MAX(0,V7)-V8</f>
        <v>41.400000000000006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0.0</v>
      </c>
      <c r="I10" s="48">
        <f>I9*Assumptions!$E$15</f>
        <v>1.7388</v>
      </c>
      <c r="J10" s="48">
        <f>J9*Assumptions!$E$15</f>
        <v>4.347</v>
      </c>
      <c r="K10" s="48">
        <f>K9*Assumptions!$E$15</f>
        <v>7.824599999999999</v>
      </c>
      <c r="L10" s="48">
        <f>L9*Assumptions!$E$15</f>
        <v>11.302199999999997</v>
      </c>
      <c r="M10" s="48">
        <f>M9*Assumptions!$E$15</f>
        <v>14.779799999999998</v>
      </c>
      <c r="N10" s="48">
        <f>N9*Assumptions!$E$15</f>
        <v>17.388</v>
      </c>
      <c r="O10" s="48">
        <f>O9*Assumptions!$E$15</f>
        <v>17.388</v>
      </c>
      <c r="P10" s="48">
        <f>P9*Assumptions!$E$15</f>
        <v>17.388</v>
      </c>
      <c r="Q10" s="48">
        <f>Q9*Assumptions!$E$15</f>
        <v>17.388</v>
      </c>
      <c r="R10" s="48">
        <f>R9*Assumptions!$E$15</f>
        <v>17.388</v>
      </c>
      <c r="S10" s="48">
        <f>S9*Assumptions!$E$15</f>
        <v>17.388</v>
      </c>
      <c r="T10" s="48">
        <f>T9*Assumptions!$E$15</f>
        <v>17.388</v>
      </c>
      <c r="U10" s="48">
        <f>U9*Assumptions!$E$15</f>
        <v>17.388</v>
      </c>
      <c r="V10" s="48">
        <f>V9*Assumptions!$E$15</f>
        <v>8.694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0.0</v>
      </c>
      <c r="I11" s="50">
        <f>I7-I10</f>
        <v>6.5412</v>
      </c>
      <c r="J11" s="50">
        <f>J7-J10</f>
        <v>16.353</v>
      </c>
      <c r="K11" s="50">
        <f>K7-K10</f>
        <v>29.435399999999998</v>
      </c>
      <c r="L11" s="50">
        <f>L7-L10</f>
        <v>42.517799999999994</v>
      </c>
      <c r="M11" s="50">
        <f>M7-M10</f>
        <v>55.6002</v>
      </c>
      <c r="N11" s="50">
        <f>N7-N10</f>
        <v>65.412</v>
      </c>
      <c r="O11" s="50">
        <f>O7-O10</f>
        <v>65.412</v>
      </c>
      <c r="P11" s="50">
        <f>P7-P10</f>
        <v>65.412</v>
      </c>
      <c r="Q11" s="50">
        <f>Q7-Q10</f>
        <v>65.412</v>
      </c>
      <c r="R11" s="50">
        <f>R7-R10</f>
        <v>65.412</v>
      </c>
      <c r="S11" s="50">
        <f>S7-S10</f>
        <v>65.412</v>
      </c>
      <c r="T11" s="50">
        <f>T7-T10</f>
        <v>65.412</v>
      </c>
      <c r="U11" s="50">
        <f>U7-U10</f>
        <v>65.412</v>
      </c>
      <c r="V11" s="50">
        <f>V7-V10</f>
        <v>32.706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0.0</v>
      </c>
      <c r="I16" s="50">
        <f>I11*I15</f>
        <v>3.3124360167388804</v>
      </c>
      <c r="J16" s="50">
        <f>J11*J15</f>
        <v>7.3938303945064305</v>
      </c>
      <c r="K16" s="50">
        <f>K11*K15</f>
        <v>11.882941705456759</v>
      </c>
      <c r="L16" s="50">
        <f>L11*L15</f>
        <v>15.325222437593041</v>
      </c>
      <c r="M16" s="50">
        <f>M11*M15</f>
        <v>17.893460263673195</v>
      </c>
      <c r="N16" s="50">
        <f>N11*N15</f>
        <v>18.79565153747184</v>
      </c>
      <c r="O16" s="50">
        <f>O11*O15</f>
        <v>16.78183172988557</v>
      </c>
      <c r="P16" s="50">
        <f>P11*P15</f>
        <v>14.983778330254971</v>
      </c>
      <c r="Q16" s="50">
        <f>Q11*Q15</f>
        <v>13.378373509156225</v>
      </c>
      <c r="R16" s="50">
        <f>R11*R15</f>
        <v>11.944976347460914</v>
      </c>
      <c r="S16" s="50">
        <f>S11*S15</f>
        <v>10.6651574530901</v>
      </c>
      <c r="T16" s="50">
        <f>T11*T15</f>
        <v>9.522462011687589</v>
      </c>
      <c r="U16" s="50">
        <f>U11*U15</f>
        <v>8.502198224721061</v>
      </c>
      <c r="V16" s="50">
        <f>V11*V15</f>
        <v>3.7956242074647584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207.8201824926093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-43.64223832344795</v>
      </c>
    </row>
    <row r="22">
      <c r="A22" s="18" t="inlineStr">
        <is>
          <t>Pipeline rNPV (operations)</t>
        </is>
      </c>
      <c r="B22" s="49">
        <f>SUM(C16:V16)</f>
        <v>164.17794416916135</v>
      </c>
    </row>
    <row r="23">
      <c r="A23" s="14" t="inlineStr">
        <is>
          <t>Cash &amp; investments</t>
        </is>
      </c>
      <c r="B23" s="52">
        <f>Main!C7</f>
        <v>457.46000000000004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621.6379441691614</v>
      </c>
    </row>
    <row r="26">
      <c r="A26" s="14" t="inlineStr">
        <is>
          <t>Shares (mm)</t>
        </is>
      </c>
      <c r="B26" s="52">
        <f>Main!C4</f>
        <v>46.712117</v>
      </c>
    </row>
    <row r="27">
      <c r="A27" s="18" t="inlineStr">
        <is>
          <t>rNPV / share</t>
        </is>
      </c>
      <c r="B27" s="55">
        <f>B25/B26</f>
        <v>13.307852096901568</v>
      </c>
    </row>
    <row r="28">
      <c r="A28" s="14" t="inlineStr">
        <is>
          <t>Price</t>
        </is>
      </c>
      <c r="B28" s="56">
        <f>Main!C3</f>
        <v>34.17</v>
      </c>
    </row>
    <row r="29">
      <c r="A29" s="14" t="inlineStr">
        <is>
          <t>Upside</t>
        </is>
      </c>
      <c r="B29" s="57">
        <f>B27/B28-1</f>
        <v>-0.6105398859554707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2026-10-21T06:23:21Z</dcterms:modified>
  <cp:lastModifiedBy>Wang, Eric</cp:lastModifiedBy>
</cp:coreProperties>
</file>