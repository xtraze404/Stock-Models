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Septerna, Inc.</t>
        </is>
      </c>
      <c r="C2" s="10" t="n"/>
    </row>
    <row r="3">
      <c r="B3" t="inlineStr">
        <is>
          <t>Price</t>
        </is>
      </c>
      <c r="C3" s="11">
        <f>INDEX([1]Pharma!$F$1:$F$1000,MATCH("SEPN",[1]Pharma!$B$1:$B$1000,0))</f>
        <v>39.35</v>
      </c>
      <c r="F3" s="1" t="n"/>
    </row>
    <row r="4">
      <c r="B4" t="inlineStr">
        <is>
          <t>Shares</t>
        </is>
      </c>
      <c r="C4" s="21" t="n">
        <v>46.676947</v>
      </c>
      <c r="F4" s="1" t="n"/>
    </row>
    <row r="5">
      <c r="B5" t="inlineStr">
        <is>
          <t>Market Cap.</t>
        </is>
      </c>
      <c r="C5" s="13">
        <f>C3*C4</f>
        <v>1836.73786445</v>
      </c>
      <c r="F5" s="1" t="n"/>
    </row>
    <row r="6"/>
    <row r="7">
      <c r="B7" t="inlineStr">
        <is>
          <t>Cash</t>
        </is>
      </c>
      <c r="C7" s="21">
        <f>84.662+287.66</f>
        <v>372.322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1464.4158644499998</v>
      </c>
    </row>
    <row r="10"/>
    <row r="11">
      <c r="B11" s="14" t="inlineStr">
        <is>
          <t>Net Cash / Share</t>
        </is>
      </c>
      <c r="C11" s="11">
        <f>(C7-C8)/C4</f>
        <v>7.976571389726925</v>
      </c>
    </row>
    <row r="12">
      <c r="B12" s="14" t="inlineStr">
        <is>
          <t>Upside</t>
        </is>
      </c>
      <c r="C12" s="15">
        <f>IFERROR(C11/C3-1,"")</f>
        <v>-0.7972917054707261</v>
      </c>
    </row>
    <row r="13">
      <c r="B13" s="14" t="inlineStr">
        <is>
          <t>Cash / Share</t>
        </is>
      </c>
      <c r="C13" s="11">
        <f>IFERROR((C7-C8)/C4,"")</f>
        <v>7.976571389726925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106.007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1464.4158644499998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0.151</v>
      </c>
      <c r="C2" s="23" t="n">
        <v>1.075</v>
      </c>
      <c r="D2" s="23" t="n">
        <v>45.951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0.151</v>
      </c>
      <c r="C4" s="23">
        <f>C2-C3</f>
        <v>1.075</v>
      </c>
      <c r="D4" s="23">
        <f>D2-D3</f>
        <v>45.951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35.979</v>
      </c>
      <c r="C5" s="23" t="n">
        <v>65.337</v>
      </c>
      <c r="D5" s="23" t="n">
        <v>97.584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-37.903</v>
      </c>
      <c r="C6" s="23" t="n">
        <v>16.561</v>
      </c>
      <c r="D6" s="23" t="n">
        <v>16.664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-1.9239999999999995</v>
      </c>
      <c r="C7" s="23">
        <f>SUM(C5:C6)</f>
        <v>81.898</v>
      </c>
      <c r="D7" s="23">
        <f>SUM(D5:D6)</f>
        <v>114.248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2.0749999999999993</v>
      </c>
      <c r="C8" s="23">
        <f>C4-C7</f>
        <v>-80.823</v>
      </c>
      <c r="D8" s="23">
        <f>D4-D7</f>
        <v>-68.297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2.796</v>
      </c>
      <c r="C9" s="23" t="n">
        <v>8.526999999999999</v>
      </c>
      <c r="D9" s="23" t="n">
        <v>19.43</v>
      </c>
    </row>
    <row r="10">
      <c r="A10" s="2" t="inlineStr">
        <is>
          <t>Pretax</t>
        </is>
      </c>
      <c r="B10" s="23">
        <f>B8+B9</f>
        <v>4.870999999999999</v>
      </c>
      <c r="C10" s="23">
        <f>C8+C9</f>
        <v>-72.29599999999999</v>
      </c>
      <c r="D10" s="23">
        <f>D8+D9</f>
        <v>-48.867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0.6909999999999999</v>
      </c>
      <c r="C11" s="23" t="n">
        <v>-0.498</v>
      </c>
      <c r="D11" s="23" t="n">
        <v>0.012</v>
      </c>
    </row>
    <row r="12">
      <c r="A12" s="2" t="inlineStr">
        <is>
          <t>Net Income</t>
        </is>
      </c>
      <c r="B12" s="23" t="n">
        <v>4.18</v>
      </c>
      <c r="C12" s="23" t="n">
        <v>-71.798</v>
      </c>
      <c r="D12" s="23" t="n">
        <v>-48.879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1.9200734956361964</v>
      </c>
      <c r="C13" s="11">
        <f>IFERROR(C12/C14,0)</f>
        <v>-7.258922252552826</v>
      </c>
      <c r="D13" s="11">
        <f>IFERROR(D12/D14,0)</f>
        <v>-1.1044105020561252</v>
      </c>
    </row>
    <row r="14">
      <c r="A14" s="2" t="inlineStr">
        <is>
          <t>Shares</t>
        </is>
      </c>
      <c r="B14" s="23" t="n">
        <v>2.177</v>
      </c>
      <c r="C14" s="23" t="n">
        <v>9.891</v>
      </c>
      <c r="D14" s="23" t="n">
        <v>44.258</v>
      </c>
    </row>
    <row r="15"/>
    <row r="16" customFormat="1" s="4">
      <c r="A16" s="3" t="inlineStr">
        <is>
          <t>Revenue Change</t>
        </is>
      </c>
      <c r="C16" s="15">
        <f>IFERROR(C2/B2-1,"")</f>
        <v>6.119205298013245</v>
      </c>
      <c r="D16" s="15">
        <f>IFERROR(D2/C2-1,"")</f>
        <v>41.74511627906977</v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13.74172185430463</v>
      </c>
      <c r="C18" s="15">
        <f>IFERROR(C8/C2,"")</f>
        <v>-75.18418604651163</v>
      </c>
      <c r="D18" s="15">
        <f>IFERROR(D8/D2,"")</f>
        <v>-1.4863006245783552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2026-10-21T01:04:32Z</dcterms:modified>
  <cp:lastModifiedBy>Wang, Eric</cp:lastModifiedBy>
</cp:coreProperties>
</file>