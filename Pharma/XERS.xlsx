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Xeris Biopharma Holdings, Inc.</t>
        </is>
      </c>
      <c r="C2" s="10" t="n"/>
    </row>
    <row r="3">
      <c r="B3" t="inlineStr">
        <is>
          <t>Price</t>
        </is>
      </c>
      <c r="C3" s="11">
        <f>INDEX([1]Pharma!$F$1:$F$1000,MATCH("XERS",[1]Pharma!$B$1:$B$1000,0))</f>
        <v>11.13</v>
      </c>
      <c r="F3" s="1" t="n"/>
    </row>
    <row r="4">
      <c r="B4" t="inlineStr">
        <is>
          <t>Shares</t>
        </is>
      </c>
      <c r="C4" s="51" t="n">
        <v>182.320306</v>
      </c>
      <c r="F4" s="1" t="n"/>
    </row>
    <row r="5">
      <c r="B5" t="inlineStr">
        <is>
          <t>Market Cap.</t>
        </is>
      </c>
      <c r="C5" s="13">
        <f>C3*C4</f>
        <v>2029.22500578</v>
      </c>
      <c r="F5" s="1" t="n"/>
    </row>
    <row r="6"/>
    <row r="7">
      <c r="B7" t="inlineStr">
        <is>
          <t>Cash</t>
        </is>
      </c>
      <c r="C7" s="51" t="n">
        <v>121.747</v>
      </c>
    </row>
    <row r="8">
      <c r="B8" t="inlineStr">
        <is>
          <t>Debt</t>
        </is>
      </c>
      <c r="C8" s="51">
        <f>63.783+188.807</f>
        <v>252.58999999999997</v>
      </c>
    </row>
    <row r="9">
      <c r="B9" t="inlineStr">
        <is>
          <t>Enterprise V.</t>
        </is>
      </c>
      <c r="C9" s="13">
        <f>C5-C7+C8</f>
        <v>2160.06800578</v>
      </c>
    </row>
    <row r="10"/>
    <row r="11">
      <c r="B11" s="14" t="inlineStr">
        <is>
          <t>NPV / Share</t>
        </is>
      </c>
      <c r="C11" s="11">
        <f>NPV!B28</f>
        <v>8.03996188991319</v>
      </c>
    </row>
    <row r="12">
      <c r="B12" s="14" t="inlineStr">
        <is>
          <t>Upside</t>
        </is>
      </c>
      <c r="C12" s="15">
        <f>IFERROR(C11/C3-1,"")</f>
        <v>-0.2776314564318787</v>
      </c>
    </row>
    <row r="13">
      <c r="B13" s="14" t="inlineStr">
        <is>
          <t>Cash / Share</t>
        </is>
      </c>
      <c r="C13" s="11">
        <f>IFERROR((C7-C8)/C4,"")</f>
        <v>-0.7176545655863477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20.435</v>
      </c>
      <c r="C2" s="52" t="n">
        <v>49.59</v>
      </c>
      <c r="D2" s="52" t="n">
        <v>110.248</v>
      </c>
      <c r="E2" s="52" t="n">
        <v>163.914</v>
      </c>
      <c r="F2" s="52" t="n">
        <v>203.07</v>
      </c>
      <c r="G2" s="52" t="n">
        <v>291.845</v>
      </c>
      <c r="H2" s="52">
        <f>G2*(1+NPV!C5)</f>
        <v>388.4165105</v>
      </c>
      <c r="I2" s="52">
        <f>H2*(1+NPV!D5)</f>
        <v>503.7416882064556</v>
      </c>
      <c r="J2" s="52">
        <f>I2*(1+NPV!E5)</f>
        <v>636.1865722956708</v>
      </c>
      <c r="K2" s="52">
        <f>J2*(1+NPV!F5)</f>
        <v>781.8308849132264</v>
      </c>
      <c r="L2" s="52">
        <f>K2*(1+NPV!G5)</f>
        <v>934.2444724221436</v>
      </c>
      <c r="M2" s="52">
        <f>L2*(1+NPV!H5)</f>
        <v>1084.6163105055566</v>
      </c>
      <c r="N2" s="52">
        <f>M2*(1+NPV!I5)</f>
        <v>1222.3264280627454</v>
      </c>
      <c r="O2" s="52">
        <f>N2*(1+NPV!J5)</f>
        <v>1335.9756230630683</v>
      </c>
      <c r="P2" s="52">
        <f>O2*(1+NPV!K5)</f>
        <v>1414.7833406501998</v>
      </c>
      <c r="Q2" s="52">
        <f>P2*(1+NPV!L5)</f>
        <v>1450.1529241664546</v>
      </c>
    </row>
    <row r="3" customFormat="1" s="1">
      <c r="A3" s="5" t="inlineStr">
        <is>
          <t>Cost of Sales</t>
        </is>
      </c>
      <c r="B3" s="52" t="n">
        <v>9.327999999999999</v>
      </c>
      <c r="C3" s="52" t="n">
        <v>13.318</v>
      </c>
      <c r="D3" s="52" t="n">
        <v>22.634</v>
      </c>
      <c r="E3" s="52" t="n">
        <v>28.645</v>
      </c>
      <c r="F3" s="52" t="n">
        <v>36.832</v>
      </c>
      <c r="G3" s="52" t="n">
        <v>42.569</v>
      </c>
      <c r="H3" s="52">
        <f>H2*(1-Assumptions!$B$19)</f>
        <v>56.66996888195001</v>
      </c>
      <c r="I3" s="52">
        <f>I2*(1-Assumptions!$B$19)</f>
        <v>73.49591230932188</v>
      </c>
      <c r="J3" s="52">
        <f>J2*(1-Assumptions!$B$19)</f>
        <v>92.81962089793838</v>
      </c>
      <c r="K3" s="52">
        <f>K2*(1-Assumptions!$B$19)</f>
        <v>114.06912610883975</v>
      </c>
      <c r="L3" s="52">
        <f>L2*(1-Assumptions!$B$19)</f>
        <v>136.3062685263908</v>
      </c>
      <c r="M3" s="52">
        <f>M2*(1-Assumptions!$B$19)</f>
        <v>158.24551970276073</v>
      </c>
      <c r="N3" s="52">
        <f>N2*(1-Assumptions!$B$19)</f>
        <v>178.3374258543546</v>
      </c>
      <c r="O3" s="52">
        <f>O2*(1-Assumptions!$B$19)</f>
        <v>194.9188434049017</v>
      </c>
      <c r="P3" s="52">
        <f>P2*(1-Assumptions!$B$19)</f>
        <v>206.4168894008642</v>
      </c>
      <c r="Q3" s="52">
        <f>Q2*(1-Assumptions!$B$19)</f>
        <v>211.57731163588576</v>
      </c>
    </row>
    <row r="4" customFormat="1" s="1">
      <c r="A4" s="5" t="inlineStr">
        <is>
          <t>Gross Margin</t>
        </is>
      </c>
      <c r="B4" s="52">
        <f>B2-B3</f>
        <v>11.107</v>
      </c>
      <c r="C4" s="52">
        <f>C2-C3</f>
        <v>36.272000000000006</v>
      </c>
      <c r="D4" s="52">
        <f>D2-D3</f>
        <v>87.614</v>
      </c>
      <c r="E4" s="52">
        <f>E2-E3</f>
        <v>135.26899999999998</v>
      </c>
      <c r="F4" s="52">
        <f>F2-F3</f>
        <v>166.238</v>
      </c>
      <c r="G4" s="52">
        <f>G2-G3</f>
        <v>249.276</v>
      </c>
      <c r="H4" s="52">
        <f>H2-H3</f>
        <v>331.74654161805</v>
      </c>
      <c r="I4" s="52">
        <f>I2-I3</f>
        <v>430.24577589713374</v>
      </c>
      <c r="J4" s="52">
        <f>J2-J3</f>
        <v>543.3669513977324</v>
      </c>
      <c r="K4" s="52">
        <f>K2-K3</f>
        <v>667.7617588043867</v>
      </c>
      <c r="L4" s="52">
        <f>L2-L3</f>
        <v>797.9382038957528</v>
      </c>
      <c r="M4" s="52">
        <f>M2-M3</f>
        <v>926.3707908027959</v>
      </c>
      <c r="N4" s="52">
        <f>N2-N3</f>
        <v>1043.989002208391</v>
      </c>
      <c r="O4" s="52">
        <f>O2-O3</f>
        <v>1141.0567796581665</v>
      </c>
      <c r="P4" s="52">
        <f>P2-P3</f>
        <v>1208.3664512493356</v>
      </c>
      <c r="Q4" s="52">
        <f>Q2-Q3</f>
        <v>1238.5756125305688</v>
      </c>
    </row>
    <row r="5">
      <c r="A5" s="2" t="inlineStr">
        <is>
          <t>Research &amp; Dev.</t>
        </is>
      </c>
      <c r="B5" s="52" t="n">
        <v>20.921</v>
      </c>
      <c r="C5" s="52" t="n">
        <v>25.16</v>
      </c>
      <c r="D5" s="52" t="n">
        <v>20.966</v>
      </c>
      <c r="E5" s="52" t="n">
        <v>22.341</v>
      </c>
      <c r="F5" s="52" t="n">
        <v>25.56</v>
      </c>
      <c r="G5" s="52" t="n">
        <v>31.165</v>
      </c>
      <c r="H5" s="52">
        <f>H7*Assumptions!$B$20</f>
        <v>39.70311964022144</v>
      </c>
      <c r="I5" s="52">
        <f>I7*Assumptions!$B$20</f>
        <v>50.85539224790582</v>
      </c>
      <c r="J5" s="52">
        <f>J7*Assumptions!$B$20</f>
        <v>63.423155187340896</v>
      </c>
      <c r="K5" s="52">
        <f>K7*Assumptions!$B$20</f>
        <v>76.95568905777381</v>
      </c>
      <c r="L5" s="52">
        <f>L7*Assumptions!$B$20</f>
        <v>90.77819510285627</v>
      </c>
      <c r="M5" s="52">
        <f>M7*Assumptions!$B$20</f>
        <v>104.02001228970649</v>
      </c>
      <c r="N5" s="52">
        <f>N7*Assumptions!$B$20</f>
        <v>115.68377594635778</v>
      </c>
      <c r="O5" s="52">
        <f>O7*Assumptions!$B$20</f>
        <v>124.75299220113739</v>
      </c>
      <c r="P5" s="52">
        <f>P7*Assumptions!$B$20</f>
        <v>130.32572573595846</v>
      </c>
      <c r="Q5" s="52">
        <f>Q7*Assumptions!$B$20</f>
        <v>131.75290434715188</v>
      </c>
    </row>
    <row r="6">
      <c r="A6" s="18" t="inlineStr">
        <is>
          <t>SG&amp;A &amp; Other</t>
        </is>
      </c>
      <c r="B6" s="52" t="n">
        <v>73.732</v>
      </c>
      <c r="C6" s="52" t="n">
        <v>126.268</v>
      </c>
      <c r="D6" s="52" t="n">
        <v>148.588</v>
      </c>
      <c r="E6" s="52" t="n">
        <v>156.938</v>
      </c>
      <c r="F6" s="52" t="n">
        <v>174.324</v>
      </c>
      <c r="G6" s="52" t="n">
        <v>193.215</v>
      </c>
      <c r="H6" s="52">
        <f>H7-H5</f>
        <v>246.13647460183356</v>
      </c>
      <c r="I6" s="52">
        <f>I7-I5</f>
        <v>315.2741415743103</v>
      </c>
      <c r="J6" s="52">
        <f>J7-J5</f>
        <v>393.18703334643084</v>
      </c>
      <c r="K6" s="52">
        <f>K7-K5</f>
        <v>477.08094922713485</v>
      </c>
      <c r="L6" s="52">
        <f>L7-L5</f>
        <v>562.7725255800542</v>
      </c>
      <c r="M6" s="52">
        <f>M7-M5</f>
        <v>644.86416546196</v>
      </c>
      <c r="N6" s="52">
        <f>N7-N5</f>
        <v>717.1727823427552</v>
      </c>
      <c r="O6" s="52">
        <f>O7-O5</f>
        <v>773.396699671702</v>
      </c>
      <c r="P6" s="52">
        <f>P7-P5</f>
        <v>807.9444379498475</v>
      </c>
      <c r="Q6" s="52">
        <f>Q7-Q5</f>
        <v>816.792123350126</v>
      </c>
    </row>
    <row r="7">
      <c r="A7" s="2" t="inlineStr">
        <is>
          <t>Operating Expense</t>
        </is>
      </c>
      <c r="B7" s="52">
        <f>SUM(B5:B6)</f>
        <v>94.65299999999999</v>
      </c>
      <c r="C7" s="52">
        <f>SUM(C5:C6)</f>
        <v>151.428</v>
      </c>
      <c r="D7" s="52">
        <f>SUM(D5:D6)</f>
        <v>169.554</v>
      </c>
      <c r="E7" s="52">
        <f>SUM(E5:E6)</f>
        <v>179.279</v>
      </c>
      <c r="F7" s="52">
        <f>SUM(F5:F6)</f>
        <v>199.88400000000001</v>
      </c>
      <c r="G7" s="52">
        <f>SUM(G5:G6)</f>
        <v>224.38</v>
      </c>
      <c r="H7" s="52">
        <f>H4-H2*NPV!C6</f>
        <v>285.839594242055</v>
      </c>
      <c r="I7" s="52">
        <f>I4-I2*NPV!D6</f>
        <v>366.1295338222161</v>
      </c>
      <c r="J7" s="52">
        <f>J4-J2*NPV!E6</f>
        <v>456.61018853377175</v>
      </c>
      <c r="K7" s="52">
        <f>K4-K2*NPV!F6</f>
        <v>554.0366382849087</v>
      </c>
      <c r="L7" s="52">
        <f>L4-L2*NPV!G6</f>
        <v>653.5507206829105</v>
      </c>
      <c r="M7" s="52">
        <f>M4-M2*NPV!H6</f>
        <v>748.8841777516666</v>
      </c>
      <c r="N7" s="52">
        <f>N4-N2*NPV!I6</f>
        <v>832.856558289113</v>
      </c>
      <c r="O7" s="52">
        <f>O4-O2*NPV!J6</f>
        <v>898.1496918728394</v>
      </c>
      <c r="P7" s="52">
        <f>P4-P2*NPV!K6</f>
        <v>938.270163685806</v>
      </c>
      <c r="Q7" s="52">
        <f>Q4-Q2*NPV!L6</f>
        <v>948.5450276972779</v>
      </c>
    </row>
    <row r="8">
      <c r="A8" s="2" t="inlineStr">
        <is>
          <t>Operating Income</t>
        </is>
      </c>
      <c r="B8" s="52">
        <f>B4-B7</f>
        <v>-83.54599999999999</v>
      </c>
      <c r="C8" s="52">
        <f>C4-C7</f>
        <v>-115.15599999999999</v>
      </c>
      <c r="D8" s="52">
        <f>D4-D7</f>
        <v>-81.94</v>
      </c>
      <c r="E8" s="52">
        <f>E4-E7</f>
        <v>-44.01000000000002</v>
      </c>
      <c r="F8" s="52">
        <f>F4-F7</f>
        <v>-33.646000000000015</v>
      </c>
      <c r="G8" s="52">
        <f>G4-G7</f>
        <v>24.896000000000015</v>
      </c>
      <c r="H8" s="52">
        <f>H4-H7</f>
        <v>45.906947375995</v>
      </c>
      <c r="I8" s="52">
        <f>I4-I7</f>
        <v>64.11624207491764</v>
      </c>
      <c r="J8" s="52">
        <f>J4-J7</f>
        <v>86.7567628639606</v>
      </c>
      <c r="K8" s="52">
        <f>K4-K7</f>
        <v>113.72512051947797</v>
      </c>
      <c r="L8" s="52">
        <f>L4-L7</f>
        <v>144.3874832128423</v>
      </c>
      <c r="M8" s="52">
        <f>M4-M7</f>
        <v>177.48661305112932</v>
      </c>
      <c r="N8" s="52">
        <f>N4-N7</f>
        <v>211.132443919278</v>
      </c>
      <c r="O8" s="52">
        <f>O4-O7</f>
        <v>242.90708778532712</v>
      </c>
      <c r="P8" s="52">
        <f>P4-P7</f>
        <v>270.0962875635296</v>
      </c>
      <c r="Q8" s="52">
        <f>Q4-Q7</f>
        <v>290.03058483329096</v>
      </c>
    </row>
    <row r="9">
      <c r="A9" s="18" t="inlineStr">
        <is>
          <t>Interest &amp; Other</t>
        </is>
      </c>
      <c r="B9" s="52" t="n">
        <v>-7.704</v>
      </c>
      <c r="C9" s="52" t="n">
        <v>-7.569</v>
      </c>
      <c r="D9" s="52" t="n">
        <v>-14.144</v>
      </c>
      <c r="E9" s="52" t="n">
        <v>-19.494</v>
      </c>
      <c r="F9" s="52" t="n">
        <v>-23.458</v>
      </c>
      <c r="G9" s="52" t="n">
        <v>-24.342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-91.24999999999999</v>
      </c>
      <c r="C10" s="52">
        <f>C8+C9</f>
        <v>-122.725</v>
      </c>
      <c r="D10" s="52">
        <f>D8+D9</f>
        <v>-96.084</v>
      </c>
      <c r="E10" s="52">
        <f>E8+E9</f>
        <v>-63.50400000000002</v>
      </c>
      <c r="F10" s="52">
        <f>F8+F9</f>
        <v>-57.10400000000001</v>
      </c>
      <c r="G10" s="52">
        <f>G8+G9</f>
        <v>0.5540000000000163</v>
      </c>
      <c r="H10" s="52">
        <f>H8+H9</f>
        <v>45.906947375995</v>
      </c>
      <c r="I10" s="52">
        <f>I8+I9</f>
        <v>64.11624207491764</v>
      </c>
      <c r="J10" s="52">
        <f>J8+J9</f>
        <v>86.7567628639606</v>
      </c>
      <c r="K10" s="52">
        <f>K8+K9</f>
        <v>113.72512051947797</v>
      </c>
      <c r="L10" s="52">
        <f>L8+L9</f>
        <v>144.3874832128423</v>
      </c>
      <c r="M10" s="52">
        <f>M8+M9</f>
        <v>177.48661305112932</v>
      </c>
      <c r="N10" s="52">
        <f>N8+N9</f>
        <v>211.132443919278</v>
      </c>
      <c r="O10" s="52">
        <f>O8+O9</f>
        <v>242.90708778532712</v>
      </c>
      <c r="P10" s="52">
        <f>P8+P9</f>
        <v>270.0962875635296</v>
      </c>
      <c r="Q10" s="52">
        <f>Q8+Q9</f>
        <v>290.03058483329096</v>
      </c>
    </row>
    <row r="11">
      <c r="A11" s="2" t="inlineStr">
        <is>
          <t>Taxes</t>
        </is>
      </c>
      <c r="B11" s="52" t="n">
        <v>-0.11</v>
      </c>
      <c r="C11" s="52" t="n">
        <v>0</v>
      </c>
      <c r="D11" s="52" t="n">
        <v>-1.424</v>
      </c>
      <c r="E11" s="52" t="n">
        <v>-1.249</v>
      </c>
      <c r="F11" s="52" t="n">
        <v>-2.268</v>
      </c>
      <c r="G11" s="52" t="n">
        <v>0</v>
      </c>
      <c r="H11" s="52">
        <f>MAX(0,H10)*Assumptions!$E$14</f>
        <v>7.804181053919151</v>
      </c>
      <c r="I11" s="52">
        <f>MAX(0,I10)*Assumptions!$E$14</f>
        <v>10.899761152736</v>
      </c>
      <c r="J11" s="52">
        <f>MAX(0,J10)*Assumptions!$E$14</f>
        <v>14.748649686873303</v>
      </c>
      <c r="K11" s="52">
        <f>MAX(0,K10)*Assumptions!$E$14</f>
        <v>19.333270488311257</v>
      </c>
      <c r="L11" s="52">
        <f>MAX(0,L10)*Assumptions!$E$14</f>
        <v>24.545872146183196</v>
      </c>
      <c r="M11" s="52">
        <f>MAX(0,M10)*Assumptions!$E$14</f>
        <v>30.172724218691986</v>
      </c>
      <c r="N11" s="52">
        <f>MAX(0,N10)*Assumptions!$E$14</f>
        <v>35.89251546627726</v>
      </c>
      <c r="O11" s="52">
        <f>MAX(0,O10)*Assumptions!$E$14</f>
        <v>41.29420492350561</v>
      </c>
      <c r="P11" s="52">
        <f>MAX(0,P10)*Assumptions!$E$14</f>
        <v>45.91636888580003</v>
      </c>
      <c r="Q11" s="52">
        <f>MAX(0,Q10)*Assumptions!$E$14</f>
        <v>49.30519942165947</v>
      </c>
    </row>
    <row r="12">
      <c r="A12" s="2" t="inlineStr">
        <is>
          <t>Net Income</t>
        </is>
      </c>
      <c r="B12" s="52" t="n">
        <v>-91.14</v>
      </c>
      <c r="C12" s="52" t="n">
        <v>-122.725</v>
      </c>
      <c r="D12" s="52" t="n">
        <v>-94.66</v>
      </c>
      <c r="E12" s="52" t="n">
        <v>-62.255</v>
      </c>
      <c r="F12" s="52" t="n">
        <v>-54.836</v>
      </c>
      <c r="G12" s="52" t="n">
        <v>0.554</v>
      </c>
      <c r="H12" s="52">
        <f>H10-H11</f>
        <v>38.10276632207585</v>
      </c>
      <c r="I12" s="52">
        <f>I10-I11</f>
        <v>53.21648092218164</v>
      </c>
      <c r="J12" s="52">
        <f>J10-J11</f>
        <v>72.0081131770873</v>
      </c>
      <c r="K12" s="52">
        <f>K10-K11</f>
        <v>94.39185003116671</v>
      </c>
      <c r="L12" s="52">
        <f>L10-L11</f>
        <v>119.84161106665911</v>
      </c>
      <c r="M12" s="52">
        <f>M10-M11</f>
        <v>147.31388883243733</v>
      </c>
      <c r="N12" s="52">
        <f>N10-N11</f>
        <v>175.23992845300074</v>
      </c>
      <c r="O12" s="52">
        <f>O10-O11</f>
        <v>201.6128828618215</v>
      </c>
      <c r="P12" s="52">
        <f>P10-P11</f>
        <v>224.17991867772955</v>
      </c>
      <c r="Q12" s="52">
        <f>Q10-Q11</f>
        <v>240.7253854116315</v>
      </c>
    </row>
    <row r="13">
      <c r="A13" s="2" t="inlineStr">
        <is>
          <t>Earnings per Share</t>
        </is>
      </c>
      <c r="B13" s="11">
        <f>IFERROR(B12/B14,0)</f>
        <v>-2.137279272096241</v>
      </c>
      <c r="C13" s="11">
        <f>IFERROR(C12/C14,0)</f>
        <v>-1.5529502575069278</v>
      </c>
      <c r="D13" s="11">
        <f>IFERROR(D12/D14,0)</f>
        <v>-0.6979333328417964</v>
      </c>
      <c r="E13" s="11">
        <f>IFERROR(E12/E14,0)</f>
        <v>-0.45218812420555654</v>
      </c>
      <c r="F13" s="11">
        <f>IFERROR(F12/F14,0)</f>
        <v>-0.3736109502428921</v>
      </c>
      <c r="G13" s="11">
        <f>IFERROR(G12/G14,0)</f>
        <v>0.0032070764083059807</v>
      </c>
      <c r="H13" s="11">
        <f>IFERROR(H12/H14,0)</f>
        <v>0.20898805600993153</v>
      </c>
      <c r="I13" s="11">
        <f>IFERROR(I12/I14,0)</f>
        <v>0.2918845524654925</v>
      </c>
      <c r="J13" s="11">
        <f>IFERROR(J12/J14,0)</f>
        <v>0.3949538850438705</v>
      </c>
      <c r="K13" s="11">
        <f>IFERROR(K12/K14,0)</f>
        <v>0.5177253817858704</v>
      </c>
      <c r="L13" s="11">
        <f>IFERROR(L12/L14,0)</f>
        <v>0.6573135691570149</v>
      </c>
      <c r="M13" s="11">
        <f>IFERROR(M12/M14,0)</f>
        <v>0.8079949626260354</v>
      </c>
      <c r="N13" s="11">
        <f>IFERROR(N12/N14,0)</f>
        <v>0.9611651729731122</v>
      </c>
      <c r="O13" s="11">
        <f>IFERROR(O12/O14,0)</f>
        <v>1.1058169398959956</v>
      </c>
      <c r="P13" s="11">
        <f>IFERROR(P12/P14,0)</f>
        <v>1.229593804420938</v>
      </c>
      <c r="Q13" s="11">
        <f>IFERROR(Q12/Q14,0)</f>
        <v>1.3203432502555776</v>
      </c>
    </row>
    <row r="14">
      <c r="A14" s="2" t="inlineStr">
        <is>
          <t>Shares</t>
        </is>
      </c>
      <c r="B14" s="52" t="n">
        <v>42.643</v>
      </c>
      <c r="C14" s="52" t="n">
        <v>79.027</v>
      </c>
      <c r="D14" s="52" t="n">
        <v>135.629</v>
      </c>
      <c r="E14" s="52" t="n">
        <v>137.675</v>
      </c>
      <c r="F14" s="52" t="n">
        <v>146.773</v>
      </c>
      <c r="G14" s="52" t="n">
        <v>172.743</v>
      </c>
      <c r="H14" s="52">
        <f>Main!$C$4</f>
        <v>182.320306</v>
      </c>
      <c r="I14" s="52">
        <f>Main!$C$4</f>
        <v>182.320306</v>
      </c>
      <c r="J14" s="52">
        <f>Main!$C$4</f>
        <v>182.320306</v>
      </c>
      <c r="K14" s="52">
        <f>Main!$C$4</f>
        <v>182.320306</v>
      </c>
      <c r="L14" s="52">
        <f>Main!$C$4</f>
        <v>182.320306</v>
      </c>
      <c r="M14" s="52">
        <f>Main!$C$4</f>
        <v>182.320306</v>
      </c>
      <c r="N14" s="52">
        <f>Main!$C$4</f>
        <v>182.320306</v>
      </c>
      <c r="O14" s="52">
        <f>Main!$C$4</f>
        <v>182.320306</v>
      </c>
      <c r="P14" s="52">
        <f>Main!$C$4</f>
        <v>182.320306</v>
      </c>
      <c r="Q14" s="52">
        <f>Main!$C$4</f>
        <v>182.320306</v>
      </c>
    </row>
    <row r="15"/>
    <row r="16" customFormat="1" s="4">
      <c r="A16" s="3" t="inlineStr">
        <is>
          <t>Revenue Change</t>
        </is>
      </c>
      <c r="C16" s="15">
        <f>IFERROR(C2/B2-1,"")</f>
        <v>1.426718864692929</v>
      </c>
      <c r="D16" s="15">
        <f>IFERROR(D2/C2-1,"")</f>
        <v>1.223190159306312</v>
      </c>
      <c r="E16" s="15">
        <f>IFERROR(E2/D2-1,"")</f>
        <v>0.4867752702996877</v>
      </c>
      <c r="F16" s="15">
        <f>IFERROR(F2/E2-1,"")</f>
        <v>0.23888136461803144</v>
      </c>
      <c r="G16" s="15">
        <f>IFERROR(G2/F2-1,"")</f>
        <v>0.43716452454818544</v>
      </c>
      <c r="H16" s="15">
        <f>IFERROR(H2/G2-1,"")</f>
        <v>0.33089999999999997</v>
      </c>
      <c r="I16" s="15">
        <f>IFERROR(I2/H2-1,"")</f>
        <v>0.2969111111111111</v>
      </c>
      <c r="J16" s="15">
        <f>IFERROR(J2/I2-1,"")</f>
        <v>0.2629222222222223</v>
      </c>
      <c r="K16" s="15">
        <f>IFERROR(K2/J2-1,"")</f>
        <v>0.22893333333333343</v>
      </c>
      <c r="L16" s="15">
        <f>IFERROR(L2/K2-1,"")</f>
        <v>0.19494444444444436</v>
      </c>
      <c r="M16" s="15">
        <f>IFERROR(M2/L2-1,"")</f>
        <v>0.16095555555555552</v>
      </c>
      <c r="N16" s="15">
        <f>IFERROR(N2/M2-1,"")</f>
        <v>0.12696666666666667</v>
      </c>
      <c r="O16" s="15">
        <f>IFERROR(O2/N2-1,"")</f>
        <v>0.09297777777777783</v>
      </c>
      <c r="P16" s="15">
        <f>IFERROR(P2/O2-1,"")</f>
        <v>0.05898888888888898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0.543528260337656</v>
      </c>
      <c r="C17" s="15">
        <f>IFERROR(C4/C2,"")</f>
        <v>0.7314377898769914</v>
      </c>
      <c r="D17" s="15">
        <f>IFERROR(D4/D2,"")</f>
        <v>0.7946992235686815</v>
      </c>
      <c r="E17" s="15">
        <f>IFERROR(E4/E2,"")</f>
        <v>0.8252437253681808</v>
      </c>
      <c r="F17" s="15">
        <f>IFERROR(F4/F2,"")</f>
        <v>0.8186241197616586</v>
      </c>
      <c r="G17" s="15">
        <f>IFERROR(G4/G2,"")</f>
        <v>0.8541383268515821</v>
      </c>
      <c r="H17" s="15">
        <f>IFERROR(H4/H2,"")</f>
        <v>0.8541</v>
      </c>
      <c r="I17" s="15">
        <f>IFERROR(I4/I2,"")</f>
        <v>0.8541000000000001</v>
      </c>
      <c r="J17" s="15">
        <f>IFERROR(J4/J2,"")</f>
        <v>0.8540999999999999</v>
      </c>
      <c r="K17" s="15">
        <f>IFERROR(K4/K2,"")</f>
        <v>0.8541</v>
      </c>
      <c r="L17" s="15">
        <f>IFERROR(L4/L2,"")</f>
        <v>0.8541</v>
      </c>
      <c r="M17" s="15">
        <f>IFERROR(M4/M2,"")</f>
        <v>0.8541</v>
      </c>
      <c r="N17" s="15">
        <f>IFERROR(N4/N2,"")</f>
        <v>0.8541000000000001</v>
      </c>
      <c r="O17" s="15">
        <f>IFERROR(O4/O2,"")</f>
        <v>0.8541</v>
      </c>
      <c r="P17" s="15">
        <f>IFERROR(P4/P2,"")</f>
        <v>0.8541</v>
      </c>
      <c r="Q17" s="15">
        <f>IFERROR(Q4/Q2,"")</f>
        <v>0.8541</v>
      </c>
    </row>
    <row r="18">
      <c r="A18" s="14" t="inlineStr">
        <is>
          <t>Operating Margin</t>
        </is>
      </c>
      <c r="B18" s="15">
        <f>IFERROR(B8/B2,"")</f>
        <v>-4.088377783215072</v>
      </c>
      <c r="C18" s="15">
        <f>IFERROR(C8/C2,"")</f>
        <v>-2.3221617261544663</v>
      </c>
      <c r="D18" s="15">
        <f>IFERROR(D8/D2,"")</f>
        <v>-0.7432334373412669</v>
      </c>
      <c r="E18" s="15">
        <f>IFERROR(E8/E2,"")</f>
        <v>-0.2684944544090195</v>
      </c>
      <c r="F18" s="15">
        <f>IFERROR(F8/F2,"")</f>
        <v>-0.16568670901659535</v>
      </c>
      <c r="G18" s="15">
        <f>IFERROR(G8/G2,"")</f>
        <v>0.0853055560314551</v>
      </c>
      <c r="H18" s="15">
        <f>IFERROR(H8/H2,"")</f>
        <v>0.11819</v>
      </c>
      <c r="I18" s="15">
        <f>IFERROR(I8/I2,"")</f>
        <v>0.12727999999999995</v>
      </c>
      <c r="J18" s="15">
        <f>IFERROR(J8/J2,"")</f>
        <v>0.13636999999999996</v>
      </c>
      <c r="K18" s="15">
        <f>IFERROR(K8/K2,"")</f>
        <v>0.14546000000000006</v>
      </c>
      <c r="L18" s="15">
        <f>IFERROR(L8/L2,"")</f>
        <v>0.15455000000000002</v>
      </c>
      <c r="M18" s="15">
        <f>IFERROR(M8/M2,"")</f>
        <v>0.16364000000000004</v>
      </c>
      <c r="N18" s="15">
        <f>IFERROR(N8/N2,"")</f>
        <v>0.17272999999999997</v>
      </c>
      <c r="O18" s="15">
        <f>IFERROR(O8/O2,"")</f>
        <v>0.18182000000000004</v>
      </c>
      <c r="P18" s="15">
        <f>IFERROR(P8/P2,"")</f>
        <v>0.19090999999999997</v>
      </c>
      <c r="Q18" s="15">
        <f>IFERROR(Q8/Q2,"")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Xeris Biopharma Holdings,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0.2809</v>
      </c>
      <c r="C12" s="53" t="n">
        <v>0.3309</v>
      </c>
      <c r="D12" s="53" t="n">
        <v>0.3809</v>
      </c>
      <c r="E12" s="54">
        <f>CHOOSE($B$4,B12,C12,D12)</f>
        <v>0.3309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0.1091</v>
      </c>
    </row>
    <row r="19">
      <c r="A19" s="14" t="inlineStr">
        <is>
          <t>Gross margin (forecast)</t>
        </is>
      </c>
      <c r="B19" s="53" t="n">
        <v>0.8541</v>
      </c>
    </row>
    <row r="20">
      <c r="A20" s="14" t="inlineStr">
        <is>
          <t>R&amp;D share of operating expense (forecast)</t>
        </is>
      </c>
      <c r="B20" s="53" t="n">
        <v>0.1389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Model'!G2</f>
        <v>291.845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1596.691311997311</v>
      </c>
      <c r="C29" s="56">
        <f>NPV!B26</f>
        <v>1465.8483119973112</v>
      </c>
      <c r="D29" s="35">
        <f>NPV!B28</f>
        <v>8.03996188991319</v>
      </c>
      <c r="E29" s="57">
        <f>NPV!B30</f>
        <v>-0.2776314564318787</v>
      </c>
    </row>
    <row r="30">
      <c r="A30" s="58" t="n">
        <v>1</v>
      </c>
      <c r="B30" s="59">
        <f t="dataTable" ref="B30:E32" r1="B4"/>
        <v>834.6212013344941</v>
      </c>
      <c r="C30" s="59">
        <v>703.778201334494</v>
      </c>
      <c r="D30" s="39">
        <v>3.86011968044028</v>
      </c>
      <c r="E30" s="60">
        <v>-0.6531788247582857</v>
      </c>
    </row>
    <row r="31">
      <c r="A31" s="58" t="n">
        <v>2</v>
      </c>
      <c r="B31" s="59">
        <v>1596.691311997311</v>
      </c>
      <c r="C31" s="59">
        <v>1465.8483119973112</v>
      </c>
      <c r="D31" s="39">
        <v>8.03996188991319</v>
      </c>
      <c r="E31" s="60">
        <v>-0.2776314564318787</v>
      </c>
    </row>
    <row r="32">
      <c r="A32" s="58" t="n">
        <v>3</v>
      </c>
      <c r="B32" s="59">
        <v>3010.8796718513768</v>
      </c>
      <c r="C32" s="59">
        <v>2880.0366718513765</v>
      </c>
      <c r="D32" s="39">
        <v>15.796576558243473</v>
      </c>
      <c r="E32" s="60">
        <v>0.41927911574514565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8.03996188991319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10.025292321760675</v>
      </c>
      <c r="C37" s="39">
        <v>10.731392051316758</v>
      </c>
      <c r="D37" s="39">
        <v>11.545901170671826</v>
      </c>
      <c r="E37" s="39">
        <v>12.49592100671282</v>
      </c>
      <c r="F37" s="39">
        <v>13.618407928760435</v>
      </c>
    </row>
    <row r="38">
      <c r="A38" s="62" t="n">
        <v>0.1</v>
      </c>
      <c r="B38" s="39">
        <v>8.439466561803151</v>
      </c>
      <c r="C38" s="39">
        <v>8.958872779354179</v>
      </c>
      <c r="D38" s="39">
        <v>9.547344574742596</v>
      </c>
      <c r="E38" s="39">
        <v>10.219680805333088</v>
      </c>
      <c r="F38" s="39">
        <v>10.99523383406</v>
      </c>
    </row>
    <row r="39">
      <c r="A39" s="62" t="n">
        <v>0.11</v>
      </c>
      <c r="B39" s="39">
        <v>7.2061415283371275</v>
      </c>
      <c r="C39" s="39">
        <v>7.599966960348156</v>
      </c>
      <c r="D39" s="39">
        <v>8.03996188991319</v>
      </c>
      <c r="E39" s="39">
        <v>8.534782283007322</v>
      </c>
      <c r="F39" s="39">
        <v>9.09539237177018</v>
      </c>
    </row>
    <row r="40">
      <c r="A40" s="62" t="n">
        <v>0.12</v>
      </c>
      <c r="B40" s="39">
        <v>6.223213356400888</v>
      </c>
      <c r="C40" s="39">
        <v>6.529123089526993</v>
      </c>
      <c r="D40" s="39">
        <v>6.867091657862312</v>
      </c>
      <c r="E40" s="39">
        <v>7.242461467493945</v>
      </c>
      <c r="F40" s="39">
        <v>7.661831968050318</v>
      </c>
    </row>
    <row r="41">
      <c r="A41" s="62" t="n">
        <v>0.13</v>
      </c>
      <c r="B41" s="39">
        <v>5.424216462259555</v>
      </c>
      <c r="C41" s="39">
        <v>5.666575452011517</v>
      </c>
      <c r="D41" s="39">
        <v>5.931891141750974</v>
      </c>
      <c r="E41" s="39">
        <v>6.2236063748510855</v>
      </c>
      <c r="F41" s="39">
        <v>6.545888809321693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Xeris Biopharma Holdings, Inc.: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0.3309</v>
      </c>
      <c r="D5" s="63">
        <f>Assumptions!$E$12+(Assumptions!$E$11-Assumptions!$E$12)*(D4-1)/(Assumptions!$B$21-1)</f>
        <v>0.2969111111111111</v>
      </c>
      <c r="E5" s="63">
        <f>Assumptions!$E$12+(Assumptions!$E$11-Assumptions!$E$12)*(E4-1)/(Assumptions!$B$21-1)</f>
        <v>0.2629222222222223</v>
      </c>
      <c r="F5" s="63">
        <f>Assumptions!$E$12+(Assumptions!$E$11-Assumptions!$E$12)*(F4-1)/(Assumptions!$B$21-1)</f>
        <v>0.22893333333333338</v>
      </c>
      <c r="G5" s="63">
        <f>Assumptions!$E$12+(Assumptions!$E$11-Assumptions!$E$12)*(G4-1)/(Assumptions!$B$21-1)</f>
        <v>0.19494444444444448</v>
      </c>
      <c r="H5" s="63">
        <f>Assumptions!$E$12+(Assumptions!$E$11-Assumptions!$E$12)*(H4-1)/(Assumptions!$B$21-1)</f>
        <v>0.16095555555555557</v>
      </c>
      <c r="I5" s="63">
        <f>Assumptions!$E$12+(Assumptions!$E$11-Assumptions!$E$12)*(I4-1)/(Assumptions!$B$21-1)</f>
        <v>0.1269666666666667</v>
      </c>
      <c r="J5" s="63">
        <f>Assumptions!$E$12+(Assumptions!$E$11-Assumptions!$E$12)*(J4-1)/(Assumptions!$B$21-1)</f>
        <v>0.09297777777777777</v>
      </c>
      <c r="K5" s="63">
        <f>Assumptions!$E$12+(Assumptions!$E$11-Assumptions!$E$12)*(K4-1)/(Assumptions!$B$21-1)</f>
        <v>0.058988888888888924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0.0853055560314551</v>
      </c>
      <c r="C6" s="63">
        <f>Assumptions!$B$18+(Assumptions!$E$13-Assumptions!$B$18)*C4/Assumptions!$B$21</f>
        <v>0.11819</v>
      </c>
      <c r="D6" s="63">
        <f>Assumptions!$B$18+(Assumptions!$E$13-Assumptions!$B$18)*D4/Assumptions!$B$21</f>
        <v>0.12728</v>
      </c>
      <c r="E6" s="63">
        <f>Assumptions!$B$18+(Assumptions!$E$13-Assumptions!$B$18)*E4/Assumptions!$B$21</f>
        <v>0.13637000000000002</v>
      </c>
      <c r="F6" s="63">
        <f>Assumptions!$B$18+(Assumptions!$E$13-Assumptions!$B$18)*F4/Assumptions!$B$21</f>
        <v>0.14546</v>
      </c>
      <c r="G6" s="63">
        <f>Assumptions!$B$18+(Assumptions!$E$13-Assumptions!$B$18)*G4/Assumptions!$B$21</f>
        <v>0.15455000000000002</v>
      </c>
      <c r="H6" s="63">
        <f>Assumptions!$B$18+(Assumptions!$E$13-Assumptions!$B$18)*H4/Assumptions!$B$21</f>
        <v>0.16364</v>
      </c>
      <c r="I6" s="63">
        <f>Assumptions!$B$18+(Assumptions!$E$13-Assumptions!$B$18)*I4/Assumptions!$B$21</f>
        <v>0.17273</v>
      </c>
      <c r="J6" s="63">
        <f>Assumptions!$B$18+(Assumptions!$E$13-Assumptions!$B$18)*J4/Assumptions!$B$21</f>
        <v>0.18182</v>
      </c>
      <c r="K6" s="63">
        <f>Assumptions!$B$18+(Assumptions!$E$13-Assumptions!$B$18)*K4/Assumptions!$B$21</f>
        <v>0.19091000000000002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Model'!G2</f>
        <v>291.845</v>
      </c>
      <c r="C7" s="55">
        <f>'Yearly Model'!H2</f>
        <v>388.4165105</v>
      </c>
      <c r="D7" s="55">
        <f>'Yearly Model'!I2</f>
        <v>503.7416882064556</v>
      </c>
      <c r="E7" s="55">
        <f>'Yearly Model'!J2</f>
        <v>636.1865722956708</v>
      </c>
      <c r="F7" s="55">
        <f>'Yearly Model'!K2</f>
        <v>781.8308849132264</v>
      </c>
      <c r="G7" s="55">
        <f>'Yearly Model'!L2</f>
        <v>934.2444724221436</v>
      </c>
      <c r="H7" s="55">
        <f>'Yearly Model'!M2</f>
        <v>1084.6163105055566</v>
      </c>
      <c r="I7" s="55">
        <f>'Yearly Model'!N2</f>
        <v>1222.3264280627454</v>
      </c>
      <c r="J7" s="55">
        <f>'Yearly Model'!O2</f>
        <v>1335.9756230630683</v>
      </c>
      <c r="K7" s="55">
        <f>'Yearly Model'!P2</f>
        <v>1414.7833406501998</v>
      </c>
      <c r="L7" s="55">
        <f>'Yearly Model'!Q2</f>
        <v>1450.1529241664546</v>
      </c>
    </row>
    <row r="8">
      <c r="A8" s="14" t="inlineStr">
        <is>
          <t>Operating income</t>
        </is>
      </c>
      <c r="B8" s="55">
        <f>'Yearly Model'!G8</f>
        <v>24.896000000000015</v>
      </c>
      <c r="C8" s="55">
        <f>'Yearly Model'!H8</f>
        <v>45.906947375995</v>
      </c>
      <c r="D8" s="55">
        <f>'Yearly Model'!I8</f>
        <v>64.11624207491764</v>
      </c>
      <c r="E8" s="55">
        <f>'Yearly Model'!J8</f>
        <v>86.7567628639606</v>
      </c>
      <c r="F8" s="55">
        <f>'Yearly Model'!K8</f>
        <v>113.72512051947797</v>
      </c>
      <c r="G8" s="55">
        <f>'Yearly Model'!L8</f>
        <v>144.3874832128423</v>
      </c>
      <c r="H8" s="55">
        <f>'Yearly Model'!M8</f>
        <v>177.48661305112932</v>
      </c>
      <c r="I8" s="55">
        <f>'Yearly Model'!N8</f>
        <v>211.132443919278</v>
      </c>
      <c r="J8" s="55">
        <f>'Yearly Model'!O8</f>
        <v>242.90708778532712</v>
      </c>
      <c r="K8" s="55">
        <f>'Yearly Model'!P8</f>
        <v>270.0962875635296</v>
      </c>
      <c r="L8" s="55">
        <f>'Yearly Model'!Q8</f>
        <v>290.03058483329096</v>
      </c>
    </row>
    <row r="9">
      <c r="A9" s="14" t="inlineStr">
        <is>
          <t>Tax on operating income</t>
        </is>
      </c>
      <c r="C9" s="52">
        <f>MAX(0,C8)*Assumptions!$E$14</f>
        <v>7.804181053919151</v>
      </c>
      <c r="D9" s="52">
        <f>MAX(0,D8)*Assumptions!$E$14</f>
        <v>10.899761152736</v>
      </c>
      <c r="E9" s="52">
        <f>MAX(0,E8)*Assumptions!$E$14</f>
        <v>14.748649686873303</v>
      </c>
      <c r="F9" s="52">
        <f>MAX(0,F8)*Assumptions!$E$14</f>
        <v>19.333270488311257</v>
      </c>
      <c r="G9" s="52">
        <f>MAX(0,G8)*Assumptions!$E$14</f>
        <v>24.545872146183196</v>
      </c>
      <c r="H9" s="52">
        <f>MAX(0,H8)*Assumptions!$E$14</f>
        <v>30.172724218691986</v>
      </c>
      <c r="I9" s="52">
        <f>MAX(0,I8)*Assumptions!$E$14</f>
        <v>35.89251546627726</v>
      </c>
      <c r="J9" s="52">
        <f>MAX(0,J8)*Assumptions!$E$14</f>
        <v>41.29420492350561</v>
      </c>
      <c r="K9" s="52">
        <f>MAX(0,K8)*Assumptions!$E$14</f>
        <v>45.91636888580003</v>
      </c>
      <c r="L9" s="52">
        <f>MAX(0,L8)*Assumptions!$E$14</f>
        <v>49.30519942165947</v>
      </c>
    </row>
    <row r="10">
      <c r="A10" s="14" t="inlineStr">
        <is>
          <t>NOPAT</t>
        </is>
      </c>
      <c r="C10" s="52">
        <f>C8-C9</f>
        <v>38.10276632207585</v>
      </c>
      <c r="D10" s="52">
        <f>D8-D9</f>
        <v>53.21648092218164</v>
      </c>
      <c r="E10" s="52">
        <f>E8-E9</f>
        <v>72.0081131770873</v>
      </c>
      <c r="F10" s="52">
        <f>F8-F9</f>
        <v>94.39185003116671</v>
      </c>
      <c r="G10" s="52">
        <f>G8-G9</f>
        <v>119.84161106665911</v>
      </c>
      <c r="H10" s="52">
        <f>H8-H9</f>
        <v>147.31388883243733</v>
      </c>
      <c r="I10" s="52">
        <f>I8-I9</f>
        <v>175.23992845300074</v>
      </c>
      <c r="J10" s="52">
        <f>J8-J9</f>
        <v>201.6128828618215</v>
      </c>
      <c r="K10" s="52">
        <f>K8-K9</f>
        <v>224.17991867772955</v>
      </c>
      <c r="L10" s="52">
        <f>L8-L9</f>
        <v>240.7253854116315</v>
      </c>
    </row>
    <row r="11">
      <c r="A11" s="14" t="inlineStr">
        <is>
          <t>Reinvestment</t>
        </is>
      </c>
      <c r="C11" s="52">
        <f>(C7-B7)*Assumptions!$E$15</f>
        <v>24.142877624999997</v>
      </c>
      <c r="D11" s="52">
        <f>(D7-C7)*Assumptions!$E$15</f>
        <v>28.831294426613894</v>
      </c>
      <c r="E11" s="52">
        <f>(E7-D7)*Assumptions!$E$15</f>
        <v>33.111221022303795</v>
      </c>
      <c r="F11" s="52">
        <f>(F7-E7)*Assumptions!$E$15</f>
        <v>36.41107815438892</v>
      </c>
      <c r="G11" s="52">
        <f>(G7-F7)*Assumptions!$E$15</f>
        <v>38.1033968772293</v>
      </c>
      <c r="H11" s="52">
        <f>(H7-G7)*Assumptions!$E$15</f>
        <v>37.59295952085324</v>
      </c>
      <c r="I11" s="52">
        <f>(I7-H7)*Assumptions!$E$15</f>
        <v>34.427529389297206</v>
      </c>
      <c r="J11" s="52">
        <f>(J7-I7)*Assumptions!$E$15</f>
        <v>28.41229875008071</v>
      </c>
      <c r="K11" s="52">
        <f>(K7-J7)*Assumptions!$E$15</f>
        <v>19.701929396782873</v>
      </c>
      <c r="L11" s="52">
        <f>(L7-K7)*Assumptions!$E$15</f>
        <v>8.842395879063702</v>
      </c>
    </row>
    <row r="12">
      <c r="A12" s="20" t="inlineStr">
        <is>
          <t>Free cash flow</t>
        </is>
      </c>
      <c r="C12" s="64">
        <f>C10-C11</f>
        <v>13.959888697075854</v>
      </c>
      <c r="D12" s="64">
        <f>D10-D11</f>
        <v>24.385186495567744</v>
      </c>
      <c r="E12" s="64">
        <f>E10-E11</f>
        <v>38.8968921547835</v>
      </c>
      <c r="F12" s="64">
        <f>F10-F11</f>
        <v>57.980771876777794</v>
      </c>
      <c r="G12" s="64">
        <f>G10-G11</f>
        <v>81.73821418942981</v>
      </c>
      <c r="H12" s="64">
        <f>H10-H11</f>
        <v>109.72092931158409</v>
      </c>
      <c r="I12" s="64">
        <f>I10-I11</f>
        <v>140.81239906370354</v>
      </c>
      <c r="J12" s="64">
        <f>J10-J11</f>
        <v>173.2005841117408</v>
      </c>
      <c r="K12" s="64">
        <f>K10-K11</f>
        <v>204.47798928094667</v>
      </c>
      <c r="L12" s="64">
        <f>L10-L11</f>
        <v>231.8829895325678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6.854487618479432</v>
      </c>
      <c r="D16" s="64">
        <f>D12*D13*D15</f>
        <v>21.959238639509007</v>
      </c>
      <c r="E16" s="64">
        <f>E12*E13*E15</f>
        <v>31.556085273748387</v>
      </c>
      <c r="F16" s="64">
        <f>F12*F13*F15</f>
        <v>42.37690473463247</v>
      </c>
      <c r="G16" s="64">
        <f>G12*G13*G15</f>
        <v>53.82046004396067</v>
      </c>
      <c r="H16" s="64">
        <f>H12*H13*H15</f>
        <v>65.0861764400881</v>
      </c>
      <c r="I16" s="64">
        <f>I12*I13*I15</f>
        <v>75.25185341086977</v>
      </c>
      <c r="J16" s="64">
        <f>J12*J13*J15</f>
        <v>83.3878308175575</v>
      </c>
      <c r="K16" s="64">
        <f>K12*K13*K15</f>
        <v>88.69046081377108</v>
      </c>
      <c r="L16" s="64">
        <f>L12*L13*L15</f>
        <v>90.61002652682963</v>
      </c>
    </row>
    <row r="19">
      <c r="A19" s="14" t="inlineStr">
        <is>
          <t>PV of forecast free cash flow</t>
        </is>
      </c>
      <c r="B19" s="52">
        <f>SUM(C16:L16)</f>
        <v>559.593524319446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237.68006427088193</v>
      </c>
    </row>
    <row r="21">
      <c r="A21" s="14" t="inlineStr">
        <is>
          <t>Terminal value</t>
        </is>
      </c>
      <c r="B21" s="52">
        <f>B20/(Assumptions!$E$10-Assumptions!$E$11)</f>
        <v>2796.23605024567</v>
      </c>
    </row>
    <row r="22">
      <c r="A22" s="14" t="inlineStr">
        <is>
          <t>PV of terminal value</t>
        </is>
      </c>
      <c r="B22" s="52">
        <f>B21/(1+Assumptions!$E$10)^(L14+0.5)</f>
        <v>1037.097787677865</v>
      </c>
    </row>
    <row r="23">
      <c r="A23" s="20" t="inlineStr">
        <is>
          <t>Enterprise value</t>
        </is>
      </c>
      <c r="B23" s="66">
        <f>B19+B22</f>
        <v>1596.691311997311</v>
      </c>
    </row>
    <row r="24">
      <c r="A24" s="14" t="inlineStr">
        <is>
          <t>Cash &amp; investments</t>
        </is>
      </c>
      <c r="B24" s="55">
        <f>Main!C7</f>
        <v>121.747</v>
      </c>
    </row>
    <row r="25">
      <c r="A25" s="14" t="inlineStr">
        <is>
          <t>Debt</t>
        </is>
      </c>
      <c r="B25" s="55">
        <f>Main!C8</f>
        <v>252.58999999999997</v>
      </c>
    </row>
    <row r="26">
      <c r="A26" s="20" t="inlineStr">
        <is>
          <t>Equity value</t>
        </is>
      </c>
      <c r="B26" s="66">
        <f>B23+B24-B25</f>
        <v>1465.8483119973112</v>
      </c>
    </row>
    <row r="27">
      <c r="A27" s="14" t="inlineStr">
        <is>
          <t>Shares (mm)</t>
        </is>
      </c>
      <c r="B27" s="55">
        <f>Main!C4</f>
        <v>182.320306</v>
      </c>
    </row>
    <row r="28">
      <c r="A28" s="20" t="inlineStr">
        <is>
          <t>NPV / share</t>
        </is>
      </c>
      <c r="B28" s="49">
        <f>B26/B27</f>
        <v>8.03996188991319</v>
      </c>
    </row>
    <row r="29">
      <c r="A29" s="14" t="inlineStr">
        <is>
          <t>Price</t>
        </is>
      </c>
      <c r="B29" s="50">
        <f>Main!C3</f>
        <v>11.13</v>
      </c>
    </row>
    <row r="30">
      <c r="A30" s="14" t="inlineStr">
        <is>
          <t>Upside</t>
        </is>
      </c>
      <c r="B30" s="63">
        <f>B28/B29-1</f>
        <v>-0.2776314564318787</v>
      </c>
    </row>
    <row r="31">
      <c r="A31" s="14" t="inlineStr">
        <is>
          <t>Terminal value, % of EV</t>
        </is>
      </c>
      <c r="B31" s="63">
        <f>IFERROR(B22/B23,0)</f>
        <v>0.6495292984218427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2026-10-21T01:04:28Z</dcterms:modified>
  <cp:lastModifiedBy>Wang, Eric</cp:lastModifiedBy>
</cp:coreProperties>
</file>