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Vir Biotechnology, Inc.</t>
        </is>
      </c>
      <c r="C2" s="10" t="n"/>
    </row>
    <row r="3">
      <c r="B3" t="inlineStr">
        <is>
          <t>Price</t>
        </is>
      </c>
      <c r="C3" s="11">
        <f>INDEX([1]Pharma!$F$1:$F$1000,MATCH("VIR",[1]Pharma!$B$1:$B$1000,0))</f>
        <v>10.74</v>
      </c>
      <c r="F3" s="1" t="n"/>
    </row>
    <row r="4">
      <c r="B4" t="inlineStr">
        <is>
          <t>Shares</t>
        </is>
      </c>
      <c r="C4" s="21" t="n">
        <v>169.215958</v>
      </c>
      <c r="F4" s="1" t="n"/>
    </row>
    <row r="5">
      <c r="B5" t="inlineStr">
        <is>
          <t>Market Cap.</t>
        </is>
      </c>
      <c r="C5" s="13">
        <f>C3*C4</f>
        <v>1817.37938892</v>
      </c>
      <c r="F5" s="1" t="n"/>
    </row>
    <row r="6"/>
    <row r="7">
      <c r="B7" t="inlineStr">
        <is>
          <t>Cash</t>
        </is>
      </c>
      <c r="C7" s="21">
        <f>278.729+249.864</f>
        <v>528.593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1288.7863889200003</v>
      </c>
    </row>
    <row r="10"/>
    <row r="11">
      <c r="B11" s="14" t="inlineStr">
        <is>
          <t>Net Cash / Share</t>
        </is>
      </c>
      <c r="C11" s="11">
        <f>(C7-C8)/C4</f>
        <v>3.123777486754529</v>
      </c>
    </row>
    <row r="12">
      <c r="B12" s="14" t="inlineStr">
        <is>
          <t>Upside</t>
        </is>
      </c>
      <c r="C12" s="15">
        <f>IFERROR(C11/C3-1,"")</f>
        <v>-0.7091454854046062</v>
      </c>
    </row>
    <row r="13">
      <c r="B13" s="14" t="inlineStr">
        <is>
          <t>Cash / Share</t>
        </is>
      </c>
      <c r="C13" s="11">
        <f>IFERROR((C7-C8)/C4,"")</f>
        <v>3.123777486754529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-202.506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2.6102584614776845</v>
      </c>
    </row>
    <row r="19">
      <c r="B19" s="14" t="inlineStr">
        <is>
          <t>Implied Pipeline Value</t>
        </is>
      </c>
      <c r="C19" s="13">
        <f>C9</f>
        <v>1288.7863889200003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2.708</v>
      </c>
      <c r="C2" s="23" t="n">
        <v>10.668</v>
      </c>
      <c r="D2" s="23" t="n">
        <v>8.090999999999999</v>
      </c>
      <c r="E2" s="23" t="n">
        <v>76.36799999999999</v>
      </c>
      <c r="F2" s="23" t="n">
        <v>1095.415</v>
      </c>
      <c r="G2" s="23" t="n">
        <v>1615.797</v>
      </c>
      <c r="H2" s="23" t="n">
        <v>86.18000000000001</v>
      </c>
      <c r="I2" s="23" t="n">
        <v>74.205</v>
      </c>
      <c r="J2" s="23" t="n">
        <v>68.556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65.86499999999999</v>
      </c>
      <c r="G3" s="23" t="n">
        <v>146.319</v>
      </c>
      <c r="H3" s="23" t="n">
        <v>2.765</v>
      </c>
      <c r="I3" s="23" t="n">
        <v>0.845</v>
      </c>
      <c r="J3" s="23" t="n">
        <v>0.026</v>
      </c>
      <c r="K3" s="1" t="n"/>
    </row>
    <row r="4" customFormat="1" s="1">
      <c r="A4" s="5" t="inlineStr">
        <is>
          <t>Gross Margin</t>
        </is>
      </c>
      <c r="B4" s="23">
        <f>B2-B3</f>
        <v>2.708</v>
      </c>
      <c r="C4" s="23">
        <f>C2-C3</f>
        <v>10.668</v>
      </c>
      <c r="D4" s="23">
        <f>D2-D3</f>
        <v>8.091</v>
      </c>
      <c r="E4" s="23">
        <f>E2-E3</f>
        <v>76.368</v>
      </c>
      <c r="F4" s="23">
        <f>F2-F3</f>
        <v>1029.55</v>
      </c>
      <c r="G4" s="23">
        <f>G2-G3</f>
        <v>1469.478</v>
      </c>
      <c r="H4" s="23">
        <f>H2-H3</f>
        <v>83.415</v>
      </c>
      <c r="I4" s="23">
        <f>I2-I3</f>
        <v>73.36</v>
      </c>
      <c r="J4" s="23">
        <f>J2-J3</f>
        <v>68.53</v>
      </c>
      <c r="K4" s="1" t="n"/>
    </row>
    <row r="5">
      <c r="A5" s="2" t="inlineStr">
        <is>
          <t>Research &amp; Dev.</t>
        </is>
      </c>
      <c r="B5" s="23" t="n">
        <v>62.512</v>
      </c>
      <c r="C5" s="23" t="n">
        <v>100.229</v>
      </c>
      <c r="D5" s="23" t="n">
        <v>148.472</v>
      </c>
      <c r="E5" s="23" t="n">
        <v>302.411</v>
      </c>
      <c r="F5" s="23" t="n">
        <v>448.006</v>
      </c>
      <c r="G5" s="23" t="n">
        <v>474.648</v>
      </c>
      <c r="H5" s="23" t="n">
        <v>579.72</v>
      </c>
      <c r="I5" s="23" t="n">
        <v>506.499</v>
      </c>
      <c r="J5" s="23" t="n">
        <v>455.966</v>
      </c>
      <c r="K5" s="1" t="n"/>
    </row>
    <row r="6">
      <c r="A6" s="19" t="inlineStr">
        <is>
          <t>SG&amp;A &amp; Other</t>
        </is>
      </c>
      <c r="B6" s="23" t="n">
        <v>21.693</v>
      </c>
      <c r="C6" s="23" t="n">
        <v>29.131</v>
      </c>
      <c r="D6" s="23" t="n">
        <v>37.598</v>
      </c>
      <c r="E6" s="23" t="n">
        <v>70.937</v>
      </c>
      <c r="F6" s="23" t="n">
        <v>160.793</v>
      </c>
      <c r="G6" s="23" t="n">
        <v>161.762</v>
      </c>
      <c r="H6" s="23" t="n">
        <v>188</v>
      </c>
      <c r="I6" s="23" t="n">
        <v>154.026</v>
      </c>
      <c r="J6" s="23" t="n">
        <v>91.892</v>
      </c>
      <c r="K6" s="1" t="n"/>
    </row>
    <row r="7">
      <c r="A7" s="2" t="inlineStr">
        <is>
          <t>Operating Expense</t>
        </is>
      </c>
      <c r="B7" s="23">
        <f>SUM(B5:B6)</f>
        <v>84.205</v>
      </c>
      <c r="C7" s="23">
        <f>SUM(C5:C6)</f>
        <v>129.36</v>
      </c>
      <c r="D7" s="23">
        <f>SUM(D5:D6)</f>
        <v>186.07</v>
      </c>
      <c r="E7" s="23">
        <f>SUM(E5:E6)</f>
        <v>373.348</v>
      </c>
      <c r="F7" s="23">
        <f>SUM(F5:F6)</f>
        <v>608.799</v>
      </c>
      <c r="G7" s="23">
        <f>SUM(G5:G6)</f>
        <v>636.4100000000001</v>
      </c>
      <c r="H7" s="23">
        <f>SUM(H5:H6)</f>
        <v>767.72</v>
      </c>
      <c r="I7" s="23">
        <f>SUM(I5:I6)</f>
        <v>660.5250000000001</v>
      </c>
      <c r="J7" s="23">
        <f>SUM(J5:J6)</f>
        <v>547.858</v>
      </c>
      <c r="K7" s="1" t="n"/>
    </row>
    <row r="8">
      <c r="A8" s="2" t="inlineStr">
        <is>
          <t>Operating Income</t>
        </is>
      </c>
      <c r="B8" s="23">
        <f>B4-B7</f>
        <v>-81.497</v>
      </c>
      <c r="C8" s="23">
        <f>C4-C7</f>
        <v>-118.69200000000001</v>
      </c>
      <c r="D8" s="23">
        <f>D4-D7</f>
        <v>-177.97899999999998</v>
      </c>
      <c r="E8" s="23">
        <f>E4-E7</f>
        <v>-296.98</v>
      </c>
      <c r="F8" s="23">
        <f>F4-F7</f>
        <v>420.751</v>
      </c>
      <c r="G8" s="23">
        <f>G4-G7</f>
        <v>833.068</v>
      </c>
      <c r="H8" s="23">
        <f>H4-H7</f>
        <v>-684.3050000000001</v>
      </c>
      <c r="I8" s="23">
        <f>I4-I7</f>
        <v>-587.1650000000001</v>
      </c>
      <c r="J8" s="23">
        <f>J4-J7</f>
        <v>-479.328</v>
      </c>
      <c r="K8" s="1" t="n"/>
    </row>
    <row r="9">
      <c r="A9" s="19" t="inlineStr">
        <is>
          <t>Interest &amp; Other</t>
        </is>
      </c>
      <c r="B9" s="23" t="n">
        <v>0.721</v>
      </c>
      <c r="C9" s="23" t="n">
        <v>2.328</v>
      </c>
      <c r="D9" s="23" t="n">
        <v>3.45</v>
      </c>
      <c r="E9" s="23" t="n">
        <v>-1.631</v>
      </c>
      <c r="F9" s="23" t="n">
        <v>129.051</v>
      </c>
      <c r="G9" s="23" t="n">
        <v>-78.788</v>
      </c>
      <c r="H9" s="23" t="n">
        <v>56.111</v>
      </c>
      <c r="I9" s="23" t="n">
        <v>64.06</v>
      </c>
      <c r="J9" s="23" t="n">
        <v>41.558</v>
      </c>
    </row>
    <row r="10">
      <c r="A10" s="2" t="inlineStr">
        <is>
          <t>Pretax</t>
        </is>
      </c>
      <c r="B10" s="23">
        <f>B8+B9</f>
        <v>-80.776</v>
      </c>
      <c r="C10" s="23">
        <f>C8+C9</f>
        <v>-116.364</v>
      </c>
      <c r="D10" s="23">
        <f>D8+D9</f>
        <v>-174.529</v>
      </c>
      <c r="E10" s="23">
        <f>E8+E9</f>
        <v>-298.611</v>
      </c>
      <c r="F10" s="23">
        <f>F8+F9</f>
        <v>549.8019999999999</v>
      </c>
      <c r="G10" s="23">
        <f>G8+G9</f>
        <v>754.28</v>
      </c>
      <c r="H10" s="23">
        <f>H8+H9</f>
        <v>-628.1940000000001</v>
      </c>
      <c r="I10" s="23">
        <f>I8+I9</f>
        <v>-523.105</v>
      </c>
      <c r="J10" s="23">
        <f>J8+J9</f>
        <v>-437.77</v>
      </c>
      <c r="K10" s="1" t="n"/>
    </row>
    <row r="11">
      <c r="A11" s="2" t="inlineStr">
        <is>
          <t>Taxes</t>
        </is>
      </c>
      <c r="B11" s="23" t="n">
        <v>-10.924</v>
      </c>
      <c r="C11" s="23" t="n">
        <v>-0.48</v>
      </c>
      <c r="D11" s="23" t="n">
        <v>0.154</v>
      </c>
      <c r="E11" s="23" t="n">
        <v>0.054</v>
      </c>
      <c r="F11" s="23" t="n">
        <v>21.218</v>
      </c>
      <c r="G11" s="23" t="n">
        <v>238.443</v>
      </c>
      <c r="H11" s="23" t="n">
        <v>-13.077</v>
      </c>
      <c r="I11" s="23" t="n">
        <v>-1.145</v>
      </c>
      <c r="J11" s="23" t="n">
        <v>0.217</v>
      </c>
    </row>
    <row r="12">
      <c r="A12" s="2" t="inlineStr">
        <is>
          <t>Net Income</t>
        </is>
      </c>
      <c r="B12" s="23" t="n">
        <v>-69.852</v>
      </c>
      <c r="C12" s="23" t="n">
        <v>-115.884</v>
      </c>
      <c r="D12" s="23" t="n">
        <v>-174.683</v>
      </c>
      <c r="E12" s="23" t="n">
        <v>-298.665</v>
      </c>
      <c r="F12" s="23" t="n">
        <v>528.5839999999999</v>
      </c>
      <c r="G12" s="23" t="n">
        <v>515.837</v>
      </c>
      <c r="H12" s="23" t="n">
        <v>-615.117</v>
      </c>
      <c r="I12" s="23" t="n">
        <v>-521.96</v>
      </c>
      <c r="J12" s="23" t="n">
        <v>-437.987</v>
      </c>
      <c r="K12" s="1" t="n"/>
    </row>
    <row r="13">
      <c r="A13" s="2" t="inlineStr">
        <is>
          <t>Earnings per Share</t>
        </is>
      </c>
      <c r="B13" s="11">
        <f>IFERROR(B12/B14,0)</f>
        <v>-2.028458589847834</v>
      </c>
      <c r="C13" s="11">
        <f>IFERROR(C12/C14,0)</f>
        <v>-0.9447347610934023</v>
      </c>
      <c r="D13" s="11">
        <f>IFERROR(D12/D14,0)</f>
        <v>-1.4389044481054365</v>
      </c>
      <c r="E13" s="11">
        <f>IFERROR(E12/E14,0)</f>
        <v>-2.5064409738248896</v>
      </c>
      <c r="F13" s="11">
        <f>IFERROR(F12/F14,0)</f>
        <v>3.961300089180661</v>
      </c>
      <c r="G13" s="11">
        <f>IFERROR(G12/G14,0)</f>
        <v>3.826371735244156</v>
      </c>
      <c r="H13" s="11">
        <f>IFERROR(H12/H14,0)</f>
        <v>-4.585942101378503</v>
      </c>
      <c r="I13" s="11">
        <f>IFERROR(I12/I14,0)</f>
        <v>-3.8309834344976403</v>
      </c>
      <c r="J13" s="11">
        <f>IFERROR(J12/J14,0)</f>
        <v>-3.1619044181345655</v>
      </c>
    </row>
    <row r="14">
      <c r="A14" s="2" t="inlineStr">
        <is>
          <t>Shares</t>
        </is>
      </c>
      <c r="B14" s="23" t="n">
        <v>34.436</v>
      </c>
      <c r="C14" s="23" t="n">
        <v>122.663</v>
      </c>
      <c r="D14" s="23" t="n">
        <v>121.4</v>
      </c>
      <c r="E14" s="23" t="n">
        <v>119.159</v>
      </c>
      <c r="F14" s="23" t="n">
        <v>133.437</v>
      </c>
      <c r="G14" s="23" t="n">
        <v>134.811</v>
      </c>
      <c r="H14" s="23" t="n">
        <v>134.131</v>
      </c>
      <c r="I14" s="23" t="n">
        <v>136.247</v>
      </c>
      <c r="J14" s="23" t="n">
        <v>138.52</v>
      </c>
    </row>
    <row r="15"/>
    <row r="16" customFormat="1" s="4">
      <c r="A16" s="3" t="inlineStr">
        <is>
          <t>Revenue Change</t>
        </is>
      </c>
      <c r="C16" s="15">
        <f>IFERROR(C2/B2-1,"")</f>
        <v>2.93943870014771</v>
      </c>
      <c r="D16" s="15">
        <f>IFERROR(D2/C2-1,"")</f>
        <v>-0.24156355455568057</v>
      </c>
      <c r="E16" s="15">
        <f>IFERROR(E2/D2-1,"")</f>
        <v>8.438635520949203</v>
      </c>
      <c r="F16" s="15">
        <f>IFERROR(F2/E2-1,"")</f>
        <v>13.343900586633145</v>
      </c>
      <c r="G16" s="15">
        <f>IFERROR(G2/F2-1,"")</f>
        <v>0.4750546596495393</v>
      </c>
      <c r="H16" s="15">
        <f>IFERROR(H2/G2-1,"")</f>
        <v>-0.9466640920858251</v>
      </c>
      <c r="I16" s="15">
        <f>IFERROR(I2/H2-1,"")</f>
        <v>-0.13895335344627535</v>
      </c>
      <c r="J16" s="15">
        <f>IFERROR(J2/I2-1,"")</f>
        <v>-0.07612694562361033</v>
      </c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0.9398721032667984</v>
      </c>
      <c r="G17" s="15">
        <f>IFERROR(G4/G2,"")</f>
        <v>0.9094446889058465</v>
      </c>
      <c r="H17" s="15">
        <f>IFERROR(H4/H2,"")</f>
        <v>0.9679159897888141</v>
      </c>
      <c r="I17" s="15">
        <f>IFERROR(I4/I2,"")</f>
        <v>0.9886126271814568</v>
      </c>
      <c r="J17" s="15">
        <f>IFERROR(J4/J2,"")</f>
        <v>0.9996207480016338</v>
      </c>
      <c r="K17" s="4" t="n"/>
    </row>
    <row r="18">
      <c r="A18" s="14" t="inlineStr">
        <is>
          <t>Operating Margin</t>
        </is>
      </c>
      <c r="B18" s="15">
        <f>IFERROR(B8/B2,"")</f>
        <v>-30.09490398818316</v>
      </c>
      <c r="C18" s="15">
        <f>IFERROR(C8/C2,"")</f>
        <v>-11.125984251968505</v>
      </c>
      <c r="D18" s="15">
        <f>IFERROR(D8/D2,"")</f>
        <v>-21.99715733531084</v>
      </c>
      <c r="E18" s="15">
        <f>IFERROR(E8/E2,"")</f>
        <v>-3.888801592289965</v>
      </c>
      <c r="F18" s="15">
        <f>IFERROR(F8/F2,"")</f>
        <v>0.38410191571230995</v>
      </c>
      <c r="G18" s="15">
        <f>IFERROR(G8/G2,"")</f>
        <v>0.5155771424256883</v>
      </c>
      <c r="H18" s="15">
        <f>IFERROR(H8/H2,"")</f>
        <v>-7.940415409607798</v>
      </c>
      <c r="I18" s="15">
        <f>IFERROR(I8/I2,"")</f>
        <v>-7.912741728994004</v>
      </c>
      <c r="J18" s="15">
        <f>IFERROR(J8/J2,"")</f>
        <v>-6.991773148958516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2026-10-21T06:22:52Z</dcterms:modified>
  <cp:lastModifiedBy>Wang, Eric</cp:lastModifiedBy>
</cp:coreProperties>
</file>