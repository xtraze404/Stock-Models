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XBiotech Inc</t>
        </is>
      </c>
      <c r="C2" s="10" t="n"/>
    </row>
    <row r="3">
      <c r="B3" t="inlineStr">
        <is>
          <t>Price</t>
        </is>
      </c>
      <c r="C3" s="11">
        <f>INDEX([1]Pharma!$F$1:$F$1000,MATCH("XBIT",[1]Pharma!$B$1:$B$1000,0))</f>
        <v>2.02</v>
      </c>
      <c r="F3" s="1" t="n"/>
    </row>
    <row r="4">
      <c r="B4" t="inlineStr">
        <is>
          <t>Shares</t>
        </is>
      </c>
      <c r="C4" s="21" t="n">
        <v>30.487731</v>
      </c>
      <c r="F4" s="1" t="n"/>
    </row>
    <row r="5">
      <c r="B5" t="inlineStr">
        <is>
          <t>Market Cap.</t>
        </is>
      </c>
      <c r="C5" s="13">
        <f>C3*C4</f>
        <v>61.585216620000004</v>
      </c>
      <c r="F5" s="1" t="n"/>
    </row>
    <row r="6"/>
    <row r="7">
      <c r="B7" t="inlineStr">
        <is>
          <t>Cash</t>
        </is>
      </c>
      <c r="C7" s="21" t="n">
        <v>109.528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-47.94278338</v>
      </c>
    </row>
    <row r="10"/>
    <row r="11">
      <c r="B11" s="14" t="inlineStr">
        <is>
          <t>rNPV / Share</t>
        </is>
      </c>
      <c r="C11" s="11">
        <f>NPV!B27</f>
        <v>11.412156419413058</v>
      </c>
    </row>
    <row r="12">
      <c r="B12" s="14" t="inlineStr">
        <is>
          <t>Upside</t>
        </is>
      </c>
      <c r="C12" s="15">
        <f>IFERROR(C11/C3-1,"")</f>
        <v>4.649582385848048</v>
      </c>
    </row>
    <row r="13">
      <c r="B13" s="14" t="inlineStr">
        <is>
          <t>Cash / Share</t>
        </is>
      </c>
      <c r="C13" s="11">
        <f>IFERROR((C7-C8)/C4,"")</f>
        <v>3.592527105411682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-40.695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2.69143629438506</v>
      </c>
    </row>
    <row r="19">
      <c r="B19" s="14" t="inlineStr">
        <is>
          <t>Implied Pipeline Value</t>
        </is>
      </c>
      <c r="C19" s="13">
        <f>C9</f>
        <v>-47.94278338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43.997</v>
      </c>
      <c r="J2" s="23" t="n">
        <v>18.394</v>
      </c>
      <c r="K2" s="23" t="n">
        <v>4.01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34.548</v>
      </c>
      <c r="J3" s="23" t="n">
        <v>5.82</v>
      </c>
      <c r="K3" s="23" t="n">
        <v>0.651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9.448999999999998</v>
      </c>
      <c r="J4" s="23">
        <f>J2-J3</f>
        <v>12.573999999999998</v>
      </c>
      <c r="K4" s="23">
        <f>K2-K3</f>
        <v>3.359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7.935</v>
      </c>
      <c r="C5" s="23" t="n">
        <v>14.329</v>
      </c>
      <c r="D5" s="23" t="n">
        <v>31.31</v>
      </c>
      <c r="E5" s="23" t="n">
        <v>42.486</v>
      </c>
      <c r="F5" s="23" t="n">
        <v>26.424</v>
      </c>
      <c r="G5" s="23" t="n">
        <v>15.725</v>
      </c>
      <c r="H5" s="23" t="n">
        <v>24.09</v>
      </c>
      <c r="I5" s="23" t="n">
        <v>9.526999999999999</v>
      </c>
      <c r="J5" s="23" t="n">
        <v>28.268</v>
      </c>
      <c r="K5" s="23" t="n">
        <v>31.544</v>
      </c>
      <c r="L5" s="23" t="n">
        <v>32.848</v>
      </c>
      <c r="M5" s="23" t="n">
        <v>37.757</v>
      </c>
      <c r="N5" s="23" t="n">
        <v>47.39</v>
      </c>
    </row>
    <row r="6">
      <c r="A6" s="19" t="inlineStr">
        <is>
          <t>SG&amp;A &amp; Other</t>
        </is>
      </c>
      <c r="B6" s="23" t="n">
        <v>1.99</v>
      </c>
      <c r="C6" s="23" t="n">
        <v>7.449</v>
      </c>
      <c r="D6" s="23" t="n">
        <v>6.2</v>
      </c>
      <c r="E6" s="23" t="n">
        <v>10.277</v>
      </c>
      <c r="F6" s="23" t="n">
        <v>7.635</v>
      </c>
      <c r="G6" s="23" t="n">
        <v>5.269</v>
      </c>
      <c r="H6" s="23" t="n">
        <v>7.143</v>
      </c>
      <c r="I6" s="23" t="n">
        <v>18.198</v>
      </c>
      <c r="J6" s="23" t="n">
        <v>9.388</v>
      </c>
      <c r="K6" s="23" t="n">
        <v>6.305</v>
      </c>
      <c r="L6" s="23" t="n">
        <v>4.662</v>
      </c>
      <c r="M6" s="23" t="n">
        <v>4.714</v>
      </c>
      <c r="N6" s="23" t="n">
        <v>8.295</v>
      </c>
    </row>
    <row r="7">
      <c r="A7" s="2" t="inlineStr">
        <is>
          <t>Operating Expense</t>
        </is>
      </c>
      <c r="B7" s="23">
        <f>SUM(B5:B6)</f>
        <v>9.924999999999999</v>
      </c>
      <c r="C7" s="23">
        <f>SUM(C5:C6)</f>
        <v>21.778</v>
      </c>
      <c r="D7" s="23">
        <f>SUM(D5:D6)</f>
        <v>37.51</v>
      </c>
      <c r="E7" s="23">
        <f>SUM(E5:E6)</f>
        <v>52.763</v>
      </c>
      <c r="F7" s="23">
        <f>SUM(F5:F6)</f>
        <v>34.059</v>
      </c>
      <c r="G7" s="23">
        <f>SUM(G5:G6)</f>
        <v>20.994</v>
      </c>
      <c r="H7" s="23">
        <f>SUM(H5:H6)</f>
        <v>31.233</v>
      </c>
      <c r="I7" s="23">
        <f>SUM(I5:I6)</f>
        <v>27.725</v>
      </c>
      <c r="J7" s="23">
        <f>SUM(J5:J6)</f>
        <v>37.656</v>
      </c>
      <c r="K7" s="23">
        <f>SUM(K5:K6)</f>
        <v>37.849000000000004</v>
      </c>
      <c r="L7" s="23">
        <f>SUM(L5:L6)</f>
        <v>37.51</v>
      </c>
      <c r="M7" s="23">
        <f>SUM(M5:M6)</f>
        <v>42.471</v>
      </c>
      <c r="N7" s="23">
        <f>SUM(N5:N6)</f>
        <v>55.685</v>
      </c>
    </row>
    <row r="8">
      <c r="A8" s="2" t="inlineStr">
        <is>
          <t>Operating Income</t>
        </is>
      </c>
      <c r="B8" s="23">
        <f>B4-B7</f>
        <v>-9.924999999999999</v>
      </c>
      <c r="C8" s="23">
        <f>C4-C7</f>
        <v>-21.778</v>
      </c>
      <c r="D8" s="23">
        <f>D4-D7</f>
        <v>-37.51</v>
      </c>
      <c r="E8" s="23">
        <f>E4-E7</f>
        <v>-52.763</v>
      </c>
      <c r="F8" s="23">
        <f>F4-F7</f>
        <v>-34.059</v>
      </c>
      <c r="G8" s="23">
        <f>G4-G7</f>
        <v>-20.994</v>
      </c>
      <c r="H8" s="23">
        <f>H4-H7</f>
        <v>-31.233</v>
      </c>
      <c r="I8" s="23">
        <f>I4-I7</f>
        <v>-18.276000000000003</v>
      </c>
      <c r="J8" s="23">
        <f>J4-J7</f>
        <v>-25.082</v>
      </c>
      <c r="K8" s="23">
        <f>K4-K7</f>
        <v>-34.49</v>
      </c>
      <c r="L8" s="23">
        <f>L4-L7</f>
        <v>-37.51</v>
      </c>
      <c r="M8" s="23">
        <f>M4-M7</f>
        <v>-42.471</v>
      </c>
      <c r="N8" s="23">
        <f>N4-N7</f>
        <v>-55.685</v>
      </c>
    </row>
    <row r="9">
      <c r="A9" s="19" t="inlineStr">
        <is>
          <t>Interest &amp; Other</t>
        </is>
      </c>
      <c r="B9" s="23" t="n">
        <v>-0.002</v>
      </c>
      <c r="C9" s="23" t="n">
        <v>0.054</v>
      </c>
      <c r="D9" s="23" t="n">
        <v>0.027</v>
      </c>
      <c r="E9" s="23" t="n">
        <v>0.002</v>
      </c>
      <c r="F9" s="23" t="n">
        <v>0.909</v>
      </c>
      <c r="G9" s="23" t="n">
        <v>-0.144</v>
      </c>
      <c r="H9" s="23" t="n">
        <v>749.686</v>
      </c>
      <c r="I9" s="23" t="n">
        <v>5.449</v>
      </c>
      <c r="J9" s="23" t="n">
        <v>-0.376</v>
      </c>
      <c r="K9" s="23" t="n">
        <v>0.902</v>
      </c>
      <c r="L9" s="23" t="n">
        <v>13.194</v>
      </c>
      <c r="M9" s="23" t="n">
        <v>3.909</v>
      </c>
      <c r="N9" s="23" t="n">
        <v>10.38</v>
      </c>
    </row>
    <row r="10">
      <c r="A10" s="2" t="inlineStr">
        <is>
          <t>Pretax</t>
        </is>
      </c>
      <c r="B10" s="23">
        <f>B8+B9</f>
        <v>-9.927</v>
      </c>
      <c r="C10" s="23">
        <f>C8+C9</f>
        <v>-21.724</v>
      </c>
      <c r="D10" s="23">
        <f>D8+D9</f>
        <v>-37.483</v>
      </c>
      <c r="E10" s="23">
        <f>E8+E9</f>
        <v>-52.760999999999996</v>
      </c>
      <c r="F10" s="23">
        <f>F8+F9</f>
        <v>-33.15</v>
      </c>
      <c r="G10" s="23">
        <f>G8+G9</f>
        <v>-21.137999999999998</v>
      </c>
      <c r="H10" s="23">
        <f>H8+H9</f>
        <v>718.4530000000001</v>
      </c>
      <c r="I10" s="23">
        <f>I8+I9</f>
        <v>-12.827000000000004</v>
      </c>
      <c r="J10" s="23">
        <f>J8+J9</f>
        <v>-25.458000000000002</v>
      </c>
      <c r="K10" s="23">
        <f>K8+K9</f>
        <v>-33.588</v>
      </c>
      <c r="L10" s="23">
        <f>L8+L9</f>
        <v>-24.315999999999995</v>
      </c>
      <c r="M10" s="23">
        <f>M8+M9</f>
        <v>-38.562</v>
      </c>
      <c r="N10" s="23">
        <f>N8+N9</f>
        <v>-45.305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49.824</v>
      </c>
      <c r="I11" s="23" t="n">
        <v>-1.606</v>
      </c>
      <c r="J11" s="23" t="n">
        <v>-8.044</v>
      </c>
      <c r="K11" s="23" t="n">
        <v>-0.6879999999999999</v>
      </c>
      <c r="L11" s="23" t="n">
        <v>0.244</v>
      </c>
      <c r="M11" s="23" t="n">
        <v>-0.032</v>
      </c>
      <c r="N11" s="23" t="n">
        <v>0.235</v>
      </c>
    </row>
    <row r="12">
      <c r="A12" s="2" t="inlineStr">
        <is>
          <t>Net Income</t>
        </is>
      </c>
      <c r="B12" s="23" t="n">
        <v>-9.927</v>
      </c>
      <c r="C12" s="23" t="n">
        <v>-21.724</v>
      </c>
      <c r="D12" s="23" t="n">
        <v>-37.483</v>
      </c>
      <c r="E12" s="23" t="n">
        <v>-52.761</v>
      </c>
      <c r="F12" s="23" t="n">
        <v>-33.15</v>
      </c>
      <c r="G12" s="23" t="n">
        <v>-21.138</v>
      </c>
      <c r="H12" s="23" t="n">
        <v>668.629</v>
      </c>
      <c r="I12" s="23" t="n">
        <v>-11.221</v>
      </c>
      <c r="J12" s="23" t="n">
        <v>-17.414</v>
      </c>
      <c r="K12" s="23" t="n">
        <v>-32.9</v>
      </c>
      <c r="L12" s="23" t="n">
        <v>-24.56</v>
      </c>
      <c r="M12" s="23" t="n">
        <v>-38.53</v>
      </c>
      <c r="N12" s="23" t="n">
        <v>-45.54</v>
      </c>
    </row>
    <row r="13">
      <c r="A13" s="2" t="inlineStr">
        <is>
          <t>Earnings per Share</t>
        </is>
      </c>
      <c r="B13" s="11">
        <f>IFERROR(B12/B14,0)</f>
        <v>-0.44675967596759675</v>
      </c>
      <c r="C13" s="11">
        <f>IFERROR(C12/C14,0)</f>
        <v>-0.8990605471174937</v>
      </c>
      <c r="D13" s="11">
        <f>IFERROR(D12/D14,0)</f>
        <v>-1.2169014999026035</v>
      </c>
      <c r="E13" s="11">
        <f>IFERROR(E12/E14,0)</f>
        <v>-1.6282751597074347</v>
      </c>
      <c r="F13" s="11">
        <f>IFERROR(F12/F14,0)</f>
        <v>-0.9505103796306916</v>
      </c>
      <c r="G13" s="11">
        <f>IFERROR(G12/G14,0)</f>
        <v>-0.5903809630208915</v>
      </c>
      <c r="H13" s="11">
        <f>IFERROR(H12/H14,0)</f>
        <v>14.43530732528768</v>
      </c>
      <c r="I13" s="11">
        <f>IFERROR(I12/I14,0)</f>
        <v>-0.3640463290400026</v>
      </c>
      <c r="J13" s="11">
        <f>IFERROR(J12/J14,0)</f>
        <v>-0.5796358552741072</v>
      </c>
      <c r="K13" s="11">
        <f>IFERROR(K12/K14,0)</f>
        <v>-1.0808502250402443</v>
      </c>
      <c r="L13" s="11">
        <f>IFERROR(L12/L14,0)</f>
        <v>-0.8068861291806295</v>
      </c>
      <c r="M13" s="11">
        <f>IFERROR(M12/M14,0)</f>
        <v>-1.2648960966481733</v>
      </c>
      <c r="N13" s="11">
        <f>IFERROR(N12/N14,0)</f>
        <v>-1.4937024403043822</v>
      </c>
    </row>
    <row r="14">
      <c r="A14" s="2" t="inlineStr">
        <is>
          <t>Shares</t>
        </is>
      </c>
      <c r="B14" s="23" t="n">
        <v>22.22</v>
      </c>
      <c r="C14" s="23" t="n">
        <v>24.163</v>
      </c>
      <c r="D14" s="23" t="n">
        <v>30.802</v>
      </c>
      <c r="E14" s="23" t="n">
        <v>32.403</v>
      </c>
      <c r="F14" s="23" t="n">
        <v>34.876</v>
      </c>
      <c r="G14" s="23" t="n">
        <v>35.804</v>
      </c>
      <c r="H14" s="23" t="n">
        <v>46.319</v>
      </c>
      <c r="I14" s="23" t="n">
        <v>30.823</v>
      </c>
      <c r="J14" s="23" t="n">
        <v>30.043</v>
      </c>
      <c r="K14" s="23" t="n">
        <v>30.439</v>
      </c>
      <c r="L14" s="23" t="n">
        <v>30.438</v>
      </c>
      <c r="M14" s="23" t="n">
        <v>30.461</v>
      </c>
      <c r="N14" s="23" t="n">
        <v>30.488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-0.5819260404118463</v>
      </c>
      <c r="K16" s="15">
        <f>IFERROR(K2/J2-1,"")</f>
        <v>-0.7819941285201696</v>
      </c>
      <c r="L16" s="15">
        <f>IFERROR(L2/K2-1,"")</f>
        <v>-1.0</v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0.21476464304384385</v>
      </c>
      <c r="J17" s="15">
        <f>IFERROR(J4/J2,"")</f>
        <v>0.6835924758073284</v>
      </c>
      <c r="K17" s="15">
        <f>IFERROR(K4/K2,"")</f>
        <v>0.8376558603491272</v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-0.415391958542628</v>
      </c>
      <c r="J18" s="15">
        <f>IFERROR(J8/J2,"")</f>
        <v>-1.3635968250516475</v>
      </c>
      <c r="K18" s="15">
        <f>IFERROR(K8/K2,"")</f>
        <v>-8.600997506234416</v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XBiotech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0.19289999999999996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48.219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346.3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238.40275504498854</v>
      </c>
      <c r="C29" s="42">
        <f>NPV!B25</f>
        <v>347.93075504498853</v>
      </c>
      <c r="D29" s="43">
        <f>NPV!B27</f>
        <v>11.412156419413058</v>
      </c>
      <c r="E29" s="44">
        <f>NPV!B29</f>
        <v>4.649582385848048</v>
      </c>
    </row>
    <row r="30">
      <c r="A30" s="45" t="n">
        <v>1</v>
      </c>
      <c r="B30" s="46">
        <f t="dataTable" ref="B30:E32" r1="B4"/>
        <v>21.727650164550475</v>
      </c>
      <c r="C30" s="46">
        <v>131.25565016455047</v>
      </c>
      <c r="D30" s="47">
        <v>4.305195757747616</v>
      </c>
      <c r="E30" s="48">
        <v>1.1312850285879286</v>
      </c>
    </row>
    <row r="31">
      <c r="A31" s="45" t="n">
        <v>2</v>
      </c>
      <c r="B31" s="46">
        <v>238.40275504498854</v>
      </c>
      <c r="C31" s="46">
        <v>347.93075504498853</v>
      </c>
      <c r="D31" s="47">
        <v>11.412156419413058</v>
      </c>
      <c r="E31" s="48">
        <v>4.649582385848048</v>
      </c>
    </row>
    <row r="32">
      <c r="A32" s="45" t="n">
        <v>3</v>
      </c>
      <c r="B32" s="46">
        <v>580.3824333548974</v>
      </c>
      <c r="C32" s="46">
        <v>689.9104333548975</v>
      </c>
      <c r="D32" s="47">
        <v>22.62911704891707</v>
      </c>
      <c r="E32" s="48">
        <v>10.202533192533203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11.412156419413058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3.0610260994764156</v>
      </c>
      <c r="C37" s="47">
        <v>5.009671868177531</v>
      </c>
      <c r="D37" s="47">
        <v>6.837685743035067</v>
      </c>
      <c r="E37" s="47">
        <v>10.394482348426218</v>
      </c>
      <c r="F37" s="47">
        <v>13.892206929861265</v>
      </c>
    </row>
    <row r="38">
      <c r="A38" s="50" t="n">
        <v>0.8</v>
      </c>
      <c r="B38" s="47">
        <v>4.305340956590738</v>
      </c>
      <c r="C38" s="47">
        <v>6.759287463361474</v>
      </c>
      <c r="D38" s="47">
        <v>9.141756362649003</v>
      </c>
      <c r="E38" s="47">
        <v>13.816634281024964</v>
      </c>
      <c r="F38" s="47">
        <v>18.446876647283784</v>
      </c>
    </row>
    <row r="39">
      <c r="A39" s="50" t="n">
        <v>1</v>
      </c>
      <c r="B39" s="47">
        <v>5.465971256964998</v>
      </c>
      <c r="C39" s="47">
        <v>8.471935687068287</v>
      </c>
      <c r="D39" s="47">
        <v>11.412156419413058</v>
      </c>
      <c r="E39" s="47">
        <v>17.216801329875345</v>
      </c>
      <c r="F39" s="47">
        <v>22.968748111161716</v>
      </c>
    </row>
    <row r="40">
      <c r="A40" s="50" t="n">
        <v>1.2</v>
      </c>
      <c r="B40" s="47">
        <v>6.6024909040142825</v>
      </c>
      <c r="C40" s="47">
        <v>10.164980868972581</v>
      </c>
      <c r="D40" s="47">
        <v>13.665488983352347</v>
      </c>
      <c r="E40" s="47">
        <v>20.59578950178176</v>
      </c>
      <c r="F40" s="47">
        <v>27.49061957503965</v>
      </c>
    </row>
    <row r="41">
      <c r="A41" s="50" t="n">
        <v>1.4</v>
      </c>
      <c r="B41" s="47">
        <v>7.724325364389969</v>
      </c>
      <c r="C41" s="47">
        <v>11.84449296175527</v>
      </c>
      <c r="D41" s="47">
        <v>15.90707613297384</v>
      </c>
      <c r="E41" s="47">
        <v>23.968522620116712</v>
      </c>
      <c r="F41" s="47">
        <v>31.992282527953268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XBiotech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Rheumatoid / spondyloarthritis</t>
        </is>
      </c>
      <c r="C4" s="14" t="inlineStr">
        <is>
          <t>Natrunix, Natrunix 400 mg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2000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438.2853841701088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38.58</v>
      </c>
      <c r="S4" s="23">
        <f>IF(S$3&lt;$I4,0,$G4*Assumptions!$E$11*INDEX(Assumptions!$B$24:$G$24,MIN(6,S$3-$I4+1))*IF(S$3&gt;$J4,(1-Assumptions!$B$26)^(S$3-$J4),1)*IF($H4&gt;=1,1,MIN(0.97,$H4*Assumptions!$E$12)))</f>
        <v>96.44999999999999</v>
      </c>
      <c r="T4" s="23">
        <f>IF(T$3&lt;$I4,0,$G4*Assumptions!$E$11*INDEX(Assumptions!$B$24:$G$24,MIN(6,T$3-$I4+1))*IF(T$3&gt;$J4,(1-Assumptions!$B$26)^(T$3-$J4),1)*IF($H4&gt;=1,1,MIN(0.97,$H4*Assumptions!$E$12)))</f>
        <v>173.60999999999999</v>
      </c>
      <c r="U4" s="23">
        <f>IF(U$3&lt;$I4,0,$G4*Assumptions!$E$11*INDEX(Assumptions!$B$24:$G$24,MIN(6,U$3-$I4+1))*IF(U$3&gt;$J4,(1-Assumptions!$B$26)^(U$3-$J4),1)*IF($H4&gt;=1,1,MIN(0.97,$H4*Assumptions!$E$12)))</f>
        <v>250.76999999999998</v>
      </c>
      <c r="V4" s="23">
        <f>IF(V$3&lt;$I4,0,$G4*Assumptions!$E$11*INDEX(Assumptions!$B$24:$G$24,MIN(6,V$3-$I4+1))*IF(V$3&gt;$J4,(1-Assumptions!$B$26)^(V$3-$J4),1)*IF($H4&gt;=1,1,MIN(0.97,$H4*Assumptions!$E$12)))</f>
        <v>327.93</v>
      </c>
      <c r="W4" s="23">
        <f>IF(W$3&lt;$I4,0,$G4*Assumptions!$E$11*INDEX(Assumptions!$B$24:$G$24,MIN(6,W$3-$I4+1))*IF(W$3&gt;$J4,(1-Assumptions!$B$26)^(W$3-$J4),1)*IF($H4&gt;=1,1,MIN(0.97,$H4*Assumptions!$E$12)))</f>
        <v>385.79999999999995</v>
      </c>
      <c r="X4" s="23">
        <f>IF(X$3&lt;$I4,0,$G4*Assumptions!$E$11*INDEX(Assumptions!$B$24:$G$24,MIN(6,X$3-$I4+1))*IF(X$3&gt;$J4,(1-Assumptions!$B$26)^(X$3-$J4),1)*IF($H4&gt;=1,1,MIN(0.97,$H4*Assumptions!$E$12)))</f>
        <v>385.79999999999995</v>
      </c>
      <c r="Y4" s="23">
        <f>IF(Y$3&lt;$I4,0,$G4*Assumptions!$E$11*INDEX(Assumptions!$B$24:$G$24,MIN(6,Y$3-$I4+1))*IF(Y$3&gt;$J4,(1-Assumptions!$B$26)^(Y$3-$J4),1)*IF($H4&gt;=1,1,MIN(0.97,$H4*Assumptions!$E$12)))</f>
        <v>385.79999999999995</v>
      </c>
      <c r="Z4" s="23">
        <f>IF(Z$3&lt;$I4,0,$G4*Assumptions!$E$11*INDEX(Assumptions!$B$24:$G$24,MIN(6,Z$3-$I4+1))*IF(Z$3&gt;$J4,(1-Assumptions!$B$26)^(Z$3-$J4),1)*IF($H4&gt;=1,1,MIN(0.97,$H4*Assumptions!$E$12)))</f>
        <v>385.79999999999995</v>
      </c>
      <c r="AA4" s="23">
        <f>IF(AA$3&lt;$I4,0,$G4*Assumptions!$E$11*INDEX(Assumptions!$B$24:$G$24,MIN(6,AA$3-$I4+1))*IF(AA$3&gt;$J4,(1-Assumptions!$B$26)^(AA$3-$J4),1)*IF($H4&gt;=1,1,MIN(0.97,$H4*Assumptions!$E$12)))</f>
        <v>385.79999999999995</v>
      </c>
      <c r="AB4" s="23">
        <f>IF(AB$3&lt;$I4,0,$G4*Assumptions!$E$11*INDEX(Assumptions!$B$24:$G$24,MIN(6,AB$3-$I4+1))*IF(AB$3&gt;$J4,(1-Assumptions!$B$26)^(AB$3-$J4),1)*IF($H4&gt;=1,1,MIN(0.97,$H4*Assumptions!$E$12)))</f>
        <v>385.79999999999995</v>
      </c>
      <c r="AC4" s="23">
        <f>IF(AC$3&lt;$I4,0,$G4*Assumptions!$E$11*INDEX(Assumptions!$B$24:$G$24,MIN(6,AC$3-$I4+1))*IF(AC$3&gt;$J4,(1-Assumptions!$B$26)^(AC$3-$J4),1)*IF($H4&gt;=1,1,MIN(0.97,$H4*Assumptions!$E$12)))</f>
        <v>385.79999999999995</v>
      </c>
      <c r="AD4" s="23">
        <f>IF(AD$3&lt;$I4,0,$G4*Assumptions!$E$11*INDEX(Assumptions!$B$24:$G$24,MIN(6,AD$3-$I4+1))*IF(AD$3&gt;$J4,(1-Assumptions!$B$26)^(AD$3-$J4),1)*IF($H4&gt;=1,1,MIN(0.97,$H4*Assumptions!$E$12)))</f>
        <v>385.79999999999995</v>
      </c>
      <c r="AE4" s="23">
        <f>IF(AE$3&lt;$I4,0,$G4*Assumptions!$E$11*INDEX(Assumptions!$B$24:$G$24,MIN(6,AE$3-$I4+1))*IF(AE$3&gt;$J4,(1-Assumptions!$B$26)^(AE$3-$J4),1)*IF($H4&gt;=1,1,MIN(0.97,$H4*Assumptions!$E$12)))</f>
        <v>192.89999999999998</v>
      </c>
      <c r="AF4" s="23">
        <f>IF(AF$3&lt;$I4,0,$G4*Assumptions!$E$11*INDEX(Assumptions!$B$24:$G$24,MIN(6,AF$3-$I4+1))*IF(AF$3&gt;$J4,(1-Assumptions!$B$26)^(AF$3-$J4),1)*IF($H4&gt;=1,1,MIN(0.97,$H4*Assumptions!$E$12)))</f>
        <v>96.44999999999999</v>
      </c>
      <c r="AG4" s="35">
        <f>IF(F4="Owned",1-IF(H4&gt;=1,1,MIN(0.97,H4*Assumptions!$E$12)),1)</f>
        <v>0.8071</v>
      </c>
    </row>
    <row r="5">
      <c r="B5" s="24" t="inlineStr">
        <is>
          <t>Risked revenue</t>
        </is>
      </c>
      <c r="L5" s="54">
        <f>SUM(L4:L4)</f>
        <v>438.2853841701088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38.58</v>
      </c>
      <c r="S5" s="54">
        <f>SUM(S4:S4)</f>
        <v>96.44999999999999</v>
      </c>
      <c r="T5" s="54">
        <f>SUM(T4:T4)</f>
        <v>173.60999999999999</v>
      </c>
      <c r="U5" s="54">
        <f>SUM(U4:U4)</f>
        <v>250.76999999999998</v>
      </c>
      <c r="V5" s="54">
        <f>SUM(V4:V4)</f>
        <v>327.93</v>
      </c>
      <c r="W5" s="54">
        <f>SUM(W4:W4)</f>
        <v>385.79999999999995</v>
      </c>
      <c r="X5" s="54">
        <f>SUM(X4:X4)</f>
        <v>385.79999999999995</v>
      </c>
      <c r="Y5" s="54">
        <f>SUM(Y4:Y4)</f>
        <v>385.79999999999995</v>
      </c>
      <c r="Z5" s="54">
        <f>SUM(Z4:Z4)</f>
        <v>385.79999999999995</v>
      </c>
      <c r="AA5" s="54">
        <f>SUM(AA4:AA4)</f>
        <v>385.79999999999995</v>
      </c>
      <c r="AB5" s="54">
        <f>SUM(AB4:AB4)</f>
        <v>385.79999999999995</v>
      </c>
      <c r="AC5" s="54">
        <f>SUM(AC4:AC4)</f>
        <v>385.79999999999995</v>
      </c>
      <c r="AD5" s="54">
        <f>SUM(AD4:AD4)</f>
        <v>385.79999999999995</v>
      </c>
      <c r="AE5" s="54">
        <f>SUM(AE4:AE4)</f>
        <v>192.89999999999998</v>
      </c>
      <c r="AF5" s="54">
        <f>SUM(AF4:AF4)</f>
        <v>96.44999999999999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15.432</v>
      </c>
      <c r="S6" s="55">
        <f>SUMPRODUCT(S4:S4,$K$4:$K$4)</f>
        <v>38.58</v>
      </c>
      <c r="T6" s="55">
        <f>SUMPRODUCT(T4:T4,$K$4:$K$4)</f>
        <v>69.444</v>
      </c>
      <c r="U6" s="55">
        <f>SUMPRODUCT(U4:U4,$K$4:$K$4)</f>
        <v>100.30799999999999</v>
      </c>
      <c r="V6" s="55">
        <f>SUMPRODUCT(V4:V4,$K$4:$K$4)</f>
        <v>131.172</v>
      </c>
      <c r="W6" s="55">
        <f>SUMPRODUCT(W4:W4,$K$4:$K$4)</f>
        <v>154.32</v>
      </c>
      <c r="X6" s="55">
        <f>SUMPRODUCT(X4:X4,$K$4:$K$4)</f>
        <v>154.32</v>
      </c>
      <c r="Y6" s="55">
        <f>SUMPRODUCT(Y4:Y4,$K$4:$K$4)</f>
        <v>154.32</v>
      </c>
      <c r="Z6" s="55">
        <f>SUMPRODUCT(Z4:Z4,$K$4:$K$4)</f>
        <v>154.32</v>
      </c>
      <c r="AA6" s="55">
        <f>SUMPRODUCT(AA4:AA4,$K$4:$K$4)</f>
        <v>154.32</v>
      </c>
      <c r="AB6" s="55">
        <f>SUMPRODUCT(AB4:AB4,$K$4:$K$4)</f>
        <v>154.32</v>
      </c>
      <c r="AC6" s="55">
        <f>SUMPRODUCT(AC4:AC4,$K$4:$K$4)</f>
        <v>154.32</v>
      </c>
      <c r="AD6" s="55">
        <f>SUMPRODUCT(AD4:AD4,$K$4:$K$4)</f>
        <v>154.32</v>
      </c>
      <c r="AE6" s="55">
        <f>SUMPRODUCT(AE4:AE4,$K$4:$K$4)</f>
        <v>77.16</v>
      </c>
      <c r="AF6" s="55">
        <f>SUMPRODUCT(AF4:AF4,$K$4:$K$4)</f>
        <v>38.58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XBiotech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38.58</v>
      </c>
      <c r="I4" s="57">
        <f>Pipeline!S5</f>
        <v>96.44999999999999</v>
      </c>
      <c r="J4" s="57">
        <f>Pipeline!T5</f>
        <v>173.60999999999999</v>
      </c>
      <c r="K4" s="57">
        <f>Pipeline!U5</f>
        <v>250.76999999999998</v>
      </c>
      <c r="L4" s="57">
        <f>Pipeline!V5</f>
        <v>327.93</v>
      </c>
      <c r="M4" s="57">
        <f>Pipeline!W5</f>
        <v>385.79999999999995</v>
      </c>
      <c r="N4" s="57">
        <f>Pipeline!X5</f>
        <v>385.79999999999995</v>
      </c>
      <c r="O4" s="57">
        <f>Pipeline!Y5</f>
        <v>385.79999999999995</v>
      </c>
      <c r="P4" s="57">
        <f>Pipeline!Z5</f>
        <v>385.79999999999995</v>
      </c>
      <c r="Q4" s="57">
        <f>Pipeline!AA5</f>
        <v>385.79999999999995</v>
      </c>
      <c r="R4" s="57">
        <f>Pipeline!AB5</f>
        <v>385.79999999999995</v>
      </c>
      <c r="S4" s="57">
        <f>Pipeline!AC5</f>
        <v>385.79999999999995</v>
      </c>
      <c r="T4" s="57">
        <f>Pipeline!AD5</f>
        <v>385.79999999999995</v>
      </c>
      <c r="U4" s="57">
        <f>Pipeline!AE5</f>
        <v>192.89999999999998</v>
      </c>
      <c r="V4" s="57">
        <f>Pipeline!AF5</f>
        <v>96.44999999999999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15.432</v>
      </c>
      <c r="I5" s="57">
        <f>Pipeline!S6</f>
        <v>38.58</v>
      </c>
      <c r="J5" s="57">
        <f>Pipeline!T6</f>
        <v>69.444</v>
      </c>
      <c r="K5" s="57">
        <f>Pipeline!U6</f>
        <v>100.30799999999999</v>
      </c>
      <c r="L5" s="57">
        <f>Pipeline!V6</f>
        <v>131.172</v>
      </c>
      <c r="M5" s="57">
        <f>Pipeline!W6</f>
        <v>154.32</v>
      </c>
      <c r="N5" s="57">
        <f>Pipeline!X6</f>
        <v>154.32</v>
      </c>
      <c r="O5" s="57">
        <f>Pipeline!Y6</f>
        <v>154.32</v>
      </c>
      <c r="P5" s="57">
        <f>Pipeline!Z6</f>
        <v>154.32</v>
      </c>
      <c r="Q5" s="57">
        <f>Pipeline!AA6</f>
        <v>154.32</v>
      </c>
      <c r="R5" s="57">
        <f>Pipeline!AB6</f>
        <v>154.32</v>
      </c>
      <c r="S5" s="57">
        <f>Pipeline!AC6</f>
        <v>154.32</v>
      </c>
      <c r="T5" s="57">
        <f>Pipeline!AD6</f>
        <v>154.32</v>
      </c>
      <c r="U5" s="57">
        <f>Pipeline!AE6</f>
        <v>77.16</v>
      </c>
      <c r="V5" s="57">
        <f>Pipeline!AF6</f>
        <v>38.58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-48.219</v>
      </c>
      <c r="D6" s="23">
        <f>-IF(D3-2026&lt;Assumptions!$B$19,Assumptions!$B$18,Assumptions!$B$18*Assumptions!$B$20*Assumptions!$B$16)</f>
        <v>-48.219</v>
      </c>
      <c r="E6" s="23">
        <f>-IF(E3-2026&lt;Assumptions!$B$19,Assumptions!$B$18,Assumptions!$B$18*Assumptions!$B$20*Assumptions!$B$16)</f>
        <v>-48.219</v>
      </c>
      <c r="F6" s="23">
        <f>-IF(F3-2026&lt;Assumptions!$B$19,Assumptions!$B$18,Assumptions!$B$18*Assumptions!$B$20*Assumptions!$B$16)</f>
        <v>-48.219</v>
      </c>
      <c r="G6" s="23">
        <f>-IF(G3-2026&lt;Assumptions!$B$19,Assumptions!$B$18,Assumptions!$B$18*Assumptions!$B$20*Assumptions!$B$16)</f>
        <v>-2.7904335299999996</v>
      </c>
      <c r="H6" s="23">
        <f>-IF(H3-2026&lt;Assumptions!$B$19,Assumptions!$B$18,Assumptions!$B$18*Assumptions!$B$20*Assumptions!$B$16)</f>
        <v>-2.7904335299999996</v>
      </c>
      <c r="I6" s="23">
        <f>-IF(I3-2026&lt;Assumptions!$B$19,Assumptions!$B$18,Assumptions!$B$18*Assumptions!$B$20*Assumptions!$B$16)</f>
        <v>-2.7904335299999996</v>
      </c>
      <c r="J6" s="23">
        <f>-IF(J3-2026&lt;Assumptions!$B$19,Assumptions!$B$18,Assumptions!$B$18*Assumptions!$B$20*Assumptions!$B$16)</f>
        <v>-2.7904335299999996</v>
      </c>
      <c r="K6" s="23">
        <f>-IF(K3-2026&lt;Assumptions!$B$19,Assumptions!$B$18,Assumptions!$B$18*Assumptions!$B$20*Assumptions!$B$16)</f>
        <v>-2.7904335299999996</v>
      </c>
      <c r="L6" s="23">
        <f>-IF(L3-2026&lt;Assumptions!$B$19,Assumptions!$B$18,Assumptions!$B$18*Assumptions!$B$20*Assumptions!$B$16)</f>
        <v>-2.7904335299999996</v>
      </c>
      <c r="M6" s="23">
        <f>-IF(M3-2026&lt;Assumptions!$B$19,Assumptions!$B$18,Assumptions!$B$18*Assumptions!$B$20*Assumptions!$B$16)</f>
        <v>-2.7904335299999996</v>
      </c>
      <c r="N6" s="23">
        <f>-IF(N3-2026&lt;Assumptions!$B$19,Assumptions!$B$18,Assumptions!$B$18*Assumptions!$B$20*Assumptions!$B$16)</f>
        <v>-2.7904335299999996</v>
      </c>
      <c r="O6" s="23">
        <f>-IF(O3-2026&lt;Assumptions!$B$19,Assumptions!$B$18,Assumptions!$B$18*Assumptions!$B$20*Assumptions!$B$16)</f>
        <v>-2.7904335299999996</v>
      </c>
      <c r="P6" s="23">
        <f>-IF(P3-2026&lt;Assumptions!$B$19,Assumptions!$B$18,Assumptions!$B$18*Assumptions!$B$20*Assumptions!$B$16)</f>
        <v>-2.7904335299999996</v>
      </c>
      <c r="Q6" s="23">
        <f>-IF(Q3-2026&lt;Assumptions!$B$19,Assumptions!$B$18,Assumptions!$B$18*Assumptions!$B$20*Assumptions!$B$16)</f>
        <v>-2.7904335299999996</v>
      </c>
      <c r="R6" s="23">
        <f>-IF(R3-2026&lt;Assumptions!$B$19,Assumptions!$B$18,Assumptions!$B$18*Assumptions!$B$20*Assumptions!$B$16)</f>
        <v>-2.7904335299999996</v>
      </c>
      <c r="S6" s="23">
        <f>-IF(S3-2026&lt;Assumptions!$B$19,Assumptions!$B$18,Assumptions!$B$18*Assumptions!$B$20*Assumptions!$B$16)</f>
        <v>-2.7904335299999996</v>
      </c>
      <c r="T6" s="23">
        <f>-IF(T3-2026&lt;Assumptions!$B$19,Assumptions!$B$18,Assumptions!$B$18*Assumptions!$B$20*Assumptions!$B$16)</f>
        <v>-2.7904335299999996</v>
      </c>
      <c r="U6" s="23">
        <f>-IF(U3-2026&lt;Assumptions!$B$19,Assumptions!$B$18,Assumptions!$B$18*Assumptions!$B$20*Assumptions!$B$16)</f>
        <v>-2.7904335299999996</v>
      </c>
      <c r="V6" s="23">
        <f>-IF(V3-2026&lt;Assumptions!$B$19,Assumptions!$B$18,Assumptions!$B$18*Assumptions!$B$20*Assumptions!$B$16)</f>
        <v>-2.7904335299999996</v>
      </c>
    </row>
    <row r="7">
      <c r="A7" s="14" t="inlineStr">
        <is>
          <t>Pre-tax cash flow</t>
        </is>
      </c>
      <c r="C7" s="23">
        <f>C5+C6</f>
        <v>-48.219</v>
      </c>
      <c r="D7" s="23">
        <f>D5+D6</f>
        <v>-48.219</v>
      </c>
      <c r="E7" s="23">
        <f>E5+E6</f>
        <v>-48.219</v>
      </c>
      <c r="F7" s="23">
        <f>F5+F6</f>
        <v>-48.219</v>
      </c>
      <c r="G7" s="23">
        <f>G5+G6</f>
        <v>-2.7904335299999996</v>
      </c>
      <c r="H7" s="23">
        <f>H5+H6</f>
        <v>12.64156647</v>
      </c>
      <c r="I7" s="23">
        <f>I5+I6</f>
        <v>35.78956647</v>
      </c>
      <c r="J7" s="23">
        <f>J5+J6</f>
        <v>66.65356647</v>
      </c>
      <c r="K7" s="23">
        <f>K5+K6</f>
        <v>97.51756646999999</v>
      </c>
      <c r="L7" s="23">
        <f>L5+L6</f>
        <v>128.38156647</v>
      </c>
      <c r="M7" s="23">
        <f>M5+M6</f>
        <v>151.52956647</v>
      </c>
      <c r="N7" s="23">
        <f>N5+N6</f>
        <v>151.52956647</v>
      </c>
      <c r="O7" s="23">
        <f>O5+O6</f>
        <v>151.52956647</v>
      </c>
      <c r="P7" s="23">
        <f>P5+P6</f>
        <v>151.52956647</v>
      </c>
      <c r="Q7" s="23">
        <f>Q5+Q6</f>
        <v>151.52956647</v>
      </c>
      <c r="R7" s="23">
        <f>R5+R6</f>
        <v>151.52956647</v>
      </c>
      <c r="S7" s="23">
        <f>S5+S6</f>
        <v>151.52956647</v>
      </c>
      <c r="T7" s="23">
        <f>T5+T6</f>
        <v>151.52956647</v>
      </c>
      <c r="U7" s="23">
        <f>U5+U6</f>
        <v>74.36956647</v>
      </c>
      <c r="V7" s="23">
        <f>V5+V6</f>
        <v>35.78956647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12.64156647</v>
      </c>
      <c r="I8" s="23">
        <f>MIN(H17,MAX(0,I7))</f>
        <v>35.78956647</v>
      </c>
      <c r="J8" s="23">
        <f>MIN(I17,MAX(0,J7))</f>
        <v>66.65356647</v>
      </c>
      <c r="K8" s="23">
        <f>MIN(J17,MAX(0,K7))</f>
        <v>97.51756646999999</v>
      </c>
      <c r="L8" s="23">
        <f>MIN(K17,MAX(0,L7))</f>
        <v>128.38156647</v>
      </c>
      <c r="M8" s="23">
        <f>MIN(L17,MAX(0,M7))</f>
        <v>151.52956647</v>
      </c>
      <c r="N8" s="23">
        <f>MIN(M17,MAX(0,N7))</f>
        <v>49.453034710000026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102.07653175999997</v>
      </c>
      <c r="O9" s="23">
        <f>MAX(0,O7)-O8</f>
        <v>151.52956647</v>
      </c>
      <c r="P9" s="23">
        <f>MAX(0,P7)-P8</f>
        <v>151.52956647</v>
      </c>
      <c r="Q9" s="23">
        <f>MAX(0,Q7)-Q8</f>
        <v>151.52956647</v>
      </c>
      <c r="R9" s="23">
        <f>MAX(0,R7)-R8</f>
        <v>151.52956647</v>
      </c>
      <c r="S9" s="23">
        <f>MAX(0,S7)-S8</f>
        <v>151.52956647</v>
      </c>
      <c r="T9" s="23">
        <f>MAX(0,T7)-T8</f>
        <v>151.52956647</v>
      </c>
      <c r="U9" s="23">
        <f>MAX(0,U7)-U8</f>
        <v>74.36956647</v>
      </c>
      <c r="V9" s="23">
        <f>MAX(0,V7)-V8</f>
        <v>35.78956647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21.436071669599993</v>
      </c>
      <c r="O10" s="23">
        <f>O9*Assumptions!$E$15</f>
        <v>31.821208958699998</v>
      </c>
      <c r="P10" s="23">
        <f>P9*Assumptions!$E$15</f>
        <v>31.821208958699998</v>
      </c>
      <c r="Q10" s="23">
        <f>Q9*Assumptions!$E$15</f>
        <v>31.821208958699998</v>
      </c>
      <c r="R10" s="23">
        <f>R9*Assumptions!$E$15</f>
        <v>31.821208958699998</v>
      </c>
      <c r="S10" s="23">
        <f>S9*Assumptions!$E$15</f>
        <v>31.821208958699998</v>
      </c>
      <c r="T10" s="23">
        <f>T9*Assumptions!$E$15</f>
        <v>31.821208958699998</v>
      </c>
      <c r="U10" s="23">
        <f>U9*Assumptions!$E$15</f>
        <v>15.617608958699998</v>
      </c>
      <c r="V10" s="23">
        <f>V9*Assumptions!$E$15</f>
        <v>7.515808958699999</v>
      </c>
    </row>
    <row r="11">
      <c r="A11" s="24" t="inlineStr">
        <is>
          <t>Free cash flow</t>
        </is>
      </c>
      <c r="C11" s="55">
        <f>C7-C10</f>
        <v>-48.219</v>
      </c>
      <c r="D11" s="55">
        <f>D7-D10</f>
        <v>-48.219</v>
      </c>
      <c r="E11" s="55">
        <f>E7-E10</f>
        <v>-48.219</v>
      </c>
      <c r="F11" s="55">
        <f>F7-F10</f>
        <v>-48.219</v>
      </c>
      <c r="G11" s="55">
        <f>G7-G10</f>
        <v>-2.7904335299999996</v>
      </c>
      <c r="H11" s="55">
        <f>H7-H10</f>
        <v>12.64156647</v>
      </c>
      <c r="I11" s="55">
        <f>I7-I10</f>
        <v>35.78956647</v>
      </c>
      <c r="J11" s="55">
        <f>J7-J10</f>
        <v>66.65356647</v>
      </c>
      <c r="K11" s="55">
        <f>K7-K10</f>
        <v>97.51756646999999</v>
      </c>
      <c r="L11" s="55">
        <f>L7-L10</f>
        <v>128.38156647</v>
      </c>
      <c r="M11" s="55">
        <f>M7-M10</f>
        <v>151.52956647</v>
      </c>
      <c r="N11" s="55">
        <f>N7-N10</f>
        <v>130.0934948004</v>
      </c>
      <c r="O11" s="55">
        <f>O7-O10</f>
        <v>119.7083575113</v>
      </c>
      <c r="P11" s="55">
        <f>P7-P10</f>
        <v>119.7083575113</v>
      </c>
      <c r="Q11" s="55">
        <f>Q7-Q10</f>
        <v>119.7083575113</v>
      </c>
      <c r="R11" s="55">
        <f>R7-R10</f>
        <v>119.7083575113</v>
      </c>
      <c r="S11" s="55">
        <f>S7-S10</f>
        <v>119.7083575113</v>
      </c>
      <c r="T11" s="55">
        <f>T7-T10</f>
        <v>119.7083575113</v>
      </c>
      <c r="U11" s="55">
        <f>U7-U10</f>
        <v>58.7519575113</v>
      </c>
      <c r="V11" s="55">
        <f>V7-V10</f>
        <v>28.273757511299998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-23.62269780513795</v>
      </c>
      <c r="D16" s="55">
        <f>D11*D15</f>
        <v>-43.03267889399763</v>
      </c>
      <c r="E16" s="55">
        <f>E11*E15</f>
        <v>-38.422034726783586</v>
      </c>
      <c r="F16" s="55">
        <f>F11*F15</f>
        <v>-34.30538814891391</v>
      </c>
      <c r="G16" s="55">
        <f>G11*G15</f>
        <v>-1.7725471537300426</v>
      </c>
      <c r="H16" s="55">
        <f>H11*H15</f>
        <v>7.16983209399098</v>
      </c>
      <c r="I16" s="55">
        <f>I11*I15</f>
        <v>18.123685103451688</v>
      </c>
      <c r="J16" s="55">
        <f>J11*J15</f>
        <v>30.136682300993133</v>
      </c>
      <c r="K16" s="55">
        <f>K11*K15</f>
        <v>39.36741330578197</v>
      </c>
      <c r="L16" s="55">
        <f>L11*L15</f>
        <v>46.27417371170161</v>
      </c>
      <c r="M16" s="55">
        <f>M11*M15</f>
        <v>48.76580077774128</v>
      </c>
      <c r="N16" s="55">
        <f>N11*N15</f>
        <v>37.381397840766574</v>
      </c>
      <c r="O16" s="55">
        <f>O11*O15</f>
        <v>30.71188027297162</v>
      </c>
      <c r="P16" s="55">
        <f>P11*P15</f>
        <v>27.421321672296084</v>
      </c>
      <c r="Q16" s="55">
        <f>Q11*Q15</f>
        <v>24.483322921692935</v>
      </c>
      <c r="R16" s="55">
        <f>R11*R15</f>
        <v>21.860109751511548</v>
      </c>
      <c r="S16" s="55">
        <f>S11*S15</f>
        <v>19.517955135278164</v>
      </c>
      <c r="T16" s="55">
        <f>T11*T15</f>
        <v>17.42674565649836</v>
      </c>
      <c r="U16" s="55">
        <f>U11*U15</f>
        <v>7.6365313528322325</v>
      </c>
      <c r="V16" s="55">
        <f>V11*V15</f>
        <v>3.281249876043503</v>
      </c>
    </row>
    <row r="17">
      <c r="A17" s="14" t="inlineStr">
        <is>
          <t>Tax-loss carryforward, end of year</t>
        </is>
      </c>
      <c r="C17" s="23">
        <f>Assumptions!$B$21-C8+MAX(0,-C7)</f>
        <v>394.519</v>
      </c>
      <c r="D17" s="23">
        <f>C17-D8+MAX(0,-D7)</f>
        <v>442.738</v>
      </c>
      <c r="E17" s="23">
        <f>D17-E8+MAX(0,-E7)</f>
        <v>490.957</v>
      </c>
      <c r="F17" s="23">
        <f>E17-F8+MAX(0,-F7)</f>
        <v>539.176</v>
      </c>
      <c r="G17" s="23">
        <f>F17-G8+MAX(0,-G7)</f>
        <v>541.96643353</v>
      </c>
      <c r="H17" s="23">
        <f>G17-H8+MAX(0,-H7)</f>
        <v>529.32486706</v>
      </c>
      <c r="I17" s="23">
        <f>H17-I8+MAX(0,-I7)</f>
        <v>493.53530058999996</v>
      </c>
      <c r="J17" s="23">
        <f>I17-J8+MAX(0,-J7)</f>
        <v>426.88173412</v>
      </c>
      <c r="K17" s="23">
        <f>J17-K8+MAX(0,-K7)</f>
        <v>329.36416765</v>
      </c>
      <c r="L17" s="23">
        <f>K17-L8+MAX(0,-L7)</f>
        <v>200.98260118000002</v>
      </c>
      <c r="M17" s="23">
        <f>L17-M8+MAX(0,-M7)</f>
        <v>49.453034710000026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438.2853841701088</v>
      </c>
    </row>
    <row r="20">
      <c r="A20" s="14" t="inlineStr">
        <is>
          <t>PV of corporate burn</t>
        </is>
      </c>
      <c r="B20" s="23">
        <f>SUMPRODUCT(C6:V6,C15:V15)</f>
        <v>-153.22792519380533</v>
      </c>
    </row>
    <row r="21">
      <c r="A21" s="14" t="inlineStr">
        <is>
          <t>PV of taxes</t>
        </is>
      </c>
      <c r="B21" s="23">
        <f>-SUMPRODUCT(C10:V10,C15:V15)</f>
        <v>-46.654703931314884</v>
      </c>
    </row>
    <row r="22">
      <c r="A22" s="24" t="inlineStr">
        <is>
          <t>Pipeline rNPV (operations)</t>
        </is>
      </c>
      <c r="B22" s="54">
        <f>SUM(C16:V16)</f>
        <v>238.40275504498854</v>
      </c>
    </row>
    <row r="23">
      <c r="A23" s="14" t="inlineStr">
        <is>
          <t>Cash &amp; investments</t>
        </is>
      </c>
      <c r="B23" s="57">
        <f>Main!C7</f>
        <v>109.528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347.93075504498853</v>
      </c>
    </row>
    <row r="26">
      <c r="A26" s="14" t="inlineStr">
        <is>
          <t>Shares (mm)</t>
        </is>
      </c>
      <c r="B26" s="57">
        <f>Main!C4</f>
        <v>30.487731</v>
      </c>
    </row>
    <row r="27">
      <c r="A27" s="24" t="inlineStr">
        <is>
          <t>rNPV / share</t>
        </is>
      </c>
      <c r="B27" s="60">
        <f>B25/B26</f>
        <v>11.412156419413058</v>
      </c>
    </row>
    <row r="28">
      <c r="A28" s="14" t="inlineStr">
        <is>
          <t>Price</t>
        </is>
      </c>
      <c r="B28" s="61">
        <f>Main!C3</f>
        <v>2.02</v>
      </c>
    </row>
    <row r="29">
      <c r="A29" s="14" t="inlineStr">
        <is>
          <t>Upside</t>
        </is>
      </c>
      <c r="B29" s="62">
        <f>B27/B28-1</f>
        <v>4.649582385848048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2026-10-21T06:28:52Z</dcterms:modified>
  <cp:lastModifiedBy>Wang, Eric</cp:lastModifiedBy>
</cp:coreProperties>
</file>