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XBiotech Inc</t>
        </is>
      </c>
      <c r="C2" s="10" t="n"/>
    </row>
    <row r="3">
      <c r="B3" t="inlineStr">
        <is>
          <t>Price</t>
        </is>
      </c>
      <c r="C3" s="11">
        <f>INDEX([1]Pharma!$F$1:$F$1000,MATCH("XBIT",[1]Pharma!$B$1:$B$1000,0))</f>
        <v>2.02</v>
      </c>
      <c r="F3" s="1" t="n"/>
    </row>
    <row r="4">
      <c r="B4" t="inlineStr">
        <is>
          <t>Shares</t>
        </is>
      </c>
      <c r="C4" s="21" t="n">
        <v>30.487731</v>
      </c>
      <c r="F4" s="1" t="n"/>
    </row>
    <row r="5">
      <c r="B5" t="inlineStr">
        <is>
          <t>Market Cap.</t>
        </is>
      </c>
      <c r="C5" s="13">
        <f>C3*C4</f>
        <v>61.585216620000004</v>
      </c>
      <c r="F5" s="1" t="n"/>
    </row>
    <row r="6"/>
    <row r="7">
      <c r="B7" t="inlineStr">
        <is>
          <t>Cash</t>
        </is>
      </c>
      <c r="C7" s="21" t="n">
        <v>109.528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-47.94278338</v>
      </c>
    </row>
    <row r="10"/>
    <row r="11">
      <c r="B11" s="14" t="inlineStr">
        <is>
          <t>Net Cash / Share</t>
        </is>
      </c>
      <c r="C11" s="11">
        <f>(C7-C8)/C4</f>
        <v>3.592527105411682</v>
      </c>
    </row>
    <row r="12">
      <c r="B12" s="14" t="inlineStr">
        <is>
          <t>Upside</t>
        </is>
      </c>
      <c r="C12" s="15">
        <f>IFERROR(C11/C3-1,"")</f>
        <v>0.7784787650552882</v>
      </c>
    </row>
    <row r="13">
      <c r="B13" s="14" t="inlineStr">
        <is>
          <t>Cash / Share</t>
        </is>
      </c>
      <c r="C13" s="11">
        <f>IFERROR((C7-C8)/C4,"")</f>
        <v>3.592527105411682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-40.695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2.69143629438506</v>
      </c>
    </row>
    <row r="19">
      <c r="B19" s="14" t="inlineStr">
        <is>
          <t>Implied Pipeline Value</t>
        </is>
      </c>
      <c r="C19" s="13">
        <f>C9</f>
        <v>-47.94278338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43.997</v>
      </c>
      <c r="J2" s="23" t="n">
        <v>18.394</v>
      </c>
      <c r="K2" s="23" t="n">
        <v>4.01</v>
      </c>
      <c r="L2" s="23" t="n">
        <v>0</v>
      </c>
      <c r="M2" s="23" t="n">
        <v>0</v>
      </c>
      <c r="N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34.548</v>
      </c>
      <c r="J3" s="23" t="n">
        <v>5.82</v>
      </c>
      <c r="K3" s="23" t="n">
        <v>0.651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9.448999999999998</v>
      </c>
      <c r="J4" s="23">
        <f>J2-J3</f>
        <v>12.573999999999998</v>
      </c>
      <c r="K4" s="23">
        <f>K2-K3</f>
        <v>3.359</v>
      </c>
      <c r="L4" s="23">
        <f>L2-L3</f>
        <v>0.0</v>
      </c>
      <c r="M4" s="23">
        <f>M2-M3</f>
        <v>0.0</v>
      </c>
      <c r="N4" s="23">
        <f>N2-N3</f>
        <v>0.0</v>
      </c>
    </row>
    <row r="5">
      <c r="A5" s="2" t="inlineStr">
        <is>
          <t>Research &amp; Dev.</t>
        </is>
      </c>
      <c r="B5" s="23" t="n">
        <v>7.935</v>
      </c>
      <c r="C5" s="23" t="n">
        <v>14.329</v>
      </c>
      <c r="D5" s="23" t="n">
        <v>31.31</v>
      </c>
      <c r="E5" s="23" t="n">
        <v>42.486</v>
      </c>
      <c r="F5" s="23" t="n">
        <v>26.424</v>
      </c>
      <c r="G5" s="23" t="n">
        <v>15.725</v>
      </c>
      <c r="H5" s="23" t="n">
        <v>24.09</v>
      </c>
      <c r="I5" s="23" t="n">
        <v>9.526999999999999</v>
      </c>
      <c r="J5" s="23" t="n">
        <v>28.268</v>
      </c>
      <c r="K5" s="23" t="n">
        <v>31.544</v>
      </c>
      <c r="L5" s="23" t="n">
        <v>32.848</v>
      </c>
      <c r="M5" s="23" t="n">
        <v>37.757</v>
      </c>
      <c r="N5" s="23" t="n">
        <v>47.39</v>
      </c>
    </row>
    <row r="6">
      <c r="A6" s="19" t="inlineStr">
        <is>
          <t>SG&amp;A &amp; Other</t>
        </is>
      </c>
      <c r="B6" s="23" t="n">
        <v>1.99</v>
      </c>
      <c r="C6" s="23" t="n">
        <v>7.449</v>
      </c>
      <c r="D6" s="23" t="n">
        <v>6.2</v>
      </c>
      <c r="E6" s="23" t="n">
        <v>10.277</v>
      </c>
      <c r="F6" s="23" t="n">
        <v>7.635</v>
      </c>
      <c r="G6" s="23" t="n">
        <v>5.269</v>
      </c>
      <c r="H6" s="23" t="n">
        <v>7.143</v>
      </c>
      <c r="I6" s="23" t="n">
        <v>18.198</v>
      </c>
      <c r="J6" s="23" t="n">
        <v>9.388</v>
      </c>
      <c r="K6" s="23" t="n">
        <v>6.305</v>
      </c>
      <c r="L6" s="23" t="n">
        <v>4.662</v>
      </c>
      <c r="M6" s="23" t="n">
        <v>4.714</v>
      </c>
      <c r="N6" s="23" t="n">
        <v>8.295</v>
      </c>
    </row>
    <row r="7">
      <c r="A7" s="2" t="inlineStr">
        <is>
          <t>Operating Expense</t>
        </is>
      </c>
      <c r="B7" s="23">
        <f>SUM(B5:B6)</f>
        <v>9.924999999999999</v>
      </c>
      <c r="C7" s="23">
        <f>SUM(C5:C6)</f>
        <v>21.778</v>
      </c>
      <c r="D7" s="23">
        <f>SUM(D5:D6)</f>
        <v>37.51</v>
      </c>
      <c r="E7" s="23">
        <f>SUM(E5:E6)</f>
        <v>52.763</v>
      </c>
      <c r="F7" s="23">
        <f>SUM(F5:F6)</f>
        <v>34.059</v>
      </c>
      <c r="G7" s="23">
        <f>SUM(G5:G6)</f>
        <v>20.994</v>
      </c>
      <c r="H7" s="23">
        <f>SUM(H5:H6)</f>
        <v>31.233</v>
      </c>
      <c r="I7" s="23">
        <f>SUM(I5:I6)</f>
        <v>27.725</v>
      </c>
      <c r="J7" s="23">
        <f>SUM(J5:J6)</f>
        <v>37.656</v>
      </c>
      <c r="K7" s="23">
        <f>SUM(K5:K6)</f>
        <v>37.849000000000004</v>
      </c>
      <c r="L7" s="23">
        <f>SUM(L5:L6)</f>
        <v>37.51</v>
      </c>
      <c r="M7" s="23">
        <f>SUM(M5:M6)</f>
        <v>42.471</v>
      </c>
      <c r="N7" s="23">
        <f>SUM(N5:N6)</f>
        <v>55.685</v>
      </c>
    </row>
    <row r="8">
      <c r="A8" s="2" t="inlineStr">
        <is>
          <t>Operating Income</t>
        </is>
      </c>
      <c r="B8" s="23">
        <f>B4-B7</f>
        <v>-9.924999999999999</v>
      </c>
      <c r="C8" s="23">
        <f>C4-C7</f>
        <v>-21.778</v>
      </c>
      <c r="D8" s="23">
        <f>D4-D7</f>
        <v>-37.51</v>
      </c>
      <c r="E8" s="23">
        <f>E4-E7</f>
        <v>-52.763</v>
      </c>
      <c r="F8" s="23">
        <f>F4-F7</f>
        <v>-34.059</v>
      </c>
      <c r="G8" s="23">
        <f>G4-G7</f>
        <v>-20.994</v>
      </c>
      <c r="H8" s="23">
        <f>H4-H7</f>
        <v>-31.233</v>
      </c>
      <c r="I8" s="23">
        <f>I4-I7</f>
        <v>-18.276000000000003</v>
      </c>
      <c r="J8" s="23">
        <f>J4-J7</f>
        <v>-25.082</v>
      </c>
      <c r="K8" s="23">
        <f>K4-K7</f>
        <v>-34.49</v>
      </c>
      <c r="L8" s="23">
        <f>L4-L7</f>
        <v>-37.51</v>
      </c>
      <c r="M8" s="23">
        <f>M4-M7</f>
        <v>-42.471</v>
      </c>
      <c r="N8" s="23">
        <f>N4-N7</f>
        <v>-55.685</v>
      </c>
    </row>
    <row r="9">
      <c r="A9" s="19" t="inlineStr">
        <is>
          <t>Interest &amp; Other</t>
        </is>
      </c>
      <c r="B9" s="23" t="n">
        <v>-0.002</v>
      </c>
      <c r="C9" s="23" t="n">
        <v>0.054</v>
      </c>
      <c r="D9" s="23" t="n">
        <v>0.027</v>
      </c>
      <c r="E9" s="23" t="n">
        <v>0.002</v>
      </c>
      <c r="F9" s="23" t="n">
        <v>0.909</v>
      </c>
      <c r="G9" s="23" t="n">
        <v>-0.144</v>
      </c>
      <c r="H9" s="23" t="n">
        <v>749.686</v>
      </c>
      <c r="I9" s="23" t="n">
        <v>5.449</v>
      </c>
      <c r="J9" s="23" t="n">
        <v>-0.376</v>
      </c>
      <c r="K9" s="23" t="n">
        <v>0.902</v>
      </c>
      <c r="L9" s="23" t="n">
        <v>13.194</v>
      </c>
      <c r="M9" s="23" t="n">
        <v>3.909</v>
      </c>
      <c r="N9" s="23" t="n">
        <v>10.38</v>
      </c>
    </row>
    <row r="10">
      <c r="A10" s="2" t="inlineStr">
        <is>
          <t>Pretax</t>
        </is>
      </c>
      <c r="B10" s="23">
        <f>B8+B9</f>
        <v>-9.927</v>
      </c>
      <c r="C10" s="23">
        <f>C8+C9</f>
        <v>-21.724</v>
      </c>
      <c r="D10" s="23">
        <f>D8+D9</f>
        <v>-37.483</v>
      </c>
      <c r="E10" s="23">
        <f>E8+E9</f>
        <v>-52.760999999999996</v>
      </c>
      <c r="F10" s="23">
        <f>F8+F9</f>
        <v>-33.15</v>
      </c>
      <c r="G10" s="23">
        <f>G8+G9</f>
        <v>-21.137999999999998</v>
      </c>
      <c r="H10" s="23">
        <f>H8+H9</f>
        <v>718.4530000000001</v>
      </c>
      <c r="I10" s="23">
        <f>I8+I9</f>
        <v>-12.827000000000004</v>
      </c>
      <c r="J10" s="23">
        <f>J8+J9</f>
        <v>-25.458000000000002</v>
      </c>
      <c r="K10" s="23">
        <f>K8+K9</f>
        <v>-33.588</v>
      </c>
      <c r="L10" s="23">
        <f>L8+L9</f>
        <v>-24.315999999999995</v>
      </c>
      <c r="M10" s="23">
        <f>M8+M9</f>
        <v>-38.562</v>
      </c>
      <c r="N10" s="23">
        <f>N8+N9</f>
        <v>-45.305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49.824</v>
      </c>
      <c r="I11" s="23" t="n">
        <v>-1.606</v>
      </c>
      <c r="J11" s="23" t="n">
        <v>-8.044</v>
      </c>
      <c r="K11" s="23" t="n">
        <v>-0.6879999999999999</v>
      </c>
      <c r="L11" s="23" t="n">
        <v>0.244</v>
      </c>
      <c r="M11" s="23" t="n">
        <v>-0.032</v>
      </c>
      <c r="N11" s="23" t="n">
        <v>0.235</v>
      </c>
    </row>
    <row r="12">
      <c r="A12" s="2" t="inlineStr">
        <is>
          <t>Net Income</t>
        </is>
      </c>
      <c r="B12" s="23" t="n">
        <v>-9.927</v>
      </c>
      <c r="C12" s="23" t="n">
        <v>-21.724</v>
      </c>
      <c r="D12" s="23" t="n">
        <v>-37.483</v>
      </c>
      <c r="E12" s="23" t="n">
        <v>-52.761</v>
      </c>
      <c r="F12" s="23" t="n">
        <v>-33.15</v>
      </c>
      <c r="G12" s="23" t="n">
        <v>-21.138</v>
      </c>
      <c r="H12" s="23" t="n">
        <v>668.629</v>
      </c>
      <c r="I12" s="23" t="n">
        <v>-11.221</v>
      </c>
      <c r="J12" s="23" t="n">
        <v>-17.414</v>
      </c>
      <c r="K12" s="23" t="n">
        <v>-32.9</v>
      </c>
      <c r="L12" s="23" t="n">
        <v>-24.56</v>
      </c>
      <c r="M12" s="23" t="n">
        <v>-38.53</v>
      </c>
      <c r="N12" s="23" t="n">
        <v>-45.54</v>
      </c>
    </row>
    <row r="13">
      <c r="A13" s="2" t="inlineStr">
        <is>
          <t>Earnings per Share</t>
        </is>
      </c>
      <c r="B13" s="11">
        <f>IFERROR(B12/B14,0)</f>
        <v>-0.44675967596759675</v>
      </c>
      <c r="C13" s="11">
        <f>IFERROR(C12/C14,0)</f>
        <v>-0.8990605471174937</v>
      </c>
      <c r="D13" s="11">
        <f>IFERROR(D12/D14,0)</f>
        <v>-1.2169014999026035</v>
      </c>
      <c r="E13" s="11">
        <f>IFERROR(E12/E14,0)</f>
        <v>-1.6282751597074347</v>
      </c>
      <c r="F13" s="11">
        <f>IFERROR(F12/F14,0)</f>
        <v>-0.9505103796306916</v>
      </c>
      <c r="G13" s="11">
        <f>IFERROR(G12/G14,0)</f>
        <v>-0.5903809630208915</v>
      </c>
      <c r="H13" s="11">
        <f>IFERROR(H12/H14,0)</f>
        <v>14.43530732528768</v>
      </c>
      <c r="I13" s="11">
        <f>IFERROR(I12/I14,0)</f>
        <v>-0.3640463290400026</v>
      </c>
      <c r="J13" s="11">
        <f>IFERROR(J12/J14,0)</f>
        <v>-0.5796358552741072</v>
      </c>
      <c r="K13" s="11">
        <f>IFERROR(K12/K14,0)</f>
        <v>-1.0808502250402443</v>
      </c>
      <c r="L13" s="11">
        <f>IFERROR(L12/L14,0)</f>
        <v>-0.8068861291806295</v>
      </c>
      <c r="M13" s="11">
        <f>IFERROR(M12/M14,0)</f>
        <v>-1.2648960966481733</v>
      </c>
      <c r="N13" s="11">
        <f>IFERROR(N12/N14,0)</f>
        <v>-1.4937024403043822</v>
      </c>
    </row>
    <row r="14">
      <c r="A14" s="2" t="inlineStr">
        <is>
          <t>Shares</t>
        </is>
      </c>
      <c r="B14" s="23" t="n">
        <v>22.22</v>
      </c>
      <c r="C14" s="23" t="n">
        <v>24.163</v>
      </c>
      <c r="D14" s="23" t="n">
        <v>30.802</v>
      </c>
      <c r="E14" s="23" t="n">
        <v>32.403</v>
      </c>
      <c r="F14" s="23" t="n">
        <v>34.876</v>
      </c>
      <c r="G14" s="23" t="n">
        <v>35.804</v>
      </c>
      <c r="H14" s="23" t="n">
        <v>46.319</v>
      </c>
      <c r="I14" s="23" t="n">
        <v>30.823</v>
      </c>
      <c r="J14" s="23" t="n">
        <v>30.043</v>
      </c>
      <c r="K14" s="23" t="n">
        <v>30.439</v>
      </c>
      <c r="L14" s="23" t="n">
        <v>30.438</v>
      </c>
      <c r="M14" s="23" t="n">
        <v>30.461</v>
      </c>
      <c r="N14" s="23" t="n">
        <v>30.488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-0.5819260404118463</v>
      </c>
      <c r="K16" s="15">
        <f>IFERROR(K2/J2-1,"")</f>
        <v>-0.7819941285201696</v>
      </c>
      <c r="L16" s="15">
        <f>IFERROR(L2/K2-1,"")</f>
        <v>-1.0</v>
      </c>
      <c r="M16" s="15">
        <f>IFERROR(M2/L2-1,"")</f>
        <v/>
      </c>
      <c r="N16" s="15">
        <f>IFERROR(N2/M2-1,"")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0.21476464304384385</v>
      </c>
      <c r="J17" s="15">
        <f>IFERROR(J4/J2,"")</f>
        <v>0.6835924758073284</v>
      </c>
      <c r="K17" s="15">
        <f>IFERROR(K4/K2,"")</f>
        <v>0.8376558603491272</v>
      </c>
      <c r="L17" s="15">
        <f>IFERROR(L4/L2,"")</f>
        <v/>
      </c>
      <c r="M17" s="15">
        <f>IFERROR(M4/M2,"")</f>
        <v/>
      </c>
      <c r="N17" s="15">
        <f>IFERROR(N4/N2,"")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-0.415391958542628</v>
      </c>
      <c r="J18" s="15">
        <f>IFERROR(J8/J2,"")</f>
        <v>-1.3635968250516475</v>
      </c>
      <c r="K18" s="15">
        <f>IFERROR(K8/K2,"")</f>
        <v>-8.600997506234416</v>
      </c>
      <c r="L18" s="15">
        <f>IFERROR(L8/L2,"")</f>
        <v/>
      </c>
      <c r="M18" s="15">
        <f>IFERROR(M8/M2,"")</f>
        <v/>
      </c>
      <c r="N18" s="15">
        <f>IFERROR(N8/N2,"")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2026-10-21T01:06:06Z</dcterms:modified>
  <cp:lastModifiedBy>Wang, Eric</cp:lastModifiedBy>
</cp:coreProperties>
</file>