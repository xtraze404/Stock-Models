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Helus Pharma Inc.</t>
        </is>
      </c>
      <c r="C2" s="10" t="n"/>
    </row>
    <row r="3">
      <c r="B3" t="inlineStr">
        <is>
          <t>Price</t>
        </is>
      </c>
      <c r="C3" s="11">
        <f>INDEX([1]Pharma!$F$1:$F$1000,MATCH("HELP",[1]Pharma!$B$1:$B$1000,0))</f>
        <v>10.94</v>
      </c>
      <c r="F3" s="1" t="n"/>
    </row>
    <row r="4">
      <c r="B4" t="inlineStr">
        <is>
          <t>Shares</t>
        </is>
      </c>
      <c r="C4" s="21" t="n">
        <v>21.601208</v>
      </c>
      <c r="F4" s="1" t="n"/>
    </row>
    <row r="5">
      <c r="B5" t="inlineStr">
        <is>
          <t>Market Cap.</t>
        </is>
      </c>
      <c r="C5" s="13">
        <f>C3*C4</f>
        <v>236.31721552</v>
      </c>
      <c r="F5" s="1" t="n"/>
    </row>
    <row r="6"/>
    <row r="7">
      <c r="B7" t="inlineStr">
        <is>
          <t>Cash</t>
        </is>
      </c>
      <c r="C7" s="21">
        <f>(135.022)/1.4161</f>
        <v>95.34778617329285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140.96942934670716</v>
      </c>
    </row>
    <row r="10"/>
    <row r="11">
      <c r="B11" s="14" t="inlineStr">
        <is>
          <t>Net Cash / Share</t>
        </is>
      </c>
      <c r="C11" s="11">
        <f>(C7-C8)/C4</f>
        <v>4.414002502697666</v>
      </c>
    </row>
    <row r="12">
      <c r="B12" s="14" t="inlineStr">
        <is>
          <t>Upside</t>
        </is>
      </c>
      <c r="C12" s="15">
        <f>IFERROR(C11/C3-1,"")</f>
        <v>-0.5965262794609081</v>
      </c>
    </row>
    <row r="13">
      <c r="B13" s="14" t="inlineStr">
        <is>
          <t>Cash / Share</t>
        </is>
      </c>
      <c r="C13" s="11">
        <f>IFERROR((C7-C8)/C4,"")</f>
        <v>4.414002502697666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-71.53400000000001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1.332901643600146</v>
      </c>
    </row>
    <row r="19">
      <c r="B19" s="14" t="inlineStr">
        <is>
          <t>Implied Pipeline Value</t>
        </is>
      </c>
      <c r="C19" s="13">
        <f>C9</f>
        <v>140.96942934670716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0.61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0.469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0.14100000000000001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2.33</v>
      </c>
      <c r="C5" s="23" t="n">
        <v>12.419</v>
      </c>
      <c r="D5" s="23" t="n">
        <v>18.001</v>
      </c>
      <c r="E5" s="23" t="n">
        <v>22.853</v>
      </c>
      <c r="F5" s="23" t="n">
        <v>38.776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18.897</v>
      </c>
      <c r="C6" s="23" t="n">
        <v>32.662</v>
      </c>
      <c r="D6" s="23" t="n">
        <v>18.379</v>
      </c>
      <c r="E6" s="23" t="n">
        <v>32.818</v>
      </c>
      <c r="F6" s="23" t="n">
        <v>62.31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21.226999999999997</v>
      </c>
      <c r="C7" s="23">
        <f>SUM(C5:C6)</f>
        <v>45.081</v>
      </c>
      <c r="D7" s="23">
        <f>SUM(D5:D6)</f>
        <v>36.38</v>
      </c>
      <c r="E7" s="23">
        <f>SUM(E5:E6)</f>
        <v>55.671</v>
      </c>
      <c r="F7" s="23">
        <f>SUM(F5:F6)</f>
        <v>101.08600000000001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-21.086</v>
      </c>
      <c r="C8" s="23">
        <f>C4-C7</f>
        <v>-45.081</v>
      </c>
      <c r="D8" s="23">
        <f>D4-D7</f>
        <v>-36.38</v>
      </c>
      <c r="E8" s="23">
        <f>E4-E7</f>
        <v>-55.671</v>
      </c>
      <c r="F8" s="23">
        <f>F4-F7</f>
        <v>-101.08600000000001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-1.667</v>
      </c>
      <c r="C9" s="23" t="n">
        <v>-2.678</v>
      </c>
      <c r="D9" s="23" t="n">
        <v>2.844</v>
      </c>
      <c r="E9" s="23" t="n">
        <v>0.534</v>
      </c>
      <c r="F9" s="23" t="n">
        <v>21.192</v>
      </c>
    </row>
    <row r="10">
      <c r="A10" s="2" t="inlineStr">
        <is>
          <t>Pretax</t>
        </is>
      </c>
      <c r="B10" s="23">
        <f>B8+B9</f>
        <v>-22.753</v>
      </c>
      <c r="C10" s="23">
        <f>C8+C9</f>
        <v>-47.759</v>
      </c>
      <c r="D10" s="23">
        <f>D8+D9</f>
        <v>-33.536</v>
      </c>
      <c r="E10" s="23">
        <f>E8+E9</f>
        <v>-55.137</v>
      </c>
      <c r="F10" s="23">
        <f>F8+F9</f>
        <v>-79.894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-22.753</v>
      </c>
      <c r="C12" s="23" t="n">
        <v>-47.759</v>
      </c>
      <c r="D12" s="23" t="n">
        <v>-33.536</v>
      </c>
      <c r="E12" s="23" t="n">
        <v>-55.137</v>
      </c>
      <c r="F12" s="23" t="n">
        <v>-79.893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-5.005059392872855</v>
      </c>
      <c r="C13" s="11">
        <f>IFERROR(C12/C14,0)</f>
        <v>-6.280773277222514</v>
      </c>
      <c r="D13" s="11">
        <f>IFERROR(D12/D14,0)</f>
        <v>-3.978645153636256</v>
      </c>
      <c r="E13" s="11">
        <f>IFERROR(E12/E14,0)</f>
        <v>-6.6454140050620705</v>
      </c>
      <c r="F13" s="11">
        <f>IFERROR(F12/F14,0)</f>
        <v>-3.9507961625951933</v>
      </c>
    </row>
    <row r="14">
      <c r="A14" s="2" t="inlineStr">
        <is>
          <t>Shares</t>
        </is>
      </c>
      <c r="B14" s="23" t="n">
        <v>4.546</v>
      </c>
      <c r="C14" s="23" t="n">
        <v>7.604</v>
      </c>
      <c r="D14" s="23" t="n">
        <v>8.429</v>
      </c>
      <c r="E14" s="23" t="n">
        <v>8.297000000000001</v>
      </c>
      <c r="F14" s="23" t="n">
        <v>20.222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0.2311475409836066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-34.5672131147541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2026-10-21T06:26:33Z</dcterms:modified>
  <cp:lastModifiedBy>Wang, Eric</cp:lastModifiedBy>
</cp:coreProperties>
</file>