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Enveric Biosciences Inc</t>
        </is>
      </c>
      <c r="C2" s="10" t="n"/>
    </row>
    <row r="3">
      <c r="B3" t="inlineStr">
        <is>
          <t>Price</t>
        </is>
      </c>
      <c r="C3" s="11">
        <f>INDEX([1]Pharma!$F$1:$F$1000,MATCH("ENVB",[1]Pharma!$B$1:$B$1000,0))</f>
        <v>1.44</v>
      </c>
      <c r="F3" s="1" t="n"/>
    </row>
    <row r="4">
      <c r="B4" t="inlineStr">
        <is>
          <t>Shares</t>
        </is>
      </c>
      <c r="C4" s="21" t="n">
        <v>4.475884</v>
      </c>
      <c r="F4" s="1" t="n"/>
    </row>
    <row r="5">
      <c r="B5" t="inlineStr">
        <is>
          <t>Market Cap.</t>
        </is>
      </c>
      <c r="C5" s="13">
        <f>C3*C4</f>
        <v>6.44527296</v>
      </c>
      <c r="F5" s="1" t="n"/>
    </row>
    <row r="6"/>
    <row r="7">
      <c r="B7" t="inlineStr">
        <is>
          <t>Cash</t>
        </is>
      </c>
      <c r="C7" s="21" t="n">
        <v>8.296296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-1.8510230400000003</v>
      </c>
    </row>
    <row r="10"/>
    <row r="11">
      <c r="B11" s="14" t="inlineStr">
        <is>
          <t>Net Cash / Share</t>
        </is>
      </c>
      <c r="C11" s="11">
        <f>(C7-C8)/C4</f>
        <v>1.8535547391308622</v>
      </c>
    </row>
    <row r="12">
      <c r="B12" s="14" t="inlineStr">
        <is>
          <t>Upside</t>
        </is>
      </c>
      <c r="C12" s="15">
        <f>IFERROR(C11/C3-1,"")</f>
        <v>0.28719079106309886</v>
      </c>
    </row>
    <row r="13">
      <c r="B13" s="14" t="inlineStr">
        <is>
          <t>Cash / Share</t>
        </is>
      </c>
      <c r="C13" s="11">
        <f>IFERROR((C7-C8)/C4,"")</f>
        <v>1.8535547391308622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-8.561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0.9690802476346221</v>
      </c>
    </row>
    <row r="19">
      <c r="B19" s="14" t="inlineStr">
        <is>
          <t>Implied Pipeline Value</t>
        </is>
      </c>
      <c r="C19" s="13">
        <f>C9</f>
        <v>-1.8510230400000003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2010</v>
      </c>
      <c r="C1" s="17" t="n">
        <v>2011</v>
      </c>
      <c r="D1" s="17" t="n">
        <v>2012</v>
      </c>
      <c r="E1" s="17" t="n">
        <v>2013</v>
      </c>
      <c r="F1" s="17" t="n">
        <v>2014</v>
      </c>
      <c r="G1" s="17" t="n">
        <v>2015</v>
      </c>
      <c r="H1" s="17" t="n">
        <v>2016</v>
      </c>
      <c r="I1" s="17" t="n">
        <v>2017</v>
      </c>
      <c r="J1" s="17" t="n">
        <v>2018</v>
      </c>
      <c r="K1" s="17" t="n">
        <v>2019</v>
      </c>
      <c r="L1" s="17" t="n">
        <v>2020</v>
      </c>
      <c r="M1" s="17" t="n">
        <v>2021</v>
      </c>
      <c r="N1" s="17" t="n">
        <v>2022</v>
      </c>
      <c r="O1" s="17" t="n">
        <v>2023</v>
      </c>
      <c r="P1" s="17" t="n">
        <v>2024</v>
      </c>
      <c r="Q1" s="17" t="n">
        <v>2025</v>
      </c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6.144</v>
      </c>
      <c r="G2" s="23" t="n">
        <v>20.261</v>
      </c>
      <c r="H2" s="23" t="n">
        <v>36.146</v>
      </c>
      <c r="I2" s="23" t="n">
        <v>48.594</v>
      </c>
      <c r="J2" s="23" t="n">
        <v>42.998</v>
      </c>
      <c r="K2" s="23" t="n">
        <v>0.04</v>
      </c>
      <c r="L2" s="23" t="n">
        <v>0</v>
      </c>
      <c r="M2" s="23" t="n">
        <v>0</v>
      </c>
      <c r="N2" s="23" t="n">
        <v>0</v>
      </c>
      <c r="O2" s="23" t="n">
        <v>0</v>
      </c>
      <c r="P2" s="23" t="n">
        <v>0</v>
      </c>
      <c r="Q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5.233</v>
      </c>
      <c r="G3" s="23" t="n">
        <v>13.392</v>
      </c>
      <c r="H3" s="23" t="n">
        <v>29.217</v>
      </c>
      <c r="I3" s="23" t="n">
        <v>38.356</v>
      </c>
      <c r="J3" s="23" t="n">
        <v>34.015</v>
      </c>
      <c r="K3" s="23" t="n">
        <v>0.032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0.9110000000000005</v>
      </c>
      <c r="G4" s="23">
        <f>G2-G3</f>
        <v>6.869</v>
      </c>
      <c r="H4" s="23">
        <f>H2-H3</f>
        <v>6.929000000000002</v>
      </c>
      <c r="I4" s="23">
        <f>I2-I3</f>
        <v>10.238</v>
      </c>
      <c r="J4" s="23">
        <f>J2-J3</f>
        <v>8.982999999999997</v>
      </c>
      <c r="K4" s="23">
        <f>K2-K3</f>
        <v>0.008</v>
      </c>
      <c r="L4" s="23">
        <f>L2-L3</f>
        <v>0.0</v>
      </c>
      <c r="M4" s="23">
        <f>M2-M3</f>
        <v>0.0</v>
      </c>
      <c r="N4" s="23">
        <f>N2-N3</f>
        <v>0.0</v>
      </c>
      <c r="O4" s="23">
        <f>O2-O3</f>
        <v>0.0</v>
      </c>
      <c r="P4" s="23">
        <f>P2-P3</f>
        <v>0.0</v>
      </c>
      <c r="Q4" s="23">
        <f>Q2-Q3</f>
        <v>0.0</v>
      </c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</v>
      </c>
      <c r="E5" s="23" t="n">
        <v>0</v>
      </c>
      <c r="F5" s="23" t="n">
        <v>0</v>
      </c>
      <c r="G5" s="23" t="n">
        <v>0</v>
      </c>
      <c r="H5" s="23" t="n">
        <v>0.055</v>
      </c>
      <c r="I5" s="23" t="n">
        <v>0</v>
      </c>
      <c r="J5" s="23" t="n">
        <v>0</v>
      </c>
      <c r="K5" s="23" t="n">
        <v>0</v>
      </c>
      <c r="L5" s="23" t="n">
        <v>0.174</v>
      </c>
      <c r="M5" s="23" t="n">
        <v>4.789</v>
      </c>
      <c r="N5" s="23" t="n">
        <v>8.028</v>
      </c>
      <c r="O5" s="23" t="n">
        <v>7.252</v>
      </c>
      <c r="P5" s="23" t="n">
        <v>2.841</v>
      </c>
      <c r="Q5" s="23" t="n">
        <v>2.781</v>
      </c>
    </row>
    <row r="6">
      <c r="A6" s="19" t="inlineStr">
        <is>
          <t>SG&amp;A &amp; Other</t>
        </is>
      </c>
      <c r="B6" s="23" t="n">
        <v>0.036</v>
      </c>
      <c r="C6" s="23" t="n">
        <v>0.031</v>
      </c>
      <c r="D6" s="23" t="n">
        <v>0.023</v>
      </c>
      <c r="E6" s="23" t="n">
        <v>-0.027</v>
      </c>
      <c r="F6" s="23" t="n">
        <v>0.878</v>
      </c>
      <c r="G6" s="23" t="n">
        <v>7.664</v>
      </c>
      <c r="H6" s="23" t="n">
        <v>12.253</v>
      </c>
      <c r="I6" s="23" t="n">
        <v>21.134</v>
      </c>
      <c r="J6" s="23" t="n">
        <v>16.13</v>
      </c>
      <c r="K6" s="23" t="n">
        <v>2.305</v>
      </c>
      <c r="L6" s="23" t="n">
        <v>5.443</v>
      </c>
      <c r="M6" s="23" t="n">
        <v>59.835</v>
      </c>
      <c r="N6" s="23" t="n">
        <v>19.387</v>
      </c>
      <c r="O6" s="23" t="n">
        <v>9.196</v>
      </c>
      <c r="P6" s="23" t="n">
        <v>6.791</v>
      </c>
      <c r="Q6" s="23" t="n">
        <v>5.993</v>
      </c>
    </row>
    <row r="7">
      <c r="A7" s="2" t="inlineStr">
        <is>
          <t>Operating Expense</t>
        </is>
      </c>
      <c r="B7" s="23">
        <f>SUM(B5:B6)</f>
        <v>0.036</v>
      </c>
      <c r="C7" s="23">
        <f>SUM(C5:C6)</f>
        <v>0.031</v>
      </c>
      <c r="D7" s="23">
        <f>SUM(D5:D6)</f>
        <v>0.023</v>
      </c>
      <c r="E7" s="23">
        <f>SUM(E5:E6)</f>
        <v>-0.027</v>
      </c>
      <c r="F7" s="23">
        <f>SUM(F5:F6)</f>
        <v>0.878</v>
      </c>
      <c r="G7" s="23">
        <f>SUM(G5:G6)</f>
        <v>7.664</v>
      </c>
      <c r="H7" s="23">
        <f>SUM(H5:H6)</f>
        <v>12.308</v>
      </c>
      <c r="I7" s="23">
        <f>SUM(I5:I6)</f>
        <v>21.134</v>
      </c>
      <c r="J7" s="23">
        <f>SUM(J5:J6)</f>
        <v>16.13</v>
      </c>
      <c r="K7" s="23">
        <f>SUM(K5:K6)</f>
        <v>2.305</v>
      </c>
      <c r="L7" s="23">
        <f>SUM(L5:L6)</f>
        <v>5.617</v>
      </c>
      <c r="M7" s="23">
        <f>SUM(M5:M6)</f>
        <v>64.624</v>
      </c>
      <c r="N7" s="23">
        <f>SUM(N5:N6)</f>
        <v>27.415</v>
      </c>
      <c r="O7" s="23">
        <f>SUM(O5:O6)</f>
        <v>16.448</v>
      </c>
      <c r="P7" s="23">
        <f>SUM(P5:P6)</f>
        <v>9.632000000000001</v>
      </c>
      <c r="Q7" s="23">
        <f>SUM(Q5:Q6)</f>
        <v>8.774000000000001</v>
      </c>
    </row>
    <row r="8">
      <c r="A8" s="2" t="inlineStr">
        <is>
          <t>Operating Income</t>
        </is>
      </c>
      <c r="B8" s="23">
        <f>B4-B7</f>
        <v>-0.036</v>
      </c>
      <c r="C8" s="23">
        <f>C4-C7</f>
        <v>-0.031</v>
      </c>
      <c r="D8" s="23">
        <f>D4-D7</f>
        <v>-0.023</v>
      </c>
      <c r="E8" s="23">
        <f>E4-E7</f>
        <v>0.027</v>
      </c>
      <c r="F8" s="23">
        <f>F4-F7</f>
        <v>0.03300000000000047</v>
      </c>
      <c r="G8" s="23">
        <f>G4-G7</f>
        <v>-0.7949999999999999</v>
      </c>
      <c r="H8" s="23">
        <f>H4-H7</f>
        <v>-5.378999999999998</v>
      </c>
      <c r="I8" s="23">
        <f>I4-I7</f>
        <v>-10.896</v>
      </c>
      <c r="J8" s="23">
        <f>J4-J7</f>
        <v>-7.147000000000002</v>
      </c>
      <c r="K8" s="23">
        <f>K4-K7</f>
        <v>-2.297</v>
      </c>
      <c r="L8" s="23">
        <f>L4-L7</f>
        <v>-5.617</v>
      </c>
      <c r="M8" s="23">
        <f>M4-M7</f>
        <v>-64.624</v>
      </c>
      <c r="N8" s="23">
        <f>N4-N7</f>
        <v>-27.415</v>
      </c>
      <c r="O8" s="23">
        <f>O4-O7</f>
        <v>-16.448</v>
      </c>
      <c r="P8" s="23">
        <f>P4-P7</f>
        <v>-9.632000000000001</v>
      </c>
      <c r="Q8" s="23">
        <f>Q4-Q7</f>
        <v>-8.774000000000001</v>
      </c>
    </row>
    <row r="9">
      <c r="A9" s="19" t="inlineStr">
        <is>
          <t>Interest &amp; Other</t>
        </is>
      </c>
      <c r="B9" s="23" t="n">
        <v>0</v>
      </c>
      <c r="C9" s="23" t="n">
        <v>0</v>
      </c>
      <c r="D9" s="23" t="n">
        <v>-0</v>
      </c>
      <c r="E9" s="23" t="n">
        <v>-0.026</v>
      </c>
      <c r="F9" s="23" t="n">
        <v>-0.066</v>
      </c>
      <c r="G9" s="23" t="n">
        <v>-0.149</v>
      </c>
      <c r="H9" s="23" t="n">
        <v>-1.149</v>
      </c>
      <c r="I9" s="23" t="n">
        <v>-0.57</v>
      </c>
      <c r="J9" s="23" t="n">
        <v>-3.403</v>
      </c>
      <c r="K9" s="23" t="n">
        <v>0.275</v>
      </c>
      <c r="L9" s="23" t="n">
        <v>-1.247</v>
      </c>
      <c r="M9" s="23" t="n">
        <v>8.192</v>
      </c>
      <c r="N9" s="23" t="n">
        <v>7.458</v>
      </c>
      <c r="O9" s="23" t="n">
        <v>33.977</v>
      </c>
      <c r="P9" s="23" t="n">
        <v>19.241</v>
      </c>
      <c r="Q9" s="23" t="n">
        <v>20.874</v>
      </c>
    </row>
    <row r="10">
      <c r="A10" s="2" t="inlineStr">
        <is>
          <t>Pretax</t>
        </is>
      </c>
      <c r="B10" s="23">
        <f>B8+B9</f>
        <v>-0.036</v>
      </c>
      <c r="C10" s="23">
        <f>C8+C9</f>
        <v>-0.031</v>
      </c>
      <c r="D10" s="23">
        <f>D8+D9</f>
        <v>-0.023</v>
      </c>
      <c r="E10" s="23">
        <f>E8+E9</f>
        <v>0.0010000000000000009</v>
      </c>
      <c r="F10" s="23">
        <f>F8+F9</f>
        <v>-0.03299999999999953</v>
      </c>
      <c r="G10" s="23">
        <f>G8+G9</f>
        <v>-0.944</v>
      </c>
      <c r="H10" s="23">
        <f>H8+H9</f>
        <v>-6.527999999999998</v>
      </c>
      <c r="I10" s="23">
        <f>I8+I9</f>
        <v>-11.466000000000001</v>
      </c>
      <c r="J10" s="23">
        <f>J8+J9</f>
        <v>-10.550000000000002</v>
      </c>
      <c r="K10" s="23">
        <f>K8+K9</f>
        <v>-2.0220000000000002</v>
      </c>
      <c r="L10" s="23">
        <f>L8+L9</f>
        <v>-6.864</v>
      </c>
      <c r="M10" s="23">
        <f>M8+M9</f>
        <v>-56.431999999999995</v>
      </c>
      <c r="N10" s="23">
        <f>N8+N9</f>
        <v>-19.957</v>
      </c>
      <c r="O10" s="23">
        <f>O8+O9</f>
        <v>17.528999999999996</v>
      </c>
      <c r="P10" s="23">
        <f>P8+P9</f>
        <v>9.608999999999998</v>
      </c>
      <c r="Q10" s="23">
        <f>Q8+Q9</f>
        <v>12.099999999999998</v>
      </c>
    </row>
    <row r="11">
      <c r="A11" s="2" t="inlineStr">
        <is>
          <t>Taxes</t>
        </is>
      </c>
      <c r="B11" s="23" t="n">
        <v>0.004</v>
      </c>
      <c r="C11" s="23" t="n">
        <v>0.002</v>
      </c>
      <c r="D11" s="23" t="n">
        <v>0.002</v>
      </c>
      <c r="E11" s="23" t="n">
        <v>0.001</v>
      </c>
      <c r="F11" s="23" t="n">
        <v>0.001</v>
      </c>
      <c r="G11" s="23" t="n">
        <v>-0.128</v>
      </c>
      <c r="H11" s="23" t="n">
        <v>-3.748</v>
      </c>
      <c r="I11" s="23" t="n">
        <v>-2.392</v>
      </c>
      <c r="J11" s="23" t="n">
        <v>6.349</v>
      </c>
      <c r="K11" s="23" t="n">
        <v>0.389</v>
      </c>
      <c r="L11" s="23" t="n">
        <v>0</v>
      </c>
      <c r="M11" s="23" t="n">
        <v>-7.455</v>
      </c>
      <c r="N11" s="23" t="n">
        <v>-1.486</v>
      </c>
      <c r="O11" s="23" t="n">
        <v>0.029</v>
      </c>
      <c r="P11" s="23" t="n">
        <v>0.008999999999999999</v>
      </c>
      <c r="Q11" s="23" t="n">
        <v>0</v>
      </c>
    </row>
    <row r="12">
      <c r="A12" s="2" t="inlineStr">
        <is>
          <t>Net Income</t>
        </is>
      </c>
      <c r="B12" s="23" t="n">
        <v>-0.039</v>
      </c>
      <c r="C12" s="23" t="n">
        <v>-0.033</v>
      </c>
      <c r="D12" s="23" t="n">
        <v>-0.025</v>
      </c>
      <c r="E12" s="23" t="n">
        <v>-0</v>
      </c>
      <c r="F12" s="23" t="n">
        <v>-0.034</v>
      </c>
      <c r="G12" s="23" t="n">
        <v>-0.8139999999999999</v>
      </c>
      <c r="H12" s="23" t="n">
        <v>-2.781</v>
      </c>
      <c r="I12" s="23" t="n">
        <v>-9.074999999999999</v>
      </c>
      <c r="J12" s="23" t="n">
        <v>-16.898</v>
      </c>
      <c r="K12" s="23" t="n">
        <v>-2.411</v>
      </c>
      <c r="L12" s="23" t="n">
        <v>-6.865</v>
      </c>
      <c r="M12" s="23" t="n">
        <v>-48.977</v>
      </c>
      <c r="N12" s="23" t="n">
        <v>-18.471</v>
      </c>
      <c r="O12" s="23" t="n">
        <v>17.5</v>
      </c>
      <c r="P12" s="23" t="n">
        <v>9.6</v>
      </c>
      <c r="Q12" s="23" t="n">
        <v>12.1</v>
      </c>
    </row>
    <row r="13">
      <c r="A13" s="2" t="inlineStr">
        <is>
          <t>Earnings per Share</t>
        </is>
      </c>
      <c r="B13" s="11">
        <f>IFERROR(B12/B14,0)</f>
        <v>-0.13131313131313133</v>
      </c>
      <c r="C13" s="11">
        <f>IFERROR(C12/C14,0)</f>
        <v>-0.08527131782945736</v>
      </c>
      <c r="D13" s="11">
        <f>IFERROR(D12/D14,0)</f>
        <v>-0.04504504504504504</v>
      </c>
      <c r="E13" s="11">
        <f>IFERROR(E12/E14,0)</f>
        <v>0.0</v>
      </c>
      <c r="F13" s="11">
        <f>IFERROR(F12/F14,0)</f>
        <v>-0.061371841155234655</v>
      </c>
      <c r="G13" s="11">
        <f>IFERROR(G12/G14,0)</f>
        <v>-1.4666666666666663</v>
      </c>
      <c r="H13" s="11">
        <f>IFERROR(H12/H14,0)</f>
        <v>-4.258805513016846</v>
      </c>
      <c r="I13" s="11">
        <f>IFERROR(I12/I14,0)</f>
        <v>-12.116154873164218</v>
      </c>
      <c r="J13" s="11">
        <f>IFERROR(J12/J14,0)</f>
        <v>-22.204993429697765</v>
      </c>
      <c r="K13" s="11">
        <f>IFERROR(K12/K14,0)</f>
        <v>-1.4157369348209043</v>
      </c>
      <c r="L13" s="11">
        <f>IFERROR(L12/L14,0)</f>
        <v>-1.4914186400173801</v>
      </c>
      <c r="M13" s="11">
        <f>IFERROR(M12/M14,0)</f>
        <v>-2.5921985815602837</v>
      </c>
      <c r="N13" s="11">
        <f>IFERROR(N12/N14,0)</f>
        <v>-15.964563526361278</v>
      </c>
      <c r="O13" s="11">
        <f>IFERROR(O12/O14,0)</f>
        <v>15.190972222222223</v>
      </c>
      <c r="P13" s="11">
        <f>IFERROR(P12/P14,0)</f>
        <v>28.656716417910445</v>
      </c>
      <c r="Q13" s="11">
        <f>IFERROR(Q12/Q14,0)</f>
        <v>36.11940298507462</v>
      </c>
    </row>
    <row r="14">
      <c r="A14" s="2" t="inlineStr">
        <is>
          <t>Shares</t>
        </is>
      </c>
      <c r="B14" s="23" t="n">
        <v>0.297</v>
      </c>
      <c r="C14" s="23" t="n">
        <v>0.387</v>
      </c>
      <c r="D14" s="23" t="n">
        <v>0.555</v>
      </c>
      <c r="E14" s="23" t="n">
        <v>0.555</v>
      </c>
      <c r="F14" s="23" t="n">
        <v>0.554</v>
      </c>
      <c r="G14" s="23" t="n">
        <v>0.555</v>
      </c>
      <c r="H14" s="23" t="n">
        <v>0.653</v>
      </c>
      <c r="I14" s="23" t="n">
        <v>0.749</v>
      </c>
      <c r="J14" s="23" t="n">
        <v>0.761</v>
      </c>
      <c r="K14" s="23" t="n">
        <v>1.703</v>
      </c>
      <c r="L14" s="23" t="n">
        <v>4.603</v>
      </c>
      <c r="M14" s="23" t="n">
        <v>18.894</v>
      </c>
      <c r="N14" s="23" t="n">
        <v>1.157</v>
      </c>
      <c r="O14" s="23" t="n">
        <v>1.152</v>
      </c>
      <c r="P14" s="23" t="n">
        <v>0.335</v>
      </c>
      <c r="Q14" s="23" t="n">
        <v>0.335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>2.297688802083333</v>
      </c>
      <c r="H16" s="15">
        <f>IFERROR(H2/G2-1,"")</f>
        <v>0.7840185578204433</v>
      </c>
      <c r="I16" s="15">
        <f>IFERROR(I2/H2-1,"")</f>
        <v>0.34438112100924023</v>
      </c>
      <c r="J16" s="15">
        <f>IFERROR(J2/I2-1,"")</f>
        <v>-0.11515824998971069</v>
      </c>
      <c r="K16" s="15">
        <f>IFERROR(K2/J2-1,"")</f>
        <v>-0.9990697241732174</v>
      </c>
      <c r="L16" s="15">
        <f>IFERROR(L2/K2-1,"")</f>
        <v>-1.0</v>
      </c>
      <c r="M16" s="15">
        <f>IFERROR(M2/L2-1,"")</f>
        <v/>
      </c>
      <c r="N16" s="15">
        <f>IFERROR(N2/M2-1,"")</f>
        <v/>
      </c>
      <c r="O16" s="15">
        <f>IFERROR(O2/N2-1,"")</f>
        <v/>
      </c>
      <c r="P16" s="15">
        <f>IFERROR(P2/O2-1,"")</f>
        <v/>
      </c>
      <c r="Q16" s="15">
        <f>IFERROR(Q2/P2-1,"")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>0.1482747395833334</v>
      </c>
      <c r="G17" s="15">
        <f>IFERROR(G4/G2,"")</f>
        <v>0.3390257144267312</v>
      </c>
      <c r="H17" s="15">
        <f>IFERROR(H4/H2,"")</f>
        <v>0.19169479333812875</v>
      </c>
      <c r="I17" s="15">
        <f>IFERROR(I4/I2,"")</f>
        <v>0.2106844466395028</v>
      </c>
      <c r="J17" s="15">
        <f>IFERROR(J4/J2,"")</f>
        <v>0.20891669379971156</v>
      </c>
      <c r="K17" s="15">
        <f>IFERROR(K4/K2,"")</f>
        <v>0.2</v>
      </c>
      <c r="L17" s="15">
        <f>IFERROR(L4/L2,"")</f>
        <v/>
      </c>
      <c r="M17" s="15">
        <f>IFERROR(M4/M2,"")</f>
        <v/>
      </c>
      <c r="N17" s="15">
        <f>IFERROR(N4/N2,"")</f>
        <v/>
      </c>
      <c r="O17" s="15">
        <f>IFERROR(O4/O2,"")</f>
        <v/>
      </c>
      <c r="P17" s="15">
        <f>IFERROR(P4/P2,"")</f>
        <v/>
      </c>
      <c r="Q17" s="15">
        <f>IFERROR(Q4/Q2,"")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>0.005371093750000077</v>
      </c>
      <c r="G18" s="15">
        <f>IFERROR(G8/G2,"")</f>
        <v>-0.03923794482009772</v>
      </c>
      <c r="H18" s="15">
        <f>IFERROR(H8/H2,"")</f>
        <v>-0.14881314668289708</v>
      </c>
      <c r="I18" s="15">
        <f>IFERROR(I8/I2,"")</f>
        <v>-0.22422521298925793</v>
      </c>
      <c r="J18" s="15">
        <f>IFERROR(J8/J2,"")</f>
        <v>-0.16621703335038845</v>
      </c>
      <c r="K18" s="15">
        <f>IFERROR(K8/K2,"")</f>
        <v>-57.425000000000004</v>
      </c>
      <c r="L18" s="15">
        <f>IFERROR(L8/L2,"")</f>
        <v/>
      </c>
      <c r="M18" s="15">
        <f>IFERROR(M8/M2,"")</f>
        <v/>
      </c>
      <c r="N18" s="15">
        <f>IFERROR(N8/N2,"")</f>
        <v/>
      </c>
      <c r="O18" s="15">
        <f>IFERROR(O8/O2,"")</f>
        <v/>
      </c>
      <c r="P18" s="15">
        <f>IFERROR(P8/P2,"")</f>
        <v/>
      </c>
      <c r="Q18" s="15">
        <f>IFERROR(Q8/Q2,"")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2026-10-21T01:06:44Z</dcterms:modified>
  <cp:lastModifiedBy>Wang, Eric</cp:lastModifiedBy>
</cp:coreProperties>
</file>