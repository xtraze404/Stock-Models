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Journey Medical Corp</t>
        </is>
      </c>
      <c r="C2" s="10" t="n"/>
    </row>
    <row r="3">
      <c r="B3" t="inlineStr">
        <is>
          <t>Price</t>
        </is>
      </c>
      <c r="C3" s="11">
        <f>INDEX([1]Pharma!$F$1:$F$1000,MATCH("DERM",[1]Pharma!$B$1:$B$1000,0))</f>
        <v>5.22</v>
      </c>
      <c r="F3" s="1" t="n"/>
    </row>
    <row r="4">
      <c r="B4" t="inlineStr">
        <is>
          <t>Shares</t>
        </is>
      </c>
      <c r="C4" s="51" t="n">
        <v>28.224395</v>
      </c>
      <c r="F4" s="1" t="n"/>
    </row>
    <row r="5">
      <c r="B5" t="inlineStr">
        <is>
          <t>Market Cap.</t>
        </is>
      </c>
      <c r="C5" s="13">
        <f>C3*C4</f>
        <v>147.3313419</v>
      </c>
      <c r="F5" s="1" t="n"/>
    </row>
    <row r="6"/>
    <row r="7">
      <c r="B7" t="inlineStr">
        <is>
          <t>Cash</t>
        </is>
      </c>
      <c r="C7" s="51" t="n">
        <v>25.643</v>
      </c>
    </row>
    <row r="8">
      <c r="B8" t="inlineStr">
        <is>
          <t>Debt</t>
        </is>
      </c>
      <c r="C8" s="51">
        <f>5+20.472</f>
        <v>25.472</v>
      </c>
    </row>
    <row r="9">
      <c r="B9" t="inlineStr">
        <is>
          <t>Enterprise V.</t>
        </is>
      </c>
      <c r="C9" s="13">
        <f>C5-C7+C8</f>
        <v>147.16034190000002</v>
      </c>
    </row>
    <row r="10"/>
    <row r="11">
      <c r="B11" s="14" t="inlineStr">
        <is>
          <t>NPV / Share</t>
        </is>
      </c>
      <c r="C11" s="11">
        <f>NPV!B28</f>
        <v>3.182176788448425</v>
      </c>
    </row>
    <row r="12">
      <c r="B12" s="14" t="inlineStr">
        <is>
          <t>Upside</t>
        </is>
      </c>
      <c r="C12" s="15">
        <f>IFERROR(C11/C3-1,"")</f>
        <v>-0.390387588419842</v>
      </c>
    </row>
    <row r="13">
      <c r="B13" s="14" t="inlineStr">
        <is>
          <t>Cash / Share</t>
        </is>
      </c>
      <c r="C13" s="11">
        <f>IFERROR((C7-C8)/C4,"")</f>
        <v>0.006058588678340116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2020</v>
      </c>
      <c r="C1" s="16" t="n">
        <v>2021</v>
      </c>
      <c r="D1" s="16" t="n">
        <v>2022</v>
      </c>
      <c r="E1" s="16" t="n">
        <v>2023</v>
      </c>
      <c r="F1" s="16" t="n">
        <v>2024</v>
      </c>
      <c r="G1" s="16" t="n">
        <v>2025</v>
      </c>
      <c r="H1" s="16" t="n">
        <v>2026</v>
      </c>
      <c r="I1" s="16" t="n">
        <v>2027</v>
      </c>
      <c r="J1" s="16" t="n">
        <v>2028</v>
      </c>
      <c r="K1" s="16" t="n">
        <v>2029</v>
      </c>
      <c r="L1" s="16" t="n">
        <v>2030</v>
      </c>
      <c r="M1" s="16" t="n">
        <v>2031</v>
      </c>
      <c r="N1" s="16" t="n">
        <v>2032</v>
      </c>
      <c r="O1" s="16" t="n">
        <v>2033</v>
      </c>
      <c r="P1" s="16" t="n">
        <v>2034</v>
      </c>
      <c r="Q1" s="16" t="n">
        <v>2035</v>
      </c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44.531</v>
      </c>
      <c r="C2" s="52" t="n">
        <v>63.134</v>
      </c>
      <c r="D2" s="52" t="n">
        <v>73.669</v>
      </c>
      <c r="E2" s="52" t="n">
        <v>79.181</v>
      </c>
      <c r="F2" s="52" t="n">
        <v>56.134</v>
      </c>
      <c r="G2" s="52" t="n">
        <v>61.858</v>
      </c>
      <c r="H2" s="52">
        <f>G2*(1+NPV!C5)</f>
        <v>68.167516</v>
      </c>
      <c r="I2" s="52">
        <f>H2*(1+NPV!D5)</f>
        <v>74.53739166177779</v>
      </c>
      <c r="J2" s="52">
        <f>I2*(1+NPV!E5)</f>
        <v>80.86478802062203</v>
      </c>
      <c r="K2" s="52">
        <f>J2*(1+NPV!F5)</f>
        <v>87.03746683952951</v>
      </c>
      <c r="L2" s="52">
        <f>K2*(1+NPV!G5)</f>
        <v>92.93667292531984</v>
      </c>
      <c r="M2" s="52">
        <f>L2*(1+NPV!H5)</f>
        <v>98.44058922189713</v>
      </c>
      <c r="N2" s="52">
        <f>M2*(1+NPV!I5)</f>
        <v>103.42824574247325</v>
      </c>
      <c r="O2" s="52">
        <f>N2*(1+NPV!J5)</f>
        <v>107.78372409096185</v>
      </c>
      <c r="P2" s="52">
        <f>O2*(1+NPV!K5)</f>
        <v>111.40046683268079</v>
      </c>
      <c r="Q2" s="52">
        <f>P2*(1+NPV!L5)</f>
        <v>114.1854785034978</v>
      </c>
    </row>
    <row r="3" customFormat="1" s="1">
      <c r="A3" s="5" t="inlineStr">
        <is>
          <t>Cost of Sales</t>
        </is>
      </c>
      <c r="B3" s="52" t="n">
        <v>14.594</v>
      </c>
      <c r="C3" s="52" t="n">
        <v>32.084</v>
      </c>
      <c r="D3" s="52" t="n">
        <v>30.775</v>
      </c>
      <c r="E3" s="52" t="n">
        <v>22.893</v>
      </c>
      <c r="F3" s="52" t="n">
        <v>20.879</v>
      </c>
      <c r="G3" s="52" t="n">
        <v>20.924</v>
      </c>
      <c r="H3" s="52">
        <f>H2*(1-Assumptions!$B$19)</f>
        <v>23.061070662800006</v>
      </c>
      <c r="I3" s="52">
        <f>I2*(1-Assumptions!$B$19)</f>
        <v>25.21599959917943</v>
      </c>
      <c r="J3" s="52">
        <f>J2*(1-Assumptions!$B$19)</f>
        <v>27.356557787376435</v>
      </c>
      <c r="K3" s="52">
        <f>K2*(1-Assumptions!$B$19)</f>
        <v>29.44477503181284</v>
      </c>
      <c r="L3" s="52">
        <f>L2*(1-Assumptions!$B$19)</f>
        <v>31.440476450635707</v>
      </c>
      <c r="M3" s="52">
        <f>M2*(1-Assumptions!$B$19)</f>
        <v>33.302451333767806</v>
      </c>
      <c r="N3" s="52">
        <f>N2*(1-Assumptions!$B$19)</f>
        <v>34.98977553467871</v>
      </c>
      <c r="O3" s="52">
        <f>O2*(1-Assumptions!$B$19)</f>
        <v>36.4632338599724</v>
      </c>
      <c r="P3" s="52">
        <f>P2*(1-Assumptions!$B$19)</f>
        <v>37.68677792949592</v>
      </c>
      <c r="Q3" s="52">
        <f>Q2*(1-Assumptions!$B$19)</f>
        <v>38.62894737773331</v>
      </c>
    </row>
    <row r="4" customFormat="1" s="1">
      <c r="A4" s="5" t="inlineStr">
        <is>
          <t>Gross Margin</t>
        </is>
      </c>
      <c r="B4" s="52">
        <f>B2-B3</f>
        <v>29.936999999999998</v>
      </c>
      <c r="C4" s="52">
        <f>C2-C3</f>
        <v>31.049999999999997</v>
      </c>
      <c r="D4" s="52">
        <f>D2-D3</f>
        <v>42.894</v>
      </c>
      <c r="E4" s="52">
        <f>E2-E3</f>
        <v>56.288</v>
      </c>
      <c r="F4" s="52">
        <f>F2-F3</f>
        <v>35.254999999999995</v>
      </c>
      <c r="G4" s="52">
        <f>G2-G3</f>
        <v>40.934</v>
      </c>
      <c r="H4" s="52">
        <f>H2-H3</f>
        <v>45.1064453372</v>
      </c>
      <c r="I4" s="52">
        <f>I2-I3</f>
        <v>49.32139206259836</v>
      </c>
      <c r="J4" s="52">
        <f>J2-J3</f>
        <v>53.5082302332456</v>
      </c>
      <c r="K4" s="52">
        <f>K2-K3</f>
        <v>57.592691807716676</v>
      </c>
      <c r="L4" s="52">
        <f>L2-L3</f>
        <v>61.49619647468413</v>
      </c>
      <c r="M4" s="52">
        <f>M2-M3</f>
        <v>65.13813788812932</v>
      </c>
      <c r="N4" s="52">
        <f>N2-N3</f>
        <v>68.43847020779455</v>
      </c>
      <c r="O4" s="52">
        <f>O2-O3</f>
        <v>71.32049023098946</v>
      </c>
      <c r="P4" s="52">
        <f>P2-P3</f>
        <v>73.71368890318487</v>
      </c>
      <c r="Q4" s="52">
        <f>Q2-Q3</f>
        <v>75.5565311257645</v>
      </c>
    </row>
    <row r="5">
      <c r="A5" s="2" t="inlineStr">
        <is>
          <t>Research &amp; Dev.</t>
        </is>
      </c>
      <c r="B5" s="52" t="n">
        <v>0</v>
      </c>
      <c r="C5" s="52" t="n">
        <v>2.739</v>
      </c>
      <c r="D5" s="52" t="n">
        <v>10.943</v>
      </c>
      <c r="E5" s="52" t="n">
        <v>7.541</v>
      </c>
      <c r="F5" s="52" t="n">
        <v>9.856999999999999</v>
      </c>
      <c r="G5" s="52" t="n">
        <v>0.48</v>
      </c>
      <c r="H5" s="52">
        <f>H7*Assumptions!$B$20</f>
        <v>0.455196904526952</v>
      </c>
      <c r="I5" s="52">
        <f>I7*Assumptions!$B$20</f>
        <v>0.4799018406247567</v>
      </c>
      <c r="J5" s="52">
        <f>J7*Assumptions!$B$20</f>
        <v>0.5012958617904077</v>
      </c>
      <c r="K5" s="52">
        <f>K7*Assumptions!$B$20</f>
        <v>0.518740517164657</v>
      </c>
      <c r="L5" s="52">
        <f>L7*Assumptions!$B$20</f>
        <v>0.5316674716375234</v>
      </c>
      <c r="M5" s="52">
        <f>M7*Assumptions!$B$20</f>
        <v>0.5396052399186841</v>
      </c>
      <c r="N5" s="52">
        <f>N7*Assumptions!$B$20</f>
        <v>0.5422033406512079</v>
      </c>
      <c r="O5" s="52">
        <f>O7*Assumptions!$B$20</f>
        <v>0.5392523188645949</v>
      </c>
      <c r="P5" s="52">
        <f>P7*Assumptions!$B$20</f>
        <v>0.5306982331339376</v>
      </c>
      <c r="Q5" s="52">
        <f>Q7*Assumptions!$B$20</f>
        <v>0.5166504671656363</v>
      </c>
    </row>
    <row r="6">
      <c r="A6" s="18" t="inlineStr">
        <is>
          <t>SG&amp;A &amp; Other</t>
        </is>
      </c>
      <c r="B6" s="52" t="n">
        <v>22.086</v>
      </c>
      <c r="C6" s="52" t="n">
        <v>63.192</v>
      </c>
      <c r="D6" s="52" t="n">
        <v>59.468</v>
      </c>
      <c r="E6" s="52" t="n">
        <v>50.82</v>
      </c>
      <c r="F6" s="52" t="n">
        <v>39.075</v>
      </c>
      <c r="G6" s="52" t="n">
        <v>48.626</v>
      </c>
      <c r="H6" s="52">
        <f>H7-H5</f>
        <v>45.99346682271305</v>
      </c>
      <c r="I6" s="52">
        <f>I7-I5</f>
        <v>48.489673733330015</v>
      </c>
      <c r="J6" s="52">
        <f>J7-J5</f>
        <v>50.651343096414465</v>
      </c>
      <c r="K6" s="52">
        <f>K7-K5</f>
        <v>52.41396531596361</v>
      </c>
      <c r="L6" s="52">
        <f>L7-L5</f>
        <v>53.72011534851792</v>
      </c>
      <c r="M6" s="52">
        <f>M7-M5</f>
        <v>54.52215393545725</v>
      </c>
      <c r="N6" s="52">
        <f>N7-N5</f>
        <v>54.78466815437001</v>
      </c>
      <c r="O6" s="52">
        <f>O7-O5</f>
        <v>54.486494504053255</v>
      </c>
      <c r="P6" s="52">
        <f>P7-P5</f>
        <v>53.62218269890051</v>
      </c>
      <c r="Q6" s="52">
        <f>Q7-Q5</f>
        <v>52.20278495789929</v>
      </c>
    </row>
    <row r="7">
      <c r="A7" s="2" t="inlineStr">
        <is>
          <t>Operating Expense</t>
        </is>
      </c>
      <c r="B7" s="52">
        <f>SUM(B5:B6)</f>
        <v>22.086</v>
      </c>
      <c r="C7" s="52">
        <f>SUM(C5:C6)</f>
        <v>65.931</v>
      </c>
      <c r="D7" s="52">
        <f>SUM(D5:D6)</f>
        <v>70.411</v>
      </c>
      <c r="E7" s="52">
        <f>SUM(E5:E6)</f>
        <v>58.361000000000004</v>
      </c>
      <c r="F7" s="52">
        <f>SUM(F5:F6)</f>
        <v>48.932</v>
      </c>
      <c r="G7" s="52">
        <f>SUM(G5:G6)</f>
        <v>49.105999999999995</v>
      </c>
      <c r="H7" s="52">
        <f>H4-H2*NPV!C6</f>
        <v>46.44866372724</v>
      </c>
      <c r="I7" s="52">
        <f>I4-I2*NPV!D6</f>
        <v>48.96957557395477</v>
      </c>
      <c r="J7" s="52">
        <f>J4-J2*NPV!E6</f>
        <v>51.152638958204875</v>
      </c>
      <c r="K7" s="52">
        <f>K4-K2*NPV!F6</f>
        <v>52.93270583312827</v>
      </c>
      <c r="L7" s="52">
        <f>L4-L2*NPV!G6</f>
        <v>54.25178282015545</v>
      </c>
      <c r="M7" s="52">
        <f>M4-M2*NPV!H6</f>
        <v>55.06175917537593</v>
      </c>
      <c r="N7" s="52">
        <f>N4-N2*NPV!I6</f>
        <v>55.326871495021216</v>
      </c>
      <c r="O7" s="52">
        <f>O4-O2*NPV!J6</f>
        <v>55.02574682291785</v>
      </c>
      <c r="P7" s="52">
        <f>P4-P2*NPV!K6</f>
        <v>54.15288093203445</v>
      </c>
      <c r="Q7" s="52">
        <f>Q4-Q2*NPV!L6</f>
        <v>52.71943542506493</v>
      </c>
    </row>
    <row r="8">
      <c r="A8" s="2" t="inlineStr">
        <is>
          <t>Operating Income</t>
        </is>
      </c>
      <c r="B8" s="52">
        <f>B4-B7</f>
        <v>7.850999999999999</v>
      </c>
      <c r="C8" s="52">
        <f>C4-C7</f>
        <v>-34.881</v>
      </c>
      <c r="D8" s="52">
        <f>D4-D7</f>
        <v>-27.517000000000003</v>
      </c>
      <c r="E8" s="52">
        <f>E4-E7</f>
        <v>-2.0730000000000075</v>
      </c>
      <c r="F8" s="52">
        <f>F4-F7</f>
        <v>-13.677000000000007</v>
      </c>
      <c r="G8" s="52">
        <f>G4-G7</f>
        <v>-8.171999999999997</v>
      </c>
      <c r="H8" s="52">
        <f>H4-H7</f>
        <v>-1.3422183900400029</v>
      </c>
      <c r="I8" s="52">
        <f>I4-I7</f>
        <v>0.3518164886435926</v>
      </c>
      <c r="J8" s="52">
        <f>J4-J7</f>
        <v>2.355591275040723</v>
      </c>
      <c r="K8" s="52">
        <f>K4-K7</f>
        <v>4.659985974588409</v>
      </c>
      <c r="L8" s="52">
        <f>L4-L7</f>
        <v>7.244413654528685</v>
      </c>
      <c r="M8" s="52">
        <f>M4-M7</f>
        <v>10.076378712753389</v>
      </c>
      <c r="N8" s="52">
        <f>N4-N7</f>
        <v>13.111598712773336</v>
      </c>
      <c r="O8" s="52">
        <f>O4-O7</f>
        <v>16.29474340807161</v>
      </c>
      <c r="P8" s="52">
        <f>P4-P7</f>
        <v>19.560807971150425</v>
      </c>
      <c r="Q8" s="52">
        <f>Q4-Q7</f>
        <v>22.837095700699564</v>
      </c>
    </row>
    <row r="9">
      <c r="A9" s="18" t="inlineStr">
        <is>
          <t>Interest &amp; Other</t>
        </is>
      </c>
      <c r="B9" s="52" t="n">
        <v>-0.698</v>
      </c>
      <c r="C9" s="52" t="n">
        <v>-7.479</v>
      </c>
      <c r="D9" s="52" t="n">
        <v>-2.048</v>
      </c>
      <c r="E9" s="52" t="n">
        <v>-1.559</v>
      </c>
      <c r="F9" s="52" t="n">
        <v>-0.9340000000000001</v>
      </c>
      <c r="G9" s="52" t="n">
        <v>-3.199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</row>
    <row r="10">
      <c r="A10" s="2" t="inlineStr">
        <is>
          <t>Pretax</t>
        </is>
      </c>
      <c r="B10" s="52">
        <f>B8+B9</f>
        <v>7.152999999999999</v>
      </c>
      <c r="C10" s="52">
        <f>C8+C9</f>
        <v>-42.36</v>
      </c>
      <c r="D10" s="52">
        <f>D8+D9</f>
        <v>-29.565000000000005</v>
      </c>
      <c r="E10" s="52">
        <f>E8+E9</f>
        <v>-3.6320000000000077</v>
      </c>
      <c r="F10" s="52">
        <f>F8+F9</f>
        <v>-14.611000000000006</v>
      </c>
      <c r="G10" s="52">
        <f>G8+G9</f>
        <v>-11.370999999999997</v>
      </c>
      <c r="H10" s="52">
        <f>H8+H9</f>
        <v>-1.3422183900400029</v>
      </c>
      <c r="I10" s="52">
        <f>I8+I9</f>
        <v>0.3518164886435926</v>
      </c>
      <c r="J10" s="52">
        <f>J8+J9</f>
        <v>2.355591275040723</v>
      </c>
      <c r="K10" s="52">
        <f>K8+K9</f>
        <v>4.659985974588409</v>
      </c>
      <c r="L10" s="52">
        <f>L8+L9</f>
        <v>7.244413654528685</v>
      </c>
      <c r="M10" s="52">
        <f>M8+M9</f>
        <v>10.076378712753389</v>
      </c>
      <c r="N10" s="52">
        <f>N8+N9</f>
        <v>13.111598712773336</v>
      </c>
      <c r="O10" s="52">
        <f>O8+O9</f>
        <v>16.29474340807161</v>
      </c>
      <c r="P10" s="52">
        <f>P8+P9</f>
        <v>19.560807971150425</v>
      </c>
      <c r="Q10" s="52">
        <f>Q8+Q9</f>
        <v>22.837095700699564</v>
      </c>
    </row>
    <row r="11">
      <c r="A11" s="2" t="inlineStr">
        <is>
          <t>Taxes</t>
        </is>
      </c>
      <c r="B11" s="52" t="n">
        <v>1.87</v>
      </c>
      <c r="C11" s="52" t="n">
        <v>1.634</v>
      </c>
      <c r="D11" s="52" t="n">
        <v>0.063</v>
      </c>
      <c r="E11" s="52" t="n">
        <v>0.221</v>
      </c>
      <c r="F11" s="52" t="n">
        <v>0.061</v>
      </c>
      <c r="G11" s="52" t="n">
        <v>0.06</v>
      </c>
      <c r="H11" s="52">
        <f>MAX(0,H10)*Assumptions!$E$14</f>
        <v>0.0</v>
      </c>
      <c r="I11" s="52">
        <f>MAX(0,I10)*Assumptions!$E$14</f>
        <v>0.05980880306941075</v>
      </c>
      <c r="J11" s="52">
        <f>MAX(0,J10)*Assumptions!$E$14</f>
        <v>0.40045051675692295</v>
      </c>
      <c r="K11" s="52">
        <f>MAX(0,K10)*Assumptions!$E$14</f>
        <v>0.7921976156800296</v>
      </c>
      <c r="L11" s="52">
        <f>MAX(0,L10)*Assumptions!$E$14</f>
        <v>1.2315503212698766</v>
      </c>
      <c r="M11" s="52">
        <f>MAX(0,M10)*Assumptions!$E$14</f>
        <v>1.7129843811680763</v>
      </c>
      <c r="N11" s="52">
        <f>MAX(0,N10)*Assumptions!$E$14</f>
        <v>2.228971781171467</v>
      </c>
      <c r="O11" s="52">
        <f>MAX(0,O10)*Assumptions!$E$14</f>
        <v>2.770106379372174</v>
      </c>
      <c r="P11" s="52">
        <f>MAX(0,P10)*Assumptions!$E$14</f>
        <v>3.3253373550955723</v>
      </c>
      <c r="Q11" s="52">
        <f>MAX(0,Q10)*Assumptions!$E$14</f>
        <v>3.882306269118926</v>
      </c>
    </row>
    <row r="12">
      <c r="A12" s="2" t="inlineStr">
        <is>
          <t>Net Income</t>
        </is>
      </c>
      <c r="B12" s="52" t="n">
        <v>5.283</v>
      </c>
      <c r="C12" s="52" t="n">
        <v>-43.994</v>
      </c>
      <c r="D12" s="52" t="n">
        <v>-29.628</v>
      </c>
      <c r="E12" s="52" t="n">
        <v>-3.853</v>
      </c>
      <c r="F12" s="52" t="n">
        <v>-14.672</v>
      </c>
      <c r="G12" s="52" t="n">
        <v>-11.431</v>
      </c>
      <c r="H12" s="52">
        <f>H10-H11</f>
        <v>-1.3422183900400029</v>
      </c>
      <c r="I12" s="52">
        <f>I10-I11</f>
        <v>0.2920076855741819</v>
      </c>
      <c r="J12" s="52">
        <f>J10-J11</f>
        <v>1.9551407582838</v>
      </c>
      <c r="K12" s="52">
        <f>K10-K11</f>
        <v>3.8677883589083795</v>
      </c>
      <c r="L12" s="52">
        <f>L10-L11</f>
        <v>6.012863333258808</v>
      </c>
      <c r="M12" s="52">
        <f>M10-M11</f>
        <v>8.363394331585312</v>
      </c>
      <c r="N12" s="52">
        <f>N10-N11</f>
        <v>10.88262693160187</v>
      </c>
      <c r="O12" s="52">
        <f>O10-O11</f>
        <v>13.524637028699438</v>
      </c>
      <c r="P12" s="52">
        <f>P10-P11</f>
        <v>16.23547061605485</v>
      </c>
      <c r="Q12" s="52">
        <f>Q10-Q11</f>
        <v>18.954789431580636</v>
      </c>
    </row>
    <row r="13">
      <c r="A13" s="2" t="inlineStr">
        <is>
          <t>Earnings per Share</t>
        </is>
      </c>
      <c r="B13" s="11">
        <f>IFERROR(B12/B14,0)</f>
        <v>0.48754152823920266</v>
      </c>
      <c r="C13" s="11">
        <f>IFERROR(C12/C14,0)</f>
        <v>-4.317369970559372</v>
      </c>
      <c r="D13" s="11">
        <f>IFERROR(D12/D14,0)</f>
        <v>-1.6900347955051054</v>
      </c>
      <c r="E13" s="11">
        <f>IFERROR(E12/E14,0)</f>
        <v>-0.21133172444054413</v>
      </c>
      <c r="F13" s="11">
        <f>IFERROR(F12/F14,0)</f>
        <v>-0.7181244187753903</v>
      </c>
      <c r="G13" s="11">
        <f>IFERROR(G12/G14,0)</f>
        <v>-0.4666095191444199</v>
      </c>
      <c r="H13" s="11">
        <f>IFERROR(H12/H14,0)</f>
        <v>-0.047555258138925666</v>
      </c>
      <c r="I13" s="11">
        <f>IFERROR(I12/I14,0)</f>
        <v>0.010345932501801434</v>
      </c>
      <c r="J13" s="11">
        <f>IFERROR(J12/J14,0)</f>
        <v>0.06927130796900341</v>
      </c>
      <c r="K13" s="11">
        <f>IFERROR(K12/K14,0)</f>
        <v>0.13703706878069058</v>
      </c>
      <c r="L13" s="11">
        <f>IFERROR(L12/L14,0)</f>
        <v>0.2130378112005167</v>
      </c>
      <c r="M13" s="11">
        <f>IFERROR(M12/M14,0)</f>
        <v>0.29631793105167753</v>
      </c>
      <c r="N13" s="11">
        <f>IFERROR(N12/N14,0)</f>
        <v>0.38557520654036587</v>
      </c>
      <c r="O13" s="11">
        <f>IFERROR(O12/O14,0)</f>
        <v>0.47918253088151</v>
      </c>
      <c r="P13" s="11">
        <f>IFERROR(P12/P14,0)</f>
        <v>0.5752282950991456</v>
      </c>
      <c r="Q13" s="11">
        <f>IFERROR(Q12/Q14,0)</f>
        <v>0.6715746938625482</v>
      </c>
    </row>
    <row r="14">
      <c r="A14" s="2" t="inlineStr">
        <is>
          <t>Shares</t>
        </is>
      </c>
      <c r="B14" s="52" t="n">
        <v>10.836</v>
      </c>
      <c r="C14" s="52" t="n">
        <v>10.19</v>
      </c>
      <c r="D14" s="52" t="n">
        <v>17.531</v>
      </c>
      <c r="E14" s="52" t="n">
        <v>18.232</v>
      </c>
      <c r="F14" s="52" t="n">
        <v>20.431</v>
      </c>
      <c r="G14" s="52" t="n">
        <v>24.498</v>
      </c>
      <c r="H14" s="52">
        <f>Main!$C$4</f>
        <v>28.224395</v>
      </c>
      <c r="I14" s="52">
        <f>Main!$C$4</f>
        <v>28.224395</v>
      </c>
      <c r="J14" s="52">
        <f>Main!$C$4</f>
        <v>28.224395</v>
      </c>
      <c r="K14" s="52">
        <f>Main!$C$4</f>
        <v>28.224395</v>
      </c>
      <c r="L14" s="52">
        <f>Main!$C$4</f>
        <v>28.224395</v>
      </c>
      <c r="M14" s="52">
        <f>Main!$C$4</f>
        <v>28.224395</v>
      </c>
      <c r="N14" s="52">
        <f>Main!$C$4</f>
        <v>28.224395</v>
      </c>
      <c r="O14" s="52">
        <f>Main!$C$4</f>
        <v>28.224395</v>
      </c>
      <c r="P14" s="52">
        <f>Main!$C$4</f>
        <v>28.224395</v>
      </c>
      <c r="Q14" s="52">
        <f>Main!$C$4</f>
        <v>28.224395</v>
      </c>
    </row>
    <row r="15"/>
    <row r="16" customFormat="1" s="4">
      <c r="A16" s="3" t="inlineStr">
        <is>
          <t>Revenue Change</t>
        </is>
      </c>
      <c r="C16" s="15">
        <f>IFERROR(C2/B2-1,"")</f>
        <v>0.4177539242325572</v>
      </c>
      <c r="D16" s="15">
        <f>IFERROR(D2/C2-1,"")</f>
        <v>0.16686729812779166</v>
      </c>
      <c r="E16" s="15">
        <f>IFERROR(E2/D2-1,"")</f>
        <v>0.07482115951078483</v>
      </c>
      <c r="F16" s="15">
        <f>IFERROR(F2/E2-1,"")</f>
        <v>-0.291067301499097</v>
      </c>
      <c r="G16" s="15">
        <f>IFERROR(G2/F2-1,"")</f>
        <v>0.10197028538853448</v>
      </c>
      <c r="H16" s="15">
        <f>IFERROR(H2/G2-1,"")</f>
        <v>0.10200000000000009</v>
      </c>
      <c r="I16" s="15">
        <f>IFERROR(I2/H2-1,"")</f>
        <v>0.09344444444444444</v>
      </c>
      <c r="J16" s="15">
        <f>IFERROR(J2/I2-1,"")</f>
        <v>0.08488888888888879</v>
      </c>
      <c r="K16" s="15">
        <f>IFERROR(K2/J2-1,"")</f>
        <v>0.07633333333333336</v>
      </c>
      <c r="L16" s="15">
        <f>IFERROR(L2/K2-1,"")</f>
        <v>0.06777777777777771</v>
      </c>
      <c r="M16" s="15">
        <f>IFERROR(M2/L2-1,"")</f>
        <v>0.05922222222222229</v>
      </c>
      <c r="N16" s="15">
        <f>IFERROR(N2/M2-1,"")</f>
        <v>0.05066666666666664</v>
      </c>
      <c r="O16" s="15">
        <f>IFERROR(O2/N2-1,"")</f>
        <v>0.04211111111111121</v>
      </c>
      <c r="P16" s="15">
        <f>IFERROR(P2/O2-1,"")</f>
        <v>0.03355555555555556</v>
      </c>
      <c r="Q16" s="15">
        <f>IFERROR(Q2/P2-1,"")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0.6722732478498125</v>
      </c>
      <c r="C17" s="15">
        <f>IFERROR(C4/C2,"")</f>
        <v>0.4918110685209237</v>
      </c>
      <c r="D17" s="15">
        <f>IFERROR(D4/D2,"")</f>
        <v>0.5822530508083454</v>
      </c>
      <c r="E17" s="15">
        <f>IFERROR(E4/E2,"")</f>
        <v>0.7108776095275382</v>
      </c>
      <c r="F17" s="15">
        <f>IFERROR(F4/F2,"")</f>
        <v>0.6280507357394804</v>
      </c>
      <c r="G17" s="15">
        <f>IFERROR(G4/G2,"")</f>
        <v>0.6617414077403084</v>
      </c>
      <c r="H17" s="15">
        <f>IFERROR(H4/H2,"")</f>
        <v>0.6617</v>
      </c>
      <c r="I17" s="15">
        <f>IFERROR(I4/I2,"")</f>
        <v>0.6617</v>
      </c>
      <c r="J17" s="15">
        <f>IFERROR(J4/J2,"")</f>
        <v>0.6617000000000001</v>
      </c>
      <c r="K17" s="15">
        <f>IFERROR(K4/K2,"")</f>
        <v>0.6617</v>
      </c>
      <c r="L17" s="15">
        <f>IFERROR(L4/L2,"")</f>
        <v>0.6617</v>
      </c>
      <c r="M17" s="15">
        <f>IFERROR(M4/M2,"")</f>
        <v>0.6617</v>
      </c>
      <c r="N17" s="15">
        <f>IFERROR(N4/N2,"")</f>
        <v>0.6617000000000001</v>
      </c>
      <c r="O17" s="15">
        <f>IFERROR(O4/O2,"")</f>
        <v>0.6617000000000001</v>
      </c>
      <c r="P17" s="15">
        <f>IFERROR(P4/P2,"")</f>
        <v>0.6617</v>
      </c>
      <c r="Q17" s="15">
        <f>IFERROR(Q4/Q2,"")</f>
        <v>0.6617</v>
      </c>
    </row>
    <row r="18">
      <c r="A18" s="14" t="inlineStr">
        <is>
          <t>Operating Margin</t>
        </is>
      </c>
      <c r="B18" s="15">
        <f>IFERROR(B8/B2,"")</f>
        <v>0.17630414767240796</v>
      </c>
      <c r="C18" s="15">
        <f>IFERROR(C8/C2,"")</f>
        <v>-0.5524915259606551</v>
      </c>
      <c r="D18" s="15">
        <f>IFERROR(D8/D2,"")</f>
        <v>-0.3735221056346632</v>
      </c>
      <c r="E18" s="15">
        <f>IFERROR(E8/E2,"")</f>
        <v>-0.026180523105290506</v>
      </c>
      <c r="F18" s="15">
        <f>IFERROR(F8/F2,"")</f>
        <v>-0.2436491253073005</v>
      </c>
      <c r="G18" s="15">
        <f>IFERROR(G8/G2,"")</f>
        <v>-0.13210902389343332</v>
      </c>
      <c r="H18" s="15">
        <f>IFERROR(H8/H2,"")</f>
        <v>-0.01969000000000004</v>
      </c>
      <c r="I18" s="15">
        <f>IFERROR(I8/I2,"")</f>
        <v>0.004720000000000019</v>
      </c>
      <c r="J18" s="15">
        <f>IFERROR(J8/J2,"")</f>
        <v>0.02913000000000004</v>
      </c>
      <c r="K18" s="15">
        <f>IFERROR(K8/K2,"")</f>
        <v>0.05353999999999998</v>
      </c>
      <c r="L18" s="15">
        <f>IFERROR(L8/L2,"")</f>
        <v>0.07795000000000003</v>
      </c>
      <c r="M18" s="15">
        <f>IFERROR(M8/M2,"")</f>
        <v>0.10235999999999999</v>
      </c>
      <c r="N18" s="15">
        <f>IFERROR(N8/N2,"")</f>
        <v>0.12677000000000002</v>
      </c>
      <c r="O18" s="15">
        <f>IFERROR(O8/O2,"")</f>
        <v>0.15117999999999998</v>
      </c>
      <c r="P18" s="15">
        <f>IFERROR(P8/P2,"")</f>
        <v>0.17559000000000005</v>
      </c>
      <c r="Q18" s="15">
        <f>IFERROR(Q8/Q2,"")</f>
        <v>0.2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E</t>
        </is>
      </c>
      <c r="I19" s="19" t="inlineStr">
        <is>
          <t>E</t>
        </is>
      </c>
      <c r="J19" s="19" t="inlineStr">
        <is>
          <t>E</t>
        </is>
      </c>
      <c r="K19" s="19" t="inlineStr">
        <is>
          <t>E</t>
        </is>
      </c>
      <c r="L19" s="19" t="inlineStr">
        <is>
          <t>E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Journey Medical Corp: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0.135</v>
      </c>
      <c r="C10" s="53" t="n">
        <v>0.125</v>
      </c>
      <c r="D10" s="53" t="n">
        <v>0.115</v>
      </c>
      <c r="E10" s="54">
        <f>IF(ISNUMBER($B$6),$B$6,CHOOSE($B$4,B10,C10,D10))</f>
        <v>0.125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0.052</v>
      </c>
      <c r="C12" s="53" t="n">
        <v>0.102</v>
      </c>
      <c r="D12" s="53" t="n">
        <v>0.152</v>
      </c>
      <c r="E12" s="54">
        <f>CHOOSE($B$4,B12,C12,D12)</f>
        <v>0.102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-0.0441</v>
      </c>
    </row>
    <row r="19">
      <c r="A19" s="14" t="inlineStr">
        <is>
          <t>Gross margin (forecast)</t>
        </is>
      </c>
      <c r="B19" s="53" t="n">
        <v>0.6617</v>
      </c>
    </row>
    <row r="20">
      <c r="A20" s="14" t="inlineStr">
        <is>
          <t>R&amp;D share of operating expense (forecast)</t>
        </is>
      </c>
      <c r="B20" s="53" t="n">
        <v>0.0098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Model'!G2</f>
        <v>61.858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89.64401463699978</v>
      </c>
      <c r="C29" s="56">
        <f>NPV!B26</f>
        <v>89.81501463699979</v>
      </c>
      <c r="D29" s="35">
        <f>NPV!B28</f>
        <v>3.182176788448425</v>
      </c>
      <c r="E29" s="57">
        <f>NPV!B30</f>
        <v>-0.390387588419842</v>
      </c>
    </row>
    <row r="30">
      <c r="A30" s="58" t="n">
        <v>1</v>
      </c>
      <c r="B30" s="59">
        <f t="dataTable" ref="B30:E32" r1="B4"/>
        <v>42.81724162396893</v>
      </c>
      <c r="C30" s="59">
        <v>42.988241623968925</v>
      </c>
      <c r="D30" s="39">
        <v>1.523088152074435</v>
      </c>
      <c r="E30" s="60">
        <v>-0.7082206605221388</v>
      </c>
    </row>
    <row r="31">
      <c r="A31" s="58" t="n">
        <v>2</v>
      </c>
      <c r="B31" s="59">
        <v>89.64401463699978</v>
      </c>
      <c r="C31" s="59">
        <v>89.81501463699979</v>
      </c>
      <c r="D31" s="39">
        <v>3.182176788448425</v>
      </c>
      <c r="E31" s="60">
        <v>-0.390387588419842</v>
      </c>
    </row>
    <row r="32">
      <c r="A32" s="58" t="n">
        <v>3</v>
      </c>
      <c r="B32" s="59">
        <v>176.29609322608562</v>
      </c>
      <c r="C32" s="59">
        <v>176.4670932260856</v>
      </c>
      <c r="D32" s="39">
        <v>6.252289667363485</v>
      </c>
      <c r="E32" s="60">
        <v>0.19775664125737258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3.182176788448425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0.105</v>
      </c>
      <c r="B37" s="39">
        <f t="dataTable" ref="B37:F41" dt2D="1" r1="B7" r2="B6"/>
        <v>3.87625601743688</v>
      </c>
      <c r="C37" s="39">
        <v>4.106670459715336</v>
      </c>
      <c r="D37" s="39">
        <v>4.366232652290342</v>
      </c>
      <c r="E37" s="39">
        <v>4.660777053503869</v>
      </c>
      <c r="F37" s="39">
        <v>4.997805179842839</v>
      </c>
    </row>
    <row r="38">
      <c r="A38" s="62" t="n">
        <v>0.115</v>
      </c>
      <c r="B38" s="39">
        <v>3.3297799187235166</v>
      </c>
      <c r="C38" s="39">
        <v>3.506471358821849</v>
      </c>
      <c r="D38" s="39">
        <v>3.703085079892114</v>
      </c>
      <c r="E38" s="39">
        <v>3.9231408152645892</v>
      </c>
      <c r="F38" s="39">
        <v>4.171038288722731</v>
      </c>
    </row>
    <row r="39">
      <c r="A39" s="62" t="n">
        <v>0.125</v>
      </c>
      <c r="B39" s="39">
        <v>2.891265194858373</v>
      </c>
      <c r="C39" s="39">
        <v>3.0296771799439353</v>
      </c>
      <c r="D39" s="39">
        <v>3.182176788448425</v>
      </c>
      <c r="E39" s="39">
        <v>3.3509917530143762</v>
      </c>
      <c r="F39" s="39">
        <v>3.5388449053470232</v>
      </c>
    </row>
    <row r="40">
      <c r="A40" s="62" t="n">
        <v>0.135</v>
      </c>
      <c r="B40" s="39">
        <v>2.5331004977870424</v>
      </c>
      <c r="C40" s="39">
        <v>2.6434403933127206</v>
      </c>
      <c r="D40" s="39">
        <v>2.764023156656107</v>
      </c>
      <c r="E40" s="39">
        <v>2.8963149051697283</v>
      </c>
      <c r="F40" s="39">
        <v>3.0420750194794746</v>
      </c>
    </row>
    <row r="41">
      <c r="A41" s="62" t="n">
        <v>0.145</v>
      </c>
      <c r="B41" s="39">
        <v>2.236224032548019</v>
      </c>
      <c r="C41" s="39">
        <v>2.325481315447279</v>
      </c>
      <c r="D41" s="39">
        <v>2.4223608767836984</v>
      </c>
      <c r="E41" s="39">
        <v>2.527859362406884</v>
      </c>
      <c r="F41" s="39">
        <v>2.643154660320267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Journey Medical Corp: free-cash-flow DCF ($mm)</t>
        </is>
      </c>
    </row>
    <row r="3">
      <c r="A3" s="20" t="inlineStr">
        <is>
          <t>Fiscal year</t>
        </is>
      </c>
      <c r="B3" s="43">
        <f>'Yearly Model'!G1</f>
        <v>2025</v>
      </c>
      <c r="C3" s="43">
        <f>'Yearly Model'!H1</f>
        <v>2026</v>
      </c>
      <c r="D3" s="43">
        <f>'Yearly Model'!I1</f>
        <v>2027</v>
      </c>
      <c r="E3" s="43">
        <f>'Yearly Model'!J1</f>
        <v>2028</v>
      </c>
      <c r="F3" s="43">
        <f>'Yearly Model'!K1</f>
        <v>2029</v>
      </c>
      <c r="G3" s="43">
        <f>'Yearly Model'!L1</f>
        <v>2030</v>
      </c>
      <c r="H3" s="43">
        <f>'Yearly Model'!M1</f>
        <v>2031</v>
      </c>
      <c r="I3" s="43">
        <f>'Yearly Model'!N1</f>
        <v>2032</v>
      </c>
      <c r="J3" s="43">
        <f>'Yearly Model'!O1</f>
        <v>2033</v>
      </c>
      <c r="K3" s="43">
        <f>'Yearly Model'!P1</f>
        <v>2034</v>
      </c>
      <c r="L3" s="43">
        <f>'Yearly Model'!Q1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0.102</v>
      </c>
      <c r="D5" s="63">
        <f>Assumptions!$E$12+(Assumptions!$E$11-Assumptions!$E$12)*(D4-1)/(Assumptions!$B$21-1)</f>
        <v>0.09344444444444444</v>
      </c>
      <c r="E5" s="63">
        <f>Assumptions!$E$12+(Assumptions!$E$11-Assumptions!$E$12)*(E4-1)/(Assumptions!$B$21-1)</f>
        <v>0.08488888888888889</v>
      </c>
      <c r="F5" s="63">
        <f>Assumptions!$E$12+(Assumptions!$E$11-Assumptions!$E$12)*(F4-1)/(Assumptions!$B$21-1)</f>
        <v>0.07633333333333334</v>
      </c>
      <c r="G5" s="63">
        <f>Assumptions!$E$12+(Assumptions!$E$11-Assumptions!$E$12)*(G4-1)/(Assumptions!$B$21-1)</f>
        <v>0.06777777777777777</v>
      </c>
      <c r="H5" s="63">
        <f>Assumptions!$E$12+(Assumptions!$E$11-Assumptions!$E$12)*(H4-1)/(Assumptions!$B$21-1)</f>
        <v>0.059222222222222225</v>
      </c>
      <c r="I5" s="63">
        <f>Assumptions!$E$12+(Assumptions!$E$11-Assumptions!$E$12)*(I4-1)/(Assumptions!$B$21-1)</f>
        <v>0.05066666666666667</v>
      </c>
      <c r="J5" s="63">
        <f>Assumptions!$E$12+(Assumptions!$E$11-Assumptions!$E$12)*(J4-1)/(Assumptions!$B$21-1)</f>
        <v>0.04211111111111111</v>
      </c>
      <c r="K5" s="63">
        <f>Assumptions!$E$12+(Assumptions!$E$11-Assumptions!$E$12)*(K4-1)/(Assumptions!$B$21-1)</f>
        <v>0.03355555555555556</v>
      </c>
      <c r="L5" s="63">
        <f>Assumptions!$E$12+(Assumptions!$E$11-Assumptions!$E$12)*(L4-1)/(Assumptions!$B$21-1)</f>
        <v>0.02500000000000001</v>
      </c>
    </row>
    <row r="6">
      <c r="A6" s="14" t="inlineStr">
        <is>
          <t>Operating margin</t>
        </is>
      </c>
      <c r="B6" s="63">
        <f>IFERROR(B8/B7,0)</f>
        <v>-0.13210902389343332</v>
      </c>
      <c r="C6" s="63">
        <f>Assumptions!$B$18+(Assumptions!$E$13-Assumptions!$B$18)*C4/Assumptions!$B$21</f>
        <v>-0.01969</v>
      </c>
      <c r="D6" s="63">
        <f>Assumptions!$B$18+(Assumptions!$E$13-Assumptions!$B$18)*D4/Assumptions!$B$21</f>
        <v>0.004720000000000002</v>
      </c>
      <c r="E6" s="63">
        <f>Assumptions!$B$18+(Assumptions!$E$13-Assumptions!$B$18)*E4/Assumptions!$B$21</f>
        <v>0.029130000000000003</v>
      </c>
      <c r="F6" s="63">
        <f>Assumptions!$B$18+(Assumptions!$E$13-Assumptions!$B$18)*F4/Assumptions!$B$21</f>
        <v>0.053540000000000004</v>
      </c>
      <c r="G6" s="63">
        <f>Assumptions!$B$18+(Assumptions!$E$13-Assumptions!$B$18)*G4/Assumptions!$B$21</f>
        <v>0.07795000000000002</v>
      </c>
      <c r="H6" s="63">
        <f>Assumptions!$B$18+(Assumptions!$E$13-Assumptions!$B$18)*H4/Assumptions!$B$21</f>
        <v>0.10236</v>
      </c>
      <c r="I6" s="63">
        <f>Assumptions!$B$18+(Assumptions!$E$13-Assumptions!$B$18)*I4/Assumptions!$B$21</f>
        <v>0.12677000000000002</v>
      </c>
      <c r="J6" s="63">
        <f>Assumptions!$B$18+(Assumptions!$E$13-Assumptions!$B$18)*J4/Assumptions!$B$21</f>
        <v>0.15118</v>
      </c>
      <c r="K6" s="63">
        <f>Assumptions!$B$18+(Assumptions!$E$13-Assumptions!$B$18)*K4/Assumptions!$B$21</f>
        <v>0.17559000000000002</v>
      </c>
      <c r="L6" s="63">
        <f>Assumptions!$B$18+(Assumptions!$E$13-Assumptions!$B$18)*L4/Assumptions!$B$21</f>
        <v>0.20000000000000004</v>
      </c>
    </row>
    <row r="7">
      <c r="A7" s="14" t="inlineStr">
        <is>
          <t>Revenue</t>
        </is>
      </c>
      <c r="B7" s="55">
        <f>'Yearly Model'!G2</f>
        <v>61.858</v>
      </c>
      <c r="C7" s="55">
        <f>'Yearly Model'!H2</f>
        <v>68.167516</v>
      </c>
      <c r="D7" s="55">
        <f>'Yearly Model'!I2</f>
        <v>74.53739166177779</v>
      </c>
      <c r="E7" s="55">
        <f>'Yearly Model'!J2</f>
        <v>80.86478802062203</v>
      </c>
      <c r="F7" s="55">
        <f>'Yearly Model'!K2</f>
        <v>87.03746683952951</v>
      </c>
      <c r="G7" s="55">
        <f>'Yearly Model'!L2</f>
        <v>92.93667292531984</v>
      </c>
      <c r="H7" s="55">
        <f>'Yearly Model'!M2</f>
        <v>98.44058922189713</v>
      </c>
      <c r="I7" s="55">
        <f>'Yearly Model'!N2</f>
        <v>103.42824574247325</v>
      </c>
      <c r="J7" s="55">
        <f>'Yearly Model'!O2</f>
        <v>107.78372409096185</v>
      </c>
      <c r="K7" s="55">
        <f>'Yearly Model'!P2</f>
        <v>111.40046683268079</v>
      </c>
      <c r="L7" s="55">
        <f>'Yearly Model'!Q2</f>
        <v>114.1854785034978</v>
      </c>
    </row>
    <row r="8">
      <c r="A8" s="14" t="inlineStr">
        <is>
          <t>Operating income</t>
        </is>
      </c>
      <c r="B8" s="55">
        <f>'Yearly Model'!G8</f>
        <v>-8.171999999999997</v>
      </c>
      <c r="C8" s="55">
        <f>'Yearly Model'!H8</f>
        <v>-1.3422183900400029</v>
      </c>
      <c r="D8" s="55">
        <f>'Yearly Model'!I8</f>
        <v>0.3518164886435926</v>
      </c>
      <c r="E8" s="55">
        <f>'Yearly Model'!J8</f>
        <v>2.355591275040723</v>
      </c>
      <c r="F8" s="55">
        <f>'Yearly Model'!K8</f>
        <v>4.659985974588409</v>
      </c>
      <c r="G8" s="55">
        <f>'Yearly Model'!L8</f>
        <v>7.244413654528685</v>
      </c>
      <c r="H8" s="55">
        <f>'Yearly Model'!M8</f>
        <v>10.076378712753389</v>
      </c>
      <c r="I8" s="55">
        <f>'Yearly Model'!N8</f>
        <v>13.111598712773336</v>
      </c>
      <c r="J8" s="55">
        <f>'Yearly Model'!O8</f>
        <v>16.29474340807161</v>
      </c>
      <c r="K8" s="55">
        <f>'Yearly Model'!P8</f>
        <v>19.560807971150425</v>
      </c>
      <c r="L8" s="55">
        <f>'Yearly Model'!Q8</f>
        <v>22.837095700699564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0.05980880306941075</v>
      </c>
      <c r="E9" s="52">
        <f>MAX(0,E8)*Assumptions!$E$14</f>
        <v>0.40045051675692295</v>
      </c>
      <c r="F9" s="52">
        <f>MAX(0,F8)*Assumptions!$E$14</f>
        <v>0.7921976156800296</v>
      </c>
      <c r="G9" s="52">
        <f>MAX(0,G8)*Assumptions!$E$14</f>
        <v>1.2315503212698766</v>
      </c>
      <c r="H9" s="52">
        <f>MAX(0,H8)*Assumptions!$E$14</f>
        <v>1.7129843811680763</v>
      </c>
      <c r="I9" s="52">
        <f>MAX(0,I8)*Assumptions!$E$14</f>
        <v>2.228971781171467</v>
      </c>
      <c r="J9" s="52">
        <f>MAX(0,J8)*Assumptions!$E$14</f>
        <v>2.770106379372174</v>
      </c>
      <c r="K9" s="52">
        <f>MAX(0,K8)*Assumptions!$E$14</f>
        <v>3.3253373550955723</v>
      </c>
      <c r="L9" s="52">
        <f>MAX(0,L8)*Assumptions!$E$14</f>
        <v>3.882306269118926</v>
      </c>
    </row>
    <row r="10">
      <c r="A10" s="14" t="inlineStr">
        <is>
          <t>NOPAT</t>
        </is>
      </c>
      <c r="C10" s="52">
        <f>C8-C9</f>
        <v>-1.3422183900400029</v>
      </c>
      <c r="D10" s="52">
        <f>D8-D9</f>
        <v>0.2920076855741819</v>
      </c>
      <c r="E10" s="52">
        <f>E8-E9</f>
        <v>1.9551407582838</v>
      </c>
      <c r="F10" s="52">
        <f>F8-F9</f>
        <v>3.8677883589083795</v>
      </c>
      <c r="G10" s="52">
        <f>G8-G9</f>
        <v>6.012863333258808</v>
      </c>
      <c r="H10" s="52">
        <f>H8-H9</f>
        <v>8.363394331585312</v>
      </c>
      <c r="I10" s="52">
        <f>I8-I9</f>
        <v>10.88262693160187</v>
      </c>
      <c r="J10" s="52">
        <f>J8-J9</f>
        <v>13.524637028699438</v>
      </c>
      <c r="K10" s="52">
        <f>K8-K9</f>
        <v>16.23547061605485</v>
      </c>
      <c r="L10" s="52">
        <f>L8-L9</f>
        <v>18.954789431580636</v>
      </c>
    </row>
    <row r="11">
      <c r="A11" s="14" t="inlineStr">
        <is>
          <t>Reinvestment</t>
        </is>
      </c>
      <c r="C11" s="52">
        <f>(C7-B7)*Assumptions!$E$15</f>
        <v>1.5773790000000023</v>
      </c>
      <c r="D11" s="52">
        <f>(D7-C7)*Assumptions!$E$15</f>
        <v>1.5924689154444458</v>
      </c>
      <c r="E11" s="52">
        <f>(E7-D7)*Assumptions!$E$15</f>
        <v>1.58184908971106</v>
      </c>
      <c r="F11" s="52">
        <f>(F7-E7)*Assumptions!$E$15</f>
        <v>1.5431697047268713</v>
      </c>
      <c r="G11" s="52">
        <f>(G7-F7)*Assumptions!$E$15</f>
        <v>1.4748015214475814</v>
      </c>
      <c r="H11" s="52">
        <f>(H7-G7)*Assumptions!$E$15</f>
        <v>1.3759790741443219</v>
      </c>
      <c r="I11" s="52">
        <f>(I7-H7)*Assumptions!$E$15</f>
        <v>1.246914130144031</v>
      </c>
      <c r="J11" s="52">
        <f>(J7-I7)*Assumptions!$E$15</f>
        <v>1.0888695871221508</v>
      </c>
      <c r="K11" s="52">
        <f>(K7-J7)*Assumptions!$E$15</f>
        <v>0.9041856854297343</v>
      </c>
      <c r="L11" s="52">
        <f>(L7-K7)*Assumptions!$E$15</f>
        <v>0.6962529177042533</v>
      </c>
    </row>
    <row r="12">
      <c r="A12" s="20" t="inlineStr">
        <is>
          <t>Free cash flow</t>
        </is>
      </c>
      <c r="C12" s="64">
        <f>C10-C11</f>
        <v>-2.919597390040005</v>
      </c>
      <c r="D12" s="64">
        <f>D10-D11</f>
        <v>-1.300461229870264</v>
      </c>
      <c r="E12" s="64">
        <f>E10-E11</f>
        <v>0.3732916685727401</v>
      </c>
      <c r="F12" s="64">
        <f>F10-F11</f>
        <v>2.324618654181508</v>
      </c>
      <c r="G12" s="64">
        <f>G10-G11</f>
        <v>4.538061811811227</v>
      </c>
      <c r="H12" s="64">
        <f>H10-H11</f>
        <v>6.98741525744099</v>
      </c>
      <c r="I12" s="64">
        <f>I10-I11</f>
        <v>9.635712801457839</v>
      </c>
      <c r="J12" s="64">
        <f>J10-J11</f>
        <v>12.435767441577287</v>
      </c>
      <c r="K12" s="64">
        <f>K10-K11</f>
        <v>15.331284930625117</v>
      </c>
      <c r="L12" s="64">
        <f>L10-L11</f>
        <v>18.258536513876383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0.9707491226687451</v>
      </c>
      <c r="D15" s="65">
        <f>1/(1+Assumptions!$E$10)^D14</f>
        <v>0.8884597387878145</v>
      </c>
      <c r="E15" s="65">
        <f>1/(1+Assumptions!$E$10)^E14</f>
        <v>0.7897419900336128</v>
      </c>
      <c r="F15" s="65">
        <f>1/(1+Assumptions!$E$10)^F14</f>
        <v>0.7019928800298781</v>
      </c>
      <c r="G15" s="65">
        <f>1/(1+Assumptions!$E$10)^G14</f>
        <v>0.6239936711376695</v>
      </c>
      <c r="H15" s="65">
        <f>1/(1+Assumptions!$E$10)^H14</f>
        <v>0.5546610410112617</v>
      </c>
      <c r="I15" s="65">
        <f>1/(1+Assumptions!$E$10)^I14</f>
        <v>0.4930320364544548</v>
      </c>
      <c r="J15" s="65">
        <f>1/(1+Assumptions!$E$10)^J14</f>
        <v>0.4382506990706266</v>
      </c>
      <c r="K15" s="65">
        <f>1/(1+Assumptions!$E$10)^K14</f>
        <v>0.389556176951668</v>
      </c>
      <c r="L15" s="65">
        <f>1/(1+Assumptions!$E$10)^L14</f>
        <v>0.34627215729037153</v>
      </c>
    </row>
    <row r="16">
      <c r="A16" s="20" t="inlineStr">
        <is>
          <t>PV of free cash flow</t>
        </is>
      </c>
      <c r="C16" s="64">
        <f>C12*C13*C15</f>
        <v>-1.4287185085438485</v>
      </c>
      <c r="D16" s="64">
        <f>D12*D13*D15</f>
        <v>-1.1554074445942146</v>
      </c>
      <c r="E16" s="64">
        <f>E12*E13*E15</f>
        <v>0.2948041052016036</v>
      </c>
      <c r="F16" s="64">
        <f>F12*F13*F15</f>
        <v>1.6318657440200561</v>
      </c>
      <c r="G16" s="64">
        <f>G12*G13*G15</f>
        <v>2.831721849801751</v>
      </c>
      <c r="H16" s="64">
        <f>H12*H13*H15</f>
        <v>3.8756470206701925</v>
      </c>
      <c r="I16" s="64">
        <f>I12*I13*I15</f>
        <v>4.750715105193018</v>
      </c>
      <c r="J16" s="64">
        <f>J12*J13*J15</f>
        <v>5.449983774750984</v>
      </c>
      <c r="K16" s="64">
        <f>K12*K13*K15</f>
        <v>5.972396745331039</v>
      </c>
      <c r="L16" s="64">
        <f>L12*L13*L15</f>
        <v>6.322422827624995</v>
      </c>
    </row>
    <row r="19">
      <c r="A19" s="14" t="inlineStr">
        <is>
          <t>PV of forecast free cash flow</t>
        </is>
      </c>
      <c r="B19" s="52">
        <f>SUM(C16:L16)</f>
        <v>28.545431219455576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18.714999926723287</v>
      </c>
    </row>
    <row r="21">
      <c r="A21" s="14" t="inlineStr">
        <is>
          <t>Terminal value</t>
        </is>
      </c>
      <c r="B21" s="52">
        <f>B20/(Assumptions!$E$10-Assumptions!$E$11)</f>
        <v>187.14999926723286</v>
      </c>
    </row>
    <row r="22">
      <c r="A22" s="14" t="inlineStr">
        <is>
          <t>PV of terminal value</t>
        </is>
      </c>
      <c r="B22" s="52">
        <f>B21/(1+Assumptions!$E$10)^(L14+0.5)</f>
        <v>61.098583417544205</v>
      </c>
    </row>
    <row r="23">
      <c r="A23" s="20" t="inlineStr">
        <is>
          <t>Enterprise value</t>
        </is>
      </c>
      <c r="B23" s="66">
        <f>B19+B22</f>
        <v>89.64401463699978</v>
      </c>
    </row>
    <row r="24">
      <c r="A24" s="14" t="inlineStr">
        <is>
          <t>Cash &amp; investments</t>
        </is>
      </c>
      <c r="B24" s="55">
        <f>Main!C7</f>
        <v>25.643</v>
      </c>
    </row>
    <row r="25">
      <c r="A25" s="14" t="inlineStr">
        <is>
          <t>Debt</t>
        </is>
      </c>
      <c r="B25" s="55">
        <f>Main!C8</f>
        <v>25.472</v>
      </c>
    </row>
    <row r="26">
      <c r="A26" s="20" t="inlineStr">
        <is>
          <t>Equity value</t>
        </is>
      </c>
      <c r="B26" s="66">
        <f>B23+B24-B25</f>
        <v>89.81501463699979</v>
      </c>
    </row>
    <row r="27">
      <c r="A27" s="14" t="inlineStr">
        <is>
          <t>Shares (mm)</t>
        </is>
      </c>
      <c r="B27" s="55">
        <f>Main!C4</f>
        <v>28.224395</v>
      </c>
    </row>
    <row r="28">
      <c r="A28" s="20" t="inlineStr">
        <is>
          <t>NPV / share</t>
        </is>
      </c>
      <c r="B28" s="49">
        <f>B26/B27</f>
        <v>3.182176788448425</v>
      </c>
    </row>
    <row r="29">
      <c r="A29" s="14" t="inlineStr">
        <is>
          <t>Price</t>
        </is>
      </c>
      <c r="B29" s="50">
        <f>Main!C3</f>
        <v>5.22</v>
      </c>
    </row>
    <row r="30">
      <c r="A30" s="14" t="inlineStr">
        <is>
          <t>Upside</t>
        </is>
      </c>
      <c r="B30" s="63">
        <f>B28/B29-1</f>
        <v>-0.390387588419842</v>
      </c>
    </row>
    <row r="31">
      <c r="A31" s="14" t="inlineStr">
        <is>
          <t>Terminal value, % of EV</t>
        </is>
      </c>
      <c r="B31" s="63">
        <f>IFERROR(B22/B23,0)</f>
        <v>0.681569022370918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2026-10-21T01:05:48Z</dcterms:modified>
  <cp:lastModifiedBy>Wang, Eric</cp:lastModifiedBy>
</cp:coreProperties>
</file>