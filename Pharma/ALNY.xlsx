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Alnylam Pharmaceuticals, Inc.</t>
        </is>
      </c>
      <c r="C2" s="10" t="n"/>
    </row>
    <row r="3">
      <c r="B3" t="inlineStr">
        <is>
          <t>Price</t>
        </is>
      </c>
      <c r="C3" s="11">
        <f>INDEX([1]Pharma!$F$1:$F$1000,MATCH("ALNY",[1]Pharma!$B$1:$B$1000,0))</f>
        <v>230.71</v>
      </c>
      <c r="F3" s="1" t="n"/>
    </row>
    <row r="4">
      <c r="B4" t="inlineStr">
        <is>
          <t>Shares</t>
        </is>
      </c>
      <c r="C4" s="51" t="n">
        <v>133.809118</v>
      </c>
      <c r="F4" s="1" t="n"/>
    </row>
    <row r="5">
      <c r="B5" t="inlineStr">
        <is>
          <t>Market Cap.</t>
        </is>
      </c>
      <c r="C5" s="13">
        <f>C3*C4</f>
        <v>30871.101613780003</v>
      </c>
      <c r="F5" s="1" t="n"/>
    </row>
    <row r="6"/>
    <row r="7">
      <c r="B7" t="inlineStr">
        <is>
          <t>Cash</t>
        </is>
      </c>
      <c r="C7" s="51">
        <f>1708.318+1599.829</f>
        <v>3308.147</v>
      </c>
    </row>
    <row r="8">
      <c r="B8" t="inlineStr">
        <is>
          <t>Debt</t>
        </is>
      </c>
      <c r="C8" s="51" t="n">
        <v>1010.981</v>
      </c>
    </row>
    <row r="9">
      <c r="B9" t="inlineStr">
        <is>
          <t>Enterprise V.</t>
        </is>
      </c>
      <c r="C9" s="13">
        <f>C5-C7+C8</f>
        <v>28573.935613780002</v>
      </c>
    </row>
    <row r="10"/>
    <row r="11">
      <c r="B11" s="14" t="inlineStr">
        <is>
          <t>NPV / Share</t>
        </is>
      </c>
      <c r="C11" s="11">
        <f>NPV!B28</f>
        <v>288.29953858447794</v>
      </c>
    </row>
    <row r="12">
      <c r="B12" s="14" t="inlineStr">
        <is>
          <t>Upside</t>
        </is>
      </c>
      <c r="C12" s="15">
        <f>IFERROR(C11/C3-1,"")</f>
        <v>0.24961873600831308</v>
      </c>
    </row>
    <row r="13">
      <c r="B13" s="14" t="inlineStr">
        <is>
          <t>Cash / Share</t>
        </is>
      </c>
      <c r="C13" s="11">
        <f>IFERROR((C7-C8)/C4,"")</f>
        <v>17.167484804735054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2008</v>
      </c>
      <c r="C1" s="16" t="n">
        <v>2009</v>
      </c>
      <c r="D1" s="16" t="n">
        <v>2010</v>
      </c>
      <c r="E1" s="16" t="n">
        <v>2011</v>
      </c>
      <c r="F1" s="16" t="n">
        <v>2012</v>
      </c>
      <c r="G1" s="16" t="n">
        <v>2013</v>
      </c>
      <c r="H1" s="16" t="n">
        <v>2014</v>
      </c>
      <c r="I1" s="16" t="n">
        <v>2015</v>
      </c>
      <c r="J1" s="16" t="n">
        <v>2016</v>
      </c>
      <c r="K1" s="16" t="n">
        <v>2017</v>
      </c>
      <c r="L1" s="16" t="n">
        <v>2018</v>
      </c>
      <c r="M1" s="16" t="n">
        <v>2019</v>
      </c>
      <c r="N1" s="16" t="n">
        <v>2020</v>
      </c>
      <c r="O1" s="16" t="n">
        <v>2021</v>
      </c>
      <c r="P1" s="16" t="n">
        <v>2022</v>
      </c>
      <c r="Q1" s="16" t="n">
        <v>2023</v>
      </c>
      <c r="R1" s="16" t="n">
        <v>2024</v>
      </c>
      <c r="S1" s="16" t="n">
        <v>2025</v>
      </c>
      <c r="T1" s="16" t="n">
        <v>2026</v>
      </c>
      <c r="U1" s="16" t="n">
        <v>2027</v>
      </c>
      <c r="V1" s="16" t="n">
        <v>2028</v>
      </c>
      <c r="W1" s="16" t="n">
        <v>2029</v>
      </c>
      <c r="X1" s="16" t="n">
        <v>2030</v>
      </c>
      <c r="Y1" s="16" t="n">
        <v>2031</v>
      </c>
      <c r="Z1" s="16" t="n">
        <v>2032</v>
      </c>
      <c r="AA1" s="16" t="n">
        <v>2033</v>
      </c>
      <c r="AB1" s="16" t="n">
        <v>2034</v>
      </c>
      <c r="AC1" s="16" t="n">
        <v>2035</v>
      </c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96.163</v>
      </c>
      <c r="C2" s="52" t="n">
        <v>100.533</v>
      </c>
      <c r="D2" s="52" t="n">
        <v>100.041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47.159</v>
      </c>
      <c r="K2" s="52" t="n">
        <v>89.91200000000001</v>
      </c>
      <c r="L2" s="52" t="n">
        <v>74.908</v>
      </c>
      <c r="M2" s="52" t="n">
        <v>219.75</v>
      </c>
      <c r="N2" s="52" t="n">
        <v>492.853</v>
      </c>
      <c r="O2" s="52" t="n">
        <v>844.287</v>
      </c>
      <c r="P2" s="52" t="n">
        <v>1037.418</v>
      </c>
      <c r="Q2" s="52" t="n">
        <v>1828.292</v>
      </c>
      <c r="R2" s="52" t="n">
        <v>2248.243</v>
      </c>
      <c r="S2" s="52" t="n">
        <v>3713.937</v>
      </c>
      <c r="T2" s="52">
        <f>S2*(1+NPV!C5)</f>
        <v>5013.81495</v>
      </c>
      <c r="U2" s="52">
        <f>T2*(1+NPV!D5)</f>
        <v>6587.59575375</v>
      </c>
      <c r="V2" s="52">
        <f>U2*(1+NPV!E5)</f>
        <v>8417.483463125</v>
      </c>
      <c r="W2" s="52">
        <f>V2*(1+NPV!F5)</f>
        <v>10451.708633380209</v>
      </c>
      <c r="X2" s="52">
        <f>W2*(1+NPV!G5)</f>
        <v>12600.115408019474</v>
      </c>
      <c r="Y2" s="52">
        <f>X2*(1+NPV!H5)</f>
        <v>14735.134963267219</v>
      </c>
      <c r="Z2" s="52">
        <f>Y2*(1+NPV!I5)</f>
        <v>16699.81962503618</v>
      </c>
      <c r="AA2" s="52">
        <f>Z2*(1+NPV!J5)</f>
        <v>18323.413199692477</v>
      </c>
      <c r="AB2" s="52">
        <f>AA2*(1+NPV!K5)</f>
        <v>19443.177339673683</v>
      </c>
      <c r="AC2" s="52">
        <f>AB2*(1+NPV!L5)</f>
        <v>19929.25677316552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1.802</v>
      </c>
      <c r="M3" s="52" t="n">
        <v>25.062</v>
      </c>
      <c r="N3" s="52" t="n">
        <v>74.185</v>
      </c>
      <c r="O3" s="52" t="n">
        <v>115.005</v>
      </c>
      <c r="P3" s="52" t="n">
        <v>140.174</v>
      </c>
      <c r="Q3" s="52" t="n">
        <v>268.216</v>
      </c>
      <c r="R3" s="52" t="n">
        <v>306.513</v>
      </c>
      <c r="S3" s="52" t="n">
        <v>677.1660000000001</v>
      </c>
      <c r="T3" s="52">
        <f>T2*(1-Assumptions!$B$19)</f>
        <v>914.0184653850001</v>
      </c>
      <c r="U3" s="52">
        <f>U2*(1-Assumptions!$B$19)</f>
        <v>1200.918705908625</v>
      </c>
      <c r="V3" s="52">
        <f>V2*(1-Assumptions!$B$19)</f>
        <v>1534.5072353276876</v>
      </c>
      <c r="W3" s="52">
        <f>W2*(1-Assumptions!$B$19)</f>
        <v>1905.3464838652123</v>
      </c>
      <c r="X3" s="52">
        <f>X2*(1-Assumptions!$B$19)</f>
        <v>2297.00103888195</v>
      </c>
      <c r="Y3" s="52">
        <f>Y2*(1-Assumptions!$B$19)</f>
        <v>2686.2151038036145</v>
      </c>
      <c r="Z3" s="52">
        <f>Z2*(1-Assumptions!$B$19)</f>
        <v>3044.377117644096</v>
      </c>
      <c r="AA3" s="52">
        <f>AA2*(1-Assumptions!$B$19)</f>
        <v>3340.358226303939</v>
      </c>
      <c r="AB3" s="52">
        <f>AB2*(1-Assumptions!$B$19)</f>
        <v>3544.4912290225125</v>
      </c>
      <c r="AC3" s="52">
        <f>AC2*(1-Assumptions!$B$19)</f>
        <v>3633.103509748075</v>
      </c>
    </row>
    <row r="4" customFormat="1" s="1">
      <c r="A4" s="5" t="inlineStr">
        <is>
          <t>Gross Margin</t>
        </is>
      </c>
      <c r="B4" s="52">
        <f>B2-B3</f>
        <v>96.163</v>
      </c>
      <c r="C4" s="52">
        <f>C2-C3</f>
        <v>100.533</v>
      </c>
      <c r="D4" s="52">
        <f>D2-D3</f>
        <v>100.041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47.159</v>
      </c>
      <c r="K4" s="52">
        <f>K2-K3</f>
        <v>89.912</v>
      </c>
      <c r="L4" s="52">
        <f>L2-L3</f>
        <v>73.106</v>
      </c>
      <c r="M4" s="52">
        <f>M2-M3</f>
        <v>194.688</v>
      </c>
      <c r="N4" s="52">
        <f>N2-N3</f>
        <v>418.668</v>
      </c>
      <c r="O4" s="52">
        <f>O2-O3</f>
        <v>729.282</v>
      </c>
      <c r="P4" s="52">
        <f>P2-P3</f>
        <v>897.2439999999999</v>
      </c>
      <c r="Q4" s="52">
        <f>Q2-Q3</f>
        <v>1560.076</v>
      </c>
      <c r="R4" s="52">
        <f>R2-R3</f>
        <v>1941.73</v>
      </c>
      <c r="S4" s="52">
        <f>S2-S3</f>
        <v>3036.7709999999997</v>
      </c>
      <c r="T4" s="52">
        <f>T2-T3</f>
        <v>4099.796484615</v>
      </c>
      <c r="U4" s="52">
        <f>U2-U3</f>
        <v>5386.677047841375</v>
      </c>
      <c r="V4" s="52">
        <f>V2-V3</f>
        <v>6882.976227797312</v>
      </c>
      <c r="W4" s="52">
        <f>W2-W3</f>
        <v>8546.362149514996</v>
      </c>
      <c r="X4" s="52">
        <f>X2-X3</f>
        <v>10303.114369137524</v>
      </c>
      <c r="Y4" s="52">
        <f>Y2-Y3</f>
        <v>12048.919859463604</v>
      </c>
      <c r="Z4" s="52">
        <f>Z2-Z3</f>
        <v>13655.442507392083</v>
      </c>
      <c r="AA4" s="52">
        <f>AA2-AA3</f>
        <v>14983.054973388538</v>
      </c>
      <c r="AB4" s="52">
        <f>AB2-AB3</f>
        <v>15898.68611065117</v>
      </c>
      <c r="AC4" s="52">
        <f>AC2-AC3</f>
        <v>16296.153263417447</v>
      </c>
    </row>
    <row r="5">
      <c r="A5" s="2" t="inlineStr">
        <is>
          <t>Research &amp; Dev.</t>
        </is>
      </c>
      <c r="B5" s="52" t="n">
        <v>96.883</v>
      </c>
      <c r="C5" s="52" t="n">
        <v>108.73</v>
      </c>
      <c r="D5" s="52" t="n">
        <v>106.384</v>
      </c>
      <c r="E5" s="52" t="n">
        <v>99.295</v>
      </c>
      <c r="F5" s="52" t="n">
        <v>86.569</v>
      </c>
      <c r="G5" s="52" t="n">
        <v>112.957</v>
      </c>
      <c r="H5" s="52" t="n">
        <v>190.249</v>
      </c>
      <c r="I5" s="52" t="n">
        <v>276.495</v>
      </c>
      <c r="J5" s="52" t="n">
        <v>382.392</v>
      </c>
      <c r="K5" s="52" t="n">
        <v>390.635</v>
      </c>
      <c r="L5" s="52" t="n">
        <v>505.42</v>
      </c>
      <c r="M5" s="52" t="n">
        <v>655.114</v>
      </c>
      <c r="N5" s="52" t="n">
        <v>654.819</v>
      </c>
      <c r="O5" s="52" t="n">
        <v>792.1559999999999</v>
      </c>
      <c r="P5" s="52" t="n">
        <v>883.015</v>
      </c>
      <c r="Q5" s="52" t="n">
        <v>1004.415</v>
      </c>
      <c r="R5" s="52" t="n">
        <v>1126.232</v>
      </c>
      <c r="S5" s="52" t="n">
        <v>1319.775</v>
      </c>
      <c r="T5" s="52">
        <f>T7*Assumptions!$B$20</f>
        <v>1593.2873371575174</v>
      </c>
      <c r="U5" s="52">
        <f>U7*Assumptions!$B$20</f>
        <v>2096.180426001643</v>
      </c>
      <c r="V5" s="52">
        <f>V7*Assumptions!$B$20</f>
        <v>2682.0023014892863</v>
      </c>
      <c r="W5" s="52">
        <f>W7*Assumptions!$B$20</f>
        <v>3334.560196889306</v>
      </c>
      <c r="X5" s="52">
        <f>X7*Assumptions!$B$20</f>
        <v>4025.310862960276</v>
      </c>
      <c r="Y5" s="52">
        <f>Y7*Assumptions!$B$20</f>
        <v>4713.591025972887</v>
      </c>
      <c r="Z5" s="52">
        <f>Z7*Assumptions!$B$20</f>
        <v>5349.1119095743425</v>
      </c>
      <c r="AA5" s="52">
        <f>AA7*Assumptions!$B$20</f>
        <v>5876.89118315704</v>
      </c>
      <c r="AB5" s="52">
        <f>AB7*Assumptions!$B$20</f>
        <v>6244.233448918517</v>
      </c>
      <c r="AC5" s="52">
        <f>AC7*Assumptions!$B$20</f>
        <v>6408.743173713128</v>
      </c>
    </row>
    <row r="6">
      <c r="A6" s="18" t="inlineStr">
        <is>
          <t>SG&amp;A &amp; Other</t>
        </is>
      </c>
      <c r="B6" s="52" t="n">
        <v>27.115</v>
      </c>
      <c r="C6" s="52" t="n">
        <v>39.914</v>
      </c>
      <c r="D6" s="52" t="n">
        <v>37.727</v>
      </c>
      <c r="E6" s="52" t="n">
        <v>-44.477</v>
      </c>
      <c r="F6" s="52" t="n">
        <v>42.887</v>
      </c>
      <c r="G6" s="52" t="n">
        <v>-20.015</v>
      </c>
      <c r="H6" s="52" t="n">
        <v>214.731</v>
      </c>
      <c r="I6" s="52" t="n">
        <v>19.513</v>
      </c>
      <c r="J6" s="52" t="n">
        <v>89.354</v>
      </c>
      <c r="K6" s="52" t="n">
        <v>199.365</v>
      </c>
      <c r="L6" s="52" t="n">
        <v>382.359</v>
      </c>
      <c r="M6" s="52" t="n">
        <v>479.005</v>
      </c>
      <c r="N6" s="52" t="n">
        <v>592.287</v>
      </c>
      <c r="O6" s="52" t="n">
        <v>645.778</v>
      </c>
      <c r="P6" s="52" t="n">
        <v>799.301</v>
      </c>
      <c r="Q6" s="52" t="n">
        <v>837.836</v>
      </c>
      <c r="R6" s="52" t="n">
        <v>992.383</v>
      </c>
      <c r="S6" s="52" t="n">
        <v>1215.418</v>
      </c>
      <c r="T6" s="52">
        <f>T7-T5</f>
        <v>1467.1954464719825</v>
      </c>
      <c r="U6" s="52">
        <f>U7-U5</f>
        <v>1930.2898506054316</v>
      </c>
      <c r="V6" s="52">
        <f>V7-V5</f>
        <v>2469.750102447107</v>
      </c>
      <c r="W6" s="52">
        <f>W7-W5</f>
        <v>3070.6649219914207</v>
      </c>
      <c r="X6" s="52">
        <f>X7-X5</f>
        <v>3706.7499571708736</v>
      </c>
      <c r="Y6" s="52">
        <f>Y7-Y5</f>
        <v>4340.560003556287</v>
      </c>
      <c r="Z6" s="52">
        <f>Z7-Z5</f>
        <v>4925.786111121667</v>
      </c>
      <c r="AA6" s="52">
        <f>AA7-AA5</f>
        <v>5411.7972209095005</v>
      </c>
      <c r="AB6" s="52">
        <f>AB7-AB5</f>
        <v>5750.068220152781</v>
      </c>
      <c r="AC6" s="52">
        <f>AC7-AC5</f>
        <v>5901.558735071214</v>
      </c>
    </row>
    <row r="7">
      <c r="A7" s="2" t="inlineStr">
        <is>
          <t>Operating Expense</t>
        </is>
      </c>
      <c r="B7" s="52">
        <f>SUM(B5:B6)</f>
        <v>123.99799999999999</v>
      </c>
      <c r="C7" s="52">
        <f>SUM(C5:C6)</f>
        <v>148.644</v>
      </c>
      <c r="D7" s="52">
        <f>SUM(D5:D6)</f>
        <v>144.111</v>
      </c>
      <c r="E7" s="52">
        <f>SUM(E5:E6)</f>
        <v>54.818000000000005</v>
      </c>
      <c r="F7" s="52">
        <f>SUM(F5:F6)</f>
        <v>129.45600000000002</v>
      </c>
      <c r="G7" s="52">
        <f>SUM(G5:G6)</f>
        <v>92.942</v>
      </c>
      <c r="H7" s="52">
        <f>SUM(H5:H6)</f>
        <v>404.98</v>
      </c>
      <c r="I7" s="52">
        <f>SUM(I5:I6)</f>
        <v>296.008</v>
      </c>
      <c r="J7" s="52">
        <f>SUM(J5:J6)</f>
        <v>471.746</v>
      </c>
      <c r="K7" s="52">
        <f>SUM(K5:K6)</f>
        <v>590.0</v>
      </c>
      <c r="L7" s="52">
        <f>SUM(L5:L6)</f>
        <v>887.779</v>
      </c>
      <c r="M7" s="52">
        <f>SUM(M5:M6)</f>
        <v>1134.1190000000001</v>
      </c>
      <c r="N7" s="52">
        <f>SUM(N5:N6)</f>
        <v>1247.106</v>
      </c>
      <c r="O7" s="52">
        <f>SUM(O5:O6)</f>
        <v>1437.934</v>
      </c>
      <c r="P7" s="52">
        <f>SUM(P5:P6)</f>
        <v>1682.316</v>
      </c>
      <c r="Q7" s="52">
        <f>SUM(Q5:Q6)</f>
        <v>1842.251</v>
      </c>
      <c r="R7" s="52">
        <f>SUM(R5:R6)</f>
        <v>2118.615</v>
      </c>
      <c r="S7" s="52">
        <f>SUM(S5:S6)</f>
        <v>2535.193</v>
      </c>
      <c r="T7" s="52">
        <f>T4-T2*NPV!C6</f>
        <v>3060.4827836295</v>
      </c>
      <c r="U7" s="52">
        <f>U4-U2*NPV!D6</f>
        <v>4026.4702766070745</v>
      </c>
      <c r="V7" s="52">
        <f>V4-V2*NPV!E6</f>
        <v>5151.752403936393</v>
      </c>
      <c r="W7" s="52">
        <f>W4-W2*NPV!F6</f>
        <v>6405.225118880727</v>
      </c>
      <c r="X7" s="52">
        <f>X4-X2*NPV!G6</f>
        <v>7732.06082013115</v>
      </c>
      <c r="Y7" s="52">
        <f>Y4-Y2*NPV!H6</f>
        <v>9054.151029529174</v>
      </c>
      <c r="Z7" s="52">
        <f>Z4-Z2*NPV!I6</f>
        <v>10274.89802069601</v>
      </c>
      <c r="AA7" s="52">
        <f>AA4-AA2*NPV!J6</f>
        <v>11288.68840406654</v>
      </c>
      <c r="AB7" s="52">
        <f>AB4-AB2*NPV!K6</f>
        <v>11994.301669071298</v>
      </c>
      <c r="AC7" s="52">
        <f>AC4-AC2*NPV!L6</f>
        <v>12310.301908784342</v>
      </c>
    </row>
    <row r="8">
      <c r="A8" s="2" t="inlineStr">
        <is>
          <t>Operating Income</t>
        </is>
      </c>
      <c r="B8" s="52">
        <f>B4-B7</f>
        <v>-27.834999999999994</v>
      </c>
      <c r="C8" s="52">
        <f>C4-C7</f>
        <v>-48.111000000000004</v>
      </c>
      <c r="D8" s="52">
        <f>D4-D7</f>
        <v>-44.06999999999999</v>
      </c>
      <c r="E8" s="52">
        <f>E4-E7</f>
        <v>-54.818000000000005</v>
      </c>
      <c r="F8" s="52">
        <f>F4-F7</f>
        <v>-129.45600000000002</v>
      </c>
      <c r="G8" s="52">
        <f>G4-G7</f>
        <v>-92.942</v>
      </c>
      <c r="H8" s="52">
        <f>H4-H7</f>
        <v>-404.98</v>
      </c>
      <c r="I8" s="52">
        <f>I4-I7</f>
        <v>-296.008</v>
      </c>
      <c r="J8" s="52">
        <f>J4-J7</f>
        <v>-424.587</v>
      </c>
      <c r="K8" s="52">
        <f>K4-K7</f>
        <v>-500.08799999999997</v>
      </c>
      <c r="L8" s="52">
        <f>L4-L7</f>
        <v>-814.673</v>
      </c>
      <c r="M8" s="52">
        <f>M4-M7</f>
        <v>-939.4310000000002</v>
      </c>
      <c r="N8" s="52">
        <f>N4-N7</f>
        <v>-828.438</v>
      </c>
      <c r="O8" s="52">
        <f>O4-O7</f>
        <v>-708.6519999999999</v>
      </c>
      <c r="P8" s="52">
        <f>P4-P7</f>
        <v>-785.0720000000001</v>
      </c>
      <c r="Q8" s="52">
        <f>Q4-Q7</f>
        <v>-282.17499999999995</v>
      </c>
      <c r="R8" s="52">
        <f>R4-R7</f>
        <v>-176.88499999999976</v>
      </c>
      <c r="S8" s="52">
        <f>S4-S7</f>
        <v>501.5779999999995</v>
      </c>
      <c r="T8" s="52">
        <f>T4-T7</f>
        <v>1039.3137009855</v>
      </c>
      <c r="U8" s="52">
        <f>U4-U7</f>
        <v>1360.2067712343</v>
      </c>
      <c r="V8" s="52">
        <f>V4-V7</f>
        <v>1731.2238238609189</v>
      </c>
      <c r="W8" s="52">
        <f>W4-W7</f>
        <v>2141.1370306342696</v>
      </c>
      <c r="X8" s="52">
        <f>X4-X7</f>
        <v>2571.053549006374</v>
      </c>
      <c r="Y8" s="52">
        <f>Y4-Y7</f>
        <v>2994.76882993443</v>
      </c>
      <c r="Z8" s="52">
        <f>Z4-Z7</f>
        <v>3380.5444866960734</v>
      </c>
      <c r="AA8" s="52">
        <f>AA4-AA7</f>
        <v>3694.3665693219973</v>
      </c>
      <c r="AB8" s="52">
        <f>AB4-AB7</f>
        <v>3904.384441579872</v>
      </c>
      <c r="AC8" s="52">
        <f>AC4-AC7</f>
        <v>3985.851354633105</v>
      </c>
    </row>
    <row r="9">
      <c r="A9" s="18" t="inlineStr">
        <is>
          <t>Interest &amp; Other</t>
        </is>
      </c>
      <c r="B9" s="52" t="n">
        <v>2.305</v>
      </c>
      <c r="C9" s="52" t="n">
        <v>1.103</v>
      </c>
      <c r="D9" s="52" t="n">
        <v>1.069</v>
      </c>
      <c r="E9" s="52" t="n">
        <v>-2.831</v>
      </c>
      <c r="F9" s="52" t="n">
        <v>12.87</v>
      </c>
      <c r="G9" s="52" t="n">
        <v>1.022</v>
      </c>
      <c r="H9" s="52" t="n">
        <v>4.376</v>
      </c>
      <c r="I9" s="52" t="n">
        <v>5.935</v>
      </c>
      <c r="J9" s="52" t="n">
        <v>14.479</v>
      </c>
      <c r="K9" s="52" t="n">
        <v>9.214</v>
      </c>
      <c r="L9" s="52" t="n">
        <v>53.999</v>
      </c>
      <c r="M9" s="52" t="n">
        <v>54.178</v>
      </c>
      <c r="N9" s="52" t="n">
        <v>-27.162</v>
      </c>
      <c r="O9" s="52" t="n">
        <v>-143.492</v>
      </c>
      <c r="P9" s="52" t="n">
        <v>-341.921</v>
      </c>
      <c r="Q9" s="52" t="n">
        <v>-151.342</v>
      </c>
      <c r="R9" s="52" t="n">
        <v>-200.49</v>
      </c>
      <c r="S9" s="52" t="n">
        <v>-178.426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</row>
    <row r="10">
      <c r="A10" s="2" t="inlineStr">
        <is>
          <t>Pretax</t>
        </is>
      </c>
      <c r="B10" s="52">
        <f>B8+B9</f>
        <v>-25.529999999999994</v>
      </c>
      <c r="C10" s="52">
        <f>C8+C9</f>
        <v>-47.008</v>
      </c>
      <c r="D10" s="52">
        <f>D8+D9</f>
        <v>-43.00099999999999</v>
      </c>
      <c r="E10" s="52">
        <f>E8+E9</f>
        <v>-57.64900000000001</v>
      </c>
      <c r="F10" s="52">
        <f>F8+F9</f>
        <v>-116.58600000000001</v>
      </c>
      <c r="G10" s="52">
        <f>G8+G9</f>
        <v>-91.91999999999999</v>
      </c>
      <c r="H10" s="52">
        <f>H8+H9</f>
        <v>-400.60400000000004</v>
      </c>
      <c r="I10" s="52">
        <f>I8+I9</f>
        <v>-290.073</v>
      </c>
      <c r="J10" s="52">
        <f>J8+J9</f>
        <v>-410.108</v>
      </c>
      <c r="K10" s="52">
        <f>K8+K9</f>
        <v>-490.87399999999997</v>
      </c>
      <c r="L10" s="52">
        <f>L8+L9</f>
        <v>-760.674</v>
      </c>
      <c r="M10" s="52">
        <f>M8+M9</f>
        <v>-885.2530000000002</v>
      </c>
      <c r="N10" s="52">
        <f>N8+N9</f>
        <v>-855.6</v>
      </c>
      <c r="O10" s="52">
        <f>O8+O9</f>
        <v>-852.1439999999999</v>
      </c>
      <c r="P10" s="52">
        <f>P8+P9</f>
        <v>-1126.9930000000002</v>
      </c>
      <c r="Q10" s="52">
        <f>Q8+Q9</f>
        <v>-433.51699999999994</v>
      </c>
      <c r="R10" s="52">
        <f>R8+R9</f>
        <v>-377.3749999999998</v>
      </c>
      <c r="S10" s="52">
        <f>S8+S9</f>
        <v>323.15199999999953</v>
      </c>
      <c r="T10" s="52">
        <f>T8+T9</f>
        <v>1039.3137009855</v>
      </c>
      <c r="U10" s="52">
        <f>U8+U9</f>
        <v>1360.2067712343</v>
      </c>
      <c r="V10" s="52">
        <f>V8+V9</f>
        <v>1731.2238238609189</v>
      </c>
      <c r="W10" s="52">
        <f>W8+W9</f>
        <v>2141.1370306342696</v>
      </c>
      <c r="X10" s="52">
        <f>X8+X9</f>
        <v>2571.053549006374</v>
      </c>
      <c r="Y10" s="52">
        <f>Y8+Y9</f>
        <v>2994.76882993443</v>
      </c>
      <c r="Z10" s="52">
        <f>Z8+Z9</f>
        <v>3380.5444866960734</v>
      </c>
      <c r="AA10" s="52">
        <f>AA8+AA9</f>
        <v>3694.3665693219973</v>
      </c>
      <c r="AB10" s="52">
        <f>AB8+AB9</f>
        <v>3904.384441579872</v>
      </c>
      <c r="AC10" s="52">
        <f>AC8+AC9</f>
        <v>3985.851354633105</v>
      </c>
    </row>
    <row r="11">
      <c r="A11" s="2" t="inlineStr">
        <is>
          <t>Taxes</t>
        </is>
      </c>
      <c r="B11" s="52" t="n">
        <v>0.719</v>
      </c>
      <c r="C11" s="52" t="n">
        <v>0.582</v>
      </c>
      <c r="D11" s="52" t="n">
        <v>0.514</v>
      </c>
      <c r="E11" s="52" t="n">
        <v>0</v>
      </c>
      <c r="F11" s="52" t="n">
        <v>-10.572</v>
      </c>
      <c r="G11" s="52" t="n">
        <v>-2.695</v>
      </c>
      <c r="H11" s="52" t="n">
        <v>-40.209</v>
      </c>
      <c r="I11" s="52" t="n">
        <v>0</v>
      </c>
      <c r="J11" s="52" t="n">
        <v>0</v>
      </c>
      <c r="K11" s="52" t="n">
        <v>0</v>
      </c>
      <c r="L11" s="52" t="n">
        <v>0.823</v>
      </c>
      <c r="M11" s="52" t="n">
        <v>0.863</v>
      </c>
      <c r="N11" s="52" t="n">
        <v>2.681</v>
      </c>
      <c r="O11" s="52" t="n">
        <v>0.68</v>
      </c>
      <c r="P11" s="52" t="n">
        <v>4.163</v>
      </c>
      <c r="Q11" s="52" t="n">
        <v>6.725</v>
      </c>
      <c r="R11" s="52" t="n">
        <v>-99.218</v>
      </c>
      <c r="S11" s="52" t="n">
        <v>9.404999999999999</v>
      </c>
      <c r="T11" s="52">
        <f>MAX(0,T10)*Assumptions!$E$14</f>
        <v>176.683329167535</v>
      </c>
      <c r="U11" s="52">
        <f>MAX(0,U10)*Assumptions!$E$14</f>
        <v>231.23515110983104</v>
      </c>
      <c r="V11" s="52">
        <f>MAX(0,V10)*Assumptions!$E$14</f>
        <v>294.30805005635625</v>
      </c>
      <c r="W11" s="52">
        <f>MAX(0,W10)*Assumptions!$E$14</f>
        <v>363.9932952078259</v>
      </c>
      <c r="X11" s="52">
        <f>MAX(0,X10)*Assumptions!$E$14</f>
        <v>437.0791033310836</v>
      </c>
      <c r="Y11" s="52">
        <f>MAX(0,Y10)*Assumptions!$E$14</f>
        <v>509.11070108885315</v>
      </c>
      <c r="Z11" s="52">
        <f>MAX(0,Z10)*Assumptions!$E$14</f>
        <v>574.6925627383325</v>
      </c>
      <c r="AA11" s="52">
        <f>MAX(0,AA10)*Assumptions!$E$14</f>
        <v>628.0423167847396</v>
      </c>
      <c r="AB11" s="52">
        <f>MAX(0,AB10)*Assumptions!$E$14</f>
        <v>663.7453550685783</v>
      </c>
      <c r="AC11" s="52">
        <f>MAX(0,AC10)*Assumptions!$E$14</f>
        <v>677.594730287628</v>
      </c>
    </row>
    <row r="12">
      <c r="A12" s="2" t="inlineStr">
        <is>
          <t>Net Income</t>
        </is>
      </c>
      <c r="B12" s="52" t="n">
        <v>-26.249</v>
      </c>
      <c r="C12" s="52" t="n">
        <v>-47.59</v>
      </c>
      <c r="D12" s="52" t="n">
        <v>-43.515</v>
      </c>
      <c r="E12" s="52" t="n">
        <v>-57.649</v>
      </c>
      <c r="F12" s="52" t="n">
        <v>-106.014</v>
      </c>
      <c r="G12" s="52" t="n">
        <v>-89.22499999999999</v>
      </c>
      <c r="H12" s="52" t="n">
        <v>-360.395</v>
      </c>
      <c r="I12" s="52" t="n">
        <v>-290.073</v>
      </c>
      <c r="J12" s="52" t="n">
        <v>-410.108</v>
      </c>
      <c r="K12" s="52" t="n">
        <v>-490.874</v>
      </c>
      <c r="L12" s="52" t="n">
        <v>-761.497</v>
      </c>
      <c r="M12" s="52" t="n">
        <v>-886.116</v>
      </c>
      <c r="N12" s="52" t="n">
        <v>-858.2809999999999</v>
      </c>
      <c r="O12" s="52" t="n">
        <v>-852.824</v>
      </c>
      <c r="P12" s="52" t="n">
        <v>-1131.156</v>
      </c>
      <c r="Q12" s="52" t="n">
        <v>-440.242</v>
      </c>
      <c r="R12" s="52" t="n">
        <v>-278.157</v>
      </c>
      <c r="S12" s="52" t="n">
        <v>313.747</v>
      </c>
      <c r="T12" s="52">
        <f>T10-T11</f>
        <v>862.6303718179649</v>
      </c>
      <c r="U12" s="52">
        <f>U10-U11</f>
        <v>1128.971620124469</v>
      </c>
      <c r="V12" s="52">
        <f>V10-V11</f>
        <v>1436.9157738045626</v>
      </c>
      <c r="W12" s="52">
        <f>W10-W11</f>
        <v>1777.1437354264438</v>
      </c>
      <c r="X12" s="52">
        <f>X10-X11</f>
        <v>2133.9744456752906</v>
      </c>
      <c r="Y12" s="52">
        <f>Y10-Y11</f>
        <v>2485.658128845577</v>
      </c>
      <c r="Z12" s="52">
        <f>Z10-Z11</f>
        <v>2805.851923957741</v>
      </c>
      <c r="AA12" s="52">
        <f>AA10-AA11</f>
        <v>3066.324252537258</v>
      </c>
      <c r="AB12" s="52">
        <f>AB10-AB11</f>
        <v>3240.639086511294</v>
      </c>
      <c r="AC12" s="52">
        <f>AC10-AC11</f>
        <v>3308.256624345477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-1.0350856327307327</v>
      </c>
      <c r="E13" s="11">
        <f>IFERROR(E12/E14,0)</f>
        <v>-1.3593256307474653</v>
      </c>
      <c r="F13" s="11">
        <f>IFERROR(F12/F14,0)</f>
        <v>-2.1082209760171815</v>
      </c>
      <c r="G13" s="11">
        <f>IFERROR(G12/G14,0)</f>
        <v>-1.4496108917807995</v>
      </c>
      <c r="H13" s="11">
        <f>IFERROR(H12/H14,0)</f>
        <v>-4.851975012789789</v>
      </c>
      <c r="I13" s="11">
        <f>IFERROR(I12/I14,0)</f>
        <v>-3.4535789122773592</v>
      </c>
      <c r="J13" s="11">
        <f>IFERROR(J12/J14,0)</f>
        <v>-4.791205196504509</v>
      </c>
      <c r="K13" s="11">
        <f>IFERROR(K12/K14,0)</f>
        <v>-5.4207875963513485</v>
      </c>
      <c r="L13" s="11">
        <f>IFERROR(L12/L14,0)</f>
        <v>-7.570305199323988</v>
      </c>
      <c r="M13" s="11">
        <f>IFERROR(M12/M14,0)</f>
        <v>-8.109862351735247</v>
      </c>
      <c r="N13" s="11">
        <f>IFERROR(N12/N14,0)</f>
        <v>-7.4642217313412065</v>
      </c>
      <c r="O13" s="11">
        <f>IFERROR(O12/O14,0)</f>
        <v>-7.199804138420106</v>
      </c>
      <c r="P13" s="11">
        <f>IFERROR(P12/P14,0)</f>
        <v>-9.295466311663338</v>
      </c>
      <c r="Q13" s="11">
        <f>IFERROR(Q12/Q14,0)</f>
        <v>-3.524586489039758</v>
      </c>
      <c r="R13" s="11">
        <f>IFERROR(R12/R14,0)</f>
        <v>-2.179042859045366</v>
      </c>
      <c r="S13" s="11">
        <f>IFERROR(S12/S14,0)</f>
        <v>2.3295046182174572</v>
      </c>
      <c r="T13" s="11">
        <f>IFERROR(T12/T14,0)</f>
        <v>6.446723397563721</v>
      </c>
      <c r="U13" s="11">
        <f>IFERROR(U12/U14,0)</f>
        <v>8.437180044221417</v>
      </c>
      <c r="V13" s="11">
        <f>IFERROR(V12/V14,0)</f>
        <v>10.738549026267123</v>
      </c>
      <c r="W13" s="11">
        <f>IFERROR(W12/W14,0)</f>
        <v>13.281185632106503</v>
      </c>
      <c r="X13" s="11">
        <f>IFERROR(X12/X14,0)</f>
        <v>15.947900095083881</v>
      </c>
      <c r="Y13" s="11">
        <f>IFERROR(Y12/Y14,0)</f>
        <v>18.576149114483936</v>
      </c>
      <c r="Z13" s="11">
        <f>IFERROR(Z12/Z14,0)</f>
        <v>20.96906373717926</v>
      </c>
      <c r="AA13" s="11">
        <f>IFERROR(AA12/AA14,0)</f>
        <v>22.91565999663235</v>
      </c>
      <c r="AB13" s="11">
        <f>IFERROR(AB12/AB14,0)</f>
        <v>24.218372671070842</v>
      </c>
      <c r="AC13" s="11">
        <f>IFERROR(AC12/AC14,0)</f>
        <v>24.723700998802464</v>
      </c>
    </row>
    <row r="14">
      <c r="A14" s="2" t="inlineStr">
        <is>
          <t>Shares</t>
        </is>
      </c>
      <c r="B14" s="52" t="n"/>
      <c r="C14" s="52" t="n"/>
      <c r="D14" s="52" t="n">
        <v>42.04</v>
      </c>
      <c r="E14" s="52" t="n">
        <v>42.41</v>
      </c>
      <c r="F14" s="52" t="n">
        <v>50.286</v>
      </c>
      <c r="G14" s="52" t="n">
        <v>61.551</v>
      </c>
      <c r="H14" s="52" t="n">
        <v>74.27800000000001</v>
      </c>
      <c r="I14" s="52" t="n">
        <v>83.992</v>
      </c>
      <c r="J14" s="52" t="n">
        <v>85.596</v>
      </c>
      <c r="K14" s="52" t="n">
        <v>90.554</v>
      </c>
      <c r="L14" s="52" t="n">
        <v>100.59</v>
      </c>
      <c r="M14" s="52" t="n">
        <v>109.264</v>
      </c>
      <c r="N14" s="52" t="n">
        <v>114.986</v>
      </c>
      <c r="O14" s="52" t="n">
        <v>118.451</v>
      </c>
      <c r="P14" s="52" t="n">
        <v>121.689</v>
      </c>
      <c r="Q14" s="52" t="n">
        <v>124.906</v>
      </c>
      <c r="R14" s="52" t="n">
        <v>127.651</v>
      </c>
      <c r="S14" s="52" t="n">
        <v>134.684</v>
      </c>
      <c r="T14" s="52">
        <f>Main!$C$4</f>
        <v>133.809118</v>
      </c>
      <c r="U14" s="52">
        <f>Main!$C$4</f>
        <v>133.809118</v>
      </c>
      <c r="V14" s="52">
        <f>Main!$C$4</f>
        <v>133.809118</v>
      </c>
      <c r="W14" s="52">
        <f>Main!$C$4</f>
        <v>133.809118</v>
      </c>
      <c r="X14" s="52">
        <f>Main!$C$4</f>
        <v>133.809118</v>
      </c>
      <c r="Y14" s="52">
        <f>Main!$C$4</f>
        <v>133.809118</v>
      </c>
      <c r="Z14" s="52">
        <f>Main!$C$4</f>
        <v>133.809118</v>
      </c>
      <c r="AA14" s="52">
        <f>Main!$C$4</f>
        <v>133.809118</v>
      </c>
      <c r="AB14" s="52">
        <f>Main!$C$4</f>
        <v>133.809118</v>
      </c>
      <c r="AC14" s="52">
        <f>Main!$C$4</f>
        <v>133.809118</v>
      </c>
    </row>
    <row r="15"/>
    <row r="16" customFormat="1" s="4">
      <c r="A16" s="3" t="inlineStr">
        <is>
          <t>Revenue Change</t>
        </is>
      </c>
      <c r="C16" s="15">
        <f>IFERROR(C2/B2-1,"")</f>
        <v>0.045443673762257886</v>
      </c>
      <c r="D16" s="15">
        <f>IFERROR(D2/C2-1,"")</f>
        <v>-0.0048939154307541255</v>
      </c>
      <c r="E16" s="15">
        <f>IFERROR(E2/D2-1,"")</f>
        <v>-1.0</v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>0.9065713861617084</v>
      </c>
      <c r="L16" s="15">
        <f>IFERROR(L2/K2-1,"")</f>
        <v>-0.16687427707091385</v>
      </c>
      <c r="M16" s="15">
        <f>IFERROR(M2/L2-1,"")</f>
        <v>1.9335985475516635</v>
      </c>
      <c r="N16" s="15">
        <f>IFERROR(N2/M2-1,"")</f>
        <v>1.2427895335608645</v>
      </c>
      <c r="O16" s="15">
        <f>IFERROR(O2/N2-1,"")</f>
        <v>0.7130604865953947</v>
      </c>
      <c r="P16" s="15">
        <f>IFERROR(P2/O2-1,"")</f>
        <v>0.22875041307043675</v>
      </c>
      <c r="Q16" s="15">
        <f>IFERROR(Q2/P2-1,"")</f>
        <v>0.76234844585307</v>
      </c>
      <c r="R16" s="15">
        <f>IFERROR(R2/Q2-1,"")</f>
        <v>0.22969580351497476</v>
      </c>
      <c r="S16" s="15">
        <f>IFERROR(S2/R2-1,"")</f>
        <v>0.6519286393864008</v>
      </c>
      <c r="T16" s="15">
        <f>IFERROR(T2/S2-1,"")</f>
        <v>0.3500000000000001</v>
      </c>
      <c r="U16" s="15">
        <f>IFERROR(U2/T2-1,"")</f>
        <v>0.3138888888888889</v>
      </c>
      <c r="V16" s="15">
        <f>IFERROR(V2/U2-1,"")</f>
        <v>0.2777777777777777</v>
      </c>
      <c r="W16" s="15">
        <f>IFERROR(W2/V2-1,"")</f>
        <v>0.2416666666666667</v>
      </c>
      <c r="X16" s="15">
        <f>IFERROR(X2/W2-1,"")</f>
        <v>0.2055555555555555</v>
      </c>
      <c r="Y16" s="15">
        <f>IFERROR(Y2/X2-1,"")</f>
        <v>0.1694444444444445</v>
      </c>
      <c r="Z16" s="15">
        <f>IFERROR(Z2/Y2-1,"")</f>
        <v>0.1333333333333333</v>
      </c>
      <c r="AA16" s="15">
        <f>IFERROR(AA2/Z2-1,"")</f>
        <v>0.09722222222222232</v>
      </c>
      <c r="AB16" s="15">
        <f>IFERROR(AB2/AA2-1,"")</f>
        <v>0.061111111111111116</v>
      </c>
      <c r="AC16" s="15">
        <f>IFERROR(AC2/AB2-1,"")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>1.0</v>
      </c>
      <c r="K17" s="15">
        <f>IFERROR(K4/K2,"")</f>
        <v>1.0</v>
      </c>
      <c r="L17" s="15">
        <f>IFERROR(L4/L2,"")</f>
        <v>0.9759438244246275</v>
      </c>
      <c r="M17" s="15">
        <f>IFERROR(M4/M2,"")</f>
        <v>0.885952218430034</v>
      </c>
      <c r="N17" s="15">
        <f>IFERROR(N4/N2,"")</f>
        <v>0.8494784448912759</v>
      </c>
      <c r="O17" s="15">
        <f>IFERROR(O4/O2,"")</f>
        <v>0.863784471394206</v>
      </c>
      <c r="P17" s="15">
        <f>IFERROR(P4/P2,"")</f>
        <v>0.8648818509029147</v>
      </c>
      <c r="Q17" s="15">
        <f>IFERROR(Q4/Q2,"")</f>
        <v>0.8532969569412326</v>
      </c>
      <c r="R17" s="15">
        <f>IFERROR(R4/R2,"")</f>
        <v>0.8636655379333996</v>
      </c>
      <c r="S17" s="15">
        <f>IFERROR(S4/S2,"")</f>
        <v>0.8176689588434052</v>
      </c>
      <c r="T17" s="15">
        <f>IFERROR(T4/T2,"")</f>
        <v>0.8177</v>
      </c>
      <c r="U17" s="15">
        <f>IFERROR(U4/U2,"")</f>
        <v>0.8177</v>
      </c>
      <c r="V17" s="15">
        <f>IFERROR(V4/V2,"")</f>
        <v>0.8177</v>
      </c>
      <c r="W17" s="15">
        <f>IFERROR(W4/W2,"")</f>
        <v>0.8177</v>
      </c>
      <c r="X17" s="15">
        <f>IFERROR(X4/X2,"")</f>
        <v>0.8177</v>
      </c>
      <c r="Y17" s="15">
        <f>IFERROR(Y4/Y2,"")</f>
        <v>0.8176999999999999</v>
      </c>
      <c r="Z17" s="15">
        <f>IFERROR(Z4/Z2,"")</f>
        <v>0.8176999999999999</v>
      </c>
      <c r="AA17" s="15">
        <f>IFERROR(AA4/AA2,"")</f>
        <v>0.8177</v>
      </c>
      <c r="AB17" s="15">
        <f>IFERROR(AB4/AB2,"")</f>
        <v>0.8177</v>
      </c>
      <c r="AC17" s="15">
        <f>IFERROR(AC4/AC2,"")</f>
        <v>0.8177</v>
      </c>
    </row>
    <row r="18">
      <c r="A18" s="14" t="inlineStr">
        <is>
          <t>Operating Margin</t>
        </is>
      </c>
      <c r="B18" s="15">
        <f>IFERROR(B8/B2,"")</f>
        <v>-0.28945644374655527</v>
      </c>
      <c r="C18" s="15">
        <f>IFERROR(C8/C2,"")</f>
        <v>-0.47855927904270246</v>
      </c>
      <c r="D18" s="15">
        <f>IFERROR(D8/D2,"")</f>
        <v>-0.4405193870513089</v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>-9.003307958184015</v>
      </c>
      <c r="K18" s="15">
        <f>IFERROR(K8/K2,"")</f>
        <v>-5.561971705667763</v>
      </c>
      <c r="L18" s="15">
        <f>IFERROR(L8/L2,"")</f>
        <v>-10.875647460885352</v>
      </c>
      <c r="M18" s="15">
        <f>IFERROR(M8/M2,"")</f>
        <v>-4.274998862343573</v>
      </c>
      <c r="N18" s="15">
        <f>IFERROR(N8/N2,"")</f>
        <v>-1.680902824980268</v>
      </c>
      <c r="O18" s="15">
        <f>IFERROR(O8/O2,"")</f>
        <v>-0.8393496524286171</v>
      </c>
      <c r="P18" s="15">
        <f>IFERROR(P8/P2,"")</f>
        <v>-0.756755714668533</v>
      </c>
      <c r="Q18" s="15">
        <f>IFERROR(Q8/Q2,"")</f>
        <v>-0.15433803790641756</v>
      </c>
      <c r="R18" s="15">
        <f>IFERROR(R8/R2,"")</f>
        <v>-0.07867699354562642</v>
      </c>
      <c r="S18" s="15">
        <f>IFERROR(S8/S2,"")</f>
        <v>0.13505291015975757</v>
      </c>
      <c r="T18" s="15">
        <f>IFERROR(T8/T2,"")</f>
        <v>0.20729</v>
      </c>
      <c r="U18" s="15">
        <f>IFERROR(U8/U2,"")</f>
        <v>0.20648000000000002</v>
      </c>
      <c r="V18" s="15">
        <f>IFERROR(V8/V2,"")</f>
        <v>0.20567000000000002</v>
      </c>
      <c r="W18" s="15">
        <f>IFERROR(W8/W2,"")</f>
        <v>0.20486000000000001</v>
      </c>
      <c r="X18" s="15">
        <f>IFERROR(X8/X2,"")</f>
        <v>0.20405000000000004</v>
      </c>
      <c r="Y18" s="15">
        <f>IFERROR(Y8/Y2,"")</f>
        <v>0.20324000000000003</v>
      </c>
      <c r="Z18" s="15">
        <f>IFERROR(Z8/Z2,"")</f>
        <v>0.20242999999999997</v>
      </c>
      <c r="AA18" s="15">
        <f>IFERROR(AA8/AA2,"")</f>
        <v>0.20162</v>
      </c>
      <c r="AB18" s="15">
        <f>IFERROR(AB8/AB2,"")</f>
        <v>0.20081</v>
      </c>
      <c r="AC18" s="15">
        <f>IFERROR(AC8/AC2,"")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Alnylam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0.2081</v>
      </c>
    </row>
    <row r="19">
      <c r="A19" s="14" t="inlineStr">
        <is>
          <t>Gross margin (forecast)</t>
        </is>
      </c>
      <c r="B19" s="53" t="n">
        <v>0.8177</v>
      </c>
    </row>
    <row r="20">
      <c r="A20" s="14" t="inlineStr">
        <is>
          <t>R&amp;D share of operating expense (forecast)</t>
        </is>
      </c>
      <c r="B20" s="53" t="n">
        <v>0.5206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Model'!S2</f>
        <v>3713.937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36279.940977795966</v>
      </c>
      <c r="C29" s="56">
        <f>NPV!B26</f>
        <v>38577.106977795964</v>
      </c>
      <c r="D29" s="35">
        <f>NPV!B28</f>
        <v>288.29953858447794</v>
      </c>
      <c r="E29" s="57">
        <f>NPV!B30</f>
        <v>0.24961873600831308</v>
      </c>
    </row>
    <row r="30">
      <c r="A30" s="58" t="n">
        <v>1</v>
      </c>
      <c r="B30" s="59">
        <f t="dataTable" ref="B30:E32" r1="B4"/>
        <v>18502.87389876654</v>
      </c>
      <c r="C30" s="59">
        <v>20800.03989876654</v>
      </c>
      <c r="D30" s="39">
        <v>155.4456094596374</v>
      </c>
      <c r="E30" s="60">
        <v>-0.3262294245605418</v>
      </c>
    </row>
    <row r="31">
      <c r="A31" s="58" t="n">
        <v>2</v>
      </c>
      <c r="B31" s="59">
        <v>36279.940977795966</v>
      </c>
      <c r="C31" s="59">
        <v>38577.106977795964</v>
      </c>
      <c r="D31" s="39">
        <v>288.29953858447794</v>
      </c>
      <c r="E31" s="60">
        <v>0.24961873600831308</v>
      </c>
    </row>
    <row r="32">
      <c r="A32" s="58" t="n">
        <v>3</v>
      </c>
      <c r="B32" s="59">
        <v>73573.43662786271</v>
      </c>
      <c r="C32" s="59">
        <v>75870.60262786271</v>
      </c>
      <c r="D32" s="39">
        <v>567.0062232071712</v>
      </c>
      <c r="E32" s="60">
        <v>1.4576577660576966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288.29953858447794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366.80550241518534</v>
      </c>
      <c r="C37" s="39">
        <v>401.7837692974068</v>
      </c>
      <c r="D37" s="39">
        <v>445.47672017416164</v>
      </c>
      <c r="E37" s="39">
        <v>501.6189019723385</v>
      </c>
      <c r="F37" s="39">
        <v>576.434556727006</v>
      </c>
    </row>
    <row r="38">
      <c r="A38" s="62" t="n">
        <v>0.075</v>
      </c>
      <c r="B38" s="39">
        <v>300.9153599640878</v>
      </c>
      <c r="C38" s="39">
        <v>323.6268902847744</v>
      </c>
      <c r="D38" s="39">
        <v>350.8578824425456</v>
      </c>
      <c r="E38" s="39">
        <v>384.11458885000764</v>
      </c>
      <c r="F38" s="39">
        <v>425.65638611855513</v>
      </c>
    </row>
    <row r="39">
      <c r="A39" s="62" t="n">
        <v>0.08500000000000001</v>
      </c>
      <c r="B39" s="39">
        <v>254.30074914363786</v>
      </c>
      <c r="C39" s="39">
        <v>270.0008907656448</v>
      </c>
      <c r="D39" s="39">
        <v>288.29953858447794</v>
      </c>
      <c r="E39" s="39">
        <v>309.9051935043101</v>
      </c>
      <c r="F39" s="39">
        <v>335.80975527886585</v>
      </c>
    </row>
    <row r="40">
      <c r="A40" s="62" t="n">
        <v>0.095</v>
      </c>
      <c r="B40" s="39">
        <v>219.69868155205566</v>
      </c>
      <c r="C40" s="39">
        <v>231.05636604366862</v>
      </c>
      <c r="D40" s="39">
        <v>244.02169350430222</v>
      </c>
      <c r="E40" s="39">
        <v>258.96551169337647</v>
      </c>
      <c r="F40" s="39">
        <v>276.38228310358386</v>
      </c>
    </row>
    <row r="41">
      <c r="A41" s="62" t="n">
        <v>0.105</v>
      </c>
      <c r="B41" s="39">
        <v>193.07739286841985</v>
      </c>
      <c r="C41" s="39">
        <v>201.58236738688757</v>
      </c>
      <c r="D41" s="39">
        <v>211.1380312708303</v>
      </c>
      <c r="E41" s="39">
        <v>221.9544015982961</v>
      </c>
      <c r="F41" s="39">
        <v>234.30149936901174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Alnylam Pharmaceuticals, Inc.: free-cash-flow DCF ($mm)</t>
        </is>
      </c>
    </row>
    <row r="3">
      <c r="A3" s="20" t="inlineStr">
        <is>
          <t>Fiscal year</t>
        </is>
      </c>
      <c r="B3" s="43">
        <f>'Yearly Model'!S1</f>
        <v>2025</v>
      </c>
      <c r="C3" s="43">
        <f>'Yearly Model'!T1</f>
        <v>2026</v>
      </c>
      <c r="D3" s="43">
        <f>'Yearly Model'!U1</f>
        <v>2027</v>
      </c>
      <c r="E3" s="43">
        <f>'Yearly Model'!V1</f>
        <v>2028</v>
      </c>
      <c r="F3" s="43">
        <f>'Yearly Model'!W1</f>
        <v>2029</v>
      </c>
      <c r="G3" s="43">
        <f>'Yearly Model'!X1</f>
        <v>2030</v>
      </c>
      <c r="H3" s="43">
        <f>'Yearly Model'!Y1</f>
        <v>2031</v>
      </c>
      <c r="I3" s="43">
        <f>'Yearly Model'!Z1</f>
        <v>2032</v>
      </c>
      <c r="J3" s="43">
        <f>'Yearly Model'!AA1</f>
        <v>2033</v>
      </c>
      <c r="K3" s="43">
        <f>'Yearly Model'!AB1</f>
        <v>2034</v>
      </c>
      <c r="L3" s="43">
        <f>'Yearly Model'!AC1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0.13505291015975757</v>
      </c>
      <c r="C6" s="63">
        <f>Assumptions!$B$18+(Assumptions!$E$13-Assumptions!$B$18)*C4/Assumptions!$B$21</f>
        <v>0.20729</v>
      </c>
      <c r="D6" s="63">
        <f>Assumptions!$B$18+(Assumptions!$E$13-Assumptions!$B$18)*D4/Assumptions!$B$21</f>
        <v>0.20648</v>
      </c>
      <c r="E6" s="63">
        <f>Assumptions!$B$18+(Assumptions!$E$13-Assumptions!$B$18)*E4/Assumptions!$B$21</f>
        <v>0.20567000000000002</v>
      </c>
      <c r="F6" s="63">
        <f>Assumptions!$B$18+(Assumptions!$E$13-Assumptions!$B$18)*F4/Assumptions!$B$21</f>
        <v>0.20486000000000001</v>
      </c>
      <c r="G6" s="63">
        <f>Assumptions!$B$18+(Assumptions!$E$13-Assumptions!$B$18)*G4/Assumptions!$B$21</f>
        <v>0.20405</v>
      </c>
      <c r="H6" s="63">
        <f>Assumptions!$B$18+(Assumptions!$E$13-Assumptions!$B$18)*H4/Assumptions!$B$21</f>
        <v>0.20324</v>
      </c>
      <c r="I6" s="63">
        <f>Assumptions!$B$18+(Assumptions!$E$13-Assumptions!$B$18)*I4/Assumptions!$B$21</f>
        <v>0.20243</v>
      </c>
      <c r="J6" s="63">
        <f>Assumptions!$B$18+(Assumptions!$E$13-Assumptions!$B$18)*J4/Assumptions!$B$21</f>
        <v>0.20162000000000002</v>
      </c>
      <c r="K6" s="63">
        <f>Assumptions!$B$18+(Assumptions!$E$13-Assumptions!$B$18)*K4/Assumptions!$B$21</f>
        <v>0.20081000000000002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Model'!S2</f>
        <v>3713.937</v>
      </c>
      <c r="C7" s="55">
        <f>'Yearly Model'!T2</f>
        <v>5013.81495</v>
      </c>
      <c r="D7" s="55">
        <f>'Yearly Model'!U2</f>
        <v>6587.59575375</v>
      </c>
      <c r="E7" s="55">
        <f>'Yearly Model'!V2</f>
        <v>8417.483463125</v>
      </c>
      <c r="F7" s="55">
        <f>'Yearly Model'!W2</f>
        <v>10451.708633380209</v>
      </c>
      <c r="G7" s="55">
        <f>'Yearly Model'!X2</f>
        <v>12600.115408019474</v>
      </c>
      <c r="H7" s="55">
        <f>'Yearly Model'!Y2</f>
        <v>14735.134963267219</v>
      </c>
      <c r="I7" s="55">
        <f>'Yearly Model'!Z2</f>
        <v>16699.81962503618</v>
      </c>
      <c r="J7" s="55">
        <f>'Yearly Model'!AA2</f>
        <v>18323.413199692477</v>
      </c>
      <c r="K7" s="55">
        <f>'Yearly Model'!AB2</f>
        <v>19443.177339673683</v>
      </c>
      <c r="L7" s="55">
        <f>'Yearly Model'!AC2</f>
        <v>19929.25677316552</v>
      </c>
    </row>
    <row r="8">
      <c r="A8" s="14" t="inlineStr">
        <is>
          <t>Operating income</t>
        </is>
      </c>
      <c r="B8" s="55">
        <f>'Yearly Model'!S8</f>
        <v>501.5779999999995</v>
      </c>
      <c r="C8" s="55">
        <f>'Yearly Model'!T8</f>
        <v>1039.3137009855</v>
      </c>
      <c r="D8" s="55">
        <f>'Yearly Model'!U8</f>
        <v>1360.2067712343</v>
      </c>
      <c r="E8" s="55">
        <f>'Yearly Model'!V8</f>
        <v>1731.2238238609189</v>
      </c>
      <c r="F8" s="55">
        <f>'Yearly Model'!W8</f>
        <v>2141.1370306342696</v>
      </c>
      <c r="G8" s="55">
        <f>'Yearly Model'!X8</f>
        <v>2571.053549006374</v>
      </c>
      <c r="H8" s="55">
        <f>'Yearly Model'!Y8</f>
        <v>2994.76882993443</v>
      </c>
      <c r="I8" s="55">
        <f>'Yearly Model'!Z8</f>
        <v>3380.5444866960734</v>
      </c>
      <c r="J8" s="55">
        <f>'Yearly Model'!AA8</f>
        <v>3694.3665693219973</v>
      </c>
      <c r="K8" s="55">
        <f>'Yearly Model'!AB8</f>
        <v>3904.384441579872</v>
      </c>
      <c r="L8" s="55">
        <f>'Yearly Model'!AC8</f>
        <v>3985.851354633105</v>
      </c>
    </row>
    <row r="9">
      <c r="A9" s="14" t="inlineStr">
        <is>
          <t>Tax on operating income</t>
        </is>
      </c>
      <c r="C9" s="52">
        <f>MAX(0,C8)*Assumptions!$E$14</f>
        <v>176.683329167535</v>
      </c>
      <c r="D9" s="52">
        <f>MAX(0,D8)*Assumptions!$E$14</f>
        <v>231.23515110983104</v>
      </c>
      <c r="E9" s="52">
        <f>MAX(0,E8)*Assumptions!$E$14</f>
        <v>294.30805005635625</v>
      </c>
      <c r="F9" s="52">
        <f>MAX(0,F8)*Assumptions!$E$14</f>
        <v>363.9932952078259</v>
      </c>
      <c r="G9" s="52">
        <f>MAX(0,G8)*Assumptions!$E$14</f>
        <v>437.0791033310836</v>
      </c>
      <c r="H9" s="52">
        <f>MAX(0,H8)*Assumptions!$E$14</f>
        <v>509.11070108885315</v>
      </c>
      <c r="I9" s="52">
        <f>MAX(0,I8)*Assumptions!$E$14</f>
        <v>574.6925627383325</v>
      </c>
      <c r="J9" s="52">
        <f>MAX(0,J8)*Assumptions!$E$14</f>
        <v>628.0423167847396</v>
      </c>
      <c r="K9" s="52">
        <f>MAX(0,K8)*Assumptions!$E$14</f>
        <v>663.7453550685783</v>
      </c>
      <c r="L9" s="52">
        <f>MAX(0,L8)*Assumptions!$E$14</f>
        <v>677.594730287628</v>
      </c>
    </row>
    <row r="10">
      <c r="A10" s="14" t="inlineStr">
        <is>
          <t>NOPAT</t>
        </is>
      </c>
      <c r="C10" s="52">
        <f>C8-C9</f>
        <v>862.6303718179649</v>
      </c>
      <c r="D10" s="52">
        <f>D8-D9</f>
        <v>1128.971620124469</v>
      </c>
      <c r="E10" s="52">
        <f>E8-E9</f>
        <v>1436.9157738045626</v>
      </c>
      <c r="F10" s="52">
        <f>F8-F9</f>
        <v>1777.1437354264438</v>
      </c>
      <c r="G10" s="52">
        <f>G8-G9</f>
        <v>2133.9744456752906</v>
      </c>
      <c r="H10" s="52">
        <f>H8-H9</f>
        <v>2485.658128845577</v>
      </c>
      <c r="I10" s="52">
        <f>I8-I9</f>
        <v>2805.851923957741</v>
      </c>
      <c r="J10" s="52">
        <f>J8-J9</f>
        <v>3066.324252537258</v>
      </c>
      <c r="K10" s="52">
        <f>K8-K9</f>
        <v>3240.639086511294</v>
      </c>
      <c r="L10" s="52">
        <f>L8-L9</f>
        <v>3308.256624345477</v>
      </c>
    </row>
    <row r="11">
      <c r="A11" s="14" t="inlineStr">
        <is>
          <t>Reinvestment</t>
        </is>
      </c>
      <c r="C11" s="52">
        <f>(C7-B7)*Assumptions!$E$15</f>
        <v>324.9694875</v>
      </c>
      <c r="D11" s="52">
        <f>(D7-C7)*Assumptions!$E$15</f>
        <v>393.4452009375</v>
      </c>
      <c r="E11" s="52">
        <f>(E7-D7)*Assumptions!$E$15</f>
        <v>457.47192734374994</v>
      </c>
      <c r="F11" s="52">
        <f>(F7-E7)*Assumptions!$E$15</f>
        <v>508.55629256380234</v>
      </c>
      <c r="G11" s="52">
        <f>(G7-F7)*Assumptions!$E$15</f>
        <v>537.1016936598162</v>
      </c>
      <c r="H11" s="52">
        <f>(H7-G7)*Assumptions!$E$15</f>
        <v>533.7548888119363</v>
      </c>
      <c r="I11" s="52">
        <f>(I7-H7)*Assumptions!$E$15</f>
        <v>491.1711654422402</v>
      </c>
      <c r="J11" s="52">
        <f>(J7-I7)*Assumptions!$E$15</f>
        <v>405.8983936640743</v>
      </c>
      <c r="K11" s="52">
        <f>(K7-J7)*Assumptions!$E$15</f>
        <v>279.9410349953014</v>
      </c>
      <c r="L11" s="52">
        <f>(L7-K7)*Assumptions!$E$15</f>
        <v>121.51985837295979</v>
      </c>
    </row>
    <row r="12">
      <c r="A12" s="20" t="inlineStr">
        <is>
          <t>Free cash flow</t>
        </is>
      </c>
      <c r="C12" s="64">
        <f>C10-C11</f>
        <v>537.6608843179649</v>
      </c>
      <c r="D12" s="64">
        <f>D10-D11</f>
        <v>735.526419186969</v>
      </c>
      <c r="E12" s="64">
        <f>E10-E11</f>
        <v>979.4438464608127</v>
      </c>
      <c r="F12" s="64">
        <f>F10-F11</f>
        <v>1268.5874428626414</v>
      </c>
      <c r="G12" s="64">
        <f>G10-G11</f>
        <v>1596.8727520154744</v>
      </c>
      <c r="H12" s="64">
        <f>H10-H11</f>
        <v>1951.9032400336405</v>
      </c>
      <c r="I12" s="64">
        <f>I10-I11</f>
        <v>2314.6807585155007</v>
      </c>
      <c r="J12" s="64">
        <f>J10-J11</f>
        <v>2660.4258588731836</v>
      </c>
      <c r="K12" s="64">
        <f>K10-K11</f>
        <v>2960.6980515159926</v>
      </c>
      <c r="L12" s="64">
        <f>L10-L11</f>
        <v>3186.7367659725173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0.9796477254942977</v>
      </c>
      <c r="D15" s="65">
        <f>1/(1+Assumptions!$E$10)^D14</f>
        <v>0.9213507631196715</v>
      </c>
      <c r="E15" s="65">
        <f>1/(1+Assumptions!$E$10)^E14</f>
        <v>0.849171210248545</v>
      </c>
      <c r="F15" s="65">
        <f>1/(1+Assumptions!$E$10)^F14</f>
        <v>0.7826462767267697</v>
      </c>
      <c r="G15" s="65">
        <f>1/(1+Assumptions!$E$10)^G14</f>
        <v>0.7213329739417232</v>
      </c>
      <c r="H15" s="65">
        <f>1/(1+Assumptions!$E$10)^H14</f>
        <v>0.6648230174578095</v>
      </c>
      <c r="I15" s="65">
        <f>1/(1+Assumptions!$E$10)^I14</f>
        <v>0.6127401082560456</v>
      </c>
      <c r="J15" s="65">
        <f>1/(1+Assumptions!$E$10)^J14</f>
        <v>0.5647374269640973</v>
      </c>
      <c r="K15" s="65">
        <f>1/(1+Assumptions!$E$10)^K14</f>
        <v>0.5204953243908731</v>
      </c>
      <c r="L15" s="65">
        <f>1/(1+Assumptions!$E$10)^L14</f>
        <v>0.47971919298697985</v>
      </c>
    </row>
    <row r="16">
      <c r="A16" s="20" t="inlineStr">
        <is>
          <t>PV of free cash flow</t>
        </is>
      </c>
      <c r="C16" s="64">
        <f>C12*C13*C15</f>
        <v>265.5186760805518</v>
      </c>
      <c r="D16" s="64">
        <f>D12*D13*D15</f>
        <v>677.6778276125932</v>
      </c>
      <c r="E16" s="64">
        <f>E12*E13*E15</f>
        <v>831.7155164696184</v>
      </c>
      <c r="F16" s="64">
        <f>F12*F13*F15</f>
        <v>992.85523885878</v>
      </c>
      <c r="G16" s="64">
        <f>G12*G13*G15</f>
        <v>1151.876971217826</v>
      </c>
      <c r="H16" s="64">
        <f>H12*H13*H15</f>
        <v>1297.6702018248398</v>
      </c>
      <c r="I16" s="64">
        <f>I12*I13*I15</f>
        <v>1418.2977385509737</v>
      </c>
      <c r="J16" s="64">
        <f>J12*J13*J15</f>
        <v>1502.4420541687905</v>
      </c>
      <c r="K16" s="64">
        <f>K12*K13*K15</f>
        <v>1541.0294927472426</v>
      </c>
      <c r="L16" s="64">
        <f>L12*L13*L15</f>
        <v>1528.738789634274</v>
      </c>
    </row>
    <row r="19">
      <c r="A19" s="14" t="inlineStr">
        <is>
          <t>PV of forecast free cash flow</t>
        </is>
      </c>
      <c r="B19" s="52">
        <f>SUM(C16:L16)</f>
        <v>11207.82250716549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3266.405185121829</v>
      </c>
    </row>
    <row r="21">
      <c r="A21" s="14" t="inlineStr">
        <is>
          <t>Terminal value</t>
        </is>
      </c>
      <c r="B21" s="52">
        <f>B20/(Assumptions!$E$10-Assumptions!$E$11)</f>
        <v>54440.086418697145</v>
      </c>
    </row>
    <row r="22">
      <c r="A22" s="14" t="inlineStr">
        <is>
          <t>PV of terminal value</t>
        </is>
      </c>
      <c r="B22" s="52">
        <f>B21/(1+Assumptions!$E$10)^(L14+0.5)</f>
        <v>25072.118470630474</v>
      </c>
    </row>
    <row r="23">
      <c r="A23" s="20" t="inlineStr">
        <is>
          <t>Enterprise value</t>
        </is>
      </c>
      <c r="B23" s="66">
        <f>B19+B22</f>
        <v>36279.940977795966</v>
      </c>
    </row>
    <row r="24">
      <c r="A24" s="14" t="inlineStr">
        <is>
          <t>Cash &amp; investments</t>
        </is>
      </c>
      <c r="B24" s="55">
        <f>Main!C7</f>
        <v>3308.147</v>
      </c>
    </row>
    <row r="25">
      <c r="A25" s="14" t="inlineStr">
        <is>
          <t>Debt</t>
        </is>
      </c>
      <c r="B25" s="55">
        <f>Main!C8</f>
        <v>1010.981</v>
      </c>
    </row>
    <row r="26">
      <c r="A26" s="20" t="inlineStr">
        <is>
          <t>Equity value</t>
        </is>
      </c>
      <c r="B26" s="66">
        <f>B23+B24-B25</f>
        <v>38577.106977795964</v>
      </c>
    </row>
    <row r="27">
      <c r="A27" s="14" t="inlineStr">
        <is>
          <t>Shares (mm)</t>
        </is>
      </c>
      <c r="B27" s="55">
        <f>Main!C4</f>
        <v>133.809118</v>
      </c>
    </row>
    <row r="28">
      <c r="A28" s="20" t="inlineStr">
        <is>
          <t>NPV / share</t>
        </is>
      </c>
      <c r="B28" s="49">
        <f>B26/B27</f>
        <v>288.29953858447794</v>
      </c>
    </row>
    <row r="29">
      <c r="A29" s="14" t="inlineStr">
        <is>
          <t>Price</t>
        </is>
      </c>
      <c r="B29" s="50">
        <f>Main!C3</f>
        <v>230.71</v>
      </c>
    </row>
    <row r="30">
      <c r="A30" s="14" t="inlineStr">
        <is>
          <t>Upside</t>
        </is>
      </c>
      <c r="B30" s="63">
        <f>B28/B29-1</f>
        <v>0.24961873600831308</v>
      </c>
    </row>
    <row r="31">
      <c r="A31" s="14" t="inlineStr">
        <is>
          <t>Terminal value, % of EV</t>
        </is>
      </c>
      <c r="B31" s="63">
        <f>IFERROR(B22/B23,0)</f>
        <v>0.6910738494854526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2026-10-21T01:03:44Z</dcterms:modified>
  <cp:lastModifiedBy>Wang, Eric</cp:lastModifiedBy>
</cp:coreProperties>
</file>