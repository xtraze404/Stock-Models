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BioStem Technologies, Inc.</t>
        </is>
      </c>
      <c r="C2" s="10" t="n"/>
    </row>
    <row r="3">
      <c r="B3" t="inlineStr">
        <is>
          <t>Price</t>
        </is>
      </c>
      <c r="C3" s="11">
        <f>INDEX([1]Pharma!$F$1:$F$1000,MATCH("BSEM",[1]Pharma!$B$1:$B$1000,0))</f>
        <v>1.64</v>
      </c>
      <c r="F3" s="1" t="n"/>
    </row>
    <row r="4">
      <c r="B4" t="inlineStr">
        <is>
          <t>Shares</t>
        </is>
      </c>
      <c r="C4" s="21" t="n">
        <v>17.849471</v>
      </c>
      <c r="F4" s="1" t="n"/>
    </row>
    <row r="5">
      <c r="B5" t="inlineStr">
        <is>
          <t>Market Cap.</t>
        </is>
      </c>
      <c r="C5" s="13">
        <f>C3*C4</f>
        <v>29.27313244</v>
      </c>
      <c r="F5" s="1" t="n"/>
    </row>
    <row r="6"/>
    <row r="7">
      <c r="B7" t="inlineStr">
        <is>
          <t>Cash</t>
        </is>
      </c>
      <c r="C7" s="21" t="n">
        <v>6.962492</v>
      </c>
    </row>
    <row r="8">
      <c r="B8" t="inlineStr">
        <is>
          <t>Debt</t>
        </is>
      </c>
      <c r="C8" s="21" t="n">
        <v>1</v>
      </c>
    </row>
    <row r="9">
      <c r="B9" t="inlineStr">
        <is>
          <t>Enterprise V.</t>
        </is>
      </c>
      <c r="C9" s="13">
        <f>C5-C7+C8</f>
        <v>23.31064044</v>
      </c>
    </row>
    <row r="10"/>
    <row r="11">
      <c r="B11" s="14" t="inlineStr">
        <is>
          <t>Net Cash / Share</t>
        </is>
      </c>
      <c r="C11" s="11">
        <f>(C7-C8)/C4</f>
        <v>0.3340430649177222</v>
      </c>
    </row>
    <row r="12">
      <c r="B12" s="14" t="inlineStr">
        <is>
          <t>Upside</t>
        </is>
      </c>
      <c r="C12" s="15">
        <f>IFERROR(C11/C3-1,"")</f>
        <v>-0.796315204318462</v>
      </c>
    </row>
    <row r="13">
      <c r="B13" s="14" t="inlineStr">
        <is>
          <t>Cash / Share</t>
        </is>
      </c>
      <c r="C13" s="11">
        <f>IFERROR((C7-C8)/C4,"")</f>
        <v>0.3340430649177222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-5.919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1.0073478628146648</v>
      </c>
    </row>
    <row r="19">
      <c r="B19" s="14" t="inlineStr">
        <is>
          <t>Implied Pipeline Value</t>
        </is>
      </c>
      <c r="C19" s="13">
        <f>C9</f>
        <v>23.31064044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69.658</v>
      </c>
      <c r="C2" s="23" t="n">
        <v>47.482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13.743</v>
      </c>
      <c r="C3" s="23" t="n">
        <v>3.043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55.915</v>
      </c>
      <c r="C4" s="23">
        <f>C2-C3</f>
        <v>44.439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1.911</v>
      </c>
      <c r="C5" s="23" t="n">
        <v>7.086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22.88</v>
      </c>
      <c r="C6" s="23" t="n">
        <v>38.042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24.791</v>
      </c>
      <c r="C7" s="23">
        <f>SUM(C5:C6)</f>
        <v>45.128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31.124</v>
      </c>
      <c r="C8" s="23">
        <f>C4-C7</f>
        <v>-0.6890000000000001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-0.59</v>
      </c>
      <c r="C9" s="23" t="n">
        <v>0.3</v>
      </c>
    </row>
    <row r="10">
      <c r="A10" s="2" t="inlineStr">
        <is>
          <t>Pretax</t>
        </is>
      </c>
      <c r="B10" s="23">
        <f>B8+B9</f>
        <v>30.534</v>
      </c>
      <c r="C10" s="23">
        <f>C8+C9</f>
        <v>-0.38900000000000007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-0.497</v>
      </c>
      <c r="C11" s="23" t="n">
        <v>6.191</v>
      </c>
    </row>
    <row r="12">
      <c r="A12" s="2" t="inlineStr">
        <is>
          <t>Net Income</t>
        </is>
      </c>
      <c r="B12" s="23" t="n">
        <v>31.031</v>
      </c>
      <c r="C12" s="23" t="n">
        <v>-6.581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1.4301318093833533</v>
      </c>
      <c r="C13" s="11">
        <f>IFERROR(C12/C14,0)</f>
        <v>-0.39338872616414616</v>
      </c>
    </row>
    <row r="14">
      <c r="A14" s="2" t="inlineStr">
        <is>
          <t>Shares</t>
        </is>
      </c>
      <c r="B14" s="23" t="n">
        <v>21.698</v>
      </c>
      <c r="C14" s="23" t="n">
        <v>16.729</v>
      </c>
    </row>
    <row r="15"/>
    <row r="16" customFormat="1" s="4">
      <c r="A16" s="3" t="inlineStr">
        <is>
          <t>Revenue Change</t>
        </is>
      </c>
      <c r="C16" s="15">
        <f>IFERROR(C2/B2-1,"")</f>
        <v>-0.3183553934939275</v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0.802707513853398</v>
      </c>
      <c r="C17" s="15">
        <f>IFERROR(C4/C2,"")</f>
        <v>0.9359125563371383</v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0.4468115650750811</v>
      </c>
      <c r="C18" s="15">
        <f>IFERROR(C8/C2,"")</f>
        <v>-0.014510761972958175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2026-10-21T06:29:44Z</dcterms:modified>
  <cp:lastModifiedBy>Wang, Eric</cp:lastModifiedBy>
</cp:coreProperties>
</file>