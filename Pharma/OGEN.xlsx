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Oragenics Inc</t>
        </is>
      </c>
      <c r="C2" s="10" t="n"/>
    </row>
    <row r="3">
      <c r="B3" t="inlineStr">
        <is>
          <t>Price</t>
        </is>
      </c>
      <c r="C3" s="11">
        <f>INDEX([1]Pharma!$F$1:$F$1000,MATCH("OGEN",[1]Pharma!$B$1:$B$1000,0))</f>
        <v>0.434</v>
      </c>
      <c r="F3" s="1" t="n"/>
    </row>
    <row r="4">
      <c r="B4" t="inlineStr">
        <is>
          <t>Shares</t>
        </is>
      </c>
      <c r="C4" s="21" t="n">
        <v>4.511957</v>
      </c>
      <c r="F4" s="1" t="n"/>
    </row>
    <row r="5">
      <c r="B5" t="inlineStr">
        <is>
          <t>Market Cap.</t>
        </is>
      </c>
      <c r="C5" s="13">
        <f>C3*C4</f>
        <v>1.958189338</v>
      </c>
      <c r="F5" s="1" t="n"/>
    </row>
    <row r="6"/>
    <row r="7">
      <c r="B7" t="inlineStr">
        <is>
          <t>Cash</t>
        </is>
      </c>
      <c r="C7" s="21" t="n">
        <v>3.864184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-1.905994662</v>
      </c>
    </row>
    <row r="10"/>
    <row r="11">
      <c r="B11" s="14" t="inlineStr">
        <is>
          <t>Net Cash / Share</t>
        </is>
      </c>
      <c r="C11" s="11">
        <f>(C7-C8)/C4</f>
        <v>0.856431920782933</v>
      </c>
    </row>
    <row r="12">
      <c r="B12" s="14" t="inlineStr">
        <is>
          <t>Upside</t>
        </is>
      </c>
      <c r="C12" s="15">
        <f>IFERROR(C11/C3-1,"")</f>
        <v>0.9733454395920114</v>
      </c>
    </row>
    <row r="13">
      <c r="B13" s="14" t="inlineStr">
        <is>
          <t>Cash / Share</t>
        </is>
      </c>
      <c r="C13" s="11">
        <f>IFERROR((C7-C8)/C4,"")</f>
        <v>0.856431920782933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-10.207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0.3785817576173214</v>
      </c>
    </row>
    <row r="19">
      <c r="B19" s="14" t="inlineStr">
        <is>
          <t>Implied Pipeline Value</t>
        </is>
      </c>
      <c r="C19" s="13">
        <f>C9</f>
        <v>-1.905994662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1.309</v>
      </c>
      <c r="C2" s="23" t="n">
        <v>1.444</v>
      </c>
      <c r="D2" s="23" t="n">
        <v>1.332</v>
      </c>
      <c r="E2" s="23" t="n">
        <v>1.032</v>
      </c>
      <c r="F2" s="23" t="n">
        <v>0.9399999999999999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0.08699999999999999</v>
      </c>
      <c r="N2" s="23" t="n">
        <v>0.132</v>
      </c>
      <c r="O2" s="23" t="n">
        <v>0.038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0.912</v>
      </c>
      <c r="C3" s="23" t="n">
        <v>0.714</v>
      </c>
      <c r="D3" s="23" t="n">
        <v>0.878</v>
      </c>
      <c r="E3" s="23" t="n">
        <v>0.343</v>
      </c>
      <c r="F3" s="23" t="n">
        <v>0.37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0.3969999999999999</v>
      </c>
      <c r="C4" s="23">
        <f>C2-C3</f>
        <v>0.73</v>
      </c>
      <c r="D4" s="23">
        <f>D2-D3</f>
        <v>0.45400000000000007</v>
      </c>
      <c r="E4" s="23">
        <f>E2-E3</f>
        <v>0.6890000000000001</v>
      </c>
      <c r="F4" s="23">
        <f>F2-F3</f>
        <v>0.57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0.087</v>
      </c>
      <c r="N4" s="23">
        <f>N2-N3</f>
        <v>0.132</v>
      </c>
      <c r="O4" s="23">
        <f>O2-O3</f>
        <v>0.038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2.015</v>
      </c>
      <c r="C5" s="23" t="n">
        <v>2.449</v>
      </c>
      <c r="D5" s="23" t="n">
        <v>7.861</v>
      </c>
      <c r="E5" s="23" t="n">
        <v>9.359</v>
      </c>
      <c r="F5" s="23" t="n">
        <v>3.065</v>
      </c>
      <c r="G5" s="23" t="n">
        <v>8.734</v>
      </c>
      <c r="H5" s="23" t="n">
        <v>4.755</v>
      </c>
      <c r="I5" s="23" t="n">
        <v>3.54</v>
      </c>
      <c r="J5" s="23" t="n">
        <v>5.972</v>
      </c>
      <c r="K5" s="23" t="n">
        <v>12.12</v>
      </c>
      <c r="L5" s="23" t="n">
        <v>22.108</v>
      </c>
      <c r="M5" s="23" t="n">
        <v>10.586</v>
      </c>
      <c r="N5" s="23" t="n">
        <v>10.073</v>
      </c>
      <c r="O5" s="23" t="n">
        <v>15.491</v>
      </c>
      <c r="P5" s="23" t="n">
        <v>4.114</v>
      </c>
      <c r="Q5" s="23" t="n">
        <v>2.393</v>
      </c>
    </row>
    <row r="6">
      <c r="A6" s="19" t="inlineStr">
        <is>
          <t>SG&amp;A &amp; Other</t>
        </is>
      </c>
      <c r="B6" s="23" t="n">
        <v>6.285</v>
      </c>
      <c r="C6" s="23" t="n">
        <v>5.628</v>
      </c>
      <c r="D6" s="23" t="n">
        <v>5.025</v>
      </c>
      <c r="E6" s="23" t="n">
        <v>7.54</v>
      </c>
      <c r="F6" s="23" t="n">
        <v>3.322</v>
      </c>
      <c r="G6" s="23" t="n">
        <v>3.047</v>
      </c>
      <c r="H6" s="23" t="n">
        <v>3.788</v>
      </c>
      <c r="I6" s="23" t="n">
        <v>3.179</v>
      </c>
      <c r="J6" s="23" t="n">
        <v>4.022</v>
      </c>
      <c r="K6" s="23" t="n">
        <v>3.757</v>
      </c>
      <c r="L6" s="23" t="n">
        <v>4.534</v>
      </c>
      <c r="M6" s="23" t="n">
        <v>5.272</v>
      </c>
      <c r="N6" s="23" t="n">
        <v>4.48</v>
      </c>
      <c r="O6" s="23" t="n">
        <v>5.452</v>
      </c>
      <c r="P6" s="23" t="n">
        <v>6.444</v>
      </c>
      <c r="Q6" s="23" t="n">
        <v>6.97</v>
      </c>
    </row>
    <row r="7">
      <c r="A7" s="2" t="inlineStr">
        <is>
          <t>Operating Expense</t>
        </is>
      </c>
      <c r="B7" s="23">
        <f>SUM(B5:B6)</f>
        <v>8.3</v>
      </c>
      <c r="C7" s="23">
        <f>SUM(C5:C6)</f>
        <v>8.077</v>
      </c>
      <c r="D7" s="23">
        <f>SUM(D5:D6)</f>
        <v>12.886</v>
      </c>
      <c r="E7" s="23">
        <f>SUM(E5:E6)</f>
        <v>16.899</v>
      </c>
      <c r="F7" s="23">
        <f>SUM(F5:F6)</f>
        <v>6.3870000000000005</v>
      </c>
      <c r="G7" s="23">
        <f>SUM(G5:G6)</f>
        <v>11.781</v>
      </c>
      <c r="H7" s="23">
        <f>SUM(H5:H6)</f>
        <v>8.543</v>
      </c>
      <c r="I7" s="23">
        <f>SUM(I5:I6)</f>
        <v>6.718999999999999</v>
      </c>
      <c r="J7" s="23">
        <f>SUM(J5:J6)</f>
        <v>9.994</v>
      </c>
      <c r="K7" s="23">
        <f>SUM(K5:K6)</f>
        <v>15.876999999999999</v>
      </c>
      <c r="L7" s="23">
        <f>SUM(L5:L6)</f>
        <v>26.642</v>
      </c>
      <c r="M7" s="23">
        <f>SUM(M5:M6)</f>
        <v>15.858</v>
      </c>
      <c r="N7" s="23">
        <f>SUM(N5:N6)</f>
        <v>14.553</v>
      </c>
      <c r="O7" s="23">
        <f>SUM(O5:O6)</f>
        <v>20.942999999999998</v>
      </c>
      <c r="P7" s="23">
        <f>SUM(P5:P6)</f>
        <v>10.558</v>
      </c>
      <c r="Q7" s="23">
        <f>SUM(Q5:Q6)</f>
        <v>9.363</v>
      </c>
    </row>
    <row r="8">
      <c r="A8" s="2" t="inlineStr">
        <is>
          <t>Operating Income</t>
        </is>
      </c>
      <c r="B8" s="23">
        <f>B4-B7</f>
        <v>-7.9030000000000005</v>
      </c>
      <c r="C8" s="23">
        <f>C4-C7</f>
        <v>-7.3469999999999995</v>
      </c>
      <c r="D8" s="23">
        <f>D4-D7</f>
        <v>-12.431999999999999</v>
      </c>
      <c r="E8" s="23">
        <f>E4-E7</f>
        <v>-16.21</v>
      </c>
      <c r="F8" s="23">
        <f>F4-F7</f>
        <v>-5.817</v>
      </c>
      <c r="G8" s="23">
        <f>G4-G7</f>
        <v>-11.781</v>
      </c>
      <c r="H8" s="23">
        <f>H4-H7</f>
        <v>-8.543</v>
      </c>
      <c r="I8" s="23">
        <f>I4-I7</f>
        <v>-6.718999999999999</v>
      </c>
      <c r="J8" s="23">
        <f>J4-J7</f>
        <v>-9.994</v>
      </c>
      <c r="K8" s="23">
        <f>K4-K7</f>
        <v>-15.876999999999999</v>
      </c>
      <c r="L8" s="23">
        <f>L4-L7</f>
        <v>-26.642</v>
      </c>
      <c r="M8" s="23">
        <f>M4-M7</f>
        <v>-15.771</v>
      </c>
      <c r="N8" s="23">
        <f>N4-N7</f>
        <v>-14.421000000000001</v>
      </c>
      <c r="O8" s="23">
        <f>O4-O7</f>
        <v>-20.904999999999998</v>
      </c>
      <c r="P8" s="23">
        <f>P4-P7</f>
        <v>-10.558</v>
      </c>
      <c r="Q8" s="23">
        <f>Q4-Q7</f>
        <v>-9.363</v>
      </c>
    </row>
    <row r="9">
      <c r="A9" s="19" t="inlineStr">
        <is>
          <t>Interest &amp; Other</t>
        </is>
      </c>
      <c r="B9" s="23" t="n">
        <v>-0.636</v>
      </c>
      <c r="C9" s="23" t="n">
        <v>-0.333</v>
      </c>
      <c r="D9" s="23" t="n">
        <v>-0.658</v>
      </c>
      <c r="E9" s="23" t="n">
        <v>0.141</v>
      </c>
      <c r="F9" s="23" t="n">
        <v>0.027</v>
      </c>
      <c r="G9" s="23" t="n">
        <v>0.07000000000000001</v>
      </c>
      <c r="H9" s="23" t="n">
        <v>1.529</v>
      </c>
      <c r="I9" s="23" t="n">
        <v>-0.013</v>
      </c>
      <c r="J9" s="23" t="n">
        <v>0.08</v>
      </c>
      <c r="K9" s="23" t="n">
        <v>0.312</v>
      </c>
      <c r="L9" s="23" t="n">
        <v>0.211</v>
      </c>
      <c r="M9" s="23" t="n">
        <v>0.059</v>
      </c>
      <c r="N9" s="23" t="n">
        <v>0.132</v>
      </c>
      <c r="O9" s="23" t="n">
        <v>0.249</v>
      </c>
      <c r="P9" s="23" t="n">
        <v>-1046.233</v>
      </c>
      <c r="Q9" s="23" t="n">
        <v>-975.023</v>
      </c>
    </row>
    <row r="10">
      <c r="A10" s="2" t="inlineStr">
        <is>
          <t>Pretax</t>
        </is>
      </c>
      <c r="B10" s="23">
        <f>B8+B9</f>
        <v>-8.539</v>
      </c>
      <c r="C10" s="23">
        <f>C8+C9</f>
        <v>-7.68</v>
      </c>
      <c r="D10" s="23">
        <f>D8+D9</f>
        <v>-13.089999999999998</v>
      </c>
      <c r="E10" s="23">
        <f>E8+E9</f>
        <v>-16.069000000000003</v>
      </c>
      <c r="F10" s="23">
        <f>F8+F9</f>
        <v>-5.79</v>
      </c>
      <c r="G10" s="23">
        <f>G8+G9</f>
        <v>-11.711</v>
      </c>
      <c r="H10" s="23">
        <f>H8+H9</f>
        <v>-7.013999999999999</v>
      </c>
      <c r="I10" s="23">
        <f>I8+I9</f>
        <v>-6.731999999999999</v>
      </c>
      <c r="J10" s="23">
        <f>J8+J9</f>
        <v>-9.914</v>
      </c>
      <c r="K10" s="23">
        <f>K8+K9</f>
        <v>-15.565</v>
      </c>
      <c r="L10" s="23">
        <f>L8+L9</f>
        <v>-26.431</v>
      </c>
      <c r="M10" s="23">
        <f>M8+M9</f>
        <v>-15.712000000000002</v>
      </c>
      <c r="N10" s="23">
        <f>N8+N9</f>
        <v>-14.289000000000001</v>
      </c>
      <c r="O10" s="23">
        <f>O8+O9</f>
        <v>-20.656</v>
      </c>
      <c r="P10" s="23">
        <f>P8+P9</f>
        <v>-1056.791</v>
      </c>
      <c r="Q10" s="23">
        <f>Q8+Q9</f>
        <v>-984.386</v>
      </c>
    </row>
    <row r="11">
      <c r="A11" s="2" t="inlineStr">
        <is>
          <t>Taxes</t>
        </is>
      </c>
      <c r="B11" s="23" t="n">
        <v>-0.733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-0.137</v>
      </c>
    </row>
    <row r="12">
      <c r="A12" s="2" t="inlineStr">
        <is>
          <t>Net Income</t>
        </is>
      </c>
      <c r="B12" s="23" t="n">
        <v>-7.805</v>
      </c>
      <c r="C12" s="23" t="n">
        <v>-7.679</v>
      </c>
      <c r="D12" s="23" t="n">
        <v>-13.09</v>
      </c>
      <c r="E12" s="23" t="n">
        <v>-16.069</v>
      </c>
      <c r="F12" s="23" t="n">
        <v>-5.79</v>
      </c>
      <c r="G12" s="23" t="n">
        <v>-11.711</v>
      </c>
      <c r="H12" s="23" t="n">
        <v>-7.013</v>
      </c>
      <c r="I12" s="23" t="n">
        <v>-6.732</v>
      </c>
      <c r="J12" s="23" t="n">
        <v>-9.914</v>
      </c>
      <c r="K12" s="23" t="n">
        <v>-15.566</v>
      </c>
      <c r="L12" s="23" t="n">
        <v>-26.431</v>
      </c>
      <c r="M12" s="23" t="n">
        <v>-15.712</v>
      </c>
      <c r="N12" s="23" t="n">
        <v>-14.288</v>
      </c>
      <c r="O12" s="23" t="n">
        <v>-20.656</v>
      </c>
      <c r="P12" s="23" t="n">
        <v>-1056.792</v>
      </c>
      <c r="Q12" s="23" t="n">
        <v>-984.249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-383.95</v>
      </c>
      <c r="D13" s="11">
        <f>IFERROR(D12/D14,0)</f>
        <v>-207.77777777777777</v>
      </c>
      <c r="E13" s="11">
        <f>IFERROR(E12/E14,0)</f>
        <v>-156.0097087378641</v>
      </c>
      <c r="F13" s="11">
        <f>IFERROR(F12/F14,0)</f>
        <v>-44.883720930232556</v>
      </c>
      <c r="G13" s="11">
        <f>IFERROR(G12/G14,0)</f>
        <v>-89.3969465648855</v>
      </c>
      <c r="H13" s="11">
        <f>IFERROR(H12/H14,0)</f>
        <v>-438.3125</v>
      </c>
      <c r="I13" s="11">
        <f>IFERROR(I12/I14,0)</f>
        <v>-374.00000000000006</v>
      </c>
      <c r="J13" s="11">
        <f>IFERROR(J12/J14,0)</f>
        <v>-210.93617021276594</v>
      </c>
      <c r="K13" s="11">
        <f>IFERROR(K12/K14,0)</f>
        <v>-103.0860927152318</v>
      </c>
      <c r="L13" s="11">
        <f>IFERROR(L12/L14,0)</f>
        <v>-130.84653465346534</v>
      </c>
      <c r="M13" s="11">
        <f>IFERROR(M12/M14,0)</f>
        <v>-77.78217821782178</v>
      </c>
      <c r="N13" s="11">
        <f>IFERROR(N12/N14,0)</f>
        <v>-71.08457711442786</v>
      </c>
      <c r="O13" s="11">
        <f>IFERROR(O12/O14,0)</f>
        <v>-91.80444444444444</v>
      </c>
      <c r="P13" s="11">
        <f>IFERROR(P12/P14,0)</f>
        <v>-4781.8642533936645</v>
      </c>
      <c r="Q13" s="11">
        <f>IFERROR(Q12/Q14,0)</f>
        <v>-456.3045897079277</v>
      </c>
    </row>
    <row r="14">
      <c r="A14" s="2" t="inlineStr">
        <is>
          <t>Shares</t>
        </is>
      </c>
      <c r="B14" s="23" t="n"/>
      <c r="C14" s="23" t="n">
        <v>0.02</v>
      </c>
      <c r="D14" s="23" t="n">
        <v>0.063</v>
      </c>
      <c r="E14" s="23" t="n">
        <v>0.103</v>
      </c>
      <c r="F14" s="23" t="n">
        <v>0.129</v>
      </c>
      <c r="G14" s="23" t="n">
        <v>0.131</v>
      </c>
      <c r="H14" s="23" t="n">
        <v>0.016</v>
      </c>
      <c r="I14" s="23" t="n">
        <v>0.018</v>
      </c>
      <c r="J14" s="23" t="n">
        <v>0.047</v>
      </c>
      <c r="K14" s="23" t="n">
        <v>0.151</v>
      </c>
      <c r="L14" s="23" t="n">
        <v>0.202</v>
      </c>
      <c r="M14" s="23" t="n">
        <v>0.202</v>
      </c>
      <c r="N14" s="23" t="n">
        <v>0.201</v>
      </c>
      <c r="O14" s="23" t="n">
        <v>0.225</v>
      </c>
      <c r="P14" s="23" t="n">
        <v>0.221</v>
      </c>
      <c r="Q14" s="23" t="n">
        <v>2.157</v>
      </c>
    </row>
    <row r="15"/>
    <row r="16" customFormat="1" s="4">
      <c r="A16" s="3" t="inlineStr">
        <is>
          <t>Revenue Change</t>
        </is>
      </c>
      <c r="C16" s="15">
        <f>IFERROR(C2/B2-1,"")</f>
        <v>0.1031321619556913</v>
      </c>
      <c r="D16" s="15">
        <f>IFERROR(D2/C2-1,"")</f>
        <v>-0.07756232686980602</v>
      </c>
      <c r="E16" s="15">
        <f>IFERROR(E2/D2-1,"")</f>
        <v>-0.22522522522522526</v>
      </c>
      <c r="F16" s="15">
        <f>IFERROR(F2/E2-1,"")</f>
        <v>-0.08914728682170547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>0.517241379310345</v>
      </c>
      <c r="O16" s="15">
        <f>IFERROR(O2/N2-1,"")</f>
        <v>-0.7121212121212122</v>
      </c>
      <c r="P16" s="15">
        <f>IFERROR(P2/O2-1,"")</f>
        <v>-1.0</v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>0.30328495034377384</v>
      </c>
      <c r="C17" s="15">
        <f>IFERROR(C4/C2,"")</f>
        <v>0.5055401662049862</v>
      </c>
      <c r="D17" s="15">
        <f>IFERROR(D4/D2,"")</f>
        <v>0.3408408408408409</v>
      </c>
      <c r="E17" s="15">
        <f>IFERROR(E4/E2,"")</f>
        <v>0.6676356589147288</v>
      </c>
      <c r="F17" s="15">
        <f>IFERROR(F4/F2,"")</f>
        <v>0.6063829787234042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-6.0374331550802145</v>
      </c>
      <c r="C18" s="15">
        <f>IFERROR(C8/C2,"")</f>
        <v>-5.087950138504155</v>
      </c>
      <c r="D18" s="15">
        <f>IFERROR(D8/D2,"")</f>
        <v>-9.333333333333332</v>
      </c>
      <c r="E18" s="15">
        <f>IFERROR(E8/E2,"")</f>
        <v>-15.707364341085272</v>
      </c>
      <c r="F18" s="15">
        <f>IFERROR(F8/F2,"")</f>
        <v>-6.188297872340426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>-181.27586206896555</v>
      </c>
      <c r="N18" s="15">
        <f>IFERROR(N8/N2,"")</f>
        <v>-109.25</v>
      </c>
      <c r="O18" s="15">
        <f>IFERROR(O8/O2,"")</f>
        <v>-550.1315789473683</v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2026-10-21T01:06:53Z</dcterms:modified>
  <cp:lastModifiedBy>Wang, Eric</cp:lastModifiedBy>
</cp:coreProperties>
</file>