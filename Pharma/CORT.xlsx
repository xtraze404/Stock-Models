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  <sheet name="Options" sheetId="7" state="visible" r:id="rId7"/>
  </sheets>
  <externalReferences>
    <externalReference r:id="rId8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0.0%;(0.0%);&quot;-&quot;"/>
    <numFmt numFmtId="165" formatCode="#,##0;(#,##0);&quot;-&quot;"/>
    <numFmt numFmtId="166" formatCode="yyyy-mm-dd"/>
    <numFmt numFmtId="167" formatCode="0%;(0%);&quot;-&quot;"/>
    <numFmt numFmtId="168" formatCode="0.0"/>
    <numFmt numFmtId="169" formatCode="#,##0.0;(#,##0.0);&quot;-&quot;"/>
    <numFmt numFmtId="170" formatCode="0.0%"/>
    <numFmt numFmtId="171" formatCode="0.000"/>
    <numFmt numFmtId="172" formatCode="$#,##0.00;($#,##0.00);&quot;-&quot;"/>
    <numFmt numFmtId="173" formatCode="0.000000"/>
    <numFmt numFmtId="174" formatCode="0.00x"/>
    <numFmt numFmtId="175" formatCode="$#,##0;($#,##0);&quot;-&quot;"/>
    <numFmt numFmtId="176" formatCode="#,##0.0"/>
  </numFmts>
  <fonts count="12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b val="1"/>
      <color rgb="00000000"/>
      <sz val="14"/>
    </font>
    <font>
      <name val="Aptos Narrow"/>
      <b val="1"/>
      <color rgb="00000000"/>
      <sz val="12"/>
    </font>
    <font>
      <name val="Aptos Narrow"/>
      <color rgb="000000FF"/>
      <sz val="12"/>
    </font>
    <font>
      <name val="Aptos Narrow"/>
      <i val="1"/>
      <color rgb="00000000"/>
      <sz val="12"/>
    </font>
    <font>
      <name val="Aptos Narrow"/>
      <color rgb="00000000"/>
      <sz val="12"/>
    </font>
    <font>
      <name val="Aptos Narrow"/>
      <b val="1"/>
      <color rgb="000000FF"/>
      <sz val="12"/>
    </font>
    <font>
      <name val="Aptos Narrow"/>
      <b val="1"/>
      <color rgb="00008000"/>
      <sz val="12"/>
    </font>
    <font>
      <name val="Aptos Narrow"/>
      <color rgb="00008000"/>
      <sz val="12"/>
    </font>
    <font>
      <name val="Aptos Narrow"/>
      <b val="1"/>
      <color rgb="00000000"/>
      <sz val="13"/>
    </font>
    <font>
      <name val="Aptos Narrow"/>
      <i val="1"/>
      <color rgb="00008000"/>
      <sz val="12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96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6" fillId="0" borderId="0" pivotButton="0" quotePrefix="0" xfId="0"/>
    <xf numFmtId="176" fontId="6" fillId="0" borderId="0" pivotButton="0" quotePrefix="0" xfId="0"/>
    <xf numFmtId="0" fontId="6" fillId="0" borderId="0" pivotButton="0" quotePrefix="0" xfId="0"/>
    <xf numFmtId="170" fontId="6" fillId="0" borderId="0" pivotButton="0" quotePrefix="0" xfId="0"/>
    <xf numFmtId="166" fontId="6" fillId="0" borderId="0" pivotButton="0" quotePrefix="0" xfId="0"/>
    <xf numFmtId="9" fontId="6" fillId="0" borderId="0" pivotButton="0" quotePrefix="0" xfId="0"/>
    <xf numFmtId="0" fontId="3" fillId="0" borderId="1" pivotButton="0" quotePrefix="0" xfId="0"/>
    <xf numFmtId="169" fontId="6" fillId="0" borderId="0" pivotButton="0" quotePrefix="0" xfId="0"/>
    <xf numFmtId="0" fontId="6" fillId="0" borderId="2" pivotButton="0" quotePrefix="0" xfId="0"/>
    <xf numFmtId="0" fontId="6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3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164" fontId="4" fillId="2" borderId="0" pivotButton="0" quotePrefix="0" xfId="0"/>
    <xf numFmtId="165" fontId="4" fillId="2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pivotButton="0" quotePrefix="0" xfId="0"/>
    <xf numFmtId="0" fontId="0" fillId="4" borderId="0" pivotButton="0" quotePrefix="0" xfId="0"/>
    <xf numFmtId="166" fontId="7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4" fillId="2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" fontId="3" fillId="0" borderId="0" applyAlignment="1" pivotButton="0" quotePrefix="0" xfId="0">
      <alignment horizontal="center"/>
    </xf>
    <xf numFmtId="1" fontId="4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7" fontId="4" fillId="0" borderId="0" applyAlignment="1" pivotButton="0" quotePrefix="0" xfId="0">
      <alignment horizontal="center"/>
    </xf>
    <xf numFmtId="165" fontId="4" fillId="2" borderId="0" applyAlignment="1" pivotButton="0" quotePrefix="0" xfId="0">
      <alignment horizontal="center"/>
    </xf>
    <xf numFmtId="168" fontId="4" fillId="0" borderId="0" applyAlignment="1" pivotButton="0" quotePrefix="0" xfId="0">
      <alignment horizontal="center"/>
    </xf>
    <xf numFmtId="0" fontId="10" fillId="0" borderId="0" pivotButton="0" quotePrefix="0" xfId="0"/>
    <xf numFmtId="165" fontId="11" fillId="0" borderId="0" pivotButton="0" quotePrefix="0" xfId="0"/>
    <xf numFmtId="172" fontId="11" fillId="0" borderId="0" pivotButton="0" quotePrefix="0" xfId="0"/>
    <xf numFmtId="164" fontId="11" fillId="0" borderId="0" pivotButton="0" quotePrefix="0" xfId="0"/>
    <xf numFmtId="167" fontId="5" fillId="0" borderId="0" pivotButton="0" quotePrefix="0" xfId="0"/>
    <xf numFmtId="164" fontId="5" fillId="0" borderId="0" pivotButton="0" quotePrefix="0" xfId="0"/>
    <xf numFmtId="0" fontId="6" fillId="0" borderId="0" applyAlignment="1" pivotButton="0" quotePrefix="0" xfId="0">
      <alignment horizontal="center"/>
    </xf>
    <xf numFmtId="165" fontId="6" fillId="0" borderId="0" pivotButton="0" quotePrefix="0" xfId="0"/>
    <xf numFmtId="172" fontId="6" fillId="0" borderId="0" pivotButton="0" quotePrefix="0" xfId="0"/>
    <xf numFmtId="164" fontId="6" fillId="0" borderId="0" pivotButton="0" quotePrefix="0" xfId="0"/>
    <xf numFmtId="167" fontId="6" fillId="0" borderId="0" pivotButton="0" quotePrefix="0" xfId="0"/>
    <xf numFmtId="165" fontId="3" fillId="0" borderId="0" pivotButton="0" quotePrefix="0" xfId="0"/>
    <xf numFmtId="172" fontId="3" fillId="0" borderId="0" pivotButton="0" quotePrefix="0" xfId="0"/>
    <xf numFmtId="164" fontId="3" fillId="0" borderId="0" pivotButton="0" quotePrefix="0" xfId="0"/>
    <xf numFmtId="167" fontId="3" fillId="0" borderId="0" pivotButton="0" quotePrefix="0" xfId="0"/>
    <xf numFmtId="167" fontId="5" fillId="0" borderId="0" applyAlignment="1" pivotButton="0" quotePrefix="0" xfId="0">
      <alignment horizontal="center"/>
    </xf>
    <xf numFmtId="167" fontId="6" fillId="0" borderId="0" applyAlignment="1" pivotButton="0" quotePrefix="0" xfId="0">
      <alignment horizontal="center"/>
    </xf>
    <xf numFmtId="167" fontId="3" fillId="0" borderId="0" applyAlignment="1" pivotButton="0" quotePrefix="0" xfId="0">
      <alignment horizontal="center"/>
    </xf>
    <xf numFmtId="1" fontId="6" fillId="0" borderId="0" pivotButton="0" quotePrefix="0" xfId="0"/>
    <xf numFmtId="165" fontId="3" fillId="0" borderId="6" pivotButton="0" quotePrefix="0" xfId="0"/>
    <xf numFmtId="0" fontId="8" fillId="0" borderId="0" pivotButton="0" quotePrefix="0" xfId="0"/>
    <xf numFmtId="166" fontId="9" fillId="0" borderId="0" pivotButton="0" quotePrefix="0" xfId="0"/>
    <xf numFmtId="164" fontId="9" fillId="0" borderId="0" pivotButton="0" quotePrefix="0" xfId="0"/>
    <xf numFmtId="0" fontId="6" fillId="3" borderId="0" pivotButton="0" quotePrefix="0" xfId="0"/>
    <xf numFmtId="0" fontId="3" fillId="3" borderId="0" applyAlignment="1" pivotButton="0" quotePrefix="0" xfId="0">
      <alignment horizontal="right"/>
    </xf>
    <xf numFmtId="165" fontId="9" fillId="0" borderId="0" pivotButton="0" quotePrefix="0" xfId="0"/>
    <xf numFmtId="166" fontId="6" fillId="0" borderId="0" applyAlignment="1" pivotButton="0" quotePrefix="0" xfId="0">
      <alignment horizontal="right"/>
    </xf>
    <xf numFmtId="171" fontId="6" fillId="0" borderId="0" pivotButton="0" quotePrefix="0" xfId="0"/>
    <xf numFmtId="169" fontId="9" fillId="0" borderId="0" pivotButton="0" quotePrefix="0" xfId="0"/>
    <xf numFmtId="1" fontId="6" fillId="0" borderId="0" applyAlignment="1" pivotButton="0" quotePrefix="0" xfId="0">
      <alignment horizontal="center"/>
    </xf>
    <xf numFmtId="171" fontId="4" fillId="0" borderId="0" pivotButton="0" quotePrefix="0" xfId="0"/>
    <xf numFmtId="172" fontId="4" fillId="0" borderId="0" pivotButton="0" quotePrefix="0" xfId="0"/>
    <xf numFmtId="172" fontId="3" fillId="2" borderId="0" pivotButton="0" quotePrefix="0" xfId="0"/>
    <xf numFmtId="172" fontId="9" fillId="0" borderId="0" pivotButton="0" quotePrefix="0" xfId="0"/>
    <xf numFmtId="0" fontId="3" fillId="4" borderId="0" applyAlignment="1" pivotButton="0" quotePrefix="0" xfId="0">
      <alignment horizontal="right"/>
    </xf>
    <xf numFmtId="172" fontId="3" fillId="0" borderId="6" pivotButton="0" quotePrefix="0" xfId="0"/>
    <xf numFmtId="173" fontId="5" fillId="0" borderId="0" pivotButton="0" quotePrefix="0" xfId="0"/>
    <xf numFmtId="166" fontId="4" fillId="0" borderId="0" pivotButton="0" quotePrefix="0" xfId="0"/>
    <xf numFmtId="164" fontId="4" fillId="0" borderId="0" pivotButton="0" quotePrefix="0" xfId="0"/>
    <xf numFmtId="1" fontId="4" fillId="0" borderId="0" pivotButton="0" quotePrefix="0" xfId="0"/>
    <xf numFmtId="174" fontId="3" fillId="0" borderId="0" pivotButton="0" quotePrefix="0" xfId="0"/>
    <xf numFmtId="2" fontId="4" fillId="0" borderId="0" applyAlignment="1" pivotButton="0" quotePrefix="0" xfId="0">
      <alignment horizontal="center"/>
    </xf>
    <xf numFmtId="3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175" fontId="6" fillId="0" borderId="0" pivotButton="0" quotePrefix="0" xfId="0"/>
    <xf numFmtId="175" fontId="6" fillId="0" borderId="0" applyAlignment="1" pivotButton="0" quotePrefix="0" xfId="0">
      <alignment horizontal="right"/>
    </xf>
    <xf numFmtId="172" fontId="6" fillId="0" borderId="0" applyAlignment="1" pivotButton="0" quotePrefix="0" xfId="0">
      <alignment horizontal="right"/>
    </xf>
    <xf numFmtId="175" fontId="3" fillId="0" borderId="0" pivotButton="0" quotePrefix="0" xfId="0"/>
    <xf numFmtId="172" fontId="6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externalLink" Target="/xl/externalLinks/externalLink1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P/L at expiry per contract (Jan 15, 2027)</a:t>
            </a:r>
          </a:p>
        </rich>
      </tx>
    </title>
    <plotArea>
      <scatterChart>
        <ser>
          <idx val="0"/>
          <order val="0"/>
          <tx>
            <strRef>
              <f>'Options'!B64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'Options'!$A$65:$A$95</f>
            </numRef>
          </xVal>
          <yVal>
            <numRef>
              <f>'Options'!$B$65:$B$95</f>
            </numRef>
          </yVal>
        </ser>
        <ser>
          <idx val="1"/>
          <order val="1"/>
          <tx>
            <strRef>
              <f>'Options'!C64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'Options'!$A$65:$A$95</f>
            </numRef>
          </xVal>
          <yVal>
            <numRef>
              <f>'Options'!$C$65:$C$95</f>
            </numRef>
          </yVal>
        </ser>
        <ser>
          <idx val="2"/>
          <order val="2"/>
          <tx>
            <strRef>
              <f>'Options'!D64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'Options'!$A$65:$A$95</f>
            </numRef>
          </xVal>
          <yVal>
            <numRef>
              <f>'Options'!$D$65:$D$95</f>
            </numRef>
          </yVal>
        </ser>
        <ser>
          <idx val="3"/>
          <order val="3"/>
          <tx>
            <strRef>
              <f>'Options'!E64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'Options'!$A$65:$A$95</f>
            </numRef>
          </xVal>
          <yVal>
            <numRef>
              <f>'Options'!$E$65:$E$95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CORT price at expiry ($)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P/L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1">
          <cell r="F1" t="str">
            <v>Close 2026-10-16</v>
          </cell>
        </row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SNY</v>
          </cell>
          <cell r="F15">
            <v>50.645</v>
          </cell>
        </row>
        <row r="16">
          <cell r="B16" t="str">
            <v>MRNA</v>
          </cell>
          <cell r="F16">
            <v>41.4</v>
          </cell>
        </row>
        <row r="17">
          <cell r="B17" t="str">
            <v>REGN</v>
          </cell>
          <cell r="F17">
            <v>242.08</v>
          </cell>
        </row>
        <row r="18">
          <cell r="B18" t="str">
            <v>NTRA</v>
          </cell>
          <cell r="F18">
            <v>807.48</v>
          </cell>
        </row>
        <row r="19">
          <cell r="B19" t="str">
            <v>ARGX</v>
          </cell>
          <cell r="F19">
            <v>20.08</v>
          </cell>
        </row>
        <row r="20">
          <cell r="B20" t="str">
            <v>TEVA</v>
          </cell>
          <cell r="F20">
            <v>405.92</v>
          </cell>
        </row>
        <row r="21">
          <cell r="B21" t="str">
            <v>HLN</v>
          </cell>
          <cell r="F21">
            <v>869.72</v>
          </cell>
        </row>
        <row r="22">
          <cell r="B22" t="str">
            <v>RVMD</v>
          </cell>
          <cell r="F22">
            <v>40.855</v>
          </cell>
        </row>
        <row r="23">
          <cell r="B23" t="str">
            <v>ONC</v>
          </cell>
          <cell r="F23">
            <v>10.17</v>
          </cell>
        </row>
        <row r="24">
          <cell r="B24" t="str">
            <v>BIIB</v>
          </cell>
          <cell r="F24">
            <v>384.5</v>
          </cell>
        </row>
        <row r="25">
          <cell r="B25" t="str">
            <v>RPRX</v>
          </cell>
          <cell r="F25">
            <v>196.55</v>
          </cell>
        </row>
        <row r="26">
          <cell r="B26" t="str">
            <v>ALNY</v>
          </cell>
          <cell r="F26">
            <v>62.25</v>
          </cell>
        </row>
        <row r="27">
          <cell r="B27" t="str">
            <v>ZTS</v>
          </cell>
          <cell r="F27">
            <v>243.1</v>
          </cell>
        </row>
        <row r="28">
          <cell r="B28" t="str">
            <v>ROIV</v>
          </cell>
          <cell r="F28">
            <v>80.04</v>
          </cell>
        </row>
        <row r="29">
          <cell r="B29" t="str">
            <v>BNTX</v>
          </cell>
          <cell r="F29">
            <v>230.71</v>
          </cell>
        </row>
        <row r="30">
          <cell r="B30" t="str">
            <v>GMAB</v>
          </cell>
          <cell r="F30">
            <v>34.92</v>
          </cell>
        </row>
        <row r="31">
          <cell r="B31" t="str">
            <v>UTHR</v>
          </cell>
          <cell r="F31">
            <v>39.07</v>
          </cell>
        </row>
        <row r="32">
          <cell r="B32" t="str">
            <v>INCY</v>
          </cell>
          <cell r="F32">
            <v>553.88</v>
          </cell>
        </row>
        <row r="33">
          <cell r="B33" t="str">
            <v>INSM</v>
          </cell>
          <cell r="F33">
            <v>116.615</v>
          </cell>
        </row>
        <row r="34">
          <cell r="B34" t="str">
            <v>VTRS</v>
          </cell>
          <cell r="F34">
            <v>91.17</v>
          </cell>
        </row>
        <row r="35">
          <cell r="B35" t="str">
            <v>EXEL</v>
          </cell>
          <cell r="F35">
            <v>18.65</v>
          </cell>
        </row>
        <row r="36">
          <cell r="B36" t="str">
            <v>NBIX</v>
          </cell>
          <cell r="F36">
            <v>95.67</v>
          </cell>
        </row>
        <row r="37">
          <cell r="B37" t="str">
            <v>JAZZ</v>
          </cell>
          <cell r="F37">
            <v>64.39</v>
          </cell>
        </row>
        <row r="38">
          <cell r="B38" t="str">
            <v>SMMT</v>
          </cell>
          <cell r="F38">
            <v>234.33</v>
          </cell>
        </row>
        <row r="39">
          <cell r="B39" t="str">
            <v>CORT</v>
          </cell>
          <cell r="F39">
            <v>124.37</v>
          </cell>
        </row>
        <row r="40">
          <cell r="B40" t="str">
            <v>BBIO</v>
          </cell>
          <cell r="F40">
            <v>142.0</v>
          </cell>
        </row>
        <row r="41">
          <cell r="B41" t="str">
            <v>HALO</v>
          </cell>
          <cell r="F41">
            <v>213.76</v>
          </cell>
        </row>
        <row r="42">
          <cell r="B42" t="str">
            <v>KNSA</v>
          </cell>
          <cell r="F42">
            <v>16.09</v>
          </cell>
        </row>
        <row r="43">
          <cell r="B43" t="str">
            <v>ELAN</v>
          </cell>
          <cell r="F43">
            <v>67.55</v>
          </cell>
        </row>
        <row r="44">
          <cell r="B44" t="str">
            <v>IBRX</v>
          </cell>
          <cell r="F44">
            <v>83.17</v>
          </cell>
        </row>
        <row r="45">
          <cell r="B45" t="str">
            <v>MDGL</v>
          </cell>
          <cell r="F45">
            <v>116.45</v>
          </cell>
        </row>
        <row r="46">
          <cell r="B46" t="str">
            <v>PCVX</v>
          </cell>
          <cell r="F46">
            <v>22.7</v>
          </cell>
        </row>
        <row r="47">
          <cell r="B47" t="str">
            <v>BMRN</v>
          </cell>
          <cell r="F47">
            <v>13.26</v>
          </cell>
        </row>
        <row r="48">
          <cell r="B48" t="str">
            <v>RDY</v>
          </cell>
          <cell r="F48">
            <v>56.44</v>
          </cell>
        </row>
        <row r="49">
          <cell r="B49" t="str">
            <v>TWST</v>
          </cell>
          <cell r="F49">
            <v>467.54</v>
          </cell>
        </row>
        <row r="50">
          <cell r="B50" t="str">
            <v>KRYS</v>
          </cell>
          <cell r="F50">
            <v>8.77</v>
          </cell>
        </row>
        <row r="51">
          <cell r="B51" t="str">
            <v>KYMR</v>
          </cell>
          <cell r="F51">
            <v>66.23</v>
          </cell>
        </row>
        <row r="52">
          <cell r="B52" t="str">
            <v>PTGX</v>
          </cell>
          <cell r="F52">
            <v>325.42</v>
          </cell>
        </row>
        <row r="53">
          <cell r="B53" t="str">
            <v>ARWR</v>
          </cell>
          <cell r="F53">
            <v>113.46</v>
          </cell>
        </row>
        <row r="54">
          <cell r="B54" t="str">
            <v>AXSM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TGTX</v>
          </cell>
          <cell r="F56">
            <v>159.58</v>
          </cell>
        </row>
        <row r="57">
          <cell r="B57" t="str">
            <v>CAI</v>
          </cell>
          <cell r="F57">
            <v>137.99</v>
          </cell>
        </row>
        <row r="58">
          <cell r="B58" t="str">
            <v>SYRE</v>
          </cell>
          <cell r="F58">
            <v>142.7</v>
          </cell>
        </row>
        <row r="59">
          <cell r="B59" t="str">
            <v>IONS</v>
          </cell>
          <cell r="F59">
            <v>54.53</v>
          </cell>
        </row>
        <row r="60">
          <cell r="B60" t="str">
            <v>PRAX</v>
          </cell>
          <cell r="F60">
            <v>58.92</v>
          </cell>
        </row>
        <row r="61">
          <cell r="B61" t="str">
            <v>ABVX</v>
          </cell>
          <cell r="F61">
            <v>45.4</v>
          </cell>
        </row>
        <row r="62">
          <cell r="B62" t="str">
            <v>ALKS</v>
          </cell>
          <cell r="F62">
            <v>264.49</v>
          </cell>
        </row>
        <row r="63">
          <cell r="B63" t="str">
            <v>IOVA</v>
          </cell>
          <cell r="F63">
            <v>91.4</v>
          </cell>
        </row>
        <row r="64">
          <cell r="B64" t="str">
            <v>AMRX</v>
          </cell>
          <cell r="F64">
            <v>92.59</v>
          </cell>
        </row>
        <row r="65">
          <cell r="B65" t="str">
            <v>IMVT</v>
          </cell>
          <cell r="F65">
            <v>44.11</v>
          </cell>
        </row>
        <row r="66">
          <cell r="B66" t="str">
            <v>GRAL</v>
          </cell>
          <cell r="F66">
            <v>14.86</v>
          </cell>
        </row>
        <row r="67">
          <cell r="B67" t="str">
            <v>KOD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BLTE</v>
          </cell>
          <cell r="F69">
            <v>306.4</v>
          </cell>
        </row>
        <row r="70">
          <cell r="B70" t="str">
            <v>LGND</v>
          </cell>
          <cell r="F70">
            <v>154.45</v>
          </cell>
        </row>
        <row r="71">
          <cell r="B71" t="str">
            <v>BLRX</v>
          </cell>
          <cell r="F71">
            <v>31.24</v>
          </cell>
        </row>
        <row r="72">
          <cell r="B72" t="str">
            <v>CGON</v>
          </cell>
          <cell r="F72">
            <v>28.59</v>
          </cell>
        </row>
        <row r="73">
          <cell r="B73" t="str">
            <v>ERAS</v>
          </cell>
          <cell r="F73">
            <v>92.97</v>
          </cell>
        </row>
        <row r="74">
          <cell r="B74" t="str">
            <v>MIRM</v>
          </cell>
          <cell r="F74">
            <v>61.93</v>
          </cell>
        </row>
        <row r="75">
          <cell r="B75" t="str">
            <v>MANE</v>
          </cell>
          <cell r="F75">
            <v>124.67</v>
          </cell>
        </row>
        <row r="76">
          <cell r="B76" t="str">
            <v>ORKA</v>
          </cell>
          <cell r="F76">
            <v>2.2145</v>
          </cell>
        </row>
        <row r="77">
          <cell r="B77" t="str">
            <v>PTCT</v>
          </cell>
          <cell r="F77">
            <v>85.07</v>
          </cell>
        </row>
        <row r="78">
          <cell r="B78" t="str">
            <v>COGT</v>
          </cell>
          <cell r="F78">
            <v>62.92</v>
          </cell>
        </row>
        <row r="79">
          <cell r="B79" t="str">
            <v>CRSP</v>
          </cell>
          <cell r="F79">
            <v>41.36</v>
          </cell>
        </row>
        <row r="80">
          <cell r="B80" t="str">
            <v>SRRK</v>
          </cell>
          <cell r="F80">
            <v>79.09</v>
          </cell>
        </row>
        <row r="81">
          <cell r="B81" t="str">
            <v>DFTX</v>
          </cell>
          <cell r="F81">
            <v>49.88</v>
          </cell>
        </row>
        <row r="82">
          <cell r="B82" t="str">
            <v>TVTX</v>
          </cell>
          <cell r="F82">
            <v>10.45</v>
          </cell>
        </row>
        <row r="83">
          <cell r="B83" t="str">
            <v>DNTH</v>
          </cell>
          <cell r="F83">
            <v>14.62</v>
          </cell>
        </row>
        <row r="84">
          <cell r="B84" t="str">
            <v>GOSS</v>
          </cell>
          <cell r="F84">
            <v>52.3</v>
          </cell>
        </row>
        <row r="85">
          <cell r="B85" t="str">
            <v>EWTX</v>
          </cell>
          <cell r="F85">
            <v>127.23</v>
          </cell>
        </row>
        <row r="86">
          <cell r="B86" t="str">
            <v>INDV</v>
          </cell>
          <cell r="F86">
            <v>35.09</v>
          </cell>
        </row>
        <row r="87">
          <cell r="B87" t="str">
            <v>TNGX</v>
          </cell>
          <cell r="F87">
            <v>9.58</v>
          </cell>
        </row>
        <row r="88">
          <cell r="B88" t="str">
            <v>RLAY</v>
          </cell>
          <cell r="F88">
            <v>39.75</v>
          </cell>
        </row>
        <row r="89">
          <cell r="B89" t="str">
            <v>RGC</v>
          </cell>
          <cell r="F89">
            <v>78.75</v>
          </cell>
        </row>
        <row r="90">
          <cell r="B90" t="str">
            <v>VCYT</v>
          </cell>
          <cell r="F90">
            <v>34.77</v>
          </cell>
        </row>
        <row r="91">
          <cell r="B91" t="str">
            <v>OGN</v>
          </cell>
          <cell r="F91">
            <v>25.255</v>
          </cell>
        </row>
        <row r="92">
          <cell r="B92" t="str">
            <v>XENE</v>
          </cell>
          <cell r="F92">
            <v>32.82</v>
          </cell>
        </row>
        <row r="93">
          <cell r="B93" t="str">
            <v>IDYA</v>
          </cell>
          <cell r="F93">
            <v>11.16</v>
          </cell>
        </row>
        <row r="94">
          <cell r="B94" t="str">
            <v>LEGN</v>
          </cell>
          <cell r="F94">
            <v>13.755</v>
          </cell>
        </row>
        <row r="95">
          <cell r="B95" t="str">
            <v>ACAD</v>
          </cell>
          <cell r="F95">
            <v>18.45</v>
          </cell>
        </row>
        <row r="96">
          <cell r="B96" t="str">
            <v>PBLS</v>
          </cell>
          <cell r="F96">
            <v>44.79</v>
          </cell>
        </row>
        <row r="97">
          <cell r="B97" t="str">
            <v>ARQT</v>
          </cell>
          <cell r="F97">
            <v>19.01</v>
          </cell>
        </row>
        <row r="98">
          <cell r="B98" t="str">
            <v>VKTX</v>
          </cell>
          <cell r="F98">
            <v>69.2</v>
          </cell>
        </row>
        <row r="99">
          <cell r="B99" t="str">
            <v>CELC</v>
          </cell>
          <cell r="F99">
            <v>20.44</v>
          </cell>
        </row>
        <row r="100">
          <cell r="B100" t="str">
            <v>CDNA</v>
          </cell>
          <cell r="F100">
            <v>36.27</v>
          </cell>
        </row>
        <row r="101">
          <cell r="B101" t="str">
            <v>TARS</v>
          </cell>
          <cell r="F101">
            <v>35.36</v>
          </cell>
        </row>
        <row r="102">
          <cell r="B102" t="str">
            <v>AMLX</v>
          </cell>
          <cell r="F102">
            <v>36.35</v>
          </cell>
        </row>
        <row r="103">
          <cell r="B103" t="str">
            <v>DNLI</v>
          </cell>
          <cell r="F103">
            <v>71.225</v>
          </cell>
        </row>
        <row r="104">
          <cell r="B104" t="str">
            <v>RCUS</v>
          </cell>
          <cell r="F104">
            <v>26.71</v>
          </cell>
        </row>
        <row r="105">
          <cell r="B105" t="str">
            <v>DYN</v>
          </cell>
          <cell r="F105">
            <v>28.77</v>
          </cell>
        </row>
        <row r="106">
          <cell r="B106" t="str">
            <v>ELVN</v>
          </cell>
          <cell r="F106">
            <v>23.75</v>
          </cell>
        </row>
        <row r="107">
          <cell r="B107" t="str">
            <v>ZLAB</v>
          </cell>
          <cell r="F107">
            <v>18.93</v>
          </cell>
        </row>
        <row r="108">
          <cell r="B108" t="str">
            <v>PGEN</v>
          </cell>
          <cell r="F108">
            <v>27.08</v>
          </cell>
        </row>
        <row r="109">
          <cell r="B109" t="str">
            <v>BEAM</v>
          </cell>
          <cell r="F109">
            <v>60.0</v>
          </cell>
        </row>
        <row r="110">
          <cell r="B110" t="str">
            <v>NAMS</v>
          </cell>
          <cell r="F110">
            <v>41.25</v>
          </cell>
        </row>
        <row r="111">
          <cell r="B111" t="str">
            <v>MBX</v>
          </cell>
          <cell r="F111">
            <v>16.27</v>
          </cell>
        </row>
        <row r="112">
          <cell r="B112" t="str">
            <v>SUPN</v>
          </cell>
          <cell r="F112">
            <v>25.08</v>
          </cell>
        </row>
        <row r="113">
          <cell r="B113" t="str">
            <v>HCM</v>
          </cell>
          <cell r="F113">
            <v>26.1</v>
          </cell>
        </row>
        <row r="114">
          <cell r="B114" t="str">
            <v>LQDA</v>
          </cell>
          <cell r="F114">
            <v>14.74</v>
          </cell>
        </row>
        <row r="115">
          <cell r="B115" t="str">
            <v>IRON</v>
          </cell>
          <cell r="F115">
            <v>24.93</v>
          </cell>
        </row>
        <row r="116">
          <cell r="B116" t="str">
            <v>SLS</v>
          </cell>
          <cell r="F116">
            <v>11.23</v>
          </cell>
        </row>
        <row r="117">
          <cell r="B117" t="str">
            <v>CLDX</v>
          </cell>
          <cell r="F117">
            <v>53.5</v>
          </cell>
        </row>
        <row r="118">
          <cell r="B118" t="str">
            <v>HRMY</v>
          </cell>
          <cell r="F118">
            <v>21.5</v>
          </cell>
        </row>
        <row r="119">
          <cell r="B119" t="str">
            <v>RXRX</v>
          </cell>
          <cell r="F119">
            <v>49.35</v>
          </cell>
        </row>
        <row r="120">
          <cell r="B120" t="str">
            <v>ADMA</v>
          </cell>
          <cell r="F120">
            <v>6.415</v>
          </cell>
        </row>
        <row r="121">
          <cell r="B121" t="str">
            <v>NRIX</v>
          </cell>
          <cell r="F121">
            <v>16.17</v>
          </cell>
        </row>
        <row r="122">
          <cell r="B122" t="str">
            <v>PBH</v>
          </cell>
          <cell r="F122">
            <v>6.83</v>
          </cell>
        </row>
        <row r="123">
          <cell r="B123" t="str">
            <v>BHC</v>
          </cell>
          <cell r="F123">
            <v>38.7</v>
          </cell>
        </row>
        <row r="124">
          <cell r="B124" t="str">
            <v>IMNM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PURR</v>
          </cell>
          <cell r="F126">
            <v>79.48</v>
          </cell>
        </row>
        <row r="127">
          <cell r="B127" t="str">
            <v>BCRX</v>
          </cell>
          <cell r="F127">
            <v>30.29</v>
          </cell>
        </row>
        <row r="128">
          <cell r="B128" t="str">
            <v>BGM</v>
          </cell>
          <cell r="F128">
            <v>22.43</v>
          </cell>
        </row>
        <row r="129">
          <cell r="B129" t="str">
            <v>VERA</v>
          </cell>
          <cell r="F129">
            <v>40.58</v>
          </cell>
        </row>
        <row r="130">
          <cell r="B130" t="str">
            <v>VRDN</v>
          </cell>
          <cell r="F130">
            <v>11.98</v>
          </cell>
        </row>
        <row r="131">
          <cell r="B131" t="str">
            <v>NVAX</v>
          </cell>
          <cell r="F131">
            <v>30.06</v>
          </cell>
        </row>
        <row r="132">
          <cell r="B132" t="str">
            <v>PRGO</v>
          </cell>
          <cell r="F132">
            <v>7.94</v>
          </cell>
        </row>
        <row r="133">
          <cell r="B133" t="str">
            <v>MLYS</v>
          </cell>
          <cell r="F133">
            <v>30.75</v>
          </cell>
        </row>
        <row r="134">
          <cell r="B134" t="str">
            <v>VCEL</v>
          </cell>
          <cell r="F134">
            <v>10.78</v>
          </cell>
        </row>
        <row r="135">
          <cell r="B135" t="str">
            <v>TRLV</v>
          </cell>
          <cell r="F135">
            <v>11.13</v>
          </cell>
        </row>
        <row r="136">
          <cell r="B136" t="str">
            <v>PHVS</v>
          </cell>
          <cell r="F136">
            <v>17.92</v>
          </cell>
        </row>
        <row r="137">
          <cell r="B137" t="str">
            <v>PVLA</v>
          </cell>
          <cell r="F137">
            <v>36.64</v>
          </cell>
        </row>
        <row r="138">
          <cell r="B138" t="str">
            <v>VIR</v>
          </cell>
          <cell r="F138">
            <v>8.97</v>
          </cell>
        </row>
        <row r="139">
          <cell r="B139" t="str">
            <v>LKFT</v>
          </cell>
          <cell r="F139">
            <v>11.43</v>
          </cell>
        </row>
        <row r="140">
          <cell r="B140" t="str">
            <v>XERS</v>
          </cell>
          <cell r="F140">
            <v>3.66</v>
          </cell>
        </row>
        <row r="141">
          <cell r="B141" t="str">
            <v>AGIO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TRVI</v>
          </cell>
          <cell r="F143">
            <v>21.58</v>
          </cell>
        </row>
        <row r="144">
          <cell r="B144" t="str">
            <v>MESO</v>
          </cell>
          <cell r="F144">
            <v>9.15</v>
          </cell>
        </row>
        <row r="145">
          <cell r="B145" t="str">
            <v>GENB</v>
          </cell>
          <cell r="F145">
            <v>26.91</v>
          </cell>
        </row>
        <row r="146">
          <cell r="B146" t="str">
            <v>NTLA</v>
          </cell>
          <cell r="F146">
            <v>39.35</v>
          </cell>
        </row>
        <row r="147">
          <cell r="B147" t="str">
            <v>XNCR</v>
          </cell>
          <cell r="F147">
            <v>123.92</v>
          </cell>
        </row>
        <row r="148">
          <cell r="B148" t="str">
            <v>ZYME</v>
          </cell>
          <cell r="F148">
            <v>12.41</v>
          </cell>
        </row>
        <row r="149">
          <cell r="B149" t="str">
            <v>BHVN</v>
          </cell>
          <cell r="F149">
            <v>24.94</v>
          </cell>
        </row>
        <row r="150">
          <cell r="B150" t="str">
            <v>GPCR</v>
          </cell>
          <cell r="F150">
            <v>12.83</v>
          </cell>
        </row>
        <row r="151">
          <cell r="B151" t="str">
            <v>ALVO</v>
          </cell>
          <cell r="F151">
            <v>35.01</v>
          </cell>
        </row>
        <row r="152">
          <cell r="B152" t="str">
            <v>BRVE</v>
          </cell>
          <cell r="F152">
            <v>10.74</v>
          </cell>
        </row>
        <row r="153">
          <cell r="B153" t="str">
            <v>URGN</v>
          </cell>
          <cell r="F153">
            <v>20.27</v>
          </cell>
        </row>
        <row r="154">
          <cell r="B154" t="str">
            <v>SEPN</v>
          </cell>
          <cell r="F154">
            <v>72.67</v>
          </cell>
        </row>
        <row r="155">
          <cell r="B155" t="str">
            <v>ZBIO</v>
          </cell>
          <cell r="F155">
            <v>11.82</v>
          </cell>
        </row>
        <row r="156">
          <cell r="B156" t="str">
            <v>NUVB</v>
          </cell>
          <cell r="F156">
            <v>28.18</v>
          </cell>
        </row>
        <row r="157">
          <cell r="B157" t="str">
            <v>ABSI</v>
          </cell>
          <cell r="F157">
            <v>11.84</v>
          </cell>
        </row>
        <row r="158">
          <cell r="B158" t="str">
            <v>ANIP</v>
          </cell>
          <cell r="F158">
            <v>38.8</v>
          </cell>
        </row>
        <row r="159">
          <cell r="B159" t="str">
            <v>CMPS</v>
          </cell>
          <cell r="F159">
            <v>5.03</v>
          </cell>
        </row>
        <row r="160">
          <cell r="B160" t="str">
            <v>OCUL</v>
          </cell>
          <cell r="F160">
            <v>26.61</v>
          </cell>
        </row>
        <row r="161">
          <cell r="B161" t="str">
            <v>STOK</v>
          </cell>
          <cell r="F161">
            <v>4.765</v>
          </cell>
        </row>
        <row r="162">
          <cell r="B162" t="str">
            <v>ETON</v>
          </cell>
          <cell r="F162">
            <v>12.9</v>
          </cell>
        </row>
        <row r="163">
          <cell r="B163" t="str">
            <v>PAHC</v>
          </cell>
          <cell r="F163">
            <v>32.45</v>
          </cell>
        </row>
        <row r="164">
          <cell r="B164" t="str">
            <v>INVA</v>
          </cell>
          <cell r="F164">
            <v>32.6</v>
          </cell>
        </row>
        <row r="165">
          <cell r="B165" t="str">
            <v>RARE</v>
          </cell>
          <cell r="F165">
            <v>6.65</v>
          </cell>
        </row>
        <row r="166">
          <cell r="B166" t="str">
            <v>SNDX</v>
          </cell>
          <cell r="F166">
            <v>22.88</v>
          </cell>
        </row>
        <row r="167">
          <cell r="B167" t="str">
            <v>IMCR</v>
          </cell>
          <cell r="F167">
            <v>21.28</v>
          </cell>
        </row>
        <row r="168">
          <cell r="B168" t="str">
            <v>MAZE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COAG</v>
          </cell>
          <cell r="F170">
            <v>36.38</v>
          </cell>
        </row>
        <row r="171">
          <cell r="B171" t="str">
            <v>RAPP</v>
          </cell>
          <cell r="F171">
            <v>50.19</v>
          </cell>
        </row>
        <row r="172">
          <cell r="B172" t="str">
            <v>TSHA</v>
          </cell>
          <cell r="F172">
            <v>15.89</v>
          </cell>
        </row>
        <row r="173">
          <cell r="B173" t="str">
            <v>PCRX</v>
          </cell>
          <cell r="F173">
            <v>16.02</v>
          </cell>
        </row>
        <row r="174">
          <cell r="B174" t="str">
            <v>OMER</v>
          </cell>
          <cell r="F174">
            <v>9.07</v>
          </cell>
        </row>
        <row r="175">
          <cell r="B175" t="str">
            <v>QURE</v>
          </cell>
          <cell r="F175">
            <v>34.17</v>
          </cell>
        </row>
        <row r="176">
          <cell r="B176" t="str">
            <v>NKTR</v>
          </cell>
          <cell r="F176">
            <v>45.43</v>
          </cell>
        </row>
        <row r="177">
          <cell r="B177" t="str">
            <v>INBX</v>
          </cell>
          <cell r="F177">
            <v>22.715</v>
          </cell>
        </row>
        <row r="178">
          <cell r="B178" t="str">
            <v>ANAB</v>
          </cell>
          <cell r="F178">
            <v>29.37</v>
          </cell>
        </row>
        <row r="179">
          <cell r="B179" t="str">
            <v>KARD</v>
          </cell>
          <cell r="F179">
            <v>95.3</v>
          </cell>
        </row>
        <row r="180">
          <cell r="B180" t="str">
            <v>GHRS</v>
          </cell>
          <cell r="F180">
            <v>13.78</v>
          </cell>
        </row>
        <row r="181">
          <cell r="B181" t="str">
            <v>DMRA</v>
          </cell>
          <cell r="F181">
            <v>41.25</v>
          </cell>
        </row>
        <row r="182">
          <cell r="B182" t="str">
            <v>REPL</v>
          </cell>
          <cell r="F182">
            <v>39.22</v>
          </cell>
        </row>
        <row r="183">
          <cell r="B183" t="str">
            <v>ORIC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TYRA</v>
          </cell>
          <cell r="F186">
            <v>4.11</v>
          </cell>
        </row>
        <row r="187">
          <cell r="B187" t="str">
            <v>VOR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NBTX</v>
          </cell>
          <cell r="F189">
            <v>13.25</v>
          </cell>
        </row>
        <row r="190">
          <cell r="B190" t="str">
            <v>AVLN</v>
          </cell>
          <cell r="F190">
            <v>19.03</v>
          </cell>
        </row>
        <row r="191">
          <cell r="B191" t="str">
            <v>TRAX</v>
          </cell>
          <cell r="F191">
            <v>20.67</v>
          </cell>
        </row>
        <row r="192">
          <cell r="B192" t="str">
            <v>AMPH</v>
          </cell>
          <cell r="F192">
            <v>4.76</v>
          </cell>
        </row>
        <row r="193">
          <cell r="B193" t="str">
            <v>JANX</v>
          </cell>
          <cell r="F193">
            <v>19.165</v>
          </cell>
        </row>
        <row r="194">
          <cell r="B194" t="str">
            <v>HROW</v>
          </cell>
          <cell r="F194">
            <v>20.47</v>
          </cell>
        </row>
        <row r="195">
          <cell r="B195" t="str">
            <v>LTGO</v>
          </cell>
          <cell r="F195">
            <v>25.94</v>
          </cell>
        </row>
        <row r="196">
          <cell r="B196" t="str">
            <v>MNKD</v>
          </cell>
          <cell r="F196">
            <v>24.63</v>
          </cell>
        </row>
        <row r="197">
          <cell r="B197" t="str">
            <v>MGTX</v>
          </cell>
          <cell r="F197">
            <v>24.14</v>
          </cell>
        </row>
        <row r="198">
          <cell r="B198" t="str">
            <v>SVRA</v>
          </cell>
          <cell r="F198">
            <v>11.42</v>
          </cell>
        </row>
        <row r="199">
          <cell r="B199" t="str">
            <v>CGEM</v>
          </cell>
          <cell r="F199">
            <v>28.07</v>
          </cell>
        </row>
        <row r="200">
          <cell r="B200" t="str">
            <v>IMTX</v>
          </cell>
          <cell r="F200">
            <v>16.74</v>
          </cell>
        </row>
        <row r="201">
          <cell r="B201" t="str">
            <v>SPTX</v>
          </cell>
          <cell r="F201">
            <v>3.1</v>
          </cell>
        </row>
        <row r="202">
          <cell r="B202" t="str">
            <v>AKTS</v>
          </cell>
          <cell r="F202">
            <v>19.28</v>
          </cell>
        </row>
        <row r="203">
          <cell r="B203" t="str">
            <v>ANRO</v>
          </cell>
          <cell r="F203">
            <v>6.2</v>
          </cell>
        </row>
        <row r="204">
          <cell r="B204" t="str">
            <v>KURA</v>
          </cell>
          <cell r="F204">
            <v>15.25</v>
          </cell>
        </row>
        <row r="205">
          <cell r="B205" t="str">
            <v>ALMS</v>
          </cell>
          <cell r="F205">
            <v>7.51</v>
          </cell>
        </row>
        <row r="206">
          <cell r="B206" t="str">
            <v>MLTX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JBIO</v>
          </cell>
          <cell r="F208">
            <v>24.415</v>
          </cell>
        </row>
        <row r="209">
          <cell r="B209" t="str">
            <v>ODTX</v>
          </cell>
          <cell r="F209">
            <v>14.86</v>
          </cell>
        </row>
        <row r="210">
          <cell r="B210" t="str">
            <v>CRVS</v>
          </cell>
          <cell r="F210">
            <v>18.99</v>
          </cell>
        </row>
        <row r="211">
          <cell r="B211" t="str">
            <v>GLUE</v>
          </cell>
          <cell r="F211">
            <v>4.33</v>
          </cell>
        </row>
        <row r="212">
          <cell r="B212" t="str">
            <v>SANA</v>
          </cell>
          <cell r="F212">
            <v>14.83</v>
          </cell>
        </row>
        <row r="213">
          <cell r="B213" t="str">
            <v>ABUS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ANNX</v>
          </cell>
          <cell r="F216">
            <v>3.21</v>
          </cell>
        </row>
        <row r="217">
          <cell r="B217" t="str">
            <v>GRML</v>
          </cell>
          <cell r="F217">
            <v>10.32</v>
          </cell>
        </row>
        <row r="218">
          <cell r="B218" t="str">
            <v>ARDX</v>
          </cell>
          <cell r="F218">
            <v>9.98</v>
          </cell>
        </row>
        <row r="219">
          <cell r="B219" t="str">
            <v>OBX</v>
          </cell>
          <cell r="F219">
            <v>16.08</v>
          </cell>
        </row>
        <row r="220">
          <cell r="B220" t="str">
            <v>GERN</v>
          </cell>
          <cell r="F220">
            <v>10.23</v>
          </cell>
        </row>
        <row r="221">
          <cell r="B221" t="str">
            <v>GYRE</v>
          </cell>
          <cell r="F221">
            <v>6.7</v>
          </cell>
        </row>
        <row r="222">
          <cell r="B222" t="str">
            <v>APMD</v>
          </cell>
          <cell r="F222">
            <v>9.34</v>
          </cell>
        </row>
        <row r="223">
          <cell r="B223" t="str">
            <v>ACHV</v>
          </cell>
          <cell r="F223">
            <v>18.51</v>
          </cell>
        </row>
        <row r="224">
          <cell r="B224" t="str">
            <v>CADL</v>
          </cell>
          <cell r="F224">
            <v>23.33</v>
          </cell>
        </row>
        <row r="225">
          <cell r="B225" t="str">
            <v>VSTM</v>
          </cell>
          <cell r="F225">
            <v>13.25</v>
          </cell>
        </row>
        <row r="226">
          <cell r="B226" t="str">
            <v>LXRX</v>
          </cell>
          <cell r="F226">
            <v>1.24</v>
          </cell>
        </row>
        <row r="227">
          <cell r="B227" t="str">
            <v>ATTO</v>
          </cell>
          <cell r="F227">
            <v>2.36</v>
          </cell>
        </row>
        <row r="228">
          <cell r="B228" t="str">
            <v>SLDB</v>
          </cell>
          <cell r="F228">
            <v>13.1</v>
          </cell>
        </row>
        <row r="229">
          <cell r="B229" t="str">
            <v>FDMT</v>
          </cell>
          <cell r="F229">
            <v>3.83</v>
          </cell>
        </row>
        <row r="230">
          <cell r="B230" t="str">
            <v>AVTX</v>
          </cell>
          <cell r="F230">
            <v>6.17</v>
          </cell>
        </row>
        <row r="231">
          <cell r="B231" t="str">
            <v>DSGN</v>
          </cell>
          <cell r="F231">
            <v>1.55</v>
          </cell>
        </row>
        <row r="232">
          <cell r="B232" t="str">
            <v>PRME</v>
          </cell>
          <cell r="F232">
            <v>14.04</v>
          </cell>
        </row>
        <row r="233">
          <cell r="B233" t="str">
            <v>COLL</v>
          </cell>
          <cell r="F233">
            <v>9.75</v>
          </cell>
        </row>
        <row r="234">
          <cell r="B234" t="str">
            <v>NVCT</v>
          </cell>
          <cell r="F234">
            <v>6.51</v>
          </cell>
        </row>
        <row r="235">
          <cell r="B235" t="str">
            <v>PHAR</v>
          </cell>
          <cell r="F235">
            <v>4.23</v>
          </cell>
        </row>
        <row r="236">
          <cell r="B236" t="str">
            <v>OLMA</v>
          </cell>
          <cell r="F236">
            <v>11.1</v>
          </cell>
        </row>
        <row r="237">
          <cell r="B237" t="str">
            <v>WVE</v>
          </cell>
          <cell r="F237">
            <v>12.36</v>
          </cell>
        </row>
        <row r="238">
          <cell r="B238" t="str">
            <v>MDXG</v>
          </cell>
          <cell r="F238">
            <v>6.56</v>
          </cell>
        </row>
        <row r="239">
          <cell r="B239" t="str">
            <v>AURA</v>
          </cell>
          <cell r="F239">
            <v>3.92</v>
          </cell>
        </row>
        <row r="240">
          <cell r="B240" t="str">
            <v>IMMX</v>
          </cell>
          <cell r="F240">
            <v>8.64</v>
          </cell>
        </row>
        <row r="241">
          <cell r="B241" t="str">
            <v>ZVRA</v>
          </cell>
          <cell r="F241">
            <v>10.8</v>
          </cell>
        </row>
        <row r="242">
          <cell r="B242" t="str">
            <v>FTH</v>
          </cell>
          <cell r="F242">
            <v>3.63</v>
          </cell>
        </row>
        <row r="243">
          <cell r="B243" t="str">
            <v>NNNN</v>
          </cell>
          <cell r="F243">
            <v>8.91</v>
          </cell>
        </row>
        <row r="244">
          <cell r="B244" t="str">
            <v>CLYM</v>
          </cell>
          <cell r="F244">
            <v>20.59</v>
          </cell>
        </row>
        <row r="245">
          <cell r="B245" t="str">
            <v>IRWD</v>
          </cell>
          <cell r="F245">
            <v>3.385</v>
          </cell>
        </row>
        <row r="246">
          <cell r="B246" t="str">
            <v>IVA</v>
          </cell>
          <cell r="F246">
            <v>10.47</v>
          </cell>
        </row>
        <row r="247">
          <cell r="B247" t="str">
            <v>AQST</v>
          </cell>
          <cell r="F247">
            <v>6.4</v>
          </cell>
        </row>
        <row r="248">
          <cell r="B248" t="str">
            <v>STTK</v>
          </cell>
          <cell r="F248">
            <v>7.25</v>
          </cell>
        </row>
        <row r="249">
          <cell r="B249" t="str">
            <v>PHAT</v>
          </cell>
          <cell r="F249">
            <v>3.26</v>
          </cell>
        </row>
        <row r="250">
          <cell r="B250" t="str">
            <v>DBVT</v>
          </cell>
          <cell r="F250">
            <v>7.57</v>
          </cell>
        </row>
        <row r="251">
          <cell r="B251" t="str">
            <v>CRMD</v>
          </cell>
          <cell r="F251">
            <v>7.31</v>
          </cell>
        </row>
        <row r="252">
          <cell r="B252" t="str">
            <v>ACRS</v>
          </cell>
          <cell r="F252">
            <v>5.84</v>
          </cell>
        </row>
        <row r="253">
          <cell r="B253" t="str">
            <v>CTMX</v>
          </cell>
          <cell r="F253">
            <v>9.48</v>
          </cell>
        </row>
        <row r="254">
          <cell r="B254" t="str">
            <v>BLSM</v>
          </cell>
          <cell r="F254">
            <v>5.69</v>
          </cell>
        </row>
        <row r="255">
          <cell r="B255" t="str">
            <v>SGMT</v>
          </cell>
          <cell r="F255">
            <v>4.05</v>
          </cell>
        </row>
        <row r="256">
          <cell r="B256" t="str">
            <v>CBIO</v>
          </cell>
          <cell r="F256">
            <v>9.74</v>
          </cell>
        </row>
        <row r="257">
          <cell r="B257" t="str">
            <v>RGNX</v>
          </cell>
          <cell r="F257">
            <v>10.76</v>
          </cell>
        </row>
        <row r="258">
          <cell r="B258" t="str">
            <v>PBYI</v>
          </cell>
          <cell r="F258">
            <v>2.51</v>
          </cell>
        </row>
        <row r="259">
          <cell r="B259" t="str">
            <v>IMMP</v>
          </cell>
          <cell r="F259">
            <v>20.79</v>
          </cell>
        </row>
        <row r="260">
          <cell r="B260" t="str">
            <v>MNPR</v>
          </cell>
          <cell r="F260">
            <v>3.48</v>
          </cell>
        </row>
        <row r="261">
          <cell r="B261" t="str">
            <v>NGNE</v>
          </cell>
          <cell r="F261">
            <v>14.4</v>
          </cell>
        </row>
        <row r="262">
          <cell r="B262" t="str">
            <v>PROK</v>
          </cell>
          <cell r="F262">
            <v>7.37</v>
          </cell>
        </row>
        <row r="263">
          <cell r="B263" t="str">
            <v>TLRY</v>
          </cell>
          <cell r="F263">
            <v>3.26</v>
          </cell>
        </row>
        <row r="264">
          <cell r="B264" t="str">
            <v>EOLS</v>
          </cell>
          <cell r="F264">
            <v>25.4</v>
          </cell>
        </row>
        <row r="265">
          <cell r="B265" t="str">
            <v>ALT</v>
          </cell>
          <cell r="F265">
            <v>74.23</v>
          </cell>
        </row>
        <row r="266">
          <cell r="B266" t="str">
            <v>ALLO</v>
          </cell>
          <cell r="F266">
            <v>3.02</v>
          </cell>
        </row>
        <row r="267">
          <cell r="B267" t="str">
            <v>VALN</v>
          </cell>
          <cell r="F267">
            <v>7.4</v>
          </cell>
        </row>
        <row r="268">
          <cell r="B268" t="str">
            <v>OCS</v>
          </cell>
          <cell r="F268">
            <v>7.66</v>
          </cell>
        </row>
        <row r="269">
          <cell r="B269" t="str">
            <v>ARVN</v>
          </cell>
          <cell r="F269">
            <v>1.33</v>
          </cell>
        </row>
        <row r="270">
          <cell r="B270" t="str">
            <v>AUTL</v>
          </cell>
          <cell r="F270">
            <v>3.73</v>
          </cell>
        </row>
        <row r="271">
          <cell r="B271" t="str">
            <v>OVID</v>
          </cell>
          <cell r="F271">
            <v>3.03</v>
          </cell>
        </row>
        <row r="272">
          <cell r="B272" t="str">
            <v>ASMB</v>
          </cell>
          <cell r="F272">
            <v>7.85</v>
          </cell>
        </row>
        <row r="273">
          <cell r="B273" t="str">
            <v>YDES</v>
          </cell>
          <cell r="F273">
            <v>19.61</v>
          </cell>
        </row>
        <row r="274">
          <cell r="B274" t="str">
            <v>RZLT</v>
          </cell>
          <cell r="F274">
            <v>13.07</v>
          </cell>
        </row>
        <row r="275">
          <cell r="B275" t="str">
            <v>KMDA</v>
          </cell>
          <cell r="F275">
            <v>7.49</v>
          </cell>
        </row>
        <row r="276">
          <cell r="B276" t="str">
            <v>SLN</v>
          </cell>
          <cell r="F276">
            <v>8.5</v>
          </cell>
        </row>
        <row r="277">
          <cell r="B277" t="str">
            <v>ENTX</v>
          </cell>
          <cell r="F277">
            <v>2.3</v>
          </cell>
        </row>
        <row r="278">
          <cell r="B278" t="str">
            <v>IBO</v>
          </cell>
          <cell r="F278">
            <v>1.66</v>
          </cell>
        </row>
        <row r="279">
          <cell r="B279" t="str">
            <v>TECX</v>
          </cell>
          <cell r="F279">
            <v>2.36</v>
          </cell>
        </row>
        <row r="280">
          <cell r="B280" t="str">
            <v>CAPR</v>
          </cell>
          <cell r="F280">
            <v>5.84</v>
          </cell>
        </row>
        <row r="281">
          <cell r="B281" t="str">
            <v>PRTA</v>
          </cell>
          <cell r="F281">
            <v>21.19</v>
          </cell>
        </row>
        <row r="282">
          <cell r="B282" t="str">
            <v>DMAC</v>
          </cell>
          <cell r="F282">
            <v>8.18</v>
          </cell>
        </row>
        <row r="283">
          <cell r="B283" t="str">
            <v>EDIT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AVIR</v>
          </cell>
          <cell r="F285">
            <v>21.825</v>
          </cell>
        </row>
        <row r="286">
          <cell r="B286" t="str">
            <v>MYGN</v>
          </cell>
          <cell r="F286">
            <v>13.8</v>
          </cell>
        </row>
        <row r="287">
          <cell r="B287" t="str">
            <v>RCEL</v>
          </cell>
          <cell r="F287">
            <v>1.44</v>
          </cell>
        </row>
        <row r="288">
          <cell r="B288" t="str">
            <v>EIKN</v>
          </cell>
          <cell r="F288">
            <v>19.81</v>
          </cell>
        </row>
        <row r="289">
          <cell r="B289" t="str">
            <v>MPLT</v>
          </cell>
          <cell r="F289">
            <v>6.755</v>
          </cell>
        </row>
        <row r="290">
          <cell r="B290" t="str">
            <v>SCTX</v>
          </cell>
          <cell r="F290">
            <v>5.54</v>
          </cell>
        </row>
        <row r="291">
          <cell r="B291" t="str">
            <v>GALT</v>
          </cell>
          <cell r="F291">
            <v>2.58</v>
          </cell>
        </row>
        <row r="292">
          <cell r="B292" t="str">
            <v>KYTX</v>
          </cell>
          <cell r="F292">
            <v>4.0</v>
          </cell>
        </row>
        <row r="293">
          <cell r="B293" t="str">
            <v>ARCT</v>
          </cell>
          <cell r="F293">
            <v>6.04</v>
          </cell>
        </row>
        <row r="294">
          <cell r="B294" t="str">
            <v>CCCC</v>
          </cell>
          <cell r="F294">
            <v>3.43</v>
          </cell>
        </row>
        <row r="295">
          <cell r="B295" t="str">
            <v>EPRX</v>
          </cell>
          <cell r="F295">
            <v>8.24</v>
          </cell>
        </row>
        <row r="296">
          <cell r="B296" t="str">
            <v>IRD</v>
          </cell>
          <cell r="F296">
            <v>4.465</v>
          </cell>
        </row>
        <row r="297">
          <cell r="B297" t="str">
            <v>ZURA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ENTA</v>
          </cell>
          <cell r="F299">
            <v>3.7</v>
          </cell>
        </row>
        <row r="300">
          <cell r="B300" t="str">
            <v>EBS</v>
          </cell>
          <cell r="F300">
            <v>10.47</v>
          </cell>
        </row>
        <row r="301">
          <cell r="B301" t="str">
            <v>RLMD</v>
          </cell>
          <cell r="F301">
            <v>7.59</v>
          </cell>
        </row>
        <row r="302">
          <cell r="B302" t="str">
            <v>TTRX</v>
          </cell>
          <cell r="F302">
            <v>3.36</v>
          </cell>
        </row>
        <row r="303">
          <cell r="B303" t="str">
            <v>CGC</v>
          </cell>
          <cell r="F303">
            <v>3.16</v>
          </cell>
        </row>
        <row r="304">
          <cell r="B304" t="str">
            <v>SRZN</v>
          </cell>
          <cell r="F304">
            <v>1.28</v>
          </cell>
        </row>
        <row r="305">
          <cell r="B305" t="str">
            <v>AGEN</v>
          </cell>
          <cell r="F305">
            <v>6.29</v>
          </cell>
        </row>
        <row r="306">
          <cell r="B306" t="str">
            <v>ARTV</v>
          </cell>
          <cell r="F306">
            <v>11.67</v>
          </cell>
        </row>
        <row r="307">
          <cell r="B307" t="str">
            <v>INDP</v>
          </cell>
          <cell r="F307">
            <v>4.01</v>
          </cell>
        </row>
        <row r="308">
          <cell r="B308" t="str">
            <v>CABA</v>
          </cell>
          <cell r="F308">
            <v>7.31</v>
          </cell>
        </row>
        <row r="309">
          <cell r="B309" t="str">
            <v>OCGN</v>
          </cell>
          <cell r="F309">
            <v>0.72</v>
          </cell>
        </row>
        <row r="310">
          <cell r="B310" t="str">
            <v>SNDL</v>
          </cell>
          <cell r="F310">
            <v>6.56</v>
          </cell>
        </row>
        <row r="311">
          <cell r="B311" t="str">
            <v>CYPH</v>
          </cell>
          <cell r="F311">
            <v>9.04</v>
          </cell>
        </row>
        <row r="312">
          <cell r="B312" t="str">
            <v>PRLD</v>
          </cell>
          <cell r="F312">
            <v>10.98</v>
          </cell>
        </row>
        <row r="313">
          <cell r="B313" t="str">
            <v>BNTC</v>
          </cell>
          <cell r="F313">
            <v>3.2</v>
          </cell>
        </row>
        <row r="314">
          <cell r="B314" t="str">
            <v>CTNM</v>
          </cell>
          <cell r="F314">
            <v>3.72</v>
          </cell>
        </row>
        <row r="315">
          <cell r="B315" t="str">
            <v>CATX</v>
          </cell>
          <cell r="F315">
            <v>2.81</v>
          </cell>
        </row>
        <row r="316">
          <cell r="B316" t="str">
            <v>GTBP</v>
          </cell>
          <cell r="F316">
            <v>25.14</v>
          </cell>
        </row>
        <row r="317">
          <cell r="B317" t="str">
            <v>EYPT</v>
          </cell>
          <cell r="F317">
            <v>6.42</v>
          </cell>
        </row>
        <row r="318">
          <cell r="B318" t="str">
            <v>BIOA</v>
          </cell>
          <cell r="F318">
            <v>1.43</v>
          </cell>
        </row>
        <row r="319">
          <cell r="B319" t="str">
            <v>XFOR</v>
          </cell>
          <cell r="F319">
            <v>20.44</v>
          </cell>
        </row>
        <row r="320">
          <cell r="B320" t="str">
            <v>FULC</v>
          </cell>
          <cell r="F320">
            <v>2.3</v>
          </cell>
        </row>
        <row r="321">
          <cell r="B321" t="str">
            <v>ABEO</v>
          </cell>
          <cell r="F321">
            <v>0.8125</v>
          </cell>
        </row>
        <row r="322">
          <cell r="B322" t="str">
            <v>RCKT</v>
          </cell>
          <cell r="F322">
            <v>3.02</v>
          </cell>
        </row>
        <row r="323">
          <cell r="B323" t="str">
            <v>LRMR</v>
          </cell>
          <cell r="F323">
            <v>3.53</v>
          </cell>
        </row>
        <row r="324">
          <cell r="B324" t="str">
            <v>VNDA</v>
          </cell>
          <cell r="F324">
            <v>2.34</v>
          </cell>
        </row>
        <row r="325">
          <cell r="B325" t="str">
            <v>IKT</v>
          </cell>
          <cell r="F325">
            <v>0.4052</v>
          </cell>
        </row>
        <row r="326">
          <cell r="B326" t="str">
            <v>BCYC</v>
          </cell>
          <cell r="F326">
            <v>4.43</v>
          </cell>
        </row>
        <row r="327">
          <cell r="B327" t="str">
            <v>SABS</v>
          </cell>
          <cell r="F327">
            <v>4.6</v>
          </cell>
        </row>
        <row r="328">
          <cell r="B328" t="str">
            <v>PALI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BBOT</v>
          </cell>
          <cell r="F330">
            <v>4.17</v>
          </cell>
        </row>
        <row r="331">
          <cell r="B331" t="str">
            <v>LXEO</v>
          </cell>
          <cell r="F331">
            <v>2.49</v>
          </cell>
        </row>
        <row r="332">
          <cell r="B332" t="str">
            <v>ANIK</v>
          </cell>
          <cell r="F332">
            <v>3.6</v>
          </cell>
        </row>
        <row r="333">
          <cell r="B333" t="str">
            <v>FATE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UPB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HELP</v>
          </cell>
          <cell r="F337">
            <v>1.71</v>
          </cell>
        </row>
        <row r="338">
          <cell r="B338" t="str">
            <v>ACIU</v>
          </cell>
          <cell r="F338">
            <v>2.88</v>
          </cell>
        </row>
        <row r="339">
          <cell r="B339" t="str">
            <v>AMRN</v>
          </cell>
          <cell r="F339">
            <v>10.94</v>
          </cell>
        </row>
        <row r="340">
          <cell r="B340" t="str">
            <v>LIMN</v>
          </cell>
          <cell r="F340">
            <v>3.15</v>
          </cell>
        </row>
        <row r="341">
          <cell r="B341" t="str">
            <v>ACB</v>
          </cell>
          <cell r="F341">
            <v>3.02</v>
          </cell>
        </row>
        <row r="342">
          <cell r="B342" t="str">
            <v>LCTX</v>
          </cell>
          <cell r="F342">
            <v>2.72</v>
          </cell>
        </row>
        <row r="343">
          <cell r="B343" t="str">
            <v>TLSI</v>
          </cell>
          <cell r="F343">
            <v>3.97</v>
          </cell>
        </row>
        <row r="344">
          <cell r="B344" t="str">
            <v>QTTB</v>
          </cell>
          <cell r="F344">
            <v>2.65</v>
          </cell>
        </row>
        <row r="345">
          <cell r="B345" t="str">
            <v>GLSI</v>
          </cell>
          <cell r="F345">
            <v>8.62</v>
          </cell>
        </row>
        <row r="346">
          <cell r="B346" t="str">
            <v>MGNX</v>
          </cell>
          <cell r="F346">
            <v>3.66</v>
          </cell>
        </row>
        <row r="347">
          <cell r="B347" t="str">
            <v>KROS</v>
          </cell>
          <cell r="F347">
            <v>5.28</v>
          </cell>
        </row>
        <row r="348">
          <cell r="B348" t="str">
            <v>STRO</v>
          </cell>
          <cell r="F348">
            <v>11.4</v>
          </cell>
        </row>
        <row r="349">
          <cell r="B349" t="str">
            <v>CAMP</v>
          </cell>
          <cell r="F349">
            <v>2.06</v>
          </cell>
        </row>
        <row r="350">
          <cell r="B350" t="str">
            <v>SIGA</v>
          </cell>
          <cell r="F350">
            <v>16.24</v>
          </cell>
        </row>
        <row r="351">
          <cell r="B351" t="str">
            <v>ALEC</v>
          </cell>
          <cell r="F351">
            <v>2.635</v>
          </cell>
        </row>
        <row r="352">
          <cell r="B352" t="str">
            <v>HITI</v>
          </cell>
          <cell r="F352">
            <v>3.49</v>
          </cell>
        </row>
        <row r="353">
          <cell r="B353" t="str">
            <v>EVMN</v>
          </cell>
          <cell r="F353">
            <v>2.44</v>
          </cell>
        </row>
        <row r="354">
          <cell r="B354" t="str">
            <v>PLX</v>
          </cell>
          <cell r="F354">
            <v>1.97</v>
          </cell>
        </row>
        <row r="355">
          <cell r="B355" t="str">
            <v>AKBA</v>
          </cell>
          <cell r="F355">
            <v>2.72</v>
          </cell>
        </row>
        <row r="356">
          <cell r="B356" t="str">
            <v>SION</v>
          </cell>
          <cell r="F356">
            <v>3.19</v>
          </cell>
        </row>
        <row r="357">
          <cell r="B357" t="str">
            <v>ADCT</v>
          </cell>
          <cell r="F357">
            <v>9.7</v>
          </cell>
        </row>
        <row r="358">
          <cell r="B358" t="str">
            <v>TRDA</v>
          </cell>
          <cell r="F358">
            <v>6.395</v>
          </cell>
        </row>
        <row r="359">
          <cell r="B359" t="str">
            <v>RNAC</v>
          </cell>
          <cell r="F359">
            <v>3.16</v>
          </cell>
        </row>
        <row r="360">
          <cell r="B360" t="str">
            <v>LYEL</v>
          </cell>
          <cell r="F360">
            <v>2.14</v>
          </cell>
        </row>
        <row r="361">
          <cell r="B361" t="str">
            <v>IVVD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ELDN</v>
          </cell>
          <cell r="F363">
            <v>4.99</v>
          </cell>
        </row>
        <row r="364">
          <cell r="B364" t="str">
            <v>CGEN</v>
          </cell>
          <cell r="F364">
            <v>0.6181</v>
          </cell>
        </row>
        <row r="365">
          <cell r="B365" t="str">
            <v>CUE</v>
          </cell>
          <cell r="F365">
            <v>2.255</v>
          </cell>
        </row>
        <row r="366">
          <cell r="B366" t="str">
            <v>WHWK</v>
          </cell>
          <cell r="F366">
            <v>0.6366</v>
          </cell>
        </row>
        <row r="367">
          <cell r="B367" t="str">
            <v>SLGL</v>
          </cell>
          <cell r="F367">
            <v>11.54</v>
          </cell>
        </row>
        <row r="368">
          <cell r="B368" t="str">
            <v>ACOG</v>
          </cell>
          <cell r="F368">
            <v>2.875</v>
          </cell>
        </row>
        <row r="369">
          <cell r="B369" t="str">
            <v>ZNTL</v>
          </cell>
          <cell r="F369">
            <v>1.53</v>
          </cell>
        </row>
        <row r="370">
          <cell r="B370" t="str">
            <v>DTIL</v>
          </cell>
          <cell r="F370">
            <v>65.81</v>
          </cell>
        </row>
        <row r="371">
          <cell r="B371" t="str">
            <v>PEPG</v>
          </cell>
          <cell r="F371">
            <v>8.58</v>
          </cell>
        </row>
        <row r="372">
          <cell r="B372" t="str">
            <v>ORMP</v>
          </cell>
          <cell r="F372">
            <v>4.15</v>
          </cell>
        </row>
        <row r="373">
          <cell r="B373" t="str">
            <v>CMPX</v>
          </cell>
          <cell r="F373">
            <v>4.15</v>
          </cell>
        </row>
        <row r="374">
          <cell r="B374" t="str">
            <v>DERM</v>
          </cell>
          <cell r="F374">
            <v>3.19</v>
          </cell>
        </row>
        <row r="375">
          <cell r="B375" t="str">
            <v>ALXO</v>
          </cell>
          <cell r="F375">
            <v>8.46</v>
          </cell>
        </row>
        <row r="376">
          <cell r="B376" t="str">
            <v>PRQR</v>
          </cell>
          <cell r="F376">
            <v>6.56</v>
          </cell>
        </row>
        <row r="377">
          <cell r="B377" t="str">
            <v>PYXS</v>
          </cell>
          <cell r="F377">
            <v>0.8333</v>
          </cell>
        </row>
        <row r="378">
          <cell r="B378" t="str">
            <v>CNTN</v>
          </cell>
          <cell r="F378">
            <v>1.0</v>
          </cell>
        </row>
        <row r="379">
          <cell r="B379" t="str">
            <v>CURX</v>
          </cell>
          <cell r="F379">
            <v>1.38</v>
          </cell>
        </row>
        <row r="380">
          <cell r="B380" t="str">
            <v>ANTX</v>
          </cell>
          <cell r="F380">
            <v>2.39</v>
          </cell>
        </row>
        <row r="381">
          <cell r="B381" t="str">
            <v>ORGO</v>
          </cell>
          <cell r="F381">
            <v>12.1</v>
          </cell>
        </row>
        <row r="382">
          <cell r="B382" t="str">
            <v>CHRS</v>
          </cell>
          <cell r="F382">
            <v>31.03</v>
          </cell>
        </row>
        <row r="383">
          <cell r="B383" t="str">
            <v>TARA</v>
          </cell>
          <cell r="F383">
            <v>2.82</v>
          </cell>
        </row>
        <row r="384">
          <cell r="B384" t="str">
            <v>NKTX</v>
          </cell>
          <cell r="F384">
            <v>1.86</v>
          </cell>
        </row>
        <row r="385">
          <cell r="B385" t="str">
            <v>NBP</v>
          </cell>
          <cell r="F385">
            <v>1.84</v>
          </cell>
        </row>
        <row r="386">
          <cell r="B386" t="str">
            <v>MDWD</v>
          </cell>
          <cell r="F386">
            <v>1.73</v>
          </cell>
        </row>
        <row r="387">
          <cell r="B387" t="str">
            <v>MENS</v>
          </cell>
          <cell r="F387">
            <v>1.14</v>
          </cell>
        </row>
        <row r="388">
          <cell r="B388" t="str">
            <v>KRSA</v>
          </cell>
          <cell r="F388">
            <v>1.425</v>
          </cell>
        </row>
        <row r="389">
          <cell r="B389" t="str">
            <v>MOLN</v>
          </cell>
          <cell r="F389">
            <v>4.92</v>
          </cell>
        </row>
        <row r="390">
          <cell r="B390" t="str">
            <v>ABOS</v>
          </cell>
          <cell r="F390">
            <v>3.7</v>
          </cell>
        </row>
        <row r="391">
          <cell r="B391" t="str">
            <v>NERV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VYGR</v>
          </cell>
          <cell r="F393">
            <v>2.56</v>
          </cell>
        </row>
        <row r="394">
          <cell r="B394" t="str">
            <v>KRRO</v>
          </cell>
          <cell r="F394">
            <v>7.98</v>
          </cell>
        </row>
        <row r="395">
          <cell r="B395" t="str">
            <v>OTLK</v>
          </cell>
          <cell r="F395">
            <v>1.74</v>
          </cell>
        </row>
        <row r="396">
          <cell r="B396" t="str">
            <v>RNA</v>
          </cell>
          <cell r="F396">
            <v>1.02</v>
          </cell>
        </row>
        <row r="397">
          <cell r="B397" t="str">
            <v>FRNM</v>
          </cell>
          <cell r="F397">
            <v>3.56</v>
          </cell>
        </row>
        <row r="398">
          <cell r="B398" t="str">
            <v>AVXL</v>
          </cell>
          <cell r="F398">
            <v>1.54</v>
          </cell>
        </row>
        <row r="399">
          <cell r="B399" t="str">
            <v>NGEN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TNYA</v>
          </cell>
          <cell r="F401">
            <v>9.44</v>
          </cell>
        </row>
        <row r="402">
          <cell r="B402" t="str">
            <v>SPRB</v>
          </cell>
          <cell r="F402">
            <v>2.015</v>
          </cell>
        </row>
        <row r="403">
          <cell r="B403" t="str">
            <v>CLLS</v>
          </cell>
          <cell r="F403">
            <v>1.36</v>
          </cell>
        </row>
        <row r="404">
          <cell r="B404" t="str">
            <v>TNXP</v>
          </cell>
          <cell r="F404">
            <v>17.04</v>
          </cell>
        </row>
        <row r="405">
          <cell r="B405" t="str">
            <v>HURA</v>
          </cell>
          <cell r="F405">
            <v>0.406</v>
          </cell>
        </row>
        <row r="406">
          <cell r="B406" t="str">
            <v>NRXP</v>
          </cell>
          <cell r="F406">
            <v>0.52</v>
          </cell>
        </row>
        <row r="407">
          <cell r="B407" t="str">
            <v>CRDL</v>
          </cell>
          <cell r="F407">
            <v>2.19</v>
          </cell>
        </row>
        <row r="408">
          <cell r="B408" t="str">
            <v>VTVT</v>
          </cell>
          <cell r="F408">
            <v>41.23</v>
          </cell>
        </row>
        <row r="409">
          <cell r="B409" t="str">
            <v>NRSN</v>
          </cell>
          <cell r="F409">
            <v>2.62</v>
          </cell>
        </row>
        <row r="410">
          <cell r="B410" t="str">
            <v>INO</v>
          </cell>
          <cell r="F410">
            <v>2.53</v>
          </cell>
        </row>
        <row r="411">
          <cell r="B411" t="str">
            <v>FHTX</v>
          </cell>
          <cell r="F411">
            <v>1.76</v>
          </cell>
        </row>
        <row r="412">
          <cell r="B412" t="str">
            <v>CBUS</v>
          </cell>
          <cell r="F412">
            <v>1.67</v>
          </cell>
        </row>
        <row r="413">
          <cell r="B413" t="str">
            <v>COYA</v>
          </cell>
          <cell r="F413">
            <v>1.15</v>
          </cell>
        </row>
        <row r="414">
          <cell r="B414" t="str">
            <v>ENGN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MSLE</v>
          </cell>
          <cell r="F416">
            <v>5.15</v>
          </cell>
        </row>
        <row r="417">
          <cell r="B417" t="str">
            <v>IFRX</v>
          </cell>
          <cell r="F417">
            <v>7.96</v>
          </cell>
        </row>
        <row r="418">
          <cell r="B418" t="str">
            <v>LENZ</v>
          </cell>
          <cell r="F418">
            <v>7.0</v>
          </cell>
        </row>
        <row r="419">
          <cell r="B419" t="str">
            <v>UNCY</v>
          </cell>
          <cell r="F419">
            <v>27.845</v>
          </cell>
        </row>
        <row r="420">
          <cell r="B420" t="str">
            <v>QUCY</v>
          </cell>
          <cell r="F420">
            <v>14.06</v>
          </cell>
        </row>
        <row r="421">
          <cell r="B421" t="str">
            <v>HUMA</v>
          </cell>
          <cell r="F421">
            <v>0.99</v>
          </cell>
        </row>
        <row r="422">
          <cell r="B422" t="str">
            <v>IMUX</v>
          </cell>
          <cell r="F422">
            <v>1.54</v>
          </cell>
        </row>
        <row r="423">
          <cell r="B423" t="str">
            <v>RANI</v>
          </cell>
          <cell r="F423">
            <v>5.78</v>
          </cell>
        </row>
        <row r="424">
          <cell r="B424" t="str">
            <v>IMDX</v>
          </cell>
          <cell r="F424">
            <v>3.19</v>
          </cell>
        </row>
        <row r="425">
          <cell r="B425" t="str">
            <v>CNXU</v>
          </cell>
          <cell r="F425">
            <v>1.01</v>
          </cell>
        </row>
        <row r="426">
          <cell r="B426" t="str">
            <v>CPIX</v>
          </cell>
          <cell r="F426">
            <v>4.21</v>
          </cell>
        </row>
        <row r="427">
          <cell r="B427" t="str">
            <v>BDTX</v>
          </cell>
          <cell r="F427">
            <v>1.39</v>
          </cell>
        </row>
        <row r="428">
          <cell r="B428" t="str">
            <v>AARD</v>
          </cell>
          <cell r="F428">
            <v>3.03</v>
          </cell>
        </row>
        <row r="429">
          <cell r="B429" t="str">
            <v>CRBP</v>
          </cell>
          <cell r="F429">
            <v>2.39</v>
          </cell>
        </row>
        <row r="430">
          <cell r="B430" t="str">
            <v>BMEA</v>
          </cell>
          <cell r="F430">
            <v>2.07</v>
          </cell>
        </row>
        <row r="431">
          <cell r="B431" t="str">
            <v>ANIX</v>
          </cell>
          <cell r="F431">
            <v>10.45</v>
          </cell>
        </row>
        <row r="432">
          <cell r="B432" t="str">
            <v>PLYX</v>
          </cell>
          <cell r="F432">
            <v>2.5</v>
          </cell>
        </row>
        <row r="433">
          <cell r="B433" t="str">
            <v>OKUR</v>
          </cell>
          <cell r="F433">
            <v>9.16</v>
          </cell>
        </row>
        <row r="434">
          <cell r="B434" t="str">
            <v>MIST</v>
          </cell>
          <cell r="F434">
            <v>7.41</v>
          </cell>
        </row>
        <row r="435">
          <cell r="B435" t="str">
            <v>ATRA</v>
          </cell>
          <cell r="F435">
            <v>1.91</v>
          </cell>
        </row>
        <row r="436">
          <cell r="B436" t="str">
            <v>ALP</v>
          </cell>
          <cell r="F436">
            <v>3.8</v>
          </cell>
        </row>
        <row r="437">
          <cell r="B437" t="str">
            <v>PYPD</v>
          </cell>
          <cell r="F437">
            <v>2.68</v>
          </cell>
        </row>
        <row r="438">
          <cell r="B438" t="str">
            <v>RLYB</v>
          </cell>
          <cell r="F438">
            <v>1.07</v>
          </cell>
        </row>
        <row r="439">
          <cell r="B439" t="str">
            <v>EQ</v>
          </cell>
          <cell r="F439">
            <v>0.41</v>
          </cell>
        </row>
        <row r="440">
          <cell r="B440" t="str">
            <v>NMRA</v>
          </cell>
          <cell r="F440">
            <v>0.6528</v>
          </cell>
        </row>
        <row r="441">
          <cell r="B441" t="str">
            <v>ICCC</v>
          </cell>
          <cell r="F441">
            <v>16.38</v>
          </cell>
        </row>
        <row r="442">
          <cell r="B442" t="str">
            <v>PMN</v>
          </cell>
          <cell r="F442">
            <v>0.465</v>
          </cell>
        </row>
        <row r="443">
          <cell r="B443" t="str">
            <v>CRDF</v>
          </cell>
          <cell r="F443">
            <v>0.7185</v>
          </cell>
        </row>
        <row r="444">
          <cell r="B444" t="str">
            <v>CGTX</v>
          </cell>
          <cell r="F444">
            <v>4.42</v>
          </cell>
        </row>
        <row r="445">
          <cell r="B445" t="str">
            <v>RFL</v>
          </cell>
          <cell r="F445">
            <v>2.99</v>
          </cell>
        </row>
        <row r="446">
          <cell r="B446" t="str">
            <v>LEXX</v>
          </cell>
          <cell r="F446">
            <v>2.36</v>
          </cell>
        </row>
        <row r="447">
          <cell r="B447" t="str">
            <v>ZYBT</v>
          </cell>
          <cell r="F447">
            <v>3.9</v>
          </cell>
        </row>
        <row r="448">
          <cell r="B448" t="str">
            <v>ACRV</v>
          </cell>
          <cell r="F448">
            <v>3.38</v>
          </cell>
        </row>
        <row r="449">
          <cell r="B449" t="str">
            <v>PMVP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LGVN</v>
          </cell>
          <cell r="F451">
            <v>1.38</v>
          </cell>
        </row>
        <row r="452">
          <cell r="B452" t="str">
            <v>PTHS</v>
          </cell>
          <cell r="F452">
            <v>1.37</v>
          </cell>
        </row>
        <row r="453">
          <cell r="B453" t="str">
            <v>CTOR</v>
          </cell>
          <cell r="F453">
            <v>8.09</v>
          </cell>
        </row>
        <row r="454">
          <cell r="B454" t="str">
            <v>SDEV</v>
          </cell>
          <cell r="F454">
            <v>1.01</v>
          </cell>
        </row>
        <row r="455">
          <cell r="B455" t="str">
            <v>PDSB</v>
          </cell>
          <cell r="F455">
            <v>1.31</v>
          </cell>
        </row>
        <row r="456">
          <cell r="B456" t="str">
            <v>HRTX</v>
          </cell>
          <cell r="F456">
            <v>0.671</v>
          </cell>
        </row>
        <row r="457">
          <cell r="B457" t="str">
            <v>TELO</v>
          </cell>
          <cell r="F457">
            <v>2.65</v>
          </cell>
        </row>
        <row r="458">
          <cell r="B458" t="str">
            <v>MNOV</v>
          </cell>
          <cell r="F458">
            <v>1.795</v>
          </cell>
        </row>
        <row r="459">
          <cell r="B459" t="str">
            <v>OSTX</v>
          </cell>
          <cell r="F459">
            <v>0.9315</v>
          </cell>
        </row>
        <row r="460">
          <cell r="B460" t="str">
            <v>OKYO</v>
          </cell>
          <cell r="F460">
            <v>2.77</v>
          </cell>
        </row>
        <row r="461">
          <cell r="B461" t="str">
            <v>MAIA</v>
          </cell>
          <cell r="F461">
            <v>1.36</v>
          </cell>
        </row>
        <row r="462">
          <cell r="B462" t="str">
            <v>NMAD</v>
          </cell>
          <cell r="F462">
            <v>0.7338</v>
          </cell>
        </row>
        <row r="463">
          <cell r="B463" t="str">
            <v>NTHI</v>
          </cell>
          <cell r="F463">
            <v>0.3545</v>
          </cell>
        </row>
        <row r="464">
          <cell r="B464" t="str">
            <v>GANX</v>
          </cell>
          <cell r="F464">
            <v>1.12</v>
          </cell>
        </row>
        <row r="465">
          <cell r="B465" t="str">
            <v>FBIO</v>
          </cell>
          <cell r="F465">
            <v>1.49</v>
          </cell>
        </row>
        <row r="466">
          <cell r="B466" t="str">
            <v>CING</v>
          </cell>
          <cell r="F466">
            <v>1.22</v>
          </cell>
        </row>
        <row r="467">
          <cell r="B467" t="str">
            <v>ONCY</v>
          </cell>
          <cell r="F467">
            <v>1.27</v>
          </cell>
        </row>
        <row r="468">
          <cell r="B468" t="str">
            <v>VRCA</v>
          </cell>
          <cell r="F468">
            <v>1.39</v>
          </cell>
        </row>
        <row r="469">
          <cell r="B469" t="str">
            <v>TENX</v>
          </cell>
          <cell r="F469">
            <v>2.02</v>
          </cell>
        </row>
        <row r="470">
          <cell r="B470" t="str">
            <v>SPRO</v>
          </cell>
          <cell r="F470">
            <v>0.4986</v>
          </cell>
        </row>
        <row r="471">
          <cell r="B471" t="str">
            <v>XBIT</v>
          </cell>
          <cell r="F471">
            <v>4.53</v>
          </cell>
        </row>
        <row r="472">
          <cell r="B472" t="str">
            <v>RNTX</v>
          </cell>
          <cell r="F472">
            <v>0.9605</v>
          </cell>
        </row>
        <row r="473">
          <cell r="B473" t="str">
            <v>PLRX</v>
          </cell>
          <cell r="F473">
            <v>3.72</v>
          </cell>
        </row>
        <row r="474">
          <cell r="B474" t="str">
            <v>ENLV</v>
          </cell>
          <cell r="F474">
            <v>1.94</v>
          </cell>
        </row>
        <row r="475">
          <cell r="B475" t="str">
            <v>SKYE</v>
          </cell>
          <cell r="F475">
            <v>3.47</v>
          </cell>
        </row>
        <row r="476">
          <cell r="B476" t="str">
            <v>XLO</v>
          </cell>
          <cell r="F476">
            <v>0.7356</v>
          </cell>
        </row>
        <row r="477">
          <cell r="B477" t="str">
            <v>RNXT</v>
          </cell>
          <cell r="F477">
            <v>1.19</v>
          </cell>
        </row>
        <row r="478">
          <cell r="B478" t="str">
            <v>BOLD</v>
          </cell>
          <cell r="F478">
            <v>0.8752</v>
          </cell>
        </row>
        <row r="479">
          <cell r="B479" t="str">
            <v>ATHE</v>
          </cell>
          <cell r="F479">
            <v>0.33</v>
          </cell>
        </row>
        <row r="480">
          <cell r="B480" t="str">
            <v>KLRS</v>
          </cell>
          <cell r="F480">
            <v>8.54</v>
          </cell>
        </row>
        <row r="481">
          <cell r="B481" t="str">
            <v>TLPH</v>
          </cell>
          <cell r="F481">
            <v>0.9124</v>
          </cell>
        </row>
        <row r="482">
          <cell r="B482" t="str">
            <v>IBIO</v>
          </cell>
          <cell r="F482">
            <v>1.07</v>
          </cell>
        </row>
        <row r="483">
          <cell r="B483" t="str">
            <v>MREO</v>
          </cell>
          <cell r="F483">
            <v>1.62</v>
          </cell>
        </row>
        <row r="484">
          <cell r="B484" t="str">
            <v>ALDX</v>
          </cell>
          <cell r="F484">
            <v>0.5951</v>
          </cell>
        </row>
        <row r="485">
          <cell r="B485" t="str">
            <v>CNTB</v>
          </cell>
          <cell r="F485">
            <v>1.2</v>
          </cell>
        </row>
        <row r="486">
          <cell r="B486" t="str">
            <v>INKT</v>
          </cell>
          <cell r="F486">
            <v>20.21</v>
          </cell>
        </row>
        <row r="487">
          <cell r="B487" t="str">
            <v>LONA</v>
          </cell>
          <cell r="F487">
            <v>2.43</v>
          </cell>
        </row>
        <row r="488">
          <cell r="B488" t="str">
            <v>HYPD</v>
          </cell>
          <cell r="F488">
            <v>2.07</v>
          </cell>
        </row>
        <row r="489">
          <cell r="B489" t="str">
            <v>YARW</v>
          </cell>
          <cell r="F489">
            <v>1.63</v>
          </cell>
        </row>
        <row r="490">
          <cell r="B490" t="str">
            <v>ACET</v>
          </cell>
          <cell r="F490">
            <v>9.86</v>
          </cell>
        </row>
        <row r="491">
          <cell r="B491" t="str">
            <v>INMB</v>
          </cell>
          <cell r="F491">
            <v>0.519</v>
          </cell>
        </row>
        <row r="492">
          <cell r="B492" t="str">
            <v>ANVS</v>
          </cell>
          <cell r="F492">
            <v>5.27</v>
          </cell>
        </row>
        <row r="493">
          <cell r="B493" t="str">
            <v>SER</v>
          </cell>
          <cell r="F493">
            <v>2.37</v>
          </cell>
        </row>
        <row r="494">
          <cell r="B494" t="str">
            <v>CELU</v>
          </cell>
          <cell r="F494">
            <v>0.821</v>
          </cell>
        </row>
        <row r="495">
          <cell r="B495" t="str">
            <v>ELTX</v>
          </cell>
          <cell r="F495">
            <v>2.975</v>
          </cell>
        </row>
        <row r="496">
          <cell r="B496" t="str">
            <v>CLNN</v>
          </cell>
          <cell r="F496">
            <v>0.2237</v>
          </cell>
        </row>
        <row r="497">
          <cell r="B497" t="str">
            <v>CRBU</v>
          </cell>
          <cell r="F497">
            <v>0.2951</v>
          </cell>
        </row>
        <row r="498">
          <cell r="B498" t="str">
            <v>EXOZ</v>
          </cell>
          <cell r="F498">
            <v>1.05</v>
          </cell>
        </row>
        <row r="499">
          <cell r="B499" t="str">
            <v>CRVO</v>
          </cell>
          <cell r="F499">
            <v>3.88</v>
          </cell>
        </row>
        <row r="500">
          <cell r="B500" t="str">
            <v>BRTX</v>
          </cell>
          <cell r="F500">
            <v>1.57</v>
          </cell>
        </row>
        <row r="501">
          <cell r="B501" t="str">
            <v>IMA</v>
          </cell>
          <cell r="F501">
            <v>22.0481</v>
          </cell>
        </row>
        <row r="502">
          <cell r="B502" t="str">
            <v>HOWL</v>
          </cell>
          <cell r="F502">
            <v>6.43</v>
          </cell>
        </row>
        <row r="503">
          <cell r="B503" t="str">
            <v>DWTX</v>
          </cell>
          <cell r="F503">
            <v>1.6</v>
          </cell>
        </row>
        <row r="504">
          <cell r="B504" t="str">
            <v>VBIO</v>
          </cell>
          <cell r="F504">
            <v>4.13</v>
          </cell>
        </row>
        <row r="505">
          <cell r="B505" t="str">
            <v>TIL</v>
          </cell>
          <cell r="F505">
            <v>1.66</v>
          </cell>
        </row>
        <row r="506">
          <cell r="B506" t="str">
            <v>CLGN</v>
          </cell>
          <cell r="F506">
            <v>0.8935</v>
          </cell>
        </row>
        <row r="507">
          <cell r="B507" t="str">
            <v>LNAI</v>
          </cell>
          <cell r="F507">
            <v>1.5</v>
          </cell>
        </row>
        <row r="508">
          <cell r="B508" t="str">
            <v>TVGN</v>
          </cell>
          <cell r="F508">
            <v>4.52</v>
          </cell>
        </row>
        <row r="509">
          <cell r="B509" t="str">
            <v>BSEM</v>
          </cell>
          <cell r="F509">
            <v>0.9932</v>
          </cell>
        </row>
        <row r="510">
          <cell r="B510" t="str">
            <v>GRCE</v>
          </cell>
          <cell r="F510">
            <v>0.6651</v>
          </cell>
        </row>
        <row r="511">
          <cell r="B511" t="str">
            <v>CALC</v>
          </cell>
          <cell r="F511">
            <v>1.15</v>
          </cell>
        </row>
        <row r="512">
          <cell r="B512" t="str">
            <v>MTNB</v>
          </cell>
          <cell r="F512">
            <v>1.26</v>
          </cell>
        </row>
        <row r="513">
          <cell r="B513" t="str">
            <v>VERU</v>
          </cell>
          <cell r="F513">
            <v>5.94</v>
          </cell>
        </row>
        <row r="514">
          <cell r="B514" t="str">
            <v>BTMD</v>
          </cell>
          <cell r="F514">
            <v>3.73</v>
          </cell>
        </row>
        <row r="515">
          <cell r="B515" t="str">
            <v>SCYX</v>
          </cell>
          <cell r="F515">
            <v>1.98</v>
          </cell>
        </row>
        <row r="516">
          <cell r="B516" t="str">
            <v>FLNA</v>
          </cell>
          <cell r="F516">
            <v>2.38</v>
          </cell>
        </row>
        <row r="517">
          <cell r="B517" t="str">
            <v>IXHL</v>
          </cell>
          <cell r="F517">
            <v>1.07</v>
          </cell>
        </row>
        <row r="518">
          <cell r="B518" t="str">
            <v>LITS</v>
          </cell>
          <cell r="F518">
            <v>1.56</v>
          </cell>
        </row>
        <row r="519">
          <cell r="B519" t="str">
            <v>BIAF</v>
          </cell>
          <cell r="F519">
            <v>4.12</v>
          </cell>
        </row>
        <row r="520">
          <cell r="B520" t="str">
            <v>MGX</v>
          </cell>
          <cell r="F520">
            <v>1.64</v>
          </cell>
        </row>
        <row r="521">
          <cell r="B521" t="str">
            <v>CPHI</v>
          </cell>
          <cell r="F521">
            <v>3.8</v>
          </cell>
        </row>
        <row r="522">
          <cell r="B522" t="str">
            <v>ELUT</v>
          </cell>
          <cell r="F522">
            <v>1.7</v>
          </cell>
        </row>
        <row r="523">
          <cell r="B523" t="str">
            <v>FFR</v>
          </cell>
          <cell r="F523">
            <v>1.065</v>
          </cell>
        </row>
        <row r="524">
          <cell r="B524" t="str">
            <v>GRDX</v>
          </cell>
          <cell r="F524">
            <v>2.78</v>
          </cell>
        </row>
        <row r="525">
          <cell r="B525" t="str">
            <v>ATNM</v>
          </cell>
          <cell r="F525">
            <v>1.5</v>
          </cell>
        </row>
        <row r="526">
          <cell r="B526" t="str">
            <v>CVM</v>
          </cell>
          <cell r="F526">
            <v>0.8105</v>
          </cell>
        </row>
        <row r="527">
          <cell r="B527" t="str">
            <v>BCTX</v>
          </cell>
          <cell r="F527">
            <v>1.19</v>
          </cell>
        </row>
        <row r="528">
          <cell r="B528" t="str">
            <v>EDSA</v>
          </cell>
          <cell r="F528">
            <v>0.6885</v>
          </cell>
        </row>
        <row r="529">
          <cell r="B529" t="str">
            <v>ALGS</v>
          </cell>
          <cell r="F529">
            <v>2.29</v>
          </cell>
        </row>
        <row r="530">
          <cell r="B530" t="str">
            <v>NNVC</v>
          </cell>
          <cell r="F530">
            <v>1.395</v>
          </cell>
        </row>
        <row r="531">
          <cell r="B531" t="str">
            <v>NXTC</v>
          </cell>
          <cell r="F531">
            <v>40.27</v>
          </cell>
        </row>
        <row r="532">
          <cell r="B532" t="str">
            <v>QNCX</v>
          </cell>
          <cell r="F532">
            <v>3.66</v>
          </cell>
        </row>
        <row r="533">
          <cell r="B533" t="str">
            <v>NSRX</v>
          </cell>
          <cell r="F533">
            <v>1.56</v>
          </cell>
        </row>
        <row r="534">
          <cell r="B534" t="str">
            <v>RNAZ</v>
          </cell>
          <cell r="F534">
            <v>5.03</v>
          </cell>
        </row>
        <row r="535">
          <cell r="B535" t="str">
            <v>MIRA</v>
          </cell>
          <cell r="F535">
            <v>4.63</v>
          </cell>
        </row>
        <row r="536">
          <cell r="B536" t="str">
            <v>MDXH</v>
          </cell>
          <cell r="F536">
            <v>0.8313</v>
          </cell>
        </row>
        <row r="537">
          <cell r="B537" t="str">
            <v>IGC</v>
          </cell>
          <cell r="F537">
            <v>3.46</v>
          </cell>
        </row>
        <row r="538">
          <cell r="B538" t="str">
            <v>CNTX</v>
          </cell>
          <cell r="F538">
            <v>0.7243</v>
          </cell>
        </row>
        <row r="539">
          <cell r="B539" t="str">
            <v>MCRB</v>
          </cell>
          <cell r="F539">
            <v>2.54</v>
          </cell>
        </row>
        <row r="540">
          <cell r="B540" t="str">
            <v>ABVC</v>
          </cell>
          <cell r="F540">
            <v>1.66</v>
          </cell>
        </row>
        <row r="541">
          <cell r="B541" t="str">
            <v>EVAX</v>
          </cell>
          <cell r="F541">
            <v>5.44</v>
          </cell>
        </row>
        <row r="542">
          <cell r="B542" t="str">
            <v>SHPH</v>
          </cell>
          <cell r="F542">
            <v>3.24</v>
          </cell>
        </row>
        <row r="543">
          <cell r="B543" t="str">
            <v>BYSI</v>
          </cell>
          <cell r="F543">
            <v>0.6501</v>
          </cell>
        </row>
        <row r="544">
          <cell r="B544" t="str">
            <v>SCLX</v>
          </cell>
          <cell r="F544">
            <v>4.91</v>
          </cell>
        </row>
        <row r="545">
          <cell r="B545" t="str">
            <v>JAGX</v>
          </cell>
          <cell r="F545">
            <v>0.245</v>
          </cell>
        </row>
        <row r="546">
          <cell r="B546" t="str">
            <v>KYNB</v>
          </cell>
          <cell r="F546">
            <v>1.19</v>
          </cell>
        </row>
        <row r="547">
          <cell r="B547" t="str">
            <v>ATOS</v>
          </cell>
          <cell r="F547">
            <v>2.31</v>
          </cell>
        </row>
        <row r="548">
          <cell r="B548" t="str">
            <v>ATYR</v>
          </cell>
          <cell r="F548">
            <v>2.82</v>
          </cell>
        </row>
        <row r="549">
          <cell r="B549" t="str">
            <v>TXMD</v>
          </cell>
          <cell r="F549">
            <v>0.515</v>
          </cell>
        </row>
        <row r="550">
          <cell r="B550" t="str">
            <v>AYTU</v>
          </cell>
          <cell r="F550">
            <v>0.93</v>
          </cell>
        </row>
        <row r="551">
          <cell r="B551" t="str">
            <v>COCP</v>
          </cell>
          <cell r="F551">
            <v>2.53</v>
          </cell>
        </row>
        <row r="552">
          <cell r="B552" t="str">
            <v>KAPA</v>
          </cell>
          <cell r="F552">
            <v>1.08</v>
          </cell>
        </row>
        <row r="553">
          <cell r="B553" t="str">
            <v>JSPR</v>
          </cell>
          <cell r="F553">
            <v>4.05</v>
          </cell>
        </row>
        <row r="554">
          <cell r="B554" t="str">
            <v>GNTA</v>
          </cell>
          <cell r="F554">
            <v>0.5227</v>
          </cell>
        </row>
        <row r="555">
          <cell r="B555" t="str">
            <v>NEUP</v>
          </cell>
          <cell r="F555">
            <v>0.2438</v>
          </cell>
        </row>
        <row r="556">
          <cell r="B556" t="str">
            <v>ESLA</v>
          </cell>
          <cell r="F556">
            <v>1.88</v>
          </cell>
        </row>
        <row r="557">
          <cell r="B557" t="str">
            <v>AKTX</v>
          </cell>
          <cell r="F557">
            <v>5.28</v>
          </cell>
        </row>
        <row r="558">
          <cell r="B558" t="str">
            <v>MRKR</v>
          </cell>
          <cell r="F558">
            <v>2.01</v>
          </cell>
        </row>
        <row r="559">
          <cell r="B559" t="str">
            <v>DYAI</v>
          </cell>
          <cell r="F559">
            <v>0.9429</v>
          </cell>
        </row>
        <row r="560">
          <cell r="B560" t="str">
            <v>RKTO</v>
          </cell>
          <cell r="F560">
            <v>0.4</v>
          </cell>
        </row>
        <row r="561">
          <cell r="B561" t="str">
            <v>TCRX</v>
          </cell>
          <cell r="F561">
            <v>2.63</v>
          </cell>
        </row>
        <row r="562">
          <cell r="B562" t="str">
            <v>ALLR</v>
          </cell>
          <cell r="F562">
            <v>1.94</v>
          </cell>
        </row>
        <row r="563">
          <cell r="B563" t="str">
            <v>BCDA</v>
          </cell>
          <cell r="F563">
            <v>3.39</v>
          </cell>
        </row>
        <row r="564">
          <cell r="B564" t="str">
            <v>KTTA</v>
          </cell>
          <cell r="F564">
            <v>1.16</v>
          </cell>
        </row>
        <row r="565">
          <cell r="B565" t="str">
            <v>PTN</v>
          </cell>
          <cell r="F565">
            <v>0.1733</v>
          </cell>
        </row>
        <row r="566">
          <cell r="B566" t="str">
            <v>ARTL</v>
          </cell>
          <cell r="F566">
            <v>9.29</v>
          </cell>
        </row>
        <row r="567">
          <cell r="B567" t="str">
            <v>HIND</v>
          </cell>
          <cell r="F567">
            <v>0.4999</v>
          </cell>
        </row>
        <row r="568">
          <cell r="B568" t="str">
            <v>ACTU</v>
          </cell>
          <cell r="F568">
            <v>0.5837</v>
          </cell>
        </row>
        <row r="569">
          <cell r="B569" t="str">
            <v>CNSY</v>
          </cell>
          <cell r="F569">
            <v>0.615</v>
          </cell>
        </row>
        <row r="570">
          <cell r="B570" t="str">
            <v>NCEL</v>
          </cell>
          <cell r="F570">
            <v>0.224</v>
          </cell>
        </row>
        <row r="571">
          <cell r="B571" t="str">
            <v>KZIA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BFRI</v>
          </cell>
          <cell r="F573">
            <v>0.6161</v>
          </cell>
        </row>
        <row r="574">
          <cell r="B574" t="str">
            <v>LPCN</v>
          </cell>
          <cell r="F574">
            <v>0.8758</v>
          </cell>
        </row>
        <row r="575">
          <cell r="B575" t="str">
            <v>AEON</v>
          </cell>
          <cell r="F575">
            <v>0.41</v>
          </cell>
        </row>
        <row r="576">
          <cell r="B576" t="str">
            <v>TVRD</v>
          </cell>
          <cell r="F576">
            <v>1.04</v>
          </cell>
        </row>
        <row r="577">
          <cell r="B577" t="str">
            <v>KPTI</v>
          </cell>
          <cell r="F577">
            <v>1.62</v>
          </cell>
        </row>
        <row r="578">
          <cell r="B578" t="str">
            <v>CTXR</v>
          </cell>
          <cell r="F578">
            <v>2.61</v>
          </cell>
        </row>
        <row r="579">
          <cell r="B579" t="str">
            <v>CLRB</v>
          </cell>
          <cell r="F579">
            <v>0.992</v>
          </cell>
        </row>
        <row r="580">
          <cell r="B580" t="str">
            <v>INAB</v>
          </cell>
          <cell r="F580">
            <v>0.5311</v>
          </cell>
        </row>
        <row r="581">
          <cell r="B581" t="str">
            <v>TPST</v>
          </cell>
          <cell r="F581">
            <v>1.84</v>
          </cell>
        </row>
        <row r="582">
          <cell r="B582" t="str">
            <v>PASG</v>
          </cell>
          <cell r="F582">
            <v>1.68</v>
          </cell>
        </row>
        <row r="583">
          <cell r="B583" t="str">
            <v>INTS</v>
          </cell>
          <cell r="F583">
            <v>0.4175</v>
          </cell>
        </row>
        <row r="584">
          <cell r="B584" t="str">
            <v>DARE</v>
          </cell>
          <cell r="F584">
            <v>2.62</v>
          </cell>
        </row>
        <row r="585">
          <cell r="B585" t="str">
            <v>PLUR</v>
          </cell>
          <cell r="F585">
            <v>0.804</v>
          </cell>
        </row>
        <row r="586">
          <cell r="B586" t="str">
            <v>ASBP</v>
          </cell>
          <cell r="F586">
            <v>0.2315</v>
          </cell>
        </row>
        <row r="587">
          <cell r="B587" t="str">
            <v>QNTM</v>
          </cell>
          <cell r="F587">
            <v>8.72</v>
          </cell>
        </row>
        <row r="588">
          <cell r="B588" t="str">
            <v>PBM</v>
          </cell>
          <cell r="F588">
            <v>7.88</v>
          </cell>
        </row>
        <row r="589">
          <cell r="B589" t="str">
            <v>PHIO</v>
          </cell>
          <cell r="F589">
            <v>0.4986</v>
          </cell>
        </row>
        <row r="590">
          <cell r="B590" t="str">
            <v>KPRX</v>
          </cell>
          <cell r="F590">
            <v>5.52</v>
          </cell>
        </row>
        <row r="591">
          <cell r="B591" t="str">
            <v>GDTC</v>
          </cell>
          <cell r="F591">
            <v>3.6</v>
          </cell>
        </row>
        <row r="592">
          <cell r="B592" t="str">
            <v>BIVI</v>
          </cell>
          <cell r="F592">
            <v>0.689</v>
          </cell>
        </row>
        <row r="593">
          <cell r="B593" t="str">
            <v>VTGN</v>
          </cell>
          <cell r="F593">
            <v>0.9</v>
          </cell>
        </row>
        <row r="594">
          <cell r="B594" t="str">
            <v>LTRN</v>
          </cell>
          <cell r="F594">
            <v>1.14</v>
          </cell>
        </row>
        <row r="595">
          <cell r="B595" t="str">
            <v>ENSC</v>
          </cell>
          <cell r="F595">
            <v>3.28</v>
          </cell>
        </row>
        <row r="596">
          <cell r="B596" t="str">
            <v>ADIL</v>
          </cell>
          <cell r="F596">
            <v>1.23</v>
          </cell>
        </row>
        <row r="597">
          <cell r="B597" t="str">
            <v>TOVX</v>
          </cell>
          <cell r="F597">
            <v>2.33</v>
          </cell>
        </row>
        <row r="598">
          <cell r="B598" t="str">
            <v>CMMB</v>
          </cell>
          <cell r="F598">
            <v>0.1944</v>
          </cell>
        </row>
        <row r="599">
          <cell r="B599" t="str">
            <v>SNTI</v>
          </cell>
          <cell r="F599">
            <v>2.43</v>
          </cell>
        </row>
        <row r="600">
          <cell r="B600" t="str">
            <v>LSTA</v>
          </cell>
          <cell r="F600">
            <v>0.8715</v>
          </cell>
        </row>
        <row r="601">
          <cell r="B601" t="str">
            <v>IMCC</v>
          </cell>
          <cell r="F601">
            <v>0.8921</v>
          </cell>
        </row>
        <row r="602">
          <cell r="B602" t="str">
            <v>MTVA</v>
          </cell>
          <cell r="F602">
            <v>0.5762</v>
          </cell>
        </row>
        <row r="603">
          <cell r="B603" t="str">
            <v>IMRN</v>
          </cell>
          <cell r="F603">
            <v>4.24</v>
          </cell>
        </row>
        <row r="604">
          <cell r="B604" t="str">
            <v>MBRX</v>
          </cell>
          <cell r="F604">
            <v>0.2047</v>
          </cell>
        </row>
        <row r="605">
          <cell r="B605" t="str">
            <v>RGNT</v>
          </cell>
          <cell r="F605">
            <v>1.04</v>
          </cell>
        </row>
        <row r="606">
          <cell r="B606" t="str">
            <v>BOLT</v>
          </cell>
          <cell r="F606">
            <v>1.18</v>
          </cell>
        </row>
        <row r="607">
          <cell r="B607" t="str">
            <v>SNGX</v>
          </cell>
          <cell r="F607">
            <v>3.82</v>
          </cell>
        </row>
        <row r="608">
          <cell r="B608" t="str">
            <v>AZTR</v>
          </cell>
          <cell r="F608">
            <v>1.29</v>
          </cell>
        </row>
        <row r="609">
          <cell r="B609" t="str">
            <v>CNSP</v>
          </cell>
          <cell r="F609">
            <v>0.1978</v>
          </cell>
        </row>
        <row r="610">
          <cell r="B610" t="str">
            <v>HLSQ</v>
          </cell>
          <cell r="F610">
            <v>0.3586</v>
          </cell>
        </row>
        <row r="611">
          <cell r="B611" t="str">
            <v>APRE</v>
          </cell>
          <cell r="F611">
            <v>0.6564</v>
          </cell>
        </row>
        <row r="612">
          <cell r="B612" t="str">
            <v>APUS</v>
          </cell>
          <cell r="F612">
            <v>1.37</v>
          </cell>
        </row>
        <row r="613">
          <cell r="B613" t="str">
            <v>FBLG</v>
          </cell>
          <cell r="F613">
            <v>1.4</v>
          </cell>
        </row>
        <row r="614">
          <cell r="B614" t="str">
            <v>INM</v>
          </cell>
          <cell r="F614">
            <v>4.31</v>
          </cell>
        </row>
        <row r="615">
          <cell r="B615" t="str">
            <v>XCUR</v>
          </cell>
          <cell r="F615">
            <v>1.47</v>
          </cell>
        </row>
        <row r="616">
          <cell r="B616" t="str">
            <v>TRAW</v>
          </cell>
          <cell r="F616">
            <v>0.9564</v>
          </cell>
        </row>
        <row r="617">
          <cell r="B617" t="str">
            <v>ACXP</v>
          </cell>
          <cell r="F617">
            <v>0.3546</v>
          </cell>
        </row>
        <row r="618">
          <cell r="B618" t="str">
            <v>ENVB</v>
          </cell>
          <cell r="F618">
            <v>0.5612</v>
          </cell>
        </row>
        <row r="619">
          <cell r="B619" t="str">
            <v>ALZN</v>
          </cell>
          <cell r="F619">
            <v>1.34</v>
          </cell>
        </row>
        <row r="620">
          <cell r="B620" t="str">
            <v>IMNN</v>
          </cell>
          <cell r="F620">
            <v>0.9987</v>
          </cell>
        </row>
        <row r="621">
          <cell r="B621" t="str">
            <v>SNOA</v>
          </cell>
          <cell r="F621">
            <v>4.99</v>
          </cell>
        </row>
        <row r="622">
          <cell r="B622" t="str">
            <v>MDCX</v>
          </cell>
          <cell r="F622">
            <v>0.2277</v>
          </cell>
        </row>
        <row r="623">
          <cell r="B623" t="str">
            <v>KALA</v>
          </cell>
          <cell r="F623">
            <v>2.97</v>
          </cell>
        </row>
        <row r="624">
          <cell r="B624" t="str">
            <v>BGMS</v>
          </cell>
          <cell r="F624">
            <v>0.9199</v>
          </cell>
        </row>
        <row r="625">
          <cell r="B625" t="str">
            <v>GELS</v>
          </cell>
          <cell r="F625">
            <v>1.3</v>
          </cell>
        </row>
        <row r="626">
          <cell r="B626" t="str">
            <v>CDIO</v>
          </cell>
          <cell r="F626">
            <v>0.3767</v>
          </cell>
        </row>
        <row r="627">
          <cell r="B627" t="str">
            <v>CELZ</v>
          </cell>
          <cell r="F627">
            <v>1.44</v>
          </cell>
        </row>
        <row r="628">
          <cell r="B628" t="str">
            <v>AIM</v>
          </cell>
          <cell r="F628">
            <v>0.94</v>
          </cell>
        </row>
        <row r="629">
          <cell r="B629" t="str">
            <v>AQB</v>
          </cell>
          <cell r="F629">
            <v>3.41</v>
          </cell>
        </row>
        <row r="630">
          <cell r="B630" t="str">
            <v>PULM</v>
          </cell>
          <cell r="F630">
            <v>0.2323</v>
          </cell>
        </row>
        <row r="631">
          <cell r="B631" t="str">
            <v>QCLS</v>
          </cell>
          <cell r="F631">
            <v>1.14</v>
          </cell>
        </row>
        <row r="632">
          <cell r="B632" t="str">
            <v>XBIO</v>
          </cell>
          <cell r="F632">
            <v>1.005</v>
          </cell>
        </row>
        <row r="633">
          <cell r="B633" t="str">
            <v>NCNA</v>
          </cell>
          <cell r="F633">
            <v>1.15</v>
          </cell>
        </row>
        <row r="634">
          <cell r="B634" t="str">
            <v>YCBD</v>
          </cell>
          <cell r="F634">
            <v>6.19</v>
          </cell>
        </row>
        <row r="635">
          <cell r="B635" t="str">
            <v>PMCB</v>
          </cell>
          <cell r="F635">
            <v>1.15</v>
          </cell>
        </row>
        <row r="636">
          <cell r="B636" t="str">
            <v>PCSA</v>
          </cell>
          <cell r="F636">
            <v>1.43</v>
          </cell>
        </row>
        <row r="637">
          <cell r="B637" t="str">
            <v>DRMA</v>
          </cell>
          <cell r="F637">
            <v>0.1679</v>
          </cell>
        </row>
        <row r="638">
          <cell r="B638" t="str">
            <v>SCNI</v>
          </cell>
          <cell r="F638">
            <v>1.72</v>
          </cell>
        </row>
        <row r="639">
          <cell r="B639" t="str">
            <v>ERNA</v>
          </cell>
          <cell r="F639">
            <v>0.7547</v>
          </cell>
        </row>
        <row r="640">
          <cell r="B640" t="str">
            <v>GRI</v>
          </cell>
          <cell r="F640">
            <v>0.448</v>
          </cell>
        </row>
        <row r="641">
          <cell r="B641" t="str">
            <v>SNES</v>
          </cell>
          <cell r="F641">
            <v>1.79</v>
          </cell>
        </row>
        <row r="642">
          <cell r="B642" t="str">
            <v>EOCN</v>
          </cell>
          <cell r="F642">
            <v>2.0</v>
          </cell>
        </row>
        <row r="643">
          <cell r="B643" t="str">
            <v>AKAN</v>
          </cell>
          <cell r="F643">
            <v>0.5</v>
          </cell>
        </row>
        <row r="644">
          <cell r="B644" t="str">
            <v>SXTP</v>
          </cell>
          <cell r="F644">
            <v>0.0715</v>
          </cell>
        </row>
        <row r="645">
          <cell r="B645" t="str">
            <v>EVGN</v>
          </cell>
          <cell r="F645">
            <v>1.0056</v>
          </cell>
        </row>
        <row r="646">
          <cell r="B646" t="str">
            <v>CVKD</v>
          </cell>
          <cell r="F646">
            <v>0.3873</v>
          </cell>
        </row>
        <row r="647">
          <cell r="B647" t="str">
            <v>APVO</v>
          </cell>
          <cell r="F647">
            <v>1.04</v>
          </cell>
        </row>
        <row r="648">
          <cell r="B648" t="str">
            <v>PPCB</v>
          </cell>
          <cell r="F648">
            <v>0.3422</v>
          </cell>
        </row>
        <row r="649">
          <cell r="B649" t="str">
            <v>MBIO</v>
          </cell>
          <cell r="F649">
            <v>0.1897</v>
          </cell>
        </row>
        <row r="650">
          <cell r="B650" t="str">
            <v>REVB</v>
          </cell>
          <cell r="F650">
            <v>2.24</v>
          </cell>
        </row>
        <row r="651">
          <cell r="B651" t="str">
            <v>HCWB</v>
          </cell>
          <cell r="F651">
            <v>0.6893</v>
          </cell>
        </row>
        <row r="652">
          <cell r="B652" t="str">
            <v>RDHL</v>
          </cell>
          <cell r="F652">
            <v>0.8699</v>
          </cell>
        </row>
        <row r="653">
          <cell r="B653" t="str">
            <v>VIVS</v>
          </cell>
          <cell r="F653">
            <v>0.3716</v>
          </cell>
        </row>
        <row r="654">
          <cell r="B654" t="str">
            <v>CLDI</v>
          </cell>
          <cell r="F654">
            <v>1.615</v>
          </cell>
        </row>
        <row r="655">
          <cell r="B655" t="str">
            <v>CANF</v>
          </cell>
          <cell r="F655">
            <v>0.9222</v>
          </cell>
        </row>
        <row r="656">
          <cell r="B656" t="str">
            <v>ONCO</v>
          </cell>
          <cell r="F656">
            <v>1.46</v>
          </cell>
        </row>
        <row r="657">
          <cell r="B657" t="str">
            <v>UPC</v>
          </cell>
          <cell r="F657">
            <v>3.07</v>
          </cell>
        </row>
        <row r="658">
          <cell r="B658" t="str">
            <v>SILO</v>
          </cell>
          <cell r="F658">
            <v>0.3795</v>
          </cell>
        </row>
        <row r="659">
          <cell r="B659" t="str">
            <v>GNPX</v>
          </cell>
          <cell r="F659">
            <v>0.6813</v>
          </cell>
        </row>
        <row r="660">
          <cell r="B660" t="str">
            <v>JUNS</v>
          </cell>
          <cell r="F660">
            <v>0.5073</v>
          </cell>
        </row>
        <row r="661">
          <cell r="B661" t="str">
            <v>GOVX</v>
          </cell>
          <cell r="F661">
            <v>1.89</v>
          </cell>
        </row>
        <row r="662">
          <cell r="B662" t="str">
            <v>OGEN</v>
          </cell>
          <cell r="F662">
            <v>1.08</v>
          </cell>
        </row>
        <row r="663">
          <cell r="B663" t="str">
            <v>TCRT</v>
          </cell>
          <cell r="F663">
            <v>3.54</v>
          </cell>
        </row>
        <row r="664">
          <cell r="B664" t="str">
            <v>LABT</v>
          </cell>
          <cell r="F664">
            <v>0.1713</v>
          </cell>
        </row>
        <row r="665">
          <cell r="B665" t="str">
            <v>SPRC</v>
          </cell>
          <cell r="F665">
            <v>1.23</v>
          </cell>
        </row>
        <row r="666">
          <cell r="B666" t="str">
            <v>CRIS</v>
          </cell>
          <cell r="F666">
            <v>0.77</v>
          </cell>
        </row>
        <row r="667">
          <cell r="B667" t="str">
            <v>SBFM</v>
          </cell>
          <cell r="F667">
            <v>2.8</v>
          </cell>
        </row>
        <row r="668">
          <cell r="B668" t="str">
            <v>BBLG</v>
          </cell>
          <cell r="F668">
            <v>0.321</v>
          </cell>
        </row>
        <row r="669">
          <cell r="B669" t="str">
            <v>PPBT</v>
          </cell>
          <cell r="F669">
            <v>0.434</v>
          </cell>
        </row>
        <row r="670">
          <cell r="B670" t="str">
            <v>SLXN</v>
          </cell>
          <cell r="F670">
            <v>3.75</v>
          </cell>
        </row>
        <row r="671">
          <cell r="B671" t="str">
            <v>CMND</v>
          </cell>
          <cell r="F671">
            <v>0.4064</v>
          </cell>
        </row>
        <row r="672">
          <cell r="B672" t="str">
            <v>BDRX</v>
          </cell>
          <cell r="F672">
            <v>1.2</v>
          </cell>
        </row>
        <row r="673">
          <cell r="B673" t="str">
            <v>DCOY</v>
          </cell>
          <cell r="F673">
            <v>0.2271</v>
          </cell>
        </row>
        <row r="674">
          <cell r="B674" t="str">
            <v>PRFX</v>
          </cell>
          <cell r="F674">
            <v>2.13</v>
          </cell>
        </row>
        <row r="675">
          <cell r="B675" t="str">
            <v>SXTC</v>
          </cell>
          <cell r="F675">
            <v>0.5775</v>
          </cell>
        </row>
        <row r="676">
          <cell r="B676" t="str">
            <v>AAPG</v>
          </cell>
          <cell r="F676">
            <v>0.43</v>
          </cell>
        </row>
        <row r="677">
          <cell r="B677" t="str">
            <v>ADAG</v>
          </cell>
          <cell r="F677">
            <v>1.085</v>
          </cell>
        </row>
        <row r="678">
          <cell r="B678" t="str">
            <v>ADRX</v>
          </cell>
          <cell r="F678">
            <v>0.3855</v>
          </cell>
        </row>
        <row r="679">
          <cell r="B679" t="str">
            <v>ADXN</v>
          </cell>
          <cell r="F679">
            <v>6.12</v>
          </cell>
        </row>
        <row r="680">
          <cell r="B680" t="str">
            <v>AGMB</v>
          </cell>
          <cell r="F680">
            <v>0.2418</v>
          </cell>
        </row>
        <row r="681">
          <cell r="B681" t="str">
            <v>ALPS</v>
          </cell>
          <cell r="F681">
            <v>0.3996</v>
          </cell>
        </row>
        <row r="682">
          <cell r="B682" t="str">
            <v>ANL</v>
          </cell>
          <cell r="F682">
            <v>0.153</v>
          </cell>
        </row>
        <row r="683">
          <cell r="B683" t="str">
            <v>APLM</v>
          </cell>
          <cell r="F683">
            <v>1.135</v>
          </cell>
        </row>
        <row r="684">
          <cell r="B684" t="str">
            <v>ASND</v>
          </cell>
          <cell r="F684">
            <v>0.7246</v>
          </cell>
        </row>
        <row r="685">
          <cell r="B685" t="str">
            <v>BNR</v>
          </cell>
          <cell r="F685">
            <v>1.33</v>
          </cell>
        </row>
        <row r="686">
          <cell r="B686" t="str">
            <v>CUVL</v>
          </cell>
          <cell r="F686">
            <v>0.0653</v>
          </cell>
        </row>
        <row r="687">
          <cell r="B687" t="str">
            <v>DRUG</v>
          </cell>
          <cell r="F687">
            <v>17.68</v>
          </cell>
        </row>
        <row r="688">
          <cell r="B688" t="str">
            <v>ETRA</v>
          </cell>
          <cell r="F688">
            <v>3.05</v>
          </cell>
        </row>
        <row r="689">
          <cell r="B689" t="str">
            <v>GRFS</v>
          </cell>
          <cell r="F689">
            <v>8.73</v>
          </cell>
        </row>
        <row r="690">
          <cell r="B690" t="str">
            <v>GSK</v>
          </cell>
          <cell r="F690">
            <v>10.64</v>
          </cell>
        </row>
        <row r="691">
          <cell r="B691" t="str">
            <v>INCR</v>
          </cell>
          <cell r="F691">
            <v>12.66</v>
          </cell>
        </row>
        <row r="692">
          <cell r="B692" t="str">
            <v>NIKI</v>
          </cell>
          <cell r="F692">
            <v>5.19</v>
          </cell>
        </row>
        <row r="693">
          <cell r="B693" t="str">
            <v>OGI</v>
          </cell>
          <cell r="F693">
            <v>55.2</v>
          </cell>
        </row>
        <row r="694">
          <cell r="B694" t="str">
            <v>OPTH</v>
          </cell>
          <cell r="F694">
            <v>8.81</v>
          </cell>
        </row>
        <row r="695">
          <cell r="B695" t="str">
            <v>QNRX</v>
          </cell>
          <cell r="F695">
            <v>7.64</v>
          </cell>
        </row>
        <row r="696">
          <cell r="B696" t="str">
            <v>RADX</v>
          </cell>
          <cell r="F696">
            <v>2.03</v>
          </cell>
        </row>
        <row r="697">
          <cell r="B697" t="str">
            <v>SERA</v>
          </cell>
          <cell r="F697">
            <v>0.937</v>
          </cell>
        </row>
        <row r="698">
          <cell r="B698" t="str">
            <v>SLBT</v>
          </cell>
          <cell r="F698">
            <v>3.36</v>
          </cell>
        </row>
        <row r="699">
          <cell r="B699" t="str">
            <v>TAK</v>
          </cell>
          <cell r="F699">
            <v>4.04</v>
          </cell>
        </row>
        <row r="700">
          <cell r="B700" t="str">
            <v>TLSA</v>
          </cell>
          <cell r="F700">
            <v>0.99</v>
          </cell>
        </row>
        <row r="701">
          <cell r="B701" t="str">
            <v>TLX</v>
          </cell>
          <cell r="F701">
            <v>2.03</v>
          </cell>
        </row>
        <row r="702">
          <cell r="B702" t="str">
            <v>VCRE</v>
          </cell>
          <cell r="F702">
            <v>1.5</v>
          </cell>
        </row>
        <row r="703">
          <cell r="B703" t="str">
            <v>VRXA</v>
          </cell>
          <cell r="F703">
            <v>9.0</v>
          </cell>
        </row>
        <row r="704">
          <cell r="B704" t="str">
            <v>XRTX</v>
          </cell>
          <cell r="F704">
            <v>1.01</v>
          </cell>
        </row>
        <row r="705">
          <cell r="B705" t="str">
            <v>XTLB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Corcept Therapeutics Incorporated</t>
        </is>
      </c>
      <c r="C2" s="10" t="n"/>
    </row>
    <row r="3">
      <c r="B3" t="inlineStr">
        <is>
          <t>Price</t>
        </is>
      </c>
      <c r="C3" s="11">
        <f>INDEX([1]Pharma!$F$1:$F$1000,MATCH("CORT",[1]Pharma!$B$1:$B$1000,0))</f>
        <v>116.45</v>
      </c>
      <c r="F3" s="1" t="n"/>
    </row>
    <row r="4">
      <c r="B4" t="inlineStr">
        <is>
          <t>Shares</t>
        </is>
      </c>
      <c r="C4" s="12">
        <f>108.098397</f>
        <v>108.098397</v>
      </c>
      <c r="F4" s="1" t="n"/>
    </row>
    <row r="5">
      <c r="B5" t="inlineStr">
        <is>
          <t>Market Cap.</t>
        </is>
      </c>
      <c r="C5" s="1">
        <f>C3*C4</f>
        <v>12588.058330650001</v>
      </c>
      <c r="F5" s="1" t="n"/>
    </row>
    <row r="6"/>
    <row r="7">
      <c r="B7" t="inlineStr">
        <is>
          <t>Cash</t>
        </is>
      </c>
      <c r="C7" s="12">
        <f>111.039+197.158+236.450</f>
        <v>544.6469999999999</v>
      </c>
    </row>
    <row r="8">
      <c r="B8" t="inlineStr">
        <is>
          <t>Debt</t>
        </is>
      </c>
      <c r="C8" s="12" t="n">
        <v>0</v>
      </c>
    </row>
    <row r="9">
      <c r="B9" t="inlineStr">
        <is>
          <t>Enterprise V.</t>
        </is>
      </c>
      <c r="C9" s="1">
        <f>C5-C7+C8</f>
        <v>12043.41133065</v>
      </c>
    </row>
    <row r="11">
      <c r="B11" s="13" t="inlineStr">
        <is>
          <t>rNPV / Share</t>
        </is>
      </c>
      <c r="C11" s="11">
        <f>NPV!C43</f>
        <v>53.90627293729146</v>
      </c>
    </row>
    <row r="12">
      <c r="B12" s="13" t="inlineStr">
        <is>
          <t>Upside</t>
        </is>
      </c>
      <c r="C12" s="14">
        <f>C11/C3-1</f>
        <v>-0.5370865355320613</v>
      </c>
    </row>
    <row r="13">
      <c r="B13" s="13" t="inlineStr">
        <is>
          <t>Cash / Share</t>
        </is>
      </c>
      <c r="C13" s="11">
        <f>(C7-C8)/C4</f>
        <v>5.038437341489901</v>
      </c>
    </row>
    <row r="14">
      <c r="B14" s="13" t="inlineStr">
        <is>
          <t>Scenario</t>
        </is>
      </c>
      <c r="C14" s="13" t="str">
        <f>Assumptions!$C$4</f>
        <v>Base</v>
      </c>
    </row>
    <row r="16">
      <c r="B16" s="13" t="inlineStr">
        <is>
          <t>PDUFA Date</t>
        </is>
      </c>
      <c r="C16" s="15">
        <f>Assumptions!$B$30</f>
        <v>46373</v>
      </c>
    </row>
    <row r="17">
      <c r="B17" s="13" t="inlineStr">
        <is>
          <t>P(Approval)</t>
        </is>
      </c>
      <c r="C17" s="16">
        <f>Assumptions!$B$32</f>
        <v>0.6</v>
      </c>
    </row>
    <row r="18">
      <c r="B18" s="13" t="inlineStr">
        <is>
          <t>If Approved</t>
        </is>
      </c>
      <c r="C18" s="11">
        <f>Assumptions!$D$150</f>
        <v>59.646554165381694</v>
      </c>
    </row>
    <row r="19">
      <c r="B19" s="13" t="inlineStr">
        <is>
          <t>If CRL</t>
        </is>
      </c>
      <c r="C19" s="11">
        <f>Assumptions!$D$149</f>
        <v>45.3127737796922</v>
      </c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</cols>
  <sheetData>
    <row r="1" customFormat="1" s="6">
      <c r="A1" s="7" t="n"/>
      <c r="B1" s="17" t="n">
        <v>2021</v>
      </c>
      <c r="C1" s="17" t="n">
        <v>2022</v>
      </c>
      <c r="D1" s="17" t="n">
        <v>2023</v>
      </c>
      <c r="E1" s="17" t="n">
        <v>2024</v>
      </c>
      <c r="F1" s="17" t="n">
        <v>2025</v>
      </c>
      <c r="G1" s="17" t="n">
        <v>2026</v>
      </c>
      <c r="H1" s="17" t="n">
        <v>2027</v>
      </c>
      <c r="I1" s="17" t="n">
        <v>2028</v>
      </c>
      <c r="J1" s="17" t="n">
        <v>2029</v>
      </c>
      <c r="K1" s="17" t="n">
        <v>2030</v>
      </c>
      <c r="L1" s="17" t="n">
        <v>2031</v>
      </c>
      <c r="M1" s="17" t="n">
        <v>2032</v>
      </c>
      <c r="N1" s="17" t="n">
        <v>2033</v>
      </c>
      <c r="O1" s="17" t="n">
        <v>2034</v>
      </c>
      <c r="P1" s="17" t="n">
        <v>2035</v>
      </c>
      <c r="Q1" s="17" t="n">
        <v>2036</v>
      </c>
      <c r="R1" s="17" t="n">
        <v>2037</v>
      </c>
      <c r="S1" s="17" t="n">
        <v>2038</v>
      </c>
      <c r="T1" s="17" t="n">
        <v>2039</v>
      </c>
      <c r="U1" s="17" t="n">
        <v>2040</v>
      </c>
      <c r="V1" s="17" t="n">
        <v>2041</v>
      </c>
      <c r="W1" s="17" t="n">
        <v>2042</v>
      </c>
      <c r="X1" s="17" t="n">
        <v>2043</v>
      </c>
      <c r="Y1" s="17" t="n">
        <v>2044</v>
      </c>
      <c r="Z1" s="17" t="n">
        <v>2045</v>
      </c>
      <c r="AA1" s="17" t="n">
        <v>2046</v>
      </c>
      <c r="AB1" s="17" t="n">
        <v>2047</v>
      </c>
      <c r="AC1" s="17" t="n">
        <v>2048</v>
      </c>
      <c r="AD1" s="17" t="n">
        <v>2049</v>
      </c>
      <c r="AE1" s="17" t="n">
        <v>2050</v>
      </c>
    </row>
    <row r="2" customFormat="1" s="1">
      <c r="A2" s="5" t="inlineStr">
        <is>
          <t>Revenue</t>
        </is>
      </c>
      <c r="B2" s="18" t="n">
        <v>365.978</v>
      </c>
      <c r="C2" s="18" t="n">
        <v>401.858</v>
      </c>
      <c r="D2" s="18" t="n">
        <v>482.375</v>
      </c>
      <c r="E2" s="18" t="n">
        <v>675.04</v>
      </c>
      <c r="F2" s="18" t="n">
        <v>761.407</v>
      </c>
      <c r="G2" s="18">
        <f>SUM('Quarterly Model'!F2:I2)</f>
        <v>1131.0500000000002</v>
      </c>
      <c r="H2" s="18">
        <f>Pipeline!C65</f>
        <v>1382.08</v>
      </c>
      <c r="I2" s="18">
        <f>Pipeline!D65</f>
        <v>1610.56</v>
      </c>
      <c r="J2" s="18">
        <f>Pipeline!E65</f>
        <v>1686.34</v>
      </c>
      <c r="K2" s="18">
        <f>Pipeline!F65</f>
        <v>1844.395</v>
      </c>
      <c r="L2" s="18">
        <f>Pipeline!G65</f>
        <v>2077.48125</v>
      </c>
      <c r="M2" s="18">
        <f>Pipeline!H65</f>
        <v>2201.1859375</v>
      </c>
      <c r="N2" s="18">
        <f>Pipeline!I65</f>
        <v>2320.499453125</v>
      </c>
      <c r="O2" s="18">
        <f>Pipeline!J65</f>
        <v>2376.51958984375</v>
      </c>
      <c r="P2" s="18">
        <f>Pipeline!K65</f>
        <v>2419.0096923828123</v>
      </c>
      <c r="Q2" s="18">
        <f>Pipeline!L65</f>
        <v>2421.4072692871096</v>
      </c>
      <c r="R2" s="18">
        <f>Pipeline!M65</f>
        <v>2419.330451965332</v>
      </c>
      <c r="S2" s="18">
        <f>Pipeline!N65</f>
        <v>2401.497838973999</v>
      </c>
      <c r="T2" s="18">
        <f>Pipeline!O65</f>
        <v>1315.3233792304993</v>
      </c>
      <c r="U2" s="18">
        <f>Pipeline!P65</f>
        <v>876.1725344228745</v>
      </c>
      <c r="V2" s="18">
        <f>Pipeline!Q65</f>
        <v>547.0014008171559</v>
      </c>
      <c r="W2" s="18">
        <f>Pipeline!R65</f>
        <v>412.6998506128669</v>
      </c>
      <c r="X2" s="18">
        <f>Pipeline!S65</f>
        <v>171.00440795965017</v>
      </c>
      <c r="Y2" s="18">
        <f>Pipeline!T65</f>
        <v>72.84511396973762</v>
      </c>
      <c r="Z2" s="18">
        <f>Pipeline!U65</f>
        <v>32.47055867730322</v>
      </c>
      <c r="AA2" s="18">
        <f>Pipeline!V65</f>
        <v>15.487608287977412</v>
      </c>
      <c r="AB2" s="18">
        <f>Pipeline!W65</f>
        <v>8.069581927983059</v>
      </c>
      <c r="AC2" s="18">
        <f>Pipeline!X65</f>
        <v>4.633736730787294</v>
      </c>
      <c r="AD2" s="18">
        <f>Pipeline!Y65</f>
        <v>2.90792266201047</v>
      </c>
      <c r="AE2" s="18">
        <f>Pipeline!Z65</f>
        <v>1.9539900420758525</v>
      </c>
    </row>
    <row r="3" customFormat="1" s="1">
      <c r="A3" s="5" t="inlineStr">
        <is>
          <t>Cost of Sales</t>
        </is>
      </c>
      <c r="B3" s="18" t="n">
        <v>5.281</v>
      </c>
      <c r="C3" s="18" t="n">
        <v>5.385</v>
      </c>
      <c r="D3" s="18" t="n">
        <v>6.481</v>
      </c>
      <c r="E3" s="18" t="n">
        <v>10.882</v>
      </c>
      <c r="F3" s="18" t="n">
        <v>12.977</v>
      </c>
      <c r="G3" s="18">
        <f>SUM('Quarterly Model'!F3:I3)</f>
        <v>18.304000000000002</v>
      </c>
      <c r="H3" s="18">
        <f>Pipeline!C66</f>
        <v>22.8916</v>
      </c>
      <c r="I3" s="18">
        <f>Pipeline!D66</f>
        <v>27.461199999999998</v>
      </c>
      <c r="J3" s="18">
        <f>Pipeline!E66</f>
        <v>30.164299999999997</v>
      </c>
      <c r="K3" s="18">
        <f>Pipeline!F66</f>
        <v>34.216025</v>
      </c>
      <c r="L3" s="18">
        <f>Pipeline!G66</f>
        <v>39.54571875</v>
      </c>
      <c r="M3" s="18">
        <f>Pipeline!H66</f>
        <v>42.5207890625</v>
      </c>
      <c r="N3" s="18">
        <f>Pipeline!I66</f>
        <v>45.282791796875</v>
      </c>
      <c r="O3" s="18">
        <f>Pipeline!J66</f>
        <v>46.68499384765625</v>
      </c>
      <c r="P3" s="18">
        <f>Pipeline!K66</f>
        <v>47.746145385742196</v>
      </c>
      <c r="Q3" s="18">
        <f>Pipeline!L66</f>
        <v>47.952609039306644</v>
      </c>
      <c r="R3" s="18">
        <f>Pipeline!M66</f>
        <v>48.02995677947999</v>
      </c>
      <c r="S3" s="18">
        <f>Pipeline!N66</f>
        <v>47.76246758460999</v>
      </c>
      <c r="T3" s="18">
        <f>Pipeline!O66</f>
        <v>26.10585068845749</v>
      </c>
      <c r="U3" s="18">
        <f>Pipeline!P66</f>
        <v>17.37298801634312</v>
      </c>
      <c r="V3" s="18">
        <f>Pipeline!Q66</f>
        <v>10.827181012257338</v>
      </c>
      <c r="W3" s="18">
        <f>Pipeline!R66</f>
        <v>8.169361759193002</v>
      </c>
      <c r="X3" s="18">
        <f>Pipeline!S66</f>
        <v>3.3566117193947527</v>
      </c>
      <c r="Y3" s="18">
        <f>Pipeline!T66</f>
        <v>1.4092949495460643</v>
      </c>
      <c r="Z3" s="18">
        <f>Pipeline!U66</f>
        <v>0.6137056761595483</v>
      </c>
      <c r="AA3" s="18">
        <f>Pipeline!V66</f>
        <v>0.28297304271966117</v>
      </c>
      <c r="AB3" s="18">
        <f>Pipeline!W66</f>
        <v>0.14130729627974586</v>
      </c>
      <c r="AC3" s="18">
        <f>Pipeline!X66</f>
        <v>0.07761147790580941</v>
      </c>
      <c r="AD3" s="18">
        <f>Pipeline!Y66</f>
        <v>0.046861010707757056</v>
      </c>
      <c r="AE3" s="18">
        <f>Pipeline!Z66</f>
        <v>0.030606718942177792</v>
      </c>
    </row>
    <row r="4" customFormat="1" s="1">
      <c r="A4" s="5" t="inlineStr">
        <is>
          <t>Gross Margin</t>
        </is>
      </c>
      <c r="B4" s="18">
        <f>B2-B3</f>
        <v>360.697</v>
      </c>
      <c r="C4" s="18">
        <f>C2-C3</f>
        <v>396.473</v>
      </c>
      <c r="D4" s="18">
        <f>D2-D3</f>
        <v>475.894</v>
      </c>
      <c r="E4" s="18">
        <f>E2-E3</f>
        <v>664.158</v>
      </c>
      <c r="F4" s="18">
        <f>F2-F3</f>
        <v>748.4300000000001</v>
      </c>
      <c r="G4" s="18">
        <f>G2-G3</f>
        <v>1112.746</v>
      </c>
      <c r="H4" s="18">
        <f>H2-H3</f>
        <v>1359.1884</v>
      </c>
      <c r="I4" s="18">
        <f>I2-I3</f>
        <v>1583.0988</v>
      </c>
      <c r="J4" s="18">
        <f>J2-J3</f>
        <v>1656.1757</v>
      </c>
      <c r="K4" s="18">
        <f>K2-K3</f>
        <v>1810.178975</v>
      </c>
      <c r="L4" s="18">
        <f>L2-L3</f>
        <v>2037.9355312499997</v>
      </c>
      <c r="M4" s="18">
        <f>M2-M3</f>
        <v>2158.6651484374997</v>
      </c>
      <c r="N4" s="18">
        <f>N2-N3</f>
        <v>2275.216661328125</v>
      </c>
      <c r="O4" s="18">
        <f>O2-O3</f>
        <v>2329.834595996094</v>
      </c>
      <c r="P4" s="18">
        <f>P2-P3</f>
        <v>2371.26354699707</v>
      </c>
      <c r="Q4" s="18">
        <f>Q2-Q3</f>
        <v>2373.454660247803</v>
      </c>
      <c r="R4" s="18">
        <f>R2-R3</f>
        <v>2371.300495185852</v>
      </c>
      <c r="S4" s="18">
        <f>S2-S3</f>
        <v>2353.735371389389</v>
      </c>
      <c r="T4" s="18">
        <f>T2-T3</f>
        <v>1289.217528542042</v>
      </c>
      <c r="U4" s="18">
        <f>U2-U3</f>
        <v>858.7995464065314</v>
      </c>
      <c r="V4" s="18">
        <f>V2-V3</f>
        <v>536.1742198048985</v>
      </c>
      <c r="W4" s="18">
        <f>W2-W3</f>
        <v>404.5304888536739</v>
      </c>
      <c r="X4" s="18">
        <f>X2-X3</f>
        <v>167.64779624025542</v>
      </c>
      <c r="Y4" s="18">
        <f>Y2-Y3</f>
        <v>71.43581902019156</v>
      </c>
      <c r="Z4" s="18">
        <f>Z2-Z3</f>
        <v>31.85685300114367</v>
      </c>
      <c r="AA4" s="18">
        <f>AA2-AA3</f>
        <v>15.204635245257752</v>
      </c>
      <c r="AB4" s="18">
        <f>AB2-AB3</f>
        <v>7.928274631703313</v>
      </c>
      <c r="AC4" s="18">
        <f>AC2-AC3</f>
        <v>4.556125252881484</v>
      </c>
      <c r="AD4" s="18">
        <f>AD2-AD3</f>
        <v>2.861061651302713</v>
      </c>
      <c r="AE4" s="18">
        <f>AE2-AE3</f>
        <v>1.9233833231336748</v>
      </c>
    </row>
    <row r="5">
      <c r="A5" s="2" t="inlineStr">
        <is>
          <t>Research &amp; Dev.</t>
        </is>
      </c>
      <c r="B5" s="18" t="n">
        <v>113.864</v>
      </c>
      <c r="C5" s="18" t="n">
        <v>130.991</v>
      </c>
      <c r="D5" s="18" t="n">
        <v>184.353</v>
      </c>
      <c r="E5" s="18" t="n">
        <v>246.887</v>
      </c>
      <c r="F5" s="18" t="n">
        <v>254.908</v>
      </c>
      <c r="G5" s="18">
        <f>SUM('Quarterly Model'!F5:I5)</f>
        <v>240.155</v>
      </c>
      <c r="H5" s="18">
        <f>Pipeline!C69</f>
        <v>228.208</v>
      </c>
      <c r="I5" s="18">
        <f>Pipeline!D69</f>
        <v>272.05600000000004</v>
      </c>
      <c r="J5" s="18">
        <f>Pipeline!E69</f>
        <v>239.63400000000001</v>
      </c>
      <c r="K5" s="18">
        <f>Pipeline!F69</f>
        <v>220.4395</v>
      </c>
      <c r="L5" s="18">
        <f>Pipeline!G69</f>
        <v>207.748125</v>
      </c>
      <c r="M5" s="18">
        <f>Pipeline!H69</f>
        <v>220.11859375</v>
      </c>
      <c r="N5" s="18">
        <f>Pipeline!I69</f>
        <v>232.0499453125</v>
      </c>
      <c r="O5" s="18">
        <f>Pipeline!J69</f>
        <v>237.65195898437503</v>
      </c>
      <c r="P5" s="18">
        <f>Pipeline!K69</f>
        <v>241.90096923828125</v>
      </c>
      <c r="Q5" s="18">
        <f>Pipeline!L69</f>
        <v>242.14072692871096</v>
      </c>
      <c r="R5" s="18">
        <f>Pipeline!M69</f>
        <v>241.93304519653321</v>
      </c>
      <c r="S5" s="18">
        <f>Pipeline!N69</f>
        <v>240.1497838973999</v>
      </c>
      <c r="T5" s="18">
        <f>Pipeline!O69</f>
        <v>131.53233792304994</v>
      </c>
      <c r="U5" s="18">
        <f>Pipeline!P69</f>
        <v>87.61725344228745</v>
      </c>
      <c r="V5" s="18">
        <f>Pipeline!Q69</f>
        <v>54.70014008171559</v>
      </c>
      <c r="W5" s="18">
        <f>Pipeline!R69</f>
        <v>41.26998506128669</v>
      </c>
      <c r="X5" s="18">
        <f>Pipeline!S69</f>
        <v>17.100440795965017</v>
      </c>
      <c r="Y5" s="18">
        <f>Pipeline!T69</f>
        <v>7.2845113969737625</v>
      </c>
      <c r="Z5" s="18">
        <f>Pipeline!U69</f>
        <v>3.247055867730322</v>
      </c>
      <c r="AA5" s="18">
        <f>Pipeline!V69</f>
        <v>1.5487608287977412</v>
      </c>
      <c r="AB5" s="18">
        <f>Pipeline!W69</f>
        <v>0.8069581927983059</v>
      </c>
      <c r="AC5" s="18">
        <f>Pipeline!X69</f>
        <v>0.4633736730787294</v>
      </c>
      <c r="AD5" s="18">
        <f>Pipeline!Y69</f>
        <v>0.29079226620104703</v>
      </c>
      <c r="AE5" s="18">
        <f>Pipeline!Z69</f>
        <v>0.19539900420758527</v>
      </c>
    </row>
    <row r="6">
      <c r="A6" s="2" t="inlineStr">
        <is>
          <t>General &amp; Admin</t>
        </is>
      </c>
      <c r="B6" s="18" t="n">
        <v>122.356</v>
      </c>
      <c r="C6" s="18" t="n">
        <v>152.848</v>
      </c>
      <c r="D6" s="18" t="n">
        <v>184.259</v>
      </c>
      <c r="E6" s="18" t="n">
        <v>280.32</v>
      </c>
      <c r="F6" s="18" t="n">
        <v>448.725</v>
      </c>
      <c r="G6" s="18">
        <f>SUM('Quarterly Model'!F6:I6)</f>
        <v>642.252</v>
      </c>
      <c r="H6" s="18">
        <f>Pipeline!C72</f>
        <v>640.652</v>
      </c>
      <c r="I6" s="18">
        <f>Pipeline!D72</f>
        <v>699.4300000000001</v>
      </c>
      <c r="J6" s="18">
        <f>Pipeline!E72</f>
        <v>713.0318</v>
      </c>
      <c r="K6" s="18">
        <f>Pipeline!F72</f>
        <v>742.1838500000001</v>
      </c>
      <c r="L6" s="18">
        <f>Pipeline!G72</f>
        <v>797.3714375</v>
      </c>
      <c r="M6" s="18">
        <f>Pipeline!H72</f>
        <v>778.234078125</v>
      </c>
      <c r="N6" s="18">
        <f>Pipeline!I72</f>
        <v>805.3666085937499</v>
      </c>
      <c r="O6" s="18">
        <f>Pipeline!J72</f>
        <v>785.5898564453125</v>
      </c>
      <c r="P6" s="18">
        <f>Pipeline!K72</f>
        <v>792.3793923339845</v>
      </c>
      <c r="Q6" s="18">
        <f>Pipeline!L72</f>
        <v>785.5925442504883</v>
      </c>
      <c r="R6" s="18">
        <f>Pipeline!M72</f>
        <v>784.8656581878663</v>
      </c>
      <c r="S6" s="18">
        <f>Pipeline!N72</f>
        <v>778.6242436408997</v>
      </c>
      <c r="T6" s="18">
        <f>Pipeline!O72</f>
        <v>428.1031827306748</v>
      </c>
      <c r="U6" s="18">
        <f>Pipeline!P72</f>
        <v>286.25638704800605</v>
      </c>
      <c r="V6" s="18">
        <f>Pipeline!Q72</f>
        <v>183.28889028600452</v>
      </c>
      <c r="W6" s="18">
        <f>Pipeline!R72</f>
        <v>141.1803077145034</v>
      </c>
      <c r="X6" s="18">
        <f>Pipeline!S72</f>
        <v>58.54568678587755</v>
      </c>
      <c r="Y6" s="18">
        <f>Pipeline!T72</f>
        <v>24.973447489408166</v>
      </c>
      <c r="Z6" s="18">
        <f>Pipeline!U72</f>
        <v>11.155758577056126</v>
      </c>
      <c r="AA6" s="18">
        <f>Pipeline!V72</f>
        <v>5.337088116792094</v>
      </c>
      <c r="AB6" s="18">
        <f>Pipeline!W72</f>
        <v>2.7909237611940707</v>
      </c>
      <c r="AC6" s="18">
        <f>Pipeline!X72</f>
        <v>1.608435890335553</v>
      </c>
      <c r="AD6" s="18">
        <f>Pipeline!Y72</f>
        <v>1.0124241455276646</v>
      </c>
      <c r="AE6" s="18">
        <f>Pipeline!Z72</f>
        <v>0.6817570002561484</v>
      </c>
    </row>
    <row r="7">
      <c r="A7" s="2" t="inlineStr">
        <is>
          <t>Operating Expense</t>
        </is>
      </c>
      <c r="B7" s="18">
        <f>SUM(B5:B6)</f>
        <v>236.22</v>
      </c>
      <c r="C7" s="18">
        <f>SUM(C5:C6)</f>
        <v>283.83900000000006</v>
      </c>
      <c r="D7" s="18">
        <f>SUM(D5:D6)</f>
        <v>368.61199999999997</v>
      </c>
      <c r="E7" s="18">
        <f>SUM(E5:E6)</f>
        <v>527.207</v>
      </c>
      <c r="F7" s="18">
        <f>SUM(F5:F6)</f>
        <v>703.633</v>
      </c>
      <c r="G7" s="18">
        <f>SUM(G5:G6)</f>
        <v>882.4069999999999</v>
      </c>
      <c r="H7" s="18">
        <f>SUM(H5:H6)</f>
        <v>868.86</v>
      </c>
      <c r="I7" s="18">
        <f>SUM(I5:I6)</f>
        <v>971.4860000000001</v>
      </c>
      <c r="J7" s="18">
        <f>SUM(J5:J6)</f>
        <v>952.6658</v>
      </c>
      <c r="K7" s="18">
        <f>SUM(K5:K6)</f>
        <v>962.6233500000001</v>
      </c>
      <c r="L7" s="18">
        <f>SUM(L5:L6)</f>
        <v>1005.1195624999999</v>
      </c>
      <c r="M7" s="18">
        <f>SUM(M5:M6)</f>
        <v>998.3526718749999</v>
      </c>
      <c r="N7" s="18">
        <f>SUM(N5:N6)</f>
        <v>1037.4165539062499</v>
      </c>
      <c r="O7" s="18">
        <f>SUM(O5:O6)</f>
        <v>1023.2418154296876</v>
      </c>
      <c r="P7" s="18">
        <f>SUM(P5:P6)</f>
        <v>1034.2803615722657</v>
      </c>
      <c r="Q7" s="18">
        <f>SUM(Q5:Q6)</f>
        <v>1027.7332711791994</v>
      </c>
      <c r="R7" s="18">
        <f>SUM(R5:R6)</f>
        <v>1026.7987033843995</v>
      </c>
      <c r="S7" s="18">
        <f>SUM(S5:S6)</f>
        <v>1018.7740275382996</v>
      </c>
      <c r="T7" s="18">
        <f>SUM(T5:T6)</f>
        <v>559.6355206537247</v>
      </c>
      <c r="U7" s="18">
        <f>SUM(U5:U6)</f>
        <v>373.8736404902935</v>
      </c>
      <c r="V7" s="18">
        <f>SUM(V5:V6)</f>
        <v>237.9890303677201</v>
      </c>
      <c r="W7" s="18">
        <f>SUM(W5:W6)</f>
        <v>182.4502927757901</v>
      </c>
      <c r="X7" s="18">
        <f>SUM(X5:X6)</f>
        <v>75.64612758184256</v>
      </c>
      <c r="Y7" s="18">
        <f>SUM(Y5:Y6)</f>
        <v>32.25795888638193</v>
      </c>
      <c r="Z7" s="18">
        <f>SUM(Z5:Z6)</f>
        <v>14.402814444786447</v>
      </c>
      <c r="AA7" s="18">
        <f>SUM(AA5:AA6)</f>
        <v>6.885848945589835</v>
      </c>
      <c r="AB7" s="18">
        <f>SUM(AB5:AB6)</f>
        <v>3.5978819539923768</v>
      </c>
      <c r="AC7" s="18">
        <f>SUM(AC5:AC6)</f>
        <v>2.0718095634142824</v>
      </c>
      <c r="AD7" s="18">
        <f>SUM(AD5:AD6)</f>
        <v>1.3032164117287115</v>
      </c>
      <c r="AE7" s="18">
        <f>SUM(AE5:AE6)</f>
        <v>0.8771560044637337</v>
      </c>
    </row>
    <row r="8">
      <c r="A8" s="2" t="inlineStr">
        <is>
          <t>Operating Income</t>
        </is>
      </c>
      <c r="B8" s="18">
        <f>B4-B7</f>
        <v>124.477</v>
      </c>
      <c r="C8" s="18">
        <f>C4-C7</f>
        <v>112.63399999999996</v>
      </c>
      <c r="D8" s="18">
        <f>D4-D7</f>
        <v>107.28200000000004</v>
      </c>
      <c r="E8" s="18">
        <f>E4-E7</f>
        <v>136.95100000000002</v>
      </c>
      <c r="F8" s="18">
        <f>F4-F7</f>
        <v>44.797000000000025</v>
      </c>
      <c r="G8" s="18">
        <f>G4-G7</f>
        <v>230.33900000000017</v>
      </c>
      <c r="H8" s="18">
        <f>H4-H7</f>
        <v>490.3284</v>
      </c>
      <c r="I8" s="18">
        <f>I4-I7</f>
        <v>611.6127999999999</v>
      </c>
      <c r="J8" s="18">
        <f>J4-J7</f>
        <v>703.5099</v>
      </c>
      <c r="K8" s="18">
        <f>K4-K7</f>
        <v>847.555625</v>
      </c>
      <c r="L8" s="18">
        <f>L4-L7</f>
        <v>1032.8159687499997</v>
      </c>
      <c r="M8" s="18">
        <f>M4-M7</f>
        <v>1160.3124765624998</v>
      </c>
      <c r="N8" s="18">
        <f>N4-N7</f>
        <v>1237.8001074218753</v>
      </c>
      <c r="O8" s="18">
        <f>O4-O7</f>
        <v>1306.5927805664064</v>
      </c>
      <c r="P8" s="18">
        <f>P4-P7</f>
        <v>1336.9831854248043</v>
      </c>
      <c r="Q8" s="18">
        <f>Q4-Q7</f>
        <v>1345.7213890686037</v>
      </c>
      <c r="R8" s="18">
        <f>R4-R7</f>
        <v>1344.5017918014526</v>
      </c>
      <c r="S8" s="18">
        <f>S4-S7</f>
        <v>1334.9613438510894</v>
      </c>
      <c r="T8" s="18">
        <f>T4-T7</f>
        <v>729.5820078883172</v>
      </c>
      <c r="U8" s="18">
        <f>U4-U7</f>
        <v>484.92590591623787</v>
      </c>
      <c r="V8" s="18">
        <f>V4-V7</f>
        <v>298.1851894371784</v>
      </c>
      <c r="W8" s="18">
        <f>W4-W7</f>
        <v>222.08019607788378</v>
      </c>
      <c r="X8" s="18">
        <f>X4-X7</f>
        <v>92.00166865841285</v>
      </c>
      <c r="Y8" s="18">
        <f>Y4-Y7</f>
        <v>39.17786013380963</v>
      </c>
      <c r="Z8" s="18">
        <f>Z4-Z7</f>
        <v>17.454038556357222</v>
      </c>
      <c r="AA8" s="18">
        <f>AA4-AA7</f>
        <v>8.318786299667916</v>
      </c>
      <c r="AB8" s="18">
        <f>AB4-AB7</f>
        <v>4.330392677710936</v>
      </c>
      <c r="AC8" s="18">
        <f>AC4-AC7</f>
        <v>2.484315689467202</v>
      </c>
      <c r="AD8" s="18">
        <f>AD4-AD7</f>
        <v>1.5578452395740015</v>
      </c>
      <c r="AE8" s="18">
        <f>AE4-AE7</f>
        <v>1.0462273186699411</v>
      </c>
    </row>
    <row r="9">
      <c r="A9" s="19" t="inlineStr">
        <is>
          <t>Interest &amp; Other</t>
        </is>
      </c>
      <c r="B9" s="18" t="n">
        <v>0.529</v>
      </c>
      <c r="C9" s="18" t="n">
        <v>3.557</v>
      </c>
      <c r="D9" s="18" t="n">
        <v>17.275</v>
      </c>
      <c r="E9" s="18" t="n">
        <v>24.542</v>
      </c>
      <c r="F9" s="18" t="n">
        <v>21.666</v>
      </c>
      <c r="G9" s="18">
        <f>SUM('Quarterly Model'!F9:I9)</f>
        <v>18.517</v>
      </c>
      <c r="H9" s="18">
        <f>Assumptions!$B$16*MAX(0,G20)-Assumptions!$B$17*Main!$C$8</f>
        <v>29.7107625</v>
      </c>
      <c r="I9" s="18">
        <f>Assumptions!$B$16*MAX(0,H20)-Assumptions!$B$17*Main!$C$8</f>
        <v>45.1169226890625</v>
      </c>
      <c r="J9" s="18">
        <f>Assumptions!$B$16*MAX(0,I20)-Assumptions!$B$17*Main!$C$8</f>
        <v>64.57254072372596</v>
      </c>
      <c r="K9" s="18">
        <f>Assumptions!$B$16*MAX(0,J20)-Assumptions!$B$17*Main!$C$8</f>
        <v>87.32698303016635</v>
      </c>
      <c r="L9" s="18">
        <f>Assumptions!$B$16*MAX(0,K20)-Assumptions!$B$17*Main!$C$8</f>
        <v>115.02288029306001</v>
      </c>
      <c r="M9" s="18">
        <f>Assumptions!$B$16*MAX(0,L20)-Assumptions!$B$17*Main!$C$8</f>
        <v>149.02760619596066</v>
      </c>
      <c r="N9" s="18">
        <f>Assumptions!$B$16*MAX(0,M20)-Assumptions!$B$17*Main!$C$8</f>
        <v>187.81680614768004</v>
      </c>
      <c r="O9" s="18">
        <f>Assumptions!$B$16*MAX(0,N20)-Assumptions!$B$17*Main!$C$8</f>
        <v>230.05070721217814</v>
      </c>
      <c r="P9" s="18">
        <f>Assumptions!$B$16*MAX(0,O20)-Assumptions!$B$17*Main!$C$8</f>
        <v>275.5737705376187</v>
      </c>
      <c r="Q9" s="18">
        <f>Assumptions!$B$16*MAX(0,P20)-Assumptions!$B$17*Main!$C$8</f>
        <v>323.3457703580055</v>
      </c>
      <c r="R9" s="18">
        <f>Assumptions!$B$16*MAX(0,Q20)-Assumptions!$B$17*Main!$C$8</f>
        <v>372.7918849560188</v>
      </c>
      <c r="S9" s="18">
        <f>Assumptions!$B$16*MAX(0,R20)-Assumptions!$B$17*Main!$C$8</f>
        <v>423.66671012995886</v>
      </c>
      <c r="T9" s="18">
        <f>Assumptions!$B$16*MAX(0,S20)-Assumptions!$B$17*Main!$C$8</f>
        <v>475.7660662291473</v>
      </c>
      <c r="U9" s="18">
        <f>Assumptions!$B$16*MAX(0,T20)-Assumptions!$B$17*Main!$C$8</f>
        <v>511.47450292487724</v>
      </c>
      <c r="V9" s="18">
        <f>Assumptions!$B$16*MAX(0,U20)-Assumptions!$B$17*Main!$C$8</f>
        <v>540.9928650367953</v>
      </c>
      <c r="W9" s="18">
        <f>Assumptions!$B$16*MAX(0,V20)-Assumptions!$B$17*Main!$C$8</f>
        <v>565.8535149005867</v>
      </c>
      <c r="X9" s="18">
        <f>Assumptions!$B$16*MAX(0,W20)-Assumptions!$B$17*Main!$C$8</f>
        <v>589.1960510883239</v>
      </c>
      <c r="Y9" s="18">
        <f>Assumptions!$B$16*MAX(0,X20)-Assumptions!$B$17*Main!$C$8</f>
        <v>609.376533535821</v>
      </c>
      <c r="Z9" s="18">
        <f>Assumptions!$B$16*MAX(0,Y20)-Assumptions!$B$17*Main!$C$8</f>
        <v>628.5899574482837</v>
      </c>
      <c r="AA9" s="18">
        <f>Assumptions!$B$16*MAX(0,Z20)-Assumptions!$B$17*Main!$C$8</f>
        <v>647.7290108299212</v>
      </c>
      <c r="AB9" s="18">
        <f>Assumptions!$B$16*MAX(0,AA20)-Assumptions!$B$17*Main!$C$8</f>
        <v>667.1644268198853</v>
      </c>
      <c r="AC9" s="18">
        <f>Assumptions!$B$16*MAX(0,AB20)-Assumptions!$B$17*Main!$C$8</f>
        <v>687.0574608475016</v>
      </c>
      <c r="AD9" s="18">
        <f>Assumptions!$B$16*MAX(0,AC20)-Assumptions!$B$17*Main!$C$8</f>
        <v>707.4851359774093</v>
      </c>
      <c r="AE9" s="18">
        <f>Assumptions!$B$16*MAX(0,AD20)-Assumptions!$B$17*Main!$C$8</f>
        <v>728.4905342959624</v>
      </c>
    </row>
    <row r="10">
      <c r="A10" s="2" t="inlineStr">
        <is>
          <t>Pretax</t>
        </is>
      </c>
      <c r="B10" s="18">
        <f>B8+B9</f>
        <v>125.006</v>
      </c>
      <c r="C10" s="18">
        <f>C8+C9</f>
        <v>116.19099999999996</v>
      </c>
      <c r="D10" s="18">
        <f>D8+D9</f>
        <v>124.55700000000004</v>
      </c>
      <c r="E10" s="18">
        <f>E8+E9</f>
        <v>161.49300000000002</v>
      </c>
      <c r="F10" s="18">
        <f>F8+F9</f>
        <v>66.46300000000002</v>
      </c>
      <c r="G10" s="18">
        <f>G8+G9</f>
        <v>248.85600000000017</v>
      </c>
      <c r="H10" s="18">
        <f>H8+H9</f>
        <v>520.0391625</v>
      </c>
      <c r="I10" s="18">
        <f>I8+I9</f>
        <v>656.7297226890623</v>
      </c>
      <c r="J10" s="18">
        <f>J8+J9</f>
        <v>768.082440723726</v>
      </c>
      <c r="K10" s="18">
        <f>K8+K9</f>
        <v>934.8826080301664</v>
      </c>
      <c r="L10" s="18">
        <f>L8+L9</f>
        <v>1147.8388490430598</v>
      </c>
      <c r="M10" s="18">
        <f>M8+M9</f>
        <v>1309.3400827584605</v>
      </c>
      <c r="N10" s="18">
        <f>N8+N9</f>
        <v>1425.6169135695554</v>
      </c>
      <c r="O10" s="18">
        <f>O8+O9</f>
        <v>1536.6434877785846</v>
      </c>
      <c r="P10" s="18">
        <f>P8+P9</f>
        <v>1612.556955962423</v>
      </c>
      <c r="Q10" s="18">
        <f>Q8+Q9</f>
        <v>1669.0671594266091</v>
      </c>
      <c r="R10" s="18">
        <f>R8+R9</f>
        <v>1717.2936767574713</v>
      </c>
      <c r="S10" s="18">
        <f>S8+S9</f>
        <v>1758.6280539810482</v>
      </c>
      <c r="T10" s="18">
        <f>T8+T9</f>
        <v>1205.3480741174644</v>
      </c>
      <c r="U10" s="18">
        <f>U8+U9</f>
        <v>996.4004088411151</v>
      </c>
      <c r="V10" s="18">
        <f>V8+V9</f>
        <v>839.1780544739736</v>
      </c>
      <c r="W10" s="18">
        <f>W8+W9</f>
        <v>787.9337109784705</v>
      </c>
      <c r="X10" s="18">
        <f>X8+X9</f>
        <v>681.1977197467368</v>
      </c>
      <c r="Y10" s="18">
        <f>Y8+Y9</f>
        <v>648.5543936696306</v>
      </c>
      <c r="Z10" s="18">
        <f>Z8+Z9</f>
        <v>646.0439960046409</v>
      </c>
      <c r="AA10" s="18">
        <f>AA8+AA9</f>
        <v>656.0477971295891</v>
      </c>
      <c r="AB10" s="18">
        <f>AB8+AB9</f>
        <v>671.4948194975963</v>
      </c>
      <c r="AC10" s="18">
        <f>AC8+AC9</f>
        <v>689.5417765369688</v>
      </c>
      <c r="AD10" s="18">
        <f>AD8+AD9</f>
        <v>709.0429812169833</v>
      </c>
      <c r="AE10" s="18">
        <f>AE8+AE9</f>
        <v>729.5367616146324</v>
      </c>
    </row>
    <row r="11">
      <c r="A11" s="2" t="inlineStr">
        <is>
          <t>Taxes</t>
        </is>
      </c>
      <c r="B11" s="18" t="n">
        <v>12.494</v>
      </c>
      <c r="C11" s="18" t="n">
        <v>14.773</v>
      </c>
      <c r="D11" s="18" t="n">
        <v>18.417</v>
      </c>
      <c r="E11" s="18" t="n">
        <v>20.284</v>
      </c>
      <c r="F11" s="18" t="n">
        <v>-33.189</v>
      </c>
      <c r="G11" s="18">
        <f>SUM('Quarterly Model'!F11:I11)</f>
        <v>-10.010000000000002</v>
      </c>
      <c r="H11" s="18">
        <f>MAX(0,H10-G21)*Assumptions!$B$15</f>
        <v>109.20822412499999</v>
      </c>
      <c r="I11" s="18">
        <f>MAX(0,I10-H21)*Assumptions!$B$15</f>
        <v>137.9132417647031</v>
      </c>
      <c r="J11" s="18">
        <f>MAX(0,J10-I21)*Assumptions!$B$15</f>
        <v>161.29731255198246</v>
      </c>
      <c r="K11" s="18">
        <f>MAX(0,K10-J21)*Assumptions!$B$15</f>
        <v>196.32534768633494</v>
      </c>
      <c r="L11" s="18">
        <f>MAX(0,L10-K21)*Assumptions!$B$15</f>
        <v>241.04615829904253</v>
      </c>
      <c r="M11" s="18">
        <f>MAX(0,M10-L21)*Assumptions!$B$15</f>
        <v>274.9614173792767</v>
      </c>
      <c r="N11" s="18">
        <f>MAX(0,N10-M21)*Assumptions!$B$15</f>
        <v>299.3795518496066</v>
      </c>
      <c r="O11" s="18">
        <f>MAX(0,O10-N21)*Assumptions!$B$15</f>
        <v>322.69513243350275</v>
      </c>
      <c r="P11" s="18">
        <f>MAX(0,P10-O21)*Assumptions!$B$15</f>
        <v>338.6369607521088</v>
      </c>
      <c r="Q11" s="18">
        <f>MAX(0,Q10-P21)*Assumptions!$B$15</f>
        <v>350.5041034795879</v>
      </c>
      <c r="R11" s="18">
        <f>MAX(0,R10-Q21)*Assumptions!$B$15</f>
        <v>360.631672119069</v>
      </c>
      <c r="S11" s="18">
        <f>MAX(0,S10-R21)*Assumptions!$B$15</f>
        <v>369.3118913360201</v>
      </c>
      <c r="T11" s="18">
        <f>MAX(0,T10-S21)*Assumptions!$B$15</f>
        <v>253.12309556466752</v>
      </c>
      <c r="U11" s="18">
        <f>MAX(0,U10-T21)*Assumptions!$B$15</f>
        <v>209.24408585663417</v>
      </c>
      <c r="V11" s="18">
        <f>MAX(0,V10-U21)*Assumptions!$B$15</f>
        <v>176.22739143953444</v>
      </c>
      <c r="W11" s="18">
        <f>MAX(0,W10-V21)*Assumptions!$B$15</f>
        <v>165.4660793054788</v>
      </c>
      <c r="X11" s="18">
        <f>MAX(0,X10-W21)*Assumptions!$B$15</f>
        <v>143.0515211468147</v>
      </c>
      <c r="Y11" s="18">
        <f>MAX(0,Y10-X21)*Assumptions!$B$15</f>
        <v>136.1964226706224</v>
      </c>
      <c r="Z11" s="18">
        <f>MAX(0,Z10-Y21)*Assumptions!$B$15</f>
        <v>135.6692391609746</v>
      </c>
      <c r="AA11" s="18">
        <f>MAX(0,AA10-Z21)*Assumptions!$B$15</f>
        <v>137.7700373972137</v>
      </c>
      <c r="AB11" s="18">
        <f>MAX(0,AB10-AA21)*Assumptions!$B$15</f>
        <v>141.0139120944952</v>
      </c>
      <c r="AC11" s="18">
        <f>MAX(0,AC10-AB21)*Assumptions!$B$15</f>
        <v>144.80377307276345</v>
      </c>
      <c r="AD11" s="18">
        <f>MAX(0,AD10-AC21)*Assumptions!$B$15</f>
        <v>148.89902605556648</v>
      </c>
      <c r="AE11" s="18">
        <f>MAX(0,AE10-AD21)*Assumptions!$B$15</f>
        <v>153.2027199390728</v>
      </c>
    </row>
    <row r="12">
      <c r="A12" s="2" t="inlineStr">
        <is>
          <t>Net Income</t>
        </is>
      </c>
      <c r="B12" s="18" t="n">
        <v>112.512</v>
      </c>
      <c r="C12" s="18" t="n">
        <v>101.418</v>
      </c>
      <c r="D12" s="18" t="n">
        <v>106.14</v>
      </c>
      <c r="E12" s="18" t="n">
        <v>141.209</v>
      </c>
      <c r="F12" s="18" t="n">
        <v>99.652</v>
      </c>
      <c r="G12" s="18">
        <f>G10-G11</f>
        <v>258.86600000000016</v>
      </c>
      <c r="H12" s="18">
        <f>H10-H11</f>
        <v>410.83093837499996</v>
      </c>
      <c r="I12" s="18">
        <f>I10-I11</f>
        <v>518.8164809243592</v>
      </c>
      <c r="J12" s="18">
        <f>J10-J11</f>
        <v>606.7851281717435</v>
      </c>
      <c r="K12" s="18">
        <f>K10-K11</f>
        <v>738.5572603438314</v>
      </c>
      <c r="L12" s="18">
        <f>L10-L11</f>
        <v>906.7926907440172</v>
      </c>
      <c r="M12" s="18">
        <f>M10-M11</f>
        <v>1034.3786653791838</v>
      </c>
      <c r="N12" s="18">
        <f>N10-N11</f>
        <v>1126.2373617199487</v>
      </c>
      <c r="O12" s="18">
        <f>O10-O11</f>
        <v>1213.9483553450818</v>
      </c>
      <c r="P12" s="18">
        <f>P10-P11</f>
        <v>1273.9199952103143</v>
      </c>
      <c r="Q12" s="18">
        <f>Q10-Q11</f>
        <v>1318.5630559470212</v>
      </c>
      <c r="R12" s="18">
        <f>R10-R11</f>
        <v>1356.6620046384023</v>
      </c>
      <c r="S12" s="18">
        <f>S10-S11</f>
        <v>1389.316162645028</v>
      </c>
      <c r="T12" s="18">
        <f>T10-T11</f>
        <v>952.2249785527969</v>
      </c>
      <c r="U12" s="18">
        <f>U10-U11</f>
        <v>787.156322984481</v>
      </c>
      <c r="V12" s="18">
        <f>V10-V11</f>
        <v>662.9506630344391</v>
      </c>
      <c r="W12" s="18">
        <f>W10-W11</f>
        <v>622.4676316729917</v>
      </c>
      <c r="X12" s="18">
        <f>X10-X11</f>
        <v>538.1461985999221</v>
      </c>
      <c r="Y12" s="18">
        <f>Y10-Y11</f>
        <v>512.3579709990082</v>
      </c>
      <c r="Z12" s="18">
        <f>Z10-Z11</f>
        <v>510.3747568436663</v>
      </c>
      <c r="AA12" s="18">
        <f>AA10-AA11</f>
        <v>518.2777597323753</v>
      </c>
      <c r="AB12" s="18">
        <f>AB10-AB11</f>
        <v>530.4809074031011</v>
      </c>
      <c r="AC12" s="18">
        <f>AC10-AC11</f>
        <v>544.7380034642053</v>
      </c>
      <c r="AD12" s="18">
        <f>AD10-AD11</f>
        <v>560.1439551614169</v>
      </c>
      <c r="AE12" s="18">
        <f>AE10-AE11</f>
        <v>576.3340416755595</v>
      </c>
    </row>
    <row r="13">
      <c r="A13" s="2" t="inlineStr">
        <is>
          <t>Earnings per Share</t>
        </is>
      </c>
      <c r="B13" s="11">
        <f>IFERROR(B12/B14,0)</f>
        <v>0.8932146741503458</v>
      </c>
      <c r="C13" s="11">
        <f>IFERROR(C12/C14,0)</f>
        <v>0.8745494369039202</v>
      </c>
      <c r="D13" s="11">
        <f>IFERROR(D12/D14,0)</f>
        <v>0.9498666571208677</v>
      </c>
      <c r="E13" s="11">
        <f>IFERROR(E12/E14,0)</f>
        <v>1.2443514275643286</v>
      </c>
      <c r="F13" s="11">
        <f>IFERROR(F12/F14,0)</f>
        <v>0.8305233066915583</v>
      </c>
      <c r="G13" s="11">
        <f>IFERROR(G12/G14,0)</f>
        <v>2.2445677620740496</v>
      </c>
      <c r="H13" s="11">
        <f>IFERROR(H12/H14,0)</f>
        <v>3.8005275728094277</v>
      </c>
      <c r="I13" s="11">
        <f>IFERROR(I12/I14,0)</f>
        <v>4.799483575361059</v>
      </c>
      <c r="J13" s="11">
        <f>IFERROR(J12/J14,0)</f>
        <v>5.613266662703087</v>
      </c>
      <c r="K13" s="11">
        <f>IFERROR(K12/K14,0)</f>
        <v>6.832268385476904</v>
      </c>
      <c r="L13" s="11">
        <f>IFERROR(L12/L14,0)</f>
        <v>8.388585917180782</v>
      </c>
      <c r="M13" s="11">
        <f>IFERROR(M12/M14,0)</f>
        <v>9.568862204119306</v>
      </c>
      <c r="N13" s="11">
        <f>IFERROR(N12/N14,0)</f>
        <v>10.418631478133285</v>
      </c>
      <c r="O13" s="11">
        <f>IFERROR(O12/O14,0)</f>
        <v>11.23003105536414</v>
      </c>
      <c r="P13" s="11">
        <f>IFERROR(P12/P14,0)</f>
        <v>11.784818559430757</v>
      </c>
      <c r="Q13" s="11">
        <f>IFERROR(Q12/Q14,0)</f>
        <v>12.197803968795403</v>
      </c>
      <c r="R13" s="11">
        <f>IFERROR(R12/R14,0)</f>
        <v>12.550250903705836</v>
      </c>
      <c r="S13" s="11">
        <f>IFERROR(S12/S14,0)</f>
        <v>12.852329000262863</v>
      </c>
      <c r="T13" s="11">
        <f>IFERROR(T12/T14,0)</f>
        <v>8.808872332795064</v>
      </c>
      <c r="U13" s="11">
        <f>IFERROR(U12/U14,0)</f>
        <v>7.281850099816753</v>
      </c>
      <c r="V13" s="11">
        <f>IFERROR(V12/V14,0)</f>
        <v>6.132844532694033</v>
      </c>
      <c r="W13" s="11">
        <f>IFERROR(W12/W14,0)</f>
        <v>5.758342851957293</v>
      </c>
      <c r="X13" s="11">
        <f>IFERROR(X12/X14,0)</f>
        <v>4.9782995264945695</v>
      </c>
      <c r="Y13" s="11">
        <f>IFERROR(Y12/Y14,0)</f>
        <v>4.7397369916503775</v>
      </c>
      <c r="Z13" s="11">
        <f>IFERROR(Z12/Z14,0)</f>
        <v>4.7213906126995235</v>
      </c>
      <c r="AA13" s="11">
        <f>IFERROR(AA12/AA14,0)</f>
        <v>4.794499956667954</v>
      </c>
      <c r="AB13" s="11">
        <f>IFERROR(AB12/AB14,0)</f>
        <v>4.907389213210082</v>
      </c>
      <c r="AC13" s="11">
        <f>IFERROR(AC12/AC14,0)</f>
        <v>5.039279199155981</v>
      </c>
      <c r="AD13" s="11">
        <f>IFERROR(AD12/AD14,0)</f>
        <v>5.181797054413461</v>
      </c>
      <c r="AE13" s="11">
        <f>IFERROR(AE12/AE14,0)</f>
        <v>5.331568808328948</v>
      </c>
    </row>
    <row r="14">
      <c r="A14" s="2" t="inlineStr">
        <is>
          <t>Shares</t>
        </is>
      </c>
      <c r="B14" s="18" t="n">
        <v>125.963</v>
      </c>
      <c r="C14" s="18" t="n">
        <v>115.966</v>
      </c>
      <c r="D14" s="18" t="n">
        <v>111.742</v>
      </c>
      <c r="E14" s="18" t="n">
        <v>113.48</v>
      </c>
      <c r="F14" s="18" t="n">
        <v>119.987</v>
      </c>
      <c r="G14" s="18">
        <f>AVERAGE('Quarterly Model'!F14:I14)</f>
        <v>115.33</v>
      </c>
      <c r="H14" s="18">
        <f>Main!$C$4*(1+Assumptions!$B$26)^(H1-2026)</f>
        <v>108.098397</v>
      </c>
      <c r="I14" s="18">
        <f>Main!$C$4*(1+Assumptions!$B$26)^(I1-2026)</f>
        <v>108.098397</v>
      </c>
      <c r="J14" s="18">
        <f>Main!$C$4*(1+Assumptions!$B$26)^(J1-2026)</f>
        <v>108.098397</v>
      </c>
      <c r="K14" s="18">
        <f>Main!$C$4*(1+Assumptions!$B$26)^(K1-2026)</f>
        <v>108.098397</v>
      </c>
      <c r="L14" s="18">
        <f>Main!$C$4*(1+Assumptions!$B$26)^(L1-2026)</f>
        <v>108.098397</v>
      </c>
      <c r="M14" s="18">
        <f>Main!$C$4*(1+Assumptions!$B$26)^(M1-2026)</f>
        <v>108.098397</v>
      </c>
      <c r="N14" s="18">
        <f>Main!$C$4*(1+Assumptions!$B$26)^(N1-2026)</f>
        <v>108.098397</v>
      </c>
      <c r="O14" s="18">
        <f>Main!$C$4*(1+Assumptions!$B$26)^(O1-2026)</f>
        <v>108.098397</v>
      </c>
      <c r="P14" s="18">
        <f>Main!$C$4*(1+Assumptions!$B$26)^(P1-2026)</f>
        <v>108.098397</v>
      </c>
      <c r="Q14" s="18">
        <f>Main!$C$4*(1+Assumptions!$B$26)^(Q1-2026)</f>
        <v>108.098397</v>
      </c>
      <c r="R14" s="18">
        <f>Main!$C$4*(1+Assumptions!$B$26)^(R1-2026)</f>
        <v>108.098397</v>
      </c>
      <c r="S14" s="18">
        <f>Main!$C$4*(1+Assumptions!$B$26)^(S1-2026)</f>
        <v>108.098397</v>
      </c>
      <c r="T14" s="18">
        <f>Main!$C$4*(1+Assumptions!$B$26)^(T1-2026)</f>
        <v>108.098397</v>
      </c>
      <c r="U14" s="18">
        <f>Main!$C$4*(1+Assumptions!$B$26)^(U1-2026)</f>
        <v>108.098397</v>
      </c>
      <c r="V14" s="18">
        <f>Main!$C$4*(1+Assumptions!$B$26)^(V1-2026)</f>
        <v>108.098397</v>
      </c>
      <c r="W14" s="18">
        <f>Main!$C$4*(1+Assumptions!$B$26)^(W1-2026)</f>
        <v>108.098397</v>
      </c>
      <c r="X14" s="18">
        <f>Main!$C$4*(1+Assumptions!$B$26)^(X1-2026)</f>
        <v>108.098397</v>
      </c>
      <c r="Y14" s="18">
        <f>Main!$C$4*(1+Assumptions!$B$26)^(Y1-2026)</f>
        <v>108.098397</v>
      </c>
      <c r="Z14" s="18">
        <f>Main!$C$4*(1+Assumptions!$B$26)^(Z1-2026)</f>
        <v>108.098397</v>
      </c>
      <c r="AA14" s="18">
        <f>Main!$C$4*(1+Assumptions!$B$26)^(AA1-2026)</f>
        <v>108.098397</v>
      </c>
      <c r="AB14" s="18">
        <f>Main!$C$4*(1+Assumptions!$B$26)^(AB1-2026)</f>
        <v>108.098397</v>
      </c>
      <c r="AC14" s="18">
        <f>Main!$C$4*(1+Assumptions!$B$26)^(AC1-2026)</f>
        <v>108.098397</v>
      </c>
      <c r="AD14" s="18">
        <f>Main!$C$4*(1+Assumptions!$B$26)^(AD1-2026)</f>
        <v>108.098397</v>
      </c>
      <c r="AE14" s="18">
        <f>Main!$C$4*(1+Assumptions!$B$26)^(AE1-2026)</f>
        <v>108.098397</v>
      </c>
    </row>
    <row r="15"/>
    <row r="16" customFormat="1" s="4">
      <c r="A16" s="3" t="inlineStr">
        <is>
          <t>Revenue Change</t>
        </is>
      </c>
      <c r="B16" s="4" t="n"/>
      <c r="C16" s="14">
        <f>IFERROR(C2/B2-1,"")</f>
        <v>0.09803867992065096</v>
      </c>
      <c r="D16" s="14">
        <f>IFERROR(D2/C2-1,"")</f>
        <v>0.20036181934912323</v>
      </c>
      <c r="E16" s="14">
        <f>IFERROR(E2/D2-1,"")</f>
        <v>0.39940917336097437</v>
      </c>
      <c r="F16" s="14">
        <f>IFERROR(F2/E2-1,"")</f>
        <v>0.12794352927233943</v>
      </c>
      <c r="G16" s="14">
        <f>IFERROR(G2/F2-1,"")</f>
        <v>0.4854736034735694</v>
      </c>
      <c r="H16" s="14">
        <f>IFERROR(H2/G2-1,"")</f>
        <v>0.2219442111312495</v>
      </c>
      <c r="I16" s="14">
        <f>IFERROR(I2/H2-1,"")</f>
        <v>0.1653160453808753</v>
      </c>
      <c r="J16" s="14">
        <f>IFERROR(J2/I2-1,"")</f>
        <v>0.047051957083250606</v>
      </c>
      <c r="K16" s="14">
        <f>IFERROR(K2/J2-1,"")</f>
        <v>0.09372665061612717</v>
      </c>
      <c r="L16" s="14">
        <f>IFERROR(L2/K2-1,"")</f>
        <v>0.126375451028657</v>
      </c>
      <c r="M16" s="14">
        <f>IFERROR(M2/L2-1,"")</f>
        <v>0.05954551334699176</v>
      </c>
      <c r="N16" s="14">
        <f>IFERROR(N2/M2-1,"")</f>
        <v>0.054204196743374844</v>
      </c>
      <c r="O16" s="14">
        <f>IFERROR(O2/N2-1,"")</f>
        <v>0.024141413454464855</v>
      </c>
      <c r="P16" s="14">
        <f>IFERROR(P2/O2-1,"")</f>
        <v>0.017879129934651905</v>
      </c>
      <c r="Q16" s="14">
        <f>IFERROR(Q2/P2-1,"")</f>
        <v>0.0009911398502646662</v>
      </c>
      <c r="R16" s="14">
        <f>IFERROR(R2/Q2-1,"")</f>
        <v>-0.0008576902151570254</v>
      </c>
      <c r="S16" s="14">
        <f>IFERROR(S2/R2-1,"")</f>
        <v>-0.007370887667224935</v>
      </c>
      <c r="T16" s="14">
        <f>IFERROR(T2/S2-1,"")</f>
        <v>-0.45229041730370667</v>
      </c>
      <c r="U16" s="14">
        <f>IFERROR(U2/T2-1,"")</f>
        <v>-0.33387291045076706</v>
      </c>
      <c r="V16" s="14">
        <f>IFERROR(V2/U2-1,"")</f>
        <v>-0.3756921390175054</v>
      </c>
      <c r="W16" s="14">
        <f>IFERROR(W2/V2-1,"")</f>
        <v>-0.24552322901487678</v>
      </c>
      <c r="X16" s="14">
        <f>IFERROR(X2/W2-1,"")</f>
        <v>-0.5856446090162004</v>
      </c>
      <c r="Y16" s="14">
        <f>IFERROR(Y2/X2-1,"")</f>
        <v>-0.5740161622797115</v>
      </c>
      <c r="Z16" s="14">
        <f>IFERROR(Z2/Y2-1,"")</f>
        <v>-0.5542520711712715</v>
      </c>
      <c r="AA16" s="14">
        <f>IFERROR(AA2/Z2-1,"")</f>
        <v>-0.5230261221589887</v>
      </c>
      <c r="AB16" s="14">
        <f>IFERROR(AB2/AA2-1,"")</f>
        <v>-0.47896526190895183</v>
      </c>
      <c r="AC16" s="14">
        <f>IFERROR(AC2/AB2-1,"")</f>
        <v>-0.42577734854902616</v>
      </c>
      <c r="AD16" s="14">
        <f>IFERROR(AD2/AC2-1,"")</f>
        <v>-0.3724454299076244</v>
      </c>
      <c r="AE16" s="14">
        <f>IFERROR(AE2/AD2-1,"")</f>
        <v>-0.32804607646445827</v>
      </c>
    </row>
    <row r="17" customFormat="1" s="4">
      <c r="A17" s="3" t="inlineStr">
        <is>
          <t>Gross Margin</t>
        </is>
      </c>
      <c r="B17" s="14">
        <f>IFERROR(B4/B2,"")</f>
        <v>0.9855701708845886</v>
      </c>
      <c r="C17" s="14">
        <f>IFERROR(C4/C2,"")</f>
        <v>0.9865997441882456</v>
      </c>
      <c r="D17" s="14">
        <f>IFERROR(D4/D2,"")</f>
        <v>0.986564394920964</v>
      </c>
      <c r="E17" s="14">
        <f>IFERROR(E4/E2,"")</f>
        <v>0.9838794738089596</v>
      </c>
      <c r="F17" s="14">
        <f>IFERROR(F4/F2,"")</f>
        <v>0.9829565528029031</v>
      </c>
      <c r="G17" s="14">
        <f>IFERROR(G4/G2,"")</f>
        <v>0.9838168073913619</v>
      </c>
      <c r="H17" s="14">
        <f>IFERROR(H4/H2,"")</f>
        <v>0.9834368488075944</v>
      </c>
      <c r="I17" s="14">
        <f>IFERROR(I4/I2,"")</f>
        <v>0.9829492847208424</v>
      </c>
      <c r="J17" s="14">
        <f>IFERROR(J4/J2,"")</f>
        <v>0.9821125633027741</v>
      </c>
      <c r="K17" s="14">
        <f>IFERROR(K4/K2,"")</f>
        <v>0.9814486457618894</v>
      </c>
      <c r="L17" s="14">
        <f>IFERROR(L4/L2,"")</f>
        <v>0.9809645845179108</v>
      </c>
      <c r="M17" s="14">
        <f>IFERROR(M4/M2,"")</f>
        <v>0.9806827817958926</v>
      </c>
      <c r="N17" s="14">
        <f>IFERROR(N4/N2,"")</f>
        <v>0.9804857563159979</v>
      </c>
      <c r="O17" s="14">
        <f>IFERROR(O4/O2,"")</f>
        <v>0.980355729425851</v>
      </c>
      <c r="P17" s="14">
        <f>IFERROR(P4/P2,"")</f>
        <v>0.9802621107571047</v>
      </c>
      <c r="Q17" s="14">
        <f>IFERROR(Q4/Q2,"")</f>
        <v>0.9801963884194399</v>
      </c>
      <c r="R17" s="14">
        <f>IFERROR(R4/R2,"")</f>
        <v>0.9801474177533445</v>
      </c>
      <c r="S17" s="14">
        <f>IFERROR(S4/S2,"")</f>
        <v>0.9801113843162916</v>
      </c>
      <c r="T17" s="14">
        <f>IFERROR(T4/T2,"")</f>
        <v>0.9801525228695243</v>
      </c>
      <c r="U17" s="14">
        <f>IFERROR(U4/U2,"")</f>
        <v>0.9801717272183309</v>
      </c>
      <c r="V17" s="14">
        <f>IFERROR(V4/V2,"")</f>
        <v>0.9802063011244893</v>
      </c>
      <c r="W17" s="14">
        <f>IFERROR(W4/W2,"")</f>
        <v>0.9802050770140542</v>
      </c>
      <c r="X17" s="14">
        <f>IFERROR(X4/X2,"")</f>
        <v>0.9803711976817184</v>
      </c>
      <c r="Y17" s="14">
        <f>IFERROR(Y4/Y2,"")</f>
        <v>0.9806535418404104</v>
      </c>
      <c r="Z17" s="14">
        <f>IFERROR(Z4/Z2,"")</f>
        <v>0.9810996268263001</v>
      </c>
      <c r="AA17" s="14">
        <f>IFERROR(AA4/AA2,"")</f>
        <v>0.981729067687015</v>
      </c>
      <c r="AB17" s="14">
        <f>IFERROR(AB4/AB2,"")</f>
        <v>0.9824888950207282</v>
      </c>
      <c r="AC17" s="14">
        <f>IFERROR(AC4/AC2,"")</f>
        <v>0.9832507795727483</v>
      </c>
      <c r="AD17" s="14">
        <f>IFERROR(AD4/AD2,"")</f>
        <v>0.9838850560505077</v>
      </c>
      <c r="AE17" s="14">
        <f>IFERROR(AE4/AE2,"")</f>
        <v>0.9843362973796621</v>
      </c>
    </row>
    <row r="19">
      <c r="A19" s="13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A+E</t>
        </is>
      </c>
      <c r="H19" s="20" t="inlineStr">
        <is>
          <t>E</t>
        </is>
      </c>
      <c r="I19" s="20" t="inlineStr">
        <is>
          <t>E</t>
        </is>
      </c>
      <c r="J19" s="20" t="inlineStr">
        <is>
          <t>E</t>
        </is>
      </c>
      <c r="K19" s="20" t="inlineStr">
        <is>
          <t>E</t>
        </is>
      </c>
      <c r="L19" s="20" t="inlineStr">
        <is>
          <t>E</t>
        </is>
      </c>
      <c r="M19" s="20" t="inlineStr">
        <is>
          <t>E</t>
        </is>
      </c>
      <c r="N19" s="20" t="inlineStr">
        <is>
          <t>E</t>
        </is>
      </c>
      <c r="O19" s="20" t="inlineStr">
        <is>
          <t>E</t>
        </is>
      </c>
      <c r="P19" s="20" t="inlineStr">
        <is>
          <t>E</t>
        </is>
      </c>
      <c r="Q19" s="20" t="inlineStr">
        <is>
          <t>E</t>
        </is>
      </c>
      <c r="R19" s="20" t="inlineStr">
        <is>
          <t>E</t>
        </is>
      </c>
      <c r="S19" s="20" t="inlineStr">
        <is>
          <t>E</t>
        </is>
      </c>
      <c r="T19" s="20" t="inlineStr">
        <is>
          <t>E</t>
        </is>
      </c>
      <c r="U19" s="20" t="inlineStr">
        <is>
          <t>E</t>
        </is>
      </c>
      <c r="V19" s="20" t="inlineStr">
        <is>
          <t>E</t>
        </is>
      </c>
      <c r="W19" s="20" t="inlineStr">
        <is>
          <t>E</t>
        </is>
      </c>
      <c r="X19" s="20" t="inlineStr">
        <is>
          <t>E</t>
        </is>
      </c>
      <c r="Y19" s="20" t="inlineStr">
        <is>
          <t>E</t>
        </is>
      </c>
      <c r="Z19" s="20" t="inlineStr">
        <is>
          <t>E</t>
        </is>
      </c>
      <c r="AA19" s="20" t="inlineStr">
        <is>
          <t>E</t>
        </is>
      </c>
      <c r="AB19" s="20" t="inlineStr">
        <is>
          <t>E</t>
        </is>
      </c>
      <c r="AC19" s="20" t="inlineStr">
        <is>
          <t>E</t>
        </is>
      </c>
      <c r="AD19" s="20" t="inlineStr">
        <is>
          <t>E</t>
        </is>
      </c>
      <c r="AE19" s="20" t="inlineStr">
        <is>
          <t>E</t>
        </is>
      </c>
    </row>
    <row r="20">
      <c r="A20" s="13" t="inlineStr">
        <is>
          <t>Cash &amp; Investments</t>
        </is>
      </c>
      <c r="G20" s="18">
        <f>'Quarterly Model'!I20</f>
        <v>792.287</v>
      </c>
      <c r="H20" s="18">
        <f>G20+H12</f>
        <v>1203.117938375</v>
      </c>
      <c r="I20" s="18">
        <f>H20+I12</f>
        <v>1721.9344192993592</v>
      </c>
      <c r="J20" s="18">
        <f>I20+J12</f>
        <v>2328.7195474711025</v>
      </c>
      <c r="K20" s="18">
        <f>J20+K12</f>
        <v>3067.276807814934</v>
      </c>
      <c r="L20" s="18">
        <f>K20+L12</f>
        <v>3974.069498558951</v>
      </c>
      <c r="M20" s="18">
        <f>L20+M12</f>
        <v>5008.448163938135</v>
      </c>
      <c r="N20" s="18">
        <f>M20+N12</f>
        <v>6134.685525658084</v>
      </c>
      <c r="O20" s="18">
        <f>N20+O12</f>
        <v>7348.633881003166</v>
      </c>
      <c r="P20" s="18">
        <f>O20+P12</f>
        <v>8622.55387621348</v>
      </c>
      <c r="Q20" s="18">
        <f>P20+Q12</f>
        <v>9941.116932160501</v>
      </c>
      <c r="R20" s="18">
        <f>Q20+R12</f>
        <v>11297.778936798903</v>
      </c>
      <c r="S20" s="18">
        <f>R20+S12</f>
        <v>12687.09509944393</v>
      </c>
      <c r="T20" s="18">
        <f>S20+T12</f>
        <v>13639.320077996726</v>
      </c>
      <c r="U20" s="18">
        <f>T20+U12</f>
        <v>14426.476400981208</v>
      </c>
      <c r="V20" s="18">
        <f>U20+V12</f>
        <v>15089.427064015646</v>
      </c>
      <c r="W20" s="18">
        <f>V20+W12</f>
        <v>15711.894695688638</v>
      </c>
      <c r="X20" s="18">
        <f>W20+X12</f>
        <v>16250.040894288559</v>
      </c>
      <c r="Y20" s="18">
        <f>X20+Y12</f>
        <v>16762.398865287567</v>
      </c>
      <c r="Z20" s="18">
        <f>Y20+Z12</f>
        <v>17272.773622131233</v>
      </c>
      <c r="AA20" s="18">
        <f>Z20+AA12</f>
        <v>17791.05138186361</v>
      </c>
      <c r="AB20" s="18">
        <f>AA20+AB12</f>
        <v>18321.53228926671</v>
      </c>
      <c r="AC20" s="18">
        <f>AB20+AC12</f>
        <v>18866.270292730915</v>
      </c>
      <c r="AD20" s="18">
        <f>AC20+AD12</f>
        <v>19426.41424789233</v>
      </c>
      <c r="AE20" s="18">
        <f>AD20+AE12</f>
        <v>20002.74828956789</v>
      </c>
    </row>
    <row r="21">
      <c r="A21" s="13" t="inlineStr">
        <is>
          <t>Tax-Loss Pool</t>
        </is>
      </c>
      <c r="F21" s="18">
        <f>Assumptions!$B$18</f>
        <v>0</v>
      </c>
      <c r="G21" s="18">
        <f>F21-MIN(F21,MAX(0,G10))+MAX(0,-G10)</f>
        <v>0.0</v>
      </c>
      <c r="H21" s="18">
        <f>G21-MIN(G21,MAX(0,H10))+MAX(0,-H10)</f>
        <v>0.0</v>
      </c>
      <c r="I21" s="18">
        <f>H21-MIN(H21,MAX(0,I10))+MAX(0,-I10)</f>
        <v>0.0</v>
      </c>
      <c r="J21" s="18">
        <f>I21-MIN(I21,MAX(0,J10))+MAX(0,-J10)</f>
        <v>0.0</v>
      </c>
      <c r="K21" s="18">
        <f>J21-MIN(J21,MAX(0,K10))+MAX(0,-K10)</f>
        <v>0.0</v>
      </c>
      <c r="L21" s="18">
        <f>K21-MIN(K21,MAX(0,L10))+MAX(0,-L10)</f>
        <v>0.0</v>
      </c>
      <c r="M21" s="18">
        <f>L21-MIN(L21,MAX(0,M10))+MAX(0,-M10)</f>
        <v>0.0</v>
      </c>
      <c r="N21" s="18">
        <f>M21-MIN(M21,MAX(0,N10))+MAX(0,-N10)</f>
        <v>0.0</v>
      </c>
      <c r="O21" s="18">
        <f>N21-MIN(N21,MAX(0,O10))+MAX(0,-O10)</f>
        <v>0.0</v>
      </c>
      <c r="P21" s="18">
        <f>O21-MIN(O21,MAX(0,P10))+MAX(0,-P10)</f>
        <v>0.0</v>
      </c>
      <c r="Q21" s="18">
        <f>P21-MIN(P21,MAX(0,Q10))+MAX(0,-Q10)</f>
        <v>0.0</v>
      </c>
      <c r="R21" s="18">
        <f>Q21-MIN(Q21,MAX(0,R10))+MAX(0,-R10)</f>
        <v>0.0</v>
      </c>
      <c r="S21" s="18">
        <f>R21-MIN(R21,MAX(0,S10))+MAX(0,-S10)</f>
        <v>0.0</v>
      </c>
      <c r="T21" s="18">
        <f>S21-MIN(S21,MAX(0,T10))+MAX(0,-T10)</f>
        <v>0.0</v>
      </c>
      <c r="U21" s="18">
        <f>T21-MIN(T21,MAX(0,U10))+MAX(0,-U10)</f>
        <v>0.0</v>
      </c>
      <c r="V21" s="18">
        <f>U21-MIN(U21,MAX(0,V10))+MAX(0,-V10)</f>
        <v>0.0</v>
      </c>
      <c r="W21" s="18">
        <f>V21-MIN(V21,MAX(0,W10))+MAX(0,-W10)</f>
        <v>0.0</v>
      </c>
      <c r="X21" s="18">
        <f>W21-MIN(W21,MAX(0,X10))+MAX(0,-X10)</f>
        <v>0.0</v>
      </c>
      <c r="Y21" s="18">
        <f>X21-MIN(X21,MAX(0,Y10))+MAX(0,-Y10)</f>
        <v>0.0</v>
      </c>
      <c r="Z21" s="18">
        <f>Y21-MIN(Y21,MAX(0,Z10))+MAX(0,-Z10)</f>
        <v>0.0</v>
      </c>
      <c r="AA21" s="18">
        <f>Z21-MIN(Z21,MAX(0,AA10))+MAX(0,-AA10)</f>
        <v>0.0</v>
      </c>
      <c r="AB21" s="18">
        <f>AA21-MIN(AA21,MAX(0,AB10))+MAX(0,-AB10)</f>
        <v>0.0</v>
      </c>
      <c r="AC21" s="18">
        <f>AB21-MIN(AB21,MAX(0,AC10))+MAX(0,-AC10)</f>
        <v>0.0</v>
      </c>
      <c r="AD21" s="18">
        <f>AC21-MIN(AC21,MAX(0,AD10))+MAX(0,-AD10)</f>
        <v>0.0</v>
      </c>
      <c r="AE21" s="18">
        <f>AD21-MIN(AD21,MAX(0,AE10))+MAX(0,-AE10)</f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10" defaultRowHeight="16"/>
  <cols>
    <col width="26" customWidth="1" style="9" min="1" max="1"/>
    <col width="10" customWidth="1" style="9" min="2" max="2"/>
    <col width="10" customWidth="1" style="9" min="3" max="3"/>
    <col width="10" customWidth="1" style="9" min="4" max="4"/>
    <col width="10" customWidth="1" style="9" min="5" max="5"/>
    <col width="10" customWidth="1" style="9" min="6" max="6"/>
    <col width="10" customWidth="1" style="9" min="7" max="7"/>
    <col width="10" customWidth="1" style="9" min="8" max="8"/>
    <col width="10" customWidth="1" style="9" min="9" max="9"/>
  </cols>
  <sheetData>
    <row r="1">
      <c r="B1" s="21" t="inlineStr">
        <is>
          <t>Q1 2025</t>
        </is>
      </c>
      <c r="C1" s="21" t="inlineStr">
        <is>
          <t>Q2 2025</t>
        </is>
      </c>
      <c r="D1" s="21" t="inlineStr">
        <is>
          <t>Q3 2025</t>
        </is>
      </c>
      <c r="E1" s="21" t="inlineStr">
        <is>
          <t>Q4 2025</t>
        </is>
      </c>
      <c r="F1" s="21" t="inlineStr">
        <is>
          <t>Q1 2026</t>
        </is>
      </c>
      <c r="G1" s="21" t="inlineStr">
        <is>
          <t>Q2 2026</t>
        </is>
      </c>
      <c r="H1" s="21" t="inlineStr">
        <is>
          <t>Q3 2026</t>
        </is>
      </c>
      <c r="I1" s="21" t="inlineStr">
        <is>
          <t>Q4 2026</t>
        </is>
      </c>
    </row>
    <row r="2">
      <c r="A2" s="13" t="inlineStr">
        <is>
          <t>Revenue</t>
        </is>
      </c>
      <c r="B2" s="18">
        <f>SUM(B24:B25)</f>
        <v>157.21</v>
      </c>
      <c r="C2" s="18">
        <f>SUM(C24:C25)</f>
        <v>194.43</v>
      </c>
      <c r="D2" s="18">
        <f>SUM(D24:D25)</f>
        <v>207.64</v>
      </c>
      <c r="E2" s="18">
        <f>SUM(E24:E25)</f>
        <v>202.12</v>
      </c>
      <c r="F2" s="18">
        <f>SUM(F24:F25)</f>
        <v>164.9</v>
      </c>
      <c r="G2" s="18">
        <f>SUM(G24:G25)</f>
        <v>256.15000000000003</v>
      </c>
      <c r="H2" s="18">
        <f>SUM(H24:H25)</f>
        <v>330.0</v>
      </c>
      <c r="I2" s="18">
        <f>SUM(I24:I25)</f>
        <v>380.0</v>
      </c>
    </row>
    <row r="3">
      <c r="A3" s="13" t="inlineStr">
        <is>
          <t>Cost of Sales</t>
        </is>
      </c>
      <c r="B3" s="18" t="n">
        <v>2.403</v>
      </c>
      <c r="C3" s="18" t="n">
        <v>3.433</v>
      </c>
      <c r="D3" s="18" t="n">
        <v>4.596</v>
      </c>
      <c r="E3" s="18" t="n">
        <v>2.545</v>
      </c>
      <c r="F3" s="18" t="n">
        <v>2.883</v>
      </c>
      <c r="G3" s="18" t="n">
        <v>4.061</v>
      </c>
      <c r="H3" s="18">
        <f>H2*0.016</f>
        <v>5.28</v>
      </c>
      <c r="I3" s="18">
        <f>I2*0.016</f>
        <v>6.08</v>
      </c>
    </row>
    <row r="4">
      <c r="A4" s="13" t="inlineStr">
        <is>
          <t>Gross Margin</t>
        </is>
      </c>
      <c r="B4" s="18">
        <f>B2-B3</f>
        <v>154.80700000000002</v>
      </c>
      <c r="C4" s="18">
        <f>C2-C3</f>
        <v>190.997</v>
      </c>
      <c r="D4" s="18">
        <f>D2-D3</f>
        <v>203.04399999999998</v>
      </c>
      <c r="E4" s="18">
        <f>E2-E3</f>
        <v>199.57500000000002</v>
      </c>
      <c r="F4" s="18">
        <f>F2-F3</f>
        <v>162.017</v>
      </c>
      <c r="G4" s="18">
        <f>G2-G3</f>
        <v>252.08900000000003</v>
      </c>
      <c r="H4" s="18">
        <f>H2-H3</f>
        <v>324.72</v>
      </c>
      <c r="I4" s="18">
        <f>I2-I3</f>
        <v>373.92</v>
      </c>
    </row>
    <row r="5">
      <c r="A5" s="13" t="inlineStr">
        <is>
          <t>Research &amp; Dev.</t>
        </is>
      </c>
      <c r="B5" s="18" t="n">
        <v>60.735</v>
      </c>
      <c r="C5" s="18" t="n">
        <v>60.471</v>
      </c>
      <c r="D5" s="18" t="n">
        <v>68.846</v>
      </c>
      <c r="E5" s="18" t="n">
        <v>64.85599999999999</v>
      </c>
      <c r="F5" s="18" t="n">
        <v>66.265</v>
      </c>
      <c r="G5" s="18" t="n">
        <v>53.89</v>
      </c>
      <c r="H5" s="18" t="n">
        <v>58</v>
      </c>
      <c r="I5" s="18" t="n">
        <v>62</v>
      </c>
    </row>
    <row r="6">
      <c r="A6" s="13" t="inlineStr">
        <is>
          <t>General &amp; Admin</t>
        </is>
      </c>
      <c r="B6" s="18" t="n">
        <v>90.66</v>
      </c>
      <c r="C6" s="18" t="n">
        <v>103.851</v>
      </c>
      <c r="D6" s="18" t="n">
        <v>123.977</v>
      </c>
      <c r="E6" s="18" t="n">
        <v>130.237</v>
      </c>
      <c r="F6" s="18" t="n">
        <v>145.356</v>
      </c>
      <c r="G6" s="18" t="n">
        <v>156.896</v>
      </c>
      <c r="H6" s="18" t="n">
        <v>165</v>
      </c>
      <c r="I6" s="18" t="n">
        <v>175</v>
      </c>
    </row>
    <row r="7">
      <c r="A7" s="13" t="inlineStr">
        <is>
          <t>Operating Expense</t>
        </is>
      </c>
      <c r="B7" s="18">
        <f>SUM(B5:B6)</f>
        <v>151.39499999999998</v>
      </c>
      <c r="C7" s="18">
        <f>SUM(C5:C6)</f>
        <v>164.322</v>
      </c>
      <c r="D7" s="18">
        <f>SUM(D5:D6)</f>
        <v>192.823</v>
      </c>
      <c r="E7" s="18">
        <f>SUM(E5:E6)</f>
        <v>195.093</v>
      </c>
      <c r="F7" s="18">
        <f>SUM(F5:F6)</f>
        <v>211.62099999999998</v>
      </c>
      <c r="G7" s="18">
        <f>SUM(G5:G6)</f>
        <v>210.786</v>
      </c>
      <c r="H7" s="18">
        <f>SUM(H5:H6)</f>
        <v>223.0</v>
      </c>
      <c r="I7" s="18">
        <f>SUM(I5:I6)</f>
        <v>237.0</v>
      </c>
    </row>
    <row r="8">
      <c r="A8" s="13" t="inlineStr">
        <is>
          <t>Operating Income</t>
        </is>
      </c>
      <c r="B8" s="18">
        <f>B4-B7</f>
        <v>3.4120000000000346</v>
      </c>
      <c r="C8" s="18">
        <f>C4-C7</f>
        <v>26.67500000000001</v>
      </c>
      <c r="D8" s="18">
        <f>D4-D7</f>
        <v>10.220999999999975</v>
      </c>
      <c r="E8" s="18">
        <f>E4-E7</f>
        <v>4.482000000000028</v>
      </c>
      <c r="F8" s="18">
        <f>F4-F7</f>
        <v>-49.603999999999985</v>
      </c>
      <c r="G8" s="18">
        <f>G4-G7</f>
        <v>41.303000000000026</v>
      </c>
      <c r="H8" s="18">
        <f>H4-H7</f>
        <v>101.72000000000003</v>
      </c>
      <c r="I8" s="18">
        <f>I4-I7</f>
        <v>136.92000000000002</v>
      </c>
    </row>
    <row r="9">
      <c r="A9" s="13" t="inlineStr">
        <is>
          <t>Interest &amp; Other</t>
        </is>
      </c>
      <c r="B9" s="18" t="n">
        <v>6.202</v>
      </c>
      <c r="C9" s="18" t="n">
        <v>5.017</v>
      </c>
      <c r="D9" s="18" t="n">
        <v>5.024</v>
      </c>
      <c r="E9" s="18" t="n">
        <v>5.423</v>
      </c>
      <c r="F9" s="18" t="n">
        <v>4.886</v>
      </c>
      <c r="G9" s="18" t="n">
        <v>4.631</v>
      </c>
      <c r="H9" s="18" t="n">
        <v>4.5</v>
      </c>
      <c r="I9" s="18" t="n">
        <v>4.5</v>
      </c>
    </row>
    <row r="10">
      <c r="A10" s="13" t="inlineStr">
        <is>
          <t>Pretax</t>
        </is>
      </c>
      <c r="B10" s="18">
        <f>B8+B9</f>
        <v>9.614000000000035</v>
      </c>
      <c r="C10" s="18">
        <f>C8+C9</f>
        <v>31.69200000000001</v>
      </c>
      <c r="D10" s="18">
        <f>D8+D9</f>
        <v>15.244999999999976</v>
      </c>
      <c r="E10" s="18">
        <f>E8+E9</f>
        <v>9.905000000000028</v>
      </c>
      <c r="F10" s="18">
        <f>F8+F9</f>
        <v>-44.71799999999998</v>
      </c>
      <c r="G10" s="18">
        <f>G8+G9</f>
        <v>45.934000000000026</v>
      </c>
      <c r="H10" s="18">
        <f>H8+H9</f>
        <v>106.22000000000003</v>
      </c>
      <c r="I10" s="18">
        <f>I8+I9</f>
        <v>141.42000000000002</v>
      </c>
    </row>
    <row r="11">
      <c r="A11" s="13" t="inlineStr">
        <is>
          <t>Taxes</t>
        </is>
      </c>
      <c r="B11" s="18" t="n">
        <v>-10.929</v>
      </c>
      <c r="C11" s="18" t="n">
        <v>-3.457</v>
      </c>
      <c r="D11" s="18" t="n">
        <v>-4.425</v>
      </c>
      <c r="E11" s="18" t="n">
        <v>-14.378</v>
      </c>
      <c r="F11" s="18" t="n">
        <v>-12.954</v>
      </c>
      <c r="G11" s="18" t="n">
        <v>2.944</v>
      </c>
      <c r="H11" s="18" t="n">
        <v>0</v>
      </c>
      <c r="I11" s="18" t="n">
        <v>0</v>
      </c>
    </row>
    <row r="12">
      <c r="A12" s="13" t="inlineStr">
        <is>
          <t>Net Income</t>
        </is>
      </c>
      <c r="B12" s="18">
        <f>B10-B11</f>
        <v>20.543000000000035</v>
      </c>
      <c r="C12" s="18">
        <f>C10-C11</f>
        <v>35.14900000000001</v>
      </c>
      <c r="D12" s="18">
        <f>D10-D11</f>
        <v>19.669999999999977</v>
      </c>
      <c r="E12" s="18">
        <f>E10-E11</f>
        <v>24.28300000000003</v>
      </c>
      <c r="F12" s="18">
        <f>F10-F11</f>
        <v>-31.76399999999998</v>
      </c>
      <c r="G12" s="18">
        <f>G10-G11</f>
        <v>42.99000000000002</v>
      </c>
      <c r="H12" s="18">
        <f>H10-H11</f>
        <v>106.22000000000003</v>
      </c>
      <c r="I12" s="18">
        <f>I10-I11</f>
        <v>141.42000000000002</v>
      </c>
    </row>
    <row r="13">
      <c r="A13" s="13" t="inlineStr">
        <is>
          <t>Earnings per Share</t>
        </is>
      </c>
      <c r="B13" s="11">
        <f>IFERROR(B12/B14,0)</f>
        <v>0.17145027082516157</v>
      </c>
      <c r="C13" s="11">
        <f>IFERROR(C12/C14,0)</f>
        <v>0.29172926090384704</v>
      </c>
      <c r="D13" s="11">
        <f>IFERROR(D12/D14,0)</f>
        <v>0.16468657641138973</v>
      </c>
      <c r="E13" s="11">
        <f>IFERROR(E12/E14,0)</f>
        <v>0.20201322740318647</v>
      </c>
      <c r="F13" s="11">
        <f>IFERROR(F12/F14,0)</f>
        <v>-0.3041509072628906</v>
      </c>
      <c r="G13" s="11">
        <f>IFERROR(G12/G14,0)</f>
        <v>0.36313722177640767</v>
      </c>
      <c r="H13" s="11">
        <f>IFERROR(H12/H14,0)</f>
        <v>0.8926050420168069</v>
      </c>
      <c r="I13" s="11">
        <f>IFERROR(I12/I14,0)</f>
        <v>1.1834309623430963</v>
      </c>
    </row>
    <row r="14">
      <c r="A14" s="13" t="inlineStr">
        <is>
          <t>Shares</t>
        </is>
      </c>
      <c r="B14" s="18" t="n">
        <v>119.819</v>
      </c>
      <c r="C14" s="18" t="n">
        <v>120.485</v>
      </c>
      <c r="D14" s="18" t="n">
        <v>119.439</v>
      </c>
      <c r="E14" s="18" t="n">
        <v>120.205</v>
      </c>
      <c r="F14" s="18" t="n">
        <v>104.435</v>
      </c>
      <c r="G14" s="18" t="n">
        <v>118.385</v>
      </c>
      <c r="H14" s="18" t="n">
        <v>119</v>
      </c>
      <c r="I14" s="18" t="n">
        <v>119.5</v>
      </c>
    </row>
    <row r="16">
      <c r="A16" s="13" t="inlineStr">
        <is>
          <t>Revenue Change (YoY)</t>
        </is>
      </c>
      <c r="F16" s="14">
        <f>IFERROR(F2/B2-1,"")</f>
        <v>0.04891546339291386</v>
      </c>
      <c r="G16" s="14">
        <f>IFERROR(G2/C2-1,"")</f>
        <v>0.3174407241680812</v>
      </c>
      <c r="H16" s="14">
        <f>IFERROR(H2/D2-1,"")</f>
        <v>0.589289154305529</v>
      </c>
      <c r="I16" s="14">
        <f>IFERROR(I2/E2-1,"")</f>
        <v>0.8800712448050663</v>
      </c>
    </row>
    <row r="17">
      <c r="A17" s="13" t="inlineStr">
        <is>
          <t>Gross Margin</t>
        </is>
      </c>
      <c r="B17" s="14">
        <f>IFERROR(B4/B2,"")</f>
        <v>0.984714712804529</v>
      </c>
      <c r="C17" s="14">
        <f>IFERROR(C4/C2,"")</f>
        <v>0.9823432597850127</v>
      </c>
      <c r="D17" s="14">
        <f>IFERROR(D4/D2,"")</f>
        <v>0.9778655365054902</v>
      </c>
      <c r="E17" s="14">
        <f>IFERROR(E4/E2,"")</f>
        <v>0.9874084702157135</v>
      </c>
      <c r="F17" s="14">
        <f>IFERROR(F4/F2,"")</f>
        <v>0.9825166767738023</v>
      </c>
      <c r="G17" s="14">
        <f>IFERROR(G4/G2,"")</f>
        <v>0.9841460081983213</v>
      </c>
      <c r="H17" s="14">
        <f>IFERROR(H4/H2,"")</f>
        <v>0.9840000000000001</v>
      </c>
      <c r="I17" s="14">
        <f>IFERROR(I4/I2,"")</f>
        <v>0.9840000000000001</v>
      </c>
    </row>
    <row r="19">
      <c r="A19" s="13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E</t>
        </is>
      </c>
      <c r="I19" s="20" t="inlineStr">
        <is>
          <t>E</t>
        </is>
      </c>
    </row>
    <row r="20">
      <c r="A20" s="13" t="inlineStr">
        <is>
          <t>Cash &amp; Investments</t>
        </is>
      </c>
      <c r="G20" s="18" t="n">
        <v>544.647</v>
      </c>
      <c r="H20" s="18">
        <f>G20+H12+H21</f>
        <v>650.8670000000001</v>
      </c>
      <c r="I20" s="18">
        <f>H20+I12+I21</f>
        <v>792.287</v>
      </c>
    </row>
    <row r="21">
      <c r="A21" s="13" t="inlineStr">
        <is>
          <t>Other Cash Flows (est.)</t>
        </is>
      </c>
      <c r="H21" s="18" t="n">
        <v>0</v>
      </c>
      <c r="I21" s="18" t="n">
        <v>0</v>
      </c>
    </row>
    <row r="23">
      <c r="A23" s="22" t="inlineStr">
        <is>
          <t>Revenue by Product</t>
        </is>
      </c>
    </row>
    <row r="24">
      <c r="A24" s="13" t="inlineStr">
        <is>
          <t>Korlym + authorized generic</t>
        </is>
      </c>
      <c r="B24" s="18" t="n">
        <v>157.21</v>
      </c>
      <c r="C24" s="18" t="n">
        <v>194.43</v>
      </c>
      <c r="D24" s="18" t="n">
        <v>207.64</v>
      </c>
      <c r="E24" s="18" t="n">
        <v>202.12</v>
      </c>
      <c r="F24" s="18" t="n">
        <v>164.9</v>
      </c>
      <c r="G24" s="18" t="n">
        <v>208.55</v>
      </c>
      <c r="H24" s="18" t="n">
        <v>245</v>
      </c>
      <c r="I24" s="18" t="n">
        <v>270</v>
      </c>
    </row>
    <row r="25">
      <c r="A25" s="13" t="inlineStr">
        <is>
          <t>Lifyorli</t>
        </is>
      </c>
      <c r="B25" s="18" t="n">
        <v>0</v>
      </c>
      <c r="C25" s="18" t="n">
        <v>0</v>
      </c>
      <c r="D25" s="18" t="n">
        <v>0</v>
      </c>
      <c r="E25" s="18" t="n">
        <v>0</v>
      </c>
      <c r="F25" s="18" t="n">
        <v>0</v>
      </c>
      <c r="G25" s="18" t="n">
        <v>47.6</v>
      </c>
      <c r="H25" s="18" t="n">
        <v>85</v>
      </c>
      <c r="I25" s="18" t="n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style="9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3" t="inlineStr">
        <is>
          <t>CORT — rNPV assumptions ($mm unless noted)</t>
        </is>
      </c>
    </row>
    <row r="4">
      <c r="A4" s="22" t="inlineStr">
        <is>
          <t>Scenario (1 = Bear, 2 = Base, 3 = Bull)</t>
        </is>
      </c>
      <c r="B4" s="24" t="n">
        <v>2</v>
      </c>
      <c r="C4" s="22" t="str">
        <f>CHOOSE($B$4,"Bear","Base","Bull")</f>
        <v>Base</v>
      </c>
    </row>
    <row r="5">
      <c r="A5" s="25" t="inlineStr">
        <is>
          <t>Overrides (blank = scenario value; the sensitivity tables drive these)</t>
        </is>
      </c>
    </row>
    <row r="6">
      <c r="A6" s="13" t="inlineStr">
        <is>
          <t>Discount rate override</t>
        </is>
      </c>
      <c r="B6" s="26" t="n"/>
    </row>
    <row r="7">
      <c r="A7" s="13" t="inlineStr">
        <is>
          <t>PDUFA approval probability override</t>
        </is>
      </c>
      <c r="B7" s="26" t="n"/>
    </row>
    <row r="8">
      <c r="A8" s="13" t="inlineStr">
        <is>
          <t>PDUFA program peak sales override ($mm)</t>
        </is>
      </c>
      <c r="B8" s="27" t="n"/>
    </row>
    <row r="10">
      <c r="A10" s="28" t="inlineStr">
        <is>
          <t>Parameter</t>
        </is>
      </c>
      <c r="B10" s="29" t="inlineStr">
        <is>
          <t>Active</t>
        </is>
      </c>
      <c r="C10" s="29" t="inlineStr">
        <is>
          <t>Bear</t>
        </is>
      </c>
      <c r="D10" s="29" t="inlineStr">
        <is>
          <t>Base</t>
        </is>
      </c>
      <c r="E10" s="29" t="inlineStr">
        <is>
          <t>Bull</t>
        </is>
      </c>
    </row>
    <row r="12">
      <c r="A12" s="30" t="inlineStr">
        <is>
          <t>Valuation &amp; corporate</t>
        </is>
      </c>
      <c r="B12" s="31" t="n"/>
      <c r="C12" s="31" t="n"/>
      <c r="D12" s="31" t="n"/>
      <c r="E12" s="31" t="n"/>
    </row>
    <row r="13">
      <c r="A13" s="13" t="inlineStr">
        <is>
          <t>Valuation date</t>
        </is>
      </c>
      <c r="B13" s="32">
        <f>DATE(2026,10,16)</f>
        <v>46311</v>
      </c>
    </row>
    <row r="14">
      <c r="A14" s="13" t="inlineStr">
        <is>
          <t>Discount rate (cost of equity)</t>
        </is>
      </c>
      <c r="B14" s="33">
        <f>IF(ISNUMBER($B$6),$B$6,CHOOSE($B$4,C14,D14,E14))</f>
        <v>0.095</v>
      </c>
      <c r="C14" s="34" t="n">
        <v>0.11</v>
      </c>
      <c r="D14" s="34" t="n">
        <v>0.095</v>
      </c>
      <c r="E14" s="34" t="n">
        <v>0.08500000000000001</v>
      </c>
    </row>
    <row r="15">
      <c r="A15" s="13" t="inlineStr">
        <is>
          <t>Tax rate</t>
        </is>
      </c>
      <c r="B15" s="33">
        <f>CHOOSE($B$4,C15,D15,E15)</f>
        <v>0.21</v>
      </c>
      <c r="C15" s="35" t="n">
        <v>0.21</v>
      </c>
      <c r="D15" s="35" t="n">
        <v>0.21</v>
      </c>
      <c r="E15" s="35" t="n">
        <v>0.21</v>
      </c>
    </row>
    <row r="16">
      <c r="A16" s="13" t="inlineStr">
        <is>
          <t>Interest yield on cash</t>
        </is>
      </c>
      <c r="B16" s="33">
        <f>CHOOSE($B$4,C16,D16,E16)</f>
        <v>0.0375</v>
      </c>
      <c r="C16" s="35" t="n">
        <v>0.0375</v>
      </c>
      <c r="D16" s="35" t="n">
        <v>0.0375</v>
      </c>
      <c r="E16" s="35" t="n">
        <v>0.0375</v>
      </c>
    </row>
    <row r="17">
      <c r="A17" s="13" t="inlineStr">
        <is>
          <t>Average cash cost of debt (P&amp;L display only)</t>
        </is>
      </c>
      <c r="B17" s="33">
        <f>CHOOSE($B$4,C17,D17,E17)</f>
        <v>0.025</v>
      </c>
      <c r="C17" s="35" t="n">
        <v>0.025</v>
      </c>
      <c r="D17" s="35" t="n">
        <v>0.025</v>
      </c>
      <c r="E17" s="35" t="n">
        <v>0.025</v>
      </c>
    </row>
    <row r="18">
      <c r="A18" s="13" t="inlineStr">
        <is>
          <t>Tax-loss pool at 12/31/2025</t>
        </is>
      </c>
      <c r="B18" s="36">
        <f>CHOOSE($B$4,C18,D18,E18)</f>
        <v>0</v>
      </c>
      <c r="C18" s="37" t="n">
        <v>0</v>
      </c>
      <c r="D18" s="37" t="n">
        <v>0</v>
      </c>
      <c r="E18" s="37" t="n">
        <v>0</v>
      </c>
    </row>
    <row r="19">
      <c r="A19" s="13" t="inlineStr">
        <is>
          <t>Corporate G&amp;A, 2027</t>
        </is>
      </c>
      <c r="B19" s="36">
        <f>CHOOSE($B$4,C19,D19,E19)</f>
        <v>120</v>
      </c>
      <c r="C19" s="37" t="n">
        <v>120</v>
      </c>
      <c r="D19" s="37" t="n">
        <v>120</v>
      </c>
      <c r="E19" s="37" t="n">
        <v>120</v>
      </c>
    </row>
    <row r="20">
      <c r="A20" s="13" t="inlineStr">
        <is>
          <t>Platform / unallocated R&amp;D, 2027</t>
        </is>
      </c>
      <c r="B20" s="36">
        <f>CHOOSE($B$4,C20,D20,E20)</f>
        <v>120</v>
      </c>
      <c r="C20" s="37" t="n">
        <v>120</v>
      </c>
      <c r="D20" s="37" t="n">
        <v>120</v>
      </c>
      <c r="E20" s="37" t="n">
        <v>120</v>
      </c>
    </row>
    <row r="21">
      <c r="A21" s="13" t="inlineStr">
        <is>
          <t>Cost inflation</t>
        </is>
      </c>
      <c r="B21" s="33">
        <f>CHOOSE($B$4,C21,D21,E21)</f>
        <v>0.03</v>
      </c>
      <c r="C21" s="35" t="n">
        <v>0.03</v>
      </c>
      <c r="D21" s="35" t="n">
        <v>0.03</v>
      </c>
      <c r="E21" s="35" t="n">
        <v>0.03</v>
      </c>
    </row>
    <row r="22">
      <c r="A22" s="13" t="inlineStr">
        <is>
          <t>Corporate G&amp;A floor, % of revenue</t>
        </is>
      </c>
      <c r="B22" s="33">
        <f>CHOOSE($B$4,C22,D22,E22)</f>
        <v>0.1</v>
      </c>
      <c r="C22" s="35" t="n">
        <v>0.1</v>
      </c>
      <c r="D22" s="35" t="n">
        <v>0.1</v>
      </c>
      <c r="E22" s="35" t="n">
        <v>0.1</v>
      </c>
    </row>
    <row r="23">
      <c r="A23" s="13" t="inlineStr">
        <is>
          <t>Platform R&amp;D floor, % of revenue</t>
        </is>
      </c>
      <c r="B23" s="33">
        <f>CHOOSE($B$4,C23,D23,E23)</f>
        <v>0.1</v>
      </c>
      <c r="C23" s="35" t="n">
        <v>0.1</v>
      </c>
      <c r="D23" s="35" t="n">
        <v>0.1</v>
      </c>
      <c r="E23" s="35" t="n">
        <v>0.1</v>
      </c>
    </row>
    <row r="24">
      <c r="A24" s="13" t="inlineStr">
        <is>
          <t>Corporate cost cut after a CRL (2027+)</t>
        </is>
      </c>
      <c r="B24" s="33">
        <f>CHOOSE($B$4,C24,D24,E24)</f>
        <v>0</v>
      </c>
      <c r="C24" s="35" t="n">
        <v>0</v>
      </c>
      <c r="D24" s="35" t="n">
        <v>0</v>
      </c>
      <c r="E24" s="35" t="n">
        <v>0</v>
      </c>
    </row>
    <row r="25">
      <c r="A25" s="13" t="inlineStr">
        <is>
          <t>Last year of base-level corporate costs (then % of revenue only)</t>
        </is>
      </c>
      <c r="B25" s="38">
        <f>CHOOSE($B$4,C25,D25,E25)</f>
        <v>2029</v>
      </c>
      <c r="C25" s="39" t="n">
        <v>2029</v>
      </c>
      <c r="D25" s="39" t="n">
        <v>2029</v>
      </c>
      <c r="E25" s="39" t="n">
        <v>2029</v>
      </c>
    </row>
    <row r="26">
      <c r="A26" s="13" t="inlineStr">
        <is>
          <t>Annual share count growth (EPS display only)</t>
        </is>
      </c>
      <c r="B26" s="33">
        <f>CHOOSE($B$4,C26,D26,E26)</f>
        <v>0</v>
      </c>
      <c r="C26" s="35" t="n">
        <v>0</v>
      </c>
      <c r="D26" s="35" t="n">
        <v>0</v>
      </c>
      <c r="E26" s="35" t="n">
        <v>0</v>
      </c>
    </row>
    <row r="27">
      <c r="A27" s="13" t="inlineStr">
        <is>
          <t>Wind-down cost for liquidation value</t>
        </is>
      </c>
      <c r="B27" s="36">
        <f>CHOOSE($B$4,C27,D27,E27)</f>
        <v>50</v>
      </c>
      <c r="C27" s="37" t="n">
        <v>50</v>
      </c>
      <c r="D27" s="37" t="n">
        <v>50</v>
      </c>
      <c r="E27" s="37" t="n">
        <v>50</v>
      </c>
    </row>
    <row r="29">
      <c r="A29" s="30" t="inlineStr">
        <is>
          <t>PDUFA event</t>
        </is>
      </c>
      <c r="B29" s="31" t="n"/>
      <c r="C29" s="31" t="n"/>
      <c r="D29" s="31" t="n"/>
      <c r="E29" s="31" t="n"/>
    </row>
    <row r="30">
      <c r="A30" s="13" t="inlineStr">
        <is>
          <t>PDUFA target action date</t>
        </is>
      </c>
      <c r="B30" s="32">
        <f>DATE(2026,12,17)</f>
        <v>46373</v>
      </c>
    </row>
    <row r="31">
      <c r="A31" s="13" t="inlineStr">
        <is>
          <t>Application</t>
        </is>
      </c>
      <c r="B31" s="25" t="inlineStr">
        <is>
          <t>Relacorilant NDA resubmission, hypercortisolism (Cushing's syndrome)</t>
        </is>
      </c>
    </row>
    <row r="32">
      <c r="A32" s="13" t="inlineStr">
        <is>
          <t>Probability of approval at this PDUFA</t>
        </is>
      </c>
      <c r="B32" s="33">
        <f>IF(ISNUMBER($B$7),$B$7,CHOOSE($B$4,C32,D32,E32))</f>
        <v>0.6</v>
      </c>
      <c r="C32" s="34" t="n">
        <v>0.45</v>
      </c>
      <c r="D32" s="34" t="n">
        <v>0.6</v>
      </c>
      <c r="E32" s="34" t="n">
        <v>0.75</v>
      </c>
    </row>
    <row r="33">
      <c r="A33" s="13" t="inlineStr">
        <is>
          <t>Probability of approval later, after a CRL</t>
        </is>
      </c>
      <c r="B33" s="33">
        <f>CHOOSE($B$4,C33,D33,E33)</f>
        <v>0.4</v>
      </c>
      <c r="C33" s="35" t="n">
        <v>0.3</v>
      </c>
      <c r="D33" s="35" t="n">
        <v>0.4</v>
      </c>
      <c r="E33" s="35" t="n">
        <v>0.5</v>
      </c>
    </row>
    <row r="34">
      <c r="A34" s="13" t="inlineStr">
        <is>
          <t>Launch delay after a CRL (years)</t>
        </is>
      </c>
      <c r="B34" s="38">
        <f>CHOOSE($B$4,C34,D34,E34)</f>
        <v>2</v>
      </c>
      <c r="C34" s="39" t="n">
        <v>2</v>
      </c>
      <c r="D34" s="39" t="n">
        <v>2</v>
      </c>
      <c r="E34" s="39" t="n">
        <v>2</v>
      </c>
    </row>
    <row r="35">
      <c r="A35" s="13" t="inlineStr">
        <is>
          <t>Probability of approval, scenario value (before override)</t>
        </is>
      </c>
      <c r="B35" s="40">
        <f>CHOOSE($B$4,C32,D32,E32)</f>
        <v>0.6</v>
      </c>
    </row>
    <row r="36">
      <c r="A36" s="13" t="inlineStr">
        <is>
          <t>Read-through: relative cut to other programs' PoS after a CRL</t>
        </is>
      </c>
      <c r="B36" s="33">
        <f>CHOOSE($B$4,C36,D36,E36)</f>
        <v>0</v>
      </c>
      <c r="C36" s="35" t="n">
        <v>0</v>
      </c>
      <c r="D36" s="35" t="n">
        <v>0</v>
      </c>
      <c r="E36" s="35" t="n">
        <v>0</v>
      </c>
    </row>
    <row r="37">
      <c r="A37" s="13" t="inlineStr">
        <is>
          <t>Read-through multiplier on other programs' PoS (1 = none)</t>
        </is>
      </c>
      <c r="B37" s="41">
        <f>1+$B$36*($B$32-$B$35)/$B$35</f>
        <v>1.0</v>
      </c>
    </row>
    <row r="38">
      <c r="A38" s="13" t="inlineStr">
        <is>
          <t>Expected corporate cost multiplier (2027+)</t>
        </is>
      </c>
      <c r="B38" s="41">
        <f>$B$32+(1-$B$32)*(1-$B$24)</f>
        <v>1.0</v>
      </c>
    </row>
    <row r="40">
      <c r="A40" s="30" t="inlineStr">
        <is>
          <t>Commercial curves (by year since launch)</t>
        </is>
      </c>
      <c r="B40" s="31" t="n"/>
      <c r="C40" s="31" t="n"/>
      <c r="D40" s="31" t="n"/>
      <c r="E40" s="31" t="n"/>
      <c r="F40" s="31" t="n"/>
      <c r="G40" s="31" t="n"/>
      <c r="H40" s="31" t="n"/>
    </row>
    <row r="41">
      <c r="A41" s="22" t="inlineStr">
        <is>
          <t>Year since launch</t>
        </is>
      </c>
      <c r="B41" s="42" t="n">
        <v>1</v>
      </c>
      <c r="C41" s="42" t="n">
        <v>2</v>
      </c>
      <c r="D41" s="42" t="n">
        <v>3</v>
      </c>
      <c r="E41" s="42" t="n">
        <v>4</v>
      </c>
      <c r="F41" s="42" t="n">
        <v>5</v>
      </c>
      <c r="G41" s="42" t="n">
        <v>6</v>
      </c>
      <c r="H41" s="42" t="n">
        <v>7</v>
      </c>
    </row>
    <row r="42">
      <c r="A42" s="13" t="inlineStr">
        <is>
          <t>Ramp 1 — standard launch, % of peak</t>
        </is>
      </c>
      <c r="B42" s="43" t="n">
        <v>0.1</v>
      </c>
      <c r="C42" s="43" t="n">
        <v>0.25</v>
      </c>
      <c r="D42" s="43" t="n">
        <v>0.45</v>
      </c>
      <c r="E42" s="43" t="n">
        <v>0.65</v>
      </c>
      <c r="F42" s="43" t="n">
        <v>0.82</v>
      </c>
      <c r="G42" s="43" t="n">
        <v>0.93</v>
      </c>
      <c r="H42" s="43" t="n">
        <v>1</v>
      </c>
    </row>
    <row r="43">
      <c r="A43" s="13" t="inlineStr">
        <is>
          <t>Ramp 2 — orphan-disease launch, % of peak</t>
        </is>
      </c>
      <c r="B43" s="43" t="n">
        <v>0.15</v>
      </c>
      <c r="C43" s="43" t="n">
        <v>0.35</v>
      </c>
      <c r="D43" s="43" t="n">
        <v>0.55</v>
      </c>
      <c r="E43" s="43" t="n">
        <v>0.75</v>
      </c>
      <c r="F43" s="43" t="n">
        <v>0.9</v>
      </c>
      <c r="G43" s="43" t="n">
        <v>1</v>
      </c>
      <c r="H43" s="43" t="n">
        <v>1</v>
      </c>
    </row>
    <row r="44">
      <c r="A44" s="13" t="inlineStr">
        <is>
          <t>Commercial SG&amp;A, % of sales (years 1–5; floor = program maturity %)</t>
        </is>
      </c>
      <c r="B44" s="43" t="n">
        <v>0.9</v>
      </c>
      <c r="C44" s="43" t="n">
        <v>0.55</v>
      </c>
      <c r="D44" s="43" t="n">
        <v>0.4</v>
      </c>
      <c r="E44" s="43" t="n">
        <v>0.32</v>
      </c>
      <c r="F44" s="43" t="n">
        <v>0.28</v>
      </c>
    </row>
    <row r="46">
      <c r="A46" s="30" t="inlineStr">
        <is>
          <t>Korlym + authorized generic (mifepristone) — hypercortisolism  (marketed)</t>
        </is>
      </c>
      <c r="B46" s="31" t="n"/>
      <c r="C46" s="31" t="n"/>
      <c r="D46" s="31" t="n"/>
      <c r="E46" s="31" t="n"/>
    </row>
    <row r="47">
      <c r="A47" s="13" t="inlineStr">
        <is>
          <t>Launch year (first commercial year)</t>
        </is>
      </c>
      <c r="B47" s="39" t="n">
        <v>2012</v>
      </c>
    </row>
    <row r="48">
      <c r="A48" s="13" t="inlineStr">
        <is>
          <t>Peak net sales, unrisked</t>
        </is>
      </c>
      <c r="B48" s="36">
        <f>CHOOSE($B$4,C48,D48,E48)</f>
        <v>950</v>
      </c>
      <c r="C48" s="44" t="n">
        <v>900</v>
      </c>
      <c r="D48" s="44" t="n">
        <v>950</v>
      </c>
      <c r="E48" s="44" t="n">
        <v>1000</v>
      </c>
    </row>
    <row r="49">
      <c r="A49" s="13" t="inlineStr">
        <is>
          <t>Year peak is reached</t>
        </is>
      </c>
      <c r="B49" s="38">
        <f>CHOOSE($B$4,C49,D49,E49)</f>
        <v>2027</v>
      </c>
      <c r="C49" s="39" t="n">
        <v>2027</v>
      </c>
      <c r="D49" s="39" t="n">
        <v>2027</v>
      </c>
      <c r="E49" s="39" t="n">
        <v>2027</v>
      </c>
    </row>
    <row r="50">
      <c r="A50" s="13" t="inlineStr">
        <is>
          <t>Path to peak (1 = straight line, &gt;1 = slower start)</t>
        </is>
      </c>
      <c r="B50" s="45" t="n">
        <v>1</v>
      </c>
    </row>
    <row r="51">
      <c r="A51" s="13" t="inlineStr">
        <is>
          <t>Company revenue, % of product net sales</t>
        </is>
      </c>
      <c r="B51" s="35" t="n">
        <v>1</v>
      </c>
    </row>
    <row r="52">
      <c r="A52" s="13" t="inlineStr">
        <is>
          <t>Cost of goods, % of product sales</t>
        </is>
      </c>
      <c r="B52" s="35" t="n">
        <v>0.015</v>
      </c>
    </row>
    <row r="53">
      <c r="A53" s="13" t="inlineStr">
        <is>
          <t>Royalties owed, % of product sales</t>
        </is>
      </c>
      <c r="B53" s="35" t="n">
        <v>0</v>
      </c>
    </row>
    <row r="54">
      <c r="A54" s="13" t="inlineStr">
        <is>
          <t>Commercial SG&amp;A at maturity, % of sales</t>
        </is>
      </c>
      <c r="B54" s="35" t="n">
        <v>0.25</v>
      </c>
    </row>
    <row r="55">
      <c r="A55" s="13" t="inlineStr">
        <is>
          <t>Loss of exclusivity (year)</t>
        </is>
      </c>
      <c r="B55" s="38">
        <f>CHOOSE($B$4,C55,D55,E55)</f>
        <v>2028</v>
      </c>
      <c r="C55" s="39" t="n">
        <v>2027</v>
      </c>
      <c r="D55" s="39" t="n">
        <v>2028</v>
      </c>
      <c r="E55" s="39" t="n">
        <v>2029</v>
      </c>
    </row>
    <row r="56">
      <c r="A56" s="13" t="inlineStr">
        <is>
          <t>Post-LOE annual sales erosion</t>
        </is>
      </c>
      <c r="B56" s="33">
        <f>CHOOSE($B$4,C56,D56,E56)</f>
        <v>0.25</v>
      </c>
      <c r="C56" s="35" t="n">
        <v>0.35</v>
      </c>
      <c r="D56" s="35" t="n">
        <v>0.25</v>
      </c>
      <c r="E56" s="35" t="n">
        <v>0.15</v>
      </c>
    </row>
    <row r="57">
      <c r="A57" s="13" t="inlineStr">
        <is>
          <t>2026E net sales (Quarterly Model)</t>
        </is>
      </c>
      <c r="B57" s="36">
        <f>SUM('Quarterly Model'!F24:I24)</f>
        <v>888.45</v>
      </c>
    </row>
    <row r="59">
      <c r="A59" s="30" t="inlineStr">
        <is>
          <t>Lifyorli (relacorilant) — platinum-resistant ovarian cancer  (marketed)</t>
        </is>
      </c>
      <c r="B59" s="31" t="n"/>
      <c r="C59" s="31" t="n"/>
      <c r="D59" s="31" t="n"/>
      <c r="E59" s="31" t="n"/>
    </row>
    <row r="60">
      <c r="A60" s="13" t="inlineStr">
        <is>
          <t>Launch year (first commercial year)</t>
        </is>
      </c>
      <c r="B60" s="39" t="n">
        <v>2026</v>
      </c>
    </row>
    <row r="61">
      <c r="A61" s="13" t="inlineStr">
        <is>
          <t>Peak net sales, unrisked</t>
        </is>
      </c>
      <c r="B61" s="36">
        <f>CHOOSE($B$4,C61,D61,E61)</f>
        <v>800</v>
      </c>
      <c r="C61" s="44" t="n">
        <v>500</v>
      </c>
      <c r="D61" s="44" t="n">
        <v>800</v>
      </c>
      <c r="E61" s="44" t="n">
        <v>1200</v>
      </c>
    </row>
    <row r="62">
      <c r="A62" s="13" t="inlineStr">
        <is>
          <t>Year peak is reached</t>
        </is>
      </c>
      <c r="B62" s="38">
        <f>CHOOSE($B$4,C62,D62,E62)</f>
        <v>2031</v>
      </c>
      <c r="C62" s="39" t="n">
        <v>2031</v>
      </c>
      <c r="D62" s="39" t="n">
        <v>2031</v>
      </c>
      <c r="E62" s="39" t="n">
        <v>2031</v>
      </c>
    </row>
    <row r="63">
      <c r="A63" s="13" t="inlineStr">
        <is>
          <t>Path to peak (1 = straight line, &gt;1 = slower start)</t>
        </is>
      </c>
      <c r="B63" s="45" t="n">
        <v>1</v>
      </c>
    </row>
    <row r="64">
      <c r="A64" s="13" t="inlineStr">
        <is>
          <t>Company revenue, % of product net sales</t>
        </is>
      </c>
      <c r="B64" s="35" t="n">
        <v>1</v>
      </c>
    </row>
    <row r="65">
      <c r="A65" s="13" t="inlineStr">
        <is>
          <t>Cost of goods, % of product sales</t>
        </is>
      </c>
      <c r="B65" s="35" t="n">
        <v>0.02</v>
      </c>
    </row>
    <row r="66">
      <c r="A66" s="13" t="inlineStr">
        <is>
          <t>Royalties owed, % of product sales</t>
        </is>
      </c>
      <c r="B66" s="35" t="n">
        <v>0</v>
      </c>
    </row>
    <row r="67">
      <c r="A67" s="13" t="inlineStr">
        <is>
          <t>Commercial SG&amp;A at maturity, % of sales</t>
        </is>
      </c>
      <c r="B67" s="35" t="n">
        <v>0.25</v>
      </c>
    </row>
    <row r="68">
      <c r="A68" s="13" t="inlineStr">
        <is>
          <t>Loss of exclusivity (year)</t>
        </is>
      </c>
      <c r="B68" s="38">
        <f>CHOOSE($B$4,C68,D68,E68)</f>
        <v>2038</v>
      </c>
      <c r="C68" s="39" t="n">
        <v>2038</v>
      </c>
      <c r="D68" s="39" t="n">
        <v>2038</v>
      </c>
      <c r="E68" s="39" t="n">
        <v>2038</v>
      </c>
    </row>
    <row r="69">
      <c r="A69" s="13" t="inlineStr">
        <is>
          <t>Post-LOE annual sales erosion</t>
        </is>
      </c>
      <c r="B69" s="35" t="n">
        <v>0.6</v>
      </c>
    </row>
    <row r="70">
      <c r="A70" s="13" t="inlineStr">
        <is>
          <t>2026E net sales (Quarterly Model)</t>
        </is>
      </c>
      <c r="B70" s="36">
        <f>SUM('Quarterly Model'!F25:I25)</f>
        <v>242.6</v>
      </c>
    </row>
    <row r="72">
      <c r="A72" s="30" t="inlineStr">
        <is>
          <t>Relacorilant — hypercortisolism (incremental to Korlym)  (PDUFA)</t>
        </is>
      </c>
      <c r="B72" s="31" t="n"/>
      <c r="C72" s="31" t="n"/>
      <c r="D72" s="31" t="n"/>
      <c r="E72" s="31" t="n"/>
    </row>
    <row r="73">
      <c r="A73" s="13" t="inlineStr">
        <is>
          <t>Launch year (first full year of sales)</t>
        </is>
      </c>
      <c r="B73" s="38">
        <f>CHOOSE($B$4,C73,D73,E73)</f>
        <v>2027</v>
      </c>
      <c r="C73" s="39" t="n">
        <v>2027</v>
      </c>
      <c r="D73" s="39" t="n">
        <v>2027</v>
      </c>
      <c r="E73" s="39" t="n">
        <v>2027</v>
      </c>
    </row>
    <row r="74">
      <c r="A74" s="13" t="inlineStr">
        <is>
          <t>Peak net sales, unrisked</t>
        </is>
      </c>
      <c r="B74" s="36">
        <f>IF(ISNUMBER($B$8),$B$8,CHOOSE($B$4,C74,D74,E74))</f>
        <v>1300</v>
      </c>
      <c r="C74" s="44" t="n">
        <v>600</v>
      </c>
      <c r="D74" s="44" t="n">
        <v>1300</v>
      </c>
      <c r="E74" s="44" t="n">
        <v>2000</v>
      </c>
    </row>
    <row r="75">
      <c r="A75" s="13" t="inlineStr">
        <is>
          <t>Probability of approval (PDUFA event above)</t>
        </is>
      </c>
      <c r="B75" s="33">
        <f>$B$32</f>
        <v>0.6</v>
      </c>
    </row>
    <row r="76">
      <c r="A76" s="13" t="inlineStr">
        <is>
          <t>Company revenue, % of product net sales</t>
        </is>
      </c>
      <c r="B76" s="35" t="n">
        <v>1</v>
      </c>
    </row>
    <row r="77">
      <c r="A77" s="13" t="inlineStr">
        <is>
          <t>Cost of goods, % of product sales</t>
        </is>
      </c>
      <c r="B77" s="35" t="n">
        <v>0.02</v>
      </c>
    </row>
    <row r="78">
      <c r="A78" s="13" t="inlineStr">
        <is>
          <t>Royalties owed, % of product sales</t>
        </is>
      </c>
      <c r="B78" s="35" t="n">
        <v>0</v>
      </c>
    </row>
    <row r="79">
      <c r="A79" s="13" t="inlineStr">
        <is>
          <t>Commercial SG&amp;A at maturity, % of sales</t>
        </is>
      </c>
      <c r="B79" s="35" t="n">
        <v>0.2</v>
      </c>
    </row>
    <row r="80">
      <c r="A80" s="13" t="inlineStr">
        <is>
          <t>Pre-launch commercial spend, year before launch</t>
        </is>
      </c>
      <c r="B80" s="37" t="n">
        <v>15</v>
      </c>
    </row>
    <row r="81">
      <c r="A81" s="13" t="inlineStr">
        <is>
          <t>Launch ramp (1 = standard, 2 = orphan)</t>
        </is>
      </c>
      <c r="B81" s="39" t="n">
        <v>1</v>
      </c>
    </row>
    <row r="82">
      <c r="A82" s="13" t="inlineStr">
        <is>
          <t>Loss of exclusivity (year)</t>
        </is>
      </c>
      <c r="B82" s="38">
        <f>CHOOSE($B$4,C82,D82,E82)</f>
        <v>2038</v>
      </c>
      <c r="C82" s="39" t="n">
        <v>2038</v>
      </c>
      <c r="D82" s="39" t="n">
        <v>2038</v>
      </c>
      <c r="E82" s="39" t="n">
        <v>2038</v>
      </c>
    </row>
    <row r="83">
      <c r="A83" s="13" t="inlineStr">
        <is>
          <t>Post-LOE annual sales erosion</t>
        </is>
      </c>
      <c r="B83" s="35" t="n">
        <v>0.6</v>
      </c>
    </row>
    <row r="84">
      <c r="A84" s="25" t="inlineStr">
        <is>
          <t>Development spend, unrisked ($mm) by year</t>
        </is>
      </c>
      <c r="B84" s="42" t="n">
        <v>2027</v>
      </c>
      <c r="C84" s="42" t="n">
        <v>2028</v>
      </c>
      <c r="D84" s="42" t="n">
        <v>2029</v>
      </c>
      <c r="E84" s="42" t="n">
        <v>2030</v>
      </c>
      <c r="F84" s="42" t="n">
        <v>2031</v>
      </c>
      <c r="G84" s="42" t="n">
        <v>2032</v>
      </c>
      <c r="H84" s="42" t="n">
        <v>2033</v>
      </c>
      <c r="I84" s="42" t="n">
        <v>2034</v>
      </c>
    </row>
    <row r="85">
      <c r="A85" s="13" t="inlineStr">
        <is>
          <t xml:space="preserve">  Cost</t>
        </is>
      </c>
      <c r="B85" s="37" t="n">
        <v>10</v>
      </c>
      <c r="C85" s="37" t="n">
        <v>0</v>
      </c>
      <c r="D85" s="37" t="n">
        <v>0</v>
      </c>
      <c r="E85" s="37" t="n">
        <v>0</v>
      </c>
      <c r="F85" s="37" t="n">
        <v>0</v>
      </c>
      <c r="G85" s="37" t="n">
        <v>0</v>
      </c>
      <c r="H85" s="37" t="n">
        <v>0</v>
      </c>
      <c r="I85" s="37" t="n">
        <v>0</v>
      </c>
    </row>
    <row r="86">
      <c r="A86" s="13" t="inlineStr">
        <is>
          <t xml:space="preserve">  Probability the cost is incurred</t>
        </is>
      </c>
      <c r="B86" s="43" t="n">
        <v>1</v>
      </c>
      <c r="C86" s="43" t="n">
        <v>1</v>
      </c>
      <c r="D86" s="43" t="n">
        <v>1</v>
      </c>
      <c r="E86" s="43" t="n">
        <v>1</v>
      </c>
      <c r="F86" s="43" t="n">
        <v>1</v>
      </c>
      <c r="G86" s="43" t="n">
        <v>1</v>
      </c>
      <c r="H86" s="43" t="n">
        <v>1</v>
      </c>
      <c r="I86" s="43" t="n">
        <v>1</v>
      </c>
    </row>
    <row r="88">
      <c r="A88" s="30" t="inlineStr">
        <is>
          <t>Relacorilant / nenocorilant — other oncology (BELLA, STELLA, combos)  (pipeline)</t>
        </is>
      </c>
      <c r="B88" s="31" t="n"/>
      <c r="C88" s="31" t="n"/>
      <c r="D88" s="31" t="n"/>
      <c r="E88" s="31" t="n"/>
    </row>
    <row r="89">
      <c r="A89" s="13" t="inlineStr">
        <is>
          <t>Launch year (first full year of sales)</t>
        </is>
      </c>
      <c r="B89" s="38">
        <f>CHOOSE($B$4,C89,D89,E89)</f>
        <v>2029</v>
      </c>
      <c r="C89" s="39" t="n">
        <v>2029</v>
      </c>
      <c r="D89" s="39" t="n">
        <v>2029</v>
      </c>
      <c r="E89" s="39" t="n">
        <v>2029</v>
      </c>
    </row>
    <row r="90">
      <c r="A90" s="13" t="inlineStr">
        <is>
          <t>Peak net sales, unrisked</t>
        </is>
      </c>
      <c r="B90" s="36">
        <f>CHOOSE($B$4,C90,D90,E90)</f>
        <v>1000</v>
      </c>
      <c r="C90" s="44" t="n">
        <v>500</v>
      </c>
      <c r="D90" s="44" t="n">
        <v>1000</v>
      </c>
      <c r="E90" s="44" t="n">
        <v>2000</v>
      </c>
    </row>
    <row r="91">
      <c r="A91" s="13" t="inlineStr">
        <is>
          <t>Probability of reaching market</t>
        </is>
      </c>
      <c r="B91" s="33">
        <f>CHOOSE($B$4,C91,D91,E91)</f>
        <v>0.25</v>
      </c>
      <c r="C91" s="34" t="n">
        <v>0.2</v>
      </c>
      <c r="D91" s="34" t="n">
        <v>0.25</v>
      </c>
      <c r="E91" s="34" t="n">
        <v>0.35</v>
      </c>
    </row>
    <row r="92">
      <c r="A92" s="13" t="inlineStr">
        <is>
          <t>Company revenue, % of product net sales</t>
        </is>
      </c>
      <c r="B92" s="35" t="n">
        <v>1</v>
      </c>
    </row>
    <row r="93">
      <c r="A93" s="13" t="inlineStr">
        <is>
          <t>Cost of goods, % of product sales</t>
        </is>
      </c>
      <c r="B93" s="35" t="n">
        <v>0.02</v>
      </c>
    </row>
    <row r="94">
      <c r="A94" s="13" t="inlineStr">
        <is>
          <t>Royalties owed, % of product sales</t>
        </is>
      </c>
      <c r="B94" s="35" t="n">
        <v>0</v>
      </c>
    </row>
    <row r="95">
      <c r="A95" s="13" t="inlineStr">
        <is>
          <t>Commercial SG&amp;A at maturity, % of sales</t>
        </is>
      </c>
      <c r="B95" s="35" t="n">
        <v>0.2</v>
      </c>
    </row>
    <row r="96">
      <c r="A96" s="13" t="inlineStr">
        <is>
          <t>Pre-launch commercial spend, year before launch</t>
        </is>
      </c>
      <c r="B96" s="37" t="n">
        <v>20</v>
      </c>
    </row>
    <row r="97">
      <c r="A97" s="13" t="inlineStr">
        <is>
          <t>Launch ramp (1 = standard, 2 = orphan)</t>
        </is>
      </c>
      <c r="B97" s="39" t="n">
        <v>1</v>
      </c>
    </row>
    <row r="98">
      <c r="A98" s="13" t="inlineStr">
        <is>
          <t>Loss of exclusivity (year)</t>
        </is>
      </c>
      <c r="B98" s="38">
        <f>CHOOSE($B$4,C98,D98,E98)</f>
        <v>2040</v>
      </c>
      <c r="C98" s="39" t="n">
        <v>2040</v>
      </c>
      <c r="D98" s="39" t="n">
        <v>2040</v>
      </c>
      <c r="E98" s="39" t="n">
        <v>2040</v>
      </c>
    </row>
    <row r="99">
      <c r="A99" s="13" t="inlineStr">
        <is>
          <t>Post-LOE annual sales erosion</t>
        </is>
      </c>
      <c r="B99" s="35" t="n">
        <v>0.6</v>
      </c>
    </row>
    <row r="100">
      <c r="A100" s="25" t="inlineStr">
        <is>
          <t>Development spend, unrisked ($mm) by year</t>
        </is>
      </c>
      <c r="B100" s="42" t="n">
        <v>2027</v>
      </c>
      <c r="C100" s="42" t="n">
        <v>2028</v>
      </c>
      <c r="D100" s="42" t="n">
        <v>2029</v>
      </c>
      <c r="E100" s="42" t="n">
        <v>2030</v>
      </c>
      <c r="F100" s="42" t="n">
        <v>2031</v>
      </c>
      <c r="G100" s="42" t="n">
        <v>2032</v>
      </c>
      <c r="H100" s="42" t="n">
        <v>2033</v>
      </c>
      <c r="I100" s="42" t="n">
        <v>2034</v>
      </c>
    </row>
    <row r="101">
      <c r="A101" s="13" t="inlineStr">
        <is>
          <t xml:space="preserve">  Cost</t>
        </is>
      </c>
      <c r="B101" s="37" t="n">
        <v>40</v>
      </c>
      <c r="C101" s="37" t="n">
        <v>40</v>
      </c>
      <c r="D101" s="37" t="n">
        <v>0</v>
      </c>
      <c r="E101" s="37" t="n">
        <v>0</v>
      </c>
      <c r="F101" s="37" t="n">
        <v>0</v>
      </c>
      <c r="G101" s="37" t="n">
        <v>0</v>
      </c>
      <c r="H101" s="37" t="n">
        <v>0</v>
      </c>
      <c r="I101" s="37" t="n">
        <v>0</v>
      </c>
    </row>
    <row r="102">
      <c r="A102" s="13" t="inlineStr">
        <is>
          <t xml:space="preserve">  Probability the cost is incurred</t>
        </is>
      </c>
      <c r="B102" s="43" t="n">
        <v>1</v>
      </c>
      <c r="C102" s="43" t="n">
        <v>1</v>
      </c>
      <c r="D102" s="43" t="n">
        <v>1</v>
      </c>
      <c r="E102" s="43" t="n">
        <v>1</v>
      </c>
      <c r="F102" s="43" t="n">
        <v>1</v>
      </c>
      <c r="G102" s="43" t="n">
        <v>1</v>
      </c>
      <c r="H102" s="43" t="n">
        <v>1</v>
      </c>
      <c r="I102" s="43" t="n">
        <v>1</v>
      </c>
    </row>
    <row r="104">
      <c r="A104" s="30" t="inlineStr">
        <is>
          <t>Dazucorilant — ALS (Phase 3 planned)  (pipeline)</t>
        </is>
      </c>
      <c r="B104" s="31" t="n"/>
      <c r="C104" s="31" t="n"/>
      <c r="D104" s="31" t="n"/>
      <c r="E104" s="31" t="n"/>
    </row>
    <row r="105">
      <c r="A105" s="13" t="inlineStr">
        <is>
          <t>Launch year (first full year of sales)</t>
        </is>
      </c>
      <c r="B105" s="38">
        <f>CHOOSE($B$4,C105,D105,E105)</f>
        <v>2031</v>
      </c>
      <c r="C105" s="39" t="n">
        <v>2031</v>
      </c>
      <c r="D105" s="39" t="n">
        <v>2031</v>
      </c>
      <c r="E105" s="39" t="n">
        <v>2031</v>
      </c>
    </row>
    <row r="106">
      <c r="A106" s="13" t="inlineStr">
        <is>
          <t>Peak net sales, unrisked</t>
        </is>
      </c>
      <c r="B106" s="36">
        <f>CHOOSE($B$4,C106,D106,E106)</f>
        <v>1000</v>
      </c>
      <c r="C106" s="44" t="n">
        <v>500</v>
      </c>
      <c r="D106" s="44" t="n">
        <v>1000</v>
      </c>
      <c r="E106" s="44" t="n">
        <v>1500</v>
      </c>
    </row>
    <row r="107">
      <c r="A107" s="13" t="inlineStr">
        <is>
          <t>Probability of reaching market</t>
        </is>
      </c>
      <c r="B107" s="33">
        <f>CHOOSE($B$4,C107,D107,E107)</f>
        <v>0.15</v>
      </c>
      <c r="C107" s="34" t="n">
        <v>0.1</v>
      </c>
      <c r="D107" s="34" t="n">
        <v>0.15</v>
      </c>
      <c r="E107" s="34" t="n">
        <v>0.2</v>
      </c>
    </row>
    <row r="108">
      <c r="A108" s="13" t="inlineStr">
        <is>
          <t>Company revenue, % of product net sales</t>
        </is>
      </c>
      <c r="B108" s="35" t="n">
        <v>1</v>
      </c>
    </row>
    <row r="109">
      <c r="A109" s="13" t="inlineStr">
        <is>
          <t>Cost of goods, % of product sales</t>
        </is>
      </c>
      <c r="B109" s="35" t="n">
        <v>0.02</v>
      </c>
    </row>
    <row r="110">
      <c r="A110" s="13" t="inlineStr">
        <is>
          <t>Royalties owed, % of product sales</t>
        </is>
      </c>
      <c r="B110" s="35" t="n">
        <v>0</v>
      </c>
    </row>
    <row r="111">
      <c r="A111" s="13" t="inlineStr">
        <is>
          <t>Commercial SG&amp;A at maturity, % of sales</t>
        </is>
      </c>
      <c r="B111" s="35" t="n">
        <v>0.25</v>
      </c>
    </row>
    <row r="112">
      <c r="A112" s="13" t="inlineStr">
        <is>
          <t>Pre-launch commercial spend, year before launch</t>
        </is>
      </c>
      <c r="B112" s="37" t="n">
        <v>25</v>
      </c>
    </row>
    <row r="113">
      <c r="A113" s="13" t="inlineStr">
        <is>
          <t>Launch ramp (1 = standard, 2 = orphan)</t>
        </is>
      </c>
      <c r="B113" s="39" t="n">
        <v>1</v>
      </c>
    </row>
    <row r="114">
      <c r="A114" s="13" t="inlineStr">
        <is>
          <t>Loss of exclusivity (year)</t>
        </is>
      </c>
      <c r="B114" s="38">
        <f>CHOOSE($B$4,C114,D114,E114)</f>
        <v>2042</v>
      </c>
      <c r="C114" s="39" t="n">
        <v>2042</v>
      </c>
      <c r="D114" s="39" t="n">
        <v>2042</v>
      </c>
      <c r="E114" s="39" t="n">
        <v>2042</v>
      </c>
    </row>
    <row r="115">
      <c r="A115" s="13" t="inlineStr">
        <is>
          <t>Post-LOE annual sales erosion</t>
        </is>
      </c>
      <c r="B115" s="35" t="n">
        <v>0.6</v>
      </c>
    </row>
    <row r="116">
      <c r="A116" s="25" t="inlineStr">
        <is>
          <t>Development spend, unrisked ($mm) by year</t>
        </is>
      </c>
      <c r="B116" s="42" t="n">
        <v>2027</v>
      </c>
      <c r="C116" s="42" t="n">
        <v>2028</v>
      </c>
      <c r="D116" s="42" t="n">
        <v>2029</v>
      </c>
      <c r="E116" s="42" t="n">
        <v>2030</v>
      </c>
      <c r="F116" s="42" t="n">
        <v>2031</v>
      </c>
      <c r="G116" s="42" t="n">
        <v>2032</v>
      </c>
      <c r="H116" s="42" t="n">
        <v>2033</v>
      </c>
      <c r="I116" s="42" t="n">
        <v>2034</v>
      </c>
    </row>
    <row r="117">
      <c r="A117" s="13" t="inlineStr">
        <is>
          <t xml:space="preserve">  Cost</t>
        </is>
      </c>
      <c r="B117" s="37" t="n">
        <v>30</v>
      </c>
      <c r="C117" s="37" t="n">
        <v>50</v>
      </c>
      <c r="D117" s="37" t="n">
        <v>50</v>
      </c>
      <c r="E117" s="37" t="n">
        <v>30</v>
      </c>
      <c r="F117" s="37" t="n">
        <v>0</v>
      </c>
      <c r="G117" s="37" t="n">
        <v>0</v>
      </c>
      <c r="H117" s="37" t="n">
        <v>0</v>
      </c>
      <c r="I117" s="37" t="n">
        <v>0</v>
      </c>
    </row>
    <row r="118">
      <c r="A118" s="13" t="inlineStr">
        <is>
          <t xml:space="preserve">  Probability the cost is incurred</t>
        </is>
      </c>
      <c r="B118" s="43" t="n">
        <v>1</v>
      </c>
      <c r="C118" s="43" t="n">
        <v>1</v>
      </c>
      <c r="D118" s="43" t="n">
        <v>1</v>
      </c>
      <c r="E118" s="43" t="n">
        <v>0.5</v>
      </c>
      <c r="F118" s="43" t="n">
        <v>1</v>
      </c>
      <c r="G118" s="43" t="n">
        <v>1</v>
      </c>
      <c r="H118" s="43" t="n">
        <v>1</v>
      </c>
      <c r="I118" s="43" t="n">
        <v>1</v>
      </c>
    </row>
    <row r="120">
      <c r="A120" s="30" t="inlineStr">
        <is>
          <t>Miricorilant — MASH (MONARCH Phase 2b, data YE26)  (pipeline)</t>
        </is>
      </c>
      <c r="B120" s="31" t="n"/>
      <c r="C120" s="31" t="n"/>
      <c r="D120" s="31" t="n"/>
      <c r="E120" s="31" t="n"/>
    </row>
    <row r="121">
      <c r="A121" s="13" t="inlineStr">
        <is>
          <t>Launch year (first full year of sales)</t>
        </is>
      </c>
      <c r="B121" s="38">
        <f>CHOOSE($B$4,C121,D121,E121)</f>
        <v>2031</v>
      </c>
      <c r="C121" s="39" t="n">
        <v>2031</v>
      </c>
      <c r="D121" s="39" t="n">
        <v>2031</v>
      </c>
      <c r="E121" s="39" t="n">
        <v>2031</v>
      </c>
    </row>
    <row r="122">
      <c r="A122" s="13" t="inlineStr">
        <is>
          <t>Peak net sales, unrisked</t>
        </is>
      </c>
      <c r="B122" s="36">
        <f>CHOOSE($B$4,C122,D122,E122)</f>
        <v>2000</v>
      </c>
      <c r="C122" s="44" t="n">
        <v>1000</v>
      </c>
      <c r="D122" s="44" t="n">
        <v>2000</v>
      </c>
      <c r="E122" s="44" t="n">
        <v>3000</v>
      </c>
    </row>
    <row r="123">
      <c r="A123" s="13" t="inlineStr">
        <is>
          <t>Probability of reaching market</t>
        </is>
      </c>
      <c r="B123" s="33">
        <f>CHOOSE($B$4,C123,D123,E123)</f>
        <v>0.08</v>
      </c>
      <c r="C123" s="34" t="n">
        <v>0.05</v>
      </c>
      <c r="D123" s="34" t="n">
        <v>0.08</v>
      </c>
      <c r="E123" s="34" t="n">
        <v>0.12</v>
      </c>
    </row>
    <row r="124">
      <c r="A124" s="13" t="inlineStr">
        <is>
          <t>Company revenue, % of product net sales</t>
        </is>
      </c>
      <c r="B124" s="35" t="n">
        <v>1</v>
      </c>
    </row>
    <row r="125">
      <c r="A125" s="13" t="inlineStr">
        <is>
          <t>Cost of goods, % of product sales</t>
        </is>
      </c>
      <c r="B125" s="35" t="n">
        <v>0.02</v>
      </c>
    </row>
    <row r="126">
      <c r="A126" s="13" t="inlineStr">
        <is>
          <t>Royalties owed, % of product sales</t>
        </is>
      </c>
      <c r="B126" s="35" t="n">
        <v>0</v>
      </c>
    </row>
    <row r="127">
      <c r="A127" s="13" t="inlineStr">
        <is>
          <t>Commercial SG&amp;A at maturity, % of sales</t>
        </is>
      </c>
      <c r="B127" s="35" t="n">
        <v>0.25</v>
      </c>
    </row>
    <row r="128">
      <c r="A128" s="13" t="inlineStr">
        <is>
          <t>Pre-launch commercial spend, year before launch</t>
        </is>
      </c>
      <c r="B128" s="37" t="n">
        <v>30</v>
      </c>
    </row>
    <row r="129">
      <c r="A129" s="13" t="inlineStr">
        <is>
          <t>Launch ramp (1 = standard, 2 = orphan)</t>
        </is>
      </c>
      <c r="B129" s="39" t="n">
        <v>1</v>
      </c>
    </row>
    <row r="130">
      <c r="A130" s="13" t="inlineStr">
        <is>
          <t>Loss of exclusivity (year)</t>
        </is>
      </c>
      <c r="B130" s="38">
        <f>CHOOSE($B$4,C130,D130,E130)</f>
        <v>2042</v>
      </c>
      <c r="C130" s="39" t="n">
        <v>2042</v>
      </c>
      <c r="D130" s="39" t="n">
        <v>2042</v>
      </c>
      <c r="E130" s="39" t="n">
        <v>2042</v>
      </c>
    </row>
    <row r="131">
      <c r="A131" s="13" t="inlineStr">
        <is>
          <t>Post-LOE annual sales erosion</t>
        </is>
      </c>
      <c r="B131" s="35" t="n">
        <v>0.6</v>
      </c>
    </row>
    <row r="132">
      <c r="A132" s="25" t="inlineStr">
        <is>
          <t>Development spend, unrisked ($mm) by year</t>
        </is>
      </c>
      <c r="B132" s="42" t="n">
        <v>2027</v>
      </c>
      <c r="C132" s="42" t="n">
        <v>2028</v>
      </c>
      <c r="D132" s="42" t="n">
        <v>2029</v>
      </c>
      <c r="E132" s="42" t="n">
        <v>2030</v>
      </c>
      <c r="F132" s="42" t="n">
        <v>2031</v>
      </c>
      <c r="G132" s="42" t="n">
        <v>2032</v>
      </c>
      <c r="H132" s="42" t="n">
        <v>2033</v>
      </c>
      <c r="I132" s="42" t="n">
        <v>2034</v>
      </c>
    </row>
    <row r="133">
      <c r="A133" s="13" t="inlineStr">
        <is>
          <t xml:space="preserve">  Cost</t>
        </is>
      </c>
      <c r="B133" s="37" t="n">
        <v>10</v>
      </c>
      <c r="C133" s="37" t="n">
        <v>60</v>
      </c>
      <c r="D133" s="37" t="n">
        <v>60</v>
      </c>
      <c r="E133" s="37" t="n">
        <v>60</v>
      </c>
      <c r="F133" s="37" t="n">
        <v>0</v>
      </c>
      <c r="G133" s="37" t="n">
        <v>0</v>
      </c>
      <c r="H133" s="37" t="n">
        <v>0</v>
      </c>
      <c r="I133" s="37" t="n">
        <v>0</v>
      </c>
    </row>
    <row r="134">
      <c r="A134" s="13" t="inlineStr">
        <is>
          <t xml:space="preserve">  Probability the cost is incurred</t>
        </is>
      </c>
      <c r="B134" s="43" t="n">
        <v>1</v>
      </c>
      <c r="C134" s="43" t="n">
        <v>0.35</v>
      </c>
      <c r="D134" s="43" t="n">
        <v>0.35</v>
      </c>
      <c r="E134" s="43" t="n">
        <v>0.35</v>
      </c>
      <c r="F134" s="43" t="n">
        <v>1</v>
      </c>
      <c r="G134" s="43" t="n">
        <v>1</v>
      </c>
      <c r="H134" s="43" t="n">
        <v>1</v>
      </c>
      <c r="I134" s="43" t="n">
        <v>1</v>
      </c>
    </row>
    <row r="137">
      <c r="A137" s="46" t="inlineStr">
        <is>
          <t>Sensitivity tables (Excel data tables)</t>
        </is>
      </c>
    </row>
    <row r="139">
      <c r="A139" s="30" t="inlineStr">
        <is>
          <t>Scenario summary</t>
        </is>
      </c>
    </row>
    <row r="140">
      <c r="A140" s="13" t="inlineStr">
        <is>
          <t>Scenario</t>
        </is>
      </c>
      <c r="B140" s="42" t="inlineStr">
        <is>
          <t>Case</t>
        </is>
      </c>
      <c r="C140" s="42" t="inlineStr">
        <is>
          <t>Equity value</t>
        </is>
      </c>
      <c r="D140" s="42" t="inlineStr">
        <is>
          <t>rNPV / share</t>
        </is>
      </c>
      <c r="E140" s="42" t="inlineStr">
        <is>
          <t>Upside</t>
        </is>
      </c>
      <c r="F140" s="42" t="inlineStr">
        <is>
          <t>Relacorilant Cushing's PV / share</t>
        </is>
      </c>
      <c r="G140" s="42" t="inlineStr">
        <is>
          <t>P(approval)</t>
        </is>
      </c>
      <c r="H140" s="42" t="inlineStr">
        <is>
          <t>Discount rate</t>
        </is>
      </c>
    </row>
    <row r="141">
      <c r="A141" s="25" t="inlineStr">
        <is>
          <t>Live (active scenario)</t>
        </is>
      </c>
      <c r="C141" s="47">
        <f>NPV!C31</f>
        <v>6706.037327212061</v>
      </c>
      <c r="D141" s="48">
        <f>NPV!C43</f>
        <v>53.90627293729146</v>
      </c>
      <c r="E141" s="49">
        <f>NPV!C45</f>
        <v>-0.5370865355320613</v>
      </c>
      <c r="F141" s="48">
        <f>NPV!C54</f>
        <v>26.9520393066126</v>
      </c>
      <c r="G141" s="50">
        <f>$B$32</f>
        <v>0.6</v>
      </c>
      <c r="H141" s="51">
        <f>$B$14</f>
        <v>0.095</v>
      </c>
    </row>
    <row r="142">
      <c r="A142" s="22" t="inlineStr">
        <is>
          <t>Bear</t>
        </is>
      </c>
      <c r="B142" s="52" t="n">
        <v>1</v>
      </c>
      <c r="C142" s="53">
        <f t="dataTable" ref="C142:H144" r1="B4"/>
        <v>3387.089682472488</v>
      </c>
      <c r="D142" s="54">
        <v>29.417552949253913</v>
      </c>
      <c r="E142" s="55">
        <v>-0.7473803954550974</v>
      </c>
      <c r="F142" s="54">
        <v>9.579592710052609</v>
      </c>
      <c r="G142" s="56">
        <v>0.45</v>
      </c>
      <c r="H142" s="55">
        <v>0.11</v>
      </c>
    </row>
    <row r="143">
      <c r="A143" s="22" t="inlineStr">
        <is>
          <t>Base</t>
        </is>
      </c>
      <c r="B143" s="52" t="n">
        <v>2</v>
      </c>
      <c r="C143" s="57">
        <v>6706.037327212061</v>
      </c>
      <c r="D143" s="58">
        <v>53.90627293729146</v>
      </c>
      <c r="E143" s="59">
        <v>-0.5370865355320613</v>
      </c>
      <c r="F143" s="58">
        <v>26.9520393066126</v>
      </c>
      <c r="G143" s="60">
        <v>0.6</v>
      </c>
      <c r="H143" s="59">
        <v>0.095</v>
      </c>
    </row>
    <row r="144">
      <c r="A144" s="22" t="inlineStr">
        <is>
          <t>Bull</t>
        </is>
      </c>
      <c r="B144" s="52" t="n">
        <v>3</v>
      </c>
      <c r="C144" s="53">
        <v>11883.523487545888</v>
      </c>
      <c r="D144" s="54">
        <v>92.46395874960136</v>
      </c>
      <c r="E144" s="55">
        <v>-0.20597716831600377</v>
      </c>
      <c r="F144" s="54">
        <v>50.60852777521764</v>
      </c>
      <c r="G144" s="56">
        <v>0.75</v>
      </c>
      <c r="H144" s="55">
        <v>0.085</v>
      </c>
    </row>
    <row r="146">
      <c r="A146" s="30" t="inlineStr">
        <is>
          <t>PDUFA outcome (Relacorilant Cushing's): value if the FDA approves vs. issues a CRL</t>
        </is>
      </c>
    </row>
    <row r="147">
      <c r="A147" s="13" t="inlineStr">
        <is>
          <t>Outcome</t>
        </is>
      </c>
      <c r="B147" s="42" t="inlineStr">
        <is>
          <t>P(approval)</t>
        </is>
      </c>
      <c r="C147" s="42" t="inlineStr">
        <is>
          <t>Equity value</t>
        </is>
      </c>
      <c r="D147" s="42" t="inlineStr">
        <is>
          <t>rNPV / share</t>
        </is>
      </c>
      <c r="E147" s="42" t="inlineStr">
        <is>
          <t>Upside</t>
        </is>
      </c>
      <c r="F147" s="42" t="inlineStr">
        <is>
          <t>Relacorilant Cushing's PV / share</t>
        </is>
      </c>
    </row>
    <row r="148">
      <c r="A148" s="25" t="inlineStr">
        <is>
          <t>Live (probability-weighted)</t>
        </is>
      </c>
      <c r="B148" s="61">
        <f>$B$32</f>
        <v>0.6</v>
      </c>
      <c r="C148" s="47">
        <f>NPV!C31</f>
        <v>6706.037327212061</v>
      </c>
      <c r="D148" s="48">
        <f>NPV!C43</f>
        <v>53.90627293729146</v>
      </c>
      <c r="E148" s="49">
        <f>NPV!C45</f>
        <v>-0.5370865355320613</v>
      </c>
      <c r="F148" s="48">
        <f>NPV!C54</f>
        <v>26.9520393066126</v>
      </c>
    </row>
    <row r="149">
      <c r="A149" s="22" t="inlineStr">
        <is>
          <t>Complete response letter (CRL)</t>
        </is>
      </c>
      <c r="B149" s="62" t="n">
        <v>0</v>
      </c>
      <c r="C149" s="57">
        <f t="dataTable" ref="C149:F150" r1="B7"/>
        <v>5547.533355172273</v>
      </c>
      <c r="D149" s="58">
        <v>45.3127737796922</v>
      </c>
      <c r="E149" s="59">
        <v>-0.6108821487360052</v>
      </c>
      <c r="F149" s="58">
        <v>10.833636430056899</v>
      </c>
    </row>
    <row r="150">
      <c r="A150" s="22" t="inlineStr">
        <is>
          <t>Approved on time</t>
        </is>
      </c>
      <c r="B150" s="62" t="n">
        <v>1</v>
      </c>
      <c r="C150" s="57">
        <v>7478.373308571919</v>
      </c>
      <c r="D150" s="58">
        <v>59.646554165381694</v>
      </c>
      <c r="E150" s="59">
        <v>-0.48779257908646034</v>
      </c>
      <c r="F150" s="58">
        <v>37.51781178474924</v>
      </c>
    </row>
    <row r="152">
      <c r="A152" s="30" t="inlineStr">
        <is>
          <t>rNPV / share: Relacorilant Cushing's peak sales × probability of approval</t>
        </is>
      </c>
    </row>
    <row r="153">
      <c r="C153" s="25" t="inlineStr">
        <is>
          <t>Probability of approval →</t>
        </is>
      </c>
    </row>
    <row r="154">
      <c r="A154" s="25" t="inlineStr">
        <is>
          <t>Peak sales ($mm) ↓</t>
        </is>
      </c>
      <c r="B154" s="48">
        <f>NPV!C43</f>
        <v>53.90627293729146</v>
      </c>
      <c r="C154" s="63" t="n">
        <v>0</v>
      </c>
      <c r="D154" s="63" t="n">
        <v>0.25</v>
      </c>
      <c r="E154" s="63" t="n">
        <v>0.5</v>
      </c>
      <c r="F154" s="63" t="n">
        <v>0.75</v>
      </c>
      <c r="G154" s="63" t="n">
        <v>1</v>
      </c>
    </row>
    <row r="155">
      <c r="B155" s="57" t="n">
        <v>525</v>
      </c>
      <c r="C155" s="54">
        <f t="dataTable" ref="C155:G161" dt2D="1" r1="B7" r2="B8"/>
        <v>41.95823146095016</v>
      </c>
      <c r="D155" s="54">
        <v>43.40437736320395</v>
      </c>
      <c r="E155" s="54">
        <v>44.85167240905744</v>
      </c>
      <c r="F155" s="54">
        <v>46.29998713722171</v>
      </c>
      <c r="G155" s="54">
        <v>47.7492108291878</v>
      </c>
    </row>
    <row r="156">
      <c r="B156" s="57" t="n">
        <v>775</v>
      </c>
      <c r="C156" s="54">
        <v>43.03966838433051</v>
      </c>
      <c r="D156" s="54">
        <v>45.172541292914104</v>
      </c>
      <c r="E156" s="54">
        <v>47.307576070522614</v>
      </c>
      <c r="F156" s="54">
        <v>49.44444082139985</v>
      </c>
      <c r="G156" s="54">
        <v>51.58286828037104</v>
      </c>
    </row>
    <row r="157">
      <c r="B157" s="57" t="n">
        <v>1050</v>
      </c>
      <c r="C157" s="54">
        <v>44.23001183960966</v>
      </c>
      <c r="D157" s="54">
        <v>47.119227873928374</v>
      </c>
      <c r="E157" s="54">
        <v>50.01185354221843</v>
      </c>
      <c r="F157" s="54">
        <v>52.90723451227173</v>
      </c>
      <c r="G157" s="54">
        <v>55.80487381342684</v>
      </c>
    </row>
    <row r="158">
      <c r="B158" s="57" t="n">
        <v>1300</v>
      </c>
      <c r="C158" s="54">
        <v>45.3127737796922</v>
      </c>
      <c r="D158" s="54">
        <v>48.89028737219818</v>
      </c>
      <c r="E158" s="54">
        <v>52.47238742223562</v>
      </c>
      <c r="F158" s="54">
        <v>56.058055570507115</v>
      </c>
      <c r="G158" s="54">
        <v>59.646554165381694</v>
      </c>
    </row>
    <row r="159">
      <c r="B159" s="57" t="n">
        <v>1625</v>
      </c>
      <c r="C159" s="54">
        <v>46.72117853991917</v>
      </c>
      <c r="D159" s="54">
        <v>51.19431394208138</v>
      </c>
      <c r="E159" s="54">
        <v>55.67355038258002</v>
      </c>
      <c r="F159" s="54">
        <v>60.15732720187272</v>
      </c>
      <c r="G159" s="54">
        <v>64.64457421279958</v>
      </c>
    </row>
    <row r="160">
      <c r="B160" s="57" t="n">
        <v>1950</v>
      </c>
      <c r="C160" s="54">
        <v>48.13041489378976</v>
      </c>
      <c r="D160" s="54">
        <v>53.49994532577884</v>
      </c>
      <c r="E160" s="54">
        <v>58.877021648964444</v>
      </c>
      <c r="F160" s="54">
        <v>64.25949566262844</v>
      </c>
      <c r="G160" s="54">
        <v>69.64596390739494</v>
      </c>
    </row>
    <row r="161">
      <c r="B161" s="57" t="n">
        <v>2600</v>
      </c>
      <c r="C161" s="54">
        <v>50.95105720322435</v>
      </c>
      <c r="D161" s="54">
        <v>58.11514291370837</v>
      </c>
      <c r="E161" s="54">
        <v>65.28935137896715</v>
      </c>
      <c r="F161" s="54">
        <v>72.47032689055645</v>
      </c>
      <c r="G161" s="54">
        <v>79.65604938091158</v>
      </c>
    </row>
    <row r="163">
      <c r="A163" s="30" t="inlineStr">
        <is>
          <t>rNPV / share: discount rate × scenario</t>
        </is>
      </c>
    </row>
    <row r="164">
      <c r="C164" s="25" t="inlineStr">
        <is>
          <t>Scenario →</t>
        </is>
      </c>
    </row>
    <row r="165">
      <c r="A165" s="25" t="inlineStr">
        <is>
          <t>Discount rate ↓</t>
        </is>
      </c>
      <c r="B165" s="48">
        <f>NPV!C43</f>
        <v>53.90627293729146</v>
      </c>
      <c r="C165" s="38" t="n">
        <v>1</v>
      </c>
      <c r="D165" s="38" t="n">
        <v>2</v>
      </c>
      <c r="E165" s="38" t="n">
        <v>3</v>
      </c>
      <c r="F165" s="25" t="inlineStr">
        <is>
          <t>1 = Bear, 2 = Base, 3 = Bull</t>
        </is>
      </c>
    </row>
    <row r="166">
      <c r="B166" s="59" t="n">
        <v>0.065</v>
      </c>
      <c r="C166" s="54">
        <f t="dataTable" ref="C166:E172" dt2D="1" r1="B4" r2="B6"/>
        <v>35.156055991701535</v>
      </c>
      <c r="D166" s="54">
        <v>63.2656106529427</v>
      </c>
      <c r="E166" s="54">
        <v>104.95334878875094</v>
      </c>
    </row>
    <row r="167">
      <c r="B167" s="59" t="n">
        <v>0.075</v>
      </c>
      <c r="C167" s="54">
        <v>33.66882171267428</v>
      </c>
      <c r="D167" s="54">
        <v>59.85140993245601</v>
      </c>
      <c r="E167" s="54">
        <v>98.40633098404237</v>
      </c>
    </row>
    <row r="168">
      <c r="B168" s="59" t="n">
        <v>0.08500000000000001</v>
      </c>
      <c r="C168" s="54">
        <v>32.31370924369955</v>
      </c>
      <c r="D168" s="54">
        <v>56.742414211404565</v>
      </c>
      <c r="E168" s="54">
        <v>92.46395874960136</v>
      </c>
    </row>
    <row r="169">
      <c r="B169" s="59" t="n">
        <v>0.095</v>
      </c>
      <c r="C169" s="54">
        <v>31.076950941702574</v>
      </c>
      <c r="D169" s="54">
        <v>53.90627293729146</v>
      </c>
      <c r="E169" s="54">
        <v>87.06010231032639</v>
      </c>
    </row>
    <row r="170">
      <c r="B170" s="59" t="n">
        <v>0.105</v>
      </c>
      <c r="C170" s="54">
        <v>29.9464024880021</v>
      </c>
      <c r="D170" s="54">
        <v>51.31452638310074</v>
      </c>
      <c r="E170" s="54">
        <v>82.13684283052655</v>
      </c>
    </row>
    <row r="171">
      <c r="B171" s="59" t="n">
        <v>0.115</v>
      </c>
      <c r="C171" s="54">
        <v>28.911331001166204</v>
      </c>
      <c r="D171" s="54">
        <v>48.942088225692</v>
      </c>
      <c r="E171" s="54">
        <v>77.64334295075597</v>
      </c>
    </row>
    <row r="172">
      <c r="B172" s="59" t="n">
        <v>0.125</v>
      </c>
      <c r="C172" s="54">
        <v>27.96223327249654</v>
      </c>
      <c r="D172" s="54">
        <v>46.76680294297518</v>
      </c>
      <c r="E172" s="54">
        <v>73.53488679802626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style="9" min="1" max="1"/>
    <col width="2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</cols>
  <sheetData>
    <row r="1">
      <c r="A1" s="23" t="inlineStr">
        <is>
          <t>CORT — risk-adjusted program build ($mm)</t>
        </is>
      </c>
    </row>
    <row r="2">
      <c r="A2" s="22" t="inlineStr">
        <is>
          <t>Year</t>
        </is>
      </c>
      <c r="C2" s="22" t="n">
        <v>2027</v>
      </c>
      <c r="D2" s="22" t="n">
        <v>2028</v>
      </c>
      <c r="E2" s="22" t="n">
        <v>2029</v>
      </c>
      <c r="F2" s="22" t="n">
        <v>2030</v>
      </c>
      <c r="G2" s="22" t="n">
        <v>2031</v>
      </c>
      <c r="H2" s="22" t="n">
        <v>2032</v>
      </c>
      <c r="I2" s="22" t="n">
        <v>2033</v>
      </c>
      <c r="J2" s="22" t="n">
        <v>2034</v>
      </c>
      <c r="K2" s="22" t="n">
        <v>2035</v>
      </c>
      <c r="L2" s="22" t="n">
        <v>2036</v>
      </c>
      <c r="M2" s="22" t="n">
        <v>2037</v>
      </c>
      <c r="N2" s="22" t="n">
        <v>2038</v>
      </c>
      <c r="O2" s="22" t="n">
        <v>2039</v>
      </c>
      <c r="P2" s="22" t="n">
        <v>2040</v>
      </c>
      <c r="Q2" s="22" t="n">
        <v>2041</v>
      </c>
      <c r="R2" s="22" t="n">
        <v>2042</v>
      </c>
      <c r="S2" s="22" t="n">
        <v>2043</v>
      </c>
      <c r="T2" s="22" t="n">
        <v>2044</v>
      </c>
      <c r="U2" s="22" t="n">
        <v>2045</v>
      </c>
      <c r="V2" s="22" t="n">
        <v>2046</v>
      </c>
      <c r="W2" s="22" t="n">
        <v>2047</v>
      </c>
      <c r="X2" s="22" t="n">
        <v>2048</v>
      </c>
      <c r="Y2" s="22" t="n">
        <v>2049</v>
      </c>
      <c r="Z2" s="22" t="n">
        <v>2050</v>
      </c>
    </row>
    <row r="4">
      <c r="A4" s="30" t="inlineStr">
        <is>
          <t>Korlym + authorized generic (mifepristone) — hypercortisolism</t>
        </is>
      </c>
    </row>
    <row r="5">
      <c r="A5" s="13" t="inlineStr">
        <is>
          <t>Years since launch</t>
        </is>
      </c>
      <c r="C5" s="64">
        <f>C$2-Assumptions!$B$47+1</f>
        <v>16.0</v>
      </c>
      <c r="D5" s="64">
        <f>D$2-Assumptions!$B$47+1</f>
        <v>17.0</v>
      </c>
      <c r="E5" s="64">
        <f>E$2-Assumptions!$B$47+1</f>
        <v>18.0</v>
      </c>
      <c r="F5" s="64">
        <f>F$2-Assumptions!$B$47+1</f>
        <v>19.0</v>
      </c>
      <c r="G5" s="64">
        <f>G$2-Assumptions!$B$47+1</f>
        <v>20.0</v>
      </c>
      <c r="H5" s="64">
        <f>H$2-Assumptions!$B$47+1</f>
        <v>21.0</v>
      </c>
      <c r="I5" s="64">
        <f>I$2-Assumptions!$B$47+1</f>
        <v>22.0</v>
      </c>
      <c r="J5" s="64">
        <f>J$2-Assumptions!$B$47+1</f>
        <v>23.0</v>
      </c>
      <c r="K5" s="64">
        <f>K$2-Assumptions!$B$47+1</f>
        <v>24.0</v>
      </c>
      <c r="L5" s="64">
        <f>L$2-Assumptions!$B$47+1</f>
        <v>25.0</v>
      </c>
      <c r="M5" s="64">
        <f>M$2-Assumptions!$B$47+1</f>
        <v>26.0</v>
      </c>
      <c r="N5" s="64">
        <f>N$2-Assumptions!$B$47+1</f>
        <v>27.0</v>
      </c>
      <c r="O5" s="64">
        <f>O$2-Assumptions!$B$47+1</f>
        <v>28.0</v>
      </c>
      <c r="P5" s="64">
        <f>P$2-Assumptions!$B$47+1</f>
        <v>29.0</v>
      </c>
      <c r="Q5" s="64">
        <f>Q$2-Assumptions!$B$47+1</f>
        <v>30.0</v>
      </c>
      <c r="R5" s="64">
        <f>R$2-Assumptions!$B$47+1</f>
        <v>31.0</v>
      </c>
      <c r="S5" s="64">
        <f>S$2-Assumptions!$B$47+1</f>
        <v>32.0</v>
      </c>
      <c r="T5" s="64">
        <f>T$2-Assumptions!$B$47+1</f>
        <v>33.0</v>
      </c>
      <c r="U5" s="64">
        <f>U$2-Assumptions!$B$47+1</f>
        <v>34.0</v>
      </c>
      <c r="V5" s="64">
        <f>V$2-Assumptions!$B$47+1</f>
        <v>35.0</v>
      </c>
      <c r="W5" s="64">
        <f>W$2-Assumptions!$B$47+1</f>
        <v>36.0</v>
      </c>
      <c r="X5" s="64">
        <f>X$2-Assumptions!$B$47+1</f>
        <v>37.0</v>
      </c>
      <c r="Y5" s="64">
        <f>Y$2-Assumptions!$B$47+1</f>
        <v>38.0</v>
      </c>
      <c r="Z5" s="64">
        <f>Z$2-Assumptions!$B$47+1</f>
        <v>39.0</v>
      </c>
    </row>
    <row r="6">
      <c r="A6" s="13" t="inlineStr">
        <is>
          <t>Net sales</t>
        </is>
      </c>
      <c r="C6" s="53">
        <f>IF(C$2&gt;Assumptions!$B$55,Assumptions!$B$57*(1-Assumptions!$B$56),IF(C$2&lt;Assumptions!$B$49,Assumptions!$B$57+(Assumptions!$B$48-Assumptions!$B$57)*((C$2-2026)/(Assumptions!$B$49-2026))^Assumptions!$B$50,Assumptions!$B$48))</f>
        <v>950</v>
      </c>
      <c r="D6" s="53">
        <f>IF(D$2&gt;Assumptions!$B$55,C6*(1-Assumptions!$B$56),IF(D$2&lt;Assumptions!$B$49,Assumptions!$B$57+(Assumptions!$B$48-Assumptions!$B$57)*((D$2-2026)/(Assumptions!$B$49-2026))^Assumptions!$B$50,Assumptions!$B$48))</f>
        <v>950</v>
      </c>
      <c r="E6" s="53">
        <f>IF(E$2&gt;Assumptions!$B$55,D6*(1-Assumptions!$B$56),IF(E$2&lt;Assumptions!$B$49,Assumptions!$B$57+(Assumptions!$B$48-Assumptions!$B$57)*((E$2-2026)/(Assumptions!$B$49-2026))^Assumptions!$B$50,Assumptions!$B$48))</f>
        <v>712.5</v>
      </c>
      <c r="F6" s="53">
        <f>IF(F$2&gt;Assumptions!$B$55,E6*(1-Assumptions!$B$56),IF(F$2&lt;Assumptions!$B$49,Assumptions!$B$57+(Assumptions!$B$48-Assumptions!$B$57)*((F$2-2026)/(Assumptions!$B$49-2026))^Assumptions!$B$50,Assumptions!$B$48))</f>
        <v>534.375</v>
      </c>
      <c r="G6" s="53">
        <f>IF(G$2&gt;Assumptions!$B$55,F6*(1-Assumptions!$B$56),IF(G$2&lt;Assumptions!$B$49,Assumptions!$B$57+(Assumptions!$B$48-Assumptions!$B$57)*((G$2-2026)/(Assumptions!$B$49-2026))^Assumptions!$B$50,Assumptions!$B$48))</f>
        <v>400.78125</v>
      </c>
      <c r="H6" s="53">
        <f>IF(H$2&gt;Assumptions!$B$55,G6*(1-Assumptions!$B$56),IF(H$2&lt;Assumptions!$B$49,Assumptions!$B$57+(Assumptions!$B$48-Assumptions!$B$57)*((H$2-2026)/(Assumptions!$B$49-2026))^Assumptions!$B$50,Assumptions!$B$48))</f>
        <v>300.5859375</v>
      </c>
      <c r="I6" s="53">
        <f>IF(I$2&gt;Assumptions!$B$55,H6*(1-Assumptions!$B$56),IF(I$2&lt;Assumptions!$B$49,Assumptions!$B$57+(Assumptions!$B$48-Assumptions!$B$57)*((I$2-2026)/(Assumptions!$B$49-2026))^Assumptions!$B$50,Assumptions!$B$48))</f>
        <v>225.439453125</v>
      </c>
      <c r="J6" s="53">
        <f>IF(J$2&gt;Assumptions!$B$55,I6*(1-Assumptions!$B$56),IF(J$2&lt;Assumptions!$B$49,Assumptions!$B$57+(Assumptions!$B$48-Assumptions!$B$57)*((J$2-2026)/(Assumptions!$B$49-2026))^Assumptions!$B$50,Assumptions!$B$48))</f>
        <v>169.07958984375</v>
      </c>
      <c r="K6" s="53">
        <f>IF(K$2&gt;Assumptions!$B$55,J6*(1-Assumptions!$B$56),IF(K$2&lt;Assumptions!$B$49,Assumptions!$B$57+(Assumptions!$B$48-Assumptions!$B$57)*((K$2-2026)/(Assumptions!$B$49-2026))^Assumptions!$B$50,Assumptions!$B$48))</f>
        <v>126.8096923828125</v>
      </c>
      <c r="L6" s="53">
        <f>IF(L$2&gt;Assumptions!$B$55,K6*(1-Assumptions!$B$56),IF(L$2&lt;Assumptions!$B$49,Assumptions!$B$57+(Assumptions!$B$48-Assumptions!$B$57)*((L$2-2026)/(Assumptions!$B$49-2026))^Assumptions!$B$50,Assumptions!$B$48))</f>
        <v>95.10726928710938</v>
      </c>
      <c r="M6" s="53">
        <f>IF(M$2&gt;Assumptions!$B$55,L6*(1-Assumptions!$B$56),IF(M$2&lt;Assumptions!$B$49,Assumptions!$B$57+(Assumptions!$B$48-Assumptions!$B$57)*((M$2-2026)/(Assumptions!$B$49-2026))^Assumptions!$B$50,Assumptions!$B$48))</f>
        <v>71.33045196533203</v>
      </c>
      <c r="N6" s="53">
        <f>IF(N$2&gt;Assumptions!$B$55,M6*(1-Assumptions!$B$56),IF(N$2&lt;Assumptions!$B$49,Assumptions!$B$57+(Assumptions!$B$48-Assumptions!$B$57)*((N$2-2026)/(Assumptions!$B$49-2026))^Assumptions!$B$50,Assumptions!$B$48))</f>
        <v>53.49783897399902</v>
      </c>
      <c r="O6" s="53">
        <f>IF(O$2&gt;Assumptions!$B$55,N6*(1-Assumptions!$B$56),IF(O$2&lt;Assumptions!$B$49,Assumptions!$B$57+(Assumptions!$B$48-Assumptions!$B$57)*((O$2-2026)/(Assumptions!$B$49-2026))^Assumptions!$B$50,Assumptions!$B$48))</f>
        <v>40.12337923049927</v>
      </c>
      <c r="P6" s="53">
        <f>IF(P$2&gt;Assumptions!$B$55,O6*(1-Assumptions!$B$56),IF(P$2&lt;Assumptions!$B$49,Assumptions!$B$57+(Assumptions!$B$48-Assumptions!$B$57)*((P$2-2026)/(Assumptions!$B$49-2026))^Assumptions!$B$50,Assumptions!$B$48))</f>
        <v>30.09253442287445</v>
      </c>
      <c r="Q6" s="53">
        <f>IF(Q$2&gt;Assumptions!$B$55,P6*(1-Assumptions!$B$56),IF(Q$2&lt;Assumptions!$B$49,Assumptions!$B$57+(Assumptions!$B$48-Assumptions!$B$57)*((Q$2-2026)/(Assumptions!$B$49-2026))^Assumptions!$B$50,Assumptions!$B$48))</f>
        <v>22.569400817155838</v>
      </c>
      <c r="R6" s="53">
        <f>IF(R$2&gt;Assumptions!$B$55,Q6*(1-Assumptions!$B$56),IF(R$2&lt;Assumptions!$B$49,Assumptions!$B$57+(Assumptions!$B$48-Assumptions!$B$57)*((R$2-2026)/(Assumptions!$B$49-2026))^Assumptions!$B$50,Assumptions!$B$48))</f>
        <v>16.92705061286688</v>
      </c>
      <c r="S6" s="53">
        <f>IF(S$2&gt;Assumptions!$B$55,R6*(1-Assumptions!$B$56),IF(S$2&lt;Assumptions!$B$49,Assumptions!$B$57+(Assumptions!$B$48-Assumptions!$B$57)*((S$2-2026)/(Assumptions!$B$49-2026))^Assumptions!$B$50,Assumptions!$B$48))</f>
        <v>12.695287959650159</v>
      </c>
      <c r="T6" s="53">
        <f>IF(T$2&gt;Assumptions!$B$55,S6*(1-Assumptions!$B$56),IF(T$2&lt;Assumptions!$B$49,Assumptions!$B$57+(Assumptions!$B$48-Assumptions!$B$57)*((T$2-2026)/(Assumptions!$B$49-2026))^Assumptions!$B$50,Assumptions!$B$48))</f>
        <v>9.52146596973762</v>
      </c>
      <c r="U6" s="53">
        <f>IF(U$2&gt;Assumptions!$B$55,T6*(1-Assumptions!$B$56),IF(U$2&lt;Assumptions!$B$49,Assumptions!$B$57+(Assumptions!$B$48-Assumptions!$B$57)*((U$2-2026)/(Assumptions!$B$49-2026))^Assumptions!$B$50,Assumptions!$B$48))</f>
        <v>7.141099477303214</v>
      </c>
      <c r="V6" s="53">
        <f>IF(V$2&gt;Assumptions!$B$55,U6*(1-Assumptions!$B$56),IF(V$2&lt;Assumptions!$B$49,Assumptions!$B$57+(Assumptions!$B$48-Assumptions!$B$57)*((V$2-2026)/(Assumptions!$B$49-2026))^Assumptions!$B$50,Assumptions!$B$48))</f>
        <v>5.355824607977411</v>
      </c>
      <c r="W6" s="53">
        <f>IF(W$2&gt;Assumptions!$B$55,V6*(1-Assumptions!$B$56),IF(W$2&lt;Assumptions!$B$49,Assumptions!$B$57+(Assumptions!$B$48-Assumptions!$B$57)*((W$2-2026)/(Assumptions!$B$49-2026))^Assumptions!$B$50,Assumptions!$B$48))</f>
        <v>4.016868455983058</v>
      </c>
      <c r="X6" s="53">
        <f>IF(X$2&gt;Assumptions!$B$55,W6*(1-Assumptions!$B$56),IF(X$2&lt;Assumptions!$B$49,Assumptions!$B$57+(Assumptions!$B$48-Assumptions!$B$57)*((X$2-2026)/(Assumptions!$B$49-2026))^Assumptions!$B$50,Assumptions!$B$48))</f>
        <v>3.0126513419872936</v>
      </c>
      <c r="Y6" s="53">
        <f>IF(Y$2&gt;Assumptions!$B$55,X6*(1-Assumptions!$B$56),IF(Y$2&lt;Assumptions!$B$49,Assumptions!$B$57+(Assumptions!$B$48-Assumptions!$B$57)*((Y$2-2026)/(Assumptions!$B$49-2026))^Assumptions!$B$50,Assumptions!$B$48))</f>
        <v>2.25948850649047</v>
      </c>
      <c r="Z6" s="53">
        <f>IF(Z$2&gt;Assumptions!$B$55,Y6*(1-Assumptions!$B$56),IF(Z$2&lt;Assumptions!$B$49,Assumptions!$B$57+(Assumptions!$B$48-Assumptions!$B$57)*((Z$2-2026)/(Assumptions!$B$49-2026))^Assumptions!$B$50,Assumptions!$B$48))</f>
        <v>1.6946163798678526</v>
      </c>
    </row>
    <row r="7">
      <c r="A7" s="13" t="inlineStr">
        <is>
          <t>Company revenue</t>
        </is>
      </c>
      <c r="C7" s="53">
        <f>C6*Assumptions!$B$51</f>
        <v>950.0</v>
      </c>
      <c r="D7" s="53">
        <f>D6*Assumptions!$B$51</f>
        <v>950.0</v>
      </c>
      <c r="E7" s="53">
        <f>E6*Assumptions!$B$51</f>
        <v>712.5</v>
      </c>
      <c r="F7" s="53">
        <f>F6*Assumptions!$B$51</f>
        <v>534.375</v>
      </c>
      <c r="G7" s="53">
        <f>G6*Assumptions!$B$51</f>
        <v>400.78125</v>
      </c>
      <c r="H7" s="53">
        <f>H6*Assumptions!$B$51</f>
        <v>300.5859375</v>
      </c>
      <c r="I7" s="53">
        <f>I6*Assumptions!$B$51</f>
        <v>225.439453125</v>
      </c>
      <c r="J7" s="53">
        <f>J6*Assumptions!$B$51</f>
        <v>169.07958984375</v>
      </c>
      <c r="K7" s="53">
        <f>K6*Assumptions!$B$51</f>
        <v>126.8096923828125</v>
      </c>
      <c r="L7" s="53">
        <f>L6*Assumptions!$B$51</f>
        <v>95.10726928710938</v>
      </c>
      <c r="M7" s="53">
        <f>M6*Assumptions!$B$51</f>
        <v>71.33045196533203</v>
      </c>
      <c r="N7" s="53">
        <f>N6*Assumptions!$B$51</f>
        <v>53.49783897399902</v>
      </c>
      <c r="O7" s="53">
        <f>O6*Assumptions!$B$51</f>
        <v>40.12337923049927</v>
      </c>
      <c r="P7" s="53">
        <f>P6*Assumptions!$B$51</f>
        <v>30.09253442287445</v>
      </c>
      <c r="Q7" s="53">
        <f>Q6*Assumptions!$B$51</f>
        <v>22.569400817155838</v>
      </c>
      <c r="R7" s="53">
        <f>R6*Assumptions!$B$51</f>
        <v>16.92705061286688</v>
      </c>
      <c r="S7" s="53">
        <f>S6*Assumptions!$B$51</f>
        <v>12.695287959650159</v>
      </c>
      <c r="T7" s="53">
        <f>T6*Assumptions!$B$51</f>
        <v>9.52146596973762</v>
      </c>
      <c r="U7" s="53">
        <f>U6*Assumptions!$B$51</f>
        <v>7.141099477303214</v>
      </c>
      <c r="V7" s="53">
        <f>V6*Assumptions!$B$51</f>
        <v>5.355824607977411</v>
      </c>
      <c r="W7" s="53">
        <f>W6*Assumptions!$B$51</f>
        <v>4.016868455983058</v>
      </c>
      <c r="X7" s="53">
        <f>X6*Assumptions!$B$51</f>
        <v>3.0126513419872936</v>
      </c>
      <c r="Y7" s="53">
        <f>Y6*Assumptions!$B$51</f>
        <v>2.25948850649047</v>
      </c>
      <c r="Z7" s="53">
        <f>Z6*Assumptions!$B$51</f>
        <v>1.6946163798678526</v>
      </c>
    </row>
    <row r="8">
      <c r="A8" s="13" t="inlineStr">
        <is>
          <t>COGS + royalties</t>
        </is>
      </c>
      <c r="C8" s="53">
        <f>C6*(Assumptions!$B$52+Assumptions!$B$53)</f>
        <v>14.25</v>
      </c>
      <c r="D8" s="53">
        <f>D6*(Assumptions!$B$52+Assumptions!$B$53)</f>
        <v>14.25</v>
      </c>
      <c r="E8" s="53">
        <f>E6*(Assumptions!$B$52+Assumptions!$B$53)</f>
        <v>10.6875</v>
      </c>
      <c r="F8" s="53">
        <f>F6*(Assumptions!$B$52+Assumptions!$B$53)</f>
        <v>8.015625</v>
      </c>
      <c r="G8" s="53">
        <f>G6*(Assumptions!$B$52+Assumptions!$B$53)</f>
        <v>6.01171875</v>
      </c>
      <c r="H8" s="53">
        <f>H6*(Assumptions!$B$52+Assumptions!$B$53)</f>
        <v>4.5087890625</v>
      </c>
      <c r="I8" s="53">
        <f>I6*(Assumptions!$B$52+Assumptions!$B$53)</f>
        <v>3.381591796875</v>
      </c>
      <c r="J8" s="53">
        <f>J6*(Assumptions!$B$52+Assumptions!$B$53)</f>
        <v>2.53619384765625</v>
      </c>
      <c r="K8" s="53">
        <f>K6*(Assumptions!$B$52+Assumptions!$B$53)</f>
        <v>1.9021453857421875</v>
      </c>
      <c r="L8" s="53">
        <f>L6*(Assumptions!$B$52+Assumptions!$B$53)</f>
        <v>1.4266090393066406</v>
      </c>
      <c r="M8" s="53">
        <f>M6*(Assumptions!$B$52+Assumptions!$B$53)</f>
        <v>1.0699567794799805</v>
      </c>
      <c r="N8" s="53">
        <f>N6*(Assumptions!$B$52+Assumptions!$B$53)</f>
        <v>0.8024675846099854</v>
      </c>
      <c r="O8" s="53">
        <f>O6*(Assumptions!$B$52+Assumptions!$B$53)</f>
        <v>0.601850688457489</v>
      </c>
      <c r="P8" s="53">
        <f>P6*(Assumptions!$B$52+Assumptions!$B$53)</f>
        <v>0.45138801634311676</v>
      </c>
      <c r="Q8" s="53">
        <f>Q6*(Assumptions!$B$52+Assumptions!$B$53)</f>
        <v>0.33854101225733757</v>
      </c>
      <c r="R8" s="53">
        <f>R6*(Assumptions!$B$52+Assumptions!$B$53)</f>
        <v>0.2539057591930032</v>
      </c>
      <c r="S8" s="53">
        <f>S6*(Assumptions!$B$52+Assumptions!$B$53)</f>
        <v>0.19042931939475238</v>
      </c>
      <c r="T8" s="53">
        <f>T6*(Assumptions!$B$52+Assumptions!$B$53)</f>
        <v>0.1428219895460643</v>
      </c>
      <c r="U8" s="53">
        <f>U6*(Assumptions!$B$52+Assumptions!$B$53)</f>
        <v>0.10711649215954822</v>
      </c>
      <c r="V8" s="53">
        <f>V6*(Assumptions!$B$52+Assumptions!$B$53)</f>
        <v>0.08033736911966116</v>
      </c>
      <c r="W8" s="53">
        <f>W6*(Assumptions!$B$52+Assumptions!$B$53)</f>
        <v>0.06025302683974587</v>
      </c>
      <c r="X8" s="53">
        <f>X6*(Assumptions!$B$52+Assumptions!$B$53)</f>
        <v>0.0451897701298094</v>
      </c>
      <c r="Y8" s="53">
        <f>Y6*(Assumptions!$B$52+Assumptions!$B$53)</f>
        <v>0.03389232759735705</v>
      </c>
      <c r="Z8" s="53">
        <f>Z6*(Assumptions!$B$52+Assumptions!$B$53)</f>
        <v>0.02541924569801779</v>
      </c>
    </row>
    <row r="9">
      <c r="A9" s="13" t="inlineStr">
        <is>
          <t>Commercial SG&amp;A</t>
        </is>
      </c>
      <c r="C9" s="53">
        <f>IF(Assumptions!$B$54=0,0,IF(FALSE,0,IF(C5&gt;=1,C6*IF(OR(Assumptions!$B$51&lt;1,C5&gt;5),Assumptions!$B$54,MAX(Assumptions!$B$54,INDEX(Assumptions!$B$44:$F$44,C5))),0)))</f>
        <v>237.5</v>
      </c>
      <c r="D9" s="53">
        <f>IF(Assumptions!$B$54=0,0,IF(FALSE,0,IF(D5&gt;=1,D6*IF(OR(Assumptions!$B$51&lt;1,D5&gt;5),Assumptions!$B$54,MAX(Assumptions!$B$54,INDEX(Assumptions!$B$44:$F$44,D5))),0)))</f>
        <v>237.5</v>
      </c>
      <c r="E9" s="53">
        <f>IF(Assumptions!$B$54=0,0,IF(FALSE,0,IF(E5&gt;=1,E6*IF(OR(Assumptions!$B$51&lt;1,E5&gt;5),Assumptions!$B$54,MAX(Assumptions!$B$54,INDEX(Assumptions!$B$44:$F$44,E5))),0)))</f>
        <v>178.125</v>
      </c>
      <c r="F9" s="53">
        <f>IF(Assumptions!$B$54=0,0,IF(FALSE,0,IF(F5&gt;=1,F6*IF(OR(Assumptions!$B$51&lt;1,F5&gt;5),Assumptions!$B$54,MAX(Assumptions!$B$54,INDEX(Assumptions!$B$44:$F$44,F5))),0)))</f>
        <v>133.59375</v>
      </c>
      <c r="G9" s="53">
        <f>IF(Assumptions!$B$54=0,0,IF(FALSE,0,IF(G5&gt;=1,G6*IF(OR(Assumptions!$B$51&lt;1,G5&gt;5),Assumptions!$B$54,MAX(Assumptions!$B$54,INDEX(Assumptions!$B$44:$F$44,G5))),0)))</f>
        <v>100.1953125</v>
      </c>
      <c r="H9" s="53">
        <f>IF(Assumptions!$B$54=0,0,IF(FALSE,0,IF(H5&gt;=1,H6*IF(OR(Assumptions!$B$51&lt;1,H5&gt;5),Assumptions!$B$54,MAX(Assumptions!$B$54,INDEX(Assumptions!$B$44:$F$44,H5))),0)))</f>
        <v>75.146484375</v>
      </c>
      <c r="I9" s="53">
        <f>IF(Assumptions!$B$54=0,0,IF(FALSE,0,IF(I5&gt;=1,I6*IF(OR(Assumptions!$B$51&lt;1,I5&gt;5),Assumptions!$B$54,MAX(Assumptions!$B$54,INDEX(Assumptions!$B$44:$F$44,I5))),0)))</f>
        <v>56.35986328125</v>
      </c>
      <c r="J9" s="53">
        <f>IF(Assumptions!$B$54=0,0,IF(FALSE,0,IF(J5&gt;=1,J6*IF(OR(Assumptions!$B$51&lt;1,J5&gt;5),Assumptions!$B$54,MAX(Assumptions!$B$54,INDEX(Assumptions!$B$44:$F$44,J5))),0)))</f>
        <v>42.2698974609375</v>
      </c>
      <c r="K9" s="53">
        <f>IF(Assumptions!$B$54=0,0,IF(FALSE,0,IF(K5&gt;=1,K6*IF(OR(Assumptions!$B$51&lt;1,K5&gt;5),Assumptions!$B$54,MAX(Assumptions!$B$54,INDEX(Assumptions!$B$44:$F$44,K5))),0)))</f>
        <v>31.702423095703125</v>
      </c>
      <c r="L9" s="53">
        <f>IF(Assumptions!$B$54=0,0,IF(FALSE,0,IF(L5&gt;=1,L6*IF(OR(Assumptions!$B$51&lt;1,L5&gt;5),Assumptions!$B$54,MAX(Assumptions!$B$54,INDEX(Assumptions!$B$44:$F$44,L5))),0)))</f>
        <v>23.776817321777344</v>
      </c>
      <c r="M9" s="53">
        <f>IF(Assumptions!$B$54=0,0,IF(FALSE,0,IF(M5&gt;=1,M6*IF(OR(Assumptions!$B$51&lt;1,M5&gt;5),Assumptions!$B$54,MAX(Assumptions!$B$54,INDEX(Assumptions!$B$44:$F$44,M5))),0)))</f>
        <v>17.832612991333008</v>
      </c>
      <c r="N9" s="53">
        <f>IF(Assumptions!$B$54=0,0,IF(FALSE,0,IF(N5&gt;=1,N6*IF(OR(Assumptions!$B$51&lt;1,N5&gt;5),Assumptions!$B$54,MAX(Assumptions!$B$54,INDEX(Assumptions!$B$44:$F$44,N5))),0)))</f>
        <v>13.374459743499756</v>
      </c>
      <c r="O9" s="53">
        <f>IF(Assumptions!$B$54=0,0,IF(FALSE,0,IF(O5&gt;=1,O6*IF(OR(Assumptions!$B$51&lt;1,O5&gt;5),Assumptions!$B$54,MAX(Assumptions!$B$54,INDEX(Assumptions!$B$44:$F$44,O5))),0)))</f>
        <v>10.030844807624817</v>
      </c>
      <c r="P9" s="53">
        <f>IF(Assumptions!$B$54=0,0,IF(FALSE,0,IF(P5&gt;=1,P6*IF(OR(Assumptions!$B$51&lt;1,P5&gt;5),Assumptions!$B$54,MAX(Assumptions!$B$54,INDEX(Assumptions!$B$44:$F$44,P5))),0)))</f>
        <v>7.523133605718613</v>
      </c>
      <c r="Q9" s="53">
        <f>IF(Assumptions!$B$54=0,0,IF(FALSE,0,IF(Q5&gt;=1,Q6*IF(OR(Assumptions!$B$51&lt;1,Q5&gt;5),Assumptions!$B$54,MAX(Assumptions!$B$54,INDEX(Assumptions!$B$44:$F$44,Q5))),0)))</f>
        <v>5.6423502042889595</v>
      </c>
      <c r="R9" s="53">
        <f>IF(Assumptions!$B$54=0,0,IF(FALSE,0,IF(R5&gt;=1,R6*IF(OR(Assumptions!$B$51&lt;1,R5&gt;5),Assumptions!$B$54,MAX(Assumptions!$B$54,INDEX(Assumptions!$B$44:$F$44,R5))),0)))</f>
        <v>4.23176265321672</v>
      </c>
      <c r="S9" s="53">
        <f>IF(Assumptions!$B$54=0,0,IF(FALSE,0,IF(S5&gt;=1,S6*IF(OR(Assumptions!$B$51&lt;1,S5&gt;5),Assumptions!$B$54,MAX(Assumptions!$B$54,INDEX(Assumptions!$B$44:$F$44,S5))),0)))</f>
        <v>3.1738219899125397</v>
      </c>
      <c r="T9" s="53">
        <f>IF(Assumptions!$B$54=0,0,IF(FALSE,0,IF(T5&gt;=1,T6*IF(OR(Assumptions!$B$51&lt;1,T5&gt;5),Assumptions!$B$54,MAX(Assumptions!$B$54,INDEX(Assumptions!$B$44:$F$44,T5))),0)))</f>
        <v>2.380366492434405</v>
      </c>
      <c r="U9" s="53">
        <f>IF(Assumptions!$B$54=0,0,IF(FALSE,0,IF(U5&gt;=1,U6*IF(OR(Assumptions!$B$51&lt;1,U5&gt;5),Assumptions!$B$54,MAX(Assumptions!$B$54,INDEX(Assumptions!$B$44:$F$44,U5))),0)))</f>
        <v>1.7852748693258036</v>
      </c>
      <c r="V9" s="53">
        <f>IF(Assumptions!$B$54=0,0,IF(FALSE,0,IF(V5&gt;=1,V6*IF(OR(Assumptions!$B$51&lt;1,V5&gt;5),Assumptions!$B$54,MAX(Assumptions!$B$54,INDEX(Assumptions!$B$44:$F$44,V5))),0)))</f>
        <v>1.3389561519943527</v>
      </c>
      <c r="W9" s="53">
        <f>IF(Assumptions!$B$54=0,0,IF(FALSE,0,IF(W5&gt;=1,W6*IF(OR(Assumptions!$B$51&lt;1,W5&gt;5),Assumptions!$B$54,MAX(Assumptions!$B$54,INDEX(Assumptions!$B$44:$F$44,W5))),0)))</f>
        <v>1.0042171139957645</v>
      </c>
      <c r="X9" s="53">
        <f>IF(Assumptions!$B$54=0,0,IF(FALSE,0,IF(X5&gt;=1,X6*IF(OR(Assumptions!$B$51&lt;1,X5&gt;5),Assumptions!$B$54,MAX(Assumptions!$B$54,INDEX(Assumptions!$B$44:$F$44,X5))),0)))</f>
        <v>0.7531628354968234</v>
      </c>
      <c r="Y9" s="53">
        <f>IF(Assumptions!$B$54=0,0,IF(FALSE,0,IF(Y5&gt;=1,Y6*IF(OR(Assumptions!$B$51&lt;1,Y5&gt;5),Assumptions!$B$54,MAX(Assumptions!$B$54,INDEX(Assumptions!$B$44:$F$44,Y5))),0)))</f>
        <v>0.5648721266226175</v>
      </c>
      <c r="Z9" s="53">
        <f>IF(Assumptions!$B$54=0,0,IF(FALSE,0,IF(Z5&gt;=1,Z6*IF(OR(Assumptions!$B$51&lt;1,Z5&gt;5),Assumptions!$B$54,MAX(Assumptions!$B$54,INDEX(Assumptions!$B$44:$F$44,Z5))),0)))</f>
        <v>0.42365409496696316</v>
      </c>
    </row>
    <row r="10">
      <c r="A10" s="13" t="inlineStr">
        <is>
          <t>Development R&amp;D</t>
        </is>
      </c>
      <c r="C10" s="53">
        <f>0</f>
        <v>0</v>
      </c>
      <c r="D10" s="53">
        <f>0</f>
        <v>0</v>
      </c>
      <c r="E10" s="53">
        <f>0</f>
        <v>0</v>
      </c>
      <c r="F10" s="53">
        <f>0</f>
        <v>0</v>
      </c>
      <c r="G10" s="53">
        <f>0</f>
        <v>0</v>
      </c>
      <c r="H10" s="53">
        <f>0</f>
        <v>0</v>
      </c>
      <c r="I10" s="53">
        <f>0</f>
        <v>0</v>
      </c>
      <c r="J10" s="53">
        <f>0</f>
        <v>0</v>
      </c>
      <c r="K10" s="53">
        <f>0</f>
        <v>0</v>
      </c>
      <c r="L10" s="53">
        <f>0</f>
        <v>0</v>
      </c>
      <c r="M10" s="53">
        <f>0</f>
        <v>0</v>
      </c>
      <c r="N10" s="53">
        <f>0</f>
        <v>0</v>
      </c>
      <c r="O10" s="53">
        <f>0</f>
        <v>0</v>
      </c>
      <c r="P10" s="53">
        <f>0</f>
        <v>0</v>
      </c>
      <c r="Q10" s="53">
        <f>0</f>
        <v>0</v>
      </c>
      <c r="R10" s="53">
        <f>0</f>
        <v>0</v>
      </c>
      <c r="S10" s="53">
        <f>0</f>
        <v>0</v>
      </c>
      <c r="T10" s="53">
        <f>0</f>
        <v>0</v>
      </c>
      <c r="U10" s="53">
        <f>0</f>
        <v>0</v>
      </c>
      <c r="V10" s="53">
        <f>0</f>
        <v>0</v>
      </c>
      <c r="W10" s="53">
        <f>0</f>
        <v>0</v>
      </c>
      <c r="X10" s="53">
        <f>0</f>
        <v>0</v>
      </c>
      <c r="Y10" s="53">
        <f>0</f>
        <v>0</v>
      </c>
      <c r="Z10" s="53">
        <f>0</f>
        <v>0</v>
      </c>
    </row>
    <row r="11">
      <c r="A11" s="22" t="inlineStr">
        <is>
          <t>Program contribution (pre-tax)</t>
        </is>
      </c>
      <c r="C11" s="57">
        <f>C7-C8-C9-C10</f>
        <v>698.25</v>
      </c>
      <c r="D11" s="57">
        <f>D7-D8-D9-D10</f>
        <v>698.25</v>
      </c>
      <c r="E11" s="57">
        <f>E7-E8-E9-E10</f>
        <v>523.6875</v>
      </c>
      <c r="F11" s="57">
        <f>F7-F8-F9-F10</f>
        <v>392.765625</v>
      </c>
      <c r="G11" s="57">
        <f>G7-G8-G9-G10</f>
        <v>294.57421875</v>
      </c>
      <c r="H11" s="57">
        <f>H7-H8-H9-H10</f>
        <v>220.9306640625</v>
      </c>
      <c r="I11" s="57">
        <f>I7-I8-I9-I10</f>
        <v>165.697998046875</v>
      </c>
      <c r="J11" s="57">
        <f>J7-J8-J9-J10</f>
        <v>124.27349853515625</v>
      </c>
      <c r="K11" s="57">
        <f>K7-K8-K9-K10</f>
        <v>93.20512390136719</v>
      </c>
      <c r="L11" s="57">
        <f>L7-L8-L9-L10</f>
        <v>69.90384292602539</v>
      </c>
      <c r="M11" s="57">
        <f>M7-M8-M9-M10</f>
        <v>52.42788219451904</v>
      </c>
      <c r="N11" s="57">
        <f>N7-N8-N9-N10</f>
        <v>39.32091164588928</v>
      </c>
      <c r="O11" s="57">
        <f>O7-O8-O9-O10</f>
        <v>29.49068373441696</v>
      </c>
      <c r="P11" s="57">
        <f>P7-P8-P9-P10</f>
        <v>22.11801280081272</v>
      </c>
      <c r="Q11" s="57">
        <f>Q7-Q8-Q9-Q10</f>
        <v>16.58850960060954</v>
      </c>
      <c r="R11" s="57">
        <f>R7-R8-R9-R10</f>
        <v>12.441382200457156</v>
      </c>
      <c r="S11" s="57">
        <f>S7-S8-S9-S10</f>
        <v>9.331036650342867</v>
      </c>
      <c r="T11" s="57">
        <f>T7-T8-T9-T10</f>
        <v>6.99827748775715</v>
      </c>
      <c r="U11" s="57">
        <f>U7-U8-U9-U10</f>
        <v>5.248708115817863</v>
      </c>
      <c r="V11" s="57">
        <f>V7-V8-V9-V10</f>
        <v>3.936531086863397</v>
      </c>
      <c r="W11" s="57">
        <f>W7-W8-W9-W10</f>
        <v>2.9523983151475477</v>
      </c>
      <c r="X11" s="57">
        <f>X7-X8-X9-X10</f>
        <v>2.2142987363606608</v>
      </c>
      <c r="Y11" s="57">
        <f>Y7-Y8-Y9-Y10</f>
        <v>1.6607240522704956</v>
      </c>
      <c r="Z11" s="57">
        <f>Z7-Z8-Z9-Z10</f>
        <v>1.2455430392028717</v>
      </c>
    </row>
    <row r="13">
      <c r="A13" s="30" t="inlineStr">
        <is>
          <t>Lifyorli (relacorilant) — platinum-resistant ovarian cancer</t>
        </is>
      </c>
    </row>
    <row r="14">
      <c r="A14" s="13" t="inlineStr">
        <is>
          <t>Years since launch</t>
        </is>
      </c>
      <c r="C14" s="64">
        <f>C$2-Assumptions!$B$60+1</f>
        <v>2.0</v>
      </c>
      <c r="D14" s="64">
        <f>D$2-Assumptions!$B$60+1</f>
        <v>3.0</v>
      </c>
      <c r="E14" s="64">
        <f>E$2-Assumptions!$B$60+1</f>
        <v>4.0</v>
      </c>
      <c r="F14" s="64">
        <f>F$2-Assumptions!$B$60+1</f>
        <v>5.0</v>
      </c>
      <c r="G14" s="64">
        <f>G$2-Assumptions!$B$60+1</f>
        <v>6.0</v>
      </c>
      <c r="H14" s="64">
        <f>H$2-Assumptions!$B$60+1</f>
        <v>7.0</v>
      </c>
      <c r="I14" s="64">
        <f>I$2-Assumptions!$B$60+1</f>
        <v>8.0</v>
      </c>
      <c r="J14" s="64">
        <f>J$2-Assumptions!$B$60+1</f>
        <v>9.0</v>
      </c>
      <c r="K14" s="64">
        <f>K$2-Assumptions!$B$60+1</f>
        <v>10.0</v>
      </c>
      <c r="L14" s="64">
        <f>L$2-Assumptions!$B$60+1</f>
        <v>11.0</v>
      </c>
      <c r="M14" s="64">
        <f>M$2-Assumptions!$B$60+1</f>
        <v>12.0</v>
      </c>
      <c r="N14" s="64">
        <f>N$2-Assumptions!$B$60+1</f>
        <v>13.0</v>
      </c>
      <c r="O14" s="64">
        <f>O$2-Assumptions!$B$60+1</f>
        <v>14.0</v>
      </c>
      <c r="P14" s="64">
        <f>P$2-Assumptions!$B$60+1</f>
        <v>15.0</v>
      </c>
      <c r="Q14" s="64">
        <f>Q$2-Assumptions!$B$60+1</f>
        <v>16.0</v>
      </c>
      <c r="R14" s="64">
        <f>R$2-Assumptions!$B$60+1</f>
        <v>17.0</v>
      </c>
      <c r="S14" s="64">
        <f>S$2-Assumptions!$B$60+1</f>
        <v>18.0</v>
      </c>
      <c r="T14" s="64">
        <f>T$2-Assumptions!$B$60+1</f>
        <v>19.0</v>
      </c>
      <c r="U14" s="64">
        <f>U$2-Assumptions!$B$60+1</f>
        <v>20.0</v>
      </c>
      <c r="V14" s="64">
        <f>V$2-Assumptions!$B$60+1</f>
        <v>21.0</v>
      </c>
      <c r="W14" s="64">
        <f>W$2-Assumptions!$B$60+1</f>
        <v>22.0</v>
      </c>
      <c r="X14" s="64">
        <f>X$2-Assumptions!$B$60+1</f>
        <v>23.0</v>
      </c>
      <c r="Y14" s="64">
        <f>Y$2-Assumptions!$B$60+1</f>
        <v>24.0</v>
      </c>
      <c r="Z14" s="64">
        <f>Z$2-Assumptions!$B$60+1</f>
        <v>25.0</v>
      </c>
    </row>
    <row r="15">
      <c r="A15" s="13" t="inlineStr">
        <is>
          <t>Net sales</t>
        </is>
      </c>
      <c r="C15" s="53">
        <f>IF(C$2&gt;Assumptions!$B$68,Assumptions!$B$70*(1-Assumptions!$B$69),IF(C$2&lt;Assumptions!$B$62,Assumptions!$B$70+(Assumptions!$B$61-Assumptions!$B$70)*((C$2-2026)/(Assumptions!$B$62-2026))^Assumptions!$B$63,Assumptions!$B$61))</f>
        <v>354.08</v>
      </c>
      <c r="D15" s="53">
        <f>IF(D$2&gt;Assumptions!$B$68,C15*(1-Assumptions!$B$69),IF(D$2&lt;Assumptions!$B$62,Assumptions!$B$70+(Assumptions!$B$61-Assumptions!$B$70)*((D$2-2026)/(Assumptions!$B$62-2026))^Assumptions!$B$63,Assumptions!$B$61))</f>
        <v>465.56</v>
      </c>
      <c r="E15" s="53">
        <f>IF(E$2&gt;Assumptions!$B$68,D15*(1-Assumptions!$B$69),IF(E$2&lt;Assumptions!$B$62,Assumptions!$B$70+(Assumptions!$B$61-Assumptions!$B$70)*((E$2-2026)/(Assumptions!$B$62-2026))^Assumptions!$B$63,Assumptions!$B$61))</f>
        <v>577.04</v>
      </c>
      <c r="F15" s="53">
        <f>IF(F$2&gt;Assumptions!$B$68,E15*(1-Assumptions!$B$69),IF(F$2&lt;Assumptions!$B$62,Assumptions!$B$70+(Assumptions!$B$61-Assumptions!$B$70)*((F$2-2026)/(Assumptions!$B$62-2026))^Assumptions!$B$63,Assumptions!$B$61))</f>
        <v>688.52</v>
      </c>
      <c r="G15" s="53">
        <f>IF(G$2&gt;Assumptions!$B$68,F15*(1-Assumptions!$B$69),IF(G$2&lt;Assumptions!$B$62,Assumptions!$B$70+(Assumptions!$B$61-Assumptions!$B$70)*((G$2-2026)/(Assumptions!$B$62-2026))^Assumptions!$B$63,Assumptions!$B$61))</f>
        <v>800</v>
      </c>
      <c r="H15" s="53">
        <f>IF(H$2&gt;Assumptions!$B$68,G15*(1-Assumptions!$B$69),IF(H$2&lt;Assumptions!$B$62,Assumptions!$B$70+(Assumptions!$B$61-Assumptions!$B$70)*((H$2-2026)/(Assumptions!$B$62-2026))^Assumptions!$B$63,Assumptions!$B$61))</f>
        <v>800</v>
      </c>
      <c r="I15" s="53">
        <f>IF(I$2&gt;Assumptions!$B$68,H15*(1-Assumptions!$B$69),IF(I$2&lt;Assumptions!$B$62,Assumptions!$B$70+(Assumptions!$B$61-Assumptions!$B$70)*((I$2-2026)/(Assumptions!$B$62-2026))^Assumptions!$B$63,Assumptions!$B$61))</f>
        <v>800</v>
      </c>
      <c r="J15" s="53">
        <f>IF(J$2&gt;Assumptions!$B$68,I15*(1-Assumptions!$B$69),IF(J$2&lt;Assumptions!$B$62,Assumptions!$B$70+(Assumptions!$B$61-Assumptions!$B$70)*((J$2-2026)/(Assumptions!$B$62-2026))^Assumptions!$B$63,Assumptions!$B$61))</f>
        <v>800</v>
      </c>
      <c r="K15" s="53">
        <f>IF(K$2&gt;Assumptions!$B$68,J15*(1-Assumptions!$B$69),IF(K$2&lt;Assumptions!$B$62,Assumptions!$B$70+(Assumptions!$B$61-Assumptions!$B$70)*((K$2-2026)/(Assumptions!$B$62-2026))^Assumptions!$B$63,Assumptions!$B$61))</f>
        <v>800</v>
      </c>
      <c r="L15" s="53">
        <f>IF(L$2&gt;Assumptions!$B$68,K15*(1-Assumptions!$B$69),IF(L$2&lt;Assumptions!$B$62,Assumptions!$B$70+(Assumptions!$B$61-Assumptions!$B$70)*((L$2-2026)/(Assumptions!$B$62-2026))^Assumptions!$B$63,Assumptions!$B$61))</f>
        <v>800</v>
      </c>
      <c r="M15" s="53">
        <f>IF(M$2&gt;Assumptions!$B$68,L15*(1-Assumptions!$B$69),IF(M$2&lt;Assumptions!$B$62,Assumptions!$B$70+(Assumptions!$B$61-Assumptions!$B$70)*((M$2-2026)/(Assumptions!$B$62-2026))^Assumptions!$B$63,Assumptions!$B$61))</f>
        <v>800</v>
      </c>
      <c r="N15" s="53">
        <f>IF(N$2&gt;Assumptions!$B$68,M15*(1-Assumptions!$B$69),IF(N$2&lt;Assumptions!$B$62,Assumptions!$B$70+(Assumptions!$B$61-Assumptions!$B$70)*((N$2-2026)/(Assumptions!$B$62-2026))^Assumptions!$B$63,Assumptions!$B$61))</f>
        <v>800</v>
      </c>
      <c r="O15" s="53">
        <f>IF(O$2&gt;Assumptions!$B$68,N15*(1-Assumptions!$B$69),IF(O$2&lt;Assumptions!$B$62,Assumptions!$B$70+(Assumptions!$B$61-Assumptions!$B$70)*((O$2-2026)/(Assumptions!$B$62-2026))^Assumptions!$B$63,Assumptions!$B$61))</f>
        <v>320.0</v>
      </c>
      <c r="P15" s="53">
        <f>IF(P$2&gt;Assumptions!$B$68,O15*(1-Assumptions!$B$69),IF(P$2&lt;Assumptions!$B$62,Assumptions!$B$70+(Assumptions!$B$61-Assumptions!$B$70)*((P$2-2026)/(Assumptions!$B$62-2026))^Assumptions!$B$63,Assumptions!$B$61))</f>
        <v>128.0</v>
      </c>
      <c r="Q15" s="53">
        <f>IF(Q$2&gt;Assumptions!$B$68,P15*(1-Assumptions!$B$69),IF(Q$2&lt;Assumptions!$B$62,Assumptions!$B$70+(Assumptions!$B$61-Assumptions!$B$70)*((Q$2-2026)/(Assumptions!$B$62-2026))^Assumptions!$B$63,Assumptions!$B$61))</f>
        <v>51.2</v>
      </c>
      <c r="R15" s="53">
        <f>IF(R$2&gt;Assumptions!$B$68,Q15*(1-Assumptions!$B$69),IF(R$2&lt;Assumptions!$B$62,Assumptions!$B$70+(Assumptions!$B$61-Assumptions!$B$70)*((R$2-2026)/(Assumptions!$B$62-2026))^Assumptions!$B$63,Assumptions!$B$61))</f>
        <v>20.480000000000004</v>
      </c>
      <c r="S15" s="53">
        <f>IF(S$2&gt;Assumptions!$B$68,R15*(1-Assumptions!$B$69),IF(S$2&lt;Assumptions!$B$62,Assumptions!$B$70+(Assumptions!$B$61-Assumptions!$B$70)*((S$2-2026)/(Assumptions!$B$62-2026))^Assumptions!$B$63,Assumptions!$B$61))</f>
        <v>8.192000000000002</v>
      </c>
      <c r="T15" s="53">
        <f>IF(T$2&gt;Assumptions!$B$68,S15*(1-Assumptions!$B$69),IF(T$2&lt;Assumptions!$B$62,Assumptions!$B$70+(Assumptions!$B$61-Assumptions!$B$70)*((T$2-2026)/(Assumptions!$B$62-2026))^Assumptions!$B$63,Assumptions!$B$61))</f>
        <v>3.276800000000001</v>
      </c>
      <c r="U15" s="53">
        <f>IF(U$2&gt;Assumptions!$B$68,T15*(1-Assumptions!$B$69),IF(U$2&lt;Assumptions!$B$62,Assumptions!$B$70+(Assumptions!$B$61-Assumptions!$B$70)*((U$2-2026)/(Assumptions!$B$62-2026))^Assumptions!$B$63,Assumptions!$B$61))</f>
        <v>1.3107200000000006</v>
      </c>
      <c r="V15" s="53">
        <f>IF(V$2&gt;Assumptions!$B$68,U15*(1-Assumptions!$B$69),IF(V$2&lt;Assumptions!$B$62,Assumptions!$B$70+(Assumptions!$B$61-Assumptions!$B$70)*((V$2-2026)/(Assumptions!$B$62-2026))^Assumptions!$B$63,Assumptions!$B$61))</f>
        <v>0.5242880000000002</v>
      </c>
      <c r="W15" s="53">
        <f>IF(W$2&gt;Assumptions!$B$68,V15*(1-Assumptions!$B$69),IF(W$2&lt;Assumptions!$B$62,Assumptions!$B$70+(Assumptions!$B$61-Assumptions!$B$70)*((W$2-2026)/(Assumptions!$B$62-2026))^Assumptions!$B$63,Assumptions!$B$61))</f>
        <v>0.2097152000000001</v>
      </c>
      <c r="X15" s="53">
        <f>IF(X$2&gt;Assumptions!$B$68,W15*(1-Assumptions!$B$69),IF(X$2&lt;Assumptions!$B$62,Assumptions!$B$70+(Assumptions!$B$61-Assumptions!$B$70)*((X$2-2026)/(Assumptions!$B$62-2026))^Assumptions!$B$63,Assumptions!$B$61))</f>
        <v>0.08388608000000004</v>
      </c>
      <c r="Y15" s="53">
        <f>IF(Y$2&gt;Assumptions!$B$68,X15*(1-Assumptions!$B$69),IF(Y$2&lt;Assumptions!$B$62,Assumptions!$B$70+(Assumptions!$B$61-Assumptions!$B$70)*((Y$2-2026)/(Assumptions!$B$62-2026))^Assumptions!$B$63,Assumptions!$B$61))</f>
        <v>0.033554432000000016</v>
      </c>
      <c r="Z15" s="53">
        <f>IF(Z$2&gt;Assumptions!$B$68,Y15*(1-Assumptions!$B$69),IF(Z$2&lt;Assumptions!$B$62,Assumptions!$B$70+(Assumptions!$B$61-Assumptions!$B$70)*((Z$2-2026)/(Assumptions!$B$62-2026))^Assumptions!$B$63,Assumptions!$B$61))</f>
        <v>0.013421772800000007</v>
      </c>
    </row>
    <row r="16">
      <c r="A16" s="13" t="inlineStr">
        <is>
          <t>Company revenue</t>
        </is>
      </c>
      <c r="C16" s="53">
        <f>C15*Assumptions!$B$64</f>
        <v>354.08</v>
      </c>
      <c r="D16" s="53">
        <f>D15*Assumptions!$B$64</f>
        <v>465.56</v>
      </c>
      <c r="E16" s="53">
        <f>E15*Assumptions!$B$64</f>
        <v>577.04</v>
      </c>
      <c r="F16" s="53">
        <f>F15*Assumptions!$B$64</f>
        <v>688.52</v>
      </c>
      <c r="G16" s="53">
        <f>G15*Assumptions!$B$64</f>
        <v>800.0</v>
      </c>
      <c r="H16" s="53">
        <f>H15*Assumptions!$B$64</f>
        <v>800.0</v>
      </c>
      <c r="I16" s="53">
        <f>I15*Assumptions!$B$64</f>
        <v>800.0</v>
      </c>
      <c r="J16" s="53">
        <f>J15*Assumptions!$B$64</f>
        <v>800.0</v>
      </c>
      <c r="K16" s="53">
        <f>K15*Assumptions!$B$64</f>
        <v>800.0</v>
      </c>
      <c r="L16" s="53">
        <f>L15*Assumptions!$B$64</f>
        <v>800.0</v>
      </c>
      <c r="M16" s="53">
        <f>M15*Assumptions!$B$64</f>
        <v>800.0</v>
      </c>
      <c r="N16" s="53">
        <f>N15*Assumptions!$B$64</f>
        <v>800.0</v>
      </c>
      <c r="O16" s="53">
        <f>O15*Assumptions!$B$64</f>
        <v>320.0</v>
      </c>
      <c r="P16" s="53">
        <f>P15*Assumptions!$B$64</f>
        <v>128.0</v>
      </c>
      <c r="Q16" s="53">
        <f>Q15*Assumptions!$B$64</f>
        <v>51.2</v>
      </c>
      <c r="R16" s="53">
        <f>R15*Assumptions!$B$64</f>
        <v>20.480000000000004</v>
      </c>
      <c r="S16" s="53">
        <f>S15*Assumptions!$B$64</f>
        <v>8.192000000000002</v>
      </c>
      <c r="T16" s="53">
        <f>T15*Assumptions!$B$64</f>
        <v>3.276800000000001</v>
      </c>
      <c r="U16" s="53">
        <f>U15*Assumptions!$B$64</f>
        <v>1.3107200000000006</v>
      </c>
      <c r="V16" s="53">
        <f>V15*Assumptions!$B$64</f>
        <v>0.5242880000000002</v>
      </c>
      <c r="W16" s="53">
        <f>W15*Assumptions!$B$64</f>
        <v>0.2097152000000001</v>
      </c>
      <c r="X16" s="53">
        <f>X15*Assumptions!$B$64</f>
        <v>0.08388608000000004</v>
      </c>
      <c r="Y16" s="53">
        <f>Y15*Assumptions!$B$64</f>
        <v>0.033554432000000016</v>
      </c>
      <c r="Z16" s="53">
        <f>Z15*Assumptions!$B$64</f>
        <v>0.013421772800000007</v>
      </c>
    </row>
    <row r="17">
      <c r="A17" s="13" t="inlineStr">
        <is>
          <t>COGS + royalties</t>
        </is>
      </c>
      <c r="C17" s="53">
        <f>C15*(Assumptions!$B$65+Assumptions!$B$66)</f>
        <v>7.0816</v>
      </c>
      <c r="D17" s="53">
        <f>D15*(Assumptions!$B$65+Assumptions!$B$66)</f>
        <v>9.3112</v>
      </c>
      <c r="E17" s="53">
        <f>E15*(Assumptions!$B$65+Assumptions!$B$66)</f>
        <v>11.540799999999999</v>
      </c>
      <c r="F17" s="53">
        <f>F15*(Assumptions!$B$65+Assumptions!$B$66)</f>
        <v>13.7704</v>
      </c>
      <c r="G17" s="53">
        <f>G15*(Assumptions!$B$65+Assumptions!$B$66)</f>
        <v>16.0</v>
      </c>
      <c r="H17" s="53">
        <f>H15*(Assumptions!$B$65+Assumptions!$B$66)</f>
        <v>16.0</v>
      </c>
      <c r="I17" s="53">
        <f>I15*(Assumptions!$B$65+Assumptions!$B$66)</f>
        <v>16.0</v>
      </c>
      <c r="J17" s="53">
        <f>J15*(Assumptions!$B$65+Assumptions!$B$66)</f>
        <v>16.0</v>
      </c>
      <c r="K17" s="53">
        <f>K15*(Assumptions!$B$65+Assumptions!$B$66)</f>
        <v>16.0</v>
      </c>
      <c r="L17" s="53">
        <f>L15*(Assumptions!$B$65+Assumptions!$B$66)</f>
        <v>16.0</v>
      </c>
      <c r="M17" s="53">
        <f>M15*(Assumptions!$B$65+Assumptions!$B$66)</f>
        <v>16.0</v>
      </c>
      <c r="N17" s="53">
        <f>N15*(Assumptions!$B$65+Assumptions!$B$66)</f>
        <v>16.0</v>
      </c>
      <c r="O17" s="53">
        <f>O15*(Assumptions!$B$65+Assumptions!$B$66)</f>
        <v>6.4</v>
      </c>
      <c r="P17" s="53">
        <f>P15*(Assumptions!$B$65+Assumptions!$B$66)</f>
        <v>2.56</v>
      </c>
      <c r="Q17" s="53">
        <f>Q15*(Assumptions!$B$65+Assumptions!$B$66)</f>
        <v>1.024</v>
      </c>
      <c r="R17" s="53">
        <f>R15*(Assumptions!$B$65+Assumptions!$B$66)</f>
        <v>0.4096000000000001</v>
      </c>
      <c r="S17" s="53">
        <f>S15*(Assumptions!$B$65+Assumptions!$B$66)</f>
        <v>0.16384000000000004</v>
      </c>
      <c r="T17" s="53">
        <f>T15*(Assumptions!$B$65+Assumptions!$B$66)</f>
        <v>0.06553600000000002</v>
      </c>
      <c r="U17" s="53">
        <f>U15*(Assumptions!$B$65+Assumptions!$B$66)</f>
        <v>0.026214400000000013</v>
      </c>
      <c r="V17" s="53">
        <f>V15*(Assumptions!$B$65+Assumptions!$B$66)</f>
        <v>0.010485760000000004</v>
      </c>
      <c r="W17" s="53">
        <f>W15*(Assumptions!$B$65+Assumptions!$B$66)</f>
        <v>0.004194304000000002</v>
      </c>
      <c r="X17" s="53">
        <f>X15*(Assumptions!$B$65+Assumptions!$B$66)</f>
        <v>0.001677721600000001</v>
      </c>
      <c r="Y17" s="53">
        <f>Y15*(Assumptions!$B$65+Assumptions!$B$66)</f>
        <v>0.0006710886400000003</v>
      </c>
      <c r="Z17" s="53">
        <f>Z15*(Assumptions!$B$65+Assumptions!$B$66)</f>
        <v>0.00026843545600000016</v>
      </c>
    </row>
    <row r="18">
      <c r="A18" s="13" t="inlineStr">
        <is>
          <t>Commercial SG&amp;A</t>
        </is>
      </c>
      <c r="C18" s="53">
        <f>IF(Assumptions!$B$67=0,0,IF(FALSE,0,IF(C14&gt;=1,C15*IF(OR(Assumptions!$B$64&lt;1,C14&gt;5),Assumptions!$B$67,MAX(Assumptions!$B$67,INDEX(Assumptions!$B$44:$F$44,C14))),0)))</f>
        <v>194.744</v>
      </c>
      <c r="D18" s="53">
        <f>IF(Assumptions!$B$67=0,0,IF(FALSE,0,IF(D14&gt;=1,D15*IF(OR(Assumptions!$B$64&lt;1,D14&gt;5),Assumptions!$B$67,MAX(Assumptions!$B$67,INDEX(Assumptions!$B$44:$F$44,D14))),0)))</f>
        <v>186.22400000000002</v>
      </c>
      <c r="E18" s="53">
        <f>IF(Assumptions!$B$67=0,0,IF(FALSE,0,IF(E14&gt;=1,E15*IF(OR(Assumptions!$B$64&lt;1,E14&gt;5),Assumptions!$B$67,MAX(Assumptions!$B$67,INDEX(Assumptions!$B$44:$F$44,E14))),0)))</f>
        <v>184.65279999999998</v>
      </c>
      <c r="F18" s="53">
        <f>IF(Assumptions!$B$67=0,0,IF(FALSE,0,IF(F14&gt;=1,F15*IF(OR(Assumptions!$B$64&lt;1,F14&gt;5),Assumptions!$B$67,MAX(Assumptions!$B$67,INDEX(Assumptions!$B$44:$F$44,F14))),0)))</f>
        <v>192.78560000000002</v>
      </c>
      <c r="G18" s="53">
        <f>IF(Assumptions!$B$67=0,0,IF(FALSE,0,IF(G14&gt;=1,G15*IF(OR(Assumptions!$B$64&lt;1,G14&gt;5),Assumptions!$B$67,MAX(Assumptions!$B$67,INDEX(Assumptions!$B$44:$F$44,G14))),0)))</f>
        <v>200.0</v>
      </c>
      <c r="H18" s="53">
        <f>IF(Assumptions!$B$67=0,0,IF(FALSE,0,IF(H14&gt;=1,H15*IF(OR(Assumptions!$B$64&lt;1,H14&gt;5),Assumptions!$B$67,MAX(Assumptions!$B$67,INDEX(Assumptions!$B$44:$F$44,H14))),0)))</f>
        <v>200.0</v>
      </c>
      <c r="I18" s="53">
        <f>IF(Assumptions!$B$67=0,0,IF(FALSE,0,IF(I14&gt;=1,I15*IF(OR(Assumptions!$B$64&lt;1,I14&gt;5),Assumptions!$B$67,MAX(Assumptions!$B$67,INDEX(Assumptions!$B$44:$F$44,I14))),0)))</f>
        <v>200.0</v>
      </c>
      <c r="J18" s="53">
        <f>IF(Assumptions!$B$67=0,0,IF(FALSE,0,IF(J14&gt;=1,J15*IF(OR(Assumptions!$B$64&lt;1,J14&gt;5),Assumptions!$B$67,MAX(Assumptions!$B$67,INDEX(Assumptions!$B$44:$F$44,J14))),0)))</f>
        <v>200.0</v>
      </c>
      <c r="K18" s="53">
        <f>IF(Assumptions!$B$67=0,0,IF(FALSE,0,IF(K14&gt;=1,K15*IF(OR(Assumptions!$B$64&lt;1,K14&gt;5),Assumptions!$B$67,MAX(Assumptions!$B$67,INDEX(Assumptions!$B$44:$F$44,K14))),0)))</f>
        <v>200.0</v>
      </c>
      <c r="L18" s="53">
        <f>IF(Assumptions!$B$67=0,0,IF(FALSE,0,IF(L14&gt;=1,L15*IF(OR(Assumptions!$B$64&lt;1,L14&gt;5),Assumptions!$B$67,MAX(Assumptions!$B$67,INDEX(Assumptions!$B$44:$F$44,L14))),0)))</f>
        <v>200.0</v>
      </c>
      <c r="M18" s="53">
        <f>IF(Assumptions!$B$67=0,0,IF(FALSE,0,IF(M14&gt;=1,M15*IF(OR(Assumptions!$B$64&lt;1,M14&gt;5),Assumptions!$B$67,MAX(Assumptions!$B$67,INDEX(Assumptions!$B$44:$F$44,M14))),0)))</f>
        <v>200.0</v>
      </c>
      <c r="N18" s="53">
        <f>IF(Assumptions!$B$67=0,0,IF(FALSE,0,IF(N14&gt;=1,N15*IF(OR(Assumptions!$B$64&lt;1,N14&gt;5),Assumptions!$B$67,MAX(Assumptions!$B$67,INDEX(Assumptions!$B$44:$F$44,N14))),0)))</f>
        <v>200.0</v>
      </c>
      <c r="O18" s="53">
        <f>IF(Assumptions!$B$67=0,0,IF(FALSE,0,IF(O14&gt;=1,O15*IF(OR(Assumptions!$B$64&lt;1,O14&gt;5),Assumptions!$B$67,MAX(Assumptions!$B$67,INDEX(Assumptions!$B$44:$F$44,O14))),0)))</f>
        <v>80.0</v>
      </c>
      <c r="P18" s="53">
        <f>IF(Assumptions!$B$67=0,0,IF(FALSE,0,IF(P14&gt;=1,P15*IF(OR(Assumptions!$B$64&lt;1,P14&gt;5),Assumptions!$B$67,MAX(Assumptions!$B$67,INDEX(Assumptions!$B$44:$F$44,P14))),0)))</f>
        <v>32.0</v>
      </c>
      <c r="Q18" s="53">
        <f>IF(Assumptions!$B$67=0,0,IF(FALSE,0,IF(Q14&gt;=1,Q15*IF(OR(Assumptions!$B$64&lt;1,Q14&gt;5),Assumptions!$B$67,MAX(Assumptions!$B$67,INDEX(Assumptions!$B$44:$F$44,Q14))),0)))</f>
        <v>12.8</v>
      </c>
      <c r="R18" s="53">
        <f>IF(Assumptions!$B$67=0,0,IF(FALSE,0,IF(R14&gt;=1,R15*IF(OR(Assumptions!$B$64&lt;1,R14&gt;5),Assumptions!$B$67,MAX(Assumptions!$B$67,INDEX(Assumptions!$B$44:$F$44,R14))),0)))</f>
        <v>5.120000000000001</v>
      </c>
      <c r="S18" s="53">
        <f>IF(Assumptions!$B$67=0,0,IF(FALSE,0,IF(S14&gt;=1,S15*IF(OR(Assumptions!$B$64&lt;1,S14&gt;5),Assumptions!$B$67,MAX(Assumptions!$B$67,INDEX(Assumptions!$B$44:$F$44,S14))),0)))</f>
        <v>2.0480000000000005</v>
      </c>
      <c r="T18" s="53">
        <f>IF(Assumptions!$B$67=0,0,IF(FALSE,0,IF(T14&gt;=1,T15*IF(OR(Assumptions!$B$64&lt;1,T14&gt;5),Assumptions!$B$67,MAX(Assumptions!$B$67,INDEX(Assumptions!$B$44:$F$44,T14))),0)))</f>
        <v>0.8192000000000003</v>
      </c>
      <c r="U18" s="53">
        <f>IF(Assumptions!$B$67=0,0,IF(FALSE,0,IF(U14&gt;=1,U15*IF(OR(Assumptions!$B$64&lt;1,U14&gt;5),Assumptions!$B$67,MAX(Assumptions!$B$67,INDEX(Assumptions!$B$44:$F$44,U14))),0)))</f>
        <v>0.32768000000000014</v>
      </c>
      <c r="V18" s="53">
        <f>IF(Assumptions!$B$67=0,0,IF(FALSE,0,IF(V14&gt;=1,V15*IF(OR(Assumptions!$B$64&lt;1,V14&gt;5),Assumptions!$B$67,MAX(Assumptions!$B$67,INDEX(Assumptions!$B$44:$F$44,V14))),0)))</f>
        <v>0.13107200000000005</v>
      </c>
      <c r="W18" s="53">
        <f>IF(Assumptions!$B$67=0,0,IF(FALSE,0,IF(W14&gt;=1,W15*IF(OR(Assumptions!$B$64&lt;1,W14&gt;5),Assumptions!$B$67,MAX(Assumptions!$B$67,INDEX(Assumptions!$B$44:$F$44,W14))),0)))</f>
        <v>0.052428800000000025</v>
      </c>
      <c r="X18" s="53">
        <f>IF(Assumptions!$B$67=0,0,IF(FALSE,0,IF(X14&gt;=1,X15*IF(OR(Assumptions!$B$64&lt;1,X14&gt;5),Assumptions!$B$67,MAX(Assumptions!$B$67,INDEX(Assumptions!$B$44:$F$44,X14))),0)))</f>
        <v>0.02097152000000001</v>
      </c>
      <c r="Y18" s="53">
        <f>IF(Assumptions!$B$67=0,0,IF(FALSE,0,IF(Y14&gt;=1,Y15*IF(OR(Assumptions!$B$64&lt;1,Y14&gt;5),Assumptions!$B$67,MAX(Assumptions!$B$67,INDEX(Assumptions!$B$44:$F$44,Y14))),0)))</f>
        <v>0.008388608000000004</v>
      </c>
      <c r="Z18" s="53">
        <f>IF(Assumptions!$B$67=0,0,IF(FALSE,0,IF(Z14&gt;=1,Z15*IF(OR(Assumptions!$B$64&lt;1,Z14&gt;5),Assumptions!$B$67,MAX(Assumptions!$B$67,INDEX(Assumptions!$B$44:$F$44,Z14))),0)))</f>
        <v>0.003355443200000002</v>
      </c>
    </row>
    <row r="19">
      <c r="A19" s="13" t="inlineStr">
        <is>
          <t>Development R&amp;D</t>
        </is>
      </c>
      <c r="C19" s="53">
        <f>0</f>
        <v>0</v>
      </c>
      <c r="D19" s="53">
        <f>0</f>
        <v>0</v>
      </c>
      <c r="E19" s="53">
        <f>0</f>
        <v>0</v>
      </c>
      <c r="F19" s="53">
        <f>0</f>
        <v>0</v>
      </c>
      <c r="G19" s="53">
        <f>0</f>
        <v>0</v>
      </c>
      <c r="H19" s="53">
        <f>0</f>
        <v>0</v>
      </c>
      <c r="I19" s="53">
        <f>0</f>
        <v>0</v>
      </c>
      <c r="J19" s="53">
        <f>0</f>
        <v>0</v>
      </c>
      <c r="K19" s="53">
        <f>0</f>
        <v>0</v>
      </c>
      <c r="L19" s="53">
        <f>0</f>
        <v>0</v>
      </c>
      <c r="M19" s="53">
        <f>0</f>
        <v>0</v>
      </c>
      <c r="N19" s="53">
        <f>0</f>
        <v>0</v>
      </c>
      <c r="O19" s="53">
        <f>0</f>
        <v>0</v>
      </c>
      <c r="P19" s="53">
        <f>0</f>
        <v>0</v>
      </c>
      <c r="Q19" s="53">
        <f>0</f>
        <v>0</v>
      </c>
      <c r="R19" s="53">
        <f>0</f>
        <v>0</v>
      </c>
      <c r="S19" s="53">
        <f>0</f>
        <v>0</v>
      </c>
      <c r="T19" s="53">
        <f>0</f>
        <v>0</v>
      </c>
      <c r="U19" s="53">
        <f>0</f>
        <v>0</v>
      </c>
      <c r="V19" s="53">
        <f>0</f>
        <v>0</v>
      </c>
      <c r="W19" s="53">
        <f>0</f>
        <v>0</v>
      </c>
      <c r="X19" s="53">
        <f>0</f>
        <v>0</v>
      </c>
      <c r="Y19" s="53">
        <f>0</f>
        <v>0</v>
      </c>
      <c r="Z19" s="53">
        <f>0</f>
        <v>0</v>
      </c>
    </row>
    <row r="20">
      <c r="A20" s="22" t="inlineStr">
        <is>
          <t>Program contribution (pre-tax)</t>
        </is>
      </c>
      <c r="C20" s="57">
        <f>C16-C17-C18-C19</f>
        <v>152.2544</v>
      </c>
      <c r="D20" s="57">
        <f>D16-D17-D18-D19</f>
        <v>270.0248</v>
      </c>
      <c r="E20" s="57">
        <f>E16-E17-E18-E19</f>
        <v>380.8464</v>
      </c>
      <c r="F20" s="57">
        <f>F16-F17-F18-F19</f>
        <v>481.96399999999994</v>
      </c>
      <c r="G20" s="57">
        <f>G16-G17-G18-G19</f>
        <v>584.0</v>
      </c>
      <c r="H20" s="57">
        <f>H16-H17-H18-H19</f>
        <v>584.0</v>
      </c>
      <c r="I20" s="57">
        <f>I16-I17-I18-I19</f>
        <v>584.0</v>
      </c>
      <c r="J20" s="57">
        <f>J16-J17-J18-J19</f>
        <v>584.0</v>
      </c>
      <c r="K20" s="57">
        <f>K16-K17-K18-K19</f>
        <v>584.0</v>
      </c>
      <c r="L20" s="57">
        <f>L16-L17-L18-L19</f>
        <v>584.0</v>
      </c>
      <c r="M20" s="57">
        <f>M16-M17-M18-M19</f>
        <v>584.0</v>
      </c>
      <c r="N20" s="57">
        <f>N16-N17-N18-N19</f>
        <v>584.0</v>
      </c>
      <c r="O20" s="57">
        <f>O16-O17-O18-O19</f>
        <v>233.60000000000002</v>
      </c>
      <c r="P20" s="57">
        <f>P16-P17-P18-P19</f>
        <v>93.44</v>
      </c>
      <c r="Q20" s="57">
        <f>Q16-Q17-Q18-Q19</f>
        <v>37.376000000000005</v>
      </c>
      <c r="R20" s="57">
        <f>R16-R17-R18-R19</f>
        <v>14.950400000000002</v>
      </c>
      <c r="S20" s="57">
        <f>S16-S17-S18-S19</f>
        <v>5.9801600000000015</v>
      </c>
      <c r="T20" s="57">
        <f>T16-T17-T18-T19</f>
        <v>2.392064000000001</v>
      </c>
      <c r="U20" s="57">
        <f>U16-U17-U18-U19</f>
        <v>0.9568256000000004</v>
      </c>
      <c r="V20" s="57">
        <f>V16-V17-V18-V19</f>
        <v>0.3827302400000001</v>
      </c>
      <c r="W20" s="57">
        <f>W16-W17-W18-W19</f>
        <v>0.15309209600000007</v>
      </c>
      <c r="X20" s="57">
        <f>X16-X17-X18-X19</f>
        <v>0.061236838400000035</v>
      </c>
      <c r="Y20" s="57">
        <f>Y16-Y17-Y18-Y19</f>
        <v>0.024494735360000013</v>
      </c>
      <c r="Z20" s="57">
        <f>Z16-Z17-Z18-Z19</f>
        <v>0.009797894144000004</v>
      </c>
    </row>
    <row r="22">
      <c r="A22" s="30" t="inlineStr">
        <is>
          <t>Relacorilant — hypercortisolism (incremental to Korlym)</t>
        </is>
      </c>
    </row>
    <row r="23">
      <c r="A23" s="13" t="inlineStr">
        <is>
          <t>Years since launch (approved on time)</t>
        </is>
      </c>
      <c r="C23" s="64">
        <f>C$2-Assumptions!$B$73+1</f>
        <v>1.0</v>
      </c>
      <c r="D23" s="64">
        <f>D$2-Assumptions!$B$73+1</f>
        <v>2.0</v>
      </c>
      <c r="E23" s="64">
        <f>E$2-Assumptions!$B$73+1</f>
        <v>3.0</v>
      </c>
      <c r="F23" s="64">
        <f>F$2-Assumptions!$B$73+1</f>
        <v>4.0</v>
      </c>
      <c r="G23" s="64">
        <f>G$2-Assumptions!$B$73+1</f>
        <v>5.0</v>
      </c>
      <c r="H23" s="64">
        <f>H$2-Assumptions!$B$73+1</f>
        <v>6.0</v>
      </c>
      <c r="I23" s="64">
        <f>I$2-Assumptions!$B$73+1</f>
        <v>7.0</v>
      </c>
      <c r="J23" s="64">
        <f>J$2-Assumptions!$B$73+1</f>
        <v>8.0</v>
      </c>
      <c r="K23" s="64">
        <f>K$2-Assumptions!$B$73+1</f>
        <v>9.0</v>
      </c>
      <c r="L23" s="64">
        <f>L$2-Assumptions!$B$73+1</f>
        <v>10.0</v>
      </c>
      <c r="M23" s="64">
        <f>M$2-Assumptions!$B$73+1</f>
        <v>11.0</v>
      </c>
      <c r="N23" s="64">
        <f>N$2-Assumptions!$B$73+1</f>
        <v>12.0</v>
      </c>
      <c r="O23" s="64">
        <f>O$2-Assumptions!$B$73+1</f>
        <v>13.0</v>
      </c>
      <c r="P23" s="64">
        <f>P$2-Assumptions!$B$73+1</f>
        <v>14.0</v>
      </c>
      <c r="Q23" s="64">
        <f>Q$2-Assumptions!$B$73+1</f>
        <v>15.0</v>
      </c>
      <c r="R23" s="64">
        <f>R$2-Assumptions!$B$73+1</f>
        <v>16.0</v>
      </c>
      <c r="S23" s="64">
        <f>S$2-Assumptions!$B$73+1</f>
        <v>17.0</v>
      </c>
      <c r="T23" s="64">
        <f>T$2-Assumptions!$B$73+1</f>
        <v>18.0</v>
      </c>
      <c r="U23" s="64">
        <f>U$2-Assumptions!$B$73+1</f>
        <v>19.0</v>
      </c>
      <c r="V23" s="64">
        <f>V$2-Assumptions!$B$73+1</f>
        <v>20.0</v>
      </c>
      <c r="W23" s="64">
        <f>W$2-Assumptions!$B$73+1</f>
        <v>21.0</v>
      </c>
      <c r="X23" s="64">
        <f>X$2-Assumptions!$B$73+1</f>
        <v>22.0</v>
      </c>
      <c r="Y23" s="64">
        <f>Y$2-Assumptions!$B$73+1</f>
        <v>23.0</v>
      </c>
      <c r="Z23" s="64">
        <f>Z$2-Assumptions!$B$73+1</f>
        <v>24.0</v>
      </c>
    </row>
    <row r="24">
      <c r="A24" s="13" t="inlineStr">
        <is>
          <t>Net sales, unrisked (approved on time)</t>
        </is>
      </c>
      <c r="C24" s="53">
        <f>IF(C$2&gt;Assumptions!$B$82,0*(1-Assumptions!$B$83),IF(C23&gt;=1,Assumptions!$B$74*CHOOSE(Assumptions!$B$81,INDEX(Assumptions!$B$42:$H$42,MIN(C23,7)),INDEX(Assumptions!$B$43:$H$43,MIN(C23,7))),0))</f>
        <v>130.0</v>
      </c>
      <c r="D24" s="53">
        <f>IF(D$2&gt;Assumptions!$B$82,C24*(1-Assumptions!$B$83),IF(D23&gt;=1,Assumptions!$B$74*CHOOSE(Assumptions!$B$81,INDEX(Assumptions!$B$42:$H$42,MIN(D23,7)),INDEX(Assumptions!$B$43:$H$43,MIN(D23,7))),0))</f>
        <v>325.0</v>
      </c>
      <c r="E24" s="53">
        <f>IF(E$2&gt;Assumptions!$B$82,D24*(1-Assumptions!$B$83),IF(E23&gt;=1,Assumptions!$B$74*CHOOSE(Assumptions!$B$81,INDEX(Assumptions!$B$42:$H$42,MIN(E23,7)),INDEX(Assumptions!$B$43:$H$43,MIN(E23,7))),0))</f>
        <v>585.0</v>
      </c>
      <c r="F24" s="53">
        <f>IF(F$2&gt;Assumptions!$B$82,E24*(1-Assumptions!$B$83),IF(F23&gt;=1,Assumptions!$B$74*CHOOSE(Assumptions!$B$81,INDEX(Assumptions!$B$42:$H$42,MIN(F23,7)),INDEX(Assumptions!$B$43:$H$43,MIN(F23,7))),0))</f>
        <v>845.0</v>
      </c>
      <c r="G24" s="53">
        <f>IF(G$2&gt;Assumptions!$B$82,F24*(1-Assumptions!$B$83),IF(G23&gt;=1,Assumptions!$B$74*CHOOSE(Assumptions!$B$81,INDEX(Assumptions!$B$42:$H$42,MIN(G23,7)),INDEX(Assumptions!$B$43:$H$43,MIN(G23,7))),0))</f>
        <v>1066.0</v>
      </c>
      <c r="H24" s="53">
        <f>IF(H$2&gt;Assumptions!$B$82,G24*(1-Assumptions!$B$83),IF(H23&gt;=1,Assumptions!$B$74*CHOOSE(Assumptions!$B$81,INDEX(Assumptions!$B$42:$H$42,MIN(H23,7)),INDEX(Assumptions!$B$43:$H$43,MIN(H23,7))),0))</f>
        <v>1209.0</v>
      </c>
      <c r="I24" s="53">
        <f>IF(I$2&gt;Assumptions!$B$82,H24*(1-Assumptions!$B$83),IF(I23&gt;=1,Assumptions!$B$74*CHOOSE(Assumptions!$B$81,INDEX(Assumptions!$B$42:$H$42,MIN(I23,7)),INDEX(Assumptions!$B$43:$H$43,MIN(I23,7))),0))</f>
        <v>1300.0</v>
      </c>
      <c r="J24" s="53">
        <f>IF(J$2&gt;Assumptions!$B$82,I24*(1-Assumptions!$B$83),IF(J23&gt;=1,Assumptions!$B$74*CHOOSE(Assumptions!$B$81,INDEX(Assumptions!$B$42:$H$42,MIN(J23,7)),INDEX(Assumptions!$B$43:$H$43,MIN(J23,7))),0))</f>
        <v>1300.0</v>
      </c>
      <c r="K24" s="53">
        <f>IF(K$2&gt;Assumptions!$B$82,J24*(1-Assumptions!$B$83),IF(K23&gt;=1,Assumptions!$B$74*CHOOSE(Assumptions!$B$81,INDEX(Assumptions!$B$42:$H$42,MIN(K23,7)),INDEX(Assumptions!$B$43:$H$43,MIN(K23,7))),0))</f>
        <v>1300.0</v>
      </c>
      <c r="L24" s="53">
        <f>IF(L$2&gt;Assumptions!$B$82,K24*(1-Assumptions!$B$83),IF(L23&gt;=1,Assumptions!$B$74*CHOOSE(Assumptions!$B$81,INDEX(Assumptions!$B$42:$H$42,MIN(L23,7)),INDEX(Assumptions!$B$43:$H$43,MIN(L23,7))),0))</f>
        <v>1300.0</v>
      </c>
      <c r="M24" s="53">
        <f>IF(M$2&gt;Assumptions!$B$82,L24*(1-Assumptions!$B$83),IF(M23&gt;=1,Assumptions!$B$74*CHOOSE(Assumptions!$B$81,INDEX(Assumptions!$B$42:$H$42,MIN(M23,7)),INDEX(Assumptions!$B$43:$H$43,MIN(M23,7))),0))</f>
        <v>1300.0</v>
      </c>
      <c r="N24" s="53">
        <f>IF(N$2&gt;Assumptions!$B$82,M24*(1-Assumptions!$B$83),IF(N23&gt;=1,Assumptions!$B$74*CHOOSE(Assumptions!$B$81,INDEX(Assumptions!$B$42:$H$42,MIN(N23,7)),INDEX(Assumptions!$B$43:$H$43,MIN(N23,7))),0))</f>
        <v>1300.0</v>
      </c>
      <c r="O24" s="53">
        <f>IF(O$2&gt;Assumptions!$B$82,N24*(1-Assumptions!$B$83),IF(O23&gt;=1,Assumptions!$B$74*CHOOSE(Assumptions!$B$81,INDEX(Assumptions!$B$42:$H$42,MIN(O23,7)),INDEX(Assumptions!$B$43:$H$43,MIN(O23,7))),0))</f>
        <v>520.0</v>
      </c>
      <c r="P24" s="53">
        <f>IF(P$2&gt;Assumptions!$B$82,O24*(1-Assumptions!$B$83),IF(P23&gt;=1,Assumptions!$B$74*CHOOSE(Assumptions!$B$81,INDEX(Assumptions!$B$42:$H$42,MIN(P23,7)),INDEX(Assumptions!$B$43:$H$43,MIN(P23,7))),0))</f>
        <v>208.0</v>
      </c>
      <c r="Q24" s="53">
        <f>IF(Q$2&gt;Assumptions!$B$82,P24*(1-Assumptions!$B$83),IF(Q23&gt;=1,Assumptions!$B$74*CHOOSE(Assumptions!$B$81,INDEX(Assumptions!$B$42:$H$42,MIN(Q23,7)),INDEX(Assumptions!$B$43:$H$43,MIN(Q23,7))),0))</f>
        <v>83.2</v>
      </c>
      <c r="R24" s="53">
        <f>IF(R$2&gt;Assumptions!$B$82,Q24*(1-Assumptions!$B$83),IF(R23&gt;=1,Assumptions!$B$74*CHOOSE(Assumptions!$B$81,INDEX(Assumptions!$B$42:$H$42,MIN(R23,7)),INDEX(Assumptions!$B$43:$H$43,MIN(R23,7))),0))</f>
        <v>33.28</v>
      </c>
      <c r="S24" s="53">
        <f>IF(S$2&gt;Assumptions!$B$82,R24*(1-Assumptions!$B$83),IF(S23&gt;=1,Assumptions!$B$74*CHOOSE(Assumptions!$B$81,INDEX(Assumptions!$B$42:$H$42,MIN(S23,7)),INDEX(Assumptions!$B$43:$H$43,MIN(S23,7))),0))</f>
        <v>13.312000000000001</v>
      </c>
      <c r="T24" s="53">
        <f>IF(T$2&gt;Assumptions!$B$82,S24*(1-Assumptions!$B$83),IF(T23&gt;=1,Assumptions!$B$74*CHOOSE(Assumptions!$B$81,INDEX(Assumptions!$B$42:$H$42,MIN(T23,7)),INDEX(Assumptions!$B$43:$H$43,MIN(T23,7))),0))</f>
        <v>5.324800000000001</v>
      </c>
      <c r="U24" s="53">
        <f>IF(U$2&gt;Assumptions!$B$82,T24*(1-Assumptions!$B$83),IF(U23&gt;=1,Assumptions!$B$74*CHOOSE(Assumptions!$B$81,INDEX(Assumptions!$B$42:$H$42,MIN(U23,7)),INDEX(Assumptions!$B$43:$H$43,MIN(U23,7))),0))</f>
        <v>2.1299200000000003</v>
      </c>
      <c r="V24" s="53">
        <f>IF(V$2&gt;Assumptions!$B$82,U24*(1-Assumptions!$B$83),IF(V23&gt;=1,Assumptions!$B$74*CHOOSE(Assumptions!$B$81,INDEX(Assumptions!$B$42:$H$42,MIN(V23,7)),INDEX(Assumptions!$B$43:$H$43,MIN(V23,7))),0))</f>
        <v>0.8519680000000002</v>
      </c>
      <c r="W24" s="53">
        <f>IF(W$2&gt;Assumptions!$B$82,V24*(1-Assumptions!$B$83),IF(W23&gt;=1,Assumptions!$B$74*CHOOSE(Assumptions!$B$81,INDEX(Assumptions!$B$42:$H$42,MIN(W23,7)),INDEX(Assumptions!$B$43:$H$43,MIN(W23,7))),0))</f>
        <v>0.34078720000000007</v>
      </c>
      <c r="X24" s="53">
        <f>IF(X$2&gt;Assumptions!$B$82,W24*(1-Assumptions!$B$83),IF(X23&gt;=1,Assumptions!$B$74*CHOOSE(Assumptions!$B$81,INDEX(Assumptions!$B$42:$H$42,MIN(X23,7)),INDEX(Assumptions!$B$43:$H$43,MIN(X23,7))),0))</f>
        <v>0.13631488000000003</v>
      </c>
      <c r="Y24" s="53">
        <f>IF(Y$2&gt;Assumptions!$B$82,X24*(1-Assumptions!$B$83),IF(Y23&gt;=1,Assumptions!$B$74*CHOOSE(Assumptions!$B$81,INDEX(Assumptions!$B$42:$H$42,MIN(Y23,7)),INDEX(Assumptions!$B$43:$H$43,MIN(Y23,7))),0))</f>
        <v>0.054525952000000016</v>
      </c>
      <c r="Z24" s="53">
        <f>IF(Z$2&gt;Assumptions!$B$82,Y24*(1-Assumptions!$B$83),IF(Z23&gt;=1,Assumptions!$B$74*CHOOSE(Assumptions!$B$81,INDEX(Assumptions!$B$42:$H$42,MIN(Z23,7)),INDEX(Assumptions!$B$43:$H$43,MIN(Z23,7))),0))</f>
        <v>0.021810380800000008</v>
      </c>
    </row>
    <row r="25">
      <c r="A25" s="13" t="inlineStr">
        <is>
          <t>Years since launch (approved after a CRL)</t>
        </is>
      </c>
      <c r="C25" s="64">
        <f>C$2-(Assumptions!$B$73+Assumptions!$B$34)+1</f>
        <v>-1.0</v>
      </c>
      <c r="D25" s="64">
        <f>D$2-(Assumptions!$B$73+Assumptions!$B$34)+1</f>
        <v>0.0</v>
      </c>
      <c r="E25" s="64">
        <f>E$2-(Assumptions!$B$73+Assumptions!$B$34)+1</f>
        <v>1.0</v>
      </c>
      <c r="F25" s="64">
        <f>F$2-(Assumptions!$B$73+Assumptions!$B$34)+1</f>
        <v>2.0</v>
      </c>
      <c r="G25" s="64">
        <f>G$2-(Assumptions!$B$73+Assumptions!$B$34)+1</f>
        <v>3.0</v>
      </c>
      <c r="H25" s="64">
        <f>H$2-(Assumptions!$B$73+Assumptions!$B$34)+1</f>
        <v>4.0</v>
      </c>
      <c r="I25" s="64">
        <f>I$2-(Assumptions!$B$73+Assumptions!$B$34)+1</f>
        <v>5.0</v>
      </c>
      <c r="J25" s="64">
        <f>J$2-(Assumptions!$B$73+Assumptions!$B$34)+1</f>
        <v>6.0</v>
      </c>
      <c r="K25" s="64">
        <f>K$2-(Assumptions!$B$73+Assumptions!$B$34)+1</f>
        <v>7.0</v>
      </c>
      <c r="L25" s="64">
        <f>L$2-(Assumptions!$B$73+Assumptions!$B$34)+1</f>
        <v>8.0</v>
      </c>
      <c r="M25" s="64">
        <f>M$2-(Assumptions!$B$73+Assumptions!$B$34)+1</f>
        <v>9.0</v>
      </c>
      <c r="N25" s="64">
        <f>N$2-(Assumptions!$B$73+Assumptions!$B$34)+1</f>
        <v>10.0</v>
      </c>
      <c r="O25" s="64">
        <f>O$2-(Assumptions!$B$73+Assumptions!$B$34)+1</f>
        <v>11.0</v>
      </c>
      <c r="P25" s="64">
        <f>P$2-(Assumptions!$B$73+Assumptions!$B$34)+1</f>
        <v>12.0</v>
      </c>
      <c r="Q25" s="64">
        <f>Q$2-(Assumptions!$B$73+Assumptions!$B$34)+1</f>
        <v>13.0</v>
      </c>
      <c r="R25" s="64">
        <f>R$2-(Assumptions!$B$73+Assumptions!$B$34)+1</f>
        <v>14.0</v>
      </c>
      <c r="S25" s="64">
        <f>S$2-(Assumptions!$B$73+Assumptions!$B$34)+1</f>
        <v>15.0</v>
      </c>
      <c r="T25" s="64">
        <f>T$2-(Assumptions!$B$73+Assumptions!$B$34)+1</f>
        <v>16.0</v>
      </c>
      <c r="U25" s="64">
        <f>U$2-(Assumptions!$B$73+Assumptions!$B$34)+1</f>
        <v>17.0</v>
      </c>
      <c r="V25" s="64">
        <f>V$2-(Assumptions!$B$73+Assumptions!$B$34)+1</f>
        <v>18.0</v>
      </c>
      <c r="W25" s="64">
        <f>W$2-(Assumptions!$B$73+Assumptions!$B$34)+1</f>
        <v>19.0</v>
      </c>
      <c r="X25" s="64">
        <f>X$2-(Assumptions!$B$73+Assumptions!$B$34)+1</f>
        <v>20.0</v>
      </c>
      <c r="Y25" s="64">
        <f>Y$2-(Assumptions!$B$73+Assumptions!$B$34)+1</f>
        <v>21.0</v>
      </c>
      <c r="Z25" s="64">
        <f>Z$2-(Assumptions!$B$73+Assumptions!$B$34)+1</f>
        <v>22.0</v>
      </c>
    </row>
    <row r="26">
      <c r="A26" s="13" t="inlineStr">
        <is>
          <t>Net sales, unrisked (approved after a CRL)</t>
        </is>
      </c>
      <c r="C26" s="53">
        <f>IF(C$2&gt;Assumptions!$B$82,0*(1-Assumptions!$B$83),IF(C25&gt;=1,Assumptions!$B$74*CHOOSE(Assumptions!$B$81,INDEX(Assumptions!$B$42:$H$42,MIN(C25,7)),INDEX(Assumptions!$B$43:$H$43,MIN(C25,7))),0))</f>
        <v>0</v>
      </c>
      <c r="D26" s="53">
        <f>IF(D$2&gt;Assumptions!$B$82,C26*(1-Assumptions!$B$83),IF(D25&gt;=1,Assumptions!$B$74*CHOOSE(Assumptions!$B$81,INDEX(Assumptions!$B$42:$H$42,MIN(D25,7)),INDEX(Assumptions!$B$43:$H$43,MIN(D25,7))),0))</f>
        <v>0</v>
      </c>
      <c r="E26" s="53">
        <f>IF(E$2&gt;Assumptions!$B$82,D26*(1-Assumptions!$B$83),IF(E25&gt;=1,Assumptions!$B$74*CHOOSE(Assumptions!$B$81,INDEX(Assumptions!$B$42:$H$42,MIN(E25,7)),INDEX(Assumptions!$B$43:$H$43,MIN(E25,7))),0))</f>
        <v>130.0</v>
      </c>
      <c r="F26" s="53">
        <f>IF(F$2&gt;Assumptions!$B$82,E26*(1-Assumptions!$B$83),IF(F25&gt;=1,Assumptions!$B$74*CHOOSE(Assumptions!$B$81,INDEX(Assumptions!$B$42:$H$42,MIN(F25,7)),INDEX(Assumptions!$B$43:$H$43,MIN(F25,7))),0))</f>
        <v>325.0</v>
      </c>
      <c r="G26" s="53">
        <f>IF(G$2&gt;Assumptions!$B$82,F26*(1-Assumptions!$B$83),IF(G25&gt;=1,Assumptions!$B$74*CHOOSE(Assumptions!$B$81,INDEX(Assumptions!$B$42:$H$42,MIN(G25,7)),INDEX(Assumptions!$B$43:$H$43,MIN(G25,7))),0))</f>
        <v>585.0</v>
      </c>
      <c r="H26" s="53">
        <f>IF(H$2&gt;Assumptions!$B$82,G26*(1-Assumptions!$B$83),IF(H25&gt;=1,Assumptions!$B$74*CHOOSE(Assumptions!$B$81,INDEX(Assumptions!$B$42:$H$42,MIN(H25,7)),INDEX(Assumptions!$B$43:$H$43,MIN(H25,7))),0))</f>
        <v>845.0</v>
      </c>
      <c r="I26" s="53">
        <f>IF(I$2&gt;Assumptions!$B$82,H26*(1-Assumptions!$B$83),IF(I25&gt;=1,Assumptions!$B$74*CHOOSE(Assumptions!$B$81,INDEX(Assumptions!$B$42:$H$42,MIN(I25,7)),INDEX(Assumptions!$B$43:$H$43,MIN(I25,7))),0))</f>
        <v>1066.0</v>
      </c>
      <c r="J26" s="53">
        <f>IF(J$2&gt;Assumptions!$B$82,I26*(1-Assumptions!$B$83),IF(J25&gt;=1,Assumptions!$B$74*CHOOSE(Assumptions!$B$81,INDEX(Assumptions!$B$42:$H$42,MIN(J25,7)),INDEX(Assumptions!$B$43:$H$43,MIN(J25,7))),0))</f>
        <v>1209.0</v>
      </c>
      <c r="K26" s="53">
        <f>IF(K$2&gt;Assumptions!$B$82,J26*(1-Assumptions!$B$83),IF(K25&gt;=1,Assumptions!$B$74*CHOOSE(Assumptions!$B$81,INDEX(Assumptions!$B$42:$H$42,MIN(K25,7)),INDEX(Assumptions!$B$43:$H$43,MIN(K25,7))),0))</f>
        <v>1300.0</v>
      </c>
      <c r="L26" s="53">
        <f>IF(L$2&gt;Assumptions!$B$82,K26*(1-Assumptions!$B$83),IF(L25&gt;=1,Assumptions!$B$74*CHOOSE(Assumptions!$B$81,INDEX(Assumptions!$B$42:$H$42,MIN(L25,7)),INDEX(Assumptions!$B$43:$H$43,MIN(L25,7))),0))</f>
        <v>1300.0</v>
      </c>
      <c r="M26" s="53">
        <f>IF(M$2&gt;Assumptions!$B$82,L26*(1-Assumptions!$B$83),IF(M25&gt;=1,Assumptions!$B$74*CHOOSE(Assumptions!$B$81,INDEX(Assumptions!$B$42:$H$42,MIN(M25,7)),INDEX(Assumptions!$B$43:$H$43,MIN(M25,7))),0))</f>
        <v>1300.0</v>
      </c>
      <c r="N26" s="53">
        <f>IF(N$2&gt;Assumptions!$B$82,M26*(1-Assumptions!$B$83),IF(N25&gt;=1,Assumptions!$B$74*CHOOSE(Assumptions!$B$81,INDEX(Assumptions!$B$42:$H$42,MIN(N25,7)),INDEX(Assumptions!$B$43:$H$43,MIN(N25,7))),0))</f>
        <v>1300.0</v>
      </c>
      <c r="O26" s="53">
        <f>IF(O$2&gt;Assumptions!$B$82,N26*(1-Assumptions!$B$83),IF(O25&gt;=1,Assumptions!$B$74*CHOOSE(Assumptions!$B$81,INDEX(Assumptions!$B$42:$H$42,MIN(O25,7)),INDEX(Assumptions!$B$43:$H$43,MIN(O25,7))),0))</f>
        <v>520.0</v>
      </c>
      <c r="P26" s="53">
        <f>IF(P$2&gt;Assumptions!$B$82,O26*(1-Assumptions!$B$83),IF(P25&gt;=1,Assumptions!$B$74*CHOOSE(Assumptions!$B$81,INDEX(Assumptions!$B$42:$H$42,MIN(P25,7)),INDEX(Assumptions!$B$43:$H$43,MIN(P25,7))),0))</f>
        <v>208.0</v>
      </c>
      <c r="Q26" s="53">
        <f>IF(Q$2&gt;Assumptions!$B$82,P26*(1-Assumptions!$B$83),IF(Q25&gt;=1,Assumptions!$B$74*CHOOSE(Assumptions!$B$81,INDEX(Assumptions!$B$42:$H$42,MIN(Q25,7)),INDEX(Assumptions!$B$43:$H$43,MIN(Q25,7))),0))</f>
        <v>83.2</v>
      </c>
      <c r="R26" s="53">
        <f>IF(R$2&gt;Assumptions!$B$82,Q26*(1-Assumptions!$B$83),IF(R25&gt;=1,Assumptions!$B$74*CHOOSE(Assumptions!$B$81,INDEX(Assumptions!$B$42:$H$42,MIN(R25,7)),INDEX(Assumptions!$B$43:$H$43,MIN(R25,7))),0))</f>
        <v>33.28</v>
      </c>
      <c r="S26" s="53">
        <f>IF(S$2&gt;Assumptions!$B$82,R26*(1-Assumptions!$B$83),IF(S25&gt;=1,Assumptions!$B$74*CHOOSE(Assumptions!$B$81,INDEX(Assumptions!$B$42:$H$42,MIN(S25,7)),INDEX(Assumptions!$B$43:$H$43,MIN(S25,7))),0))</f>
        <v>13.312000000000001</v>
      </c>
      <c r="T26" s="53">
        <f>IF(T$2&gt;Assumptions!$B$82,S26*(1-Assumptions!$B$83),IF(T25&gt;=1,Assumptions!$B$74*CHOOSE(Assumptions!$B$81,INDEX(Assumptions!$B$42:$H$42,MIN(T25,7)),INDEX(Assumptions!$B$43:$H$43,MIN(T25,7))),0))</f>
        <v>5.324800000000001</v>
      </c>
      <c r="U26" s="53">
        <f>IF(U$2&gt;Assumptions!$B$82,T26*(1-Assumptions!$B$83),IF(U25&gt;=1,Assumptions!$B$74*CHOOSE(Assumptions!$B$81,INDEX(Assumptions!$B$42:$H$42,MIN(U25,7)),INDEX(Assumptions!$B$43:$H$43,MIN(U25,7))),0))</f>
        <v>2.1299200000000003</v>
      </c>
      <c r="V26" s="53">
        <f>IF(V$2&gt;Assumptions!$B$82,U26*(1-Assumptions!$B$83),IF(V25&gt;=1,Assumptions!$B$74*CHOOSE(Assumptions!$B$81,INDEX(Assumptions!$B$42:$H$42,MIN(V25,7)),INDEX(Assumptions!$B$43:$H$43,MIN(V25,7))),0))</f>
        <v>0.8519680000000002</v>
      </c>
      <c r="W26" s="53">
        <f>IF(W$2&gt;Assumptions!$B$82,V26*(1-Assumptions!$B$83),IF(W25&gt;=1,Assumptions!$B$74*CHOOSE(Assumptions!$B$81,INDEX(Assumptions!$B$42:$H$42,MIN(W25,7)),INDEX(Assumptions!$B$43:$H$43,MIN(W25,7))),0))</f>
        <v>0.34078720000000007</v>
      </c>
      <c r="X26" s="53">
        <f>IF(X$2&gt;Assumptions!$B$82,W26*(1-Assumptions!$B$83),IF(X25&gt;=1,Assumptions!$B$74*CHOOSE(Assumptions!$B$81,INDEX(Assumptions!$B$42:$H$42,MIN(X25,7)),INDEX(Assumptions!$B$43:$H$43,MIN(X25,7))),0))</f>
        <v>0.13631488000000003</v>
      </c>
      <c r="Y26" s="53">
        <f>IF(Y$2&gt;Assumptions!$B$82,X26*(1-Assumptions!$B$83),IF(Y25&gt;=1,Assumptions!$B$74*CHOOSE(Assumptions!$B$81,INDEX(Assumptions!$B$42:$H$42,MIN(Y25,7)),INDEX(Assumptions!$B$43:$H$43,MIN(Y25,7))),0))</f>
        <v>0.054525952000000016</v>
      </c>
      <c r="Z26" s="53">
        <f>IF(Z$2&gt;Assumptions!$B$82,Y26*(1-Assumptions!$B$83),IF(Z25&gt;=1,Assumptions!$B$74*CHOOSE(Assumptions!$B$81,INDEX(Assumptions!$B$42:$H$42,MIN(Z25,7)),INDEX(Assumptions!$B$43:$H$43,MIN(Z25,7))),0))</f>
        <v>0.021810380800000008</v>
      </c>
    </row>
    <row r="27">
      <c r="A27" s="13" t="inlineStr">
        <is>
          <t>Product net sales, risk-adjusted</t>
        </is>
      </c>
      <c r="C27" s="53">
        <f>Assumptions!$B$32*C24+(1-Assumptions!$B$32)*Assumptions!$B$33*C26</f>
        <v>78.0</v>
      </c>
      <c r="D27" s="53">
        <f>Assumptions!$B$32*D24+(1-Assumptions!$B$32)*Assumptions!$B$33*D26</f>
        <v>195.0</v>
      </c>
      <c r="E27" s="53">
        <f>Assumptions!$B$32*E24+(1-Assumptions!$B$32)*Assumptions!$B$33*E26</f>
        <v>371.8</v>
      </c>
      <c r="F27" s="53">
        <f>Assumptions!$B$32*F24+(1-Assumptions!$B$32)*Assumptions!$B$33*F26</f>
        <v>559.0</v>
      </c>
      <c r="G27" s="53">
        <f>Assumptions!$B$32*G24+(1-Assumptions!$B$32)*Assumptions!$B$33*G26</f>
        <v>733.2</v>
      </c>
      <c r="H27" s="53">
        <f>Assumptions!$B$32*H24+(1-Assumptions!$B$32)*Assumptions!$B$33*H26</f>
        <v>860.6</v>
      </c>
      <c r="I27" s="53">
        <f>Assumptions!$B$32*I24+(1-Assumptions!$B$32)*Assumptions!$B$33*I26</f>
        <v>950.5600000000001</v>
      </c>
      <c r="J27" s="53">
        <f>Assumptions!$B$32*J24+(1-Assumptions!$B$32)*Assumptions!$B$33*J26</f>
        <v>973.44</v>
      </c>
      <c r="K27" s="53">
        <f>Assumptions!$B$32*K24+(1-Assumptions!$B$32)*Assumptions!$B$33*K26</f>
        <v>988.0</v>
      </c>
      <c r="L27" s="53">
        <f>Assumptions!$B$32*L24+(1-Assumptions!$B$32)*Assumptions!$B$33*L26</f>
        <v>988.0</v>
      </c>
      <c r="M27" s="53">
        <f>Assumptions!$B$32*M24+(1-Assumptions!$B$32)*Assumptions!$B$33*M26</f>
        <v>988.0</v>
      </c>
      <c r="N27" s="53">
        <f>Assumptions!$B$32*N24+(1-Assumptions!$B$32)*Assumptions!$B$33*N26</f>
        <v>988.0</v>
      </c>
      <c r="O27" s="53">
        <f>Assumptions!$B$32*O24+(1-Assumptions!$B$32)*Assumptions!$B$33*O26</f>
        <v>395.20000000000005</v>
      </c>
      <c r="P27" s="53">
        <f>Assumptions!$B$32*P24+(1-Assumptions!$B$32)*Assumptions!$B$33*P26</f>
        <v>158.08</v>
      </c>
      <c r="Q27" s="53">
        <f>Assumptions!$B$32*Q24+(1-Assumptions!$B$32)*Assumptions!$B$33*Q26</f>
        <v>63.232000000000006</v>
      </c>
      <c r="R27" s="53">
        <f>Assumptions!$B$32*R24+(1-Assumptions!$B$32)*Assumptions!$B$33*R26</f>
        <v>25.2928</v>
      </c>
      <c r="S27" s="53">
        <f>Assumptions!$B$32*S24+(1-Assumptions!$B$32)*Assumptions!$B$33*S26</f>
        <v>10.117120000000002</v>
      </c>
      <c r="T27" s="53">
        <f>Assumptions!$B$32*T24+(1-Assumptions!$B$32)*Assumptions!$B$33*T26</f>
        <v>4.046848000000001</v>
      </c>
      <c r="U27" s="53">
        <f>Assumptions!$B$32*U24+(1-Assumptions!$B$32)*Assumptions!$B$33*U26</f>
        <v>1.6187392000000003</v>
      </c>
      <c r="V27" s="53">
        <f>Assumptions!$B$32*V24+(1-Assumptions!$B$32)*Assumptions!$B$33*V26</f>
        <v>0.6474956800000001</v>
      </c>
      <c r="W27" s="53">
        <f>Assumptions!$B$32*W24+(1-Assumptions!$B$32)*Assumptions!$B$33*W26</f>
        <v>0.2589982720000001</v>
      </c>
      <c r="X27" s="53">
        <f>Assumptions!$B$32*X24+(1-Assumptions!$B$32)*Assumptions!$B$33*X26</f>
        <v>0.10359930880000001</v>
      </c>
      <c r="Y27" s="53">
        <f>Assumptions!$B$32*Y24+(1-Assumptions!$B$32)*Assumptions!$B$33*Y26</f>
        <v>0.04143972352000001</v>
      </c>
      <c r="Z27" s="53">
        <f>Assumptions!$B$32*Z24+(1-Assumptions!$B$32)*Assumptions!$B$33*Z26</f>
        <v>0.016575889408000005</v>
      </c>
    </row>
    <row r="28">
      <c r="A28" s="13" t="inlineStr">
        <is>
          <t>Company revenue, risk-adjusted (incl. milestones)</t>
        </is>
      </c>
      <c r="C28" s="53">
        <f>C27*Assumptions!$B$76</f>
        <v>78.0</v>
      </c>
      <c r="D28" s="53">
        <f>D27*Assumptions!$B$76</f>
        <v>195.0</v>
      </c>
      <c r="E28" s="53">
        <f>E27*Assumptions!$B$76</f>
        <v>371.8</v>
      </c>
      <c r="F28" s="53">
        <f>F27*Assumptions!$B$76</f>
        <v>559.0</v>
      </c>
      <c r="G28" s="53">
        <f>G27*Assumptions!$B$76</f>
        <v>733.2</v>
      </c>
      <c r="H28" s="53">
        <f>H27*Assumptions!$B$76</f>
        <v>860.6</v>
      </c>
      <c r="I28" s="53">
        <f>I27*Assumptions!$B$76</f>
        <v>950.5600000000001</v>
      </c>
      <c r="J28" s="53">
        <f>J27*Assumptions!$B$76</f>
        <v>973.44</v>
      </c>
      <c r="K28" s="53">
        <f>K27*Assumptions!$B$76</f>
        <v>988.0</v>
      </c>
      <c r="L28" s="53">
        <f>L27*Assumptions!$B$76</f>
        <v>988.0</v>
      </c>
      <c r="M28" s="53">
        <f>M27*Assumptions!$B$76</f>
        <v>988.0</v>
      </c>
      <c r="N28" s="53">
        <f>N27*Assumptions!$B$76</f>
        <v>988.0</v>
      </c>
      <c r="O28" s="53">
        <f>O27*Assumptions!$B$76</f>
        <v>395.20000000000005</v>
      </c>
      <c r="P28" s="53">
        <f>P27*Assumptions!$B$76</f>
        <v>158.08</v>
      </c>
      <c r="Q28" s="53">
        <f>Q27*Assumptions!$B$76</f>
        <v>63.232000000000006</v>
      </c>
      <c r="R28" s="53">
        <f>R27*Assumptions!$B$76</f>
        <v>25.2928</v>
      </c>
      <c r="S28" s="53">
        <f>S27*Assumptions!$B$76</f>
        <v>10.117120000000002</v>
      </c>
      <c r="T28" s="53">
        <f>T27*Assumptions!$B$76</f>
        <v>4.046848000000001</v>
      </c>
      <c r="U28" s="53">
        <f>U27*Assumptions!$B$76</f>
        <v>1.6187392000000003</v>
      </c>
      <c r="V28" s="53">
        <f>V27*Assumptions!$B$76</f>
        <v>0.6474956800000001</v>
      </c>
      <c r="W28" s="53">
        <f>W27*Assumptions!$B$76</f>
        <v>0.2589982720000001</v>
      </c>
      <c r="X28" s="53">
        <f>X27*Assumptions!$B$76</f>
        <v>0.10359930880000001</v>
      </c>
      <c r="Y28" s="53">
        <f>Y27*Assumptions!$B$76</f>
        <v>0.04143972352000001</v>
      </c>
      <c r="Z28" s="53">
        <f>Z27*Assumptions!$B$76</f>
        <v>0.016575889408000005</v>
      </c>
    </row>
    <row r="29">
      <c r="A29" s="13" t="inlineStr">
        <is>
          <t>COGS + royalties, risk-adjusted</t>
        </is>
      </c>
      <c r="C29" s="53">
        <f>C27*(Assumptions!$B$77+Assumptions!$B$78)</f>
        <v>1.56</v>
      </c>
      <c r="D29" s="53">
        <f>D27*(Assumptions!$B$77+Assumptions!$B$78)</f>
        <v>3.9</v>
      </c>
      <c r="E29" s="53">
        <f>E27*(Assumptions!$B$77+Assumptions!$B$78)</f>
        <v>7.436</v>
      </c>
      <c r="F29" s="53">
        <f>F27*(Assumptions!$B$77+Assumptions!$B$78)</f>
        <v>11.18</v>
      </c>
      <c r="G29" s="53">
        <f>G27*(Assumptions!$B$77+Assumptions!$B$78)</f>
        <v>14.664000000000001</v>
      </c>
      <c r="H29" s="53">
        <f>H27*(Assumptions!$B$77+Assumptions!$B$78)</f>
        <v>17.212</v>
      </c>
      <c r="I29" s="53">
        <f>I27*(Assumptions!$B$77+Assumptions!$B$78)</f>
        <v>19.011200000000002</v>
      </c>
      <c r="J29" s="53">
        <f>J27*(Assumptions!$B$77+Assumptions!$B$78)</f>
        <v>19.4688</v>
      </c>
      <c r="K29" s="53">
        <f>K27*(Assumptions!$B$77+Assumptions!$B$78)</f>
        <v>19.76</v>
      </c>
      <c r="L29" s="53">
        <f>L27*(Assumptions!$B$77+Assumptions!$B$78)</f>
        <v>19.76</v>
      </c>
      <c r="M29" s="53">
        <f>M27*(Assumptions!$B$77+Assumptions!$B$78)</f>
        <v>19.76</v>
      </c>
      <c r="N29" s="53">
        <f>N27*(Assumptions!$B$77+Assumptions!$B$78)</f>
        <v>19.76</v>
      </c>
      <c r="O29" s="53">
        <f>O27*(Assumptions!$B$77+Assumptions!$B$78)</f>
        <v>7.904000000000001</v>
      </c>
      <c r="P29" s="53">
        <f>P27*(Assumptions!$B$77+Assumptions!$B$78)</f>
        <v>3.1616000000000004</v>
      </c>
      <c r="Q29" s="53">
        <f>Q27*(Assumptions!$B$77+Assumptions!$B$78)</f>
        <v>1.2646400000000002</v>
      </c>
      <c r="R29" s="53">
        <f>R27*(Assumptions!$B$77+Assumptions!$B$78)</f>
        <v>0.505856</v>
      </c>
      <c r="S29" s="53">
        <f>S27*(Assumptions!$B$77+Assumptions!$B$78)</f>
        <v>0.20234240000000003</v>
      </c>
      <c r="T29" s="53">
        <f>T27*(Assumptions!$B$77+Assumptions!$B$78)</f>
        <v>0.08093696000000002</v>
      </c>
      <c r="U29" s="53">
        <f>U27*(Assumptions!$B$77+Assumptions!$B$78)</f>
        <v>0.032374784000000004</v>
      </c>
      <c r="V29" s="53">
        <f>V27*(Assumptions!$B$77+Assumptions!$B$78)</f>
        <v>0.012949913600000003</v>
      </c>
      <c r="W29" s="53">
        <f>W27*(Assumptions!$B$77+Assumptions!$B$78)</f>
        <v>0.005179965440000002</v>
      </c>
      <c r="X29" s="53">
        <f>X27*(Assumptions!$B$77+Assumptions!$B$78)</f>
        <v>0.0020719861760000002</v>
      </c>
      <c r="Y29" s="53">
        <f>Y27*(Assumptions!$B$77+Assumptions!$B$78)</f>
        <v>0.0008287944704000003</v>
      </c>
      <c r="Z29" s="53">
        <f>Z27*(Assumptions!$B$77+Assumptions!$B$78)</f>
        <v>0.00033151778816000013</v>
      </c>
    </row>
    <row r="30">
      <c r="A30" s="13" t="inlineStr">
        <is>
          <t>Commercial SG&amp;A, risk-adjusted</t>
        </is>
      </c>
      <c r="C30" s="53">
        <f>Assumptions!$B$32*IF(Assumptions!$B$79=0,0,IF(C23=0,Assumptions!$B$80,IF(C23&gt;=1,C24*IF(OR(Assumptions!$B$76&lt;1,C23&gt;5),Assumptions!$B$79,MAX(Assumptions!$B$79,INDEX(Assumptions!$B$44:$F$44,C23))),0)))+(1-Assumptions!$B$32)*Assumptions!$B$33*IF(Assumptions!$B$79=0,0,IF(C25=0,Assumptions!$B$80,IF(C25&gt;=1,C26*IF(OR(Assumptions!$B$76&lt;1,C25&gt;5),Assumptions!$B$79,MAX(Assumptions!$B$79,INDEX(Assumptions!$B$44:$F$44,C25))),0)))</f>
        <v>70.2</v>
      </c>
      <c r="D30" s="53">
        <f>Assumptions!$B$32*IF(Assumptions!$B$79=0,0,IF(D23=0,Assumptions!$B$80,IF(D23&gt;=1,D24*IF(OR(Assumptions!$B$76&lt;1,D23&gt;5),Assumptions!$B$79,MAX(Assumptions!$B$79,INDEX(Assumptions!$B$44:$F$44,D23))),0)))+(1-Assumptions!$B$32)*Assumptions!$B$33*IF(Assumptions!$B$79=0,0,IF(D25=0,Assumptions!$B$80,IF(D25&gt;=1,D26*IF(OR(Assumptions!$B$76&lt;1,D25&gt;5),Assumptions!$B$79,MAX(Assumptions!$B$79,INDEX(Assumptions!$B$44:$F$44,D25))),0)))</f>
        <v>109.65000000000002</v>
      </c>
      <c r="E30" s="53">
        <f>Assumptions!$B$32*IF(Assumptions!$B$79=0,0,IF(E23=0,Assumptions!$B$80,IF(E23&gt;=1,E24*IF(OR(Assumptions!$B$76&lt;1,E23&gt;5),Assumptions!$B$79,MAX(Assumptions!$B$79,INDEX(Assumptions!$B$44:$F$44,E23))),0)))+(1-Assumptions!$B$32)*Assumptions!$B$33*IF(Assumptions!$B$79=0,0,IF(E25=0,Assumptions!$B$80,IF(E25&gt;=1,E26*IF(OR(Assumptions!$B$76&lt;1,E25&gt;5),Assumptions!$B$79,MAX(Assumptions!$B$79,INDEX(Assumptions!$B$44:$F$44,E25))),0)))</f>
        <v>159.12</v>
      </c>
      <c r="F30" s="53">
        <f>Assumptions!$B$32*IF(Assumptions!$B$79=0,0,IF(F23=0,Assumptions!$B$80,IF(F23&gt;=1,F24*IF(OR(Assumptions!$B$76&lt;1,F23&gt;5),Assumptions!$B$79,MAX(Assumptions!$B$79,INDEX(Assumptions!$B$44:$F$44,F23))),0)))+(1-Assumptions!$B$32)*Assumptions!$B$33*IF(Assumptions!$B$79=0,0,IF(F25=0,Assumptions!$B$80,IF(F25&gt;=1,F26*IF(OR(Assumptions!$B$76&lt;1,F25&gt;5),Assumptions!$B$79,MAX(Assumptions!$B$79,INDEX(Assumptions!$B$44:$F$44,F25))),0)))</f>
        <v>190.83999999999997</v>
      </c>
      <c r="G30" s="53">
        <f>Assumptions!$B$32*IF(Assumptions!$B$79=0,0,IF(G23=0,Assumptions!$B$80,IF(G23&gt;=1,G24*IF(OR(Assumptions!$B$76&lt;1,G23&gt;5),Assumptions!$B$79,MAX(Assumptions!$B$79,INDEX(Assumptions!$B$44:$F$44,G23))),0)))+(1-Assumptions!$B$32)*Assumptions!$B$33*IF(Assumptions!$B$79=0,0,IF(G25=0,Assumptions!$B$80,IF(G25&gt;=1,G26*IF(OR(Assumptions!$B$76&lt;1,G25&gt;5),Assumptions!$B$79,MAX(Assumptions!$B$79,INDEX(Assumptions!$B$44:$F$44,G25))),0)))</f>
        <v>216.528</v>
      </c>
      <c r="H30" s="53">
        <f>Assumptions!$B$32*IF(Assumptions!$B$79=0,0,IF(H23=0,Assumptions!$B$80,IF(H23&gt;=1,H24*IF(OR(Assumptions!$B$76&lt;1,H23&gt;5),Assumptions!$B$79,MAX(Assumptions!$B$79,INDEX(Assumptions!$B$44:$F$44,H23))),0)))+(1-Assumptions!$B$32)*Assumptions!$B$33*IF(Assumptions!$B$79=0,0,IF(H25=0,Assumptions!$B$80,IF(H25&gt;=1,H26*IF(OR(Assumptions!$B$76&lt;1,H25&gt;5),Assumptions!$B$79,MAX(Assumptions!$B$79,INDEX(Assumptions!$B$44:$F$44,H25))),0)))</f>
        <v>188.34400000000002</v>
      </c>
      <c r="I30" s="53">
        <f>Assumptions!$B$32*IF(Assumptions!$B$79=0,0,IF(I23=0,Assumptions!$B$80,IF(I23&gt;=1,I24*IF(OR(Assumptions!$B$76&lt;1,I23&gt;5),Assumptions!$B$79,MAX(Assumptions!$B$79,INDEX(Assumptions!$B$44:$F$44,I23))),0)))+(1-Assumptions!$B$32)*Assumptions!$B$33*IF(Assumptions!$B$79=0,0,IF(I25=0,Assumptions!$B$80,IF(I25&gt;=1,I26*IF(OR(Assumptions!$B$76&lt;1,I25&gt;5),Assumptions!$B$79,MAX(Assumptions!$B$79,INDEX(Assumptions!$B$44:$F$44,I25))),0)))</f>
        <v>203.7568</v>
      </c>
      <c r="J30" s="53">
        <f>Assumptions!$B$32*IF(Assumptions!$B$79=0,0,IF(J23=0,Assumptions!$B$80,IF(J23&gt;=1,J24*IF(OR(Assumptions!$B$76&lt;1,J23&gt;5),Assumptions!$B$79,MAX(Assumptions!$B$79,INDEX(Assumptions!$B$44:$F$44,J23))),0)))+(1-Assumptions!$B$32)*Assumptions!$B$33*IF(Assumptions!$B$79=0,0,IF(J25=0,Assumptions!$B$80,IF(J25&gt;=1,J26*IF(OR(Assumptions!$B$76&lt;1,J25&gt;5),Assumptions!$B$79,MAX(Assumptions!$B$79,INDEX(Assumptions!$B$44:$F$44,J25))),0)))</f>
        <v>194.68800000000002</v>
      </c>
      <c r="K30" s="53">
        <f>Assumptions!$B$32*IF(Assumptions!$B$79=0,0,IF(K23=0,Assumptions!$B$80,IF(K23&gt;=1,K24*IF(OR(Assumptions!$B$76&lt;1,K23&gt;5),Assumptions!$B$79,MAX(Assumptions!$B$79,INDEX(Assumptions!$B$44:$F$44,K23))),0)))+(1-Assumptions!$B$32)*Assumptions!$B$33*IF(Assumptions!$B$79=0,0,IF(K25=0,Assumptions!$B$80,IF(K25&gt;=1,K26*IF(OR(Assumptions!$B$76&lt;1,K25&gt;5),Assumptions!$B$79,MAX(Assumptions!$B$79,INDEX(Assumptions!$B$44:$F$44,K25))),0)))</f>
        <v>197.60000000000002</v>
      </c>
      <c r="L30" s="53">
        <f>Assumptions!$B$32*IF(Assumptions!$B$79=0,0,IF(L23=0,Assumptions!$B$80,IF(L23&gt;=1,L24*IF(OR(Assumptions!$B$76&lt;1,L23&gt;5),Assumptions!$B$79,MAX(Assumptions!$B$79,INDEX(Assumptions!$B$44:$F$44,L23))),0)))+(1-Assumptions!$B$32)*Assumptions!$B$33*IF(Assumptions!$B$79=0,0,IF(L25=0,Assumptions!$B$80,IF(L25&gt;=1,L26*IF(OR(Assumptions!$B$76&lt;1,L25&gt;5),Assumptions!$B$79,MAX(Assumptions!$B$79,INDEX(Assumptions!$B$44:$F$44,L25))),0)))</f>
        <v>197.60000000000002</v>
      </c>
      <c r="M30" s="53">
        <f>Assumptions!$B$32*IF(Assumptions!$B$79=0,0,IF(M23=0,Assumptions!$B$80,IF(M23&gt;=1,M24*IF(OR(Assumptions!$B$76&lt;1,M23&gt;5),Assumptions!$B$79,MAX(Assumptions!$B$79,INDEX(Assumptions!$B$44:$F$44,M23))),0)))+(1-Assumptions!$B$32)*Assumptions!$B$33*IF(Assumptions!$B$79=0,0,IF(M25=0,Assumptions!$B$80,IF(M25&gt;=1,M26*IF(OR(Assumptions!$B$76&lt;1,M25&gt;5),Assumptions!$B$79,MAX(Assumptions!$B$79,INDEX(Assumptions!$B$44:$F$44,M25))),0)))</f>
        <v>197.60000000000002</v>
      </c>
      <c r="N30" s="53">
        <f>Assumptions!$B$32*IF(Assumptions!$B$79=0,0,IF(N23=0,Assumptions!$B$80,IF(N23&gt;=1,N24*IF(OR(Assumptions!$B$76&lt;1,N23&gt;5),Assumptions!$B$79,MAX(Assumptions!$B$79,INDEX(Assumptions!$B$44:$F$44,N23))),0)))+(1-Assumptions!$B$32)*Assumptions!$B$33*IF(Assumptions!$B$79=0,0,IF(N25=0,Assumptions!$B$80,IF(N25&gt;=1,N26*IF(OR(Assumptions!$B$76&lt;1,N25&gt;5),Assumptions!$B$79,MAX(Assumptions!$B$79,INDEX(Assumptions!$B$44:$F$44,N25))),0)))</f>
        <v>197.60000000000002</v>
      </c>
      <c r="O30" s="53">
        <f>Assumptions!$B$32*IF(Assumptions!$B$79=0,0,IF(O23=0,Assumptions!$B$80,IF(O23&gt;=1,O24*IF(OR(Assumptions!$B$76&lt;1,O23&gt;5),Assumptions!$B$79,MAX(Assumptions!$B$79,INDEX(Assumptions!$B$44:$F$44,O23))),0)))+(1-Assumptions!$B$32)*Assumptions!$B$33*IF(Assumptions!$B$79=0,0,IF(O25=0,Assumptions!$B$80,IF(O25&gt;=1,O26*IF(OR(Assumptions!$B$76&lt;1,O25&gt;5),Assumptions!$B$79,MAX(Assumptions!$B$79,INDEX(Assumptions!$B$44:$F$44,O25))),0)))</f>
        <v>79.04</v>
      </c>
      <c r="P30" s="53">
        <f>Assumptions!$B$32*IF(Assumptions!$B$79=0,0,IF(P23=0,Assumptions!$B$80,IF(P23&gt;=1,P24*IF(OR(Assumptions!$B$76&lt;1,P23&gt;5),Assumptions!$B$79,MAX(Assumptions!$B$79,INDEX(Assumptions!$B$44:$F$44,P23))),0)))+(1-Assumptions!$B$32)*Assumptions!$B$33*IF(Assumptions!$B$79=0,0,IF(P25=0,Assumptions!$B$80,IF(P25&gt;=1,P26*IF(OR(Assumptions!$B$76&lt;1,P25&gt;5),Assumptions!$B$79,MAX(Assumptions!$B$79,INDEX(Assumptions!$B$44:$F$44,P25))),0)))</f>
        <v>31.616000000000003</v>
      </c>
      <c r="Q30" s="53">
        <f>Assumptions!$B$32*IF(Assumptions!$B$79=0,0,IF(Q23=0,Assumptions!$B$80,IF(Q23&gt;=1,Q24*IF(OR(Assumptions!$B$76&lt;1,Q23&gt;5),Assumptions!$B$79,MAX(Assumptions!$B$79,INDEX(Assumptions!$B$44:$F$44,Q23))),0)))+(1-Assumptions!$B$32)*Assumptions!$B$33*IF(Assumptions!$B$79=0,0,IF(Q25=0,Assumptions!$B$80,IF(Q25&gt;=1,Q26*IF(OR(Assumptions!$B$76&lt;1,Q25&gt;5),Assumptions!$B$79,MAX(Assumptions!$B$79,INDEX(Assumptions!$B$44:$F$44,Q25))),0)))</f>
        <v>12.6464</v>
      </c>
      <c r="R30" s="53">
        <f>Assumptions!$B$32*IF(Assumptions!$B$79=0,0,IF(R23=0,Assumptions!$B$80,IF(R23&gt;=1,R24*IF(OR(Assumptions!$B$76&lt;1,R23&gt;5),Assumptions!$B$79,MAX(Assumptions!$B$79,INDEX(Assumptions!$B$44:$F$44,R23))),0)))+(1-Assumptions!$B$32)*Assumptions!$B$33*IF(Assumptions!$B$79=0,0,IF(R25=0,Assumptions!$B$80,IF(R25&gt;=1,R26*IF(OR(Assumptions!$B$76&lt;1,R25&gt;5),Assumptions!$B$79,MAX(Assumptions!$B$79,INDEX(Assumptions!$B$44:$F$44,R25))),0)))</f>
        <v>5.058560000000001</v>
      </c>
      <c r="S30" s="53">
        <f>Assumptions!$B$32*IF(Assumptions!$B$79=0,0,IF(S23=0,Assumptions!$B$80,IF(S23&gt;=1,S24*IF(OR(Assumptions!$B$76&lt;1,S23&gt;5),Assumptions!$B$79,MAX(Assumptions!$B$79,INDEX(Assumptions!$B$44:$F$44,S23))),0)))+(1-Assumptions!$B$32)*Assumptions!$B$33*IF(Assumptions!$B$79=0,0,IF(S25=0,Assumptions!$B$80,IF(S25&gt;=1,S26*IF(OR(Assumptions!$B$76&lt;1,S25&gt;5),Assumptions!$B$79,MAX(Assumptions!$B$79,INDEX(Assumptions!$B$44:$F$44,S25))),0)))</f>
        <v>2.0234240000000003</v>
      </c>
      <c r="T30" s="53">
        <f>Assumptions!$B$32*IF(Assumptions!$B$79=0,0,IF(T23=0,Assumptions!$B$80,IF(T23&gt;=1,T24*IF(OR(Assumptions!$B$76&lt;1,T23&gt;5),Assumptions!$B$79,MAX(Assumptions!$B$79,INDEX(Assumptions!$B$44:$F$44,T23))),0)))+(1-Assumptions!$B$32)*Assumptions!$B$33*IF(Assumptions!$B$79=0,0,IF(T25=0,Assumptions!$B$80,IF(T25&gt;=1,T26*IF(OR(Assumptions!$B$76&lt;1,T25&gt;5),Assumptions!$B$79,MAX(Assumptions!$B$79,INDEX(Assumptions!$B$44:$F$44,T25))),0)))</f>
        <v>0.8093696000000001</v>
      </c>
      <c r="U30" s="53">
        <f>Assumptions!$B$32*IF(Assumptions!$B$79=0,0,IF(U23=0,Assumptions!$B$80,IF(U23&gt;=1,U24*IF(OR(Assumptions!$B$76&lt;1,U23&gt;5),Assumptions!$B$79,MAX(Assumptions!$B$79,INDEX(Assumptions!$B$44:$F$44,U23))),0)))+(1-Assumptions!$B$32)*Assumptions!$B$33*IF(Assumptions!$B$79=0,0,IF(U25=0,Assumptions!$B$80,IF(U25&gt;=1,U26*IF(OR(Assumptions!$B$76&lt;1,U25&gt;5),Assumptions!$B$79,MAX(Assumptions!$B$79,INDEX(Assumptions!$B$44:$F$44,U25))),0)))</f>
        <v>0.32374784000000006</v>
      </c>
      <c r="V30" s="53">
        <f>Assumptions!$B$32*IF(Assumptions!$B$79=0,0,IF(V23=0,Assumptions!$B$80,IF(V23&gt;=1,V24*IF(OR(Assumptions!$B$76&lt;1,V23&gt;5),Assumptions!$B$79,MAX(Assumptions!$B$79,INDEX(Assumptions!$B$44:$F$44,V23))),0)))+(1-Assumptions!$B$32)*Assumptions!$B$33*IF(Assumptions!$B$79=0,0,IF(V25=0,Assumptions!$B$80,IF(V25&gt;=1,V26*IF(OR(Assumptions!$B$76&lt;1,V25&gt;5),Assumptions!$B$79,MAX(Assumptions!$B$79,INDEX(Assumptions!$B$44:$F$44,V25))),0)))</f>
        <v>0.12949913600000004</v>
      </c>
      <c r="W30" s="53">
        <f>Assumptions!$B$32*IF(Assumptions!$B$79=0,0,IF(W23=0,Assumptions!$B$80,IF(W23&gt;=1,W24*IF(OR(Assumptions!$B$76&lt;1,W23&gt;5),Assumptions!$B$79,MAX(Assumptions!$B$79,INDEX(Assumptions!$B$44:$F$44,W23))),0)))+(1-Assumptions!$B$32)*Assumptions!$B$33*IF(Assumptions!$B$79=0,0,IF(W25=0,Assumptions!$B$80,IF(W25&gt;=1,W26*IF(OR(Assumptions!$B$76&lt;1,W25&gt;5),Assumptions!$B$79,MAX(Assumptions!$B$79,INDEX(Assumptions!$B$44:$F$44,W25))),0)))</f>
        <v>0.051799654400000006</v>
      </c>
      <c r="X30" s="53">
        <f>Assumptions!$B$32*IF(Assumptions!$B$79=0,0,IF(X23=0,Assumptions!$B$80,IF(X23&gt;=1,X24*IF(OR(Assumptions!$B$76&lt;1,X23&gt;5),Assumptions!$B$79,MAX(Assumptions!$B$79,INDEX(Assumptions!$B$44:$F$44,X23))),0)))+(1-Assumptions!$B$32)*Assumptions!$B$33*IF(Assumptions!$B$79=0,0,IF(X25=0,Assumptions!$B$80,IF(X25&gt;=1,X26*IF(OR(Assumptions!$B$76&lt;1,X25&gt;5),Assumptions!$B$79,MAX(Assumptions!$B$79,INDEX(Assumptions!$B$44:$F$44,X25))),0)))</f>
        <v>0.020719861760000007</v>
      </c>
      <c r="Y30" s="53">
        <f>Assumptions!$B$32*IF(Assumptions!$B$79=0,0,IF(Y23=0,Assumptions!$B$80,IF(Y23&gt;=1,Y24*IF(OR(Assumptions!$B$76&lt;1,Y23&gt;5),Assumptions!$B$79,MAX(Assumptions!$B$79,INDEX(Assumptions!$B$44:$F$44,Y23))),0)))+(1-Assumptions!$B$32)*Assumptions!$B$33*IF(Assumptions!$B$79=0,0,IF(Y25=0,Assumptions!$B$80,IF(Y25&gt;=1,Y26*IF(OR(Assumptions!$B$76&lt;1,Y25&gt;5),Assumptions!$B$79,MAX(Assumptions!$B$79,INDEX(Assumptions!$B$44:$F$44,Y25))),0)))</f>
        <v>0.008287944704000003</v>
      </c>
      <c r="Z30" s="53">
        <f>Assumptions!$B$32*IF(Assumptions!$B$79=0,0,IF(Z23=0,Assumptions!$B$80,IF(Z23&gt;=1,Z24*IF(OR(Assumptions!$B$76&lt;1,Z23&gt;5),Assumptions!$B$79,MAX(Assumptions!$B$79,INDEX(Assumptions!$B$44:$F$44,Z23))),0)))+(1-Assumptions!$B$32)*Assumptions!$B$33*IF(Assumptions!$B$79=0,0,IF(Z25=0,Assumptions!$B$80,IF(Z25&gt;=1,Z26*IF(OR(Assumptions!$B$76&lt;1,Z25&gt;5),Assumptions!$B$79,MAX(Assumptions!$B$79,INDEX(Assumptions!$B$44:$F$44,Z25))),0)))</f>
        <v>0.003315177881600001</v>
      </c>
    </row>
    <row r="31">
      <c r="A31" s="13" t="inlineStr">
        <is>
          <t>Development R&amp;D, risk-adjusted</t>
        </is>
      </c>
      <c r="C31" s="53">
        <f>IFERROR(INDEX(Assumptions!$B$85:$I$85,MATCH(C$2,Assumptions!$B$84:$I$84,0))*INDEX(Assumptions!$B$86:$I$86,MATCH(C$2,Assumptions!$B$84:$I$84,0)),0)</f>
        <v>10.0</v>
      </c>
      <c r="D31" s="53">
        <f>IFERROR(INDEX(Assumptions!$B$85:$I$85,MATCH(D$2,Assumptions!$B$84:$I$84,0))*INDEX(Assumptions!$B$86:$I$86,MATCH(D$2,Assumptions!$B$84:$I$84,0)),0)</f>
        <v>0.0</v>
      </c>
      <c r="E31" s="53">
        <f>IFERROR(INDEX(Assumptions!$B$85:$I$85,MATCH(E$2,Assumptions!$B$84:$I$84,0))*INDEX(Assumptions!$B$86:$I$86,MATCH(E$2,Assumptions!$B$84:$I$84,0)),0)</f>
        <v>0.0</v>
      </c>
      <c r="F31" s="53">
        <f>IFERROR(INDEX(Assumptions!$B$85:$I$85,MATCH(F$2,Assumptions!$B$84:$I$84,0))*INDEX(Assumptions!$B$86:$I$86,MATCH(F$2,Assumptions!$B$84:$I$84,0)),0)</f>
        <v>0.0</v>
      </c>
      <c r="G31" s="53">
        <f>IFERROR(INDEX(Assumptions!$B$85:$I$85,MATCH(G$2,Assumptions!$B$84:$I$84,0))*INDEX(Assumptions!$B$86:$I$86,MATCH(G$2,Assumptions!$B$84:$I$84,0)),0)</f>
        <v>0.0</v>
      </c>
      <c r="H31" s="53">
        <f>IFERROR(INDEX(Assumptions!$B$85:$I$85,MATCH(H$2,Assumptions!$B$84:$I$84,0))*INDEX(Assumptions!$B$86:$I$86,MATCH(H$2,Assumptions!$B$84:$I$84,0)),0)</f>
        <v>0.0</v>
      </c>
      <c r="I31" s="53">
        <f>IFERROR(INDEX(Assumptions!$B$85:$I$85,MATCH(I$2,Assumptions!$B$84:$I$84,0))*INDEX(Assumptions!$B$86:$I$86,MATCH(I$2,Assumptions!$B$84:$I$84,0)),0)</f>
        <v>0.0</v>
      </c>
      <c r="J31" s="53">
        <f>IFERROR(INDEX(Assumptions!$B$85:$I$85,MATCH(J$2,Assumptions!$B$84:$I$84,0))*INDEX(Assumptions!$B$86:$I$86,MATCH(J$2,Assumptions!$B$84:$I$84,0)),0)</f>
        <v>0.0</v>
      </c>
      <c r="K31" s="53">
        <f>IFERROR(INDEX(Assumptions!$B$85:$I$85,MATCH(K$2,Assumptions!$B$84:$I$84,0))*INDEX(Assumptions!$B$86:$I$86,MATCH(K$2,Assumptions!$B$84:$I$84,0)),0)</f>
        <v>0</v>
      </c>
      <c r="L31" s="53">
        <f>IFERROR(INDEX(Assumptions!$B$85:$I$85,MATCH(L$2,Assumptions!$B$84:$I$84,0))*INDEX(Assumptions!$B$86:$I$86,MATCH(L$2,Assumptions!$B$84:$I$84,0)),0)</f>
        <v>0</v>
      </c>
      <c r="M31" s="53">
        <f>IFERROR(INDEX(Assumptions!$B$85:$I$85,MATCH(M$2,Assumptions!$B$84:$I$84,0))*INDEX(Assumptions!$B$86:$I$86,MATCH(M$2,Assumptions!$B$84:$I$84,0)),0)</f>
        <v>0</v>
      </c>
      <c r="N31" s="53">
        <f>IFERROR(INDEX(Assumptions!$B$85:$I$85,MATCH(N$2,Assumptions!$B$84:$I$84,0))*INDEX(Assumptions!$B$86:$I$86,MATCH(N$2,Assumptions!$B$84:$I$84,0)),0)</f>
        <v>0</v>
      </c>
      <c r="O31" s="53">
        <f>IFERROR(INDEX(Assumptions!$B$85:$I$85,MATCH(O$2,Assumptions!$B$84:$I$84,0))*INDEX(Assumptions!$B$86:$I$86,MATCH(O$2,Assumptions!$B$84:$I$84,0)),0)</f>
        <v>0</v>
      </c>
      <c r="P31" s="53">
        <f>IFERROR(INDEX(Assumptions!$B$85:$I$85,MATCH(P$2,Assumptions!$B$84:$I$84,0))*INDEX(Assumptions!$B$86:$I$86,MATCH(P$2,Assumptions!$B$84:$I$84,0)),0)</f>
        <v>0</v>
      </c>
      <c r="Q31" s="53">
        <f>IFERROR(INDEX(Assumptions!$B$85:$I$85,MATCH(Q$2,Assumptions!$B$84:$I$84,0))*INDEX(Assumptions!$B$86:$I$86,MATCH(Q$2,Assumptions!$B$84:$I$84,0)),0)</f>
        <v>0</v>
      </c>
      <c r="R31" s="53">
        <f>IFERROR(INDEX(Assumptions!$B$85:$I$85,MATCH(R$2,Assumptions!$B$84:$I$84,0))*INDEX(Assumptions!$B$86:$I$86,MATCH(R$2,Assumptions!$B$84:$I$84,0)),0)</f>
        <v>0</v>
      </c>
      <c r="S31" s="53">
        <f>IFERROR(INDEX(Assumptions!$B$85:$I$85,MATCH(S$2,Assumptions!$B$84:$I$84,0))*INDEX(Assumptions!$B$86:$I$86,MATCH(S$2,Assumptions!$B$84:$I$84,0)),0)</f>
        <v>0</v>
      </c>
      <c r="T31" s="53">
        <f>IFERROR(INDEX(Assumptions!$B$85:$I$85,MATCH(T$2,Assumptions!$B$84:$I$84,0))*INDEX(Assumptions!$B$86:$I$86,MATCH(T$2,Assumptions!$B$84:$I$84,0)),0)</f>
        <v>0</v>
      </c>
      <c r="U31" s="53">
        <f>IFERROR(INDEX(Assumptions!$B$85:$I$85,MATCH(U$2,Assumptions!$B$84:$I$84,0))*INDEX(Assumptions!$B$86:$I$86,MATCH(U$2,Assumptions!$B$84:$I$84,0)),0)</f>
        <v>0</v>
      </c>
      <c r="V31" s="53">
        <f>IFERROR(INDEX(Assumptions!$B$85:$I$85,MATCH(V$2,Assumptions!$B$84:$I$84,0))*INDEX(Assumptions!$B$86:$I$86,MATCH(V$2,Assumptions!$B$84:$I$84,0)),0)</f>
        <v>0</v>
      </c>
      <c r="W31" s="53">
        <f>IFERROR(INDEX(Assumptions!$B$85:$I$85,MATCH(W$2,Assumptions!$B$84:$I$84,0))*INDEX(Assumptions!$B$86:$I$86,MATCH(W$2,Assumptions!$B$84:$I$84,0)),0)</f>
        <v>0</v>
      </c>
      <c r="X31" s="53">
        <f>IFERROR(INDEX(Assumptions!$B$85:$I$85,MATCH(X$2,Assumptions!$B$84:$I$84,0))*INDEX(Assumptions!$B$86:$I$86,MATCH(X$2,Assumptions!$B$84:$I$84,0)),0)</f>
        <v>0</v>
      </c>
      <c r="Y31" s="53">
        <f>IFERROR(INDEX(Assumptions!$B$85:$I$85,MATCH(Y$2,Assumptions!$B$84:$I$84,0))*INDEX(Assumptions!$B$86:$I$86,MATCH(Y$2,Assumptions!$B$84:$I$84,0)),0)</f>
        <v>0</v>
      </c>
      <c r="Z31" s="53">
        <f>IFERROR(INDEX(Assumptions!$B$85:$I$85,MATCH(Z$2,Assumptions!$B$84:$I$84,0))*INDEX(Assumptions!$B$86:$I$86,MATCH(Z$2,Assumptions!$B$84:$I$84,0)),0)</f>
        <v>0</v>
      </c>
    </row>
    <row r="32">
      <c r="A32" s="22" t="inlineStr">
        <is>
          <t>Program contribution (pre-tax)</t>
        </is>
      </c>
      <c r="C32" s="57">
        <f>C28-C29-C30-C31</f>
        <v>-3.760000000000005</v>
      </c>
      <c r="D32" s="57">
        <f>D28-D29-D30-D31</f>
        <v>81.44999999999997</v>
      </c>
      <c r="E32" s="57">
        <f>E28-E29-E30-E31</f>
        <v>205.24400000000003</v>
      </c>
      <c r="F32" s="57">
        <f>F28-F29-F30-F31</f>
        <v>356.9800000000001</v>
      </c>
      <c r="G32" s="57">
        <f>G28-G29-G30-G31</f>
        <v>502.00800000000004</v>
      </c>
      <c r="H32" s="57">
        <f>H28-H29-H30-H31</f>
        <v>655.044</v>
      </c>
      <c r="I32" s="57">
        <f>I28-I29-I30-I31</f>
        <v>727.792</v>
      </c>
      <c r="J32" s="57">
        <f>J28-J29-J30-J31</f>
        <v>759.2832000000001</v>
      </c>
      <c r="K32" s="57">
        <f>K28-K29-K30-K31</f>
        <v>770.64</v>
      </c>
      <c r="L32" s="57">
        <f>L28-L29-L30-L31</f>
        <v>770.64</v>
      </c>
      <c r="M32" s="57">
        <f>M28-M29-M30-M31</f>
        <v>770.64</v>
      </c>
      <c r="N32" s="57">
        <f>N28-N29-N30-N31</f>
        <v>770.64</v>
      </c>
      <c r="O32" s="57">
        <f>O28-O29-O30-O31</f>
        <v>308.25600000000003</v>
      </c>
      <c r="P32" s="57">
        <f>P28-P29-P30-P31</f>
        <v>123.30240000000002</v>
      </c>
      <c r="Q32" s="57">
        <f>Q28-Q29-Q30-Q31</f>
        <v>49.32096000000001</v>
      </c>
      <c r="R32" s="57">
        <f>R28-R29-R30-R31</f>
        <v>19.728384</v>
      </c>
      <c r="S32" s="57">
        <f>S28-S29-S30-S31</f>
        <v>7.8913536</v>
      </c>
      <c r="T32" s="57">
        <f>T28-T29-T30-T31</f>
        <v>3.1565414400000007</v>
      </c>
      <c r="U32" s="57">
        <f>U28-U29-U30-U31</f>
        <v>1.2626165760000003</v>
      </c>
      <c r="V32" s="57">
        <f>V28-V29-V30-V31</f>
        <v>0.5050466304000001</v>
      </c>
      <c r="W32" s="57">
        <f>W28-W29-W30-W31</f>
        <v>0.2020186521600001</v>
      </c>
      <c r="X32" s="57">
        <f>X28-X29-X30-X31</f>
        <v>0.08080746086400001</v>
      </c>
      <c r="Y32" s="57">
        <f>Y28-Y29-Y30-Y31</f>
        <v>0.03232298434560001</v>
      </c>
      <c r="Z32" s="57">
        <f>Z28-Z29-Z30-Z31</f>
        <v>0.012929193738240006</v>
      </c>
    </row>
    <row r="34">
      <c r="A34" s="30" t="inlineStr">
        <is>
          <t>Relacorilant / nenocorilant — other oncology (BELLA, STELLA, combos)</t>
        </is>
      </c>
    </row>
    <row r="35">
      <c r="A35" s="13" t="inlineStr">
        <is>
          <t>Years since launch</t>
        </is>
      </c>
      <c r="C35" s="64">
        <f>C$2-Assumptions!$B$89+1</f>
        <v>-1.0</v>
      </c>
      <c r="D35" s="64">
        <f>D$2-Assumptions!$B$89+1</f>
        <v>0.0</v>
      </c>
      <c r="E35" s="64">
        <f>E$2-Assumptions!$B$89+1</f>
        <v>1.0</v>
      </c>
      <c r="F35" s="64">
        <f>F$2-Assumptions!$B$89+1</f>
        <v>2.0</v>
      </c>
      <c r="G35" s="64">
        <f>G$2-Assumptions!$B$89+1</f>
        <v>3.0</v>
      </c>
      <c r="H35" s="64">
        <f>H$2-Assumptions!$B$89+1</f>
        <v>4.0</v>
      </c>
      <c r="I35" s="64">
        <f>I$2-Assumptions!$B$89+1</f>
        <v>5.0</v>
      </c>
      <c r="J35" s="64">
        <f>J$2-Assumptions!$B$89+1</f>
        <v>6.0</v>
      </c>
      <c r="K35" s="64">
        <f>K$2-Assumptions!$B$89+1</f>
        <v>7.0</v>
      </c>
      <c r="L35" s="64">
        <f>L$2-Assumptions!$B$89+1</f>
        <v>8.0</v>
      </c>
      <c r="M35" s="64">
        <f>M$2-Assumptions!$B$89+1</f>
        <v>9.0</v>
      </c>
      <c r="N35" s="64">
        <f>N$2-Assumptions!$B$89+1</f>
        <v>10.0</v>
      </c>
      <c r="O35" s="64">
        <f>O$2-Assumptions!$B$89+1</f>
        <v>11.0</v>
      </c>
      <c r="P35" s="64">
        <f>P$2-Assumptions!$B$89+1</f>
        <v>12.0</v>
      </c>
      <c r="Q35" s="64">
        <f>Q$2-Assumptions!$B$89+1</f>
        <v>13.0</v>
      </c>
      <c r="R35" s="64">
        <f>R$2-Assumptions!$B$89+1</f>
        <v>14.0</v>
      </c>
      <c r="S35" s="64">
        <f>S$2-Assumptions!$B$89+1</f>
        <v>15.0</v>
      </c>
      <c r="T35" s="64">
        <f>T$2-Assumptions!$B$89+1</f>
        <v>16.0</v>
      </c>
      <c r="U35" s="64">
        <f>U$2-Assumptions!$B$89+1</f>
        <v>17.0</v>
      </c>
      <c r="V35" s="64">
        <f>V$2-Assumptions!$B$89+1</f>
        <v>18.0</v>
      </c>
      <c r="W35" s="64">
        <f>W$2-Assumptions!$B$89+1</f>
        <v>19.0</v>
      </c>
      <c r="X35" s="64">
        <f>X$2-Assumptions!$B$89+1</f>
        <v>20.0</v>
      </c>
      <c r="Y35" s="64">
        <f>Y$2-Assumptions!$B$89+1</f>
        <v>21.0</v>
      </c>
      <c r="Z35" s="64">
        <f>Z$2-Assumptions!$B$89+1</f>
        <v>22.0</v>
      </c>
    </row>
    <row r="36">
      <c r="A36" s="13" t="inlineStr">
        <is>
          <t>Net sales, unrisked</t>
        </is>
      </c>
      <c r="C36" s="53">
        <f>IF(C$2&gt;Assumptions!$B$98,0*(1-Assumptions!$B$99),IF(C35&gt;=1,Assumptions!$B$90*CHOOSE(Assumptions!$B$97,INDEX(Assumptions!$B$42:$H$42,MIN(C35,7)),INDEX(Assumptions!$B$43:$H$43,MIN(C35,7))),0))</f>
        <v>0</v>
      </c>
      <c r="D36" s="53">
        <f>IF(D$2&gt;Assumptions!$B$98,C36*(1-Assumptions!$B$99),IF(D35&gt;=1,Assumptions!$B$90*CHOOSE(Assumptions!$B$97,INDEX(Assumptions!$B$42:$H$42,MIN(D35,7)),INDEX(Assumptions!$B$43:$H$43,MIN(D35,7))),0))</f>
        <v>0</v>
      </c>
      <c r="E36" s="53">
        <f>IF(E$2&gt;Assumptions!$B$98,D36*(1-Assumptions!$B$99),IF(E35&gt;=1,Assumptions!$B$90*CHOOSE(Assumptions!$B$97,INDEX(Assumptions!$B$42:$H$42,MIN(E35,7)),INDEX(Assumptions!$B$43:$H$43,MIN(E35,7))),0))</f>
        <v>100.0</v>
      </c>
      <c r="F36" s="53">
        <f>IF(F$2&gt;Assumptions!$B$98,E36*(1-Assumptions!$B$99),IF(F35&gt;=1,Assumptions!$B$90*CHOOSE(Assumptions!$B$97,INDEX(Assumptions!$B$42:$H$42,MIN(F35,7)),INDEX(Assumptions!$B$43:$H$43,MIN(F35,7))),0))</f>
        <v>250.0</v>
      </c>
      <c r="G36" s="53">
        <f>IF(G$2&gt;Assumptions!$B$98,F36*(1-Assumptions!$B$99),IF(G35&gt;=1,Assumptions!$B$90*CHOOSE(Assumptions!$B$97,INDEX(Assumptions!$B$42:$H$42,MIN(G35,7)),INDEX(Assumptions!$B$43:$H$43,MIN(G35,7))),0))</f>
        <v>450.0</v>
      </c>
      <c r="H36" s="53">
        <f>IF(H$2&gt;Assumptions!$B$98,G36*(1-Assumptions!$B$99),IF(H35&gt;=1,Assumptions!$B$90*CHOOSE(Assumptions!$B$97,INDEX(Assumptions!$B$42:$H$42,MIN(H35,7)),INDEX(Assumptions!$B$43:$H$43,MIN(H35,7))),0))</f>
        <v>650.0</v>
      </c>
      <c r="I36" s="53">
        <f>IF(I$2&gt;Assumptions!$B$98,H36*(1-Assumptions!$B$99),IF(I35&gt;=1,Assumptions!$B$90*CHOOSE(Assumptions!$B$97,INDEX(Assumptions!$B$42:$H$42,MIN(I35,7)),INDEX(Assumptions!$B$43:$H$43,MIN(I35,7))),0))</f>
        <v>820.0</v>
      </c>
      <c r="J36" s="53">
        <f>IF(J$2&gt;Assumptions!$B$98,I36*(1-Assumptions!$B$99),IF(J35&gt;=1,Assumptions!$B$90*CHOOSE(Assumptions!$B$97,INDEX(Assumptions!$B$42:$H$42,MIN(J35,7)),INDEX(Assumptions!$B$43:$H$43,MIN(J35,7))),0))</f>
        <v>930.0</v>
      </c>
      <c r="K36" s="53">
        <f>IF(K$2&gt;Assumptions!$B$98,J36*(1-Assumptions!$B$99),IF(K35&gt;=1,Assumptions!$B$90*CHOOSE(Assumptions!$B$97,INDEX(Assumptions!$B$42:$H$42,MIN(K35,7)),INDEX(Assumptions!$B$43:$H$43,MIN(K35,7))),0))</f>
        <v>1000.0</v>
      </c>
      <c r="L36" s="53">
        <f>IF(L$2&gt;Assumptions!$B$98,K36*(1-Assumptions!$B$99),IF(L35&gt;=1,Assumptions!$B$90*CHOOSE(Assumptions!$B$97,INDEX(Assumptions!$B$42:$H$42,MIN(L35,7)),INDEX(Assumptions!$B$43:$H$43,MIN(L35,7))),0))</f>
        <v>1000.0</v>
      </c>
      <c r="M36" s="53">
        <f>IF(M$2&gt;Assumptions!$B$98,L36*(1-Assumptions!$B$99),IF(M35&gt;=1,Assumptions!$B$90*CHOOSE(Assumptions!$B$97,INDEX(Assumptions!$B$42:$H$42,MIN(M35,7)),INDEX(Assumptions!$B$43:$H$43,MIN(M35,7))),0))</f>
        <v>1000.0</v>
      </c>
      <c r="N36" s="53">
        <f>IF(N$2&gt;Assumptions!$B$98,M36*(1-Assumptions!$B$99),IF(N35&gt;=1,Assumptions!$B$90*CHOOSE(Assumptions!$B$97,INDEX(Assumptions!$B$42:$H$42,MIN(N35,7)),INDEX(Assumptions!$B$43:$H$43,MIN(N35,7))),0))</f>
        <v>1000.0</v>
      </c>
      <c r="O36" s="53">
        <f>IF(O$2&gt;Assumptions!$B$98,N36*(1-Assumptions!$B$99),IF(O35&gt;=1,Assumptions!$B$90*CHOOSE(Assumptions!$B$97,INDEX(Assumptions!$B$42:$H$42,MIN(O35,7)),INDEX(Assumptions!$B$43:$H$43,MIN(O35,7))),0))</f>
        <v>1000.0</v>
      </c>
      <c r="P36" s="53">
        <f>IF(P$2&gt;Assumptions!$B$98,O36*(1-Assumptions!$B$99),IF(P35&gt;=1,Assumptions!$B$90*CHOOSE(Assumptions!$B$97,INDEX(Assumptions!$B$42:$H$42,MIN(P35,7)),INDEX(Assumptions!$B$43:$H$43,MIN(P35,7))),0))</f>
        <v>1000.0</v>
      </c>
      <c r="Q36" s="53">
        <f>IF(Q$2&gt;Assumptions!$B$98,P36*(1-Assumptions!$B$99),IF(Q35&gt;=1,Assumptions!$B$90*CHOOSE(Assumptions!$B$97,INDEX(Assumptions!$B$42:$H$42,MIN(Q35,7)),INDEX(Assumptions!$B$43:$H$43,MIN(Q35,7))),0))</f>
        <v>400.0</v>
      </c>
      <c r="R36" s="53">
        <f>IF(R$2&gt;Assumptions!$B$98,Q36*(1-Assumptions!$B$99),IF(R35&gt;=1,Assumptions!$B$90*CHOOSE(Assumptions!$B$97,INDEX(Assumptions!$B$42:$H$42,MIN(R35,7)),INDEX(Assumptions!$B$43:$H$43,MIN(R35,7))),0))</f>
        <v>160.0</v>
      </c>
      <c r="S36" s="53">
        <f>IF(S$2&gt;Assumptions!$B$98,R36*(1-Assumptions!$B$99),IF(S35&gt;=1,Assumptions!$B$90*CHOOSE(Assumptions!$B$97,INDEX(Assumptions!$B$42:$H$42,MIN(S35,7)),INDEX(Assumptions!$B$43:$H$43,MIN(S35,7))),0))</f>
        <v>64.0</v>
      </c>
      <c r="T36" s="53">
        <f>IF(T$2&gt;Assumptions!$B$98,S36*(1-Assumptions!$B$99),IF(T35&gt;=1,Assumptions!$B$90*CHOOSE(Assumptions!$B$97,INDEX(Assumptions!$B$42:$H$42,MIN(T35,7)),INDEX(Assumptions!$B$43:$H$43,MIN(T35,7))),0))</f>
        <v>25.6</v>
      </c>
      <c r="U36" s="53">
        <f>IF(U$2&gt;Assumptions!$B$98,T36*(1-Assumptions!$B$99),IF(U35&gt;=1,Assumptions!$B$90*CHOOSE(Assumptions!$B$97,INDEX(Assumptions!$B$42:$H$42,MIN(U35,7)),INDEX(Assumptions!$B$43:$H$43,MIN(U35,7))),0))</f>
        <v>10.240000000000002</v>
      </c>
      <c r="V36" s="53">
        <f>IF(V$2&gt;Assumptions!$B$98,U36*(1-Assumptions!$B$99),IF(V35&gt;=1,Assumptions!$B$90*CHOOSE(Assumptions!$B$97,INDEX(Assumptions!$B$42:$H$42,MIN(V35,7)),INDEX(Assumptions!$B$43:$H$43,MIN(V35,7))),0))</f>
        <v>4.096000000000001</v>
      </c>
      <c r="W36" s="53">
        <f>IF(W$2&gt;Assumptions!$B$98,V36*(1-Assumptions!$B$99),IF(W35&gt;=1,Assumptions!$B$90*CHOOSE(Assumptions!$B$97,INDEX(Assumptions!$B$42:$H$42,MIN(W35,7)),INDEX(Assumptions!$B$43:$H$43,MIN(W35,7))),0))</f>
        <v>1.6384000000000005</v>
      </c>
      <c r="X36" s="53">
        <f>IF(X$2&gt;Assumptions!$B$98,W36*(1-Assumptions!$B$99),IF(X35&gt;=1,Assumptions!$B$90*CHOOSE(Assumptions!$B$97,INDEX(Assumptions!$B$42:$H$42,MIN(X35,7)),INDEX(Assumptions!$B$43:$H$43,MIN(X35,7))),0))</f>
        <v>0.6553600000000003</v>
      </c>
      <c r="Y36" s="53">
        <f>IF(Y$2&gt;Assumptions!$B$98,X36*(1-Assumptions!$B$99),IF(Y35&gt;=1,Assumptions!$B$90*CHOOSE(Assumptions!$B$97,INDEX(Assumptions!$B$42:$H$42,MIN(Y35,7)),INDEX(Assumptions!$B$43:$H$43,MIN(Y35,7))),0))</f>
        <v>0.2621440000000001</v>
      </c>
      <c r="Z36" s="53">
        <f>IF(Z$2&gt;Assumptions!$B$98,Y36*(1-Assumptions!$B$99),IF(Z35&gt;=1,Assumptions!$B$90*CHOOSE(Assumptions!$B$97,INDEX(Assumptions!$B$42:$H$42,MIN(Z35,7)),INDEX(Assumptions!$B$43:$H$43,MIN(Z35,7))),0))</f>
        <v>0.10485760000000005</v>
      </c>
    </row>
    <row r="37">
      <c r="A37" s="13" t="inlineStr">
        <is>
          <t>Product net sales, risk-adjusted</t>
        </is>
      </c>
      <c r="C37" s="53">
        <f>C36*MIN(1,Assumptions!$B$91*Assumptions!$B$37)</f>
        <v>0.0</v>
      </c>
      <c r="D37" s="53">
        <f>D36*MIN(1,Assumptions!$B$91*Assumptions!$B$37)</f>
        <v>0.0</v>
      </c>
      <c r="E37" s="53">
        <f>E36*MIN(1,Assumptions!$B$91*Assumptions!$B$37)</f>
        <v>25.0</v>
      </c>
      <c r="F37" s="53">
        <f>F36*MIN(1,Assumptions!$B$91*Assumptions!$B$37)</f>
        <v>62.5</v>
      </c>
      <c r="G37" s="53">
        <f>G36*MIN(1,Assumptions!$B$91*Assumptions!$B$37)</f>
        <v>112.5</v>
      </c>
      <c r="H37" s="53">
        <f>H36*MIN(1,Assumptions!$B$91*Assumptions!$B$37)</f>
        <v>162.5</v>
      </c>
      <c r="I37" s="53">
        <f>I36*MIN(1,Assumptions!$B$91*Assumptions!$B$37)</f>
        <v>205.0</v>
      </c>
      <c r="J37" s="53">
        <f>J36*MIN(1,Assumptions!$B$91*Assumptions!$B$37)</f>
        <v>232.5</v>
      </c>
      <c r="K37" s="53">
        <f>K36*MIN(1,Assumptions!$B$91*Assumptions!$B$37)</f>
        <v>250.0</v>
      </c>
      <c r="L37" s="53">
        <f>L36*MIN(1,Assumptions!$B$91*Assumptions!$B$37)</f>
        <v>250.0</v>
      </c>
      <c r="M37" s="53">
        <f>M36*MIN(1,Assumptions!$B$91*Assumptions!$B$37)</f>
        <v>250.0</v>
      </c>
      <c r="N37" s="53">
        <f>N36*MIN(1,Assumptions!$B$91*Assumptions!$B$37)</f>
        <v>250.0</v>
      </c>
      <c r="O37" s="53">
        <f>O36*MIN(1,Assumptions!$B$91*Assumptions!$B$37)</f>
        <v>250.0</v>
      </c>
      <c r="P37" s="53">
        <f>P36*MIN(1,Assumptions!$B$91*Assumptions!$B$37)</f>
        <v>250.0</v>
      </c>
      <c r="Q37" s="53">
        <f>Q36*MIN(1,Assumptions!$B$91*Assumptions!$B$37)</f>
        <v>100.0</v>
      </c>
      <c r="R37" s="53">
        <f>R36*MIN(1,Assumptions!$B$91*Assumptions!$B$37)</f>
        <v>40.0</v>
      </c>
      <c r="S37" s="53">
        <f>S36*MIN(1,Assumptions!$B$91*Assumptions!$B$37)</f>
        <v>16.0</v>
      </c>
      <c r="T37" s="53">
        <f>T36*MIN(1,Assumptions!$B$91*Assumptions!$B$37)</f>
        <v>6.4</v>
      </c>
      <c r="U37" s="53">
        <f>U36*MIN(1,Assumptions!$B$91*Assumptions!$B$37)</f>
        <v>2.5600000000000005</v>
      </c>
      <c r="V37" s="53">
        <f>V36*MIN(1,Assumptions!$B$91*Assumptions!$B$37)</f>
        <v>1.0240000000000002</v>
      </c>
      <c r="W37" s="53">
        <f>W36*MIN(1,Assumptions!$B$91*Assumptions!$B$37)</f>
        <v>0.40960000000000013</v>
      </c>
      <c r="X37" s="53">
        <f>X36*MIN(1,Assumptions!$B$91*Assumptions!$B$37)</f>
        <v>0.16384000000000007</v>
      </c>
      <c r="Y37" s="53">
        <f>Y36*MIN(1,Assumptions!$B$91*Assumptions!$B$37)</f>
        <v>0.06553600000000002</v>
      </c>
      <c r="Z37" s="53">
        <f>Z36*MIN(1,Assumptions!$B$91*Assumptions!$B$37)</f>
        <v>0.026214400000000013</v>
      </c>
    </row>
    <row r="38">
      <c r="A38" s="13" t="inlineStr">
        <is>
          <t>Company revenue, risk-adjusted (incl. milestones)</t>
        </is>
      </c>
      <c r="C38" s="53">
        <f>C37*Assumptions!$B$92</f>
        <v>0.0</v>
      </c>
      <c r="D38" s="53">
        <f>D37*Assumptions!$B$92</f>
        <v>0.0</v>
      </c>
      <c r="E38" s="53">
        <f>E37*Assumptions!$B$92</f>
        <v>25.0</v>
      </c>
      <c r="F38" s="53">
        <f>F37*Assumptions!$B$92</f>
        <v>62.5</v>
      </c>
      <c r="G38" s="53">
        <f>G37*Assumptions!$B$92</f>
        <v>112.5</v>
      </c>
      <c r="H38" s="53">
        <f>H37*Assumptions!$B$92</f>
        <v>162.5</v>
      </c>
      <c r="I38" s="53">
        <f>I37*Assumptions!$B$92</f>
        <v>205.0</v>
      </c>
      <c r="J38" s="53">
        <f>J37*Assumptions!$B$92</f>
        <v>232.5</v>
      </c>
      <c r="K38" s="53">
        <f>K37*Assumptions!$B$92</f>
        <v>250.0</v>
      </c>
      <c r="L38" s="53">
        <f>L37*Assumptions!$B$92</f>
        <v>250.0</v>
      </c>
      <c r="M38" s="53">
        <f>M37*Assumptions!$B$92</f>
        <v>250.0</v>
      </c>
      <c r="N38" s="53">
        <f>N37*Assumptions!$B$92</f>
        <v>250.0</v>
      </c>
      <c r="O38" s="53">
        <f>O37*Assumptions!$B$92</f>
        <v>250.0</v>
      </c>
      <c r="P38" s="53">
        <f>P37*Assumptions!$B$92</f>
        <v>250.0</v>
      </c>
      <c r="Q38" s="53">
        <f>Q37*Assumptions!$B$92</f>
        <v>100.0</v>
      </c>
      <c r="R38" s="53">
        <f>R37*Assumptions!$B$92</f>
        <v>40.0</v>
      </c>
      <c r="S38" s="53">
        <f>S37*Assumptions!$B$92</f>
        <v>16.0</v>
      </c>
      <c r="T38" s="53">
        <f>T37*Assumptions!$B$92</f>
        <v>6.4</v>
      </c>
      <c r="U38" s="53">
        <f>U37*Assumptions!$B$92</f>
        <v>2.5600000000000005</v>
      </c>
      <c r="V38" s="53">
        <f>V37*Assumptions!$B$92</f>
        <v>1.0240000000000002</v>
      </c>
      <c r="W38" s="53">
        <f>W37*Assumptions!$B$92</f>
        <v>0.40960000000000013</v>
      </c>
      <c r="X38" s="53">
        <f>X37*Assumptions!$B$92</f>
        <v>0.16384000000000007</v>
      </c>
      <c r="Y38" s="53">
        <f>Y37*Assumptions!$B$92</f>
        <v>0.06553600000000002</v>
      </c>
      <c r="Z38" s="53">
        <f>Z37*Assumptions!$B$92</f>
        <v>0.026214400000000013</v>
      </c>
    </row>
    <row r="39">
      <c r="A39" s="13" t="inlineStr">
        <is>
          <t>COGS + royalties, risk-adjusted</t>
        </is>
      </c>
      <c r="C39" s="53">
        <f>C37*(Assumptions!$B$93+Assumptions!$B$94)</f>
        <v>0.0</v>
      </c>
      <c r="D39" s="53">
        <f>D37*(Assumptions!$B$93+Assumptions!$B$94)</f>
        <v>0.0</v>
      </c>
      <c r="E39" s="53">
        <f>E37*(Assumptions!$B$93+Assumptions!$B$94)</f>
        <v>0.5</v>
      </c>
      <c r="F39" s="53">
        <f>F37*(Assumptions!$B$93+Assumptions!$B$94)</f>
        <v>1.25</v>
      </c>
      <c r="G39" s="53">
        <f>G37*(Assumptions!$B$93+Assumptions!$B$94)</f>
        <v>2.25</v>
      </c>
      <c r="H39" s="53">
        <f>H37*(Assumptions!$B$93+Assumptions!$B$94)</f>
        <v>3.25</v>
      </c>
      <c r="I39" s="53">
        <f>I37*(Assumptions!$B$93+Assumptions!$B$94)</f>
        <v>4.1</v>
      </c>
      <c r="J39" s="53">
        <f>J37*(Assumptions!$B$93+Assumptions!$B$94)</f>
        <v>4.65</v>
      </c>
      <c r="K39" s="53">
        <f>K37*(Assumptions!$B$93+Assumptions!$B$94)</f>
        <v>5.0</v>
      </c>
      <c r="L39" s="53">
        <f>L37*(Assumptions!$B$93+Assumptions!$B$94)</f>
        <v>5.0</v>
      </c>
      <c r="M39" s="53">
        <f>M37*(Assumptions!$B$93+Assumptions!$B$94)</f>
        <v>5.0</v>
      </c>
      <c r="N39" s="53">
        <f>N37*(Assumptions!$B$93+Assumptions!$B$94)</f>
        <v>5.0</v>
      </c>
      <c r="O39" s="53">
        <f>O37*(Assumptions!$B$93+Assumptions!$B$94)</f>
        <v>5.0</v>
      </c>
      <c r="P39" s="53">
        <f>P37*(Assumptions!$B$93+Assumptions!$B$94)</f>
        <v>5.0</v>
      </c>
      <c r="Q39" s="53">
        <f>Q37*(Assumptions!$B$93+Assumptions!$B$94)</f>
        <v>2.0</v>
      </c>
      <c r="R39" s="53">
        <f>R37*(Assumptions!$B$93+Assumptions!$B$94)</f>
        <v>0.8</v>
      </c>
      <c r="S39" s="53">
        <f>S37*(Assumptions!$B$93+Assumptions!$B$94)</f>
        <v>0.32</v>
      </c>
      <c r="T39" s="53">
        <f>T37*(Assumptions!$B$93+Assumptions!$B$94)</f>
        <v>0.128</v>
      </c>
      <c r="U39" s="53">
        <f>U37*(Assumptions!$B$93+Assumptions!$B$94)</f>
        <v>0.05120000000000001</v>
      </c>
      <c r="V39" s="53">
        <f>V37*(Assumptions!$B$93+Assumptions!$B$94)</f>
        <v>0.020480000000000005</v>
      </c>
      <c r="W39" s="53">
        <f>W37*(Assumptions!$B$93+Assumptions!$B$94)</f>
        <v>0.008192000000000003</v>
      </c>
      <c r="X39" s="53">
        <f>X37*(Assumptions!$B$93+Assumptions!$B$94)</f>
        <v>0.0032768000000000016</v>
      </c>
      <c r="Y39" s="53">
        <f>Y37*(Assumptions!$B$93+Assumptions!$B$94)</f>
        <v>0.0013107200000000005</v>
      </c>
      <c r="Z39" s="53">
        <f>Z37*(Assumptions!$B$93+Assumptions!$B$94)</f>
        <v>0.0005242880000000002</v>
      </c>
    </row>
    <row r="40">
      <c r="A40" s="13" t="inlineStr">
        <is>
          <t>Commercial SG&amp;A, risk-adjusted</t>
        </is>
      </c>
      <c r="C40" s="53">
        <f>MIN(1,Assumptions!$B$91*Assumptions!$B$37)*IF(Assumptions!$B$95=0,0,IF(C35=0,Assumptions!$B$96,IF(C35&gt;=1,C36*IF(OR(Assumptions!$B$92&lt;1,C35&gt;5),Assumptions!$B$95,MAX(Assumptions!$B$95,INDEX(Assumptions!$B$44:$F$44,C35))),0)))</f>
        <v>0.0</v>
      </c>
      <c r="D40" s="53">
        <f>MIN(1,Assumptions!$B$91*Assumptions!$B$37)*IF(Assumptions!$B$95=0,0,IF(D35=0,Assumptions!$B$96,IF(D35&gt;=1,D36*IF(OR(Assumptions!$B$92&lt;1,D35&gt;5),Assumptions!$B$95,MAX(Assumptions!$B$95,INDEX(Assumptions!$B$44:$F$44,D35))),0)))</f>
        <v>5.0</v>
      </c>
      <c r="E40" s="53">
        <f>MIN(1,Assumptions!$B$91*Assumptions!$B$37)*IF(Assumptions!$B$95=0,0,IF(E35=0,Assumptions!$B$96,IF(E35&gt;=1,E36*IF(OR(Assumptions!$B$92&lt;1,E35&gt;5),Assumptions!$B$95,MAX(Assumptions!$B$95,INDEX(Assumptions!$B$44:$F$44,E35))),0)))</f>
        <v>22.5</v>
      </c>
      <c r="F40" s="53">
        <f>MIN(1,Assumptions!$B$91*Assumptions!$B$37)*IF(Assumptions!$B$95=0,0,IF(F35=0,Assumptions!$B$96,IF(F35&gt;=1,F36*IF(OR(Assumptions!$B$92&lt;1,F35&gt;5),Assumptions!$B$95,MAX(Assumptions!$B$95,INDEX(Assumptions!$B$44:$F$44,F35))),0)))</f>
        <v>34.375</v>
      </c>
      <c r="G40" s="53">
        <f>MIN(1,Assumptions!$B$91*Assumptions!$B$37)*IF(Assumptions!$B$95=0,0,IF(G35=0,Assumptions!$B$96,IF(G35&gt;=1,G36*IF(OR(Assumptions!$B$92&lt;1,G35&gt;5),Assumptions!$B$95,MAX(Assumptions!$B$95,INDEX(Assumptions!$B$44:$F$44,G35))),0)))</f>
        <v>45.0</v>
      </c>
      <c r="H40" s="53">
        <f>MIN(1,Assumptions!$B$91*Assumptions!$B$37)*IF(Assumptions!$B$95=0,0,IF(H35=0,Assumptions!$B$96,IF(H35&gt;=1,H36*IF(OR(Assumptions!$B$92&lt;1,H35&gt;5),Assumptions!$B$95,MAX(Assumptions!$B$95,INDEX(Assumptions!$B$44:$F$44,H35))),0)))</f>
        <v>52.0</v>
      </c>
      <c r="I40" s="53">
        <f>MIN(1,Assumptions!$B$91*Assumptions!$B$37)*IF(Assumptions!$B$95=0,0,IF(I35=0,Assumptions!$B$96,IF(I35&gt;=1,I36*IF(OR(Assumptions!$B$92&lt;1,I35&gt;5),Assumptions!$B$95,MAX(Assumptions!$B$95,INDEX(Assumptions!$B$44:$F$44,I35))),0)))</f>
        <v>57.400000000000006</v>
      </c>
      <c r="J40" s="53">
        <f>MIN(1,Assumptions!$B$91*Assumptions!$B$37)*IF(Assumptions!$B$95=0,0,IF(J35=0,Assumptions!$B$96,IF(J35&gt;=1,J36*IF(OR(Assumptions!$B$92&lt;1,J35&gt;5),Assumptions!$B$95,MAX(Assumptions!$B$95,INDEX(Assumptions!$B$44:$F$44,J35))),0)))</f>
        <v>46.5</v>
      </c>
      <c r="K40" s="53">
        <f>MIN(1,Assumptions!$B$91*Assumptions!$B$37)*IF(Assumptions!$B$95=0,0,IF(K35=0,Assumptions!$B$96,IF(K35&gt;=1,K36*IF(OR(Assumptions!$B$92&lt;1,K35&gt;5),Assumptions!$B$95,MAX(Assumptions!$B$95,INDEX(Assumptions!$B$44:$F$44,K35))),0)))</f>
        <v>50.0</v>
      </c>
      <c r="L40" s="53">
        <f>MIN(1,Assumptions!$B$91*Assumptions!$B$37)*IF(Assumptions!$B$95=0,0,IF(L35=0,Assumptions!$B$96,IF(L35&gt;=1,L36*IF(OR(Assumptions!$B$92&lt;1,L35&gt;5),Assumptions!$B$95,MAX(Assumptions!$B$95,INDEX(Assumptions!$B$44:$F$44,L35))),0)))</f>
        <v>50.0</v>
      </c>
      <c r="M40" s="53">
        <f>MIN(1,Assumptions!$B$91*Assumptions!$B$37)*IF(Assumptions!$B$95=0,0,IF(M35=0,Assumptions!$B$96,IF(M35&gt;=1,M36*IF(OR(Assumptions!$B$92&lt;1,M35&gt;5),Assumptions!$B$95,MAX(Assumptions!$B$95,INDEX(Assumptions!$B$44:$F$44,M35))),0)))</f>
        <v>50.0</v>
      </c>
      <c r="N40" s="53">
        <f>MIN(1,Assumptions!$B$91*Assumptions!$B$37)*IF(Assumptions!$B$95=0,0,IF(N35=0,Assumptions!$B$96,IF(N35&gt;=1,N36*IF(OR(Assumptions!$B$92&lt;1,N35&gt;5),Assumptions!$B$95,MAX(Assumptions!$B$95,INDEX(Assumptions!$B$44:$F$44,N35))),0)))</f>
        <v>50.0</v>
      </c>
      <c r="O40" s="53">
        <f>MIN(1,Assumptions!$B$91*Assumptions!$B$37)*IF(Assumptions!$B$95=0,0,IF(O35=0,Assumptions!$B$96,IF(O35&gt;=1,O36*IF(OR(Assumptions!$B$92&lt;1,O35&gt;5),Assumptions!$B$95,MAX(Assumptions!$B$95,INDEX(Assumptions!$B$44:$F$44,O35))),0)))</f>
        <v>50.0</v>
      </c>
      <c r="P40" s="53">
        <f>MIN(1,Assumptions!$B$91*Assumptions!$B$37)*IF(Assumptions!$B$95=0,0,IF(P35=0,Assumptions!$B$96,IF(P35&gt;=1,P36*IF(OR(Assumptions!$B$92&lt;1,P35&gt;5),Assumptions!$B$95,MAX(Assumptions!$B$95,INDEX(Assumptions!$B$44:$F$44,P35))),0)))</f>
        <v>50.0</v>
      </c>
      <c r="Q40" s="53">
        <f>MIN(1,Assumptions!$B$91*Assumptions!$B$37)*IF(Assumptions!$B$95=0,0,IF(Q35=0,Assumptions!$B$96,IF(Q35&gt;=1,Q36*IF(OR(Assumptions!$B$92&lt;1,Q35&gt;5),Assumptions!$B$95,MAX(Assumptions!$B$95,INDEX(Assumptions!$B$44:$F$44,Q35))),0)))</f>
        <v>20.0</v>
      </c>
      <c r="R40" s="53">
        <f>MIN(1,Assumptions!$B$91*Assumptions!$B$37)*IF(Assumptions!$B$95=0,0,IF(R35=0,Assumptions!$B$96,IF(R35&gt;=1,R36*IF(OR(Assumptions!$B$92&lt;1,R35&gt;5),Assumptions!$B$95,MAX(Assumptions!$B$95,INDEX(Assumptions!$B$44:$F$44,R35))),0)))</f>
        <v>8.0</v>
      </c>
      <c r="S40" s="53">
        <f>MIN(1,Assumptions!$B$91*Assumptions!$B$37)*IF(Assumptions!$B$95=0,0,IF(S35=0,Assumptions!$B$96,IF(S35&gt;=1,S36*IF(OR(Assumptions!$B$92&lt;1,S35&gt;5),Assumptions!$B$95,MAX(Assumptions!$B$95,INDEX(Assumptions!$B$44:$F$44,S35))),0)))</f>
        <v>3.2</v>
      </c>
      <c r="T40" s="53">
        <f>MIN(1,Assumptions!$B$91*Assumptions!$B$37)*IF(Assumptions!$B$95=0,0,IF(T35=0,Assumptions!$B$96,IF(T35&gt;=1,T36*IF(OR(Assumptions!$B$92&lt;1,T35&gt;5),Assumptions!$B$95,MAX(Assumptions!$B$95,INDEX(Assumptions!$B$44:$F$44,T35))),0)))</f>
        <v>1.2800000000000002</v>
      </c>
      <c r="U40" s="53">
        <f>MIN(1,Assumptions!$B$91*Assumptions!$B$37)*IF(Assumptions!$B$95=0,0,IF(U35=0,Assumptions!$B$96,IF(U35&gt;=1,U36*IF(OR(Assumptions!$B$92&lt;1,U35&gt;5),Assumptions!$B$95,MAX(Assumptions!$B$95,INDEX(Assumptions!$B$44:$F$44,U35))),0)))</f>
        <v>0.5120000000000001</v>
      </c>
      <c r="V40" s="53">
        <f>MIN(1,Assumptions!$B$91*Assumptions!$B$37)*IF(Assumptions!$B$95=0,0,IF(V35=0,Assumptions!$B$96,IF(V35&gt;=1,V36*IF(OR(Assumptions!$B$92&lt;1,V35&gt;5),Assumptions!$B$95,MAX(Assumptions!$B$95,INDEX(Assumptions!$B$44:$F$44,V35))),0)))</f>
        <v>0.20480000000000007</v>
      </c>
      <c r="W40" s="53">
        <f>MIN(1,Assumptions!$B$91*Assumptions!$B$37)*IF(Assumptions!$B$95=0,0,IF(W35=0,Assumptions!$B$96,IF(W35&gt;=1,W36*IF(OR(Assumptions!$B$92&lt;1,W35&gt;5),Assumptions!$B$95,MAX(Assumptions!$B$95,INDEX(Assumptions!$B$44:$F$44,W35))),0)))</f>
        <v>0.08192000000000003</v>
      </c>
      <c r="X40" s="53">
        <f>MIN(1,Assumptions!$B$91*Assumptions!$B$37)*IF(Assumptions!$B$95=0,0,IF(X35=0,Assumptions!$B$96,IF(X35&gt;=1,X36*IF(OR(Assumptions!$B$92&lt;1,X35&gt;5),Assumptions!$B$95,MAX(Assumptions!$B$95,INDEX(Assumptions!$B$44:$F$44,X35))),0)))</f>
        <v>0.03276800000000001</v>
      </c>
      <c r="Y40" s="53">
        <f>MIN(1,Assumptions!$B$91*Assumptions!$B$37)*IF(Assumptions!$B$95=0,0,IF(Y35=0,Assumptions!$B$96,IF(Y35&gt;=1,Y36*IF(OR(Assumptions!$B$92&lt;1,Y35&gt;5),Assumptions!$B$95,MAX(Assumptions!$B$95,INDEX(Assumptions!$B$44:$F$44,Y35))),0)))</f>
        <v>0.013107200000000006</v>
      </c>
      <c r="Z40" s="53">
        <f>MIN(1,Assumptions!$B$91*Assumptions!$B$37)*IF(Assumptions!$B$95=0,0,IF(Z35=0,Assumptions!$B$96,IF(Z35&gt;=1,Z36*IF(OR(Assumptions!$B$92&lt;1,Z35&gt;5),Assumptions!$B$95,MAX(Assumptions!$B$95,INDEX(Assumptions!$B$44:$F$44,Z35))),0)))</f>
        <v>0.005242880000000003</v>
      </c>
    </row>
    <row r="41">
      <c r="A41" s="13" t="inlineStr">
        <is>
          <t>Development R&amp;D, risk-adjusted</t>
        </is>
      </c>
      <c r="C41" s="53">
        <f>IFERROR(INDEX(Assumptions!$B$101:$I$101,MATCH(C$2,Assumptions!$B$100:$I$100,0))*INDEX(Assumptions!$B$102:$I$102,MATCH(C$2,Assumptions!$B$100:$I$100,0)),0)</f>
        <v>40.0</v>
      </c>
      <c r="D41" s="53">
        <f>IFERROR(INDEX(Assumptions!$B$101:$I$101,MATCH(D$2,Assumptions!$B$100:$I$100,0))*INDEX(Assumptions!$B$102:$I$102,MATCH(D$2,Assumptions!$B$100:$I$100,0)),0)</f>
        <v>40.0</v>
      </c>
      <c r="E41" s="53">
        <f>IFERROR(INDEX(Assumptions!$B$101:$I$101,MATCH(E$2,Assumptions!$B$100:$I$100,0))*INDEX(Assumptions!$B$102:$I$102,MATCH(E$2,Assumptions!$B$100:$I$100,0)),0)</f>
        <v>0.0</v>
      </c>
      <c r="F41" s="53">
        <f>IFERROR(INDEX(Assumptions!$B$101:$I$101,MATCH(F$2,Assumptions!$B$100:$I$100,0))*INDEX(Assumptions!$B$102:$I$102,MATCH(F$2,Assumptions!$B$100:$I$100,0)),0)</f>
        <v>0.0</v>
      </c>
      <c r="G41" s="53">
        <f>IFERROR(INDEX(Assumptions!$B$101:$I$101,MATCH(G$2,Assumptions!$B$100:$I$100,0))*INDEX(Assumptions!$B$102:$I$102,MATCH(G$2,Assumptions!$B$100:$I$100,0)),0)</f>
        <v>0.0</v>
      </c>
      <c r="H41" s="53">
        <f>IFERROR(INDEX(Assumptions!$B$101:$I$101,MATCH(H$2,Assumptions!$B$100:$I$100,0))*INDEX(Assumptions!$B$102:$I$102,MATCH(H$2,Assumptions!$B$100:$I$100,0)),0)</f>
        <v>0.0</v>
      </c>
      <c r="I41" s="53">
        <f>IFERROR(INDEX(Assumptions!$B$101:$I$101,MATCH(I$2,Assumptions!$B$100:$I$100,0))*INDEX(Assumptions!$B$102:$I$102,MATCH(I$2,Assumptions!$B$100:$I$100,0)),0)</f>
        <v>0.0</v>
      </c>
      <c r="J41" s="53">
        <f>IFERROR(INDEX(Assumptions!$B$101:$I$101,MATCH(J$2,Assumptions!$B$100:$I$100,0))*INDEX(Assumptions!$B$102:$I$102,MATCH(J$2,Assumptions!$B$100:$I$100,0)),0)</f>
        <v>0.0</v>
      </c>
      <c r="K41" s="53">
        <f>IFERROR(INDEX(Assumptions!$B$101:$I$101,MATCH(K$2,Assumptions!$B$100:$I$100,0))*INDEX(Assumptions!$B$102:$I$102,MATCH(K$2,Assumptions!$B$100:$I$100,0)),0)</f>
        <v>0</v>
      </c>
      <c r="L41" s="53">
        <f>IFERROR(INDEX(Assumptions!$B$101:$I$101,MATCH(L$2,Assumptions!$B$100:$I$100,0))*INDEX(Assumptions!$B$102:$I$102,MATCH(L$2,Assumptions!$B$100:$I$100,0)),0)</f>
        <v>0</v>
      </c>
      <c r="M41" s="53">
        <f>IFERROR(INDEX(Assumptions!$B$101:$I$101,MATCH(M$2,Assumptions!$B$100:$I$100,0))*INDEX(Assumptions!$B$102:$I$102,MATCH(M$2,Assumptions!$B$100:$I$100,0)),0)</f>
        <v>0</v>
      </c>
      <c r="N41" s="53">
        <f>IFERROR(INDEX(Assumptions!$B$101:$I$101,MATCH(N$2,Assumptions!$B$100:$I$100,0))*INDEX(Assumptions!$B$102:$I$102,MATCH(N$2,Assumptions!$B$100:$I$100,0)),0)</f>
        <v>0</v>
      </c>
      <c r="O41" s="53">
        <f>IFERROR(INDEX(Assumptions!$B$101:$I$101,MATCH(O$2,Assumptions!$B$100:$I$100,0))*INDEX(Assumptions!$B$102:$I$102,MATCH(O$2,Assumptions!$B$100:$I$100,0)),0)</f>
        <v>0</v>
      </c>
      <c r="P41" s="53">
        <f>IFERROR(INDEX(Assumptions!$B$101:$I$101,MATCH(P$2,Assumptions!$B$100:$I$100,0))*INDEX(Assumptions!$B$102:$I$102,MATCH(P$2,Assumptions!$B$100:$I$100,0)),0)</f>
        <v>0</v>
      </c>
      <c r="Q41" s="53">
        <f>IFERROR(INDEX(Assumptions!$B$101:$I$101,MATCH(Q$2,Assumptions!$B$100:$I$100,0))*INDEX(Assumptions!$B$102:$I$102,MATCH(Q$2,Assumptions!$B$100:$I$100,0)),0)</f>
        <v>0</v>
      </c>
      <c r="R41" s="53">
        <f>IFERROR(INDEX(Assumptions!$B$101:$I$101,MATCH(R$2,Assumptions!$B$100:$I$100,0))*INDEX(Assumptions!$B$102:$I$102,MATCH(R$2,Assumptions!$B$100:$I$100,0)),0)</f>
        <v>0</v>
      </c>
      <c r="S41" s="53">
        <f>IFERROR(INDEX(Assumptions!$B$101:$I$101,MATCH(S$2,Assumptions!$B$100:$I$100,0))*INDEX(Assumptions!$B$102:$I$102,MATCH(S$2,Assumptions!$B$100:$I$100,0)),0)</f>
        <v>0</v>
      </c>
      <c r="T41" s="53">
        <f>IFERROR(INDEX(Assumptions!$B$101:$I$101,MATCH(T$2,Assumptions!$B$100:$I$100,0))*INDEX(Assumptions!$B$102:$I$102,MATCH(T$2,Assumptions!$B$100:$I$100,0)),0)</f>
        <v>0</v>
      </c>
      <c r="U41" s="53">
        <f>IFERROR(INDEX(Assumptions!$B$101:$I$101,MATCH(U$2,Assumptions!$B$100:$I$100,0))*INDEX(Assumptions!$B$102:$I$102,MATCH(U$2,Assumptions!$B$100:$I$100,0)),0)</f>
        <v>0</v>
      </c>
      <c r="V41" s="53">
        <f>IFERROR(INDEX(Assumptions!$B$101:$I$101,MATCH(V$2,Assumptions!$B$100:$I$100,0))*INDEX(Assumptions!$B$102:$I$102,MATCH(V$2,Assumptions!$B$100:$I$100,0)),0)</f>
        <v>0</v>
      </c>
      <c r="W41" s="53">
        <f>IFERROR(INDEX(Assumptions!$B$101:$I$101,MATCH(W$2,Assumptions!$B$100:$I$100,0))*INDEX(Assumptions!$B$102:$I$102,MATCH(W$2,Assumptions!$B$100:$I$100,0)),0)</f>
        <v>0</v>
      </c>
      <c r="X41" s="53">
        <f>IFERROR(INDEX(Assumptions!$B$101:$I$101,MATCH(X$2,Assumptions!$B$100:$I$100,0))*INDEX(Assumptions!$B$102:$I$102,MATCH(X$2,Assumptions!$B$100:$I$100,0)),0)</f>
        <v>0</v>
      </c>
      <c r="Y41" s="53">
        <f>IFERROR(INDEX(Assumptions!$B$101:$I$101,MATCH(Y$2,Assumptions!$B$100:$I$100,0))*INDEX(Assumptions!$B$102:$I$102,MATCH(Y$2,Assumptions!$B$100:$I$100,0)),0)</f>
        <v>0</v>
      </c>
      <c r="Z41" s="53">
        <f>IFERROR(INDEX(Assumptions!$B$101:$I$101,MATCH(Z$2,Assumptions!$B$100:$I$100,0))*INDEX(Assumptions!$B$102:$I$102,MATCH(Z$2,Assumptions!$B$100:$I$100,0)),0)</f>
        <v>0</v>
      </c>
    </row>
    <row r="42">
      <c r="A42" s="22" t="inlineStr">
        <is>
          <t>Program contribution (pre-tax)</t>
        </is>
      </c>
      <c r="C42" s="57">
        <f>C38-C39-C40-C41</f>
        <v>-40.0</v>
      </c>
      <c r="D42" s="57">
        <f>D38-D39-D40-D41</f>
        <v>-45.0</v>
      </c>
      <c r="E42" s="57">
        <f>E38-E39-E40-E41</f>
        <v>2.0</v>
      </c>
      <c r="F42" s="57">
        <f>F38-F39-F40-F41</f>
        <v>26.875</v>
      </c>
      <c r="G42" s="57">
        <f>G38-G39-G40-G41</f>
        <v>65.25</v>
      </c>
      <c r="H42" s="57">
        <f>H38-H39-H40-H41</f>
        <v>107.25</v>
      </c>
      <c r="I42" s="57">
        <f>I38-I39-I40-I41</f>
        <v>143.5</v>
      </c>
      <c r="J42" s="57">
        <f>J38-J39-J40-J41</f>
        <v>181.35</v>
      </c>
      <c r="K42" s="57">
        <f>K38-K39-K40-K41</f>
        <v>195.0</v>
      </c>
      <c r="L42" s="57">
        <f>L38-L39-L40-L41</f>
        <v>195.0</v>
      </c>
      <c r="M42" s="57">
        <f>M38-M39-M40-M41</f>
        <v>195.0</v>
      </c>
      <c r="N42" s="57">
        <f>N38-N39-N40-N41</f>
        <v>195.0</v>
      </c>
      <c r="O42" s="57">
        <f>O38-O39-O40-O41</f>
        <v>195.0</v>
      </c>
      <c r="P42" s="57">
        <f>P38-P39-P40-P41</f>
        <v>195.0</v>
      </c>
      <c r="Q42" s="57">
        <f>Q38-Q39-Q40-Q41</f>
        <v>78.0</v>
      </c>
      <c r="R42" s="57">
        <f>R38-R39-R40-R41</f>
        <v>31.200000000000003</v>
      </c>
      <c r="S42" s="57">
        <f>S38-S39-S40-S41</f>
        <v>12.48</v>
      </c>
      <c r="T42" s="57">
        <f>T38-T39-T40-T41</f>
        <v>4.992</v>
      </c>
      <c r="U42" s="57">
        <f>U38-U39-U40-U41</f>
        <v>1.9968000000000004</v>
      </c>
      <c r="V42" s="57">
        <f>V38-V39-V40-V41</f>
        <v>0.7987200000000001</v>
      </c>
      <c r="W42" s="57">
        <f>W38-W39-W40-W41</f>
        <v>0.3194880000000001</v>
      </c>
      <c r="X42" s="57">
        <f>X38-X39-X40-X41</f>
        <v>0.12779520000000005</v>
      </c>
      <c r="Y42" s="57">
        <f>Y38-Y39-Y40-Y41</f>
        <v>0.05111808000000002</v>
      </c>
      <c r="Z42" s="57">
        <f>Z38-Z39-Z40-Z41</f>
        <v>0.02044723200000001</v>
      </c>
    </row>
    <row r="44">
      <c r="A44" s="30" t="inlineStr">
        <is>
          <t>Dazucorilant — ALS (Phase 3 planned)</t>
        </is>
      </c>
    </row>
    <row r="45">
      <c r="A45" s="13" t="inlineStr">
        <is>
          <t>Years since launch</t>
        </is>
      </c>
      <c r="C45" s="64">
        <f>C$2-Assumptions!$B$105+1</f>
        <v>-3.0</v>
      </c>
      <c r="D45" s="64">
        <f>D$2-Assumptions!$B$105+1</f>
        <v>-2.0</v>
      </c>
      <c r="E45" s="64">
        <f>E$2-Assumptions!$B$105+1</f>
        <v>-1.0</v>
      </c>
      <c r="F45" s="64">
        <f>F$2-Assumptions!$B$105+1</f>
        <v>0.0</v>
      </c>
      <c r="G45" s="64">
        <f>G$2-Assumptions!$B$105+1</f>
        <v>1.0</v>
      </c>
      <c r="H45" s="64">
        <f>H$2-Assumptions!$B$105+1</f>
        <v>2.0</v>
      </c>
      <c r="I45" s="64">
        <f>I$2-Assumptions!$B$105+1</f>
        <v>3.0</v>
      </c>
      <c r="J45" s="64">
        <f>J$2-Assumptions!$B$105+1</f>
        <v>4.0</v>
      </c>
      <c r="K45" s="64">
        <f>K$2-Assumptions!$B$105+1</f>
        <v>5.0</v>
      </c>
      <c r="L45" s="64">
        <f>L$2-Assumptions!$B$105+1</f>
        <v>6.0</v>
      </c>
      <c r="M45" s="64">
        <f>M$2-Assumptions!$B$105+1</f>
        <v>7.0</v>
      </c>
      <c r="N45" s="64">
        <f>N$2-Assumptions!$B$105+1</f>
        <v>8.0</v>
      </c>
      <c r="O45" s="64">
        <f>O$2-Assumptions!$B$105+1</f>
        <v>9.0</v>
      </c>
      <c r="P45" s="64">
        <f>P$2-Assumptions!$B$105+1</f>
        <v>10.0</v>
      </c>
      <c r="Q45" s="64">
        <f>Q$2-Assumptions!$B$105+1</f>
        <v>11.0</v>
      </c>
      <c r="R45" s="64">
        <f>R$2-Assumptions!$B$105+1</f>
        <v>12.0</v>
      </c>
      <c r="S45" s="64">
        <f>S$2-Assumptions!$B$105+1</f>
        <v>13.0</v>
      </c>
      <c r="T45" s="64">
        <f>T$2-Assumptions!$B$105+1</f>
        <v>14.0</v>
      </c>
      <c r="U45" s="64">
        <f>U$2-Assumptions!$B$105+1</f>
        <v>15.0</v>
      </c>
      <c r="V45" s="64">
        <f>V$2-Assumptions!$B$105+1</f>
        <v>16.0</v>
      </c>
      <c r="W45" s="64">
        <f>W$2-Assumptions!$B$105+1</f>
        <v>17.0</v>
      </c>
      <c r="X45" s="64">
        <f>X$2-Assumptions!$B$105+1</f>
        <v>18.0</v>
      </c>
      <c r="Y45" s="64">
        <f>Y$2-Assumptions!$B$105+1</f>
        <v>19.0</v>
      </c>
      <c r="Z45" s="64">
        <f>Z$2-Assumptions!$B$105+1</f>
        <v>20.0</v>
      </c>
    </row>
    <row r="46">
      <c r="A46" s="13" t="inlineStr">
        <is>
          <t>Net sales, unrisked</t>
        </is>
      </c>
      <c r="C46" s="53">
        <f>IF(C$2&gt;Assumptions!$B$114,0*(1-Assumptions!$B$115),IF(C45&gt;=1,Assumptions!$B$106*CHOOSE(Assumptions!$B$113,INDEX(Assumptions!$B$42:$H$42,MIN(C45,7)),INDEX(Assumptions!$B$43:$H$43,MIN(C45,7))),0))</f>
        <v>0</v>
      </c>
      <c r="D46" s="53">
        <f>IF(D$2&gt;Assumptions!$B$114,C46*(1-Assumptions!$B$115),IF(D45&gt;=1,Assumptions!$B$106*CHOOSE(Assumptions!$B$113,INDEX(Assumptions!$B$42:$H$42,MIN(D45,7)),INDEX(Assumptions!$B$43:$H$43,MIN(D45,7))),0))</f>
        <v>0</v>
      </c>
      <c r="E46" s="53">
        <f>IF(E$2&gt;Assumptions!$B$114,D46*(1-Assumptions!$B$115),IF(E45&gt;=1,Assumptions!$B$106*CHOOSE(Assumptions!$B$113,INDEX(Assumptions!$B$42:$H$42,MIN(E45,7)),INDEX(Assumptions!$B$43:$H$43,MIN(E45,7))),0))</f>
        <v>0</v>
      </c>
      <c r="F46" s="53">
        <f>IF(F$2&gt;Assumptions!$B$114,E46*(1-Assumptions!$B$115),IF(F45&gt;=1,Assumptions!$B$106*CHOOSE(Assumptions!$B$113,INDEX(Assumptions!$B$42:$H$42,MIN(F45,7)),INDEX(Assumptions!$B$43:$H$43,MIN(F45,7))),0))</f>
        <v>0</v>
      </c>
      <c r="G46" s="53">
        <f>IF(G$2&gt;Assumptions!$B$114,F46*(1-Assumptions!$B$115),IF(G45&gt;=1,Assumptions!$B$106*CHOOSE(Assumptions!$B$113,INDEX(Assumptions!$B$42:$H$42,MIN(G45,7)),INDEX(Assumptions!$B$43:$H$43,MIN(G45,7))),0))</f>
        <v>100.0</v>
      </c>
      <c r="H46" s="53">
        <f>IF(H$2&gt;Assumptions!$B$114,G46*(1-Assumptions!$B$115),IF(H45&gt;=1,Assumptions!$B$106*CHOOSE(Assumptions!$B$113,INDEX(Assumptions!$B$42:$H$42,MIN(H45,7)),INDEX(Assumptions!$B$43:$H$43,MIN(H45,7))),0))</f>
        <v>250.0</v>
      </c>
      <c r="I46" s="53">
        <f>IF(I$2&gt;Assumptions!$B$114,H46*(1-Assumptions!$B$115),IF(I45&gt;=1,Assumptions!$B$106*CHOOSE(Assumptions!$B$113,INDEX(Assumptions!$B$42:$H$42,MIN(I45,7)),INDEX(Assumptions!$B$43:$H$43,MIN(I45,7))),0))</f>
        <v>450.0</v>
      </c>
      <c r="J46" s="53">
        <f>IF(J$2&gt;Assumptions!$B$114,I46*(1-Assumptions!$B$115),IF(J45&gt;=1,Assumptions!$B$106*CHOOSE(Assumptions!$B$113,INDEX(Assumptions!$B$42:$H$42,MIN(J45,7)),INDEX(Assumptions!$B$43:$H$43,MIN(J45,7))),0))</f>
        <v>650.0</v>
      </c>
      <c r="K46" s="53">
        <f>IF(K$2&gt;Assumptions!$B$114,J46*(1-Assumptions!$B$115),IF(K45&gt;=1,Assumptions!$B$106*CHOOSE(Assumptions!$B$113,INDEX(Assumptions!$B$42:$H$42,MIN(K45,7)),INDEX(Assumptions!$B$43:$H$43,MIN(K45,7))),0))</f>
        <v>820.0</v>
      </c>
      <c r="L46" s="53">
        <f>IF(L$2&gt;Assumptions!$B$114,K46*(1-Assumptions!$B$115),IF(L45&gt;=1,Assumptions!$B$106*CHOOSE(Assumptions!$B$113,INDEX(Assumptions!$B$42:$H$42,MIN(L45,7)),INDEX(Assumptions!$B$43:$H$43,MIN(L45,7))),0))</f>
        <v>930.0</v>
      </c>
      <c r="M46" s="53">
        <f>IF(M$2&gt;Assumptions!$B$114,L46*(1-Assumptions!$B$115),IF(M45&gt;=1,Assumptions!$B$106*CHOOSE(Assumptions!$B$113,INDEX(Assumptions!$B$42:$H$42,MIN(M45,7)),INDEX(Assumptions!$B$43:$H$43,MIN(M45,7))),0))</f>
        <v>1000.0</v>
      </c>
      <c r="N46" s="53">
        <f>IF(N$2&gt;Assumptions!$B$114,M46*(1-Assumptions!$B$115),IF(N45&gt;=1,Assumptions!$B$106*CHOOSE(Assumptions!$B$113,INDEX(Assumptions!$B$42:$H$42,MIN(N45,7)),INDEX(Assumptions!$B$43:$H$43,MIN(N45,7))),0))</f>
        <v>1000.0</v>
      </c>
      <c r="O46" s="53">
        <f>IF(O$2&gt;Assumptions!$B$114,N46*(1-Assumptions!$B$115),IF(O45&gt;=1,Assumptions!$B$106*CHOOSE(Assumptions!$B$113,INDEX(Assumptions!$B$42:$H$42,MIN(O45,7)),INDEX(Assumptions!$B$43:$H$43,MIN(O45,7))),0))</f>
        <v>1000.0</v>
      </c>
      <c r="P46" s="53">
        <f>IF(P$2&gt;Assumptions!$B$114,O46*(1-Assumptions!$B$115),IF(P45&gt;=1,Assumptions!$B$106*CHOOSE(Assumptions!$B$113,INDEX(Assumptions!$B$42:$H$42,MIN(P45,7)),INDEX(Assumptions!$B$43:$H$43,MIN(P45,7))),0))</f>
        <v>1000.0</v>
      </c>
      <c r="Q46" s="53">
        <f>IF(Q$2&gt;Assumptions!$B$114,P46*(1-Assumptions!$B$115),IF(Q45&gt;=1,Assumptions!$B$106*CHOOSE(Assumptions!$B$113,INDEX(Assumptions!$B$42:$H$42,MIN(Q45,7)),INDEX(Assumptions!$B$43:$H$43,MIN(Q45,7))),0))</f>
        <v>1000.0</v>
      </c>
      <c r="R46" s="53">
        <f>IF(R$2&gt;Assumptions!$B$114,Q46*(1-Assumptions!$B$115),IF(R45&gt;=1,Assumptions!$B$106*CHOOSE(Assumptions!$B$113,INDEX(Assumptions!$B$42:$H$42,MIN(R45,7)),INDEX(Assumptions!$B$43:$H$43,MIN(R45,7))),0))</f>
        <v>1000.0</v>
      </c>
      <c r="S46" s="53">
        <f>IF(S$2&gt;Assumptions!$B$114,R46*(1-Assumptions!$B$115),IF(S45&gt;=1,Assumptions!$B$106*CHOOSE(Assumptions!$B$113,INDEX(Assumptions!$B$42:$H$42,MIN(S45,7)),INDEX(Assumptions!$B$43:$H$43,MIN(S45,7))),0))</f>
        <v>400.0</v>
      </c>
      <c r="T46" s="53">
        <f>IF(T$2&gt;Assumptions!$B$114,S46*(1-Assumptions!$B$115),IF(T45&gt;=1,Assumptions!$B$106*CHOOSE(Assumptions!$B$113,INDEX(Assumptions!$B$42:$H$42,MIN(T45,7)),INDEX(Assumptions!$B$43:$H$43,MIN(T45,7))),0))</f>
        <v>160.0</v>
      </c>
      <c r="U46" s="53">
        <f>IF(U$2&gt;Assumptions!$B$114,T46*(1-Assumptions!$B$115),IF(U45&gt;=1,Assumptions!$B$106*CHOOSE(Assumptions!$B$113,INDEX(Assumptions!$B$42:$H$42,MIN(U45,7)),INDEX(Assumptions!$B$43:$H$43,MIN(U45,7))),0))</f>
        <v>64.0</v>
      </c>
      <c r="V46" s="53">
        <f>IF(V$2&gt;Assumptions!$B$114,U46*(1-Assumptions!$B$115),IF(V45&gt;=1,Assumptions!$B$106*CHOOSE(Assumptions!$B$113,INDEX(Assumptions!$B$42:$H$42,MIN(V45,7)),INDEX(Assumptions!$B$43:$H$43,MIN(V45,7))),0))</f>
        <v>25.6</v>
      </c>
      <c r="W46" s="53">
        <f>IF(W$2&gt;Assumptions!$B$114,V46*(1-Assumptions!$B$115),IF(W45&gt;=1,Assumptions!$B$106*CHOOSE(Assumptions!$B$113,INDEX(Assumptions!$B$42:$H$42,MIN(W45,7)),INDEX(Assumptions!$B$43:$H$43,MIN(W45,7))),0))</f>
        <v>10.240000000000002</v>
      </c>
      <c r="X46" s="53">
        <f>IF(X$2&gt;Assumptions!$B$114,W46*(1-Assumptions!$B$115),IF(X45&gt;=1,Assumptions!$B$106*CHOOSE(Assumptions!$B$113,INDEX(Assumptions!$B$42:$H$42,MIN(X45,7)),INDEX(Assumptions!$B$43:$H$43,MIN(X45,7))),0))</f>
        <v>4.096000000000001</v>
      </c>
      <c r="Y46" s="53">
        <f>IF(Y$2&gt;Assumptions!$B$114,X46*(1-Assumptions!$B$115),IF(Y45&gt;=1,Assumptions!$B$106*CHOOSE(Assumptions!$B$113,INDEX(Assumptions!$B$42:$H$42,MIN(Y45,7)),INDEX(Assumptions!$B$43:$H$43,MIN(Y45,7))),0))</f>
        <v>1.6384000000000005</v>
      </c>
      <c r="Z46" s="53">
        <f>IF(Z$2&gt;Assumptions!$B$114,Y46*(1-Assumptions!$B$115),IF(Z45&gt;=1,Assumptions!$B$106*CHOOSE(Assumptions!$B$113,INDEX(Assumptions!$B$42:$H$42,MIN(Z45,7)),INDEX(Assumptions!$B$43:$H$43,MIN(Z45,7))),0))</f>
        <v>0.6553600000000003</v>
      </c>
    </row>
    <row r="47">
      <c r="A47" s="13" t="inlineStr">
        <is>
          <t>Product net sales, risk-adjusted</t>
        </is>
      </c>
      <c r="C47" s="53">
        <f>C46*MIN(1,Assumptions!$B$107*Assumptions!$B$37)</f>
        <v>0.0</v>
      </c>
      <c r="D47" s="53">
        <f>D46*MIN(1,Assumptions!$B$107*Assumptions!$B$37)</f>
        <v>0.0</v>
      </c>
      <c r="E47" s="53">
        <f>E46*MIN(1,Assumptions!$B$107*Assumptions!$B$37)</f>
        <v>0.0</v>
      </c>
      <c r="F47" s="53">
        <f>F46*MIN(1,Assumptions!$B$107*Assumptions!$B$37)</f>
        <v>0.0</v>
      </c>
      <c r="G47" s="53">
        <f>G46*MIN(1,Assumptions!$B$107*Assumptions!$B$37)</f>
        <v>15.0</v>
      </c>
      <c r="H47" s="53">
        <f>H46*MIN(1,Assumptions!$B$107*Assumptions!$B$37)</f>
        <v>37.5</v>
      </c>
      <c r="I47" s="53">
        <f>I46*MIN(1,Assumptions!$B$107*Assumptions!$B$37)</f>
        <v>67.5</v>
      </c>
      <c r="J47" s="53">
        <f>J46*MIN(1,Assumptions!$B$107*Assumptions!$B$37)</f>
        <v>97.5</v>
      </c>
      <c r="K47" s="53">
        <f>K46*MIN(1,Assumptions!$B$107*Assumptions!$B$37)</f>
        <v>123.0</v>
      </c>
      <c r="L47" s="53">
        <f>L46*MIN(1,Assumptions!$B$107*Assumptions!$B$37)</f>
        <v>139.5</v>
      </c>
      <c r="M47" s="53">
        <f>M46*MIN(1,Assumptions!$B$107*Assumptions!$B$37)</f>
        <v>150.0</v>
      </c>
      <c r="N47" s="53">
        <f>N46*MIN(1,Assumptions!$B$107*Assumptions!$B$37)</f>
        <v>150.0</v>
      </c>
      <c r="O47" s="53">
        <f>O46*MIN(1,Assumptions!$B$107*Assumptions!$B$37)</f>
        <v>150.0</v>
      </c>
      <c r="P47" s="53">
        <f>P46*MIN(1,Assumptions!$B$107*Assumptions!$B$37)</f>
        <v>150.0</v>
      </c>
      <c r="Q47" s="53">
        <f>Q46*MIN(1,Assumptions!$B$107*Assumptions!$B$37)</f>
        <v>150.0</v>
      </c>
      <c r="R47" s="53">
        <f>R46*MIN(1,Assumptions!$B$107*Assumptions!$B$37)</f>
        <v>150.0</v>
      </c>
      <c r="S47" s="53">
        <f>S46*MIN(1,Assumptions!$B$107*Assumptions!$B$37)</f>
        <v>60.0</v>
      </c>
      <c r="T47" s="53">
        <f>T46*MIN(1,Assumptions!$B$107*Assumptions!$B$37)</f>
        <v>24.0</v>
      </c>
      <c r="U47" s="53">
        <f>U46*MIN(1,Assumptions!$B$107*Assumptions!$B$37)</f>
        <v>9.6</v>
      </c>
      <c r="V47" s="53">
        <f>V46*MIN(1,Assumptions!$B$107*Assumptions!$B$37)</f>
        <v>3.84</v>
      </c>
      <c r="W47" s="53">
        <f>W46*MIN(1,Assumptions!$B$107*Assumptions!$B$37)</f>
        <v>1.5360000000000003</v>
      </c>
      <c r="X47" s="53">
        <f>X46*MIN(1,Assumptions!$B$107*Assumptions!$B$37)</f>
        <v>0.6144000000000002</v>
      </c>
      <c r="Y47" s="53">
        <f>Y46*MIN(1,Assumptions!$B$107*Assumptions!$B$37)</f>
        <v>0.24576000000000006</v>
      </c>
      <c r="Z47" s="53">
        <f>Z46*MIN(1,Assumptions!$B$107*Assumptions!$B$37)</f>
        <v>0.09830400000000004</v>
      </c>
    </row>
    <row r="48">
      <c r="A48" s="13" t="inlineStr">
        <is>
          <t>Company revenue, risk-adjusted (incl. milestones)</t>
        </is>
      </c>
      <c r="C48" s="53">
        <f>C47*Assumptions!$B$108</f>
        <v>0.0</v>
      </c>
      <c r="D48" s="53">
        <f>D47*Assumptions!$B$108</f>
        <v>0.0</v>
      </c>
      <c r="E48" s="53">
        <f>E47*Assumptions!$B$108</f>
        <v>0.0</v>
      </c>
      <c r="F48" s="53">
        <f>F47*Assumptions!$B$108</f>
        <v>0.0</v>
      </c>
      <c r="G48" s="53">
        <f>G47*Assumptions!$B$108</f>
        <v>15.0</v>
      </c>
      <c r="H48" s="53">
        <f>H47*Assumptions!$B$108</f>
        <v>37.5</v>
      </c>
      <c r="I48" s="53">
        <f>I47*Assumptions!$B$108</f>
        <v>67.5</v>
      </c>
      <c r="J48" s="53">
        <f>J47*Assumptions!$B$108</f>
        <v>97.5</v>
      </c>
      <c r="K48" s="53">
        <f>K47*Assumptions!$B$108</f>
        <v>123.0</v>
      </c>
      <c r="L48" s="53">
        <f>L47*Assumptions!$B$108</f>
        <v>139.5</v>
      </c>
      <c r="M48" s="53">
        <f>M47*Assumptions!$B$108</f>
        <v>150.0</v>
      </c>
      <c r="N48" s="53">
        <f>N47*Assumptions!$B$108</f>
        <v>150.0</v>
      </c>
      <c r="O48" s="53">
        <f>O47*Assumptions!$B$108</f>
        <v>150.0</v>
      </c>
      <c r="P48" s="53">
        <f>P47*Assumptions!$B$108</f>
        <v>150.0</v>
      </c>
      <c r="Q48" s="53">
        <f>Q47*Assumptions!$B$108</f>
        <v>150.0</v>
      </c>
      <c r="R48" s="53">
        <f>R47*Assumptions!$B$108</f>
        <v>150.0</v>
      </c>
      <c r="S48" s="53">
        <f>S47*Assumptions!$B$108</f>
        <v>60.0</v>
      </c>
      <c r="T48" s="53">
        <f>T47*Assumptions!$B$108</f>
        <v>24.0</v>
      </c>
      <c r="U48" s="53">
        <f>U47*Assumptions!$B$108</f>
        <v>9.6</v>
      </c>
      <c r="V48" s="53">
        <f>V47*Assumptions!$B$108</f>
        <v>3.84</v>
      </c>
      <c r="W48" s="53">
        <f>W47*Assumptions!$B$108</f>
        <v>1.5360000000000003</v>
      </c>
      <c r="X48" s="53">
        <f>X47*Assumptions!$B$108</f>
        <v>0.6144000000000002</v>
      </c>
      <c r="Y48" s="53">
        <f>Y47*Assumptions!$B$108</f>
        <v>0.24576000000000006</v>
      </c>
      <c r="Z48" s="53">
        <f>Z47*Assumptions!$B$108</f>
        <v>0.09830400000000004</v>
      </c>
    </row>
    <row r="49">
      <c r="A49" s="13" t="inlineStr">
        <is>
          <t>COGS + royalties, risk-adjusted</t>
        </is>
      </c>
      <c r="C49" s="53">
        <f>C47*(Assumptions!$B$109+Assumptions!$B$110)</f>
        <v>0.0</v>
      </c>
      <c r="D49" s="53">
        <f>D47*(Assumptions!$B$109+Assumptions!$B$110)</f>
        <v>0.0</v>
      </c>
      <c r="E49" s="53">
        <f>E47*(Assumptions!$B$109+Assumptions!$B$110)</f>
        <v>0.0</v>
      </c>
      <c r="F49" s="53">
        <f>F47*(Assumptions!$B$109+Assumptions!$B$110)</f>
        <v>0.0</v>
      </c>
      <c r="G49" s="53">
        <f>G47*(Assumptions!$B$109+Assumptions!$B$110)</f>
        <v>0.3</v>
      </c>
      <c r="H49" s="53">
        <f>H47*(Assumptions!$B$109+Assumptions!$B$110)</f>
        <v>0.75</v>
      </c>
      <c r="I49" s="53">
        <f>I47*(Assumptions!$B$109+Assumptions!$B$110)</f>
        <v>1.35</v>
      </c>
      <c r="J49" s="53">
        <f>J47*(Assumptions!$B$109+Assumptions!$B$110)</f>
        <v>1.95</v>
      </c>
      <c r="K49" s="53">
        <f>K47*(Assumptions!$B$109+Assumptions!$B$110)</f>
        <v>2.46</v>
      </c>
      <c r="L49" s="53">
        <f>L47*(Assumptions!$B$109+Assumptions!$B$110)</f>
        <v>2.79</v>
      </c>
      <c r="M49" s="53">
        <f>M47*(Assumptions!$B$109+Assumptions!$B$110)</f>
        <v>3.0</v>
      </c>
      <c r="N49" s="53">
        <f>N47*(Assumptions!$B$109+Assumptions!$B$110)</f>
        <v>3.0</v>
      </c>
      <c r="O49" s="53">
        <f>O47*(Assumptions!$B$109+Assumptions!$B$110)</f>
        <v>3.0</v>
      </c>
      <c r="P49" s="53">
        <f>P47*(Assumptions!$B$109+Assumptions!$B$110)</f>
        <v>3.0</v>
      </c>
      <c r="Q49" s="53">
        <f>Q47*(Assumptions!$B$109+Assumptions!$B$110)</f>
        <v>3.0</v>
      </c>
      <c r="R49" s="53">
        <f>R47*(Assumptions!$B$109+Assumptions!$B$110)</f>
        <v>3.0</v>
      </c>
      <c r="S49" s="53">
        <f>S47*(Assumptions!$B$109+Assumptions!$B$110)</f>
        <v>1.2</v>
      </c>
      <c r="T49" s="53">
        <f>T47*(Assumptions!$B$109+Assumptions!$B$110)</f>
        <v>0.48</v>
      </c>
      <c r="U49" s="53">
        <f>U47*(Assumptions!$B$109+Assumptions!$B$110)</f>
        <v>0.192</v>
      </c>
      <c r="V49" s="53">
        <f>V47*(Assumptions!$B$109+Assumptions!$B$110)</f>
        <v>0.0768</v>
      </c>
      <c r="W49" s="53">
        <f>W47*(Assumptions!$B$109+Assumptions!$B$110)</f>
        <v>0.030720000000000004</v>
      </c>
      <c r="X49" s="53">
        <f>X47*(Assumptions!$B$109+Assumptions!$B$110)</f>
        <v>0.012288000000000004</v>
      </c>
      <c r="Y49" s="53">
        <f>Y47*(Assumptions!$B$109+Assumptions!$B$110)</f>
        <v>0.0049152000000000015</v>
      </c>
      <c r="Z49" s="53">
        <f>Z47*(Assumptions!$B$109+Assumptions!$B$110)</f>
        <v>0.001966080000000001</v>
      </c>
    </row>
    <row r="50">
      <c r="A50" s="13" t="inlineStr">
        <is>
          <t>Commercial SG&amp;A, risk-adjusted</t>
        </is>
      </c>
      <c r="C50" s="53">
        <f>MIN(1,Assumptions!$B$107*Assumptions!$B$37)*IF(Assumptions!$B$111=0,0,IF(C45=0,Assumptions!$B$112,IF(C45&gt;=1,C46*IF(OR(Assumptions!$B$108&lt;1,C45&gt;5),Assumptions!$B$111,MAX(Assumptions!$B$111,INDEX(Assumptions!$B$44:$F$44,C45))),0)))</f>
        <v>0.0</v>
      </c>
      <c r="D50" s="53">
        <f>MIN(1,Assumptions!$B$107*Assumptions!$B$37)*IF(Assumptions!$B$111=0,0,IF(D45=0,Assumptions!$B$112,IF(D45&gt;=1,D46*IF(OR(Assumptions!$B$108&lt;1,D45&gt;5),Assumptions!$B$111,MAX(Assumptions!$B$111,INDEX(Assumptions!$B$44:$F$44,D45))),0)))</f>
        <v>0.0</v>
      </c>
      <c r="E50" s="53">
        <f>MIN(1,Assumptions!$B$107*Assumptions!$B$37)*IF(Assumptions!$B$111=0,0,IF(E45=0,Assumptions!$B$112,IF(E45&gt;=1,E46*IF(OR(Assumptions!$B$108&lt;1,E45&gt;5),Assumptions!$B$111,MAX(Assumptions!$B$111,INDEX(Assumptions!$B$44:$F$44,E45))),0)))</f>
        <v>0.0</v>
      </c>
      <c r="F50" s="53">
        <f>MIN(1,Assumptions!$B$107*Assumptions!$B$37)*IF(Assumptions!$B$111=0,0,IF(F45=0,Assumptions!$B$112,IF(F45&gt;=1,F46*IF(OR(Assumptions!$B$108&lt;1,F45&gt;5),Assumptions!$B$111,MAX(Assumptions!$B$111,INDEX(Assumptions!$B$44:$F$44,F45))),0)))</f>
        <v>3.75</v>
      </c>
      <c r="G50" s="53">
        <f>MIN(1,Assumptions!$B$107*Assumptions!$B$37)*IF(Assumptions!$B$111=0,0,IF(G45=0,Assumptions!$B$112,IF(G45&gt;=1,G46*IF(OR(Assumptions!$B$108&lt;1,G45&gt;5),Assumptions!$B$111,MAX(Assumptions!$B$111,INDEX(Assumptions!$B$44:$F$44,G45))),0)))</f>
        <v>13.5</v>
      </c>
      <c r="H50" s="53">
        <f>MIN(1,Assumptions!$B$107*Assumptions!$B$37)*IF(Assumptions!$B$111=0,0,IF(H45=0,Assumptions!$B$112,IF(H45&gt;=1,H46*IF(OR(Assumptions!$B$108&lt;1,H45&gt;5),Assumptions!$B$111,MAX(Assumptions!$B$111,INDEX(Assumptions!$B$44:$F$44,H45))),0)))</f>
        <v>20.625</v>
      </c>
      <c r="I50" s="53">
        <f>MIN(1,Assumptions!$B$107*Assumptions!$B$37)*IF(Assumptions!$B$111=0,0,IF(I45=0,Assumptions!$B$112,IF(I45&gt;=1,I46*IF(OR(Assumptions!$B$108&lt;1,I45&gt;5),Assumptions!$B$111,MAX(Assumptions!$B$111,INDEX(Assumptions!$B$44:$F$44,I45))),0)))</f>
        <v>27.0</v>
      </c>
      <c r="J50" s="53">
        <f>MIN(1,Assumptions!$B$107*Assumptions!$B$37)*IF(Assumptions!$B$111=0,0,IF(J45=0,Assumptions!$B$112,IF(J45&gt;=1,J46*IF(OR(Assumptions!$B$108&lt;1,J45&gt;5),Assumptions!$B$111,MAX(Assumptions!$B$111,INDEX(Assumptions!$B$44:$F$44,J45))),0)))</f>
        <v>31.2</v>
      </c>
      <c r="K50" s="53">
        <f>MIN(1,Assumptions!$B$107*Assumptions!$B$37)*IF(Assumptions!$B$111=0,0,IF(K45=0,Assumptions!$B$112,IF(K45&gt;=1,K46*IF(OR(Assumptions!$B$108&lt;1,K45&gt;5),Assumptions!$B$111,MAX(Assumptions!$B$111,INDEX(Assumptions!$B$44:$F$44,K45))),0)))</f>
        <v>34.440000000000005</v>
      </c>
      <c r="L50" s="53">
        <f>MIN(1,Assumptions!$B$107*Assumptions!$B$37)*IF(Assumptions!$B$111=0,0,IF(L45=0,Assumptions!$B$112,IF(L45&gt;=1,L46*IF(OR(Assumptions!$B$108&lt;1,L45&gt;5),Assumptions!$B$111,MAX(Assumptions!$B$111,INDEX(Assumptions!$B$44:$F$44,L45))),0)))</f>
        <v>34.875</v>
      </c>
      <c r="M50" s="53">
        <f>MIN(1,Assumptions!$B$107*Assumptions!$B$37)*IF(Assumptions!$B$111=0,0,IF(M45=0,Assumptions!$B$112,IF(M45&gt;=1,M46*IF(OR(Assumptions!$B$108&lt;1,M45&gt;5),Assumptions!$B$111,MAX(Assumptions!$B$111,INDEX(Assumptions!$B$44:$F$44,M45))),0)))</f>
        <v>37.5</v>
      </c>
      <c r="N50" s="53">
        <f>MIN(1,Assumptions!$B$107*Assumptions!$B$37)*IF(Assumptions!$B$111=0,0,IF(N45=0,Assumptions!$B$112,IF(N45&gt;=1,N46*IF(OR(Assumptions!$B$108&lt;1,N45&gt;5),Assumptions!$B$111,MAX(Assumptions!$B$111,INDEX(Assumptions!$B$44:$F$44,N45))),0)))</f>
        <v>37.5</v>
      </c>
      <c r="O50" s="53">
        <f>MIN(1,Assumptions!$B$107*Assumptions!$B$37)*IF(Assumptions!$B$111=0,0,IF(O45=0,Assumptions!$B$112,IF(O45&gt;=1,O46*IF(OR(Assumptions!$B$108&lt;1,O45&gt;5),Assumptions!$B$111,MAX(Assumptions!$B$111,INDEX(Assumptions!$B$44:$F$44,O45))),0)))</f>
        <v>37.5</v>
      </c>
      <c r="P50" s="53">
        <f>MIN(1,Assumptions!$B$107*Assumptions!$B$37)*IF(Assumptions!$B$111=0,0,IF(P45=0,Assumptions!$B$112,IF(P45&gt;=1,P46*IF(OR(Assumptions!$B$108&lt;1,P45&gt;5),Assumptions!$B$111,MAX(Assumptions!$B$111,INDEX(Assumptions!$B$44:$F$44,P45))),0)))</f>
        <v>37.5</v>
      </c>
      <c r="Q50" s="53">
        <f>MIN(1,Assumptions!$B$107*Assumptions!$B$37)*IF(Assumptions!$B$111=0,0,IF(Q45=0,Assumptions!$B$112,IF(Q45&gt;=1,Q46*IF(OR(Assumptions!$B$108&lt;1,Q45&gt;5),Assumptions!$B$111,MAX(Assumptions!$B$111,INDEX(Assumptions!$B$44:$F$44,Q45))),0)))</f>
        <v>37.5</v>
      </c>
      <c r="R50" s="53">
        <f>MIN(1,Assumptions!$B$107*Assumptions!$B$37)*IF(Assumptions!$B$111=0,0,IF(R45=0,Assumptions!$B$112,IF(R45&gt;=1,R46*IF(OR(Assumptions!$B$108&lt;1,R45&gt;5),Assumptions!$B$111,MAX(Assumptions!$B$111,INDEX(Assumptions!$B$44:$F$44,R45))),0)))</f>
        <v>37.5</v>
      </c>
      <c r="S50" s="53">
        <f>MIN(1,Assumptions!$B$107*Assumptions!$B$37)*IF(Assumptions!$B$111=0,0,IF(S45=0,Assumptions!$B$112,IF(S45&gt;=1,S46*IF(OR(Assumptions!$B$108&lt;1,S45&gt;5),Assumptions!$B$111,MAX(Assumptions!$B$111,INDEX(Assumptions!$B$44:$F$44,S45))),0)))</f>
        <v>15.0</v>
      </c>
      <c r="T50" s="53">
        <f>MIN(1,Assumptions!$B$107*Assumptions!$B$37)*IF(Assumptions!$B$111=0,0,IF(T45=0,Assumptions!$B$112,IF(T45&gt;=1,T46*IF(OR(Assumptions!$B$108&lt;1,T45&gt;5),Assumptions!$B$111,MAX(Assumptions!$B$111,INDEX(Assumptions!$B$44:$F$44,T45))),0)))</f>
        <v>6.0</v>
      </c>
      <c r="U50" s="53">
        <f>MIN(1,Assumptions!$B$107*Assumptions!$B$37)*IF(Assumptions!$B$111=0,0,IF(U45=0,Assumptions!$B$112,IF(U45&gt;=1,U46*IF(OR(Assumptions!$B$108&lt;1,U45&gt;5),Assumptions!$B$111,MAX(Assumptions!$B$111,INDEX(Assumptions!$B$44:$F$44,U45))),0)))</f>
        <v>2.4</v>
      </c>
      <c r="V50" s="53">
        <f>MIN(1,Assumptions!$B$107*Assumptions!$B$37)*IF(Assumptions!$B$111=0,0,IF(V45=0,Assumptions!$B$112,IF(V45&gt;=1,V46*IF(OR(Assumptions!$B$108&lt;1,V45&gt;5),Assumptions!$B$111,MAX(Assumptions!$B$111,INDEX(Assumptions!$B$44:$F$44,V45))),0)))</f>
        <v>0.96</v>
      </c>
      <c r="W50" s="53">
        <f>MIN(1,Assumptions!$B$107*Assumptions!$B$37)*IF(Assumptions!$B$111=0,0,IF(W45=0,Assumptions!$B$112,IF(W45&gt;=1,W46*IF(OR(Assumptions!$B$108&lt;1,W45&gt;5),Assumptions!$B$111,MAX(Assumptions!$B$111,INDEX(Assumptions!$B$44:$F$44,W45))),0)))</f>
        <v>0.38400000000000006</v>
      </c>
      <c r="X50" s="53">
        <f>MIN(1,Assumptions!$B$107*Assumptions!$B$37)*IF(Assumptions!$B$111=0,0,IF(X45=0,Assumptions!$B$112,IF(X45&gt;=1,X46*IF(OR(Assumptions!$B$108&lt;1,X45&gt;5),Assumptions!$B$111,MAX(Assumptions!$B$111,INDEX(Assumptions!$B$44:$F$44,X45))),0)))</f>
        <v>0.15360000000000004</v>
      </c>
      <c r="Y50" s="53">
        <f>MIN(1,Assumptions!$B$107*Assumptions!$B$37)*IF(Assumptions!$B$111=0,0,IF(Y45=0,Assumptions!$B$112,IF(Y45&gt;=1,Y46*IF(OR(Assumptions!$B$108&lt;1,Y45&gt;5),Assumptions!$B$111,MAX(Assumptions!$B$111,INDEX(Assumptions!$B$44:$F$44,Y45))),0)))</f>
        <v>0.061440000000000015</v>
      </c>
      <c r="Z50" s="53">
        <f>MIN(1,Assumptions!$B$107*Assumptions!$B$37)*IF(Assumptions!$B$111=0,0,IF(Z45=0,Assumptions!$B$112,IF(Z45&gt;=1,Z46*IF(OR(Assumptions!$B$108&lt;1,Z45&gt;5),Assumptions!$B$111,MAX(Assumptions!$B$111,INDEX(Assumptions!$B$44:$F$44,Z45))),0)))</f>
        <v>0.02457600000000001</v>
      </c>
    </row>
    <row r="51">
      <c r="A51" s="13" t="inlineStr">
        <is>
          <t>Development R&amp;D, risk-adjusted</t>
        </is>
      </c>
      <c r="C51" s="53">
        <f>IFERROR(INDEX(Assumptions!$B$117:$I$117,MATCH(C$2,Assumptions!$B$116:$I$116,0))*INDEX(Assumptions!$B$118:$I$118,MATCH(C$2,Assumptions!$B$116:$I$116,0)),0)</f>
        <v>30.0</v>
      </c>
      <c r="D51" s="53">
        <f>IFERROR(INDEX(Assumptions!$B$117:$I$117,MATCH(D$2,Assumptions!$B$116:$I$116,0))*INDEX(Assumptions!$B$118:$I$118,MATCH(D$2,Assumptions!$B$116:$I$116,0)),0)</f>
        <v>50.0</v>
      </c>
      <c r="E51" s="53">
        <f>IFERROR(INDEX(Assumptions!$B$117:$I$117,MATCH(E$2,Assumptions!$B$116:$I$116,0))*INDEX(Assumptions!$B$118:$I$118,MATCH(E$2,Assumptions!$B$116:$I$116,0)),0)</f>
        <v>50.0</v>
      </c>
      <c r="F51" s="53">
        <f>IFERROR(INDEX(Assumptions!$B$117:$I$117,MATCH(F$2,Assumptions!$B$116:$I$116,0))*INDEX(Assumptions!$B$118:$I$118,MATCH(F$2,Assumptions!$B$116:$I$116,0)),0)</f>
        <v>15.0</v>
      </c>
      <c r="G51" s="53">
        <f>IFERROR(INDEX(Assumptions!$B$117:$I$117,MATCH(G$2,Assumptions!$B$116:$I$116,0))*INDEX(Assumptions!$B$118:$I$118,MATCH(G$2,Assumptions!$B$116:$I$116,0)),0)</f>
        <v>0.0</v>
      </c>
      <c r="H51" s="53">
        <f>IFERROR(INDEX(Assumptions!$B$117:$I$117,MATCH(H$2,Assumptions!$B$116:$I$116,0))*INDEX(Assumptions!$B$118:$I$118,MATCH(H$2,Assumptions!$B$116:$I$116,0)),0)</f>
        <v>0.0</v>
      </c>
      <c r="I51" s="53">
        <f>IFERROR(INDEX(Assumptions!$B$117:$I$117,MATCH(I$2,Assumptions!$B$116:$I$116,0))*INDEX(Assumptions!$B$118:$I$118,MATCH(I$2,Assumptions!$B$116:$I$116,0)),0)</f>
        <v>0.0</v>
      </c>
      <c r="J51" s="53">
        <f>IFERROR(INDEX(Assumptions!$B$117:$I$117,MATCH(J$2,Assumptions!$B$116:$I$116,0))*INDEX(Assumptions!$B$118:$I$118,MATCH(J$2,Assumptions!$B$116:$I$116,0)),0)</f>
        <v>0.0</v>
      </c>
      <c r="K51" s="53">
        <f>IFERROR(INDEX(Assumptions!$B$117:$I$117,MATCH(K$2,Assumptions!$B$116:$I$116,0))*INDEX(Assumptions!$B$118:$I$118,MATCH(K$2,Assumptions!$B$116:$I$116,0)),0)</f>
        <v>0</v>
      </c>
      <c r="L51" s="53">
        <f>IFERROR(INDEX(Assumptions!$B$117:$I$117,MATCH(L$2,Assumptions!$B$116:$I$116,0))*INDEX(Assumptions!$B$118:$I$118,MATCH(L$2,Assumptions!$B$116:$I$116,0)),0)</f>
        <v>0</v>
      </c>
      <c r="M51" s="53">
        <f>IFERROR(INDEX(Assumptions!$B$117:$I$117,MATCH(M$2,Assumptions!$B$116:$I$116,0))*INDEX(Assumptions!$B$118:$I$118,MATCH(M$2,Assumptions!$B$116:$I$116,0)),0)</f>
        <v>0</v>
      </c>
      <c r="N51" s="53">
        <f>IFERROR(INDEX(Assumptions!$B$117:$I$117,MATCH(N$2,Assumptions!$B$116:$I$116,0))*INDEX(Assumptions!$B$118:$I$118,MATCH(N$2,Assumptions!$B$116:$I$116,0)),0)</f>
        <v>0</v>
      </c>
      <c r="O51" s="53">
        <f>IFERROR(INDEX(Assumptions!$B$117:$I$117,MATCH(O$2,Assumptions!$B$116:$I$116,0))*INDEX(Assumptions!$B$118:$I$118,MATCH(O$2,Assumptions!$B$116:$I$116,0)),0)</f>
        <v>0</v>
      </c>
      <c r="P51" s="53">
        <f>IFERROR(INDEX(Assumptions!$B$117:$I$117,MATCH(P$2,Assumptions!$B$116:$I$116,0))*INDEX(Assumptions!$B$118:$I$118,MATCH(P$2,Assumptions!$B$116:$I$116,0)),0)</f>
        <v>0</v>
      </c>
      <c r="Q51" s="53">
        <f>IFERROR(INDEX(Assumptions!$B$117:$I$117,MATCH(Q$2,Assumptions!$B$116:$I$116,0))*INDEX(Assumptions!$B$118:$I$118,MATCH(Q$2,Assumptions!$B$116:$I$116,0)),0)</f>
        <v>0</v>
      </c>
      <c r="R51" s="53">
        <f>IFERROR(INDEX(Assumptions!$B$117:$I$117,MATCH(R$2,Assumptions!$B$116:$I$116,0))*INDEX(Assumptions!$B$118:$I$118,MATCH(R$2,Assumptions!$B$116:$I$116,0)),0)</f>
        <v>0</v>
      </c>
      <c r="S51" s="53">
        <f>IFERROR(INDEX(Assumptions!$B$117:$I$117,MATCH(S$2,Assumptions!$B$116:$I$116,0))*INDEX(Assumptions!$B$118:$I$118,MATCH(S$2,Assumptions!$B$116:$I$116,0)),0)</f>
        <v>0</v>
      </c>
      <c r="T51" s="53">
        <f>IFERROR(INDEX(Assumptions!$B$117:$I$117,MATCH(T$2,Assumptions!$B$116:$I$116,0))*INDEX(Assumptions!$B$118:$I$118,MATCH(T$2,Assumptions!$B$116:$I$116,0)),0)</f>
        <v>0</v>
      </c>
      <c r="U51" s="53">
        <f>IFERROR(INDEX(Assumptions!$B$117:$I$117,MATCH(U$2,Assumptions!$B$116:$I$116,0))*INDEX(Assumptions!$B$118:$I$118,MATCH(U$2,Assumptions!$B$116:$I$116,0)),0)</f>
        <v>0</v>
      </c>
      <c r="V51" s="53">
        <f>IFERROR(INDEX(Assumptions!$B$117:$I$117,MATCH(V$2,Assumptions!$B$116:$I$116,0))*INDEX(Assumptions!$B$118:$I$118,MATCH(V$2,Assumptions!$B$116:$I$116,0)),0)</f>
        <v>0</v>
      </c>
      <c r="W51" s="53">
        <f>IFERROR(INDEX(Assumptions!$B$117:$I$117,MATCH(W$2,Assumptions!$B$116:$I$116,0))*INDEX(Assumptions!$B$118:$I$118,MATCH(W$2,Assumptions!$B$116:$I$116,0)),0)</f>
        <v>0</v>
      </c>
      <c r="X51" s="53">
        <f>IFERROR(INDEX(Assumptions!$B$117:$I$117,MATCH(X$2,Assumptions!$B$116:$I$116,0))*INDEX(Assumptions!$B$118:$I$118,MATCH(X$2,Assumptions!$B$116:$I$116,0)),0)</f>
        <v>0</v>
      </c>
      <c r="Y51" s="53">
        <f>IFERROR(INDEX(Assumptions!$B$117:$I$117,MATCH(Y$2,Assumptions!$B$116:$I$116,0))*INDEX(Assumptions!$B$118:$I$118,MATCH(Y$2,Assumptions!$B$116:$I$116,0)),0)</f>
        <v>0</v>
      </c>
      <c r="Z51" s="53">
        <f>IFERROR(INDEX(Assumptions!$B$117:$I$117,MATCH(Z$2,Assumptions!$B$116:$I$116,0))*INDEX(Assumptions!$B$118:$I$118,MATCH(Z$2,Assumptions!$B$116:$I$116,0)),0)</f>
        <v>0</v>
      </c>
    </row>
    <row r="52">
      <c r="A52" s="22" t="inlineStr">
        <is>
          <t>Program contribution (pre-tax)</t>
        </is>
      </c>
      <c r="C52" s="57">
        <f>C48-C49-C50-C51</f>
        <v>-30.0</v>
      </c>
      <c r="D52" s="57">
        <f>D48-D49-D50-D51</f>
        <v>-50.0</v>
      </c>
      <c r="E52" s="57">
        <f>E48-E49-E50-E51</f>
        <v>-50.0</v>
      </c>
      <c r="F52" s="57">
        <f>F48-F49-F50-F51</f>
        <v>-18.75</v>
      </c>
      <c r="G52" s="57">
        <f>G48-G49-G50-G51</f>
        <v>1.1999999999999993</v>
      </c>
      <c r="H52" s="57">
        <f>H48-H49-H50-H51</f>
        <v>16.125</v>
      </c>
      <c r="I52" s="57">
        <f>I48-I49-I50-I51</f>
        <v>39.150000000000006</v>
      </c>
      <c r="J52" s="57">
        <f>J48-J49-J50-J51</f>
        <v>64.35</v>
      </c>
      <c r="K52" s="57">
        <f>K48-K49-K50-K51</f>
        <v>86.1</v>
      </c>
      <c r="L52" s="57">
        <f>L48-L49-L50-L51</f>
        <v>101.83500000000001</v>
      </c>
      <c r="M52" s="57">
        <f>M48-M49-M50-M51</f>
        <v>109.5</v>
      </c>
      <c r="N52" s="57">
        <f>N48-N49-N50-N51</f>
        <v>109.5</v>
      </c>
      <c r="O52" s="57">
        <f>O48-O49-O50-O51</f>
        <v>109.5</v>
      </c>
      <c r="P52" s="57">
        <f>P48-P49-P50-P51</f>
        <v>109.5</v>
      </c>
      <c r="Q52" s="57">
        <f>Q48-Q49-Q50-Q51</f>
        <v>109.5</v>
      </c>
      <c r="R52" s="57">
        <f>R48-R49-R50-R51</f>
        <v>109.5</v>
      </c>
      <c r="S52" s="57">
        <f>S48-S49-S50-S51</f>
        <v>43.8</v>
      </c>
      <c r="T52" s="57">
        <f>T48-T49-T50-T51</f>
        <v>17.52</v>
      </c>
      <c r="U52" s="57">
        <f>U48-U49-U50-U51</f>
        <v>7.007999999999999</v>
      </c>
      <c r="V52" s="57">
        <f>V48-V49-V50-V51</f>
        <v>2.8032</v>
      </c>
      <c r="W52" s="57">
        <f>W48-W49-W50-W51</f>
        <v>1.12128</v>
      </c>
      <c r="X52" s="57">
        <f>X48-X49-X50-X51</f>
        <v>0.44851200000000013</v>
      </c>
      <c r="Y52" s="57">
        <f>Y48-Y49-Y50-Y51</f>
        <v>0.17940480000000003</v>
      </c>
      <c r="Z52" s="57">
        <f>Z48-Z49-Z50-Z51</f>
        <v>0.07176192000000003</v>
      </c>
    </row>
    <row r="54">
      <c r="A54" s="30" t="inlineStr">
        <is>
          <t>Miricorilant — MASH (MONARCH Phase 2b, data YE26)</t>
        </is>
      </c>
    </row>
    <row r="55">
      <c r="A55" s="13" t="inlineStr">
        <is>
          <t>Years since launch</t>
        </is>
      </c>
      <c r="C55" s="64">
        <f>C$2-Assumptions!$B$121+1</f>
        <v>-3.0</v>
      </c>
      <c r="D55" s="64">
        <f>D$2-Assumptions!$B$121+1</f>
        <v>-2.0</v>
      </c>
      <c r="E55" s="64">
        <f>E$2-Assumptions!$B$121+1</f>
        <v>-1.0</v>
      </c>
      <c r="F55" s="64">
        <f>F$2-Assumptions!$B$121+1</f>
        <v>0.0</v>
      </c>
      <c r="G55" s="64">
        <f>G$2-Assumptions!$B$121+1</f>
        <v>1.0</v>
      </c>
      <c r="H55" s="64">
        <f>H$2-Assumptions!$B$121+1</f>
        <v>2.0</v>
      </c>
      <c r="I55" s="64">
        <f>I$2-Assumptions!$B$121+1</f>
        <v>3.0</v>
      </c>
      <c r="J55" s="64">
        <f>J$2-Assumptions!$B$121+1</f>
        <v>4.0</v>
      </c>
      <c r="K55" s="64">
        <f>K$2-Assumptions!$B$121+1</f>
        <v>5.0</v>
      </c>
      <c r="L55" s="64">
        <f>L$2-Assumptions!$B$121+1</f>
        <v>6.0</v>
      </c>
      <c r="M55" s="64">
        <f>M$2-Assumptions!$B$121+1</f>
        <v>7.0</v>
      </c>
      <c r="N55" s="64">
        <f>N$2-Assumptions!$B$121+1</f>
        <v>8.0</v>
      </c>
      <c r="O55" s="64">
        <f>O$2-Assumptions!$B$121+1</f>
        <v>9.0</v>
      </c>
      <c r="P55" s="64">
        <f>P$2-Assumptions!$B$121+1</f>
        <v>10.0</v>
      </c>
      <c r="Q55" s="64">
        <f>Q$2-Assumptions!$B$121+1</f>
        <v>11.0</v>
      </c>
      <c r="R55" s="64">
        <f>R$2-Assumptions!$B$121+1</f>
        <v>12.0</v>
      </c>
      <c r="S55" s="64">
        <f>S$2-Assumptions!$B$121+1</f>
        <v>13.0</v>
      </c>
      <c r="T55" s="64">
        <f>T$2-Assumptions!$B$121+1</f>
        <v>14.0</v>
      </c>
      <c r="U55" s="64">
        <f>U$2-Assumptions!$B$121+1</f>
        <v>15.0</v>
      </c>
      <c r="V55" s="64">
        <f>V$2-Assumptions!$B$121+1</f>
        <v>16.0</v>
      </c>
      <c r="W55" s="64">
        <f>W$2-Assumptions!$B$121+1</f>
        <v>17.0</v>
      </c>
      <c r="X55" s="64">
        <f>X$2-Assumptions!$B$121+1</f>
        <v>18.0</v>
      </c>
      <c r="Y55" s="64">
        <f>Y$2-Assumptions!$B$121+1</f>
        <v>19.0</v>
      </c>
      <c r="Z55" s="64">
        <f>Z$2-Assumptions!$B$121+1</f>
        <v>20.0</v>
      </c>
    </row>
    <row r="56">
      <c r="A56" s="13" t="inlineStr">
        <is>
          <t>Net sales, unrisked</t>
        </is>
      </c>
      <c r="C56" s="53">
        <f>IF(C$2&gt;Assumptions!$B$130,0*(1-Assumptions!$B$131),IF(C55&gt;=1,Assumptions!$B$122*CHOOSE(Assumptions!$B$129,INDEX(Assumptions!$B$42:$H$42,MIN(C55,7)),INDEX(Assumptions!$B$43:$H$43,MIN(C55,7))),0))</f>
        <v>0</v>
      </c>
      <c r="D56" s="53">
        <f>IF(D$2&gt;Assumptions!$B$130,C56*(1-Assumptions!$B$131),IF(D55&gt;=1,Assumptions!$B$122*CHOOSE(Assumptions!$B$129,INDEX(Assumptions!$B$42:$H$42,MIN(D55,7)),INDEX(Assumptions!$B$43:$H$43,MIN(D55,7))),0))</f>
        <v>0</v>
      </c>
      <c r="E56" s="53">
        <f>IF(E$2&gt;Assumptions!$B$130,D56*(1-Assumptions!$B$131),IF(E55&gt;=1,Assumptions!$B$122*CHOOSE(Assumptions!$B$129,INDEX(Assumptions!$B$42:$H$42,MIN(E55,7)),INDEX(Assumptions!$B$43:$H$43,MIN(E55,7))),0))</f>
        <v>0</v>
      </c>
      <c r="F56" s="53">
        <f>IF(F$2&gt;Assumptions!$B$130,E56*(1-Assumptions!$B$131),IF(F55&gt;=1,Assumptions!$B$122*CHOOSE(Assumptions!$B$129,INDEX(Assumptions!$B$42:$H$42,MIN(F55,7)),INDEX(Assumptions!$B$43:$H$43,MIN(F55,7))),0))</f>
        <v>0</v>
      </c>
      <c r="G56" s="53">
        <f>IF(G$2&gt;Assumptions!$B$130,F56*(1-Assumptions!$B$131),IF(G55&gt;=1,Assumptions!$B$122*CHOOSE(Assumptions!$B$129,INDEX(Assumptions!$B$42:$H$42,MIN(G55,7)),INDEX(Assumptions!$B$43:$H$43,MIN(G55,7))),0))</f>
        <v>200.0</v>
      </c>
      <c r="H56" s="53">
        <f>IF(H$2&gt;Assumptions!$B$130,G56*(1-Assumptions!$B$131),IF(H55&gt;=1,Assumptions!$B$122*CHOOSE(Assumptions!$B$129,INDEX(Assumptions!$B$42:$H$42,MIN(H55,7)),INDEX(Assumptions!$B$43:$H$43,MIN(H55,7))),0))</f>
        <v>500.0</v>
      </c>
      <c r="I56" s="53">
        <f>IF(I$2&gt;Assumptions!$B$130,H56*(1-Assumptions!$B$131),IF(I55&gt;=1,Assumptions!$B$122*CHOOSE(Assumptions!$B$129,INDEX(Assumptions!$B$42:$H$42,MIN(I55,7)),INDEX(Assumptions!$B$43:$H$43,MIN(I55,7))),0))</f>
        <v>900.0</v>
      </c>
      <c r="J56" s="53">
        <f>IF(J$2&gt;Assumptions!$B$130,I56*(1-Assumptions!$B$131),IF(J55&gt;=1,Assumptions!$B$122*CHOOSE(Assumptions!$B$129,INDEX(Assumptions!$B$42:$H$42,MIN(J55,7)),INDEX(Assumptions!$B$43:$H$43,MIN(J55,7))),0))</f>
        <v>1300.0</v>
      </c>
      <c r="K56" s="53">
        <f>IF(K$2&gt;Assumptions!$B$130,J56*(1-Assumptions!$B$131),IF(K55&gt;=1,Assumptions!$B$122*CHOOSE(Assumptions!$B$129,INDEX(Assumptions!$B$42:$H$42,MIN(K55,7)),INDEX(Assumptions!$B$43:$H$43,MIN(K55,7))),0))</f>
        <v>1640.0</v>
      </c>
      <c r="L56" s="53">
        <f>IF(L$2&gt;Assumptions!$B$130,K56*(1-Assumptions!$B$131),IF(L55&gt;=1,Assumptions!$B$122*CHOOSE(Assumptions!$B$129,INDEX(Assumptions!$B$42:$H$42,MIN(L55,7)),INDEX(Assumptions!$B$43:$H$43,MIN(L55,7))),0))</f>
        <v>1860.0</v>
      </c>
      <c r="M56" s="53">
        <f>IF(M$2&gt;Assumptions!$B$130,L56*(1-Assumptions!$B$131),IF(M55&gt;=1,Assumptions!$B$122*CHOOSE(Assumptions!$B$129,INDEX(Assumptions!$B$42:$H$42,MIN(M55,7)),INDEX(Assumptions!$B$43:$H$43,MIN(M55,7))),0))</f>
        <v>2000.0</v>
      </c>
      <c r="N56" s="53">
        <f>IF(N$2&gt;Assumptions!$B$130,M56*(1-Assumptions!$B$131),IF(N55&gt;=1,Assumptions!$B$122*CHOOSE(Assumptions!$B$129,INDEX(Assumptions!$B$42:$H$42,MIN(N55,7)),INDEX(Assumptions!$B$43:$H$43,MIN(N55,7))),0))</f>
        <v>2000.0</v>
      </c>
      <c r="O56" s="53">
        <f>IF(O$2&gt;Assumptions!$B$130,N56*(1-Assumptions!$B$131),IF(O55&gt;=1,Assumptions!$B$122*CHOOSE(Assumptions!$B$129,INDEX(Assumptions!$B$42:$H$42,MIN(O55,7)),INDEX(Assumptions!$B$43:$H$43,MIN(O55,7))),0))</f>
        <v>2000.0</v>
      </c>
      <c r="P56" s="53">
        <f>IF(P$2&gt;Assumptions!$B$130,O56*(1-Assumptions!$B$131),IF(P55&gt;=1,Assumptions!$B$122*CHOOSE(Assumptions!$B$129,INDEX(Assumptions!$B$42:$H$42,MIN(P55,7)),INDEX(Assumptions!$B$43:$H$43,MIN(P55,7))),0))</f>
        <v>2000.0</v>
      </c>
      <c r="Q56" s="53">
        <f>IF(Q$2&gt;Assumptions!$B$130,P56*(1-Assumptions!$B$131),IF(Q55&gt;=1,Assumptions!$B$122*CHOOSE(Assumptions!$B$129,INDEX(Assumptions!$B$42:$H$42,MIN(Q55,7)),INDEX(Assumptions!$B$43:$H$43,MIN(Q55,7))),0))</f>
        <v>2000.0</v>
      </c>
      <c r="R56" s="53">
        <f>IF(R$2&gt;Assumptions!$B$130,Q56*(1-Assumptions!$B$131),IF(R55&gt;=1,Assumptions!$B$122*CHOOSE(Assumptions!$B$129,INDEX(Assumptions!$B$42:$H$42,MIN(R55,7)),INDEX(Assumptions!$B$43:$H$43,MIN(R55,7))),0))</f>
        <v>2000.0</v>
      </c>
      <c r="S56" s="53">
        <f>IF(S$2&gt;Assumptions!$B$130,R56*(1-Assumptions!$B$131),IF(S55&gt;=1,Assumptions!$B$122*CHOOSE(Assumptions!$B$129,INDEX(Assumptions!$B$42:$H$42,MIN(S55,7)),INDEX(Assumptions!$B$43:$H$43,MIN(S55,7))),0))</f>
        <v>800.0</v>
      </c>
      <c r="T56" s="53">
        <f>IF(T$2&gt;Assumptions!$B$130,S56*(1-Assumptions!$B$131),IF(T55&gt;=1,Assumptions!$B$122*CHOOSE(Assumptions!$B$129,INDEX(Assumptions!$B$42:$H$42,MIN(T55,7)),INDEX(Assumptions!$B$43:$H$43,MIN(T55,7))),0))</f>
        <v>320.0</v>
      </c>
      <c r="U56" s="53">
        <f>IF(U$2&gt;Assumptions!$B$130,T56*(1-Assumptions!$B$131),IF(U55&gt;=1,Assumptions!$B$122*CHOOSE(Assumptions!$B$129,INDEX(Assumptions!$B$42:$H$42,MIN(U55,7)),INDEX(Assumptions!$B$43:$H$43,MIN(U55,7))),0))</f>
        <v>128.0</v>
      </c>
      <c r="V56" s="53">
        <f>IF(V$2&gt;Assumptions!$B$130,U56*(1-Assumptions!$B$131),IF(V55&gt;=1,Assumptions!$B$122*CHOOSE(Assumptions!$B$129,INDEX(Assumptions!$B$42:$H$42,MIN(V55,7)),INDEX(Assumptions!$B$43:$H$43,MIN(V55,7))),0))</f>
        <v>51.2</v>
      </c>
      <c r="W56" s="53">
        <f>IF(W$2&gt;Assumptions!$B$130,V56*(1-Assumptions!$B$131),IF(W55&gt;=1,Assumptions!$B$122*CHOOSE(Assumptions!$B$129,INDEX(Assumptions!$B$42:$H$42,MIN(W55,7)),INDEX(Assumptions!$B$43:$H$43,MIN(W55,7))),0))</f>
        <v>20.480000000000004</v>
      </c>
      <c r="X56" s="53">
        <f>IF(X$2&gt;Assumptions!$B$130,W56*(1-Assumptions!$B$131),IF(X55&gt;=1,Assumptions!$B$122*CHOOSE(Assumptions!$B$129,INDEX(Assumptions!$B$42:$H$42,MIN(X55,7)),INDEX(Assumptions!$B$43:$H$43,MIN(X55,7))),0))</f>
        <v>8.192000000000002</v>
      </c>
      <c r="Y56" s="53">
        <f>IF(Y$2&gt;Assumptions!$B$130,X56*(1-Assumptions!$B$131),IF(Y55&gt;=1,Assumptions!$B$122*CHOOSE(Assumptions!$B$129,INDEX(Assumptions!$B$42:$H$42,MIN(Y55,7)),INDEX(Assumptions!$B$43:$H$43,MIN(Y55,7))),0))</f>
        <v>3.276800000000001</v>
      </c>
      <c r="Z56" s="53">
        <f>IF(Z$2&gt;Assumptions!$B$130,Y56*(1-Assumptions!$B$131),IF(Z55&gt;=1,Assumptions!$B$122*CHOOSE(Assumptions!$B$129,INDEX(Assumptions!$B$42:$H$42,MIN(Z55,7)),INDEX(Assumptions!$B$43:$H$43,MIN(Z55,7))),0))</f>
        <v>1.3107200000000006</v>
      </c>
    </row>
    <row r="57">
      <c r="A57" s="13" t="inlineStr">
        <is>
          <t>Product net sales, risk-adjusted</t>
        </is>
      </c>
      <c r="C57" s="53">
        <f>C56*MIN(1,Assumptions!$B$123*Assumptions!$B$37)</f>
        <v>0.0</v>
      </c>
      <c r="D57" s="53">
        <f>D56*MIN(1,Assumptions!$B$123*Assumptions!$B$37)</f>
        <v>0.0</v>
      </c>
      <c r="E57" s="53">
        <f>E56*MIN(1,Assumptions!$B$123*Assumptions!$B$37)</f>
        <v>0.0</v>
      </c>
      <c r="F57" s="53">
        <f>F56*MIN(1,Assumptions!$B$123*Assumptions!$B$37)</f>
        <v>0.0</v>
      </c>
      <c r="G57" s="53">
        <f>G56*MIN(1,Assumptions!$B$123*Assumptions!$B$37)</f>
        <v>16.0</v>
      </c>
      <c r="H57" s="53">
        <f>H56*MIN(1,Assumptions!$B$123*Assumptions!$B$37)</f>
        <v>40.0</v>
      </c>
      <c r="I57" s="53">
        <f>I56*MIN(1,Assumptions!$B$123*Assumptions!$B$37)</f>
        <v>72.0</v>
      </c>
      <c r="J57" s="53">
        <f>J56*MIN(1,Assumptions!$B$123*Assumptions!$B$37)</f>
        <v>104.0</v>
      </c>
      <c r="K57" s="53">
        <f>K56*MIN(1,Assumptions!$B$123*Assumptions!$B$37)</f>
        <v>131.2</v>
      </c>
      <c r="L57" s="53">
        <f>L56*MIN(1,Assumptions!$B$123*Assumptions!$B$37)</f>
        <v>148.8</v>
      </c>
      <c r="M57" s="53">
        <f>M56*MIN(1,Assumptions!$B$123*Assumptions!$B$37)</f>
        <v>160.0</v>
      </c>
      <c r="N57" s="53">
        <f>N56*MIN(1,Assumptions!$B$123*Assumptions!$B$37)</f>
        <v>160.0</v>
      </c>
      <c r="O57" s="53">
        <f>O56*MIN(1,Assumptions!$B$123*Assumptions!$B$37)</f>
        <v>160.0</v>
      </c>
      <c r="P57" s="53">
        <f>P56*MIN(1,Assumptions!$B$123*Assumptions!$B$37)</f>
        <v>160.0</v>
      </c>
      <c r="Q57" s="53">
        <f>Q56*MIN(1,Assumptions!$B$123*Assumptions!$B$37)</f>
        <v>160.0</v>
      </c>
      <c r="R57" s="53">
        <f>R56*MIN(1,Assumptions!$B$123*Assumptions!$B$37)</f>
        <v>160.0</v>
      </c>
      <c r="S57" s="53">
        <f>S56*MIN(1,Assumptions!$B$123*Assumptions!$B$37)</f>
        <v>64.0</v>
      </c>
      <c r="T57" s="53">
        <f>T56*MIN(1,Assumptions!$B$123*Assumptions!$B$37)</f>
        <v>25.6</v>
      </c>
      <c r="U57" s="53">
        <f>U56*MIN(1,Assumptions!$B$123*Assumptions!$B$37)</f>
        <v>10.24</v>
      </c>
      <c r="V57" s="53">
        <f>V56*MIN(1,Assumptions!$B$123*Assumptions!$B$37)</f>
        <v>4.096</v>
      </c>
      <c r="W57" s="53">
        <f>W56*MIN(1,Assumptions!$B$123*Assumptions!$B$37)</f>
        <v>1.6384000000000003</v>
      </c>
      <c r="X57" s="53">
        <f>X56*MIN(1,Assumptions!$B$123*Assumptions!$B$37)</f>
        <v>0.6553600000000002</v>
      </c>
      <c r="Y57" s="53">
        <f>Y56*MIN(1,Assumptions!$B$123*Assumptions!$B$37)</f>
        <v>0.2621440000000001</v>
      </c>
      <c r="Z57" s="53">
        <f>Z56*MIN(1,Assumptions!$B$123*Assumptions!$B$37)</f>
        <v>0.10485760000000005</v>
      </c>
    </row>
    <row r="58">
      <c r="A58" s="13" t="inlineStr">
        <is>
          <t>Company revenue, risk-adjusted (incl. milestones)</t>
        </is>
      </c>
      <c r="C58" s="53">
        <f>C57*Assumptions!$B$124</f>
        <v>0.0</v>
      </c>
      <c r="D58" s="53">
        <f>D57*Assumptions!$B$124</f>
        <v>0.0</v>
      </c>
      <c r="E58" s="53">
        <f>E57*Assumptions!$B$124</f>
        <v>0.0</v>
      </c>
      <c r="F58" s="53">
        <f>F57*Assumptions!$B$124</f>
        <v>0.0</v>
      </c>
      <c r="G58" s="53">
        <f>G57*Assumptions!$B$124</f>
        <v>16.0</v>
      </c>
      <c r="H58" s="53">
        <f>H57*Assumptions!$B$124</f>
        <v>40.0</v>
      </c>
      <c r="I58" s="53">
        <f>I57*Assumptions!$B$124</f>
        <v>72.0</v>
      </c>
      <c r="J58" s="53">
        <f>J57*Assumptions!$B$124</f>
        <v>104.0</v>
      </c>
      <c r="K58" s="53">
        <f>K57*Assumptions!$B$124</f>
        <v>131.2</v>
      </c>
      <c r="L58" s="53">
        <f>L57*Assumptions!$B$124</f>
        <v>148.8</v>
      </c>
      <c r="M58" s="53">
        <f>M57*Assumptions!$B$124</f>
        <v>160.0</v>
      </c>
      <c r="N58" s="53">
        <f>N57*Assumptions!$B$124</f>
        <v>160.0</v>
      </c>
      <c r="O58" s="53">
        <f>O57*Assumptions!$B$124</f>
        <v>160.0</v>
      </c>
      <c r="P58" s="53">
        <f>P57*Assumptions!$B$124</f>
        <v>160.0</v>
      </c>
      <c r="Q58" s="53">
        <f>Q57*Assumptions!$B$124</f>
        <v>160.0</v>
      </c>
      <c r="R58" s="53">
        <f>R57*Assumptions!$B$124</f>
        <v>160.0</v>
      </c>
      <c r="S58" s="53">
        <f>S57*Assumptions!$B$124</f>
        <v>64.0</v>
      </c>
      <c r="T58" s="53">
        <f>T57*Assumptions!$B$124</f>
        <v>25.6</v>
      </c>
      <c r="U58" s="53">
        <f>U57*Assumptions!$B$124</f>
        <v>10.24</v>
      </c>
      <c r="V58" s="53">
        <f>V57*Assumptions!$B$124</f>
        <v>4.096</v>
      </c>
      <c r="W58" s="53">
        <f>W57*Assumptions!$B$124</f>
        <v>1.6384000000000003</v>
      </c>
      <c r="X58" s="53">
        <f>X57*Assumptions!$B$124</f>
        <v>0.6553600000000002</v>
      </c>
      <c r="Y58" s="53">
        <f>Y57*Assumptions!$B$124</f>
        <v>0.2621440000000001</v>
      </c>
      <c r="Z58" s="53">
        <f>Z57*Assumptions!$B$124</f>
        <v>0.10485760000000005</v>
      </c>
    </row>
    <row r="59">
      <c r="A59" s="13" t="inlineStr">
        <is>
          <t>COGS + royalties, risk-adjusted</t>
        </is>
      </c>
      <c r="C59" s="53">
        <f>C57*(Assumptions!$B$125+Assumptions!$B$126)</f>
        <v>0.0</v>
      </c>
      <c r="D59" s="53">
        <f>D57*(Assumptions!$B$125+Assumptions!$B$126)</f>
        <v>0.0</v>
      </c>
      <c r="E59" s="53">
        <f>E57*(Assumptions!$B$125+Assumptions!$B$126)</f>
        <v>0.0</v>
      </c>
      <c r="F59" s="53">
        <f>F57*(Assumptions!$B$125+Assumptions!$B$126)</f>
        <v>0.0</v>
      </c>
      <c r="G59" s="53">
        <f>G57*(Assumptions!$B$125+Assumptions!$B$126)</f>
        <v>0.32</v>
      </c>
      <c r="H59" s="53">
        <f>H57*(Assumptions!$B$125+Assumptions!$B$126)</f>
        <v>0.8</v>
      </c>
      <c r="I59" s="53">
        <f>I57*(Assumptions!$B$125+Assumptions!$B$126)</f>
        <v>1.44</v>
      </c>
      <c r="J59" s="53">
        <f>J57*(Assumptions!$B$125+Assumptions!$B$126)</f>
        <v>2.08</v>
      </c>
      <c r="K59" s="53">
        <f>K57*(Assumptions!$B$125+Assumptions!$B$126)</f>
        <v>2.6239999999999997</v>
      </c>
      <c r="L59" s="53">
        <f>L57*(Assumptions!$B$125+Assumptions!$B$126)</f>
        <v>2.9760000000000004</v>
      </c>
      <c r="M59" s="53">
        <f>M57*(Assumptions!$B$125+Assumptions!$B$126)</f>
        <v>3.2</v>
      </c>
      <c r="N59" s="53">
        <f>N57*(Assumptions!$B$125+Assumptions!$B$126)</f>
        <v>3.2</v>
      </c>
      <c r="O59" s="53">
        <f>O57*(Assumptions!$B$125+Assumptions!$B$126)</f>
        <v>3.2</v>
      </c>
      <c r="P59" s="53">
        <f>P57*(Assumptions!$B$125+Assumptions!$B$126)</f>
        <v>3.2</v>
      </c>
      <c r="Q59" s="53">
        <f>Q57*(Assumptions!$B$125+Assumptions!$B$126)</f>
        <v>3.2</v>
      </c>
      <c r="R59" s="53">
        <f>R57*(Assumptions!$B$125+Assumptions!$B$126)</f>
        <v>3.2</v>
      </c>
      <c r="S59" s="53">
        <f>S57*(Assumptions!$B$125+Assumptions!$B$126)</f>
        <v>1.28</v>
      </c>
      <c r="T59" s="53">
        <f>T57*(Assumptions!$B$125+Assumptions!$B$126)</f>
        <v>0.512</v>
      </c>
      <c r="U59" s="53">
        <f>U57*(Assumptions!$B$125+Assumptions!$B$126)</f>
        <v>0.2048</v>
      </c>
      <c r="V59" s="53">
        <f>V57*(Assumptions!$B$125+Assumptions!$B$126)</f>
        <v>0.08192</v>
      </c>
      <c r="W59" s="53">
        <f>W57*(Assumptions!$B$125+Assumptions!$B$126)</f>
        <v>0.032768000000000005</v>
      </c>
      <c r="X59" s="53">
        <f>X57*(Assumptions!$B$125+Assumptions!$B$126)</f>
        <v>0.013107200000000003</v>
      </c>
      <c r="Y59" s="53">
        <f>Y57*(Assumptions!$B$125+Assumptions!$B$126)</f>
        <v>0.005242880000000002</v>
      </c>
      <c r="Z59" s="53">
        <f>Z57*(Assumptions!$B$125+Assumptions!$B$126)</f>
        <v>0.002097152000000001</v>
      </c>
    </row>
    <row r="60">
      <c r="A60" s="13" t="inlineStr">
        <is>
          <t>Commercial SG&amp;A, risk-adjusted</t>
        </is>
      </c>
      <c r="C60" s="53">
        <f>MIN(1,Assumptions!$B$123*Assumptions!$B$37)*IF(Assumptions!$B$127=0,0,IF(C55=0,Assumptions!$B$128,IF(C55&gt;=1,C56*IF(OR(Assumptions!$B$124&lt;1,C55&gt;5),Assumptions!$B$127,MAX(Assumptions!$B$127,INDEX(Assumptions!$B$44:$F$44,C55))),0)))</f>
        <v>0.0</v>
      </c>
      <c r="D60" s="53">
        <f>MIN(1,Assumptions!$B$123*Assumptions!$B$37)*IF(Assumptions!$B$127=0,0,IF(D55=0,Assumptions!$B$128,IF(D55&gt;=1,D56*IF(OR(Assumptions!$B$124&lt;1,D55&gt;5),Assumptions!$B$127,MAX(Assumptions!$B$127,INDEX(Assumptions!$B$44:$F$44,D55))),0)))</f>
        <v>0.0</v>
      </c>
      <c r="E60" s="53">
        <f>MIN(1,Assumptions!$B$123*Assumptions!$B$37)*IF(Assumptions!$B$127=0,0,IF(E55=0,Assumptions!$B$128,IF(E55&gt;=1,E56*IF(OR(Assumptions!$B$124&lt;1,E55&gt;5),Assumptions!$B$127,MAX(Assumptions!$B$127,INDEX(Assumptions!$B$44:$F$44,E55))),0)))</f>
        <v>0.0</v>
      </c>
      <c r="F60" s="53">
        <f>MIN(1,Assumptions!$B$123*Assumptions!$B$37)*IF(Assumptions!$B$127=0,0,IF(F55=0,Assumptions!$B$128,IF(F55&gt;=1,F56*IF(OR(Assumptions!$B$124&lt;1,F55&gt;5),Assumptions!$B$127,MAX(Assumptions!$B$127,INDEX(Assumptions!$B$44:$F$44,F55))),0)))</f>
        <v>2.4</v>
      </c>
      <c r="G60" s="53">
        <f>MIN(1,Assumptions!$B$123*Assumptions!$B$37)*IF(Assumptions!$B$127=0,0,IF(G55=0,Assumptions!$B$128,IF(G55&gt;=1,G56*IF(OR(Assumptions!$B$124&lt;1,G55&gt;5),Assumptions!$B$127,MAX(Assumptions!$B$127,INDEX(Assumptions!$B$44:$F$44,G55))),0)))</f>
        <v>14.4</v>
      </c>
      <c r="H60" s="53">
        <f>MIN(1,Assumptions!$B$123*Assumptions!$B$37)*IF(Assumptions!$B$127=0,0,IF(H55=0,Assumptions!$B$128,IF(H55&gt;=1,H56*IF(OR(Assumptions!$B$124&lt;1,H55&gt;5),Assumptions!$B$127,MAX(Assumptions!$B$127,INDEX(Assumptions!$B$44:$F$44,H55))),0)))</f>
        <v>22.0</v>
      </c>
      <c r="I60" s="53">
        <f>MIN(1,Assumptions!$B$123*Assumptions!$B$37)*IF(Assumptions!$B$127=0,0,IF(I55=0,Assumptions!$B$128,IF(I55&gt;=1,I56*IF(OR(Assumptions!$B$124&lt;1,I55&gt;5),Assumptions!$B$127,MAX(Assumptions!$B$127,INDEX(Assumptions!$B$44:$F$44,I55))),0)))</f>
        <v>28.8</v>
      </c>
      <c r="J60" s="53">
        <f>MIN(1,Assumptions!$B$123*Assumptions!$B$37)*IF(Assumptions!$B$127=0,0,IF(J55=0,Assumptions!$B$128,IF(J55&gt;=1,J56*IF(OR(Assumptions!$B$124&lt;1,J55&gt;5),Assumptions!$B$127,MAX(Assumptions!$B$127,INDEX(Assumptions!$B$44:$F$44,J55))),0)))</f>
        <v>33.28</v>
      </c>
      <c r="K60" s="53">
        <f>MIN(1,Assumptions!$B$123*Assumptions!$B$37)*IF(Assumptions!$B$127=0,0,IF(K55=0,Assumptions!$B$128,IF(K55&gt;=1,K56*IF(OR(Assumptions!$B$124&lt;1,K55&gt;5),Assumptions!$B$127,MAX(Assumptions!$B$127,INDEX(Assumptions!$B$44:$F$44,K55))),0)))</f>
        <v>36.736000000000004</v>
      </c>
      <c r="L60" s="53">
        <f>MIN(1,Assumptions!$B$123*Assumptions!$B$37)*IF(Assumptions!$B$127=0,0,IF(L55=0,Assumptions!$B$128,IF(L55&gt;=1,L56*IF(OR(Assumptions!$B$124&lt;1,L55&gt;5),Assumptions!$B$127,MAX(Assumptions!$B$127,INDEX(Assumptions!$B$44:$F$44,L55))),0)))</f>
        <v>37.2</v>
      </c>
      <c r="M60" s="53">
        <f>MIN(1,Assumptions!$B$123*Assumptions!$B$37)*IF(Assumptions!$B$127=0,0,IF(M55=0,Assumptions!$B$128,IF(M55&gt;=1,M56*IF(OR(Assumptions!$B$124&lt;1,M55&gt;5),Assumptions!$B$127,MAX(Assumptions!$B$127,INDEX(Assumptions!$B$44:$F$44,M55))),0)))</f>
        <v>40.0</v>
      </c>
      <c r="N60" s="53">
        <f>MIN(1,Assumptions!$B$123*Assumptions!$B$37)*IF(Assumptions!$B$127=0,0,IF(N55=0,Assumptions!$B$128,IF(N55&gt;=1,N56*IF(OR(Assumptions!$B$124&lt;1,N55&gt;5),Assumptions!$B$127,MAX(Assumptions!$B$127,INDEX(Assumptions!$B$44:$F$44,N55))),0)))</f>
        <v>40.0</v>
      </c>
      <c r="O60" s="53">
        <f>MIN(1,Assumptions!$B$123*Assumptions!$B$37)*IF(Assumptions!$B$127=0,0,IF(O55=0,Assumptions!$B$128,IF(O55&gt;=1,O56*IF(OR(Assumptions!$B$124&lt;1,O55&gt;5),Assumptions!$B$127,MAX(Assumptions!$B$127,INDEX(Assumptions!$B$44:$F$44,O55))),0)))</f>
        <v>40.0</v>
      </c>
      <c r="P60" s="53">
        <f>MIN(1,Assumptions!$B$123*Assumptions!$B$37)*IF(Assumptions!$B$127=0,0,IF(P55=0,Assumptions!$B$128,IF(P55&gt;=1,P56*IF(OR(Assumptions!$B$124&lt;1,P55&gt;5),Assumptions!$B$127,MAX(Assumptions!$B$127,INDEX(Assumptions!$B$44:$F$44,P55))),0)))</f>
        <v>40.0</v>
      </c>
      <c r="Q60" s="53">
        <f>MIN(1,Assumptions!$B$123*Assumptions!$B$37)*IF(Assumptions!$B$127=0,0,IF(Q55=0,Assumptions!$B$128,IF(Q55&gt;=1,Q56*IF(OR(Assumptions!$B$124&lt;1,Q55&gt;5),Assumptions!$B$127,MAX(Assumptions!$B$127,INDEX(Assumptions!$B$44:$F$44,Q55))),0)))</f>
        <v>40.0</v>
      </c>
      <c r="R60" s="53">
        <f>MIN(1,Assumptions!$B$123*Assumptions!$B$37)*IF(Assumptions!$B$127=0,0,IF(R55=0,Assumptions!$B$128,IF(R55&gt;=1,R56*IF(OR(Assumptions!$B$124&lt;1,R55&gt;5),Assumptions!$B$127,MAX(Assumptions!$B$127,INDEX(Assumptions!$B$44:$F$44,R55))),0)))</f>
        <v>40.0</v>
      </c>
      <c r="S60" s="53">
        <f>MIN(1,Assumptions!$B$123*Assumptions!$B$37)*IF(Assumptions!$B$127=0,0,IF(S55=0,Assumptions!$B$128,IF(S55&gt;=1,S56*IF(OR(Assumptions!$B$124&lt;1,S55&gt;5),Assumptions!$B$127,MAX(Assumptions!$B$127,INDEX(Assumptions!$B$44:$F$44,S55))),0)))</f>
        <v>16.0</v>
      </c>
      <c r="T60" s="53">
        <f>MIN(1,Assumptions!$B$123*Assumptions!$B$37)*IF(Assumptions!$B$127=0,0,IF(T55=0,Assumptions!$B$128,IF(T55&gt;=1,T56*IF(OR(Assumptions!$B$124&lt;1,T55&gt;5),Assumptions!$B$127,MAX(Assumptions!$B$127,INDEX(Assumptions!$B$44:$F$44,T55))),0)))</f>
        <v>6.4</v>
      </c>
      <c r="U60" s="53">
        <f>MIN(1,Assumptions!$B$123*Assumptions!$B$37)*IF(Assumptions!$B$127=0,0,IF(U55=0,Assumptions!$B$128,IF(U55&gt;=1,U56*IF(OR(Assumptions!$B$124&lt;1,U55&gt;5),Assumptions!$B$127,MAX(Assumptions!$B$127,INDEX(Assumptions!$B$44:$F$44,U55))),0)))</f>
        <v>2.56</v>
      </c>
      <c r="V60" s="53">
        <f>MIN(1,Assumptions!$B$123*Assumptions!$B$37)*IF(Assumptions!$B$127=0,0,IF(V55=0,Assumptions!$B$128,IF(V55&gt;=1,V56*IF(OR(Assumptions!$B$124&lt;1,V55&gt;5),Assumptions!$B$127,MAX(Assumptions!$B$127,INDEX(Assumptions!$B$44:$F$44,V55))),0)))</f>
        <v>1.024</v>
      </c>
      <c r="W60" s="53">
        <f>MIN(1,Assumptions!$B$123*Assumptions!$B$37)*IF(Assumptions!$B$127=0,0,IF(W55=0,Assumptions!$B$128,IF(W55&gt;=1,W56*IF(OR(Assumptions!$B$124&lt;1,W55&gt;5),Assumptions!$B$127,MAX(Assumptions!$B$127,INDEX(Assumptions!$B$44:$F$44,W55))),0)))</f>
        <v>0.4096000000000001</v>
      </c>
      <c r="X60" s="53">
        <f>MIN(1,Assumptions!$B$123*Assumptions!$B$37)*IF(Assumptions!$B$127=0,0,IF(X55=0,Assumptions!$B$128,IF(X55&gt;=1,X56*IF(OR(Assumptions!$B$124&lt;1,X55&gt;5),Assumptions!$B$127,MAX(Assumptions!$B$127,INDEX(Assumptions!$B$44:$F$44,X55))),0)))</f>
        <v>0.16384000000000004</v>
      </c>
      <c r="Y60" s="53">
        <f>MIN(1,Assumptions!$B$123*Assumptions!$B$37)*IF(Assumptions!$B$127=0,0,IF(Y55=0,Assumptions!$B$128,IF(Y55&gt;=1,Y56*IF(OR(Assumptions!$B$124&lt;1,Y55&gt;5),Assumptions!$B$127,MAX(Assumptions!$B$127,INDEX(Assumptions!$B$44:$F$44,Y55))),0)))</f>
        <v>0.06553600000000002</v>
      </c>
      <c r="Z60" s="53">
        <f>MIN(1,Assumptions!$B$123*Assumptions!$B$37)*IF(Assumptions!$B$127=0,0,IF(Z55=0,Assumptions!$B$128,IF(Z55&gt;=1,Z56*IF(OR(Assumptions!$B$124&lt;1,Z55&gt;5),Assumptions!$B$127,MAX(Assumptions!$B$127,INDEX(Assumptions!$B$44:$F$44,Z55))),0)))</f>
        <v>0.026214400000000013</v>
      </c>
    </row>
    <row r="61">
      <c r="A61" s="13" t="inlineStr">
        <is>
          <t>Development R&amp;D, risk-adjusted</t>
        </is>
      </c>
      <c r="C61" s="53">
        <f>IFERROR(INDEX(Assumptions!$B$133:$I$133,MATCH(C$2,Assumptions!$B$132:$I$132,0))*INDEX(Assumptions!$B$134:$I$134,MATCH(C$2,Assumptions!$B$132:$I$132,0)),0)</f>
        <v>10.0</v>
      </c>
      <c r="D61" s="53">
        <f>IFERROR(INDEX(Assumptions!$B$133:$I$133,MATCH(D$2,Assumptions!$B$132:$I$132,0))*INDEX(Assumptions!$B$134:$I$134,MATCH(D$2,Assumptions!$B$132:$I$132,0)),0)</f>
        <v>21.0</v>
      </c>
      <c r="E61" s="53">
        <f>IFERROR(INDEX(Assumptions!$B$133:$I$133,MATCH(E$2,Assumptions!$B$132:$I$132,0))*INDEX(Assumptions!$B$134:$I$134,MATCH(E$2,Assumptions!$B$132:$I$132,0)),0)</f>
        <v>21.0</v>
      </c>
      <c r="F61" s="53">
        <f>IFERROR(INDEX(Assumptions!$B$133:$I$133,MATCH(F$2,Assumptions!$B$132:$I$132,0))*INDEX(Assumptions!$B$134:$I$134,MATCH(F$2,Assumptions!$B$132:$I$132,0)),0)</f>
        <v>21.0</v>
      </c>
      <c r="G61" s="53">
        <f>IFERROR(INDEX(Assumptions!$B$133:$I$133,MATCH(G$2,Assumptions!$B$132:$I$132,0))*INDEX(Assumptions!$B$134:$I$134,MATCH(G$2,Assumptions!$B$132:$I$132,0)),0)</f>
        <v>0.0</v>
      </c>
      <c r="H61" s="53">
        <f>IFERROR(INDEX(Assumptions!$B$133:$I$133,MATCH(H$2,Assumptions!$B$132:$I$132,0))*INDEX(Assumptions!$B$134:$I$134,MATCH(H$2,Assumptions!$B$132:$I$132,0)),0)</f>
        <v>0.0</v>
      </c>
      <c r="I61" s="53">
        <f>IFERROR(INDEX(Assumptions!$B$133:$I$133,MATCH(I$2,Assumptions!$B$132:$I$132,0))*INDEX(Assumptions!$B$134:$I$134,MATCH(I$2,Assumptions!$B$132:$I$132,0)),0)</f>
        <v>0.0</v>
      </c>
      <c r="J61" s="53">
        <f>IFERROR(INDEX(Assumptions!$B$133:$I$133,MATCH(J$2,Assumptions!$B$132:$I$132,0))*INDEX(Assumptions!$B$134:$I$134,MATCH(J$2,Assumptions!$B$132:$I$132,0)),0)</f>
        <v>0.0</v>
      </c>
      <c r="K61" s="53">
        <f>IFERROR(INDEX(Assumptions!$B$133:$I$133,MATCH(K$2,Assumptions!$B$132:$I$132,0))*INDEX(Assumptions!$B$134:$I$134,MATCH(K$2,Assumptions!$B$132:$I$132,0)),0)</f>
        <v>0</v>
      </c>
      <c r="L61" s="53">
        <f>IFERROR(INDEX(Assumptions!$B$133:$I$133,MATCH(L$2,Assumptions!$B$132:$I$132,0))*INDEX(Assumptions!$B$134:$I$134,MATCH(L$2,Assumptions!$B$132:$I$132,0)),0)</f>
        <v>0</v>
      </c>
      <c r="M61" s="53">
        <f>IFERROR(INDEX(Assumptions!$B$133:$I$133,MATCH(M$2,Assumptions!$B$132:$I$132,0))*INDEX(Assumptions!$B$134:$I$134,MATCH(M$2,Assumptions!$B$132:$I$132,0)),0)</f>
        <v>0</v>
      </c>
      <c r="N61" s="53">
        <f>IFERROR(INDEX(Assumptions!$B$133:$I$133,MATCH(N$2,Assumptions!$B$132:$I$132,0))*INDEX(Assumptions!$B$134:$I$134,MATCH(N$2,Assumptions!$B$132:$I$132,0)),0)</f>
        <v>0</v>
      </c>
      <c r="O61" s="53">
        <f>IFERROR(INDEX(Assumptions!$B$133:$I$133,MATCH(O$2,Assumptions!$B$132:$I$132,0))*INDEX(Assumptions!$B$134:$I$134,MATCH(O$2,Assumptions!$B$132:$I$132,0)),0)</f>
        <v>0</v>
      </c>
      <c r="P61" s="53">
        <f>IFERROR(INDEX(Assumptions!$B$133:$I$133,MATCH(P$2,Assumptions!$B$132:$I$132,0))*INDEX(Assumptions!$B$134:$I$134,MATCH(P$2,Assumptions!$B$132:$I$132,0)),0)</f>
        <v>0</v>
      </c>
      <c r="Q61" s="53">
        <f>IFERROR(INDEX(Assumptions!$B$133:$I$133,MATCH(Q$2,Assumptions!$B$132:$I$132,0))*INDEX(Assumptions!$B$134:$I$134,MATCH(Q$2,Assumptions!$B$132:$I$132,0)),0)</f>
        <v>0</v>
      </c>
      <c r="R61" s="53">
        <f>IFERROR(INDEX(Assumptions!$B$133:$I$133,MATCH(R$2,Assumptions!$B$132:$I$132,0))*INDEX(Assumptions!$B$134:$I$134,MATCH(R$2,Assumptions!$B$132:$I$132,0)),0)</f>
        <v>0</v>
      </c>
      <c r="S61" s="53">
        <f>IFERROR(INDEX(Assumptions!$B$133:$I$133,MATCH(S$2,Assumptions!$B$132:$I$132,0))*INDEX(Assumptions!$B$134:$I$134,MATCH(S$2,Assumptions!$B$132:$I$132,0)),0)</f>
        <v>0</v>
      </c>
      <c r="T61" s="53">
        <f>IFERROR(INDEX(Assumptions!$B$133:$I$133,MATCH(T$2,Assumptions!$B$132:$I$132,0))*INDEX(Assumptions!$B$134:$I$134,MATCH(T$2,Assumptions!$B$132:$I$132,0)),0)</f>
        <v>0</v>
      </c>
      <c r="U61" s="53">
        <f>IFERROR(INDEX(Assumptions!$B$133:$I$133,MATCH(U$2,Assumptions!$B$132:$I$132,0))*INDEX(Assumptions!$B$134:$I$134,MATCH(U$2,Assumptions!$B$132:$I$132,0)),0)</f>
        <v>0</v>
      </c>
      <c r="V61" s="53">
        <f>IFERROR(INDEX(Assumptions!$B$133:$I$133,MATCH(V$2,Assumptions!$B$132:$I$132,0))*INDEX(Assumptions!$B$134:$I$134,MATCH(V$2,Assumptions!$B$132:$I$132,0)),0)</f>
        <v>0</v>
      </c>
      <c r="W61" s="53">
        <f>IFERROR(INDEX(Assumptions!$B$133:$I$133,MATCH(W$2,Assumptions!$B$132:$I$132,0))*INDEX(Assumptions!$B$134:$I$134,MATCH(W$2,Assumptions!$B$132:$I$132,0)),0)</f>
        <v>0</v>
      </c>
      <c r="X61" s="53">
        <f>IFERROR(INDEX(Assumptions!$B$133:$I$133,MATCH(X$2,Assumptions!$B$132:$I$132,0))*INDEX(Assumptions!$B$134:$I$134,MATCH(X$2,Assumptions!$B$132:$I$132,0)),0)</f>
        <v>0</v>
      </c>
      <c r="Y61" s="53">
        <f>IFERROR(INDEX(Assumptions!$B$133:$I$133,MATCH(Y$2,Assumptions!$B$132:$I$132,0))*INDEX(Assumptions!$B$134:$I$134,MATCH(Y$2,Assumptions!$B$132:$I$132,0)),0)</f>
        <v>0</v>
      </c>
      <c r="Z61" s="53">
        <f>IFERROR(INDEX(Assumptions!$B$133:$I$133,MATCH(Z$2,Assumptions!$B$132:$I$132,0))*INDEX(Assumptions!$B$134:$I$134,MATCH(Z$2,Assumptions!$B$132:$I$132,0)),0)</f>
        <v>0</v>
      </c>
    </row>
    <row r="62">
      <c r="A62" s="22" t="inlineStr">
        <is>
          <t>Program contribution (pre-tax)</t>
        </is>
      </c>
      <c r="C62" s="57">
        <f>C58-C59-C60-C61</f>
        <v>-10.0</v>
      </c>
      <c r="D62" s="57">
        <f>D58-D59-D60-D61</f>
        <v>-21.0</v>
      </c>
      <c r="E62" s="57">
        <f>E58-E59-E60-E61</f>
        <v>-21.0</v>
      </c>
      <c r="F62" s="57">
        <f>F58-F59-F60-F61</f>
        <v>-23.4</v>
      </c>
      <c r="G62" s="57">
        <f>G58-G59-G60-G61</f>
        <v>1.2799999999999994</v>
      </c>
      <c r="H62" s="57">
        <f>H58-H59-H60-H61</f>
        <v>17.200000000000003</v>
      </c>
      <c r="I62" s="57">
        <f>I58-I59-I60-I61</f>
        <v>41.760000000000005</v>
      </c>
      <c r="J62" s="57">
        <f>J58-J59-J60-J61</f>
        <v>68.64</v>
      </c>
      <c r="K62" s="57">
        <f>K58-K59-K60-K61</f>
        <v>91.83999999999999</v>
      </c>
      <c r="L62" s="57">
        <f>L58-L59-L60-L61</f>
        <v>108.62400000000001</v>
      </c>
      <c r="M62" s="57">
        <f>M58-M59-M60-M61</f>
        <v>116.80000000000001</v>
      </c>
      <c r="N62" s="57">
        <f>N58-N59-N60-N61</f>
        <v>116.80000000000001</v>
      </c>
      <c r="O62" s="57">
        <f>O58-O59-O60-O61</f>
        <v>116.80000000000001</v>
      </c>
      <c r="P62" s="57">
        <f>P58-P59-P60-P61</f>
        <v>116.80000000000001</v>
      </c>
      <c r="Q62" s="57">
        <f>Q58-Q59-Q60-Q61</f>
        <v>116.80000000000001</v>
      </c>
      <c r="R62" s="57">
        <f>R58-R59-R60-R61</f>
        <v>116.80000000000001</v>
      </c>
      <c r="S62" s="57">
        <f>S58-S59-S60-S61</f>
        <v>46.72</v>
      </c>
      <c r="T62" s="57">
        <f>T58-T59-T60-T61</f>
        <v>18.688000000000002</v>
      </c>
      <c r="U62" s="57">
        <f>U58-U59-U60-U61</f>
        <v>7.475199999999999</v>
      </c>
      <c r="V62" s="57">
        <f>V58-V59-V60-V61</f>
        <v>2.99008</v>
      </c>
      <c r="W62" s="57">
        <f>W58-W59-W60-W61</f>
        <v>1.1960320000000002</v>
      </c>
      <c r="X62" s="57">
        <f>X58-X59-X60-X61</f>
        <v>0.47841280000000014</v>
      </c>
      <c r="Y62" s="57">
        <f>Y58-Y59-Y60-Y61</f>
        <v>0.19136512000000006</v>
      </c>
      <c r="Z62" s="57">
        <f>Z58-Z59-Z60-Z61</f>
        <v>0.07654604800000003</v>
      </c>
    </row>
    <row r="64">
      <c r="A64" s="30" t="inlineStr">
        <is>
          <t>Company totals (risk-adjusted)</t>
        </is>
      </c>
    </row>
    <row r="65">
      <c r="A65" s="22" t="inlineStr">
        <is>
          <t>Revenue</t>
        </is>
      </c>
      <c r="C65" s="57">
        <f>C7+C16+C28+C38+C48+C58</f>
        <v>1382.08</v>
      </c>
      <c r="D65" s="57">
        <f>D7+D16+D28+D38+D48+D58</f>
        <v>1610.56</v>
      </c>
      <c r="E65" s="57">
        <f>E7+E16+E28+E38+E48+E58</f>
        <v>1686.34</v>
      </c>
      <c r="F65" s="57">
        <f>F7+F16+F28+F38+F48+F58</f>
        <v>1844.395</v>
      </c>
      <c r="G65" s="57">
        <f>G7+G16+G28+G38+G48+G58</f>
        <v>2077.48125</v>
      </c>
      <c r="H65" s="57">
        <f>H7+H16+H28+H38+H48+H58</f>
        <v>2201.1859375</v>
      </c>
      <c r="I65" s="57">
        <f>I7+I16+I28+I38+I48+I58</f>
        <v>2320.499453125</v>
      </c>
      <c r="J65" s="57">
        <f>J7+J16+J28+J38+J48+J58</f>
        <v>2376.51958984375</v>
      </c>
      <c r="K65" s="57">
        <f>K7+K16+K28+K38+K48+K58</f>
        <v>2419.0096923828123</v>
      </c>
      <c r="L65" s="57">
        <f>L7+L16+L28+L38+L48+L58</f>
        <v>2421.4072692871096</v>
      </c>
      <c r="M65" s="57">
        <f>M7+M16+M28+M38+M48+M58</f>
        <v>2419.330451965332</v>
      </c>
      <c r="N65" s="57">
        <f>N7+N16+N28+N38+N48+N58</f>
        <v>2401.497838973999</v>
      </c>
      <c r="O65" s="57">
        <f>O7+O16+O28+O38+O48+O58</f>
        <v>1315.3233792304993</v>
      </c>
      <c r="P65" s="57">
        <f>P7+P16+P28+P38+P48+P58</f>
        <v>876.1725344228745</v>
      </c>
      <c r="Q65" s="57">
        <f>Q7+Q16+Q28+Q38+Q48+Q58</f>
        <v>547.0014008171559</v>
      </c>
      <c r="R65" s="57">
        <f>R7+R16+R28+R38+R48+R58</f>
        <v>412.6998506128669</v>
      </c>
      <c r="S65" s="57">
        <f>S7+S16+S28+S38+S48+S58</f>
        <v>171.00440795965017</v>
      </c>
      <c r="T65" s="57">
        <f>T7+T16+T28+T38+T48+T58</f>
        <v>72.84511396973762</v>
      </c>
      <c r="U65" s="57">
        <f>U7+U16+U28+U38+U48+U58</f>
        <v>32.47055867730322</v>
      </c>
      <c r="V65" s="57">
        <f>V7+V16+V28+V38+V48+V58</f>
        <v>15.487608287977412</v>
      </c>
      <c r="W65" s="57">
        <f>W7+W16+W28+W38+W48+W58</f>
        <v>8.069581927983059</v>
      </c>
      <c r="X65" s="57">
        <f>X7+X16+X28+X38+X48+X58</f>
        <v>4.633736730787294</v>
      </c>
      <c r="Y65" s="57">
        <f>Y7+Y16+Y28+Y38+Y48+Y58</f>
        <v>2.90792266201047</v>
      </c>
      <c r="Z65" s="57">
        <f>Z7+Z16+Z28+Z38+Z48+Z58</f>
        <v>1.9539900420758525</v>
      </c>
    </row>
    <row r="66">
      <c r="A66" s="13" t="inlineStr">
        <is>
          <t>Cost of sales (COGS + royalties)</t>
        </is>
      </c>
      <c r="C66" s="53">
        <f>C8+C17+C29+C39+C49+C59</f>
        <v>22.8916</v>
      </c>
      <c r="D66" s="53">
        <f>D8+D17+D29+D39+D49+D59</f>
        <v>27.461199999999998</v>
      </c>
      <c r="E66" s="53">
        <f>E8+E17+E29+E39+E49+E59</f>
        <v>30.164299999999997</v>
      </c>
      <c r="F66" s="53">
        <f>F8+F17+F29+F39+F49+F59</f>
        <v>34.216025</v>
      </c>
      <c r="G66" s="53">
        <f>G8+G17+G29+G39+G49+G59</f>
        <v>39.54571875</v>
      </c>
      <c r="H66" s="53">
        <f>H8+H17+H29+H39+H49+H59</f>
        <v>42.5207890625</v>
      </c>
      <c r="I66" s="53">
        <f>I8+I17+I29+I39+I49+I59</f>
        <v>45.282791796875</v>
      </c>
      <c r="J66" s="53">
        <f>J8+J17+J29+J39+J49+J59</f>
        <v>46.68499384765625</v>
      </c>
      <c r="K66" s="53">
        <f>K8+K17+K29+K39+K49+K59</f>
        <v>47.746145385742196</v>
      </c>
      <c r="L66" s="53">
        <f>L8+L17+L29+L39+L49+L59</f>
        <v>47.952609039306644</v>
      </c>
      <c r="M66" s="53">
        <f>M8+M17+M29+M39+M49+M59</f>
        <v>48.02995677947999</v>
      </c>
      <c r="N66" s="53">
        <f>N8+N17+N29+N39+N49+N59</f>
        <v>47.76246758460999</v>
      </c>
      <c r="O66" s="53">
        <f>O8+O17+O29+O39+O49+O59</f>
        <v>26.10585068845749</v>
      </c>
      <c r="P66" s="53">
        <f>P8+P17+P29+P39+P49+P59</f>
        <v>17.37298801634312</v>
      </c>
      <c r="Q66" s="53">
        <f>Q8+Q17+Q29+Q39+Q49+Q59</f>
        <v>10.827181012257338</v>
      </c>
      <c r="R66" s="53">
        <f>R8+R17+R29+R39+R49+R59</f>
        <v>8.169361759193002</v>
      </c>
      <c r="S66" s="53">
        <f>S8+S17+S29+S39+S49+S59</f>
        <v>3.3566117193947527</v>
      </c>
      <c r="T66" s="53">
        <f>T8+T17+T29+T39+T49+T59</f>
        <v>1.4092949495460643</v>
      </c>
      <c r="U66" s="53">
        <f>U8+U17+U29+U39+U49+U59</f>
        <v>0.6137056761595483</v>
      </c>
      <c r="V66" s="53">
        <f>V8+V17+V29+V39+V49+V59</f>
        <v>0.28297304271966117</v>
      </c>
      <c r="W66" s="53">
        <f>W8+W17+W29+W39+W49+W59</f>
        <v>0.14130729627974586</v>
      </c>
      <c r="X66" s="53">
        <f>X8+X17+X29+X39+X49+X59</f>
        <v>0.07761147790580941</v>
      </c>
      <c r="Y66" s="53">
        <f>Y8+Y17+Y29+Y39+Y49+Y59</f>
        <v>0.046861010707757056</v>
      </c>
      <c r="Z66" s="53">
        <f>Z8+Z17+Z29+Z39+Z49+Z59</f>
        <v>0.030606718942177792</v>
      </c>
    </row>
    <row r="67">
      <c r="A67" s="13" t="inlineStr">
        <is>
          <t>Program development R&amp;D</t>
        </is>
      </c>
      <c r="C67" s="53">
        <f>C10+C19+C31+C41+C51+C61</f>
        <v>90.0</v>
      </c>
      <c r="D67" s="53">
        <f>D10+D19+D31+D41+D51+D61</f>
        <v>111.0</v>
      </c>
      <c r="E67" s="53">
        <f>E10+E19+E31+E41+E51+E61</f>
        <v>71.0</v>
      </c>
      <c r="F67" s="53">
        <f>F10+F19+F31+F41+F51+F61</f>
        <v>36.0</v>
      </c>
      <c r="G67" s="53">
        <f>G10+G19+G31+G41+G51+G61</f>
        <v>0.0</v>
      </c>
      <c r="H67" s="53">
        <f>H10+H19+H31+H41+H51+H61</f>
        <v>0.0</v>
      </c>
      <c r="I67" s="53">
        <f>I10+I19+I31+I41+I51+I61</f>
        <v>0.0</v>
      </c>
      <c r="J67" s="53">
        <f>J10+J19+J31+J41+J51+J61</f>
        <v>0.0</v>
      </c>
      <c r="K67" s="53">
        <f>K10+K19+K31+K41+K51+K61</f>
        <v>0.0</v>
      </c>
      <c r="L67" s="53">
        <f>L10+L19+L31+L41+L51+L61</f>
        <v>0.0</v>
      </c>
      <c r="M67" s="53">
        <f>M10+M19+M31+M41+M51+M61</f>
        <v>0.0</v>
      </c>
      <c r="N67" s="53">
        <f>N10+N19+N31+N41+N51+N61</f>
        <v>0.0</v>
      </c>
      <c r="O67" s="53">
        <f>O10+O19+O31+O41+O51+O61</f>
        <v>0.0</v>
      </c>
      <c r="P67" s="53">
        <f>P10+P19+P31+P41+P51+P61</f>
        <v>0.0</v>
      </c>
      <c r="Q67" s="53">
        <f>Q10+Q19+Q31+Q41+Q51+Q61</f>
        <v>0.0</v>
      </c>
      <c r="R67" s="53">
        <f>R10+R19+R31+R41+R51+R61</f>
        <v>0.0</v>
      </c>
      <c r="S67" s="53">
        <f>S10+S19+S31+S41+S51+S61</f>
        <v>0.0</v>
      </c>
      <c r="T67" s="53">
        <f>T10+T19+T31+T41+T51+T61</f>
        <v>0.0</v>
      </c>
      <c r="U67" s="53">
        <f>U10+U19+U31+U41+U51+U61</f>
        <v>0.0</v>
      </c>
      <c r="V67" s="53">
        <f>V10+V19+V31+V41+V51+V61</f>
        <v>0.0</v>
      </c>
      <c r="W67" s="53">
        <f>W10+W19+W31+W41+W51+W61</f>
        <v>0.0</v>
      </c>
      <c r="X67" s="53">
        <f>X10+X19+X31+X41+X51+X61</f>
        <v>0.0</v>
      </c>
      <c r="Y67" s="53">
        <f>Y10+Y19+Y31+Y41+Y51+Y61</f>
        <v>0.0</v>
      </c>
      <c r="Z67" s="53">
        <f>Z10+Z19+Z31+Z41+Z51+Z61</f>
        <v>0.0</v>
      </c>
    </row>
    <row r="68">
      <c r="A68" s="13" t="inlineStr">
        <is>
          <t>Platform / unallocated R&amp;D</t>
        </is>
      </c>
      <c r="C68" s="53">
        <f>IF(C$2&gt;Assumptions!$B$25,Assumptions!$B$23*C65,MAX(Assumptions!$B$20*(1+Assumptions!$B$21)^(C$2-2027)*Assumptions!$B$38,Assumptions!$B$23*C65))</f>
        <v>138.208</v>
      </c>
      <c r="D68" s="53">
        <f>IF(D$2&gt;Assumptions!$B$25,Assumptions!$B$23*D65,MAX(Assumptions!$B$20*(1+Assumptions!$B$21)^(D$2-2027)*Assumptions!$B$38,Assumptions!$B$23*D65))</f>
        <v>161.056</v>
      </c>
      <c r="E68" s="53">
        <f>IF(E$2&gt;Assumptions!$B$25,Assumptions!$B$23*E65,MAX(Assumptions!$B$20*(1+Assumptions!$B$21)^(E$2-2027)*Assumptions!$B$38,Assumptions!$B$23*E65))</f>
        <v>168.63400000000001</v>
      </c>
      <c r="F68" s="53">
        <f>IF(F$2&gt;Assumptions!$B$25,Assumptions!$B$23*F65,MAX(Assumptions!$B$20*(1+Assumptions!$B$21)^(F$2-2027)*Assumptions!$B$38,Assumptions!$B$23*F65))</f>
        <v>184.4395</v>
      </c>
      <c r="G68" s="53">
        <f>IF(G$2&gt;Assumptions!$B$25,Assumptions!$B$23*G65,MAX(Assumptions!$B$20*(1+Assumptions!$B$21)^(G$2-2027)*Assumptions!$B$38,Assumptions!$B$23*G65))</f>
        <v>207.748125</v>
      </c>
      <c r="H68" s="53">
        <f>IF(H$2&gt;Assumptions!$B$25,Assumptions!$B$23*H65,MAX(Assumptions!$B$20*(1+Assumptions!$B$21)^(H$2-2027)*Assumptions!$B$38,Assumptions!$B$23*H65))</f>
        <v>220.11859375</v>
      </c>
      <c r="I68" s="53">
        <f>IF(I$2&gt;Assumptions!$B$25,Assumptions!$B$23*I65,MAX(Assumptions!$B$20*(1+Assumptions!$B$21)^(I$2-2027)*Assumptions!$B$38,Assumptions!$B$23*I65))</f>
        <v>232.0499453125</v>
      </c>
      <c r="J68" s="53">
        <f>IF(J$2&gt;Assumptions!$B$25,Assumptions!$B$23*J65,MAX(Assumptions!$B$20*(1+Assumptions!$B$21)^(J$2-2027)*Assumptions!$B$38,Assumptions!$B$23*J65))</f>
        <v>237.65195898437503</v>
      </c>
      <c r="K68" s="53">
        <f>IF(K$2&gt;Assumptions!$B$25,Assumptions!$B$23*K65,MAX(Assumptions!$B$20*(1+Assumptions!$B$21)^(K$2-2027)*Assumptions!$B$38,Assumptions!$B$23*K65))</f>
        <v>241.90096923828125</v>
      </c>
      <c r="L68" s="53">
        <f>IF(L$2&gt;Assumptions!$B$25,Assumptions!$B$23*L65,MAX(Assumptions!$B$20*(1+Assumptions!$B$21)^(L$2-2027)*Assumptions!$B$38,Assumptions!$B$23*L65))</f>
        <v>242.14072692871096</v>
      </c>
      <c r="M68" s="53">
        <f>IF(M$2&gt;Assumptions!$B$25,Assumptions!$B$23*M65,MAX(Assumptions!$B$20*(1+Assumptions!$B$21)^(M$2-2027)*Assumptions!$B$38,Assumptions!$B$23*M65))</f>
        <v>241.93304519653321</v>
      </c>
      <c r="N68" s="53">
        <f>IF(N$2&gt;Assumptions!$B$25,Assumptions!$B$23*N65,MAX(Assumptions!$B$20*(1+Assumptions!$B$21)^(N$2-2027)*Assumptions!$B$38,Assumptions!$B$23*N65))</f>
        <v>240.1497838973999</v>
      </c>
      <c r="O68" s="53">
        <f>IF(O$2&gt;Assumptions!$B$25,Assumptions!$B$23*O65,MAX(Assumptions!$B$20*(1+Assumptions!$B$21)^(O$2-2027)*Assumptions!$B$38,Assumptions!$B$23*O65))</f>
        <v>131.53233792304994</v>
      </c>
      <c r="P68" s="53">
        <f>IF(P$2&gt;Assumptions!$B$25,Assumptions!$B$23*P65,MAX(Assumptions!$B$20*(1+Assumptions!$B$21)^(P$2-2027)*Assumptions!$B$38,Assumptions!$B$23*P65))</f>
        <v>87.61725344228745</v>
      </c>
      <c r="Q68" s="53">
        <f>IF(Q$2&gt;Assumptions!$B$25,Assumptions!$B$23*Q65,MAX(Assumptions!$B$20*(1+Assumptions!$B$21)^(Q$2-2027)*Assumptions!$B$38,Assumptions!$B$23*Q65))</f>
        <v>54.70014008171559</v>
      </c>
      <c r="R68" s="53">
        <f>IF(R$2&gt;Assumptions!$B$25,Assumptions!$B$23*R65,MAX(Assumptions!$B$20*(1+Assumptions!$B$21)^(R$2-2027)*Assumptions!$B$38,Assumptions!$B$23*R65))</f>
        <v>41.26998506128669</v>
      </c>
      <c r="S68" s="53">
        <f>IF(S$2&gt;Assumptions!$B$25,Assumptions!$B$23*S65,MAX(Assumptions!$B$20*(1+Assumptions!$B$21)^(S$2-2027)*Assumptions!$B$38,Assumptions!$B$23*S65))</f>
        <v>17.100440795965017</v>
      </c>
      <c r="T68" s="53">
        <f>IF(T$2&gt;Assumptions!$B$25,Assumptions!$B$23*T65,MAX(Assumptions!$B$20*(1+Assumptions!$B$21)^(T$2-2027)*Assumptions!$B$38,Assumptions!$B$23*T65))</f>
        <v>7.2845113969737625</v>
      </c>
      <c r="U68" s="53">
        <f>IF(U$2&gt;Assumptions!$B$25,Assumptions!$B$23*U65,MAX(Assumptions!$B$20*(1+Assumptions!$B$21)^(U$2-2027)*Assumptions!$B$38,Assumptions!$B$23*U65))</f>
        <v>3.247055867730322</v>
      </c>
      <c r="V68" s="53">
        <f>IF(V$2&gt;Assumptions!$B$25,Assumptions!$B$23*V65,MAX(Assumptions!$B$20*(1+Assumptions!$B$21)^(V$2-2027)*Assumptions!$B$38,Assumptions!$B$23*V65))</f>
        <v>1.5487608287977412</v>
      </c>
      <c r="W68" s="53">
        <f>IF(W$2&gt;Assumptions!$B$25,Assumptions!$B$23*W65,MAX(Assumptions!$B$20*(1+Assumptions!$B$21)^(W$2-2027)*Assumptions!$B$38,Assumptions!$B$23*W65))</f>
        <v>0.8069581927983059</v>
      </c>
      <c r="X68" s="53">
        <f>IF(X$2&gt;Assumptions!$B$25,Assumptions!$B$23*X65,MAX(Assumptions!$B$20*(1+Assumptions!$B$21)^(X$2-2027)*Assumptions!$B$38,Assumptions!$B$23*X65))</f>
        <v>0.4633736730787294</v>
      </c>
      <c r="Y68" s="53">
        <f>IF(Y$2&gt;Assumptions!$B$25,Assumptions!$B$23*Y65,MAX(Assumptions!$B$20*(1+Assumptions!$B$21)^(Y$2-2027)*Assumptions!$B$38,Assumptions!$B$23*Y65))</f>
        <v>0.29079226620104703</v>
      </c>
      <c r="Z68" s="53">
        <f>IF(Z$2&gt;Assumptions!$B$25,Assumptions!$B$23*Z65,MAX(Assumptions!$B$20*(1+Assumptions!$B$21)^(Z$2-2027)*Assumptions!$B$38,Assumptions!$B$23*Z65))</f>
        <v>0.19539900420758527</v>
      </c>
    </row>
    <row r="69">
      <c r="A69" s="13" t="inlineStr">
        <is>
          <t>Total R&amp;D</t>
        </is>
      </c>
      <c r="C69" s="53">
        <f>C67+C68</f>
        <v>228.208</v>
      </c>
      <c r="D69" s="53">
        <f>D67+D68</f>
        <v>272.05600000000004</v>
      </c>
      <c r="E69" s="53">
        <f>E67+E68</f>
        <v>239.63400000000001</v>
      </c>
      <c r="F69" s="53">
        <f>F67+F68</f>
        <v>220.4395</v>
      </c>
      <c r="G69" s="53">
        <f>G67+G68</f>
        <v>207.748125</v>
      </c>
      <c r="H69" s="53">
        <f>H67+H68</f>
        <v>220.11859375</v>
      </c>
      <c r="I69" s="53">
        <f>I67+I68</f>
        <v>232.0499453125</v>
      </c>
      <c r="J69" s="53">
        <f>J67+J68</f>
        <v>237.65195898437503</v>
      </c>
      <c r="K69" s="53">
        <f>K67+K68</f>
        <v>241.90096923828125</v>
      </c>
      <c r="L69" s="53">
        <f>L67+L68</f>
        <v>242.14072692871096</v>
      </c>
      <c r="M69" s="53">
        <f>M67+M68</f>
        <v>241.93304519653321</v>
      </c>
      <c r="N69" s="53">
        <f>N67+N68</f>
        <v>240.1497838973999</v>
      </c>
      <c r="O69" s="53">
        <f>O67+O68</f>
        <v>131.53233792304994</v>
      </c>
      <c r="P69" s="53">
        <f>P67+P68</f>
        <v>87.61725344228745</v>
      </c>
      <c r="Q69" s="53">
        <f>Q67+Q68</f>
        <v>54.70014008171559</v>
      </c>
      <c r="R69" s="53">
        <f>R67+R68</f>
        <v>41.26998506128669</v>
      </c>
      <c r="S69" s="53">
        <f>S67+S68</f>
        <v>17.100440795965017</v>
      </c>
      <c r="T69" s="53">
        <f>T67+T68</f>
        <v>7.2845113969737625</v>
      </c>
      <c r="U69" s="53">
        <f>U67+U68</f>
        <v>3.247055867730322</v>
      </c>
      <c r="V69" s="53">
        <f>V67+V68</f>
        <v>1.5487608287977412</v>
      </c>
      <c r="W69" s="53">
        <f>W67+W68</f>
        <v>0.8069581927983059</v>
      </c>
      <c r="X69" s="53">
        <f>X67+X68</f>
        <v>0.4633736730787294</v>
      </c>
      <c r="Y69" s="53">
        <f>Y67+Y68</f>
        <v>0.29079226620104703</v>
      </c>
      <c r="Z69" s="53">
        <f>Z67+Z68</f>
        <v>0.19539900420758527</v>
      </c>
    </row>
    <row r="70">
      <c r="A70" s="13" t="inlineStr">
        <is>
          <t>Commercial SG&amp;A</t>
        </is>
      </c>
      <c r="C70" s="53">
        <f>C9+C18+C30+C40+C50+C60</f>
        <v>502.444</v>
      </c>
      <c r="D70" s="53">
        <f>D9+D18+D30+D40+D50+D60</f>
        <v>538.374</v>
      </c>
      <c r="E70" s="53">
        <f>E9+E18+E30+E40+E50+E60</f>
        <v>544.3978</v>
      </c>
      <c r="F70" s="53">
        <f>F9+F18+F30+F40+F50+F60</f>
        <v>557.74435</v>
      </c>
      <c r="G70" s="53">
        <f>G9+G18+G30+G40+G50+G60</f>
        <v>589.6233125</v>
      </c>
      <c r="H70" s="53">
        <f>H9+H18+H30+H40+H50+H60</f>
        <v>558.115484375</v>
      </c>
      <c r="I70" s="53">
        <f>I9+I18+I30+I40+I50+I60</f>
        <v>573.3166632812499</v>
      </c>
      <c r="J70" s="53">
        <f>J9+J18+J30+J40+J50+J60</f>
        <v>547.9378974609375</v>
      </c>
      <c r="K70" s="53">
        <f>K9+K18+K30+K40+K50+K60</f>
        <v>550.4784230957032</v>
      </c>
      <c r="L70" s="53">
        <f>L9+L18+L30+L40+L50+L60</f>
        <v>543.4518173217774</v>
      </c>
      <c r="M70" s="53">
        <f>M9+M18+M30+M40+M50+M60</f>
        <v>542.932612991333</v>
      </c>
      <c r="N70" s="53">
        <f>N9+N18+N30+N40+N50+N60</f>
        <v>538.4744597434998</v>
      </c>
      <c r="O70" s="53">
        <f>O9+O18+O30+O40+O50+O60</f>
        <v>296.57084480762484</v>
      </c>
      <c r="P70" s="53">
        <f>P9+P18+P30+P40+P50+P60</f>
        <v>198.6391336057186</v>
      </c>
      <c r="Q70" s="53">
        <f>Q9+Q18+Q30+Q40+Q50+Q60</f>
        <v>128.58875020428894</v>
      </c>
      <c r="R70" s="53">
        <f>R9+R18+R30+R40+R50+R60</f>
        <v>99.91032265321672</v>
      </c>
      <c r="S70" s="53">
        <f>S9+S18+S30+S40+S50+S60</f>
        <v>41.445245989912536</v>
      </c>
      <c r="T70" s="53">
        <f>T9+T18+T30+T40+T50+T60</f>
        <v>17.688936092434403</v>
      </c>
      <c r="U70" s="53">
        <f>U9+U18+U30+U40+U50+U60</f>
        <v>7.908702709325803</v>
      </c>
      <c r="V70" s="53">
        <f>V9+V18+V30+V40+V50+V60</f>
        <v>3.7883272879943526</v>
      </c>
      <c r="W70" s="53">
        <f>W9+W18+W30+W40+W50+W60</f>
        <v>1.9839655683957647</v>
      </c>
      <c r="X70" s="53">
        <f>X9+X18+X30+X40+X50+X60</f>
        <v>1.1450622172568234</v>
      </c>
      <c r="Y70" s="53">
        <f>Y9+Y18+Y30+Y40+Y50+Y60</f>
        <v>0.7216318793266175</v>
      </c>
      <c r="Z70" s="53">
        <f>Z9+Z18+Z30+Z40+Z50+Z60</f>
        <v>0.48635799604856317</v>
      </c>
    </row>
    <row r="71">
      <c r="A71" s="13" t="inlineStr">
        <is>
          <t>Corporate G&amp;A</t>
        </is>
      </c>
      <c r="C71" s="53">
        <f>IF(C$2&gt;Assumptions!$B$25,Assumptions!$B$22*C65,MAX(Assumptions!$B$19*(1+Assumptions!$B$21)^(C$2-2027)*Assumptions!$B$38,Assumptions!$B$22*C65))</f>
        <v>138.208</v>
      </c>
      <c r="D71" s="53">
        <f>IF(D$2&gt;Assumptions!$B$25,Assumptions!$B$22*D65,MAX(Assumptions!$B$19*(1+Assumptions!$B$21)^(D$2-2027)*Assumptions!$B$38,Assumptions!$B$22*D65))</f>
        <v>161.056</v>
      </c>
      <c r="E71" s="53">
        <f>IF(E$2&gt;Assumptions!$B$25,Assumptions!$B$22*E65,MAX(Assumptions!$B$19*(1+Assumptions!$B$21)^(E$2-2027)*Assumptions!$B$38,Assumptions!$B$22*E65))</f>
        <v>168.63400000000001</v>
      </c>
      <c r="F71" s="53">
        <f>IF(F$2&gt;Assumptions!$B$25,Assumptions!$B$22*F65,MAX(Assumptions!$B$19*(1+Assumptions!$B$21)^(F$2-2027)*Assumptions!$B$38,Assumptions!$B$22*F65))</f>
        <v>184.4395</v>
      </c>
      <c r="G71" s="53">
        <f>IF(G$2&gt;Assumptions!$B$25,Assumptions!$B$22*G65,MAX(Assumptions!$B$19*(1+Assumptions!$B$21)^(G$2-2027)*Assumptions!$B$38,Assumptions!$B$22*G65))</f>
        <v>207.748125</v>
      </c>
      <c r="H71" s="53">
        <f>IF(H$2&gt;Assumptions!$B$25,Assumptions!$B$22*H65,MAX(Assumptions!$B$19*(1+Assumptions!$B$21)^(H$2-2027)*Assumptions!$B$38,Assumptions!$B$22*H65))</f>
        <v>220.11859375</v>
      </c>
      <c r="I71" s="53">
        <f>IF(I$2&gt;Assumptions!$B$25,Assumptions!$B$22*I65,MAX(Assumptions!$B$19*(1+Assumptions!$B$21)^(I$2-2027)*Assumptions!$B$38,Assumptions!$B$22*I65))</f>
        <v>232.0499453125</v>
      </c>
      <c r="J71" s="53">
        <f>IF(J$2&gt;Assumptions!$B$25,Assumptions!$B$22*J65,MAX(Assumptions!$B$19*(1+Assumptions!$B$21)^(J$2-2027)*Assumptions!$B$38,Assumptions!$B$22*J65))</f>
        <v>237.65195898437503</v>
      </c>
      <c r="K71" s="53">
        <f>IF(K$2&gt;Assumptions!$B$25,Assumptions!$B$22*K65,MAX(Assumptions!$B$19*(1+Assumptions!$B$21)^(K$2-2027)*Assumptions!$B$38,Assumptions!$B$22*K65))</f>
        <v>241.90096923828125</v>
      </c>
      <c r="L71" s="53">
        <f>IF(L$2&gt;Assumptions!$B$25,Assumptions!$B$22*L65,MAX(Assumptions!$B$19*(1+Assumptions!$B$21)^(L$2-2027)*Assumptions!$B$38,Assumptions!$B$22*L65))</f>
        <v>242.14072692871096</v>
      </c>
      <c r="M71" s="53">
        <f>IF(M$2&gt;Assumptions!$B$25,Assumptions!$B$22*M65,MAX(Assumptions!$B$19*(1+Assumptions!$B$21)^(M$2-2027)*Assumptions!$B$38,Assumptions!$B$22*M65))</f>
        <v>241.93304519653321</v>
      </c>
      <c r="N71" s="53">
        <f>IF(N$2&gt;Assumptions!$B$25,Assumptions!$B$22*N65,MAX(Assumptions!$B$19*(1+Assumptions!$B$21)^(N$2-2027)*Assumptions!$B$38,Assumptions!$B$22*N65))</f>
        <v>240.1497838973999</v>
      </c>
      <c r="O71" s="53">
        <f>IF(O$2&gt;Assumptions!$B$25,Assumptions!$B$22*O65,MAX(Assumptions!$B$19*(1+Assumptions!$B$21)^(O$2-2027)*Assumptions!$B$38,Assumptions!$B$22*O65))</f>
        <v>131.53233792304994</v>
      </c>
      <c r="P71" s="53">
        <f>IF(P$2&gt;Assumptions!$B$25,Assumptions!$B$22*P65,MAX(Assumptions!$B$19*(1+Assumptions!$B$21)^(P$2-2027)*Assumptions!$B$38,Assumptions!$B$22*P65))</f>
        <v>87.61725344228745</v>
      </c>
      <c r="Q71" s="53">
        <f>IF(Q$2&gt;Assumptions!$B$25,Assumptions!$B$22*Q65,MAX(Assumptions!$B$19*(1+Assumptions!$B$21)^(Q$2-2027)*Assumptions!$B$38,Assumptions!$B$22*Q65))</f>
        <v>54.70014008171559</v>
      </c>
      <c r="R71" s="53">
        <f>IF(R$2&gt;Assumptions!$B$25,Assumptions!$B$22*R65,MAX(Assumptions!$B$19*(1+Assumptions!$B$21)^(R$2-2027)*Assumptions!$B$38,Assumptions!$B$22*R65))</f>
        <v>41.26998506128669</v>
      </c>
      <c r="S71" s="53">
        <f>IF(S$2&gt;Assumptions!$B$25,Assumptions!$B$22*S65,MAX(Assumptions!$B$19*(1+Assumptions!$B$21)^(S$2-2027)*Assumptions!$B$38,Assumptions!$B$22*S65))</f>
        <v>17.100440795965017</v>
      </c>
      <c r="T71" s="53">
        <f>IF(T$2&gt;Assumptions!$B$25,Assumptions!$B$22*T65,MAX(Assumptions!$B$19*(1+Assumptions!$B$21)^(T$2-2027)*Assumptions!$B$38,Assumptions!$B$22*T65))</f>
        <v>7.2845113969737625</v>
      </c>
      <c r="U71" s="53">
        <f>IF(U$2&gt;Assumptions!$B$25,Assumptions!$B$22*U65,MAX(Assumptions!$B$19*(1+Assumptions!$B$21)^(U$2-2027)*Assumptions!$B$38,Assumptions!$B$22*U65))</f>
        <v>3.247055867730322</v>
      </c>
      <c r="V71" s="53">
        <f>IF(V$2&gt;Assumptions!$B$25,Assumptions!$B$22*V65,MAX(Assumptions!$B$19*(1+Assumptions!$B$21)^(V$2-2027)*Assumptions!$B$38,Assumptions!$B$22*V65))</f>
        <v>1.5487608287977412</v>
      </c>
      <c r="W71" s="53">
        <f>IF(W$2&gt;Assumptions!$B$25,Assumptions!$B$22*W65,MAX(Assumptions!$B$19*(1+Assumptions!$B$21)^(W$2-2027)*Assumptions!$B$38,Assumptions!$B$22*W65))</f>
        <v>0.8069581927983059</v>
      </c>
      <c r="X71" s="53">
        <f>IF(X$2&gt;Assumptions!$B$25,Assumptions!$B$22*X65,MAX(Assumptions!$B$19*(1+Assumptions!$B$21)^(X$2-2027)*Assumptions!$B$38,Assumptions!$B$22*X65))</f>
        <v>0.4633736730787294</v>
      </c>
      <c r="Y71" s="53">
        <f>IF(Y$2&gt;Assumptions!$B$25,Assumptions!$B$22*Y65,MAX(Assumptions!$B$19*(1+Assumptions!$B$21)^(Y$2-2027)*Assumptions!$B$38,Assumptions!$B$22*Y65))</f>
        <v>0.29079226620104703</v>
      </c>
      <c r="Z71" s="53">
        <f>IF(Z$2&gt;Assumptions!$B$25,Assumptions!$B$22*Z65,MAX(Assumptions!$B$19*(1+Assumptions!$B$21)^(Z$2-2027)*Assumptions!$B$38,Assumptions!$B$22*Z65))</f>
        <v>0.19539900420758527</v>
      </c>
    </row>
    <row r="72">
      <c r="A72" s="13" t="inlineStr">
        <is>
          <t>Total G&amp;A incl. SG&amp;A</t>
        </is>
      </c>
      <c r="C72" s="53">
        <f>C70+C71</f>
        <v>640.652</v>
      </c>
      <c r="D72" s="53">
        <f>D70+D71</f>
        <v>699.4300000000001</v>
      </c>
      <c r="E72" s="53">
        <f>E70+E71</f>
        <v>713.0318</v>
      </c>
      <c r="F72" s="53">
        <f>F70+F71</f>
        <v>742.1838500000001</v>
      </c>
      <c r="G72" s="53">
        <f>G70+G71</f>
        <v>797.3714375</v>
      </c>
      <c r="H72" s="53">
        <f>H70+H71</f>
        <v>778.234078125</v>
      </c>
      <c r="I72" s="53">
        <f>I70+I71</f>
        <v>805.3666085937499</v>
      </c>
      <c r="J72" s="53">
        <f>J70+J71</f>
        <v>785.5898564453125</v>
      </c>
      <c r="K72" s="53">
        <f>K70+K71</f>
        <v>792.3793923339845</v>
      </c>
      <c r="L72" s="53">
        <f>L70+L71</f>
        <v>785.5925442504883</v>
      </c>
      <c r="M72" s="53">
        <f>M70+M71</f>
        <v>784.8656581878663</v>
      </c>
      <c r="N72" s="53">
        <f>N70+N71</f>
        <v>778.6242436408997</v>
      </c>
      <c r="O72" s="53">
        <f>O70+O71</f>
        <v>428.1031827306748</v>
      </c>
      <c r="P72" s="53">
        <f>P70+P71</f>
        <v>286.25638704800605</v>
      </c>
      <c r="Q72" s="53">
        <f>Q70+Q71</f>
        <v>183.28889028600452</v>
      </c>
      <c r="R72" s="53">
        <f>R70+R71</f>
        <v>141.1803077145034</v>
      </c>
      <c r="S72" s="53">
        <f>S70+S71</f>
        <v>58.54568678587755</v>
      </c>
      <c r="T72" s="53">
        <f>T70+T71</f>
        <v>24.973447489408166</v>
      </c>
      <c r="U72" s="53">
        <f>U70+U71</f>
        <v>11.155758577056126</v>
      </c>
      <c r="V72" s="53">
        <f>V70+V71</f>
        <v>5.337088116792094</v>
      </c>
      <c r="W72" s="53">
        <f>W70+W71</f>
        <v>2.7909237611940707</v>
      </c>
      <c r="X72" s="53">
        <f>X70+X71</f>
        <v>1.608435890335553</v>
      </c>
      <c r="Y72" s="53">
        <f>Y70+Y71</f>
        <v>1.0124241455276646</v>
      </c>
      <c r="Z72" s="53">
        <f>Z70+Z71</f>
        <v>0.6817570002561484</v>
      </c>
    </row>
    <row r="73">
      <c r="A73" s="22" t="inlineStr">
        <is>
          <t>Operating income (EBIT)</t>
        </is>
      </c>
      <c r="C73" s="65">
        <f>C65-C66-C69-C72</f>
        <v>490.3283999999999</v>
      </c>
      <c r="D73" s="65">
        <f>D65-D66-D69-D72</f>
        <v>611.6127999999999</v>
      </c>
      <c r="E73" s="65">
        <f>E65-E66-E69-E72</f>
        <v>703.5099</v>
      </c>
      <c r="F73" s="65">
        <f>F65-F66-F69-F72</f>
        <v>847.555625</v>
      </c>
      <c r="G73" s="65">
        <f>G65-G66-G69-G72</f>
        <v>1032.8159687499997</v>
      </c>
      <c r="H73" s="65">
        <f>H65-H66-H69-H72</f>
        <v>1160.3124765624998</v>
      </c>
      <c r="I73" s="65">
        <f>I65-I66-I69-I72</f>
        <v>1237.800107421875</v>
      </c>
      <c r="J73" s="65">
        <f>J65-J66-J69-J72</f>
        <v>1306.5927805664062</v>
      </c>
      <c r="K73" s="65">
        <f>K65-K66-K69-K72</f>
        <v>1336.9831854248046</v>
      </c>
      <c r="L73" s="65">
        <f>L65-L66-L69-L72</f>
        <v>1345.7213890686037</v>
      </c>
      <c r="M73" s="65">
        <f>M65-M66-M69-M72</f>
        <v>1344.5017918014523</v>
      </c>
      <c r="N73" s="65">
        <f>N65-N66-N69-N72</f>
        <v>1334.9613438510892</v>
      </c>
      <c r="O73" s="65">
        <f>O65-O66-O69-O72</f>
        <v>729.5820078883172</v>
      </c>
      <c r="P73" s="65">
        <f>P65-P66-P69-P72</f>
        <v>484.9259059162379</v>
      </c>
      <c r="Q73" s="65">
        <f>Q65-Q66-Q69-Q72</f>
        <v>298.1851894371784</v>
      </c>
      <c r="R73" s="65">
        <f>R65-R66-R69-R72</f>
        <v>222.0801960778838</v>
      </c>
      <c r="S73" s="65">
        <f>S65-S66-S69-S72</f>
        <v>92.00166865841284</v>
      </c>
      <c r="T73" s="65">
        <f>T65-T66-T69-T72</f>
        <v>39.17786013380964</v>
      </c>
      <c r="U73" s="65">
        <f>U65-U66-U69-U72</f>
        <v>17.454038556357222</v>
      </c>
      <c r="V73" s="65">
        <f>V65-V66-V69-V72</f>
        <v>8.318786299667916</v>
      </c>
      <c r="W73" s="65">
        <f>W65-W66-W69-W72</f>
        <v>4.330392677710936</v>
      </c>
      <c r="X73" s="65">
        <f>X65-X66-X69-X72</f>
        <v>2.484315689467202</v>
      </c>
      <c r="Y73" s="65">
        <f>Y65-Y66-Y69-Y72</f>
        <v>1.5578452395740012</v>
      </c>
      <c r="Z73" s="65">
        <f>Z65-Z66-Z69-Z72</f>
        <v>1.0462273186699411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64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style="9" min="1" max="1"/>
    <col width="12" customWidth="1" style="9" min="2" max="2"/>
    <col width="12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</cols>
  <sheetData>
    <row r="1">
      <c r="A1" s="23" t="inlineStr">
        <is>
          <t>CORT — risk-adjusted NPV (rNPV), $mm except per share</t>
        </is>
      </c>
    </row>
    <row r="3">
      <c r="A3" s="13" t="inlineStr">
        <is>
          <t>Scenario</t>
        </is>
      </c>
      <c r="B3" s="66" t="str">
        <f>Assumptions!$C$4</f>
        <v>Base</v>
      </c>
    </row>
    <row r="4">
      <c r="A4" s="13" t="inlineStr">
        <is>
          <t>Valuation date</t>
        </is>
      </c>
      <c r="B4" s="67">
        <f>Assumptions!$B$13</f>
        <v>46311</v>
      </c>
    </row>
    <row r="5">
      <c r="A5" s="13" t="inlineStr">
        <is>
          <t>Discount rate</t>
        </is>
      </c>
      <c r="B5" s="68">
        <f>Assumptions!$B$14</f>
        <v>0.095</v>
      </c>
    </row>
    <row r="7">
      <c r="A7" s="28" t="inlineStr">
        <is>
          <t>Period</t>
        </is>
      </c>
      <c r="B7" s="69" t="inlineStr"/>
      <c r="C7" s="70" t="inlineStr">
        <is>
          <t>2H 2026</t>
        </is>
      </c>
      <c r="D7" s="28" t="n">
        <v>2027</v>
      </c>
      <c r="E7" s="28" t="n">
        <v>2028</v>
      </c>
      <c r="F7" s="28" t="n">
        <v>2029</v>
      </c>
      <c r="G7" s="28" t="n">
        <v>2030</v>
      </c>
      <c r="H7" s="28" t="n">
        <v>2031</v>
      </c>
      <c r="I7" s="28" t="n">
        <v>2032</v>
      </c>
      <c r="J7" s="28" t="n">
        <v>2033</v>
      </c>
      <c r="K7" s="28" t="n">
        <v>2034</v>
      </c>
      <c r="L7" s="28" t="n">
        <v>2035</v>
      </c>
      <c r="M7" s="28" t="n">
        <v>2036</v>
      </c>
      <c r="N7" s="28" t="n">
        <v>2037</v>
      </c>
      <c r="O7" s="28" t="n">
        <v>2038</v>
      </c>
      <c r="P7" s="28" t="n">
        <v>2039</v>
      </c>
      <c r="Q7" s="28" t="n">
        <v>2040</v>
      </c>
      <c r="R7" s="28" t="n">
        <v>2041</v>
      </c>
      <c r="S7" s="28" t="n">
        <v>2042</v>
      </c>
      <c r="T7" s="28" t="n">
        <v>2043</v>
      </c>
      <c r="U7" s="28" t="n">
        <v>2044</v>
      </c>
      <c r="V7" s="28" t="n">
        <v>2045</v>
      </c>
      <c r="W7" s="28" t="n">
        <v>2046</v>
      </c>
      <c r="X7" s="28" t="n">
        <v>2047</v>
      </c>
      <c r="Y7" s="28" t="n">
        <v>2048</v>
      </c>
      <c r="Z7" s="28" t="n">
        <v>2049</v>
      </c>
      <c r="AA7" s="28" t="n">
        <v>2050</v>
      </c>
    </row>
    <row r="8">
      <c r="A8" s="13" t="inlineStr">
        <is>
          <t>Revenue, risk-adjusted</t>
        </is>
      </c>
      <c r="C8" s="53">
        <f>SUM('Quarterly Model'!H2:I2)</f>
        <v>710.0</v>
      </c>
      <c r="D8" s="71">
        <f>'Yearly Model'!H2</f>
        <v>1382.08</v>
      </c>
      <c r="E8" s="71">
        <f>'Yearly Model'!I2</f>
        <v>1610.56</v>
      </c>
      <c r="F8" s="71">
        <f>'Yearly Model'!J2</f>
        <v>1686.34</v>
      </c>
      <c r="G8" s="71">
        <f>'Yearly Model'!K2</f>
        <v>1844.395</v>
      </c>
      <c r="H8" s="71">
        <f>'Yearly Model'!L2</f>
        <v>2077.48125</v>
      </c>
      <c r="I8" s="71">
        <f>'Yearly Model'!M2</f>
        <v>2201.1859375</v>
      </c>
      <c r="J8" s="71">
        <f>'Yearly Model'!N2</f>
        <v>2320.499453125</v>
      </c>
      <c r="K8" s="71">
        <f>'Yearly Model'!O2</f>
        <v>2376.51958984375</v>
      </c>
      <c r="L8" s="71">
        <f>'Yearly Model'!P2</f>
        <v>2419.0096923828123</v>
      </c>
      <c r="M8" s="71">
        <f>'Yearly Model'!Q2</f>
        <v>2421.4072692871096</v>
      </c>
      <c r="N8" s="71">
        <f>'Yearly Model'!R2</f>
        <v>2419.330451965332</v>
      </c>
      <c r="O8" s="71">
        <f>'Yearly Model'!S2</f>
        <v>2401.497838973999</v>
      </c>
      <c r="P8" s="71">
        <f>'Yearly Model'!T2</f>
        <v>1315.3233792304993</v>
      </c>
      <c r="Q8" s="71">
        <f>'Yearly Model'!U2</f>
        <v>876.1725344228745</v>
      </c>
      <c r="R8" s="71">
        <f>'Yearly Model'!V2</f>
        <v>547.0014008171559</v>
      </c>
      <c r="S8" s="71">
        <f>'Yearly Model'!W2</f>
        <v>412.6998506128669</v>
      </c>
      <c r="T8" s="71">
        <f>'Yearly Model'!X2</f>
        <v>171.00440795965017</v>
      </c>
      <c r="U8" s="71">
        <f>'Yearly Model'!Y2</f>
        <v>72.84511396973762</v>
      </c>
      <c r="V8" s="71">
        <f>'Yearly Model'!Z2</f>
        <v>32.47055867730322</v>
      </c>
      <c r="W8" s="71">
        <f>'Yearly Model'!AA2</f>
        <v>15.487608287977412</v>
      </c>
      <c r="X8" s="71">
        <f>'Yearly Model'!AB2</f>
        <v>8.069581927983059</v>
      </c>
      <c r="Y8" s="71">
        <f>'Yearly Model'!AC2</f>
        <v>4.633736730787294</v>
      </c>
      <c r="Z8" s="71">
        <f>'Yearly Model'!AD2</f>
        <v>2.90792266201047</v>
      </c>
      <c r="AA8" s="71">
        <f>'Yearly Model'!AE2</f>
        <v>1.9539900420758525</v>
      </c>
    </row>
    <row r="9">
      <c r="A9" s="13" t="inlineStr">
        <is>
          <t>Operating income (EBIT)</t>
        </is>
      </c>
      <c r="C9" s="53">
        <f>SUM('Quarterly Model'!H8:I8)</f>
        <v>238.64000000000004</v>
      </c>
      <c r="D9" s="71">
        <f>'Yearly Model'!H8</f>
        <v>490.3284</v>
      </c>
      <c r="E9" s="71">
        <f>'Yearly Model'!I8</f>
        <v>611.6127999999999</v>
      </c>
      <c r="F9" s="71">
        <f>'Yearly Model'!J8</f>
        <v>703.5099</v>
      </c>
      <c r="G9" s="71">
        <f>'Yearly Model'!K8</f>
        <v>847.555625</v>
      </c>
      <c r="H9" s="71">
        <f>'Yearly Model'!L8</f>
        <v>1032.8159687499997</v>
      </c>
      <c r="I9" s="71">
        <f>'Yearly Model'!M8</f>
        <v>1160.3124765624998</v>
      </c>
      <c r="J9" s="71">
        <f>'Yearly Model'!N8</f>
        <v>1237.8001074218753</v>
      </c>
      <c r="K9" s="71">
        <f>'Yearly Model'!O8</f>
        <v>1306.5927805664064</v>
      </c>
      <c r="L9" s="71">
        <f>'Yearly Model'!P8</f>
        <v>1336.9831854248043</v>
      </c>
      <c r="M9" s="71">
        <f>'Yearly Model'!Q8</f>
        <v>1345.7213890686037</v>
      </c>
      <c r="N9" s="71">
        <f>'Yearly Model'!R8</f>
        <v>1344.5017918014526</v>
      </c>
      <c r="O9" s="71">
        <f>'Yearly Model'!S8</f>
        <v>1334.9613438510894</v>
      </c>
      <c r="P9" s="71">
        <f>'Yearly Model'!T8</f>
        <v>729.5820078883172</v>
      </c>
      <c r="Q9" s="71">
        <f>'Yearly Model'!U8</f>
        <v>484.92590591623787</v>
      </c>
      <c r="R9" s="71">
        <f>'Yearly Model'!V8</f>
        <v>298.1851894371784</v>
      </c>
      <c r="S9" s="71">
        <f>'Yearly Model'!W8</f>
        <v>222.08019607788378</v>
      </c>
      <c r="T9" s="71">
        <f>'Yearly Model'!X8</f>
        <v>92.00166865841285</v>
      </c>
      <c r="U9" s="71">
        <f>'Yearly Model'!Y8</f>
        <v>39.17786013380963</v>
      </c>
      <c r="V9" s="71">
        <f>'Yearly Model'!Z8</f>
        <v>17.454038556357222</v>
      </c>
      <c r="W9" s="71">
        <f>'Yearly Model'!AA8</f>
        <v>8.318786299667916</v>
      </c>
      <c r="X9" s="71">
        <f>'Yearly Model'!AB8</f>
        <v>4.330392677710936</v>
      </c>
      <c r="Y9" s="71">
        <f>'Yearly Model'!AC8</f>
        <v>2.484315689467202</v>
      </c>
      <c r="Z9" s="71">
        <f>'Yearly Model'!AD8</f>
        <v>1.5578452395740015</v>
      </c>
      <c r="AA9" s="71">
        <f>'Yearly Model'!AE8</f>
        <v>1.0462273186699411</v>
      </c>
    </row>
    <row r="10">
      <c r="A10" s="13" t="inlineStr">
        <is>
          <t>Taxes on EBIT (after tax-loss pool)</t>
        </is>
      </c>
      <c r="C10" s="53" t="n">
        <v>0</v>
      </c>
      <c r="D10" s="53">
        <f>IF(D9&gt;0,MAX(0,D9-'Yearly Model'!G21)*Assumptions!$B$15,0)</f>
        <v>102.968964</v>
      </c>
      <c r="E10" s="53">
        <f>IF(E9&gt;0,MAX(0,E9-'Yearly Model'!H21)*Assumptions!$B$15,0)</f>
        <v>128.43868799999996</v>
      </c>
      <c r="F10" s="53">
        <f>IF(F9&gt;0,MAX(0,F9-'Yearly Model'!I21)*Assumptions!$B$15,0)</f>
        <v>147.737079</v>
      </c>
      <c r="G10" s="53">
        <f>IF(G9&gt;0,MAX(0,G9-'Yearly Model'!J21)*Assumptions!$B$15,0)</f>
        <v>177.98668124999998</v>
      </c>
      <c r="H10" s="53">
        <f>IF(H9&gt;0,MAX(0,H9-'Yearly Model'!K21)*Assumptions!$B$15,0)</f>
        <v>216.89135343749993</v>
      </c>
      <c r="I10" s="53">
        <f>IF(I9&gt;0,MAX(0,I9-'Yearly Model'!L21)*Assumptions!$B$15,0)</f>
        <v>243.66562007812496</v>
      </c>
      <c r="J10" s="53">
        <f>IF(J9&gt;0,MAX(0,J9-'Yearly Model'!M21)*Assumptions!$B$15,0)</f>
        <v>259.9380225585938</v>
      </c>
      <c r="K10" s="53">
        <f>IF(K9&gt;0,MAX(0,K9-'Yearly Model'!N21)*Assumptions!$B$15,0)</f>
        <v>274.38448391894536</v>
      </c>
      <c r="L10" s="53">
        <f>IF(L9&gt;0,MAX(0,L9-'Yearly Model'!O21)*Assumptions!$B$15,0)</f>
        <v>280.7664689392089</v>
      </c>
      <c r="M10" s="53">
        <f>IF(M9&gt;0,MAX(0,M9-'Yearly Model'!P21)*Assumptions!$B$15,0)</f>
        <v>282.6014917044068</v>
      </c>
      <c r="N10" s="53">
        <f>IF(N9&gt;0,MAX(0,N9-'Yearly Model'!Q21)*Assumptions!$B$15,0)</f>
        <v>282.345376278305</v>
      </c>
      <c r="O10" s="53">
        <f>IF(O9&gt;0,MAX(0,O9-'Yearly Model'!R21)*Assumptions!$B$15,0)</f>
        <v>280.34188220872875</v>
      </c>
      <c r="P10" s="53">
        <f>IF(P9&gt;0,MAX(0,P9-'Yearly Model'!S21)*Assumptions!$B$15,0)</f>
        <v>153.2122216565466</v>
      </c>
      <c r="Q10" s="53">
        <f>IF(Q9&gt;0,MAX(0,Q9-'Yearly Model'!T21)*Assumptions!$B$15,0)</f>
        <v>101.83444024240995</v>
      </c>
      <c r="R10" s="53">
        <f>IF(R9&gt;0,MAX(0,R9-'Yearly Model'!U21)*Assumptions!$B$15,0)</f>
        <v>62.61888978180746</v>
      </c>
      <c r="S10" s="53">
        <f>IF(S9&gt;0,MAX(0,S9-'Yearly Model'!V21)*Assumptions!$B$15,0)</f>
        <v>46.636841176355595</v>
      </c>
      <c r="T10" s="53">
        <f>IF(T9&gt;0,MAX(0,T9-'Yearly Model'!W21)*Assumptions!$B$15,0)</f>
        <v>19.3203504182667</v>
      </c>
      <c r="U10" s="53">
        <f>IF(U9&gt;0,MAX(0,U9-'Yearly Model'!X21)*Assumptions!$B$15,0)</f>
        <v>8.227350628100023</v>
      </c>
      <c r="V10" s="53">
        <f>IF(V9&gt;0,MAX(0,V9-'Yearly Model'!Y21)*Assumptions!$B$15,0)</f>
        <v>3.6653480968350167</v>
      </c>
      <c r="W10" s="53">
        <f>IF(W9&gt;0,MAX(0,W9-'Yearly Model'!Z21)*Assumptions!$B$15,0)</f>
        <v>1.7469451229302624</v>
      </c>
      <c r="X10" s="53">
        <f>IF(X9&gt;0,MAX(0,X9-'Yearly Model'!AA21)*Assumptions!$B$15,0)</f>
        <v>0.9093824623192965</v>
      </c>
      <c r="Y10" s="53">
        <f>IF(Y9&gt;0,MAX(0,Y9-'Yearly Model'!AB21)*Assumptions!$B$15,0)</f>
        <v>0.5217062947881124</v>
      </c>
      <c r="Z10" s="53">
        <f>IF(Z9&gt;0,MAX(0,Z9-'Yearly Model'!AC21)*Assumptions!$B$15,0)</f>
        <v>0.3271475003105403</v>
      </c>
      <c r="AA10" s="53">
        <f>IF(AA9&gt;0,MAX(0,AA9-'Yearly Model'!AD21)*Assumptions!$B$15,0)</f>
        <v>0.21970773692068762</v>
      </c>
    </row>
    <row r="11">
      <c r="A11" s="22" t="inlineStr">
        <is>
          <t>Unlevered free cash flow</t>
        </is>
      </c>
      <c r="C11" s="57">
        <f>C9-C10</f>
        <v>238.64000000000004</v>
      </c>
      <c r="D11" s="57">
        <f>D9-D10</f>
        <v>387.35943599999996</v>
      </c>
      <c r="E11" s="57">
        <f>E9-E10</f>
        <v>483.1741119999999</v>
      </c>
      <c r="F11" s="57">
        <f>F9-F10</f>
        <v>555.772821</v>
      </c>
      <c r="G11" s="57">
        <f>G9-G10</f>
        <v>669.56894375</v>
      </c>
      <c r="H11" s="57">
        <f>H9-H10</f>
        <v>815.9246153124998</v>
      </c>
      <c r="I11" s="57">
        <f>I9-I10</f>
        <v>916.6468564843749</v>
      </c>
      <c r="J11" s="57">
        <f>J9-J10</f>
        <v>977.8620848632816</v>
      </c>
      <c r="K11" s="57">
        <f>K9-K10</f>
        <v>1032.208296647461</v>
      </c>
      <c r="L11" s="57">
        <f>L9-L10</f>
        <v>1056.2167164855955</v>
      </c>
      <c r="M11" s="57">
        <f>M9-M10</f>
        <v>1063.119897364197</v>
      </c>
      <c r="N11" s="57">
        <f>N9-N10</f>
        <v>1062.1564155231476</v>
      </c>
      <c r="O11" s="57">
        <f>O9-O10</f>
        <v>1054.6194616423606</v>
      </c>
      <c r="P11" s="57">
        <f>P9-P10</f>
        <v>576.3697862317706</v>
      </c>
      <c r="Q11" s="57">
        <f>Q9-Q10</f>
        <v>383.0914656738279</v>
      </c>
      <c r="R11" s="57">
        <f>R9-R10</f>
        <v>235.56629965537093</v>
      </c>
      <c r="S11" s="57">
        <f>S9-S10</f>
        <v>175.44335490152818</v>
      </c>
      <c r="T11" s="57">
        <f>T9-T10</f>
        <v>72.68131824014615</v>
      </c>
      <c r="U11" s="57">
        <f>U9-U10</f>
        <v>30.950509505709608</v>
      </c>
      <c r="V11" s="57">
        <f>V9-V10</f>
        <v>13.788690459522206</v>
      </c>
      <c r="W11" s="57">
        <f>W9-W10</f>
        <v>6.571841176737654</v>
      </c>
      <c r="X11" s="57">
        <f>X9-X10</f>
        <v>3.4210102153916395</v>
      </c>
      <c r="Y11" s="57">
        <f>Y9-Y10</f>
        <v>1.9626093946790897</v>
      </c>
      <c r="Z11" s="57">
        <f>Z9-Z10</f>
        <v>1.2306977392634613</v>
      </c>
      <c r="AA11" s="57">
        <f>AA9-AA10</f>
        <v>0.8265195817492534</v>
      </c>
    </row>
    <row r="12">
      <c r="A12" s="13" t="inlineStr">
        <is>
          <t>Cash-flow date (mid-period)</t>
        </is>
      </c>
      <c r="C12" s="72">
        <f>DATE(2026,10,1)</f>
        <v>46296</v>
      </c>
      <c r="D12" s="72">
        <f>DATE(D7,7,1)</f>
        <v>46569</v>
      </c>
      <c r="E12" s="72">
        <f>DATE(E7,7,1)</f>
        <v>46935</v>
      </c>
      <c r="F12" s="72">
        <f>DATE(F7,7,1)</f>
        <v>47300</v>
      </c>
      <c r="G12" s="72">
        <f>DATE(G7,7,1)</f>
        <v>47665</v>
      </c>
      <c r="H12" s="72">
        <f>DATE(H7,7,1)</f>
        <v>48030</v>
      </c>
      <c r="I12" s="72">
        <f>DATE(I7,7,1)</f>
        <v>48396</v>
      </c>
      <c r="J12" s="72">
        <f>DATE(J7,7,1)</f>
        <v>48761</v>
      </c>
      <c r="K12" s="72">
        <f>DATE(K7,7,1)</f>
        <v>49126</v>
      </c>
      <c r="L12" s="72">
        <f>DATE(L7,7,1)</f>
        <v>49491</v>
      </c>
      <c r="M12" s="72">
        <f>DATE(M7,7,1)</f>
        <v>49857</v>
      </c>
      <c r="N12" s="72">
        <f>DATE(N7,7,1)</f>
        <v>50222</v>
      </c>
      <c r="O12" s="72">
        <f>DATE(O7,7,1)</f>
        <v>50587</v>
      </c>
      <c r="P12" s="72">
        <f>DATE(P7,7,1)</f>
        <v>50952</v>
      </c>
      <c r="Q12" s="72">
        <f>DATE(Q7,7,1)</f>
        <v>51318</v>
      </c>
      <c r="R12" s="72">
        <f>DATE(R7,7,1)</f>
        <v>51683</v>
      </c>
      <c r="S12" s="72">
        <f>DATE(S7,7,1)</f>
        <v>52048</v>
      </c>
      <c r="T12" s="72">
        <f>DATE(T7,7,1)</f>
        <v>52413</v>
      </c>
      <c r="U12" s="72">
        <f>DATE(U7,7,1)</f>
        <v>52779</v>
      </c>
      <c r="V12" s="72">
        <f>DATE(V7,7,1)</f>
        <v>53144</v>
      </c>
      <c r="W12" s="72">
        <f>DATE(W7,7,1)</f>
        <v>53509</v>
      </c>
      <c r="X12" s="72">
        <f>DATE(X7,7,1)</f>
        <v>53874</v>
      </c>
      <c r="Y12" s="72">
        <f>DATE(Y7,7,1)</f>
        <v>54240</v>
      </c>
      <c r="Z12" s="72">
        <f>DATE(Z7,7,1)</f>
        <v>54605</v>
      </c>
      <c r="AA12" s="72">
        <f>DATE(AA7,7,1)</f>
        <v>54970</v>
      </c>
    </row>
    <row r="13">
      <c r="A13" s="13" t="inlineStr">
        <is>
          <t>Years from valuation date</t>
        </is>
      </c>
      <c r="C13" s="11">
        <f>MAX(0,(C12-$B$4)/365.25)</f>
        <v>0</v>
      </c>
      <c r="D13" s="11">
        <f>MAX(0,(D12-$B$4)/365.25)</f>
        <v>0.7063655030800822</v>
      </c>
      <c r="E13" s="11">
        <f>MAX(0,(E12-$B$4)/365.25)</f>
        <v>1.7084188911704312</v>
      </c>
      <c r="F13" s="11">
        <f>MAX(0,(F12-$B$4)/365.25)</f>
        <v>2.707734428473648</v>
      </c>
      <c r="G13" s="11">
        <f>MAX(0,(G12-$B$4)/365.25)</f>
        <v>3.707049965776865</v>
      </c>
      <c r="H13" s="11">
        <f>MAX(0,(H12-$B$4)/365.25)</f>
        <v>4.706365503080082</v>
      </c>
      <c r="I13" s="11">
        <f>MAX(0,(I12-$B$4)/365.25)</f>
        <v>5.708418891170431</v>
      </c>
      <c r="J13" s="11">
        <f>MAX(0,(J12-$B$4)/365.25)</f>
        <v>6.707734428473648</v>
      </c>
      <c r="K13" s="11">
        <f>MAX(0,(K12-$B$4)/365.25)</f>
        <v>7.707049965776865</v>
      </c>
      <c r="L13" s="11">
        <f>MAX(0,(L12-$B$4)/365.25)</f>
        <v>8.706365503080082</v>
      </c>
      <c r="M13" s="11">
        <f>MAX(0,(M12-$B$4)/365.25)</f>
        <v>9.708418891170432</v>
      </c>
      <c r="N13" s="11">
        <f>MAX(0,(N12-$B$4)/365.25)</f>
        <v>10.707734428473648</v>
      </c>
      <c r="O13" s="11">
        <f>MAX(0,(O12-$B$4)/365.25)</f>
        <v>11.707049965776864</v>
      </c>
      <c r="P13" s="11">
        <f>MAX(0,(P12-$B$4)/365.25)</f>
        <v>12.706365503080082</v>
      </c>
      <c r="Q13" s="11">
        <f>MAX(0,(Q12-$B$4)/365.25)</f>
        <v>13.708418891170432</v>
      </c>
      <c r="R13" s="11">
        <f>MAX(0,(R12-$B$4)/365.25)</f>
        <v>14.707734428473648</v>
      </c>
      <c r="S13" s="11">
        <f>MAX(0,(S12-$B$4)/365.25)</f>
        <v>15.707049965776864</v>
      </c>
      <c r="T13" s="11">
        <f>MAX(0,(T12-$B$4)/365.25)</f>
        <v>16.706365503080082</v>
      </c>
      <c r="U13" s="11">
        <f>MAX(0,(U12-$B$4)/365.25)</f>
        <v>17.70841889117043</v>
      </c>
      <c r="V13" s="11">
        <f>MAX(0,(V12-$B$4)/365.25)</f>
        <v>18.70773442847365</v>
      </c>
      <c r="W13" s="11">
        <f>MAX(0,(W12-$B$4)/365.25)</f>
        <v>19.707049965776864</v>
      </c>
      <c r="X13" s="11">
        <f>MAX(0,(X12-$B$4)/365.25)</f>
        <v>20.706365503080082</v>
      </c>
      <c r="Y13" s="11">
        <f>MAX(0,(Y12-$B$4)/365.25)</f>
        <v>21.70841889117043</v>
      </c>
      <c r="Z13" s="11">
        <f>MAX(0,(Z12-$B$4)/365.25)</f>
        <v>22.70773442847365</v>
      </c>
      <c r="AA13" s="11">
        <f>MAX(0,(AA12-$B$4)/365.25)</f>
        <v>23.707049965776864</v>
      </c>
    </row>
    <row r="14">
      <c r="A14" s="13" t="inlineStr">
        <is>
          <t>Discount factor</t>
        </is>
      </c>
      <c r="C14" s="73">
        <f>1/(1+$B$5)^C13</f>
        <v>1.0</v>
      </c>
      <c r="D14" s="73">
        <f>1/(1+$B$5)^D13</f>
        <v>0.9379058093709697</v>
      </c>
      <c r="E14" s="73">
        <f>1/(1+$B$5)^E13</f>
        <v>0.8563753819391269</v>
      </c>
      <c r="F14" s="73">
        <f>1/(1+$B$5)^F13</f>
        <v>0.7821265569835633</v>
      </c>
      <c r="G14" s="73">
        <f>1/(1+$B$5)^G13</f>
        <v>0.7143151987319102</v>
      </c>
      <c r="H14" s="73">
        <f>1/(1+$B$5)^H13</f>
        <v>0.6523831707074121</v>
      </c>
      <c r="I14" s="73">
        <f>1/(1+$B$5)^I13</f>
        <v>0.5956727012490891</v>
      </c>
      <c r="J14" s="73">
        <f>1/(1+$B$5)^J13</f>
        <v>0.5440271272886325</v>
      </c>
      <c r="K14" s="73">
        <f>1/(1+$B$5)^K13</f>
        <v>0.49685928968257304</v>
      </c>
      <c r="L14" s="73">
        <f>1/(1+$B$5)^L13</f>
        <v>0.4537809630454239</v>
      </c>
      <c r="M14" s="73">
        <f>1/(1+$B$5)^M13</f>
        <v>0.4143346183188254</v>
      </c>
      <c r="N14" s="73">
        <f>1/(1+$B$5)^N13</f>
        <v>0.3784112846997239</v>
      </c>
      <c r="O14" s="73">
        <f>1/(1+$B$5)^O13</f>
        <v>0.3456025493817381</v>
      </c>
      <c r="P14" s="73">
        <f>1/(1+$B$5)^P13</f>
        <v>0.3156383727666457</v>
      </c>
      <c r="Q14" s="73">
        <f>1/(1+$B$5)^Q13</f>
        <v>0.2882005094029299</v>
      </c>
      <c r="R14" s="73">
        <f>1/(1+$B$5)^R13</f>
        <v>0.26321316200124634</v>
      </c>
      <c r="S14" s="73">
        <f>1/(1+$B$5)^S13</f>
        <v>0.24039224911234675</v>
      </c>
      <c r="T14" s="73">
        <f>1/(1+$B$5)^T13</f>
        <v>0.2195499381334848</v>
      </c>
      <c r="U14" s="73">
        <f>1/(1+$B$5)^U13</f>
        <v>0.2004648657095676</v>
      </c>
      <c r="V14" s="73">
        <f>1/(1+$B$5)^V13</f>
        <v>0.1830843091946113</v>
      </c>
      <c r="W14" s="73">
        <f>1/(1+$B$5)^W13</f>
        <v>0.1672106688352633</v>
      </c>
      <c r="X14" s="73">
        <f>1/(1+$B$5)^X13</f>
        <v>0.1527132931015752</v>
      </c>
      <c r="Y14" s="73">
        <f>1/(1+$B$5)^Y13</f>
        <v>0.1394382073342249</v>
      </c>
      <c r="Z14" s="73">
        <f>1/(1+$B$5)^Z13</f>
        <v>0.12734873901598173</v>
      </c>
      <c r="AA14" s="73">
        <f>1/(1+$B$5)^AA13</f>
        <v>0.11630744283801489</v>
      </c>
    </row>
    <row r="15">
      <c r="A15" s="22" t="inlineStr">
        <is>
          <t>PV of free cash flow</t>
        </is>
      </c>
      <c r="C15" s="57">
        <f>C11*C14</f>
        <v>238.64000000000004</v>
      </c>
      <c r="D15" s="57">
        <f>D11*D14</f>
        <v>363.3066653390623</v>
      </c>
      <c r="E15" s="57">
        <f>E11*E14</f>
        <v>413.7784147070984</v>
      </c>
      <c r="F15" s="57">
        <f>F11*F14</f>
        <v>434.6846829537722</v>
      </c>
      <c r="G15" s="57">
        <f>G11*G14</f>
        <v>478.28327311949647</v>
      </c>
      <c r="H15" s="57">
        <f>H11*H14</f>
        <v>532.2954875957942</v>
      </c>
      <c r="I15" s="57">
        <f>I11*I14</f>
        <v>546.0215090935337</v>
      </c>
      <c r="J15" s="57">
        <f>J11*J14</f>
        <v>531.983500912644</v>
      </c>
      <c r="K15" s="57">
        <f>K11*K14</f>
        <v>512.8622810767162</v>
      </c>
      <c r="L15" s="57">
        <f>L11*L14</f>
        <v>479.291038791509</v>
      </c>
      <c r="M15" s="57">
        <f>M11*M14</f>
        <v>440.48737690154337</v>
      </c>
      <c r="N15" s="57">
        <f>N11*N14</f>
        <v>401.9319737501681</v>
      </c>
      <c r="O15" s="57">
        <f>O11*O14</f>
        <v>364.47917457119604</v>
      </c>
      <c r="P15" s="57">
        <f>P11*P14</f>
        <v>181.9244214380555</v>
      </c>
      <c r="Q15" s="57">
        <f>Q11*Q14</f>
        <v>110.40715555511223</v>
      </c>
      <c r="R15" s="57">
        <f>R11*R14</f>
        <v>62.00415059322329</v>
      </c>
      <c r="S15" s="57">
        <f>S11*S14</f>
        <v>42.175222676594025</v>
      </c>
      <c r="T15" s="57">
        <f>T11*T14</f>
        <v>15.957178923084209</v>
      </c>
      <c r="U15" s="57">
        <f>U11*U14</f>
        <v>6.204489731704772</v>
      </c>
      <c r="V15" s="57">
        <f>V11*V14</f>
        <v>2.5244928674799505</v>
      </c>
      <c r="W15" s="57">
        <f>W11*W14</f>
        <v>1.098881958641427</v>
      </c>
      <c r="X15" s="57">
        <f>X11*X14</f>
        <v>0.5224337357265864</v>
      </c>
      <c r="Y15" s="57">
        <f>Y11*Y14</f>
        <v>0.27366273569136057</v>
      </c>
      <c r="Z15" s="57">
        <f>Z11*Z14</f>
        <v>0.15672780520502128</v>
      </c>
      <c r="AA15" s="57">
        <f>AA11*AA14</f>
        <v>0.09613037900880127</v>
      </c>
    </row>
    <row r="17">
      <c r="A17" s="30" t="inlineStr">
        <is>
          <t>Valuation summary</t>
        </is>
      </c>
      <c r="B17" s="31" t="n"/>
      <c r="C17" s="31" t="n"/>
    </row>
    <row r="18">
      <c r="A18" s="13" t="inlineStr">
        <is>
          <t>PV of risk-adjusted free cash flows</t>
        </is>
      </c>
      <c r="C18" s="53">
        <f>SUM(C15:AA15)</f>
        <v>6161.3903272120615</v>
      </c>
    </row>
    <row r="19">
      <c r="A19" s="13" t="inlineStr">
        <is>
          <t>Cash &amp; investments (Main; incl. post-quarter financing)</t>
        </is>
      </c>
      <c r="C19" s="71">
        <f>Main!C7</f>
        <v>544.6469999999999</v>
      </c>
    </row>
    <row r="20">
      <c r="A20" s="13" t="inlineStr">
        <is>
          <t>Debt, convertibles &amp; preferred at face (Main)</t>
        </is>
      </c>
      <c r="C20" s="71">
        <f>Main!C8</f>
        <v>0</v>
      </c>
    </row>
    <row r="21">
      <c r="A21" s="13" t="inlineStr">
        <is>
          <t>Equity value, all claims treated as debt</t>
        </is>
      </c>
      <c r="C21" s="53">
        <f>C18+C19-C20</f>
        <v>6706.037327212061</v>
      </c>
    </row>
    <row r="22">
      <c r="A22" s="13" t="inlineStr">
        <is>
          <t>Basic shares incl. pre-funded / as-converted (Main)</t>
        </is>
      </c>
      <c r="C22" s="74">
        <f>Main!C4</f>
        <v>108.098397</v>
      </c>
    </row>
    <row r="23">
      <c r="A23" s="13" t="inlineStr">
        <is>
          <t>Value / share before conversions</t>
        </is>
      </c>
      <c r="C23" s="54">
        <f>C21/C22</f>
        <v>62.036417868546756</v>
      </c>
    </row>
    <row r="25">
      <c r="A25" s="28" t="inlineStr">
        <is>
          <t>Convertible instruments (converted if value / share before conversions &gt; conversion price)</t>
        </is>
      </c>
      <c r="B25" s="29" t="inlineStr">
        <is>
          <t>Face ($mm)</t>
        </is>
      </c>
      <c r="C25" s="29" t="inlineStr">
        <is>
          <t>Shares (mm)</t>
        </is>
      </c>
      <c r="D25" s="29" t="inlineStr">
        <is>
          <t>Conv. price</t>
        </is>
      </c>
      <c r="E25" s="29" t="inlineStr">
        <is>
          <t>Converted?</t>
        </is>
      </c>
    </row>
    <row r="26">
      <c r="A26" s="13" t="inlineStr">
        <is>
          <t>—</t>
        </is>
      </c>
      <c r="B26" s="64" t="n">
        <v>0</v>
      </c>
      <c r="C26" s="64" t="n">
        <v>0</v>
      </c>
      <c r="D26" s="64" t="n">
        <v>0</v>
      </c>
      <c r="E26" s="75">
        <f>IF(AND(C26&gt;0,$C$23&gt;D26),1,0)</f>
        <v>0</v>
      </c>
    </row>
    <row r="27">
      <c r="A27" s="13" t="inlineStr">
        <is>
          <t>—</t>
        </is>
      </c>
      <c r="B27" s="64" t="n">
        <v>0</v>
      </c>
      <c r="C27" s="64" t="n">
        <v>0</v>
      </c>
      <c r="D27" s="64" t="n">
        <v>0</v>
      </c>
      <c r="E27" s="75">
        <f>IF(AND(C27&gt;0,$C$23&gt;D27),1,0)</f>
        <v>0</v>
      </c>
    </row>
    <row r="28">
      <c r="A28" s="13" t="inlineStr">
        <is>
          <t>—</t>
        </is>
      </c>
      <c r="B28" s="64" t="n">
        <v>0</v>
      </c>
      <c r="C28" s="64" t="n">
        <v>0</v>
      </c>
      <c r="D28" s="64" t="n">
        <v>0</v>
      </c>
      <c r="E28" s="75">
        <f>IF(AND(C28&gt;0,$C$23&gt;D28),1,0)</f>
        <v>0</v>
      </c>
    </row>
    <row r="29">
      <c r="A29" s="13" t="inlineStr">
        <is>
          <t>—</t>
        </is>
      </c>
      <c r="B29" s="64" t="n">
        <v>0</v>
      </c>
      <c r="C29" s="64" t="n">
        <v>0</v>
      </c>
      <c r="D29" s="64" t="n">
        <v>0</v>
      </c>
      <c r="E29" s="75">
        <f>IF(AND(C29&gt;0,$C$23&gt;D29),1,0)</f>
        <v>0</v>
      </c>
    </row>
    <row r="30">
      <c r="A30" s="13" t="inlineStr">
        <is>
          <t>—</t>
        </is>
      </c>
      <c r="B30" s="64" t="n">
        <v>0</v>
      </c>
      <c r="C30" s="64" t="n">
        <v>0</v>
      </c>
      <c r="D30" s="64" t="n">
        <v>0</v>
      </c>
      <c r="E30" s="75">
        <f>IF(AND(C30&gt;0,$C$23&gt;D30),1,0)</f>
        <v>0</v>
      </c>
    </row>
    <row r="31">
      <c r="A31" s="22" t="inlineStr">
        <is>
          <t>Equity value (rNPV) after conversions</t>
        </is>
      </c>
      <c r="C31" s="57">
        <f>C21+SUMPRODUCT(B26:B30,E26:E30)</f>
        <v>6706.037327212061</v>
      </c>
    </row>
    <row r="32">
      <c r="A32" s="13" t="inlineStr">
        <is>
          <t>Shares after conversions (mm)</t>
        </is>
      </c>
      <c r="C32" s="18">
        <f>C22+SUMPRODUCT(C26:C30,E26:E30)</f>
        <v>108.098397</v>
      </c>
    </row>
    <row r="33">
      <c r="A33" s="13" t="inlineStr">
        <is>
          <t>Value / share before options &amp; warrants</t>
        </is>
      </c>
      <c r="C33" s="54">
        <f>C31/C32</f>
        <v>62.036417868546756</v>
      </c>
    </row>
    <row r="35">
      <c r="A35" s="28" t="inlineStr">
        <is>
          <t>Options, warrants &amp; RSUs (treasury-stock method)</t>
        </is>
      </c>
      <c r="B35" s="29" t="inlineStr">
        <is>
          <t>Count (mm)</t>
        </is>
      </c>
      <c r="C35" s="29" t="inlineStr">
        <is>
          <t>Strike</t>
        </is>
      </c>
      <c r="D35" s="29" t="inlineStr">
        <is>
          <t>Dilution (mm)</t>
        </is>
      </c>
    </row>
    <row r="36">
      <c r="A36" s="13" t="inlineStr">
        <is>
          <t>Options</t>
        </is>
      </c>
      <c r="B36" s="76" t="n">
        <v>23.957</v>
      </c>
      <c r="C36" s="77" t="n">
        <v>24.48</v>
      </c>
      <c r="D36" s="73">
        <f>IF(AND(B36&gt;0,$C$33&gt;C36),B36*(1-C36/$C$33),0)</f>
        <v>14.50340193373663</v>
      </c>
    </row>
    <row r="37">
      <c r="A37" s="13" t="inlineStr">
        <is>
          <t>RSUs</t>
        </is>
      </c>
      <c r="B37" s="76" t="n">
        <v>1.8</v>
      </c>
      <c r="C37" s="77" t="n">
        <v>0</v>
      </c>
      <c r="D37" s="73">
        <f>IF(AND(B37&gt;0,$C$33&gt;C37),B37*(1-C37/$C$33),0)</f>
        <v>1.8</v>
      </c>
    </row>
    <row r="38">
      <c r="A38" s="13" t="inlineStr">
        <is>
          <t>—</t>
        </is>
      </c>
      <c r="B38" s="64" t="n">
        <v>0</v>
      </c>
      <c r="C38" s="64" t="n">
        <v>0</v>
      </c>
      <c r="D38" s="73">
        <f>IF(AND(B38&gt;0,$C$33&gt;C38),B38*(1-C38/$C$33),0)</f>
        <v>0</v>
      </c>
    </row>
    <row r="39">
      <c r="A39" s="13" t="inlineStr">
        <is>
          <t>—</t>
        </is>
      </c>
      <c r="B39" s="64" t="n">
        <v>0</v>
      </c>
      <c r="C39" s="64" t="n">
        <v>0</v>
      </c>
      <c r="D39" s="73">
        <f>IF(AND(B39&gt;0,$C$33&gt;C39),B39*(1-C39/$C$33),0)</f>
        <v>0</v>
      </c>
    </row>
    <row r="40">
      <c r="A40" s="13" t="inlineStr">
        <is>
          <t>—</t>
        </is>
      </c>
      <c r="B40" s="64" t="n">
        <v>0</v>
      </c>
      <c r="C40" s="64" t="n">
        <v>0</v>
      </c>
      <c r="D40" s="73">
        <f>IF(AND(B40&gt;0,$C$33&gt;C40),B40*(1-C40/$C$33),0)</f>
        <v>0</v>
      </c>
    </row>
    <row r="41">
      <c r="A41" s="13" t="inlineStr">
        <is>
          <t>—</t>
        </is>
      </c>
      <c r="B41" s="64" t="n">
        <v>0</v>
      </c>
      <c r="C41" s="64" t="n">
        <v>0</v>
      </c>
      <c r="D41" s="73">
        <f>IF(AND(B41&gt;0,$C$33&gt;C41),B41*(1-C41/$C$33),0)</f>
        <v>0</v>
      </c>
    </row>
    <row r="42">
      <c r="A42" s="13" t="inlineStr">
        <is>
          <t>Diluted shares (mm)</t>
        </is>
      </c>
      <c r="C42" s="18">
        <f>C32+SUM(D36:D41)</f>
        <v>124.40179893373664</v>
      </c>
    </row>
    <row r="43">
      <c r="A43" s="22" t="inlineStr">
        <is>
          <t>rNPV / share, diluted</t>
        </is>
      </c>
      <c r="C43" s="78">
        <f>C31/C42</f>
        <v>53.90627293729146</v>
      </c>
    </row>
    <row r="44">
      <c r="A44" s="13" t="inlineStr">
        <is>
          <t>Current price (Main)</t>
        </is>
      </c>
      <c r="C44" s="79">
        <f>Main!C3</f>
        <v>116.45</v>
      </c>
    </row>
    <row r="45">
      <c r="A45" s="22" t="inlineStr">
        <is>
          <t>Upside / (downside) to rNPV</t>
        </is>
      </c>
      <c r="C45" s="59">
        <f>C43/C44-1</f>
        <v>-0.5370865355320613</v>
      </c>
    </row>
    <row r="46">
      <c r="A46" s="13" t="inlineStr">
        <is>
          <t>Net cash / share</t>
        </is>
      </c>
      <c r="C46" s="54">
        <f>(C19-C20)/C22</f>
        <v>5.038437341489901</v>
      </c>
    </row>
    <row r="47">
      <c r="A47" s="13" t="inlineStr">
        <is>
          <t>Est. cash &amp; investments at 12/31/2026</t>
        </is>
      </c>
      <c r="C47" s="71">
        <f>'Quarterly Model'!I20</f>
        <v>792.287</v>
      </c>
    </row>
    <row r="48">
      <c r="A48" s="13" t="inlineStr">
        <is>
          <t>Liquidation value / share (12/31/2026E cash − debt − wind-down)</t>
        </is>
      </c>
      <c r="C48" s="54">
        <f>MAX(0,C47-C20-Assumptions!$B$27)/C22</f>
        <v>6.8667715766404935</v>
      </c>
    </row>
    <row r="49">
      <c r="A49" s="13" t="inlineStr">
        <is>
          <t>Market-implied value of pipeline (market cap − net cash)</t>
        </is>
      </c>
      <c r="C49" s="53">
        <f>Main!C5-(C19-C20)</f>
        <v>12043.41133065</v>
      </c>
    </row>
    <row r="51">
      <c r="A51" s="30" t="inlineStr">
        <is>
          <t>Sum of the parts (PV)</t>
        </is>
      </c>
      <c r="B51" s="80" t="inlineStr">
        <is>
          <t>$mm</t>
        </is>
      </c>
      <c r="C51" s="80" t="inlineStr">
        <is>
          <t>$ / share</t>
        </is>
      </c>
    </row>
    <row r="52">
      <c r="A52" s="13" t="inlineStr">
        <is>
          <t>Korlym + authorized generic (mifepristone) — hypercortisolism</t>
        </is>
      </c>
      <c r="B52" s="53">
        <f>SUMPRODUCT(Pipeline!C11:Z11,$D$14:$AA$14)</f>
        <v>2552.587126140146</v>
      </c>
      <c r="C52" s="54">
        <f>B52/$C$42</f>
        <v>20.518892395597888</v>
      </c>
    </row>
    <row r="53">
      <c r="A53" s="13" t="inlineStr">
        <is>
          <t>Lifyorli (relacorilant) — platinum-resistant ovarian cancer</t>
        </is>
      </c>
      <c r="B53" s="53">
        <f>SUMPRODUCT(Pipeline!C20:Z20,$D$14:$AA$14)</f>
        <v>3398.895263538339</v>
      </c>
      <c r="C53" s="54">
        <f>B53/$C$42</f>
        <v>27.321914093451177</v>
      </c>
    </row>
    <row r="54">
      <c r="A54" s="13" t="inlineStr">
        <is>
          <t>Relacorilant — hypercortisolism (incremental to Korlym)</t>
        </is>
      </c>
      <c r="B54" s="53">
        <f>SUMPRODUCT(Pipeline!C32:Z32,$D$14:$AA$14)</f>
        <v>3352.8821746753874</v>
      </c>
      <c r="C54" s="54">
        <f>B54/$C$42</f>
        <v>26.9520393066126</v>
      </c>
    </row>
    <row r="55">
      <c r="A55" s="13" t="inlineStr">
        <is>
          <t>Relacorilant / nenocorilant — other oncology (BELLA, STELLA, combos)</t>
        </is>
      </c>
      <c r="B55" s="53">
        <f>SUMPRODUCT(Pipeline!C42:Z42,$D$14:$AA$14)</f>
        <v>679.8955950866641</v>
      </c>
      <c r="C55" s="54">
        <f>B55/$C$42</f>
        <v>5.465319640986981</v>
      </c>
    </row>
    <row r="56">
      <c r="A56" s="13" t="inlineStr">
        <is>
          <t>Dazucorilant — ALS (Phase 3 planned)</t>
        </is>
      </c>
      <c r="B56" s="53">
        <f>SUMPRODUCT(Pipeline!C52:Z52,$D$14:$AA$14)</f>
        <v>237.1581089687544</v>
      </c>
      <c r="C56" s="54">
        <f>B56/$C$42</f>
        <v>1.9063880988978148</v>
      </c>
    </row>
    <row r="57">
      <c r="A57" s="13" t="inlineStr">
        <is>
          <t>Miricorilant — MASH (MONARCH Phase 2b, data YE26)</t>
        </is>
      </c>
      <c r="B57" s="53">
        <f>SUMPRODUCT(Pipeline!C62:Z62,$D$14:$AA$14)</f>
        <v>324.1521350556446</v>
      </c>
      <c r="C57" s="54">
        <f>B57/$C$42</f>
        <v>2.6056868777943167</v>
      </c>
    </row>
    <row r="58">
      <c r="A58" s="13" t="inlineStr">
        <is>
          <t>Corporate G&amp;A + platform R&amp;D (2027+)</t>
        </is>
      </c>
      <c r="B58" s="53">
        <f>-SUMPRODUCT(Pipeline!C68:Z68,$D$14:$AA$14)-SUMPRODUCT(Pipeline!C71:Z71,$D$14:$AA$14)</f>
        <v>-3048.4180905382764</v>
      </c>
      <c r="C58" s="54">
        <f>B58/$C$42</f>
        <v>-24.504614215121073</v>
      </c>
    </row>
    <row r="59">
      <c r="A59" s="13" t="inlineStr">
        <is>
          <t>2H 2026 operating result</t>
        </is>
      </c>
      <c r="B59" s="53">
        <f>C11*C14</f>
        <v>238.64000000000004</v>
      </c>
      <c r="C59" s="54">
        <f>B59/$C$42</f>
        <v>1.9183002339629596</v>
      </c>
    </row>
    <row r="60">
      <c r="A60" s="13" t="inlineStr">
        <is>
          <t>Taxes</t>
        </is>
      </c>
      <c r="B60" s="53">
        <f>-SUMPRODUCT(D10:AA10,D14:AA14)</f>
        <v>-1574.4019857145984</v>
      </c>
      <c r="C60" s="54">
        <f>B60/$C$42</f>
        <v>-12.655781501626137</v>
      </c>
    </row>
    <row r="61">
      <c r="A61" s="13" t="inlineStr">
        <is>
          <t>Net cash (cash − all claims at face)</t>
        </is>
      </c>
      <c r="B61" s="53">
        <f>C19-C20</f>
        <v>544.6469999999999</v>
      </c>
      <c r="C61" s="54">
        <f>B61/$C$42</f>
        <v>4.37812800673493</v>
      </c>
    </row>
    <row r="62">
      <c r="A62" s="13" t="inlineStr">
        <is>
          <t>Add back converted claims</t>
        </is>
      </c>
      <c r="B62" s="53">
        <f>SUMPRODUCT(B26:B30,E26:E30)</f>
        <v>0.0</v>
      </c>
      <c r="C62" s="54">
        <f>B62/$C$42</f>
        <v>0.0</v>
      </c>
    </row>
    <row r="63">
      <c r="A63" s="22" t="inlineStr">
        <is>
          <t>Equity value</t>
        </is>
      </c>
      <c r="B63" s="65">
        <f>SUM(B52:B62)</f>
        <v>6706.0373272120605</v>
      </c>
      <c r="C63" s="81">
        <f>B63/$C$42</f>
        <v>53.906272937291455</v>
      </c>
    </row>
    <row r="64">
      <c r="A64" s="25" t="inlineStr">
        <is>
          <t>Check vs. equity value above (should be 0)</t>
        </is>
      </c>
      <c r="B64" s="82">
        <f>ROUND(B63-C31,6)</f>
        <v>-0.0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3" customWidth="1" style="9" min="11" max="11"/>
    <col width="13" customWidth="1" style="9" min="12" max="12"/>
  </cols>
  <sheetData>
    <row r="1">
      <c r="A1" s="23" t="inlineStr">
        <is>
          <t>CORT — PDUFA options analysis (per contract = 100 shares)</t>
        </is>
      </c>
    </row>
    <row r="3">
      <c r="A3" s="30" t="inlineStr">
        <is>
          <t>Inputs</t>
        </is>
      </c>
      <c r="B3" s="31" t="n"/>
    </row>
    <row r="4">
      <c r="A4" s="13" t="inlineStr">
        <is>
          <t>Spot price (close 10/16/2026)</t>
        </is>
      </c>
      <c r="B4" s="77" t="n">
        <v>110.16</v>
      </c>
    </row>
    <row r="5">
      <c r="A5" s="13" t="inlineStr">
        <is>
          <t>Pricing date</t>
        </is>
      </c>
      <c r="B5" s="83">
        <f>DATE(2026,10,16)</f>
        <v>46311</v>
      </c>
    </row>
    <row r="6">
      <c r="A6" s="13" t="inlineStr">
        <is>
          <t>PDUFA date</t>
        </is>
      </c>
      <c r="B6" s="67">
        <f>Assumptions!$B$30</f>
        <v>46373</v>
      </c>
    </row>
    <row r="7">
      <c r="A7" s="13" t="inlineStr">
        <is>
          <t>Expiry (first monthly after the PDUFA date)</t>
        </is>
      </c>
      <c r="B7" s="83">
        <f>DATE(2027,1,15)</f>
        <v>46402</v>
      </c>
    </row>
    <row r="8">
      <c r="A8" s="13" t="inlineStr">
        <is>
          <t>Years to expiry (T)</t>
        </is>
      </c>
      <c r="B8" s="73">
        <f>(B7-B5)/365</f>
        <v>0.2493150684931507</v>
      </c>
    </row>
    <row r="9">
      <c r="A9" s="13" t="inlineStr">
        <is>
          <t>Risk-free rate</t>
        </is>
      </c>
      <c r="B9" s="84" t="n">
        <v>0.04</v>
      </c>
    </row>
    <row r="10">
      <c r="A10" s="13" t="inlineStr">
        <is>
          <t>Reference IV for wide quotes (theo prices)</t>
        </is>
      </c>
      <c r="B10" s="84" t="n">
        <v>0.6951000000000001</v>
      </c>
    </row>
    <row r="11">
      <c r="A11" s="13" t="inlineStr">
        <is>
          <t>Contract multiplier</t>
        </is>
      </c>
      <c r="B11" s="85" t="n">
        <v>100</v>
      </c>
    </row>
    <row r="13">
      <c r="A13" s="30" t="inlineStr">
        <is>
          <t>Event model (two outcomes at the PDUFA)</t>
        </is>
      </c>
      <c r="B13" s="31" t="n"/>
      <c r="C13" s="31" t="n"/>
    </row>
    <row r="14">
      <c r="A14" s="13" t="inlineStr">
        <is>
          <t>Model value / share, probability-weighted</t>
        </is>
      </c>
      <c r="B14" s="79">
        <f>NPV!C43</f>
        <v>53.90627293729146</v>
      </c>
    </row>
    <row r="15">
      <c r="A15" s="13" t="inlineStr">
        <is>
          <t>Model value / share if approved</t>
        </is>
      </c>
      <c r="B15" s="79">
        <f>Assumptions!$D$150</f>
        <v>59.646554165381694</v>
      </c>
    </row>
    <row r="16">
      <c r="A16" s="13" t="inlineStr">
        <is>
          <t>Model value / share if CRL</t>
        </is>
      </c>
      <c r="B16" s="79">
        <f>Assumptions!$D$149</f>
        <v>45.3127737796922</v>
      </c>
    </row>
    <row r="17">
      <c r="A17" s="13" t="inlineStr">
        <is>
          <t>Model probability of approval</t>
        </is>
      </c>
      <c r="B17" s="68">
        <f>Assumptions!$B$32</f>
        <v>0.6</v>
      </c>
    </row>
    <row r="18">
      <c r="A18" s="13" t="inlineStr">
        <is>
          <t>Event-move scale (share of model jump priced at expiry)</t>
        </is>
      </c>
      <c r="B18" s="26" t="n">
        <v>1</v>
      </c>
    </row>
    <row r="19">
      <c r="A19" s="13" t="inlineStr">
        <is>
          <t>Floor after a CRL, % of est. 12/31/2026 net cash / share</t>
        </is>
      </c>
      <c r="B19" s="26" t="n">
        <v>0.5</v>
      </c>
    </row>
    <row r="20">
      <c r="A20" s="13" t="inlineStr">
        <is>
          <t>Floor price after a CRL</t>
        </is>
      </c>
      <c r="B20" s="54">
        <f>MAX(0,B19*(NPV!C47-NPV!C20)/NPV!C22)</f>
        <v>3.6646565628535637</v>
      </c>
    </row>
    <row r="21">
      <c r="A21" s="22" t="inlineStr">
        <is>
          <t>Price if approved (center of outcome)</t>
        </is>
      </c>
      <c r="B21" s="58">
        <f>IF(B14&gt;0,B4*(1+B18*(B15/B14-1)),B4+B18*(B15-B14))</f>
        <v>121.89053423340961</v>
      </c>
    </row>
    <row r="22">
      <c r="A22" s="22" t="inlineStr">
        <is>
          <t>Price if CRL (center of outcome)</t>
        </is>
      </c>
      <c r="B22" s="58">
        <f>MAX(B20,IF(B14&gt;0,B4*(1+B18*(B16/B14-1)),B4+B18*(B16-B14)))</f>
        <v>92.59878095036596</v>
      </c>
    </row>
    <row r="23">
      <c r="A23" s="13" t="inlineStr">
        <is>
          <t>Model expected price after the decision</t>
        </is>
      </c>
      <c r="B23" s="54">
        <f>B17*B21+(1-B17)*B22</f>
        <v>110.17383292019215</v>
      </c>
    </row>
    <row r="24">
      <c r="A24" s="13" t="inlineStr">
        <is>
          <t>Non-event volatility (6-month realized, 3 largest days removed)</t>
        </is>
      </c>
      <c r="B24" s="26" t="n">
        <v>0.411</v>
      </c>
    </row>
    <row r="25">
      <c r="A25" s="13" t="inlineStr">
        <is>
          <t>Model fair ATM straddle, % of spot (jump + non-event volatility)</t>
        </is>
      </c>
      <c r="B25" s="59">
        <f>(B17*((B21*NORMSDIST(((LN(B21/110.0)+$B$24^2*$B$8/2)/($B$24*SQRT($B$8))))-110.0*NORMSDIST((((LN(B21/110.0)+$B$24^2*$B$8/2)/($B$24*SQRT($B$8)))-$B$24*SQRT($B$8))))+(110.0*NORMSDIST(-(((LN(B21/110.0)+$B$24^2*$B$8/2)/($B$24*SQRT($B$8)))-$B$24*SQRT($B$8)))-B21*NORMSDIST(-((LN(B21/110.0)+$B$24^2*$B$8/2)/($B$24*SQRT($B$8))))))+(1-B17)*((B22*NORMSDIST(((LN(B22/110.0)+$B$24^2*$B$8/2)/($B$24*SQRT($B$8))))-110.0*NORMSDIST((((LN(B22/110.0)+$B$24^2*$B$8/2)/($B$24*SQRT($B$8)))-$B$24*SQRT($B$8))))+(110.0*NORMSDIST(-(((LN(B22/110.0)+$B$24^2*$B$8/2)/($B$24*SQRT($B$8)))-$B$24*SQRT($B$8)))-B22*NORMSDIST(-((LN(B22/110.0)+$B$24^2*$B$8/2)/($B$24*SQRT($B$8)))))))/B4</f>
        <v>0.19581216754405734</v>
      </c>
    </row>
    <row r="26">
      <c r="A26" s="13" t="inlineStr">
        <is>
          <t>Market ATM straddle, % of spot</t>
        </is>
      </c>
      <c r="B26" s="59">
        <f>($G$43+$G$44)/B4</f>
        <v>0.27460058097313</v>
      </c>
    </row>
    <row r="27">
      <c r="A27" s="22" t="inlineStr">
        <is>
          <t>Options richness (market straddle ÷ model straddle)</t>
        </is>
      </c>
      <c r="B27" s="86">
        <f>B26/B25</f>
        <v>1.402367301364689</v>
      </c>
    </row>
    <row r="28">
      <c r="A28" s="30" t="inlineStr">
        <is>
          <t>Market snapshot — 1/15/2027 expiry (Cboe delayed quotes, 10/16/2026 close)</t>
        </is>
      </c>
    </row>
    <row r="29">
      <c r="A29" s="29" t="inlineStr">
        <is>
          <t>Strike</t>
        </is>
      </c>
      <c r="B29" s="29" t="inlineStr">
        <is>
          <t>Call bid</t>
        </is>
      </c>
      <c r="C29" s="29" t="inlineStr">
        <is>
          <t>Call ask</t>
        </is>
      </c>
      <c r="D29" s="29" t="inlineStr">
        <is>
          <t>Call mid</t>
        </is>
      </c>
      <c r="E29" s="29" t="inlineStr">
        <is>
          <t>Call IV</t>
        </is>
      </c>
      <c r="F29" s="29" t="inlineStr">
        <is>
          <t>Put bid</t>
        </is>
      </c>
      <c r="G29" s="29" t="inlineStr">
        <is>
          <t>Put ask</t>
        </is>
      </c>
      <c r="H29" s="29" t="inlineStr">
        <is>
          <t>Put mid</t>
        </is>
      </c>
      <c r="I29" s="29" t="inlineStr">
        <is>
          <t>Put IV</t>
        </is>
      </c>
      <c r="J29" s="29" t="inlineStr">
        <is>
          <t>Call OI</t>
        </is>
      </c>
      <c r="K29" s="29" t="inlineStr">
        <is>
          <t>Put OI</t>
        </is>
      </c>
    </row>
    <row r="30">
      <c r="A30" s="87" t="n">
        <v>80</v>
      </c>
      <c r="B30" s="77" t="n">
        <v>32.4</v>
      </c>
      <c r="C30" s="77" t="n">
        <v>36</v>
      </c>
      <c r="D30" s="54">
        <f>(B30+C30)/2</f>
        <v>34.2</v>
      </c>
      <c r="E30" s="84" t="n">
        <v>0.7321</v>
      </c>
      <c r="F30" s="77" t="n">
        <v>1.6</v>
      </c>
      <c r="G30" s="77" t="n">
        <v>5.6</v>
      </c>
      <c r="H30" s="54">
        <f>(F30+G30)/2</f>
        <v>3.5999999999999996</v>
      </c>
      <c r="I30" s="84" t="n">
        <v>0.7481</v>
      </c>
      <c r="J30" s="88" t="n">
        <v>1003</v>
      </c>
      <c r="K30" s="88" t="n">
        <v>406</v>
      </c>
    </row>
    <row r="31">
      <c r="A31" s="87" t="n">
        <v>95</v>
      </c>
      <c r="B31" s="77" t="n">
        <v>21.5</v>
      </c>
      <c r="C31" s="77" t="n">
        <v>25.4</v>
      </c>
      <c r="D31" s="54">
        <f>(B31+C31)/2</f>
        <v>23.45</v>
      </c>
      <c r="E31" s="84" t="n">
        <v>0.6958</v>
      </c>
      <c r="F31" s="77" t="n">
        <v>7.2</v>
      </c>
      <c r="G31" s="77" t="n">
        <v>8.5</v>
      </c>
      <c r="H31" s="54">
        <f>(F31+G31)/2</f>
        <v>7.85</v>
      </c>
      <c r="I31" s="84" t="n">
        <v>0.7149</v>
      </c>
      <c r="J31" s="88" t="n">
        <v>162</v>
      </c>
      <c r="K31" s="88" t="n">
        <v>5151</v>
      </c>
    </row>
    <row r="32">
      <c r="A32" s="87" t="n">
        <v>97.5</v>
      </c>
      <c r="B32" s="77" t="n">
        <v>20</v>
      </c>
      <c r="C32" s="77" t="n">
        <v>22.9</v>
      </c>
      <c r="D32" s="54">
        <f>(B32+C32)/2</f>
        <v>21.45</v>
      </c>
      <c r="E32" s="84" t="n">
        <v>0.6676</v>
      </c>
      <c r="F32" s="77" t="n">
        <v>8.1</v>
      </c>
      <c r="G32" s="77" t="n">
        <v>10.6</v>
      </c>
      <c r="H32" s="54">
        <f>(F32+G32)/2</f>
        <v>9.35</v>
      </c>
      <c r="I32" s="84" t="n">
        <v>0.7401</v>
      </c>
      <c r="J32" s="88" t="n">
        <v>20</v>
      </c>
      <c r="K32" s="88" t="n">
        <v>14</v>
      </c>
    </row>
    <row r="33">
      <c r="A33" s="87" t="n">
        <v>100</v>
      </c>
      <c r="B33" s="77" t="n">
        <v>18.6</v>
      </c>
      <c r="C33" s="77" t="n">
        <v>21.4</v>
      </c>
      <c r="D33" s="54">
        <f>(B33+C33)/2</f>
        <v>20.0</v>
      </c>
      <c r="E33" s="84" t="n">
        <v>0.6661</v>
      </c>
      <c r="F33" s="77" t="n">
        <v>9</v>
      </c>
      <c r="G33" s="77" t="n">
        <v>11.5</v>
      </c>
      <c r="H33" s="54">
        <f>(F33+G33)/2</f>
        <v>10.25</v>
      </c>
      <c r="I33" s="84" t="n">
        <v>0.7292999999999999</v>
      </c>
      <c r="J33" s="88" t="n">
        <v>163</v>
      </c>
      <c r="K33" s="88" t="n">
        <v>1037</v>
      </c>
    </row>
    <row r="34">
      <c r="A34" s="87" t="n">
        <v>105</v>
      </c>
      <c r="B34" s="77" t="n">
        <v>16</v>
      </c>
      <c r="C34" s="77" t="n">
        <v>19.1</v>
      </c>
      <c r="D34" s="54">
        <f>(B34+C34)/2</f>
        <v>17.55</v>
      </c>
      <c r="E34" s="84" t="n">
        <v>0.6745</v>
      </c>
      <c r="F34" s="77" t="n">
        <v>11.2</v>
      </c>
      <c r="G34" s="77" t="n">
        <v>13.8</v>
      </c>
      <c r="H34" s="54">
        <f>(F34+G34)/2</f>
        <v>12.5</v>
      </c>
      <c r="I34" s="84" t="n">
        <v>0.7217</v>
      </c>
      <c r="J34" s="88" t="n">
        <v>41</v>
      </c>
      <c r="K34" s="88" t="n">
        <v>134</v>
      </c>
    </row>
    <row r="35">
      <c r="A35" s="87" t="n">
        <v>110</v>
      </c>
      <c r="B35" s="77" t="n">
        <v>13.7</v>
      </c>
      <c r="C35" s="77" t="n">
        <v>16.8</v>
      </c>
      <c r="D35" s="54">
        <f>(B35+C35)/2</f>
        <v>15.25</v>
      </c>
      <c r="E35" s="84" t="n">
        <v>0.6761</v>
      </c>
      <c r="F35" s="77" t="n">
        <v>13.7</v>
      </c>
      <c r="G35" s="77" t="n">
        <v>16.3</v>
      </c>
      <c r="H35" s="54">
        <f>(F35+G35)/2</f>
        <v>15.0</v>
      </c>
      <c r="I35" s="84" t="n">
        <v>0.7141</v>
      </c>
      <c r="J35" s="88" t="n">
        <v>112</v>
      </c>
      <c r="K35" s="88" t="n">
        <v>360</v>
      </c>
    </row>
    <row r="36">
      <c r="A36" s="87" t="n">
        <v>115</v>
      </c>
      <c r="B36" s="77" t="n">
        <v>11.1</v>
      </c>
      <c r="C36" s="77" t="n">
        <v>14.5</v>
      </c>
      <c r="D36" s="54">
        <f>(B36+C36)/2</f>
        <v>12.8</v>
      </c>
      <c r="E36" s="84" t="n">
        <v>0.6589</v>
      </c>
      <c r="F36" s="77" t="n">
        <v>15</v>
      </c>
      <c r="G36" s="77" t="n">
        <v>18.3</v>
      </c>
      <c r="H36" s="54">
        <f>(F36+G36)/2</f>
        <v>16.65</v>
      </c>
      <c r="I36" s="84" t="n">
        <v>0.6564</v>
      </c>
      <c r="J36" s="88" t="n">
        <v>60</v>
      </c>
      <c r="K36" s="88" t="n">
        <v>72</v>
      </c>
    </row>
    <row r="37">
      <c r="A37" s="87" t="n">
        <v>120</v>
      </c>
      <c r="B37" s="77" t="n">
        <v>9</v>
      </c>
      <c r="C37" s="77" t="n">
        <v>12.5</v>
      </c>
      <c r="D37" s="54">
        <f>(B37+C37)/2</f>
        <v>10.75</v>
      </c>
      <c r="E37" s="84" t="n">
        <v>0.6487000000000001</v>
      </c>
      <c r="F37" s="77" t="n">
        <v>18.4</v>
      </c>
      <c r="G37" s="77" t="n">
        <v>22.2</v>
      </c>
      <c r="H37" s="54">
        <f>(F37+G37)/2</f>
        <v>20.299999999999997</v>
      </c>
      <c r="I37" s="84" t="n">
        <v>0.6796</v>
      </c>
      <c r="J37" s="88" t="n">
        <v>423</v>
      </c>
      <c r="K37" s="88" t="n">
        <v>121</v>
      </c>
    </row>
    <row r="38">
      <c r="A38" s="87" t="n">
        <v>125</v>
      </c>
      <c r="B38" s="77" t="n">
        <v>8</v>
      </c>
      <c r="C38" s="77" t="n">
        <v>10.8</v>
      </c>
      <c r="D38" s="54">
        <f>(B38+C38)/2</f>
        <v>9.4</v>
      </c>
      <c r="E38" s="84" t="n">
        <v>0.6601</v>
      </c>
      <c r="F38" s="77" t="n">
        <v>22.7</v>
      </c>
      <c r="G38" s="77" t="n">
        <v>25.2</v>
      </c>
      <c r="H38" s="54">
        <f>(F38+G38)/2</f>
        <v>23.95</v>
      </c>
      <c r="I38" s="84" t="n">
        <v>0.6926</v>
      </c>
      <c r="J38" s="88" t="n">
        <v>243</v>
      </c>
      <c r="K38" s="88" t="n">
        <v>48</v>
      </c>
    </row>
    <row r="39">
      <c r="A39" s="87" t="n">
        <v>140</v>
      </c>
      <c r="B39" s="77" t="n">
        <v>3.1</v>
      </c>
      <c r="C39" s="77" t="n">
        <v>6.9</v>
      </c>
      <c r="D39" s="54">
        <f>(B39+C39)/2</f>
        <v>5.0</v>
      </c>
      <c r="E39" s="84" t="n">
        <v>0.6188</v>
      </c>
      <c r="F39" s="77" t="n">
        <v>33.5</v>
      </c>
      <c r="G39" s="77" t="n">
        <v>36.4</v>
      </c>
      <c r="H39" s="54">
        <f>(F39+G39)/2</f>
        <v>34.95</v>
      </c>
      <c r="I39" s="84" t="n">
        <v>0.6792</v>
      </c>
      <c r="J39" s="88" t="n">
        <v>4439</v>
      </c>
      <c r="K39" s="88" t="n">
        <v>1</v>
      </c>
    </row>
    <row r="41">
      <c r="A41" s="30" t="inlineStr">
        <is>
          <t>Legs (premium = mid when the market is tight, else Black-Scholes at the reference IV)</t>
        </is>
      </c>
    </row>
    <row r="42">
      <c r="A42" s="29" t="inlineStr">
        <is>
          <t>Leg</t>
        </is>
      </c>
      <c r="B42" s="29" t="inlineStr">
        <is>
          <t>Type</t>
        </is>
      </c>
      <c r="C42" s="29" t="inlineStr">
        <is>
          <t>Strike</t>
        </is>
      </c>
      <c r="D42" s="29" t="inlineStr">
        <is>
          <t>Mid</t>
        </is>
      </c>
      <c r="E42" s="29" t="inlineStr">
        <is>
          <t>Spread % of mid</t>
        </is>
      </c>
      <c r="F42" s="29" t="inlineStr">
        <is>
          <t>BS value</t>
        </is>
      </c>
      <c r="G42" s="29" t="inlineStr">
        <is>
          <t>Premium used</t>
        </is>
      </c>
      <c r="H42" s="29" t="inlineStr">
        <is>
          <t>Source</t>
        </is>
      </c>
      <c r="I42" s="29" t="inlineStr">
        <is>
          <t>d1</t>
        </is>
      </c>
      <c r="J42" s="29" t="inlineStr">
        <is>
          <t>Delta</t>
        </is>
      </c>
      <c r="K42" s="29" t="inlineStr">
        <is>
          <t>E[payoff] if approved</t>
        </is>
      </c>
      <c r="L42" s="29" t="inlineStr">
        <is>
          <t>E[payoff] if CRL</t>
        </is>
      </c>
    </row>
    <row r="43">
      <c r="A43" s="13" t="inlineStr">
        <is>
          <t>Jan-27 $110 call</t>
        </is>
      </c>
      <c r="B43" s="89" t="inlineStr">
        <is>
          <t>C</t>
        </is>
      </c>
      <c r="C43" s="11">
        <f>A35</f>
        <v>110</v>
      </c>
      <c r="D43" s="54">
        <f>(B35+C35)/2</f>
        <v>15.25</v>
      </c>
      <c r="E43" s="56">
        <f>IF(B35&gt;0,(C35-B35)/D43,9.99)</f>
        <v>0.20327868852459025</v>
      </c>
      <c r="F43" s="54">
        <f>IF(B43="C",$B$4*NORMSDIST((LN($B$4/C43)+($B$9+$B$10^2/2)*$B$8)/($B$10*SQRT($B$8)))-C43*EXP(-$B$9*$B$8)*NORMSDIST((LN($B$4/C43)+($B$9+$B$10^2/2)*$B$8)/($B$10*SQRT($B$8))-$B$10*SQRT($B$8)),C43*EXP(-$B$9*$B$8)*NORMSDIST(-((LN($B$4/C43)+($B$9+$B$10^2/2)*$B$8)/($B$10*SQRT($B$8))-$B$10*SQRT($B$8)))-$B$4*NORMSDIST(-(LN($B$4/C43)+($B$9+$B$10^2/2)*$B$8)/($B$10*SQRT($B$8))))</f>
        <v>15.724446870355443</v>
      </c>
      <c r="G43" s="58">
        <f>IF(AND(B35&gt;0,E43&lt;=0.6),D43,F43)</f>
        <v>15.25</v>
      </c>
      <c r="H43" s="52" t="str">
        <f>IF(AND(B35&gt;0,E43&lt;=0.6),"market","theo")</f>
        <v>market</v>
      </c>
      <c r="I43" s="73">
        <f>(LN($B$4/C43)+($B$9+$B$10^2/2)*$B$8)/($B$10*SQRT($B$8))</f>
        <v>0.20645802539302222</v>
      </c>
      <c r="J43" s="11">
        <f>IF(B43="C",NORMSDIST(I43),NORMSDIST(I43)-1)</f>
        <v>0.5817834253654871</v>
      </c>
      <c r="K43" s="54">
        <f>IF(B43="C",($B$21*NORMSDIST(((LN($B$21/C43)+$B$24^2*$B$8/2)/($B$24*SQRT($B$8))))-C43*NORMSDIST((((LN($B$21/C43)+$B$24^2*$B$8/2)/($B$24*SQRT($B$8)))-$B$24*SQRT($B$8)))),(C43*NORMSDIST(-(((LN($B$21/C43)+$B$24^2*$B$8/2)/($B$24*SQRT($B$8)))-$B$24*SQRT($B$8)))-$B$21*NORMSDIST(-((LN($B$21/C43)+$B$24^2*$B$8/2)/($B$24*SQRT($B$8))))))</f>
        <v>16.576927334098087</v>
      </c>
      <c r="L43" s="54">
        <f>IF(B43="C",($B$22*NORMSDIST(((LN($B$22/C43)+$B$24^2*$B$8/2)/($B$24*SQRT($B$8))))-C43*NORMSDIST((((LN($B$22/C43)+$B$24^2*$B$8/2)/($B$24*SQRT($B$8)))-$B$24*SQRT($B$8)))),(C43*NORMSDIST(-(((LN($B$22/C43)+$B$24^2*$B$8/2)/($B$24*SQRT($B$8)))-$B$24*SQRT($B$8)))-$B$22*NORMSDIST(-((LN($B$22/C43)+$B$24^2*$B$8/2)/($B$24*SQRT($B$8))))))</f>
        <v>2.3152356199097497</v>
      </c>
    </row>
    <row r="44">
      <c r="A44" s="13" t="inlineStr">
        <is>
          <t>Jan-27 $110 put</t>
        </is>
      </c>
      <c r="B44" s="89" t="inlineStr">
        <is>
          <t>P</t>
        </is>
      </c>
      <c r="C44" s="11">
        <f>A35</f>
        <v>110</v>
      </c>
      <c r="D44" s="54">
        <f>(F35+G35)/2</f>
        <v>15.0</v>
      </c>
      <c r="E44" s="56">
        <f>IF(F35&gt;0,(G35-F35)/D44,9.99)</f>
        <v>0.17333333333333342</v>
      </c>
      <c r="F44" s="54">
        <f>IF(B44="C",$B$4*NORMSDIST((LN($B$4/C44)+($B$9+$B$10^2/2)*$B$8)/($B$10*SQRT($B$8)))-C44*EXP(-$B$9*$B$8)*NORMSDIST((LN($B$4/C44)+($B$9+$B$10^2/2)*$B$8)/($B$10*SQRT($B$8))-$B$10*SQRT($B$8)),C44*EXP(-$B$9*$B$8)*NORMSDIST(-((LN($B$4/C44)+($B$9+$B$10^2/2)*$B$8)/($B$10*SQRT($B$8))-$B$10*SQRT($B$8)))-$B$4*NORMSDIST(-(LN($B$4/C44)+($B$9+$B$10^2/2)*$B$8)/($B$10*SQRT($B$8))))</f>
        <v>14.472912335464805</v>
      </c>
      <c r="G44" s="58">
        <f>IF(AND(F35&gt;0,E44&lt;=0.6),D44,F44)</f>
        <v>15.0</v>
      </c>
      <c r="H44" s="52" t="str">
        <f>IF(AND(F35&gt;0,E44&lt;=0.6),"market","theo")</f>
        <v>market</v>
      </c>
      <c r="I44" s="73">
        <f>(LN($B$4/C44)+($B$9+$B$10^2/2)*$B$8)/($B$10*SQRT($B$8))</f>
        <v>0.20645802539302222</v>
      </c>
      <c r="J44" s="11">
        <f>IF(B44="C",NORMSDIST(I44),NORMSDIST(I44)-1)</f>
        <v>-0.4182165746345129</v>
      </c>
      <c r="K44" s="54">
        <f>IF(B44="C",($B$21*NORMSDIST(((LN($B$21/C44)+$B$24^2*$B$8/2)/($B$24*SQRT($B$8))))-C44*NORMSDIST((((LN($B$21/C44)+$B$24^2*$B$8/2)/($B$24*SQRT($B$8)))-$B$24*SQRT($B$8)))),(C44*NORMSDIST(-(((LN($B$21/C44)+$B$24^2*$B$8/2)/($B$24*SQRT($B$8)))-$B$24*SQRT($B$8)))-$B$21*NORMSDIST(-((LN($B$21/C44)+$B$24^2*$B$8/2)/($B$24*SQRT($B$8))))))</f>
        <v>4.686393100688484</v>
      </c>
      <c r="L44" s="54">
        <f>IF(B44="C",($B$22*NORMSDIST(((LN($B$22/C44)+$B$24^2*$B$8/2)/($B$24*SQRT($B$8))))-C44*NORMSDIST((((LN($B$22/C44)+$B$24^2*$B$8/2)/($B$24*SQRT($B$8)))-$B$24*SQRT($B$8)))),(C44*NORMSDIST(-(((LN($B$22/C44)+$B$24^2*$B$8/2)/($B$24*SQRT($B$8)))-$B$24*SQRT($B$8)))-$B$22*NORMSDIST(-((LN($B$22/C44)+$B$24^2*$B$8/2)/($B$24*SQRT($B$8))))))</f>
        <v>19.71645466954378</v>
      </c>
    </row>
    <row r="45">
      <c r="A45" s="13" t="inlineStr">
        <is>
          <t>Jan-27 $140 call</t>
        </is>
      </c>
      <c r="B45" s="89" t="inlineStr">
        <is>
          <t>C</t>
        </is>
      </c>
      <c r="C45" s="11">
        <f>A39</f>
        <v>140</v>
      </c>
      <c r="D45" s="54">
        <f>(B39+C39)/2</f>
        <v>5.0</v>
      </c>
      <c r="E45" s="56">
        <f>IF(B39&gt;0,(C39-B39)/D45,9.99)</f>
        <v>0.76</v>
      </c>
      <c r="F45" s="54">
        <f>IF(B45="C",$B$4*NORMSDIST((LN($B$4/C45)+($B$9+$B$10^2/2)*$B$8)/($B$10*SQRT($B$8)))-C45*EXP(-$B$9*$B$8)*NORMSDIST((LN($B$4/C45)+($B$9+$B$10^2/2)*$B$8)/($B$10*SQRT($B$8))-$B$10*SQRT($B$8)),C45*EXP(-$B$9*$B$8)*NORMSDIST(-((LN($B$4/C45)+($B$9+$B$10^2/2)*$B$8)/($B$10*SQRT($B$8))-$B$10*SQRT($B$8)))-$B$4*NORMSDIST(-(LN($B$4/C45)+($B$9+$B$10^2/2)*$B$8)/($B$10*SQRT($B$8))))</f>
        <v>6.478345227677689</v>
      </c>
      <c r="G45" s="58">
        <f>IF(AND(B39&gt;0,E45&lt;=0.6),D45,F45)</f>
        <v>6.478345227677689</v>
      </c>
      <c r="H45" s="52" t="str">
        <f>IF(AND(B39&gt;0,E45&lt;=0.6),"market","theo")</f>
        <v>theo</v>
      </c>
      <c r="I45" s="73">
        <f>(LN($B$4/C45)+($B$9+$B$10^2/2)*$B$8)/($B$10*SQRT($B$8))</f>
        <v>-0.4883861586731448</v>
      </c>
      <c r="J45" s="11">
        <f>IF(B45="C",NORMSDIST(I45),NORMSDIST(I45)-1)</f>
        <v>0.3126381720215258</v>
      </c>
      <c r="K45" s="54">
        <f>IF(B45="C",($B$21*NORMSDIST(((LN($B$21/C45)+$B$24^2*$B$8/2)/($B$24*SQRT($B$8))))-C45*NORMSDIST((((LN($B$21/C45)+$B$24^2*$B$8/2)/($B$24*SQRT($B$8)))-$B$24*SQRT($B$8)))),(C45*NORMSDIST(-(((LN($B$21/C45)+$B$24^2*$B$8/2)/($B$24*SQRT($B$8)))-$B$24*SQRT($B$8)))-$B$21*NORMSDIST(-((LN($B$21/C45)+$B$24^2*$B$8/2)/($B$24*SQRT($B$8))))))</f>
        <v>3.983490778135998</v>
      </c>
      <c r="L45" s="54">
        <f>IF(B45="C",($B$22*NORMSDIST(((LN($B$22/C45)+$B$24^2*$B$8/2)/($B$24*SQRT($B$8))))-C45*NORMSDIST((((LN($B$22/C45)+$B$24^2*$B$8/2)/($B$24*SQRT($B$8)))-$B$24*SQRT($B$8)))),(C45*NORMSDIST(-(((LN($B$22/C45)+$B$24^2*$B$8/2)/($B$24*SQRT($B$8)))-$B$24*SQRT($B$8)))-$B$22*NORMSDIST(-((LN($B$22/C45)+$B$24^2*$B$8/2)/($B$24*SQRT($B$8))))))</f>
        <v>0.19014104619184913</v>
      </c>
    </row>
    <row r="46">
      <c r="A46" s="13" t="inlineStr">
        <is>
          <t>Jan-27 $80 put</t>
        </is>
      </c>
      <c r="B46" s="89" t="inlineStr">
        <is>
          <t>P</t>
        </is>
      </c>
      <c r="C46" s="11">
        <f>A30</f>
        <v>80</v>
      </c>
      <c r="D46" s="54">
        <f>(F30+G30)/2</f>
        <v>3.5999999999999996</v>
      </c>
      <c r="E46" s="56">
        <f>IF(F30&gt;0,(G30-F30)/D46,9.99)</f>
        <v>1.1111111111111112</v>
      </c>
      <c r="F46" s="54">
        <f>IF(B46="C",$B$4*NORMSDIST((LN($B$4/C46)+($B$9+$B$10^2/2)*$B$8)/($B$10*SQRT($B$8)))-C46*EXP(-$B$9*$B$8)*NORMSDIST((LN($B$4/C46)+($B$9+$B$10^2/2)*$B$8)/($B$10*SQRT($B$8))-$B$10*SQRT($B$8)),C46*EXP(-$B$9*$B$8)*NORMSDIST(-((LN($B$4/C46)+($B$9+$B$10^2/2)*$B$8)/($B$10*SQRT($B$8))-$B$10*SQRT($B$8)))-$B$4*NORMSDIST(-(LN($B$4/C46)+($B$9+$B$10^2/2)*$B$8)/($B$10*SQRT($B$8))))</f>
        <v>2.937954773538884</v>
      </c>
      <c r="G46" s="58">
        <f>IF(AND(F30&gt;0,E46&lt;=0.6),D46,F46)</f>
        <v>2.937954773538884</v>
      </c>
      <c r="H46" s="52" t="str">
        <f>IF(AND(F30&gt;0,E46&lt;=0.6),"market","theo")</f>
        <v>theo</v>
      </c>
      <c r="I46" s="73">
        <f>(LN($B$4/C46)+($B$9+$B$10^2/2)*$B$8)/($B$10*SQRT($B$8))</f>
        <v>1.1239975665734048</v>
      </c>
      <c r="J46" s="11">
        <f>IF(B46="C",NORMSDIST(I46),NORMSDIST(I46)-1)</f>
        <v>-0.13050702913963397</v>
      </c>
      <c r="K46" s="54">
        <f>IF(B46="C",($B$21*NORMSDIST(((LN($B$21/C46)+$B$24^2*$B$8/2)/($B$24*SQRT($B$8))))-C46*NORMSDIST((((LN($B$21/C46)+$B$24^2*$B$8/2)/($B$24*SQRT($B$8)))-$B$24*SQRT($B$8)))),(C46*NORMSDIST(-(((LN($B$21/C46)+$B$24^2*$B$8/2)/($B$24*SQRT($B$8)))-$B$24*SQRT($B$8)))-$B$21*NORMSDIST(-((LN($B$21/C46)+$B$24^2*$B$8/2)/($B$24*SQRT($B$8))))))</f>
        <v>0.14891953240316913</v>
      </c>
      <c r="L46" s="54">
        <f>IF(B46="C",($B$22*NORMSDIST(((LN($B$22/C46)+$B$24^2*$B$8/2)/($B$24*SQRT($B$8))))-C46*NORMSDIST((((LN($B$22/C46)+$B$24^2*$B$8/2)/($B$24*SQRT($B$8)))-$B$24*SQRT($B$8)))),(C46*NORMSDIST(-(((LN($B$22/C46)+$B$24^2*$B$8/2)/($B$24*SQRT($B$8)))-$B$24*SQRT($B$8)))-$B$22*NORMSDIST(-((LN($B$22/C46)+$B$24^2*$B$8/2)/($B$24*SQRT($B$8))))))</f>
        <v>2.4626622491027597</v>
      </c>
    </row>
    <row r="48">
      <c r="A48" s="30" t="inlineStr">
        <is>
          <t>Strategies (+ = credit received, − = debit paid; per share unless noted)</t>
        </is>
      </c>
    </row>
    <row r="49">
      <c r="A49" s="29" t="inlineStr">
        <is>
          <t>Metric</t>
        </is>
      </c>
      <c r="B49" s="29" t="inlineStr">
        <is>
          <t>Long straddle</t>
        </is>
      </c>
      <c r="C49" s="29" t="inlineStr">
        <is>
          <t>Bull call spread</t>
        </is>
      </c>
      <c r="D49" s="29" t="inlineStr">
        <is>
          <t>Bear put spread</t>
        </is>
      </c>
      <c r="E49" s="29" t="inlineStr">
        <is>
          <t>Iron butterfly</t>
        </is>
      </c>
    </row>
    <row r="50" ht="50" customHeight="1" s="9">
      <c r="A50" s="13" t="inlineStr">
        <is>
          <t>Structure</t>
        </is>
      </c>
      <c r="B50" s="90" t="inlineStr">
        <is>
          <t>Buy $110 call + $110 put</t>
        </is>
      </c>
      <c r="C50" s="90" t="inlineStr">
        <is>
          <t>Buy $110 / sell $140 call</t>
        </is>
      </c>
      <c r="D50" s="90" t="inlineStr">
        <is>
          <t>Buy $110 / sell $80 put</t>
        </is>
      </c>
      <c r="E50" s="90" t="inlineStr">
        <is>
          <t>Sell $110 straddle, buy $80 put + $140 call</t>
        </is>
      </c>
    </row>
    <row r="51">
      <c r="A51" s="13" t="inlineStr">
        <is>
          <t>Net premium</t>
        </is>
      </c>
      <c r="B51" s="54">
        <f>-$G$43-$G$44</f>
        <v>-30.25</v>
      </c>
      <c r="C51" s="54">
        <f>-$G$43+$G$45</f>
        <v>-8.77165477232231</v>
      </c>
      <c r="D51" s="54">
        <f>-$G$44+$G$46</f>
        <v>-12.062045226461116</v>
      </c>
      <c r="E51" s="54">
        <f>$G$43+$G$44-$G$45-$G$46</f>
        <v>20.833699998783427</v>
      </c>
    </row>
    <row r="52">
      <c r="A52" s="13" t="inlineStr">
        <is>
          <t>Net premium / contract</t>
        </is>
      </c>
      <c r="B52" s="91">
        <f>B51*$B$11</f>
        <v>-3025.0</v>
      </c>
      <c r="C52" s="91">
        <f>C51*$B$11</f>
        <v>-877.1654772322311</v>
      </c>
      <c r="D52" s="91">
        <f>D51*$B$11</f>
        <v>-1206.2045226461116</v>
      </c>
      <c r="E52" s="91">
        <f>E51*$B$11</f>
        <v>2083.3699998783427</v>
      </c>
    </row>
    <row r="53">
      <c r="A53" s="13" t="inlineStr">
        <is>
          <t>Max profit / contract</t>
        </is>
      </c>
      <c r="B53" s="92" t="str">
        <f>"Unlimited"</f>
        <v>Unlimited</v>
      </c>
      <c r="C53" s="92">
        <f>(140.0-110.0+C51)*$B$11</f>
        <v>2122.8345227677687</v>
      </c>
      <c r="D53" s="92">
        <f>(110.0-80.0+D51)*$B$11</f>
        <v>1793.7954773538884</v>
      </c>
      <c r="E53" s="92">
        <f>E51*$B$11</f>
        <v>2083.3699998783427</v>
      </c>
    </row>
    <row r="54">
      <c r="A54" s="13" t="inlineStr">
        <is>
          <t>Max loss / contract</t>
        </is>
      </c>
      <c r="B54" s="91">
        <f>B51*$B$11</f>
        <v>-3025.0</v>
      </c>
      <c r="C54" s="91">
        <f>C51*$B$11</f>
        <v>-877.1654772322311</v>
      </c>
      <c r="D54" s="91">
        <f>D51*$B$11</f>
        <v>-1206.2045226461116</v>
      </c>
      <c r="E54" s="91">
        <f>-(MAX(140.0-110.0,110.0-80.0)-E51)*$B$11</f>
        <v>-916.6300001216573</v>
      </c>
    </row>
    <row r="55">
      <c r="A55" s="13" t="inlineStr">
        <is>
          <t>Breakeven (low)</t>
        </is>
      </c>
      <c r="B55" s="93">
        <f>110.0+B51</f>
        <v>79.75</v>
      </c>
      <c r="C55" s="93" t="str">
        <f>"—"</f>
        <v>—</v>
      </c>
      <c r="D55" s="93">
        <f>110.0+D51</f>
        <v>97.93795477353888</v>
      </c>
      <c r="E55" s="93">
        <f>110.0-E51</f>
        <v>89.16630000121657</v>
      </c>
    </row>
    <row r="56">
      <c r="A56" s="13" t="inlineStr">
        <is>
          <t>Breakeven (high)</t>
        </is>
      </c>
      <c r="B56" s="93">
        <f>110.0-B51</f>
        <v>140.25</v>
      </c>
      <c r="C56" s="93">
        <f>110.0-C51</f>
        <v>118.77165477232231</v>
      </c>
      <c r="D56" s="93" t="str">
        <f>"—"</f>
        <v>—</v>
      </c>
      <c r="E56" s="93">
        <f>110.0+E51</f>
        <v>130.83369999878343</v>
      </c>
    </row>
    <row r="57">
      <c r="A57" s="13" t="inlineStr">
        <is>
          <t>Prob. of profit (market-implied, lognormal)</t>
        </is>
      </c>
      <c r="B57" s="55">
        <f>(1-NORMSDIST((LN($B$4/B55)+($B$9-IF((($E$35+$I$35)/2)&gt;0,(($E$35+$I$35)/2),$B$10)^2/2)*$B$8)/(IF((($E$35+$I$35)/2)&gt;0,(($E$35+$I$35)/2),$B$10)*SQRT($B$8))))+NORMSDIST((LN($B$4/B56)+($B$9-IF((($E$35+$I$35)/2)&gt;0,(($E$35+$I$35)/2),$B$10)^2/2)*$B$8)/(IF((($E$35+$I$35)/2)&gt;0,(($E$35+$I$35)/2),$B$10)*SQRT($B$8)))</f>
        <v>0.4162367219892088</v>
      </c>
      <c r="C57" s="55">
        <f>NORMSDIST((LN($B$4/C56)+($B$9-IF((($E$35+$I$35)/2)&gt;0,(($E$35+$I$35)/2),$B$10)^2/2)*$B$8)/(IF((($E$35+$I$35)/2)&gt;0,(($E$35+$I$35)/2),$B$10)*SQRT($B$8)))</f>
        <v>0.3587990457811696</v>
      </c>
      <c r="D57" s="55">
        <f>1-NORMSDIST((LN($B$4/D55)+($B$9-IF((($E$35+$I$35)/2)&gt;0,(($E$35+$I$35)/2),$B$10)^2/2)*$B$8)/(IF((($E$35+$I$35)/2)&gt;0,(($E$35+$I$35)/2),$B$10)*SQRT($B$8)))</f>
        <v>0.4230766773018151</v>
      </c>
      <c r="E57" s="55">
        <f>MAX(0,NORMSDIST((LN($B$4/E55)+($B$9-IF((($E$35+$I$35)/2)&gt;0,(($E$35+$I$35)/2),$B$10)^2/2)*$B$8)/(IF((($E$35+$I$35)/2)&gt;0,(($E$35+$I$35)/2),$B$10)*SQRT($B$8)))-NORMSDIST((LN($B$4/E56)+($B$9-IF((($E$35+$I$35)/2)&gt;0,(($E$35+$I$35)/2),$B$10)^2/2)*$B$8)/(IF((($E$35+$I$35)/2)&gt;0,(($E$35+$I$35)/2),$B$10)*SQRT($B$8))))</f>
        <v>0.41784083740051303</v>
      </c>
    </row>
    <row r="58">
      <c r="A58" s="13" t="inlineStr">
        <is>
          <t>Expected P/L if approved</t>
        </is>
      </c>
      <c r="B58" s="91">
        <f>((1)*$K$43+(1)*$K$44+B51)*$B$11</f>
        <v>-898.6679565213428</v>
      </c>
      <c r="C58" s="91">
        <f>((1)*$K$43+(-1)*$K$45+C51)*$B$11</f>
        <v>382.17817836397785</v>
      </c>
      <c r="D58" s="91">
        <f>((1)*$K$44+(-1)*$K$46+D51)*$B$11</f>
        <v>-752.4571658175801</v>
      </c>
      <c r="E58" s="91">
        <f>((-1)*$K$43+(-1)*$K$44+(1)*$K$45+(1)*$K$46+E51)*$B$11</f>
        <v>370.2789874536023</v>
      </c>
    </row>
    <row r="59">
      <c r="A59" s="13" t="inlineStr">
        <is>
          <t>Expected P/L if CRL</t>
        </is>
      </c>
      <c r="B59" s="91">
        <f>((1)*$L$43+(1)*$L$44+B51)*$B$11</f>
        <v>-821.8309710546471</v>
      </c>
      <c r="C59" s="91">
        <f>((1)*$L$43+(-1)*$L$45+C51)*$B$11</f>
        <v>-664.656019860441</v>
      </c>
      <c r="D59" s="91">
        <f>((1)*$L$44+(-1)*$L$46+D51)*$B$11</f>
        <v>519.1747193979903</v>
      </c>
      <c r="E59" s="91">
        <f>((-1)*$L$43+(-1)*$L$44+(1)*$L$45+(1)*$L$46+E51)*$B$11</f>
        <v>145.4813004624505</v>
      </c>
    </row>
    <row r="60">
      <c r="A60" s="22" t="inlineStr">
        <is>
          <t>Model expected P/L</t>
        </is>
      </c>
      <c r="B60" s="94">
        <f>$B$17*B58+(1-$B$17)*B59</f>
        <v>-867.9331623346645</v>
      </c>
      <c r="C60" s="94">
        <f>$B$17*C58+(1-$B$17)*C59</f>
        <v>-36.555500925789715</v>
      </c>
      <c r="D60" s="94">
        <f>$B$17*D58+(1-$B$17)*D59</f>
        <v>-243.8044117313519</v>
      </c>
      <c r="E60" s="94">
        <f>$B$17*E58+(1-$B$17)*E59</f>
        <v>280.3599126571416</v>
      </c>
    </row>
    <row r="61">
      <c r="A61" s="13" t="inlineStr">
        <is>
          <t>Expected P/L ÷ max loss</t>
        </is>
      </c>
      <c r="B61" s="55">
        <f>B60/-B54</f>
        <v>-0.2869200536643519</v>
      </c>
      <c r="C61" s="55">
        <f>C60/-C54</f>
        <v>-0.04167457780159716</v>
      </c>
      <c r="D61" s="55">
        <f>D60/-D54</f>
        <v>-0.20212526744345635</v>
      </c>
      <c r="E61" s="55">
        <f>E60/-E54</f>
        <v>0.3058594117800329</v>
      </c>
    </row>
    <row r="63">
      <c r="A63" s="30" t="inlineStr">
        <is>
          <t>Payoff at expiry per contract ($)</t>
        </is>
      </c>
    </row>
    <row r="64">
      <c r="A64" s="29" t="inlineStr">
        <is>
          <t>Price at expiry</t>
        </is>
      </c>
      <c r="B64" s="29" t="inlineStr">
        <is>
          <t>Long straddle</t>
        </is>
      </c>
      <c r="C64" s="29" t="inlineStr">
        <is>
          <t>Bull call spread</t>
        </is>
      </c>
      <c r="D64" s="29" t="inlineStr">
        <is>
          <t>Bear put spread</t>
        </is>
      </c>
      <c r="E64" s="29" t="inlineStr">
        <is>
          <t>Iron butterfly</t>
        </is>
      </c>
    </row>
    <row r="65">
      <c r="A65" s="95" t="n">
        <v>19.4</v>
      </c>
      <c r="B65" s="53">
        <f>(MAX($A65-110.0,0)+MAX(110.0-$A65,0)-$G$43-$G$44)*$B$11</f>
        <v>6034.999999999999</v>
      </c>
      <c r="C65" s="53">
        <f>(MAX($A65-110.0,0)-MAX($A65-140.0,0)-$G$43+$G$45)*$B$11</f>
        <v>-877.1654772322311</v>
      </c>
      <c r="D65" s="53">
        <f>(MAX(110.0-$A65,0)-MAX(80.0-$A65,0)-$G$44+$G$46)*$B$11</f>
        <v>1793.7954773538877</v>
      </c>
      <c r="E65" s="53">
        <f>($G$43+$G$44-$G$45-$G$46-MAX($A65-110.0,0)-MAX(110.0-$A65,0)+MAX($A65-140.0,0)+MAX(80.0-$A65,0))*$B$11</f>
        <v>-916.6300001216563</v>
      </c>
    </row>
    <row r="66">
      <c r="A66" s="95" t="n">
        <v>25.5</v>
      </c>
      <c r="B66" s="53">
        <f>(MAX($A66-110.0,0)+MAX(110.0-$A66,0)-$G$43-$G$44)*$B$11</f>
        <v>5425.0</v>
      </c>
      <c r="C66" s="53">
        <f>(MAX($A66-110.0,0)-MAX($A66-140.0,0)-$G$43+$G$45)*$B$11</f>
        <v>-877.1654772322311</v>
      </c>
      <c r="D66" s="53">
        <f>(MAX(110.0-$A66,0)-MAX(80.0-$A66,0)-$G$44+$G$46)*$B$11</f>
        <v>1793.7954773538884</v>
      </c>
      <c r="E66" s="53">
        <f>($G$43+$G$44-$G$45-$G$46-MAX($A66-110.0,0)-MAX(110.0-$A66,0)+MAX($A66-140.0,0)+MAX(80.0-$A66,0))*$B$11</f>
        <v>-916.630000121657</v>
      </c>
    </row>
    <row r="67">
      <c r="A67" s="95" t="n">
        <v>31.5</v>
      </c>
      <c r="B67" s="53">
        <f>(MAX($A67-110.0,0)+MAX(110.0-$A67,0)-$G$43-$G$44)*$B$11</f>
        <v>4825.0</v>
      </c>
      <c r="C67" s="53">
        <f>(MAX($A67-110.0,0)-MAX($A67-140.0,0)-$G$43+$G$45)*$B$11</f>
        <v>-877.1654772322311</v>
      </c>
      <c r="D67" s="53">
        <f>(MAX(110.0-$A67,0)-MAX(80.0-$A67,0)-$G$44+$G$46)*$B$11</f>
        <v>1793.7954773538884</v>
      </c>
      <c r="E67" s="53">
        <f>($G$43+$G$44-$G$45-$G$46-MAX($A67-110.0,0)-MAX(110.0-$A67,0)+MAX($A67-140.0,0)+MAX(80.0-$A67,0))*$B$11</f>
        <v>-916.630000121657</v>
      </c>
    </row>
    <row r="68">
      <c r="A68" s="95" t="n">
        <v>37.6</v>
      </c>
      <c r="B68" s="53">
        <f>(MAX($A68-110.0,0)+MAX(110.0-$A68,0)-$G$43-$G$44)*$B$11</f>
        <v>4215.000000000001</v>
      </c>
      <c r="C68" s="53">
        <f>(MAX($A68-110.0,0)-MAX($A68-140.0,0)-$G$43+$G$45)*$B$11</f>
        <v>-877.1654772322311</v>
      </c>
      <c r="D68" s="53">
        <f>(MAX(110.0-$A68,0)-MAX(80.0-$A68,0)-$G$44+$G$46)*$B$11</f>
        <v>1793.795477353889</v>
      </c>
      <c r="E68" s="53">
        <f>($G$43+$G$44-$G$45-$G$46-MAX($A68-110.0,0)-MAX(110.0-$A68,0)+MAX($A68-140.0,0)+MAX(80.0-$A68,0))*$B$11</f>
        <v>-916.6300001216576</v>
      </c>
    </row>
    <row r="69">
      <c r="A69" s="95" t="n">
        <v>43.6</v>
      </c>
      <c r="B69" s="53">
        <f>(MAX($A69-110.0,0)+MAX(110.0-$A69,0)-$G$43-$G$44)*$B$11</f>
        <v>3615.0000000000005</v>
      </c>
      <c r="C69" s="53">
        <f>(MAX($A69-110.0,0)-MAX($A69-140.0,0)-$G$43+$G$45)*$B$11</f>
        <v>-877.1654772322311</v>
      </c>
      <c r="D69" s="53">
        <f>(MAX(110.0-$A69,0)-MAX(80.0-$A69,0)-$G$44+$G$46)*$B$11</f>
        <v>1793.795477353889</v>
      </c>
      <c r="E69" s="53">
        <f>($G$43+$G$44-$G$45-$G$46-MAX($A69-110.0,0)-MAX(110.0-$A69,0)+MAX($A69-140.0,0)+MAX(80.0-$A69,0))*$B$11</f>
        <v>-916.6300001216576</v>
      </c>
    </row>
    <row r="70">
      <c r="A70" s="95" t="n">
        <v>49.7</v>
      </c>
      <c r="B70" s="53">
        <f>(MAX($A70-110.0,0)+MAX(110.0-$A70,0)-$G$43-$G$44)*$B$11</f>
        <v>3004.9999999999995</v>
      </c>
      <c r="C70" s="53">
        <f>(MAX($A70-110.0,0)-MAX($A70-140.0,0)-$G$43+$G$45)*$B$11</f>
        <v>-877.1654772322311</v>
      </c>
      <c r="D70" s="53">
        <f>(MAX(110.0-$A70,0)-MAX(80.0-$A70,0)-$G$44+$G$46)*$B$11</f>
        <v>1793.7954773538884</v>
      </c>
      <c r="E70" s="53">
        <f>($G$43+$G$44-$G$45-$G$46-MAX($A70-110.0,0)-MAX(110.0-$A70,0)+MAX($A70-140.0,0)+MAX(80.0-$A70,0))*$B$11</f>
        <v>-916.630000121657</v>
      </c>
    </row>
    <row r="71">
      <c r="A71" s="95" t="n">
        <v>55.7</v>
      </c>
      <c r="B71" s="53">
        <f>(MAX($A71-110.0,0)+MAX(110.0-$A71,0)-$G$43-$G$44)*$B$11</f>
        <v>2404.9999999999995</v>
      </c>
      <c r="C71" s="53">
        <f>(MAX($A71-110.0,0)-MAX($A71-140.0,0)-$G$43+$G$45)*$B$11</f>
        <v>-877.1654772322311</v>
      </c>
      <c r="D71" s="53">
        <f>(MAX(110.0-$A71,0)-MAX(80.0-$A71,0)-$G$44+$G$46)*$B$11</f>
        <v>1793.7954773538884</v>
      </c>
      <c r="E71" s="53">
        <f>($G$43+$G$44-$G$45-$G$46-MAX($A71-110.0,0)-MAX(110.0-$A71,0)+MAX($A71-140.0,0)+MAX(80.0-$A71,0))*$B$11</f>
        <v>-916.630000121657</v>
      </c>
    </row>
    <row r="72">
      <c r="A72" s="95" t="n">
        <v>61.8</v>
      </c>
      <c r="B72" s="53">
        <f>(MAX($A72-110.0,0)+MAX(110.0-$A72,0)-$G$43-$G$44)*$B$11</f>
        <v>1795.0000000000002</v>
      </c>
      <c r="C72" s="53">
        <f>(MAX($A72-110.0,0)-MAX($A72-140.0,0)-$G$43+$G$45)*$B$11</f>
        <v>-877.1654772322311</v>
      </c>
      <c r="D72" s="53">
        <f>(MAX(110.0-$A72,0)-MAX(80.0-$A72,0)-$G$44+$G$46)*$B$11</f>
        <v>1793.7954773538884</v>
      </c>
      <c r="E72" s="53">
        <f>($G$43+$G$44-$G$45-$G$46-MAX($A72-110.0,0)-MAX(110.0-$A72,0)+MAX($A72-140.0,0)+MAX(80.0-$A72,0))*$B$11</f>
        <v>-916.6300001216573</v>
      </c>
    </row>
    <row r="73">
      <c r="A73" s="95" t="n">
        <v>67.8</v>
      </c>
      <c r="B73" s="53">
        <f>(MAX($A73-110.0,0)+MAX(110.0-$A73,0)-$G$43-$G$44)*$B$11</f>
        <v>1195.0000000000002</v>
      </c>
      <c r="C73" s="53">
        <f>(MAX($A73-110.0,0)-MAX($A73-140.0,0)-$G$43+$G$45)*$B$11</f>
        <v>-877.1654772322311</v>
      </c>
      <c r="D73" s="53">
        <f>(MAX(110.0-$A73,0)-MAX(80.0-$A73,0)-$G$44+$G$46)*$B$11</f>
        <v>1793.7954773538884</v>
      </c>
      <c r="E73" s="53">
        <f>($G$43+$G$44-$G$45-$G$46-MAX($A73-110.0,0)-MAX(110.0-$A73,0)+MAX($A73-140.0,0)+MAX(80.0-$A73,0))*$B$11</f>
        <v>-916.6300001216573</v>
      </c>
    </row>
    <row r="74">
      <c r="A74" s="95" t="n">
        <v>73.90000000000001</v>
      </c>
      <c r="B74" s="53">
        <f>(MAX($A74-110.0,0)+MAX(110.0-$A74,0)-$G$43-$G$44)*$B$11</f>
        <v>584.9999999999994</v>
      </c>
      <c r="C74" s="53">
        <f>(MAX($A74-110.0,0)-MAX($A74-140.0,0)-$G$43+$G$45)*$B$11</f>
        <v>-877.1654772322311</v>
      </c>
      <c r="D74" s="53">
        <f>(MAX(110.0-$A74,0)-MAX(80.0-$A74,0)-$G$44+$G$46)*$B$11</f>
        <v>1793.7954773538884</v>
      </c>
      <c r="E74" s="53">
        <f>($G$43+$G$44-$G$45-$G$46-MAX($A74-110.0,0)-MAX(110.0-$A74,0)+MAX($A74-140.0,0)+MAX(80.0-$A74,0))*$B$11</f>
        <v>-916.6300001216573</v>
      </c>
    </row>
    <row r="75">
      <c r="A75" s="95" t="n">
        <v>79.90000000000001</v>
      </c>
      <c r="B75" s="53">
        <f>(MAX($A75-110.0,0)+MAX(110.0-$A75,0)-$G$43-$G$44)*$B$11</f>
        <v>-15.000000000000568</v>
      </c>
      <c r="C75" s="53">
        <f>(MAX($A75-110.0,0)-MAX($A75-140.0,0)-$G$43+$G$45)*$B$11</f>
        <v>-877.1654772322311</v>
      </c>
      <c r="D75" s="53">
        <f>(MAX(110.0-$A75,0)-MAX(80.0-$A75,0)-$G$44+$G$46)*$B$11</f>
        <v>1793.7954773538884</v>
      </c>
      <c r="E75" s="53">
        <f>($G$43+$G$44-$G$45-$G$46-MAX($A75-110.0,0)-MAX(110.0-$A75,0)+MAX($A75-140.0,0)+MAX(80.0-$A75,0))*$B$11</f>
        <v>-916.6300001216573</v>
      </c>
    </row>
    <row r="76">
      <c r="A76" s="95" t="n">
        <v>86</v>
      </c>
      <c r="B76" s="53">
        <f>(MAX($A76-110.0,0)+MAX(110.0-$A76,0)-$G$43-$G$44)*$B$11</f>
        <v>-625.0</v>
      </c>
      <c r="C76" s="53">
        <f>(MAX($A76-110.0,0)-MAX($A76-140.0,0)-$G$43+$G$45)*$B$11</f>
        <v>-877.1654772322311</v>
      </c>
      <c r="D76" s="53">
        <f>(MAX(110.0-$A76,0)-MAX(80.0-$A76,0)-$G$44+$G$46)*$B$11</f>
        <v>1193.7954773538884</v>
      </c>
      <c r="E76" s="53">
        <f>($G$43+$G$44-$G$45-$G$46-MAX($A76-110.0,0)-MAX(110.0-$A76,0)+MAX($A76-140.0,0)+MAX(80.0-$A76,0))*$B$11</f>
        <v>-316.6300001216573</v>
      </c>
    </row>
    <row r="77">
      <c r="A77" s="95" t="n">
        <v>92</v>
      </c>
      <c r="B77" s="53">
        <f>(MAX($A77-110.0,0)+MAX(110.0-$A77,0)-$G$43-$G$44)*$B$11</f>
        <v>-1225.0</v>
      </c>
      <c r="C77" s="53">
        <f>(MAX($A77-110.0,0)-MAX($A77-140.0,0)-$G$43+$G$45)*$B$11</f>
        <v>-877.1654772322311</v>
      </c>
      <c r="D77" s="53">
        <f>(MAX(110.0-$A77,0)-MAX(80.0-$A77,0)-$G$44+$G$46)*$B$11</f>
        <v>593.7954773538884</v>
      </c>
      <c r="E77" s="53">
        <f>($G$43+$G$44-$G$45-$G$46-MAX($A77-110.0,0)-MAX(110.0-$A77,0)+MAX($A77-140.0,0)+MAX(80.0-$A77,0))*$B$11</f>
        <v>283.3699998783427</v>
      </c>
    </row>
    <row r="78">
      <c r="A78" s="95" t="n">
        <v>98.09999999999999</v>
      </c>
      <c r="B78" s="53">
        <f>(MAX($A78-110.0,0)+MAX(110.0-$A78,0)-$G$43-$G$44)*$B$11</f>
        <v>-1834.9999999999995</v>
      </c>
      <c r="C78" s="53">
        <f>(MAX($A78-110.0,0)-MAX($A78-140.0,0)-$G$43+$G$45)*$B$11</f>
        <v>-877.1654772322311</v>
      </c>
      <c r="D78" s="53">
        <f>(MAX(110.0-$A78,0)-MAX(80.0-$A78,0)-$G$44+$G$46)*$B$11</f>
        <v>-16.20452264611103</v>
      </c>
      <c r="E78" s="53">
        <f>($G$43+$G$44-$G$45-$G$46-MAX($A78-110.0,0)-MAX(110.0-$A78,0)+MAX($A78-140.0,0)+MAX(80.0-$A78,0))*$B$11</f>
        <v>893.3699998783421</v>
      </c>
    </row>
    <row r="79">
      <c r="A79" s="95" t="n">
        <v>104.1</v>
      </c>
      <c r="B79" s="53">
        <f>(MAX($A79-110.0,0)+MAX(110.0-$A79,0)-$G$43-$G$44)*$B$11</f>
        <v>-2434.9999999999995</v>
      </c>
      <c r="C79" s="53">
        <f>(MAX($A79-110.0,0)-MAX($A79-140.0,0)-$G$43+$G$45)*$B$11</f>
        <v>-877.1654772322311</v>
      </c>
      <c r="D79" s="53">
        <f>(MAX(110.0-$A79,0)-MAX(80.0-$A79,0)-$G$44+$G$46)*$B$11</f>
        <v>-616.2045226461111</v>
      </c>
      <c r="E79" s="53">
        <f>($G$43+$G$44-$G$45-$G$46-MAX($A79-110.0,0)-MAX(110.0-$A79,0)+MAX($A79-140.0,0)+MAX(80.0-$A79,0))*$B$11</f>
        <v>1493.369999878342</v>
      </c>
    </row>
    <row r="80">
      <c r="A80" s="95" t="n">
        <v>110.2</v>
      </c>
      <c r="B80" s="53">
        <f>(MAX($A80-110.0,0)+MAX(110.0-$A80,0)-$G$43-$G$44)*$B$11</f>
        <v>-3004.9999999999995</v>
      </c>
      <c r="C80" s="53">
        <f>(MAX($A80-110.0,0)-MAX($A80-140.0,0)-$G$43+$G$45)*$B$11</f>
        <v>-857.1654772322308</v>
      </c>
      <c r="D80" s="53">
        <f>(MAX(110.0-$A80,0)-MAX(80.0-$A80,0)-$G$44+$G$46)*$B$11</f>
        <v>-1206.2045226461116</v>
      </c>
      <c r="E80" s="53">
        <f>($G$43+$G$44-$G$45-$G$46-MAX($A80-110.0,0)-MAX(110.0-$A80,0)+MAX($A80-140.0,0)+MAX(80.0-$A80,0))*$B$11</f>
        <v>2063.3699998783422</v>
      </c>
    </row>
    <row r="81">
      <c r="A81" s="95" t="n">
        <v>116.2</v>
      </c>
      <c r="B81" s="53">
        <f>(MAX($A81-110.0,0)+MAX(110.0-$A81,0)-$G$43-$G$44)*$B$11</f>
        <v>-2404.9999999999995</v>
      </c>
      <c r="C81" s="53">
        <f>(MAX($A81-110.0,0)-MAX($A81-140.0,0)-$G$43+$G$45)*$B$11</f>
        <v>-257.1654772322308</v>
      </c>
      <c r="D81" s="53">
        <f>(MAX(110.0-$A81,0)-MAX(80.0-$A81,0)-$G$44+$G$46)*$B$11</f>
        <v>-1206.2045226461116</v>
      </c>
      <c r="E81" s="53">
        <f>($G$43+$G$44-$G$45-$G$46-MAX($A81-110.0,0)-MAX(110.0-$A81,0)+MAX($A81-140.0,0)+MAX(80.0-$A81,0))*$B$11</f>
        <v>1463.3699998783425</v>
      </c>
    </row>
    <row r="82">
      <c r="A82" s="95" t="n">
        <v>122.3</v>
      </c>
      <c r="B82" s="53">
        <f>(MAX($A82-110.0,0)+MAX(110.0-$A82,0)-$G$43-$G$44)*$B$11</f>
        <v>-1795.0000000000002</v>
      </c>
      <c r="C82" s="53">
        <f>(MAX($A82-110.0,0)-MAX($A82-140.0,0)-$G$43+$G$45)*$B$11</f>
        <v>352.83452276776865</v>
      </c>
      <c r="D82" s="53">
        <f>(MAX(110.0-$A82,0)-MAX(80.0-$A82,0)-$G$44+$G$46)*$B$11</f>
        <v>-1206.2045226461116</v>
      </c>
      <c r="E82" s="53">
        <f>($G$43+$G$44-$G$45-$G$46-MAX($A82-110.0,0)-MAX(110.0-$A82,0)+MAX($A82-140.0,0)+MAX(80.0-$A82,0))*$B$11</f>
        <v>853.3699998783429</v>
      </c>
    </row>
    <row r="83">
      <c r="A83" s="95" t="n">
        <v>128.3</v>
      </c>
      <c r="B83" s="53">
        <f>(MAX($A83-110.0,0)+MAX(110.0-$A83,0)-$G$43-$G$44)*$B$11</f>
        <v>-1194.9999999999989</v>
      </c>
      <c r="C83" s="53">
        <f>(MAX($A83-110.0,0)-MAX($A83-140.0,0)-$G$43+$G$45)*$B$11</f>
        <v>952.8345227677701</v>
      </c>
      <c r="D83" s="53">
        <f>(MAX(110.0-$A83,0)-MAX(80.0-$A83,0)-$G$44+$G$46)*$B$11</f>
        <v>-1206.2045226461116</v>
      </c>
      <c r="E83" s="53">
        <f>($G$43+$G$44-$G$45-$G$46-MAX($A83-110.0,0)-MAX(110.0-$A83,0)+MAX($A83-140.0,0)+MAX(80.0-$A83,0))*$B$11</f>
        <v>253.36999987834156</v>
      </c>
    </row>
    <row r="84">
      <c r="A84" s="95" t="n">
        <v>134.4</v>
      </c>
      <c r="B84" s="53">
        <f>(MAX($A84-110.0,0)+MAX(110.0-$A84,0)-$G$43-$G$44)*$B$11</f>
        <v>-584.9999999999994</v>
      </c>
      <c r="C84" s="53">
        <f>(MAX($A84-110.0,0)-MAX($A84-140.0,0)-$G$43+$G$45)*$B$11</f>
        <v>1562.8345227677694</v>
      </c>
      <c r="D84" s="53">
        <f>(MAX(110.0-$A84,0)-MAX(80.0-$A84,0)-$G$44+$G$46)*$B$11</f>
        <v>-1206.2045226461116</v>
      </c>
      <c r="E84" s="53">
        <f>($G$43+$G$44-$G$45-$G$46-MAX($A84-110.0,0)-MAX(110.0-$A84,0)+MAX($A84-140.0,0)+MAX(80.0-$A84,0))*$B$11</f>
        <v>-356.6300001216579</v>
      </c>
    </row>
    <row r="85">
      <c r="A85" s="95" t="n">
        <v>140.4</v>
      </c>
      <c r="B85" s="53">
        <f>(MAX($A85-110.0,0)+MAX(110.0-$A85,0)-$G$43-$G$44)*$B$11</f>
        <v>15.000000000000568</v>
      </c>
      <c r="C85" s="53">
        <f>(MAX($A85-110.0,0)-MAX($A85-140.0,0)-$G$43+$G$45)*$B$11</f>
        <v>2122.8345227677687</v>
      </c>
      <c r="D85" s="53">
        <f>(MAX(110.0-$A85,0)-MAX(80.0-$A85,0)-$G$44+$G$46)*$B$11</f>
        <v>-1206.2045226461116</v>
      </c>
      <c r="E85" s="53">
        <f>($G$43+$G$44-$G$45-$G$46-MAX($A85-110.0,0)-MAX(110.0-$A85,0)+MAX($A85-140.0,0)+MAX(80.0-$A85,0))*$B$11</f>
        <v>-916.6300001216573</v>
      </c>
    </row>
    <row r="86">
      <c r="A86" s="95" t="n">
        <v>146.5</v>
      </c>
      <c r="B86" s="53">
        <f>(MAX($A86-110.0,0)+MAX(110.0-$A86,0)-$G$43-$G$44)*$B$11</f>
        <v>625.0</v>
      </c>
      <c r="C86" s="53">
        <f>(MAX($A86-110.0,0)-MAX($A86-140.0,0)-$G$43+$G$45)*$B$11</f>
        <v>2122.8345227677687</v>
      </c>
      <c r="D86" s="53">
        <f>(MAX(110.0-$A86,0)-MAX(80.0-$A86,0)-$G$44+$G$46)*$B$11</f>
        <v>-1206.2045226461116</v>
      </c>
      <c r="E86" s="53">
        <f>($G$43+$G$44-$G$45-$G$46-MAX($A86-110.0,0)-MAX(110.0-$A86,0)+MAX($A86-140.0,0)+MAX(80.0-$A86,0))*$B$11</f>
        <v>-916.6300001216573</v>
      </c>
    </row>
    <row r="87">
      <c r="A87" s="95" t="n">
        <v>152.5</v>
      </c>
      <c r="B87" s="53">
        <f>(MAX($A87-110.0,0)+MAX(110.0-$A87,0)-$G$43-$G$44)*$B$11</f>
        <v>1225.0</v>
      </c>
      <c r="C87" s="53">
        <f>(MAX($A87-110.0,0)-MAX($A87-140.0,0)-$G$43+$G$45)*$B$11</f>
        <v>2122.8345227677687</v>
      </c>
      <c r="D87" s="53">
        <f>(MAX(110.0-$A87,0)-MAX(80.0-$A87,0)-$G$44+$G$46)*$B$11</f>
        <v>-1206.2045226461116</v>
      </c>
      <c r="E87" s="53">
        <f>($G$43+$G$44-$G$45-$G$46-MAX($A87-110.0,0)-MAX(110.0-$A87,0)+MAX($A87-140.0,0)+MAX(80.0-$A87,0))*$B$11</f>
        <v>-916.6300001216573</v>
      </c>
    </row>
    <row r="88">
      <c r="A88" s="95" t="n">
        <v>158.6</v>
      </c>
      <c r="B88" s="53">
        <f>(MAX($A88-110.0,0)+MAX(110.0-$A88,0)-$G$43-$G$44)*$B$11</f>
        <v>1834.9999999999995</v>
      </c>
      <c r="C88" s="53">
        <f>(MAX($A88-110.0,0)-MAX($A88-140.0,0)-$G$43+$G$45)*$B$11</f>
        <v>2122.8345227677687</v>
      </c>
      <c r="D88" s="53">
        <f>(MAX(110.0-$A88,0)-MAX(80.0-$A88,0)-$G$44+$G$46)*$B$11</f>
        <v>-1206.2045226461116</v>
      </c>
      <c r="E88" s="53">
        <f>($G$43+$G$44-$G$45-$G$46-MAX($A88-110.0,0)-MAX(110.0-$A88,0)+MAX($A88-140.0,0)+MAX(80.0-$A88,0))*$B$11</f>
        <v>-916.6300001216573</v>
      </c>
    </row>
    <row r="89">
      <c r="A89" s="95" t="n">
        <v>164.6</v>
      </c>
      <c r="B89" s="53">
        <f>(MAX($A89-110.0,0)+MAX(110.0-$A89,0)-$G$43-$G$44)*$B$11</f>
        <v>2434.9999999999995</v>
      </c>
      <c r="C89" s="53">
        <f>(MAX($A89-110.0,0)-MAX($A89-140.0,0)-$G$43+$G$45)*$B$11</f>
        <v>2122.8345227677687</v>
      </c>
      <c r="D89" s="53">
        <f>(MAX(110.0-$A89,0)-MAX(80.0-$A89,0)-$G$44+$G$46)*$B$11</f>
        <v>-1206.2045226461116</v>
      </c>
      <c r="E89" s="53">
        <f>($G$43+$G$44-$G$45-$G$46-MAX($A89-110.0,0)-MAX(110.0-$A89,0)+MAX($A89-140.0,0)+MAX(80.0-$A89,0))*$B$11</f>
        <v>-916.630000121657</v>
      </c>
    </row>
    <row r="90">
      <c r="A90" s="95" t="n">
        <v>170.7</v>
      </c>
      <c r="B90" s="53">
        <f>(MAX($A90-110.0,0)+MAX(110.0-$A90,0)-$G$43-$G$44)*$B$11</f>
        <v>3044.999999999999</v>
      </c>
      <c r="C90" s="53">
        <f>(MAX($A90-110.0,0)-MAX($A90-140.0,0)-$G$43+$G$45)*$B$11</f>
        <v>2122.8345227677687</v>
      </c>
      <c r="D90" s="53">
        <f>(MAX(110.0-$A90,0)-MAX(80.0-$A90,0)-$G$44+$G$46)*$B$11</f>
        <v>-1206.2045226461116</v>
      </c>
      <c r="E90" s="53">
        <f>($G$43+$G$44-$G$45-$G$46-MAX($A90-110.0,0)-MAX(110.0-$A90,0)+MAX($A90-140.0,0)+MAX(80.0-$A90,0))*$B$11</f>
        <v>-916.630000121657</v>
      </c>
    </row>
    <row r="91">
      <c r="A91" s="95" t="n">
        <v>176.7</v>
      </c>
      <c r="B91" s="53">
        <f>(MAX($A91-110.0,0)+MAX(110.0-$A91,0)-$G$43-$G$44)*$B$11</f>
        <v>3644.999999999999</v>
      </c>
      <c r="C91" s="53">
        <f>(MAX($A91-110.0,0)-MAX($A91-140.0,0)-$G$43+$G$45)*$B$11</f>
        <v>2122.8345227677687</v>
      </c>
      <c r="D91" s="53">
        <f>(MAX(110.0-$A91,0)-MAX(80.0-$A91,0)-$G$44+$G$46)*$B$11</f>
        <v>-1206.2045226461116</v>
      </c>
      <c r="E91" s="53">
        <f>($G$43+$G$44-$G$45-$G$46-MAX($A91-110.0,0)-MAX(110.0-$A91,0)+MAX($A91-140.0,0)+MAX(80.0-$A91,0))*$B$11</f>
        <v>-916.630000121657</v>
      </c>
    </row>
    <row r="92">
      <c r="A92" s="95" t="n">
        <v>182.8</v>
      </c>
      <c r="B92" s="53">
        <f>(MAX($A92-110.0,0)+MAX(110.0-$A92,0)-$G$43-$G$44)*$B$11</f>
        <v>4255.000000000001</v>
      </c>
      <c r="C92" s="53">
        <f>(MAX($A92-110.0,0)-MAX($A92-140.0,0)-$G$43+$G$45)*$B$11</f>
        <v>2122.8345227677687</v>
      </c>
      <c r="D92" s="53">
        <f>(MAX(110.0-$A92,0)-MAX(80.0-$A92,0)-$G$44+$G$46)*$B$11</f>
        <v>-1206.2045226461116</v>
      </c>
      <c r="E92" s="53">
        <f>($G$43+$G$44-$G$45-$G$46-MAX($A92-110.0,0)-MAX(110.0-$A92,0)+MAX($A92-140.0,0)+MAX(80.0-$A92,0))*$B$11</f>
        <v>-916.630000121657</v>
      </c>
    </row>
    <row r="93">
      <c r="A93" s="95" t="n">
        <v>188.8</v>
      </c>
      <c r="B93" s="53">
        <f>(MAX($A93-110.0,0)+MAX(110.0-$A93,0)-$G$43-$G$44)*$B$11</f>
        <v>4855.000000000001</v>
      </c>
      <c r="C93" s="53">
        <f>(MAX($A93-110.0,0)-MAX($A93-140.0,0)-$G$43+$G$45)*$B$11</f>
        <v>2122.8345227677687</v>
      </c>
      <c r="D93" s="53">
        <f>(MAX(110.0-$A93,0)-MAX(80.0-$A93,0)-$G$44+$G$46)*$B$11</f>
        <v>-1206.2045226461116</v>
      </c>
      <c r="E93" s="53">
        <f>($G$43+$G$44-$G$45-$G$46-MAX($A93-110.0,0)-MAX(110.0-$A93,0)+MAX($A93-140.0,0)+MAX(80.0-$A93,0))*$B$11</f>
        <v>-916.630000121657</v>
      </c>
    </row>
    <row r="94">
      <c r="A94" s="95" t="n">
        <v>194.9</v>
      </c>
      <c r="B94" s="53">
        <f>(MAX($A94-110.0,0)+MAX(110.0-$A94,0)-$G$43-$G$44)*$B$11</f>
        <v>5465.000000000001</v>
      </c>
      <c r="C94" s="53">
        <f>(MAX($A94-110.0,0)-MAX($A94-140.0,0)-$G$43+$G$45)*$B$11</f>
        <v>2122.8345227677687</v>
      </c>
      <c r="D94" s="53">
        <f>(MAX(110.0-$A94,0)-MAX(80.0-$A94,0)-$G$44+$G$46)*$B$11</f>
        <v>-1206.2045226461116</v>
      </c>
      <c r="E94" s="53">
        <f>($G$43+$G$44-$G$45-$G$46-MAX($A94-110.0,0)-MAX(110.0-$A94,0)+MAX($A94-140.0,0)+MAX(80.0-$A94,0))*$B$11</f>
        <v>-916.630000121657</v>
      </c>
    </row>
    <row r="95">
      <c r="A95" s="95" t="n">
        <v>200.9</v>
      </c>
      <c r="B95" s="53">
        <f>(MAX($A95-110.0,0)+MAX(110.0-$A95,0)-$G$43-$G$44)*$B$11</f>
        <v>6065.000000000001</v>
      </c>
      <c r="C95" s="53">
        <f>(MAX($A95-110.0,0)-MAX($A95-140.0,0)-$G$43+$G$45)*$B$11</f>
        <v>2122.8345227677687</v>
      </c>
      <c r="D95" s="53">
        <f>(MAX(110.0-$A95,0)-MAX(80.0-$A95,0)-$G$44+$G$46)*$B$11</f>
        <v>-1206.2045226461116</v>
      </c>
      <c r="E95" s="53">
        <f>($G$43+$G$44-$G$45-$G$46-MAX($A95-110.0,0)-MAX(110.0-$A95,0)+MAX($A95-140.0,0)+MAX(80.0-$A95,0))*$B$11</f>
        <v>-916.630000121657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2026-10-19T17:16:26Z</dcterms:modified>
  <cp:lastModifiedBy>Wang, Eric</cp:lastModifiedBy>
</cp:coreProperties>
</file>