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FF EAI Robotics Ecosystem Inc.</t>
        </is>
      </c>
      <c r="C2" s="10" t="n"/>
    </row>
    <row r="3">
      <c r="B3" t="inlineStr">
        <is>
          <t>Price</t>
        </is>
      </c>
      <c r="C3" s="11">
        <f>INDEX([1]Pharma!$F$1:$F$1000,MATCH("FFR",[1]Pharma!$B$1:$B$1000,0))</f>
        <v>1.08</v>
      </c>
      <c r="F3" s="1" t="n"/>
    </row>
    <row r="4">
      <c r="B4" t="inlineStr">
        <is>
          <t>Shares</t>
        </is>
      </c>
      <c r="C4" s="21" t="n">
        <v>20.234993</v>
      </c>
      <c r="F4" s="1" t="n"/>
    </row>
    <row r="5">
      <c r="B5" t="inlineStr">
        <is>
          <t>Market Cap.</t>
        </is>
      </c>
      <c r="C5" s="13">
        <f>C3*C4</f>
        <v>21.85379244</v>
      </c>
      <c r="F5" s="1" t="n"/>
    </row>
    <row r="6"/>
    <row r="7">
      <c r="B7" t="inlineStr">
        <is>
          <t>Cash</t>
        </is>
      </c>
      <c r="C7" s="21" t="n">
        <v>0.577328</v>
      </c>
    </row>
    <row r="8">
      <c r="B8" t="inlineStr">
        <is>
          <t>Debt</t>
        </is>
      </c>
      <c r="C8" s="21" t="n">
        <v>0.475844</v>
      </c>
    </row>
    <row r="9">
      <c r="B9" t="inlineStr">
        <is>
          <t>Enterprise V.</t>
        </is>
      </c>
      <c r="C9" s="13">
        <f>C5-C7+C8</f>
        <v>21.752308439999997</v>
      </c>
    </row>
    <row r="10"/>
    <row r="11">
      <c r="B11" s="14" t="inlineStr">
        <is>
          <t>Net Cash / Share</t>
        </is>
      </c>
      <c r="C11" s="11">
        <f>(C7-C8)/C4</f>
        <v>0.005015272305752711</v>
      </c>
    </row>
    <row r="12">
      <c r="B12" s="14" t="inlineStr">
        <is>
          <t>Upside</t>
        </is>
      </c>
      <c r="C12" s="15">
        <f>IFERROR(C11/C3-1,"")</f>
        <v>-0.9953562293465252</v>
      </c>
    </row>
    <row r="13">
      <c r="B13" s="14" t="inlineStr">
        <is>
          <t>Cash / Share</t>
        </is>
      </c>
      <c r="C13" s="11">
        <f>IFERROR((C7-C8)/C4,"")</f>
        <v>0.005015272305752711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-12.204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0.008315634218289082</v>
      </c>
    </row>
    <row r="19">
      <c r="B19" s="14" t="inlineStr">
        <is>
          <t>Implied Pipeline Value</t>
        </is>
      </c>
      <c r="C19" s="13">
        <f>C9</f>
        <v>21.752308439999997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4.306</v>
      </c>
      <c r="I2" s="23" t="n">
        <v>5.654</v>
      </c>
      <c r="J2" s="23" t="n">
        <v>4.984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0.113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4.306</v>
      </c>
      <c r="I4" s="23">
        <f>I2-I3</f>
        <v>5.5409999999999995</v>
      </c>
      <c r="J4" s="23">
        <f>J2-J3</f>
        <v>4.984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0.114</v>
      </c>
      <c r="C5" s="23" t="n">
        <v>2.26</v>
      </c>
      <c r="D5" s="23" t="n">
        <v>13.292</v>
      </c>
      <c r="E5" s="23" t="n">
        <v>2.874</v>
      </c>
      <c r="F5" s="23" t="n">
        <v>12.26</v>
      </c>
      <c r="G5" s="23" t="n">
        <v>6.127</v>
      </c>
      <c r="H5" s="23" t="n">
        <v>0.68</v>
      </c>
      <c r="I5" s="23" t="n">
        <v>11.717</v>
      </c>
      <c r="J5" s="23" t="n">
        <v>4.486</v>
      </c>
      <c r="K5" s="23" t="n">
        <v>5.209</v>
      </c>
      <c r="L5" s="23" t="n">
        <v>1.197</v>
      </c>
      <c r="M5" s="23" t="n">
        <v>0.185</v>
      </c>
    </row>
    <row r="6">
      <c r="A6" s="19" t="inlineStr">
        <is>
          <t>SG&amp;A &amp; Other</t>
        </is>
      </c>
      <c r="B6" s="23" t="n">
        <v>2.168</v>
      </c>
      <c r="C6" s="23" t="n">
        <v>6.648</v>
      </c>
      <c r="D6" s="23" t="n">
        <v>5.154</v>
      </c>
      <c r="E6" s="23" t="n">
        <v>5.028</v>
      </c>
      <c r="F6" s="23" t="n">
        <v>5.629</v>
      </c>
      <c r="G6" s="23" t="n">
        <v>4.717</v>
      </c>
      <c r="H6" s="23" t="n">
        <v>5.13</v>
      </c>
      <c r="I6" s="23" t="n">
        <v>16.487</v>
      </c>
      <c r="J6" s="23" t="n">
        <v>15.258</v>
      </c>
      <c r="K6" s="23" t="n">
        <v>6.096</v>
      </c>
      <c r="L6" s="23" t="n">
        <v>4.565</v>
      </c>
      <c r="M6" s="23" t="n">
        <v>13.017</v>
      </c>
    </row>
    <row r="7">
      <c r="A7" s="2" t="inlineStr">
        <is>
          <t>Operating Expense</t>
        </is>
      </c>
      <c r="B7" s="23">
        <f>SUM(B5:B6)</f>
        <v>2.282</v>
      </c>
      <c r="C7" s="23">
        <f>SUM(C5:C6)</f>
        <v>8.908</v>
      </c>
      <c r="D7" s="23">
        <f>SUM(D5:D6)</f>
        <v>18.445999999999998</v>
      </c>
      <c r="E7" s="23">
        <f>SUM(E5:E6)</f>
        <v>7.901999999999999</v>
      </c>
      <c r="F7" s="23">
        <f>SUM(F5:F6)</f>
        <v>17.889</v>
      </c>
      <c r="G7" s="23">
        <f>SUM(G5:G6)</f>
        <v>10.844</v>
      </c>
      <c r="H7" s="23">
        <f>SUM(H5:H6)</f>
        <v>5.81</v>
      </c>
      <c r="I7" s="23">
        <f>SUM(I5:I6)</f>
        <v>28.204</v>
      </c>
      <c r="J7" s="23">
        <f>SUM(J5:J6)</f>
        <v>19.744</v>
      </c>
      <c r="K7" s="23">
        <f>SUM(K5:K6)</f>
        <v>11.305</v>
      </c>
      <c r="L7" s="23">
        <f>SUM(L5:L6)</f>
        <v>5.7620000000000005</v>
      </c>
      <c r="M7" s="23">
        <f>SUM(M5:M6)</f>
        <v>13.202</v>
      </c>
    </row>
    <row r="8">
      <c r="A8" s="2" t="inlineStr">
        <is>
          <t>Operating Income</t>
        </is>
      </c>
      <c r="B8" s="23">
        <f>B4-B7</f>
        <v>-2.282</v>
      </c>
      <c r="C8" s="23">
        <f>C4-C7</f>
        <v>-8.908</v>
      </c>
      <c r="D8" s="23">
        <f>D4-D7</f>
        <v>-18.445999999999998</v>
      </c>
      <c r="E8" s="23">
        <f>E4-E7</f>
        <v>-7.901999999999999</v>
      </c>
      <c r="F8" s="23">
        <f>F4-F7</f>
        <v>-17.889</v>
      </c>
      <c r="G8" s="23">
        <f>G4-G7</f>
        <v>-10.844</v>
      </c>
      <c r="H8" s="23">
        <f>H4-H7</f>
        <v>-1.5039999999999996</v>
      </c>
      <c r="I8" s="23">
        <f>I4-I7</f>
        <v>-22.663</v>
      </c>
      <c r="J8" s="23">
        <f>J4-J7</f>
        <v>-14.76</v>
      </c>
      <c r="K8" s="23">
        <f>K4-K7</f>
        <v>-11.305</v>
      </c>
      <c r="L8" s="23">
        <f>L4-L7</f>
        <v>-5.7620000000000005</v>
      </c>
      <c r="M8" s="23">
        <f>M4-M7</f>
        <v>-13.202</v>
      </c>
    </row>
    <row r="9">
      <c r="A9" s="19" t="inlineStr">
        <is>
          <t>Interest &amp; Other</t>
        </is>
      </c>
      <c r="B9" s="23" t="n">
        <v>-0.192</v>
      </c>
      <c r="C9" s="23" t="n">
        <v>0.121</v>
      </c>
      <c r="D9" s="23" t="n">
        <v>0.062</v>
      </c>
      <c r="E9" s="23" t="n">
        <v>0.039</v>
      </c>
      <c r="F9" s="23" t="n">
        <v>1.021</v>
      </c>
      <c r="G9" s="23" t="n">
        <v>0.711</v>
      </c>
      <c r="H9" s="23" t="n">
        <v>-18.915</v>
      </c>
      <c r="I9" s="23" t="n">
        <v>4.771</v>
      </c>
      <c r="J9" s="23" t="n">
        <v>-3.873</v>
      </c>
      <c r="K9" s="23" t="n">
        <v>-2.117</v>
      </c>
      <c r="L9" s="23" t="n">
        <v>-0.491</v>
      </c>
      <c r="M9" s="23" t="n">
        <v>-3.764</v>
      </c>
    </row>
    <row r="10">
      <c r="A10" s="2" t="inlineStr">
        <is>
          <t>Pretax</t>
        </is>
      </c>
      <c r="B10" s="23">
        <f>B8+B9</f>
        <v>-2.474</v>
      </c>
      <c r="C10" s="23">
        <f>C8+C9</f>
        <v>-8.786999999999999</v>
      </c>
      <c r="D10" s="23">
        <f>D8+D9</f>
        <v>-18.383999999999997</v>
      </c>
      <c r="E10" s="23">
        <f>E8+E9</f>
        <v>-7.8629999999999995</v>
      </c>
      <c r="F10" s="23">
        <f>F8+F9</f>
        <v>-16.868</v>
      </c>
      <c r="G10" s="23">
        <f>G8+G9</f>
        <v>-10.133</v>
      </c>
      <c r="H10" s="23">
        <f>H8+H9</f>
        <v>-20.418999999999997</v>
      </c>
      <c r="I10" s="23">
        <f>I8+I9</f>
        <v>-17.892</v>
      </c>
      <c r="J10" s="23">
        <f>J8+J9</f>
        <v>-18.633</v>
      </c>
      <c r="K10" s="23">
        <f>K8+K9</f>
        <v>-13.422</v>
      </c>
      <c r="L10" s="23">
        <f>L8+L9</f>
        <v>-6.253</v>
      </c>
      <c r="M10" s="23">
        <f>M8+M9</f>
        <v>-16.966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0.004</v>
      </c>
      <c r="I11" s="23" t="n">
        <v>0.005</v>
      </c>
      <c r="J11" s="23" t="n">
        <v>0.007</v>
      </c>
      <c r="K11" s="23" t="n">
        <v>-0.005</v>
      </c>
      <c r="L11" s="23" t="n">
        <v>0.006</v>
      </c>
      <c r="M11" s="23" t="n">
        <v>0</v>
      </c>
    </row>
    <row r="12">
      <c r="A12" s="2" t="inlineStr">
        <is>
          <t>Net Income</t>
        </is>
      </c>
      <c r="B12" s="23" t="n">
        <v>-2.473</v>
      </c>
      <c r="C12" s="23" t="n">
        <v>-8.788</v>
      </c>
      <c r="D12" s="23" t="n">
        <v>-18.385</v>
      </c>
      <c r="E12" s="23" t="n">
        <v>-7.864</v>
      </c>
      <c r="F12" s="23" t="n">
        <v>-16.869</v>
      </c>
      <c r="G12" s="23" t="n">
        <v>-10.133</v>
      </c>
      <c r="H12" s="23" t="n">
        <v>-20.422</v>
      </c>
      <c r="I12" s="23" t="n">
        <v>-17.897</v>
      </c>
      <c r="J12" s="23" t="n">
        <v>-18.641</v>
      </c>
      <c r="K12" s="23" t="n">
        <v>-13.417</v>
      </c>
      <c r="L12" s="23" t="n">
        <v>-6.259</v>
      </c>
      <c r="M12" s="23" t="n">
        <v>-16.966</v>
      </c>
    </row>
    <row r="13">
      <c r="A13" s="2" t="inlineStr">
        <is>
          <t>Earnings per Share</t>
        </is>
      </c>
      <c r="B13" s="11">
        <f>IFERROR(B12/B14,0)</f>
        <v>-274.77777777777777</v>
      </c>
      <c r="C13" s="11">
        <f>IFERROR(C12/C14,0)</f>
        <v>-151.51724137931035</v>
      </c>
      <c r="D13" s="11">
        <f>IFERROR(D12/D14,0)</f>
        <v>-311.6101694915255</v>
      </c>
      <c r="E13" s="11">
        <f>IFERROR(E12/E14,0)</f>
        <v>-135.58620689655172</v>
      </c>
      <c r="F13" s="11">
        <f>IFERROR(F12/F14,0)</f>
        <v>-120.49285714285713</v>
      </c>
      <c r="G13" s="11">
        <f>IFERROR(G12/G14,0)</f>
        <v>-40.210317460317455</v>
      </c>
      <c r="H13" s="11">
        <f>IFERROR(H12/H14,0)</f>
        <v>-44.492374727668846</v>
      </c>
      <c r="I13" s="11">
        <f>IFERROR(I12/I14,0)</f>
        <v>-23.18264248704663</v>
      </c>
      <c r="J13" s="11">
        <f>IFERROR(J12/J14,0)</f>
        <v>-184.56435643564353</v>
      </c>
      <c r="K13" s="11">
        <f>IFERROR(K12/K14,0)</f>
        <v>-132.84158415841583</v>
      </c>
      <c r="L13" s="11">
        <f>IFERROR(L12/L14,0)</f>
        <v>-17.290055248618785</v>
      </c>
      <c r="M13" s="11">
        <f>IFERROR(M12/M14,0)</f>
        <v>-7.045681063122924</v>
      </c>
    </row>
    <row r="14">
      <c r="A14" s="2" t="inlineStr">
        <is>
          <t>Shares</t>
        </is>
      </c>
      <c r="B14" s="23" t="n">
        <v>0.008999999999999999</v>
      </c>
      <c r="C14" s="23" t="n">
        <v>0.058</v>
      </c>
      <c r="D14" s="23" t="n">
        <v>0.059</v>
      </c>
      <c r="E14" s="23" t="n">
        <v>0.058</v>
      </c>
      <c r="F14" s="23" t="n">
        <v>0.14</v>
      </c>
      <c r="G14" s="23" t="n">
        <v>0.252</v>
      </c>
      <c r="H14" s="23" t="n">
        <v>0.459</v>
      </c>
      <c r="I14" s="23" t="n">
        <v>0.772</v>
      </c>
      <c r="J14" s="23" t="n">
        <v>0.101</v>
      </c>
      <c r="K14" s="23" t="n">
        <v>0.101</v>
      </c>
      <c r="L14" s="23" t="n">
        <v>0.362</v>
      </c>
      <c r="M14" s="23" t="n">
        <v>2.408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0.31305155596841616</v>
      </c>
      <c r="J16" s="15">
        <f>IFERROR(J2/I2-1,"")</f>
        <v>-0.11850017686593561</v>
      </c>
      <c r="K16" s="15">
        <f>IFERROR(K2/J2-1,"")</f>
        <v>-1.0</v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>0.9800141492748495</v>
      </c>
      <c r="J17" s="15">
        <f>IFERROR(J4/J2,"")</f>
        <v>1.0</v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-0.3492800743149093</v>
      </c>
      <c r="I18" s="15">
        <f>IFERROR(I8/I2,"")</f>
        <v>-4.008312698974177</v>
      </c>
      <c r="J18" s="15">
        <f>IFERROR(J8/J2,"")</f>
        <v>-2.961476725521669</v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2026-10-21T01:06:26Z</dcterms:modified>
  <cp:lastModifiedBy>Wang, Eric</cp:lastModifiedBy>
</cp:coreProperties>
</file>