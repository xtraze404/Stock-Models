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Lipocine Inc</t>
        </is>
      </c>
      <c r="C2" s="10" t="n"/>
    </row>
    <row r="3">
      <c r="B3" t="inlineStr">
        <is>
          <t>Price</t>
        </is>
      </c>
      <c r="C3" s="11">
        <f>INDEX([1]Pharma!$F$1:$F$1000,MATCH("LPCN",[1]Pharma!$B$1:$B$1000,0))</f>
        <v>1.62</v>
      </c>
      <c r="F3" s="1" t="n"/>
    </row>
    <row r="4">
      <c r="B4" t="inlineStr">
        <is>
          <t>Shares</t>
        </is>
      </c>
      <c r="C4" s="21" t="n">
        <v>8.244253</v>
      </c>
      <c r="F4" s="1" t="n"/>
    </row>
    <row r="5">
      <c r="B5" t="inlineStr">
        <is>
          <t>Market Cap.</t>
        </is>
      </c>
      <c r="C5" s="13">
        <f>C3*C4</f>
        <v>13.355689860000002</v>
      </c>
      <c r="F5" s="1" t="n"/>
    </row>
    <row r="6"/>
    <row r="7">
      <c r="B7" t="inlineStr">
        <is>
          <t>Cash</t>
        </is>
      </c>
      <c r="C7" s="21">
        <f>4.97943+18.287179</f>
        <v>23.266609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-9.910919139999997</v>
      </c>
    </row>
    <row r="10"/>
    <row r="11">
      <c r="B11" s="14" t="inlineStr">
        <is>
          <t>rNPV / Share</t>
        </is>
      </c>
      <c r="C11" s="11">
        <f>NPV!B27</f>
        <v>153.2191916084399</v>
      </c>
    </row>
    <row r="12">
      <c r="B12" s="14" t="inlineStr">
        <is>
          <t>Upside</t>
        </is>
      </c>
      <c r="C12" s="15">
        <f>IFERROR(C11/C3-1,"")</f>
        <v>93.57974790644438</v>
      </c>
    </row>
    <row r="13">
      <c r="B13" s="14" t="inlineStr">
        <is>
          <t>Cash / Share</t>
        </is>
      </c>
      <c r="C13" s="11">
        <f>IFERROR((C7-C8)/C4,"")</f>
        <v>2.8221609647350703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-11.191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2.079046465910106</v>
      </c>
    </row>
    <row r="19">
      <c r="B19" s="14" t="inlineStr">
        <is>
          <t>Implied Pipeline Value</t>
        </is>
      </c>
      <c r="C19" s="13">
        <f>C9</f>
        <v>-9.910919139999997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7.71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0.428</v>
      </c>
      <c r="J2" s="23" t="n">
        <v>0.165</v>
      </c>
      <c r="K2" s="23" t="n">
        <v>0</v>
      </c>
      <c r="L2" s="23" t="n">
        <v>16.141</v>
      </c>
      <c r="M2" s="23" t="n">
        <v>0.5</v>
      </c>
      <c r="N2" s="23" t="n">
        <v>-2.851</v>
      </c>
      <c r="O2" s="23" t="n">
        <v>11.198</v>
      </c>
      <c r="P2" s="23" t="n">
        <v>1.977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7.71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0.428</v>
      </c>
      <c r="J4" s="23">
        <f>J2-J3</f>
        <v>0.165</v>
      </c>
      <c r="K4" s="23">
        <f>K2-K3</f>
        <v>0.0</v>
      </c>
      <c r="L4" s="23">
        <f>L2-L3</f>
        <v>16.141</v>
      </c>
      <c r="M4" s="23">
        <f>M2-M3</f>
        <v>0.5</v>
      </c>
      <c r="N4" s="23">
        <f>N2-N3</f>
        <v>-2.851</v>
      </c>
      <c r="O4" s="23">
        <f>O2-O3</f>
        <v>11.198</v>
      </c>
      <c r="P4" s="23">
        <f>P2-P3</f>
        <v>1.977</v>
      </c>
    </row>
    <row r="5">
      <c r="A5" s="2" t="inlineStr">
        <is>
          <t>Research &amp; Dev.</t>
        </is>
      </c>
      <c r="B5" s="23" t="n">
        <v>0</v>
      </c>
      <c r="C5" s="23" t="n">
        <v>2.281</v>
      </c>
      <c r="D5" s="23" t="n">
        <v>5.123</v>
      </c>
      <c r="E5" s="23" t="n">
        <v>15.479</v>
      </c>
      <c r="F5" s="23" t="n">
        <v>12.58</v>
      </c>
      <c r="G5" s="23" t="n">
        <v>8.076000000000001</v>
      </c>
      <c r="H5" s="23" t="n">
        <v>11.004</v>
      </c>
      <c r="I5" s="23" t="n">
        <v>6.465</v>
      </c>
      <c r="J5" s="23" t="n">
        <v>7.468</v>
      </c>
      <c r="K5" s="23" t="n">
        <v>9.747999999999999</v>
      </c>
      <c r="L5" s="23" t="n">
        <v>7.666</v>
      </c>
      <c r="M5" s="23" t="n">
        <v>8.557</v>
      </c>
      <c r="N5" s="23" t="n">
        <v>10.175</v>
      </c>
      <c r="O5" s="23" t="n">
        <v>7.352</v>
      </c>
      <c r="P5" s="23" t="n">
        <v>8.584</v>
      </c>
    </row>
    <row r="6">
      <c r="A6" s="19" t="inlineStr">
        <is>
          <t>SG&amp;A &amp; Other</t>
        </is>
      </c>
      <c r="B6" s="23" t="n">
        <v>0.005</v>
      </c>
      <c r="C6" s="23" t="n">
        <v>1.551</v>
      </c>
      <c r="D6" s="23" t="n">
        <v>5.561</v>
      </c>
      <c r="E6" s="23" t="n">
        <v>5.001</v>
      </c>
      <c r="F6" s="23" t="n">
        <v>5.802</v>
      </c>
      <c r="G6" s="23" t="n">
        <v>11.111</v>
      </c>
      <c r="H6" s="23" t="n">
        <v>10.214</v>
      </c>
      <c r="I6" s="23" t="n">
        <v>5.289</v>
      </c>
      <c r="J6" s="23" t="n">
        <v>5.597</v>
      </c>
      <c r="K6" s="23" t="n">
        <v>8.247999999999999</v>
      </c>
      <c r="L6" s="23" t="n">
        <v>5.33</v>
      </c>
      <c r="M6" s="23" t="n">
        <v>4.062</v>
      </c>
      <c r="N6" s="23" t="n">
        <v>4.905</v>
      </c>
      <c r="O6" s="23" t="n">
        <v>5.001</v>
      </c>
      <c r="P6" s="23" t="n">
        <v>3.764</v>
      </c>
    </row>
    <row r="7">
      <c r="A7" s="2" t="inlineStr">
        <is>
          <t>Operating Expense</t>
        </is>
      </c>
      <c r="B7" s="23">
        <f>SUM(B5:B6)</f>
        <v>0.005</v>
      </c>
      <c r="C7" s="23">
        <f>SUM(C5:C6)</f>
        <v>3.832</v>
      </c>
      <c r="D7" s="23">
        <f>SUM(D5:D6)</f>
        <v>10.684000000000001</v>
      </c>
      <c r="E7" s="23">
        <f>SUM(E5:E6)</f>
        <v>20.48</v>
      </c>
      <c r="F7" s="23">
        <f>SUM(F5:F6)</f>
        <v>18.381999999999998</v>
      </c>
      <c r="G7" s="23">
        <f>SUM(G5:G6)</f>
        <v>19.187</v>
      </c>
      <c r="H7" s="23">
        <f>SUM(H5:H6)</f>
        <v>21.218</v>
      </c>
      <c r="I7" s="23">
        <f>SUM(I5:I6)</f>
        <v>11.754</v>
      </c>
      <c r="J7" s="23">
        <f>SUM(J5:J6)</f>
        <v>13.065000000000001</v>
      </c>
      <c r="K7" s="23">
        <f>SUM(K5:K6)</f>
        <v>17.996</v>
      </c>
      <c r="L7" s="23">
        <f>SUM(L5:L6)</f>
        <v>12.996</v>
      </c>
      <c r="M7" s="23">
        <f>SUM(M5:M6)</f>
        <v>12.619</v>
      </c>
      <c r="N7" s="23">
        <f>SUM(N5:N6)</f>
        <v>15.080000000000002</v>
      </c>
      <c r="O7" s="23">
        <f>SUM(O5:O6)</f>
        <v>12.353000000000002</v>
      </c>
      <c r="P7" s="23">
        <f>SUM(P5:P6)</f>
        <v>12.347999999999999</v>
      </c>
    </row>
    <row r="8">
      <c r="A8" s="2" t="inlineStr">
        <is>
          <t>Operating Income</t>
        </is>
      </c>
      <c r="B8" s="23">
        <f>B4-B7</f>
        <v>-0.005</v>
      </c>
      <c r="C8" s="23">
        <f>C4-C7</f>
        <v>3.878</v>
      </c>
      <c r="D8" s="23">
        <f>D4-D7</f>
        <v>-10.684000000000001</v>
      </c>
      <c r="E8" s="23">
        <f>E4-E7</f>
        <v>-20.48</v>
      </c>
      <c r="F8" s="23">
        <f>F4-F7</f>
        <v>-18.381999999999998</v>
      </c>
      <c r="G8" s="23">
        <f>G4-G7</f>
        <v>-19.187</v>
      </c>
      <c r="H8" s="23">
        <f>H4-H7</f>
        <v>-21.218</v>
      </c>
      <c r="I8" s="23">
        <f>I4-I7</f>
        <v>-11.325999999999999</v>
      </c>
      <c r="J8" s="23">
        <f>J4-J7</f>
        <v>-12.900000000000002</v>
      </c>
      <c r="K8" s="23">
        <f>K4-K7</f>
        <v>-17.996</v>
      </c>
      <c r="L8" s="23">
        <f>L4-L7</f>
        <v>3.144999999999998</v>
      </c>
      <c r="M8" s="23">
        <f>M4-M7</f>
        <v>-12.119</v>
      </c>
      <c r="N8" s="23">
        <f>N4-N7</f>
        <v>-17.931</v>
      </c>
      <c r="O8" s="23">
        <f>O4-O7</f>
        <v>-1.1550000000000011</v>
      </c>
      <c r="P8" s="23">
        <f>P4-P7</f>
        <v>-10.370999999999999</v>
      </c>
    </row>
    <row r="9">
      <c r="A9" s="19" t="inlineStr">
        <is>
          <t>Interest &amp; Other</t>
        </is>
      </c>
      <c r="B9" s="23" t="n">
        <v>0</v>
      </c>
      <c r="C9" s="23" t="n">
        <v>0.01</v>
      </c>
      <c r="D9" s="23" t="n">
        <v>0.038</v>
      </c>
      <c r="E9" s="23" t="n">
        <v>0.108</v>
      </c>
      <c r="F9" s="23" t="n">
        <v>0.174</v>
      </c>
      <c r="G9" s="23" t="n">
        <v>0.216</v>
      </c>
      <c r="H9" s="23" t="n">
        <v>0.236</v>
      </c>
      <c r="I9" s="23" t="n">
        <v>-0.334</v>
      </c>
      <c r="J9" s="23" t="n">
        <v>-0.107</v>
      </c>
      <c r="K9" s="23" t="n">
        <v>-2.968</v>
      </c>
      <c r="L9" s="23" t="n">
        <v>-3.78</v>
      </c>
      <c r="M9" s="23" t="n">
        <v>1.361</v>
      </c>
      <c r="N9" s="23" t="n">
        <v>1.582</v>
      </c>
      <c r="O9" s="23" t="n">
        <v>1.166</v>
      </c>
      <c r="P9" s="23" t="n">
        <v>0.742</v>
      </c>
    </row>
    <row r="10">
      <c r="A10" s="2" t="inlineStr">
        <is>
          <t>Pretax</t>
        </is>
      </c>
      <c r="B10" s="23">
        <f>B8+B9</f>
        <v>-0.005</v>
      </c>
      <c r="C10" s="23">
        <f>C8+C9</f>
        <v>3.888</v>
      </c>
      <c r="D10" s="23">
        <f>D8+D9</f>
        <v>-10.646</v>
      </c>
      <c r="E10" s="23">
        <f>E8+E9</f>
        <v>-20.372</v>
      </c>
      <c r="F10" s="23">
        <f>F8+F9</f>
        <v>-18.208</v>
      </c>
      <c r="G10" s="23">
        <f>G8+G9</f>
        <v>-18.971</v>
      </c>
      <c r="H10" s="23">
        <f>H8+H9</f>
        <v>-20.982</v>
      </c>
      <c r="I10" s="23">
        <f>I8+I9</f>
        <v>-11.659999999999998</v>
      </c>
      <c r="J10" s="23">
        <f>J8+J9</f>
        <v>-13.007000000000001</v>
      </c>
      <c r="K10" s="23">
        <f>K8+K9</f>
        <v>-20.964</v>
      </c>
      <c r="L10" s="23">
        <f>L8+L9</f>
        <v>-0.635000000000002</v>
      </c>
      <c r="M10" s="23">
        <f>M8+M9</f>
        <v>-10.758</v>
      </c>
      <c r="N10" s="23">
        <f>N8+N9</f>
        <v>-16.349</v>
      </c>
      <c r="O10" s="23">
        <f>O8+O9</f>
        <v>0.010999999999998789</v>
      </c>
      <c r="P10" s="23">
        <f>P8+P9</f>
        <v>-9.628999999999998</v>
      </c>
    </row>
    <row r="11">
      <c r="A11" s="2" t="inlineStr">
        <is>
          <t>Taxes</t>
        </is>
      </c>
      <c r="B11" s="23" t="n">
        <v>0</v>
      </c>
      <c r="C11" s="23" t="n">
        <v>0.001</v>
      </c>
      <c r="D11" s="23" t="n">
        <v>-0.055</v>
      </c>
      <c r="E11" s="23" t="n">
        <v>0</v>
      </c>
      <c r="F11" s="23" t="n">
        <v>0</v>
      </c>
      <c r="G11" s="23" t="n">
        <v>0.001</v>
      </c>
      <c r="H11" s="23" t="n">
        <v>0.001</v>
      </c>
      <c r="I11" s="23" t="n">
        <v>0.001</v>
      </c>
      <c r="J11" s="23" t="n">
        <v>0</v>
      </c>
      <c r="K11" s="23" t="n">
        <v>0</v>
      </c>
      <c r="L11" s="23" t="n">
        <v>0</v>
      </c>
      <c r="M11" s="23" t="n">
        <v>0.001</v>
      </c>
      <c r="N11" s="23" t="n">
        <v>0.001</v>
      </c>
      <c r="O11" s="23" t="n">
        <v>0.001</v>
      </c>
      <c r="P11" s="23" t="n">
        <v>0</v>
      </c>
    </row>
    <row r="12">
      <c r="A12" s="2" t="inlineStr">
        <is>
          <t>Net Income</t>
        </is>
      </c>
      <c r="B12" s="23" t="n">
        <v>-0.005</v>
      </c>
      <c r="C12" s="23" t="n">
        <v>3.887</v>
      </c>
      <c r="D12" s="23" t="n">
        <v>-10.59</v>
      </c>
      <c r="E12" s="23" t="n">
        <v>-20.373</v>
      </c>
      <c r="F12" s="23" t="n">
        <v>-18.208</v>
      </c>
      <c r="G12" s="23" t="n">
        <v>-18.972</v>
      </c>
      <c r="H12" s="23" t="n">
        <v>-20.983</v>
      </c>
      <c r="I12" s="23" t="n">
        <v>-11.66</v>
      </c>
      <c r="J12" s="23" t="n">
        <v>-13.007</v>
      </c>
      <c r="K12" s="23" t="n">
        <v>-20.965</v>
      </c>
      <c r="L12" s="23" t="n">
        <v>-0.634</v>
      </c>
      <c r="M12" s="23" t="n">
        <v>-10.759</v>
      </c>
      <c r="N12" s="23" t="n">
        <v>-16.35</v>
      </c>
      <c r="O12" s="23" t="n">
        <v>0.01</v>
      </c>
      <c r="P12" s="23" t="n">
        <v>-9.630000000000001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14.835877862595419</v>
      </c>
      <c r="D13" s="11">
        <f>IFERROR(D12/D14,0)</f>
        <v>-24.45727482678984</v>
      </c>
      <c r="E13" s="11">
        <f>IFERROR(E12/E14,0)</f>
        <v>-27.127829560585887</v>
      </c>
      <c r="F13" s="11">
        <f>IFERROR(F12/F14,0)</f>
        <v>-18.79050567595459</v>
      </c>
      <c r="G13" s="11">
        <f>IFERROR(G12/G14,0)</f>
        <v>-17.664804469273744</v>
      </c>
      <c r="H13" s="11">
        <f>IFERROR(H12/H14,0)</f>
        <v>-17.78220338983051</v>
      </c>
      <c r="I13" s="11">
        <f>IFERROR(I12/I14,0)</f>
        <v>-9.28343949044586</v>
      </c>
      <c r="J13" s="11">
        <f>IFERROR(J12/J14,0)</f>
        <v>-8.545992115637318</v>
      </c>
      <c r="K13" s="11">
        <f>IFERROR(K12/K14,0)</f>
        <v>-6.39957264957265</v>
      </c>
      <c r="L13" s="11">
        <f>IFERROR(L12/L14,0)</f>
        <v>-0.12301125339542103</v>
      </c>
      <c r="M13" s="11">
        <f>IFERROR(M12/M14,0)</f>
        <v>-2.046993911719939</v>
      </c>
      <c r="N13" s="11">
        <f>IFERROR(N12/N14,0)</f>
        <v>-3.102466793168881</v>
      </c>
      <c r="O13" s="11">
        <f>IFERROR(O12/O14,0)</f>
        <v>0.0018439977872026555</v>
      </c>
      <c r="P13" s="11">
        <f>IFERROR(P12/P14,0)</f>
        <v>-1.687105816398038</v>
      </c>
    </row>
    <row r="14">
      <c r="A14" s="2" t="inlineStr">
        <is>
          <t>Shares</t>
        </is>
      </c>
      <c r="B14" s="23" t="n"/>
      <c r="C14" s="23" t="n">
        <v>0.262</v>
      </c>
      <c r="D14" s="23" t="n">
        <v>0.433</v>
      </c>
      <c r="E14" s="23" t="n">
        <v>0.751</v>
      </c>
      <c r="F14" s="23" t="n">
        <v>0.969</v>
      </c>
      <c r="G14" s="23" t="n">
        <v>1.074</v>
      </c>
      <c r="H14" s="23" t="n">
        <v>1.18</v>
      </c>
      <c r="I14" s="23" t="n">
        <v>1.256</v>
      </c>
      <c r="J14" s="23" t="n">
        <v>1.522</v>
      </c>
      <c r="K14" s="23" t="n">
        <v>3.276</v>
      </c>
      <c r="L14" s="23" t="n">
        <v>5.154</v>
      </c>
      <c r="M14" s="23" t="n">
        <v>5.256</v>
      </c>
      <c r="N14" s="23" t="n">
        <v>5.27</v>
      </c>
      <c r="O14" s="23" t="n">
        <v>5.423</v>
      </c>
      <c r="P14" s="23" t="n">
        <v>5.708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-0.6144859813084111</v>
      </c>
      <c r="K16" s="15">
        <f>IFERROR(K2/J2-1,"")</f>
        <v>-1.0</v>
      </c>
      <c r="L16" s="15">
        <f>IFERROR(L2/K2-1,"")</f>
        <v/>
      </c>
      <c r="M16" s="15">
        <f>IFERROR(M2/L2-1,"")</f>
        <v>-0.9690229849451707</v>
      </c>
      <c r="N16" s="15">
        <f>IFERROR(N2/M2-1,"")</f>
        <v>-6.702</v>
      </c>
      <c r="O16" s="15">
        <f>IFERROR(O2/N2-1,"")</f>
        <v>-4.927744650999649</v>
      </c>
      <c r="P16" s="15">
        <f>IFERROR(P2/O2-1,"")</f>
        <v>-0.823450616181461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/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0.5029831387808041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-26.462616822429904</v>
      </c>
      <c r="J18" s="15">
        <f>IFERROR(J8/J2,"")</f>
        <v>-78.18181818181819</v>
      </c>
      <c r="K18" s="15">
        <f>IFERROR(K8/K2,"")</f>
        <v/>
      </c>
      <c r="L18" s="15">
        <f>IFERROR(L8/L2,"")</f>
        <v>0.19484542469487628</v>
      </c>
      <c r="M18" s="15">
        <f>IFERROR(M8/M2,"")</f>
        <v>-24.238</v>
      </c>
      <c r="N18" s="15">
        <f>IFERROR(N8/N2,"")</f>
        <v>6.289372150122764</v>
      </c>
      <c r="O18" s="15">
        <f>IFERROR(O8/O2,"")</f>
        <v>-0.1031434184675836</v>
      </c>
      <c r="P18" s="15">
        <f>IFERROR(P8/P2,"")</f>
        <v>-5.245827010622154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Lipocine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0.551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12.569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172.1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1239.9111710754555</v>
      </c>
      <c r="C29" s="42">
        <f>NPV!B25</f>
        <v>1263.1777800754555</v>
      </c>
      <c r="D29" s="43">
        <f>NPV!B27</f>
        <v>153.2191916084399</v>
      </c>
      <c r="E29" s="44">
        <f>NPV!B29</f>
        <v>93.57974790644438</v>
      </c>
    </row>
    <row r="30">
      <c r="A30" s="45" t="n">
        <v>1</v>
      </c>
      <c r="B30" s="46">
        <f t="dataTable" ref="B30:E32" r1="B4"/>
        <v>499.01735909407455</v>
      </c>
      <c r="C30" s="46">
        <v>522.2839680940746</v>
      </c>
      <c r="D30" s="47">
        <v>63.35127853233938</v>
      </c>
      <c r="E30" s="48">
        <v>38.10572748909838</v>
      </c>
    </row>
    <row r="31">
      <c r="A31" s="45" t="n">
        <v>2</v>
      </c>
      <c r="B31" s="46">
        <v>1239.9111710754555</v>
      </c>
      <c r="C31" s="46">
        <v>1263.1777800754555</v>
      </c>
      <c r="D31" s="47">
        <v>153.2191916084399</v>
      </c>
      <c r="E31" s="48">
        <v>93.57974790644438</v>
      </c>
    </row>
    <row r="32">
      <c r="A32" s="45" t="n">
        <v>3</v>
      </c>
      <c r="B32" s="46">
        <v>2376.3515665641935</v>
      </c>
      <c r="C32" s="46">
        <v>2399.6181755641933</v>
      </c>
      <c r="D32" s="47">
        <v>291.06556719743963</v>
      </c>
      <c r="E32" s="48">
        <v>178.67010320829607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153.2191916084399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47.19655045364188</v>
      </c>
      <c r="C37" s="47">
        <v>70.08462212259249</v>
      </c>
      <c r="D37" s="47">
        <v>92.94084411458107</v>
      </c>
      <c r="E37" s="47">
        <v>138.49257218167526</v>
      </c>
      <c r="F37" s="47">
        <v>184.04126208639167</v>
      </c>
    </row>
    <row r="38">
      <c r="A38" s="50" t="n">
        <v>0.8</v>
      </c>
      <c r="B38" s="47">
        <v>62.235813268567554</v>
      </c>
      <c r="C38" s="47">
        <v>92.71077592455234</v>
      </c>
      <c r="D38" s="47">
        <v>123.08153694269937</v>
      </c>
      <c r="E38" s="47">
        <v>183.81312348232126</v>
      </c>
      <c r="F38" s="47">
        <v>244.48625752879119</v>
      </c>
    </row>
    <row r="39">
      <c r="A39" s="50" t="n">
        <v>1</v>
      </c>
      <c r="B39" s="47">
        <v>77.24322640653118</v>
      </c>
      <c r="C39" s="47">
        <v>115.26195002117623</v>
      </c>
      <c r="D39" s="47">
        <v>153.2191916084399</v>
      </c>
      <c r="E39" s="47">
        <v>229.10340954694348</v>
      </c>
      <c r="F39" s="47">
        <v>304.8841602234078</v>
      </c>
    </row>
    <row r="40">
      <c r="A40" s="50" t="n">
        <v>1.2</v>
      </c>
      <c r="B40" s="47">
        <v>92.25063954449482</v>
      </c>
      <c r="C40" s="47">
        <v>137.80815636946403</v>
      </c>
      <c r="D40" s="47">
        <v>183.35684627418044</v>
      </c>
      <c r="E40" s="47">
        <v>274.3451621062672</v>
      </c>
      <c r="F40" s="47">
        <v>365.2820629180245</v>
      </c>
    </row>
    <row r="41">
      <c r="A41" s="50" t="n">
        <v>1.4</v>
      </c>
      <c r="B41" s="47">
        <v>107.21422449558264</v>
      </c>
      <c r="C41" s="47">
        <v>160.3543627177518</v>
      </c>
      <c r="D41" s="47">
        <v>213.4938637185408</v>
      </c>
      <c r="E41" s="47">
        <v>319.586914665591</v>
      </c>
      <c r="F41" s="47">
        <v>425.6799656126413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Lipocine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Depression / mood</t>
        </is>
      </c>
      <c r="C4" s="14" t="inlineStr">
        <is>
          <t>LPCN 1154A</t>
        </is>
      </c>
      <c r="D4" s="14" t="inlineStr">
        <is>
          <t>Phase 3</t>
        </is>
      </c>
      <c r="E4" s="14" t="inlineStr">
        <is>
          <t>Psychiatry / chronic</t>
        </is>
      </c>
      <c r="F4" s="14" t="inlineStr">
        <is>
          <t>Owned</t>
        </is>
      </c>
      <c r="G4" s="40" t="n">
        <v>2000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1580.7667677246109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110.2</v>
      </c>
      <c r="Q4" s="23">
        <f>IF(Q$3&lt;$I4,0,$G4*Assumptions!$E$11*INDEX(Assumptions!$B$24:$G$24,MIN(6,Q$3-$I4+1))*IF(Q$3&gt;$J4,(1-Assumptions!$B$26)^(Q$3-$J4),1)*IF($H4&gt;=1,1,MIN(0.97,$H4*Assumptions!$E$12)))</f>
        <v>275.5</v>
      </c>
      <c r="R4" s="23">
        <f>IF(R$3&lt;$I4,0,$G4*Assumptions!$E$11*INDEX(Assumptions!$B$24:$G$24,MIN(6,R$3-$I4+1))*IF(R$3&gt;$J4,(1-Assumptions!$B$26)^(R$3-$J4),1)*IF($H4&gt;=1,1,MIN(0.97,$H4*Assumptions!$E$12)))</f>
        <v>495.90000000000003</v>
      </c>
      <c r="S4" s="23">
        <f>IF(S$3&lt;$I4,0,$G4*Assumptions!$E$11*INDEX(Assumptions!$B$24:$G$24,MIN(6,S$3-$I4+1))*IF(S$3&gt;$J4,(1-Assumptions!$B$26)^(S$3-$J4),1)*IF($H4&gt;=1,1,MIN(0.97,$H4*Assumptions!$E$12)))</f>
        <v>716.3000000000001</v>
      </c>
      <c r="T4" s="23">
        <f>IF(T$3&lt;$I4,0,$G4*Assumptions!$E$11*INDEX(Assumptions!$B$24:$G$24,MIN(6,T$3-$I4+1))*IF(T$3&gt;$J4,(1-Assumptions!$B$26)^(T$3-$J4),1)*IF($H4&gt;=1,1,MIN(0.97,$H4*Assumptions!$E$12)))</f>
        <v>936.7</v>
      </c>
      <c r="U4" s="23">
        <f>IF(U$3&lt;$I4,0,$G4*Assumptions!$E$11*INDEX(Assumptions!$B$24:$G$24,MIN(6,U$3-$I4+1))*IF(U$3&gt;$J4,(1-Assumptions!$B$26)^(U$3-$J4),1)*IF($H4&gt;=1,1,MIN(0.97,$H4*Assumptions!$E$12)))</f>
        <v>1102.0</v>
      </c>
      <c r="V4" s="23">
        <f>IF(V$3&lt;$I4,0,$G4*Assumptions!$E$11*INDEX(Assumptions!$B$24:$G$24,MIN(6,V$3-$I4+1))*IF(V$3&gt;$J4,(1-Assumptions!$B$26)^(V$3-$J4),1)*IF($H4&gt;=1,1,MIN(0.97,$H4*Assumptions!$E$12)))</f>
        <v>1102.0</v>
      </c>
      <c r="W4" s="23">
        <f>IF(W$3&lt;$I4,0,$G4*Assumptions!$E$11*INDEX(Assumptions!$B$24:$G$24,MIN(6,W$3-$I4+1))*IF(W$3&gt;$J4,(1-Assumptions!$B$26)^(W$3-$J4),1)*IF($H4&gt;=1,1,MIN(0.97,$H4*Assumptions!$E$12)))</f>
        <v>1102.0</v>
      </c>
      <c r="X4" s="23">
        <f>IF(X$3&lt;$I4,0,$G4*Assumptions!$E$11*INDEX(Assumptions!$B$24:$G$24,MIN(6,X$3-$I4+1))*IF(X$3&gt;$J4,(1-Assumptions!$B$26)^(X$3-$J4),1)*IF($H4&gt;=1,1,MIN(0.97,$H4*Assumptions!$E$12)))</f>
        <v>1102.0</v>
      </c>
      <c r="Y4" s="23">
        <f>IF(Y$3&lt;$I4,0,$G4*Assumptions!$E$11*INDEX(Assumptions!$B$24:$G$24,MIN(6,Y$3-$I4+1))*IF(Y$3&gt;$J4,(1-Assumptions!$B$26)^(Y$3-$J4),1)*IF($H4&gt;=1,1,MIN(0.97,$H4*Assumptions!$E$12)))</f>
        <v>1102.0</v>
      </c>
      <c r="Z4" s="23">
        <f>IF(Z$3&lt;$I4,0,$G4*Assumptions!$E$11*INDEX(Assumptions!$B$24:$G$24,MIN(6,Z$3-$I4+1))*IF(Z$3&gt;$J4,(1-Assumptions!$B$26)^(Z$3-$J4),1)*IF($H4&gt;=1,1,MIN(0.97,$H4*Assumptions!$E$12)))</f>
        <v>1102.0</v>
      </c>
      <c r="AA4" s="23">
        <f>IF(AA$3&lt;$I4,0,$G4*Assumptions!$E$11*INDEX(Assumptions!$B$24:$G$24,MIN(6,AA$3-$I4+1))*IF(AA$3&gt;$J4,(1-Assumptions!$B$26)^(AA$3-$J4),1)*IF($H4&gt;=1,1,MIN(0.97,$H4*Assumptions!$E$12)))</f>
        <v>1102.0</v>
      </c>
      <c r="AB4" s="23">
        <f>IF(AB$3&lt;$I4,0,$G4*Assumptions!$E$11*INDEX(Assumptions!$B$24:$G$24,MIN(6,AB$3-$I4+1))*IF(AB$3&gt;$J4,(1-Assumptions!$B$26)^(AB$3-$J4),1)*IF($H4&gt;=1,1,MIN(0.97,$H4*Assumptions!$E$12)))</f>
        <v>1102.0</v>
      </c>
      <c r="AC4" s="23">
        <f>IF(AC$3&lt;$I4,0,$G4*Assumptions!$E$11*INDEX(Assumptions!$B$24:$G$24,MIN(6,AC$3-$I4+1))*IF(AC$3&gt;$J4,(1-Assumptions!$B$26)^(AC$3-$J4),1)*IF($H4&gt;=1,1,MIN(0.97,$H4*Assumptions!$E$12)))</f>
        <v>551.0</v>
      </c>
      <c r="AD4" s="23">
        <f>IF(AD$3&lt;$I4,0,$G4*Assumptions!$E$11*INDEX(Assumptions!$B$24:$G$24,MIN(6,AD$3-$I4+1))*IF(AD$3&gt;$J4,(1-Assumptions!$B$26)^(AD$3-$J4),1)*IF($H4&gt;=1,1,MIN(0.97,$H4*Assumptions!$E$12)))</f>
        <v>275.5</v>
      </c>
      <c r="AE4" s="23">
        <f>IF(AE$3&lt;$I4,0,$G4*Assumptions!$E$11*INDEX(Assumptions!$B$24:$G$24,MIN(6,AE$3-$I4+1))*IF(AE$3&gt;$J4,(1-Assumptions!$B$26)^(AE$3-$J4),1)*IF($H4&gt;=1,1,MIN(0.97,$H4*Assumptions!$E$12)))</f>
        <v>137.75</v>
      </c>
      <c r="AF4" s="23">
        <f>IF(AF$3&lt;$I4,0,$G4*Assumptions!$E$11*INDEX(Assumptions!$B$24:$G$24,MIN(6,AF$3-$I4+1))*IF(AF$3&gt;$J4,(1-Assumptions!$B$26)^(AF$3-$J4),1)*IF($H4&gt;=1,1,MIN(0.97,$H4*Assumptions!$E$12)))</f>
        <v>68.875</v>
      </c>
      <c r="AG4" s="35">
        <f>IF(F4="Owned",1-IF(H4&gt;=1,1,MIN(0.97,H4*Assumptions!$E$12)),1)</f>
        <v>0.44899999999999995</v>
      </c>
    </row>
    <row r="5">
      <c r="B5" s="24" t="inlineStr">
        <is>
          <t>Risked revenue</t>
        </is>
      </c>
      <c r="L5" s="54">
        <f>SUM(L4:L4)</f>
        <v>1580.7667677246109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110.2</v>
      </c>
      <c r="Q5" s="54">
        <f>SUM(Q4:Q4)</f>
        <v>275.5</v>
      </c>
      <c r="R5" s="54">
        <f>SUM(R4:R4)</f>
        <v>495.90000000000003</v>
      </c>
      <c r="S5" s="54">
        <f>SUM(S4:S4)</f>
        <v>716.3000000000001</v>
      </c>
      <c r="T5" s="54">
        <f>SUM(T4:T4)</f>
        <v>936.7</v>
      </c>
      <c r="U5" s="54">
        <f>SUM(U4:U4)</f>
        <v>1102.0</v>
      </c>
      <c r="V5" s="54">
        <f>SUM(V4:V4)</f>
        <v>1102.0</v>
      </c>
      <c r="W5" s="54">
        <f>SUM(W4:W4)</f>
        <v>1102.0</v>
      </c>
      <c r="X5" s="54">
        <f>SUM(X4:X4)</f>
        <v>1102.0</v>
      </c>
      <c r="Y5" s="54">
        <f>SUM(Y4:Y4)</f>
        <v>1102.0</v>
      </c>
      <c r="Z5" s="54">
        <f>SUM(Z4:Z4)</f>
        <v>1102.0</v>
      </c>
      <c r="AA5" s="54">
        <f>SUM(AA4:AA4)</f>
        <v>1102.0</v>
      </c>
      <c r="AB5" s="54">
        <f>SUM(AB4:AB4)</f>
        <v>1102.0</v>
      </c>
      <c r="AC5" s="54">
        <f>SUM(AC4:AC4)</f>
        <v>551.0</v>
      </c>
      <c r="AD5" s="54">
        <f>SUM(AD4:AD4)</f>
        <v>275.5</v>
      </c>
      <c r="AE5" s="54">
        <f>SUM(AE4:AE4)</f>
        <v>137.75</v>
      </c>
      <c r="AF5" s="54">
        <f>SUM(AF4:AF4)</f>
        <v>68.875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44.080000000000005</v>
      </c>
      <c r="Q6" s="55">
        <f>SUMPRODUCT(Q4:Q4,$K$4:$K$4)</f>
        <v>110.2</v>
      </c>
      <c r="R6" s="55">
        <f>SUMPRODUCT(R4:R4,$K$4:$K$4)</f>
        <v>198.36</v>
      </c>
      <c r="S6" s="55">
        <f>SUMPRODUCT(S4:S4,$K$4:$K$4)</f>
        <v>286.52000000000004</v>
      </c>
      <c r="T6" s="55">
        <f>SUMPRODUCT(T4:T4,$K$4:$K$4)</f>
        <v>374.68000000000006</v>
      </c>
      <c r="U6" s="55">
        <f>SUMPRODUCT(U4:U4,$K$4:$K$4)</f>
        <v>440.8</v>
      </c>
      <c r="V6" s="55">
        <f>SUMPRODUCT(V4:V4,$K$4:$K$4)</f>
        <v>440.8</v>
      </c>
      <c r="W6" s="55">
        <f>SUMPRODUCT(W4:W4,$K$4:$K$4)</f>
        <v>440.8</v>
      </c>
      <c r="X6" s="55">
        <f>SUMPRODUCT(X4:X4,$K$4:$K$4)</f>
        <v>440.8</v>
      </c>
      <c r="Y6" s="55">
        <f>SUMPRODUCT(Y4:Y4,$K$4:$K$4)</f>
        <v>440.8</v>
      </c>
      <c r="Z6" s="55">
        <f>SUMPRODUCT(Z4:Z4,$K$4:$K$4)</f>
        <v>440.8</v>
      </c>
      <c r="AA6" s="55">
        <f>SUMPRODUCT(AA4:AA4,$K$4:$K$4)</f>
        <v>440.8</v>
      </c>
      <c r="AB6" s="55">
        <f>SUMPRODUCT(AB4:AB4,$K$4:$K$4)</f>
        <v>440.8</v>
      </c>
      <c r="AC6" s="55">
        <f>SUMPRODUCT(AC4:AC4,$K$4:$K$4)</f>
        <v>220.4</v>
      </c>
      <c r="AD6" s="55">
        <f>SUMPRODUCT(AD4:AD4,$K$4:$K$4)</f>
        <v>110.2</v>
      </c>
      <c r="AE6" s="55">
        <f>SUMPRODUCT(AE4:AE4,$K$4:$K$4)</f>
        <v>55.1</v>
      </c>
      <c r="AF6" s="55">
        <f>SUMPRODUCT(AF4:AF4,$K$4:$K$4)</f>
        <v>27.55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Lipocine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110.2</v>
      </c>
      <c r="G4" s="57">
        <f>Pipeline!Q5</f>
        <v>275.5</v>
      </c>
      <c r="H4" s="57">
        <f>Pipeline!R5</f>
        <v>495.90000000000003</v>
      </c>
      <c r="I4" s="57">
        <f>Pipeline!S5</f>
        <v>716.3000000000001</v>
      </c>
      <c r="J4" s="57">
        <f>Pipeline!T5</f>
        <v>936.7</v>
      </c>
      <c r="K4" s="57">
        <f>Pipeline!U5</f>
        <v>1102.0</v>
      </c>
      <c r="L4" s="57">
        <f>Pipeline!V5</f>
        <v>1102.0</v>
      </c>
      <c r="M4" s="57">
        <f>Pipeline!W5</f>
        <v>1102.0</v>
      </c>
      <c r="N4" s="57">
        <f>Pipeline!X5</f>
        <v>1102.0</v>
      </c>
      <c r="O4" s="57">
        <f>Pipeline!Y5</f>
        <v>1102.0</v>
      </c>
      <c r="P4" s="57">
        <f>Pipeline!Z5</f>
        <v>1102.0</v>
      </c>
      <c r="Q4" s="57">
        <f>Pipeline!AA5</f>
        <v>1102.0</v>
      </c>
      <c r="R4" s="57">
        <f>Pipeline!AB5</f>
        <v>1102.0</v>
      </c>
      <c r="S4" s="57">
        <f>Pipeline!AC5</f>
        <v>551.0</v>
      </c>
      <c r="T4" s="57">
        <f>Pipeline!AD5</f>
        <v>275.5</v>
      </c>
      <c r="U4" s="57">
        <f>Pipeline!AE5</f>
        <v>137.75</v>
      </c>
      <c r="V4" s="57">
        <f>Pipeline!AF5</f>
        <v>68.875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44.080000000000005</v>
      </c>
      <c r="G5" s="57">
        <f>Pipeline!Q6</f>
        <v>110.2</v>
      </c>
      <c r="H5" s="57">
        <f>Pipeline!R6</f>
        <v>198.36</v>
      </c>
      <c r="I5" s="57">
        <f>Pipeline!S6</f>
        <v>286.52000000000004</v>
      </c>
      <c r="J5" s="57">
        <f>Pipeline!T6</f>
        <v>374.68000000000006</v>
      </c>
      <c r="K5" s="57">
        <f>Pipeline!U6</f>
        <v>440.8</v>
      </c>
      <c r="L5" s="57">
        <f>Pipeline!V6</f>
        <v>440.8</v>
      </c>
      <c r="M5" s="57">
        <f>Pipeline!W6</f>
        <v>440.8</v>
      </c>
      <c r="N5" s="57">
        <f>Pipeline!X6</f>
        <v>440.8</v>
      </c>
      <c r="O5" s="57">
        <f>Pipeline!Y6</f>
        <v>440.8</v>
      </c>
      <c r="P5" s="57">
        <f>Pipeline!Z6</f>
        <v>440.8</v>
      </c>
      <c r="Q5" s="57">
        <f>Pipeline!AA6</f>
        <v>440.8</v>
      </c>
      <c r="R5" s="57">
        <f>Pipeline!AB6</f>
        <v>440.8</v>
      </c>
      <c r="S5" s="57">
        <f>Pipeline!AC6</f>
        <v>220.4</v>
      </c>
      <c r="T5" s="57">
        <f>Pipeline!AD6</f>
        <v>110.2</v>
      </c>
      <c r="U5" s="57">
        <f>Pipeline!AE6</f>
        <v>55.1</v>
      </c>
      <c r="V5" s="57">
        <f>Pipeline!AF6</f>
        <v>27.55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-12.569</v>
      </c>
      <c r="D6" s="23">
        <f>-IF(D3-2026&lt;Assumptions!$B$19,Assumptions!$B$18,Assumptions!$B$18*Assumptions!$B$20*Assumptions!$B$16)</f>
        <v>-12.569</v>
      </c>
      <c r="E6" s="23">
        <f>-IF(E3-2026&lt;Assumptions!$B$19,Assumptions!$B$18,Assumptions!$B$18*Assumptions!$B$20*Assumptions!$B$16)</f>
        <v>-12.569</v>
      </c>
      <c r="F6" s="23">
        <f>-IF(F3-2026&lt;Assumptions!$B$19,Assumptions!$B$18,Assumptions!$B$18*Assumptions!$B$20*Assumptions!$B$16)</f>
        <v>-2.0776557</v>
      </c>
      <c r="G6" s="23">
        <f>-IF(G3-2026&lt;Assumptions!$B$19,Assumptions!$B$18,Assumptions!$B$18*Assumptions!$B$20*Assumptions!$B$16)</f>
        <v>-2.0776557</v>
      </c>
      <c r="H6" s="23">
        <f>-IF(H3-2026&lt;Assumptions!$B$19,Assumptions!$B$18,Assumptions!$B$18*Assumptions!$B$20*Assumptions!$B$16)</f>
        <v>-2.0776557</v>
      </c>
      <c r="I6" s="23">
        <f>-IF(I3-2026&lt;Assumptions!$B$19,Assumptions!$B$18,Assumptions!$B$18*Assumptions!$B$20*Assumptions!$B$16)</f>
        <v>-2.0776557</v>
      </c>
      <c r="J6" s="23">
        <f>-IF(J3-2026&lt;Assumptions!$B$19,Assumptions!$B$18,Assumptions!$B$18*Assumptions!$B$20*Assumptions!$B$16)</f>
        <v>-2.0776557</v>
      </c>
      <c r="K6" s="23">
        <f>-IF(K3-2026&lt;Assumptions!$B$19,Assumptions!$B$18,Assumptions!$B$18*Assumptions!$B$20*Assumptions!$B$16)</f>
        <v>-2.0776557</v>
      </c>
      <c r="L6" s="23">
        <f>-IF(L3-2026&lt;Assumptions!$B$19,Assumptions!$B$18,Assumptions!$B$18*Assumptions!$B$20*Assumptions!$B$16)</f>
        <v>-2.0776557</v>
      </c>
      <c r="M6" s="23">
        <f>-IF(M3-2026&lt;Assumptions!$B$19,Assumptions!$B$18,Assumptions!$B$18*Assumptions!$B$20*Assumptions!$B$16)</f>
        <v>-2.0776557</v>
      </c>
      <c r="N6" s="23">
        <f>-IF(N3-2026&lt;Assumptions!$B$19,Assumptions!$B$18,Assumptions!$B$18*Assumptions!$B$20*Assumptions!$B$16)</f>
        <v>-2.0776557</v>
      </c>
      <c r="O6" s="23">
        <f>-IF(O3-2026&lt;Assumptions!$B$19,Assumptions!$B$18,Assumptions!$B$18*Assumptions!$B$20*Assumptions!$B$16)</f>
        <v>-2.0776557</v>
      </c>
      <c r="P6" s="23">
        <f>-IF(P3-2026&lt;Assumptions!$B$19,Assumptions!$B$18,Assumptions!$B$18*Assumptions!$B$20*Assumptions!$B$16)</f>
        <v>-2.0776557</v>
      </c>
      <c r="Q6" s="23">
        <f>-IF(Q3-2026&lt;Assumptions!$B$19,Assumptions!$B$18,Assumptions!$B$18*Assumptions!$B$20*Assumptions!$B$16)</f>
        <v>-2.0776557</v>
      </c>
      <c r="R6" s="23">
        <f>-IF(R3-2026&lt;Assumptions!$B$19,Assumptions!$B$18,Assumptions!$B$18*Assumptions!$B$20*Assumptions!$B$16)</f>
        <v>-2.0776557</v>
      </c>
      <c r="S6" s="23">
        <f>-IF(S3-2026&lt;Assumptions!$B$19,Assumptions!$B$18,Assumptions!$B$18*Assumptions!$B$20*Assumptions!$B$16)</f>
        <v>-2.0776557</v>
      </c>
      <c r="T6" s="23">
        <f>-IF(T3-2026&lt;Assumptions!$B$19,Assumptions!$B$18,Assumptions!$B$18*Assumptions!$B$20*Assumptions!$B$16)</f>
        <v>-2.0776557</v>
      </c>
      <c r="U6" s="23">
        <f>-IF(U3-2026&lt;Assumptions!$B$19,Assumptions!$B$18,Assumptions!$B$18*Assumptions!$B$20*Assumptions!$B$16)</f>
        <v>-2.0776557</v>
      </c>
      <c r="V6" s="23">
        <f>-IF(V3-2026&lt;Assumptions!$B$19,Assumptions!$B$18,Assumptions!$B$18*Assumptions!$B$20*Assumptions!$B$16)</f>
        <v>-2.0776557</v>
      </c>
    </row>
    <row r="7">
      <c r="A7" s="14" t="inlineStr">
        <is>
          <t>Pre-tax cash flow</t>
        </is>
      </c>
      <c r="C7" s="23">
        <f>C5+C6</f>
        <v>-12.569</v>
      </c>
      <c r="D7" s="23">
        <f>D5+D6</f>
        <v>-12.569</v>
      </c>
      <c r="E7" s="23">
        <f>E5+E6</f>
        <v>-12.569</v>
      </c>
      <c r="F7" s="23">
        <f>F5+F6</f>
        <v>42.002344300000004</v>
      </c>
      <c r="G7" s="23">
        <f>G5+G6</f>
        <v>108.12234430000001</v>
      </c>
      <c r="H7" s="23">
        <f>H5+H6</f>
        <v>196.2823443</v>
      </c>
      <c r="I7" s="23">
        <f>I5+I6</f>
        <v>284.44234430000006</v>
      </c>
      <c r="J7" s="23">
        <f>J5+J6</f>
        <v>372.6023443000001</v>
      </c>
      <c r="K7" s="23">
        <f>K5+K6</f>
        <v>438.72234430000003</v>
      </c>
      <c r="L7" s="23">
        <f>L5+L6</f>
        <v>438.72234430000003</v>
      </c>
      <c r="M7" s="23">
        <f>M5+M6</f>
        <v>438.72234430000003</v>
      </c>
      <c r="N7" s="23">
        <f>N5+N6</f>
        <v>438.72234430000003</v>
      </c>
      <c r="O7" s="23">
        <f>O5+O6</f>
        <v>438.72234430000003</v>
      </c>
      <c r="P7" s="23">
        <f>P5+P6</f>
        <v>438.72234430000003</v>
      </c>
      <c r="Q7" s="23">
        <f>Q5+Q6</f>
        <v>438.72234430000003</v>
      </c>
      <c r="R7" s="23">
        <f>R5+R6</f>
        <v>438.72234430000003</v>
      </c>
      <c r="S7" s="23">
        <f>S5+S6</f>
        <v>218.3223443</v>
      </c>
      <c r="T7" s="23">
        <f>T5+T6</f>
        <v>108.12234430000001</v>
      </c>
      <c r="U7" s="23">
        <f>U5+U6</f>
        <v>53.0223443</v>
      </c>
      <c r="V7" s="23">
        <f>V5+V6</f>
        <v>25.4723443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42.002344300000004</v>
      </c>
      <c r="G8" s="23">
        <f>MIN(F17,MAX(0,G7))</f>
        <v>108.12234430000001</v>
      </c>
      <c r="H8" s="23">
        <f>MIN(G17,MAX(0,H7))</f>
        <v>59.682311399999946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136.60003290000006</v>
      </c>
      <c r="I9" s="23">
        <f>MAX(0,I7)-I8</f>
        <v>284.44234430000006</v>
      </c>
      <c r="J9" s="23">
        <f>MAX(0,J7)-J8</f>
        <v>372.6023443000001</v>
      </c>
      <c r="K9" s="23">
        <f>MAX(0,K7)-K8</f>
        <v>438.72234430000003</v>
      </c>
      <c r="L9" s="23">
        <f>MAX(0,L7)-L8</f>
        <v>438.72234430000003</v>
      </c>
      <c r="M9" s="23">
        <f>MAX(0,M7)-M8</f>
        <v>438.72234430000003</v>
      </c>
      <c r="N9" s="23">
        <f>MAX(0,N7)-N8</f>
        <v>438.72234430000003</v>
      </c>
      <c r="O9" s="23">
        <f>MAX(0,O7)-O8</f>
        <v>438.72234430000003</v>
      </c>
      <c r="P9" s="23">
        <f>MAX(0,P7)-P8</f>
        <v>438.72234430000003</v>
      </c>
      <c r="Q9" s="23">
        <f>MAX(0,Q7)-Q8</f>
        <v>438.72234430000003</v>
      </c>
      <c r="R9" s="23">
        <f>MAX(0,R7)-R8</f>
        <v>438.72234430000003</v>
      </c>
      <c r="S9" s="23">
        <f>MAX(0,S7)-S8</f>
        <v>218.3223443</v>
      </c>
      <c r="T9" s="23">
        <f>MAX(0,T7)-T8</f>
        <v>108.12234430000001</v>
      </c>
      <c r="U9" s="23">
        <f>MAX(0,U7)-U8</f>
        <v>53.0223443</v>
      </c>
      <c r="V9" s="23">
        <f>MAX(0,V7)-V8</f>
        <v>25.4723443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28.68600690900001</v>
      </c>
      <c r="I10" s="23">
        <f>I9*Assumptions!$E$15</f>
        <v>59.73289230300001</v>
      </c>
      <c r="J10" s="23">
        <f>J9*Assumptions!$E$15</f>
        <v>78.24649230300001</v>
      </c>
      <c r="K10" s="23">
        <f>K9*Assumptions!$E$15</f>
        <v>92.13169230300001</v>
      </c>
      <c r="L10" s="23">
        <f>L9*Assumptions!$E$15</f>
        <v>92.13169230300001</v>
      </c>
      <c r="M10" s="23">
        <f>M9*Assumptions!$E$15</f>
        <v>92.13169230300001</v>
      </c>
      <c r="N10" s="23">
        <f>N9*Assumptions!$E$15</f>
        <v>92.13169230300001</v>
      </c>
      <c r="O10" s="23">
        <f>O9*Assumptions!$E$15</f>
        <v>92.13169230300001</v>
      </c>
      <c r="P10" s="23">
        <f>P9*Assumptions!$E$15</f>
        <v>92.13169230300001</v>
      </c>
      <c r="Q10" s="23">
        <f>Q9*Assumptions!$E$15</f>
        <v>92.13169230300001</v>
      </c>
      <c r="R10" s="23">
        <f>R9*Assumptions!$E$15</f>
        <v>92.13169230300001</v>
      </c>
      <c r="S10" s="23">
        <f>S9*Assumptions!$E$15</f>
        <v>45.847692302999995</v>
      </c>
      <c r="T10" s="23">
        <f>T9*Assumptions!$E$15</f>
        <v>22.705692303</v>
      </c>
      <c r="U10" s="23">
        <f>U9*Assumptions!$E$15</f>
        <v>11.134692303</v>
      </c>
      <c r="V10" s="23">
        <f>V9*Assumptions!$E$15</f>
        <v>5.349192303</v>
      </c>
    </row>
    <row r="11">
      <c r="A11" s="24" t="inlineStr">
        <is>
          <t>Free cash flow</t>
        </is>
      </c>
      <c r="C11" s="55">
        <f>C7-C10</f>
        <v>-12.569</v>
      </c>
      <c r="D11" s="55">
        <f>D7-D10</f>
        <v>-12.569</v>
      </c>
      <c r="E11" s="55">
        <f>E7-E10</f>
        <v>-12.569</v>
      </c>
      <c r="F11" s="55">
        <f>F7-F10</f>
        <v>42.002344300000004</v>
      </c>
      <c r="G11" s="55">
        <f>G7-G10</f>
        <v>108.12234430000001</v>
      </c>
      <c r="H11" s="55">
        <f>H7-H10</f>
        <v>167.596337391</v>
      </c>
      <c r="I11" s="55">
        <f>I7-I10</f>
        <v>224.70945199700006</v>
      </c>
      <c r="J11" s="55">
        <f>J7-J10</f>
        <v>294.35585199700006</v>
      </c>
      <c r="K11" s="55">
        <f>K7-K10</f>
        <v>346.590651997</v>
      </c>
      <c r="L11" s="55">
        <f>L7-L10</f>
        <v>346.590651997</v>
      </c>
      <c r="M11" s="55">
        <f>M7-M10</f>
        <v>346.590651997</v>
      </c>
      <c r="N11" s="55">
        <f>N7-N10</f>
        <v>346.590651997</v>
      </c>
      <c r="O11" s="55">
        <f>O7-O10</f>
        <v>346.590651997</v>
      </c>
      <c r="P11" s="55">
        <f>P7-P10</f>
        <v>346.590651997</v>
      </c>
      <c r="Q11" s="55">
        <f>Q7-Q10</f>
        <v>346.590651997</v>
      </c>
      <c r="R11" s="55">
        <f>R7-R10</f>
        <v>346.590651997</v>
      </c>
      <c r="S11" s="55">
        <f>S7-S10</f>
        <v>172.474651997</v>
      </c>
      <c r="T11" s="55">
        <f>T7-T10</f>
        <v>85.416651997</v>
      </c>
      <c r="U11" s="55">
        <f>U7-U10</f>
        <v>41.887651997</v>
      </c>
      <c r="V11" s="55">
        <f>V7-V10</f>
        <v>20.123151997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-6.157607762765277</v>
      </c>
      <c r="D16" s="55">
        <f>D11*D15</f>
        <v>-11.217108214991107</v>
      </c>
      <c r="E16" s="55">
        <f>E11*E15</f>
        <v>-10.015275191956343</v>
      </c>
      <c r="F16" s="55">
        <f>F11*F15</f>
        <v>29.882550952442443</v>
      </c>
      <c r="G16" s="55">
        <f>G11*G15</f>
        <v>68.68178424002264</v>
      </c>
      <c r="H16" s="55">
        <f>H11*H15</f>
        <v>95.05448565357518</v>
      </c>
      <c r="I16" s="55">
        <f>I11*I15</f>
        <v>113.79191617692771</v>
      </c>
      <c r="J16" s="55">
        <f>J11*J15</f>
        <v>133.0897844613377</v>
      </c>
      <c r="K16" s="55">
        <f>K11*K15</f>
        <v>139.91712405255583</v>
      </c>
      <c r="L16" s="55">
        <f>L11*L15</f>
        <v>124.9260036183534</v>
      </c>
      <c r="M16" s="55">
        <f>M11*M15</f>
        <v>111.5410746592441</v>
      </c>
      <c r="N16" s="55">
        <f>N11*N15</f>
        <v>99.59024523146793</v>
      </c>
      <c r="O16" s="55">
        <f>O11*O15</f>
        <v>88.91986181381064</v>
      </c>
      <c r="P16" s="55">
        <f>P11*P15</f>
        <v>79.39273376233092</v>
      </c>
      <c r="Q16" s="55">
        <f>Q11*Q15</f>
        <v>70.8863694306526</v>
      </c>
      <c r="R16" s="55">
        <f>R11*R15</f>
        <v>63.291401277368394</v>
      </c>
      <c r="S16" s="55">
        <f>S11*S15</f>
        <v>28.12128233680251</v>
      </c>
      <c r="T16" s="55">
        <f>T11*T15</f>
        <v>12.434672901103333</v>
      </c>
      <c r="U16" s="55">
        <f>U11*U15</f>
        <v>5.444522724372087</v>
      </c>
      <c r="V16" s="55">
        <f>V11*V15</f>
        <v>2.3353489528008926</v>
      </c>
    </row>
    <row r="17">
      <c r="A17" s="14" t="inlineStr">
        <is>
          <t>Tax-loss carryforward, end of year</t>
        </is>
      </c>
      <c r="C17" s="23">
        <f>Assumptions!$B$21-C8+MAX(0,-C7)</f>
        <v>184.66899999999998</v>
      </c>
      <c r="D17" s="23">
        <f>C17-D8+MAX(0,-D7)</f>
        <v>197.23799999999997</v>
      </c>
      <c r="E17" s="23">
        <f>D17-E8+MAX(0,-E7)</f>
        <v>209.80699999999996</v>
      </c>
      <c r="F17" s="23">
        <f>E17-F8+MAX(0,-F7)</f>
        <v>167.80465569999996</v>
      </c>
      <c r="G17" s="23">
        <f>F17-G8+MAX(0,-G7)</f>
        <v>59.682311399999946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1580.766767724611</v>
      </c>
    </row>
    <row r="20">
      <c r="A20" s="14" t="inlineStr">
        <is>
          <t>PV of corporate burn</t>
        </is>
      </c>
      <c r="B20" s="23">
        <f>SUMPRODUCT(C6:V6,C15:V15)</f>
        <v>-39.176717363701535</v>
      </c>
    </row>
    <row r="21">
      <c r="A21" s="14" t="inlineStr">
        <is>
          <t>PV of taxes</t>
        </is>
      </c>
      <c r="B21" s="23">
        <f>-SUMPRODUCT(C10:V10,C15:V15)</f>
        <v>-301.67887928545395</v>
      </c>
    </row>
    <row r="22">
      <c r="A22" s="24" t="inlineStr">
        <is>
          <t>Pipeline rNPV (operations)</t>
        </is>
      </c>
      <c r="B22" s="54">
        <f>SUM(C16:V16)</f>
        <v>1239.9111710754555</v>
      </c>
    </row>
    <row r="23">
      <c r="A23" s="14" t="inlineStr">
        <is>
          <t>Cash &amp; investments</t>
        </is>
      </c>
      <c r="B23" s="57">
        <f>Main!C7</f>
        <v>23.266609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1263.1777800754555</v>
      </c>
    </row>
    <row r="26">
      <c r="A26" s="14" t="inlineStr">
        <is>
          <t>Shares (mm)</t>
        </is>
      </c>
      <c r="B26" s="57">
        <f>Main!C4</f>
        <v>8.244253</v>
      </c>
    </row>
    <row r="27">
      <c r="A27" s="24" t="inlineStr">
        <is>
          <t>rNPV / share</t>
        </is>
      </c>
      <c r="B27" s="60">
        <f>B25/B26</f>
        <v>153.2191916084399</v>
      </c>
    </row>
    <row r="28">
      <c r="A28" s="14" t="inlineStr">
        <is>
          <t>Price</t>
        </is>
      </c>
      <c r="B28" s="61">
        <f>Main!C3</f>
        <v>1.62</v>
      </c>
    </row>
    <row r="29">
      <c r="A29" s="14" t="inlineStr">
        <is>
          <t>Upside</t>
        </is>
      </c>
      <c r="B29" s="62">
        <f>B27/B28-1</f>
        <v>93.57974790644438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2026-10-21T06:30:26Z</dcterms:modified>
  <cp:lastModifiedBy>Wang, Eric</cp:lastModifiedBy>
</cp:coreProperties>
</file>