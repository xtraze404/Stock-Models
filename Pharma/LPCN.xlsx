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Lipocine Inc</t>
        </is>
      </c>
      <c r="C2" s="10" t="n"/>
    </row>
    <row r="3">
      <c r="B3" t="inlineStr">
        <is>
          <t>Price</t>
        </is>
      </c>
      <c r="C3" s="11">
        <f>INDEX([1]Pharma!$F$1:$F$1000,MATCH("LPCN",[1]Pharma!$B$1:$B$1000,0))</f>
        <v>1.62</v>
      </c>
      <c r="F3" s="1" t="n"/>
    </row>
    <row r="4">
      <c r="B4" t="inlineStr">
        <is>
          <t>Shares</t>
        </is>
      </c>
      <c r="C4" s="21" t="n">
        <v>8.244253</v>
      </c>
      <c r="F4" s="1" t="n"/>
    </row>
    <row r="5">
      <c r="B5" t="inlineStr">
        <is>
          <t>Market Cap.</t>
        </is>
      </c>
      <c r="C5" s="13">
        <f>C3*C4</f>
        <v>13.355689860000002</v>
      </c>
      <c r="F5" s="1" t="n"/>
    </row>
    <row r="6"/>
    <row r="7">
      <c r="B7" t="inlineStr">
        <is>
          <t>Cash</t>
        </is>
      </c>
      <c r="C7" s="21">
        <f>4.97943+18.287179</f>
        <v>23.266609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-9.910919139999997</v>
      </c>
    </row>
    <row r="10"/>
    <row r="11">
      <c r="B11" s="14" t="inlineStr">
        <is>
          <t>Net Cash / Share</t>
        </is>
      </c>
      <c r="C11" s="11">
        <f>(C7-C8)/C4</f>
        <v>2.8221609647350703</v>
      </c>
    </row>
    <row r="12">
      <c r="B12" s="14" t="inlineStr">
        <is>
          <t>Upside</t>
        </is>
      </c>
      <c r="C12" s="15">
        <f>IFERROR(C11/C3-1,"")</f>
        <v>0.7420746695895495</v>
      </c>
    </row>
    <row r="13">
      <c r="B13" s="14" t="inlineStr">
        <is>
          <t>Cash / Share</t>
        </is>
      </c>
      <c r="C13" s="11">
        <f>IFERROR((C7-C8)/C4,"")</f>
        <v>2.8221609647350703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-11.191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2.079046465910106</v>
      </c>
    </row>
    <row r="19">
      <c r="B19" s="14" t="inlineStr">
        <is>
          <t>Implied Pipeline Value</t>
        </is>
      </c>
      <c r="C19" s="13">
        <f>C9</f>
        <v>-9.910919139999997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7.71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0.428</v>
      </c>
      <c r="J2" s="23" t="n">
        <v>0.165</v>
      </c>
      <c r="K2" s="23" t="n">
        <v>0</v>
      </c>
      <c r="L2" s="23" t="n">
        <v>16.141</v>
      </c>
      <c r="M2" s="23" t="n">
        <v>0.5</v>
      </c>
      <c r="N2" s="23" t="n">
        <v>-2.851</v>
      </c>
      <c r="O2" s="23" t="n">
        <v>11.198</v>
      </c>
      <c r="P2" s="23" t="n">
        <v>1.977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7.71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0.428</v>
      </c>
      <c r="J4" s="23">
        <f>J2-J3</f>
        <v>0.165</v>
      </c>
      <c r="K4" s="23">
        <f>K2-K3</f>
        <v>0.0</v>
      </c>
      <c r="L4" s="23">
        <f>L2-L3</f>
        <v>16.141</v>
      </c>
      <c r="M4" s="23">
        <f>M2-M3</f>
        <v>0.5</v>
      </c>
      <c r="N4" s="23">
        <f>N2-N3</f>
        <v>-2.851</v>
      </c>
      <c r="O4" s="23">
        <f>O2-O3</f>
        <v>11.198</v>
      </c>
      <c r="P4" s="23">
        <f>P2-P3</f>
        <v>1.977</v>
      </c>
    </row>
    <row r="5">
      <c r="A5" s="2" t="inlineStr">
        <is>
          <t>Research &amp; Dev.</t>
        </is>
      </c>
      <c r="B5" s="23" t="n">
        <v>0</v>
      </c>
      <c r="C5" s="23" t="n">
        <v>2.281</v>
      </c>
      <c r="D5" s="23" t="n">
        <v>5.123</v>
      </c>
      <c r="E5" s="23" t="n">
        <v>15.479</v>
      </c>
      <c r="F5" s="23" t="n">
        <v>12.58</v>
      </c>
      <c r="G5" s="23" t="n">
        <v>8.076000000000001</v>
      </c>
      <c r="H5" s="23" t="n">
        <v>11.004</v>
      </c>
      <c r="I5" s="23" t="n">
        <v>6.465</v>
      </c>
      <c r="J5" s="23" t="n">
        <v>7.468</v>
      </c>
      <c r="K5" s="23" t="n">
        <v>9.747999999999999</v>
      </c>
      <c r="L5" s="23" t="n">
        <v>7.666</v>
      </c>
      <c r="M5" s="23" t="n">
        <v>8.557</v>
      </c>
      <c r="N5" s="23" t="n">
        <v>10.175</v>
      </c>
      <c r="O5" s="23" t="n">
        <v>7.352</v>
      </c>
      <c r="P5" s="23" t="n">
        <v>8.584</v>
      </c>
    </row>
    <row r="6">
      <c r="A6" s="19" t="inlineStr">
        <is>
          <t>SG&amp;A &amp; Other</t>
        </is>
      </c>
      <c r="B6" s="23" t="n">
        <v>0.005</v>
      </c>
      <c r="C6" s="23" t="n">
        <v>1.551</v>
      </c>
      <c r="D6" s="23" t="n">
        <v>5.561</v>
      </c>
      <c r="E6" s="23" t="n">
        <v>5.001</v>
      </c>
      <c r="F6" s="23" t="n">
        <v>5.802</v>
      </c>
      <c r="G6" s="23" t="n">
        <v>11.111</v>
      </c>
      <c r="H6" s="23" t="n">
        <v>10.214</v>
      </c>
      <c r="I6" s="23" t="n">
        <v>5.289</v>
      </c>
      <c r="J6" s="23" t="n">
        <v>5.597</v>
      </c>
      <c r="K6" s="23" t="n">
        <v>8.247999999999999</v>
      </c>
      <c r="L6" s="23" t="n">
        <v>5.33</v>
      </c>
      <c r="M6" s="23" t="n">
        <v>4.062</v>
      </c>
      <c r="N6" s="23" t="n">
        <v>4.905</v>
      </c>
      <c r="O6" s="23" t="n">
        <v>5.001</v>
      </c>
      <c r="P6" s="23" t="n">
        <v>3.764</v>
      </c>
    </row>
    <row r="7">
      <c r="A7" s="2" t="inlineStr">
        <is>
          <t>Operating Expense</t>
        </is>
      </c>
      <c r="B7" s="23">
        <f>SUM(B5:B6)</f>
        <v>0.005</v>
      </c>
      <c r="C7" s="23">
        <f>SUM(C5:C6)</f>
        <v>3.832</v>
      </c>
      <c r="D7" s="23">
        <f>SUM(D5:D6)</f>
        <v>10.684000000000001</v>
      </c>
      <c r="E7" s="23">
        <f>SUM(E5:E6)</f>
        <v>20.48</v>
      </c>
      <c r="F7" s="23">
        <f>SUM(F5:F6)</f>
        <v>18.381999999999998</v>
      </c>
      <c r="G7" s="23">
        <f>SUM(G5:G6)</f>
        <v>19.187</v>
      </c>
      <c r="H7" s="23">
        <f>SUM(H5:H6)</f>
        <v>21.218</v>
      </c>
      <c r="I7" s="23">
        <f>SUM(I5:I6)</f>
        <v>11.754</v>
      </c>
      <c r="J7" s="23">
        <f>SUM(J5:J6)</f>
        <v>13.065000000000001</v>
      </c>
      <c r="K7" s="23">
        <f>SUM(K5:K6)</f>
        <v>17.996</v>
      </c>
      <c r="L7" s="23">
        <f>SUM(L5:L6)</f>
        <v>12.996</v>
      </c>
      <c r="M7" s="23">
        <f>SUM(M5:M6)</f>
        <v>12.619</v>
      </c>
      <c r="N7" s="23">
        <f>SUM(N5:N6)</f>
        <v>15.080000000000002</v>
      </c>
      <c r="O7" s="23">
        <f>SUM(O5:O6)</f>
        <v>12.353000000000002</v>
      </c>
      <c r="P7" s="23">
        <f>SUM(P5:P6)</f>
        <v>12.347999999999999</v>
      </c>
    </row>
    <row r="8">
      <c r="A8" s="2" t="inlineStr">
        <is>
          <t>Operating Income</t>
        </is>
      </c>
      <c r="B8" s="23">
        <f>B4-B7</f>
        <v>-0.005</v>
      </c>
      <c r="C8" s="23">
        <f>C4-C7</f>
        <v>3.878</v>
      </c>
      <c r="D8" s="23">
        <f>D4-D7</f>
        <v>-10.684000000000001</v>
      </c>
      <c r="E8" s="23">
        <f>E4-E7</f>
        <v>-20.48</v>
      </c>
      <c r="F8" s="23">
        <f>F4-F7</f>
        <v>-18.381999999999998</v>
      </c>
      <c r="G8" s="23">
        <f>G4-G7</f>
        <v>-19.187</v>
      </c>
      <c r="H8" s="23">
        <f>H4-H7</f>
        <v>-21.218</v>
      </c>
      <c r="I8" s="23">
        <f>I4-I7</f>
        <v>-11.325999999999999</v>
      </c>
      <c r="J8" s="23">
        <f>J4-J7</f>
        <v>-12.900000000000002</v>
      </c>
      <c r="K8" s="23">
        <f>K4-K7</f>
        <v>-17.996</v>
      </c>
      <c r="L8" s="23">
        <f>L4-L7</f>
        <v>3.144999999999998</v>
      </c>
      <c r="M8" s="23">
        <f>M4-M7</f>
        <v>-12.119</v>
      </c>
      <c r="N8" s="23">
        <f>N4-N7</f>
        <v>-17.931</v>
      </c>
      <c r="O8" s="23">
        <f>O4-O7</f>
        <v>-1.1550000000000011</v>
      </c>
      <c r="P8" s="23">
        <f>P4-P7</f>
        <v>-10.370999999999999</v>
      </c>
    </row>
    <row r="9">
      <c r="A9" s="19" t="inlineStr">
        <is>
          <t>Interest &amp; Other</t>
        </is>
      </c>
      <c r="B9" s="23" t="n">
        <v>0</v>
      </c>
      <c r="C9" s="23" t="n">
        <v>0.01</v>
      </c>
      <c r="D9" s="23" t="n">
        <v>0.038</v>
      </c>
      <c r="E9" s="23" t="n">
        <v>0.108</v>
      </c>
      <c r="F9" s="23" t="n">
        <v>0.174</v>
      </c>
      <c r="G9" s="23" t="n">
        <v>0.216</v>
      </c>
      <c r="H9" s="23" t="n">
        <v>0.236</v>
      </c>
      <c r="I9" s="23" t="n">
        <v>-0.334</v>
      </c>
      <c r="J9" s="23" t="n">
        <v>-0.107</v>
      </c>
      <c r="K9" s="23" t="n">
        <v>-2.968</v>
      </c>
      <c r="L9" s="23" t="n">
        <v>-3.78</v>
      </c>
      <c r="M9" s="23" t="n">
        <v>1.361</v>
      </c>
      <c r="N9" s="23" t="n">
        <v>1.582</v>
      </c>
      <c r="O9" s="23" t="n">
        <v>1.166</v>
      </c>
      <c r="P9" s="23" t="n">
        <v>0.742</v>
      </c>
    </row>
    <row r="10">
      <c r="A10" s="2" t="inlineStr">
        <is>
          <t>Pretax</t>
        </is>
      </c>
      <c r="B10" s="23">
        <f>B8+B9</f>
        <v>-0.005</v>
      </c>
      <c r="C10" s="23">
        <f>C8+C9</f>
        <v>3.888</v>
      </c>
      <c r="D10" s="23">
        <f>D8+D9</f>
        <v>-10.646</v>
      </c>
      <c r="E10" s="23">
        <f>E8+E9</f>
        <v>-20.372</v>
      </c>
      <c r="F10" s="23">
        <f>F8+F9</f>
        <v>-18.208</v>
      </c>
      <c r="G10" s="23">
        <f>G8+G9</f>
        <v>-18.971</v>
      </c>
      <c r="H10" s="23">
        <f>H8+H9</f>
        <v>-20.982</v>
      </c>
      <c r="I10" s="23">
        <f>I8+I9</f>
        <v>-11.659999999999998</v>
      </c>
      <c r="J10" s="23">
        <f>J8+J9</f>
        <v>-13.007000000000001</v>
      </c>
      <c r="K10" s="23">
        <f>K8+K9</f>
        <v>-20.964</v>
      </c>
      <c r="L10" s="23">
        <f>L8+L9</f>
        <v>-0.635000000000002</v>
      </c>
      <c r="M10" s="23">
        <f>M8+M9</f>
        <v>-10.758</v>
      </c>
      <c r="N10" s="23">
        <f>N8+N9</f>
        <v>-16.349</v>
      </c>
      <c r="O10" s="23">
        <f>O8+O9</f>
        <v>0.010999999999998789</v>
      </c>
      <c r="P10" s="23">
        <f>P8+P9</f>
        <v>-9.628999999999998</v>
      </c>
    </row>
    <row r="11">
      <c r="A11" s="2" t="inlineStr">
        <is>
          <t>Taxes</t>
        </is>
      </c>
      <c r="B11" s="23" t="n">
        <v>0</v>
      </c>
      <c r="C11" s="23" t="n">
        <v>0.001</v>
      </c>
      <c r="D11" s="23" t="n">
        <v>-0.055</v>
      </c>
      <c r="E11" s="23" t="n">
        <v>0</v>
      </c>
      <c r="F11" s="23" t="n">
        <v>0</v>
      </c>
      <c r="G11" s="23" t="n">
        <v>0.001</v>
      </c>
      <c r="H11" s="23" t="n">
        <v>0.001</v>
      </c>
      <c r="I11" s="23" t="n">
        <v>0.001</v>
      </c>
      <c r="J11" s="23" t="n">
        <v>0</v>
      </c>
      <c r="K11" s="23" t="n">
        <v>0</v>
      </c>
      <c r="L11" s="23" t="n">
        <v>0</v>
      </c>
      <c r="M11" s="23" t="n">
        <v>0.001</v>
      </c>
      <c r="N11" s="23" t="n">
        <v>0.001</v>
      </c>
      <c r="O11" s="23" t="n">
        <v>0.001</v>
      </c>
      <c r="P11" s="23" t="n">
        <v>0</v>
      </c>
    </row>
    <row r="12">
      <c r="A12" s="2" t="inlineStr">
        <is>
          <t>Net Income</t>
        </is>
      </c>
      <c r="B12" s="23" t="n">
        <v>-0.005</v>
      </c>
      <c r="C12" s="23" t="n">
        <v>3.887</v>
      </c>
      <c r="D12" s="23" t="n">
        <v>-10.59</v>
      </c>
      <c r="E12" s="23" t="n">
        <v>-20.373</v>
      </c>
      <c r="F12" s="23" t="n">
        <v>-18.208</v>
      </c>
      <c r="G12" s="23" t="n">
        <v>-18.972</v>
      </c>
      <c r="H12" s="23" t="n">
        <v>-20.983</v>
      </c>
      <c r="I12" s="23" t="n">
        <v>-11.66</v>
      </c>
      <c r="J12" s="23" t="n">
        <v>-13.007</v>
      </c>
      <c r="K12" s="23" t="n">
        <v>-20.965</v>
      </c>
      <c r="L12" s="23" t="n">
        <v>-0.634</v>
      </c>
      <c r="M12" s="23" t="n">
        <v>-10.759</v>
      </c>
      <c r="N12" s="23" t="n">
        <v>-16.35</v>
      </c>
      <c r="O12" s="23" t="n">
        <v>0.01</v>
      </c>
      <c r="P12" s="23" t="n">
        <v>-9.630000000000001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14.835877862595419</v>
      </c>
      <c r="D13" s="11">
        <f>IFERROR(D12/D14,0)</f>
        <v>-24.45727482678984</v>
      </c>
      <c r="E13" s="11">
        <f>IFERROR(E12/E14,0)</f>
        <v>-27.127829560585887</v>
      </c>
      <c r="F13" s="11">
        <f>IFERROR(F12/F14,0)</f>
        <v>-18.79050567595459</v>
      </c>
      <c r="G13" s="11">
        <f>IFERROR(G12/G14,0)</f>
        <v>-17.664804469273744</v>
      </c>
      <c r="H13" s="11">
        <f>IFERROR(H12/H14,0)</f>
        <v>-17.78220338983051</v>
      </c>
      <c r="I13" s="11">
        <f>IFERROR(I12/I14,0)</f>
        <v>-9.28343949044586</v>
      </c>
      <c r="J13" s="11">
        <f>IFERROR(J12/J14,0)</f>
        <v>-8.545992115637318</v>
      </c>
      <c r="K13" s="11">
        <f>IFERROR(K12/K14,0)</f>
        <v>-6.39957264957265</v>
      </c>
      <c r="L13" s="11">
        <f>IFERROR(L12/L14,0)</f>
        <v>-0.12301125339542103</v>
      </c>
      <c r="M13" s="11">
        <f>IFERROR(M12/M14,0)</f>
        <v>-2.046993911719939</v>
      </c>
      <c r="N13" s="11">
        <f>IFERROR(N12/N14,0)</f>
        <v>-3.102466793168881</v>
      </c>
      <c r="O13" s="11">
        <f>IFERROR(O12/O14,0)</f>
        <v>0.0018439977872026555</v>
      </c>
      <c r="P13" s="11">
        <f>IFERROR(P12/P14,0)</f>
        <v>-1.687105816398038</v>
      </c>
    </row>
    <row r="14">
      <c r="A14" s="2" t="inlineStr">
        <is>
          <t>Shares</t>
        </is>
      </c>
      <c r="B14" s="23" t="n"/>
      <c r="C14" s="23" t="n">
        <v>0.262</v>
      </c>
      <c r="D14" s="23" t="n">
        <v>0.433</v>
      </c>
      <c r="E14" s="23" t="n">
        <v>0.751</v>
      </c>
      <c r="F14" s="23" t="n">
        <v>0.969</v>
      </c>
      <c r="G14" s="23" t="n">
        <v>1.074</v>
      </c>
      <c r="H14" s="23" t="n">
        <v>1.18</v>
      </c>
      <c r="I14" s="23" t="n">
        <v>1.256</v>
      </c>
      <c r="J14" s="23" t="n">
        <v>1.522</v>
      </c>
      <c r="K14" s="23" t="n">
        <v>3.276</v>
      </c>
      <c r="L14" s="23" t="n">
        <v>5.154</v>
      </c>
      <c r="M14" s="23" t="n">
        <v>5.256</v>
      </c>
      <c r="N14" s="23" t="n">
        <v>5.27</v>
      </c>
      <c r="O14" s="23" t="n">
        <v>5.423</v>
      </c>
      <c r="P14" s="23" t="n">
        <v>5.708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-0.6144859813084111</v>
      </c>
      <c r="K16" s="15">
        <f>IFERROR(K2/J2-1,"")</f>
        <v>-1.0</v>
      </c>
      <c r="L16" s="15">
        <f>IFERROR(L2/K2-1,"")</f>
        <v/>
      </c>
      <c r="M16" s="15">
        <f>IFERROR(M2/L2-1,"")</f>
        <v>-0.9690229849451707</v>
      </c>
      <c r="N16" s="15">
        <f>IFERROR(N2/M2-1,"")</f>
        <v>-6.702</v>
      </c>
      <c r="O16" s="15">
        <f>IFERROR(O2/N2-1,"")</f>
        <v>-4.927744650999649</v>
      </c>
      <c r="P16" s="15">
        <f>IFERROR(P2/O2-1,"")</f>
        <v>-0.823450616181461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/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>0.5029831387808041</v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-26.462616822429904</v>
      </c>
      <c r="J18" s="15">
        <f>IFERROR(J8/J2,"")</f>
        <v>-78.18181818181819</v>
      </c>
      <c r="K18" s="15">
        <f>IFERROR(K8/K2,"")</f>
        <v/>
      </c>
      <c r="L18" s="15">
        <f>IFERROR(L8/L2,"")</f>
        <v>0.19484542469487628</v>
      </c>
      <c r="M18" s="15">
        <f>IFERROR(M8/M2,"")</f>
        <v>-24.238</v>
      </c>
      <c r="N18" s="15">
        <f>IFERROR(N8/N2,"")</f>
        <v>6.289372150122764</v>
      </c>
      <c r="O18" s="15">
        <f>IFERROR(O8/O2,"")</f>
        <v>-0.1031434184675836</v>
      </c>
      <c r="P18" s="15">
        <f>IFERROR(P8/P2,"")</f>
        <v>-5.245827010622154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2026-10-21T01:06:32Z</dcterms:modified>
  <cp:lastModifiedBy>Wang, Eric</cp:lastModifiedBy>
</cp:coreProperties>
</file>