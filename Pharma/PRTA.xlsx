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Prothena Corporation PLC</t>
        </is>
      </c>
      <c r="C2" s="10" t="n"/>
    </row>
    <row r="3">
      <c r="B3" t="inlineStr">
        <is>
          <t>Price</t>
        </is>
      </c>
      <c r="C3" s="11">
        <f>INDEX([1]Pharma!$F$1:$F$1000,MATCH("PRTA",[1]Pharma!$B$1:$B$1000,0))</f>
        <v>8.5</v>
      </c>
      <c r="F3" s="1" t="n"/>
    </row>
    <row r="4">
      <c r="B4" t="inlineStr">
        <is>
          <t>Shares</t>
        </is>
      </c>
      <c r="C4" s="21" t="n">
        <v>51.336974</v>
      </c>
      <c r="F4" s="1" t="n"/>
    </row>
    <row r="5">
      <c r="B5" t="inlineStr">
        <is>
          <t>Market Cap.</t>
        </is>
      </c>
      <c r="C5" s="13">
        <f>C3*C4</f>
        <v>436.364279</v>
      </c>
      <c r="F5" s="1" t="n"/>
    </row>
    <row r="6"/>
    <row r="7">
      <c r="B7" t="inlineStr">
        <is>
          <t>Cash</t>
        </is>
      </c>
      <c r="C7" s="21" t="n">
        <v>288.193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148.17127900000003</v>
      </c>
    </row>
    <row r="10"/>
    <row r="11">
      <c r="B11" s="14" t="inlineStr">
        <is>
          <t>Net Cash / Share</t>
        </is>
      </c>
      <c r="C11" s="11">
        <f>(C7-C8)/C4</f>
        <v>5.613751211748475</v>
      </c>
    </row>
    <row r="12">
      <c r="B12" s="14" t="inlineStr">
        <is>
          <t>Upside</t>
        </is>
      </c>
      <c r="C12" s="15">
        <f>IFERROR(C11/C3-1,"")</f>
        <v>-0.3395586809707676</v>
      </c>
    </row>
    <row r="13">
      <c r="B13" s="14" t="inlineStr">
        <is>
          <t>Cash / Share</t>
        </is>
      </c>
      <c r="C13" s="11">
        <f>IFERROR((C7-C8)/C4,"")</f>
        <v>5.613751211748475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-60.049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4.799297240586854</v>
      </c>
    </row>
    <row r="19">
      <c r="B19" s="14" t="inlineStr">
        <is>
          <t>Implied Pipeline Value</t>
        </is>
      </c>
      <c r="C19" s="13">
        <f>C9</f>
        <v>148.17127900000003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2.658</v>
      </c>
      <c r="D2" s="23" t="n">
        <v>0.676</v>
      </c>
      <c r="E2" s="23" t="n">
        <v>50.854</v>
      </c>
      <c r="F2" s="23" t="n">
        <v>1.607</v>
      </c>
      <c r="G2" s="23" t="n">
        <v>1.055</v>
      </c>
      <c r="H2" s="23" t="n">
        <v>27.519</v>
      </c>
      <c r="I2" s="23" t="n">
        <v>0.955</v>
      </c>
      <c r="J2" s="23" t="n">
        <v>0.8139999999999999</v>
      </c>
      <c r="K2" s="23" t="n">
        <v>0.853</v>
      </c>
      <c r="L2" s="23" t="n">
        <v>200.577</v>
      </c>
      <c r="M2" s="23" t="n">
        <v>53.905</v>
      </c>
      <c r="N2" s="23" t="n">
        <v>91.37</v>
      </c>
      <c r="O2" s="23" t="n">
        <v>135.157</v>
      </c>
      <c r="P2" s="23" t="n">
        <v>9.683999999999999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2.658</v>
      </c>
      <c r="D4" s="23">
        <f>D2-D3</f>
        <v>0.676</v>
      </c>
      <c r="E4" s="23">
        <f>E2-E3</f>
        <v>50.854</v>
      </c>
      <c r="F4" s="23">
        <f>F2-F3</f>
        <v>1.607</v>
      </c>
      <c r="G4" s="23">
        <f>G2-G3</f>
        <v>1.055</v>
      </c>
      <c r="H4" s="23">
        <f>H2-H3</f>
        <v>27.519</v>
      </c>
      <c r="I4" s="23">
        <f>I2-I3</f>
        <v>0.955</v>
      </c>
      <c r="J4" s="23">
        <f>J2-J3</f>
        <v>0.814</v>
      </c>
      <c r="K4" s="23">
        <f>K2-K3</f>
        <v>0.853</v>
      </c>
      <c r="L4" s="23">
        <f>L2-L3</f>
        <v>200.577</v>
      </c>
      <c r="M4" s="23">
        <f>M2-M3</f>
        <v>53.905</v>
      </c>
      <c r="N4" s="23">
        <f>N2-N3</f>
        <v>91.37</v>
      </c>
      <c r="O4" s="23">
        <f>O2-O3</f>
        <v>135.157</v>
      </c>
      <c r="P4" s="23">
        <f>P2-P3</f>
        <v>9.684</v>
      </c>
    </row>
    <row r="5">
      <c r="A5" s="2" t="inlineStr">
        <is>
          <t>Research &amp; Dev.</t>
        </is>
      </c>
      <c r="B5" s="23" t="n">
        <v>24.172</v>
      </c>
      <c r="C5" s="23" t="n">
        <v>34.139</v>
      </c>
      <c r="D5" s="23" t="n">
        <v>26.052</v>
      </c>
      <c r="E5" s="23" t="n">
        <v>38.452</v>
      </c>
      <c r="F5" s="23" t="n">
        <v>58.439</v>
      </c>
      <c r="G5" s="23" t="n">
        <v>119.534</v>
      </c>
      <c r="H5" s="23" t="n">
        <v>134.547</v>
      </c>
      <c r="I5" s="23" t="n">
        <v>101.183</v>
      </c>
      <c r="J5" s="23" t="n">
        <v>50.836</v>
      </c>
      <c r="K5" s="23" t="n">
        <v>74.884</v>
      </c>
      <c r="L5" s="23" t="n">
        <v>82.28400000000001</v>
      </c>
      <c r="M5" s="23" t="n">
        <v>135.562</v>
      </c>
      <c r="N5" s="23" t="n">
        <v>220.571</v>
      </c>
      <c r="O5" s="23" t="n">
        <v>222.519</v>
      </c>
      <c r="P5" s="23" t="n">
        <v>134.852</v>
      </c>
    </row>
    <row r="6">
      <c r="A6" s="19" t="inlineStr">
        <is>
          <t>SG&amp;A &amp; Other</t>
        </is>
      </c>
      <c r="B6" s="23" t="n">
        <v>5.072</v>
      </c>
      <c r="C6" s="23" t="n">
        <v>9.929</v>
      </c>
      <c r="D6" s="23" t="n">
        <v>15.051</v>
      </c>
      <c r="E6" s="23" t="n">
        <v>19.051</v>
      </c>
      <c r="F6" s="23" t="n">
        <v>23.105</v>
      </c>
      <c r="G6" s="23" t="n">
        <v>41.056</v>
      </c>
      <c r="H6" s="23" t="n">
        <v>48.226</v>
      </c>
      <c r="I6" s="23" t="n">
        <v>58.627</v>
      </c>
      <c r="J6" s="23" t="n">
        <v>35.675</v>
      </c>
      <c r="K6" s="23" t="n">
        <v>38.703</v>
      </c>
      <c r="L6" s="23" t="n">
        <v>46.318</v>
      </c>
      <c r="M6" s="23" t="n">
        <v>49.9</v>
      </c>
      <c r="N6" s="23" t="n">
        <v>61.835</v>
      </c>
      <c r="O6" s="23" t="n">
        <v>67.199</v>
      </c>
      <c r="P6" s="23" t="n">
        <v>89.47199999999999</v>
      </c>
    </row>
    <row r="7">
      <c r="A7" s="2" t="inlineStr">
        <is>
          <t>Operating Expense</t>
        </is>
      </c>
      <c r="B7" s="23">
        <f>SUM(B5:B6)</f>
        <v>29.244</v>
      </c>
      <c r="C7" s="23">
        <f>SUM(C5:C6)</f>
        <v>44.068000000000005</v>
      </c>
      <c r="D7" s="23">
        <f>SUM(D5:D6)</f>
        <v>41.103</v>
      </c>
      <c r="E7" s="23">
        <f>SUM(E5:E6)</f>
        <v>57.503</v>
      </c>
      <c r="F7" s="23">
        <f>SUM(F5:F6)</f>
        <v>81.544</v>
      </c>
      <c r="G7" s="23">
        <f>SUM(G5:G6)</f>
        <v>160.59</v>
      </c>
      <c r="H7" s="23">
        <f>SUM(H5:H6)</f>
        <v>182.773</v>
      </c>
      <c r="I7" s="23">
        <f>SUM(I5:I6)</f>
        <v>159.81</v>
      </c>
      <c r="J7" s="23">
        <f>SUM(J5:J6)</f>
        <v>86.511</v>
      </c>
      <c r="K7" s="23">
        <f>SUM(K5:K6)</f>
        <v>113.587</v>
      </c>
      <c r="L7" s="23">
        <f>SUM(L5:L6)</f>
        <v>128.602</v>
      </c>
      <c r="M7" s="23">
        <f>SUM(M5:M6)</f>
        <v>185.46200000000002</v>
      </c>
      <c r="N7" s="23">
        <f>SUM(N5:N6)</f>
        <v>282.406</v>
      </c>
      <c r="O7" s="23">
        <f>SUM(O5:O6)</f>
        <v>289.718</v>
      </c>
      <c r="P7" s="23">
        <f>SUM(P5:P6)</f>
        <v>224.324</v>
      </c>
    </row>
    <row r="8">
      <c r="A8" s="2" t="inlineStr">
        <is>
          <t>Operating Income</t>
        </is>
      </c>
      <c r="B8" s="23">
        <f>B4-B7</f>
        <v>-29.244</v>
      </c>
      <c r="C8" s="23">
        <f>C4-C7</f>
        <v>-41.410000000000004</v>
      </c>
      <c r="D8" s="23">
        <f>D4-D7</f>
        <v>-40.427</v>
      </c>
      <c r="E8" s="23">
        <f>E4-E7</f>
        <v>-6.649000000000001</v>
      </c>
      <c r="F8" s="23">
        <f>F4-F7</f>
        <v>-79.937</v>
      </c>
      <c r="G8" s="23">
        <f>G4-G7</f>
        <v>-159.535</v>
      </c>
      <c r="H8" s="23">
        <f>H4-H7</f>
        <v>-155.254</v>
      </c>
      <c r="I8" s="23">
        <f>I4-I7</f>
        <v>-158.855</v>
      </c>
      <c r="J8" s="23">
        <f>J4-J7</f>
        <v>-85.697</v>
      </c>
      <c r="K8" s="23">
        <f>K4-K7</f>
        <v>-112.73400000000001</v>
      </c>
      <c r="L8" s="23">
        <f>L4-L7</f>
        <v>71.975</v>
      </c>
      <c r="M8" s="23">
        <f>M4-M7</f>
        <v>-131.55700000000002</v>
      </c>
      <c r="N8" s="23">
        <f>N4-N7</f>
        <v>-191.036</v>
      </c>
      <c r="O8" s="23">
        <f>O4-O7</f>
        <v>-154.561</v>
      </c>
      <c r="P8" s="23">
        <f>P4-P7</f>
        <v>-214.64000000000001</v>
      </c>
    </row>
    <row r="9">
      <c r="A9" s="19" t="inlineStr">
        <is>
          <t>Interest &amp; Other</t>
        </is>
      </c>
      <c r="B9" s="23" t="n">
        <v>-0</v>
      </c>
      <c r="C9" s="23" t="n">
        <v>0.005</v>
      </c>
      <c r="D9" s="23" t="n">
        <v>-0.154</v>
      </c>
      <c r="E9" s="23" t="n">
        <v>0.31</v>
      </c>
      <c r="F9" s="23" t="n">
        <v>0.026</v>
      </c>
      <c r="G9" s="23" t="n">
        <v>0.571</v>
      </c>
      <c r="H9" s="23" t="n">
        <v>-2.349</v>
      </c>
      <c r="I9" s="23" t="n">
        <v>2.74</v>
      </c>
      <c r="J9" s="23" t="n">
        <v>8.398999999999999</v>
      </c>
      <c r="K9" s="23" t="n">
        <v>1.307</v>
      </c>
      <c r="L9" s="23" t="n">
        <v>-0.054</v>
      </c>
      <c r="M9" s="23" t="n">
        <v>5.952</v>
      </c>
      <c r="N9" s="23" t="n">
        <v>30.556</v>
      </c>
      <c r="O9" s="23" t="n">
        <v>25.631</v>
      </c>
      <c r="P9" s="23" t="n">
        <v>13.811</v>
      </c>
    </row>
    <row r="10">
      <c r="A10" s="2" t="inlineStr">
        <is>
          <t>Pretax</t>
        </is>
      </c>
      <c r="B10" s="23">
        <f>B8+B9</f>
        <v>-29.244</v>
      </c>
      <c r="C10" s="23">
        <f>C8+C9</f>
        <v>-41.405</v>
      </c>
      <c r="D10" s="23">
        <f>D8+D9</f>
        <v>-40.581</v>
      </c>
      <c r="E10" s="23">
        <f>E8+E9</f>
        <v>-6.339000000000001</v>
      </c>
      <c r="F10" s="23">
        <f>F8+F9</f>
        <v>-79.911</v>
      </c>
      <c r="G10" s="23">
        <f>G8+G9</f>
        <v>-158.964</v>
      </c>
      <c r="H10" s="23">
        <f>H8+H9</f>
        <v>-157.60299999999998</v>
      </c>
      <c r="I10" s="23">
        <f>I8+I9</f>
        <v>-156.11499999999998</v>
      </c>
      <c r="J10" s="23">
        <f>J8+J9</f>
        <v>-77.298</v>
      </c>
      <c r="K10" s="23">
        <f>K8+K9</f>
        <v>-111.427</v>
      </c>
      <c r="L10" s="23">
        <f>L8+L9</f>
        <v>71.92099999999999</v>
      </c>
      <c r="M10" s="23">
        <f>M8+M9</f>
        <v>-125.60500000000002</v>
      </c>
      <c r="N10" s="23">
        <f>N8+N9</f>
        <v>-160.48</v>
      </c>
      <c r="O10" s="23">
        <f>O8+O9</f>
        <v>-128.93</v>
      </c>
      <c r="P10" s="23">
        <f>P8+P9</f>
        <v>-200.829</v>
      </c>
    </row>
    <row r="11">
      <c r="A11" s="2" t="inlineStr">
        <is>
          <t>Taxes</t>
        </is>
      </c>
      <c r="B11" s="23" t="n">
        <v>0.426</v>
      </c>
      <c r="C11" s="23" t="n">
        <v>0.006</v>
      </c>
      <c r="D11" s="23" t="n">
        <v>0.415</v>
      </c>
      <c r="E11" s="23" t="n">
        <v>0.8110000000000001</v>
      </c>
      <c r="F11" s="23" t="n">
        <v>0.701</v>
      </c>
      <c r="G11" s="23" t="n">
        <v>1.144</v>
      </c>
      <c r="H11" s="23" t="n">
        <v>-4.366</v>
      </c>
      <c r="I11" s="23" t="n">
        <v>-0.47</v>
      </c>
      <c r="J11" s="23" t="n">
        <v>0.379</v>
      </c>
      <c r="K11" s="23" t="n">
        <v>-0.283</v>
      </c>
      <c r="L11" s="23" t="n">
        <v>4.946</v>
      </c>
      <c r="M11" s="23" t="n">
        <v>-8.656000000000001</v>
      </c>
      <c r="N11" s="23" t="n">
        <v>-13.452</v>
      </c>
      <c r="O11" s="23" t="n">
        <v>-6.62</v>
      </c>
      <c r="P11" s="23" t="n">
        <v>43.263</v>
      </c>
    </row>
    <row r="12">
      <c r="A12" s="2" t="inlineStr">
        <is>
          <t>Net Income</t>
        </is>
      </c>
      <c r="B12" s="23" t="n">
        <v>-29.67</v>
      </c>
      <c r="C12" s="23" t="n">
        <v>-41.411</v>
      </c>
      <c r="D12" s="23" t="n">
        <v>-40.996</v>
      </c>
      <c r="E12" s="23" t="n">
        <v>-7.15</v>
      </c>
      <c r="F12" s="23" t="n">
        <v>-80.61199999999999</v>
      </c>
      <c r="G12" s="23" t="n">
        <v>-160.108</v>
      </c>
      <c r="H12" s="23" t="n">
        <v>-153.237</v>
      </c>
      <c r="I12" s="23" t="n">
        <v>-155.645</v>
      </c>
      <c r="J12" s="23" t="n">
        <v>-77.67700000000001</v>
      </c>
      <c r="K12" s="23" t="n">
        <v>-111.144</v>
      </c>
      <c r="L12" s="23" t="n">
        <v>66.97499999999999</v>
      </c>
      <c r="M12" s="23" t="n">
        <v>-116.949</v>
      </c>
      <c r="N12" s="23" t="n">
        <v>-147.028</v>
      </c>
      <c r="O12" s="23" t="n">
        <v>-122.31</v>
      </c>
      <c r="P12" s="23" t="n">
        <v>-244.092</v>
      </c>
    </row>
    <row r="13">
      <c r="A13" s="2" t="inlineStr">
        <is>
          <t>Earnings per Share</t>
        </is>
      </c>
      <c r="B13" s="11">
        <f>IFERROR(B12/B14,0)</f>
        <v>-2.046630337311168</v>
      </c>
      <c r="C13" s="11">
        <f>IFERROR(C12/C14,0)</f>
        <v>-2.8377304186938943</v>
      </c>
      <c r="D13" s="11">
        <f>IFERROR(D12/D14,0)</f>
        <v>-2.2023099650819233</v>
      </c>
      <c r="E13" s="11">
        <f>IFERROR(E12/E14,0)</f>
        <v>-0.2898022049286641</v>
      </c>
      <c r="F13" s="11">
        <f>IFERROR(F12/F14,0)</f>
        <v>-2.6581810987271646</v>
      </c>
      <c r="G13" s="11">
        <f>IFERROR(G12/G14,0)</f>
        <v>-4.660941457308375</v>
      </c>
      <c r="H13" s="11">
        <f>IFERROR(H12/H14,0)</f>
        <v>-4.069607478621129</v>
      </c>
      <c r="I13" s="11">
        <f>IFERROR(I12/I14,0)</f>
        <v>-3.9345028944108806</v>
      </c>
      <c r="J13" s="11">
        <f>IFERROR(J12/J14,0)</f>
        <v>-1.9476706283536436</v>
      </c>
      <c r="K13" s="11">
        <f>IFERROR(K12/K14,0)</f>
        <v>-2.7845170988350247</v>
      </c>
      <c r="L13" s="11">
        <f>IFERROR(L12/L14,0)</f>
        <v>1.3819536150544733</v>
      </c>
      <c r="M13" s="11">
        <f>IFERROR(M12/M14,0)</f>
        <v>-2.4688931579725137</v>
      </c>
      <c r="N13" s="11">
        <f>IFERROR(N12/N14,0)</f>
        <v>-2.7628532772098615</v>
      </c>
      <c r="O13" s="11">
        <f>IFERROR(O12/O14,0)</f>
        <v>-2.2746038830618165</v>
      </c>
      <c r="P13" s="11">
        <f>IFERROR(P12/P14,0)</f>
        <v>-4.534581731037173</v>
      </c>
    </row>
    <row r="14">
      <c r="A14" s="2" t="inlineStr">
        <is>
          <t>Shares</t>
        </is>
      </c>
      <c r="B14" s="23" t="n">
        <v>14.497</v>
      </c>
      <c r="C14" s="23" t="n">
        <v>14.593</v>
      </c>
      <c r="D14" s="23" t="n">
        <v>18.615</v>
      </c>
      <c r="E14" s="23" t="n">
        <v>24.672</v>
      </c>
      <c r="F14" s="23" t="n">
        <v>30.326</v>
      </c>
      <c r="G14" s="23" t="n">
        <v>34.351</v>
      </c>
      <c r="H14" s="23" t="n">
        <v>37.654</v>
      </c>
      <c r="I14" s="23" t="n">
        <v>39.559</v>
      </c>
      <c r="J14" s="23" t="n">
        <v>39.882</v>
      </c>
      <c r="K14" s="23" t="n">
        <v>39.915</v>
      </c>
      <c r="L14" s="23" t="n">
        <v>48.464</v>
      </c>
      <c r="M14" s="23" t="n">
        <v>47.369</v>
      </c>
      <c r="N14" s="23" t="n">
        <v>53.216</v>
      </c>
      <c r="O14" s="23" t="n">
        <v>53.772</v>
      </c>
      <c r="P14" s="23" t="n">
        <v>53.829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-0.745673438675696</v>
      </c>
      <c r="E16" s="15">
        <f>IFERROR(E2/D2-1,"")</f>
        <v>74.22781065088756</v>
      </c>
      <c r="F16" s="15">
        <f>IFERROR(F2/E2-1,"")</f>
        <v>-0.9683997325677429</v>
      </c>
      <c r="G16" s="15">
        <f>IFERROR(G2/F2-1,"")</f>
        <v>-0.34349719975108906</v>
      </c>
      <c r="H16" s="15">
        <f>IFERROR(H2/G2-1,"")</f>
        <v>25.08436018957346</v>
      </c>
      <c r="I16" s="15">
        <f>IFERROR(I2/H2-1,"")</f>
        <v>-0.9652967040953523</v>
      </c>
      <c r="J16" s="15">
        <f>IFERROR(J2/I2-1,"")</f>
        <v>-0.14764397905759163</v>
      </c>
      <c r="K16" s="15">
        <f>IFERROR(K2/J2-1,"")</f>
        <v>0.04791154791154795</v>
      </c>
      <c r="L16" s="15">
        <f>IFERROR(L2/K2-1,"")</f>
        <v>234.1430246189918</v>
      </c>
      <c r="M16" s="15">
        <f>IFERROR(M2/L2-1,"")</f>
        <v>-0.7312503427611341</v>
      </c>
      <c r="N16" s="15">
        <f>IFERROR(N2/M2-1,"")</f>
        <v>0.6950190149336797</v>
      </c>
      <c r="O16" s="15">
        <f>IFERROR(O2/N2-1,"")</f>
        <v>0.4792273175002737</v>
      </c>
      <c r="P16" s="15">
        <f>IFERROR(P2/O2-1,"")</f>
        <v>-0.9283499929711373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-15.579382994732883</v>
      </c>
      <c r="D18" s="15">
        <f>IFERROR(D8/D2,"")</f>
        <v>-59.80325443786982</v>
      </c>
      <c r="E18" s="15">
        <f>IFERROR(E8/E2,"")</f>
        <v>-0.1307468439060841</v>
      </c>
      <c r="F18" s="15">
        <f>IFERROR(F8/F2,"")</f>
        <v>-49.74299937772246</v>
      </c>
      <c r="G18" s="15">
        <f>IFERROR(G8/G2,"")</f>
        <v>-151.218009478673</v>
      </c>
      <c r="H18" s="15">
        <f>IFERROR(H8/H2,"")</f>
        <v>-5.641702096733166</v>
      </c>
      <c r="I18" s="15">
        <f>IFERROR(I8/I2,"")</f>
        <v>-166.34031413612564</v>
      </c>
      <c r="J18" s="15">
        <f>IFERROR(J8/J2,"")</f>
        <v>-105.27886977886979</v>
      </c>
      <c r="K18" s="15">
        <f>IFERROR(K8/K2,"")</f>
        <v>-132.1617819460727</v>
      </c>
      <c r="L18" s="15">
        <f>IFERROR(L8/L2,"")</f>
        <v>0.35883974732895596</v>
      </c>
      <c r="M18" s="15">
        <f>IFERROR(M8/M2,"")</f>
        <v>-2.4405342732585105</v>
      </c>
      <c r="N18" s="15">
        <f>IFERROR(N8/N2,"")</f>
        <v>-2.090795665973514</v>
      </c>
      <c r="O18" s="15">
        <f>IFERROR(O8/O2,"")</f>
        <v>-1.1435663709611785</v>
      </c>
      <c r="P18" s="15">
        <f>IFERROR(P8/P2,"")</f>
        <v>-22.16439487814953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2026-10-21T01:05:13Z</dcterms:modified>
  <cp:lastModifiedBy>Wang, Eric</cp:lastModifiedBy>
</cp:coreProperties>
</file>