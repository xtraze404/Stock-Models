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Boundless Bio, Inc.</t>
        </is>
      </c>
      <c r="C2" s="10" t="n"/>
    </row>
    <row r="3">
      <c r="B3" t="inlineStr">
        <is>
          <t>Price</t>
        </is>
      </c>
      <c r="C3" s="11">
        <f>INDEX([1]Pharma!$F$1:$F$1000,MATCH("BOLD",[1]Pharma!$B$1:$B$1000,0))</f>
        <v>2.43</v>
      </c>
      <c r="F3" s="1" t="n"/>
    </row>
    <row r="4">
      <c r="B4" t="inlineStr">
        <is>
          <t>Shares</t>
        </is>
      </c>
      <c r="C4" s="21" t="n">
        <v>22.747985</v>
      </c>
      <c r="F4" s="1" t="n"/>
    </row>
    <row r="5">
      <c r="B5" t="inlineStr">
        <is>
          <t>Market Cap.</t>
        </is>
      </c>
      <c r="C5" s="13">
        <f>C3*C4</f>
        <v>55.27760355</v>
      </c>
      <c r="F5" s="1" t="n"/>
    </row>
    <row r="6"/>
    <row r="7">
      <c r="B7" t="inlineStr">
        <is>
          <t>Cash</t>
        </is>
      </c>
      <c r="C7" s="21">
        <f>20.213+52.413</f>
        <v>72.626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-17.348396450000003</v>
      </c>
    </row>
    <row r="10"/>
    <row r="11">
      <c r="B11" s="14" t="inlineStr">
        <is>
          <t>Net Cash / Share</t>
        </is>
      </c>
      <c r="C11" s="11">
        <f>(C7-C8)/C4</f>
        <v>3.1926344245435367</v>
      </c>
    </row>
    <row r="12">
      <c r="B12" s="14" t="inlineStr">
        <is>
          <t>Upside</t>
        </is>
      </c>
      <c r="C12" s="15">
        <f>IFERROR(C11/C3-1,"")</f>
        <v>0.31384132697264877</v>
      </c>
    </row>
    <row r="13">
      <c r="B13" s="14" t="inlineStr">
        <is>
          <t>Cash / Share</t>
        </is>
      </c>
      <c r="C13" s="11">
        <f>IFERROR((C7-C8)/C4,"")</f>
        <v>3.1926344245435367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-56.247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1.2911977527690366</v>
      </c>
    </row>
    <row r="19">
      <c r="B19" s="14" t="inlineStr">
        <is>
          <t>Implied Pipeline Value</t>
        </is>
      </c>
      <c r="C19" s="13">
        <f>C9</f>
        <v>-17.348396450000003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2023</v>
      </c>
      <c r="C1" s="17" t="n">
        <v>2024</v>
      </c>
      <c r="D1" s="17" t="n">
        <v>2025</v>
      </c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42.637</v>
      </c>
      <c r="C5" s="23" t="n">
        <v>55.267</v>
      </c>
      <c r="D5" s="23" t="n">
        <v>44.845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12.159</v>
      </c>
      <c r="C6" s="23" t="n">
        <v>18</v>
      </c>
      <c r="D6" s="23" t="n">
        <v>18.707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54.796</v>
      </c>
      <c r="C7" s="23">
        <f>SUM(C5:C6)</f>
        <v>73.267</v>
      </c>
      <c r="D7" s="23">
        <f>SUM(D5:D6)</f>
        <v>63.552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-54.796</v>
      </c>
      <c r="C8" s="23">
        <f>C4-C7</f>
        <v>-73.267</v>
      </c>
      <c r="D8" s="23">
        <f>D4-D7</f>
        <v>-63.552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5.362</v>
      </c>
      <c r="C9" s="23" t="n">
        <v>7.904</v>
      </c>
      <c r="D9" s="23" t="n">
        <v>5.355</v>
      </c>
    </row>
    <row r="10">
      <c r="A10" s="2" t="inlineStr">
        <is>
          <t>Pretax</t>
        </is>
      </c>
      <c r="B10" s="23">
        <f>B8+B9</f>
        <v>-49.434</v>
      </c>
      <c r="C10" s="23">
        <f>C8+C9</f>
        <v>-65.363</v>
      </c>
      <c r="D10" s="23">
        <f>D8+D9</f>
        <v>-58.197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</row>
    <row r="12">
      <c r="A12" s="2" t="inlineStr">
        <is>
          <t>Net Income</t>
        </is>
      </c>
      <c r="B12" s="23" t="n">
        <v>-49.434</v>
      </c>
      <c r="C12" s="23" t="n">
        <v>-65.363</v>
      </c>
      <c r="D12" s="23" t="n">
        <v>-58.197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-2.9037828947368416</v>
      </c>
      <c r="C13" s="11">
        <f>IFERROR(C12/C14,0)</f>
        <v>-3.848504474799811</v>
      </c>
      <c r="D13" s="11">
        <f>IFERROR(D12/D14,0)</f>
        <v>-2.602728085867621</v>
      </c>
    </row>
    <row r="14">
      <c r="A14" s="2" t="inlineStr">
        <is>
          <t>Shares</t>
        </is>
      </c>
      <c r="B14" s="23" t="n">
        <v>17.024</v>
      </c>
      <c r="C14" s="23" t="n">
        <v>16.984</v>
      </c>
      <c r="D14" s="23" t="n">
        <v>22.36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4" t="n"/>
      <c r="F16" s="4" t="n"/>
      <c r="G16" s="4" t="n"/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4" t="n"/>
      <c r="F17" s="4" t="n"/>
      <c r="G17" s="4" t="n"/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2026-10-21T06:29:13Z</dcterms:modified>
  <cp:lastModifiedBy>Wang, Eric</cp:lastModifiedBy>
</cp:coreProperties>
</file>