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Hyperion DeFi Inc</t>
        </is>
      </c>
      <c r="C2" s="10" t="n"/>
    </row>
    <row r="3">
      <c r="B3" t="inlineStr">
        <is>
          <t>Price</t>
        </is>
      </c>
      <c r="C3" s="11">
        <f>INDEX([1]Pharma!$F$1:$F$1000,MATCH("HYPD",[1]Pharma!$B$1:$B$1000,0))</f>
        <v>2.975</v>
      </c>
      <c r="F3" s="1" t="n"/>
    </row>
    <row r="4">
      <c r="B4" t="inlineStr">
        <is>
          <t>Shares</t>
        </is>
      </c>
      <c r="C4" s="21" t="n">
        <v>15.539434</v>
      </c>
      <c r="F4" s="1" t="n"/>
    </row>
    <row r="5">
      <c r="B5" t="inlineStr">
        <is>
          <t>Market Cap.</t>
        </is>
      </c>
      <c r="C5" s="13">
        <f>C3*C4</f>
        <v>46.22981615</v>
      </c>
      <c r="F5" s="1" t="n"/>
    </row>
    <row r="6"/>
    <row r="7">
      <c r="B7" t="inlineStr">
        <is>
          <t>Cash</t>
        </is>
      </c>
      <c r="C7" s="21" t="n">
        <v>9.637216</v>
      </c>
    </row>
    <row r="8">
      <c r="B8" t="inlineStr">
        <is>
          <t>Debt</t>
        </is>
      </c>
      <c r="C8" s="21">
        <f>2.798981+5.639696</f>
        <v>8.438677</v>
      </c>
    </row>
    <row r="9">
      <c r="B9" t="inlineStr">
        <is>
          <t>Enterprise V.</t>
        </is>
      </c>
      <c r="C9" s="13">
        <f>C5-C7+C8</f>
        <v>45.031277149999994</v>
      </c>
    </row>
    <row r="10"/>
    <row r="11">
      <c r="B11" s="14" t="inlineStr">
        <is>
          <t>Net Cash / Share</t>
        </is>
      </c>
      <c r="C11" s="11">
        <f>(C7-C8)/C4</f>
        <v>0.0771288709743225</v>
      </c>
    </row>
    <row r="12">
      <c r="B12" s="14" t="inlineStr">
        <is>
          <t>Upside</t>
        </is>
      </c>
      <c r="C12" s="15">
        <f>IFERROR(C11/C3-1,"")</f>
        <v>-0.9740743290842614</v>
      </c>
    </row>
    <row r="13">
      <c r="B13" s="14" t="inlineStr">
        <is>
          <t>Cash / Share</t>
        </is>
      </c>
      <c r="C13" s="11">
        <f>IFERROR((C7-C8)/C4,"")</f>
        <v>0.0771288709743225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-13.974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0.0857692142550451</v>
      </c>
    </row>
    <row r="19">
      <c r="B19" s="14" t="inlineStr">
        <is>
          <t>Implied Pipeline Value</t>
        </is>
      </c>
      <c r="C19" s="13">
        <f>C9</f>
        <v>45.031277149999994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2</v>
      </c>
      <c r="G2" s="23" t="n">
        <v>14</v>
      </c>
      <c r="H2" s="23" t="n">
        <v>0</v>
      </c>
      <c r="I2" s="23" t="n">
        <v>0.004</v>
      </c>
      <c r="J2" s="23" t="n">
        <v>0.057</v>
      </c>
      <c r="K2" s="23" t="n">
        <v>0.8129999999999999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0.8</v>
      </c>
      <c r="G3" s="23" t="n">
        <v>1.6</v>
      </c>
      <c r="H3" s="23" t="n">
        <v>0</v>
      </c>
      <c r="I3" s="23" t="n">
        <v>0.016</v>
      </c>
      <c r="J3" s="23" t="n">
        <v>3.927</v>
      </c>
      <c r="K3" s="23" t="n">
        <v>0.303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1.2</v>
      </c>
      <c r="G4" s="23">
        <f>G2-G3</f>
        <v>12.4</v>
      </c>
      <c r="H4" s="23">
        <f>H2-H3</f>
        <v>0.0</v>
      </c>
      <c r="I4" s="23">
        <f>I2-I3</f>
        <v>-0.012</v>
      </c>
      <c r="J4" s="23">
        <f>J2-J3</f>
        <v>-3.87</v>
      </c>
      <c r="K4" s="23">
        <f>K2-K3</f>
        <v>0.51</v>
      </c>
    </row>
    <row r="5">
      <c r="A5" s="2" t="inlineStr">
        <is>
          <t>Research &amp; Dev.</t>
        </is>
      </c>
      <c r="B5" s="23" t="n">
        <v>2.966</v>
      </c>
      <c r="C5" s="23" t="n">
        <v>3.817</v>
      </c>
      <c r="D5" s="23" t="n">
        <v>11.119</v>
      </c>
      <c r="E5" s="23" t="n">
        <v>14.102</v>
      </c>
      <c r="F5" s="23" t="n">
        <v>13.363</v>
      </c>
      <c r="G5" s="23" t="n">
        <v>14.851</v>
      </c>
      <c r="H5" s="23" t="n">
        <v>13.379</v>
      </c>
      <c r="I5" s="23" t="n">
        <v>12.976</v>
      </c>
      <c r="J5" s="23" t="n">
        <v>14.463</v>
      </c>
      <c r="K5" s="23" t="n">
        <v>1.91</v>
      </c>
    </row>
    <row r="6">
      <c r="A6" s="19" t="inlineStr">
        <is>
          <t>SG&amp;A &amp; Other</t>
        </is>
      </c>
      <c r="B6" s="23" t="n">
        <v>0.569</v>
      </c>
      <c r="C6" s="23" t="n">
        <v>1.316</v>
      </c>
      <c r="D6" s="23" t="n">
        <v>6.137</v>
      </c>
      <c r="E6" s="23" t="n">
        <v>7.206</v>
      </c>
      <c r="F6" s="23" t="n">
        <v>7.626</v>
      </c>
      <c r="G6" s="23" t="n">
        <v>10.57</v>
      </c>
      <c r="H6" s="23" t="n">
        <v>13.533</v>
      </c>
      <c r="I6" s="23" t="n">
        <v>12.418</v>
      </c>
      <c r="J6" s="23" t="n">
        <v>30.406</v>
      </c>
      <c r="K6" s="23" t="n">
        <v>45.321</v>
      </c>
    </row>
    <row r="7">
      <c r="A7" s="2" t="inlineStr">
        <is>
          <t>Operating Expense</t>
        </is>
      </c>
      <c r="B7" s="23">
        <f>SUM(B5:B6)</f>
        <v>3.535</v>
      </c>
      <c r="C7" s="23">
        <f>SUM(C5:C6)</f>
        <v>5.133</v>
      </c>
      <c r="D7" s="23">
        <f>SUM(D5:D6)</f>
        <v>17.256</v>
      </c>
      <c r="E7" s="23">
        <f>SUM(E5:E6)</f>
        <v>21.308</v>
      </c>
      <c r="F7" s="23">
        <f>SUM(F5:F6)</f>
        <v>20.989</v>
      </c>
      <c r="G7" s="23">
        <f>SUM(G5:G6)</f>
        <v>25.421</v>
      </c>
      <c r="H7" s="23">
        <f>SUM(H5:H6)</f>
        <v>26.912</v>
      </c>
      <c r="I7" s="23">
        <f>SUM(I5:I6)</f>
        <v>25.394</v>
      </c>
      <c r="J7" s="23">
        <f>SUM(J5:J6)</f>
        <v>44.869</v>
      </c>
      <c r="K7" s="23">
        <f>SUM(K5:K6)</f>
        <v>47.230999999999995</v>
      </c>
    </row>
    <row r="8">
      <c r="A8" s="2" t="inlineStr">
        <is>
          <t>Operating Income</t>
        </is>
      </c>
      <c r="B8" s="23">
        <f>B4-B7</f>
        <v>-3.535</v>
      </c>
      <c r="C8" s="23">
        <f>C4-C7</f>
        <v>-5.133</v>
      </c>
      <c r="D8" s="23">
        <f>D4-D7</f>
        <v>-17.256</v>
      </c>
      <c r="E8" s="23">
        <f>E4-E7</f>
        <v>-21.308</v>
      </c>
      <c r="F8" s="23">
        <f>F4-F7</f>
        <v>-19.789</v>
      </c>
      <c r="G8" s="23">
        <f>G4-G7</f>
        <v>-13.020999999999999</v>
      </c>
      <c r="H8" s="23">
        <f>H4-H7</f>
        <v>-26.912</v>
      </c>
      <c r="I8" s="23">
        <f>I4-I7</f>
        <v>-25.406</v>
      </c>
      <c r="J8" s="23">
        <f>J4-J7</f>
        <v>-48.739</v>
      </c>
      <c r="K8" s="23">
        <f>K4-K7</f>
        <v>-46.721</v>
      </c>
    </row>
    <row r="9">
      <c r="A9" s="19" t="inlineStr">
        <is>
          <t>Interest &amp; Other</t>
        </is>
      </c>
      <c r="B9" s="23" t="n">
        <v>0.001</v>
      </c>
      <c r="C9" s="23" t="n">
        <v>0.002</v>
      </c>
      <c r="D9" s="23" t="n">
        <v>0.003</v>
      </c>
      <c r="E9" s="23" t="n">
        <v>0.152</v>
      </c>
      <c r="F9" s="23" t="n">
        <v>0.019</v>
      </c>
      <c r="G9" s="23" t="n">
        <v>0.242</v>
      </c>
      <c r="H9" s="23" t="n">
        <v>-1.1</v>
      </c>
      <c r="I9" s="23" t="n">
        <v>-1.855</v>
      </c>
      <c r="J9" s="23" t="n">
        <v>-1.08</v>
      </c>
      <c r="K9" s="23" t="n">
        <v>1.376</v>
      </c>
    </row>
    <row r="10">
      <c r="A10" s="2" t="inlineStr">
        <is>
          <t>Pretax</t>
        </is>
      </c>
      <c r="B10" s="23">
        <f>B8+B9</f>
        <v>-3.5340000000000003</v>
      </c>
      <c r="C10" s="23">
        <f>C8+C9</f>
        <v>-5.131</v>
      </c>
      <c r="D10" s="23">
        <f>D8+D9</f>
        <v>-17.253</v>
      </c>
      <c r="E10" s="23">
        <f>E8+E9</f>
        <v>-21.156</v>
      </c>
      <c r="F10" s="23">
        <f>F8+F9</f>
        <v>-19.770000000000003</v>
      </c>
      <c r="G10" s="23">
        <f>G8+G9</f>
        <v>-12.779</v>
      </c>
      <c r="H10" s="23">
        <f>H8+H9</f>
        <v>-28.012</v>
      </c>
      <c r="I10" s="23">
        <f>I8+I9</f>
        <v>-27.261</v>
      </c>
      <c r="J10" s="23">
        <f>J8+J9</f>
        <v>-49.818999999999996</v>
      </c>
      <c r="K10" s="23">
        <f>K8+K9</f>
        <v>-45.345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-0.031</v>
      </c>
    </row>
    <row r="12">
      <c r="A12" s="2" t="inlineStr">
        <is>
          <t>Net Income</t>
        </is>
      </c>
      <c r="B12" s="23" t="n">
        <v>-3.533</v>
      </c>
      <c r="C12" s="23" t="n">
        <v>-5.13</v>
      </c>
      <c r="D12" s="23" t="n">
        <v>-17.253</v>
      </c>
      <c r="E12" s="23" t="n">
        <v>-21.157</v>
      </c>
      <c r="F12" s="23" t="n">
        <v>-19.77</v>
      </c>
      <c r="G12" s="23" t="n">
        <v>-12.778</v>
      </c>
      <c r="H12" s="23" t="n">
        <v>-28.011</v>
      </c>
      <c r="I12" s="23" t="n">
        <v>-27.261</v>
      </c>
      <c r="J12" s="23" t="n">
        <v>-49.818</v>
      </c>
      <c r="K12" s="23" t="n">
        <v>-45.314</v>
      </c>
    </row>
    <row r="13">
      <c r="A13" s="2" t="inlineStr">
        <is>
          <t>Earnings per Share</t>
        </is>
      </c>
      <c r="B13" s="11">
        <f>IFERROR(B12/B14,0)</f>
        <v>-4.2876213592233015</v>
      </c>
      <c r="C13" s="11">
        <f>IFERROR(C12/C14,0)</f>
        <v>-6.014067995310668</v>
      </c>
      <c r="D13" s="11">
        <f>IFERROR(D12/D14,0)</f>
        <v>-20.01508120649652</v>
      </c>
      <c r="E13" s="11">
        <f>IFERROR(E12/E14,0)</f>
        <v>-16.212260536398468</v>
      </c>
      <c r="F13" s="11">
        <f>IFERROR(F12/F14,0)</f>
        <v>-10.329153605015675</v>
      </c>
      <c r="G13" s="11">
        <f>IFERROR(G12/G14,0)</f>
        <v>-5.33974091099039</v>
      </c>
      <c r="H13" s="11">
        <f>IFERROR(H12/H14,0)</f>
        <v>-9.156914024190911</v>
      </c>
      <c r="I13" s="11">
        <f>IFERROR(I12/I14,0)</f>
        <v>-8.859603509912253</v>
      </c>
      <c r="J13" s="11">
        <f>IFERROR(J12/J14,0)</f>
        <v>-9.967587034813924</v>
      </c>
      <c r="K13" s="11">
        <f>IFERROR(K12/K14,0)</f>
        <v>-9.0628</v>
      </c>
    </row>
    <row r="14">
      <c r="A14" s="2" t="inlineStr">
        <is>
          <t>Shares</t>
        </is>
      </c>
      <c r="B14" s="23" t="n">
        <v>0.824</v>
      </c>
      <c r="C14" s="23" t="n">
        <v>0.853</v>
      </c>
      <c r="D14" s="23" t="n">
        <v>0.862</v>
      </c>
      <c r="E14" s="23" t="n">
        <v>1.305</v>
      </c>
      <c r="F14" s="23" t="n">
        <v>1.914</v>
      </c>
      <c r="G14" s="23" t="n">
        <v>2.393</v>
      </c>
      <c r="H14" s="23" t="n">
        <v>3.059</v>
      </c>
      <c r="I14" s="23" t="n">
        <v>3.077</v>
      </c>
      <c r="J14" s="23" t="n">
        <v>4.998</v>
      </c>
      <c r="K14" s="23" t="n">
        <v>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6.0</v>
      </c>
      <c r="H16" s="15">
        <f>IFERROR(H2/G2-1,"")</f>
        <v>-1.0</v>
      </c>
      <c r="I16" s="15">
        <f>IFERROR(I2/H2-1,"")</f>
        <v/>
      </c>
      <c r="J16" s="15">
        <f>IFERROR(J2/I2-1,"")</f>
        <v>13.25</v>
      </c>
      <c r="K16" s="15">
        <f>IFERROR(K2/J2-1,"")</f>
        <v>13.26315789473684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0.6</v>
      </c>
      <c r="G17" s="15">
        <f>IFERROR(G4/G2,"")</f>
        <v>0.8857142857142858</v>
      </c>
      <c r="H17" s="15">
        <f>IFERROR(H4/H2,"")</f>
        <v/>
      </c>
      <c r="I17" s="15">
        <f>IFERROR(I4/I2,"")</f>
        <v>-3.0</v>
      </c>
      <c r="J17" s="15">
        <f>IFERROR(J4/J2,"")</f>
        <v>-67.89473684210526</v>
      </c>
      <c r="K17" s="15">
        <f>IFERROR(K4/K2,"")</f>
        <v>0.6273062730627307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-9.8945</v>
      </c>
      <c r="G18" s="15">
        <f>IFERROR(G8/G2,"")</f>
        <v>-0.9300714285714285</v>
      </c>
      <c r="H18" s="15">
        <f>IFERROR(H8/H2,"")</f>
        <v/>
      </c>
      <c r="I18" s="15">
        <f>IFERROR(I8/I2,"")</f>
        <v>-6351.5</v>
      </c>
      <c r="J18" s="15">
        <f>IFERROR(J8/J2,"")</f>
        <v>-855.0701754385964</v>
      </c>
      <c r="K18" s="15">
        <f>IFERROR(K8/K2,"")</f>
        <v>-57.46740467404674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2026-10-21T06:29:18Z</dcterms:modified>
  <cp:lastModifiedBy>Wang, Eric</cp:lastModifiedBy>
</cp:coreProperties>
</file>