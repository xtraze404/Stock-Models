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IDEAYA Biosciences, Inc.</t>
        </is>
      </c>
      <c r="C2" s="10" t="n"/>
    </row>
    <row r="3">
      <c r="B3" t="inlineStr">
        <is>
          <t>Price</t>
        </is>
      </c>
      <c r="C3" s="11">
        <f>INDEX([1]Pharma!$F$1:$F$1000,MATCH("IDYA",[1]Pharma!$B$1:$B$1000,0))</f>
        <v>35.36</v>
      </c>
      <c r="F3" s="1" t="n"/>
    </row>
    <row r="4">
      <c r="B4" t="inlineStr">
        <is>
          <t>Shares</t>
        </is>
      </c>
      <c r="C4" s="21" t="n">
        <v>96.489484</v>
      </c>
      <c r="F4" s="1" t="n"/>
    </row>
    <row r="5">
      <c r="B5" t="inlineStr">
        <is>
          <t>Market Cap.</t>
        </is>
      </c>
      <c r="C5" s="13">
        <f>C3*C4</f>
        <v>3411.86815424</v>
      </c>
      <c r="F5" s="1" t="n"/>
    </row>
    <row r="6"/>
    <row r="7">
      <c r="B7" t="inlineStr">
        <is>
          <t>Cash</t>
        </is>
      </c>
      <c r="C7" s="21">
        <f>272.589+556.366</f>
        <v>828.9549999999999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2582.91315424</v>
      </c>
    </row>
    <row r="10"/>
    <row r="11">
      <c r="B11" s="14" t="inlineStr">
        <is>
          <t>Net Cash / Share</t>
        </is>
      </c>
      <c r="C11" s="11">
        <f>(C7-C8)/C4</f>
        <v>8.591143465955314</v>
      </c>
    </row>
    <row r="12">
      <c r="B12" s="14" t="inlineStr">
        <is>
          <t>Upside</t>
        </is>
      </c>
      <c r="C12" s="15">
        <f>IFERROR(C11/C3-1,"")</f>
        <v>-0.7570377979085036</v>
      </c>
    </row>
    <row r="13">
      <c r="B13" s="14" t="inlineStr">
        <is>
          <t>Cash / Share</t>
        </is>
      </c>
      <c r="C13" s="11">
        <f>IFERROR((C7-C8)/C4,"")</f>
        <v>8.591143465955314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-111.663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7.423721375925776</v>
      </c>
    </row>
    <row r="19">
      <c r="B19" s="14" t="inlineStr">
        <is>
          <t>Implied Pipeline Value</t>
        </is>
      </c>
      <c r="C19" s="13">
        <f>C9</f>
        <v>2582.91315424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19.538</v>
      </c>
      <c r="F2" s="23" t="n">
        <v>27.941</v>
      </c>
      <c r="G2" s="23" t="n">
        <v>50.931</v>
      </c>
      <c r="H2" s="23" t="n">
        <v>23.385</v>
      </c>
      <c r="I2" s="23" t="n">
        <v>7</v>
      </c>
      <c r="J2" s="23" t="n">
        <v>218.71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19.538</v>
      </c>
      <c r="F4" s="23">
        <f>F2-F3</f>
        <v>27.941</v>
      </c>
      <c r="G4" s="23">
        <f>G2-G3</f>
        <v>50.931</v>
      </c>
      <c r="H4" s="23">
        <f>H2-H3</f>
        <v>23.385</v>
      </c>
      <c r="I4" s="23">
        <f>I2-I3</f>
        <v>7.0</v>
      </c>
      <c r="J4" s="23">
        <f>J2-J3</f>
        <v>218.71</v>
      </c>
      <c r="K4" s="1" t="n"/>
    </row>
    <row r="5">
      <c r="A5" s="2" t="inlineStr">
        <is>
          <t>Research &amp; Dev.</t>
        </is>
      </c>
      <c r="B5" s="23" t="n">
        <v>12.384</v>
      </c>
      <c r="C5" s="23" t="n">
        <v>31.749</v>
      </c>
      <c r="D5" s="23" t="n">
        <v>34.319</v>
      </c>
      <c r="E5" s="23" t="n">
        <v>39.698</v>
      </c>
      <c r="F5" s="23" t="n">
        <v>58.158</v>
      </c>
      <c r="G5" s="23" t="n">
        <v>89.536</v>
      </c>
      <c r="H5" s="23" t="n">
        <v>129.508</v>
      </c>
      <c r="I5" s="23" t="n">
        <v>294.673</v>
      </c>
      <c r="J5" s="23" t="n">
        <v>314.704</v>
      </c>
      <c r="K5" s="1" t="n"/>
    </row>
    <row r="6">
      <c r="A6" s="19" t="inlineStr">
        <is>
          <t>SG&amp;A &amp; Other</t>
        </is>
      </c>
      <c r="B6" s="23" t="n">
        <v>2.054</v>
      </c>
      <c r="C6" s="23" t="n">
        <v>4.668</v>
      </c>
      <c r="D6" s="23" t="n">
        <v>9.952</v>
      </c>
      <c r="E6" s="23" t="n">
        <v>15.184</v>
      </c>
      <c r="F6" s="23" t="n">
        <v>20.051</v>
      </c>
      <c r="G6" s="23" t="n">
        <v>23.897</v>
      </c>
      <c r="H6" s="23" t="n">
        <v>28.306</v>
      </c>
      <c r="I6" s="23" t="n">
        <v>39.302</v>
      </c>
      <c r="J6" s="23" t="n">
        <v>63.319</v>
      </c>
      <c r="K6" s="1" t="n"/>
    </row>
    <row r="7">
      <c r="A7" s="2" t="inlineStr">
        <is>
          <t>Operating Expense</t>
        </is>
      </c>
      <c r="B7" s="23">
        <f>SUM(B5:B6)</f>
        <v>14.438</v>
      </c>
      <c r="C7" s="23">
        <f>SUM(C5:C6)</f>
        <v>36.417</v>
      </c>
      <c r="D7" s="23">
        <f>SUM(D5:D6)</f>
        <v>44.271</v>
      </c>
      <c r="E7" s="23">
        <f>SUM(E5:E6)</f>
        <v>54.882</v>
      </c>
      <c r="F7" s="23">
        <f>SUM(F5:F6)</f>
        <v>78.209</v>
      </c>
      <c r="G7" s="23">
        <f>SUM(G5:G6)</f>
        <v>113.43299999999999</v>
      </c>
      <c r="H7" s="23">
        <f>SUM(H5:H6)</f>
        <v>157.81400000000002</v>
      </c>
      <c r="I7" s="23">
        <f>SUM(I5:I6)</f>
        <v>333.975</v>
      </c>
      <c r="J7" s="23">
        <f>SUM(J5:J6)</f>
        <v>378.023</v>
      </c>
      <c r="K7" s="1" t="n"/>
    </row>
    <row r="8">
      <c r="A8" s="2" t="inlineStr">
        <is>
          <t>Operating Income</t>
        </is>
      </c>
      <c r="B8" s="23">
        <f>B4-B7</f>
        <v>-14.438</v>
      </c>
      <c r="C8" s="23">
        <f>C4-C7</f>
        <v>-36.417</v>
      </c>
      <c r="D8" s="23">
        <f>D4-D7</f>
        <v>-44.271</v>
      </c>
      <c r="E8" s="23">
        <f>E4-E7</f>
        <v>-35.343999999999994</v>
      </c>
      <c r="F8" s="23">
        <f>F4-F7</f>
        <v>-50.268</v>
      </c>
      <c r="G8" s="23">
        <f>G4-G7</f>
        <v>-62.501999999999995</v>
      </c>
      <c r="H8" s="23">
        <f>H4-H7</f>
        <v>-134.42900000000003</v>
      </c>
      <c r="I8" s="23">
        <f>I4-I7</f>
        <v>-326.975</v>
      </c>
      <c r="J8" s="23">
        <f>J4-J7</f>
        <v>-159.31300000000002</v>
      </c>
      <c r="K8" s="1" t="n"/>
    </row>
    <row r="9">
      <c r="A9" s="19" t="inlineStr">
        <is>
          <t>Interest &amp; Other</t>
        </is>
      </c>
      <c r="B9" s="23" t="n">
        <v>2.576</v>
      </c>
      <c r="C9" s="23" t="n">
        <v>2.071</v>
      </c>
      <c r="D9" s="23" t="n">
        <v>2.296</v>
      </c>
      <c r="E9" s="23" t="n">
        <v>0.849</v>
      </c>
      <c r="F9" s="23" t="n">
        <v>0.506</v>
      </c>
      <c r="G9" s="23" t="n">
        <v>3.847</v>
      </c>
      <c r="H9" s="23" t="n">
        <v>21.468</v>
      </c>
      <c r="I9" s="23" t="n">
        <v>52.498</v>
      </c>
      <c r="J9" s="23" t="n">
        <v>45.615</v>
      </c>
    </row>
    <row r="10">
      <c r="A10" s="2" t="inlineStr">
        <is>
          <t>Pretax</t>
        </is>
      </c>
      <c r="B10" s="23">
        <f>B8+B9</f>
        <v>-11.862</v>
      </c>
      <c r="C10" s="23">
        <f>C8+C9</f>
        <v>-34.346000000000004</v>
      </c>
      <c r="D10" s="23">
        <f>D8+D9</f>
        <v>-41.975</v>
      </c>
      <c r="E10" s="23">
        <f>E8+E9</f>
        <v>-34.495</v>
      </c>
      <c r="F10" s="23">
        <f>F8+F9</f>
        <v>-49.762</v>
      </c>
      <c r="G10" s="23">
        <f>G8+G9</f>
        <v>-58.654999999999994</v>
      </c>
      <c r="H10" s="23">
        <f>H8+H9</f>
        <v>-112.96100000000003</v>
      </c>
      <c r="I10" s="23">
        <f>I8+I9</f>
        <v>-274.47700000000003</v>
      </c>
      <c r="J10" s="23">
        <f>J8+J9</f>
        <v>-113.69800000000001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-11.862</v>
      </c>
      <c r="C12" s="23" t="n">
        <v>-34.346</v>
      </c>
      <c r="D12" s="23" t="n">
        <v>-41.975</v>
      </c>
      <c r="E12" s="23" t="n">
        <v>-34.495</v>
      </c>
      <c r="F12" s="23" t="n">
        <v>-49.762</v>
      </c>
      <c r="G12" s="23" t="n">
        <v>-58.655</v>
      </c>
      <c r="H12" s="23" t="n">
        <v>-112.961</v>
      </c>
      <c r="I12" s="23" t="n">
        <v>-274.477</v>
      </c>
      <c r="J12" s="23" t="n">
        <v>-113.698</v>
      </c>
      <c r="K12" s="1" t="n"/>
    </row>
    <row r="13">
      <c r="A13" s="2" t="inlineStr">
        <is>
          <t>Earnings per Share</t>
        </is>
      </c>
      <c r="B13" s="11">
        <f>IFERROR(B12/B14,0)</f>
        <v>-0.6560840707964603</v>
      </c>
      <c r="C13" s="11">
        <f>IFERROR(C12/C14,0)</f>
        <v>-1.3814101274986927</v>
      </c>
      <c r="D13" s="11">
        <f>IFERROR(D12/D14,0)</f>
        <v>-1.6794030567336162</v>
      </c>
      <c r="E13" s="11">
        <f>IFERROR(E12/E14,0)</f>
        <v>-1.3953159129520263</v>
      </c>
      <c r="F13" s="11">
        <f>IFERROR(F12/F14,0)</f>
        <v>-1.4116078520367639</v>
      </c>
      <c r="G13" s="11">
        <f>IFERROR(G12/G14,0)</f>
        <v>-1.4152491253468453</v>
      </c>
      <c r="H13" s="11">
        <f>IFERROR(H12/H14,0)</f>
        <v>-1.963856050069541</v>
      </c>
      <c r="I13" s="11">
        <f>IFERROR(I12/I14,0)</f>
        <v>-3.360476505301305</v>
      </c>
      <c r="J13" s="11">
        <f>IFERROR(J12/J14,0)</f>
        <v>-1.284940950443578</v>
      </c>
    </row>
    <row r="14">
      <c r="A14" s="2" t="inlineStr">
        <is>
          <t>Shares</t>
        </is>
      </c>
      <c r="B14" s="23" t="n">
        <v>18.08</v>
      </c>
      <c r="C14" s="23" t="n">
        <v>24.863</v>
      </c>
      <c r="D14" s="23" t="n">
        <v>24.994</v>
      </c>
      <c r="E14" s="23" t="n">
        <v>24.722</v>
      </c>
      <c r="F14" s="23" t="n">
        <v>35.252</v>
      </c>
      <c r="G14" s="23" t="n">
        <v>41.445</v>
      </c>
      <c r="H14" s="23" t="n">
        <v>57.52</v>
      </c>
      <c r="I14" s="23" t="n">
        <v>81.678</v>
      </c>
      <c r="J14" s="23" t="n">
        <v>88.485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0.43008496263691254</v>
      </c>
      <c r="G16" s="15">
        <f>IFERROR(G2/F2-1,"")</f>
        <v>0.8228051966643999</v>
      </c>
      <c r="H16" s="15">
        <f>IFERROR(H2/G2-1,"")</f>
        <v>-0.54084938446133</v>
      </c>
      <c r="I16" s="15">
        <f>IFERROR(I2/H2-1,"")</f>
        <v>-0.7006628180457559</v>
      </c>
      <c r="J16" s="15">
        <f>IFERROR(J2/I2-1,"")</f>
        <v>30.244285714285716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-1.8089876138806424</v>
      </c>
      <c r="F18" s="15">
        <f>IFERROR(F8/F2,"")</f>
        <v>-1.79907662574711</v>
      </c>
      <c r="G18" s="15">
        <f>IFERROR(G8/G2,"")</f>
        <v>-1.227189727278082</v>
      </c>
      <c r="H18" s="15">
        <f>IFERROR(H8/H2,"")</f>
        <v>-5.748514004703871</v>
      </c>
      <c r="I18" s="15">
        <f>IFERROR(I8/I2,"")</f>
        <v>-46.71071428571429</v>
      </c>
      <c r="J18" s="15">
        <f>IFERROR(J8/J2,"")</f>
        <v>-0.7284211970188835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2026-10-21T06:22:09Z</dcterms:modified>
  <cp:lastModifiedBy>Wang, Eric</cp:lastModifiedBy>
</cp:coreProperties>
</file>