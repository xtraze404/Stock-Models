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Satellos Bioscience Inc.</t>
        </is>
      </c>
      <c r="C2" s="10" t="n"/>
    </row>
    <row r="3">
      <c r="B3" t="inlineStr">
        <is>
          <t>Price</t>
        </is>
      </c>
      <c r="C3" s="11">
        <f>INDEX([1]Pharma!$F$1:$F$1000,MATCH("MSLE",[1]Pharma!$B$1:$B$1000,0))</f>
        <v>7</v>
      </c>
      <c r="F3" s="1" t="n"/>
    </row>
    <row r="4">
      <c r="B4" t="inlineStr">
        <is>
          <t>Shares</t>
        </is>
      </c>
      <c r="C4" s="21" t="n">
        <v>15.458903</v>
      </c>
      <c r="F4" s="1" t="n"/>
    </row>
    <row r="5">
      <c r="B5" t="inlineStr">
        <is>
          <t>Market Cap.</t>
        </is>
      </c>
      <c r="C5" s="13">
        <f>C3*C4</f>
        <v>108.212321</v>
      </c>
      <c r="F5" s="1" t="n"/>
    </row>
    <row r="6"/>
    <row r="7">
      <c r="B7" t="inlineStr">
        <is>
          <t>Cash</t>
        </is>
      </c>
      <c r="C7" s="21">
        <f>9.804+17.906</f>
        <v>27.71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80.502321</v>
      </c>
    </row>
    <row r="10"/>
    <row r="11">
      <c r="B11" s="14" t="inlineStr">
        <is>
          <t>Net Cash / Share</t>
        </is>
      </c>
      <c r="C11" s="11">
        <f>(C7-C8)/C4</f>
        <v>1.7924945903341267</v>
      </c>
    </row>
    <row r="12">
      <c r="B12" s="14" t="inlineStr">
        <is>
          <t>Upside</t>
        </is>
      </c>
      <c r="C12" s="15">
        <f>IFERROR(C11/C3-1,"")</f>
        <v>-0.743929344237982</v>
      </c>
    </row>
    <row r="13">
      <c r="B13" s="14" t="inlineStr">
        <is>
          <t>Cash / Share</t>
        </is>
      </c>
      <c r="C13" s="11">
        <f>IFERROR((C7-C8)/C4,"")</f>
        <v>1.7924945903341267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-23.596</v>
      </c>
    </row>
    <row r="18">
      <c r="B18" s="14" t="inlineStr">
        <is>
          <t>Runway (years)</t>
        </is>
      </c>
      <c r="C18" s="22">
        <f>IF(AND(ISNUMBER(C17),C17&lt;0),IF(C7&gt;C8,(C7-C8)/-C17,"net debt"),"n/a")</f>
        <v>1.1743515850144093</v>
      </c>
    </row>
    <row r="19">
      <c r="B19" s="14" t="inlineStr">
        <is>
          <t>Implied Pipeline Value</t>
        </is>
      </c>
      <c r="C19" s="13">
        <f>C9</f>
        <v>80.502321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2024</v>
      </c>
      <c r="C1" s="17" t="n">
        <v>2025</v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1" t="n"/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1" t="n"/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1" t="n"/>
      <c r="I4" s="1" t="n"/>
      <c r="J4" s="1" t="n"/>
      <c r="K4" s="1" t="n"/>
    </row>
    <row r="5">
      <c r="A5" s="2" t="inlineStr">
        <is>
          <t>Research &amp; Dev.</t>
        </is>
      </c>
      <c r="B5" s="23" t="n">
        <v>13.843</v>
      </c>
      <c r="C5" s="23" t="n">
        <v>18.426</v>
      </c>
      <c r="D5" s="1" t="n"/>
      <c r="I5" s="1" t="n"/>
      <c r="J5" s="1" t="n"/>
      <c r="K5" s="1" t="n"/>
    </row>
    <row r="6">
      <c r="A6" s="19" t="inlineStr">
        <is>
          <t>SG&amp;A &amp; Other</t>
        </is>
      </c>
      <c r="B6" s="23" t="n">
        <v>5.794</v>
      </c>
      <c r="C6" s="23" t="n">
        <v>8.032999999999999</v>
      </c>
      <c r="D6" s="1" t="n"/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19.637</v>
      </c>
      <c r="C7" s="23">
        <f>SUM(C5:C6)</f>
        <v>26.458999999999996</v>
      </c>
      <c r="D7" s="1" t="n"/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-19.637</v>
      </c>
      <c r="C8" s="23">
        <f>C4-C7</f>
        <v>-26.458999999999996</v>
      </c>
      <c r="D8" s="1" t="n"/>
      <c r="I8" s="1" t="n"/>
      <c r="J8" s="1" t="n"/>
      <c r="K8" s="1" t="n"/>
    </row>
    <row r="9">
      <c r="A9" s="19" t="inlineStr">
        <is>
          <t>Interest &amp; Other</t>
        </is>
      </c>
      <c r="B9" s="23" t="n">
        <v>-0.205</v>
      </c>
      <c r="C9" s="23" t="n">
        <v>1.758</v>
      </c>
    </row>
    <row r="10">
      <c r="A10" s="2" t="inlineStr">
        <is>
          <t>Pretax</t>
        </is>
      </c>
      <c r="B10" s="23">
        <f>B8+B9</f>
        <v>-19.842</v>
      </c>
      <c r="C10" s="23">
        <f>C8+C9</f>
        <v>-24.700999999999997</v>
      </c>
      <c r="D10" s="1" t="n"/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0.172</v>
      </c>
    </row>
    <row r="12">
      <c r="A12" s="2" t="inlineStr">
        <is>
          <t>Net Income</t>
        </is>
      </c>
      <c r="B12" s="23" t="n">
        <v>-19.843</v>
      </c>
      <c r="C12" s="23" t="n">
        <v>-24.873</v>
      </c>
      <c r="D12" s="1" t="n"/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-2.074542603240983</v>
      </c>
      <c r="C13" s="11">
        <f>IFERROR(C12/C14,0)</f>
        <v>-1.7040970128802413</v>
      </c>
    </row>
    <row r="14">
      <c r="A14" s="2" t="inlineStr">
        <is>
          <t>Shares</t>
        </is>
      </c>
      <c r="B14" s="23" t="n">
        <v>9.565</v>
      </c>
      <c r="C14" s="23" t="n">
        <v>14.596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4" t="n"/>
      <c r="E16" s="4" t="n"/>
      <c r="F16" s="4" t="n"/>
      <c r="G16" s="4" t="n"/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4" t="n"/>
      <c r="E17" s="4" t="n"/>
      <c r="F17" s="4" t="n"/>
      <c r="G17" s="4" t="n"/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2026-10-21T01:05:54Z</dcterms:modified>
  <cp:lastModifiedBy>Wang, Eric</cp:lastModifiedBy>
</cp:coreProperties>
</file>