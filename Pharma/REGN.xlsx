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Regeneron Pharmaceuticals, Inc.</t>
        </is>
      </c>
      <c r="C2" s="10" t="n"/>
    </row>
    <row r="3">
      <c r="B3" t="inlineStr">
        <is>
          <t>Price</t>
        </is>
      </c>
      <c r="C3" s="11">
        <f>INDEX([1]Pharma!$F$1:$F$1000,MATCH("REGN",[1]Pharma!$B$1:$B$1000,0))</f>
        <v>807.48</v>
      </c>
      <c r="F3" s="1" t="n"/>
    </row>
    <row r="4">
      <c r="B4" t="inlineStr">
        <is>
          <t>Shares</t>
        </is>
      </c>
      <c r="C4" s="51" t="n">
        <v>102.954988</v>
      </c>
      <c r="F4" s="1" t="n"/>
    </row>
    <row r="5">
      <c r="B5" t="inlineStr">
        <is>
          <t>Market Cap.</t>
        </is>
      </c>
      <c r="C5" s="13">
        <f>C3*C4</f>
        <v>83134.09371024</v>
      </c>
      <c r="F5" s="1" t="n"/>
    </row>
    <row r="6"/>
    <row r="7">
      <c r="B7" t="inlineStr">
        <is>
          <t>Cash</t>
        </is>
      </c>
      <c r="C7" s="51">
        <f>2455.8+5538.8</f>
        <v>7994.6</v>
      </c>
    </row>
    <row r="8">
      <c r="B8" t="inlineStr">
        <is>
          <t>Debt</t>
        </is>
      </c>
      <c r="C8" s="51" t="n">
        <v>1986.6</v>
      </c>
    </row>
    <row r="9">
      <c r="B9" t="inlineStr">
        <is>
          <t>Enterprise V.</t>
        </is>
      </c>
      <c r="C9" s="13">
        <f>C5-C7+C8</f>
        <v>77126.09371024</v>
      </c>
    </row>
    <row r="10"/>
    <row r="11">
      <c r="B11" s="14" t="inlineStr">
        <is>
          <t>NPV / Share</t>
        </is>
      </c>
      <c r="C11" s="11">
        <f>NPV!B28</f>
        <v>711.4802631914101</v>
      </c>
    </row>
    <row r="12">
      <c r="B12" s="14" t="inlineStr">
        <is>
          <t>Upside</t>
        </is>
      </c>
      <c r="C12" s="15">
        <f>IFERROR(C11/C3-1,"")</f>
        <v>-0.11888806757887482</v>
      </c>
    </row>
    <row r="13">
      <c r="B13" s="14" t="inlineStr">
        <is>
          <t>Cash / Share</t>
        </is>
      </c>
      <c r="C13" s="11">
        <f>IFERROR((C7-C8)/C4,"")</f>
        <v>58.35559905072302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2008</v>
      </c>
      <c r="C1" s="16" t="n">
        <v>2009</v>
      </c>
      <c r="D1" s="16" t="n">
        <v>2010</v>
      </c>
      <c r="E1" s="16" t="n">
        <v>2011</v>
      </c>
      <c r="F1" s="16" t="n">
        <v>2012</v>
      </c>
      <c r="G1" s="16" t="n">
        <v>2013</v>
      </c>
      <c r="H1" s="16" t="n">
        <v>2014</v>
      </c>
      <c r="I1" s="16" t="n">
        <v>2015</v>
      </c>
      <c r="J1" s="16" t="n">
        <v>2016</v>
      </c>
      <c r="K1" s="16" t="n">
        <v>2017</v>
      </c>
      <c r="L1" s="16" t="n">
        <v>2018</v>
      </c>
      <c r="M1" s="16" t="n">
        <v>2019</v>
      </c>
      <c r="N1" s="16" t="n">
        <v>2020</v>
      </c>
      <c r="O1" s="16" t="n">
        <v>2021</v>
      </c>
      <c r="P1" s="16" t="n">
        <v>2022</v>
      </c>
      <c r="Q1" s="16" t="n">
        <v>2023</v>
      </c>
      <c r="R1" s="16" t="n">
        <v>2024</v>
      </c>
      <c r="S1" s="16" t="n">
        <v>2025</v>
      </c>
      <c r="T1" s="16" t="n">
        <v>2026</v>
      </c>
      <c r="U1" s="16" t="n">
        <v>2027</v>
      </c>
      <c r="V1" s="16" t="n">
        <v>2028</v>
      </c>
      <c r="W1" s="16" t="n">
        <v>2029</v>
      </c>
      <c r="X1" s="16" t="n">
        <v>2030</v>
      </c>
      <c r="Y1" s="16" t="n">
        <v>2031</v>
      </c>
      <c r="Z1" s="16" t="n">
        <v>2032</v>
      </c>
      <c r="AA1" s="16" t="n">
        <v>2033</v>
      </c>
      <c r="AB1" s="16" t="n">
        <v>2034</v>
      </c>
      <c r="AC1" s="16" t="n">
        <v>2035</v>
      </c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238.457</v>
      </c>
      <c r="C2" s="52" t="n">
        <v>379.268</v>
      </c>
      <c r="D2" s="52" t="n">
        <v>459.074</v>
      </c>
      <c r="E2" s="52" t="n">
        <v>445.824</v>
      </c>
      <c r="F2" s="52" t="n">
        <v>1378.477</v>
      </c>
      <c r="G2" s="52" t="n">
        <v>2104.745</v>
      </c>
      <c r="H2" s="52" t="n">
        <v>2819.557</v>
      </c>
      <c r="I2" s="52" t="n">
        <v>4103.728</v>
      </c>
      <c r="J2" s="52" t="n">
        <v>4860.427</v>
      </c>
      <c r="K2" s="52" t="n">
        <v>5872.227</v>
      </c>
      <c r="L2" s="52" t="n">
        <v>5145.6</v>
      </c>
      <c r="M2" s="52" t="n">
        <v>6557.6</v>
      </c>
      <c r="N2" s="52" t="n">
        <v>8497.1</v>
      </c>
      <c r="O2" s="52" t="n">
        <v>16071.7</v>
      </c>
      <c r="P2" s="52" t="n">
        <v>12172.9</v>
      </c>
      <c r="Q2" s="52" t="n">
        <v>13117.2</v>
      </c>
      <c r="R2" s="52" t="n">
        <v>14202</v>
      </c>
      <c r="S2" s="52" t="n">
        <v>14342.9</v>
      </c>
      <c r="T2" s="52">
        <f>S2*(1+NPV!C5)</f>
        <v>15529.05783</v>
      </c>
      <c r="U2" s="52">
        <f>T2*(1+NPV!D5)</f>
        <v>16713.752397342</v>
      </c>
      <c r="V2" s="52">
        <f>U2*(1+NPV!E5)</f>
        <v>17881.67227319626</v>
      </c>
      <c r="W2" s="52">
        <f>V2*(1+NPV!F5)</f>
        <v>19016.562406801786</v>
      </c>
      <c r="X2" s="52">
        <f>W2*(1+NPV!G5)</f>
        <v>20101.562939678755</v>
      </c>
      <c r="Y2" s="52">
        <f>X2*(1+NPV!H5)</f>
        <v>21119.59542722382</v>
      </c>
      <c r="Z2" s="52">
        <f>Y2*(1+NPV!I5)</f>
        <v>22053.785531621354</v>
      </c>
      <c r="AA2" s="52">
        <f>Z2*(1+NPV!J5)</f>
        <v>22887.908708839564</v>
      </c>
      <c r="AB2" s="52">
        <f>AA2*(1+NPV!K5)</f>
        <v>23606.84335239389</v>
      </c>
      <c r="AC2" s="52">
        <f>AB2*(1+NPV!L5)</f>
        <v>24197.014436203735</v>
      </c>
    </row>
    <row r="3" customFormat="1" s="1">
      <c r="A3" s="5" t="inlineStr">
        <is>
          <t>Cost of Sales</t>
        </is>
      </c>
      <c r="B3" s="52" t="n">
        <v>0.923</v>
      </c>
      <c r="C3" s="52" t="n">
        <v>1.686</v>
      </c>
      <c r="D3" s="52" t="n">
        <v>2.093</v>
      </c>
      <c r="E3" s="52" t="n">
        <v>4.216</v>
      </c>
      <c r="F3" s="52" t="n">
        <v>83.92700000000001</v>
      </c>
      <c r="G3" s="52" t="n">
        <v>118.048</v>
      </c>
      <c r="H3" s="52" t="n">
        <v>129.03</v>
      </c>
      <c r="I3" s="52" t="n">
        <v>241.702</v>
      </c>
      <c r="J3" s="52" t="n">
        <v>194.624</v>
      </c>
      <c r="K3" s="52" t="n">
        <v>202.507</v>
      </c>
      <c r="L3" s="52" t="n">
        <v>237.5</v>
      </c>
      <c r="M3" s="52" t="n">
        <v>402.8</v>
      </c>
      <c r="N3" s="52" t="n">
        <v>0</v>
      </c>
      <c r="O3" s="52" t="n">
        <v>0</v>
      </c>
      <c r="P3" s="52" t="n">
        <v>0</v>
      </c>
      <c r="Q3" s="52" t="n">
        <v>0</v>
      </c>
      <c r="R3" s="52" t="n">
        <v>0</v>
      </c>
      <c r="S3" s="52" t="n">
        <v>0</v>
      </c>
      <c r="T3" s="52">
        <f>T2*(1-Assumptions!$B$19)</f>
        <v>953.4841507620001</v>
      </c>
      <c r="U3" s="52">
        <f>U2*(1-Assumptions!$B$19)</f>
        <v>1026.224397196799</v>
      </c>
      <c r="V3" s="52">
        <f>V2*(1-Assumptions!$B$19)</f>
        <v>1097.9346775742506</v>
      </c>
      <c r="W3" s="52">
        <f>W2*(1-Assumptions!$B$19)</f>
        <v>1167.6169317776298</v>
      </c>
      <c r="X3" s="52">
        <f>X2*(1-Assumptions!$B$19)</f>
        <v>1234.2359644962758</v>
      </c>
      <c r="Y3" s="52">
        <f>Y2*(1-Assumptions!$B$19)</f>
        <v>1296.7431592315427</v>
      </c>
      <c r="Z3" s="52">
        <f>Z2*(1-Assumptions!$B$19)</f>
        <v>1354.1024316415512</v>
      </c>
      <c r="AA3" s="52">
        <f>AA2*(1-Assumptions!$B$19)</f>
        <v>1405.3175947227494</v>
      </c>
      <c r="AB3" s="52">
        <f>AB2*(1-Assumptions!$B$19)</f>
        <v>1449.4601818369852</v>
      </c>
      <c r="AC3" s="52">
        <f>AC2*(1-Assumptions!$B$19)</f>
        <v>1485.6966863829095</v>
      </c>
    </row>
    <row r="4" customFormat="1" s="1">
      <c r="A4" s="5" t="inlineStr">
        <is>
          <t>Gross Margin</t>
        </is>
      </c>
      <c r="B4" s="52">
        <f>B2-B3</f>
        <v>237.534</v>
      </c>
      <c r="C4" s="52">
        <f>C2-C3</f>
        <v>377.582</v>
      </c>
      <c r="D4" s="52">
        <f>D2-D3</f>
        <v>456.981</v>
      </c>
      <c r="E4" s="52">
        <f>E2-E3</f>
        <v>441.608</v>
      </c>
      <c r="F4" s="52">
        <f>F2-F3</f>
        <v>1294.5500000000002</v>
      </c>
      <c r="G4" s="52">
        <f>G2-G3</f>
        <v>1986.697</v>
      </c>
      <c r="H4" s="52">
        <f>H2-H3</f>
        <v>2690.5269999999996</v>
      </c>
      <c r="I4" s="52">
        <f>I2-I3</f>
        <v>3862.026</v>
      </c>
      <c r="J4" s="52">
        <f>J2-J3</f>
        <v>4665.803</v>
      </c>
      <c r="K4" s="52">
        <f>K2-K3</f>
        <v>5669.72</v>
      </c>
      <c r="L4" s="52">
        <f>L2-L3</f>
        <v>4908.1</v>
      </c>
      <c r="M4" s="52">
        <f>M2-M3</f>
        <v>6154.8</v>
      </c>
      <c r="N4" s="52">
        <f>N2-N3</f>
        <v>8497.1</v>
      </c>
      <c r="O4" s="52">
        <f>O2-O3</f>
        <v>16071.7</v>
      </c>
      <c r="P4" s="52">
        <f>P2-P3</f>
        <v>12172.9</v>
      </c>
      <c r="Q4" s="52">
        <f>Q2-Q3</f>
        <v>13117.2</v>
      </c>
      <c r="R4" s="52">
        <f>R2-R3</f>
        <v>14202.0</v>
      </c>
      <c r="S4" s="52">
        <f>S2-S3</f>
        <v>14342.9</v>
      </c>
      <c r="T4" s="52">
        <f>T2-T3</f>
        <v>14575.573679238</v>
      </c>
      <c r="U4" s="52">
        <f>U2-U3</f>
        <v>15687.528000145201</v>
      </c>
      <c r="V4" s="52">
        <f>V2-V3</f>
        <v>16783.737595622013</v>
      </c>
      <c r="W4" s="52">
        <f>W2-W3</f>
        <v>17848.945475024157</v>
      </c>
      <c r="X4" s="52">
        <f>X2-X3</f>
        <v>18867.32697518248</v>
      </c>
      <c r="Y4" s="52">
        <f>Y2-Y3</f>
        <v>19822.852267992275</v>
      </c>
      <c r="Z4" s="52">
        <f>Z2-Z3</f>
        <v>20699.683099979804</v>
      </c>
      <c r="AA4" s="52">
        <f>AA2-AA3</f>
        <v>21482.591114116814</v>
      </c>
      <c r="AB4" s="52">
        <f>AB2-AB3</f>
        <v>22157.383170556906</v>
      </c>
      <c r="AC4" s="52">
        <f>AC2-AC3</f>
        <v>22711.317749820824</v>
      </c>
    </row>
    <row r="5">
      <c r="A5" s="2" t="inlineStr">
        <is>
          <t>Research &amp; Dev.</t>
        </is>
      </c>
      <c r="B5" s="52" t="n">
        <v>274.903</v>
      </c>
      <c r="C5" s="52" t="n">
        <v>398.762</v>
      </c>
      <c r="D5" s="52" t="n">
        <v>489.252</v>
      </c>
      <c r="E5" s="52" t="n">
        <v>529.506</v>
      </c>
      <c r="F5" s="52" t="n">
        <v>625.554</v>
      </c>
      <c r="G5" s="52" t="n">
        <v>859.947</v>
      </c>
      <c r="H5" s="52" t="n">
        <v>1271.353</v>
      </c>
      <c r="I5" s="52" t="n">
        <v>1620.577</v>
      </c>
      <c r="J5" s="52" t="n">
        <v>2052.3</v>
      </c>
      <c r="K5" s="52" t="n">
        <v>2075.1</v>
      </c>
      <c r="L5" s="52" t="n">
        <v>1468.8</v>
      </c>
      <c r="M5" s="52" t="n">
        <v>2450</v>
      </c>
      <c r="N5" s="52" t="n">
        <v>2647</v>
      </c>
      <c r="O5" s="52" t="n">
        <v>2860.1</v>
      </c>
      <c r="P5" s="52" t="n">
        <v>3592.5</v>
      </c>
      <c r="Q5" s="52" t="n">
        <v>4439</v>
      </c>
      <c r="R5" s="52" t="n">
        <v>5132</v>
      </c>
      <c r="S5" s="52" t="n">
        <v>5850.2</v>
      </c>
      <c r="T5" s="52">
        <f>T7*Assumptions!$B$20</f>
        <v>5817.663792912783</v>
      </c>
      <c r="U5" s="52">
        <f>U7*Assumptions!$B$20</f>
        <v>6245.320489169384</v>
      </c>
      <c r="V5" s="52">
        <f>V7*Assumptions!$B$20</f>
        <v>6664.433523192972</v>
      </c>
      <c r="W5" s="52">
        <f>W7*Assumptions!$B$20</f>
        <v>7069.009096110514</v>
      </c>
      <c r="X5" s="52">
        <f>X7*Assumptions!$B$20</f>
        <v>7452.892060359847</v>
      </c>
      <c r="Y5" s="52">
        <f>Y7*Assumptions!$B$20</f>
        <v>7809.911667345007</v>
      </c>
      <c r="Z5" s="52">
        <f>Z7*Assumptions!$B$20</f>
        <v>8134.038525267538</v>
      </c>
      <c r="AA5" s="52">
        <f>AA7*Assumptions!$B$20</f>
        <v>8419.54756245988</v>
      </c>
      <c r="AB5" s="52">
        <f>AB7*Assumptions!$B$20</f>
        <v>8661.181140003302</v>
      </c>
      <c r="AC5" s="52">
        <f>AC7*Assumptions!$B$20</f>
        <v>8854.306057895934</v>
      </c>
    </row>
    <row r="6">
      <c r="A6" s="18" t="inlineStr">
        <is>
          <t>SG&amp;A &amp; Other</t>
        </is>
      </c>
      <c r="B6" s="52" t="n">
        <v>48.88</v>
      </c>
      <c r="C6" s="52" t="n">
        <v>52.923</v>
      </c>
      <c r="D6" s="52" t="n">
        <v>65.20099999999999</v>
      </c>
      <c r="E6" s="52" t="n">
        <v>117.261</v>
      </c>
      <c r="F6" s="52" t="n">
        <v>211.283</v>
      </c>
      <c r="G6" s="52" t="n">
        <v>383.7</v>
      </c>
      <c r="H6" s="52" t="n">
        <v>595.255</v>
      </c>
      <c r="I6" s="52" t="n">
        <v>989.533</v>
      </c>
      <c r="J6" s="52" t="n">
        <v>1282.803</v>
      </c>
      <c r="K6" s="52" t="n">
        <v>1515.02</v>
      </c>
      <c r="L6" s="52" t="n">
        <v>904.9</v>
      </c>
      <c r="M6" s="52" t="n">
        <v>1495</v>
      </c>
      <c r="N6" s="52" t="n">
        <v>2273.5</v>
      </c>
      <c r="O6" s="52" t="n">
        <v>4264.8</v>
      </c>
      <c r="P6" s="52" t="n">
        <v>3841.5</v>
      </c>
      <c r="Q6" s="52" t="n">
        <v>4631.1</v>
      </c>
      <c r="R6" s="52" t="n">
        <v>5079.3</v>
      </c>
      <c r="S6" s="52" t="n">
        <v>4914.8</v>
      </c>
      <c r="T6" s="52">
        <f>T7-T5</f>
        <v>4888.379256245817</v>
      </c>
      <c r="U6" s="52">
        <f>U7-U5</f>
        <v>5247.724209338869</v>
      </c>
      <c r="V6" s="52">
        <f>V7-V5</f>
        <v>5599.890222101419</v>
      </c>
      <c r="W6" s="52">
        <f>W7-W5</f>
        <v>5939.840915134451</v>
      </c>
      <c r="X6" s="52">
        <f>X7-X5</f>
        <v>6262.40433338297</v>
      </c>
      <c r="Y6" s="52">
        <f>Y7-Y5</f>
        <v>6562.395412789346</v>
      </c>
      <c r="Z6" s="52">
        <f>Z7-Z5</f>
        <v>6834.747866465142</v>
      </c>
      <c r="AA6" s="52">
        <f>AA7-AA5</f>
        <v>7074.651117076151</v>
      </c>
      <c r="AB6" s="52">
        <f>AB7-AB5</f>
        <v>7277.687354666006</v>
      </c>
      <c r="AC6" s="52">
        <f>AC7-AC5</f>
        <v>7439.963463443659</v>
      </c>
    </row>
    <row r="7">
      <c r="A7" s="2" t="inlineStr">
        <is>
          <t>Operating Expense</t>
        </is>
      </c>
      <c r="B7" s="52">
        <f>SUM(B5:B6)</f>
        <v>323.783</v>
      </c>
      <c r="C7" s="52">
        <f>SUM(C5:C6)</f>
        <v>451.685</v>
      </c>
      <c r="D7" s="52">
        <f>SUM(D5:D6)</f>
        <v>554.453</v>
      </c>
      <c r="E7" s="52">
        <f>SUM(E5:E6)</f>
        <v>646.7669999999999</v>
      </c>
      <c r="F7" s="52">
        <f>SUM(F5:F6)</f>
        <v>836.837</v>
      </c>
      <c r="G7" s="52">
        <f>SUM(G5:G6)</f>
        <v>1243.647</v>
      </c>
      <c r="H7" s="52">
        <f>SUM(H5:H6)</f>
        <v>1866.6080000000002</v>
      </c>
      <c r="I7" s="52">
        <f>SUM(I5:I6)</f>
        <v>2610.11</v>
      </c>
      <c r="J7" s="52">
        <f>SUM(J5:J6)</f>
        <v>3335.103</v>
      </c>
      <c r="K7" s="52">
        <f>SUM(K5:K6)</f>
        <v>3590.12</v>
      </c>
      <c r="L7" s="52">
        <f>SUM(L5:L6)</f>
        <v>2373.7</v>
      </c>
      <c r="M7" s="52">
        <f>SUM(M5:M6)</f>
        <v>3945.0</v>
      </c>
      <c r="N7" s="52">
        <f>SUM(N5:N6)</f>
        <v>4920.5</v>
      </c>
      <c r="O7" s="52">
        <f>SUM(O5:O6)</f>
        <v>7124.9</v>
      </c>
      <c r="P7" s="52">
        <f>SUM(P5:P6)</f>
        <v>7434.0</v>
      </c>
      <c r="Q7" s="52">
        <f>SUM(Q5:Q6)</f>
        <v>9070.1</v>
      </c>
      <c r="R7" s="52">
        <f>SUM(R5:R6)</f>
        <v>10211.3</v>
      </c>
      <c r="S7" s="52">
        <f>SUM(S5:S6)</f>
        <v>10765.0</v>
      </c>
      <c r="T7" s="52">
        <f>T4-T2*NPV!C6</f>
        <v>10706.0430491586</v>
      </c>
      <c r="U7" s="52">
        <f>U4-U2*NPV!D6</f>
        <v>11493.044698508253</v>
      </c>
      <c r="V7" s="52">
        <f>V4-V2*NPV!E6</f>
        <v>12264.32374529439</v>
      </c>
      <c r="W7" s="52">
        <f>W4-W2*NPV!F6</f>
        <v>13008.850011244966</v>
      </c>
      <c r="X7" s="52">
        <f>X4-X2*NPV!G6</f>
        <v>13715.296393742818</v>
      </c>
      <c r="Y7" s="52">
        <f>Y4-Y2*NPV!H6</f>
        <v>14372.307080134353</v>
      </c>
      <c r="Z7" s="52">
        <f>Z4-Z2*NPV!I6</f>
        <v>14968.78639173268</v>
      </c>
      <c r="AA7" s="52">
        <f>AA4-AA2*NPV!J6</f>
        <v>15494.198679536032</v>
      </c>
      <c r="AB7" s="52">
        <f>AB4-AB2*NPV!K6</f>
        <v>15938.868494669308</v>
      </c>
      <c r="AC7" s="52">
        <f>AC4-AC2*NPV!L6</f>
        <v>16294.269521339593</v>
      </c>
    </row>
    <row r="8">
      <c r="A8" s="2" t="inlineStr">
        <is>
          <t>Operating Income</t>
        </is>
      </c>
      <c r="B8" s="52">
        <f>B4-B7</f>
        <v>-86.24900000000002</v>
      </c>
      <c r="C8" s="52">
        <f>C4-C7</f>
        <v>-74.10300000000001</v>
      </c>
      <c r="D8" s="52">
        <f>D4-D7</f>
        <v>-97.47199999999998</v>
      </c>
      <c r="E8" s="52">
        <f>E4-E7</f>
        <v>-205.15899999999993</v>
      </c>
      <c r="F8" s="52">
        <f>F4-F7</f>
        <v>457.7130000000002</v>
      </c>
      <c r="G8" s="52">
        <f>G4-G7</f>
        <v>743.05</v>
      </c>
      <c r="H8" s="52">
        <f>H4-H7</f>
        <v>823.9189999999994</v>
      </c>
      <c r="I8" s="52">
        <f>I4-I7</f>
        <v>1251.9159999999997</v>
      </c>
      <c r="J8" s="52">
        <f>J4-J7</f>
        <v>1330.6999999999998</v>
      </c>
      <c r="K8" s="52">
        <f>K4-K7</f>
        <v>2079.6000000000004</v>
      </c>
      <c r="L8" s="52">
        <f>L4-L7</f>
        <v>2534.4000000000005</v>
      </c>
      <c r="M8" s="52">
        <f>M4-M7</f>
        <v>2209.8</v>
      </c>
      <c r="N8" s="52">
        <f>N4-N7</f>
        <v>3576.6000000000004</v>
      </c>
      <c r="O8" s="52">
        <f>O4-O7</f>
        <v>8946.800000000001</v>
      </c>
      <c r="P8" s="52">
        <f>P4-P7</f>
        <v>4738.9</v>
      </c>
      <c r="Q8" s="52">
        <f>Q4-Q7</f>
        <v>4047.1000000000004</v>
      </c>
      <c r="R8" s="52">
        <f>R4-R7</f>
        <v>3990.7000000000007</v>
      </c>
      <c r="S8" s="52">
        <f>S4-S7</f>
        <v>3577.8999999999996</v>
      </c>
      <c r="T8" s="52">
        <f>T4-T7</f>
        <v>3869.5306300794</v>
      </c>
      <c r="U8" s="52">
        <f>U4-U7</f>
        <v>4194.483301636948</v>
      </c>
      <c r="V8" s="52">
        <f>V4-V7</f>
        <v>4519.413850327623</v>
      </c>
      <c r="W8" s="52">
        <f>W4-W7</f>
        <v>4840.095463779191</v>
      </c>
      <c r="X8" s="52">
        <f>X4-X7</f>
        <v>5152.030581439663</v>
      </c>
      <c r="Y8" s="52">
        <f>Y4-Y7</f>
        <v>5450.545187857922</v>
      </c>
      <c r="Z8" s="52">
        <f>Z4-Z7</f>
        <v>5730.8967082471245</v>
      </c>
      <c r="AA8" s="52">
        <f>AA4-AA7</f>
        <v>5988.392434580783</v>
      </c>
      <c r="AB8" s="52">
        <f>AB4-AB7</f>
        <v>6218.514675887598</v>
      </c>
      <c r="AC8" s="52">
        <f>AC4-AC7</f>
        <v>6417.0482284812315</v>
      </c>
    </row>
    <row r="9">
      <c r="A9" s="18" t="inlineStr">
        <is>
          <t>Interest &amp; Other</t>
        </is>
      </c>
      <c r="B9" s="52" t="n">
        <v>9.471</v>
      </c>
      <c r="C9" s="52" t="n">
        <v>2.151</v>
      </c>
      <c r="D9" s="52" t="n">
        <v>-6.996</v>
      </c>
      <c r="E9" s="52" t="n">
        <v>-17.733</v>
      </c>
      <c r="F9" s="52" t="n">
        <v>-43.292</v>
      </c>
      <c r="G9" s="52" t="n">
        <v>-46.668</v>
      </c>
      <c r="H9" s="52" t="n">
        <v>-62.684</v>
      </c>
      <c r="I9" s="52" t="n">
        <v>-26.819</v>
      </c>
      <c r="J9" s="52" t="n">
        <v>-0.9</v>
      </c>
      <c r="K9" s="52" t="n">
        <v>-1.1</v>
      </c>
      <c r="L9" s="52" t="n">
        <v>19.1</v>
      </c>
      <c r="M9" s="52" t="n">
        <v>219.3</v>
      </c>
      <c r="N9" s="52" t="n">
        <v>233.8</v>
      </c>
      <c r="O9" s="52" t="n">
        <v>379</v>
      </c>
      <c r="P9" s="52" t="n">
        <v>119.9</v>
      </c>
      <c r="Q9" s="52" t="n">
        <v>152.2</v>
      </c>
      <c r="R9" s="52" t="n">
        <v>789.2</v>
      </c>
      <c r="S9" s="52" t="n">
        <v>1652.8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  <c r="AC9" s="52" t="n">
        <v>0</v>
      </c>
    </row>
    <row r="10">
      <c r="A10" s="2" t="inlineStr">
        <is>
          <t>Pretax</t>
        </is>
      </c>
      <c r="B10" s="52">
        <f>B8+B9</f>
        <v>-76.77800000000002</v>
      </c>
      <c r="C10" s="52">
        <f>C8+C9</f>
        <v>-71.95200000000001</v>
      </c>
      <c r="D10" s="52">
        <f>D8+D9</f>
        <v>-104.46799999999998</v>
      </c>
      <c r="E10" s="52">
        <f>E8+E9</f>
        <v>-222.89199999999994</v>
      </c>
      <c r="F10" s="52">
        <f>F8+F9</f>
        <v>414.42100000000016</v>
      </c>
      <c r="G10" s="52">
        <f>G8+G9</f>
        <v>696.382</v>
      </c>
      <c r="H10" s="52">
        <f>H8+H9</f>
        <v>761.2349999999994</v>
      </c>
      <c r="I10" s="52">
        <f>I8+I9</f>
        <v>1225.0969999999998</v>
      </c>
      <c r="J10" s="52">
        <f>J8+J9</f>
        <v>1329.7999999999997</v>
      </c>
      <c r="K10" s="52">
        <f>K8+K9</f>
        <v>2078.5000000000005</v>
      </c>
      <c r="L10" s="52">
        <f>L8+L9</f>
        <v>2553.5000000000005</v>
      </c>
      <c r="M10" s="52">
        <f>M8+M9</f>
        <v>2429.1000000000004</v>
      </c>
      <c r="N10" s="52">
        <f>N8+N9</f>
        <v>3810.4000000000005</v>
      </c>
      <c r="O10" s="52">
        <f>O8+O9</f>
        <v>9325.800000000001</v>
      </c>
      <c r="P10" s="52">
        <f>P8+P9</f>
        <v>4858.799999999999</v>
      </c>
      <c r="Q10" s="52">
        <f>Q8+Q9</f>
        <v>4199.3</v>
      </c>
      <c r="R10" s="52">
        <f>R8+R9</f>
        <v>4779.900000000001</v>
      </c>
      <c r="S10" s="52">
        <f>S8+S9</f>
        <v>5230.7</v>
      </c>
      <c r="T10" s="52">
        <f>T8+T9</f>
        <v>3869.5306300794</v>
      </c>
      <c r="U10" s="52">
        <f>U8+U9</f>
        <v>4194.483301636948</v>
      </c>
      <c r="V10" s="52">
        <f>V8+V9</f>
        <v>4519.413850327623</v>
      </c>
      <c r="W10" s="52">
        <f>W8+W9</f>
        <v>4840.095463779191</v>
      </c>
      <c r="X10" s="52">
        <f>X8+X9</f>
        <v>5152.030581439663</v>
      </c>
      <c r="Y10" s="52">
        <f>Y8+Y9</f>
        <v>5450.545187857922</v>
      </c>
      <c r="Z10" s="52">
        <f>Z8+Z9</f>
        <v>5730.8967082471245</v>
      </c>
      <c r="AA10" s="52">
        <f>AA8+AA9</f>
        <v>5988.392434580783</v>
      </c>
      <c r="AB10" s="52">
        <f>AB8+AB9</f>
        <v>6218.514675887598</v>
      </c>
      <c r="AC10" s="52">
        <f>AC8+AC9</f>
        <v>6417.0482284812315</v>
      </c>
    </row>
    <row r="11">
      <c r="A11" s="2" t="inlineStr">
        <is>
          <t>Taxes</t>
        </is>
      </c>
      <c r="B11" s="52" t="n">
        <v>2.351</v>
      </c>
      <c r="C11" s="52" t="n">
        <v>-4.122</v>
      </c>
      <c r="D11" s="52" t="n">
        <v>0</v>
      </c>
      <c r="E11" s="52" t="n">
        <v>-1.132</v>
      </c>
      <c r="F11" s="52" t="n">
        <v>-335.848</v>
      </c>
      <c r="G11" s="52" t="n">
        <v>282.644</v>
      </c>
      <c r="H11" s="52" t="n">
        <v>423.109</v>
      </c>
      <c r="I11" s="52" t="n">
        <v>589.0410000000001</v>
      </c>
      <c r="J11" s="52" t="n">
        <v>434.3</v>
      </c>
      <c r="K11" s="52" t="n">
        <v>880</v>
      </c>
      <c r="L11" s="52" t="n">
        <v>109.1</v>
      </c>
      <c r="M11" s="52" t="n">
        <v>313.3</v>
      </c>
      <c r="N11" s="52" t="n">
        <v>297.2</v>
      </c>
      <c r="O11" s="52" t="n">
        <v>1250.5</v>
      </c>
      <c r="P11" s="52" t="n">
        <v>520.4</v>
      </c>
      <c r="Q11" s="52" t="n">
        <v>245.7</v>
      </c>
      <c r="R11" s="52" t="n">
        <v>367.3</v>
      </c>
      <c r="S11" s="52" t="n">
        <v>725.8</v>
      </c>
      <c r="T11" s="52">
        <f>MAX(0,T10)*Assumptions!$E$14</f>
        <v>657.8202071134981</v>
      </c>
      <c r="U11" s="52">
        <f>MAX(0,U10)*Assumptions!$E$14</f>
        <v>713.0621612782813</v>
      </c>
      <c r="V11" s="52">
        <f>MAX(0,V10)*Assumptions!$E$14</f>
        <v>768.3003545556959</v>
      </c>
      <c r="W11" s="52">
        <f>MAX(0,W10)*Assumptions!$E$14</f>
        <v>822.8162288424626</v>
      </c>
      <c r="X11" s="52">
        <f>MAX(0,X10)*Assumptions!$E$14</f>
        <v>875.8451988447429</v>
      </c>
      <c r="Y11" s="52">
        <f>MAX(0,Y10)*Assumptions!$E$14</f>
        <v>926.5926819358468</v>
      </c>
      <c r="Z11" s="52">
        <f>MAX(0,Z10)*Assumptions!$E$14</f>
        <v>974.2524404020112</v>
      </c>
      <c r="AA11" s="52">
        <f>MAX(0,AA10)*Assumptions!$E$14</f>
        <v>1018.0267138787332</v>
      </c>
      <c r="AB11" s="52">
        <f>MAX(0,AB10)*Assumptions!$E$14</f>
        <v>1057.1474949008918</v>
      </c>
      <c r="AC11" s="52">
        <f>MAX(0,AC10)*Assumptions!$E$14</f>
        <v>1090.8981988418095</v>
      </c>
    </row>
    <row r="12">
      <c r="A12" s="2" t="inlineStr">
        <is>
          <t>Net Income</t>
        </is>
      </c>
      <c r="B12" s="52" t="n">
        <v>-79.129</v>
      </c>
      <c r="C12" s="52" t="n">
        <v>-67.83</v>
      </c>
      <c r="D12" s="52" t="n">
        <v>-104.468</v>
      </c>
      <c r="E12" s="52" t="n">
        <v>-221.76</v>
      </c>
      <c r="F12" s="52" t="n">
        <v>750.269</v>
      </c>
      <c r="G12" s="52" t="n">
        <v>413.738</v>
      </c>
      <c r="H12" s="52" t="n">
        <v>338.126</v>
      </c>
      <c r="I12" s="52" t="n">
        <v>636.056</v>
      </c>
      <c r="J12" s="52" t="n">
        <v>895.5</v>
      </c>
      <c r="K12" s="52" t="n">
        <v>1198.5</v>
      </c>
      <c r="L12" s="52" t="n">
        <v>2444.4</v>
      </c>
      <c r="M12" s="52" t="n">
        <v>2115.8</v>
      </c>
      <c r="N12" s="52" t="n">
        <v>3513.2</v>
      </c>
      <c r="O12" s="52" t="n">
        <v>8075.3</v>
      </c>
      <c r="P12" s="52" t="n">
        <v>4338.4</v>
      </c>
      <c r="Q12" s="52" t="n">
        <v>3953.6</v>
      </c>
      <c r="R12" s="52" t="n">
        <v>4412.6</v>
      </c>
      <c r="S12" s="52" t="n">
        <v>4504.9</v>
      </c>
      <c r="T12" s="52">
        <f>T10-T11</f>
        <v>3211.7104229659017</v>
      </c>
      <c r="U12" s="52">
        <f>U10-U11</f>
        <v>3481.421140358667</v>
      </c>
      <c r="V12" s="52">
        <f>V10-V11</f>
        <v>3751.113495771927</v>
      </c>
      <c r="W12" s="52">
        <f>W10-W11</f>
        <v>4017.2792349367282</v>
      </c>
      <c r="X12" s="52">
        <f>X10-X11</f>
        <v>4276.18538259492</v>
      </c>
      <c r="Y12" s="52">
        <f>Y10-Y11</f>
        <v>4523.952505922076</v>
      </c>
      <c r="Z12" s="52">
        <f>Z10-Z11</f>
        <v>4756.644267845113</v>
      </c>
      <c r="AA12" s="52">
        <f>AA10-AA11</f>
        <v>4970.36572070205</v>
      </c>
      <c r="AB12" s="52">
        <f>AB10-AB11</f>
        <v>5161.367180986706</v>
      </c>
      <c r="AC12" s="52">
        <f>AC10-AC11</f>
        <v>5326.150029639422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-1.2597737742083304</v>
      </c>
      <c r="E13" s="11">
        <f>IFERROR(E12/E14,0)</f>
        <v>-2.4474119854320713</v>
      </c>
      <c r="F13" s="11">
        <f>IFERROR(F12/F14,0)</f>
        <v>6.502478722851051</v>
      </c>
      <c r="G13" s="11">
        <f>IFERROR(G12/G14,0)</f>
        <v>3.7176565729176025</v>
      </c>
      <c r="H13" s="11">
        <f>IFERROR(H12/H14,0)</f>
        <v>2.9813689788648565</v>
      </c>
      <c r="I13" s="11">
        <f>IFERROR(I12/I14,0)</f>
        <v>5.519881975180075</v>
      </c>
      <c r="J13" s="11">
        <f>IFERROR(J12/J14,0)</f>
        <v>7.699914015477214</v>
      </c>
      <c r="K13" s="11">
        <f>IFERROR(K12/K14,0)</f>
        <v>10.34081104400345</v>
      </c>
      <c r="L13" s="11">
        <f>IFERROR(L12/L14,0)</f>
        <v>21.29268292682927</v>
      </c>
      <c r="M13" s="11">
        <f>IFERROR(M12/M14,0)</f>
        <v>18.462478184991276</v>
      </c>
      <c r="N13" s="11">
        <f>IFERROR(N12/N14,0)</f>
        <v>30.523023457862728</v>
      </c>
      <c r="O13" s="11">
        <f>IFERROR(O12/O14,0)</f>
        <v>71.97237076648841</v>
      </c>
      <c r="P13" s="11">
        <f>IFERROR(P12/P14,0)</f>
        <v>38.223788546255506</v>
      </c>
      <c r="Q13" s="11">
        <f>IFERROR(Q12/Q14,0)</f>
        <v>34.77220756376429</v>
      </c>
      <c r="R13" s="11">
        <f>IFERROR(R12/R14,0)</f>
        <v>38.33709817549957</v>
      </c>
      <c r="S13" s="11">
        <f>IFERROR(S12/S14,0)</f>
        <v>41.48158379373849</v>
      </c>
      <c r="T13" s="11">
        <f>IFERROR(T12/T14,0)</f>
        <v>31.195287235290646</v>
      </c>
      <c r="U13" s="11">
        <f>IFERROR(U12/U14,0)</f>
        <v>33.81498272195095</v>
      </c>
      <c r="V13" s="11">
        <f>IFERROR(V12/V14,0)</f>
        <v>36.43449985902506</v>
      </c>
      <c r="W13" s="11">
        <f>IFERROR(W12/W14,0)</f>
        <v>39.019763034081734</v>
      </c>
      <c r="X13" s="11">
        <f>IFERROR(X12/X14,0)</f>
        <v>41.5345139236471</v>
      </c>
      <c r="Y13" s="11">
        <f>IFERROR(Y12/Y14,0)</f>
        <v>43.94107166446444</v>
      </c>
      <c r="Z13" s="11">
        <f>IFERROR(Z12/Z14,0)</f>
        <v>46.201202683303826</v>
      </c>
      <c r="AA13" s="11">
        <f>IFERROR(AA12/AA14,0)</f>
        <v>48.27707542156238</v>
      </c>
      <c r="AB13" s="11">
        <f>IFERROR(AB12/AB14,0)</f>
        <v>50.13226926884501</v>
      </c>
      <c r="AC13" s="11">
        <f>IFERROR(AC12/AC14,0)</f>
        <v>51.73280219933999</v>
      </c>
    </row>
    <row r="14">
      <c r="A14" s="2" t="inlineStr">
        <is>
          <t>Shares</t>
        </is>
      </c>
      <c r="B14" s="52" t="n"/>
      <c r="C14" s="52" t="n"/>
      <c r="D14" s="52" t="n">
        <v>82.926</v>
      </c>
      <c r="E14" s="52" t="n">
        <v>90.61</v>
      </c>
      <c r="F14" s="52" t="n">
        <v>115.382</v>
      </c>
      <c r="G14" s="52" t="n">
        <v>111.29</v>
      </c>
      <c r="H14" s="52" t="n">
        <v>113.413</v>
      </c>
      <c r="I14" s="52" t="n">
        <v>115.23</v>
      </c>
      <c r="J14" s="52" t="n">
        <v>116.3</v>
      </c>
      <c r="K14" s="52" t="n">
        <v>115.9</v>
      </c>
      <c r="L14" s="52" t="n">
        <v>114.8</v>
      </c>
      <c r="M14" s="52" t="n">
        <v>114.6</v>
      </c>
      <c r="N14" s="52" t="n">
        <v>115.1</v>
      </c>
      <c r="O14" s="52" t="n">
        <v>112.2</v>
      </c>
      <c r="P14" s="52" t="n">
        <v>113.5</v>
      </c>
      <c r="Q14" s="52" t="n">
        <v>113.7</v>
      </c>
      <c r="R14" s="52" t="n">
        <v>115.1</v>
      </c>
      <c r="S14" s="52" t="n">
        <v>108.6</v>
      </c>
      <c r="T14" s="52">
        <f>Main!$C$4</f>
        <v>102.954988</v>
      </c>
      <c r="U14" s="52">
        <f>Main!$C$4</f>
        <v>102.954988</v>
      </c>
      <c r="V14" s="52">
        <f>Main!$C$4</f>
        <v>102.954988</v>
      </c>
      <c r="W14" s="52">
        <f>Main!$C$4</f>
        <v>102.954988</v>
      </c>
      <c r="X14" s="52">
        <f>Main!$C$4</f>
        <v>102.954988</v>
      </c>
      <c r="Y14" s="52">
        <f>Main!$C$4</f>
        <v>102.954988</v>
      </c>
      <c r="Z14" s="52">
        <f>Main!$C$4</f>
        <v>102.954988</v>
      </c>
      <c r="AA14" s="52">
        <f>Main!$C$4</f>
        <v>102.954988</v>
      </c>
      <c r="AB14" s="52">
        <f>Main!$C$4</f>
        <v>102.954988</v>
      </c>
      <c r="AC14" s="52">
        <f>Main!$C$4</f>
        <v>102.954988</v>
      </c>
    </row>
    <row r="15"/>
    <row r="16" customFormat="1" s="4">
      <c r="A16" s="3" t="inlineStr">
        <is>
          <t>Revenue Change</t>
        </is>
      </c>
      <c r="C16" s="15">
        <f>IFERROR(C2/B2-1,"")</f>
        <v>0.590508980654793</v>
      </c>
      <c r="D16" s="15">
        <f>IFERROR(D2/C2-1,"")</f>
        <v>0.21042112701308846</v>
      </c>
      <c r="E16" s="15">
        <f>IFERROR(E2/D2-1,"")</f>
        <v>-0.02886244919119796</v>
      </c>
      <c r="F16" s="15">
        <f>IFERROR(F2/E2-1,"")</f>
        <v>2.0919757572494975</v>
      </c>
      <c r="G16" s="15">
        <f>IFERROR(G2/F2-1,"")</f>
        <v>0.5268626172217599</v>
      </c>
      <c r="H16" s="15">
        <f>IFERROR(H2/G2-1,"")</f>
        <v>0.3396192887974552</v>
      </c>
      <c r="I16" s="15">
        <f>IFERROR(I2/H2-1,"")</f>
        <v>0.4554513350856182</v>
      </c>
      <c r="J16" s="15">
        <f>IFERROR(J2/I2-1,"")</f>
        <v>0.18439306893634266</v>
      </c>
      <c r="K16" s="15">
        <f>IFERROR(K2/J2-1,"")</f>
        <v>0.20817101048940767</v>
      </c>
      <c r="L16" s="15">
        <f>IFERROR(L2/K2-1,"")</f>
        <v>-0.12373959657894684</v>
      </c>
      <c r="M16" s="15">
        <f>IFERROR(M2/L2-1,"")</f>
        <v>0.2744092039800994</v>
      </c>
      <c r="N16" s="15">
        <f>IFERROR(N2/M2-1,"")</f>
        <v>0.29576369403440284</v>
      </c>
      <c r="O16" s="15">
        <f>IFERROR(O2/N2-1,"")</f>
        <v>0.891433547916348</v>
      </c>
      <c r="P16" s="15">
        <f>IFERROR(P2/O2-1,"")</f>
        <v>-0.2425879029598612</v>
      </c>
      <c r="Q16" s="15">
        <f>IFERROR(Q2/P2-1,"")</f>
        <v>0.07757395526127708</v>
      </c>
      <c r="R16" s="15">
        <f>IFERROR(R2/Q2-1,"")</f>
        <v>0.08270057634251216</v>
      </c>
      <c r="S16" s="15">
        <f>IFERROR(S2/R2-1,"")</f>
        <v>0.009921137867905827</v>
      </c>
      <c r="T16" s="15">
        <f>IFERROR(T2/S2-1,"")</f>
        <v>0.0827</v>
      </c>
      <c r="U16" s="15">
        <f>IFERROR(U2/T2-1,"")</f>
        <v>0.07628888888888885</v>
      </c>
      <c r="V16" s="15">
        <f>IFERROR(V2/U2-1,"")</f>
        <v>0.0698777777777777</v>
      </c>
      <c r="W16" s="15">
        <f>IFERROR(W2/V2-1,"")</f>
        <v>0.06346666666666678</v>
      </c>
      <c r="X16" s="15">
        <f>IFERROR(X2/W2-1,"")</f>
        <v>0.05705555555555564</v>
      </c>
      <c r="Y16" s="15">
        <f>IFERROR(Y2/X2-1,"")</f>
        <v>0.05064444444444449</v>
      </c>
      <c r="Z16" s="15">
        <f>IFERROR(Z2/Y2-1,"")</f>
        <v>0.04423333333333335</v>
      </c>
      <c r="AA16" s="15">
        <f>IFERROR(AA2/Z2-1,"")</f>
        <v>0.0378222222222222</v>
      </c>
      <c r="AB16" s="15">
        <f>IFERROR(AB2/AA2-1,"")</f>
        <v>0.031411111111111056</v>
      </c>
      <c r="AC16" s="15">
        <f>IFERROR(AC2/AB2-1,"")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0.99612928117019</v>
      </c>
      <c r="C17" s="15">
        <f>IFERROR(C4/C2,"")</f>
        <v>0.9955545946402017</v>
      </c>
      <c r="D17" s="15">
        <f>IFERROR(D4/D2,"")</f>
        <v>0.9954408221768167</v>
      </c>
      <c r="E17" s="15">
        <f>IFERROR(E4/E2,"")</f>
        <v>0.9905433534309503</v>
      </c>
      <c r="F17" s="15">
        <f>IFERROR(F4/F2,"")</f>
        <v>0.9391161404941831</v>
      </c>
      <c r="G17" s="15">
        <f>IFERROR(G4/G2,"")</f>
        <v>0.9439133956845128</v>
      </c>
      <c r="H17" s="15">
        <f>IFERROR(H4/H2,"")</f>
        <v>0.9542374919180565</v>
      </c>
      <c r="I17" s="15">
        <f>IFERROR(I4/I2,"")</f>
        <v>0.9411018469060327</v>
      </c>
      <c r="J17" s="15">
        <f>IFERROR(J4/J2,"")</f>
        <v>0.9599574276087266</v>
      </c>
      <c r="K17" s="15">
        <f>IFERROR(K4/K2,"")</f>
        <v>0.9655144462228726</v>
      </c>
      <c r="L17" s="15">
        <f>IFERROR(L4/L2,"")</f>
        <v>0.9538440609452736</v>
      </c>
      <c r="M17" s="15">
        <f>IFERROR(M4/M2,"")</f>
        <v>0.9385750884469928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  <c r="T17" s="15">
        <f>IFERROR(T4/T2,"")</f>
        <v>0.9386</v>
      </c>
      <c r="U17" s="15">
        <f>IFERROR(U4/U2,"")</f>
        <v>0.9386</v>
      </c>
      <c r="V17" s="15">
        <f>IFERROR(V4/V2,"")</f>
        <v>0.9386000000000001</v>
      </c>
      <c r="W17" s="15">
        <f>IFERROR(W4/W2,"")</f>
        <v>0.9386</v>
      </c>
      <c r="X17" s="15">
        <f>IFERROR(X4/X2,"")</f>
        <v>0.9386000000000001</v>
      </c>
      <c r="Y17" s="15">
        <f>IFERROR(Y4/Y2,"")</f>
        <v>0.9385999999999999</v>
      </c>
      <c r="Z17" s="15">
        <f>IFERROR(Z4/Z2,"")</f>
        <v>0.9386000000000001</v>
      </c>
      <c r="AA17" s="15">
        <f>IFERROR(AA4/AA2,"")</f>
        <v>0.9386</v>
      </c>
      <c r="AB17" s="15">
        <f>IFERROR(AB4/AB2,"")</f>
        <v>0.9386</v>
      </c>
      <c r="AC17" s="15">
        <f>IFERROR(AC4/AC2,"")</f>
        <v>0.9385999999999999</v>
      </c>
    </row>
    <row r="18">
      <c r="A18" s="14" t="inlineStr">
        <is>
          <t>Operating Margin</t>
        </is>
      </c>
      <c r="B18" s="15">
        <f>IFERROR(B8/B2,"")</f>
        <v>-0.36169623873486634</v>
      </c>
      <c r="C18" s="15">
        <f>IFERROR(C8/C2,"")</f>
        <v>-0.19538426653448224</v>
      </c>
      <c r="D18" s="15">
        <f>IFERROR(D8/D2,"")</f>
        <v>-0.21232306774071277</v>
      </c>
      <c r="E18" s="15">
        <f>IFERROR(E8/E2,"")</f>
        <v>-0.4601793532873958</v>
      </c>
      <c r="F18" s="15">
        <f>IFERROR(F8/F2,"")</f>
        <v>0.33204253679967105</v>
      </c>
      <c r="G18" s="15">
        <f>IFERROR(G8/G2,"")</f>
        <v>0.3530356408971158</v>
      </c>
      <c r="H18" s="15">
        <f>IFERROR(H8/H2,"")</f>
        <v>0.29221576297269375</v>
      </c>
      <c r="I18" s="15">
        <f>IFERROR(I8/I2,"")</f>
        <v>0.30506797721486406</v>
      </c>
      <c r="J18" s="15">
        <f>IFERROR(J8/J2,"")</f>
        <v>0.27378252980653756</v>
      </c>
      <c r="K18" s="15">
        <f>IFERROR(K8/K2,"")</f>
        <v>0.35414162293112994</v>
      </c>
      <c r="L18" s="15">
        <f>IFERROR(L8/L2,"")</f>
        <v>0.4925373134328359</v>
      </c>
      <c r="M18" s="15">
        <f>IFERROR(M8/M2,"")</f>
        <v>0.3369830425765524</v>
      </c>
      <c r="N18" s="15">
        <f>IFERROR(N8/N2,"")</f>
        <v>0.4209200786150569</v>
      </c>
      <c r="O18" s="15">
        <f>IFERROR(O8/O2,"")</f>
        <v>0.5566803760647598</v>
      </c>
      <c r="P18" s="15">
        <f>IFERROR(P8/P2,"")</f>
        <v>0.38929918096755906</v>
      </c>
      <c r="Q18" s="15">
        <f>IFERROR(Q8/Q2,"")</f>
        <v>0.30853383344006347</v>
      </c>
      <c r="R18" s="15">
        <f>IFERROR(R8/R2,"")</f>
        <v>0.2809956344176877</v>
      </c>
      <c r="S18" s="15">
        <f>IFERROR(S8/S2,"")</f>
        <v>0.2494544339010939</v>
      </c>
      <c r="T18" s="15">
        <f>IFERROR(T8/T2,"")</f>
        <v>0.24918</v>
      </c>
      <c r="U18" s="15">
        <f>IFERROR(U8/U2,"")</f>
        <v>0.25096</v>
      </c>
      <c r="V18" s="15">
        <f>IFERROR(V8/V2,"")</f>
        <v>0.25273999999999996</v>
      </c>
      <c r="W18" s="15">
        <f>IFERROR(W8/W2,"")</f>
        <v>0.25452</v>
      </c>
      <c r="X18" s="15">
        <f>IFERROR(X8/X2,"")</f>
        <v>0.2562999999999999</v>
      </c>
      <c r="Y18" s="15">
        <f>IFERROR(Y8/Y2,"")</f>
        <v>0.25808</v>
      </c>
      <c r="Z18" s="15">
        <f>IFERROR(Z8/Z2,"")</f>
        <v>0.25986</v>
      </c>
      <c r="AA18" s="15">
        <f>IFERROR(AA8/AA2,"")</f>
        <v>0.26164</v>
      </c>
      <c r="AB18" s="15">
        <f>IFERROR(AB8/AB2,"")</f>
        <v>0.26342</v>
      </c>
      <c r="AC18" s="15">
        <f>IFERROR(AC8/AC2,"")</f>
        <v>0.26520000000000005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A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  <c r="AC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Regeneron Pharmaceuticals,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0.095</v>
      </c>
      <c r="C10" s="53" t="n">
        <v>0.08500000000000001</v>
      </c>
      <c r="D10" s="53" t="n">
        <v>0.075</v>
      </c>
      <c r="E10" s="54">
        <f>IF(ISNUMBER($B$6),$B$6,CHOOSE($B$4,B10,C10,D10))</f>
        <v>0.085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0.0327</v>
      </c>
      <c r="C12" s="53" t="n">
        <v>0.0827</v>
      </c>
      <c r="D12" s="53" t="n">
        <v>0.1327</v>
      </c>
      <c r="E12" s="54">
        <f>CHOOSE($B$4,B12,C12,D12)</f>
        <v>0.0827</v>
      </c>
    </row>
    <row r="13">
      <c r="A13" s="14" t="inlineStr">
        <is>
          <t>Operating margin, year 10</t>
        </is>
      </c>
      <c r="B13" s="53" t="n">
        <v>0.2152</v>
      </c>
      <c r="C13" s="53" t="n">
        <v>0.2652</v>
      </c>
      <c r="D13" s="53" t="n">
        <v>0.3152</v>
      </c>
      <c r="E13" s="54">
        <f>CHOOSE($B$4,B13,C13,D13)</f>
        <v>0.2652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0.2474</v>
      </c>
    </row>
    <row r="19">
      <c r="A19" s="14" t="inlineStr">
        <is>
          <t>Gross margin (forecast)</t>
        </is>
      </c>
      <c r="B19" s="53" t="n">
        <v>0.9386</v>
      </c>
    </row>
    <row r="20">
      <c r="A20" s="14" t="inlineStr">
        <is>
          <t>R&amp;D share of operating expense (forecast)</t>
        </is>
      </c>
      <c r="B20" s="53" t="n">
        <v>0.5434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Model'!S2</f>
        <v>14342.9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67242.44195910847</v>
      </c>
      <c r="C29" s="56">
        <f>NPV!B26</f>
        <v>73250.44195910847</v>
      </c>
      <c r="D29" s="35">
        <f>NPV!B28</f>
        <v>711.4802631914101</v>
      </c>
      <c r="E29" s="57">
        <f>NPV!B30</f>
        <v>-0.11888806757887482</v>
      </c>
    </row>
    <row r="30">
      <c r="A30" s="58" t="n">
        <v>1</v>
      </c>
      <c r="B30" s="59">
        <f t="dataTable" ref="B30:E32" r1="B4"/>
        <v>38079.03903078733</v>
      </c>
      <c r="C30" s="59">
        <v>44087.03903078733</v>
      </c>
      <c r="D30" s="39">
        <v>428.21663998239046</v>
      </c>
      <c r="E30" s="60">
        <v>-0.46968762076783266</v>
      </c>
    </row>
    <row r="31">
      <c r="A31" s="58" t="n">
        <v>2</v>
      </c>
      <c r="B31" s="59">
        <v>67242.44195910847</v>
      </c>
      <c r="C31" s="59">
        <v>73250.44195910847</v>
      </c>
      <c r="D31" s="39">
        <v>711.4802631914101</v>
      </c>
      <c r="E31" s="60">
        <v>-0.11888806757887482</v>
      </c>
    </row>
    <row r="32">
      <c r="A32" s="58" t="n">
        <v>3</v>
      </c>
      <c r="B32" s="59">
        <v>127634.83055183821</v>
      </c>
      <c r="C32" s="59">
        <v>133642.8305518382</v>
      </c>
      <c r="D32" s="39">
        <v>1298.0704786429405</v>
      </c>
      <c r="E32" s="60">
        <v>0.6075574362745091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711.4802631914101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0.065</v>
      </c>
      <c r="B37" s="39">
        <f t="dataTable" ref="B37:F41" dt2D="1" r1="B7" r2="B6"/>
        <v>876.5652552750753</v>
      </c>
      <c r="C37" s="39">
        <v>952.6251091358968</v>
      </c>
      <c r="D37" s="39">
        <v>1047.6090012701013</v>
      </c>
      <c r="E37" s="39">
        <v>1169.626278538877</v>
      </c>
      <c r="F37" s="39">
        <v>1332.1925092696572</v>
      </c>
    </row>
    <row r="38">
      <c r="A38" s="62" t="n">
        <v>0.075</v>
      </c>
      <c r="B38" s="39">
        <v>736.2322783616921</v>
      </c>
      <c r="C38" s="39">
        <v>785.9943151322885</v>
      </c>
      <c r="D38" s="39">
        <v>845.6388973280195</v>
      </c>
      <c r="E38" s="39">
        <v>918.459491757283</v>
      </c>
      <c r="F38" s="39">
        <v>1009.3962915203371</v>
      </c>
    </row>
    <row r="39">
      <c r="A39" s="62" t="n">
        <v>0.08500000000000001</v>
      </c>
      <c r="B39" s="39">
        <v>636.4265084094498</v>
      </c>
      <c r="C39" s="39">
        <v>671.0924962832131</v>
      </c>
      <c r="D39" s="39">
        <v>711.4802631914101</v>
      </c>
      <c r="E39" s="39">
        <v>759.1497321008408</v>
      </c>
      <c r="F39" s="39">
        <v>816.2847896581928</v>
      </c>
    </row>
    <row r="40">
      <c r="A40" s="62" t="n">
        <v>0.095</v>
      </c>
      <c r="B40" s="39">
        <v>561.9083424720393</v>
      </c>
      <c r="C40" s="39">
        <v>587.1833290123488</v>
      </c>
      <c r="D40" s="39">
        <v>616.0230649384654</v>
      </c>
      <c r="E40" s="39">
        <v>649.2497280424556</v>
      </c>
      <c r="F40" s="39">
        <v>687.9595509483179</v>
      </c>
    </row>
    <row r="41">
      <c r="A41" s="62" t="n">
        <v>0.105</v>
      </c>
      <c r="B41" s="39">
        <v>504.21590464192445</v>
      </c>
      <c r="C41" s="39">
        <v>523.2936451000784</v>
      </c>
      <c r="D41" s="39">
        <v>544.7175268165638</v>
      </c>
      <c r="E41" s="39">
        <v>568.9563984766502</v>
      </c>
      <c r="F41" s="39">
        <v>596.613061870481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Regeneron Pharmaceuticals, Inc.: free-cash-flow DCF ($mm)</t>
        </is>
      </c>
    </row>
    <row r="3">
      <c r="A3" s="20" t="inlineStr">
        <is>
          <t>Fiscal year</t>
        </is>
      </c>
      <c r="B3" s="43">
        <f>'Yearly Model'!S1</f>
        <v>2025</v>
      </c>
      <c r="C3" s="43">
        <f>'Yearly Model'!T1</f>
        <v>2026</v>
      </c>
      <c r="D3" s="43">
        <f>'Yearly Model'!U1</f>
        <v>2027</v>
      </c>
      <c r="E3" s="43">
        <f>'Yearly Model'!V1</f>
        <v>2028</v>
      </c>
      <c r="F3" s="43">
        <f>'Yearly Model'!W1</f>
        <v>2029</v>
      </c>
      <c r="G3" s="43">
        <f>'Yearly Model'!X1</f>
        <v>2030</v>
      </c>
      <c r="H3" s="43">
        <f>'Yearly Model'!Y1</f>
        <v>2031</v>
      </c>
      <c r="I3" s="43">
        <f>'Yearly Model'!Z1</f>
        <v>2032</v>
      </c>
      <c r="J3" s="43">
        <f>'Yearly Model'!AA1</f>
        <v>2033</v>
      </c>
      <c r="K3" s="43">
        <f>'Yearly Model'!AB1</f>
        <v>2034</v>
      </c>
      <c r="L3" s="43">
        <f>'Yearly Model'!AC1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0.0827</v>
      </c>
      <c r="D5" s="63">
        <f>Assumptions!$E$12+(Assumptions!$E$11-Assumptions!$E$12)*(D4-1)/(Assumptions!$B$21-1)</f>
        <v>0.07628888888888888</v>
      </c>
      <c r="E5" s="63">
        <f>Assumptions!$E$12+(Assumptions!$E$11-Assumptions!$E$12)*(E4-1)/(Assumptions!$B$21-1)</f>
        <v>0.06987777777777777</v>
      </c>
      <c r="F5" s="63">
        <f>Assumptions!$E$12+(Assumptions!$E$11-Assumptions!$E$12)*(F4-1)/(Assumptions!$B$21-1)</f>
        <v>0.06346666666666667</v>
      </c>
      <c r="G5" s="63">
        <f>Assumptions!$E$12+(Assumptions!$E$11-Assumptions!$E$12)*(G4-1)/(Assumptions!$B$21-1)</f>
        <v>0.057055555555555554</v>
      </c>
      <c r="H5" s="63">
        <f>Assumptions!$E$12+(Assumptions!$E$11-Assumptions!$E$12)*(H4-1)/(Assumptions!$B$21-1)</f>
        <v>0.05064444444444444</v>
      </c>
      <c r="I5" s="63">
        <f>Assumptions!$E$12+(Assumptions!$E$11-Assumptions!$E$12)*(I4-1)/(Assumptions!$B$21-1)</f>
        <v>0.04423333333333333</v>
      </c>
      <c r="J5" s="63">
        <f>Assumptions!$E$12+(Assumptions!$E$11-Assumptions!$E$12)*(J4-1)/(Assumptions!$B$21-1)</f>
        <v>0.03782222222222222</v>
      </c>
      <c r="K5" s="63">
        <f>Assumptions!$E$12+(Assumptions!$E$11-Assumptions!$E$12)*(K4-1)/(Assumptions!$B$21-1)</f>
        <v>0.03141111111111111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0.2494544339010939</v>
      </c>
      <c r="C6" s="63">
        <f>Assumptions!$B$18+(Assumptions!$E$13-Assumptions!$B$18)*C4/Assumptions!$B$21</f>
        <v>0.24918</v>
      </c>
      <c r="D6" s="63">
        <f>Assumptions!$B$18+(Assumptions!$E$13-Assumptions!$B$18)*D4/Assumptions!$B$21</f>
        <v>0.25096</v>
      </c>
      <c r="E6" s="63">
        <f>Assumptions!$B$18+(Assumptions!$E$13-Assumptions!$B$18)*E4/Assumptions!$B$21</f>
        <v>0.25274</v>
      </c>
      <c r="F6" s="63">
        <f>Assumptions!$B$18+(Assumptions!$E$13-Assumptions!$B$18)*F4/Assumptions!$B$21</f>
        <v>0.25452</v>
      </c>
      <c r="G6" s="63">
        <f>Assumptions!$B$18+(Assumptions!$E$13-Assumptions!$B$18)*G4/Assumptions!$B$21</f>
        <v>0.2563</v>
      </c>
      <c r="H6" s="63">
        <f>Assumptions!$B$18+(Assumptions!$E$13-Assumptions!$B$18)*H4/Assumptions!$B$21</f>
        <v>0.25808</v>
      </c>
      <c r="I6" s="63">
        <f>Assumptions!$B$18+(Assumptions!$E$13-Assumptions!$B$18)*I4/Assumptions!$B$21</f>
        <v>0.25986</v>
      </c>
      <c r="J6" s="63">
        <f>Assumptions!$B$18+(Assumptions!$E$13-Assumptions!$B$18)*J4/Assumptions!$B$21</f>
        <v>0.26164</v>
      </c>
      <c r="K6" s="63">
        <f>Assumptions!$B$18+(Assumptions!$E$13-Assumptions!$B$18)*K4/Assumptions!$B$21</f>
        <v>0.26342</v>
      </c>
      <c r="L6" s="63">
        <f>Assumptions!$B$18+(Assumptions!$E$13-Assumptions!$B$18)*L4/Assumptions!$B$21</f>
        <v>0.2652</v>
      </c>
    </row>
    <row r="7">
      <c r="A7" s="14" t="inlineStr">
        <is>
          <t>Revenue</t>
        </is>
      </c>
      <c r="B7" s="55">
        <f>'Yearly Model'!S2</f>
        <v>14342.9</v>
      </c>
      <c r="C7" s="55">
        <f>'Yearly Model'!T2</f>
        <v>15529.05783</v>
      </c>
      <c r="D7" s="55">
        <f>'Yearly Model'!U2</f>
        <v>16713.752397342</v>
      </c>
      <c r="E7" s="55">
        <f>'Yearly Model'!V2</f>
        <v>17881.67227319626</v>
      </c>
      <c r="F7" s="55">
        <f>'Yearly Model'!W2</f>
        <v>19016.562406801786</v>
      </c>
      <c r="G7" s="55">
        <f>'Yearly Model'!X2</f>
        <v>20101.562939678755</v>
      </c>
      <c r="H7" s="55">
        <f>'Yearly Model'!Y2</f>
        <v>21119.59542722382</v>
      </c>
      <c r="I7" s="55">
        <f>'Yearly Model'!Z2</f>
        <v>22053.785531621354</v>
      </c>
      <c r="J7" s="55">
        <f>'Yearly Model'!AA2</f>
        <v>22887.908708839564</v>
      </c>
      <c r="K7" s="55">
        <f>'Yearly Model'!AB2</f>
        <v>23606.84335239389</v>
      </c>
      <c r="L7" s="55">
        <f>'Yearly Model'!AC2</f>
        <v>24197.014436203735</v>
      </c>
    </row>
    <row r="8">
      <c r="A8" s="14" t="inlineStr">
        <is>
          <t>Operating income</t>
        </is>
      </c>
      <c r="B8" s="55">
        <f>'Yearly Model'!S8</f>
        <v>3577.8999999999996</v>
      </c>
      <c r="C8" s="55">
        <f>'Yearly Model'!T8</f>
        <v>3869.5306300794</v>
      </c>
      <c r="D8" s="55">
        <f>'Yearly Model'!U8</f>
        <v>4194.483301636948</v>
      </c>
      <c r="E8" s="55">
        <f>'Yearly Model'!V8</f>
        <v>4519.413850327623</v>
      </c>
      <c r="F8" s="55">
        <f>'Yearly Model'!W8</f>
        <v>4840.095463779191</v>
      </c>
      <c r="G8" s="55">
        <f>'Yearly Model'!X8</f>
        <v>5152.030581439663</v>
      </c>
      <c r="H8" s="55">
        <f>'Yearly Model'!Y8</f>
        <v>5450.545187857922</v>
      </c>
      <c r="I8" s="55">
        <f>'Yearly Model'!Z8</f>
        <v>5730.8967082471245</v>
      </c>
      <c r="J8" s="55">
        <f>'Yearly Model'!AA8</f>
        <v>5988.392434580783</v>
      </c>
      <c r="K8" s="55">
        <f>'Yearly Model'!AB8</f>
        <v>6218.514675887598</v>
      </c>
      <c r="L8" s="55">
        <f>'Yearly Model'!AC8</f>
        <v>6417.0482284812315</v>
      </c>
    </row>
    <row r="9">
      <c r="A9" s="14" t="inlineStr">
        <is>
          <t>Tax on operating income</t>
        </is>
      </c>
      <c r="C9" s="52">
        <f>MAX(0,C8)*Assumptions!$E$14</f>
        <v>657.8202071134981</v>
      </c>
      <c r="D9" s="52">
        <f>MAX(0,D8)*Assumptions!$E$14</f>
        <v>713.0621612782813</v>
      </c>
      <c r="E9" s="52">
        <f>MAX(0,E8)*Assumptions!$E$14</f>
        <v>768.3003545556959</v>
      </c>
      <c r="F9" s="52">
        <f>MAX(0,F8)*Assumptions!$E$14</f>
        <v>822.8162288424626</v>
      </c>
      <c r="G9" s="52">
        <f>MAX(0,G8)*Assumptions!$E$14</f>
        <v>875.8451988447429</v>
      </c>
      <c r="H9" s="52">
        <f>MAX(0,H8)*Assumptions!$E$14</f>
        <v>926.5926819358468</v>
      </c>
      <c r="I9" s="52">
        <f>MAX(0,I8)*Assumptions!$E$14</f>
        <v>974.2524404020112</v>
      </c>
      <c r="J9" s="52">
        <f>MAX(0,J8)*Assumptions!$E$14</f>
        <v>1018.0267138787332</v>
      </c>
      <c r="K9" s="52">
        <f>MAX(0,K8)*Assumptions!$E$14</f>
        <v>1057.1474949008918</v>
      </c>
      <c r="L9" s="52">
        <f>MAX(0,L8)*Assumptions!$E$14</f>
        <v>1090.8981988418095</v>
      </c>
    </row>
    <row r="10">
      <c r="A10" s="14" t="inlineStr">
        <is>
          <t>NOPAT</t>
        </is>
      </c>
      <c r="C10" s="52">
        <f>C8-C9</f>
        <v>3211.7104229659017</v>
      </c>
      <c r="D10" s="52">
        <f>D8-D9</f>
        <v>3481.421140358667</v>
      </c>
      <c r="E10" s="52">
        <f>E8-E9</f>
        <v>3751.113495771927</v>
      </c>
      <c r="F10" s="52">
        <f>F8-F9</f>
        <v>4017.2792349367282</v>
      </c>
      <c r="G10" s="52">
        <f>G8-G9</f>
        <v>4276.18538259492</v>
      </c>
      <c r="H10" s="52">
        <f>H8-H9</f>
        <v>4523.952505922076</v>
      </c>
      <c r="I10" s="52">
        <f>I8-I9</f>
        <v>4756.644267845113</v>
      </c>
      <c r="J10" s="52">
        <f>J8-J9</f>
        <v>4970.36572070205</v>
      </c>
      <c r="K10" s="52">
        <f>K8-K9</f>
        <v>5161.367180986706</v>
      </c>
      <c r="L10" s="52">
        <f>L8-L9</f>
        <v>5326.150029639422</v>
      </c>
    </row>
    <row r="11">
      <c r="A11" s="14" t="inlineStr">
        <is>
          <t>Reinvestment</t>
        </is>
      </c>
      <c r="C11" s="52">
        <f>(C7-B7)*Assumptions!$E$15</f>
        <v>296.5394575</v>
      </c>
      <c r="D11" s="52">
        <f>(D7-C7)*Assumptions!$E$15</f>
        <v>296.1736418354999</v>
      </c>
      <c r="E11" s="52">
        <f>(E7-D7)*Assumptions!$E$15</f>
        <v>291.9799689635656</v>
      </c>
      <c r="F11" s="52">
        <f>(F7-E7)*Assumptions!$E$15</f>
        <v>283.72253340138104</v>
      </c>
      <c r="G11" s="52">
        <f>(G7-F7)*Assumptions!$E$15</f>
        <v>271.25013321924234</v>
      </c>
      <c r="H11" s="52">
        <f>(H7-G7)*Assumptions!$E$15</f>
        <v>254.50812188626605</v>
      </c>
      <c r="I11" s="52">
        <f>(I7-H7)*Assumptions!$E$15</f>
        <v>233.5475260993835</v>
      </c>
      <c r="J11" s="52">
        <f>(J7-I7)*Assumptions!$E$15</f>
        <v>208.53079430455273</v>
      </c>
      <c r="K11" s="52">
        <f>(K7-J7)*Assumptions!$E$15</f>
        <v>179.73366088858165</v>
      </c>
      <c r="L11" s="52">
        <f>(L7-K7)*Assumptions!$E$15</f>
        <v>147.54277095246107</v>
      </c>
    </row>
    <row r="12">
      <c r="A12" s="20" t="inlineStr">
        <is>
          <t>Free cash flow</t>
        </is>
      </c>
      <c r="C12" s="64">
        <f>C10-C11</f>
        <v>2915.1709654659016</v>
      </c>
      <c r="D12" s="64">
        <f>D10-D11</f>
        <v>3185.247498523167</v>
      </c>
      <c r="E12" s="64">
        <f>E10-E11</f>
        <v>3459.1335268083612</v>
      </c>
      <c r="F12" s="64">
        <f>F10-F11</f>
        <v>3733.556701535347</v>
      </c>
      <c r="G12" s="64">
        <f>G10-G11</f>
        <v>4004.935249375678</v>
      </c>
      <c r="H12" s="64">
        <f>H10-H11</f>
        <v>4269.44438403581</v>
      </c>
      <c r="I12" s="64">
        <f>I10-I11</f>
        <v>4523.09674174573</v>
      </c>
      <c r="J12" s="64">
        <f>J10-J11</f>
        <v>4761.834926397497</v>
      </c>
      <c r="K12" s="64">
        <f>K10-K11</f>
        <v>4981.633520098125</v>
      </c>
      <c r="L12" s="64">
        <f>L10-L11</f>
        <v>5178.607258686961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0.9796477254942977</v>
      </c>
      <c r="D15" s="65">
        <f>1/(1+Assumptions!$E$10)^D14</f>
        <v>0.9213507631196715</v>
      </c>
      <c r="E15" s="65">
        <f>1/(1+Assumptions!$E$10)^E14</f>
        <v>0.849171210248545</v>
      </c>
      <c r="F15" s="65">
        <f>1/(1+Assumptions!$E$10)^F14</f>
        <v>0.7826462767267697</v>
      </c>
      <c r="G15" s="65">
        <f>1/(1+Assumptions!$E$10)^G14</f>
        <v>0.7213329739417232</v>
      </c>
      <c r="H15" s="65">
        <f>1/(1+Assumptions!$E$10)^H14</f>
        <v>0.6648230174578095</v>
      </c>
      <c r="I15" s="65">
        <f>1/(1+Assumptions!$E$10)^I14</f>
        <v>0.6127401082560456</v>
      </c>
      <c r="J15" s="65">
        <f>1/(1+Assumptions!$E$10)^J14</f>
        <v>0.5647374269640973</v>
      </c>
      <c r="K15" s="65">
        <f>1/(1+Assumptions!$E$10)^K14</f>
        <v>0.5204953243908731</v>
      </c>
      <c r="L15" s="65">
        <f>1/(1+Assumptions!$E$10)^L14</f>
        <v>0.47971919298697985</v>
      </c>
    </row>
    <row r="16">
      <c r="A16" s="20" t="inlineStr">
        <is>
          <t>PV of free cash flow</t>
        </is>
      </c>
      <c r="C16" s="64">
        <f>C12*C13*C15</f>
        <v>1439.6292493564006</v>
      </c>
      <c r="D16" s="64">
        <f>D12*D13*D15</f>
        <v>2934.7302134893444</v>
      </c>
      <c r="E16" s="64">
        <f>E12*E13*E15</f>
        <v>2937.396603371174</v>
      </c>
      <c r="F16" s="64">
        <f>F12*F13*F15</f>
        <v>2922.054251404919</v>
      </c>
      <c r="G16" s="64">
        <f>G12*G13*G15</f>
        <v>2888.8918538761945</v>
      </c>
      <c r="H16" s="64">
        <f>H12*H13*H15</f>
        <v>2838.424898262986</v>
      </c>
      <c r="I16" s="64">
        <f>I12*I13*I15</f>
        <v>2771.4827871898456</v>
      </c>
      <c r="J16" s="64">
        <f>J12*J13*J15</f>
        <v>2689.1864039614943</v>
      </c>
      <c r="K16" s="64">
        <f>K12*K13*K15</f>
        <v>2592.9169550399206</v>
      </c>
      <c r="L16" s="64">
        <f>L12*L13*L15</f>
        <v>2484.277294933825</v>
      </c>
    </row>
    <row r="19">
      <c r="A19" s="14" t="inlineStr">
        <is>
          <t>PV of forecast free cash flow</t>
        </is>
      </c>
      <c r="B19" s="52">
        <f>SUM(C16:L16)</f>
        <v>26498.990510886102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5308.072440154134</v>
      </c>
    </row>
    <row r="21">
      <c r="A21" s="14" t="inlineStr">
        <is>
          <t>Terminal value</t>
        </is>
      </c>
      <c r="B21" s="52">
        <f>B20/(Assumptions!$E$10-Assumptions!$E$11)</f>
        <v>88467.87400256889</v>
      </c>
    </row>
    <row r="22">
      <c r="A22" s="14" t="inlineStr">
        <is>
          <t>PV of terminal value</t>
        </is>
      </c>
      <c r="B22" s="52">
        <f>B21/(1+Assumptions!$E$10)^(L14+0.5)</f>
        <v>40743.45144822237</v>
      </c>
    </row>
    <row r="23">
      <c r="A23" s="20" t="inlineStr">
        <is>
          <t>Enterprise value</t>
        </is>
      </c>
      <c r="B23" s="66">
        <f>B19+B22</f>
        <v>67242.44195910847</v>
      </c>
    </row>
    <row r="24">
      <c r="A24" s="14" t="inlineStr">
        <is>
          <t>Cash &amp; investments</t>
        </is>
      </c>
      <c r="B24" s="55">
        <f>Main!C7</f>
        <v>7994.6</v>
      </c>
    </row>
    <row r="25">
      <c r="A25" s="14" t="inlineStr">
        <is>
          <t>Debt</t>
        </is>
      </c>
      <c r="B25" s="55">
        <f>Main!C8</f>
        <v>1986.6</v>
      </c>
    </row>
    <row r="26">
      <c r="A26" s="20" t="inlineStr">
        <is>
          <t>Equity value</t>
        </is>
      </c>
      <c r="B26" s="66">
        <f>B23+B24-B25</f>
        <v>73250.44195910847</v>
      </c>
    </row>
    <row r="27">
      <c r="A27" s="14" t="inlineStr">
        <is>
          <t>Shares (mm)</t>
        </is>
      </c>
      <c r="B27" s="55">
        <f>Main!C4</f>
        <v>102.954988</v>
      </c>
    </row>
    <row r="28">
      <c r="A28" s="20" t="inlineStr">
        <is>
          <t>NPV / share</t>
        </is>
      </c>
      <c r="B28" s="49">
        <f>B26/B27</f>
        <v>711.4802631914101</v>
      </c>
    </row>
    <row r="29">
      <c r="A29" s="14" t="inlineStr">
        <is>
          <t>Price</t>
        </is>
      </c>
      <c r="B29" s="50">
        <f>Main!C3</f>
        <v>807.48</v>
      </c>
    </row>
    <row r="30">
      <c r="A30" s="14" t="inlineStr">
        <is>
          <t>Upside</t>
        </is>
      </c>
      <c r="B30" s="63">
        <f>B28/B29-1</f>
        <v>-0.11888806757887482</v>
      </c>
    </row>
    <row r="31">
      <c r="A31" s="14" t="inlineStr">
        <is>
          <t>Terminal value, % of EV</t>
        </is>
      </c>
      <c r="B31" s="63">
        <f>IFERROR(B22/B23,0)</f>
        <v>0.6059186766744626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2026-10-21T06:21:05Z</dcterms:modified>
  <cp:lastModifiedBy>Wang, Eric</cp:lastModifiedBy>
</cp:coreProperties>
</file>