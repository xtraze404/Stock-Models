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Creative Medical Technology Holdings Inc</t>
        </is>
      </c>
      <c r="C2" s="10" t="n"/>
    </row>
    <row r="3">
      <c r="B3" t="inlineStr">
        <is>
          <t>Price</t>
        </is>
      </c>
      <c r="C3" s="11">
        <f>INDEX([1]Pharma!$F$1:$F$1000,MATCH("CELZ",[1]Pharma!$B$1:$B$1000,0))</f>
        <v>0.7547</v>
      </c>
      <c r="F3" s="1" t="n"/>
    </row>
    <row r="4">
      <c r="B4" t="inlineStr">
        <is>
          <t>Shares</t>
        </is>
      </c>
      <c r="C4" s="21" t="n">
        <v>6.592557</v>
      </c>
      <c r="F4" s="1" t="n"/>
    </row>
    <row r="5">
      <c r="B5" t="inlineStr">
        <is>
          <t>Market Cap.</t>
        </is>
      </c>
      <c r="C5" s="13">
        <f>C3*C4</f>
        <v>4.9754027679</v>
      </c>
      <c r="F5" s="1" t="n"/>
    </row>
    <row r="6"/>
    <row r="7">
      <c r="B7" t="inlineStr">
        <is>
          <t>Cash</t>
        </is>
      </c>
      <c r="C7" s="21" t="n">
        <v>8.714115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-3.7387122320999993</v>
      </c>
    </row>
    <row r="10"/>
    <row r="11">
      <c r="B11" s="14" t="inlineStr">
        <is>
          <t>Net Cash / Share</t>
        </is>
      </c>
      <c r="C11" s="11">
        <f>(C7-C8)/C4</f>
        <v>1.3218110969688999</v>
      </c>
    </row>
    <row r="12">
      <c r="B12" s="14" t="inlineStr">
        <is>
          <t>Upside</t>
        </is>
      </c>
      <c r="C12" s="15">
        <f>IFERROR(C11/C3-1,"")</f>
        <v>0.7514391108637866</v>
      </c>
    </row>
    <row r="13">
      <c r="B13" s="14" t="inlineStr">
        <is>
          <t>Cash / Share</t>
        </is>
      </c>
      <c r="C13" s="11">
        <f>IFERROR((C7-C8)/C4,"")</f>
        <v>1.3218110969688999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-5.902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1.4764681463910538</v>
      </c>
    </row>
    <row r="19">
      <c r="B19" s="14" t="inlineStr">
        <is>
          <t>Implied Pipeline Value</t>
        </is>
      </c>
      <c r="C19" s="13">
        <f>C9</f>
        <v>-3.7387122320999993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2010</v>
      </c>
      <c r="C1" s="17" t="n">
        <v>2011</v>
      </c>
      <c r="D1" s="17" t="n">
        <v>2012</v>
      </c>
      <c r="E1" s="17" t="n">
        <v>2013</v>
      </c>
      <c r="F1" s="17" t="n">
        <v>2014</v>
      </c>
      <c r="G1" s="17" t="n">
        <v>2015</v>
      </c>
      <c r="H1" s="17" t="n">
        <v>2016</v>
      </c>
      <c r="I1" s="17" t="n">
        <v>2017</v>
      </c>
      <c r="J1" s="17" t="n">
        <v>2018</v>
      </c>
      <c r="K1" s="17" t="n">
        <v>2019</v>
      </c>
      <c r="L1" s="17" t="n">
        <v>2020</v>
      </c>
      <c r="M1" s="17" t="n">
        <v>2021</v>
      </c>
      <c r="N1" s="17" t="n">
        <v>2022</v>
      </c>
      <c r="O1" s="17" t="n">
        <v>2023</v>
      </c>
      <c r="P1" s="17" t="n">
        <v>2024</v>
      </c>
      <c r="Q1" s="17" t="n">
        <v>2025</v>
      </c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23" t="n">
        <v>0.005</v>
      </c>
      <c r="J2" s="23" t="n">
        <v>0.124</v>
      </c>
      <c r="K2" s="23" t="n">
        <v>0.166</v>
      </c>
      <c r="L2" s="23" t="n">
        <v>0.165</v>
      </c>
      <c r="M2" s="23" t="n">
        <v>0.08799999999999999</v>
      </c>
      <c r="N2" s="23" t="n">
        <v>0.089</v>
      </c>
      <c r="O2" s="23" t="n">
        <v>0.008999999999999999</v>
      </c>
      <c r="P2" s="23" t="n">
        <v>0.011</v>
      </c>
      <c r="Q2" s="23" t="n">
        <v>0.006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0.008</v>
      </c>
      <c r="J3" s="23" t="n">
        <v>0.07000000000000001</v>
      </c>
      <c r="K3" s="23" t="n">
        <v>0.045</v>
      </c>
      <c r="L3" s="23" t="n">
        <v>0.051</v>
      </c>
      <c r="M3" s="23" t="n">
        <v>0.048</v>
      </c>
      <c r="N3" s="23" t="n">
        <v>0.028</v>
      </c>
      <c r="O3" s="23" t="n">
        <v>0.004</v>
      </c>
      <c r="P3" s="23" t="n">
        <v>0.004</v>
      </c>
      <c r="Q3" s="23" t="n">
        <v>0.002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0.0</v>
      </c>
      <c r="I4" s="23">
        <f>I2-I3</f>
        <v>-0.003</v>
      </c>
      <c r="J4" s="23">
        <f>J2-J3</f>
        <v>0.05399999999999999</v>
      </c>
      <c r="K4" s="23">
        <f>K2-K3</f>
        <v>0.12100000000000001</v>
      </c>
      <c r="L4" s="23">
        <f>L2-L3</f>
        <v>0.11400000000000002</v>
      </c>
      <c r="M4" s="23">
        <f>M2-M3</f>
        <v>0.039999999999999994</v>
      </c>
      <c r="N4" s="23">
        <f>N2-N3</f>
        <v>0.061</v>
      </c>
      <c r="O4" s="23">
        <f>O2-O3</f>
        <v>0.004999999999999999</v>
      </c>
      <c r="P4" s="23">
        <f>P2-P3</f>
        <v>0.006999999999999999</v>
      </c>
      <c r="Q4" s="23">
        <f>Q2-Q3</f>
        <v>0.004</v>
      </c>
    </row>
    <row r="5">
      <c r="A5" s="2" t="inlineStr">
        <is>
          <t>Research &amp; Dev.</t>
        </is>
      </c>
      <c r="B5" s="23" t="n">
        <v>0</v>
      </c>
      <c r="C5" s="23" t="n">
        <v>0</v>
      </c>
      <c r="D5" s="23" t="n">
        <v>0</v>
      </c>
      <c r="E5" s="23" t="n">
        <v>0</v>
      </c>
      <c r="F5" s="23" t="n">
        <v>0</v>
      </c>
      <c r="G5" s="23" t="n">
        <v>0</v>
      </c>
      <c r="H5" s="23" t="n">
        <v>0.08500000000000001</v>
      </c>
      <c r="I5" s="23" t="n">
        <v>0.26</v>
      </c>
      <c r="J5" s="23" t="n">
        <v>0.097</v>
      </c>
      <c r="K5" s="23" t="n">
        <v>0</v>
      </c>
      <c r="L5" s="23" t="n">
        <v>0</v>
      </c>
      <c r="M5" s="23" t="n">
        <v>0.109</v>
      </c>
      <c r="N5" s="23" t="n">
        <v>6.269</v>
      </c>
      <c r="O5" s="23" t="n">
        <v>1.971</v>
      </c>
      <c r="P5" s="23" t="n">
        <v>2.401</v>
      </c>
      <c r="Q5" s="23" t="n">
        <v>2.26</v>
      </c>
    </row>
    <row r="6">
      <c r="A6" s="19" t="inlineStr">
        <is>
          <t>SG&amp;A &amp; Other</t>
        </is>
      </c>
      <c r="B6" s="23" t="n">
        <v>0.014</v>
      </c>
      <c r="C6" s="23" t="n">
        <v>0.02</v>
      </c>
      <c r="D6" s="23" t="n">
        <v>0.02</v>
      </c>
      <c r="E6" s="23" t="n">
        <v>0.02</v>
      </c>
      <c r="F6" s="23" t="n">
        <v>0.019</v>
      </c>
      <c r="G6" s="23" t="n">
        <v>0.021</v>
      </c>
      <c r="H6" s="23" t="n">
        <v>0.674</v>
      </c>
      <c r="I6" s="23" t="n">
        <v>0.915</v>
      </c>
      <c r="J6" s="23" t="n">
        <v>1.072</v>
      </c>
      <c r="K6" s="23" t="n">
        <v>1.25</v>
      </c>
      <c r="L6" s="23" t="n">
        <v>1.229</v>
      </c>
      <c r="M6" s="23" t="n">
        <v>3.057</v>
      </c>
      <c r="N6" s="23" t="n">
        <v>4.036</v>
      </c>
      <c r="O6" s="23" t="n">
        <v>3.655</v>
      </c>
      <c r="P6" s="23" t="n">
        <v>3.35</v>
      </c>
      <c r="Q6" s="23" t="n">
        <v>3.887</v>
      </c>
    </row>
    <row r="7">
      <c r="A7" s="2" t="inlineStr">
        <is>
          <t>Operating Expense</t>
        </is>
      </c>
      <c r="B7" s="23">
        <f>SUM(B5:B6)</f>
        <v>0.014</v>
      </c>
      <c r="C7" s="23">
        <f>SUM(C5:C6)</f>
        <v>0.02</v>
      </c>
      <c r="D7" s="23">
        <f>SUM(D5:D6)</f>
        <v>0.02</v>
      </c>
      <c r="E7" s="23">
        <f>SUM(E5:E6)</f>
        <v>0.02</v>
      </c>
      <c r="F7" s="23">
        <f>SUM(F5:F6)</f>
        <v>0.019</v>
      </c>
      <c r="G7" s="23">
        <f>SUM(G5:G6)</f>
        <v>0.021</v>
      </c>
      <c r="H7" s="23">
        <f>SUM(H5:H6)</f>
        <v>0.759</v>
      </c>
      <c r="I7" s="23">
        <f>SUM(I5:I6)</f>
        <v>1.175</v>
      </c>
      <c r="J7" s="23">
        <f>SUM(J5:J6)</f>
        <v>1.169</v>
      </c>
      <c r="K7" s="23">
        <f>SUM(K5:K6)</f>
        <v>1.25</v>
      </c>
      <c r="L7" s="23">
        <f>SUM(L5:L6)</f>
        <v>1.229</v>
      </c>
      <c r="M7" s="23">
        <f>SUM(M5:M6)</f>
        <v>3.166</v>
      </c>
      <c r="N7" s="23">
        <f>SUM(N5:N6)</f>
        <v>10.305</v>
      </c>
      <c r="O7" s="23">
        <f>SUM(O5:O6)</f>
        <v>5.6259999999999994</v>
      </c>
      <c r="P7" s="23">
        <f>SUM(P5:P6)</f>
        <v>5.7509999999999994</v>
      </c>
      <c r="Q7" s="23">
        <f>SUM(Q5:Q6)</f>
        <v>6.147</v>
      </c>
    </row>
    <row r="8">
      <c r="A8" s="2" t="inlineStr">
        <is>
          <t>Operating Income</t>
        </is>
      </c>
      <c r="B8" s="23">
        <f>B4-B7</f>
        <v>-0.014</v>
      </c>
      <c r="C8" s="23">
        <f>C4-C7</f>
        <v>-0.02</v>
      </c>
      <c r="D8" s="23">
        <f>D4-D7</f>
        <v>-0.02</v>
      </c>
      <c r="E8" s="23">
        <f>E4-E7</f>
        <v>-0.02</v>
      </c>
      <c r="F8" s="23">
        <f>F4-F7</f>
        <v>-0.019</v>
      </c>
      <c r="G8" s="23">
        <f>G4-G7</f>
        <v>-0.021</v>
      </c>
      <c r="H8" s="23">
        <f>H4-H7</f>
        <v>-0.759</v>
      </c>
      <c r="I8" s="23">
        <f>I4-I7</f>
        <v>-1.178</v>
      </c>
      <c r="J8" s="23">
        <f>J4-J7</f>
        <v>-1.115</v>
      </c>
      <c r="K8" s="23">
        <f>K4-K7</f>
        <v>-1.129</v>
      </c>
      <c r="L8" s="23">
        <f>L4-L7</f>
        <v>-1.115</v>
      </c>
      <c r="M8" s="23">
        <f>M4-M7</f>
        <v>-3.126</v>
      </c>
      <c r="N8" s="23">
        <f>N4-N7</f>
        <v>-10.244</v>
      </c>
      <c r="O8" s="23">
        <f>O4-O7</f>
        <v>-5.6209999999999996</v>
      </c>
      <c r="P8" s="23">
        <f>P4-P7</f>
        <v>-5.744</v>
      </c>
      <c r="Q8" s="23">
        <f>Q4-Q7</f>
        <v>-6.143000000000001</v>
      </c>
    </row>
    <row r="9">
      <c r="A9" s="19" t="inlineStr">
        <is>
          <t>Interest &amp; Other</t>
        </is>
      </c>
      <c r="B9" s="23" t="n">
        <v>-0.003</v>
      </c>
      <c r="C9" s="23" t="n">
        <v>-0.004</v>
      </c>
      <c r="D9" s="23" t="n">
        <v>-0.005</v>
      </c>
      <c r="E9" s="23" t="n">
        <v>-0.007</v>
      </c>
      <c r="F9" s="23" t="n">
        <v>-0.008999999999999999</v>
      </c>
      <c r="G9" s="23" t="n">
        <v>-0.01</v>
      </c>
      <c r="H9" s="23" t="n">
        <v>-0.006</v>
      </c>
      <c r="I9" s="23" t="n">
        <v>-1.481</v>
      </c>
      <c r="J9" s="23" t="n">
        <v>-12.541</v>
      </c>
      <c r="K9" s="23" t="n">
        <v>-7.354</v>
      </c>
      <c r="L9" s="23" t="n">
        <v>-35.21</v>
      </c>
      <c r="M9" s="23" t="n">
        <v>22.338</v>
      </c>
      <c r="N9" s="23" t="n">
        <v>0.1</v>
      </c>
      <c r="O9" s="23" t="n">
        <v>0.334</v>
      </c>
      <c r="P9" s="23" t="n">
        <v>0.25</v>
      </c>
      <c r="Q9" s="23" t="n">
        <v>0.148</v>
      </c>
    </row>
    <row r="10">
      <c r="A10" s="2" t="inlineStr">
        <is>
          <t>Pretax</t>
        </is>
      </c>
      <c r="B10" s="23">
        <f>B8+B9</f>
        <v>-0.017</v>
      </c>
      <c r="C10" s="23">
        <f>C8+C9</f>
        <v>-0.024</v>
      </c>
      <c r="D10" s="23">
        <f>D8+D9</f>
        <v>-0.025</v>
      </c>
      <c r="E10" s="23">
        <f>E8+E9</f>
        <v>-0.027</v>
      </c>
      <c r="F10" s="23">
        <f>F8+F9</f>
        <v>-0.027999999999999997</v>
      </c>
      <c r="G10" s="23">
        <f>G8+G9</f>
        <v>-0.031</v>
      </c>
      <c r="H10" s="23">
        <f>H8+H9</f>
        <v>-0.765</v>
      </c>
      <c r="I10" s="23">
        <f>I8+I9</f>
        <v>-2.659</v>
      </c>
      <c r="J10" s="23">
        <f>J8+J9</f>
        <v>-13.656</v>
      </c>
      <c r="K10" s="23">
        <f>K8+K9</f>
        <v>-8.483</v>
      </c>
      <c r="L10" s="23">
        <f>L8+L9</f>
        <v>-36.325</v>
      </c>
      <c r="M10" s="23">
        <f>M8+M9</f>
        <v>19.212</v>
      </c>
      <c r="N10" s="23">
        <f>N8+N9</f>
        <v>-10.144</v>
      </c>
      <c r="O10" s="23">
        <f>O8+O9</f>
        <v>-5.287</v>
      </c>
      <c r="P10" s="23">
        <f>P8+P9</f>
        <v>-5.494</v>
      </c>
      <c r="Q10" s="23">
        <f>Q8+Q9</f>
        <v>-5.995000000000001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0</v>
      </c>
      <c r="L11" s="23" t="n">
        <v>0</v>
      </c>
      <c r="M11" s="23" t="n">
        <v>0</v>
      </c>
      <c r="N11" s="23" t="n">
        <v>0</v>
      </c>
      <c r="O11" s="23" t="n">
        <v>0</v>
      </c>
      <c r="P11" s="23" t="n">
        <v>0</v>
      </c>
      <c r="Q11" s="23" t="n">
        <v>0</v>
      </c>
    </row>
    <row r="12">
      <c r="A12" s="2" t="inlineStr">
        <is>
          <t>Net Income</t>
        </is>
      </c>
      <c r="B12" s="23" t="n">
        <v>-0.017</v>
      </c>
      <c r="C12" s="23" t="n">
        <v>-0.024</v>
      </c>
      <c r="D12" s="23" t="n">
        <v>-0.026</v>
      </c>
      <c r="E12" s="23" t="n">
        <v>-0.027</v>
      </c>
      <c r="F12" s="23" t="n">
        <v>-0.028</v>
      </c>
      <c r="G12" s="23" t="n">
        <v>-0.031</v>
      </c>
      <c r="H12" s="23" t="n">
        <v>-0.766</v>
      </c>
      <c r="I12" s="23" t="n">
        <v>-2.659</v>
      </c>
      <c r="J12" s="23" t="n">
        <v>-13.656</v>
      </c>
      <c r="K12" s="23" t="n">
        <v>-8.484</v>
      </c>
      <c r="L12" s="23" t="n">
        <v>-36.325</v>
      </c>
      <c r="M12" s="23" t="n">
        <v>19.212</v>
      </c>
      <c r="N12" s="23" t="n">
        <v>-10.144</v>
      </c>
      <c r="O12" s="23" t="n">
        <v>-5.287</v>
      </c>
      <c r="P12" s="23" t="n">
        <v>-5.493</v>
      </c>
      <c r="Q12" s="23" t="n">
        <v>-5.995</v>
      </c>
    </row>
    <row r="13">
      <c r="A13" s="2" t="inlineStr">
        <is>
          <t>Earnings per Share</t>
        </is>
      </c>
      <c r="B13" s="11">
        <f>IFERROR(B12/B14,0)</f>
        <v>0</v>
      </c>
      <c r="C13" s="11">
        <f>IFERROR(C12/C14,0)</f>
        <v>-0.1137440758293839</v>
      </c>
      <c r="D13" s="11">
        <f>IFERROR(D12/D14,0)</f>
        <v>-0.12322274881516587</v>
      </c>
      <c r="E13" s="11">
        <f>IFERROR(E12/E14,0)</f>
        <v>-0.12796208530805686</v>
      </c>
      <c r="F13" s="11">
        <f>IFERROR(F12/F14,0)</f>
        <v>-0.13270142180094788</v>
      </c>
      <c r="G13" s="11">
        <f>IFERROR(G12/G14,0)</f>
        <v>-0.14691943127962084</v>
      </c>
      <c r="H13" s="11">
        <f>IFERROR(H12/H14,0)</f>
        <v>-0.6995433789954338</v>
      </c>
      <c r="I13" s="11">
        <f>IFERROR(I12/I14,0)</f>
        <v>-2.1460855528652134</v>
      </c>
      <c r="J13" s="11">
        <f>IFERROR(J12/J14,0)</f>
        <v>-11.11147274206672</v>
      </c>
      <c r="K13" s="11">
        <f>IFERROR(K12/K14,0)</f>
        <v>-2.6072526121696376</v>
      </c>
      <c r="L13" s="11">
        <f>IFERROR(L12/L14,0)</f>
        <v>-11.159754224270355</v>
      </c>
      <c r="M13" s="11">
        <f>IFERROR(M12/M14,0)</f>
        <v>5.91320406278855</v>
      </c>
      <c r="N13" s="11">
        <f>IFERROR(N12/N14,0)</f>
        <v>-0.9279180387852177</v>
      </c>
      <c r="O13" s="11">
        <f>IFERROR(O12/O14,0)</f>
        <v>-3.7549715909090913</v>
      </c>
      <c r="P13" s="11">
        <f>IFERROR(P12/P14,0)</f>
        <v>-3.711486486486487</v>
      </c>
      <c r="Q13" s="11">
        <f>IFERROR(Q12/Q14,0)</f>
        <v>-2.5157364666386908</v>
      </c>
    </row>
    <row r="14">
      <c r="A14" s="2" t="inlineStr">
        <is>
          <t>Shares</t>
        </is>
      </c>
      <c r="B14" s="23" t="n"/>
      <c r="C14" s="23" t="n">
        <v>0.211</v>
      </c>
      <c r="D14" s="23" t="n">
        <v>0.211</v>
      </c>
      <c r="E14" s="23" t="n">
        <v>0.211</v>
      </c>
      <c r="F14" s="23" t="n">
        <v>0.211</v>
      </c>
      <c r="G14" s="23" t="n">
        <v>0.211</v>
      </c>
      <c r="H14" s="23" t="n">
        <v>1.095</v>
      </c>
      <c r="I14" s="23" t="n">
        <v>1.239</v>
      </c>
      <c r="J14" s="23" t="n">
        <v>1.229</v>
      </c>
      <c r="K14" s="23" t="n">
        <v>3.254</v>
      </c>
      <c r="L14" s="23" t="n">
        <v>3.255</v>
      </c>
      <c r="M14" s="23" t="n">
        <v>3.249</v>
      </c>
      <c r="N14" s="23" t="n">
        <v>10.932</v>
      </c>
      <c r="O14" s="23" t="n">
        <v>1.408</v>
      </c>
      <c r="P14" s="23" t="n">
        <v>1.48</v>
      </c>
      <c r="Q14" s="23" t="n">
        <v>2.383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/>
      </c>
      <c r="J16" s="15">
        <f>IFERROR(J2/I2-1,"")</f>
        <v>23.8</v>
      </c>
      <c r="K16" s="15">
        <f>IFERROR(K2/J2-1,"")</f>
        <v>0.338709677419355</v>
      </c>
      <c r="L16" s="15">
        <f>IFERROR(L2/K2-1,"")</f>
        <v>-0.0060240963855421326</v>
      </c>
      <c r="M16" s="15">
        <f>IFERROR(M2/L2-1,"")</f>
        <v>-0.4666666666666667</v>
      </c>
      <c r="N16" s="15">
        <f>IFERROR(N2/M2-1,"")</f>
        <v>0.011363636363636465</v>
      </c>
      <c r="O16" s="15">
        <f>IFERROR(O2/N2-1,"")</f>
        <v>-0.898876404494382</v>
      </c>
      <c r="P16" s="15">
        <f>IFERROR(P2/O2-1,"")</f>
        <v>0.22222222222222232</v>
      </c>
      <c r="Q16" s="15">
        <f>IFERROR(Q2/P2-1,"")</f>
        <v>-0.4545454545454545</v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15">
        <f>IFERROR(I4/I2,"")</f>
        <v>-0.6</v>
      </c>
      <c r="J17" s="15">
        <f>IFERROR(J4/J2,"")</f>
        <v>0.4354838709677419</v>
      </c>
      <c r="K17" s="15">
        <f>IFERROR(K4/K2,"")</f>
        <v>0.7289156626506025</v>
      </c>
      <c r="L17" s="15">
        <f>IFERROR(L4/L2,"")</f>
        <v>0.690909090909091</v>
      </c>
      <c r="M17" s="15">
        <f>IFERROR(M4/M2,"")</f>
        <v>0.4545454545454545</v>
      </c>
      <c r="N17" s="15">
        <f>IFERROR(N4/N2,"")</f>
        <v>0.6853932584269663</v>
      </c>
      <c r="O17" s="15">
        <f>IFERROR(O4/O2,"")</f>
        <v>0.5555555555555555</v>
      </c>
      <c r="P17" s="15">
        <f>IFERROR(P4/P2,"")</f>
        <v>0.6363636363636364</v>
      </c>
      <c r="Q17" s="15">
        <f>IFERROR(Q4/Q2,"")</f>
        <v>0.6666666666666666</v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  <c r="I18" s="15">
        <f>IFERROR(I8/I2,"")</f>
        <v>-235.6</v>
      </c>
      <c r="J18" s="15">
        <f>IFERROR(J8/J2,"")</f>
        <v>-8.991935483870968</v>
      </c>
      <c r="K18" s="15">
        <f>IFERROR(K8/K2,"")</f>
        <v>-6.801204819277108</v>
      </c>
      <c r="L18" s="15">
        <f>IFERROR(L8/L2,"")</f>
        <v>-6.757575757575757</v>
      </c>
      <c r="M18" s="15">
        <f>IFERROR(M8/M2,"")</f>
        <v>-35.52272727272727</v>
      </c>
      <c r="N18" s="15">
        <f>IFERROR(N8/N2,"")</f>
        <v>-115.10112359550563</v>
      </c>
      <c r="O18" s="15">
        <f>IFERROR(O8/O2,"")</f>
        <v>-624.5555555555555</v>
      </c>
      <c r="P18" s="15">
        <f>IFERROR(P8/P2,"")</f>
        <v>-522.1818181818182</v>
      </c>
      <c r="Q18" s="15">
        <f>IFERROR(Q8/Q2,"")</f>
        <v>-1023.8333333333334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  <c r="O19" s="20" t="inlineStr">
        <is>
          <t>A</t>
        </is>
      </c>
      <c r="P19" s="20" t="inlineStr">
        <is>
          <t>A</t>
        </is>
      </c>
      <c r="Q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2026-10-21T01:06:46Z</dcterms:modified>
  <cp:lastModifiedBy>Wang, Eric</cp:lastModifiedBy>
</cp:coreProperties>
</file>