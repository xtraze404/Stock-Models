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Creative Medical Technology Holdings Inc</t>
        </is>
      </c>
      <c r="C2" s="10" t="n"/>
    </row>
    <row r="3">
      <c r="B3" t="inlineStr">
        <is>
          <t>Price</t>
        </is>
      </c>
      <c r="C3" s="11">
        <f>INDEX([1]Pharma!$F$1:$F$1000,MATCH("CELZ",[1]Pharma!$B$1:$B$1000,0))</f>
        <v>0.7547</v>
      </c>
      <c r="F3" s="1" t="n"/>
    </row>
    <row r="4">
      <c r="B4" t="inlineStr">
        <is>
          <t>Shares</t>
        </is>
      </c>
      <c r="C4" s="21" t="n">
        <v>6.592557</v>
      </c>
      <c r="F4" s="1" t="n"/>
    </row>
    <row r="5">
      <c r="B5" t="inlineStr">
        <is>
          <t>Market Cap.</t>
        </is>
      </c>
      <c r="C5" s="13">
        <f>C3*C4</f>
        <v>4.9754027679</v>
      </c>
      <c r="F5" s="1" t="n"/>
    </row>
    <row r="6"/>
    <row r="7">
      <c r="B7" t="inlineStr">
        <is>
          <t>Cash</t>
        </is>
      </c>
      <c r="C7" s="21" t="n">
        <v>8.714115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-3.7387122320999993</v>
      </c>
    </row>
    <row r="10"/>
    <row r="11">
      <c r="B11" s="14" t="inlineStr">
        <is>
          <t>rNPV / Share</t>
        </is>
      </c>
      <c r="C11" s="11">
        <f>NPV!B27</f>
        <v>38.191328504106615</v>
      </c>
    </row>
    <row r="12">
      <c r="B12" s="14" t="inlineStr">
        <is>
          <t>Upside</t>
        </is>
      </c>
      <c r="C12" s="15">
        <f>IFERROR(C11/C3-1,"")</f>
        <v>49.60464887254089</v>
      </c>
    </row>
    <row r="13">
      <c r="B13" s="14" t="inlineStr">
        <is>
          <t>Cash / Share</t>
        </is>
      </c>
      <c r="C13" s="11">
        <f>IFERROR((C7-C8)/C4,"")</f>
        <v>1.3218110969688999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-5.902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1.4764681463910538</v>
      </c>
    </row>
    <row r="19">
      <c r="B19" s="14" t="inlineStr">
        <is>
          <t>Implied Pipeline Value</t>
        </is>
      </c>
      <c r="C19" s="13">
        <f>C9</f>
        <v>-3.7387122320999993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0.005</v>
      </c>
      <c r="J2" s="23" t="n">
        <v>0.124</v>
      </c>
      <c r="K2" s="23" t="n">
        <v>0.166</v>
      </c>
      <c r="L2" s="23" t="n">
        <v>0.165</v>
      </c>
      <c r="M2" s="23" t="n">
        <v>0.08799999999999999</v>
      </c>
      <c r="N2" s="23" t="n">
        <v>0.089</v>
      </c>
      <c r="O2" s="23" t="n">
        <v>0.008999999999999999</v>
      </c>
      <c r="P2" s="23" t="n">
        <v>0.011</v>
      </c>
      <c r="Q2" s="23" t="n">
        <v>0.006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0.008</v>
      </c>
      <c r="J3" s="23" t="n">
        <v>0.07000000000000001</v>
      </c>
      <c r="K3" s="23" t="n">
        <v>0.045</v>
      </c>
      <c r="L3" s="23" t="n">
        <v>0.051</v>
      </c>
      <c r="M3" s="23" t="n">
        <v>0.048</v>
      </c>
      <c r="N3" s="23" t="n">
        <v>0.028</v>
      </c>
      <c r="O3" s="23" t="n">
        <v>0.004</v>
      </c>
      <c r="P3" s="23" t="n">
        <v>0.004</v>
      </c>
      <c r="Q3" s="23" t="n">
        <v>0.002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-0.003</v>
      </c>
      <c r="J4" s="23">
        <f>J2-J3</f>
        <v>0.05399999999999999</v>
      </c>
      <c r="K4" s="23">
        <f>K2-K3</f>
        <v>0.12100000000000001</v>
      </c>
      <c r="L4" s="23">
        <f>L2-L3</f>
        <v>0.11400000000000002</v>
      </c>
      <c r="M4" s="23">
        <f>M2-M3</f>
        <v>0.039999999999999994</v>
      </c>
      <c r="N4" s="23">
        <f>N2-N3</f>
        <v>0.061</v>
      </c>
      <c r="O4" s="23">
        <f>O2-O3</f>
        <v>0.004999999999999999</v>
      </c>
      <c r="P4" s="23">
        <f>P2-P3</f>
        <v>0.006999999999999999</v>
      </c>
      <c r="Q4" s="23">
        <f>Q2-Q3</f>
        <v>0.004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0.08500000000000001</v>
      </c>
      <c r="I5" s="23" t="n">
        <v>0.26</v>
      </c>
      <c r="J5" s="23" t="n">
        <v>0.097</v>
      </c>
      <c r="K5" s="23" t="n">
        <v>0</v>
      </c>
      <c r="L5" s="23" t="n">
        <v>0</v>
      </c>
      <c r="M5" s="23" t="n">
        <v>0.109</v>
      </c>
      <c r="N5" s="23" t="n">
        <v>6.269</v>
      </c>
      <c r="O5" s="23" t="n">
        <v>1.971</v>
      </c>
      <c r="P5" s="23" t="n">
        <v>2.401</v>
      </c>
      <c r="Q5" s="23" t="n">
        <v>2.26</v>
      </c>
    </row>
    <row r="6">
      <c r="A6" s="19" t="inlineStr">
        <is>
          <t>SG&amp;A &amp; Other</t>
        </is>
      </c>
      <c r="B6" s="23" t="n">
        <v>0.014</v>
      </c>
      <c r="C6" s="23" t="n">
        <v>0.02</v>
      </c>
      <c r="D6" s="23" t="n">
        <v>0.02</v>
      </c>
      <c r="E6" s="23" t="n">
        <v>0.02</v>
      </c>
      <c r="F6" s="23" t="n">
        <v>0.019</v>
      </c>
      <c r="G6" s="23" t="n">
        <v>0.021</v>
      </c>
      <c r="H6" s="23" t="n">
        <v>0.674</v>
      </c>
      <c r="I6" s="23" t="n">
        <v>0.915</v>
      </c>
      <c r="J6" s="23" t="n">
        <v>1.072</v>
      </c>
      <c r="K6" s="23" t="n">
        <v>1.25</v>
      </c>
      <c r="L6" s="23" t="n">
        <v>1.229</v>
      </c>
      <c r="M6" s="23" t="n">
        <v>3.057</v>
      </c>
      <c r="N6" s="23" t="n">
        <v>4.036</v>
      </c>
      <c r="O6" s="23" t="n">
        <v>3.655</v>
      </c>
      <c r="P6" s="23" t="n">
        <v>3.35</v>
      </c>
      <c r="Q6" s="23" t="n">
        <v>3.887</v>
      </c>
    </row>
    <row r="7">
      <c r="A7" s="2" t="inlineStr">
        <is>
          <t>Operating Expense</t>
        </is>
      </c>
      <c r="B7" s="23">
        <f>SUM(B5:B6)</f>
        <v>0.014</v>
      </c>
      <c r="C7" s="23">
        <f>SUM(C5:C6)</f>
        <v>0.02</v>
      </c>
      <c r="D7" s="23">
        <f>SUM(D5:D6)</f>
        <v>0.02</v>
      </c>
      <c r="E7" s="23">
        <f>SUM(E5:E6)</f>
        <v>0.02</v>
      </c>
      <c r="F7" s="23">
        <f>SUM(F5:F6)</f>
        <v>0.019</v>
      </c>
      <c r="G7" s="23">
        <f>SUM(G5:G6)</f>
        <v>0.021</v>
      </c>
      <c r="H7" s="23">
        <f>SUM(H5:H6)</f>
        <v>0.759</v>
      </c>
      <c r="I7" s="23">
        <f>SUM(I5:I6)</f>
        <v>1.175</v>
      </c>
      <c r="J7" s="23">
        <f>SUM(J5:J6)</f>
        <v>1.169</v>
      </c>
      <c r="K7" s="23">
        <f>SUM(K5:K6)</f>
        <v>1.25</v>
      </c>
      <c r="L7" s="23">
        <f>SUM(L5:L6)</f>
        <v>1.229</v>
      </c>
      <c r="M7" s="23">
        <f>SUM(M5:M6)</f>
        <v>3.166</v>
      </c>
      <c r="N7" s="23">
        <f>SUM(N5:N6)</f>
        <v>10.305</v>
      </c>
      <c r="O7" s="23">
        <f>SUM(O5:O6)</f>
        <v>5.6259999999999994</v>
      </c>
      <c r="P7" s="23">
        <f>SUM(P5:P6)</f>
        <v>5.7509999999999994</v>
      </c>
      <c r="Q7" s="23">
        <f>SUM(Q5:Q6)</f>
        <v>6.147</v>
      </c>
    </row>
    <row r="8">
      <c r="A8" s="2" t="inlineStr">
        <is>
          <t>Operating Income</t>
        </is>
      </c>
      <c r="B8" s="23">
        <f>B4-B7</f>
        <v>-0.014</v>
      </c>
      <c r="C8" s="23">
        <f>C4-C7</f>
        <v>-0.02</v>
      </c>
      <c r="D8" s="23">
        <f>D4-D7</f>
        <v>-0.02</v>
      </c>
      <c r="E8" s="23">
        <f>E4-E7</f>
        <v>-0.02</v>
      </c>
      <c r="F8" s="23">
        <f>F4-F7</f>
        <v>-0.019</v>
      </c>
      <c r="G8" s="23">
        <f>G4-G7</f>
        <v>-0.021</v>
      </c>
      <c r="H8" s="23">
        <f>H4-H7</f>
        <v>-0.759</v>
      </c>
      <c r="I8" s="23">
        <f>I4-I7</f>
        <v>-1.178</v>
      </c>
      <c r="J8" s="23">
        <f>J4-J7</f>
        <v>-1.115</v>
      </c>
      <c r="K8" s="23">
        <f>K4-K7</f>
        <v>-1.129</v>
      </c>
      <c r="L8" s="23">
        <f>L4-L7</f>
        <v>-1.115</v>
      </c>
      <c r="M8" s="23">
        <f>M4-M7</f>
        <v>-3.126</v>
      </c>
      <c r="N8" s="23">
        <f>N4-N7</f>
        <v>-10.244</v>
      </c>
      <c r="O8" s="23">
        <f>O4-O7</f>
        <v>-5.6209999999999996</v>
      </c>
      <c r="P8" s="23">
        <f>P4-P7</f>
        <v>-5.744</v>
      </c>
      <c r="Q8" s="23">
        <f>Q4-Q7</f>
        <v>-6.143000000000001</v>
      </c>
    </row>
    <row r="9">
      <c r="A9" s="19" t="inlineStr">
        <is>
          <t>Interest &amp; Other</t>
        </is>
      </c>
      <c r="B9" s="23" t="n">
        <v>-0.003</v>
      </c>
      <c r="C9" s="23" t="n">
        <v>-0.004</v>
      </c>
      <c r="D9" s="23" t="n">
        <v>-0.005</v>
      </c>
      <c r="E9" s="23" t="n">
        <v>-0.007</v>
      </c>
      <c r="F9" s="23" t="n">
        <v>-0.008999999999999999</v>
      </c>
      <c r="G9" s="23" t="n">
        <v>-0.01</v>
      </c>
      <c r="H9" s="23" t="n">
        <v>-0.006</v>
      </c>
      <c r="I9" s="23" t="n">
        <v>-1.481</v>
      </c>
      <c r="J9" s="23" t="n">
        <v>-12.541</v>
      </c>
      <c r="K9" s="23" t="n">
        <v>-7.354</v>
      </c>
      <c r="L9" s="23" t="n">
        <v>-35.21</v>
      </c>
      <c r="M9" s="23" t="n">
        <v>22.338</v>
      </c>
      <c r="N9" s="23" t="n">
        <v>0.1</v>
      </c>
      <c r="O9" s="23" t="n">
        <v>0.334</v>
      </c>
      <c r="P9" s="23" t="n">
        <v>0.25</v>
      </c>
      <c r="Q9" s="23" t="n">
        <v>0.148</v>
      </c>
    </row>
    <row r="10">
      <c r="A10" s="2" t="inlineStr">
        <is>
          <t>Pretax</t>
        </is>
      </c>
      <c r="B10" s="23">
        <f>B8+B9</f>
        <v>-0.017</v>
      </c>
      <c r="C10" s="23">
        <f>C8+C9</f>
        <v>-0.024</v>
      </c>
      <c r="D10" s="23">
        <f>D8+D9</f>
        <v>-0.025</v>
      </c>
      <c r="E10" s="23">
        <f>E8+E9</f>
        <v>-0.027</v>
      </c>
      <c r="F10" s="23">
        <f>F8+F9</f>
        <v>-0.027999999999999997</v>
      </c>
      <c r="G10" s="23">
        <f>G8+G9</f>
        <v>-0.031</v>
      </c>
      <c r="H10" s="23">
        <f>H8+H9</f>
        <v>-0.765</v>
      </c>
      <c r="I10" s="23">
        <f>I8+I9</f>
        <v>-2.659</v>
      </c>
      <c r="J10" s="23">
        <f>J8+J9</f>
        <v>-13.656</v>
      </c>
      <c r="K10" s="23">
        <f>K8+K9</f>
        <v>-8.483</v>
      </c>
      <c r="L10" s="23">
        <f>L8+L9</f>
        <v>-36.325</v>
      </c>
      <c r="M10" s="23">
        <f>M8+M9</f>
        <v>19.212</v>
      </c>
      <c r="N10" s="23">
        <f>N8+N9</f>
        <v>-10.144</v>
      </c>
      <c r="O10" s="23">
        <f>O8+O9</f>
        <v>-5.287</v>
      </c>
      <c r="P10" s="23">
        <f>P8+P9</f>
        <v>-5.494</v>
      </c>
      <c r="Q10" s="23">
        <f>Q8+Q9</f>
        <v>-5.995000000000001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</row>
    <row r="12">
      <c r="A12" s="2" t="inlineStr">
        <is>
          <t>Net Income</t>
        </is>
      </c>
      <c r="B12" s="23" t="n">
        <v>-0.017</v>
      </c>
      <c r="C12" s="23" t="n">
        <v>-0.024</v>
      </c>
      <c r="D12" s="23" t="n">
        <v>-0.026</v>
      </c>
      <c r="E12" s="23" t="n">
        <v>-0.027</v>
      </c>
      <c r="F12" s="23" t="n">
        <v>-0.028</v>
      </c>
      <c r="G12" s="23" t="n">
        <v>-0.031</v>
      </c>
      <c r="H12" s="23" t="n">
        <v>-0.766</v>
      </c>
      <c r="I12" s="23" t="n">
        <v>-2.659</v>
      </c>
      <c r="J12" s="23" t="n">
        <v>-13.656</v>
      </c>
      <c r="K12" s="23" t="n">
        <v>-8.484</v>
      </c>
      <c r="L12" s="23" t="n">
        <v>-36.325</v>
      </c>
      <c r="M12" s="23" t="n">
        <v>19.212</v>
      </c>
      <c r="N12" s="23" t="n">
        <v>-10.144</v>
      </c>
      <c r="O12" s="23" t="n">
        <v>-5.287</v>
      </c>
      <c r="P12" s="23" t="n">
        <v>-5.493</v>
      </c>
      <c r="Q12" s="23" t="n">
        <v>-5.995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-0.1137440758293839</v>
      </c>
      <c r="D13" s="11">
        <f>IFERROR(D12/D14,0)</f>
        <v>-0.12322274881516587</v>
      </c>
      <c r="E13" s="11">
        <f>IFERROR(E12/E14,0)</f>
        <v>-0.12796208530805686</v>
      </c>
      <c r="F13" s="11">
        <f>IFERROR(F12/F14,0)</f>
        <v>-0.13270142180094788</v>
      </c>
      <c r="G13" s="11">
        <f>IFERROR(G12/G14,0)</f>
        <v>-0.14691943127962084</v>
      </c>
      <c r="H13" s="11">
        <f>IFERROR(H12/H14,0)</f>
        <v>-0.6995433789954338</v>
      </c>
      <c r="I13" s="11">
        <f>IFERROR(I12/I14,0)</f>
        <v>-2.1460855528652134</v>
      </c>
      <c r="J13" s="11">
        <f>IFERROR(J12/J14,0)</f>
        <v>-11.11147274206672</v>
      </c>
      <c r="K13" s="11">
        <f>IFERROR(K12/K14,0)</f>
        <v>-2.6072526121696376</v>
      </c>
      <c r="L13" s="11">
        <f>IFERROR(L12/L14,0)</f>
        <v>-11.159754224270355</v>
      </c>
      <c r="M13" s="11">
        <f>IFERROR(M12/M14,0)</f>
        <v>5.91320406278855</v>
      </c>
      <c r="N13" s="11">
        <f>IFERROR(N12/N14,0)</f>
        <v>-0.9279180387852177</v>
      </c>
      <c r="O13" s="11">
        <f>IFERROR(O12/O14,0)</f>
        <v>-3.7549715909090913</v>
      </c>
      <c r="P13" s="11">
        <f>IFERROR(P12/P14,0)</f>
        <v>-3.711486486486487</v>
      </c>
      <c r="Q13" s="11">
        <f>IFERROR(Q12/Q14,0)</f>
        <v>-2.5157364666386908</v>
      </c>
    </row>
    <row r="14">
      <c r="A14" s="2" t="inlineStr">
        <is>
          <t>Shares</t>
        </is>
      </c>
      <c r="B14" s="23" t="n"/>
      <c r="C14" s="23" t="n">
        <v>0.211</v>
      </c>
      <c r="D14" s="23" t="n">
        <v>0.211</v>
      </c>
      <c r="E14" s="23" t="n">
        <v>0.211</v>
      </c>
      <c r="F14" s="23" t="n">
        <v>0.211</v>
      </c>
      <c r="G14" s="23" t="n">
        <v>0.211</v>
      </c>
      <c r="H14" s="23" t="n">
        <v>1.095</v>
      </c>
      <c r="I14" s="23" t="n">
        <v>1.239</v>
      </c>
      <c r="J14" s="23" t="n">
        <v>1.229</v>
      </c>
      <c r="K14" s="23" t="n">
        <v>3.254</v>
      </c>
      <c r="L14" s="23" t="n">
        <v>3.255</v>
      </c>
      <c r="M14" s="23" t="n">
        <v>3.249</v>
      </c>
      <c r="N14" s="23" t="n">
        <v>10.932</v>
      </c>
      <c r="O14" s="23" t="n">
        <v>1.408</v>
      </c>
      <c r="P14" s="23" t="n">
        <v>1.48</v>
      </c>
      <c r="Q14" s="23" t="n">
        <v>2.383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>23.8</v>
      </c>
      <c r="K16" s="15">
        <f>IFERROR(K2/J2-1,"")</f>
        <v>0.338709677419355</v>
      </c>
      <c r="L16" s="15">
        <f>IFERROR(L2/K2-1,"")</f>
        <v>-0.0060240963855421326</v>
      </c>
      <c r="M16" s="15">
        <f>IFERROR(M2/L2-1,"")</f>
        <v>-0.4666666666666667</v>
      </c>
      <c r="N16" s="15">
        <f>IFERROR(N2/M2-1,"")</f>
        <v>0.011363636363636465</v>
      </c>
      <c r="O16" s="15">
        <f>IFERROR(O2/N2-1,"")</f>
        <v>-0.898876404494382</v>
      </c>
      <c r="P16" s="15">
        <f>IFERROR(P2/O2-1,"")</f>
        <v>0.22222222222222232</v>
      </c>
      <c r="Q16" s="15">
        <f>IFERROR(Q2/P2-1,"")</f>
        <v>-0.4545454545454545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>-0.6</v>
      </c>
      <c r="J17" s="15">
        <f>IFERROR(J4/J2,"")</f>
        <v>0.4354838709677419</v>
      </c>
      <c r="K17" s="15">
        <f>IFERROR(K4/K2,"")</f>
        <v>0.7289156626506025</v>
      </c>
      <c r="L17" s="15">
        <f>IFERROR(L4/L2,"")</f>
        <v>0.690909090909091</v>
      </c>
      <c r="M17" s="15">
        <f>IFERROR(M4/M2,"")</f>
        <v>0.4545454545454545</v>
      </c>
      <c r="N17" s="15">
        <f>IFERROR(N4/N2,"")</f>
        <v>0.6853932584269663</v>
      </c>
      <c r="O17" s="15">
        <f>IFERROR(O4/O2,"")</f>
        <v>0.5555555555555555</v>
      </c>
      <c r="P17" s="15">
        <f>IFERROR(P4/P2,"")</f>
        <v>0.6363636363636364</v>
      </c>
      <c r="Q17" s="15">
        <f>IFERROR(Q4/Q2,"")</f>
        <v>0.6666666666666666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>-235.6</v>
      </c>
      <c r="J18" s="15">
        <f>IFERROR(J8/J2,"")</f>
        <v>-8.991935483870968</v>
      </c>
      <c r="K18" s="15">
        <f>IFERROR(K8/K2,"")</f>
        <v>-6.801204819277108</v>
      </c>
      <c r="L18" s="15">
        <f>IFERROR(L8/L2,"")</f>
        <v>-6.757575757575757</v>
      </c>
      <c r="M18" s="15">
        <f>IFERROR(M8/M2,"")</f>
        <v>-35.52272727272727</v>
      </c>
      <c r="N18" s="15">
        <f>IFERROR(N8/N2,"")</f>
        <v>-115.10112359550563</v>
      </c>
      <c r="O18" s="15">
        <f>IFERROR(O8/O2,"")</f>
        <v>-624.5555555555555</v>
      </c>
      <c r="P18" s="15">
        <f>IFERROR(P8/P2,"")</f>
        <v>-522.1818181818182</v>
      </c>
      <c r="Q18" s="15">
        <f>IFERROR(Q8/Q2,"")</f>
        <v>-1023.8333333333334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Creative Medical Technology Holdings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0.16414724000000003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6.24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89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243.0643950690476</v>
      </c>
      <c r="C29" s="42">
        <f>NPV!B25</f>
        <v>251.7785100690476</v>
      </c>
      <c r="D29" s="43">
        <f>NPV!B27</f>
        <v>38.191328504106615</v>
      </c>
      <c r="E29" s="44">
        <f>NPV!B29</f>
        <v>49.60464887254089</v>
      </c>
    </row>
    <row r="30">
      <c r="A30" s="45" t="n">
        <v>1</v>
      </c>
      <c r="B30" s="46">
        <f t="dataTable" ref="B30:E32" r1="B4"/>
        <v>87.11022249526594</v>
      </c>
      <c r="C30" s="46">
        <v>95.82433749526595</v>
      </c>
      <c r="D30" s="47">
        <v>14.535230790612193</v>
      </c>
      <c r="E30" s="48">
        <v>18.25961413887928</v>
      </c>
    </row>
    <row r="31">
      <c r="A31" s="45" t="n">
        <v>2</v>
      </c>
      <c r="B31" s="46">
        <v>243.0643950690476</v>
      </c>
      <c r="C31" s="46">
        <v>251.7785100690476</v>
      </c>
      <c r="D31" s="47">
        <v>38.191328504106615</v>
      </c>
      <c r="E31" s="48">
        <v>49.60464887254089</v>
      </c>
    </row>
    <row r="32">
      <c r="A32" s="45" t="n">
        <v>3</v>
      </c>
      <c r="B32" s="46">
        <v>499.08144136226656</v>
      </c>
      <c r="C32" s="46">
        <v>507.79555636226655</v>
      </c>
      <c r="D32" s="47">
        <v>77.02558451330289</v>
      </c>
      <c r="E32" s="48">
        <v>101.0611958570331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38.191328504106615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11.220532693912437</v>
      </c>
      <c r="C37" s="47">
        <v>17.057871030101154</v>
      </c>
      <c r="D37" s="47">
        <v>22.86499502537082</v>
      </c>
      <c r="E37" s="47">
        <v>34.41662160689384</v>
      </c>
      <c r="F37" s="47">
        <v>45.952870480173644</v>
      </c>
    </row>
    <row r="38">
      <c r="A38" s="50" t="n">
        <v>0.8</v>
      </c>
      <c r="B38" s="47">
        <v>15.084366531633705</v>
      </c>
      <c r="C38" s="47">
        <v>22.8271985253266</v>
      </c>
      <c r="D38" s="47">
        <v>30.5305431108082</v>
      </c>
      <c r="E38" s="47">
        <v>45.91593525152635</v>
      </c>
      <c r="F38" s="47">
        <v>61.25476542485149</v>
      </c>
    </row>
    <row r="39">
      <c r="A39" s="50" t="n">
        <v>1</v>
      </c>
      <c r="B39" s="47">
        <v>18.918675601675663</v>
      </c>
      <c r="C39" s="47">
        <v>28.569509800989827</v>
      </c>
      <c r="D39" s="47">
        <v>38.191328504106615</v>
      </c>
      <c r="E39" s="47">
        <v>57.38379651276068</v>
      </c>
      <c r="F39" s="47">
        <v>76.55733422941711</v>
      </c>
    </row>
    <row r="40">
      <c r="A40" s="50" t="n">
        <v>1.2</v>
      </c>
      <c r="B40" s="47">
        <v>22.753674244957352</v>
      </c>
      <c r="C40" s="47">
        <v>34.306612899308774</v>
      </c>
      <c r="D40" s="47">
        <v>45.844086373895074</v>
      </c>
      <c r="E40" s="47">
        <v>68.8523316338828</v>
      </c>
      <c r="F40" s="47">
        <v>91.86057689387052</v>
      </c>
    </row>
    <row r="41">
      <c r="A41" s="50" t="n">
        <v>1.4</v>
      </c>
      <c r="B41" s="47">
        <v>26.573851258908118</v>
      </c>
      <c r="C41" s="47">
        <v>40.04439744327161</v>
      </c>
      <c r="D41" s="47">
        <v>53.478587811573696</v>
      </c>
      <c r="E41" s="47">
        <v>80.32154061489273</v>
      </c>
      <c r="F41" s="47">
        <v>107.15060202978871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Creative Medical Technology Holdings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Type 2 diabetes</t>
        </is>
      </c>
      <c r="C4" s="14" t="inlineStr">
        <is>
          <t>CELZ-201 Administration</t>
        </is>
      </c>
      <c r="D4" s="14" t="inlineStr">
        <is>
          <t>Phase 1/2</t>
        </is>
      </c>
      <c r="E4" s="14" t="inlineStr">
        <is>
          <t>Metabolic / chronic</t>
        </is>
      </c>
      <c r="F4" s="14" t="inlineStr">
        <is>
          <t>Owned</t>
        </is>
      </c>
      <c r="G4" s="40" t="n">
        <v>2500</v>
      </c>
      <c r="H4" s="27" t="n">
        <v>0.0863</v>
      </c>
      <c r="I4" s="26" t="n">
        <v>2032</v>
      </c>
      <c r="J4" s="39">
        <f>I4+Assumptions!$B$25</f>
        <v>2044.0</v>
      </c>
      <c r="K4" s="53">
        <f>Assumptions!$E$13</f>
        <v>0.4</v>
      </c>
      <c r="L4" s="23">
        <f>K4*SUMPRODUCT(M4:AF4,NPV!$C$15:$V$15)</f>
        <v>216.60485204241763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21.575</v>
      </c>
      <c r="T4" s="23">
        <f>IF(T$3&lt;$I4,0,$G4*Assumptions!$E$11*INDEX(Assumptions!$B$24:$G$24,MIN(6,T$3-$I4+1))*IF(T$3&gt;$J4,(1-Assumptions!$B$26)^(T$3-$J4),1)*IF($H4&gt;=1,1,MIN(0.97,$H4*Assumptions!$E$12)))</f>
        <v>53.9375</v>
      </c>
      <c r="U4" s="23">
        <f>IF(U$3&lt;$I4,0,$G4*Assumptions!$E$11*INDEX(Assumptions!$B$24:$G$24,MIN(6,U$3-$I4+1))*IF(U$3&gt;$J4,(1-Assumptions!$B$26)^(U$3-$J4),1)*IF($H4&gt;=1,1,MIN(0.97,$H4*Assumptions!$E$12)))</f>
        <v>97.0875</v>
      </c>
      <c r="V4" s="23">
        <f>IF(V$3&lt;$I4,0,$G4*Assumptions!$E$11*INDEX(Assumptions!$B$24:$G$24,MIN(6,V$3-$I4+1))*IF(V$3&gt;$J4,(1-Assumptions!$B$26)^(V$3-$J4),1)*IF($H4&gt;=1,1,MIN(0.97,$H4*Assumptions!$E$12)))</f>
        <v>140.2375</v>
      </c>
      <c r="W4" s="23">
        <f>IF(W$3&lt;$I4,0,$G4*Assumptions!$E$11*INDEX(Assumptions!$B$24:$G$24,MIN(6,W$3-$I4+1))*IF(W$3&gt;$J4,(1-Assumptions!$B$26)^(W$3-$J4),1)*IF($H4&gt;=1,1,MIN(0.97,$H4*Assumptions!$E$12)))</f>
        <v>183.38750000000002</v>
      </c>
      <c r="X4" s="23">
        <f>IF(X$3&lt;$I4,0,$G4*Assumptions!$E$11*INDEX(Assumptions!$B$24:$G$24,MIN(6,X$3-$I4+1))*IF(X$3&gt;$J4,(1-Assumptions!$B$26)^(X$3-$J4),1)*IF($H4&gt;=1,1,MIN(0.97,$H4*Assumptions!$E$12)))</f>
        <v>215.75</v>
      </c>
      <c r="Y4" s="23">
        <f>IF(Y$3&lt;$I4,0,$G4*Assumptions!$E$11*INDEX(Assumptions!$B$24:$G$24,MIN(6,Y$3-$I4+1))*IF(Y$3&gt;$J4,(1-Assumptions!$B$26)^(Y$3-$J4),1)*IF($H4&gt;=1,1,MIN(0.97,$H4*Assumptions!$E$12)))</f>
        <v>215.75</v>
      </c>
      <c r="Z4" s="23">
        <f>IF(Z$3&lt;$I4,0,$G4*Assumptions!$E$11*INDEX(Assumptions!$B$24:$G$24,MIN(6,Z$3-$I4+1))*IF(Z$3&gt;$J4,(1-Assumptions!$B$26)^(Z$3-$J4),1)*IF($H4&gt;=1,1,MIN(0.97,$H4*Assumptions!$E$12)))</f>
        <v>215.75</v>
      </c>
      <c r="AA4" s="23">
        <f>IF(AA$3&lt;$I4,0,$G4*Assumptions!$E$11*INDEX(Assumptions!$B$24:$G$24,MIN(6,AA$3-$I4+1))*IF(AA$3&gt;$J4,(1-Assumptions!$B$26)^(AA$3-$J4),1)*IF($H4&gt;=1,1,MIN(0.97,$H4*Assumptions!$E$12)))</f>
        <v>215.75</v>
      </c>
      <c r="AB4" s="23">
        <f>IF(AB$3&lt;$I4,0,$G4*Assumptions!$E$11*INDEX(Assumptions!$B$24:$G$24,MIN(6,AB$3-$I4+1))*IF(AB$3&gt;$J4,(1-Assumptions!$B$26)^(AB$3-$J4),1)*IF($H4&gt;=1,1,MIN(0.97,$H4*Assumptions!$E$12)))</f>
        <v>215.75</v>
      </c>
      <c r="AC4" s="23">
        <f>IF(AC$3&lt;$I4,0,$G4*Assumptions!$E$11*INDEX(Assumptions!$B$24:$G$24,MIN(6,AC$3-$I4+1))*IF(AC$3&gt;$J4,(1-Assumptions!$B$26)^(AC$3-$J4),1)*IF($H4&gt;=1,1,MIN(0.97,$H4*Assumptions!$E$12)))</f>
        <v>215.75</v>
      </c>
      <c r="AD4" s="23">
        <f>IF(AD$3&lt;$I4,0,$G4*Assumptions!$E$11*INDEX(Assumptions!$B$24:$G$24,MIN(6,AD$3-$I4+1))*IF(AD$3&gt;$J4,(1-Assumptions!$B$26)^(AD$3-$J4),1)*IF($H4&gt;=1,1,MIN(0.97,$H4*Assumptions!$E$12)))</f>
        <v>215.75</v>
      </c>
      <c r="AE4" s="23">
        <f>IF(AE$3&lt;$I4,0,$G4*Assumptions!$E$11*INDEX(Assumptions!$B$24:$G$24,MIN(6,AE$3-$I4+1))*IF(AE$3&gt;$J4,(1-Assumptions!$B$26)^(AE$3-$J4),1)*IF($H4&gt;=1,1,MIN(0.97,$H4*Assumptions!$E$12)))</f>
        <v>215.75</v>
      </c>
      <c r="AF4" s="23">
        <f>IF(AF$3&lt;$I4,0,$G4*Assumptions!$E$11*INDEX(Assumptions!$B$24:$G$24,MIN(6,AF$3-$I4+1))*IF(AF$3&gt;$J4,(1-Assumptions!$B$26)^(AF$3-$J4),1)*IF($H4&gt;=1,1,MIN(0.97,$H4*Assumptions!$E$12)))</f>
        <v>107.875</v>
      </c>
      <c r="AG4" s="35">
        <f>IF(F4="Owned",1-IF(H4&gt;=1,1,MIN(0.97,H4*Assumptions!$E$12)),1)</f>
        <v>0.9137</v>
      </c>
    </row>
    <row r="5">
      <c r="A5" s="39" t="n">
        <v>2</v>
      </c>
      <c r="B5" s="14" t="inlineStr">
        <is>
          <t>Migraine / pain</t>
        </is>
      </c>
      <c r="C5" s="14" t="inlineStr">
        <is>
          <t>CELZ-201-DDT</t>
        </is>
      </c>
      <c r="D5" s="14" t="inlineStr">
        <is>
          <t>Phase 1/2</t>
        </is>
      </c>
      <c r="E5" s="14" t="inlineStr">
        <is>
          <t>Neurology / area</t>
        </is>
      </c>
      <c r="F5" s="14" t="inlineStr">
        <is>
          <t>Owned</t>
        </is>
      </c>
      <c r="G5" s="40" t="n">
        <v>1200</v>
      </c>
      <c r="H5" s="27" t="n">
        <v>0.0852</v>
      </c>
      <c r="I5" s="26" t="n">
        <v>2032</v>
      </c>
      <c r="J5" s="39">
        <f>I5+Assumptions!$B$25</f>
        <v>2044.0</v>
      </c>
      <c r="K5" s="53">
        <f>Assumptions!$E$13</f>
        <v>0.4</v>
      </c>
      <c r="L5" s="23">
        <f>K5*SUMPRODUCT(M5:AF5,NPV!$C$15:$V$15)</f>
        <v>102.64509883113224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10.224</v>
      </c>
      <c r="T5" s="23">
        <f>IF(T$3&lt;$I5,0,$G5*Assumptions!$E$11*INDEX(Assumptions!$B$24:$G$24,MIN(6,T$3-$I5+1))*IF(T$3&gt;$J5,(1-Assumptions!$B$26)^(T$3-$J5),1)*IF($H5&gt;=1,1,MIN(0.97,$H5*Assumptions!$E$12)))</f>
        <v>25.56</v>
      </c>
      <c r="U5" s="23">
        <f>IF(U$3&lt;$I5,0,$G5*Assumptions!$E$11*INDEX(Assumptions!$B$24:$G$24,MIN(6,U$3-$I5+1))*IF(U$3&gt;$J5,(1-Assumptions!$B$26)^(U$3-$J5),1)*IF($H5&gt;=1,1,MIN(0.97,$H5*Assumptions!$E$12)))</f>
        <v>46.007999999999996</v>
      </c>
      <c r="V5" s="23">
        <f>IF(V$3&lt;$I5,0,$G5*Assumptions!$E$11*INDEX(Assumptions!$B$24:$G$24,MIN(6,V$3-$I5+1))*IF(V$3&gt;$J5,(1-Assumptions!$B$26)^(V$3-$J5),1)*IF($H5&gt;=1,1,MIN(0.97,$H5*Assumptions!$E$12)))</f>
        <v>66.456</v>
      </c>
      <c r="W5" s="23">
        <f>IF(W$3&lt;$I5,0,$G5*Assumptions!$E$11*INDEX(Assumptions!$B$24:$G$24,MIN(6,W$3-$I5+1))*IF(W$3&gt;$J5,(1-Assumptions!$B$26)^(W$3-$J5),1)*IF($H5&gt;=1,1,MIN(0.97,$H5*Assumptions!$E$12)))</f>
        <v>86.904</v>
      </c>
      <c r="X5" s="23">
        <f>IF(X$3&lt;$I5,0,$G5*Assumptions!$E$11*INDEX(Assumptions!$B$24:$G$24,MIN(6,X$3-$I5+1))*IF(X$3&gt;$J5,(1-Assumptions!$B$26)^(X$3-$J5),1)*IF($H5&gt;=1,1,MIN(0.97,$H5*Assumptions!$E$12)))</f>
        <v>102.24</v>
      </c>
      <c r="Y5" s="23">
        <f>IF(Y$3&lt;$I5,0,$G5*Assumptions!$E$11*INDEX(Assumptions!$B$24:$G$24,MIN(6,Y$3-$I5+1))*IF(Y$3&gt;$J5,(1-Assumptions!$B$26)^(Y$3-$J5),1)*IF($H5&gt;=1,1,MIN(0.97,$H5*Assumptions!$E$12)))</f>
        <v>102.24</v>
      </c>
      <c r="Z5" s="23">
        <f>IF(Z$3&lt;$I5,0,$G5*Assumptions!$E$11*INDEX(Assumptions!$B$24:$G$24,MIN(6,Z$3-$I5+1))*IF(Z$3&gt;$J5,(1-Assumptions!$B$26)^(Z$3-$J5),1)*IF($H5&gt;=1,1,MIN(0.97,$H5*Assumptions!$E$12)))</f>
        <v>102.24</v>
      </c>
      <c r="AA5" s="23">
        <f>IF(AA$3&lt;$I5,0,$G5*Assumptions!$E$11*INDEX(Assumptions!$B$24:$G$24,MIN(6,AA$3-$I5+1))*IF(AA$3&gt;$J5,(1-Assumptions!$B$26)^(AA$3-$J5),1)*IF($H5&gt;=1,1,MIN(0.97,$H5*Assumptions!$E$12)))</f>
        <v>102.24</v>
      </c>
      <c r="AB5" s="23">
        <f>IF(AB$3&lt;$I5,0,$G5*Assumptions!$E$11*INDEX(Assumptions!$B$24:$G$24,MIN(6,AB$3-$I5+1))*IF(AB$3&gt;$J5,(1-Assumptions!$B$26)^(AB$3-$J5),1)*IF($H5&gt;=1,1,MIN(0.97,$H5*Assumptions!$E$12)))</f>
        <v>102.24</v>
      </c>
      <c r="AC5" s="23">
        <f>IF(AC$3&lt;$I5,0,$G5*Assumptions!$E$11*INDEX(Assumptions!$B$24:$G$24,MIN(6,AC$3-$I5+1))*IF(AC$3&gt;$J5,(1-Assumptions!$B$26)^(AC$3-$J5),1)*IF($H5&gt;=1,1,MIN(0.97,$H5*Assumptions!$E$12)))</f>
        <v>102.24</v>
      </c>
      <c r="AD5" s="23">
        <f>IF(AD$3&lt;$I5,0,$G5*Assumptions!$E$11*INDEX(Assumptions!$B$24:$G$24,MIN(6,AD$3-$I5+1))*IF(AD$3&gt;$J5,(1-Assumptions!$B$26)^(AD$3-$J5),1)*IF($H5&gt;=1,1,MIN(0.97,$H5*Assumptions!$E$12)))</f>
        <v>102.24</v>
      </c>
      <c r="AE5" s="23">
        <f>IF(AE$3&lt;$I5,0,$G5*Assumptions!$E$11*INDEX(Assumptions!$B$24:$G$24,MIN(6,AE$3-$I5+1))*IF(AE$3&gt;$J5,(1-Assumptions!$B$26)^(AE$3-$J5),1)*IF($H5&gt;=1,1,MIN(0.97,$H5*Assumptions!$E$12)))</f>
        <v>102.24</v>
      </c>
      <c r="AF5" s="23">
        <f>IF(AF$3&lt;$I5,0,$G5*Assumptions!$E$11*INDEX(Assumptions!$B$24:$G$24,MIN(6,AF$3-$I5+1))*IF(AF$3&gt;$J5,(1-Assumptions!$B$26)^(AF$3-$J5),1)*IF($H5&gt;=1,1,MIN(0.97,$H5*Assumptions!$E$12)))</f>
        <v>51.12</v>
      </c>
      <c r="AG5" s="35">
        <f>IF(F5="Owned",1-IF(H5&gt;=1,1,MIN(0.97,H5*Assumptions!$E$12)),1)</f>
        <v>0.9148000000000001</v>
      </c>
    </row>
    <row r="6">
      <c r="B6" s="24" t="inlineStr">
        <is>
          <t>Risked revenue</t>
        </is>
      </c>
      <c r="L6" s="54">
        <f>SUM(L4:L5)</f>
        <v>319.2499508735499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0.0</v>
      </c>
      <c r="R6" s="54">
        <f>SUM(R4:R5)</f>
        <v>0.0</v>
      </c>
      <c r="S6" s="54">
        <f>SUM(S4:S5)</f>
        <v>31.799</v>
      </c>
      <c r="T6" s="54">
        <f>SUM(T4:T5)</f>
        <v>79.4975</v>
      </c>
      <c r="U6" s="54">
        <f>SUM(U4:U5)</f>
        <v>143.09550000000002</v>
      </c>
      <c r="V6" s="54">
        <f>SUM(V4:V5)</f>
        <v>206.69350000000003</v>
      </c>
      <c r="W6" s="54">
        <f>SUM(W4:W5)</f>
        <v>270.29150000000004</v>
      </c>
      <c r="X6" s="54">
        <f>SUM(X4:X5)</f>
        <v>317.99</v>
      </c>
      <c r="Y6" s="54">
        <f>SUM(Y4:Y5)</f>
        <v>317.99</v>
      </c>
      <c r="Z6" s="54">
        <f>SUM(Z4:Z5)</f>
        <v>317.99</v>
      </c>
      <c r="AA6" s="54">
        <f>SUM(AA4:AA5)</f>
        <v>317.99</v>
      </c>
      <c r="AB6" s="54">
        <f>SUM(AB4:AB5)</f>
        <v>317.99</v>
      </c>
      <c r="AC6" s="54">
        <f>SUM(AC4:AC5)</f>
        <v>317.99</v>
      </c>
      <c r="AD6" s="54">
        <f>SUM(AD4:AD5)</f>
        <v>317.99</v>
      </c>
      <c r="AE6" s="54">
        <f>SUM(AE4:AE5)</f>
        <v>317.99</v>
      </c>
      <c r="AF6" s="54">
        <f>SUM(AF4:AF5)</f>
        <v>158.995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0.0</v>
      </c>
      <c r="R7" s="55">
        <f>SUMPRODUCT(R4:R5,$K$4:$K$5)</f>
        <v>0.0</v>
      </c>
      <c r="S7" s="55">
        <f>SUMPRODUCT(S4:S5,$K$4:$K$5)</f>
        <v>12.7196</v>
      </c>
      <c r="T7" s="55">
        <f>SUMPRODUCT(T4:T5,$K$4:$K$5)</f>
        <v>31.799000000000003</v>
      </c>
      <c r="U7" s="55">
        <f>SUMPRODUCT(U4:U5,$K$4:$K$5)</f>
        <v>57.238200000000006</v>
      </c>
      <c r="V7" s="55">
        <f>SUMPRODUCT(V4:V5,$K$4:$K$5)</f>
        <v>82.6774</v>
      </c>
      <c r="W7" s="55">
        <f>SUMPRODUCT(W4:W5,$K$4:$K$5)</f>
        <v>108.1166</v>
      </c>
      <c r="X7" s="55">
        <f>SUMPRODUCT(X4:X5,$K$4:$K$5)</f>
        <v>127.19600000000001</v>
      </c>
      <c r="Y7" s="55">
        <f>SUMPRODUCT(Y4:Y5,$K$4:$K$5)</f>
        <v>127.19600000000001</v>
      </c>
      <c r="Z7" s="55">
        <f>SUMPRODUCT(Z4:Z5,$K$4:$K$5)</f>
        <v>127.19600000000001</v>
      </c>
      <c r="AA7" s="55">
        <f>SUMPRODUCT(AA4:AA5,$K$4:$K$5)</f>
        <v>127.19600000000001</v>
      </c>
      <c r="AB7" s="55">
        <f>SUMPRODUCT(AB4:AB5,$K$4:$K$5)</f>
        <v>127.19600000000001</v>
      </c>
      <c r="AC7" s="55">
        <f>SUMPRODUCT(AC4:AC5,$K$4:$K$5)</f>
        <v>127.19600000000001</v>
      </c>
      <c r="AD7" s="55">
        <f>SUMPRODUCT(AD4:AD5,$K$4:$K$5)</f>
        <v>127.19600000000001</v>
      </c>
      <c r="AE7" s="55">
        <f>SUMPRODUCT(AE4:AE5,$K$4:$K$5)</f>
        <v>127.19600000000001</v>
      </c>
      <c r="AF7" s="55">
        <f>SUMPRODUCT(AF4:AF5,$K$4:$K$5)</f>
        <v>63.598000000000006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Creative Medical Technology Holdings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0.0</v>
      </c>
      <c r="H4" s="57">
        <f>Pipeline!R6</f>
        <v>0.0</v>
      </c>
      <c r="I4" s="57">
        <f>Pipeline!S6</f>
        <v>31.799</v>
      </c>
      <c r="J4" s="57">
        <f>Pipeline!T6</f>
        <v>79.4975</v>
      </c>
      <c r="K4" s="57">
        <f>Pipeline!U6</f>
        <v>143.09550000000002</v>
      </c>
      <c r="L4" s="57">
        <f>Pipeline!V6</f>
        <v>206.69350000000003</v>
      </c>
      <c r="M4" s="57">
        <f>Pipeline!W6</f>
        <v>270.29150000000004</v>
      </c>
      <c r="N4" s="57">
        <f>Pipeline!X6</f>
        <v>317.99</v>
      </c>
      <c r="O4" s="57">
        <f>Pipeline!Y6</f>
        <v>317.99</v>
      </c>
      <c r="P4" s="57">
        <f>Pipeline!Z6</f>
        <v>317.99</v>
      </c>
      <c r="Q4" s="57">
        <f>Pipeline!AA6</f>
        <v>317.99</v>
      </c>
      <c r="R4" s="57">
        <f>Pipeline!AB6</f>
        <v>317.99</v>
      </c>
      <c r="S4" s="57">
        <f>Pipeline!AC6</f>
        <v>317.99</v>
      </c>
      <c r="T4" s="57">
        <f>Pipeline!AD6</f>
        <v>317.99</v>
      </c>
      <c r="U4" s="57">
        <f>Pipeline!AE6</f>
        <v>317.99</v>
      </c>
      <c r="V4" s="57">
        <f>Pipeline!AF6</f>
        <v>158.995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0.0</v>
      </c>
      <c r="H5" s="57">
        <f>Pipeline!R7</f>
        <v>0.0</v>
      </c>
      <c r="I5" s="57">
        <f>Pipeline!S7</f>
        <v>12.7196</v>
      </c>
      <c r="J5" s="57">
        <f>Pipeline!T7</f>
        <v>31.799000000000003</v>
      </c>
      <c r="K5" s="57">
        <f>Pipeline!U7</f>
        <v>57.238200000000006</v>
      </c>
      <c r="L5" s="57">
        <f>Pipeline!V7</f>
        <v>82.6774</v>
      </c>
      <c r="M5" s="57">
        <f>Pipeline!W7</f>
        <v>108.1166</v>
      </c>
      <c r="N5" s="57">
        <f>Pipeline!X7</f>
        <v>127.19600000000001</v>
      </c>
      <c r="O5" s="57">
        <f>Pipeline!Y7</f>
        <v>127.19600000000001</v>
      </c>
      <c r="P5" s="57">
        <f>Pipeline!Z7</f>
        <v>127.19600000000001</v>
      </c>
      <c r="Q5" s="57">
        <f>Pipeline!AA7</f>
        <v>127.19600000000001</v>
      </c>
      <c r="R5" s="57">
        <f>Pipeline!AB7</f>
        <v>127.19600000000001</v>
      </c>
      <c r="S5" s="57">
        <f>Pipeline!AC7</f>
        <v>127.19600000000001</v>
      </c>
      <c r="T5" s="57">
        <f>Pipeline!AD7</f>
        <v>127.19600000000001</v>
      </c>
      <c r="U5" s="57">
        <f>Pipeline!AE7</f>
        <v>127.19600000000001</v>
      </c>
      <c r="V5" s="57">
        <f>Pipeline!AF7</f>
        <v>63.598000000000006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-6.24</v>
      </c>
      <c r="D6" s="23">
        <f>-IF(D3-2026&lt;Assumptions!$B$19,Assumptions!$B$18,Assumptions!$B$18*Assumptions!$B$20*Assumptions!$B$16)</f>
        <v>-6.24</v>
      </c>
      <c r="E6" s="23">
        <f>-IF(E3-2026&lt;Assumptions!$B$19,Assumptions!$B$18,Assumptions!$B$18*Assumptions!$B$20*Assumptions!$B$16)</f>
        <v>-6.24</v>
      </c>
      <c r="F6" s="23">
        <f>-IF(F3-2026&lt;Assumptions!$B$19,Assumptions!$B$18,Assumptions!$B$18*Assumptions!$B$20*Assumptions!$B$16)</f>
        <v>-6.24</v>
      </c>
      <c r="G6" s="23">
        <f>-IF(G3-2026&lt;Assumptions!$B$19,Assumptions!$B$18,Assumptions!$B$18*Assumptions!$B$20*Assumptions!$B$16)</f>
        <v>-0.30728363328</v>
      </c>
      <c r="H6" s="23">
        <f>-IF(H3-2026&lt;Assumptions!$B$19,Assumptions!$B$18,Assumptions!$B$18*Assumptions!$B$20*Assumptions!$B$16)</f>
        <v>-0.30728363328</v>
      </c>
      <c r="I6" s="23">
        <f>-IF(I3-2026&lt;Assumptions!$B$19,Assumptions!$B$18,Assumptions!$B$18*Assumptions!$B$20*Assumptions!$B$16)</f>
        <v>-0.30728363328</v>
      </c>
      <c r="J6" s="23">
        <f>-IF(J3-2026&lt;Assumptions!$B$19,Assumptions!$B$18,Assumptions!$B$18*Assumptions!$B$20*Assumptions!$B$16)</f>
        <v>-0.30728363328</v>
      </c>
      <c r="K6" s="23">
        <f>-IF(K3-2026&lt;Assumptions!$B$19,Assumptions!$B$18,Assumptions!$B$18*Assumptions!$B$20*Assumptions!$B$16)</f>
        <v>-0.30728363328</v>
      </c>
      <c r="L6" s="23">
        <f>-IF(L3-2026&lt;Assumptions!$B$19,Assumptions!$B$18,Assumptions!$B$18*Assumptions!$B$20*Assumptions!$B$16)</f>
        <v>-0.30728363328</v>
      </c>
      <c r="M6" s="23">
        <f>-IF(M3-2026&lt;Assumptions!$B$19,Assumptions!$B$18,Assumptions!$B$18*Assumptions!$B$20*Assumptions!$B$16)</f>
        <v>-0.30728363328</v>
      </c>
      <c r="N6" s="23">
        <f>-IF(N3-2026&lt;Assumptions!$B$19,Assumptions!$B$18,Assumptions!$B$18*Assumptions!$B$20*Assumptions!$B$16)</f>
        <v>-0.30728363328</v>
      </c>
      <c r="O6" s="23">
        <f>-IF(O3-2026&lt;Assumptions!$B$19,Assumptions!$B$18,Assumptions!$B$18*Assumptions!$B$20*Assumptions!$B$16)</f>
        <v>-0.30728363328</v>
      </c>
      <c r="P6" s="23">
        <f>-IF(P3-2026&lt;Assumptions!$B$19,Assumptions!$B$18,Assumptions!$B$18*Assumptions!$B$20*Assumptions!$B$16)</f>
        <v>-0.30728363328</v>
      </c>
      <c r="Q6" s="23">
        <f>-IF(Q3-2026&lt;Assumptions!$B$19,Assumptions!$B$18,Assumptions!$B$18*Assumptions!$B$20*Assumptions!$B$16)</f>
        <v>-0.30728363328</v>
      </c>
      <c r="R6" s="23">
        <f>-IF(R3-2026&lt;Assumptions!$B$19,Assumptions!$B$18,Assumptions!$B$18*Assumptions!$B$20*Assumptions!$B$16)</f>
        <v>-0.30728363328</v>
      </c>
      <c r="S6" s="23">
        <f>-IF(S3-2026&lt;Assumptions!$B$19,Assumptions!$B$18,Assumptions!$B$18*Assumptions!$B$20*Assumptions!$B$16)</f>
        <v>-0.30728363328</v>
      </c>
      <c r="T6" s="23">
        <f>-IF(T3-2026&lt;Assumptions!$B$19,Assumptions!$B$18,Assumptions!$B$18*Assumptions!$B$20*Assumptions!$B$16)</f>
        <v>-0.30728363328</v>
      </c>
      <c r="U6" s="23">
        <f>-IF(U3-2026&lt;Assumptions!$B$19,Assumptions!$B$18,Assumptions!$B$18*Assumptions!$B$20*Assumptions!$B$16)</f>
        <v>-0.30728363328</v>
      </c>
      <c r="V6" s="23">
        <f>-IF(V3-2026&lt;Assumptions!$B$19,Assumptions!$B$18,Assumptions!$B$18*Assumptions!$B$20*Assumptions!$B$16)</f>
        <v>-0.30728363328</v>
      </c>
    </row>
    <row r="7">
      <c r="A7" s="14" t="inlineStr">
        <is>
          <t>Pre-tax cash flow</t>
        </is>
      </c>
      <c r="C7" s="23">
        <f>C5+C6</f>
        <v>-6.24</v>
      </c>
      <c r="D7" s="23">
        <f>D5+D6</f>
        <v>-6.24</v>
      </c>
      <c r="E7" s="23">
        <f>E5+E6</f>
        <v>-6.24</v>
      </c>
      <c r="F7" s="23">
        <f>F5+F6</f>
        <v>-6.24</v>
      </c>
      <c r="G7" s="23">
        <f>G5+G6</f>
        <v>-0.30728363328</v>
      </c>
      <c r="H7" s="23">
        <f>H5+H6</f>
        <v>-0.30728363328</v>
      </c>
      <c r="I7" s="23">
        <f>I5+I6</f>
        <v>12.412316366719999</v>
      </c>
      <c r="J7" s="23">
        <f>J5+J6</f>
        <v>31.491716366720002</v>
      </c>
      <c r="K7" s="23">
        <f>K5+K6</f>
        <v>56.930916366720005</v>
      </c>
      <c r="L7" s="23">
        <f>L5+L6</f>
        <v>82.37011636672001</v>
      </c>
      <c r="M7" s="23">
        <f>M5+M6</f>
        <v>107.80931636672001</v>
      </c>
      <c r="N7" s="23">
        <f>N5+N6</f>
        <v>126.88871636672002</v>
      </c>
      <c r="O7" s="23">
        <f>O5+O6</f>
        <v>126.88871636672002</v>
      </c>
      <c r="P7" s="23">
        <f>P5+P6</f>
        <v>126.88871636672002</v>
      </c>
      <c r="Q7" s="23">
        <f>Q5+Q6</f>
        <v>126.88871636672002</v>
      </c>
      <c r="R7" s="23">
        <f>R5+R6</f>
        <v>126.88871636672002</v>
      </c>
      <c r="S7" s="23">
        <f>S5+S6</f>
        <v>126.88871636672002</v>
      </c>
      <c r="T7" s="23">
        <f>T5+T6</f>
        <v>126.88871636672002</v>
      </c>
      <c r="U7" s="23">
        <f>U5+U6</f>
        <v>126.88871636672002</v>
      </c>
      <c r="V7" s="23">
        <f>V5+V6</f>
        <v>63.290716366720005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12.412316366719999</v>
      </c>
      <c r="J8" s="23">
        <f>MIN(I17,MAX(0,J7))</f>
        <v>31.491716366720002</v>
      </c>
      <c r="K8" s="23">
        <f>MIN(J17,MAX(0,K7))</f>
        <v>56.930916366720005</v>
      </c>
      <c r="L8" s="23">
        <f>MIN(K17,MAX(0,L7))</f>
        <v>13.739618166399957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68.63049820032006</v>
      </c>
      <c r="M9" s="23">
        <f>MAX(0,M7)-M8</f>
        <v>107.80931636672001</v>
      </c>
      <c r="N9" s="23">
        <f>MAX(0,N7)-N8</f>
        <v>126.88871636672002</v>
      </c>
      <c r="O9" s="23">
        <f>MAX(0,O7)-O8</f>
        <v>126.88871636672002</v>
      </c>
      <c r="P9" s="23">
        <f>MAX(0,P7)-P8</f>
        <v>126.88871636672002</v>
      </c>
      <c r="Q9" s="23">
        <f>MAX(0,Q7)-Q8</f>
        <v>126.88871636672002</v>
      </c>
      <c r="R9" s="23">
        <f>MAX(0,R7)-R8</f>
        <v>126.88871636672002</v>
      </c>
      <c r="S9" s="23">
        <f>MAX(0,S7)-S8</f>
        <v>126.88871636672002</v>
      </c>
      <c r="T9" s="23">
        <f>MAX(0,T7)-T8</f>
        <v>126.88871636672002</v>
      </c>
      <c r="U9" s="23">
        <f>MAX(0,U7)-U8</f>
        <v>126.88871636672002</v>
      </c>
      <c r="V9" s="23">
        <f>MAX(0,V7)-V8</f>
        <v>63.290716366720005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14.412404622067212</v>
      </c>
      <c r="M10" s="23">
        <f>M9*Assumptions!$E$15</f>
        <v>22.6399564370112</v>
      </c>
      <c r="N10" s="23">
        <f>N9*Assumptions!$E$15</f>
        <v>26.646630437011204</v>
      </c>
      <c r="O10" s="23">
        <f>O9*Assumptions!$E$15</f>
        <v>26.646630437011204</v>
      </c>
      <c r="P10" s="23">
        <f>P9*Assumptions!$E$15</f>
        <v>26.646630437011204</v>
      </c>
      <c r="Q10" s="23">
        <f>Q9*Assumptions!$E$15</f>
        <v>26.646630437011204</v>
      </c>
      <c r="R10" s="23">
        <f>R9*Assumptions!$E$15</f>
        <v>26.646630437011204</v>
      </c>
      <c r="S10" s="23">
        <f>S9*Assumptions!$E$15</f>
        <v>26.646630437011204</v>
      </c>
      <c r="T10" s="23">
        <f>T9*Assumptions!$E$15</f>
        <v>26.646630437011204</v>
      </c>
      <c r="U10" s="23">
        <f>U9*Assumptions!$E$15</f>
        <v>26.646630437011204</v>
      </c>
      <c r="V10" s="23">
        <f>V9*Assumptions!$E$15</f>
        <v>13.2910504370112</v>
      </c>
    </row>
    <row r="11">
      <c r="A11" s="24" t="inlineStr">
        <is>
          <t>Free cash flow</t>
        </is>
      </c>
      <c r="C11" s="55">
        <f>C7-C10</f>
        <v>-6.24</v>
      </c>
      <c r="D11" s="55">
        <f>D7-D10</f>
        <v>-6.24</v>
      </c>
      <c r="E11" s="55">
        <f>E7-E10</f>
        <v>-6.24</v>
      </c>
      <c r="F11" s="55">
        <f>F7-F10</f>
        <v>-6.24</v>
      </c>
      <c r="G11" s="55">
        <f>G7-G10</f>
        <v>-0.30728363328</v>
      </c>
      <c r="H11" s="55">
        <f>H7-H10</f>
        <v>-0.30728363328</v>
      </c>
      <c r="I11" s="55">
        <f>I7-I10</f>
        <v>12.412316366719999</v>
      </c>
      <c r="J11" s="55">
        <f>J7-J10</f>
        <v>31.491716366720002</v>
      </c>
      <c r="K11" s="55">
        <f>K7-K10</f>
        <v>56.930916366720005</v>
      </c>
      <c r="L11" s="55">
        <f>L7-L10</f>
        <v>67.9577117446528</v>
      </c>
      <c r="M11" s="55">
        <f>M7-M10</f>
        <v>85.1693599297088</v>
      </c>
      <c r="N11" s="55">
        <f>N7-N10</f>
        <v>100.24208592970882</v>
      </c>
      <c r="O11" s="55">
        <f>O7-O10</f>
        <v>100.24208592970882</v>
      </c>
      <c r="P11" s="55">
        <f>P7-P10</f>
        <v>100.24208592970882</v>
      </c>
      <c r="Q11" s="55">
        <f>Q7-Q10</f>
        <v>100.24208592970882</v>
      </c>
      <c r="R11" s="55">
        <f>R7-R10</f>
        <v>100.24208592970882</v>
      </c>
      <c r="S11" s="55">
        <f>S7-S10</f>
        <v>100.24208592970882</v>
      </c>
      <c r="T11" s="55">
        <f>T7-T10</f>
        <v>100.24208592970882</v>
      </c>
      <c r="U11" s="55">
        <f>U7-U10</f>
        <v>100.24208592970882</v>
      </c>
      <c r="V11" s="55">
        <f>V7-V10</f>
        <v>49.999665929708804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-3.057003137851486</v>
      </c>
      <c r="D16" s="55">
        <f>D11*D15</f>
        <v>-5.568840421795251</v>
      </c>
      <c r="E16" s="55">
        <f>E11*E15</f>
        <v>-4.972178948031472</v>
      </c>
      <c r="F16" s="55">
        <f>F11*F15</f>
        <v>-4.439445489313814</v>
      </c>
      <c r="G16" s="55">
        <f>G11*G15</f>
        <v>-0.19519358683963717</v>
      </c>
      <c r="H16" s="55">
        <f>H11*H15</f>
        <v>-0.17427998824967605</v>
      </c>
      <c r="I16" s="55">
        <f>I11*I15</f>
        <v>6.28554451542237</v>
      </c>
      <c r="J16" s="55">
        <f>J11*J15</f>
        <v>14.238635702771965</v>
      </c>
      <c r="K16" s="55">
        <f>K11*K15</f>
        <v>22.982760907749444</v>
      </c>
      <c r="L16" s="55">
        <f>L11*L15</f>
        <v>24.49484801275309</v>
      </c>
      <c r="M16" s="55">
        <f>M11*M15</f>
        <v>27.409515749668607</v>
      </c>
      <c r="N16" s="55">
        <f>N11*N15</f>
        <v>28.80381759499963</v>
      </c>
      <c r="O16" s="55">
        <f>O11*O15</f>
        <v>25.717694281249667</v>
      </c>
      <c r="P16" s="55">
        <f>P11*P15</f>
        <v>22.962227036830058</v>
      </c>
      <c r="Q16" s="55">
        <f>Q11*Q15</f>
        <v>20.50198842574112</v>
      </c>
      <c r="R16" s="55">
        <f>R11*R15</f>
        <v>18.30534680869743</v>
      </c>
      <c r="S16" s="55">
        <f>S11*S15</f>
        <v>16.344059650622704</v>
      </c>
      <c r="T16" s="55">
        <f>T11*T15</f>
        <v>14.592910402341698</v>
      </c>
      <c r="U16" s="55">
        <f>U11*U15</f>
        <v>13.029384287805087</v>
      </c>
      <c r="V16" s="55">
        <f>V11*V15</f>
        <v>5.802603264476049</v>
      </c>
    </row>
    <row r="17">
      <c r="A17" s="14" t="inlineStr">
        <is>
          <t>Tax-loss carryforward, end of year</t>
        </is>
      </c>
      <c r="C17" s="23">
        <f>Assumptions!$B$21-C8+MAX(0,-C7)</f>
        <v>95.24</v>
      </c>
      <c r="D17" s="23">
        <f>C17-D8+MAX(0,-D7)</f>
        <v>101.47999999999999</v>
      </c>
      <c r="E17" s="23">
        <f>D17-E8+MAX(0,-E7)</f>
        <v>107.71999999999998</v>
      </c>
      <c r="F17" s="23">
        <f>E17-F8+MAX(0,-F7)</f>
        <v>113.95999999999998</v>
      </c>
      <c r="G17" s="23">
        <f>F17-G8+MAX(0,-G7)</f>
        <v>114.26728363327997</v>
      </c>
      <c r="H17" s="23">
        <f>G17-H8+MAX(0,-H7)</f>
        <v>114.57456726655997</v>
      </c>
      <c r="I17" s="23">
        <f>H17-I8+MAX(0,-I7)</f>
        <v>102.16225089983996</v>
      </c>
      <c r="J17" s="23">
        <f>I17-J8+MAX(0,-J7)</f>
        <v>70.67053453311996</v>
      </c>
      <c r="K17" s="23">
        <f>J17-K8+MAX(0,-K7)</f>
        <v>13.739618166399957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319.24995087354995</v>
      </c>
    </row>
    <row r="20">
      <c r="A20" s="14" t="inlineStr">
        <is>
          <t>PV of corporate burn</t>
        </is>
      </c>
      <c r="B20" s="23">
        <f>SUMPRODUCT(C6:V6,C15:V15)</f>
        <v>-19.562098653009052</v>
      </c>
    </row>
    <row r="21">
      <c r="A21" s="14" t="inlineStr">
        <is>
          <t>PV of taxes</t>
        </is>
      </c>
      <c r="B21" s="23">
        <f>-SUMPRODUCT(C10:V10,C15:V15)</f>
        <v>-56.623457151493305</v>
      </c>
    </row>
    <row r="22">
      <c r="A22" s="24" t="inlineStr">
        <is>
          <t>Pipeline rNPV (operations)</t>
        </is>
      </c>
      <c r="B22" s="54">
        <f>SUM(C16:V16)</f>
        <v>243.0643950690476</v>
      </c>
    </row>
    <row r="23">
      <c r="A23" s="14" t="inlineStr">
        <is>
          <t>Cash &amp; investments</t>
        </is>
      </c>
      <c r="B23" s="57">
        <f>Main!C7</f>
        <v>8.714115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251.7785100690476</v>
      </c>
    </row>
    <row r="26">
      <c r="A26" s="14" t="inlineStr">
        <is>
          <t>Shares (mm)</t>
        </is>
      </c>
      <c r="B26" s="57">
        <f>Main!C4</f>
        <v>6.592557</v>
      </c>
    </row>
    <row r="27">
      <c r="A27" s="24" t="inlineStr">
        <is>
          <t>rNPV / share</t>
        </is>
      </c>
      <c r="B27" s="60">
        <f>B25/B26</f>
        <v>38.191328504106615</v>
      </c>
    </row>
    <row r="28">
      <c r="A28" s="14" t="inlineStr">
        <is>
          <t>Price</t>
        </is>
      </c>
      <c r="B28" s="61">
        <f>Main!C3</f>
        <v>0.7547</v>
      </c>
    </row>
    <row r="29">
      <c r="A29" s="14" t="inlineStr">
        <is>
          <t>Upside</t>
        </is>
      </c>
      <c r="B29" s="62">
        <f>B27/B28-1</f>
        <v>49.60464887254089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2026-10-21T06:31:28Z</dcterms:modified>
  <cp:lastModifiedBy>Wang, Eric</cp:lastModifiedBy>
</cp:coreProperties>
</file>