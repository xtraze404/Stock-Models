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Kamada Ltd.</t>
        </is>
      </c>
      <c r="C2" s="10" t="n"/>
    </row>
    <row r="3">
      <c r="B3" t="inlineStr">
        <is>
          <t>Price</t>
        </is>
      </c>
      <c r="C3" s="11">
        <f>INDEX([1]Pharma!$F$1:$F$1000,MATCH("KMDA",[1]Pharma!$B$1:$B$1000,0))</f>
        <v>7.85</v>
      </c>
      <c r="F3" s="1" t="n"/>
    </row>
    <row r="4">
      <c r="B4" t="inlineStr">
        <is>
          <t>Shares</t>
        </is>
      </c>
      <c r="C4" s="51" t="n">
        <v>57.686056</v>
      </c>
      <c r="F4" s="1" t="n"/>
    </row>
    <row r="5">
      <c r="B5" t="inlineStr">
        <is>
          <t>Market Cap.</t>
        </is>
      </c>
      <c r="C5" s="13">
        <f>C3*C4</f>
        <v>452.8355396</v>
      </c>
      <c r="F5" s="1" t="n"/>
    </row>
    <row r="6"/>
    <row r="7">
      <c r="B7" t="inlineStr">
        <is>
          <t>Cash</t>
        </is>
      </c>
      <c r="C7" s="51" t="n">
        <v>75.46899999999999</v>
      </c>
    </row>
    <row r="8">
      <c r="B8" t="inlineStr">
        <is>
          <t>Debt</t>
        </is>
      </c>
      <c r="C8" s="51" t="n">
        <v>9.923</v>
      </c>
    </row>
    <row r="9">
      <c r="B9" t="inlineStr">
        <is>
          <t>Enterprise V.</t>
        </is>
      </c>
      <c r="C9" s="13">
        <f>C5-C7+C8</f>
        <v>387.2895396</v>
      </c>
    </row>
    <row r="10"/>
    <row r="11">
      <c r="B11" s="14" t="inlineStr">
        <is>
          <t>NPV / Share</t>
        </is>
      </c>
      <c r="C11" s="11">
        <f>NPV!B28</f>
        <v>7.851216424026159</v>
      </c>
    </row>
    <row r="12">
      <c r="B12" s="14" t="inlineStr">
        <is>
          <t>Upside</t>
        </is>
      </c>
      <c r="C12" s="15">
        <f>IFERROR(C11/C3-1,"")</f>
        <v>0.00015495847467006385</v>
      </c>
    </row>
    <row r="13">
      <c r="B13" s="14" t="inlineStr">
        <is>
          <t>Cash / Share</t>
        </is>
      </c>
      <c r="C13" s="11">
        <f>IFERROR((C7-C8)/C4,"")</f>
        <v>1.1362537941578115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69.90600000000001</v>
      </c>
      <c r="C2" s="52" t="n">
        <v>77.494</v>
      </c>
      <c r="D2" s="52" t="n">
        <v>102.825</v>
      </c>
      <c r="E2" s="52" t="n">
        <v>114.469</v>
      </c>
      <c r="F2" s="52" t="n">
        <v>127.187</v>
      </c>
      <c r="G2" s="52" t="n">
        <v>133.246</v>
      </c>
      <c r="H2" s="52" t="n">
        <v>103.642</v>
      </c>
      <c r="I2" s="52" t="n">
        <v>129.339</v>
      </c>
      <c r="J2" s="52" t="n">
        <v>142.519</v>
      </c>
      <c r="K2" s="52" t="n">
        <v>160.953</v>
      </c>
      <c r="L2" s="52" t="n">
        <v>180.46</v>
      </c>
      <c r="M2" s="52">
        <f>L2*(1+NPV!C5)</f>
        <v>202.331752</v>
      </c>
      <c r="N2" s="52">
        <f>M2*(1+NPV!D5)</f>
        <v>224.6916587265778</v>
      </c>
      <c r="O2" s="52">
        <f>N2*(1+NPV!E5)</f>
        <v>247.12087941546199</v>
      </c>
      <c r="P2" s="52">
        <f>O2*(1+NPV!F5)</f>
        <v>269.1475871340268</v>
      </c>
      <c r="Q2" s="52">
        <f>P2*(1+NPV!G5)</f>
        <v>290.26072008031826</v>
      </c>
      <c r="R2" s="52">
        <f>Q2*(1+NPV!H5)</f>
        <v>309.92749642531584</v>
      </c>
      <c r="S2" s="52">
        <f>R2*(1+NPV!I5)</f>
        <v>327.61402555465384</v>
      </c>
      <c r="T2" s="52">
        <f>S2*(1+NPV!J5)</f>
        <v>342.80803602871083</v>
      </c>
      <c r="U2" s="52">
        <f>T2*(1+NPV!K5)</f>
        <v>355.0424739367577</v>
      </c>
      <c r="V2" s="52">
        <f>U2*(1+NPV!L5)</f>
        <v>363.9185357851766</v>
      </c>
    </row>
    <row r="3" customFormat="1" s="1">
      <c r="A3" s="5" t="inlineStr">
        <is>
          <t>Cost of Sales</t>
        </is>
      </c>
      <c r="B3" s="52" t="n">
        <v>54.541</v>
      </c>
      <c r="C3" s="52" t="n">
        <v>56.134</v>
      </c>
      <c r="D3" s="52" t="n">
        <v>70.73699999999999</v>
      </c>
      <c r="E3" s="52" t="n">
        <v>72.997</v>
      </c>
      <c r="F3" s="52" t="n">
        <v>77.45</v>
      </c>
      <c r="G3" s="52" t="n">
        <v>85.694</v>
      </c>
      <c r="H3" s="52" t="n">
        <v>73.31399999999999</v>
      </c>
      <c r="I3" s="52" t="n">
        <v>82.636</v>
      </c>
      <c r="J3" s="52" t="n">
        <v>87.029</v>
      </c>
      <c r="K3" s="52" t="n">
        <v>90.986</v>
      </c>
      <c r="L3" s="52" t="n">
        <v>104.053</v>
      </c>
      <c r="M3" s="52">
        <f>M2*(1-Assumptions!$B$19)</f>
        <v>116.6644882032</v>
      </c>
      <c r="N3" s="52">
        <f>N2*(1-Assumptions!$B$19)</f>
        <v>129.55721042174477</v>
      </c>
      <c r="O3" s="52">
        <f>O2*(1-Assumptions!$B$19)</f>
        <v>142.48989907095537</v>
      </c>
      <c r="P3" s="52">
        <f>P2*(1-Assumptions!$B$19)</f>
        <v>155.19049874147987</v>
      </c>
      <c r="Q3" s="52">
        <f>Q2*(1-Assumptions!$B$19)</f>
        <v>167.3643311983115</v>
      </c>
      <c r="R3" s="52">
        <f>R2*(1-Assumptions!$B$19)</f>
        <v>178.7041944388371</v>
      </c>
      <c r="S3" s="52">
        <f>S2*(1-Assumptions!$B$19)</f>
        <v>188.9022471348134</v>
      </c>
      <c r="T3" s="52">
        <f>T2*(1-Assumptions!$B$19)</f>
        <v>197.66311357415466</v>
      </c>
      <c r="U3" s="52">
        <f>U2*(1-Assumptions!$B$19)</f>
        <v>204.7174904719345</v>
      </c>
      <c r="V3" s="52">
        <f>V2*(1-Assumptions!$B$19)</f>
        <v>209.8354277337328</v>
      </c>
    </row>
    <row r="4" customFormat="1" s="1">
      <c r="A4" s="5" t="inlineStr">
        <is>
          <t>Gross Margin</t>
        </is>
      </c>
      <c r="B4" s="52">
        <f>B2-B3</f>
        <v>15.365000000000009</v>
      </c>
      <c r="C4" s="52">
        <f>C2-C3</f>
        <v>21.36</v>
      </c>
      <c r="D4" s="52">
        <f>D2-D3</f>
        <v>32.08800000000001</v>
      </c>
      <c r="E4" s="52">
        <f>E2-E3</f>
        <v>41.471999999999994</v>
      </c>
      <c r="F4" s="52">
        <f>F2-F3</f>
        <v>49.736999999999995</v>
      </c>
      <c r="G4" s="52">
        <f>G2-G3</f>
        <v>47.55200000000001</v>
      </c>
      <c r="H4" s="52">
        <f>H2-H3</f>
        <v>30.328000000000003</v>
      </c>
      <c r="I4" s="52">
        <f>I2-I3</f>
        <v>46.703</v>
      </c>
      <c r="J4" s="52">
        <f>J2-J3</f>
        <v>55.49000000000001</v>
      </c>
      <c r="K4" s="52">
        <f>K2-K3</f>
        <v>69.967</v>
      </c>
      <c r="L4" s="52">
        <f>L2-L3</f>
        <v>76.40700000000001</v>
      </c>
      <c r="M4" s="52">
        <f>M2-M3</f>
        <v>85.6672637968</v>
      </c>
      <c r="N4" s="52">
        <f>N2-N3</f>
        <v>95.13444830483303</v>
      </c>
      <c r="O4" s="52">
        <f>O2-O3</f>
        <v>104.63098034450661</v>
      </c>
      <c r="P4" s="52">
        <f>P2-P3</f>
        <v>113.95708839254695</v>
      </c>
      <c r="Q4" s="52">
        <f>Q2-Q3</f>
        <v>122.89638888200676</v>
      </c>
      <c r="R4" s="52">
        <f>R2-R3</f>
        <v>131.22330198647873</v>
      </c>
      <c r="S4" s="52">
        <f>S2-S3</f>
        <v>138.71177841984044</v>
      </c>
      <c r="T4" s="52">
        <f>T2-T3</f>
        <v>145.14492245455617</v>
      </c>
      <c r="U4" s="52">
        <f>U2-U3</f>
        <v>150.3249834648232</v>
      </c>
      <c r="V4" s="52">
        <f>V2-V3</f>
        <v>154.08310805144376</v>
      </c>
    </row>
    <row r="5">
      <c r="A5" s="2" t="inlineStr">
        <is>
          <t>Research &amp; Dev.</t>
        </is>
      </c>
      <c r="B5" s="52" t="n">
        <v>16.53</v>
      </c>
      <c r="C5" s="52" t="n">
        <v>16.245</v>
      </c>
      <c r="D5" s="52" t="n">
        <v>11.973</v>
      </c>
      <c r="E5" s="52" t="n">
        <v>9.747</v>
      </c>
      <c r="F5" s="52" t="n">
        <v>13.059</v>
      </c>
      <c r="G5" s="52" t="n">
        <v>13.609</v>
      </c>
      <c r="H5" s="52" t="n">
        <v>11.357</v>
      </c>
      <c r="I5" s="52" t="n">
        <v>13.172</v>
      </c>
      <c r="J5" s="52" t="n">
        <v>13.933</v>
      </c>
      <c r="K5" s="52" t="n">
        <v>15.185</v>
      </c>
      <c r="L5" s="52" t="n">
        <v>12.995</v>
      </c>
      <c r="M5" s="52">
        <f>M7*Assumptions!$B$20</f>
        <v>14.282165383730721</v>
      </c>
      <c r="N5" s="52">
        <f>N7*Assumptions!$B$20</f>
        <v>15.542757887087847</v>
      </c>
      <c r="O5" s="52">
        <f>O7*Assumptions!$B$20</f>
        <v>16.74480699842235</v>
      </c>
      <c r="P5" s="52">
        <f>P7*Assumptions!$B$20</f>
        <v>17.856715093345347</v>
      </c>
      <c r="Q5" s="52">
        <f>Q7*Assumptions!$B$20</f>
        <v>18.84700589375117</v>
      </c>
      <c r="R5" s="52">
        <f>R7*Assumptions!$B$20</f>
        <v>19.685714378846214</v>
      </c>
      <c r="S5" s="52">
        <f>S7*Assumptions!$B$20</f>
        <v>20.34582038130118</v>
      </c>
      <c r="T5" s="52">
        <f>T7*Assumptions!$B$20</f>
        <v>20.80463576158211</v>
      </c>
      <c r="U5" s="52">
        <f>U7*Assumptions!$B$20</f>
        <v>21.045050331558084</v>
      </c>
      <c r="V5" s="52">
        <f>V7*Assumptions!$B$20</f>
        <v>21.056544831651784</v>
      </c>
    </row>
    <row r="6">
      <c r="A6" s="18" t="inlineStr">
        <is>
          <t>SG&amp;A &amp; Other</t>
        </is>
      </c>
      <c r="B6" s="52" t="n">
        <v>10.259</v>
      </c>
      <c r="C6" s="52" t="n">
        <v>10.596</v>
      </c>
      <c r="D6" s="52" t="n">
        <v>12.671</v>
      </c>
      <c r="E6" s="52" t="n">
        <v>12.466</v>
      </c>
      <c r="F6" s="52" t="n">
        <v>13.894</v>
      </c>
      <c r="G6" s="52" t="n">
        <v>14.706</v>
      </c>
      <c r="H6" s="52" t="n">
        <v>19.667</v>
      </c>
      <c r="I6" s="52" t="n">
        <v>28.999</v>
      </c>
      <c r="J6" s="52" t="n">
        <v>31.493</v>
      </c>
      <c r="K6" s="52" t="n">
        <v>34.731</v>
      </c>
      <c r="L6" s="52" t="n">
        <v>37.179</v>
      </c>
      <c r="M6" s="52">
        <f>M7-M5</f>
        <v>40.86133030634928</v>
      </c>
      <c r="N6" s="52">
        <f>N7-N5</f>
        <v>44.46789032560654</v>
      </c>
      <c r="O6" s="52">
        <f>O7-O5</f>
        <v>47.90695747425082</v>
      </c>
      <c r="P6" s="52">
        <f>P7-P5</f>
        <v>51.08813082690696</v>
      </c>
      <c r="Q6" s="52">
        <f>Q7-Q5</f>
        <v>53.92135663038462</v>
      </c>
      <c r="R6" s="52">
        <f>R7-R5</f>
        <v>56.320904844498244</v>
      </c>
      <c r="S6" s="52">
        <f>S7-S5</f>
        <v>58.209470666193724</v>
      </c>
      <c r="T6" s="52">
        <f>T7-T5</f>
        <v>59.522143240665415</v>
      </c>
      <c r="U6" s="52">
        <f>U7-U5</f>
        <v>60.20997025360826</v>
      </c>
      <c r="V6" s="52">
        <f>V7-V5</f>
        <v>60.24285606275665</v>
      </c>
    </row>
    <row r="7">
      <c r="A7" s="2" t="inlineStr">
        <is>
          <t>Operating Expense</t>
        </is>
      </c>
      <c r="B7" s="52">
        <f>SUM(B5:B6)</f>
        <v>26.789</v>
      </c>
      <c r="C7" s="52">
        <f>SUM(C5:C6)</f>
        <v>26.841</v>
      </c>
      <c r="D7" s="52">
        <f>SUM(D5:D6)</f>
        <v>24.644</v>
      </c>
      <c r="E7" s="52">
        <f>SUM(E5:E6)</f>
        <v>22.213</v>
      </c>
      <c r="F7" s="52">
        <f>SUM(F5:F6)</f>
        <v>26.953</v>
      </c>
      <c r="G7" s="52">
        <f>SUM(G5:G6)</f>
        <v>28.314999999999998</v>
      </c>
      <c r="H7" s="52">
        <f>SUM(H5:H6)</f>
        <v>31.024</v>
      </c>
      <c r="I7" s="52">
        <f>SUM(I5:I6)</f>
        <v>42.171</v>
      </c>
      <c r="J7" s="52">
        <f>SUM(J5:J6)</f>
        <v>45.426</v>
      </c>
      <c r="K7" s="52">
        <f>SUM(K5:K6)</f>
        <v>49.916000000000004</v>
      </c>
      <c r="L7" s="52">
        <f>SUM(L5:L6)</f>
        <v>50.174</v>
      </c>
      <c r="M7" s="52">
        <f>M4-M2*NPV!C6</f>
        <v>55.14349569008</v>
      </c>
      <c r="N7" s="52">
        <f>N4-N2*NPV!D6</f>
        <v>60.010648212694385</v>
      </c>
      <c r="O7" s="52">
        <f>O4-O2*NPV!E6</f>
        <v>64.65176447267316</v>
      </c>
      <c r="P7" s="52">
        <f>P4-P2*NPV!F6</f>
        <v>68.9448459202523</v>
      </c>
      <c r="Q7" s="52">
        <f>Q4-Q2*NPV!G6</f>
        <v>72.7683625241358</v>
      </c>
      <c r="R7" s="52">
        <f>R4-R2*NPV!H6</f>
        <v>76.00661922334446</v>
      </c>
      <c r="S7" s="52">
        <f>S4-S2*NPV!I6</f>
        <v>78.5552910474949</v>
      </c>
      <c r="T7" s="52">
        <f>T4-T2*NPV!J6</f>
        <v>80.32677900224752</v>
      </c>
      <c r="U7" s="52">
        <f>U4-U2*NPV!K6</f>
        <v>81.25502058516635</v>
      </c>
      <c r="V7" s="52">
        <f>V4-V2*NPV!L6</f>
        <v>81.29940089440844</v>
      </c>
    </row>
    <row r="8">
      <c r="A8" s="2" t="inlineStr">
        <is>
          <t>Operating Income</t>
        </is>
      </c>
      <c r="B8" s="52">
        <f>B4-B7</f>
        <v>-11.423999999999992</v>
      </c>
      <c r="C8" s="52">
        <f>C4-C7</f>
        <v>-5.481000000000002</v>
      </c>
      <c r="D8" s="52">
        <f>D4-D7</f>
        <v>7.44400000000001</v>
      </c>
      <c r="E8" s="52">
        <f>E4-E7</f>
        <v>19.258999999999993</v>
      </c>
      <c r="F8" s="52">
        <f>F4-F7</f>
        <v>22.783999999999995</v>
      </c>
      <c r="G8" s="52">
        <f>G4-G7</f>
        <v>19.23700000000001</v>
      </c>
      <c r="H8" s="52">
        <f>H4-H7</f>
        <v>-0.695999999999998</v>
      </c>
      <c r="I8" s="52">
        <f>I4-I7</f>
        <v>4.532000000000004</v>
      </c>
      <c r="J8" s="52">
        <f>J4-J7</f>
        <v>10.064000000000007</v>
      </c>
      <c r="K8" s="52">
        <f>K4-K7</f>
        <v>20.050999999999995</v>
      </c>
      <c r="L8" s="52">
        <f>L4-L7</f>
        <v>26.23300000000001</v>
      </c>
      <c r="M8" s="52">
        <f>M4-M7</f>
        <v>30.52376810672</v>
      </c>
      <c r="N8" s="52">
        <f>N4-N7</f>
        <v>35.123800092138644</v>
      </c>
      <c r="O8" s="52">
        <f>O4-O7</f>
        <v>39.979215871833446</v>
      </c>
      <c r="P8" s="52">
        <f>P4-P7</f>
        <v>45.012242472294645</v>
      </c>
      <c r="Q8" s="52">
        <f>Q4-Q7</f>
        <v>50.128026357870965</v>
      </c>
      <c r="R8" s="52">
        <f>R4-R7</f>
        <v>55.21668276313427</v>
      </c>
      <c r="S8" s="52">
        <f>S4-S7</f>
        <v>60.15648737234554</v>
      </c>
      <c r="T8" s="52">
        <f>T4-T7</f>
        <v>64.81814345230865</v>
      </c>
      <c r="U8" s="52">
        <f>U4-U7</f>
        <v>69.06996287965684</v>
      </c>
      <c r="V8" s="52">
        <f>V4-V7</f>
        <v>72.78370715703532</v>
      </c>
    </row>
    <row r="9">
      <c r="A9" s="18" t="inlineStr">
        <is>
          <t>Interest &amp; Other</t>
        </is>
      </c>
      <c r="B9" s="52" t="n">
        <v>0.154</v>
      </c>
      <c r="C9" s="52" t="n">
        <v>0.47</v>
      </c>
      <c r="D9" s="52" t="n">
        <v>-0.274</v>
      </c>
      <c r="E9" s="52" t="n">
        <v>1.082</v>
      </c>
      <c r="F9" s="52" t="n">
        <v>0.197</v>
      </c>
      <c r="G9" s="52" t="n">
        <v>-0.672</v>
      </c>
      <c r="H9" s="52" t="n">
        <v>-1.189</v>
      </c>
      <c r="I9" s="52" t="n">
        <v>-6.791</v>
      </c>
      <c r="J9" s="52" t="n">
        <v>-1.635</v>
      </c>
      <c r="K9" s="52" t="n">
        <v>-6.717</v>
      </c>
      <c r="L9" s="52" t="n">
        <v>-2.766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-11.269999999999992</v>
      </c>
      <c r="C10" s="52">
        <f>C8+C9</f>
        <v>-5.011000000000002</v>
      </c>
      <c r="D10" s="52">
        <f>D8+D9</f>
        <v>7.17000000000001</v>
      </c>
      <c r="E10" s="52">
        <f>E8+E9</f>
        <v>20.340999999999994</v>
      </c>
      <c r="F10" s="52">
        <f>F8+F9</f>
        <v>22.980999999999995</v>
      </c>
      <c r="G10" s="52">
        <f>G8+G9</f>
        <v>18.56500000000001</v>
      </c>
      <c r="H10" s="52">
        <f>H8+H9</f>
        <v>-1.884999999999998</v>
      </c>
      <c r="I10" s="52">
        <f>I8+I9</f>
        <v>-2.258999999999997</v>
      </c>
      <c r="J10" s="52">
        <f>J8+J9</f>
        <v>8.429000000000007</v>
      </c>
      <c r="K10" s="52">
        <f>K8+K9</f>
        <v>13.333999999999996</v>
      </c>
      <c r="L10" s="52">
        <f>L8+L9</f>
        <v>23.467000000000013</v>
      </c>
      <c r="M10" s="52">
        <f>M8+M9</f>
        <v>30.52376810672</v>
      </c>
      <c r="N10" s="52">
        <f>N8+N9</f>
        <v>35.123800092138644</v>
      </c>
      <c r="O10" s="52">
        <f>O8+O9</f>
        <v>39.979215871833446</v>
      </c>
      <c r="P10" s="52">
        <f>P8+P9</f>
        <v>45.012242472294645</v>
      </c>
      <c r="Q10" s="52">
        <f>Q8+Q9</f>
        <v>50.128026357870965</v>
      </c>
      <c r="R10" s="52">
        <f>R8+R9</f>
        <v>55.21668276313427</v>
      </c>
      <c r="S10" s="52">
        <f>S8+S9</f>
        <v>60.15648737234554</v>
      </c>
      <c r="T10" s="52">
        <f>T8+T9</f>
        <v>64.81814345230865</v>
      </c>
      <c r="U10" s="52">
        <f>U8+U9</f>
        <v>69.06996287965684</v>
      </c>
      <c r="V10" s="52">
        <f>V8+V9</f>
        <v>72.78370715703532</v>
      </c>
    </row>
    <row r="11">
      <c r="A11" s="2" t="inlineStr">
        <is>
          <t>Taxes</t>
        </is>
      </c>
      <c r="B11" s="52" t="n">
        <v>0</v>
      </c>
      <c r="C11" s="52" t="n">
        <v>1.722</v>
      </c>
      <c r="D11" s="52" t="n">
        <v>0.269</v>
      </c>
      <c r="E11" s="52" t="n">
        <v>-1.955</v>
      </c>
      <c r="F11" s="52" t="n">
        <v>0.73</v>
      </c>
      <c r="G11" s="52" t="n">
        <v>1.425</v>
      </c>
      <c r="H11" s="52" t="n">
        <v>0.345</v>
      </c>
      <c r="I11" s="52" t="n">
        <v>0.062</v>
      </c>
      <c r="J11" s="52" t="n">
        <v>0.145</v>
      </c>
      <c r="K11" s="52" t="n">
        <v>-1.128</v>
      </c>
      <c r="L11" s="52" t="n">
        <v>3.269</v>
      </c>
      <c r="M11" s="52">
        <f>MAX(0,M10)*Assumptions!$E$14</f>
        <v>5.1890405781424</v>
      </c>
      <c r="N11" s="52">
        <f>MAX(0,N10)*Assumptions!$E$14</f>
        <v>5.97104601566357</v>
      </c>
      <c r="O11" s="52">
        <f>MAX(0,O10)*Assumptions!$E$14</f>
        <v>6.796466698211686</v>
      </c>
      <c r="P11" s="52">
        <f>MAX(0,P10)*Assumptions!$E$14</f>
        <v>7.65208122029009</v>
      </c>
      <c r="Q11" s="52">
        <f>MAX(0,Q10)*Assumptions!$E$14</f>
        <v>8.521764480838065</v>
      </c>
      <c r="R11" s="52">
        <f>MAX(0,R10)*Assumptions!$E$14</f>
        <v>9.386836069732826</v>
      </c>
      <c r="S11" s="52">
        <f>MAX(0,S10)*Assumptions!$E$14</f>
        <v>10.226602853298742</v>
      </c>
      <c r="T11" s="52">
        <f>MAX(0,T10)*Assumptions!$E$14</f>
        <v>11.019084386892471</v>
      </c>
      <c r="U11" s="52">
        <f>MAX(0,U10)*Assumptions!$E$14</f>
        <v>11.741893689541664</v>
      </c>
      <c r="V11" s="52">
        <f>MAX(0,V10)*Assumptions!$E$14</f>
        <v>12.373230216696006</v>
      </c>
    </row>
    <row r="12">
      <c r="A12" s="2" t="inlineStr">
        <is>
          <t>Net Income</t>
        </is>
      </c>
      <c r="B12" s="52" t="n">
        <v>-11.27</v>
      </c>
      <c r="C12" s="52" t="n">
        <v>-6.733</v>
      </c>
      <c r="D12" s="52" t="n">
        <v>6.901</v>
      </c>
      <c r="E12" s="52" t="n">
        <v>22.296</v>
      </c>
      <c r="F12" s="52" t="n">
        <v>22.251</v>
      </c>
      <c r="G12" s="52" t="n">
        <v>17.14</v>
      </c>
      <c r="H12" s="52" t="n">
        <v>-2.23</v>
      </c>
      <c r="I12" s="52" t="n">
        <v>-2.321</v>
      </c>
      <c r="J12" s="52" t="n">
        <v>8.284000000000001</v>
      </c>
      <c r="K12" s="52" t="n">
        <v>14.462</v>
      </c>
      <c r="L12" s="52" t="n">
        <v>20.198</v>
      </c>
      <c r="M12" s="52">
        <f>M10-M11</f>
        <v>25.3347275285776</v>
      </c>
      <c r="N12" s="52">
        <f>N10-N11</f>
        <v>29.152754076475073</v>
      </c>
      <c r="O12" s="52">
        <f>O10-O11</f>
        <v>33.18274917362176</v>
      </c>
      <c r="P12" s="52">
        <f>P10-P11</f>
        <v>37.36016125200455</v>
      </c>
      <c r="Q12" s="52">
        <f>Q10-Q11</f>
        <v>41.6062618770329</v>
      </c>
      <c r="R12" s="52">
        <f>R10-R11</f>
        <v>45.82984669340145</v>
      </c>
      <c r="S12" s="52">
        <f>S10-S11</f>
        <v>49.929884519046794</v>
      </c>
      <c r="T12" s="52">
        <f>T10-T11</f>
        <v>53.799059065416174</v>
      </c>
      <c r="U12" s="52">
        <f>U10-U11</f>
        <v>57.32806919011518</v>
      </c>
      <c r="V12" s="52">
        <f>V10-V11</f>
        <v>60.410476940339315</v>
      </c>
    </row>
    <row r="13">
      <c r="A13" s="2" t="inlineStr">
        <is>
          <t>Earnings per Share</t>
        </is>
      </c>
      <c r="B13" s="11">
        <f>IFERROR(B12/B14,0)</f>
        <v>-0.3109308613364233</v>
      </c>
      <c r="C13" s="11">
        <f>IFERROR(C12/C14,0)</f>
        <v>-0.18487602625003433</v>
      </c>
      <c r="D13" s="11">
        <f>IFERROR(D12/D14,0)</f>
        <v>0.18139045866736758</v>
      </c>
      <c r="E13" s="11">
        <f>IFERROR(E12/E14,0)</f>
        <v>0.5512671529237235</v>
      </c>
      <c r="F13" s="11">
        <f>IFERROR(F12/F14,0)</f>
        <v>0.5482972746537874</v>
      </c>
      <c r="G13" s="11">
        <f>IFERROR(G12/G14,0)</f>
        <v>0.3843911190849966</v>
      </c>
      <c r="H13" s="11">
        <f>IFERROR(H12/H14,0)</f>
        <v>-0.04966371208409425</v>
      </c>
      <c r="I13" s="11">
        <f>IFERROR(I12/I14,0)</f>
        <v>-0.051742203000646504</v>
      </c>
      <c r="J13" s="11">
        <f>IFERROR(J12/J14,0)</f>
        <v>0.15433340785453462</v>
      </c>
      <c r="K13" s="11">
        <f>IFERROR(K12/K14,0)</f>
        <v>0.25013404362038844</v>
      </c>
      <c r="L13" s="11">
        <f>IFERROR(L12/L14,0)</f>
        <v>0.34617625886950265</v>
      </c>
      <c r="M13" s="11">
        <f>IFERROR(M12/M14,0)</f>
        <v>0.43918286818876295</v>
      </c>
      <c r="N13" s="11">
        <f>IFERROR(N12/N14,0)</f>
        <v>0.5053691671428373</v>
      </c>
      <c r="O13" s="11">
        <f>IFERROR(O12/O14,0)</f>
        <v>0.5752299857979848</v>
      </c>
      <c r="P13" s="11">
        <f>IFERROR(P12/P14,0)</f>
        <v>0.6476463090491843</v>
      </c>
      <c r="Q13" s="11">
        <f>IFERROR(Q12/Q14,0)</f>
        <v>0.7212533628063063</v>
      </c>
      <c r="R13" s="11">
        <f>IFERROR(R12/R14,0)</f>
        <v>0.7944701002509419</v>
      </c>
      <c r="S13" s="11">
        <f>IFERROR(S12/S14,0)</f>
        <v>0.8655451244412825</v>
      </c>
      <c r="T13" s="11">
        <f>IFERROR(T12/T14,0)</f>
        <v>0.9326180847831956</v>
      </c>
      <c r="U13" s="11">
        <f>IFERROR(U12/U14,0)</f>
        <v>0.9937942228207659</v>
      </c>
      <c r="V13" s="11">
        <f>IFERROR(V12/V14,0)</f>
        <v>1.0472284140961086</v>
      </c>
    </row>
    <row r="14">
      <c r="A14" s="2" t="inlineStr">
        <is>
          <t>Shares</t>
        </is>
      </c>
      <c r="B14" s="52" t="n">
        <v>36.246</v>
      </c>
      <c r="C14" s="52" t="n">
        <v>36.419</v>
      </c>
      <c r="D14" s="52" t="n">
        <v>38.045</v>
      </c>
      <c r="E14" s="52" t="n">
        <v>40.445</v>
      </c>
      <c r="F14" s="52" t="n">
        <v>40.582</v>
      </c>
      <c r="G14" s="52" t="n">
        <v>44.59</v>
      </c>
      <c r="H14" s="52" t="n">
        <v>44.902</v>
      </c>
      <c r="I14" s="52" t="n">
        <v>44.857</v>
      </c>
      <c r="J14" s="52" t="n">
        <v>53.676</v>
      </c>
      <c r="K14" s="52" t="n">
        <v>57.817</v>
      </c>
      <c r="L14" s="52" t="n">
        <v>58.346</v>
      </c>
      <c r="M14" s="52">
        <f>Main!$C$4</f>
        <v>57.686056</v>
      </c>
      <c r="N14" s="52">
        <f>Main!$C$4</f>
        <v>57.686056</v>
      </c>
      <c r="O14" s="52">
        <f>Main!$C$4</f>
        <v>57.686056</v>
      </c>
      <c r="P14" s="52">
        <f>Main!$C$4</f>
        <v>57.686056</v>
      </c>
      <c r="Q14" s="52">
        <f>Main!$C$4</f>
        <v>57.686056</v>
      </c>
      <c r="R14" s="52">
        <f>Main!$C$4</f>
        <v>57.686056</v>
      </c>
      <c r="S14" s="52">
        <f>Main!$C$4</f>
        <v>57.686056</v>
      </c>
      <c r="T14" s="52">
        <f>Main!$C$4</f>
        <v>57.686056</v>
      </c>
      <c r="U14" s="52">
        <f>Main!$C$4</f>
        <v>57.686056</v>
      </c>
      <c r="V14" s="52">
        <f>Main!$C$4</f>
        <v>57.686056</v>
      </c>
    </row>
    <row r="15"/>
    <row r="16" customFormat="1" s="4">
      <c r="A16" s="3" t="inlineStr">
        <is>
          <t>Revenue Change</t>
        </is>
      </c>
      <c r="C16" s="15">
        <f>IFERROR(C2/B2-1,"")</f>
        <v>0.1085457614510914</v>
      </c>
      <c r="D16" s="15">
        <f>IFERROR(D2/C2-1,"")</f>
        <v>0.32687691950344555</v>
      </c>
      <c r="E16" s="15">
        <f>IFERROR(E2/D2-1,"")</f>
        <v>0.11324094335035251</v>
      </c>
      <c r="F16" s="15">
        <f>IFERROR(F2/E2-1,"")</f>
        <v>0.11110431645248942</v>
      </c>
      <c r="G16" s="15">
        <f>IFERROR(G2/F2-1,"")</f>
        <v>0.0476385165150528</v>
      </c>
      <c r="H16" s="15">
        <f>IFERROR(H2/G2-1,"")</f>
        <v>-0.22217552496885473</v>
      </c>
      <c r="I16" s="15">
        <f>IFERROR(I2/H2-1,"")</f>
        <v>0.24794002431446716</v>
      </c>
      <c r="J16" s="15">
        <f>IFERROR(J2/I2-1,"")</f>
        <v>0.10190275168356022</v>
      </c>
      <c r="K16" s="15">
        <f>IFERROR(K2/J2-1,"")</f>
        <v>0.1293441576210892</v>
      </c>
      <c r="L16" s="15">
        <f>IFERROR(L2/K2-1,"")</f>
        <v>0.12119687113629452</v>
      </c>
      <c r="M16" s="15">
        <f>IFERROR(M2/L2-1,"")</f>
        <v>0.12119999999999997</v>
      </c>
      <c r="N16" s="15">
        <f>IFERROR(N2/M2-1,"")</f>
        <v>0.11051111111111123</v>
      </c>
      <c r="O16" s="15">
        <f>IFERROR(O2/N2-1,"")</f>
        <v>0.09982222222222226</v>
      </c>
      <c r="P16" s="15">
        <f>IFERROR(P2/O2-1,"")</f>
        <v>0.08913333333333329</v>
      </c>
      <c r="Q16" s="15">
        <f>IFERROR(Q2/P2-1,"")</f>
        <v>0.07844444444444454</v>
      </c>
      <c r="R16" s="15">
        <f>IFERROR(R2/Q2-1,"")</f>
        <v>0.06775555555555557</v>
      </c>
      <c r="S16" s="15">
        <f>IFERROR(S2/R2-1,"")</f>
        <v>0.0570666666666666</v>
      </c>
      <c r="T16" s="15">
        <f>IFERROR(T2/S2-1,"")</f>
        <v>0.04637777777777785</v>
      </c>
      <c r="U16" s="15">
        <f>IFERROR(U2/T2-1,"")</f>
        <v>0.03568888888888888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0.219795153491832</v>
      </c>
      <c r="C17" s="15">
        <f>IFERROR(C4/C2,"")</f>
        <v>0.27563424265104397</v>
      </c>
      <c r="D17" s="15">
        <f>IFERROR(D4/D2,"")</f>
        <v>0.3120641867250183</v>
      </c>
      <c r="E17" s="15">
        <f>IFERROR(E4/E2,"")</f>
        <v>0.3622989630380277</v>
      </c>
      <c r="F17" s="15">
        <f>IFERROR(F4/F2,"")</f>
        <v>0.39105411716606253</v>
      </c>
      <c r="G17" s="15">
        <f>IFERROR(G4/G2,"")</f>
        <v>0.3568737523077616</v>
      </c>
      <c r="H17" s="15">
        <f>IFERROR(H4/H2,"")</f>
        <v>0.29262268192431645</v>
      </c>
      <c r="I17" s="15">
        <f>IFERROR(I4/I2,"")</f>
        <v>0.3610898491560937</v>
      </c>
      <c r="J17" s="15">
        <f>IFERROR(J4/J2,"")</f>
        <v>0.38935159522589974</v>
      </c>
      <c r="K17" s="15">
        <f>IFERROR(K4/K2,"")</f>
        <v>0.43470454107720885</v>
      </c>
      <c r="L17" s="15">
        <f>IFERROR(L4/L2,"")</f>
        <v>0.42340130776903473</v>
      </c>
      <c r="M17" s="15">
        <f>IFERROR(M4/M2,"")</f>
        <v>0.4234</v>
      </c>
      <c r="N17" s="15">
        <f>IFERROR(N4/N2,"")</f>
        <v>0.42339999999999994</v>
      </c>
      <c r="O17" s="15">
        <f>IFERROR(O4/O2,"")</f>
        <v>0.4234</v>
      </c>
      <c r="P17" s="15">
        <f>IFERROR(P4/P2,"")</f>
        <v>0.4234</v>
      </c>
      <c r="Q17" s="15">
        <f>IFERROR(Q4/Q2,"")</f>
        <v>0.4234</v>
      </c>
      <c r="R17" s="15">
        <f>IFERROR(R4/R2,"")</f>
        <v>0.4234</v>
      </c>
      <c r="S17" s="15">
        <f>IFERROR(S4/S2,"")</f>
        <v>0.4234</v>
      </c>
      <c r="T17" s="15">
        <f>IFERROR(T4/T2,"")</f>
        <v>0.4234</v>
      </c>
      <c r="U17" s="15">
        <f>IFERROR(U4/U2,"")</f>
        <v>0.42339999999999994</v>
      </c>
      <c r="V17" s="15">
        <f>IFERROR(V4/V2,"")</f>
        <v>0.4234</v>
      </c>
    </row>
    <row r="18">
      <c r="A18" s="14" t="inlineStr">
        <is>
          <t>Operating Margin</t>
        </is>
      </c>
      <c r="B18" s="15">
        <f>IFERROR(B8/B2,"")</f>
        <v>-0.16341944897433686</v>
      </c>
      <c r="C18" s="15">
        <f>IFERROR(C8/C2,"")</f>
        <v>-0.07072805636565414</v>
      </c>
      <c r="D18" s="15">
        <f>IFERROR(D8/D2,"")</f>
        <v>0.0723948456114759</v>
      </c>
      <c r="E18" s="15">
        <f>IFERROR(E8/E2,"")</f>
        <v>0.168246424796233</v>
      </c>
      <c r="F18" s="15">
        <f>IFERROR(F8/F2,"")</f>
        <v>0.1791378049643438</v>
      </c>
      <c r="G18" s="15">
        <f>IFERROR(G8/G2,"")</f>
        <v>0.14437206370172467</v>
      </c>
      <c r="H18" s="15">
        <f>IFERROR(H8/H2,"")</f>
        <v>-0.006715424248856621</v>
      </c>
      <c r="I18" s="15">
        <f>IFERROR(I8/I2,"")</f>
        <v>0.035039701868732585</v>
      </c>
      <c r="J18" s="15">
        <f>IFERROR(J8/J2,"")</f>
        <v>0.07061514605070206</v>
      </c>
      <c r="K18" s="15">
        <f>IFERROR(K8/K2,"")</f>
        <v>0.12457673979360431</v>
      </c>
      <c r="L18" s="15">
        <f>IFERROR(L8/L2,"")</f>
        <v>0.14536739443644026</v>
      </c>
      <c r="M18" s="15">
        <f>IFERROR(M8/M2,"")</f>
        <v>0.15086</v>
      </c>
      <c r="N18" s="15">
        <f>IFERROR(N8/N2,"")</f>
        <v>0.15632000000000001</v>
      </c>
      <c r="O18" s="15">
        <f>IFERROR(O8/O2,"")</f>
        <v>0.16178000000000003</v>
      </c>
      <c r="P18" s="15">
        <f>IFERROR(P8/P2,"")</f>
        <v>0.16724</v>
      </c>
      <c r="Q18" s="15">
        <f>IFERROR(Q8/Q2,"")</f>
        <v>0.1727</v>
      </c>
      <c r="R18" s="15">
        <f>IFERROR(R8/R2,"")</f>
        <v>0.17816</v>
      </c>
      <c r="S18" s="15">
        <f>IFERROR(S8/S2,"")</f>
        <v>0.18362</v>
      </c>
      <c r="T18" s="15">
        <f>IFERROR(T8/T2,"")</f>
        <v>0.18908</v>
      </c>
      <c r="U18" s="15">
        <f>IFERROR(U8/U2,"")</f>
        <v>0.19454</v>
      </c>
      <c r="V18" s="15">
        <f>IFERROR(V8/V2,"")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Kamada Ltd.: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0.0712</v>
      </c>
      <c r="C12" s="53" t="n">
        <v>0.1212</v>
      </c>
      <c r="D12" s="53" t="n">
        <v>0.1712</v>
      </c>
      <c r="E12" s="54">
        <f>CHOOSE($B$4,B12,C12,D12)</f>
        <v>0.1212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0.1454</v>
      </c>
    </row>
    <row r="19">
      <c r="A19" s="14" t="inlineStr">
        <is>
          <t>Gross margin (forecast)</t>
        </is>
      </c>
      <c r="B19" s="53" t="n">
        <v>0.4234</v>
      </c>
    </row>
    <row r="20">
      <c r="A20" s="14" t="inlineStr">
        <is>
          <t>R&amp;D share of operating expense (forecast)</t>
        </is>
      </c>
      <c r="B20" s="53" t="n">
        <v>0.259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180.46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387.35971030449275</v>
      </c>
      <c r="C29" s="56">
        <f>NPV!B26</f>
        <v>452.90571030449274</v>
      </c>
      <c r="D29" s="35">
        <f>NPV!B28</f>
        <v>7.851216424026159</v>
      </c>
      <c r="E29" s="57">
        <f>NPV!B30</f>
        <v>0.00015495847467006385</v>
      </c>
    </row>
    <row r="30">
      <c r="A30" s="58" t="n">
        <v>1</v>
      </c>
      <c r="B30" s="59">
        <f t="dataTable" ref="B30:E32" r1="B4"/>
        <v>230.15982912827485</v>
      </c>
      <c r="C30" s="59">
        <v>295.70582912827484</v>
      </c>
      <c r="D30" s="39">
        <v>5.126123185268114</v>
      </c>
      <c r="E30" s="60">
        <v>-0.3469906770359089</v>
      </c>
    </row>
    <row r="31">
      <c r="A31" s="58" t="n">
        <v>2</v>
      </c>
      <c r="B31" s="59">
        <v>387.35971030449275</v>
      </c>
      <c r="C31" s="59">
        <v>452.90571030449274</v>
      </c>
      <c r="D31" s="39">
        <v>7.851216424026159</v>
      </c>
      <c r="E31" s="60">
        <v>0.00015495847467006385</v>
      </c>
    </row>
    <row r="32">
      <c r="A32" s="58" t="n">
        <v>3</v>
      </c>
      <c r="B32" s="59">
        <v>668.1838040518614</v>
      </c>
      <c r="C32" s="59">
        <v>733.7298040518615</v>
      </c>
      <c r="D32" s="39">
        <v>12.71936157417074</v>
      </c>
      <c r="E32" s="60">
        <v>0.6203008374739798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7.851216424026159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9.024384253242701</v>
      </c>
      <c r="C37" s="39">
        <v>9.37371078168744</v>
      </c>
      <c r="D37" s="39">
        <v>9.76626682692296</v>
      </c>
      <c r="E37" s="39">
        <v>10.210694734145704</v>
      </c>
      <c r="F37" s="39">
        <v>10.718106070227762</v>
      </c>
    </row>
    <row r="38">
      <c r="A38" s="62" t="n">
        <v>0.115</v>
      </c>
      <c r="B38" s="39">
        <v>8.132479251327364</v>
      </c>
      <c r="C38" s="39">
        <v>8.40061351903891</v>
      </c>
      <c r="D38" s="39">
        <v>8.698171047804232</v>
      </c>
      <c r="E38" s="39">
        <v>9.030341186690055</v>
      </c>
      <c r="F38" s="39">
        <v>9.403610605513206</v>
      </c>
    </row>
    <row r="39">
      <c r="A39" s="62" t="n">
        <v>0.125</v>
      </c>
      <c r="B39" s="39">
        <v>7.409723116933073</v>
      </c>
      <c r="C39" s="39">
        <v>7.620108774879224</v>
      </c>
      <c r="D39" s="39">
        <v>7.851216424026159</v>
      </c>
      <c r="E39" s="39">
        <v>8.10631541045901</v>
      </c>
      <c r="F39" s="39">
        <v>8.389401587643308</v>
      </c>
    </row>
    <row r="40">
      <c r="A40" s="62" t="n">
        <v>0.135</v>
      </c>
      <c r="B40" s="39">
        <v>6.8132564305838414</v>
      </c>
      <c r="C40" s="39">
        <v>6.9813588409467044</v>
      </c>
      <c r="D40" s="39">
        <v>7.164469384704612</v>
      </c>
      <c r="E40" s="39">
        <v>7.364729889198151</v>
      </c>
      <c r="F40" s="39">
        <v>7.584710535282715</v>
      </c>
    </row>
    <row r="41">
      <c r="A41" s="62" t="n">
        <v>0.145</v>
      </c>
      <c r="B41" s="39">
        <v>6.313463572705522</v>
      </c>
      <c r="C41" s="39">
        <v>6.449852909964666</v>
      </c>
      <c r="D41" s="39">
        <v>6.5973691497480855</v>
      </c>
      <c r="E41" s="39">
        <v>6.75746172552165</v>
      </c>
      <c r="F41" s="39">
        <v>6.93184359378934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Kamada Ltd.: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0.1212</v>
      </c>
      <c r="D5" s="63">
        <f>Assumptions!$E$12+(Assumptions!$E$11-Assumptions!$E$12)*(D4-1)/(Assumptions!$B$21-1)</f>
        <v>0.11051111111111112</v>
      </c>
      <c r="E5" s="63">
        <f>Assumptions!$E$12+(Assumptions!$E$11-Assumptions!$E$12)*(E4-1)/(Assumptions!$B$21-1)</f>
        <v>0.09982222222222223</v>
      </c>
      <c r="F5" s="63">
        <f>Assumptions!$E$12+(Assumptions!$E$11-Assumptions!$E$12)*(F4-1)/(Assumptions!$B$21-1)</f>
        <v>0.08913333333333334</v>
      </c>
      <c r="G5" s="63">
        <f>Assumptions!$E$12+(Assumptions!$E$11-Assumptions!$E$12)*(G4-1)/(Assumptions!$B$21-1)</f>
        <v>0.07844444444444444</v>
      </c>
      <c r="H5" s="63">
        <f>Assumptions!$E$12+(Assumptions!$E$11-Assumptions!$E$12)*(H4-1)/(Assumptions!$B$21-1)</f>
        <v>0.06775555555555555</v>
      </c>
      <c r="I5" s="63">
        <f>Assumptions!$E$12+(Assumptions!$E$11-Assumptions!$E$12)*(I4-1)/(Assumptions!$B$21-1)</f>
        <v>0.05706666666666667</v>
      </c>
      <c r="J5" s="63">
        <f>Assumptions!$E$12+(Assumptions!$E$11-Assumptions!$E$12)*(J4-1)/(Assumptions!$B$21-1)</f>
        <v>0.04637777777777778</v>
      </c>
      <c r="K5" s="63">
        <f>Assumptions!$E$12+(Assumptions!$E$11-Assumptions!$E$12)*(K4-1)/(Assumptions!$B$21-1)</f>
        <v>0.03568888888888888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0.14536739443644026</v>
      </c>
      <c r="C6" s="63">
        <f>Assumptions!$B$18+(Assumptions!$E$13-Assumptions!$B$18)*C4/Assumptions!$B$21</f>
        <v>0.15086</v>
      </c>
      <c r="D6" s="63">
        <f>Assumptions!$B$18+(Assumptions!$E$13-Assumptions!$B$18)*D4/Assumptions!$B$21</f>
        <v>0.15632000000000001</v>
      </c>
      <c r="E6" s="63">
        <f>Assumptions!$B$18+(Assumptions!$E$13-Assumptions!$B$18)*E4/Assumptions!$B$21</f>
        <v>0.16178</v>
      </c>
      <c r="F6" s="63">
        <f>Assumptions!$B$18+(Assumptions!$E$13-Assumptions!$B$18)*F4/Assumptions!$B$21</f>
        <v>0.16724</v>
      </c>
      <c r="G6" s="63">
        <f>Assumptions!$B$18+(Assumptions!$E$13-Assumptions!$B$18)*G4/Assumptions!$B$21</f>
        <v>0.1727</v>
      </c>
      <c r="H6" s="63">
        <f>Assumptions!$B$18+(Assumptions!$E$13-Assumptions!$B$18)*H4/Assumptions!$B$21</f>
        <v>0.17816</v>
      </c>
      <c r="I6" s="63">
        <f>Assumptions!$B$18+(Assumptions!$E$13-Assumptions!$B$18)*I4/Assumptions!$B$21</f>
        <v>0.18362</v>
      </c>
      <c r="J6" s="63">
        <f>Assumptions!$B$18+(Assumptions!$E$13-Assumptions!$B$18)*J4/Assumptions!$B$21</f>
        <v>0.18908000000000003</v>
      </c>
      <c r="K6" s="63">
        <f>Assumptions!$B$18+(Assumptions!$E$13-Assumptions!$B$18)*K4/Assumptions!$B$21</f>
        <v>0.19454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Model'!L2</f>
        <v>180.46</v>
      </c>
      <c r="C7" s="55">
        <f>'Yearly Model'!M2</f>
        <v>202.331752</v>
      </c>
      <c r="D7" s="55">
        <f>'Yearly Model'!N2</f>
        <v>224.6916587265778</v>
      </c>
      <c r="E7" s="55">
        <f>'Yearly Model'!O2</f>
        <v>247.12087941546199</v>
      </c>
      <c r="F7" s="55">
        <f>'Yearly Model'!P2</f>
        <v>269.1475871340268</v>
      </c>
      <c r="G7" s="55">
        <f>'Yearly Model'!Q2</f>
        <v>290.26072008031826</v>
      </c>
      <c r="H7" s="55">
        <f>'Yearly Model'!R2</f>
        <v>309.92749642531584</v>
      </c>
      <c r="I7" s="55">
        <f>'Yearly Model'!S2</f>
        <v>327.61402555465384</v>
      </c>
      <c r="J7" s="55">
        <f>'Yearly Model'!T2</f>
        <v>342.80803602871083</v>
      </c>
      <c r="K7" s="55">
        <f>'Yearly Model'!U2</f>
        <v>355.0424739367577</v>
      </c>
      <c r="L7" s="55">
        <f>'Yearly Model'!V2</f>
        <v>363.9185357851766</v>
      </c>
    </row>
    <row r="8">
      <c r="A8" s="14" t="inlineStr">
        <is>
          <t>Operating income</t>
        </is>
      </c>
      <c r="B8" s="55">
        <f>'Yearly Model'!L8</f>
        <v>26.23300000000001</v>
      </c>
      <c r="C8" s="55">
        <f>'Yearly Model'!M8</f>
        <v>30.52376810672</v>
      </c>
      <c r="D8" s="55">
        <f>'Yearly Model'!N8</f>
        <v>35.123800092138644</v>
      </c>
      <c r="E8" s="55">
        <f>'Yearly Model'!O8</f>
        <v>39.979215871833446</v>
      </c>
      <c r="F8" s="55">
        <f>'Yearly Model'!P8</f>
        <v>45.012242472294645</v>
      </c>
      <c r="G8" s="55">
        <f>'Yearly Model'!Q8</f>
        <v>50.128026357870965</v>
      </c>
      <c r="H8" s="55">
        <f>'Yearly Model'!R8</f>
        <v>55.21668276313427</v>
      </c>
      <c r="I8" s="55">
        <f>'Yearly Model'!S8</f>
        <v>60.15648737234554</v>
      </c>
      <c r="J8" s="55">
        <f>'Yearly Model'!T8</f>
        <v>64.81814345230865</v>
      </c>
      <c r="K8" s="55">
        <f>'Yearly Model'!U8</f>
        <v>69.06996287965684</v>
      </c>
      <c r="L8" s="55">
        <f>'Yearly Model'!V8</f>
        <v>72.78370715703532</v>
      </c>
    </row>
    <row r="9">
      <c r="A9" s="14" t="inlineStr">
        <is>
          <t>Tax on operating income</t>
        </is>
      </c>
      <c r="C9" s="52">
        <f>MAX(0,C8)*Assumptions!$E$14</f>
        <v>5.1890405781424</v>
      </c>
      <c r="D9" s="52">
        <f>MAX(0,D8)*Assumptions!$E$14</f>
        <v>5.97104601566357</v>
      </c>
      <c r="E9" s="52">
        <f>MAX(0,E8)*Assumptions!$E$14</f>
        <v>6.796466698211686</v>
      </c>
      <c r="F9" s="52">
        <f>MAX(0,F8)*Assumptions!$E$14</f>
        <v>7.65208122029009</v>
      </c>
      <c r="G9" s="52">
        <f>MAX(0,G8)*Assumptions!$E$14</f>
        <v>8.521764480838065</v>
      </c>
      <c r="H9" s="52">
        <f>MAX(0,H8)*Assumptions!$E$14</f>
        <v>9.386836069732826</v>
      </c>
      <c r="I9" s="52">
        <f>MAX(0,I8)*Assumptions!$E$14</f>
        <v>10.226602853298742</v>
      </c>
      <c r="J9" s="52">
        <f>MAX(0,J8)*Assumptions!$E$14</f>
        <v>11.019084386892471</v>
      </c>
      <c r="K9" s="52">
        <f>MAX(0,K8)*Assumptions!$E$14</f>
        <v>11.741893689541664</v>
      </c>
      <c r="L9" s="52">
        <f>MAX(0,L8)*Assumptions!$E$14</f>
        <v>12.373230216696006</v>
      </c>
    </row>
    <row r="10">
      <c r="A10" s="14" t="inlineStr">
        <is>
          <t>NOPAT</t>
        </is>
      </c>
      <c r="C10" s="52">
        <f>C8-C9</f>
        <v>25.3347275285776</v>
      </c>
      <c r="D10" s="52">
        <f>D8-D9</f>
        <v>29.152754076475073</v>
      </c>
      <c r="E10" s="52">
        <f>E8-E9</f>
        <v>33.18274917362176</v>
      </c>
      <c r="F10" s="52">
        <f>F8-F9</f>
        <v>37.36016125200455</v>
      </c>
      <c r="G10" s="52">
        <f>G8-G9</f>
        <v>41.6062618770329</v>
      </c>
      <c r="H10" s="52">
        <f>H8-H9</f>
        <v>45.82984669340145</v>
      </c>
      <c r="I10" s="52">
        <f>I8-I9</f>
        <v>49.929884519046794</v>
      </c>
      <c r="J10" s="52">
        <f>J8-J9</f>
        <v>53.799059065416174</v>
      </c>
      <c r="K10" s="52">
        <f>K8-K9</f>
        <v>57.32806919011518</v>
      </c>
      <c r="L10" s="52">
        <f>L8-L9</f>
        <v>60.410476940339315</v>
      </c>
    </row>
    <row r="11">
      <c r="A11" s="14" t="inlineStr">
        <is>
          <t>Reinvestment</t>
        </is>
      </c>
      <c r="C11" s="52">
        <f>(C7-B7)*Assumptions!$E$15</f>
        <v>5.467937999999997</v>
      </c>
      <c r="D11" s="52">
        <f>(D7-C7)*Assumptions!$E$15</f>
        <v>5.589976681644451</v>
      </c>
      <c r="E11" s="52">
        <f>(E7-D7)*Assumptions!$E$15</f>
        <v>5.6073051722210465</v>
      </c>
      <c r="F11" s="52">
        <f>(F7-E7)*Assumptions!$E$15</f>
        <v>5.506676929641209</v>
      </c>
      <c r="G11" s="52">
        <f>(G7-F7)*Assumptions!$E$15</f>
        <v>5.278283236572861</v>
      </c>
      <c r="H11" s="52">
        <f>(H7-G7)*Assumptions!$E$15</f>
        <v>4.916694086249393</v>
      </c>
      <c r="I11" s="52">
        <f>(I7-H7)*Assumptions!$E$15</f>
        <v>4.4216322823345</v>
      </c>
      <c r="J11" s="52">
        <f>(J7-I7)*Assumptions!$E$15</f>
        <v>3.7985026185142488</v>
      </c>
      <c r="K11" s="52">
        <f>(K7-J7)*Assumptions!$E$15</f>
        <v>3.0586094770117143</v>
      </c>
      <c r="L11" s="52">
        <f>(L7-K7)*Assumptions!$E$15</f>
        <v>2.2190154621047213</v>
      </c>
    </row>
    <row r="12">
      <c r="A12" s="20" t="inlineStr">
        <is>
          <t>Free cash flow</t>
        </is>
      </c>
      <c r="C12" s="64">
        <f>C10-C11</f>
        <v>19.866789528577602</v>
      </c>
      <c r="D12" s="64">
        <f>D10-D11</f>
        <v>23.562777394830622</v>
      </c>
      <c r="E12" s="64">
        <f>E10-E11</f>
        <v>27.57544400140071</v>
      </c>
      <c r="F12" s="64">
        <f>F10-F11</f>
        <v>31.853484322363343</v>
      </c>
      <c r="G12" s="64">
        <f>G10-G11</f>
        <v>36.32797864046004</v>
      </c>
      <c r="H12" s="64">
        <f>H10-H11</f>
        <v>40.91315260715206</v>
      </c>
      <c r="I12" s="64">
        <f>I10-I11</f>
        <v>45.508252236712295</v>
      </c>
      <c r="J12" s="64">
        <f>J10-J11</f>
        <v>50.000556446901925</v>
      </c>
      <c r="K12" s="64">
        <f>K10-K11</f>
        <v>54.269459713103466</v>
      </c>
      <c r="L12" s="64">
        <f>L10-L11</f>
        <v>58.191461478234594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18.730588794750823</v>
      </c>
      <c r="D16" s="64">
        <f>D12*D13*D15</f>
        <v>19.74684406456157</v>
      </c>
      <c r="E16" s="64">
        <f>E12*E13*E15</f>
        <v>20.54192824111444</v>
      </c>
      <c r="F16" s="64">
        <f>F12*F13*F15</f>
        <v>21.092260012083035</v>
      </c>
      <c r="G16" s="64">
        <f>G12*G13*G15</f>
        <v>21.382322844698564</v>
      </c>
      <c r="H16" s="64">
        <f>H12*H13*H15</f>
        <v>21.40543570926834</v>
      </c>
      <c r="I16" s="64">
        <f>I12*I13*I15</f>
        <v>21.164049112033254</v>
      </c>
      <c r="J16" s="64">
        <f>J12*J13*J15</f>
        <v>20.669545124195075</v>
      </c>
      <c r="K16" s="64">
        <f>K12*K13*K15</f>
        <v>19.941556674419</v>
      </c>
      <c r="L16" s="64">
        <f>L12*L13*L15</f>
        <v>19.006856742388187</v>
      </c>
    </row>
    <row r="19">
      <c r="A19" s="14" t="inlineStr">
        <is>
          <t>PV of forecast free cash flow</t>
        </is>
      </c>
      <c r="B19" s="52">
        <f>SUM(C16:L16)</f>
        <v>203.68138731951228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59.646248015190444</v>
      </c>
    </row>
    <row r="21">
      <c r="A21" s="14" t="inlineStr">
        <is>
          <t>Terminal value</t>
        </is>
      </c>
      <c r="B21" s="52">
        <f>B20/(Assumptions!$E$10-Assumptions!$E$11)</f>
        <v>596.4624801519044</v>
      </c>
    </row>
    <row r="22">
      <c r="A22" s="14" t="inlineStr">
        <is>
          <t>PV of terminal value</t>
        </is>
      </c>
      <c r="B22" s="52">
        <f>B21/(1+Assumptions!$E$10)^(L14+0.5)</f>
        <v>183.67832298498047</v>
      </c>
    </row>
    <row r="23">
      <c r="A23" s="20" t="inlineStr">
        <is>
          <t>Enterprise value</t>
        </is>
      </c>
      <c r="B23" s="66">
        <f>B19+B22</f>
        <v>387.35971030449275</v>
      </c>
    </row>
    <row r="24">
      <c r="A24" s="14" t="inlineStr">
        <is>
          <t>Cash &amp; investments</t>
        </is>
      </c>
      <c r="B24" s="55">
        <f>Main!C7</f>
        <v>75.469</v>
      </c>
    </row>
    <row r="25">
      <c r="A25" s="14" t="inlineStr">
        <is>
          <t>Debt</t>
        </is>
      </c>
      <c r="B25" s="55">
        <f>Main!C8</f>
        <v>9.923</v>
      </c>
    </row>
    <row r="26">
      <c r="A26" s="20" t="inlineStr">
        <is>
          <t>Equity value</t>
        </is>
      </c>
      <c r="B26" s="66">
        <f>B23+B24-B25</f>
        <v>452.90571030449274</v>
      </c>
    </row>
    <row r="27">
      <c r="A27" s="14" t="inlineStr">
        <is>
          <t>Shares (mm)</t>
        </is>
      </c>
      <c r="B27" s="55">
        <f>Main!C4</f>
        <v>57.686056</v>
      </c>
    </row>
    <row r="28">
      <c r="A28" s="20" t="inlineStr">
        <is>
          <t>NPV / share</t>
        </is>
      </c>
      <c r="B28" s="49">
        <f>B26/B27</f>
        <v>7.851216424026159</v>
      </c>
    </row>
    <row r="29">
      <c r="A29" s="14" t="inlineStr">
        <is>
          <t>Price</t>
        </is>
      </c>
      <c r="B29" s="50">
        <f>Main!C3</f>
        <v>7.85</v>
      </c>
    </row>
    <row r="30">
      <c r="A30" s="14" t="inlineStr">
        <is>
          <t>Upside</t>
        </is>
      </c>
      <c r="B30" s="63">
        <f>B28/B29-1</f>
        <v>0.00015495847467006385</v>
      </c>
    </row>
    <row r="31">
      <c r="A31" s="14" t="inlineStr">
        <is>
          <t>Terminal value, % of EV</t>
        </is>
      </c>
      <c r="B31" s="63">
        <f>IFERROR(B22/B23,0)</f>
        <v>0.4741802466771674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2026-10-21T06:25:21Z</dcterms:modified>
  <cp:lastModifiedBy>Wang, Eric</cp:lastModifiedBy>
</cp:coreProperties>
</file>