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Assembly Biosciences Inc</t>
        </is>
      </c>
      <c r="C2" s="10" t="n"/>
    </row>
    <row r="3">
      <c r="B3" t="inlineStr">
        <is>
          <t>Price</t>
        </is>
      </c>
      <c r="C3" s="11">
        <f>INDEX([1]Pharma!$F$1:$F$1000,MATCH("ASMB",[1]Pharma!$B$1:$B$1000,0))</f>
        <v>21.19</v>
      </c>
      <c r="F3" s="1" t="n"/>
    </row>
    <row r="4">
      <c r="B4" t="inlineStr">
        <is>
          <t>Shares</t>
        </is>
      </c>
      <c r="C4" s="51" t="n">
        <v>20.360596</v>
      </c>
      <c r="F4" s="1" t="n"/>
    </row>
    <row r="5">
      <c r="B5" t="inlineStr">
        <is>
          <t>Market Cap.</t>
        </is>
      </c>
      <c r="C5" s="13">
        <f>C3*C4</f>
        <v>431.44102924000003</v>
      </c>
      <c r="F5" s="1" t="n"/>
    </row>
    <row r="6"/>
    <row r="7">
      <c r="B7" t="inlineStr">
        <is>
          <t>Cash</t>
        </is>
      </c>
      <c r="C7" s="51">
        <f>32.286+288.075</f>
        <v>320.361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111.08002924000004</v>
      </c>
    </row>
    <row r="10"/>
    <row r="11">
      <c r="B11" s="14" t="inlineStr">
        <is>
          <t>NPV / Share</t>
        </is>
      </c>
      <c r="C11" s="11">
        <f>NPV!B28</f>
        <v>20.559310665502302</v>
      </c>
    </row>
    <row r="12">
      <c r="B12" s="14" t="inlineStr">
        <is>
          <t>Upside</t>
        </is>
      </c>
      <c r="C12" s="15">
        <f>IFERROR(C11/C3-1,"")</f>
        <v>-0.029763536314190597</v>
      </c>
    </row>
    <row r="13">
      <c r="B13" s="14" t="inlineStr">
        <is>
          <t>Cash / Share</t>
        </is>
      </c>
      <c r="C13" s="11">
        <f>IFERROR((C7-C8)/C4,"")</f>
        <v>15.734362589385888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2007</v>
      </c>
      <c r="C1" s="16" t="n">
        <v>2008</v>
      </c>
      <c r="D1" s="16" t="n">
        <v>2009</v>
      </c>
      <c r="E1" s="16" t="n">
        <v>2010</v>
      </c>
      <c r="F1" s="16" t="n">
        <v>2011</v>
      </c>
      <c r="G1" s="16" t="n">
        <v>2012</v>
      </c>
      <c r="H1" s="16" t="n">
        <v>2013</v>
      </c>
      <c r="I1" s="16" t="n">
        <v>2014</v>
      </c>
      <c r="J1" s="16" t="n">
        <v>2015</v>
      </c>
      <c r="K1" s="16" t="n">
        <v>2016</v>
      </c>
      <c r="L1" s="16" t="n">
        <v>2017</v>
      </c>
      <c r="M1" s="16" t="n">
        <v>2018</v>
      </c>
      <c r="N1" s="16" t="n">
        <v>2019</v>
      </c>
      <c r="O1" s="16" t="n">
        <v>2020</v>
      </c>
      <c r="P1" s="16" t="n">
        <v>2021</v>
      </c>
      <c r="Q1" s="16" t="n">
        <v>2022</v>
      </c>
      <c r="R1" s="16" t="n">
        <v>2023</v>
      </c>
      <c r="S1" s="16" t="n">
        <v>2024</v>
      </c>
      <c r="T1" s="16" t="n">
        <v>2025</v>
      </c>
      <c r="U1" s="16" t="n">
        <v>2026</v>
      </c>
      <c r="V1" s="16" t="n">
        <v>2027</v>
      </c>
      <c r="W1" s="16" t="n">
        <v>2028</v>
      </c>
      <c r="X1" s="16" t="n">
        <v>2029</v>
      </c>
      <c r="Y1" s="16" t="n">
        <v>2030</v>
      </c>
      <c r="Z1" s="16" t="n">
        <v>2031</v>
      </c>
      <c r="AA1" s="16" t="n">
        <v>2032</v>
      </c>
      <c r="AB1" s="16" t="n">
        <v>2033</v>
      </c>
      <c r="AC1" s="16" t="n">
        <v>2034</v>
      </c>
      <c r="AD1" s="16" t="n">
        <v>2035</v>
      </c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0</v>
      </c>
      <c r="H2" s="52" t="n">
        <v>0</v>
      </c>
      <c r="I2" s="52" t="n">
        <v>0</v>
      </c>
      <c r="J2" s="52" t="n">
        <v>0</v>
      </c>
      <c r="K2" s="52" t="n">
        <v>0</v>
      </c>
      <c r="L2" s="52" t="n">
        <v>9.019</v>
      </c>
      <c r="M2" s="52" t="n">
        <v>14.804</v>
      </c>
      <c r="N2" s="52" t="n">
        <v>15.963</v>
      </c>
      <c r="O2" s="52" t="n">
        <v>79.105</v>
      </c>
      <c r="P2" s="52" t="n">
        <v>6.254</v>
      </c>
      <c r="Q2" s="52" t="n">
        <v>0</v>
      </c>
      <c r="R2" s="52" t="n">
        <v>7.163</v>
      </c>
      <c r="S2" s="52" t="n">
        <v>28.52</v>
      </c>
      <c r="T2" s="52" t="n">
        <v>72.303</v>
      </c>
      <c r="U2" s="52">
        <f>T2*(1+NPV!C5)</f>
        <v>81.9554505</v>
      </c>
      <c r="V2" s="52">
        <f>U2*(1+NPV!D5)</f>
        <v>91.90848465516666</v>
      </c>
      <c r="W2" s="52">
        <f>V2*(1+NPV!E5)</f>
        <v>101.96225167105685</v>
      </c>
      <c r="X2" s="52">
        <f>W2*(1+NPV!F5)</f>
        <v>111.88657750037304</v>
      </c>
      <c r="Y2" s="52">
        <f>X2*(1+NPV!G5)</f>
        <v>121.42801619276597</v>
      </c>
      <c r="Z2" s="52">
        <f>Y2*(1+NPV!H5)</f>
        <v>130.31924537843628</v>
      </c>
      <c r="AA2" s="52">
        <f>Z2*(1+NPV!I5)</f>
        <v>138.2904392207506</v>
      </c>
      <c r="AB2" s="52">
        <f>AA2*(1+NPV!J5)</f>
        <v>145.08203634692526</v>
      </c>
      <c r="AC2" s="52">
        <f>AB2*(1+NPV!K5)</f>
        <v>150.4581318048919</v>
      </c>
      <c r="AD2" s="52">
        <f>AC2*(1+NPV!L5)</f>
        <v>154.2195851000142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0</v>
      </c>
      <c r="P3" s="52" t="n">
        <v>0</v>
      </c>
      <c r="Q3" s="52" t="n">
        <v>0</v>
      </c>
      <c r="R3" s="52" t="n">
        <v>0</v>
      </c>
      <c r="S3" s="52" t="n">
        <v>0</v>
      </c>
      <c r="T3" s="52" t="n">
        <v>0</v>
      </c>
      <c r="U3" s="52">
        <f>U2*(1-Assumptions!$B$19)</f>
        <v>0.0</v>
      </c>
      <c r="V3" s="52">
        <f>V2*(1-Assumptions!$B$19)</f>
        <v>0.0</v>
      </c>
      <c r="W3" s="52">
        <f>W2*(1-Assumptions!$B$19)</f>
        <v>0.0</v>
      </c>
      <c r="X3" s="52">
        <f>X2*(1-Assumptions!$B$19)</f>
        <v>0.0</v>
      </c>
      <c r="Y3" s="52">
        <f>Y2*(1-Assumptions!$B$19)</f>
        <v>0.0</v>
      </c>
      <c r="Z3" s="52">
        <f>Z2*(1-Assumptions!$B$19)</f>
        <v>0.0</v>
      </c>
      <c r="AA3" s="52">
        <f>AA2*(1-Assumptions!$B$19)</f>
        <v>0.0</v>
      </c>
      <c r="AB3" s="52">
        <f>AB2*(1-Assumptions!$B$19)</f>
        <v>0.0</v>
      </c>
      <c r="AC3" s="52">
        <f>AC2*(1-Assumptions!$B$19)</f>
        <v>0.0</v>
      </c>
      <c r="AD3" s="52">
        <f>AD2*(1-Assumptions!$B$19)</f>
        <v>0.0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0.0</v>
      </c>
      <c r="J4" s="52">
        <f>J2-J3</f>
        <v>0.0</v>
      </c>
      <c r="K4" s="52">
        <f>K2-K3</f>
        <v>0.0</v>
      </c>
      <c r="L4" s="52">
        <f>L2-L3</f>
        <v>9.019</v>
      </c>
      <c r="M4" s="52">
        <f>M2-M3</f>
        <v>14.804</v>
      </c>
      <c r="N4" s="52">
        <f>N2-N3</f>
        <v>15.963</v>
      </c>
      <c r="O4" s="52">
        <f>O2-O3</f>
        <v>79.105</v>
      </c>
      <c r="P4" s="52">
        <f>P2-P3</f>
        <v>6.254</v>
      </c>
      <c r="Q4" s="52">
        <f>Q2-Q3</f>
        <v>0.0</v>
      </c>
      <c r="R4" s="52">
        <f>R2-R3</f>
        <v>7.163</v>
      </c>
      <c r="S4" s="52">
        <f>S2-S3</f>
        <v>28.52</v>
      </c>
      <c r="T4" s="52">
        <f>T2-T3</f>
        <v>72.303</v>
      </c>
      <c r="U4" s="52">
        <f>U2-U3</f>
        <v>81.9554505</v>
      </c>
      <c r="V4" s="52">
        <f>V2-V3</f>
        <v>91.90848465516666</v>
      </c>
      <c r="W4" s="52">
        <f>W2-W3</f>
        <v>101.96225167105685</v>
      </c>
      <c r="X4" s="52">
        <f>X2-X3</f>
        <v>111.88657750037304</v>
      </c>
      <c r="Y4" s="52">
        <f>Y2-Y3</f>
        <v>121.42801619276597</v>
      </c>
      <c r="Z4" s="52">
        <f>Z2-Z3</f>
        <v>130.31924537843628</v>
      </c>
      <c r="AA4" s="52">
        <f>AA2-AA3</f>
        <v>138.2904392207506</v>
      </c>
      <c r="AB4" s="52">
        <f>AB2-AB3</f>
        <v>145.08203634692526</v>
      </c>
      <c r="AC4" s="52">
        <f>AC2-AC3</f>
        <v>150.4581318048919</v>
      </c>
      <c r="AD4" s="52">
        <f>AD2-AD3</f>
        <v>154.2195851000142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2.943</v>
      </c>
      <c r="E5" s="52" t="n">
        <v>1.851</v>
      </c>
      <c r="F5" s="52" t="n">
        <v>25.278</v>
      </c>
      <c r="G5" s="52" t="n">
        <v>19.514</v>
      </c>
      <c r="H5" s="52" t="n">
        <v>15.029</v>
      </c>
      <c r="I5" s="52" t="n">
        <v>10.717</v>
      </c>
      <c r="J5" s="52" t="n">
        <v>18.358</v>
      </c>
      <c r="K5" s="52" t="n">
        <v>33.093</v>
      </c>
      <c r="L5" s="52" t="n">
        <v>44.225</v>
      </c>
      <c r="M5" s="52" t="n">
        <v>72.741</v>
      </c>
      <c r="N5" s="52" t="n">
        <v>85.75700000000001</v>
      </c>
      <c r="O5" s="52" t="n">
        <v>106.823</v>
      </c>
      <c r="P5" s="52" t="n">
        <v>68.524</v>
      </c>
      <c r="Q5" s="52" t="n">
        <v>69.98</v>
      </c>
      <c r="R5" s="52" t="n">
        <v>48.9</v>
      </c>
      <c r="S5" s="52" t="n">
        <v>55.933</v>
      </c>
      <c r="T5" s="52" t="n">
        <v>64.813</v>
      </c>
      <c r="U5" s="52">
        <f>U7*Assumptions!$B$20</f>
        <v>68.31234919301389</v>
      </c>
      <c r="V5" s="52">
        <f>V7*Assumptions!$B$20</f>
        <v>74.3682834279391</v>
      </c>
      <c r="W5" s="52">
        <f>W7*Assumptions!$B$20</f>
        <v>80.01807096639546</v>
      </c>
      <c r="X5" s="52">
        <f>X7*Assumptions!$B$20</f>
        <v>85.07931995433954</v>
      </c>
      <c r="Y5" s="52">
        <f>Y7*Assumptions!$B$20</f>
        <v>89.3749511499</v>
      </c>
      <c r="Z5" s="52">
        <f>Z7*Assumptions!$B$20</f>
        <v>92.74272049560267</v>
      </c>
      <c r="AA5" s="52">
        <f>AA7*Assumptions!$B$20</f>
        <v>95.04472671239182</v>
      </c>
      <c r="AB5" s="52">
        <f>AB7*Assumptions!$B$20</f>
        <v>96.17618037860207</v>
      </c>
      <c r="AC5" s="52">
        <f>AC7*Assumptions!$B$20</f>
        <v>96.07270420151745</v>
      </c>
      <c r="AD5" s="52">
        <f>AD7*Assumptions!$B$20</f>
        <v>94.71550038502473</v>
      </c>
    </row>
    <row r="6">
      <c r="A6" s="18" t="inlineStr">
        <is>
          <t>SG&amp;A &amp; Other</t>
        </is>
      </c>
      <c r="B6" s="52" t="n">
        <v>4.568</v>
      </c>
      <c r="C6" s="52" t="n">
        <v>8.786</v>
      </c>
      <c r="D6" s="52" t="n">
        <v>0.397</v>
      </c>
      <c r="E6" s="52" t="n">
        <v>2.916</v>
      </c>
      <c r="F6" s="52" t="n">
        <v>8.724</v>
      </c>
      <c r="G6" s="52" t="n">
        <v>5.341</v>
      </c>
      <c r="H6" s="52" t="n">
        <v>4.576</v>
      </c>
      <c r="I6" s="52" t="n">
        <v>13.24</v>
      </c>
      <c r="J6" s="52" t="n">
        <v>11.298</v>
      </c>
      <c r="K6" s="52" t="n">
        <v>12.185</v>
      </c>
      <c r="L6" s="52" t="n">
        <v>17.021</v>
      </c>
      <c r="M6" s="52" t="n">
        <v>34.798</v>
      </c>
      <c r="N6" s="52" t="n">
        <v>32.919</v>
      </c>
      <c r="O6" s="52" t="n">
        <v>37.058</v>
      </c>
      <c r="P6" s="52" t="n">
        <v>70.41800000000001</v>
      </c>
      <c r="Q6" s="52" t="n">
        <v>24.134</v>
      </c>
      <c r="R6" s="52" t="n">
        <v>22.909</v>
      </c>
      <c r="S6" s="52" t="n">
        <v>18.007</v>
      </c>
      <c r="T6" s="52" t="n">
        <v>19.608</v>
      </c>
      <c r="U6" s="52">
        <f>U7-U5</f>
        <v>20.670781187361115</v>
      </c>
      <c r="V6" s="52">
        <f>V7-V5</f>
        <v>22.50325939860656</v>
      </c>
      <c r="W6" s="52">
        <f>W7-W5</f>
        <v>24.212840804342406</v>
      </c>
      <c r="X6" s="52">
        <f>X7-X5</f>
        <v>25.744335059779957</v>
      </c>
      <c r="Y6" s="52">
        <f>Y7-Y5</f>
        <v>27.044159374914372</v>
      </c>
      <c r="Z6" s="52">
        <f>Z7-Z5</f>
        <v>28.063219970207754</v>
      </c>
      <c r="AA6" s="52">
        <f>AA7-AA5</f>
        <v>28.75978899998516</v>
      </c>
      <c r="AB6" s="52">
        <f>AB7-AB5</f>
        <v>29.102158006967898</v>
      </c>
      <c r="AC6" s="52">
        <f>AC7-AC5</f>
        <v>29.070846927201387</v>
      </c>
      <c r="AD6" s="52">
        <f>AD7-AD5</f>
        <v>28.66016769498664</v>
      </c>
    </row>
    <row r="7">
      <c r="A7" s="2" t="inlineStr">
        <is>
          <t>Operating Expense</t>
        </is>
      </c>
      <c r="B7" s="52">
        <f>SUM(B5:B6)</f>
        <v>4.568</v>
      </c>
      <c r="C7" s="52">
        <f>SUM(C5:C6)</f>
        <v>8.786</v>
      </c>
      <c r="D7" s="52">
        <f>SUM(D5:D6)</f>
        <v>3.34</v>
      </c>
      <c r="E7" s="52">
        <f>SUM(E5:E6)</f>
        <v>4.7669999999999995</v>
      </c>
      <c r="F7" s="52">
        <f>SUM(F5:F6)</f>
        <v>34.001999999999995</v>
      </c>
      <c r="G7" s="52">
        <f>SUM(G5:G6)</f>
        <v>24.855</v>
      </c>
      <c r="H7" s="52">
        <f>SUM(H5:H6)</f>
        <v>19.605</v>
      </c>
      <c r="I7" s="52">
        <f>SUM(I5:I6)</f>
        <v>23.957</v>
      </c>
      <c r="J7" s="52">
        <f>SUM(J5:J6)</f>
        <v>29.656</v>
      </c>
      <c r="K7" s="52">
        <f>SUM(K5:K6)</f>
        <v>45.278000000000006</v>
      </c>
      <c r="L7" s="52">
        <f>SUM(L5:L6)</f>
        <v>61.246</v>
      </c>
      <c r="M7" s="52">
        <f>SUM(M5:M6)</f>
        <v>107.539</v>
      </c>
      <c r="N7" s="52">
        <f>SUM(N5:N6)</f>
        <v>118.676</v>
      </c>
      <c r="O7" s="52">
        <f>SUM(O5:O6)</f>
        <v>143.881</v>
      </c>
      <c r="P7" s="52">
        <f>SUM(P5:P6)</f>
        <v>138.942</v>
      </c>
      <c r="Q7" s="52">
        <f>SUM(Q5:Q6)</f>
        <v>94.114</v>
      </c>
      <c r="R7" s="52">
        <f>SUM(R5:R6)</f>
        <v>71.809</v>
      </c>
      <c r="S7" s="52">
        <f>SUM(S5:S6)</f>
        <v>73.94</v>
      </c>
      <c r="T7" s="52">
        <f>SUM(T5:T6)</f>
        <v>84.421</v>
      </c>
      <c r="U7" s="52">
        <f>U4-U2*NPV!C6</f>
        <v>88.983130380375</v>
      </c>
      <c r="V7" s="52">
        <f>V4-V2*NPV!D6</f>
        <v>96.87154282654566</v>
      </c>
      <c r="W7" s="52">
        <f>W4-W2*NPV!E6</f>
        <v>104.23091177073786</v>
      </c>
      <c r="X7" s="52">
        <f>X4-X2*NPV!F6</f>
        <v>110.8236550141195</v>
      </c>
      <c r="Y7" s="52">
        <f>Y4-Y2*NPV!G6</f>
        <v>116.41911052481437</v>
      </c>
      <c r="Z7" s="52">
        <f>Z4-Z2*NPV!H6</f>
        <v>120.80594046581042</v>
      </c>
      <c r="AA7" s="52">
        <f>AA4-AA2*NPV!I6</f>
        <v>123.80451571237698</v>
      </c>
      <c r="AB7" s="52">
        <f>AB4-AB2*NPV!J6</f>
        <v>125.27833838556997</v>
      </c>
      <c r="AC7" s="52">
        <f>AC4-AC2*NPV!K6</f>
        <v>125.14355112871884</v>
      </c>
      <c r="AD7" s="52">
        <f>AD4-AD2*NPV!L6</f>
        <v>123.37566808001137</v>
      </c>
    </row>
    <row r="8">
      <c r="A8" s="2" t="inlineStr">
        <is>
          <t>Operating Income</t>
        </is>
      </c>
      <c r="B8" s="52">
        <f>B4-B7</f>
        <v>-4.568</v>
      </c>
      <c r="C8" s="52">
        <f>C4-C7</f>
        <v>-8.786</v>
      </c>
      <c r="D8" s="52">
        <f>D4-D7</f>
        <v>-3.34</v>
      </c>
      <c r="E8" s="52">
        <f>E4-E7</f>
        <v>-4.7669999999999995</v>
      </c>
      <c r="F8" s="52">
        <f>F4-F7</f>
        <v>-34.001999999999995</v>
      </c>
      <c r="G8" s="52">
        <f>G4-G7</f>
        <v>-24.855</v>
      </c>
      <c r="H8" s="52">
        <f>H4-H7</f>
        <v>-19.605</v>
      </c>
      <c r="I8" s="52">
        <f>I4-I7</f>
        <v>-23.957</v>
      </c>
      <c r="J8" s="52">
        <f>J4-J7</f>
        <v>-29.656</v>
      </c>
      <c r="K8" s="52">
        <f>K4-K7</f>
        <v>-45.278000000000006</v>
      </c>
      <c r="L8" s="52">
        <f>L4-L7</f>
        <v>-52.227000000000004</v>
      </c>
      <c r="M8" s="52">
        <f>M4-M7</f>
        <v>-92.735</v>
      </c>
      <c r="N8" s="52">
        <f>N4-N7</f>
        <v>-102.71300000000001</v>
      </c>
      <c r="O8" s="52">
        <f>O4-O7</f>
        <v>-64.776</v>
      </c>
      <c r="P8" s="52">
        <f>P4-P7</f>
        <v>-132.68800000000002</v>
      </c>
      <c r="Q8" s="52">
        <f>Q4-Q7</f>
        <v>-94.114</v>
      </c>
      <c r="R8" s="52">
        <f>R4-R7</f>
        <v>-64.646</v>
      </c>
      <c r="S8" s="52">
        <f>S4-S7</f>
        <v>-45.42</v>
      </c>
      <c r="T8" s="52">
        <f>T4-T7</f>
        <v>-12.11800000000001</v>
      </c>
      <c r="U8" s="52">
        <f>U4-U7</f>
        <v>-7.027679880375004</v>
      </c>
      <c r="V8" s="52">
        <f>V4-V7</f>
        <v>-4.963058171379004</v>
      </c>
      <c r="W8" s="52">
        <f>W4-W7</f>
        <v>-2.2686600996810142</v>
      </c>
      <c r="X8" s="52">
        <f>X4-X7</f>
        <v>1.062922486253541</v>
      </c>
      <c r="Y8" s="52">
        <f>Y4-Y7</f>
        <v>5.008905667951595</v>
      </c>
      <c r="Z8" s="52">
        <f>Z4-Z7</f>
        <v>9.513304912625856</v>
      </c>
      <c r="AA8" s="52">
        <f>AA4-AA7</f>
        <v>14.48592350837363</v>
      </c>
      <c r="AB8" s="52">
        <f>AB4-AB7</f>
        <v>19.803697961355297</v>
      </c>
      <c r="AC8" s="52">
        <f>AC4-AC7</f>
        <v>25.314580676173065</v>
      </c>
      <c r="AD8" s="52">
        <f>AD4-AD7</f>
        <v>30.843917020002834</v>
      </c>
    </row>
    <row r="9">
      <c r="A9" s="18" t="inlineStr">
        <is>
          <t>Interest &amp; Other</t>
        </is>
      </c>
      <c r="B9" s="52" t="n">
        <v>0</v>
      </c>
      <c r="C9" s="52" t="n">
        <v>0</v>
      </c>
      <c r="D9" s="52" t="n">
        <v>-1.199</v>
      </c>
      <c r="E9" s="52" t="n">
        <v>-10.524</v>
      </c>
      <c r="F9" s="52" t="n">
        <v>-0.343</v>
      </c>
      <c r="G9" s="52" t="n">
        <v>0.065</v>
      </c>
      <c r="H9" s="52" t="n">
        <v>0.201</v>
      </c>
      <c r="I9" s="52" t="n">
        <v>0.168</v>
      </c>
      <c r="J9" s="52" t="n">
        <v>1.202</v>
      </c>
      <c r="K9" s="52" t="n">
        <v>0.399</v>
      </c>
      <c r="L9" s="52" t="n">
        <v>0.368</v>
      </c>
      <c r="M9" s="52" t="n">
        <v>3.083</v>
      </c>
      <c r="N9" s="52" t="n">
        <v>4.305</v>
      </c>
      <c r="O9" s="52" t="n">
        <v>2.624</v>
      </c>
      <c r="P9" s="52" t="n">
        <v>0.302</v>
      </c>
      <c r="Q9" s="52" t="n">
        <v>1.022</v>
      </c>
      <c r="R9" s="52" t="n">
        <v>3.451</v>
      </c>
      <c r="S9" s="52" t="n">
        <v>5.573</v>
      </c>
      <c r="T9" s="52" t="n">
        <v>5.996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  <c r="AC9" s="52" t="n">
        <v>0</v>
      </c>
      <c r="AD9" s="52" t="n">
        <v>0</v>
      </c>
    </row>
    <row r="10">
      <c r="A10" s="2" t="inlineStr">
        <is>
          <t>Pretax</t>
        </is>
      </c>
      <c r="B10" s="52">
        <f>B8+B9</f>
        <v>-4.568</v>
      </c>
      <c r="C10" s="52">
        <f>C8+C9</f>
        <v>-8.786</v>
      </c>
      <c r="D10" s="52">
        <f>D8+D9</f>
        <v>-4.539</v>
      </c>
      <c r="E10" s="52">
        <f>E8+E9</f>
        <v>-15.290999999999999</v>
      </c>
      <c r="F10" s="52">
        <f>F8+F9</f>
        <v>-34.345</v>
      </c>
      <c r="G10" s="52">
        <f>G8+G9</f>
        <v>-24.79</v>
      </c>
      <c r="H10" s="52">
        <f>H8+H9</f>
        <v>-19.404</v>
      </c>
      <c r="I10" s="52">
        <f>I8+I9</f>
        <v>-23.789</v>
      </c>
      <c r="J10" s="52">
        <f>J8+J9</f>
        <v>-28.454</v>
      </c>
      <c r="K10" s="52">
        <f>K8+K9</f>
        <v>-44.879000000000005</v>
      </c>
      <c r="L10" s="52">
        <f>L8+L9</f>
        <v>-51.859</v>
      </c>
      <c r="M10" s="52">
        <f>M8+M9</f>
        <v>-89.652</v>
      </c>
      <c r="N10" s="52">
        <f>N8+N9</f>
        <v>-98.40800000000002</v>
      </c>
      <c r="O10" s="52">
        <f>O8+O9</f>
        <v>-62.151999999999994</v>
      </c>
      <c r="P10" s="52">
        <f>P8+P9</f>
        <v>-132.38600000000002</v>
      </c>
      <c r="Q10" s="52">
        <f>Q8+Q9</f>
        <v>-93.092</v>
      </c>
      <c r="R10" s="52">
        <f>R8+R9</f>
        <v>-61.195</v>
      </c>
      <c r="S10" s="52">
        <f>S8+S9</f>
        <v>-39.847</v>
      </c>
      <c r="T10" s="52">
        <f>T8+T9</f>
        <v>-6.122000000000009</v>
      </c>
      <c r="U10" s="52">
        <f>U8+U9</f>
        <v>-7.027679880375004</v>
      </c>
      <c r="V10" s="52">
        <f>V8+V9</f>
        <v>-4.963058171379004</v>
      </c>
      <c r="W10" s="52">
        <f>W8+W9</f>
        <v>-2.2686600996810142</v>
      </c>
      <c r="X10" s="52">
        <f>X8+X9</f>
        <v>1.062922486253541</v>
      </c>
      <c r="Y10" s="52">
        <f>Y8+Y9</f>
        <v>5.008905667951595</v>
      </c>
      <c r="Z10" s="52">
        <f>Z8+Z9</f>
        <v>9.513304912625856</v>
      </c>
      <c r="AA10" s="52">
        <f>AA8+AA9</f>
        <v>14.48592350837363</v>
      </c>
      <c r="AB10" s="52">
        <f>AB8+AB9</f>
        <v>19.803697961355297</v>
      </c>
      <c r="AC10" s="52">
        <f>AC8+AC9</f>
        <v>25.314580676173065</v>
      </c>
      <c r="AD10" s="52">
        <f>AD8+AD9</f>
        <v>30.843917020002834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-0.618</v>
      </c>
      <c r="L11" s="52" t="n">
        <v>-9.050000000000001</v>
      </c>
      <c r="M11" s="52" t="n">
        <v>1.099</v>
      </c>
      <c r="N11" s="52" t="n">
        <v>-0.774</v>
      </c>
      <c r="O11" s="52" t="n">
        <v>0</v>
      </c>
      <c r="P11" s="52" t="n">
        <v>-2.531</v>
      </c>
      <c r="Q11" s="52" t="n">
        <v>0</v>
      </c>
      <c r="R11" s="52" t="n">
        <v>0.033</v>
      </c>
      <c r="S11" s="52" t="n">
        <v>0.33</v>
      </c>
      <c r="T11" s="52" t="n">
        <v>0</v>
      </c>
      <c r="U11" s="52">
        <f>MAX(0,U10)*Assumptions!$E$14</f>
        <v>0.0</v>
      </c>
      <c r="V11" s="52">
        <f>MAX(0,V10)*Assumptions!$E$14</f>
        <v>0.0</v>
      </c>
      <c r="W11" s="52">
        <f>MAX(0,W10)*Assumptions!$E$14</f>
        <v>0.0</v>
      </c>
      <c r="X11" s="52">
        <f>MAX(0,X10)*Assumptions!$E$14</f>
        <v>0.18069682266310197</v>
      </c>
      <c r="Y11" s="52">
        <f>MAX(0,Y10)*Assumptions!$E$14</f>
        <v>0.8515139635517712</v>
      </c>
      <c r="Z11" s="52">
        <f>MAX(0,Z10)*Assumptions!$E$14</f>
        <v>1.6172618351463957</v>
      </c>
      <c r="AA11" s="52">
        <f>MAX(0,AA10)*Assumptions!$E$14</f>
        <v>2.4626069964235175</v>
      </c>
      <c r="AB11" s="52">
        <f>MAX(0,AB10)*Assumptions!$E$14</f>
        <v>3.366628653430401</v>
      </c>
      <c r="AC11" s="52">
        <f>MAX(0,AC10)*Assumptions!$E$14</f>
        <v>4.303478714949422</v>
      </c>
      <c r="AD11" s="52">
        <f>MAX(0,AD10)*Assumptions!$E$14</f>
        <v>5.243465893400482</v>
      </c>
    </row>
    <row r="12">
      <c r="A12" s="2" t="inlineStr">
        <is>
          <t>Net Income</t>
        </is>
      </c>
      <c r="B12" s="52" t="n">
        <v>-4.568</v>
      </c>
      <c r="C12" s="52" t="n">
        <v>-8.786</v>
      </c>
      <c r="D12" s="52" t="n">
        <v>-4.539</v>
      </c>
      <c r="E12" s="52" t="n">
        <v>-15.291</v>
      </c>
      <c r="F12" s="52" t="n">
        <v>-34.345</v>
      </c>
      <c r="G12" s="52" t="n">
        <v>-24.79</v>
      </c>
      <c r="H12" s="52" t="n">
        <v>-19.404</v>
      </c>
      <c r="I12" s="52" t="n">
        <v>-23.789</v>
      </c>
      <c r="J12" s="52" t="n">
        <v>-28.454</v>
      </c>
      <c r="K12" s="52" t="n">
        <v>-44.261</v>
      </c>
      <c r="L12" s="52" t="n">
        <v>-42.809</v>
      </c>
      <c r="M12" s="52" t="n">
        <v>-90.751</v>
      </c>
      <c r="N12" s="52" t="n">
        <v>-97.634</v>
      </c>
      <c r="O12" s="52" t="n">
        <v>-62.152</v>
      </c>
      <c r="P12" s="52" t="n">
        <v>-129.855</v>
      </c>
      <c r="Q12" s="52" t="n">
        <v>-93.092</v>
      </c>
      <c r="R12" s="52" t="n">
        <v>-61.228</v>
      </c>
      <c r="S12" s="52" t="n">
        <v>-40.177</v>
      </c>
      <c r="T12" s="52" t="n">
        <v>-6.122</v>
      </c>
      <c r="U12" s="52">
        <f>U10-U11</f>
        <v>-7.027679880375004</v>
      </c>
      <c r="V12" s="52">
        <f>V10-V11</f>
        <v>-4.963058171379004</v>
      </c>
      <c r="W12" s="52">
        <f>W10-W11</f>
        <v>-2.2686600996810142</v>
      </c>
      <c r="X12" s="52">
        <f>X10-X11</f>
        <v>0.882225663590439</v>
      </c>
      <c r="Y12" s="52">
        <f>Y10-Y11</f>
        <v>4.157391704399823</v>
      </c>
      <c r="Z12" s="52">
        <f>Z10-Z11</f>
        <v>7.89604307747946</v>
      </c>
      <c r="AA12" s="52">
        <f>AA10-AA11</f>
        <v>12.023316511950114</v>
      </c>
      <c r="AB12" s="52">
        <f>AB10-AB11</f>
        <v>16.437069307924897</v>
      </c>
      <c r="AC12" s="52">
        <f>AC10-AC11</f>
        <v>21.011101961223645</v>
      </c>
      <c r="AD12" s="52">
        <f>AD10-AD11</f>
        <v>25.60045112660235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-24.662903225806453</v>
      </c>
      <c r="F13" s="11">
        <f>IFERROR(F12/F14,0)</f>
        <v>-3.5723944247971704</v>
      </c>
      <c r="G13" s="11">
        <f>IFERROR(G12/G14,0)</f>
        <v>-1.947827453445431</v>
      </c>
      <c r="H13" s="11">
        <f>IFERROR(H12/H14,0)</f>
        <v>-5.002320185614849</v>
      </c>
      <c r="I13" s="11">
        <f>IFERROR(I12/I14,0)</f>
        <v>-3.3989141305900845</v>
      </c>
      <c r="J13" s="11">
        <f>IFERROR(J12/J14,0)</f>
        <v>-1.81201044386423</v>
      </c>
      <c r="K13" s="11">
        <f>IFERROR(K12/K14,0)</f>
        <v>-2.5694299314988975</v>
      </c>
      <c r="L13" s="11">
        <f>IFERROR(L12/L14,0)</f>
        <v>-2.4117746478873237</v>
      </c>
      <c r="M13" s="11">
        <f>IFERROR(M12/M14,0)</f>
        <v>-3.9799578984299626</v>
      </c>
      <c r="N13" s="11">
        <f>IFERROR(N12/N14,0)</f>
        <v>-3.7181156936669333</v>
      </c>
      <c r="O13" s="11">
        <f>IFERROR(O12/O14,0)</f>
        <v>-1.7543681372964124</v>
      </c>
      <c r="P13" s="11">
        <f>IFERROR(P12/P14,0)</f>
        <v>-3.000346580406654</v>
      </c>
      <c r="Q13" s="11">
        <f>IFERROR(Q12/Q14,0)</f>
        <v>-23.076846802181457</v>
      </c>
      <c r="R13" s="11">
        <f>IFERROR(R12/R14,0)</f>
        <v>-13.377321389556478</v>
      </c>
      <c r="S13" s="11">
        <f>IFERROR(S12/S14,0)</f>
        <v>-6.690591174021649</v>
      </c>
      <c r="T13" s="11">
        <f>IFERROR(T12/T14,0)</f>
        <v>-0.5460708232985461</v>
      </c>
      <c r="U13" s="11">
        <f>IFERROR(U12/U14,0)</f>
        <v>-0.34516081358202894</v>
      </c>
      <c r="V13" s="11">
        <f>IFERROR(V12/V14,0)</f>
        <v>-0.24375800057026834</v>
      </c>
      <c r="W13" s="11">
        <f>IFERROR(W12/W14,0)</f>
        <v>-0.11142405161818515</v>
      </c>
      <c r="X13" s="11">
        <f>IFERROR(X12/X14,0)</f>
        <v>0.04333005102554163</v>
      </c>
      <c r="Y13" s="11">
        <f>IFERROR(Y12/Y14,0)</f>
        <v>0.20418811435577933</v>
      </c>
      <c r="Z13" s="11">
        <f>IFERROR(Z12/Z14,0)</f>
        <v>0.3878100168324866</v>
      </c>
      <c r="AA13" s="11">
        <f>IFERROR(AA12/AA14,0)</f>
        <v>0.5905188881479753</v>
      </c>
      <c r="AB13" s="11">
        <f>IFERROR(AB12/AB14,0)</f>
        <v>0.807298043138074</v>
      </c>
      <c r="AC13" s="11">
        <f>IFERROR(AC12/AC14,0)</f>
        <v>1.0319492593057513</v>
      </c>
      <c r="AD13" s="11">
        <f>IFERROR(AD12/AD14,0)</f>
        <v>1.2573527379356846</v>
      </c>
    </row>
    <row r="14">
      <c r="A14" s="2" t="inlineStr">
        <is>
          <t>Shares</t>
        </is>
      </c>
      <c r="B14" s="52" t="n"/>
      <c r="C14" s="52" t="n"/>
      <c r="D14" s="52" t="n"/>
      <c r="E14" s="52" t="n">
        <v>0.62</v>
      </c>
      <c r="F14" s="52" t="n">
        <v>9.614000000000001</v>
      </c>
      <c r="G14" s="52" t="n">
        <v>12.727</v>
      </c>
      <c r="H14" s="52" t="n">
        <v>3.879</v>
      </c>
      <c r="I14" s="52" t="n">
        <v>6.999</v>
      </c>
      <c r="J14" s="52" t="n">
        <v>15.703</v>
      </c>
      <c r="K14" s="52" t="n">
        <v>17.226</v>
      </c>
      <c r="L14" s="52" t="n">
        <v>17.75</v>
      </c>
      <c r="M14" s="52" t="n">
        <v>22.802</v>
      </c>
      <c r="N14" s="52" t="n">
        <v>26.259</v>
      </c>
      <c r="O14" s="52" t="n">
        <v>35.427</v>
      </c>
      <c r="P14" s="52" t="n">
        <v>43.28</v>
      </c>
      <c r="Q14" s="52" t="n">
        <v>4.034</v>
      </c>
      <c r="R14" s="52" t="n">
        <v>4.577</v>
      </c>
      <c r="S14" s="52" t="n">
        <v>6.005</v>
      </c>
      <c r="T14" s="52" t="n">
        <v>11.211</v>
      </c>
      <c r="U14" s="52">
        <f>Main!$C$4</f>
        <v>20.360596</v>
      </c>
      <c r="V14" s="52">
        <f>Main!$C$4</f>
        <v>20.360596</v>
      </c>
      <c r="W14" s="52">
        <f>Main!$C$4</f>
        <v>20.360596</v>
      </c>
      <c r="X14" s="52">
        <f>Main!$C$4</f>
        <v>20.360596</v>
      </c>
      <c r="Y14" s="52">
        <f>Main!$C$4</f>
        <v>20.360596</v>
      </c>
      <c r="Z14" s="52">
        <f>Main!$C$4</f>
        <v>20.360596</v>
      </c>
      <c r="AA14" s="52">
        <f>Main!$C$4</f>
        <v>20.360596</v>
      </c>
      <c r="AB14" s="52">
        <f>Main!$C$4</f>
        <v>20.360596</v>
      </c>
      <c r="AC14" s="52">
        <f>Main!$C$4</f>
        <v>20.360596</v>
      </c>
      <c r="AD14" s="52">
        <f>Main!$C$4</f>
        <v>20.360596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>0.6414236611597739</v>
      </c>
      <c r="N16" s="15">
        <f>IFERROR(N2/M2-1,"")</f>
        <v>0.07828965144555511</v>
      </c>
      <c r="O16" s="15">
        <f>IFERROR(O2/N2-1,"")</f>
        <v>3.955522144960221</v>
      </c>
      <c r="P16" s="15">
        <f>IFERROR(P2/O2-1,"")</f>
        <v>-0.9209405220908918</v>
      </c>
      <c r="Q16" s="15">
        <f>IFERROR(Q2/P2-1,"")</f>
        <v>-1.0</v>
      </c>
      <c r="R16" s="15">
        <f>IFERROR(R2/Q2-1,"")</f>
        <v/>
      </c>
      <c r="S16" s="15">
        <f>IFERROR(S2/R2-1,"")</f>
        <v>2.9815719670529104</v>
      </c>
      <c r="T16" s="15">
        <f>IFERROR(T2/S2-1,"")</f>
        <v>1.5351683029453014</v>
      </c>
      <c r="U16" s="15">
        <f>IFERROR(U2/T2-1,"")</f>
        <v>0.13349999999999995</v>
      </c>
      <c r="V16" s="15">
        <f>IFERROR(V2/U2-1,"")</f>
        <v>0.12144444444444447</v>
      </c>
      <c r="W16" s="15">
        <f>IFERROR(W2/V2-1,"")</f>
        <v>0.10938888888888898</v>
      </c>
      <c r="X16" s="15">
        <f>IFERROR(X2/W2-1,"")</f>
        <v>0.09733333333333327</v>
      </c>
      <c r="Y16" s="15">
        <f>IFERROR(Y2/X2-1,"")</f>
        <v>0.08527777777777779</v>
      </c>
      <c r="Z16" s="15">
        <f>IFERROR(Z2/Y2-1,"")</f>
        <v>0.0732222222222223</v>
      </c>
      <c r="AA16" s="15">
        <f>IFERROR(AA2/Z2-1,"")</f>
        <v>0.06116666666666659</v>
      </c>
      <c r="AB16" s="15">
        <f>IFERROR(AB2/AA2-1,"")</f>
        <v>0.049111111111111105</v>
      </c>
      <c r="AC16" s="15">
        <f>IFERROR(AC2/AB2-1,"")</f>
        <v>0.03705555555555562</v>
      </c>
      <c r="AD16" s="15">
        <f>IFERROR(AD2/AC2-1,"")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/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  <c r="W17" s="15">
        <f>IFERROR(W4/W2,"")</f>
        <v>1.0</v>
      </c>
      <c r="X17" s="15">
        <f>IFERROR(X4/X2,"")</f>
        <v>1.0</v>
      </c>
      <c r="Y17" s="15">
        <f>IFERROR(Y4/Y2,"")</f>
        <v>1.0</v>
      </c>
      <c r="Z17" s="15">
        <f>IFERROR(Z4/Z2,"")</f>
        <v>1.0</v>
      </c>
      <c r="AA17" s="15">
        <f>IFERROR(AA4/AA2,"")</f>
        <v>1.0</v>
      </c>
      <c r="AB17" s="15">
        <f>IFERROR(AB4/AB2,"")</f>
        <v>1.0</v>
      </c>
      <c r="AC17" s="15">
        <f>IFERROR(AC4/AC2,"")</f>
        <v>1.0</v>
      </c>
      <c r="AD17" s="15">
        <f>IFERROR(AD4/AD2,"")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>-5.790775030491186</v>
      </c>
      <c r="M18" s="15">
        <f>IFERROR(M8/M2,"")</f>
        <v>-6.264185355309376</v>
      </c>
      <c r="N18" s="15">
        <f>IFERROR(N8/N2,"")</f>
        <v>-6.434442147466016</v>
      </c>
      <c r="O18" s="15">
        <f>IFERROR(O8/O2,"")</f>
        <v>-0.8188610075216484</v>
      </c>
      <c r="P18" s="15">
        <f>IFERROR(P8/P2,"")</f>
        <v>-21.216501439078993</v>
      </c>
      <c r="Q18" s="15">
        <f>IFERROR(Q8/Q2,"")</f>
        <v/>
      </c>
      <c r="R18" s="15">
        <f>IFERROR(R8/R2,"")</f>
        <v>-9.024989529526735</v>
      </c>
      <c r="S18" s="15">
        <f>IFERROR(S8/S2,"")</f>
        <v>-1.5925666199158486</v>
      </c>
      <c r="T18" s="15">
        <f>IFERROR(T8/T2,"")</f>
        <v>-0.16760023788777795</v>
      </c>
      <c r="U18" s="15">
        <f>IFERROR(U8/U2,"")</f>
        <v>-0.08575000000000005</v>
      </c>
      <c r="V18" s="15">
        <f>IFERROR(V8/V2,"")</f>
        <v>-0.05400000000000004</v>
      </c>
      <c r="W18" s="15">
        <f>IFERROR(W8/W2,"")</f>
        <v>-0.022249999999999995</v>
      </c>
      <c r="X18" s="15">
        <f>IFERROR(X8/X2,"")</f>
        <v>0.009499999999999974</v>
      </c>
      <c r="Y18" s="15">
        <f>IFERROR(Y8/Y2,"")</f>
        <v>0.04124999999999999</v>
      </c>
      <c r="Z18" s="15">
        <f>IFERROR(Z8/Z2,"")</f>
        <v>0.07300000000000005</v>
      </c>
      <c r="AA18" s="15">
        <f>IFERROR(AA8/AA2,"")</f>
        <v>0.10475000000000002</v>
      </c>
      <c r="AB18" s="15">
        <f>IFERROR(AB8/AB2,"")</f>
        <v>0.13649999999999998</v>
      </c>
      <c r="AC18" s="15">
        <f>IFERROR(AC8/AC2,"")</f>
        <v>0.16825</v>
      </c>
      <c r="AD18" s="15">
        <f>IFERROR(AD8/AD2,"")</f>
        <v>0.19999999999999996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A</t>
        </is>
      </c>
      <c r="T19" s="19" t="inlineStr">
        <is>
          <t>A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  <c r="AC19" s="19" t="inlineStr">
        <is>
          <t>E</t>
        </is>
      </c>
      <c r="AD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Assembly Biosciences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0.0835</v>
      </c>
      <c r="C12" s="53" t="n">
        <v>0.1335</v>
      </c>
      <c r="D12" s="53" t="n">
        <v>0.1835</v>
      </c>
      <c r="E12" s="54">
        <f>CHOOSE($B$4,B12,C12,D12)</f>
        <v>0.1335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-0.1175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0.7677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Model'!T2</f>
        <v>72.303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98.23881849878353</v>
      </c>
      <c r="C29" s="56">
        <f>NPV!B26</f>
        <v>418.5998184987835</v>
      </c>
      <c r="D29" s="35">
        <f>NPV!B28</f>
        <v>20.559310665502302</v>
      </c>
      <c r="E29" s="57">
        <f>NPV!B30</f>
        <v>-0.029763536314190597</v>
      </c>
    </row>
    <row r="30">
      <c r="A30" s="58" t="n">
        <v>1</v>
      </c>
      <c r="B30" s="59">
        <f t="dataTable" ref="B30:E32" r1="B4"/>
        <v>38.26529782320647</v>
      </c>
      <c r="C30" s="59">
        <v>358.62629782320647</v>
      </c>
      <c r="D30" s="39">
        <v>17.61374263421397</v>
      </c>
      <c r="E30" s="60">
        <v>-0.1687709941380855</v>
      </c>
    </row>
    <row r="31">
      <c r="A31" s="58" t="n">
        <v>2</v>
      </c>
      <c r="B31" s="59">
        <v>98.23881849878353</v>
      </c>
      <c r="C31" s="59">
        <v>418.5998184987835</v>
      </c>
      <c r="D31" s="39">
        <v>20.559310665502302</v>
      </c>
      <c r="E31" s="60">
        <v>-0.029763536314190597</v>
      </c>
    </row>
    <row r="32">
      <c r="A32" s="58" t="n">
        <v>3</v>
      </c>
      <c r="B32" s="59">
        <v>210.57298737308275</v>
      </c>
      <c r="C32" s="59">
        <v>530.9339873730828</v>
      </c>
      <c r="D32" s="39">
        <v>26.07654448686486</v>
      </c>
      <c r="E32" s="60">
        <v>0.23060615794548656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20.559310665502302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21.81089684217086</v>
      </c>
      <c r="C37" s="39">
        <v>22.237112312110536</v>
      </c>
      <c r="D37" s="39">
        <v>22.717702825025082</v>
      </c>
      <c r="E37" s="39">
        <v>23.263557514182715</v>
      </c>
      <c r="F37" s="39">
        <v>23.888676878412998</v>
      </c>
    </row>
    <row r="38">
      <c r="A38" s="62" t="n">
        <v>0.115</v>
      </c>
      <c r="B38" s="39">
        <v>20.816908223814</v>
      </c>
      <c r="C38" s="39">
        <v>21.14290473636886</v>
      </c>
      <c r="D38" s="39">
        <v>21.506045466732886</v>
      </c>
      <c r="E38" s="39">
        <v>21.912896928626548</v>
      </c>
      <c r="F38" s="39">
        <v>22.371667414969536</v>
      </c>
    </row>
    <row r="39">
      <c r="A39" s="62" t="n">
        <v>0.125</v>
      </c>
      <c r="B39" s="39">
        <v>20.023769082719593</v>
      </c>
      <c r="C39" s="39">
        <v>20.278414807056507</v>
      </c>
      <c r="D39" s="39">
        <v>20.559310665502302</v>
      </c>
      <c r="E39" s="39">
        <v>20.870611173730964</v>
      </c>
      <c r="F39" s="39">
        <v>21.21739419830401</v>
      </c>
    </row>
    <row r="40">
      <c r="A40" s="62" t="n">
        <v>0.135</v>
      </c>
      <c r="B40" s="39">
        <v>19.37984553678411</v>
      </c>
      <c r="C40" s="39">
        <v>19.582214557963315</v>
      </c>
      <c r="D40" s="39">
        <v>19.803657478546622</v>
      </c>
      <c r="E40" s="39">
        <v>20.04690741342298</v>
      </c>
      <c r="F40" s="39">
        <v>20.315244205784943</v>
      </c>
    </row>
    <row r="41">
      <c r="A41" s="62" t="n">
        <v>0.145</v>
      </c>
      <c r="B41" s="39">
        <v>18.84951113382967</v>
      </c>
      <c r="C41" s="39">
        <v>19.012659622986877</v>
      </c>
      <c r="D41" s="39">
        <v>19.189992409133687</v>
      </c>
      <c r="E41" s="39">
        <v>19.383366702519226</v>
      </c>
      <c r="F41" s="39">
        <v>19.594977477571735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Assembly Biosciences Inc: free-cash-flow DCF ($mm)</t>
        </is>
      </c>
    </row>
    <row r="3">
      <c r="A3" s="20" t="inlineStr">
        <is>
          <t>Fiscal year</t>
        </is>
      </c>
      <c r="B3" s="43">
        <f>'Yearly Model'!T1</f>
        <v>2025</v>
      </c>
      <c r="C3" s="43">
        <f>'Yearly Model'!U1</f>
        <v>2026</v>
      </c>
      <c r="D3" s="43">
        <f>'Yearly Model'!V1</f>
        <v>2027</v>
      </c>
      <c r="E3" s="43">
        <f>'Yearly Model'!W1</f>
        <v>2028</v>
      </c>
      <c r="F3" s="43">
        <f>'Yearly Model'!X1</f>
        <v>2029</v>
      </c>
      <c r="G3" s="43">
        <f>'Yearly Model'!Y1</f>
        <v>2030</v>
      </c>
      <c r="H3" s="43">
        <f>'Yearly Model'!Z1</f>
        <v>2031</v>
      </c>
      <c r="I3" s="43">
        <f>'Yearly Model'!AA1</f>
        <v>2032</v>
      </c>
      <c r="J3" s="43">
        <f>'Yearly Model'!AB1</f>
        <v>2033</v>
      </c>
      <c r="K3" s="43">
        <f>'Yearly Model'!AC1</f>
        <v>2034</v>
      </c>
      <c r="L3" s="43">
        <f>'Yearly Model'!AD1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0.1335</v>
      </c>
      <c r="D5" s="63">
        <f>Assumptions!$E$12+(Assumptions!$E$11-Assumptions!$E$12)*(D4-1)/(Assumptions!$B$21-1)</f>
        <v>0.12144444444444445</v>
      </c>
      <c r="E5" s="63">
        <f>Assumptions!$E$12+(Assumptions!$E$11-Assumptions!$E$12)*(E4-1)/(Assumptions!$B$21-1)</f>
        <v>0.1093888888888889</v>
      </c>
      <c r="F5" s="63">
        <f>Assumptions!$E$12+(Assumptions!$E$11-Assumptions!$E$12)*(F4-1)/(Assumptions!$B$21-1)</f>
        <v>0.09733333333333334</v>
      </c>
      <c r="G5" s="63">
        <f>Assumptions!$E$12+(Assumptions!$E$11-Assumptions!$E$12)*(G4-1)/(Assumptions!$B$21-1)</f>
        <v>0.08527777777777779</v>
      </c>
      <c r="H5" s="63">
        <f>Assumptions!$E$12+(Assumptions!$E$11-Assumptions!$E$12)*(H4-1)/(Assumptions!$B$21-1)</f>
        <v>0.07322222222222222</v>
      </c>
      <c r="I5" s="63">
        <f>Assumptions!$E$12+(Assumptions!$E$11-Assumptions!$E$12)*(I4-1)/(Assumptions!$B$21-1)</f>
        <v>0.061166666666666675</v>
      </c>
      <c r="J5" s="63">
        <f>Assumptions!$E$12+(Assumptions!$E$11-Assumptions!$E$12)*(J4-1)/(Assumptions!$B$21-1)</f>
        <v>0.049111111111111105</v>
      </c>
      <c r="K5" s="63">
        <f>Assumptions!$E$12+(Assumptions!$E$11-Assumptions!$E$12)*(K4-1)/(Assumptions!$B$21-1)</f>
        <v>0.03705555555555555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-0.16760023788777795</v>
      </c>
      <c r="C6" s="63">
        <f>Assumptions!$B$18+(Assumptions!$E$13-Assumptions!$B$18)*C4/Assumptions!$B$21</f>
        <v>-0.08574999999999999</v>
      </c>
      <c r="D6" s="63">
        <f>Assumptions!$B$18+(Assumptions!$E$13-Assumptions!$B$18)*D4/Assumptions!$B$21</f>
        <v>-0.05399999999999999</v>
      </c>
      <c r="E6" s="63">
        <f>Assumptions!$B$18+(Assumptions!$E$13-Assumptions!$B$18)*E4/Assumptions!$B$21</f>
        <v>-0.022249999999999992</v>
      </c>
      <c r="F6" s="63">
        <f>Assumptions!$B$18+(Assumptions!$E$13-Assumptions!$B$18)*F4/Assumptions!$B$21</f>
        <v>0.009500000000000008</v>
      </c>
      <c r="G6" s="63">
        <f>Assumptions!$B$18+(Assumptions!$E$13-Assumptions!$B$18)*G4/Assumptions!$B$21</f>
        <v>0.04125000000000001</v>
      </c>
      <c r="H6" s="63">
        <f>Assumptions!$B$18+(Assumptions!$E$13-Assumptions!$B$18)*H4/Assumptions!$B$21</f>
        <v>0.07300000000000001</v>
      </c>
      <c r="I6" s="63">
        <f>Assumptions!$B$18+(Assumptions!$E$13-Assumptions!$B$18)*I4/Assumptions!$B$21</f>
        <v>0.10475000000000001</v>
      </c>
      <c r="J6" s="63">
        <f>Assumptions!$B$18+(Assumptions!$E$13-Assumptions!$B$18)*J4/Assumptions!$B$21</f>
        <v>0.1365</v>
      </c>
      <c r="K6" s="63">
        <f>Assumptions!$B$18+(Assumptions!$E$13-Assumptions!$B$18)*K4/Assumptions!$B$21</f>
        <v>0.16825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Model'!T2</f>
        <v>72.303</v>
      </c>
      <c r="C7" s="55">
        <f>'Yearly Model'!U2</f>
        <v>81.9554505</v>
      </c>
      <c r="D7" s="55">
        <f>'Yearly Model'!V2</f>
        <v>91.90848465516666</v>
      </c>
      <c r="E7" s="55">
        <f>'Yearly Model'!W2</f>
        <v>101.96225167105685</v>
      </c>
      <c r="F7" s="55">
        <f>'Yearly Model'!X2</f>
        <v>111.88657750037304</v>
      </c>
      <c r="G7" s="55">
        <f>'Yearly Model'!Y2</f>
        <v>121.42801619276597</v>
      </c>
      <c r="H7" s="55">
        <f>'Yearly Model'!Z2</f>
        <v>130.31924537843628</v>
      </c>
      <c r="I7" s="55">
        <f>'Yearly Model'!AA2</f>
        <v>138.2904392207506</v>
      </c>
      <c r="J7" s="55">
        <f>'Yearly Model'!AB2</f>
        <v>145.08203634692526</v>
      </c>
      <c r="K7" s="55">
        <f>'Yearly Model'!AC2</f>
        <v>150.4581318048919</v>
      </c>
      <c r="L7" s="55">
        <f>'Yearly Model'!AD2</f>
        <v>154.2195851000142</v>
      </c>
    </row>
    <row r="8">
      <c r="A8" s="14" t="inlineStr">
        <is>
          <t>Operating income</t>
        </is>
      </c>
      <c r="B8" s="55">
        <f>'Yearly Model'!T8</f>
        <v>-12.11800000000001</v>
      </c>
      <c r="C8" s="55">
        <f>'Yearly Model'!U8</f>
        <v>-7.027679880375004</v>
      </c>
      <c r="D8" s="55">
        <f>'Yearly Model'!V8</f>
        <v>-4.963058171379004</v>
      </c>
      <c r="E8" s="55">
        <f>'Yearly Model'!W8</f>
        <v>-2.2686600996810142</v>
      </c>
      <c r="F8" s="55">
        <f>'Yearly Model'!X8</f>
        <v>1.062922486253541</v>
      </c>
      <c r="G8" s="55">
        <f>'Yearly Model'!Y8</f>
        <v>5.008905667951595</v>
      </c>
      <c r="H8" s="55">
        <f>'Yearly Model'!Z8</f>
        <v>9.513304912625856</v>
      </c>
      <c r="I8" s="55">
        <f>'Yearly Model'!AA8</f>
        <v>14.48592350837363</v>
      </c>
      <c r="J8" s="55">
        <f>'Yearly Model'!AB8</f>
        <v>19.803697961355297</v>
      </c>
      <c r="K8" s="55">
        <f>'Yearly Model'!AC8</f>
        <v>25.314580676173065</v>
      </c>
      <c r="L8" s="55">
        <f>'Yearly Model'!AD8</f>
        <v>30.843917020002834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0.18069682266310197</v>
      </c>
      <c r="G9" s="52">
        <f>MAX(0,G8)*Assumptions!$E$14</f>
        <v>0.8515139635517712</v>
      </c>
      <c r="H9" s="52">
        <f>MAX(0,H8)*Assumptions!$E$14</f>
        <v>1.6172618351463957</v>
      </c>
      <c r="I9" s="52">
        <f>MAX(0,I8)*Assumptions!$E$14</f>
        <v>2.4626069964235175</v>
      </c>
      <c r="J9" s="52">
        <f>MAX(0,J8)*Assumptions!$E$14</f>
        <v>3.366628653430401</v>
      </c>
      <c r="K9" s="52">
        <f>MAX(0,K8)*Assumptions!$E$14</f>
        <v>4.303478714949422</v>
      </c>
      <c r="L9" s="52">
        <f>MAX(0,L8)*Assumptions!$E$14</f>
        <v>5.243465893400482</v>
      </c>
    </row>
    <row r="10">
      <c r="A10" s="14" t="inlineStr">
        <is>
          <t>NOPAT</t>
        </is>
      </c>
      <c r="C10" s="52">
        <f>C8-C9</f>
        <v>-7.027679880375004</v>
      </c>
      <c r="D10" s="52">
        <f>D8-D9</f>
        <v>-4.963058171379004</v>
      </c>
      <c r="E10" s="52">
        <f>E8-E9</f>
        <v>-2.2686600996810142</v>
      </c>
      <c r="F10" s="52">
        <f>F8-F9</f>
        <v>0.882225663590439</v>
      </c>
      <c r="G10" s="52">
        <f>G8-G9</f>
        <v>4.157391704399823</v>
      </c>
      <c r="H10" s="52">
        <f>H8-H9</f>
        <v>7.89604307747946</v>
      </c>
      <c r="I10" s="52">
        <f>I8-I9</f>
        <v>12.023316511950114</v>
      </c>
      <c r="J10" s="52">
        <f>J8-J9</f>
        <v>16.437069307924897</v>
      </c>
      <c r="K10" s="52">
        <f>K8-K9</f>
        <v>21.011101961223645</v>
      </c>
      <c r="L10" s="52">
        <f>L8-L9</f>
        <v>25.60045112660235</v>
      </c>
    </row>
    <row r="11">
      <c r="A11" s="14" t="inlineStr">
        <is>
          <t>Reinvestment</t>
        </is>
      </c>
      <c r="C11" s="52">
        <f>(C7-B7)*Assumptions!$E$15</f>
        <v>2.413112625</v>
      </c>
      <c r="D11" s="52">
        <f>(D7-C7)*Assumptions!$E$15</f>
        <v>2.4882585387916656</v>
      </c>
      <c r="E11" s="52">
        <f>(E7-D7)*Assumptions!$E$15</f>
        <v>2.513441753972547</v>
      </c>
      <c r="F11" s="52">
        <f>(F7-E7)*Assumptions!$E$15</f>
        <v>2.481081457329047</v>
      </c>
      <c r="G11" s="52">
        <f>(G7-F7)*Assumptions!$E$15</f>
        <v>2.3853596730982325</v>
      </c>
      <c r="H11" s="52">
        <f>(H7-G7)*Assumptions!$E$15</f>
        <v>2.222807296417578</v>
      </c>
      <c r="I11" s="52">
        <f>(I7-H7)*Assumptions!$E$15</f>
        <v>1.9927984605785838</v>
      </c>
      <c r="J11" s="52">
        <f>(J7-I7)*Assumptions!$E$15</f>
        <v>1.6978992815436627</v>
      </c>
      <c r="K11" s="52">
        <f>(K7-J7)*Assumptions!$E$15</f>
        <v>1.3440238644916604</v>
      </c>
      <c r="L11" s="52">
        <f>(L7-K7)*Assumptions!$E$15</f>
        <v>0.9403633237805735</v>
      </c>
    </row>
    <row r="12">
      <c r="A12" s="20" t="inlineStr">
        <is>
          <t>Free cash flow</t>
        </is>
      </c>
      <c r="C12" s="64">
        <f>C10-C11</f>
        <v>-9.440792505375004</v>
      </c>
      <c r="D12" s="64">
        <f>D10-D11</f>
        <v>-7.451316710170669</v>
      </c>
      <c r="E12" s="64">
        <f>E10-E11</f>
        <v>-4.782101853653561</v>
      </c>
      <c r="F12" s="64">
        <f>F10-F11</f>
        <v>-1.598855793738608</v>
      </c>
      <c r="G12" s="64">
        <f>G10-G11</f>
        <v>1.772032031301591</v>
      </c>
      <c r="H12" s="64">
        <f>H10-H11</f>
        <v>5.673235781061882</v>
      </c>
      <c r="I12" s="64">
        <f>I10-I11</f>
        <v>10.03051805137153</v>
      </c>
      <c r="J12" s="64">
        <f>J10-J11</f>
        <v>14.739170026381235</v>
      </c>
      <c r="K12" s="64">
        <f>K10-K11</f>
        <v>19.667078096731984</v>
      </c>
      <c r="L12" s="64">
        <f>L10-L11</f>
        <v>24.660087802821778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-4.6198955492169755</v>
      </c>
      <c r="D16" s="64">
        <f>D12*D13*D15</f>
        <v>-6.6201948979435095</v>
      </c>
      <c r="E16" s="64">
        <f>E12*E13*E15</f>
        <v>-3.776626634447792</v>
      </c>
      <c r="F16" s="64">
        <f>F12*F13*F15</f>
        <v>-1.1223853833990223</v>
      </c>
      <c r="G16" s="64">
        <f>G12*G13*G15</f>
        <v>1.1057367725854212</v>
      </c>
      <c r="H16" s="64">
        <f>H12*H13*H15</f>
        <v>3.146722864226122</v>
      </c>
      <c r="I16" s="64">
        <f>I12*I13*I15</f>
        <v>4.945366741560875</v>
      </c>
      <c r="J16" s="64">
        <f>J12*J13*J15</f>
        <v>6.459451567782402</v>
      </c>
      <c r="K16" s="64">
        <f>K12*K13*K15</f>
        <v>7.661431755172798</v>
      </c>
      <c r="L16" s="64">
        <f>L12*L13*L15</f>
        <v>8.539101802453075</v>
      </c>
    </row>
    <row r="19">
      <c r="A19" s="14" t="inlineStr">
        <is>
          <t>PV of forecast free cash flow</t>
        </is>
      </c>
      <c r="B19" s="52">
        <f>SUM(C16:L16)</f>
        <v>15.718709038773397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25.276589997892316</v>
      </c>
    </row>
    <row r="21">
      <c r="A21" s="14" t="inlineStr">
        <is>
          <t>Terminal value</t>
        </is>
      </c>
      <c r="B21" s="52">
        <f>B20/(Assumptions!$E$10-Assumptions!$E$11)</f>
        <v>252.76589997892316</v>
      </c>
    </row>
    <row r="22">
      <c r="A22" s="14" t="inlineStr">
        <is>
          <t>PV of terminal value</t>
        </is>
      </c>
      <c r="B22" s="52">
        <f>B21/(1+Assumptions!$E$10)^(L14+0.5)</f>
        <v>82.52010946001013</v>
      </c>
    </row>
    <row r="23">
      <c r="A23" s="20" t="inlineStr">
        <is>
          <t>Enterprise value</t>
        </is>
      </c>
      <c r="B23" s="66">
        <f>B19+B22</f>
        <v>98.23881849878353</v>
      </c>
    </row>
    <row r="24">
      <c r="A24" s="14" t="inlineStr">
        <is>
          <t>Cash &amp; investments</t>
        </is>
      </c>
      <c r="B24" s="55">
        <f>Main!C7</f>
        <v>320.361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418.5998184987835</v>
      </c>
    </row>
    <row r="27">
      <c r="A27" s="14" t="inlineStr">
        <is>
          <t>Shares (mm)</t>
        </is>
      </c>
      <c r="B27" s="55">
        <f>Main!C4</f>
        <v>20.360596</v>
      </c>
    </row>
    <row r="28">
      <c r="A28" s="20" t="inlineStr">
        <is>
          <t>NPV / share</t>
        </is>
      </c>
      <c r="B28" s="49">
        <f>B26/B27</f>
        <v>20.559310665502302</v>
      </c>
    </row>
    <row r="29">
      <c r="A29" s="14" t="inlineStr">
        <is>
          <t>Price</t>
        </is>
      </c>
      <c r="B29" s="50">
        <f>Main!C3</f>
        <v>21.19</v>
      </c>
    </row>
    <row r="30">
      <c r="A30" s="14" t="inlineStr">
        <is>
          <t>Upside</t>
        </is>
      </c>
      <c r="B30" s="63">
        <f>B28/B29-1</f>
        <v>-0.029763536314190597</v>
      </c>
    </row>
    <row r="31">
      <c r="A31" s="14" t="inlineStr">
        <is>
          <t>Terminal value, % of EV</t>
        </is>
      </c>
      <c r="B31" s="63">
        <f>IFERROR(B22/B23,0)</f>
        <v>0.839994929916955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2026-10-21T01:05:15Z</dcterms:modified>
  <cp:lastModifiedBy>Wang, Eric</cp:lastModifiedBy>
</cp:coreProperties>
</file>