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Pharvaris N.V.</t>
        </is>
      </c>
      <c r="C2" s="10" t="n"/>
    </row>
    <row r="3">
      <c r="B3" t="inlineStr">
        <is>
          <t>Price</t>
        </is>
      </c>
      <c r="C3" s="11">
        <f>INDEX([1]Pharma!$F$1:$F$1000,MATCH("PHVS",[1]Pharma!$B$1:$B$1000,0))</f>
        <v>30.9</v>
      </c>
      <c r="F3" s="1" t="n"/>
    </row>
    <row r="4">
      <c r="B4" t="inlineStr">
        <is>
          <t>Shares</t>
        </is>
      </c>
      <c r="C4" s="21" t="n">
        <v>65.21059</v>
      </c>
      <c r="F4" s="1" t="n"/>
    </row>
    <row r="5">
      <c r="B5" t="inlineStr">
        <is>
          <t>Market Cap.</t>
        </is>
      </c>
      <c r="C5" s="13">
        <f>C3*C4</f>
        <v>2015.0072309999998</v>
      </c>
      <c r="F5" s="1" t="n"/>
    </row>
    <row r="6"/>
    <row r="7">
      <c r="B7" t="inlineStr">
        <is>
          <t>Cash</t>
        </is>
      </c>
      <c r="C7" s="21">
        <f>(291.679)/0.88865</f>
        <v>328.22708602937035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1686.7801449706294</v>
      </c>
    </row>
    <row r="10"/>
    <row r="11">
      <c r="B11" s="14" t="inlineStr">
        <is>
          <t>Net Cash / Share</t>
        </is>
      </c>
      <c r="C11" s="11">
        <f>(C7-C8)/C4</f>
        <v>5.033340229391735</v>
      </c>
    </row>
    <row r="12">
      <c r="B12" s="14" t="inlineStr">
        <is>
          <t>Upside</t>
        </is>
      </c>
      <c r="C12" s="15">
        <f>IFERROR(C11/C3-1,"")</f>
        <v>-0.8371087304403969</v>
      </c>
    </row>
    <row r="13">
      <c r="B13" s="14" t="inlineStr">
        <is>
          <t>Cash / Share</t>
        </is>
      </c>
      <c r="C13" s="11">
        <f>IFERROR((C7-C8)/C4,"")</f>
        <v>5.033340229391735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-154.249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2.127904142194571</v>
      </c>
    </row>
    <row r="19">
      <c r="B19" s="14" t="inlineStr">
        <is>
          <t>Implied Pipeline Value</t>
        </is>
      </c>
      <c r="C19" s="13">
        <f>C9</f>
        <v>1686.7801449706294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4.102</v>
      </c>
      <c r="C5" s="23" t="n">
        <v>6.397</v>
      </c>
      <c r="D5" s="23" t="n">
        <v>21.953</v>
      </c>
      <c r="E5" s="23" t="n">
        <v>40.274</v>
      </c>
      <c r="F5" s="23" t="n">
        <v>64.565</v>
      </c>
      <c r="G5" s="23" t="n">
        <v>73.792</v>
      </c>
      <c r="H5" s="23" t="n">
        <v>110.914</v>
      </c>
      <c r="I5" s="23" t="n">
        <v>140.076</v>
      </c>
      <c r="J5" s="1" t="n"/>
      <c r="K5" s="1" t="n"/>
    </row>
    <row r="6">
      <c r="A6" s="19" t="inlineStr">
        <is>
          <t>SG&amp;A &amp; Other</t>
        </is>
      </c>
      <c r="B6" s="23" t="n">
        <v>0.752</v>
      </c>
      <c r="C6" s="23" t="n">
        <v>2.636</v>
      </c>
      <c r="D6" s="23" t="n">
        <v>7.383</v>
      </c>
      <c r="E6" s="23" t="n">
        <v>7.733</v>
      </c>
      <c r="F6" s="23" t="n">
        <v>20.568</v>
      </c>
      <c r="G6" s="23" t="n">
        <v>38.543</v>
      </c>
      <c r="H6" s="23" t="n">
        <v>38.072</v>
      </c>
      <c r="I6" s="23" t="n">
        <v>55.402</v>
      </c>
      <c r="J6" s="1" t="n"/>
      <c r="K6" s="1" t="n"/>
    </row>
    <row r="7">
      <c r="A7" s="2" t="inlineStr">
        <is>
          <t>Operating Expense</t>
        </is>
      </c>
      <c r="B7" s="23">
        <f>SUM(B5:B6)</f>
        <v>4.854</v>
      </c>
      <c r="C7" s="23">
        <f>SUM(C5:C6)</f>
        <v>9.033000000000001</v>
      </c>
      <c r="D7" s="23">
        <f>SUM(D5:D6)</f>
        <v>29.336</v>
      </c>
      <c r="E7" s="23">
        <f>SUM(E5:E6)</f>
        <v>48.007</v>
      </c>
      <c r="F7" s="23">
        <f>SUM(F5:F6)</f>
        <v>85.133</v>
      </c>
      <c r="G7" s="23">
        <f>SUM(G5:G6)</f>
        <v>112.33500000000001</v>
      </c>
      <c r="H7" s="23">
        <f>SUM(H5:H6)</f>
        <v>148.986</v>
      </c>
      <c r="I7" s="23">
        <f>SUM(I5:I6)</f>
        <v>195.478</v>
      </c>
      <c r="J7" s="1" t="n"/>
      <c r="K7" s="1" t="n"/>
    </row>
    <row r="8">
      <c r="A8" s="2" t="inlineStr">
        <is>
          <t>Operating Income</t>
        </is>
      </c>
      <c r="B8" s="23">
        <f>B4-B7</f>
        <v>-4.854</v>
      </c>
      <c r="C8" s="23">
        <f>C4-C7</f>
        <v>-9.033000000000001</v>
      </c>
      <c r="D8" s="23">
        <f>D4-D7</f>
        <v>-29.336</v>
      </c>
      <c r="E8" s="23">
        <f>E4-E7</f>
        <v>-48.007</v>
      </c>
      <c r="F8" s="23">
        <f>F4-F7</f>
        <v>-85.133</v>
      </c>
      <c r="G8" s="23">
        <f>G4-G7</f>
        <v>-112.33500000000001</v>
      </c>
      <c r="H8" s="23">
        <f>H4-H7</f>
        <v>-148.986</v>
      </c>
      <c r="I8" s="23">
        <f>I4-I7</f>
        <v>-195.478</v>
      </c>
      <c r="J8" s="1" t="n"/>
      <c r="K8" s="1" t="n"/>
    </row>
    <row r="9">
      <c r="A9" s="19" t="inlineStr">
        <is>
          <t>Interest &amp; Other</t>
        </is>
      </c>
      <c r="B9" s="23" t="n">
        <v>0.541</v>
      </c>
      <c r="C9" s="23" t="n">
        <v>1.006</v>
      </c>
      <c r="D9" s="23" t="n">
        <v>-0.005</v>
      </c>
      <c r="E9" s="23" t="n">
        <v>0.034</v>
      </c>
      <c r="F9" s="23" t="n">
        <v>0</v>
      </c>
      <c r="G9" s="23" t="n">
        <v>-0</v>
      </c>
      <c r="H9" s="23" t="n">
        <v>0</v>
      </c>
      <c r="I9" s="23" t="n">
        <v>0</v>
      </c>
    </row>
    <row r="10">
      <c r="A10" s="2" t="inlineStr">
        <is>
          <t>Pretax</t>
        </is>
      </c>
      <c r="B10" s="23">
        <f>B8+B9</f>
        <v>-4.313</v>
      </c>
      <c r="C10" s="23">
        <f>C8+C9</f>
        <v>-8.027000000000001</v>
      </c>
      <c r="D10" s="23">
        <f>D8+D9</f>
        <v>-29.340999999999998</v>
      </c>
      <c r="E10" s="23">
        <f>E8+E9</f>
        <v>-47.973</v>
      </c>
      <c r="F10" s="23">
        <f>F8+F9</f>
        <v>-85.133</v>
      </c>
      <c r="G10" s="23">
        <f>G8+G9</f>
        <v>-112.33500000000001</v>
      </c>
      <c r="H10" s="23">
        <f>H8+H9</f>
        <v>-148.986</v>
      </c>
      <c r="I10" s="23">
        <f>I8+I9</f>
        <v>-195.478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-0.094</v>
      </c>
      <c r="E11" s="23" t="n">
        <v>0.079</v>
      </c>
      <c r="F11" s="23" t="n">
        <v>0.764</v>
      </c>
      <c r="G11" s="23" t="n">
        <v>1.18</v>
      </c>
      <c r="H11" s="23" t="n">
        <v>2.054</v>
      </c>
      <c r="I11" s="23" t="n">
        <v>2.237</v>
      </c>
    </row>
    <row r="12">
      <c r="A12" s="2" t="inlineStr">
        <is>
          <t>Net Income</t>
        </is>
      </c>
      <c r="B12" s="23" t="n">
        <v>-4.314</v>
      </c>
      <c r="C12" s="23" t="n">
        <v>-8.026999999999999</v>
      </c>
      <c r="D12" s="23" t="n">
        <v>-29.247</v>
      </c>
      <c r="E12" s="23" t="n">
        <v>-48.051</v>
      </c>
      <c r="F12" s="23" t="n">
        <v>-85.89700000000001</v>
      </c>
      <c r="G12" s="23" t="n">
        <v>-113.515</v>
      </c>
      <c r="H12" s="23" t="n">
        <v>-151.04</v>
      </c>
      <c r="I12" s="23" t="n">
        <v>-197.715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-0.8894845360824744</v>
      </c>
      <c r="C13" s="11">
        <f>IFERROR(C12/C14,0)</f>
        <v>-1.6550515463917526</v>
      </c>
      <c r="D13" s="11">
        <f>IFERROR(D12/D14,0)</f>
        <v>-6.030309278350516</v>
      </c>
      <c r="E13" s="11">
        <f>IFERROR(E12/E14,0)</f>
        <v>-1.580001315270288</v>
      </c>
      <c r="F13" s="11">
        <f>IFERROR(F12/F14,0)</f>
        <v>-2.5575239683201336</v>
      </c>
      <c r="G13" s="11">
        <f>IFERROR(G12/G14,0)</f>
        <v>-2.956735778287143</v>
      </c>
      <c r="H13" s="11">
        <f>IFERROR(H12/H14,0)</f>
        <v>-2.7959497232557706</v>
      </c>
      <c r="I13" s="11">
        <f>IFERROR(I12/I14,0)</f>
        <v>-3.34209503203232</v>
      </c>
    </row>
    <row r="14">
      <c r="A14" s="2" t="inlineStr">
        <is>
          <t>Shares</t>
        </is>
      </c>
      <c r="B14" s="23" t="n">
        <v>4.85</v>
      </c>
      <c r="C14" s="23" t="n">
        <v>4.85</v>
      </c>
      <c r="D14" s="23" t="n">
        <v>4.85</v>
      </c>
      <c r="E14" s="23" t="n">
        <v>30.412</v>
      </c>
      <c r="F14" s="23" t="n">
        <v>33.586</v>
      </c>
      <c r="G14" s="23" t="n">
        <v>38.392</v>
      </c>
      <c r="H14" s="23" t="n">
        <v>54.021</v>
      </c>
      <c r="I14" s="23" t="n">
        <v>59.159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2026-10-21T01:04:31Z</dcterms:modified>
  <cp:lastModifiedBy>Wang, Eric</cp:lastModifiedBy>
</cp:coreProperties>
</file>