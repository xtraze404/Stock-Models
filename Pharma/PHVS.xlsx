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Pharvaris N.V.</t>
        </is>
      </c>
      <c r="C2" s="10" t="n"/>
    </row>
    <row r="3">
      <c r="B3" t="inlineStr">
        <is>
          <t>Price</t>
        </is>
      </c>
      <c r="C3" s="11">
        <f>INDEX([1]Pharma!$F$1:$F$1000,MATCH("PHVS",[1]Pharma!$B$1:$B$1000,0))</f>
        <v>30.9</v>
      </c>
      <c r="F3" s="1" t="n"/>
    </row>
    <row r="4">
      <c r="B4" t="inlineStr">
        <is>
          <t>Shares</t>
        </is>
      </c>
      <c r="C4" s="21" t="n">
        <v>65.21059</v>
      </c>
      <c r="F4" s="1" t="n"/>
    </row>
    <row r="5">
      <c r="B5" t="inlineStr">
        <is>
          <t>Market Cap.</t>
        </is>
      </c>
      <c r="C5" s="13">
        <f>C3*C4</f>
        <v>2015.0072309999998</v>
      </c>
      <c r="F5" s="1" t="n"/>
    </row>
    <row r="6"/>
    <row r="7">
      <c r="B7" t="inlineStr">
        <is>
          <t>Cash</t>
        </is>
      </c>
      <c r="C7" s="21">
        <f>(291.679)/0.88865</f>
        <v>328.22708602937035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1686.7801449706294</v>
      </c>
    </row>
    <row r="10"/>
    <row r="11">
      <c r="B11" s="14" t="inlineStr">
        <is>
          <t>rNPV / Share</t>
        </is>
      </c>
      <c r="C11" s="11">
        <f>NPV!B27</f>
        <v>7.930988684556087</v>
      </c>
    </row>
    <row r="12">
      <c r="B12" s="14" t="inlineStr">
        <is>
          <t>Upside</t>
        </is>
      </c>
      <c r="C12" s="15">
        <f>IFERROR(C11/C3-1,"")</f>
        <v>-0.7433336995289292</v>
      </c>
    </row>
    <row r="13">
      <c r="B13" s="14" t="inlineStr">
        <is>
          <t>Cash / Share</t>
        </is>
      </c>
      <c r="C13" s="11">
        <f>IFERROR((C7-C8)/C4,"")</f>
        <v>5.033340229391735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-154.249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2.127904142194571</v>
      </c>
    </row>
    <row r="19">
      <c r="B19" s="14" t="inlineStr">
        <is>
          <t>Implied Pipeline Value</t>
        </is>
      </c>
      <c r="C19" s="13">
        <f>C9</f>
        <v>1686.7801449706294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4.102</v>
      </c>
      <c r="C5" s="23" t="n">
        <v>6.397</v>
      </c>
      <c r="D5" s="23" t="n">
        <v>21.953</v>
      </c>
      <c r="E5" s="23" t="n">
        <v>40.274</v>
      </c>
      <c r="F5" s="23" t="n">
        <v>64.565</v>
      </c>
      <c r="G5" s="23" t="n">
        <v>73.792</v>
      </c>
      <c r="H5" s="23" t="n">
        <v>110.914</v>
      </c>
      <c r="I5" s="23" t="n">
        <v>140.076</v>
      </c>
      <c r="J5" s="1" t="n"/>
      <c r="K5" s="1" t="n"/>
    </row>
    <row r="6">
      <c r="A6" s="19" t="inlineStr">
        <is>
          <t>SG&amp;A &amp; Other</t>
        </is>
      </c>
      <c r="B6" s="23" t="n">
        <v>0.752</v>
      </c>
      <c r="C6" s="23" t="n">
        <v>2.636</v>
      </c>
      <c r="D6" s="23" t="n">
        <v>7.383</v>
      </c>
      <c r="E6" s="23" t="n">
        <v>7.733</v>
      </c>
      <c r="F6" s="23" t="n">
        <v>20.568</v>
      </c>
      <c r="G6" s="23" t="n">
        <v>38.543</v>
      </c>
      <c r="H6" s="23" t="n">
        <v>38.072</v>
      </c>
      <c r="I6" s="23" t="n">
        <v>55.402</v>
      </c>
      <c r="J6" s="1" t="n"/>
      <c r="K6" s="1" t="n"/>
    </row>
    <row r="7">
      <c r="A7" s="2" t="inlineStr">
        <is>
          <t>Operating Expense</t>
        </is>
      </c>
      <c r="B7" s="23">
        <f>SUM(B5:B6)</f>
        <v>4.854</v>
      </c>
      <c r="C7" s="23">
        <f>SUM(C5:C6)</f>
        <v>9.033000000000001</v>
      </c>
      <c r="D7" s="23">
        <f>SUM(D5:D6)</f>
        <v>29.336</v>
      </c>
      <c r="E7" s="23">
        <f>SUM(E5:E6)</f>
        <v>48.007</v>
      </c>
      <c r="F7" s="23">
        <f>SUM(F5:F6)</f>
        <v>85.133</v>
      </c>
      <c r="G7" s="23">
        <f>SUM(G5:G6)</f>
        <v>112.33500000000001</v>
      </c>
      <c r="H7" s="23">
        <f>SUM(H5:H6)</f>
        <v>148.986</v>
      </c>
      <c r="I7" s="23">
        <f>SUM(I5:I6)</f>
        <v>195.478</v>
      </c>
      <c r="J7" s="1" t="n"/>
      <c r="K7" s="1" t="n"/>
    </row>
    <row r="8">
      <c r="A8" s="2" t="inlineStr">
        <is>
          <t>Operating Income</t>
        </is>
      </c>
      <c r="B8" s="23">
        <f>B4-B7</f>
        <v>-4.854</v>
      </c>
      <c r="C8" s="23">
        <f>C4-C7</f>
        <v>-9.033000000000001</v>
      </c>
      <c r="D8" s="23">
        <f>D4-D7</f>
        <v>-29.336</v>
      </c>
      <c r="E8" s="23">
        <f>E4-E7</f>
        <v>-48.007</v>
      </c>
      <c r="F8" s="23">
        <f>F4-F7</f>
        <v>-85.133</v>
      </c>
      <c r="G8" s="23">
        <f>G4-G7</f>
        <v>-112.33500000000001</v>
      </c>
      <c r="H8" s="23">
        <f>H4-H7</f>
        <v>-148.986</v>
      </c>
      <c r="I8" s="23">
        <f>I4-I7</f>
        <v>-195.478</v>
      </c>
      <c r="J8" s="1" t="n"/>
      <c r="K8" s="1" t="n"/>
    </row>
    <row r="9">
      <c r="A9" s="19" t="inlineStr">
        <is>
          <t>Interest &amp; Other</t>
        </is>
      </c>
      <c r="B9" s="23" t="n">
        <v>0.541</v>
      </c>
      <c r="C9" s="23" t="n">
        <v>1.006</v>
      </c>
      <c r="D9" s="23" t="n">
        <v>-0.005</v>
      </c>
      <c r="E9" s="23" t="n">
        <v>0.034</v>
      </c>
      <c r="F9" s="23" t="n">
        <v>0</v>
      </c>
      <c r="G9" s="23" t="n">
        <v>-0</v>
      </c>
      <c r="H9" s="23" t="n">
        <v>0</v>
      </c>
      <c r="I9" s="23" t="n">
        <v>0</v>
      </c>
    </row>
    <row r="10">
      <c r="A10" s="2" t="inlineStr">
        <is>
          <t>Pretax</t>
        </is>
      </c>
      <c r="B10" s="23">
        <f>B8+B9</f>
        <v>-4.313</v>
      </c>
      <c r="C10" s="23">
        <f>C8+C9</f>
        <v>-8.027000000000001</v>
      </c>
      <c r="D10" s="23">
        <f>D8+D9</f>
        <v>-29.340999999999998</v>
      </c>
      <c r="E10" s="23">
        <f>E8+E9</f>
        <v>-47.973</v>
      </c>
      <c r="F10" s="23">
        <f>F8+F9</f>
        <v>-85.133</v>
      </c>
      <c r="G10" s="23">
        <f>G8+G9</f>
        <v>-112.33500000000001</v>
      </c>
      <c r="H10" s="23">
        <f>H8+H9</f>
        <v>-148.986</v>
      </c>
      <c r="I10" s="23">
        <f>I8+I9</f>
        <v>-195.478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-0.094</v>
      </c>
      <c r="E11" s="23" t="n">
        <v>0.079</v>
      </c>
      <c r="F11" s="23" t="n">
        <v>0.764</v>
      </c>
      <c r="G11" s="23" t="n">
        <v>1.18</v>
      </c>
      <c r="H11" s="23" t="n">
        <v>2.054</v>
      </c>
      <c r="I11" s="23" t="n">
        <v>2.237</v>
      </c>
    </row>
    <row r="12">
      <c r="A12" s="2" t="inlineStr">
        <is>
          <t>Net Income</t>
        </is>
      </c>
      <c r="B12" s="23" t="n">
        <v>-4.314</v>
      </c>
      <c r="C12" s="23" t="n">
        <v>-8.026999999999999</v>
      </c>
      <c r="D12" s="23" t="n">
        <v>-29.247</v>
      </c>
      <c r="E12" s="23" t="n">
        <v>-48.051</v>
      </c>
      <c r="F12" s="23" t="n">
        <v>-85.89700000000001</v>
      </c>
      <c r="G12" s="23" t="n">
        <v>-113.515</v>
      </c>
      <c r="H12" s="23" t="n">
        <v>-151.04</v>
      </c>
      <c r="I12" s="23" t="n">
        <v>-197.715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-0.8894845360824744</v>
      </c>
      <c r="C13" s="11">
        <f>IFERROR(C12/C14,0)</f>
        <v>-1.6550515463917526</v>
      </c>
      <c r="D13" s="11">
        <f>IFERROR(D12/D14,0)</f>
        <v>-6.030309278350516</v>
      </c>
      <c r="E13" s="11">
        <f>IFERROR(E12/E14,0)</f>
        <v>-1.580001315270288</v>
      </c>
      <c r="F13" s="11">
        <f>IFERROR(F12/F14,0)</f>
        <v>-2.5575239683201336</v>
      </c>
      <c r="G13" s="11">
        <f>IFERROR(G12/G14,0)</f>
        <v>-2.956735778287143</v>
      </c>
      <c r="H13" s="11">
        <f>IFERROR(H12/H14,0)</f>
        <v>-2.7959497232557706</v>
      </c>
      <c r="I13" s="11">
        <f>IFERROR(I12/I14,0)</f>
        <v>-3.34209503203232</v>
      </c>
    </row>
    <row r="14">
      <c r="A14" s="2" t="inlineStr">
        <is>
          <t>Shares</t>
        </is>
      </c>
      <c r="B14" s="23" t="n">
        <v>4.85</v>
      </c>
      <c r="C14" s="23" t="n">
        <v>4.85</v>
      </c>
      <c r="D14" s="23" t="n">
        <v>4.85</v>
      </c>
      <c r="E14" s="23" t="n">
        <v>30.412</v>
      </c>
      <c r="F14" s="23" t="n">
        <v>33.586</v>
      </c>
      <c r="G14" s="23" t="n">
        <v>38.392</v>
      </c>
      <c r="H14" s="23" t="n">
        <v>54.021</v>
      </c>
      <c r="I14" s="23" t="n">
        <v>59.159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Pharvaris N.V.: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0.5653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195.478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637.8</v>
      </c>
    </row>
    <row r="22">
      <c r="A22" s="14" t="inlineStr">
        <is>
          <t>First year, fraction after the balance sheet date</t>
        </is>
      </c>
      <c r="B22" s="28" t="n">
        <v>1</v>
      </c>
    </row>
    <row r="23">
      <c r="A23" s="14" t="inlineStr">
        <is>
          <t>Balance sheet date</t>
        </is>
      </c>
      <c r="B23" s="41" t="n">
        <v>46022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188.95736537385588</v>
      </c>
      <c r="C29" s="42">
        <f>NPV!B25</f>
        <v>517.1844514032263</v>
      </c>
      <c r="D29" s="43">
        <f>NPV!B27</f>
        <v>7.930988684556087</v>
      </c>
      <c r="E29" s="44">
        <f>NPV!B29</f>
        <v>-0.7433336995289292</v>
      </c>
    </row>
    <row r="30">
      <c r="A30" s="45" t="n">
        <v>1</v>
      </c>
      <c r="B30" s="46">
        <f t="dataTable" ref="B30:E32" r1="B4"/>
        <v>-234.99581575170845</v>
      </c>
      <c r="C30" s="46">
        <v>93.2312702776619</v>
      </c>
      <c r="D30" s="47">
        <v>1.4296952424086626</v>
      </c>
      <c r="E30" s="48">
        <v>-0.9537315455531177</v>
      </c>
    </row>
    <row r="31">
      <c r="A31" s="45" t="n">
        <v>2</v>
      </c>
      <c r="B31" s="46">
        <v>188.95736537385588</v>
      </c>
      <c r="C31" s="46">
        <v>517.1844514032263</v>
      </c>
      <c r="D31" s="47">
        <v>7.930988684556087</v>
      </c>
      <c r="E31" s="48">
        <v>-0.7433336995289292</v>
      </c>
    </row>
    <row r="32">
      <c r="A32" s="45" t="n">
        <v>3</v>
      </c>
      <c r="B32" s="46">
        <v>830.7366268316422</v>
      </c>
      <c r="C32" s="46">
        <v>1158.9637128610125</v>
      </c>
      <c r="D32" s="47">
        <v>17.772630378915643</v>
      </c>
      <c r="E32" s="48">
        <v>-0.42483396831988207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7.930988684556087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0.009873241163552813</v>
      </c>
      <c r="C37" s="47">
        <v>2.1258570794534704</v>
      </c>
      <c r="D37" s="47">
        <v>4.090586062604959</v>
      </c>
      <c r="E37" s="47">
        <v>7.6862800135599425</v>
      </c>
      <c r="F37" s="47">
        <v>11.179680302936038</v>
      </c>
    </row>
    <row r="38">
      <c r="A38" s="50" t="n">
        <v>0.8</v>
      </c>
      <c r="B38" s="47">
        <v>0.8752455898758207</v>
      </c>
      <c r="C38" s="47">
        <v>3.6030455956489416</v>
      </c>
      <c r="D38" s="47">
        <v>6.032790283354892</v>
      </c>
      <c r="E38" s="47">
        <v>10.723106787783145</v>
      </c>
      <c r="F38" s="47">
        <v>15.31403640664387</v>
      </c>
    </row>
    <row r="39">
      <c r="A39" s="50" t="n">
        <v>1</v>
      </c>
      <c r="B39" s="47">
        <v>1.7406179385880873</v>
      </c>
      <c r="C39" s="47">
        <v>4.954681302004534</v>
      </c>
      <c r="D39" s="47">
        <v>7.930988684556087</v>
      </c>
      <c r="E39" s="47">
        <v>13.716035077172846</v>
      </c>
      <c r="F39" s="47">
        <v>19.412963949862668</v>
      </c>
    </row>
    <row r="40">
      <c r="A40" s="50" t="n">
        <v>1.2</v>
      </c>
      <c r="B40" s="47">
        <v>2.6059902873003544</v>
      </c>
      <c r="C40" s="47">
        <v>6.278673165057854</v>
      </c>
      <c r="D40" s="47">
        <v>9.801012962194129</v>
      </c>
      <c r="E40" s="47">
        <v>16.688215960425193</v>
      </c>
      <c r="F40" s="47">
        <v>23.500878051918914</v>
      </c>
    </row>
    <row r="41">
      <c r="A41" s="50" t="n">
        <v>1.4</v>
      </c>
      <c r="B41" s="47">
        <v>3.3751763777480024</v>
      </c>
      <c r="C41" s="47">
        <v>7.582455533156019</v>
      </c>
      <c r="D41" s="47">
        <v>11.655730080665812</v>
      </c>
      <c r="E41" s="47">
        <v>19.649864248201272</v>
      </c>
      <c r="F41" s="47">
        <v>27.567878620835792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Pharvaris N.V.: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Hereditary angioedema</t>
        </is>
      </c>
      <c r="C4" s="14" t="inlineStr">
        <is>
          <t>Deucrictibant, deucrictibant</t>
        </is>
      </c>
      <c r="D4" s="14" t="inlineStr">
        <is>
          <t>Phase 3</t>
        </is>
      </c>
      <c r="E4" s="14" t="inlineStr">
        <is>
          <t>Hematology / rare</t>
        </is>
      </c>
      <c r="F4" s="14" t="inlineStr">
        <is>
          <t>Owned</t>
        </is>
      </c>
      <c r="G4" s="40" t="n">
        <v>1200</v>
      </c>
      <c r="H4" s="27" t="n">
        <v>0.5653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919.8970301690006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67.836</v>
      </c>
      <c r="Q4" s="23">
        <f>IF(Q$3&lt;$I4,0,$G4*Assumptions!$E$11*INDEX(Assumptions!$B$24:$G$24,MIN(6,Q$3-$I4+1))*IF(Q$3&gt;$J4,(1-Assumptions!$B$26)^(Q$3-$J4),1)*IF($H4&gt;=1,1,MIN(0.97,$H4*Assumptions!$E$12)))</f>
        <v>169.59</v>
      </c>
      <c r="R4" s="23">
        <f>IF(R$3&lt;$I4,0,$G4*Assumptions!$E$11*INDEX(Assumptions!$B$24:$G$24,MIN(6,R$3-$I4+1))*IF(R$3&gt;$J4,(1-Assumptions!$B$26)^(R$3-$J4),1)*IF($H4&gt;=1,1,MIN(0.97,$H4*Assumptions!$E$12)))</f>
        <v>305.262</v>
      </c>
      <c r="S4" s="23">
        <f>IF(S$3&lt;$I4,0,$G4*Assumptions!$E$11*INDEX(Assumptions!$B$24:$G$24,MIN(6,S$3-$I4+1))*IF(S$3&gt;$J4,(1-Assumptions!$B$26)^(S$3-$J4),1)*IF($H4&gt;=1,1,MIN(0.97,$H4*Assumptions!$E$12)))</f>
        <v>440.934</v>
      </c>
      <c r="T4" s="23">
        <f>IF(T$3&lt;$I4,0,$G4*Assumptions!$E$11*INDEX(Assumptions!$B$24:$G$24,MIN(6,T$3-$I4+1))*IF(T$3&gt;$J4,(1-Assumptions!$B$26)^(T$3-$J4),1)*IF($H4&gt;=1,1,MIN(0.97,$H4*Assumptions!$E$12)))</f>
        <v>576.606</v>
      </c>
      <c r="U4" s="23">
        <f>IF(U$3&lt;$I4,0,$G4*Assumptions!$E$11*INDEX(Assumptions!$B$24:$G$24,MIN(6,U$3-$I4+1))*IF(U$3&gt;$J4,(1-Assumptions!$B$26)^(U$3-$J4),1)*IF($H4&gt;=1,1,MIN(0.97,$H4*Assumptions!$E$12)))</f>
        <v>678.36</v>
      </c>
      <c r="V4" s="23">
        <f>IF(V$3&lt;$I4,0,$G4*Assumptions!$E$11*INDEX(Assumptions!$B$24:$G$24,MIN(6,V$3-$I4+1))*IF(V$3&gt;$J4,(1-Assumptions!$B$26)^(V$3-$J4),1)*IF($H4&gt;=1,1,MIN(0.97,$H4*Assumptions!$E$12)))</f>
        <v>678.36</v>
      </c>
      <c r="W4" s="23">
        <f>IF(W$3&lt;$I4,0,$G4*Assumptions!$E$11*INDEX(Assumptions!$B$24:$G$24,MIN(6,W$3-$I4+1))*IF(W$3&gt;$J4,(1-Assumptions!$B$26)^(W$3-$J4),1)*IF($H4&gt;=1,1,MIN(0.97,$H4*Assumptions!$E$12)))</f>
        <v>678.36</v>
      </c>
      <c r="X4" s="23">
        <f>IF(X$3&lt;$I4,0,$G4*Assumptions!$E$11*INDEX(Assumptions!$B$24:$G$24,MIN(6,X$3-$I4+1))*IF(X$3&gt;$J4,(1-Assumptions!$B$26)^(X$3-$J4),1)*IF($H4&gt;=1,1,MIN(0.97,$H4*Assumptions!$E$12)))</f>
        <v>678.36</v>
      </c>
      <c r="Y4" s="23">
        <f>IF(Y$3&lt;$I4,0,$G4*Assumptions!$E$11*INDEX(Assumptions!$B$24:$G$24,MIN(6,Y$3-$I4+1))*IF(Y$3&gt;$J4,(1-Assumptions!$B$26)^(Y$3-$J4),1)*IF($H4&gt;=1,1,MIN(0.97,$H4*Assumptions!$E$12)))</f>
        <v>678.36</v>
      </c>
      <c r="Z4" s="23">
        <f>IF(Z$3&lt;$I4,0,$G4*Assumptions!$E$11*INDEX(Assumptions!$B$24:$G$24,MIN(6,Z$3-$I4+1))*IF(Z$3&gt;$J4,(1-Assumptions!$B$26)^(Z$3-$J4),1)*IF($H4&gt;=1,1,MIN(0.97,$H4*Assumptions!$E$12)))</f>
        <v>678.36</v>
      </c>
      <c r="AA4" s="23">
        <f>IF(AA$3&lt;$I4,0,$G4*Assumptions!$E$11*INDEX(Assumptions!$B$24:$G$24,MIN(6,AA$3-$I4+1))*IF(AA$3&gt;$J4,(1-Assumptions!$B$26)^(AA$3-$J4),1)*IF($H4&gt;=1,1,MIN(0.97,$H4*Assumptions!$E$12)))</f>
        <v>678.36</v>
      </c>
      <c r="AB4" s="23">
        <f>IF(AB$3&lt;$I4,0,$G4*Assumptions!$E$11*INDEX(Assumptions!$B$24:$G$24,MIN(6,AB$3-$I4+1))*IF(AB$3&gt;$J4,(1-Assumptions!$B$26)^(AB$3-$J4),1)*IF($H4&gt;=1,1,MIN(0.97,$H4*Assumptions!$E$12)))</f>
        <v>678.36</v>
      </c>
      <c r="AC4" s="23">
        <f>IF(AC$3&lt;$I4,0,$G4*Assumptions!$E$11*INDEX(Assumptions!$B$24:$G$24,MIN(6,AC$3-$I4+1))*IF(AC$3&gt;$J4,(1-Assumptions!$B$26)^(AC$3-$J4),1)*IF($H4&gt;=1,1,MIN(0.97,$H4*Assumptions!$E$12)))</f>
        <v>339.18</v>
      </c>
      <c r="AD4" s="23">
        <f>IF(AD$3&lt;$I4,0,$G4*Assumptions!$E$11*INDEX(Assumptions!$B$24:$G$24,MIN(6,AD$3-$I4+1))*IF(AD$3&gt;$J4,(1-Assumptions!$B$26)^(AD$3-$J4),1)*IF($H4&gt;=1,1,MIN(0.97,$H4*Assumptions!$E$12)))</f>
        <v>169.59</v>
      </c>
      <c r="AE4" s="23">
        <f>IF(AE$3&lt;$I4,0,$G4*Assumptions!$E$11*INDEX(Assumptions!$B$24:$G$24,MIN(6,AE$3-$I4+1))*IF(AE$3&gt;$J4,(1-Assumptions!$B$26)^(AE$3-$J4),1)*IF($H4&gt;=1,1,MIN(0.97,$H4*Assumptions!$E$12)))</f>
        <v>84.795</v>
      </c>
      <c r="AF4" s="23">
        <f>IF(AF$3&lt;$I4,0,$G4*Assumptions!$E$11*INDEX(Assumptions!$B$24:$G$24,MIN(6,AF$3-$I4+1))*IF(AF$3&gt;$J4,(1-Assumptions!$B$26)^(AF$3-$J4),1)*IF($H4&gt;=1,1,MIN(0.97,$H4*Assumptions!$E$12)))</f>
        <v>42.3975</v>
      </c>
      <c r="AG4" s="35">
        <f>IF(F4="Owned",1-IF(H4&gt;=1,1,MIN(0.97,H4*Assumptions!$E$12)),1)</f>
        <v>0.4347</v>
      </c>
    </row>
    <row r="5">
      <c r="B5" s="24" t="inlineStr">
        <is>
          <t>Risked revenue</t>
        </is>
      </c>
      <c r="L5" s="54">
        <f>SUM(L4:L4)</f>
        <v>919.8970301690006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67.836</v>
      </c>
      <c r="Q5" s="54">
        <f>SUM(Q4:Q4)</f>
        <v>169.59</v>
      </c>
      <c r="R5" s="54">
        <f>SUM(R4:R4)</f>
        <v>305.262</v>
      </c>
      <c r="S5" s="54">
        <f>SUM(S4:S4)</f>
        <v>440.934</v>
      </c>
      <c r="T5" s="54">
        <f>SUM(T4:T4)</f>
        <v>576.606</v>
      </c>
      <c r="U5" s="54">
        <f>SUM(U4:U4)</f>
        <v>678.36</v>
      </c>
      <c r="V5" s="54">
        <f>SUM(V4:V4)</f>
        <v>678.36</v>
      </c>
      <c r="W5" s="54">
        <f>SUM(W4:W4)</f>
        <v>678.36</v>
      </c>
      <c r="X5" s="54">
        <f>SUM(X4:X4)</f>
        <v>678.36</v>
      </c>
      <c r="Y5" s="54">
        <f>SUM(Y4:Y4)</f>
        <v>678.36</v>
      </c>
      <c r="Z5" s="54">
        <f>SUM(Z4:Z4)</f>
        <v>678.36</v>
      </c>
      <c r="AA5" s="54">
        <f>SUM(AA4:AA4)</f>
        <v>678.36</v>
      </c>
      <c r="AB5" s="54">
        <f>SUM(AB4:AB4)</f>
        <v>678.36</v>
      </c>
      <c r="AC5" s="54">
        <f>SUM(AC4:AC4)</f>
        <v>339.18</v>
      </c>
      <c r="AD5" s="54">
        <f>SUM(AD4:AD4)</f>
        <v>169.59</v>
      </c>
      <c r="AE5" s="54">
        <f>SUM(AE4:AE4)</f>
        <v>84.795</v>
      </c>
      <c r="AF5" s="54">
        <f>SUM(AF4:AF4)</f>
        <v>42.3975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27.1344</v>
      </c>
      <c r="Q6" s="55">
        <f>SUMPRODUCT(Q4:Q4,$K$4:$K$4)</f>
        <v>67.836</v>
      </c>
      <c r="R6" s="55">
        <f>SUMPRODUCT(R4:R4,$K$4:$K$4)</f>
        <v>122.10480000000001</v>
      </c>
      <c r="S6" s="55">
        <f>SUMPRODUCT(S4:S4,$K$4:$K$4)</f>
        <v>176.3736</v>
      </c>
      <c r="T6" s="55">
        <f>SUMPRODUCT(T4:T4,$K$4:$K$4)</f>
        <v>230.6424</v>
      </c>
      <c r="U6" s="55">
        <f>SUMPRODUCT(U4:U4,$K$4:$K$4)</f>
        <v>271.344</v>
      </c>
      <c r="V6" s="55">
        <f>SUMPRODUCT(V4:V4,$K$4:$K$4)</f>
        <v>271.344</v>
      </c>
      <c r="W6" s="55">
        <f>SUMPRODUCT(W4:W4,$K$4:$K$4)</f>
        <v>271.344</v>
      </c>
      <c r="X6" s="55">
        <f>SUMPRODUCT(X4:X4,$K$4:$K$4)</f>
        <v>271.344</v>
      </c>
      <c r="Y6" s="55">
        <f>SUMPRODUCT(Y4:Y4,$K$4:$K$4)</f>
        <v>271.344</v>
      </c>
      <c r="Z6" s="55">
        <f>SUMPRODUCT(Z4:Z4,$K$4:$K$4)</f>
        <v>271.344</v>
      </c>
      <c r="AA6" s="55">
        <f>SUMPRODUCT(AA4:AA4,$K$4:$K$4)</f>
        <v>271.344</v>
      </c>
      <c r="AB6" s="55">
        <f>SUMPRODUCT(AB4:AB4,$K$4:$K$4)</f>
        <v>271.344</v>
      </c>
      <c r="AC6" s="55">
        <f>SUMPRODUCT(AC4:AC4,$K$4:$K$4)</f>
        <v>135.672</v>
      </c>
      <c r="AD6" s="55">
        <f>SUMPRODUCT(AD4:AD4,$K$4:$K$4)</f>
        <v>67.836</v>
      </c>
      <c r="AE6" s="55">
        <f>SUMPRODUCT(AE4:AE4,$K$4:$K$4)</f>
        <v>33.918</v>
      </c>
      <c r="AF6" s="55">
        <f>SUMPRODUCT(AF4:AF4,$K$4:$K$4)</f>
        <v>16.959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Pharvaris N.V.: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67.836</v>
      </c>
      <c r="G4" s="57">
        <f>Pipeline!Q5</f>
        <v>169.59</v>
      </c>
      <c r="H4" s="57">
        <f>Pipeline!R5</f>
        <v>305.262</v>
      </c>
      <c r="I4" s="57">
        <f>Pipeline!S5</f>
        <v>440.934</v>
      </c>
      <c r="J4" s="57">
        <f>Pipeline!T5</f>
        <v>576.606</v>
      </c>
      <c r="K4" s="57">
        <f>Pipeline!U5</f>
        <v>678.36</v>
      </c>
      <c r="L4" s="57">
        <f>Pipeline!V5</f>
        <v>678.36</v>
      </c>
      <c r="M4" s="57">
        <f>Pipeline!W5</f>
        <v>678.36</v>
      </c>
      <c r="N4" s="57">
        <f>Pipeline!X5</f>
        <v>678.36</v>
      </c>
      <c r="O4" s="57">
        <f>Pipeline!Y5</f>
        <v>678.36</v>
      </c>
      <c r="P4" s="57">
        <f>Pipeline!Z5</f>
        <v>678.36</v>
      </c>
      <c r="Q4" s="57">
        <f>Pipeline!AA5</f>
        <v>678.36</v>
      </c>
      <c r="R4" s="57">
        <f>Pipeline!AB5</f>
        <v>678.36</v>
      </c>
      <c r="S4" s="57">
        <f>Pipeline!AC5</f>
        <v>339.18</v>
      </c>
      <c r="T4" s="57">
        <f>Pipeline!AD5</f>
        <v>169.59</v>
      </c>
      <c r="U4" s="57">
        <f>Pipeline!AE5</f>
        <v>84.795</v>
      </c>
      <c r="V4" s="57">
        <f>Pipeline!AF5</f>
        <v>42.3975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27.1344</v>
      </c>
      <c r="G5" s="57">
        <f>Pipeline!Q6</f>
        <v>67.836</v>
      </c>
      <c r="H5" s="57">
        <f>Pipeline!R6</f>
        <v>122.10480000000001</v>
      </c>
      <c r="I5" s="57">
        <f>Pipeline!S6</f>
        <v>176.3736</v>
      </c>
      <c r="J5" s="57">
        <f>Pipeline!T6</f>
        <v>230.6424</v>
      </c>
      <c r="K5" s="57">
        <f>Pipeline!U6</f>
        <v>271.344</v>
      </c>
      <c r="L5" s="57">
        <f>Pipeline!V6</f>
        <v>271.344</v>
      </c>
      <c r="M5" s="57">
        <f>Pipeline!W6</f>
        <v>271.344</v>
      </c>
      <c r="N5" s="57">
        <f>Pipeline!X6</f>
        <v>271.344</v>
      </c>
      <c r="O5" s="57">
        <f>Pipeline!Y6</f>
        <v>271.344</v>
      </c>
      <c r="P5" s="57">
        <f>Pipeline!Z6</f>
        <v>271.344</v>
      </c>
      <c r="Q5" s="57">
        <f>Pipeline!AA6</f>
        <v>271.344</v>
      </c>
      <c r="R5" s="57">
        <f>Pipeline!AB6</f>
        <v>271.344</v>
      </c>
      <c r="S5" s="57">
        <f>Pipeline!AC6</f>
        <v>135.672</v>
      </c>
      <c r="T5" s="57">
        <f>Pipeline!AD6</f>
        <v>67.836</v>
      </c>
      <c r="U5" s="57">
        <f>Pipeline!AE6</f>
        <v>33.918</v>
      </c>
      <c r="V5" s="57">
        <f>Pipeline!AF6</f>
        <v>16.959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-195.478</v>
      </c>
      <c r="D6" s="23">
        <f>-IF(D3-2026&lt;Assumptions!$B$19,Assumptions!$B$18,Assumptions!$B$18*Assumptions!$B$20*Assumptions!$B$16)</f>
        <v>-195.478</v>
      </c>
      <c r="E6" s="23">
        <f>-IF(E3-2026&lt;Assumptions!$B$19,Assumptions!$B$18,Assumptions!$B$18*Assumptions!$B$20*Assumptions!$B$16)</f>
        <v>-195.478</v>
      </c>
      <c r="F6" s="23">
        <f>-IF(F3-2026&lt;Assumptions!$B$19,Assumptions!$B$18,Assumptions!$B$18*Assumptions!$B$20*Assumptions!$B$16)</f>
        <v>-33.15111402</v>
      </c>
      <c r="G6" s="23">
        <f>-IF(G3-2026&lt;Assumptions!$B$19,Assumptions!$B$18,Assumptions!$B$18*Assumptions!$B$20*Assumptions!$B$16)</f>
        <v>-33.15111402</v>
      </c>
      <c r="H6" s="23">
        <f>-IF(H3-2026&lt;Assumptions!$B$19,Assumptions!$B$18,Assumptions!$B$18*Assumptions!$B$20*Assumptions!$B$16)</f>
        <v>-33.15111402</v>
      </c>
      <c r="I6" s="23">
        <f>-IF(I3-2026&lt;Assumptions!$B$19,Assumptions!$B$18,Assumptions!$B$18*Assumptions!$B$20*Assumptions!$B$16)</f>
        <v>-33.15111402</v>
      </c>
      <c r="J6" s="23">
        <f>-IF(J3-2026&lt;Assumptions!$B$19,Assumptions!$B$18,Assumptions!$B$18*Assumptions!$B$20*Assumptions!$B$16)</f>
        <v>-33.15111402</v>
      </c>
      <c r="K6" s="23">
        <f>-IF(K3-2026&lt;Assumptions!$B$19,Assumptions!$B$18,Assumptions!$B$18*Assumptions!$B$20*Assumptions!$B$16)</f>
        <v>-33.15111402</v>
      </c>
      <c r="L6" s="23">
        <f>-IF(L3-2026&lt;Assumptions!$B$19,Assumptions!$B$18,Assumptions!$B$18*Assumptions!$B$20*Assumptions!$B$16)</f>
        <v>-33.15111402</v>
      </c>
      <c r="M6" s="23">
        <f>-IF(M3-2026&lt;Assumptions!$B$19,Assumptions!$B$18,Assumptions!$B$18*Assumptions!$B$20*Assumptions!$B$16)</f>
        <v>-33.15111402</v>
      </c>
      <c r="N6" s="23">
        <f>-IF(N3-2026&lt;Assumptions!$B$19,Assumptions!$B$18,Assumptions!$B$18*Assumptions!$B$20*Assumptions!$B$16)</f>
        <v>-33.15111402</v>
      </c>
      <c r="O6" s="23">
        <f>-IF(O3-2026&lt;Assumptions!$B$19,Assumptions!$B$18,Assumptions!$B$18*Assumptions!$B$20*Assumptions!$B$16)</f>
        <v>-33.15111402</v>
      </c>
      <c r="P6" s="23">
        <f>-IF(P3-2026&lt;Assumptions!$B$19,Assumptions!$B$18,Assumptions!$B$18*Assumptions!$B$20*Assumptions!$B$16)</f>
        <v>-33.15111402</v>
      </c>
      <c r="Q6" s="23">
        <f>-IF(Q3-2026&lt;Assumptions!$B$19,Assumptions!$B$18,Assumptions!$B$18*Assumptions!$B$20*Assumptions!$B$16)</f>
        <v>-33.15111402</v>
      </c>
      <c r="R6" s="23">
        <f>-IF(R3-2026&lt;Assumptions!$B$19,Assumptions!$B$18,Assumptions!$B$18*Assumptions!$B$20*Assumptions!$B$16)</f>
        <v>-33.15111402</v>
      </c>
      <c r="S6" s="23">
        <f>-IF(S3-2026&lt;Assumptions!$B$19,Assumptions!$B$18,Assumptions!$B$18*Assumptions!$B$20*Assumptions!$B$16)</f>
        <v>-33.15111402</v>
      </c>
      <c r="T6" s="23">
        <f>-IF(T3-2026&lt;Assumptions!$B$19,Assumptions!$B$18,Assumptions!$B$18*Assumptions!$B$20*Assumptions!$B$16)</f>
        <v>-33.15111402</v>
      </c>
      <c r="U6" s="23">
        <f>-IF(U3-2026&lt;Assumptions!$B$19,Assumptions!$B$18,Assumptions!$B$18*Assumptions!$B$20*Assumptions!$B$16)</f>
        <v>-33.15111402</v>
      </c>
      <c r="V6" s="23">
        <f>-IF(V3-2026&lt;Assumptions!$B$19,Assumptions!$B$18,Assumptions!$B$18*Assumptions!$B$20*Assumptions!$B$16)</f>
        <v>-33.15111402</v>
      </c>
    </row>
    <row r="7">
      <c r="A7" s="14" t="inlineStr">
        <is>
          <t>Pre-tax cash flow</t>
        </is>
      </c>
      <c r="C7" s="23">
        <f>C5+C6</f>
        <v>-195.478</v>
      </c>
      <c r="D7" s="23">
        <f>D5+D6</f>
        <v>-195.478</v>
      </c>
      <c r="E7" s="23">
        <f>E5+E6</f>
        <v>-195.478</v>
      </c>
      <c r="F7" s="23">
        <f>F5+F6</f>
        <v>-6.016714020000002</v>
      </c>
      <c r="G7" s="23">
        <f>G5+G6</f>
        <v>34.68488598</v>
      </c>
      <c r="H7" s="23">
        <f>H5+H6</f>
        <v>88.95368598000002</v>
      </c>
      <c r="I7" s="23">
        <f>I5+I6</f>
        <v>143.22248598000002</v>
      </c>
      <c r="J7" s="23">
        <f>J5+J6</f>
        <v>197.49128598000001</v>
      </c>
      <c r="K7" s="23">
        <f>K5+K6</f>
        <v>238.19288598</v>
      </c>
      <c r="L7" s="23">
        <f>L5+L6</f>
        <v>238.19288598</v>
      </c>
      <c r="M7" s="23">
        <f>M5+M6</f>
        <v>238.19288598</v>
      </c>
      <c r="N7" s="23">
        <f>N5+N6</f>
        <v>238.19288598</v>
      </c>
      <c r="O7" s="23">
        <f>O5+O6</f>
        <v>238.19288598</v>
      </c>
      <c r="P7" s="23">
        <f>P5+P6</f>
        <v>238.19288598</v>
      </c>
      <c r="Q7" s="23">
        <f>Q5+Q6</f>
        <v>238.19288598</v>
      </c>
      <c r="R7" s="23">
        <f>R5+R6</f>
        <v>238.19288598</v>
      </c>
      <c r="S7" s="23">
        <f>S5+S6</f>
        <v>102.52088598</v>
      </c>
      <c r="T7" s="23">
        <f>T5+T6</f>
        <v>34.68488598</v>
      </c>
      <c r="U7" s="23">
        <f>U5+U6</f>
        <v>0.7668859799999979</v>
      </c>
      <c r="V7" s="23">
        <f>V5+V6</f>
        <v>-16.19211402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34.68488598</v>
      </c>
      <c r="H8" s="23">
        <f>MIN(G17,MAX(0,H7))</f>
        <v>88.95368598000002</v>
      </c>
      <c r="I8" s="23">
        <f>MIN(H17,MAX(0,I7))</f>
        <v>143.22248598000002</v>
      </c>
      <c r="J8" s="23">
        <f>MIN(I17,MAX(0,J7))</f>
        <v>197.49128598000001</v>
      </c>
      <c r="K8" s="23">
        <f>MIN(J17,MAX(0,K7))</f>
        <v>238.19288598</v>
      </c>
      <c r="L8" s="23">
        <f>MIN(K17,MAX(0,L7))</f>
        <v>238.19288598</v>
      </c>
      <c r="M8" s="23">
        <f>MIN(L17,MAX(0,M7))</f>
        <v>238.19288598</v>
      </c>
      <c r="N8" s="23">
        <f>MIN(M17,MAX(0,N7))</f>
        <v>51.31971216000014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186.87317381999986</v>
      </c>
      <c r="O9" s="23">
        <f>MAX(0,O7)-O8</f>
        <v>238.19288598</v>
      </c>
      <c r="P9" s="23">
        <f>MAX(0,P7)-P8</f>
        <v>238.19288598</v>
      </c>
      <c r="Q9" s="23">
        <f>MAX(0,Q7)-Q8</f>
        <v>238.19288598</v>
      </c>
      <c r="R9" s="23">
        <f>MAX(0,R7)-R8</f>
        <v>238.19288598</v>
      </c>
      <c r="S9" s="23">
        <f>MAX(0,S7)-S8</f>
        <v>102.52088598</v>
      </c>
      <c r="T9" s="23">
        <f>MAX(0,T7)-T8</f>
        <v>34.68488598</v>
      </c>
      <c r="U9" s="23">
        <f>MAX(0,U7)-U8</f>
        <v>0.7668859799999979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39.24336650219997</v>
      </c>
      <c r="O10" s="23">
        <f>O9*Assumptions!$E$15</f>
        <v>50.0205060558</v>
      </c>
      <c r="P10" s="23">
        <f>P9*Assumptions!$E$15</f>
        <v>50.0205060558</v>
      </c>
      <c r="Q10" s="23">
        <f>Q9*Assumptions!$E$15</f>
        <v>50.0205060558</v>
      </c>
      <c r="R10" s="23">
        <f>R9*Assumptions!$E$15</f>
        <v>50.0205060558</v>
      </c>
      <c r="S10" s="23">
        <f>S9*Assumptions!$E$15</f>
        <v>21.5293860558</v>
      </c>
      <c r="T10" s="23">
        <f>T9*Assumptions!$E$15</f>
        <v>7.283826055799999</v>
      </c>
      <c r="U10" s="23">
        <f>U9*Assumptions!$E$15</f>
        <v>0.16104605579999953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-195.478</v>
      </c>
      <c r="D11" s="55">
        <f>D7-D10</f>
        <v>-195.478</v>
      </c>
      <c r="E11" s="55">
        <f>E7-E10</f>
        <v>-195.478</v>
      </c>
      <c r="F11" s="55">
        <f>F7-F10</f>
        <v>-6.016714020000002</v>
      </c>
      <c r="G11" s="55">
        <f>G7-G10</f>
        <v>34.68488598</v>
      </c>
      <c r="H11" s="55">
        <f>H7-H10</f>
        <v>88.95368598000002</v>
      </c>
      <c r="I11" s="55">
        <f>I7-I10</f>
        <v>143.22248598000002</v>
      </c>
      <c r="J11" s="55">
        <f>J7-J10</f>
        <v>197.49128598000001</v>
      </c>
      <c r="K11" s="55">
        <f>K7-K10</f>
        <v>238.19288598</v>
      </c>
      <c r="L11" s="55">
        <f>L7-L10</f>
        <v>238.19288598</v>
      </c>
      <c r="M11" s="55">
        <f>M7-M10</f>
        <v>238.19288598</v>
      </c>
      <c r="N11" s="55">
        <f>N7-N10</f>
        <v>198.94951947780004</v>
      </c>
      <c r="O11" s="55">
        <f>O7-O10</f>
        <v>188.17237992420002</v>
      </c>
      <c r="P11" s="55">
        <f>P7-P10</f>
        <v>188.17237992420002</v>
      </c>
      <c r="Q11" s="55">
        <f>Q7-Q10</f>
        <v>188.17237992420002</v>
      </c>
      <c r="R11" s="55">
        <f>R7-R10</f>
        <v>188.17237992420002</v>
      </c>
      <c r="S11" s="55">
        <f>S7-S10</f>
        <v>80.9914999242</v>
      </c>
      <c r="T11" s="55">
        <f>T7-T10</f>
        <v>27.4010599242</v>
      </c>
      <c r="U11" s="55">
        <f>U7-U10</f>
        <v>0.6058399241999983</v>
      </c>
      <c r="V11" s="55">
        <f>V7-V10</f>
        <v>-16.19211402</v>
      </c>
    </row>
    <row r="12">
      <c r="A12" s="14" t="inlineStr">
        <is>
          <t>Year fraction</t>
        </is>
      </c>
      <c r="C12" s="58">
        <f>Assumptions!$B$22</f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0.5</v>
      </c>
      <c r="D13" s="11">
        <f>C13+C12/2+D12/2</f>
        <v>1.5</v>
      </c>
      <c r="E13" s="11">
        <f>D13+D12/2+E12/2</f>
        <v>2.5</v>
      </c>
      <c r="F13" s="11">
        <f>E13+E12/2+F12/2</f>
        <v>3.5</v>
      </c>
      <c r="G13" s="11">
        <f>F13+F12/2+G12/2</f>
        <v>4.5</v>
      </c>
      <c r="H13" s="11">
        <f>G13+G12/2+H12/2</f>
        <v>5.5</v>
      </c>
      <c r="I13" s="11">
        <f>H13+H12/2+I12/2</f>
        <v>6.5</v>
      </c>
      <c r="J13" s="11">
        <f>I13+I12/2+J12/2</f>
        <v>7.5</v>
      </c>
      <c r="K13" s="11">
        <f>J13+J12/2+K12/2</f>
        <v>8.5</v>
      </c>
      <c r="L13" s="11">
        <f>K13+K12/2+L12/2</f>
        <v>9.5</v>
      </c>
      <c r="M13" s="11">
        <f>L13+L12/2+M12/2</f>
        <v>10.5</v>
      </c>
      <c r="N13" s="11">
        <f>M13+M12/2+N12/2</f>
        <v>11.5</v>
      </c>
      <c r="O13" s="11">
        <f>N13+N12/2+O12/2</f>
        <v>12.5</v>
      </c>
      <c r="P13" s="11">
        <f>O13+O12/2+P12/2</f>
        <v>13.5</v>
      </c>
      <c r="Q13" s="11">
        <f>P13+P12/2+Q12/2</f>
        <v>14.5</v>
      </c>
      <c r="R13" s="11">
        <f>Q13+Q12/2+R12/2</f>
        <v>15.5</v>
      </c>
      <c r="S13" s="11">
        <f>R13+R12/2+S12/2</f>
        <v>16.5</v>
      </c>
      <c r="T13" s="11">
        <f>S13+S12/2+T12/2</f>
        <v>17.5</v>
      </c>
      <c r="U13" s="11">
        <f>T13+T12/2+U12/2</f>
        <v>18.5</v>
      </c>
      <c r="V13" s="11">
        <f>U13+U12/2+V12/2</f>
        <v>19.5</v>
      </c>
    </row>
    <row r="14">
      <c r="A14" s="14" t="inlineStr">
        <is>
          <t>Discount factor</t>
        </is>
      </c>
      <c r="C14" s="59">
        <f>1/(1+Assumptions!$E$10)^C13</f>
        <v>0.9449111825230679</v>
      </c>
      <c r="D14" s="59">
        <f>1/(1+Assumptions!$E$10)^D13</f>
        <v>0.8436706986813106</v>
      </c>
      <c r="E14" s="59">
        <f>1/(1+Assumptions!$E$10)^E13</f>
        <v>0.7532774095368845</v>
      </c>
      <c r="F14" s="59">
        <f>1/(1+Assumptions!$E$10)^F13</f>
        <v>0.6725691156579324</v>
      </c>
      <c r="G14" s="59">
        <f>1/(1+Assumptions!$E$10)^G13</f>
        <v>0.6005081389802968</v>
      </c>
      <c r="H14" s="59">
        <f>1/(1+Assumptions!$E$10)^H13</f>
        <v>0.5361679812324078</v>
      </c>
      <c r="I14" s="59">
        <f>1/(1+Assumptions!$E$10)^I13</f>
        <v>0.4787214118146497</v>
      </c>
      <c r="J14" s="59">
        <f>1/(1+Assumptions!$E$10)^J13</f>
        <v>0.42742983197736584</v>
      </c>
      <c r="K14" s="59">
        <f>1/(1+Assumptions!$E$10)^K13</f>
        <v>0.38163377855121944</v>
      </c>
      <c r="L14" s="59">
        <f>1/(1+Assumptions!$E$10)^L13</f>
        <v>0.34074444513501734</v>
      </c>
      <c r="M14" s="59">
        <f>1/(1+Assumptions!$E$10)^M13</f>
        <v>0.304236111727694</v>
      </c>
      <c r="N14" s="59">
        <f>1/(1+Assumptions!$E$10)^N13</f>
        <v>0.27163938547115535</v>
      </c>
      <c r="O14" s="59">
        <f>1/(1+Assumptions!$E$10)^O13</f>
        <v>0.24253516559924582</v>
      </c>
      <c r="P14" s="59">
        <f>1/(1+Assumptions!$E$10)^P13</f>
        <v>0.21654925499932662</v>
      </c>
      <c r="Q14" s="59">
        <f>1/(1+Assumptions!$E$10)^Q13</f>
        <v>0.1933475491065416</v>
      </c>
      <c r="R14" s="59">
        <f>1/(1+Assumptions!$E$10)^R13</f>
        <v>0.17263174027369785</v>
      </c>
      <c r="S14" s="59">
        <f>1/(1+Assumptions!$E$10)^S13</f>
        <v>0.15413548238723018</v>
      </c>
      <c r="T14" s="59">
        <f>1/(1+Assumptions!$E$10)^T13</f>
        <v>0.1376209664171698</v>
      </c>
      <c r="U14" s="59">
        <f>1/(1+Assumptions!$E$10)^U13</f>
        <v>0.12287586287247303</v>
      </c>
      <c r="V14" s="59">
        <f>1/(1+Assumptions!$E$10)^V13</f>
        <v>0.10971059185042233</v>
      </c>
    </row>
    <row r="15">
      <c r="A15" s="14" t="inlineStr">
        <is>
          <t>PV factor</t>
        </is>
      </c>
      <c r="C15" s="59">
        <f>C12*C14</f>
        <v>0.9449111825230679</v>
      </c>
      <c r="D15" s="59">
        <f>D12*D14</f>
        <v>0.8436706986813106</v>
      </c>
      <c r="E15" s="59">
        <f>E12*E14</f>
        <v>0.7532774095368845</v>
      </c>
      <c r="F15" s="59">
        <f>F12*F14</f>
        <v>0.6725691156579324</v>
      </c>
      <c r="G15" s="59">
        <f>G12*G14</f>
        <v>0.6005081389802968</v>
      </c>
      <c r="H15" s="59">
        <f>H12*H14</f>
        <v>0.5361679812324078</v>
      </c>
      <c r="I15" s="59">
        <f>I12*I14</f>
        <v>0.4787214118146497</v>
      </c>
      <c r="J15" s="59">
        <f>J12*J14</f>
        <v>0.42742983197736584</v>
      </c>
      <c r="K15" s="59">
        <f>K12*K14</f>
        <v>0.38163377855121944</v>
      </c>
      <c r="L15" s="59">
        <f>L12*L14</f>
        <v>0.34074444513501734</v>
      </c>
      <c r="M15" s="59">
        <f>M12*M14</f>
        <v>0.304236111727694</v>
      </c>
      <c r="N15" s="59">
        <f>N12*N14</f>
        <v>0.27163938547115535</v>
      </c>
      <c r="O15" s="59">
        <f>O12*O14</f>
        <v>0.24253516559924582</v>
      </c>
      <c r="P15" s="59">
        <f>P12*P14</f>
        <v>0.21654925499932662</v>
      </c>
      <c r="Q15" s="59">
        <f>Q12*Q14</f>
        <v>0.1933475491065416</v>
      </c>
      <c r="R15" s="59">
        <f>R12*R14</f>
        <v>0.17263174027369785</v>
      </c>
      <c r="S15" s="59">
        <f>S12*S14</f>
        <v>0.15413548238723018</v>
      </c>
      <c r="T15" s="59">
        <f>T12*T14</f>
        <v>0.1376209664171698</v>
      </c>
      <c r="U15" s="59">
        <f>U12*U14</f>
        <v>0.12287586287247303</v>
      </c>
      <c r="V15" s="59">
        <f>V12*V14</f>
        <v>0.10971059185042233</v>
      </c>
    </row>
    <row r="16">
      <c r="A16" s="24" t="inlineStr">
        <is>
          <t>PV of free cash flow</t>
        </is>
      </c>
      <c r="C16" s="55">
        <f>C11*C15</f>
        <v>-184.7093481372443</v>
      </c>
      <c r="D16" s="55">
        <f>D11*D15</f>
        <v>-164.91906083682525</v>
      </c>
      <c r="E16" s="55">
        <f>E11*E15</f>
        <v>-147.2491614614511</v>
      </c>
      <c r="F16" s="55">
        <f>F11*F15</f>
        <v>-4.046656027598085</v>
      </c>
      <c r="G16" s="55">
        <f>G11*G15</f>
        <v>20.828556330593585</v>
      </c>
      <c r="H16" s="55">
        <f>H11*H15</f>
        <v>47.69411823507815</v>
      </c>
      <c r="I16" s="55">
        <f>I11*I15</f>
        <v>68.56367069194948</v>
      </c>
      <c r="J16" s="55">
        <f>J11*J15</f>
        <v>84.41366718342532</v>
      </c>
      <c r="K16" s="55">
        <f>K11*K15</f>
        <v>90.90245110056718</v>
      </c>
      <c r="L16" s="55">
        <f>L11*L15</f>
        <v>81.16290276836355</v>
      </c>
      <c r="M16" s="55">
        <f>M11*M15</f>
        <v>72.46687747175315</v>
      </c>
      <c r="N16" s="55">
        <f>N11*N15</f>
        <v>54.042525210731256</v>
      </c>
      <c r="O16" s="55">
        <f>O11*O15</f>
        <v>45.63841932612005</v>
      </c>
      <c r="P16" s="55">
        <f>P11*P15</f>
        <v>40.74858868403576</v>
      </c>
      <c r="Q16" s="55">
        <f>Q11*Q15</f>
        <v>36.38266846788906</v>
      </c>
      <c r="R16" s="55">
        <f>R11*R15</f>
        <v>32.48452541775809</v>
      </c>
      <c r="S16" s="55">
        <f>S11*S15</f>
        <v>12.483663910081884</v>
      </c>
      <c r="T16" s="55">
        <f>T11*T15</f>
        <v>3.7709603476231854</v>
      </c>
      <c r="U16" s="55">
        <f>U11*U15</f>
        <v>0.07444310344866845</v>
      </c>
      <c r="V16" s="55">
        <f>V11*V15</f>
        <v>-1.7764464124437214</v>
      </c>
    </row>
    <row r="17">
      <c r="A17" s="14" t="inlineStr">
        <is>
          <t>Tax-loss carryforward, end of year</t>
        </is>
      </c>
      <c r="C17" s="23">
        <f>Assumptions!$B$21-C8+MAX(0,-C7)</f>
        <v>833.278</v>
      </c>
      <c r="D17" s="23">
        <f>C17-D8+MAX(0,-D7)</f>
        <v>1028.756</v>
      </c>
      <c r="E17" s="23">
        <f>D17-E8+MAX(0,-E7)</f>
        <v>1224.2340000000002</v>
      </c>
      <c r="F17" s="23">
        <f>E17-F8+MAX(0,-F7)</f>
        <v>1230.2507140200003</v>
      </c>
      <c r="G17" s="23">
        <f>F17-G8+MAX(0,-G7)</f>
        <v>1195.5658280400003</v>
      </c>
      <c r="H17" s="23">
        <f>G17-H8+MAX(0,-H7)</f>
        <v>1106.6121420600002</v>
      </c>
      <c r="I17" s="23">
        <f>H17-I8+MAX(0,-I7)</f>
        <v>963.3896560800002</v>
      </c>
      <c r="J17" s="23">
        <f>I17-J8+MAX(0,-J7)</f>
        <v>765.8983701000002</v>
      </c>
      <c r="K17" s="23">
        <f>J17-K8+MAX(0,-K7)</f>
        <v>527.7054841200002</v>
      </c>
      <c r="L17" s="23">
        <f>K17-L8+MAX(0,-L7)</f>
        <v>289.51259814000014</v>
      </c>
      <c r="M17" s="23">
        <f>L17-M8+MAX(0,-M7)</f>
        <v>51.31971216000014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16.19211402</v>
      </c>
    </row>
    <row r="19">
      <c r="A19" s="14" t="inlineStr">
        <is>
          <t>PV of risked pipeline contribution</t>
        </is>
      </c>
      <c r="B19" s="23">
        <f>SUMPRODUCT(C5:V5,C15:V15)</f>
        <v>919.8970301690006</v>
      </c>
    </row>
    <row r="20">
      <c r="A20" s="14" t="inlineStr">
        <is>
          <t>PV of corporate burn</t>
        </is>
      </c>
      <c r="B20" s="23">
        <f>SUMPRODUCT(C6:V6,C15:V15)</f>
        <v>-674.6688783739576</v>
      </c>
    </row>
    <row r="21">
      <c r="A21" s="14" t="inlineStr">
        <is>
          <t>PV of taxes</t>
        </is>
      </c>
      <c r="B21" s="23">
        <f>-SUMPRODUCT(C10:V10,C15:V15)</f>
        <v>-56.270786421186926</v>
      </c>
    </row>
    <row r="22">
      <c r="A22" s="24" t="inlineStr">
        <is>
          <t>Pipeline rNPV (operations)</t>
        </is>
      </c>
      <c r="B22" s="54">
        <f>SUM(C16:V16)</f>
        <v>188.95736537385588</v>
      </c>
    </row>
    <row r="23">
      <c r="A23" s="14" t="inlineStr">
        <is>
          <t>Cash &amp; investments</t>
        </is>
      </c>
      <c r="B23" s="57">
        <f>Main!C7</f>
        <v>328.22708602937035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517.1844514032263</v>
      </c>
    </row>
    <row r="26">
      <c r="A26" s="14" t="inlineStr">
        <is>
          <t>Shares (mm)</t>
        </is>
      </c>
      <c r="B26" s="57">
        <f>Main!C4</f>
        <v>65.21059</v>
      </c>
    </row>
    <row r="27">
      <c r="A27" s="24" t="inlineStr">
        <is>
          <t>rNPV / share</t>
        </is>
      </c>
      <c r="B27" s="60">
        <f>B25/B26</f>
        <v>7.930988684556087</v>
      </c>
    </row>
    <row r="28">
      <c r="A28" s="14" t="inlineStr">
        <is>
          <t>Price</t>
        </is>
      </c>
      <c r="B28" s="61">
        <f>Main!C3</f>
        <v>30.9</v>
      </c>
    </row>
    <row r="29">
      <c r="A29" s="14" t="inlineStr">
        <is>
          <t>Upside</t>
        </is>
      </c>
      <c r="B29" s="62">
        <f>B27/B28-1</f>
        <v>-0.7433336995289292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2026-10-21T06:22:45Z</dcterms:modified>
  <cp:lastModifiedBy>Wang, Eric</cp:lastModifiedBy>
</cp:coreProperties>
</file>