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Vertex Pharmaceuticals Incorporated</t>
        </is>
      </c>
      <c r="C2" s="10" t="n"/>
    </row>
    <row r="3">
      <c r="B3" t="inlineStr">
        <is>
          <t>Price</t>
        </is>
      </c>
      <c r="C3" s="11">
        <f>INDEX([1]Pharma!$F$1:$F$1000,MATCH("VRTX",[1]Pharma!$B$1:$B$1000,0))</f>
        <v>514.65</v>
      </c>
      <c r="F3" s="1" t="n"/>
    </row>
    <row r="4">
      <c r="B4" t="inlineStr">
        <is>
          <t>Shares</t>
        </is>
      </c>
      <c r="C4" s="51" t="n">
        <v>253.460924</v>
      </c>
      <c r="F4" s="1" t="n"/>
    </row>
    <row r="5">
      <c r="B5" t="inlineStr">
        <is>
          <t>Market Cap.</t>
        </is>
      </c>
      <c r="C5" s="13">
        <f>C3*C4</f>
        <v>130443.6645366</v>
      </c>
      <c r="F5" s="1" t="n"/>
    </row>
    <row r="6"/>
    <row r="7">
      <c r="B7" t="inlineStr">
        <is>
          <t>Cash</t>
        </is>
      </c>
      <c r="C7" s="51">
        <f>6143.5+1708.9</f>
        <v>7852.4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122591.2645366</v>
      </c>
    </row>
    <row r="10"/>
    <row r="11">
      <c r="B11" s="14" t="inlineStr">
        <is>
          <t>NPV / Share</t>
        </is>
      </c>
      <c r="C11" s="11">
        <f>NPV!B28</f>
        <v>402.45949901286946</v>
      </c>
    </row>
    <row r="12">
      <c r="B12" s="14" t="inlineStr">
        <is>
          <t>Upside</t>
        </is>
      </c>
      <c r="C12" s="15">
        <f>IFERROR(C11/C3-1,"")</f>
        <v>-0.21799378410012726</v>
      </c>
    </row>
    <row r="13">
      <c r="B13" s="14" t="inlineStr">
        <is>
          <t>Cash / Share</t>
        </is>
      </c>
      <c r="C13" s="11">
        <f>IFERROR((C7-C8)/C4,"")</f>
        <v>30.980712435183893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175.504</v>
      </c>
      <c r="C2" s="52" t="n">
        <v>101.889</v>
      </c>
      <c r="D2" s="52" t="n">
        <v>143.37</v>
      </c>
      <c r="E2" s="52" t="n">
        <v>1410.626</v>
      </c>
      <c r="F2" s="52" t="n">
        <v>1527.042</v>
      </c>
      <c r="G2" s="52" t="n">
        <v>1211.975</v>
      </c>
      <c r="H2" s="52" t="n">
        <v>580.415</v>
      </c>
      <c r="I2" s="52" t="n">
        <v>1032.336</v>
      </c>
      <c r="J2" s="52" t="n">
        <v>1702.177</v>
      </c>
      <c r="K2" s="52" t="n">
        <v>2488.652</v>
      </c>
      <c r="L2" s="52" t="n">
        <v>3047.597</v>
      </c>
      <c r="M2" s="52" t="n">
        <v>4162.8</v>
      </c>
      <c r="N2" s="52" t="n">
        <v>6205.7</v>
      </c>
      <c r="O2" s="52" t="n">
        <v>7574.4</v>
      </c>
      <c r="P2" s="52" t="n">
        <v>8930.700000000001</v>
      </c>
      <c r="Q2" s="52" t="n">
        <v>9869.200000000001</v>
      </c>
      <c r="R2" s="52" t="n">
        <v>11020.1</v>
      </c>
      <c r="S2" s="52" t="n">
        <v>12001.3</v>
      </c>
      <c r="T2" s="52">
        <f>S2*(1+NPV!C5)</f>
        <v>13227.83286</v>
      </c>
      <c r="U2" s="52">
        <f>T2*(1+NPV!D5)</f>
        <v>14466.251967537335</v>
      </c>
      <c r="V2" s="52">
        <f>U2*(1+NPV!E5)</f>
        <v>15696.5263293099</v>
      </c>
      <c r="W2" s="52">
        <f>V2*(1+NPV!F5)</f>
        <v>16896.787375957796</v>
      </c>
      <c r="X2" s="52">
        <f>W2*(1+NPV!G5)</f>
        <v>18043.891496703374</v>
      </c>
      <c r="Y2" s="52">
        <f>X2*(1+NPV!H5)</f>
        <v>19114.09475014118</v>
      </c>
      <c r="Z2" s="52">
        <f>Y2*(1+NPV!I5)</f>
        <v>20083.816490465008</v>
      </c>
      <c r="AA2" s="52">
        <f>Z2*(1+NPV!J5)</f>
        <v>20930.460932296388</v>
      </c>
      <c r="AB2" s="52">
        <f>AA2*(1+NPV!K5)</f>
        <v>21633.259298267494</v>
      </c>
      <c r="AC2" s="52">
        <f>AB2*(1+NPV!L5)</f>
        <v>22174.09078072418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63.625</v>
      </c>
      <c r="F3" s="52" t="n">
        <v>236.742</v>
      </c>
      <c r="G3" s="52" t="n">
        <v>88.979</v>
      </c>
      <c r="H3" s="52" t="n">
        <v>39.725</v>
      </c>
      <c r="I3" s="52" t="n">
        <v>117.151</v>
      </c>
      <c r="J3" s="52" t="n">
        <v>210.46</v>
      </c>
      <c r="K3" s="52" t="n">
        <v>275.119</v>
      </c>
      <c r="L3" s="52" t="n">
        <v>409.539</v>
      </c>
      <c r="M3" s="52" t="n">
        <v>547.8</v>
      </c>
      <c r="N3" s="52" t="n">
        <v>736.3</v>
      </c>
      <c r="O3" s="52" t="n">
        <v>904.2</v>
      </c>
      <c r="P3" s="52" t="n">
        <v>1080.3</v>
      </c>
      <c r="Q3" s="52" t="n">
        <v>1262.2</v>
      </c>
      <c r="R3" s="52" t="n">
        <v>1530.5</v>
      </c>
      <c r="S3" s="52" t="n">
        <v>1651.3</v>
      </c>
      <c r="T3" s="52">
        <f>T2*(1-Assumptions!$B$19)</f>
        <v>1820.1498015359994</v>
      </c>
      <c r="U3" s="52">
        <f>U2*(1-Assumptions!$B$19)</f>
        <v>1990.5562707331364</v>
      </c>
      <c r="V3" s="52">
        <f>V2*(1-Assumptions!$B$19)</f>
        <v>2159.8420229130415</v>
      </c>
      <c r="W3" s="52">
        <f>W2*(1-Assumptions!$B$19)</f>
        <v>2324.997942931792</v>
      </c>
      <c r="X3" s="52">
        <f>X2*(1-Assumptions!$B$19)</f>
        <v>2482.8394699463834</v>
      </c>
      <c r="Y3" s="52">
        <f>Y2*(1-Assumptions!$B$19)</f>
        <v>2630.0994376194253</v>
      </c>
      <c r="Z3" s="52">
        <f>Z2*(1-Assumptions!$B$19)</f>
        <v>2763.533149087984</v>
      </c>
      <c r="AA3" s="52">
        <f>AA2*(1-Assumptions!$B$19)</f>
        <v>2880.031424283982</v>
      </c>
      <c r="AB3" s="52">
        <f>AB2*(1-Assumptions!$B$19)</f>
        <v>2976.736479441606</v>
      </c>
      <c r="AC3" s="52">
        <f>AC2*(1-Assumptions!$B$19)</f>
        <v>3051.154891427646</v>
      </c>
    </row>
    <row r="4" customFormat="1" s="1">
      <c r="A4" s="5" t="inlineStr">
        <is>
          <t>Gross Margin</t>
        </is>
      </c>
      <c r="B4" s="52">
        <f>B2-B3</f>
        <v>175.504</v>
      </c>
      <c r="C4" s="52">
        <f>C2-C3</f>
        <v>101.889</v>
      </c>
      <c r="D4" s="52">
        <f>D2-D3</f>
        <v>143.37</v>
      </c>
      <c r="E4" s="52">
        <f>E2-E3</f>
        <v>1347.001</v>
      </c>
      <c r="F4" s="52">
        <f>F2-F3</f>
        <v>1290.3</v>
      </c>
      <c r="G4" s="52">
        <f>G2-G3</f>
        <v>1122.9959999999999</v>
      </c>
      <c r="H4" s="52">
        <f>H2-H3</f>
        <v>540.6899999999999</v>
      </c>
      <c r="I4" s="52">
        <f>I2-I3</f>
        <v>915.1850000000001</v>
      </c>
      <c r="J4" s="52">
        <f>J2-J3</f>
        <v>1491.7169999999999</v>
      </c>
      <c r="K4" s="52">
        <f>K2-K3</f>
        <v>2213.533</v>
      </c>
      <c r="L4" s="52">
        <f>L2-L3</f>
        <v>2638.058</v>
      </c>
      <c r="M4" s="52">
        <f>M2-M3</f>
        <v>3615.0</v>
      </c>
      <c r="N4" s="52">
        <f>N2-N3</f>
        <v>5469.4</v>
      </c>
      <c r="O4" s="52">
        <f>O2-O3</f>
        <v>6670.2</v>
      </c>
      <c r="P4" s="52">
        <f>P2-P3</f>
        <v>7850.400000000001</v>
      </c>
      <c r="Q4" s="52">
        <f>Q2-Q3</f>
        <v>8607.0</v>
      </c>
      <c r="R4" s="52">
        <f>R2-R3</f>
        <v>9489.6</v>
      </c>
      <c r="S4" s="52">
        <f>S2-S3</f>
        <v>10350.0</v>
      </c>
      <c r="T4" s="52">
        <f>T2-T3</f>
        <v>11407.683058464001</v>
      </c>
      <c r="U4" s="52">
        <f>U2-U3</f>
        <v>12475.6956968042</v>
      </c>
      <c r="V4" s="52">
        <f>V2-V3</f>
        <v>13536.684306396859</v>
      </c>
      <c r="W4" s="52">
        <f>W2-W3</f>
        <v>14571.789433026004</v>
      </c>
      <c r="X4" s="52">
        <f>X2-X3</f>
        <v>15561.052026756992</v>
      </c>
      <c r="Y4" s="52">
        <f>Y2-Y3</f>
        <v>16483.995312521754</v>
      </c>
      <c r="Z4" s="52">
        <f>Z2-Z3</f>
        <v>17320.283341377024</v>
      </c>
      <c r="AA4" s="52">
        <f>AA2-AA3</f>
        <v>18050.429508012407</v>
      </c>
      <c r="AB4" s="52">
        <f>AB2-AB3</f>
        <v>18656.522818825888</v>
      </c>
      <c r="AC4" s="52">
        <f>AC2-AC3</f>
        <v>19122.935889296532</v>
      </c>
    </row>
    <row r="5">
      <c r="A5" s="2" t="inlineStr">
        <is>
          <t>Research &amp; Dev.</t>
        </is>
      </c>
      <c r="B5" s="52" t="n">
        <v>516.912</v>
      </c>
      <c r="C5" s="52" t="n">
        <v>550.274</v>
      </c>
      <c r="D5" s="52" t="n">
        <v>637.4160000000001</v>
      </c>
      <c r="E5" s="52" t="n">
        <v>707.706</v>
      </c>
      <c r="F5" s="52" t="n">
        <v>765.905</v>
      </c>
      <c r="G5" s="52" t="n">
        <v>882.097</v>
      </c>
      <c r="H5" s="52" t="n">
        <v>855.506</v>
      </c>
      <c r="I5" s="52" t="n">
        <v>995.922</v>
      </c>
      <c r="J5" s="52" t="n">
        <v>1047.69</v>
      </c>
      <c r="K5" s="52" t="n">
        <v>1324.625</v>
      </c>
      <c r="L5" s="52" t="n">
        <v>1416.476</v>
      </c>
      <c r="M5" s="52" t="n">
        <v>1754.5</v>
      </c>
      <c r="N5" s="52" t="n">
        <v>1829.5</v>
      </c>
      <c r="O5" s="52" t="n">
        <v>3051.1</v>
      </c>
      <c r="P5" s="52" t="n">
        <v>2540.3</v>
      </c>
      <c r="Q5" s="52" t="n">
        <v>3162.9</v>
      </c>
      <c r="R5" s="52" t="n">
        <v>3630.3</v>
      </c>
      <c r="S5" s="52" t="n">
        <v>3909.5</v>
      </c>
      <c r="T5" s="52">
        <f>T7*Assumptions!$B$20</f>
        <v>4056.0996106278726</v>
      </c>
      <c r="U5" s="52">
        <f>U7*Assumptions!$B$20</f>
        <v>4450.3982182132495</v>
      </c>
      <c r="V5" s="52">
        <f>V7*Assumptions!$B$20</f>
        <v>4844.675449344715</v>
      </c>
      <c r="W5" s="52">
        <f>W7*Assumptions!$B$20</f>
        <v>5232.135055039028</v>
      </c>
      <c r="X5" s="52">
        <f>X7*Assumptions!$B$20</f>
        <v>5605.496656938172</v>
      </c>
      <c r="Y5" s="52">
        <f>Y7*Assumptions!$B$20</f>
        <v>5957.199615792903</v>
      </c>
      <c r="Z5" s="52">
        <f>Z7*Assumptions!$B$20</f>
        <v>6279.638775090466</v>
      </c>
      <c r="AA5" s="52">
        <f>AA7*Assumptions!$B$20</f>
        <v>6565.4229894138525</v>
      </c>
      <c r="AB5" s="52">
        <f>AB7*Assumptions!$B$20</f>
        <v>6807.645090367203</v>
      </c>
      <c r="AC5" s="52">
        <f>AC7*Assumptions!$B$20</f>
        <v>7000.150249094023</v>
      </c>
    </row>
    <row r="6">
      <c r="A6" s="18" t="inlineStr">
        <is>
          <t>SG&amp;A &amp; Other</t>
        </is>
      </c>
      <c r="B6" s="52" t="n">
        <v>121.3</v>
      </c>
      <c r="C6" s="52" t="n">
        <v>165.627</v>
      </c>
      <c r="D6" s="52" t="n">
        <v>202.031</v>
      </c>
      <c r="E6" s="52" t="n">
        <v>525.475</v>
      </c>
      <c r="F6" s="52" t="n">
        <v>477.668</v>
      </c>
      <c r="G6" s="52" t="n">
        <v>850.907</v>
      </c>
      <c r="H6" s="52" t="n">
        <v>377.596</v>
      </c>
      <c r="I6" s="52" t="n">
        <v>386.142</v>
      </c>
      <c r="J6" s="52" t="n">
        <v>434.091</v>
      </c>
      <c r="K6" s="52" t="n">
        <v>765.665</v>
      </c>
      <c r="L6" s="52" t="n">
        <v>586.432</v>
      </c>
      <c r="M6" s="52" t="n">
        <v>663</v>
      </c>
      <c r="N6" s="52" t="n">
        <v>783.6</v>
      </c>
      <c r="O6" s="52" t="n">
        <v>837</v>
      </c>
      <c r="P6" s="52" t="n">
        <v>1002.7</v>
      </c>
      <c r="Q6" s="52" t="n">
        <v>1612.1</v>
      </c>
      <c r="R6" s="52" t="n">
        <v>6092.2</v>
      </c>
      <c r="S6" s="52" t="n">
        <v>2267.2</v>
      </c>
      <c r="T6" s="52">
        <f>T7-T5</f>
        <v>2352.6531317135277</v>
      </c>
      <c r="U6" s="52">
        <f>U7-U5</f>
        <v>2581.3575381673</v>
      </c>
      <c r="V6" s="52">
        <f>V7-V5</f>
        <v>2810.0495456698454</v>
      </c>
      <c r="W6" s="52">
        <f>W7-W5</f>
        <v>3034.7871365220844</v>
      </c>
      <c r="X6" s="52">
        <f>X7-X5</f>
        <v>3251.3474842186806</v>
      </c>
      <c r="Y6" s="52">
        <f>Y7-Y5</f>
        <v>3455.3452029666214</v>
      </c>
      <c r="Z6" s="52">
        <f>Z7-Z5</f>
        <v>3642.369085693964</v>
      </c>
      <c r="AA6" s="52">
        <f>AA7-AA5</f>
        <v>3808.132057850885</v>
      </c>
      <c r="AB6" s="52">
        <f>AB7-AB5</f>
        <v>3948.6277653243797</v>
      </c>
      <c r="AC6" s="52">
        <f>AC7-AC5</f>
        <v>4060.2862323311992</v>
      </c>
    </row>
    <row r="7">
      <c r="A7" s="2" t="inlineStr">
        <is>
          <t>Operating Expense</t>
        </is>
      </c>
      <c r="B7" s="52">
        <f>SUM(B5:B6)</f>
        <v>638.212</v>
      </c>
      <c r="C7" s="52">
        <f>SUM(C5:C6)</f>
        <v>715.9010000000001</v>
      </c>
      <c r="D7" s="52">
        <f>SUM(D5:D6)</f>
        <v>839.4470000000001</v>
      </c>
      <c r="E7" s="52">
        <f>SUM(E5:E6)</f>
        <v>1233.181</v>
      </c>
      <c r="F7" s="52">
        <f>SUM(F5:F6)</f>
        <v>1243.5729999999999</v>
      </c>
      <c r="G7" s="52">
        <f>SUM(G5:G6)</f>
        <v>1733.004</v>
      </c>
      <c r="H7" s="52">
        <f>SUM(H5:H6)</f>
        <v>1233.1019999999999</v>
      </c>
      <c r="I7" s="52">
        <f>SUM(I5:I6)</f>
        <v>1382.064</v>
      </c>
      <c r="J7" s="52">
        <f>SUM(J5:J6)</f>
        <v>1481.781</v>
      </c>
      <c r="K7" s="52">
        <f>SUM(K5:K6)</f>
        <v>2090.29</v>
      </c>
      <c r="L7" s="52">
        <f>SUM(L5:L6)</f>
        <v>2002.9080000000001</v>
      </c>
      <c r="M7" s="52">
        <f>SUM(M5:M6)</f>
        <v>2417.5</v>
      </c>
      <c r="N7" s="52">
        <f>SUM(N5:N6)</f>
        <v>2613.1</v>
      </c>
      <c r="O7" s="52">
        <f>SUM(O5:O6)</f>
        <v>3888.1</v>
      </c>
      <c r="P7" s="52">
        <f>SUM(P5:P6)</f>
        <v>3543.0</v>
      </c>
      <c r="Q7" s="52">
        <f>SUM(Q5:Q6)</f>
        <v>4775.0</v>
      </c>
      <c r="R7" s="52">
        <f>SUM(R5:R6)</f>
        <v>9722.5</v>
      </c>
      <c r="S7" s="52">
        <f>SUM(S5:S6)</f>
        <v>6176.7</v>
      </c>
      <c r="T7" s="52">
        <f>T4-T2*NPV!C6</f>
        <v>6408.7527423414</v>
      </c>
      <c r="U7" s="52">
        <f>U4-U2*NPV!D6</f>
        <v>7031.755756380549</v>
      </c>
      <c r="V7" s="52">
        <f>V4-V2*NPV!E6</f>
        <v>7654.724995014561</v>
      </c>
      <c r="W7" s="52">
        <f>W4-W2*NPV!F6</f>
        <v>8266.922191561112</v>
      </c>
      <c r="X7" s="52">
        <f>X4-X2*NPV!G6</f>
        <v>8856.844141156853</v>
      </c>
      <c r="Y7" s="52">
        <f>Y4-Y2*NPV!H6</f>
        <v>9412.544818759525</v>
      </c>
      <c r="Z7" s="52">
        <f>Z4-Z2*NPV!I6</f>
        <v>9922.00786078443</v>
      </c>
      <c r="AA7" s="52">
        <f>AA4-AA2*NPV!J6</f>
        <v>10373.555047264737</v>
      </c>
      <c r="AB7" s="52">
        <f>AB4-AB2*NPV!K6</f>
        <v>10756.272855691583</v>
      </c>
      <c r="AC7" s="52">
        <f>AC4-AC2*NPV!L6</f>
        <v>11060.436481425222</v>
      </c>
    </row>
    <row r="8">
      <c r="A8" s="2" t="inlineStr">
        <is>
          <t>Operating Income</t>
        </is>
      </c>
      <c r="B8" s="52">
        <f>B4-B7</f>
        <v>-462.70799999999997</v>
      </c>
      <c r="C8" s="52">
        <f>C4-C7</f>
        <v>-614.0120000000001</v>
      </c>
      <c r="D8" s="52">
        <f>D4-D7</f>
        <v>-696.0770000000001</v>
      </c>
      <c r="E8" s="52">
        <f>E4-E7</f>
        <v>113.81999999999994</v>
      </c>
      <c r="F8" s="52">
        <f>F4-F7</f>
        <v>46.72700000000009</v>
      </c>
      <c r="G8" s="52">
        <f>G4-G7</f>
        <v>-610.008</v>
      </c>
      <c r="H8" s="52">
        <f>H4-H7</f>
        <v>-692.4119999999999</v>
      </c>
      <c r="I8" s="52">
        <f>I4-I7</f>
        <v>-466.879</v>
      </c>
      <c r="J8" s="52">
        <f>J4-J7</f>
        <v>9.935999999999922</v>
      </c>
      <c r="K8" s="52">
        <f>K4-K7</f>
        <v>123.24299999999994</v>
      </c>
      <c r="L8" s="52">
        <f>L4-L7</f>
        <v>635.1499999999999</v>
      </c>
      <c r="M8" s="52">
        <f>M4-M7</f>
        <v>1197.5</v>
      </c>
      <c r="N8" s="52">
        <f>N4-N7</f>
        <v>2856.2999999999997</v>
      </c>
      <c r="O8" s="52">
        <f>O4-O7</f>
        <v>2782.1</v>
      </c>
      <c r="P8" s="52">
        <f>P4-P7</f>
        <v>4307.400000000001</v>
      </c>
      <c r="Q8" s="52">
        <f>Q4-Q7</f>
        <v>3832.0</v>
      </c>
      <c r="R8" s="52">
        <f>R4-R7</f>
        <v>-232.89999999999964</v>
      </c>
      <c r="S8" s="52">
        <f>S4-S7</f>
        <v>4173.3</v>
      </c>
      <c r="T8" s="52">
        <f>T4-T7</f>
        <v>4998.930316122601</v>
      </c>
      <c r="U8" s="52">
        <f>U4-U7</f>
        <v>5443.93994042365</v>
      </c>
      <c r="V8" s="52">
        <f>V4-V7</f>
        <v>5881.959311382298</v>
      </c>
      <c r="W8" s="52">
        <f>W4-W7</f>
        <v>6304.867241464892</v>
      </c>
      <c r="X8" s="52">
        <f>X4-X7</f>
        <v>6704.207885600139</v>
      </c>
      <c r="Y8" s="52">
        <f>Y4-Y7</f>
        <v>7071.45049376223</v>
      </c>
      <c r="Z8" s="52">
        <f>Z4-Z7</f>
        <v>7398.275480592594</v>
      </c>
      <c r="AA8" s="52">
        <f>AA4-AA7</f>
        <v>7676.874460747669</v>
      </c>
      <c r="AB8" s="52">
        <f>AB4-AB7</f>
        <v>7900.249963134305</v>
      </c>
      <c r="AC8" s="52">
        <f>AC4-AC7</f>
        <v>8062.49940787131</v>
      </c>
    </row>
    <row r="9">
      <c r="A9" s="18" t="inlineStr">
        <is>
          <t>Interest &amp; Other</t>
        </is>
      </c>
      <c r="B9" s="52" t="n">
        <v>2.857</v>
      </c>
      <c r="C9" s="52" t="n">
        <v>-28.166</v>
      </c>
      <c r="D9" s="52" t="n">
        <v>-58.549</v>
      </c>
      <c r="E9" s="52" t="n">
        <v>-64.98</v>
      </c>
      <c r="F9" s="52" t="n">
        <v>-154.034</v>
      </c>
      <c r="G9" s="52" t="n">
        <v>42.558</v>
      </c>
      <c r="H9" s="52" t="n">
        <v>-39.185</v>
      </c>
      <c r="I9" s="52" t="n">
        <v>-59.074</v>
      </c>
      <c r="J9" s="52" t="n">
        <v>-105.323</v>
      </c>
      <c r="K9" s="52" t="n">
        <v>32.917</v>
      </c>
      <c r="L9" s="52" t="n">
        <v>-25.116</v>
      </c>
      <c r="M9" s="52" t="n">
        <v>197.4</v>
      </c>
      <c r="N9" s="52" t="n">
        <v>260.6</v>
      </c>
      <c r="O9" s="52" t="n">
        <v>-51.7</v>
      </c>
      <c r="P9" s="52" t="n">
        <v>-75</v>
      </c>
      <c r="Q9" s="52" t="n">
        <v>547.8</v>
      </c>
      <c r="R9" s="52" t="n">
        <v>481.4</v>
      </c>
      <c r="S9" s="52" t="n">
        <v>469.9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-459.85099999999994</v>
      </c>
      <c r="C10" s="52">
        <f>C8+C9</f>
        <v>-642.1780000000001</v>
      </c>
      <c r="D10" s="52">
        <f>D8+D9</f>
        <v>-754.6260000000001</v>
      </c>
      <c r="E10" s="52">
        <f>E8+E9</f>
        <v>48.83999999999993</v>
      </c>
      <c r="F10" s="52">
        <f>F8+F9</f>
        <v>-107.3069999999999</v>
      </c>
      <c r="G10" s="52">
        <f>G8+G9</f>
        <v>-567.45</v>
      </c>
      <c r="H10" s="52">
        <f>H8+H9</f>
        <v>-731.597</v>
      </c>
      <c r="I10" s="52">
        <f>I8+I9</f>
        <v>-525.953</v>
      </c>
      <c r="J10" s="52">
        <f>J8+J9</f>
        <v>-95.38700000000007</v>
      </c>
      <c r="K10" s="52">
        <f>K8+K9</f>
        <v>156.15999999999994</v>
      </c>
      <c r="L10" s="52">
        <f>L8+L9</f>
        <v>610.0339999999999</v>
      </c>
      <c r="M10" s="52">
        <f>M8+M9</f>
        <v>1394.9</v>
      </c>
      <c r="N10" s="52">
        <f>N8+N9</f>
        <v>3116.8999999999996</v>
      </c>
      <c r="O10" s="52">
        <f>O8+O9</f>
        <v>2730.4</v>
      </c>
      <c r="P10" s="52">
        <f>P8+P9</f>
        <v>4232.400000000001</v>
      </c>
      <c r="Q10" s="52">
        <f>Q8+Q9</f>
        <v>4379.8</v>
      </c>
      <c r="R10" s="52">
        <f>R8+R9</f>
        <v>248.50000000000034</v>
      </c>
      <c r="S10" s="52">
        <f>S8+S9</f>
        <v>4643.2</v>
      </c>
      <c r="T10" s="52">
        <f>T8+T9</f>
        <v>4998.930316122601</v>
      </c>
      <c r="U10" s="52">
        <f>U8+U9</f>
        <v>5443.93994042365</v>
      </c>
      <c r="V10" s="52">
        <f>V8+V9</f>
        <v>5881.959311382298</v>
      </c>
      <c r="W10" s="52">
        <f>W8+W9</f>
        <v>6304.867241464892</v>
      </c>
      <c r="X10" s="52">
        <f>X8+X9</f>
        <v>6704.207885600139</v>
      </c>
      <c r="Y10" s="52">
        <f>Y8+Y9</f>
        <v>7071.45049376223</v>
      </c>
      <c r="Z10" s="52">
        <f>Z8+Z9</f>
        <v>7398.275480592594</v>
      </c>
      <c r="AA10" s="52">
        <f>AA8+AA9</f>
        <v>7676.874460747669</v>
      </c>
      <c r="AB10" s="52">
        <f>AB8+AB9</f>
        <v>7900.249963134305</v>
      </c>
      <c r="AC10" s="52">
        <f>AC8+AC9</f>
        <v>8062.49940787131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19.266</v>
      </c>
      <c r="F11" s="52" t="n">
        <v>-0.275</v>
      </c>
      <c r="G11" s="52" t="n">
        <v>-122.422</v>
      </c>
      <c r="H11" s="52" t="n">
        <v>6.958</v>
      </c>
      <c r="I11" s="52" t="n">
        <v>30.381</v>
      </c>
      <c r="J11" s="52" t="n">
        <v>16.665</v>
      </c>
      <c r="K11" s="52" t="n">
        <v>-107.324</v>
      </c>
      <c r="L11" s="52" t="n">
        <v>-1486.862</v>
      </c>
      <c r="M11" s="52" t="n">
        <v>218.1</v>
      </c>
      <c r="N11" s="52" t="n">
        <v>405.2</v>
      </c>
      <c r="O11" s="52" t="n">
        <v>388.3</v>
      </c>
      <c r="P11" s="52" t="n">
        <v>910.4</v>
      </c>
      <c r="Q11" s="52" t="n">
        <v>760.2</v>
      </c>
      <c r="R11" s="52" t="n">
        <v>784.1</v>
      </c>
      <c r="S11" s="52" t="n">
        <v>690</v>
      </c>
      <c r="T11" s="52">
        <f>MAX(0,T10)*Assumptions!$E$14</f>
        <v>849.8181537408421</v>
      </c>
      <c r="U11" s="52">
        <f>MAX(0,U10)*Assumptions!$E$14</f>
        <v>925.4697898720206</v>
      </c>
      <c r="V11" s="52">
        <f>MAX(0,V10)*Assumptions!$E$14</f>
        <v>999.9330829349908</v>
      </c>
      <c r="W11" s="52">
        <f>MAX(0,W10)*Assumptions!$E$14</f>
        <v>1071.8274310490317</v>
      </c>
      <c r="X11" s="52">
        <f>MAX(0,X10)*Assumptions!$E$14</f>
        <v>1139.7153405520237</v>
      </c>
      <c r="Y11" s="52">
        <f>MAX(0,Y10)*Assumptions!$E$14</f>
        <v>1202.1465839395792</v>
      </c>
      <c r="Z11" s="52">
        <f>MAX(0,Z10)*Assumptions!$E$14</f>
        <v>1257.706831700741</v>
      </c>
      <c r="AA11" s="52">
        <f>MAX(0,AA10)*Assumptions!$E$14</f>
        <v>1305.0686583271038</v>
      </c>
      <c r="AB11" s="52">
        <f>MAX(0,AB10)*Assumptions!$E$14</f>
        <v>1343.042493732832</v>
      </c>
      <c r="AC11" s="52">
        <f>MAX(0,AC10)*Assumptions!$E$14</f>
        <v>1370.6248993381228</v>
      </c>
    </row>
    <row r="12">
      <c r="A12" s="2" t="inlineStr">
        <is>
          <t>Net Income</t>
        </is>
      </c>
      <c r="B12" s="52" t="n">
        <v>-459.851</v>
      </c>
      <c r="C12" s="52" t="n">
        <v>-642.178</v>
      </c>
      <c r="D12" s="52" t="n">
        <v>-754.626</v>
      </c>
      <c r="E12" s="52" t="n">
        <v>29.574</v>
      </c>
      <c r="F12" s="52" t="n">
        <v>-107.032</v>
      </c>
      <c r="G12" s="52" t="n">
        <v>-445.028</v>
      </c>
      <c r="H12" s="52" t="n">
        <v>-738.5549999999999</v>
      </c>
      <c r="I12" s="52" t="n">
        <v>-556.3339999999999</v>
      </c>
      <c r="J12" s="52" t="n">
        <v>-112.052</v>
      </c>
      <c r="K12" s="52" t="n">
        <v>263.484</v>
      </c>
      <c r="L12" s="52" t="n">
        <v>2096.896</v>
      </c>
      <c r="M12" s="52" t="n">
        <v>1176.8</v>
      </c>
      <c r="N12" s="52" t="n">
        <v>2711.7</v>
      </c>
      <c r="O12" s="52" t="n">
        <v>2342.1</v>
      </c>
      <c r="P12" s="52" t="n">
        <v>3322</v>
      </c>
      <c r="Q12" s="52" t="n">
        <v>3619.6</v>
      </c>
      <c r="R12" s="52" t="n">
        <v>-535.6</v>
      </c>
      <c r="S12" s="52" t="n">
        <v>3953.2</v>
      </c>
      <c r="T12" s="52">
        <f>T10-T11</f>
        <v>4149.112162381759</v>
      </c>
      <c r="U12" s="52">
        <f>U10-U11</f>
        <v>4518.47015055163</v>
      </c>
      <c r="V12" s="52">
        <f>V10-V11</f>
        <v>4882.026228447307</v>
      </c>
      <c r="W12" s="52">
        <f>W10-W11</f>
        <v>5233.03981041586</v>
      </c>
      <c r="X12" s="52">
        <f>X10-X11</f>
        <v>5564.492545048115</v>
      </c>
      <c r="Y12" s="52">
        <f>Y10-Y11</f>
        <v>5869.303909822651</v>
      </c>
      <c r="Z12" s="52">
        <f>Z10-Z11</f>
        <v>6140.568648891853</v>
      </c>
      <c r="AA12" s="52">
        <f>AA10-AA11</f>
        <v>6371.805802420566</v>
      </c>
      <c r="AB12" s="52">
        <f>AB10-AB11</f>
        <v>6557.207469401474</v>
      </c>
      <c r="AC12" s="52">
        <f>AC10-AC11</f>
        <v>6691.874508533187</v>
      </c>
    </row>
    <row r="13">
      <c r="A13" s="2" t="inlineStr">
        <is>
          <t>Earnings per Share</t>
        </is>
      </c>
      <c r="B13" s="11">
        <f>IFERROR(B12/B14,0)</f>
        <v>-3.2716568485158937</v>
      </c>
      <c r="C13" s="11">
        <f>IFERROR(C12/C14,0)</f>
        <v>-3.706462579144518</v>
      </c>
      <c r="D13" s="11">
        <f>IFERROR(D12/D14,0)</f>
        <v>-3.765561221943893</v>
      </c>
      <c r="E13" s="11">
        <f>IFERROR(E12/E14,0)</f>
        <v>0.14163318279559595</v>
      </c>
      <c r="F13" s="11">
        <f>IFERROR(F12/F14,0)</f>
        <v>-0.4972173444453735</v>
      </c>
      <c r="G13" s="11">
        <f>IFERROR(G12/G14,0)</f>
        <v>-1.9787288911812047</v>
      </c>
      <c r="H13" s="11">
        <f>IFERROR(H12/H14,0)</f>
        <v>-3.1386869068918477</v>
      </c>
      <c r="I13" s="11">
        <f>IFERROR(I12/I14,0)</f>
        <v>-2.3054551783583075</v>
      </c>
      <c r="J13" s="11">
        <f>IFERROR(J12/J14,0)</f>
        <v>-0.4579438870384372</v>
      </c>
      <c r="K13" s="11">
        <f>IFERROR(K12/K14,0)</f>
        <v>1.0405133774311384</v>
      </c>
      <c r="L13" s="11">
        <f>IFERROR(L12/L14,0)</f>
        <v>8.090344734456083</v>
      </c>
      <c r="M13" s="11">
        <f>IFERROR(M12/M14,0)</f>
        <v>4.514000767165324</v>
      </c>
      <c r="N13" s="11">
        <f>IFERROR(N12/N14,0)</f>
        <v>10.29498861047836</v>
      </c>
      <c r="O13" s="11">
        <f>IFERROR(O12/O14,0)</f>
        <v>9.011542901115813</v>
      </c>
      <c r="P13" s="11">
        <f>IFERROR(P12/P14,0)</f>
        <v>12.821304515631029</v>
      </c>
      <c r="Q13" s="11">
        <f>IFERROR(Q12/Q14,0)</f>
        <v>13.894817658349329</v>
      </c>
      <c r="R13" s="11">
        <f>IFERROR(R12/R14,0)</f>
        <v>-2.0767739433889107</v>
      </c>
      <c r="S13" s="11">
        <f>IFERROR(S12/S14,0)</f>
        <v>15.322480620155037</v>
      </c>
      <c r="T13" s="11">
        <f>IFERROR(T12/T14,0)</f>
        <v>16.369829703539466</v>
      </c>
      <c r="U13" s="11">
        <f>IFERROR(U12/U14,0)</f>
        <v>17.82708781789034</v>
      </c>
      <c r="V13" s="11">
        <f>IFERROR(V12/V14,0)</f>
        <v>19.261455183708346</v>
      </c>
      <c r="W13" s="11">
        <f>IFERROR(W12/W14,0)</f>
        <v>20.6463376201369</v>
      </c>
      <c r="X13" s="11">
        <f>IFERROR(X12/X14,0)</f>
        <v>21.95404505448783</v>
      </c>
      <c r="Y13" s="11">
        <f>IFERROR(Y12/Y14,0)</f>
        <v>23.156642125326787</v>
      </c>
      <c r="Z13" s="11">
        <f>IFERROR(Z12/Z14,0)</f>
        <v>24.22688496508382</v>
      </c>
      <c r="AA13" s="11">
        <f>IFERROR(AA12/AA14,0)</f>
        <v>25.139203715759223</v>
      </c>
      <c r="AB13" s="11">
        <f>IFERROR(AB12/AB14,0)</f>
        <v>25.870683993093444</v>
      </c>
      <c r="AC13" s="11">
        <f>IFERROR(AC12/AC14,0)</f>
        <v>26.40199681641335</v>
      </c>
    </row>
    <row r="14">
      <c r="A14" s="2" t="inlineStr">
        <is>
          <t>Shares</t>
        </is>
      </c>
      <c r="B14" s="52" t="n">
        <v>140.556</v>
      </c>
      <c r="C14" s="52" t="n">
        <v>173.259</v>
      </c>
      <c r="D14" s="52" t="n">
        <v>200.402</v>
      </c>
      <c r="E14" s="52" t="n">
        <v>208.807</v>
      </c>
      <c r="F14" s="52" t="n">
        <v>215.262</v>
      </c>
      <c r="G14" s="52" t="n">
        <v>224.906</v>
      </c>
      <c r="H14" s="52" t="n">
        <v>235.307</v>
      </c>
      <c r="I14" s="52" t="n">
        <v>241.312</v>
      </c>
      <c r="J14" s="52" t="n">
        <v>244.685</v>
      </c>
      <c r="K14" s="52" t="n">
        <v>253.225</v>
      </c>
      <c r="L14" s="52" t="n">
        <v>259.185</v>
      </c>
      <c r="M14" s="52" t="n">
        <v>260.7</v>
      </c>
      <c r="N14" s="52" t="n">
        <v>263.4</v>
      </c>
      <c r="O14" s="52" t="n">
        <v>259.9</v>
      </c>
      <c r="P14" s="52" t="n">
        <v>259.1</v>
      </c>
      <c r="Q14" s="52" t="n">
        <v>260.5</v>
      </c>
      <c r="R14" s="52" t="n">
        <v>257.9</v>
      </c>
      <c r="S14" s="52" t="n">
        <v>258</v>
      </c>
      <c r="T14" s="52">
        <f>Main!$C$4</f>
        <v>253.460924</v>
      </c>
      <c r="U14" s="52">
        <f>Main!$C$4</f>
        <v>253.460924</v>
      </c>
      <c r="V14" s="52">
        <f>Main!$C$4</f>
        <v>253.460924</v>
      </c>
      <c r="W14" s="52">
        <f>Main!$C$4</f>
        <v>253.460924</v>
      </c>
      <c r="X14" s="52">
        <f>Main!$C$4</f>
        <v>253.460924</v>
      </c>
      <c r="Y14" s="52">
        <f>Main!$C$4</f>
        <v>253.460924</v>
      </c>
      <c r="Z14" s="52">
        <f>Main!$C$4</f>
        <v>253.460924</v>
      </c>
      <c r="AA14" s="52">
        <f>Main!$C$4</f>
        <v>253.460924</v>
      </c>
      <c r="AB14" s="52">
        <f>Main!$C$4</f>
        <v>253.460924</v>
      </c>
      <c r="AC14" s="52">
        <f>Main!$C$4</f>
        <v>253.460924</v>
      </c>
    </row>
    <row r="15"/>
    <row r="16" customFormat="1" s="4">
      <c r="A16" s="3" t="inlineStr">
        <is>
          <t>Revenue Change</t>
        </is>
      </c>
      <c r="C16" s="15">
        <f>IFERROR(C2/B2-1,"")</f>
        <v>-0.4194491293645729</v>
      </c>
      <c r="D16" s="15">
        <f>IFERROR(D2/C2-1,"")</f>
        <v>0.40711951241056443</v>
      </c>
      <c r="E16" s="15">
        <f>IFERROR(E2/D2-1,"")</f>
        <v>8.839059775406291</v>
      </c>
      <c r="F16" s="15">
        <f>IFERROR(F2/E2-1,"")</f>
        <v>0.08252789896117041</v>
      </c>
      <c r="G16" s="15">
        <f>IFERROR(G2/F2-1,"")</f>
        <v>-0.20632503886599063</v>
      </c>
      <c r="H16" s="15">
        <f>IFERROR(H2/G2-1,"")</f>
        <v>-0.5210998576703314</v>
      </c>
      <c r="I16" s="15">
        <f>IFERROR(I2/H2-1,"")</f>
        <v>0.7786170240259127</v>
      </c>
      <c r="J16" s="15">
        <f>IFERROR(J2/I2-1,"")</f>
        <v>0.6488594798592706</v>
      </c>
      <c r="K16" s="15">
        <f>IFERROR(K2/J2-1,"")</f>
        <v>0.46204066909610475</v>
      </c>
      <c r="L16" s="15">
        <f>IFERROR(L2/K2-1,"")</f>
        <v>0.22459749293995301</v>
      </c>
      <c r="M16" s="15">
        <f>IFERROR(M2/L2-1,"")</f>
        <v>0.3659286316399444</v>
      </c>
      <c r="N16" s="15">
        <f>IFERROR(N2/M2-1,"")</f>
        <v>0.4907514173152685</v>
      </c>
      <c r="O16" s="15">
        <f>IFERROR(O2/N2-1,"")</f>
        <v>0.2205552959376058</v>
      </c>
      <c r="P16" s="15">
        <f>IFERROR(P2/O2-1,"")</f>
        <v>0.17906368821292795</v>
      </c>
      <c r="Q16" s="15">
        <f>IFERROR(Q2/P2-1,"")</f>
        <v>0.10508694727177037</v>
      </c>
      <c r="R16" s="15">
        <f>IFERROR(R2/Q2-1,"")</f>
        <v>0.11661532849673728</v>
      </c>
      <c r="S16" s="15">
        <f>IFERROR(S2/R2-1,"")</f>
        <v>0.08903730456166459</v>
      </c>
      <c r="T16" s="15">
        <f>IFERROR(T2/S2-1,"")</f>
        <v>0.10220000000000007</v>
      </c>
      <c r="U16" s="15">
        <f>IFERROR(U2/T2-1,"")</f>
        <v>0.09362222222222227</v>
      </c>
      <c r="V16" s="15">
        <f>IFERROR(V2/U2-1,"")</f>
        <v>0.08504444444444448</v>
      </c>
      <c r="W16" s="15">
        <f>IFERROR(W2/V2-1,"")</f>
        <v>0.07646666666666668</v>
      </c>
      <c r="X16" s="15">
        <f>IFERROR(X2/W2-1,"")</f>
        <v>0.06788888888888889</v>
      </c>
      <c r="Y16" s="15">
        <f>IFERROR(Y2/X2-1,"")</f>
        <v>0.05931111111111109</v>
      </c>
      <c r="Z16" s="15">
        <f>IFERROR(Z2/Y2-1,"")</f>
        <v>0.0507333333333333</v>
      </c>
      <c r="AA16" s="15">
        <f>IFERROR(AA2/Z2-1,"")</f>
        <v>0.0421555555555555</v>
      </c>
      <c r="AB16" s="15">
        <f>IFERROR(AB2/AA2-1,"")</f>
        <v>0.033577777777777706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0.9548959114605856</v>
      </c>
      <c r="F17" s="15">
        <f>IFERROR(F4/F2,"")</f>
        <v>0.8449669360764144</v>
      </c>
      <c r="G17" s="15">
        <f>IFERROR(G4/G2,"")</f>
        <v>0.9265834691309639</v>
      </c>
      <c r="H17" s="15">
        <f>IFERROR(H4/H2,"")</f>
        <v>0.9315575924123256</v>
      </c>
      <c r="I17" s="15">
        <f>IFERROR(I4/I2,"")</f>
        <v>0.8865185366004867</v>
      </c>
      <c r="J17" s="15">
        <f>IFERROR(J4/J2,"")</f>
        <v>0.8763583340627913</v>
      </c>
      <c r="K17" s="15">
        <f>IFERROR(K4/K2,"")</f>
        <v>0.8894505941369062</v>
      </c>
      <c r="L17" s="15">
        <f>IFERROR(L4/L2,"")</f>
        <v>0.8656190434627675</v>
      </c>
      <c r="M17" s="15">
        <f>IFERROR(M4/M2,"")</f>
        <v>0.8684058806572499</v>
      </c>
      <c r="N17" s="15">
        <f>IFERROR(N4/N2,"")</f>
        <v>0.881351016001418</v>
      </c>
      <c r="O17" s="15">
        <f>IFERROR(O4/O2,"")</f>
        <v>0.8806242078580482</v>
      </c>
      <c r="P17" s="15">
        <f>IFERROR(P4/P2,"")</f>
        <v>0.879035237999261</v>
      </c>
      <c r="Q17" s="15">
        <f>IFERROR(Q4/Q2,"")</f>
        <v>0.872107161674705</v>
      </c>
      <c r="R17" s="15">
        <f>IFERROR(R4/R2,"")</f>
        <v>0.8611174127276522</v>
      </c>
      <c r="S17" s="15">
        <f>IFERROR(S4/S2,"")</f>
        <v>0.8624065726212994</v>
      </c>
      <c r="T17" s="15">
        <f>IFERROR(T4/T2,"")</f>
        <v>0.8624</v>
      </c>
      <c r="U17" s="15">
        <f>IFERROR(U4/U2,"")</f>
        <v>0.8624000000000002</v>
      </c>
      <c r="V17" s="15">
        <f>IFERROR(V4/V2,"")</f>
        <v>0.8624</v>
      </c>
      <c r="W17" s="15">
        <f>IFERROR(W4/W2,"")</f>
        <v>0.8624</v>
      </c>
      <c r="X17" s="15">
        <f>IFERROR(X4/X2,"")</f>
        <v>0.8624</v>
      </c>
      <c r="Y17" s="15">
        <f>IFERROR(Y4/Y2,"")</f>
        <v>0.8624</v>
      </c>
      <c r="Z17" s="15">
        <f>IFERROR(Z4/Z2,"")</f>
        <v>0.8624</v>
      </c>
      <c r="AA17" s="15">
        <f>IFERROR(AA4/AA2,"")</f>
        <v>0.8624</v>
      </c>
      <c r="AB17" s="15">
        <f>IFERROR(AB4/AB2,"")</f>
        <v>0.8624</v>
      </c>
      <c r="AC17" s="15">
        <f>IFERROR(AC4/AC2,"")</f>
        <v>0.8624</v>
      </c>
    </row>
    <row r="18">
      <c r="A18" s="14" t="inlineStr">
        <is>
          <t>Operating Margin</t>
        </is>
      </c>
      <c r="B18" s="15">
        <f>IFERROR(B8/B2,"")</f>
        <v>-2.6364527304220986</v>
      </c>
      <c r="C18" s="15">
        <f>IFERROR(C8/C2,"")</f>
        <v>-6.026283504598142</v>
      </c>
      <c r="D18" s="15">
        <f>IFERROR(D8/D2,"")</f>
        <v>-4.855109158122342</v>
      </c>
      <c r="E18" s="15">
        <f>IFERROR(E8/E2,"")</f>
        <v>0.08068758125824985</v>
      </c>
      <c r="F18" s="15">
        <f>IFERROR(F8/F2,"")</f>
        <v>0.030599682261522664</v>
      </c>
      <c r="G18" s="15">
        <f>IFERROR(G8/G2,"")</f>
        <v>-0.5033173126508386</v>
      </c>
      <c r="H18" s="15">
        <f>IFERROR(H8/H2,"")</f>
        <v>-1.1929602095052678</v>
      </c>
      <c r="I18" s="15">
        <f>IFERROR(I8/I2,"")</f>
        <v>-0.4522548860061065</v>
      </c>
      <c r="J18" s="15">
        <f>IFERROR(J8/J2,"")</f>
        <v>0.005837230793272335</v>
      </c>
      <c r="K18" s="15">
        <f>IFERROR(K8/K2,"")</f>
        <v>0.04952199021799751</v>
      </c>
      <c r="L18" s="15">
        <f>IFERROR(L8/L2,"")</f>
        <v>0.20841010146682773</v>
      </c>
      <c r="M18" s="15">
        <f>IFERROR(M8/M2,"")</f>
        <v>0.28766695493417893</v>
      </c>
      <c r="N18" s="15">
        <f>IFERROR(N8/N2,"")</f>
        <v>0.46027039657089447</v>
      </c>
      <c r="O18" s="15">
        <f>IFERROR(O8/O2,"")</f>
        <v>0.36730302070130966</v>
      </c>
      <c r="P18" s="15">
        <f>IFERROR(P8/P2,"")</f>
        <v>0.48231381638617354</v>
      </c>
      <c r="Q18" s="15">
        <f>IFERROR(Q8/Q2,"")</f>
        <v>0.388278685202448</v>
      </c>
      <c r="R18" s="15">
        <f>IFERROR(R8/R2,"")</f>
        <v>-0.021134109490839433</v>
      </c>
      <c r="S18" s="15">
        <f>IFERROR(S8/S2,"")</f>
        <v>0.34773732845608396</v>
      </c>
      <c r="T18" s="15">
        <f>IFERROR(T8/T2,"")</f>
        <v>0.37791</v>
      </c>
      <c r="U18" s="15">
        <f>IFERROR(U8/U2,"")</f>
        <v>0.37632</v>
      </c>
      <c r="V18" s="15">
        <f>IFERROR(V8/V2,"")</f>
        <v>0.37473</v>
      </c>
      <c r="W18" s="15">
        <f>IFERROR(W8/W2,"")</f>
        <v>0.37313999999999997</v>
      </c>
      <c r="X18" s="15">
        <f>IFERROR(X8/X2,"")</f>
        <v>0.37155</v>
      </c>
      <c r="Y18" s="15">
        <f>IFERROR(Y8/Y2,"")</f>
        <v>0.36995999999999996</v>
      </c>
      <c r="Z18" s="15">
        <f>IFERROR(Z8/Z2,"")</f>
        <v>0.36837</v>
      </c>
      <c r="AA18" s="15">
        <f>IFERROR(AA8/AA2,"")</f>
        <v>0.36678</v>
      </c>
      <c r="AB18" s="15">
        <f>IFERROR(AB8/AB2,"")</f>
        <v>0.36518999999999996</v>
      </c>
      <c r="AC18" s="15">
        <f>IFERROR(AC8/AC2,"")</f>
        <v>0.3635999999999999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Vertex Pharmaceuticals Incorporated: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0.0522</v>
      </c>
      <c r="C12" s="53" t="n">
        <v>0.1022</v>
      </c>
      <c r="D12" s="53" t="n">
        <v>0.1522</v>
      </c>
      <c r="E12" s="54">
        <f>CHOOSE($B$4,B12,C12,D12)</f>
        <v>0.1022</v>
      </c>
    </row>
    <row r="13">
      <c r="A13" s="14" t="inlineStr">
        <is>
          <t>Operating margin, year 10</t>
        </is>
      </c>
      <c r="B13" s="53" t="n">
        <v>0.3136</v>
      </c>
      <c r="C13" s="53" t="n">
        <v>0.3636</v>
      </c>
      <c r="D13" s="53" t="n">
        <v>0.4136</v>
      </c>
      <c r="E13" s="54">
        <f>CHOOSE($B$4,B13,C13,D13)</f>
        <v>0.3636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0.3795</v>
      </c>
    </row>
    <row r="19">
      <c r="A19" s="14" t="inlineStr">
        <is>
          <t>Gross margin (forecast)</t>
        </is>
      </c>
      <c r="B19" s="53" t="n">
        <v>0.8624000000000001</v>
      </c>
    </row>
    <row r="20">
      <c r="A20" s="14" t="inlineStr">
        <is>
          <t>R&amp;D share of operating expense (forecast)</t>
        </is>
      </c>
      <c r="B20" s="53" t="n">
        <v>0.6329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12001.3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94155.35649237898</v>
      </c>
      <c r="C29" s="56">
        <f>NPV!B26</f>
        <v>102007.75649237898</v>
      </c>
      <c r="D29" s="35">
        <f>NPV!B28</f>
        <v>402.45949901286946</v>
      </c>
      <c r="E29" s="57">
        <f>NPV!B30</f>
        <v>-0.21799378410012726</v>
      </c>
    </row>
    <row r="30">
      <c r="A30" s="58" t="n">
        <v>1</v>
      </c>
      <c r="B30" s="59">
        <f t="dataTable" ref="B30:E32" r1="B4"/>
        <v>54788.92510257005</v>
      </c>
      <c r="C30" s="59">
        <v>62641.32510257005</v>
      </c>
      <c r="D30" s="39">
        <v>247.1439151802747</v>
      </c>
      <c r="E30" s="60">
        <v>-0.5197825411827948</v>
      </c>
    </row>
    <row r="31">
      <c r="A31" s="58" t="n">
        <v>2</v>
      </c>
      <c r="B31" s="59">
        <v>94155.35649237898</v>
      </c>
      <c r="C31" s="59">
        <v>102007.75649237898</v>
      </c>
      <c r="D31" s="39">
        <v>402.45949901286946</v>
      </c>
      <c r="E31" s="60">
        <v>-0.21799378410012726</v>
      </c>
    </row>
    <row r="32">
      <c r="A32" s="58" t="n">
        <v>3</v>
      </c>
      <c r="B32" s="59">
        <v>176819.18443372595</v>
      </c>
      <c r="C32" s="59">
        <v>184671.58443372595</v>
      </c>
      <c r="D32" s="39">
        <v>728.5998232758196</v>
      </c>
      <c r="E32" s="60">
        <v>0.41571907757858684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402.45949901286946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503.3957130757995</v>
      </c>
      <c r="C37" s="39">
        <v>553.8519425749314</v>
      </c>
      <c r="D37" s="39">
        <v>618.6615322109197</v>
      </c>
      <c r="E37" s="39">
        <v>705.0004457891441</v>
      </c>
      <c r="F37" s="39">
        <v>825.785409807435</v>
      </c>
    </row>
    <row r="38">
      <c r="A38" s="62" t="n">
        <v>0.07000000000000001</v>
      </c>
      <c r="B38" s="39">
        <v>415.8278687216238</v>
      </c>
      <c r="C38" s="39">
        <v>447.6013306923662</v>
      </c>
      <c r="D38" s="39">
        <v>486.38861196719097</v>
      </c>
      <c r="E38" s="39">
        <v>534.8193759043082</v>
      </c>
      <c r="F38" s="39">
        <v>597.0259448103714</v>
      </c>
    </row>
    <row r="39">
      <c r="A39" s="62" t="n">
        <v>0.08</v>
      </c>
      <c r="B39" s="39">
        <v>355.41828939379883</v>
      </c>
      <c r="C39" s="39">
        <v>376.9957827285483</v>
      </c>
      <c r="D39" s="39">
        <v>402.45949901286946</v>
      </c>
      <c r="E39" s="39">
        <v>432.9749048298875</v>
      </c>
      <c r="F39" s="39">
        <v>470.22544749711597</v>
      </c>
    </row>
    <row r="40">
      <c r="A40" s="62" t="n">
        <v>0.09</v>
      </c>
      <c r="B40" s="39">
        <v>311.28188478944213</v>
      </c>
      <c r="C40" s="39">
        <v>326.73544886867916</v>
      </c>
      <c r="D40" s="39">
        <v>344.5364123901181</v>
      </c>
      <c r="E40" s="39">
        <v>365.27130397542237</v>
      </c>
      <c r="F40" s="39">
        <v>389.7399318746517</v>
      </c>
    </row>
    <row r="41">
      <c r="A41" s="62" t="n">
        <v>0.1</v>
      </c>
      <c r="B41" s="39">
        <v>277.65841011022064</v>
      </c>
      <c r="C41" s="39">
        <v>289.17303774029443</v>
      </c>
      <c r="D41" s="39">
        <v>302.19789658130964</v>
      </c>
      <c r="E41" s="39">
        <v>317.05634277071323</v>
      </c>
      <c r="F41" s="39">
        <v>334.17122376745226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Vertex Pharmaceuticals Incorporated: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0.1022</v>
      </c>
      <c r="D5" s="63">
        <f>Assumptions!$E$12+(Assumptions!$E$11-Assumptions!$E$12)*(D4-1)/(Assumptions!$B$21-1)</f>
        <v>0.09362222222222222</v>
      </c>
      <c r="E5" s="63">
        <f>Assumptions!$E$12+(Assumptions!$E$11-Assumptions!$E$12)*(E4-1)/(Assumptions!$B$21-1)</f>
        <v>0.08504444444444445</v>
      </c>
      <c r="F5" s="63">
        <f>Assumptions!$E$12+(Assumptions!$E$11-Assumptions!$E$12)*(F4-1)/(Assumptions!$B$21-1)</f>
        <v>0.07646666666666667</v>
      </c>
      <c r="G5" s="63">
        <f>Assumptions!$E$12+(Assumptions!$E$11-Assumptions!$E$12)*(G4-1)/(Assumptions!$B$21-1)</f>
        <v>0.06788888888888889</v>
      </c>
      <c r="H5" s="63">
        <f>Assumptions!$E$12+(Assumptions!$E$11-Assumptions!$E$12)*(H4-1)/(Assumptions!$B$21-1)</f>
        <v>0.05931111111111111</v>
      </c>
      <c r="I5" s="63">
        <f>Assumptions!$E$12+(Assumptions!$E$11-Assumptions!$E$12)*(I4-1)/(Assumptions!$B$21-1)</f>
        <v>0.05073333333333334</v>
      </c>
      <c r="J5" s="63">
        <f>Assumptions!$E$12+(Assumptions!$E$11-Assumptions!$E$12)*(J4-1)/(Assumptions!$B$21-1)</f>
        <v>0.04215555555555556</v>
      </c>
      <c r="K5" s="63">
        <f>Assumptions!$E$12+(Assumptions!$E$11-Assumptions!$E$12)*(K4-1)/(Assumptions!$B$21-1)</f>
        <v>0.03357777777777779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0.34773732845608396</v>
      </c>
      <c r="C6" s="63">
        <f>Assumptions!$B$18+(Assumptions!$E$13-Assumptions!$B$18)*C4/Assumptions!$B$21</f>
        <v>0.37791</v>
      </c>
      <c r="D6" s="63">
        <f>Assumptions!$B$18+(Assumptions!$E$13-Assumptions!$B$18)*D4/Assumptions!$B$21</f>
        <v>0.37632</v>
      </c>
      <c r="E6" s="63">
        <f>Assumptions!$B$18+(Assumptions!$E$13-Assumptions!$B$18)*E4/Assumptions!$B$21</f>
        <v>0.37473</v>
      </c>
      <c r="F6" s="63">
        <f>Assumptions!$B$18+(Assumptions!$E$13-Assumptions!$B$18)*F4/Assumptions!$B$21</f>
        <v>0.37313999999999997</v>
      </c>
      <c r="G6" s="63">
        <f>Assumptions!$B$18+(Assumptions!$E$13-Assumptions!$B$18)*G4/Assumptions!$B$21</f>
        <v>0.37155</v>
      </c>
      <c r="H6" s="63">
        <f>Assumptions!$B$18+(Assumptions!$E$13-Assumptions!$B$18)*H4/Assumptions!$B$21</f>
        <v>0.36996</v>
      </c>
      <c r="I6" s="63">
        <f>Assumptions!$B$18+(Assumptions!$E$13-Assumptions!$B$18)*I4/Assumptions!$B$21</f>
        <v>0.36837</v>
      </c>
      <c r="J6" s="63">
        <f>Assumptions!$B$18+(Assumptions!$E$13-Assumptions!$B$18)*J4/Assumptions!$B$21</f>
        <v>0.36678</v>
      </c>
      <c r="K6" s="63">
        <f>Assumptions!$B$18+(Assumptions!$E$13-Assumptions!$B$18)*K4/Assumptions!$B$21</f>
        <v>0.36518999999999996</v>
      </c>
      <c r="L6" s="63">
        <f>Assumptions!$B$18+(Assumptions!$E$13-Assumptions!$B$18)*L4/Assumptions!$B$21</f>
        <v>0.3636</v>
      </c>
    </row>
    <row r="7">
      <c r="A7" s="14" t="inlineStr">
        <is>
          <t>Revenue</t>
        </is>
      </c>
      <c r="B7" s="55">
        <f>'Yearly Model'!S2</f>
        <v>12001.3</v>
      </c>
      <c r="C7" s="55">
        <f>'Yearly Model'!T2</f>
        <v>13227.83286</v>
      </c>
      <c r="D7" s="55">
        <f>'Yearly Model'!U2</f>
        <v>14466.251967537335</v>
      </c>
      <c r="E7" s="55">
        <f>'Yearly Model'!V2</f>
        <v>15696.5263293099</v>
      </c>
      <c r="F7" s="55">
        <f>'Yearly Model'!W2</f>
        <v>16896.787375957796</v>
      </c>
      <c r="G7" s="55">
        <f>'Yearly Model'!X2</f>
        <v>18043.891496703374</v>
      </c>
      <c r="H7" s="55">
        <f>'Yearly Model'!Y2</f>
        <v>19114.09475014118</v>
      </c>
      <c r="I7" s="55">
        <f>'Yearly Model'!Z2</f>
        <v>20083.816490465008</v>
      </c>
      <c r="J7" s="55">
        <f>'Yearly Model'!AA2</f>
        <v>20930.460932296388</v>
      </c>
      <c r="K7" s="55">
        <f>'Yearly Model'!AB2</f>
        <v>21633.259298267494</v>
      </c>
      <c r="L7" s="55">
        <f>'Yearly Model'!AC2</f>
        <v>22174.09078072418</v>
      </c>
    </row>
    <row r="8">
      <c r="A8" s="14" t="inlineStr">
        <is>
          <t>Operating income</t>
        </is>
      </c>
      <c r="B8" s="55">
        <f>'Yearly Model'!S8</f>
        <v>4173.3</v>
      </c>
      <c r="C8" s="55">
        <f>'Yearly Model'!T8</f>
        <v>4998.930316122601</v>
      </c>
      <c r="D8" s="55">
        <f>'Yearly Model'!U8</f>
        <v>5443.93994042365</v>
      </c>
      <c r="E8" s="55">
        <f>'Yearly Model'!V8</f>
        <v>5881.959311382298</v>
      </c>
      <c r="F8" s="55">
        <f>'Yearly Model'!W8</f>
        <v>6304.867241464892</v>
      </c>
      <c r="G8" s="55">
        <f>'Yearly Model'!X8</f>
        <v>6704.207885600139</v>
      </c>
      <c r="H8" s="55">
        <f>'Yearly Model'!Y8</f>
        <v>7071.45049376223</v>
      </c>
      <c r="I8" s="55">
        <f>'Yearly Model'!Z8</f>
        <v>7398.275480592594</v>
      </c>
      <c r="J8" s="55">
        <f>'Yearly Model'!AA8</f>
        <v>7676.874460747669</v>
      </c>
      <c r="K8" s="55">
        <f>'Yearly Model'!AB8</f>
        <v>7900.249963134305</v>
      </c>
      <c r="L8" s="55">
        <f>'Yearly Model'!AC8</f>
        <v>8062.49940787131</v>
      </c>
    </row>
    <row r="9">
      <c r="A9" s="14" t="inlineStr">
        <is>
          <t>Tax on operating income</t>
        </is>
      </c>
      <c r="C9" s="52">
        <f>MAX(0,C8)*Assumptions!$E$14</f>
        <v>849.8181537408421</v>
      </c>
      <c r="D9" s="52">
        <f>MAX(0,D8)*Assumptions!$E$14</f>
        <v>925.4697898720206</v>
      </c>
      <c r="E9" s="52">
        <f>MAX(0,E8)*Assumptions!$E$14</f>
        <v>999.9330829349908</v>
      </c>
      <c r="F9" s="52">
        <f>MAX(0,F8)*Assumptions!$E$14</f>
        <v>1071.8274310490317</v>
      </c>
      <c r="G9" s="52">
        <f>MAX(0,G8)*Assumptions!$E$14</f>
        <v>1139.7153405520237</v>
      </c>
      <c r="H9" s="52">
        <f>MAX(0,H8)*Assumptions!$E$14</f>
        <v>1202.1465839395792</v>
      </c>
      <c r="I9" s="52">
        <f>MAX(0,I8)*Assumptions!$E$14</f>
        <v>1257.706831700741</v>
      </c>
      <c r="J9" s="52">
        <f>MAX(0,J8)*Assumptions!$E$14</f>
        <v>1305.0686583271038</v>
      </c>
      <c r="K9" s="52">
        <f>MAX(0,K8)*Assumptions!$E$14</f>
        <v>1343.042493732832</v>
      </c>
      <c r="L9" s="52">
        <f>MAX(0,L8)*Assumptions!$E$14</f>
        <v>1370.6248993381228</v>
      </c>
    </row>
    <row r="10">
      <c r="A10" s="14" t="inlineStr">
        <is>
          <t>NOPAT</t>
        </is>
      </c>
      <c r="C10" s="52">
        <f>C8-C9</f>
        <v>4149.112162381759</v>
      </c>
      <c r="D10" s="52">
        <f>D8-D9</f>
        <v>4518.47015055163</v>
      </c>
      <c r="E10" s="52">
        <f>E8-E9</f>
        <v>4882.026228447307</v>
      </c>
      <c r="F10" s="52">
        <f>F8-F9</f>
        <v>5233.03981041586</v>
      </c>
      <c r="G10" s="52">
        <f>G8-G9</f>
        <v>5564.492545048115</v>
      </c>
      <c r="H10" s="52">
        <f>H8-H9</f>
        <v>5869.303909822651</v>
      </c>
      <c r="I10" s="52">
        <f>I8-I9</f>
        <v>6140.568648891853</v>
      </c>
      <c r="J10" s="52">
        <f>J8-J9</f>
        <v>6371.805802420566</v>
      </c>
      <c r="K10" s="52">
        <f>K8-K9</f>
        <v>6557.207469401474</v>
      </c>
      <c r="L10" s="52">
        <f>L8-L9</f>
        <v>6691.874508533187</v>
      </c>
    </row>
    <row r="11">
      <c r="A11" s="14" t="inlineStr">
        <is>
          <t>Reinvestment</t>
        </is>
      </c>
      <c r="C11" s="52">
        <f>(C7-B7)*Assumptions!$E$15</f>
        <v>306.6332150000003</v>
      </c>
      <c r="D11" s="52">
        <f>(D7-C7)*Assumptions!$E$15</f>
        <v>309.60477688433366</v>
      </c>
      <c r="E11" s="52">
        <f>(E7-D7)*Assumptions!$E$15</f>
        <v>307.56859044314115</v>
      </c>
      <c r="F11" s="52">
        <f>(F7-E7)*Assumptions!$E$15</f>
        <v>300.0652616619741</v>
      </c>
      <c r="G11" s="52">
        <f>(G7-F7)*Assumptions!$E$15</f>
        <v>286.77603018639456</v>
      </c>
      <c r="H11" s="52">
        <f>(H7-G7)*Assumptions!$E$15</f>
        <v>267.55081335945124</v>
      </c>
      <c r="I11" s="52">
        <f>(I7-H7)*Assumptions!$E$15</f>
        <v>242.43043508095707</v>
      </c>
      <c r="J11" s="52">
        <f>(J7-I7)*Assumptions!$E$15</f>
        <v>211.6611104578451</v>
      </c>
      <c r="K11" s="52">
        <f>(K7-J7)*Assumptions!$E$15</f>
        <v>175.69959149277656</v>
      </c>
      <c r="L11" s="52">
        <f>(L7-K7)*Assumptions!$E$15</f>
        <v>135.20787061417104</v>
      </c>
    </row>
    <row r="12">
      <c r="A12" s="20" t="inlineStr">
        <is>
          <t>Free cash flow</t>
        </is>
      </c>
      <c r="C12" s="64">
        <f>C10-C11</f>
        <v>3842.4789473817586</v>
      </c>
      <c r="D12" s="64">
        <f>D10-D11</f>
        <v>4208.865373667296</v>
      </c>
      <c r="E12" s="64">
        <f>E10-E11</f>
        <v>4574.457638004166</v>
      </c>
      <c r="F12" s="64">
        <f>F10-F11</f>
        <v>4932.974548753886</v>
      </c>
      <c r="G12" s="64">
        <f>G10-G11</f>
        <v>5277.7165148617205</v>
      </c>
      <c r="H12" s="64">
        <f>H10-H11</f>
        <v>5601.7530964632</v>
      </c>
      <c r="I12" s="64">
        <f>I10-I11</f>
        <v>5898.138213810896</v>
      </c>
      <c r="J12" s="64">
        <f>J10-J11</f>
        <v>6160.144691962721</v>
      </c>
      <c r="K12" s="64">
        <f>K10-K11</f>
        <v>6381.507877908697</v>
      </c>
      <c r="L12" s="64">
        <f>L10-L11</f>
        <v>6556.666637919016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0.9807889007237011</v>
      </c>
      <c r="D15" s="65">
        <f>1/(1+Assumptions!$E$10)^D14</f>
        <v>0.9256338051008673</v>
      </c>
      <c r="E15" s="65">
        <f>1/(1+Assumptions!$E$10)^E14</f>
        <v>0.8570683380563585</v>
      </c>
      <c r="F15" s="65">
        <f>1/(1+Assumptions!$E$10)^F14</f>
        <v>0.7935817944966281</v>
      </c>
      <c r="G15" s="65">
        <f>1/(1+Assumptions!$E$10)^G14</f>
        <v>0.7347979578672482</v>
      </c>
      <c r="H15" s="65">
        <f>1/(1+Assumptions!$E$10)^H14</f>
        <v>0.6803684795067113</v>
      </c>
      <c r="I15" s="65">
        <f>1/(1+Assumptions!$E$10)^I14</f>
        <v>0.629970814358066</v>
      </c>
      <c r="J15" s="65">
        <f>1/(1+Assumptions!$E$10)^J14</f>
        <v>0.5833063095908019</v>
      </c>
      <c r="K15" s="65">
        <f>1/(1+Assumptions!$E$10)^K14</f>
        <v>0.5400984348062979</v>
      </c>
      <c r="L15" s="65">
        <f>1/(1+Assumptions!$E$10)^L14</f>
        <v>0.5000911433391647</v>
      </c>
    </row>
    <row r="16">
      <c r="A16" s="20" t="inlineStr">
        <is>
          <t>PV of free cash flow</t>
        </is>
      </c>
      <c r="C16" s="64">
        <f>C12*C13*C15</f>
        <v>1899.7818603099713</v>
      </c>
      <c r="D16" s="64">
        <f>D12*D13*D15</f>
        <v>3895.868070984943</v>
      </c>
      <c r="E16" s="64">
        <f>E12*E13*E15</f>
        <v>3920.622805313446</v>
      </c>
      <c r="F16" s="64">
        <f>F12*F13*F15</f>
        <v>3914.718794606303</v>
      </c>
      <c r="G16" s="64">
        <f>G12*G13*G15</f>
        <v>3878.0553173226426</v>
      </c>
      <c r="H16" s="64">
        <f>H12*H13*H15</f>
        <v>3811.256236812679</v>
      </c>
      <c r="I16" s="64">
        <f>I12*I13*I15</f>
        <v>3715.6549337508786</v>
      </c>
      <c r="J16" s="64">
        <f>J12*J13*J15</f>
        <v>3593.2512668141417</v>
      </c>
      <c r="K16" s="64">
        <f>K12*K13*K15</f>
        <v>3446.642416562547</v>
      </c>
      <c r="L16" s="64">
        <f>L12*L13*L15</f>
        <v>3278.9309154506777</v>
      </c>
    </row>
    <row r="19">
      <c r="A19" s="14" t="inlineStr">
        <is>
          <t>PV of forecast free cash flow</t>
        </is>
      </c>
      <c r="B19" s="52">
        <f>SUM(C16:L16)</f>
        <v>35354.782617928235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6720.583303866989</v>
      </c>
    </row>
    <row r="21">
      <c r="A21" s="14" t="inlineStr">
        <is>
          <t>Terminal value</t>
        </is>
      </c>
      <c r="B21" s="52">
        <f>B20/(Assumptions!$E$10-Assumptions!$E$11)</f>
        <v>122192.42370667252</v>
      </c>
    </row>
    <row r="22">
      <c r="A22" s="14" t="inlineStr">
        <is>
          <t>PV of terminal value</t>
        </is>
      </c>
      <c r="B22" s="52">
        <f>B21/(1+Assumptions!$E$10)^(L14+0.5)</f>
        <v>58800.57387445075</v>
      </c>
    </row>
    <row r="23">
      <c r="A23" s="20" t="inlineStr">
        <is>
          <t>Enterprise value</t>
        </is>
      </c>
      <c r="B23" s="66">
        <f>B19+B22</f>
        <v>94155.35649237898</v>
      </c>
    </row>
    <row r="24">
      <c r="A24" s="14" t="inlineStr">
        <is>
          <t>Cash &amp; investments</t>
        </is>
      </c>
      <c r="B24" s="55">
        <f>Main!C7</f>
        <v>7852.4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102007.75649237898</v>
      </c>
    </row>
    <row r="27">
      <c r="A27" s="14" t="inlineStr">
        <is>
          <t>Shares (mm)</t>
        </is>
      </c>
      <c r="B27" s="55">
        <f>Main!C4</f>
        <v>253.460924</v>
      </c>
    </row>
    <row r="28">
      <c r="A28" s="20" t="inlineStr">
        <is>
          <t>NPV / share</t>
        </is>
      </c>
      <c r="B28" s="49">
        <f>B26/B27</f>
        <v>402.45949901286946</v>
      </c>
    </row>
    <row r="29">
      <c r="A29" s="14" t="inlineStr">
        <is>
          <t>Price</t>
        </is>
      </c>
      <c r="B29" s="50">
        <f>Main!C3</f>
        <v>514.65</v>
      </c>
    </row>
    <row r="30">
      <c r="A30" s="14" t="inlineStr">
        <is>
          <t>Upside</t>
        </is>
      </c>
      <c r="B30" s="63">
        <f>B28/B29-1</f>
        <v>-0.21799378410012726</v>
      </c>
    </row>
    <row r="31">
      <c r="A31" s="14" t="inlineStr">
        <is>
          <t>Terminal value, % of EV</t>
        </is>
      </c>
      <c r="B31" s="63">
        <f>IFERROR(B22/B23,0)</f>
        <v>0.6245058811838295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2026-10-21T06:21:01Z</dcterms:modified>
  <cp:lastModifiedBy>Wang, Eric</cp:lastModifiedBy>
</cp:coreProperties>
</file>