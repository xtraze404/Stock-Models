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Alpha Compute Corp</t>
        </is>
      </c>
      <c r="C2" s="10" t="n"/>
    </row>
    <row r="3">
      <c r="B3" t="inlineStr">
        <is>
          <t>Price</t>
        </is>
      </c>
      <c r="C3" s="11">
        <f>INDEX([1]Pharma!$F$1:$F$1000,MATCH("ALP",[1]Pharma!$B$1:$B$1000,0))</f>
        <v>3.38</v>
      </c>
      <c r="F3" s="1" t="n"/>
    </row>
    <row r="4">
      <c r="B4" t="inlineStr">
        <is>
          <t>Shares</t>
        </is>
      </c>
      <c r="C4" s="21" t="n">
        <v>23.470877</v>
      </c>
      <c r="F4" s="1" t="n"/>
    </row>
    <row r="5">
      <c r="B5" t="inlineStr">
        <is>
          <t>Market Cap.</t>
        </is>
      </c>
      <c r="C5" s="13">
        <f>C3*C4</f>
        <v>79.33156426000001</v>
      </c>
      <c r="F5" s="1" t="n"/>
    </row>
    <row r="6"/>
    <row r="7">
      <c r="B7" t="inlineStr">
        <is>
          <t>Cash</t>
        </is>
      </c>
      <c r="C7" s="21" t="n">
        <v>0.183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79.14856426</v>
      </c>
    </row>
    <row r="10"/>
    <row r="11">
      <c r="B11" s="14" t="inlineStr">
        <is>
          <t>Net Cash / Share</t>
        </is>
      </c>
      <c r="C11" s="11">
        <f>(C7-C8)/C4</f>
        <v>0.007796896553971971</v>
      </c>
    </row>
    <row r="12">
      <c r="B12" s="14" t="inlineStr">
        <is>
          <t>Upside</t>
        </is>
      </c>
      <c r="C12" s="15">
        <f>IFERROR(C11/C3-1,"")</f>
        <v>-0.9976932258716059</v>
      </c>
    </row>
    <row r="13">
      <c r="B13" s="14" t="inlineStr">
        <is>
          <t>Cash / Share</t>
        </is>
      </c>
      <c r="C13" s="11">
        <f>IFERROR((C7-C8)/C4,"")</f>
        <v>0.007796896553971971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-3.646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0.05019199122325837</v>
      </c>
    </row>
    <row r="19">
      <c r="B19" s="14" t="inlineStr">
        <is>
          <t>Implied Pipeline Value</t>
        </is>
      </c>
      <c r="C19" s="13">
        <f>C9</f>
        <v>79.14856426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4.577</v>
      </c>
      <c r="C5" s="23" t="n">
        <v>32.45</v>
      </c>
      <c r="D5" s="23" t="n">
        <v>0.788</v>
      </c>
      <c r="E5" s="23" t="n">
        <v>1.907</v>
      </c>
      <c r="F5" s="23" t="n">
        <v>4.108</v>
      </c>
      <c r="G5" s="23" t="n">
        <v>7.312</v>
      </c>
      <c r="H5" s="23" t="n">
        <v>6.769</v>
      </c>
      <c r="I5" s="23" t="n">
        <v>8.673999999999999</v>
      </c>
      <c r="J5" s="23" t="n">
        <v>12.535</v>
      </c>
      <c r="K5" s="23" t="n">
        <v>3.129</v>
      </c>
    </row>
    <row r="6">
      <c r="A6" s="19" t="inlineStr">
        <is>
          <t>SG&amp;A &amp; Other</t>
        </is>
      </c>
      <c r="B6" s="23" t="n">
        <v>4.618</v>
      </c>
      <c r="C6" s="23" t="n">
        <v>3.049</v>
      </c>
      <c r="D6" s="23" t="n">
        <v>1.447</v>
      </c>
      <c r="E6" s="23" t="n">
        <v>0.857</v>
      </c>
      <c r="F6" s="23" t="n">
        <v>1.87</v>
      </c>
      <c r="G6" s="23" t="n">
        <v>5.128</v>
      </c>
      <c r="H6" s="23" t="n">
        <v>8.819000000000001</v>
      </c>
      <c r="I6" s="23" t="n">
        <v>7.901</v>
      </c>
      <c r="J6" s="23" t="n">
        <v>5.664</v>
      </c>
      <c r="K6" s="23" t="n">
        <v>4.254</v>
      </c>
    </row>
    <row r="7">
      <c r="A7" s="2" t="inlineStr">
        <is>
          <t>Operating Expense</t>
        </is>
      </c>
      <c r="B7" s="23">
        <f>SUM(B5:B6)</f>
        <v>9.195</v>
      </c>
      <c r="C7" s="23">
        <f>SUM(C5:C6)</f>
        <v>35.499</v>
      </c>
      <c r="D7" s="23">
        <f>SUM(D5:D6)</f>
        <v>2.2350000000000003</v>
      </c>
      <c r="E7" s="23">
        <f>SUM(E5:E6)</f>
        <v>2.7640000000000002</v>
      </c>
      <c r="F7" s="23">
        <f>SUM(F5:F6)</f>
        <v>5.978</v>
      </c>
      <c r="G7" s="23">
        <f>SUM(G5:G6)</f>
        <v>12.440000000000001</v>
      </c>
      <c r="H7" s="23">
        <f>SUM(H5:H6)</f>
        <v>15.588000000000001</v>
      </c>
      <c r="I7" s="23">
        <f>SUM(I5:I6)</f>
        <v>16.575</v>
      </c>
      <c r="J7" s="23">
        <f>SUM(J5:J6)</f>
        <v>18.198999999999998</v>
      </c>
      <c r="K7" s="23">
        <f>SUM(K5:K6)</f>
        <v>7.382999999999999</v>
      </c>
    </row>
    <row r="8">
      <c r="A8" s="2" t="inlineStr">
        <is>
          <t>Operating Income</t>
        </is>
      </c>
      <c r="B8" s="23">
        <f>B4-B7</f>
        <v>-9.195</v>
      </c>
      <c r="C8" s="23">
        <f>C4-C7</f>
        <v>-35.499</v>
      </c>
      <c r="D8" s="23">
        <f>D4-D7</f>
        <v>-2.2350000000000003</v>
      </c>
      <c r="E8" s="23">
        <f>E4-E7</f>
        <v>-2.7640000000000002</v>
      </c>
      <c r="F8" s="23">
        <f>F4-F7</f>
        <v>-5.978</v>
      </c>
      <c r="G8" s="23">
        <f>G4-G7</f>
        <v>-12.440000000000001</v>
      </c>
      <c r="H8" s="23">
        <f>H4-H7</f>
        <v>-15.588000000000001</v>
      </c>
      <c r="I8" s="23">
        <f>I4-I7</f>
        <v>-16.575</v>
      </c>
      <c r="J8" s="23">
        <f>J4-J7</f>
        <v>-18.198999999999998</v>
      </c>
      <c r="K8" s="23">
        <f>K4-K7</f>
        <v>-7.382999999999999</v>
      </c>
    </row>
    <row r="9">
      <c r="A9" s="19" t="inlineStr">
        <is>
          <t>Interest &amp; Other</t>
        </is>
      </c>
      <c r="B9" s="23" t="n">
        <v>3.489</v>
      </c>
      <c r="C9" s="23" t="n">
        <v>51.798</v>
      </c>
      <c r="D9" s="23" t="n">
        <v>125.976</v>
      </c>
      <c r="E9" s="23" t="n">
        <v>0.129</v>
      </c>
      <c r="F9" s="23" t="n">
        <v>1.385</v>
      </c>
      <c r="G9" s="23" t="n">
        <v>-1.096</v>
      </c>
      <c r="H9" s="23" t="n">
        <v>3.07</v>
      </c>
      <c r="I9" s="23" t="n">
        <v>-105.892</v>
      </c>
      <c r="J9" s="23" t="n">
        <v>-67.688</v>
      </c>
      <c r="K9" s="23" t="n">
        <v>0.613</v>
      </c>
    </row>
    <row r="10">
      <c r="A10" s="2" t="inlineStr">
        <is>
          <t>Pretax</t>
        </is>
      </c>
      <c r="B10" s="23">
        <f>B8+B9</f>
        <v>-5.706</v>
      </c>
      <c r="C10" s="23">
        <f>C8+C9</f>
        <v>16.299</v>
      </c>
      <c r="D10" s="23">
        <f>D8+D9</f>
        <v>123.741</v>
      </c>
      <c r="E10" s="23">
        <f>E8+E9</f>
        <v>-2.6350000000000002</v>
      </c>
      <c r="F10" s="23">
        <f>F8+F9</f>
        <v>-4.593</v>
      </c>
      <c r="G10" s="23">
        <f>G8+G9</f>
        <v>-13.536000000000001</v>
      </c>
      <c r="H10" s="23">
        <f>H8+H9</f>
        <v>-12.518</v>
      </c>
      <c r="I10" s="23">
        <f>I8+I9</f>
        <v>-122.467</v>
      </c>
      <c r="J10" s="23">
        <f>J8+J9</f>
        <v>-85.887</v>
      </c>
      <c r="K10" s="23">
        <f>K8+K9</f>
        <v>-6.77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0.74</v>
      </c>
      <c r="G11" s="23" t="n">
        <v>2.297</v>
      </c>
      <c r="H11" s="23" t="n">
        <v>4.352</v>
      </c>
      <c r="I11" s="23" t="n">
        <v>-17.856</v>
      </c>
      <c r="J11" s="23" t="n">
        <v>-10.548</v>
      </c>
      <c r="K11" s="23" t="n">
        <v>-0.003</v>
      </c>
    </row>
    <row r="12">
      <c r="A12" s="2" t="inlineStr">
        <is>
          <t>Net Income</t>
        </is>
      </c>
      <c r="B12" s="23" t="n">
        <v>-5.706</v>
      </c>
      <c r="C12" s="23" t="n">
        <v>16.299</v>
      </c>
      <c r="D12" s="23" t="n">
        <v>123.741</v>
      </c>
      <c r="E12" s="23" t="n">
        <v>-2.635</v>
      </c>
      <c r="F12" s="23" t="n">
        <v>-5.333</v>
      </c>
      <c r="G12" s="23" t="n">
        <v>-15.833</v>
      </c>
      <c r="H12" s="23" t="n">
        <v>-16.87</v>
      </c>
      <c r="I12" s="23" t="n">
        <v>-104.611</v>
      </c>
      <c r="J12" s="23" t="n">
        <v>-75.339</v>
      </c>
      <c r="K12" s="23" t="n">
        <v>-6.767</v>
      </c>
    </row>
    <row r="13">
      <c r="A13" s="2" t="inlineStr">
        <is>
          <t>Earnings per Share</t>
        </is>
      </c>
      <c r="B13" s="11">
        <f>IFERROR(B12/B14,0)</f>
        <v>-9.369458128078819</v>
      </c>
      <c r="C13" s="11">
        <f>IFERROR(C12/C14,0)</f>
        <v>23.587554269175108</v>
      </c>
      <c r="D13" s="11">
        <f>IFERROR(D12/D14,0)</f>
        <v>180.90789473684208</v>
      </c>
      <c r="E13" s="11">
        <f>IFERROR(E12/E14,0)</f>
        <v>-3.852339181286549</v>
      </c>
      <c r="F13" s="11">
        <f>IFERROR(F12/F14,0)</f>
        <v>-7.796783625730994</v>
      </c>
      <c r="G13" s="11">
        <f>IFERROR(G12/G14,0)</f>
        <v>-21.600272851296044</v>
      </c>
      <c r="H13" s="11">
        <f>IFERROR(H12/H14,0)</f>
        <v>-20.67401960784314</v>
      </c>
      <c r="I13" s="11">
        <f>IFERROR(I12/I14,0)</f>
        <v>-129.79032258064515</v>
      </c>
      <c r="J13" s="11">
        <f>IFERROR(J12/J14,0)</f>
        <v>-77.82954545454545</v>
      </c>
      <c r="K13" s="11">
        <f>IFERROR(K12/K14,0)</f>
        <v>-5.720202874049028</v>
      </c>
    </row>
    <row r="14">
      <c r="A14" s="2" t="inlineStr">
        <is>
          <t>Shares</t>
        </is>
      </c>
      <c r="B14" s="23" t="n">
        <v>0.609</v>
      </c>
      <c r="C14" s="23" t="n">
        <v>0.6909999999999999</v>
      </c>
      <c r="D14" s="23" t="n">
        <v>0.6840000000000001</v>
      </c>
      <c r="E14" s="23" t="n">
        <v>0.6840000000000001</v>
      </c>
      <c r="F14" s="23" t="n">
        <v>0.6840000000000001</v>
      </c>
      <c r="G14" s="23" t="n">
        <v>0.733</v>
      </c>
      <c r="H14" s="23" t="n">
        <v>0.8159999999999999</v>
      </c>
      <c r="I14" s="23" t="n">
        <v>0.806</v>
      </c>
      <c r="J14" s="23" t="n">
        <v>0.968</v>
      </c>
      <c r="K14" s="23" t="n">
        <v>1.183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2026-10-21T06:28:30Z</dcterms:modified>
  <cp:lastModifiedBy>Wang, Eric</cp:lastModifiedBy>
</cp:coreProperties>
</file>