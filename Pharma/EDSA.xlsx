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Edesa Biotech Inc</t>
        </is>
      </c>
      <c r="C2" s="10" t="n"/>
    </row>
    <row r="3">
      <c r="B3" t="inlineStr">
        <is>
          <t>Price</t>
        </is>
      </c>
      <c r="C3" s="11">
        <f>INDEX([1]Pharma!$F$1:$F$1000,MATCH("EDSA",[1]Pharma!$B$1:$B$1000,0))</f>
        <v>2.82</v>
      </c>
      <c r="F3" s="1" t="n"/>
    </row>
    <row r="4">
      <c r="B4" t="inlineStr">
        <is>
          <t>Shares</t>
        </is>
      </c>
      <c r="C4" s="21" t="n">
        <v>9.641031</v>
      </c>
      <c r="F4" s="1" t="n"/>
    </row>
    <row r="5">
      <c r="B5" t="inlineStr">
        <is>
          <t>Market Cap.</t>
        </is>
      </c>
      <c r="C5" s="13">
        <f>C3*C4</f>
        <v>27.18770742</v>
      </c>
      <c r="F5" s="1" t="n"/>
    </row>
    <row r="6"/>
    <row r="7">
      <c r="B7" t="inlineStr">
        <is>
          <t>Cash</t>
        </is>
      </c>
      <c r="C7" s="21" t="n">
        <v>10.3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16.887707419999998</v>
      </c>
    </row>
    <row r="10"/>
    <row r="11">
      <c r="B11" s="14" t="inlineStr">
        <is>
          <t>Net Cash / Share</t>
        </is>
      </c>
      <c r="C11" s="11">
        <f>(C7-C8)/C4</f>
        <v>1.068350469986042</v>
      </c>
    </row>
    <row r="12">
      <c r="B12" s="14" t="inlineStr">
        <is>
          <t>Upside</t>
        </is>
      </c>
      <c r="C12" s="15">
        <f>IFERROR(C11/C3-1,"")</f>
        <v>-0.6211523156077865</v>
      </c>
    </row>
    <row r="13">
      <c r="B13" s="14" t="inlineStr">
        <is>
          <t>Cash / Share</t>
        </is>
      </c>
      <c r="C13" s="11">
        <f>IFERROR((C7-C8)/C4,"")</f>
        <v>1.068350469986042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-8.907999999999999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1.1562640323304896</v>
      </c>
    </row>
    <row r="19">
      <c r="B19" s="14" t="inlineStr">
        <is>
          <t>Implied Pipeline Value</t>
        </is>
      </c>
      <c r="C19" s="13">
        <f>C9</f>
        <v>16.887707419999998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0.286</v>
      </c>
      <c r="C2" s="23" t="n">
        <v>0.545</v>
      </c>
      <c r="D2" s="23" t="n">
        <v>0.372</v>
      </c>
      <c r="E2" s="23" t="n">
        <v>0.759</v>
      </c>
      <c r="F2" s="23" t="n">
        <v>1.272</v>
      </c>
      <c r="G2" s="23" t="n">
        <v>0.228</v>
      </c>
      <c r="H2" s="23" t="n">
        <v>0</v>
      </c>
      <c r="I2" s="23" t="n">
        <v>0.329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0.426</v>
      </c>
      <c r="C3" s="23" t="n">
        <v>0.183</v>
      </c>
      <c r="D3" s="23" t="n">
        <v>0.663</v>
      </c>
      <c r="E3" s="23" t="n">
        <v>0.581</v>
      </c>
      <c r="F3" s="23" t="n">
        <v>0.819</v>
      </c>
      <c r="G3" s="23" t="n">
        <v>0.25</v>
      </c>
      <c r="H3" s="23" t="n">
        <v>0.133</v>
      </c>
      <c r="I3" s="23" t="n">
        <v>0.018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-0.14</v>
      </c>
      <c r="C4" s="23">
        <f>C2-C3</f>
        <v>0.36200000000000004</v>
      </c>
      <c r="D4" s="23">
        <f>D2-D3</f>
        <v>-0.29100000000000004</v>
      </c>
      <c r="E4" s="23">
        <f>E2-E3</f>
        <v>0.17800000000000005</v>
      </c>
      <c r="F4" s="23">
        <f>F2-F3</f>
        <v>0.45300000000000007</v>
      </c>
      <c r="G4" s="23">
        <f>G2-G3</f>
        <v>-0.021999999999999992</v>
      </c>
      <c r="H4" s="23">
        <f>H2-H3</f>
        <v>-0.133</v>
      </c>
      <c r="I4" s="23">
        <f>I2-I3</f>
        <v>0.311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2.634</v>
      </c>
      <c r="C5" s="23" t="n">
        <v>2.019</v>
      </c>
      <c r="D5" s="23" t="n">
        <v>2.459</v>
      </c>
      <c r="E5" s="23" t="n">
        <v>1.029</v>
      </c>
      <c r="F5" s="23" t="n">
        <v>1.729</v>
      </c>
      <c r="G5" s="23" t="n">
        <v>1.973</v>
      </c>
      <c r="H5" s="23" t="n">
        <v>1.075</v>
      </c>
      <c r="I5" s="23" t="n">
        <v>3.329</v>
      </c>
      <c r="J5" s="23" t="n">
        <v>17.947</v>
      </c>
      <c r="K5" s="23" t="n">
        <v>13.335</v>
      </c>
      <c r="L5" s="23" t="n">
        <v>4.795</v>
      </c>
      <c r="M5" s="23" t="n">
        <v>2.882</v>
      </c>
      <c r="N5" s="23" t="n">
        <v>3.669</v>
      </c>
    </row>
    <row r="6">
      <c r="A6" s="19" t="inlineStr">
        <is>
          <t>SG&amp;A &amp; Other</t>
        </is>
      </c>
      <c r="B6" s="23" t="n">
        <v>3.772</v>
      </c>
      <c r="C6" s="23" t="n">
        <v>2.192</v>
      </c>
      <c r="D6" s="23" t="n">
        <v>2.969</v>
      </c>
      <c r="E6" s="23" t="n">
        <v>3.487</v>
      </c>
      <c r="F6" s="23" t="n">
        <v>3.632</v>
      </c>
      <c r="G6" s="23" t="n">
        <v>3.229</v>
      </c>
      <c r="H6" s="23" t="n">
        <v>0.41</v>
      </c>
      <c r="I6" s="23" t="n">
        <v>3.383</v>
      </c>
      <c r="J6" s="23" t="n">
        <v>5.734</v>
      </c>
      <c r="K6" s="23" t="n">
        <v>5.035</v>
      </c>
      <c r="L6" s="23" t="n">
        <v>4.428</v>
      </c>
      <c r="M6" s="23" t="n">
        <v>4.133</v>
      </c>
      <c r="N6" s="23" t="n">
        <v>4.243</v>
      </c>
    </row>
    <row r="7">
      <c r="A7" s="2" t="inlineStr">
        <is>
          <t>Operating Expense</t>
        </is>
      </c>
      <c r="B7" s="23">
        <f>SUM(B5:B6)</f>
        <v>6.406</v>
      </c>
      <c r="C7" s="23">
        <f>SUM(C5:C6)</f>
        <v>4.211</v>
      </c>
      <c r="D7" s="23">
        <f>SUM(D5:D6)</f>
        <v>5.428</v>
      </c>
      <c r="E7" s="23">
        <f>SUM(E5:E6)</f>
        <v>4.516</v>
      </c>
      <c r="F7" s="23">
        <f>SUM(F5:F6)</f>
        <v>5.361000000000001</v>
      </c>
      <c r="G7" s="23">
        <f>SUM(G5:G6)</f>
        <v>5.202</v>
      </c>
      <c r="H7" s="23">
        <f>SUM(H5:H6)</f>
        <v>1.4849999999999999</v>
      </c>
      <c r="I7" s="23">
        <f>SUM(I5:I6)</f>
        <v>6.712</v>
      </c>
      <c r="J7" s="23">
        <f>SUM(J5:J6)</f>
        <v>23.680999999999997</v>
      </c>
      <c r="K7" s="23">
        <f>SUM(K5:K6)</f>
        <v>18.37</v>
      </c>
      <c r="L7" s="23">
        <f>SUM(L5:L6)</f>
        <v>9.222999999999999</v>
      </c>
      <c r="M7" s="23">
        <f>SUM(M5:M6)</f>
        <v>7.015000000000001</v>
      </c>
      <c r="N7" s="23">
        <f>SUM(N5:N6)</f>
        <v>7.912000000000001</v>
      </c>
    </row>
    <row r="8">
      <c r="A8" s="2" t="inlineStr">
        <is>
          <t>Operating Income</t>
        </is>
      </c>
      <c r="B8" s="23">
        <f>B4-B7</f>
        <v>-6.545999999999999</v>
      </c>
      <c r="C8" s="23">
        <f>C4-C7</f>
        <v>-3.849</v>
      </c>
      <c r="D8" s="23">
        <f>D4-D7</f>
        <v>-5.719</v>
      </c>
      <c r="E8" s="23">
        <f>E4-E7</f>
        <v>-4.338</v>
      </c>
      <c r="F8" s="23">
        <f>F4-F7</f>
        <v>-4.908</v>
      </c>
      <c r="G8" s="23">
        <f>G4-G7</f>
        <v>-5.224</v>
      </c>
      <c r="H8" s="23">
        <f>H4-H7</f>
        <v>-1.6179999999999999</v>
      </c>
      <c r="I8" s="23">
        <f>I4-I7</f>
        <v>-6.401</v>
      </c>
      <c r="J8" s="23">
        <f>J4-J7</f>
        <v>-23.680999999999997</v>
      </c>
      <c r="K8" s="23">
        <f>K4-K7</f>
        <v>-18.37</v>
      </c>
      <c r="L8" s="23">
        <f>L4-L7</f>
        <v>-9.222999999999999</v>
      </c>
      <c r="M8" s="23">
        <f>M4-M7</f>
        <v>-7.015000000000001</v>
      </c>
      <c r="N8" s="23">
        <f>N4-N7</f>
        <v>-7.912000000000001</v>
      </c>
    </row>
    <row r="9">
      <c r="A9" s="19" t="inlineStr">
        <is>
          <t>Interest &amp; Other</t>
        </is>
      </c>
      <c r="B9" s="23" t="n">
        <v>1.018</v>
      </c>
      <c r="C9" s="23" t="n">
        <v>-10.647</v>
      </c>
      <c r="D9" s="23" t="n">
        <v>-2.694</v>
      </c>
      <c r="E9" s="23" t="n">
        <v>1.532</v>
      </c>
      <c r="F9" s="23" t="n">
        <v>-0.111</v>
      </c>
      <c r="G9" s="23" t="n">
        <v>0.195</v>
      </c>
      <c r="H9" s="23" t="n">
        <v>0.082</v>
      </c>
      <c r="I9" s="23" t="n">
        <v>0.038</v>
      </c>
      <c r="J9" s="23" t="n">
        <v>10.339</v>
      </c>
      <c r="K9" s="23" t="n">
        <v>0.823</v>
      </c>
      <c r="L9" s="23" t="n">
        <v>0.849</v>
      </c>
      <c r="M9" s="23" t="n">
        <v>0.845</v>
      </c>
      <c r="N9" s="23" t="n">
        <v>0.727</v>
      </c>
    </row>
    <row r="10">
      <c r="A10" s="2" t="inlineStr">
        <is>
          <t>Pretax</t>
        </is>
      </c>
      <c r="B10" s="23">
        <f>B8+B9</f>
        <v>-5.528</v>
      </c>
      <c r="C10" s="23">
        <f>C8+C9</f>
        <v>-14.496</v>
      </c>
      <c r="D10" s="23">
        <f>D8+D9</f>
        <v>-8.413</v>
      </c>
      <c r="E10" s="23">
        <f>E8+E9</f>
        <v>-2.806</v>
      </c>
      <c r="F10" s="23">
        <f>F8+F9</f>
        <v>-5.019</v>
      </c>
      <c r="G10" s="23">
        <f>G8+G9</f>
        <v>-5.029</v>
      </c>
      <c r="H10" s="23">
        <f>H8+H9</f>
        <v>-1.5359999999999998</v>
      </c>
      <c r="I10" s="23">
        <f>I8+I9</f>
        <v>-6.3629999999999995</v>
      </c>
      <c r="J10" s="23">
        <f>J8+J9</f>
        <v>-13.341999999999997</v>
      </c>
      <c r="K10" s="23">
        <f>K8+K9</f>
        <v>-17.547</v>
      </c>
      <c r="L10" s="23">
        <f>L8+L9</f>
        <v>-8.373999999999999</v>
      </c>
      <c r="M10" s="23">
        <f>M8+M9</f>
        <v>-6.170000000000001</v>
      </c>
      <c r="N10" s="23">
        <f>N8+N9</f>
        <v>-7.1850000000000005</v>
      </c>
    </row>
    <row r="11">
      <c r="A11" s="2" t="inlineStr">
        <is>
          <t>Taxes</t>
        </is>
      </c>
      <c r="B11" s="23" t="n">
        <v>0.001</v>
      </c>
      <c r="C11" s="23" t="n">
        <v>0.001</v>
      </c>
      <c r="D11" s="23" t="n">
        <v>0.027</v>
      </c>
      <c r="E11" s="23" t="n">
        <v>0.037</v>
      </c>
      <c r="F11" s="23" t="n">
        <v>0.007</v>
      </c>
      <c r="G11" s="23" t="n">
        <v>0.001</v>
      </c>
      <c r="H11" s="23" t="n">
        <v>0</v>
      </c>
      <c r="I11" s="23" t="n">
        <v>0.001</v>
      </c>
      <c r="J11" s="23" t="n">
        <v>0.001</v>
      </c>
      <c r="K11" s="23" t="n">
        <v>0.001</v>
      </c>
      <c r="L11" s="23" t="n">
        <v>0.001</v>
      </c>
      <c r="M11" s="23" t="n">
        <v>0.001</v>
      </c>
      <c r="N11" s="23" t="n">
        <v>0.001</v>
      </c>
    </row>
    <row r="12">
      <c r="A12" s="2" t="inlineStr">
        <is>
          <t>Net Income</t>
        </is>
      </c>
      <c r="B12" s="23" t="n">
        <v>-5.529</v>
      </c>
      <c r="C12" s="23" t="n">
        <v>-14.496</v>
      </c>
      <c r="D12" s="23" t="n">
        <v>-8.44</v>
      </c>
      <c r="E12" s="23" t="n">
        <v>-2.843</v>
      </c>
      <c r="F12" s="23" t="n">
        <v>-5.026</v>
      </c>
      <c r="G12" s="23" t="n">
        <v>-5.031</v>
      </c>
      <c r="H12" s="23" t="n">
        <v>-1.537</v>
      </c>
      <c r="I12" s="23" t="n">
        <v>-6.363</v>
      </c>
      <c r="J12" s="23" t="n">
        <v>-13.343</v>
      </c>
      <c r="K12" s="23" t="n">
        <v>-17.549</v>
      </c>
      <c r="L12" s="23" t="n">
        <v>-8.374000000000001</v>
      </c>
      <c r="M12" s="23" t="n">
        <v>-6.17</v>
      </c>
      <c r="N12" s="23" t="n">
        <v>-7.186</v>
      </c>
    </row>
    <row r="13">
      <c r="A13" s="2" t="inlineStr">
        <is>
          <t>Earnings per Share</t>
        </is>
      </c>
      <c r="B13" s="11">
        <f>IFERROR(B12/B14,0)</f>
        <v>-0.7578125</v>
      </c>
      <c r="C13" s="11">
        <f>IFERROR(C12/C14,0)</f>
        <v>-16.855813953488372</v>
      </c>
      <c r="D13" s="11">
        <f>IFERROR(D12/D14,0)</f>
        <v>-6.677215189873417</v>
      </c>
      <c r="E13" s="11">
        <f>IFERROR(E12/E14,0)</f>
        <v>-2.1440422322775263</v>
      </c>
      <c r="F13" s="11">
        <f>IFERROR(F12/F14,0)</f>
        <v>-3.416723317471108</v>
      </c>
      <c r="G13" s="11">
        <f>IFERROR(G12/G14,0)</f>
        <v>-3.441176470588235</v>
      </c>
      <c r="H13" s="11">
        <f>IFERROR(H12/H14,0)</f>
        <v>-0.47438271604938265</v>
      </c>
      <c r="I13" s="11">
        <f>IFERROR(I12/I14,0)</f>
        <v>-0.739281979783897</v>
      </c>
      <c r="J13" s="11">
        <f>IFERROR(J12/J14,0)</f>
        <v>-1.104735883424408</v>
      </c>
      <c r="K13" s="11">
        <f>IFERROR(K12/K14,0)</f>
        <v>0</v>
      </c>
      <c r="L13" s="11">
        <f>IFERROR(L12/L14,0)</f>
        <v>-2.9289961525008748</v>
      </c>
      <c r="M13" s="11">
        <f>IFERROR(M12/M14,0)</f>
        <v>-1.92993431341883</v>
      </c>
      <c r="N13" s="11">
        <f>IFERROR(N12/N14,0)</f>
        <v>-1.2658094063766074</v>
      </c>
    </row>
    <row r="14">
      <c r="A14" s="2" t="inlineStr">
        <is>
          <t>Shares</t>
        </is>
      </c>
      <c r="B14" s="23" t="n">
        <v>7.296</v>
      </c>
      <c r="C14" s="23" t="n">
        <v>0.86</v>
      </c>
      <c r="D14" s="23" t="n">
        <v>1.264</v>
      </c>
      <c r="E14" s="23" t="n">
        <v>1.326</v>
      </c>
      <c r="F14" s="23" t="n">
        <v>1.471</v>
      </c>
      <c r="G14" s="23" t="n">
        <v>1.462</v>
      </c>
      <c r="H14" s="23" t="n">
        <v>3.24</v>
      </c>
      <c r="I14" s="23" t="n">
        <v>8.606999999999999</v>
      </c>
      <c r="J14" s="23" t="n">
        <v>12.078</v>
      </c>
      <c r="K14" s="23" t="n"/>
      <c r="L14" s="23" t="n">
        <v>2.859</v>
      </c>
      <c r="M14" s="23" t="n">
        <v>3.197</v>
      </c>
      <c r="N14" s="23" t="n">
        <v>5.677</v>
      </c>
    </row>
    <row r="15"/>
    <row r="16" customFormat="1" s="4">
      <c r="A16" s="3" t="inlineStr">
        <is>
          <t>Revenue Change</t>
        </is>
      </c>
      <c r="C16" s="15">
        <f>IFERROR(C2/B2-1,"")</f>
        <v>0.9055944055944058</v>
      </c>
      <c r="D16" s="15">
        <f>IFERROR(D2/C2-1,"")</f>
        <v>-0.31743119266055053</v>
      </c>
      <c r="E16" s="15">
        <f>IFERROR(E2/D2-1,"")</f>
        <v>1.0403225806451615</v>
      </c>
      <c r="F16" s="15">
        <f>IFERROR(F2/E2-1,"")</f>
        <v>0.6758893280632412</v>
      </c>
      <c r="G16" s="15">
        <f>IFERROR(G2/F2-1,"")</f>
        <v>-0.820754716981132</v>
      </c>
      <c r="H16" s="15">
        <f>IFERROR(H2/G2-1,"")</f>
        <v>-1.0</v>
      </c>
      <c r="I16" s="15">
        <f>IFERROR(I2/H2-1,"")</f>
        <v/>
      </c>
      <c r="J16" s="15">
        <f>IFERROR(J2/I2-1,"")</f>
        <v>-1.0</v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>-0.4895104895104896</v>
      </c>
      <c r="C17" s="15">
        <f>IFERROR(C4/C2,"")</f>
        <v>0.6642201834862386</v>
      </c>
      <c r="D17" s="15">
        <f>IFERROR(D4/D2,"")</f>
        <v>-0.7822580645161291</v>
      </c>
      <c r="E17" s="15">
        <f>IFERROR(E4/E2,"")</f>
        <v>0.23451910408432153</v>
      </c>
      <c r="F17" s="15">
        <f>IFERROR(F4/F2,"")</f>
        <v>0.3561320754716982</v>
      </c>
      <c r="G17" s="15">
        <f>IFERROR(G4/G2,"")</f>
        <v>-0.0964912280701754</v>
      </c>
      <c r="H17" s="15">
        <f>IFERROR(H4/H2,"")</f>
        <v/>
      </c>
      <c r="I17" s="15">
        <f>IFERROR(I4/I2,"")</f>
        <v>0.945288753799392</v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>-22.888111888111887</v>
      </c>
      <c r="C18" s="15">
        <f>IFERROR(C8/C2,"")</f>
        <v>-7.062385321100917</v>
      </c>
      <c r="D18" s="15">
        <f>IFERROR(D8/D2,"")</f>
        <v>-15.373655913978496</v>
      </c>
      <c r="E18" s="15">
        <f>IFERROR(E8/E2,"")</f>
        <v>-5.715415019762846</v>
      </c>
      <c r="F18" s="15">
        <f>IFERROR(F8/F2,"")</f>
        <v>-3.858490566037736</v>
      </c>
      <c r="G18" s="15">
        <f>IFERROR(G8/G2,"")</f>
        <v>-22.912280701754387</v>
      </c>
      <c r="H18" s="15">
        <f>IFERROR(H8/H2,"")</f>
        <v/>
      </c>
      <c r="I18" s="15">
        <f>IFERROR(I8/I2,"")</f>
        <v>-19.455927051671733</v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2026-10-21T01:06:25Z</dcterms:modified>
  <cp:lastModifiedBy>Wang, Eric</cp:lastModifiedBy>
</cp:coreProperties>
</file>