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Zura Bio Ltd</t>
        </is>
      </c>
      <c r="C2" s="10" t="n"/>
    </row>
    <row r="3">
      <c r="B3" t="inlineStr">
        <is>
          <t>Price</t>
        </is>
      </c>
      <c r="C3" s="11">
        <f>INDEX([1]Pharma!$F$1:$F$1000,MATCH("ZURA",[1]Pharma!$B$1:$B$1000,0))</f>
        <v>4</v>
      </c>
      <c r="F3" s="1" t="n"/>
    </row>
    <row r="4">
      <c r="B4" t="inlineStr">
        <is>
          <t>Shares</t>
        </is>
      </c>
      <c r="C4" s="21" t="n">
        <v>95.829137</v>
      </c>
      <c r="F4" s="1" t="n"/>
    </row>
    <row r="5">
      <c r="B5" t="inlineStr">
        <is>
          <t>Market Cap.</t>
        </is>
      </c>
      <c r="C5" s="13">
        <f>C3*C4</f>
        <v>383.316548</v>
      </c>
      <c r="F5" s="1" t="n"/>
    </row>
    <row r="6"/>
    <row r="7">
      <c r="B7" t="inlineStr">
        <is>
          <t>Cash</t>
        </is>
      </c>
      <c r="C7" s="21" t="n">
        <v>205.134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178.18254800000003</v>
      </c>
    </row>
    <row r="10"/>
    <row r="11">
      <c r="B11" s="14" t="inlineStr">
        <is>
          <t>Net Cash / Share</t>
        </is>
      </c>
      <c r="C11" s="11">
        <f>(C7-C8)/C4</f>
        <v>2.1406224288548064</v>
      </c>
    </row>
    <row r="12">
      <c r="B12" s="14" t="inlineStr">
        <is>
          <t>Upside</t>
        </is>
      </c>
      <c r="C12" s="15">
        <f>IFERROR(C11/C3-1,"")</f>
        <v>-0.4648443927862984</v>
      </c>
    </row>
    <row r="13">
      <c r="B13" s="14" t="inlineStr">
        <is>
          <t>Cash / Share</t>
        </is>
      </c>
      <c r="C13" s="11">
        <f>IFERROR((C7-C8)/C4,"")</f>
        <v>2.1406224288548064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-64.828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3.1642808662923425</v>
      </c>
    </row>
    <row r="19">
      <c r="B19" s="14" t="inlineStr">
        <is>
          <t>Implied Pipeline Value</t>
        </is>
      </c>
      <c r="C19" s="13">
        <f>C9</f>
        <v>178.18254800000003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43.999</v>
      </c>
      <c r="D5" s="23" t="n">
        <v>24.401</v>
      </c>
      <c r="E5" s="23" t="n">
        <v>42.082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2.675</v>
      </c>
      <c r="C6" s="23" t="n">
        <v>18.639</v>
      </c>
      <c r="D6" s="23" t="n">
        <v>30.788</v>
      </c>
      <c r="E6" s="23" t="n">
        <v>33.164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2.675</v>
      </c>
      <c r="C7" s="23">
        <f>SUM(C5:C6)</f>
        <v>62.638000000000005</v>
      </c>
      <c r="D7" s="23">
        <f>SUM(D5:D6)</f>
        <v>55.189</v>
      </c>
      <c r="E7" s="23">
        <f>SUM(E5:E6)</f>
        <v>75.24600000000001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-2.675</v>
      </c>
      <c r="C8" s="23">
        <f>C4-C7</f>
        <v>-62.638000000000005</v>
      </c>
      <c r="D8" s="23">
        <f>D4-D7</f>
        <v>-55.189</v>
      </c>
      <c r="E8" s="23">
        <f>E4-E7</f>
        <v>-75.24600000000001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-23.025</v>
      </c>
      <c r="C9" s="23" t="n">
        <v>2.278</v>
      </c>
      <c r="D9" s="23" t="n">
        <v>2.786</v>
      </c>
      <c r="E9" s="23" t="n">
        <v>6.596</v>
      </c>
    </row>
    <row r="10">
      <c r="A10" s="2" t="inlineStr">
        <is>
          <t>Pretax</t>
        </is>
      </c>
      <c r="B10" s="23">
        <f>B8+B9</f>
        <v>-25.7</v>
      </c>
      <c r="C10" s="23">
        <f>C8+C9</f>
        <v>-60.36000000000001</v>
      </c>
      <c r="D10" s="23">
        <f>D8+D9</f>
        <v>-52.403</v>
      </c>
      <c r="E10" s="23">
        <f>E8+E9</f>
        <v>-68.65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-25.7</v>
      </c>
      <c r="C12" s="23" t="n">
        <v>-60.36</v>
      </c>
      <c r="D12" s="23" t="n">
        <v>-52.403</v>
      </c>
      <c r="E12" s="23" t="n">
        <v>-68.65000000000001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-1.8255504476167432</v>
      </c>
      <c r="D13" s="11">
        <f>IFERROR(D12/D14,0)</f>
        <v>-0.6980458499287341</v>
      </c>
      <c r="E13" s="11">
        <f>IFERROR(E12/E14,0)</f>
        <v>-0.7290781648258284</v>
      </c>
    </row>
    <row r="14">
      <c r="A14" s="2" t="inlineStr">
        <is>
          <t>Shares</t>
        </is>
      </c>
      <c r="B14" s="23" t="n"/>
      <c r="C14" s="23" t="n">
        <v>33.064</v>
      </c>
      <c r="D14" s="23" t="n">
        <v>75.071</v>
      </c>
      <c r="E14" s="23" t="n">
        <v>94.16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2026-10-21T01:05:18Z</dcterms:modified>
  <cp:lastModifiedBy>Wang, Eric</cp:lastModifiedBy>
</cp:coreProperties>
</file>