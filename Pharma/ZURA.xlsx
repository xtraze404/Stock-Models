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Zura Bio Ltd</t>
        </is>
      </c>
      <c r="C2" s="10" t="n"/>
    </row>
    <row r="3">
      <c r="B3" t="inlineStr">
        <is>
          <t>Price</t>
        </is>
      </c>
      <c r="C3" s="11">
        <f>INDEX([1]Pharma!$F$1:$F$1000,MATCH("ZURA",[1]Pharma!$B$1:$B$1000,0))</f>
        <v>4</v>
      </c>
      <c r="F3" s="1" t="n"/>
    </row>
    <row r="4">
      <c r="B4" t="inlineStr">
        <is>
          <t>Shares</t>
        </is>
      </c>
      <c r="C4" s="21" t="n">
        <v>95.829137</v>
      </c>
      <c r="F4" s="1" t="n"/>
    </row>
    <row r="5">
      <c r="B5" t="inlineStr">
        <is>
          <t>Market Cap.</t>
        </is>
      </c>
      <c r="C5" s="13">
        <f>C3*C4</f>
        <v>383.316548</v>
      </c>
      <c r="F5" s="1" t="n"/>
    </row>
    <row r="6"/>
    <row r="7">
      <c r="B7" t="inlineStr">
        <is>
          <t>Cash</t>
        </is>
      </c>
      <c r="C7" s="21" t="n">
        <v>205.134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178.18254800000003</v>
      </c>
    </row>
    <row r="10"/>
    <row r="11">
      <c r="B11" s="14" t="inlineStr">
        <is>
          <t>rNPV / Share</t>
        </is>
      </c>
      <c r="C11" s="11">
        <f>NPV!B27</f>
        <v>3.9662655127509505</v>
      </c>
    </row>
    <row r="12">
      <c r="B12" s="14" t="inlineStr">
        <is>
          <t>Upside</t>
        </is>
      </c>
      <c r="C12" s="15">
        <f>IFERROR(C11/C3-1,"")</f>
        <v>-0.00843362181226237</v>
      </c>
    </row>
    <row r="13">
      <c r="B13" s="14" t="inlineStr">
        <is>
          <t>Cash / Share</t>
        </is>
      </c>
      <c r="C13" s="11">
        <f>IFERROR((C7-C8)/C4,"")</f>
        <v>2.1406224288548064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-64.828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3.1642808662923425</v>
      </c>
    </row>
    <row r="19">
      <c r="B19" s="14" t="inlineStr">
        <is>
          <t>Implied Pipeline Value</t>
        </is>
      </c>
      <c r="C19" s="13">
        <f>C9</f>
        <v>178.18254800000003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43.999</v>
      </c>
      <c r="D5" s="23" t="n">
        <v>24.401</v>
      </c>
      <c r="E5" s="23" t="n">
        <v>42.082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2.675</v>
      </c>
      <c r="C6" s="23" t="n">
        <v>18.639</v>
      </c>
      <c r="D6" s="23" t="n">
        <v>30.788</v>
      </c>
      <c r="E6" s="23" t="n">
        <v>33.164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2.675</v>
      </c>
      <c r="C7" s="23">
        <f>SUM(C5:C6)</f>
        <v>62.638000000000005</v>
      </c>
      <c r="D7" s="23">
        <f>SUM(D5:D6)</f>
        <v>55.189</v>
      </c>
      <c r="E7" s="23">
        <f>SUM(E5:E6)</f>
        <v>75.24600000000001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-2.675</v>
      </c>
      <c r="C8" s="23">
        <f>C4-C7</f>
        <v>-62.638000000000005</v>
      </c>
      <c r="D8" s="23">
        <f>D4-D7</f>
        <v>-55.189</v>
      </c>
      <c r="E8" s="23">
        <f>E4-E7</f>
        <v>-75.24600000000001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-23.025</v>
      </c>
      <c r="C9" s="23" t="n">
        <v>2.278</v>
      </c>
      <c r="D9" s="23" t="n">
        <v>2.786</v>
      </c>
      <c r="E9" s="23" t="n">
        <v>6.596</v>
      </c>
    </row>
    <row r="10">
      <c r="A10" s="2" t="inlineStr">
        <is>
          <t>Pretax</t>
        </is>
      </c>
      <c r="B10" s="23">
        <f>B8+B9</f>
        <v>-25.7</v>
      </c>
      <c r="C10" s="23">
        <f>C8+C9</f>
        <v>-60.36000000000001</v>
      </c>
      <c r="D10" s="23">
        <f>D8+D9</f>
        <v>-52.403</v>
      </c>
      <c r="E10" s="23">
        <f>E8+E9</f>
        <v>-68.65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-25.7</v>
      </c>
      <c r="C12" s="23" t="n">
        <v>-60.36</v>
      </c>
      <c r="D12" s="23" t="n">
        <v>-52.403</v>
      </c>
      <c r="E12" s="23" t="n">
        <v>-68.65000000000001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-1.8255504476167432</v>
      </c>
      <c r="D13" s="11">
        <f>IFERROR(D12/D14,0)</f>
        <v>-0.6980458499287341</v>
      </c>
      <c r="E13" s="11">
        <f>IFERROR(E12/E14,0)</f>
        <v>-0.7290781648258284</v>
      </c>
    </row>
    <row r="14">
      <c r="A14" s="2" t="inlineStr">
        <is>
          <t>Shares</t>
        </is>
      </c>
      <c r="B14" s="23" t="n"/>
      <c r="C14" s="23" t="n">
        <v>33.064</v>
      </c>
      <c r="D14" s="23" t="n">
        <v>75.071</v>
      </c>
      <c r="E14" s="23" t="n">
        <v>94.16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Zura Bio Ltd: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0.39636991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92.75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207.1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174.94980119978607</v>
      </c>
      <c r="C29" s="42">
        <f>NPV!B25</f>
        <v>380.0838011997861</v>
      </c>
      <c r="D29" s="43">
        <f>NPV!B27</f>
        <v>3.9662655127509505</v>
      </c>
      <c r="E29" s="44">
        <f>NPV!B29</f>
        <v>-0.00843362181226237</v>
      </c>
    </row>
    <row r="30">
      <c r="A30" s="45" t="n">
        <v>1</v>
      </c>
      <c r="B30" s="46">
        <f t="dataTable" ref="B30:E32" r1="B4"/>
        <v>-87.16447695295425</v>
      </c>
      <c r="C30" s="46">
        <v>117.96952304704574</v>
      </c>
      <c r="D30" s="47">
        <v>1.2310402320230196</v>
      </c>
      <c r="E30" s="48">
        <v>-0.6922399419942451</v>
      </c>
    </row>
    <row r="31">
      <c r="A31" s="45" t="n">
        <v>2</v>
      </c>
      <c r="B31" s="46">
        <v>174.94980119978607</v>
      </c>
      <c r="C31" s="46">
        <v>380.0838011997861</v>
      </c>
      <c r="D31" s="47">
        <v>3.9662655127509505</v>
      </c>
      <c r="E31" s="48">
        <v>-0.00843362181226237</v>
      </c>
    </row>
    <row r="32">
      <c r="A32" s="45" t="n">
        <v>3</v>
      </c>
      <c r="B32" s="46">
        <v>595.5023813356788</v>
      </c>
      <c r="C32" s="46">
        <v>800.6363813356788</v>
      </c>
      <c r="D32" s="47">
        <v>8.354832427799895</v>
      </c>
      <c r="E32" s="48">
        <v>1.0887081069499738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3.9662655127509505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0.7297773071582849</v>
      </c>
      <c r="C37" s="47">
        <v>1.504507142256795</v>
      </c>
      <c r="D37" s="47">
        <v>2.238833401973199</v>
      </c>
      <c r="E37" s="47">
        <v>3.670460257811986</v>
      </c>
      <c r="F37" s="47">
        <v>5.081145783184107</v>
      </c>
    </row>
    <row r="38">
      <c r="A38" s="50" t="n">
        <v>0.8</v>
      </c>
      <c r="B38" s="47">
        <v>1.1572764934292528</v>
      </c>
      <c r="C38" s="47">
        <v>2.1450892286246215</v>
      </c>
      <c r="D38" s="47">
        <v>3.10495112742867</v>
      </c>
      <c r="E38" s="47">
        <v>4.990780337380736</v>
      </c>
      <c r="F38" s="47">
        <v>6.859671353046447</v>
      </c>
    </row>
    <row r="39">
      <c r="A39" s="50" t="n">
        <v>1</v>
      </c>
      <c r="B39" s="47">
        <v>1.5664319029215665</v>
      </c>
      <c r="C39" s="47">
        <v>2.778960109253499</v>
      </c>
      <c r="D39" s="47">
        <v>3.9662655127509505</v>
      </c>
      <c r="E39" s="47">
        <v>6.309666124893426</v>
      </c>
      <c r="F39" s="47">
        <v>8.636233593859092</v>
      </c>
    </row>
    <row r="40">
      <c r="A40" s="50" t="n">
        <v>1.2</v>
      </c>
      <c r="B40" s="47">
        <v>1.9721147733655253</v>
      </c>
      <c r="C40" s="47">
        <v>3.4101980848911886</v>
      </c>
      <c r="D40" s="47">
        <v>4.824040227529195</v>
      </c>
      <c r="E40" s="47">
        <v>7.625523498781701</v>
      </c>
      <c r="F40" s="47">
        <v>10.413531214579368</v>
      </c>
    </row>
    <row r="41">
      <c r="A41" s="50" t="n">
        <v>1.4</v>
      </c>
      <c r="B41" s="47">
        <v>2.3777763629580977</v>
      </c>
      <c r="C41" s="47">
        <v>4.043937061996385</v>
      </c>
      <c r="D41" s="47">
        <v>5.685938771123335</v>
      </c>
      <c r="E41" s="47">
        <v>8.945989499538733</v>
      </c>
      <c r="F41" s="47">
        <v>12.18935308783042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Zura Bio Ltd: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Hidradenitis / alopecia / vitiligo</t>
        </is>
      </c>
      <c r="C4" s="14" t="inlineStr">
        <is>
          <t>Tibulizumab Dose A, Tibulizumab Dose B</t>
        </is>
      </c>
      <c r="D4" s="14" t="inlineStr">
        <is>
          <t>Phase 2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1500</v>
      </c>
      <c r="H4" s="27" t="n">
        <v>0.1929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328.71403812758155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28.935</v>
      </c>
      <c r="S4" s="23">
        <f>IF(S$3&lt;$I4,0,$G4*Assumptions!$E$11*INDEX(Assumptions!$B$24:$G$24,MIN(6,S$3-$I4+1))*IF(S$3&gt;$J4,(1-Assumptions!$B$26)^(S$3-$J4),1)*IF($H4&gt;=1,1,MIN(0.97,$H4*Assumptions!$E$12)))</f>
        <v>72.33749999999999</v>
      </c>
      <c r="T4" s="23">
        <f>IF(T$3&lt;$I4,0,$G4*Assumptions!$E$11*INDEX(Assumptions!$B$24:$G$24,MIN(6,T$3-$I4+1))*IF(T$3&gt;$J4,(1-Assumptions!$B$26)^(T$3-$J4),1)*IF($H4&gt;=1,1,MIN(0.97,$H4*Assumptions!$E$12)))</f>
        <v>130.20749999999998</v>
      </c>
      <c r="U4" s="23">
        <f>IF(U$3&lt;$I4,0,$G4*Assumptions!$E$11*INDEX(Assumptions!$B$24:$G$24,MIN(6,U$3-$I4+1))*IF(U$3&gt;$J4,(1-Assumptions!$B$26)^(U$3-$J4),1)*IF($H4&gt;=1,1,MIN(0.97,$H4*Assumptions!$E$12)))</f>
        <v>188.0775</v>
      </c>
      <c r="V4" s="23">
        <f>IF(V$3&lt;$I4,0,$G4*Assumptions!$E$11*INDEX(Assumptions!$B$24:$G$24,MIN(6,V$3-$I4+1))*IF(V$3&gt;$J4,(1-Assumptions!$B$26)^(V$3-$J4),1)*IF($H4&gt;=1,1,MIN(0.97,$H4*Assumptions!$E$12)))</f>
        <v>245.9475</v>
      </c>
      <c r="W4" s="23">
        <f>IF(W$3&lt;$I4,0,$G4*Assumptions!$E$11*INDEX(Assumptions!$B$24:$G$24,MIN(6,W$3-$I4+1))*IF(W$3&gt;$J4,(1-Assumptions!$B$26)^(W$3-$J4),1)*IF($H4&gt;=1,1,MIN(0.97,$H4*Assumptions!$E$12)))</f>
        <v>289.34999999999997</v>
      </c>
      <c r="X4" s="23">
        <f>IF(X$3&lt;$I4,0,$G4*Assumptions!$E$11*INDEX(Assumptions!$B$24:$G$24,MIN(6,X$3-$I4+1))*IF(X$3&gt;$J4,(1-Assumptions!$B$26)^(X$3-$J4),1)*IF($H4&gt;=1,1,MIN(0.97,$H4*Assumptions!$E$12)))</f>
        <v>289.34999999999997</v>
      </c>
      <c r="Y4" s="23">
        <f>IF(Y$3&lt;$I4,0,$G4*Assumptions!$E$11*INDEX(Assumptions!$B$24:$G$24,MIN(6,Y$3-$I4+1))*IF(Y$3&gt;$J4,(1-Assumptions!$B$26)^(Y$3-$J4),1)*IF($H4&gt;=1,1,MIN(0.97,$H4*Assumptions!$E$12)))</f>
        <v>289.34999999999997</v>
      </c>
      <c r="Z4" s="23">
        <f>IF(Z$3&lt;$I4,0,$G4*Assumptions!$E$11*INDEX(Assumptions!$B$24:$G$24,MIN(6,Z$3-$I4+1))*IF(Z$3&gt;$J4,(1-Assumptions!$B$26)^(Z$3-$J4),1)*IF($H4&gt;=1,1,MIN(0.97,$H4*Assumptions!$E$12)))</f>
        <v>289.34999999999997</v>
      </c>
      <c r="AA4" s="23">
        <f>IF(AA$3&lt;$I4,0,$G4*Assumptions!$E$11*INDEX(Assumptions!$B$24:$G$24,MIN(6,AA$3-$I4+1))*IF(AA$3&gt;$J4,(1-Assumptions!$B$26)^(AA$3-$J4),1)*IF($H4&gt;=1,1,MIN(0.97,$H4*Assumptions!$E$12)))</f>
        <v>289.34999999999997</v>
      </c>
      <c r="AB4" s="23">
        <f>IF(AB$3&lt;$I4,0,$G4*Assumptions!$E$11*INDEX(Assumptions!$B$24:$G$24,MIN(6,AB$3-$I4+1))*IF(AB$3&gt;$J4,(1-Assumptions!$B$26)^(AB$3-$J4),1)*IF($H4&gt;=1,1,MIN(0.97,$H4*Assumptions!$E$12)))</f>
        <v>289.34999999999997</v>
      </c>
      <c r="AC4" s="23">
        <f>IF(AC$3&lt;$I4,0,$G4*Assumptions!$E$11*INDEX(Assumptions!$B$24:$G$24,MIN(6,AC$3-$I4+1))*IF(AC$3&gt;$J4,(1-Assumptions!$B$26)^(AC$3-$J4),1)*IF($H4&gt;=1,1,MIN(0.97,$H4*Assumptions!$E$12)))</f>
        <v>289.34999999999997</v>
      </c>
      <c r="AD4" s="23">
        <f>IF(AD$3&lt;$I4,0,$G4*Assumptions!$E$11*INDEX(Assumptions!$B$24:$G$24,MIN(6,AD$3-$I4+1))*IF(AD$3&gt;$J4,(1-Assumptions!$B$26)^(AD$3-$J4),1)*IF($H4&gt;=1,1,MIN(0.97,$H4*Assumptions!$E$12)))</f>
        <v>289.34999999999997</v>
      </c>
      <c r="AE4" s="23">
        <f>IF(AE$3&lt;$I4,0,$G4*Assumptions!$E$11*INDEX(Assumptions!$B$24:$G$24,MIN(6,AE$3-$I4+1))*IF(AE$3&gt;$J4,(1-Assumptions!$B$26)^(AE$3-$J4),1)*IF($H4&gt;=1,1,MIN(0.97,$H4*Assumptions!$E$12)))</f>
        <v>144.67499999999998</v>
      </c>
      <c r="AF4" s="23">
        <f>IF(AF$3&lt;$I4,0,$G4*Assumptions!$E$11*INDEX(Assumptions!$B$24:$G$24,MIN(6,AF$3-$I4+1))*IF(AF$3&gt;$J4,(1-Assumptions!$B$26)^(AF$3-$J4),1)*IF($H4&gt;=1,1,MIN(0.97,$H4*Assumptions!$E$12)))</f>
        <v>72.33749999999999</v>
      </c>
      <c r="AG4" s="35">
        <f>IF(F4="Owned",1-IF(H4&gt;=1,1,MIN(0.97,H4*Assumptions!$E$12)),1)</f>
        <v>0.8071</v>
      </c>
    </row>
    <row r="5">
      <c r="A5" s="39" t="n">
        <v>2</v>
      </c>
      <c r="B5" s="14" t="inlineStr">
        <is>
          <t>Rare autoimmune</t>
        </is>
      </c>
      <c r="C5" s="14" t="inlineStr">
        <is>
          <t>Tibulizumab</t>
        </is>
      </c>
      <c r="D5" s="14" t="inlineStr">
        <is>
          <t>Phase 2</t>
        </is>
      </c>
      <c r="E5" s="14" t="inlineStr">
        <is>
          <t>Autoimmune / rare</t>
        </is>
      </c>
      <c r="F5" s="14" t="inlineStr">
        <is>
          <t>Owned</t>
        </is>
      </c>
      <c r="G5" s="40" t="n">
        <v>800</v>
      </c>
      <c r="H5" s="27" t="n">
        <v>0.2521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229.11714950603306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20.168</v>
      </c>
      <c r="S5" s="23">
        <f>IF(S$3&lt;$I5,0,$G5*Assumptions!$E$11*INDEX(Assumptions!$B$24:$G$24,MIN(6,S$3-$I5+1))*IF(S$3&gt;$J5,(1-Assumptions!$B$26)^(S$3-$J5),1)*IF($H5&gt;=1,1,MIN(0.97,$H5*Assumptions!$E$12)))</f>
        <v>50.42</v>
      </c>
      <c r="T5" s="23">
        <f>IF(T$3&lt;$I5,0,$G5*Assumptions!$E$11*INDEX(Assumptions!$B$24:$G$24,MIN(6,T$3-$I5+1))*IF(T$3&gt;$J5,(1-Assumptions!$B$26)^(T$3-$J5),1)*IF($H5&gt;=1,1,MIN(0.97,$H5*Assumptions!$E$12)))</f>
        <v>90.756</v>
      </c>
      <c r="U5" s="23">
        <f>IF(U$3&lt;$I5,0,$G5*Assumptions!$E$11*INDEX(Assumptions!$B$24:$G$24,MIN(6,U$3-$I5+1))*IF(U$3&gt;$J5,(1-Assumptions!$B$26)^(U$3-$J5),1)*IF($H5&gt;=1,1,MIN(0.97,$H5*Assumptions!$E$12)))</f>
        <v>131.09199999999998</v>
      </c>
      <c r="V5" s="23">
        <f>IF(V$3&lt;$I5,0,$G5*Assumptions!$E$11*INDEX(Assumptions!$B$24:$G$24,MIN(6,V$3-$I5+1))*IF(V$3&gt;$J5,(1-Assumptions!$B$26)^(V$3-$J5),1)*IF($H5&gt;=1,1,MIN(0.97,$H5*Assumptions!$E$12)))</f>
        <v>171.428</v>
      </c>
      <c r="W5" s="23">
        <f>IF(W$3&lt;$I5,0,$G5*Assumptions!$E$11*INDEX(Assumptions!$B$24:$G$24,MIN(6,W$3-$I5+1))*IF(W$3&gt;$J5,(1-Assumptions!$B$26)^(W$3-$J5),1)*IF($H5&gt;=1,1,MIN(0.97,$H5*Assumptions!$E$12)))</f>
        <v>201.68</v>
      </c>
      <c r="X5" s="23">
        <f>IF(X$3&lt;$I5,0,$G5*Assumptions!$E$11*INDEX(Assumptions!$B$24:$G$24,MIN(6,X$3-$I5+1))*IF(X$3&gt;$J5,(1-Assumptions!$B$26)^(X$3-$J5),1)*IF($H5&gt;=1,1,MIN(0.97,$H5*Assumptions!$E$12)))</f>
        <v>201.68</v>
      </c>
      <c r="Y5" s="23">
        <f>IF(Y$3&lt;$I5,0,$G5*Assumptions!$E$11*INDEX(Assumptions!$B$24:$G$24,MIN(6,Y$3-$I5+1))*IF(Y$3&gt;$J5,(1-Assumptions!$B$26)^(Y$3-$J5),1)*IF($H5&gt;=1,1,MIN(0.97,$H5*Assumptions!$E$12)))</f>
        <v>201.68</v>
      </c>
      <c r="Z5" s="23">
        <f>IF(Z$3&lt;$I5,0,$G5*Assumptions!$E$11*INDEX(Assumptions!$B$24:$G$24,MIN(6,Z$3-$I5+1))*IF(Z$3&gt;$J5,(1-Assumptions!$B$26)^(Z$3-$J5),1)*IF($H5&gt;=1,1,MIN(0.97,$H5*Assumptions!$E$12)))</f>
        <v>201.68</v>
      </c>
      <c r="AA5" s="23">
        <f>IF(AA$3&lt;$I5,0,$G5*Assumptions!$E$11*INDEX(Assumptions!$B$24:$G$24,MIN(6,AA$3-$I5+1))*IF(AA$3&gt;$J5,(1-Assumptions!$B$26)^(AA$3-$J5),1)*IF($H5&gt;=1,1,MIN(0.97,$H5*Assumptions!$E$12)))</f>
        <v>201.68</v>
      </c>
      <c r="AB5" s="23">
        <f>IF(AB$3&lt;$I5,0,$G5*Assumptions!$E$11*INDEX(Assumptions!$B$24:$G$24,MIN(6,AB$3-$I5+1))*IF(AB$3&gt;$J5,(1-Assumptions!$B$26)^(AB$3-$J5),1)*IF($H5&gt;=1,1,MIN(0.97,$H5*Assumptions!$E$12)))</f>
        <v>201.68</v>
      </c>
      <c r="AC5" s="23">
        <f>IF(AC$3&lt;$I5,0,$G5*Assumptions!$E$11*INDEX(Assumptions!$B$24:$G$24,MIN(6,AC$3-$I5+1))*IF(AC$3&gt;$J5,(1-Assumptions!$B$26)^(AC$3-$J5),1)*IF($H5&gt;=1,1,MIN(0.97,$H5*Assumptions!$E$12)))</f>
        <v>201.68</v>
      </c>
      <c r="AD5" s="23">
        <f>IF(AD$3&lt;$I5,0,$G5*Assumptions!$E$11*INDEX(Assumptions!$B$24:$G$24,MIN(6,AD$3-$I5+1))*IF(AD$3&gt;$J5,(1-Assumptions!$B$26)^(AD$3-$J5),1)*IF($H5&gt;=1,1,MIN(0.97,$H5*Assumptions!$E$12)))</f>
        <v>201.68</v>
      </c>
      <c r="AE5" s="23">
        <f>IF(AE$3&lt;$I5,0,$G5*Assumptions!$E$11*INDEX(Assumptions!$B$24:$G$24,MIN(6,AE$3-$I5+1))*IF(AE$3&gt;$J5,(1-Assumptions!$B$26)^(AE$3-$J5),1)*IF($H5&gt;=1,1,MIN(0.97,$H5*Assumptions!$E$12)))</f>
        <v>100.84</v>
      </c>
      <c r="AF5" s="23">
        <f>IF(AF$3&lt;$I5,0,$G5*Assumptions!$E$11*INDEX(Assumptions!$B$24:$G$24,MIN(6,AF$3-$I5+1))*IF(AF$3&gt;$J5,(1-Assumptions!$B$26)^(AF$3-$J5),1)*IF($H5&gt;=1,1,MIN(0.97,$H5*Assumptions!$E$12)))</f>
        <v>50.42</v>
      </c>
      <c r="AG5" s="35">
        <f>IF(F5="Owned",1-IF(H5&gt;=1,1,MIN(0.97,H5*Assumptions!$E$12)),1)</f>
        <v>0.7479</v>
      </c>
    </row>
    <row r="6">
      <c r="B6" s="24" t="inlineStr">
        <is>
          <t>Risked revenue</t>
        </is>
      </c>
      <c r="L6" s="54">
        <f>SUM(L4:L5)</f>
        <v>557.8311876336146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49.102999999999994</v>
      </c>
      <c r="S6" s="54">
        <f>SUM(S4:S5)</f>
        <v>122.7575</v>
      </c>
      <c r="T6" s="54">
        <f>SUM(T4:T5)</f>
        <v>220.96349999999998</v>
      </c>
      <c r="U6" s="54">
        <f>SUM(U4:U5)</f>
        <v>319.16949999999997</v>
      </c>
      <c r="V6" s="54">
        <f>SUM(V4:V5)</f>
        <v>417.3755</v>
      </c>
      <c r="W6" s="54">
        <f>SUM(W4:W5)</f>
        <v>491.03</v>
      </c>
      <c r="X6" s="54">
        <f>SUM(X4:X5)</f>
        <v>491.03</v>
      </c>
      <c r="Y6" s="54">
        <f>SUM(Y4:Y5)</f>
        <v>491.03</v>
      </c>
      <c r="Z6" s="54">
        <f>SUM(Z4:Z5)</f>
        <v>491.03</v>
      </c>
      <c r="AA6" s="54">
        <f>SUM(AA4:AA5)</f>
        <v>491.03</v>
      </c>
      <c r="AB6" s="54">
        <f>SUM(AB4:AB5)</f>
        <v>491.03</v>
      </c>
      <c r="AC6" s="54">
        <f>SUM(AC4:AC5)</f>
        <v>491.03</v>
      </c>
      <c r="AD6" s="54">
        <f>SUM(AD4:AD5)</f>
        <v>491.03</v>
      </c>
      <c r="AE6" s="54">
        <f>SUM(AE4:AE5)</f>
        <v>245.515</v>
      </c>
      <c r="AF6" s="54">
        <f>SUM(AF4:AF5)</f>
        <v>122.7575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19.641199999999998</v>
      </c>
      <c r="S7" s="55">
        <f>SUMPRODUCT(S4:S5,$K$4:$K$5)</f>
        <v>49.103</v>
      </c>
      <c r="T7" s="55">
        <f>SUMPRODUCT(T4:T5,$K$4:$K$5)</f>
        <v>88.3854</v>
      </c>
      <c r="U7" s="55">
        <f>SUMPRODUCT(U4:U5,$K$4:$K$5)</f>
        <v>127.6678</v>
      </c>
      <c r="V7" s="55">
        <f>SUMPRODUCT(V4:V5,$K$4:$K$5)</f>
        <v>166.9502</v>
      </c>
      <c r="W7" s="55">
        <f>SUMPRODUCT(W4:W5,$K$4:$K$5)</f>
        <v>196.412</v>
      </c>
      <c r="X7" s="55">
        <f>SUMPRODUCT(X4:X5,$K$4:$K$5)</f>
        <v>196.412</v>
      </c>
      <c r="Y7" s="55">
        <f>SUMPRODUCT(Y4:Y5,$K$4:$K$5)</f>
        <v>196.412</v>
      </c>
      <c r="Z7" s="55">
        <f>SUMPRODUCT(Z4:Z5,$K$4:$K$5)</f>
        <v>196.412</v>
      </c>
      <c r="AA7" s="55">
        <f>SUMPRODUCT(AA4:AA5,$K$4:$K$5)</f>
        <v>196.412</v>
      </c>
      <c r="AB7" s="55">
        <f>SUMPRODUCT(AB4:AB5,$K$4:$K$5)</f>
        <v>196.412</v>
      </c>
      <c r="AC7" s="55">
        <f>SUMPRODUCT(AC4:AC5,$K$4:$K$5)</f>
        <v>196.412</v>
      </c>
      <c r="AD7" s="55">
        <f>SUMPRODUCT(AD4:AD5,$K$4:$K$5)</f>
        <v>196.412</v>
      </c>
      <c r="AE7" s="55">
        <f>SUMPRODUCT(AE4:AE5,$K$4:$K$5)</f>
        <v>98.206</v>
      </c>
      <c r="AF7" s="55">
        <f>SUMPRODUCT(AF4:AF5,$K$4:$K$5)</f>
        <v>49.103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Zura Bio Ltd: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49.102999999999994</v>
      </c>
      <c r="I4" s="57">
        <f>Pipeline!S6</f>
        <v>122.7575</v>
      </c>
      <c r="J4" s="57">
        <f>Pipeline!T6</f>
        <v>220.96349999999998</v>
      </c>
      <c r="K4" s="57">
        <f>Pipeline!U6</f>
        <v>319.16949999999997</v>
      </c>
      <c r="L4" s="57">
        <f>Pipeline!V6</f>
        <v>417.3755</v>
      </c>
      <c r="M4" s="57">
        <f>Pipeline!W6</f>
        <v>491.03</v>
      </c>
      <c r="N4" s="57">
        <f>Pipeline!X6</f>
        <v>491.03</v>
      </c>
      <c r="O4" s="57">
        <f>Pipeline!Y6</f>
        <v>491.03</v>
      </c>
      <c r="P4" s="57">
        <f>Pipeline!Z6</f>
        <v>491.03</v>
      </c>
      <c r="Q4" s="57">
        <f>Pipeline!AA6</f>
        <v>491.03</v>
      </c>
      <c r="R4" s="57">
        <f>Pipeline!AB6</f>
        <v>491.03</v>
      </c>
      <c r="S4" s="57">
        <f>Pipeline!AC6</f>
        <v>491.03</v>
      </c>
      <c r="T4" s="57">
        <f>Pipeline!AD6</f>
        <v>491.03</v>
      </c>
      <c r="U4" s="57">
        <f>Pipeline!AE6</f>
        <v>245.515</v>
      </c>
      <c r="V4" s="57">
        <f>Pipeline!AF6</f>
        <v>122.7575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19.641199999999998</v>
      </c>
      <c r="I5" s="57">
        <f>Pipeline!S7</f>
        <v>49.103</v>
      </c>
      <c r="J5" s="57">
        <f>Pipeline!T7</f>
        <v>88.3854</v>
      </c>
      <c r="K5" s="57">
        <f>Pipeline!U7</f>
        <v>127.6678</v>
      </c>
      <c r="L5" s="57">
        <f>Pipeline!V7</f>
        <v>166.9502</v>
      </c>
      <c r="M5" s="57">
        <f>Pipeline!W7</f>
        <v>196.412</v>
      </c>
      <c r="N5" s="57">
        <f>Pipeline!X7</f>
        <v>196.412</v>
      </c>
      <c r="O5" s="57">
        <f>Pipeline!Y7</f>
        <v>196.412</v>
      </c>
      <c r="P5" s="57">
        <f>Pipeline!Z7</f>
        <v>196.412</v>
      </c>
      <c r="Q5" s="57">
        <f>Pipeline!AA7</f>
        <v>196.412</v>
      </c>
      <c r="R5" s="57">
        <f>Pipeline!AB7</f>
        <v>196.412</v>
      </c>
      <c r="S5" s="57">
        <f>Pipeline!AC7</f>
        <v>196.412</v>
      </c>
      <c r="T5" s="57">
        <f>Pipeline!AD7</f>
        <v>196.412</v>
      </c>
      <c r="U5" s="57">
        <f>Pipeline!AE7</f>
        <v>98.206</v>
      </c>
      <c r="V5" s="57">
        <f>Pipeline!AF7</f>
        <v>49.103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-92.75</v>
      </c>
      <c r="D6" s="23">
        <f>-IF(D3-2026&lt;Assumptions!$B$19,Assumptions!$B$18,Assumptions!$B$18*Assumptions!$B$20*Assumptions!$B$16)</f>
        <v>-92.75</v>
      </c>
      <c r="E6" s="23">
        <f>-IF(E3-2026&lt;Assumptions!$B$19,Assumptions!$B$18,Assumptions!$B$18*Assumptions!$B$20*Assumptions!$B$16)</f>
        <v>-92.75</v>
      </c>
      <c r="F6" s="23">
        <f>-IF(F3-2026&lt;Assumptions!$B$19,Assumptions!$B$18,Assumptions!$B$18*Assumptions!$B$20*Assumptions!$B$16)</f>
        <v>-92.75</v>
      </c>
      <c r="G6" s="23">
        <f>-IF(G3-2026&lt;Assumptions!$B$19,Assumptions!$B$18,Assumptions!$B$18*Assumptions!$B$20*Assumptions!$B$16)</f>
        <v>-11.02899274575</v>
      </c>
      <c r="H6" s="23">
        <f>-IF(H3-2026&lt;Assumptions!$B$19,Assumptions!$B$18,Assumptions!$B$18*Assumptions!$B$20*Assumptions!$B$16)</f>
        <v>-11.02899274575</v>
      </c>
      <c r="I6" s="23">
        <f>-IF(I3-2026&lt;Assumptions!$B$19,Assumptions!$B$18,Assumptions!$B$18*Assumptions!$B$20*Assumptions!$B$16)</f>
        <v>-11.02899274575</v>
      </c>
      <c r="J6" s="23">
        <f>-IF(J3-2026&lt;Assumptions!$B$19,Assumptions!$B$18,Assumptions!$B$18*Assumptions!$B$20*Assumptions!$B$16)</f>
        <v>-11.02899274575</v>
      </c>
      <c r="K6" s="23">
        <f>-IF(K3-2026&lt;Assumptions!$B$19,Assumptions!$B$18,Assumptions!$B$18*Assumptions!$B$20*Assumptions!$B$16)</f>
        <v>-11.02899274575</v>
      </c>
      <c r="L6" s="23">
        <f>-IF(L3-2026&lt;Assumptions!$B$19,Assumptions!$B$18,Assumptions!$B$18*Assumptions!$B$20*Assumptions!$B$16)</f>
        <v>-11.02899274575</v>
      </c>
      <c r="M6" s="23">
        <f>-IF(M3-2026&lt;Assumptions!$B$19,Assumptions!$B$18,Assumptions!$B$18*Assumptions!$B$20*Assumptions!$B$16)</f>
        <v>-11.02899274575</v>
      </c>
      <c r="N6" s="23">
        <f>-IF(N3-2026&lt;Assumptions!$B$19,Assumptions!$B$18,Assumptions!$B$18*Assumptions!$B$20*Assumptions!$B$16)</f>
        <v>-11.02899274575</v>
      </c>
      <c r="O6" s="23">
        <f>-IF(O3-2026&lt;Assumptions!$B$19,Assumptions!$B$18,Assumptions!$B$18*Assumptions!$B$20*Assumptions!$B$16)</f>
        <v>-11.02899274575</v>
      </c>
      <c r="P6" s="23">
        <f>-IF(P3-2026&lt;Assumptions!$B$19,Assumptions!$B$18,Assumptions!$B$18*Assumptions!$B$20*Assumptions!$B$16)</f>
        <v>-11.02899274575</v>
      </c>
      <c r="Q6" s="23">
        <f>-IF(Q3-2026&lt;Assumptions!$B$19,Assumptions!$B$18,Assumptions!$B$18*Assumptions!$B$20*Assumptions!$B$16)</f>
        <v>-11.02899274575</v>
      </c>
      <c r="R6" s="23">
        <f>-IF(R3-2026&lt;Assumptions!$B$19,Assumptions!$B$18,Assumptions!$B$18*Assumptions!$B$20*Assumptions!$B$16)</f>
        <v>-11.02899274575</v>
      </c>
      <c r="S6" s="23">
        <f>-IF(S3-2026&lt;Assumptions!$B$19,Assumptions!$B$18,Assumptions!$B$18*Assumptions!$B$20*Assumptions!$B$16)</f>
        <v>-11.02899274575</v>
      </c>
      <c r="T6" s="23">
        <f>-IF(T3-2026&lt;Assumptions!$B$19,Assumptions!$B$18,Assumptions!$B$18*Assumptions!$B$20*Assumptions!$B$16)</f>
        <v>-11.02899274575</v>
      </c>
      <c r="U6" s="23">
        <f>-IF(U3-2026&lt;Assumptions!$B$19,Assumptions!$B$18,Assumptions!$B$18*Assumptions!$B$20*Assumptions!$B$16)</f>
        <v>-11.02899274575</v>
      </c>
      <c r="V6" s="23">
        <f>-IF(V3-2026&lt;Assumptions!$B$19,Assumptions!$B$18,Assumptions!$B$18*Assumptions!$B$20*Assumptions!$B$16)</f>
        <v>-11.02899274575</v>
      </c>
    </row>
    <row r="7">
      <c r="A7" s="14" t="inlineStr">
        <is>
          <t>Pre-tax cash flow</t>
        </is>
      </c>
      <c r="C7" s="23">
        <f>C5+C6</f>
        <v>-92.75</v>
      </c>
      <c r="D7" s="23">
        <f>D5+D6</f>
        <v>-92.75</v>
      </c>
      <c r="E7" s="23">
        <f>E5+E6</f>
        <v>-92.75</v>
      </c>
      <c r="F7" s="23">
        <f>F5+F6</f>
        <v>-92.75</v>
      </c>
      <c r="G7" s="23">
        <f>G5+G6</f>
        <v>-11.02899274575</v>
      </c>
      <c r="H7" s="23">
        <f>H5+H6</f>
        <v>8.612207254249999</v>
      </c>
      <c r="I7" s="23">
        <f>I5+I6</f>
        <v>38.074007254250006</v>
      </c>
      <c r="J7" s="23">
        <f>J5+J6</f>
        <v>77.35640725425</v>
      </c>
      <c r="K7" s="23">
        <f>K5+K6</f>
        <v>116.63880725425</v>
      </c>
      <c r="L7" s="23">
        <f>L5+L6</f>
        <v>155.92120725425</v>
      </c>
      <c r="M7" s="23">
        <f>M5+M6</f>
        <v>185.38300725425</v>
      </c>
      <c r="N7" s="23">
        <f>N5+N6</f>
        <v>185.38300725425</v>
      </c>
      <c r="O7" s="23">
        <f>O5+O6</f>
        <v>185.38300725425</v>
      </c>
      <c r="P7" s="23">
        <f>P5+P6</f>
        <v>185.38300725425</v>
      </c>
      <c r="Q7" s="23">
        <f>Q5+Q6</f>
        <v>185.38300725425</v>
      </c>
      <c r="R7" s="23">
        <f>R5+R6</f>
        <v>185.38300725425</v>
      </c>
      <c r="S7" s="23">
        <f>S5+S6</f>
        <v>185.38300725425</v>
      </c>
      <c r="T7" s="23">
        <f>T5+T6</f>
        <v>185.38300725425</v>
      </c>
      <c r="U7" s="23">
        <f>U5+U6</f>
        <v>87.17700725425</v>
      </c>
      <c r="V7" s="23">
        <f>V5+V6</f>
        <v>38.074007254250006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8.612207254249999</v>
      </c>
      <c r="I8" s="23">
        <f>MIN(H17,MAX(0,I7))</f>
        <v>38.074007254250006</v>
      </c>
      <c r="J8" s="23">
        <f>MIN(I17,MAX(0,J7))</f>
        <v>77.35640725425</v>
      </c>
      <c r="K8" s="23">
        <f>MIN(J17,MAX(0,K7))</f>
        <v>116.63880725425</v>
      </c>
      <c r="L8" s="23">
        <f>MIN(K17,MAX(0,L7))</f>
        <v>155.92120725425</v>
      </c>
      <c r="M8" s="23">
        <f>MIN(L17,MAX(0,M7))</f>
        <v>185.38300725425</v>
      </c>
      <c r="N8" s="23">
        <f>MIN(M17,MAX(0,N7))</f>
        <v>7.1433492202499735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178.23965803400003</v>
      </c>
      <c r="O9" s="23">
        <f>MAX(0,O7)-O8</f>
        <v>185.38300725425</v>
      </c>
      <c r="P9" s="23">
        <f>MAX(0,P7)-P8</f>
        <v>185.38300725425</v>
      </c>
      <c r="Q9" s="23">
        <f>MAX(0,Q7)-Q8</f>
        <v>185.38300725425</v>
      </c>
      <c r="R9" s="23">
        <f>MAX(0,R7)-R8</f>
        <v>185.38300725425</v>
      </c>
      <c r="S9" s="23">
        <f>MAX(0,S7)-S8</f>
        <v>185.38300725425</v>
      </c>
      <c r="T9" s="23">
        <f>MAX(0,T7)-T8</f>
        <v>185.38300725425</v>
      </c>
      <c r="U9" s="23">
        <f>MAX(0,U7)-U8</f>
        <v>87.17700725425</v>
      </c>
      <c r="V9" s="23">
        <f>MAX(0,V7)-V8</f>
        <v>38.074007254250006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37.430328187140006</v>
      </c>
      <c r="O10" s="23">
        <f>O9*Assumptions!$E$15</f>
        <v>38.9304315233925</v>
      </c>
      <c r="P10" s="23">
        <f>P9*Assumptions!$E$15</f>
        <v>38.9304315233925</v>
      </c>
      <c r="Q10" s="23">
        <f>Q9*Assumptions!$E$15</f>
        <v>38.9304315233925</v>
      </c>
      <c r="R10" s="23">
        <f>R9*Assumptions!$E$15</f>
        <v>38.9304315233925</v>
      </c>
      <c r="S10" s="23">
        <f>S9*Assumptions!$E$15</f>
        <v>38.9304315233925</v>
      </c>
      <c r="T10" s="23">
        <f>T9*Assumptions!$E$15</f>
        <v>38.9304315233925</v>
      </c>
      <c r="U10" s="23">
        <f>U9*Assumptions!$E$15</f>
        <v>18.307171523392498</v>
      </c>
      <c r="V10" s="23">
        <f>V9*Assumptions!$E$15</f>
        <v>7.995541523392501</v>
      </c>
    </row>
    <row r="11">
      <c r="A11" s="24" t="inlineStr">
        <is>
          <t>Free cash flow</t>
        </is>
      </c>
      <c r="C11" s="55">
        <f>C7-C10</f>
        <v>-92.75</v>
      </c>
      <c r="D11" s="55">
        <f>D7-D10</f>
        <v>-92.75</v>
      </c>
      <c r="E11" s="55">
        <f>E7-E10</f>
        <v>-92.75</v>
      </c>
      <c r="F11" s="55">
        <f>F7-F10</f>
        <v>-92.75</v>
      </c>
      <c r="G11" s="55">
        <f>G7-G10</f>
        <v>-11.02899274575</v>
      </c>
      <c r="H11" s="55">
        <f>H7-H10</f>
        <v>8.612207254249999</v>
      </c>
      <c r="I11" s="55">
        <f>I7-I10</f>
        <v>38.074007254250006</v>
      </c>
      <c r="J11" s="55">
        <f>J7-J10</f>
        <v>77.35640725425</v>
      </c>
      <c r="K11" s="55">
        <f>K7-K10</f>
        <v>116.63880725425</v>
      </c>
      <c r="L11" s="55">
        <f>L7-L10</f>
        <v>155.92120725425</v>
      </c>
      <c r="M11" s="55">
        <f>M7-M10</f>
        <v>185.38300725425</v>
      </c>
      <c r="N11" s="55">
        <f>N7-N10</f>
        <v>147.95267906711</v>
      </c>
      <c r="O11" s="55">
        <f>O7-O10</f>
        <v>146.45257573085752</v>
      </c>
      <c r="P11" s="55">
        <f>P7-P10</f>
        <v>146.45257573085752</v>
      </c>
      <c r="Q11" s="55">
        <f>Q7-Q10</f>
        <v>146.45257573085752</v>
      </c>
      <c r="R11" s="55">
        <f>R7-R10</f>
        <v>146.45257573085752</v>
      </c>
      <c r="S11" s="55">
        <f>S7-S10</f>
        <v>146.45257573085752</v>
      </c>
      <c r="T11" s="55">
        <f>T7-T10</f>
        <v>146.45257573085752</v>
      </c>
      <c r="U11" s="55">
        <f>U7-U10</f>
        <v>68.8698357308575</v>
      </c>
      <c r="V11" s="55">
        <f>V7-V10</f>
        <v>30.078465730857506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-45.43862837110983</v>
      </c>
      <c r="D16" s="55">
        <f>D11*D15</f>
        <v>-82.77403030793421</v>
      </c>
      <c r="E16" s="55">
        <f>E11*E15</f>
        <v>-73.90538420351267</v>
      </c>
      <c r="F16" s="55">
        <f>F11*F15</f>
        <v>-65.98695018170774</v>
      </c>
      <c r="G16" s="55">
        <f>G11*G15</f>
        <v>-7.005868260186958</v>
      </c>
      <c r="H16" s="55">
        <f>H11*H15</f>
        <v>4.884527571654936</v>
      </c>
      <c r="I16" s="55">
        <f>I11*I15</f>
        <v>19.280516255512005</v>
      </c>
      <c r="J16" s="55">
        <f>J11*J15</f>
        <v>34.97585489918005</v>
      </c>
      <c r="K16" s="55">
        <f>K11*K15</f>
        <v>47.0865742336187</v>
      </c>
      <c r="L16" s="55">
        <f>L11*L15</f>
        <v>56.2006308865799</v>
      </c>
      <c r="M16" s="55">
        <f>M11*M15</f>
        <v>59.66063923986176</v>
      </c>
      <c r="N16" s="55">
        <f>N11*N15</f>
        <v>42.51310156822607</v>
      </c>
      <c r="O16" s="55">
        <f>O11*O15</f>
        <v>37.57326610291038</v>
      </c>
      <c r="P16" s="55">
        <f>P11*P15</f>
        <v>33.547559020455694</v>
      </c>
      <c r="Q16" s="55">
        <f>Q11*Q15</f>
        <v>29.95317769683544</v>
      </c>
      <c r="R16" s="55">
        <f>R11*R15</f>
        <v>26.743908657888785</v>
      </c>
      <c r="S16" s="55">
        <f>S11*S15</f>
        <v>23.878489873114983</v>
      </c>
      <c r="T16" s="55">
        <f>T11*T15</f>
        <v>21.32008024385266</v>
      </c>
      <c r="U16" s="55">
        <f>U11*U15</f>
        <v>8.951644883014243</v>
      </c>
      <c r="V16" s="55">
        <f>V11*V15</f>
        <v>3.4906913915318873</v>
      </c>
    </row>
    <row r="17">
      <c r="A17" s="14" t="inlineStr">
        <is>
          <t>Tax-loss carryforward, end of year</t>
        </is>
      </c>
      <c r="C17" s="23">
        <f>Assumptions!$B$21-C8+MAX(0,-C7)</f>
        <v>299.85</v>
      </c>
      <c r="D17" s="23">
        <f>C17-D8+MAX(0,-D7)</f>
        <v>392.6</v>
      </c>
      <c r="E17" s="23">
        <f>D17-E8+MAX(0,-E7)</f>
        <v>485.35</v>
      </c>
      <c r="F17" s="23">
        <f>E17-F8+MAX(0,-F7)</f>
        <v>578.1</v>
      </c>
      <c r="G17" s="23">
        <f>F17-G8+MAX(0,-G7)</f>
        <v>589.12899274575</v>
      </c>
      <c r="H17" s="23">
        <f>G17-H8+MAX(0,-H7)</f>
        <v>580.5167854915</v>
      </c>
      <c r="I17" s="23">
        <f>H17-I8+MAX(0,-I7)</f>
        <v>542.44277823725</v>
      </c>
      <c r="J17" s="23">
        <f>I17-J8+MAX(0,-J7)</f>
        <v>465.08637098299994</v>
      </c>
      <c r="K17" s="23">
        <f>J17-K8+MAX(0,-K7)</f>
        <v>348.44756372874997</v>
      </c>
      <c r="L17" s="23">
        <f>K17-L8+MAX(0,-L7)</f>
        <v>192.52635647449998</v>
      </c>
      <c r="M17" s="23">
        <f>L17-M8+MAX(0,-M7)</f>
        <v>7.1433492202499735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557.8311876336146</v>
      </c>
    </row>
    <row r="20">
      <c r="A20" s="14" t="inlineStr">
        <is>
          <t>PV of corporate burn</t>
        </is>
      </c>
      <c r="B20" s="23">
        <f>SUMPRODUCT(C6:V6,C15:V15)</f>
        <v>-322.8268806756287</v>
      </c>
    </row>
    <row r="21">
      <c r="A21" s="14" t="inlineStr">
        <is>
          <t>PV of taxes</t>
        </is>
      </c>
      <c r="B21" s="23">
        <f>-SUMPRODUCT(C10:V10,C15:V15)</f>
        <v>-60.05450575819986</v>
      </c>
    </row>
    <row r="22">
      <c r="A22" s="24" t="inlineStr">
        <is>
          <t>Pipeline rNPV (operations)</t>
        </is>
      </c>
      <c r="B22" s="54">
        <f>SUM(C16:V16)</f>
        <v>174.94980119978607</v>
      </c>
    </row>
    <row r="23">
      <c r="A23" s="14" t="inlineStr">
        <is>
          <t>Cash &amp; investments</t>
        </is>
      </c>
      <c r="B23" s="57">
        <f>Main!C7</f>
        <v>205.134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380.0838011997861</v>
      </c>
    </row>
    <row r="26">
      <c r="A26" s="14" t="inlineStr">
        <is>
          <t>Shares (mm)</t>
        </is>
      </c>
      <c r="B26" s="57">
        <f>Main!C4</f>
        <v>95.829137</v>
      </c>
    </row>
    <row r="27">
      <c r="A27" s="24" t="inlineStr">
        <is>
          <t>rNPV / share</t>
        </is>
      </c>
      <c r="B27" s="60">
        <f>B25/B26</f>
        <v>3.9662655127509505</v>
      </c>
    </row>
    <row r="28">
      <c r="A28" s="14" t="inlineStr">
        <is>
          <t>Price</t>
        </is>
      </c>
      <c r="B28" s="61">
        <f>Main!C3</f>
        <v>4</v>
      </c>
    </row>
    <row r="29">
      <c r="A29" s="14" t="inlineStr">
        <is>
          <t>Upside</t>
        </is>
      </c>
      <c r="B29" s="62">
        <f>B27/B28-1</f>
        <v>-0.00843362181226237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2026-10-21T06:25:40Z</dcterms:modified>
  <cp:lastModifiedBy>Wang, Eric</cp:lastModifiedBy>
</cp:coreProperties>
</file>