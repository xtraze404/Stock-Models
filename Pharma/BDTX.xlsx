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Black Diamond Therapeutics Inc</t>
        </is>
      </c>
      <c r="C2" s="10" t="n"/>
    </row>
    <row r="3">
      <c r="B3" t="inlineStr">
        <is>
          <t>Price</t>
        </is>
      </c>
      <c r="C3" s="11">
        <f>INDEX([1]Pharma!$F$1:$F$1000,MATCH("BDTX",[1]Pharma!$B$1:$B$1000,0))</f>
        <v>2.07</v>
      </c>
      <c r="F3" s="1" t="n"/>
    </row>
    <row r="4">
      <c r="B4" t="inlineStr">
        <is>
          <t>Shares</t>
        </is>
      </c>
      <c r="C4" s="21" t="n">
        <v>57.453747</v>
      </c>
      <c r="F4" s="1" t="n"/>
    </row>
    <row r="5">
      <c r="B5" t="inlineStr">
        <is>
          <t>Market Cap.</t>
        </is>
      </c>
      <c r="C5" s="13">
        <f>C3*C4</f>
        <v>118.92925628999998</v>
      </c>
      <c r="F5" s="1" t="n"/>
    </row>
    <row r="6"/>
    <row r="7">
      <c r="B7" t="inlineStr">
        <is>
          <t>Cash</t>
        </is>
      </c>
      <c r="C7" s="21">
        <f>19.194+91.312</f>
        <v>110.506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8.423256289999983</v>
      </c>
    </row>
    <row r="10"/>
    <row r="11">
      <c r="B11" s="14" t="inlineStr">
        <is>
          <t>rNPV / Share</t>
        </is>
      </c>
      <c r="C11" s="11">
        <f>NPV!B27</f>
        <v>4.737402558473879</v>
      </c>
    </row>
    <row r="12">
      <c r="B12" s="14" t="inlineStr">
        <is>
          <t>Upside</t>
        </is>
      </c>
      <c r="C12" s="15">
        <f>IFERROR(C11/C3-1,"")</f>
        <v>1.2886002697941445</v>
      </c>
    </row>
    <row r="13">
      <c r="B13" s="14" t="inlineStr">
        <is>
          <t>Cash / Share</t>
        </is>
      </c>
      <c r="C13" s="11">
        <f>IFERROR((C7-C8)/C4,"")</f>
        <v>1.9233906537027081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-32.837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3.3652891555257787</v>
      </c>
    </row>
    <row r="19">
      <c r="B19" s="14" t="inlineStr">
        <is>
          <t>Implied Pipeline Value</t>
        </is>
      </c>
      <c r="C19" s="13">
        <f>C9</f>
        <v>8.423256289999983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70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70.0</v>
      </c>
      <c r="J4" s="1" t="n"/>
      <c r="K4" s="1" t="n"/>
    </row>
    <row r="5">
      <c r="A5" s="2" t="inlineStr">
        <is>
          <t>Research &amp; Dev.</t>
        </is>
      </c>
      <c r="B5" s="23" t="n">
        <v>6.95</v>
      </c>
      <c r="C5" s="23" t="n">
        <v>21.753</v>
      </c>
      <c r="D5" s="23" t="n">
        <v>48.209</v>
      </c>
      <c r="E5" s="23" t="n">
        <v>96.82899999999999</v>
      </c>
      <c r="F5" s="23" t="n">
        <v>64.437</v>
      </c>
      <c r="G5" s="23" t="n">
        <v>59.35</v>
      </c>
      <c r="H5" s="23" t="n">
        <v>51.312</v>
      </c>
      <c r="I5" s="23" t="n">
        <v>33.558</v>
      </c>
      <c r="J5" s="1" t="n"/>
      <c r="K5" s="1" t="n"/>
    </row>
    <row r="6">
      <c r="A6" s="19" t="inlineStr">
        <is>
          <t>SG&amp;A &amp; Other</t>
        </is>
      </c>
      <c r="B6" s="23" t="n">
        <v>1.954</v>
      </c>
      <c r="C6" s="23" t="n">
        <v>7.579</v>
      </c>
      <c r="D6" s="23" t="n">
        <v>21.361</v>
      </c>
      <c r="E6" s="23" t="n">
        <v>30.043</v>
      </c>
      <c r="F6" s="23" t="n">
        <v>28.391</v>
      </c>
      <c r="G6" s="23" t="n">
        <v>27.11</v>
      </c>
      <c r="H6" s="23" t="n">
        <v>27.469</v>
      </c>
      <c r="I6" s="23" t="n">
        <v>23.92</v>
      </c>
      <c r="J6" s="1" t="n"/>
      <c r="K6" s="1" t="n"/>
    </row>
    <row r="7">
      <c r="A7" s="2" t="inlineStr">
        <is>
          <t>Operating Expense</t>
        </is>
      </c>
      <c r="B7" s="23">
        <f>SUM(B5:B6)</f>
        <v>8.904</v>
      </c>
      <c r="C7" s="23">
        <f>SUM(C5:C6)</f>
        <v>29.332</v>
      </c>
      <c r="D7" s="23">
        <f>SUM(D5:D6)</f>
        <v>69.57000000000001</v>
      </c>
      <c r="E7" s="23">
        <f>SUM(E5:E6)</f>
        <v>126.87199999999999</v>
      </c>
      <c r="F7" s="23">
        <f>SUM(F5:F6)</f>
        <v>92.828</v>
      </c>
      <c r="G7" s="23">
        <f>SUM(G5:G6)</f>
        <v>86.46000000000001</v>
      </c>
      <c r="H7" s="23">
        <f>SUM(H5:H6)</f>
        <v>78.781</v>
      </c>
      <c r="I7" s="23">
        <f>SUM(I5:I6)</f>
        <v>57.478</v>
      </c>
      <c r="J7" s="1" t="n"/>
      <c r="K7" s="1" t="n"/>
    </row>
    <row r="8">
      <c r="A8" s="2" t="inlineStr">
        <is>
          <t>Operating Income</t>
        </is>
      </c>
      <c r="B8" s="23">
        <f>B4-B7</f>
        <v>-8.904</v>
      </c>
      <c r="C8" s="23">
        <f>C4-C7</f>
        <v>-29.332</v>
      </c>
      <c r="D8" s="23">
        <f>D4-D7</f>
        <v>-69.57000000000001</v>
      </c>
      <c r="E8" s="23">
        <f>E4-E7</f>
        <v>-126.87199999999999</v>
      </c>
      <c r="F8" s="23">
        <f>F4-F7</f>
        <v>-92.828</v>
      </c>
      <c r="G8" s="23">
        <f>G4-G7</f>
        <v>-86.46000000000001</v>
      </c>
      <c r="H8" s="23">
        <f>H4-H7</f>
        <v>-78.781</v>
      </c>
      <c r="I8" s="23">
        <f>I4-I7</f>
        <v>12.521999999999998</v>
      </c>
      <c r="J8" s="1" t="n"/>
      <c r="K8" s="1" t="n"/>
    </row>
    <row r="9">
      <c r="A9" s="19" t="inlineStr">
        <is>
          <t>Interest &amp; Other</t>
        </is>
      </c>
      <c r="B9" s="23" t="n">
        <v>-0.027</v>
      </c>
      <c r="C9" s="23" t="n">
        <v>-5.926</v>
      </c>
      <c r="D9" s="23" t="n">
        <v>2.316</v>
      </c>
      <c r="E9" s="23" t="n">
        <v>1.276</v>
      </c>
      <c r="F9" s="23" t="n">
        <v>1.659</v>
      </c>
      <c r="G9" s="23" t="n">
        <v>4.018</v>
      </c>
      <c r="H9" s="23" t="n">
        <v>-69597.219</v>
      </c>
      <c r="I9" s="23" t="n">
        <v>22354.478</v>
      </c>
    </row>
    <row r="10">
      <c r="A10" s="2" t="inlineStr">
        <is>
          <t>Pretax</t>
        </is>
      </c>
      <c r="B10" s="23">
        <f>B8+B9</f>
        <v>-8.931</v>
      </c>
      <c r="C10" s="23">
        <f>C8+C9</f>
        <v>-35.258</v>
      </c>
      <c r="D10" s="23">
        <f>D8+D9</f>
        <v>-67.254</v>
      </c>
      <c r="E10" s="23">
        <f>E8+E9</f>
        <v>-125.59599999999999</v>
      </c>
      <c r="F10" s="23">
        <f>F8+F9</f>
        <v>-91.169</v>
      </c>
      <c r="G10" s="23">
        <f>G8+G9</f>
        <v>-82.44200000000001</v>
      </c>
      <c r="H10" s="23">
        <f>H8+H9</f>
        <v>-69676.0</v>
      </c>
      <c r="I10" s="23">
        <f>I8+I9</f>
        <v>22367.0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-8.930999999999999</v>
      </c>
      <c r="C12" s="23" t="n">
        <v>-35.258</v>
      </c>
      <c r="D12" s="23" t="n">
        <v>-67.254</v>
      </c>
      <c r="E12" s="23" t="n">
        <v>-125.596</v>
      </c>
      <c r="F12" s="23" t="n">
        <v>-91.169</v>
      </c>
      <c r="G12" s="23" t="n">
        <v>-82.44199999999999</v>
      </c>
      <c r="H12" s="23" t="n">
        <v>-69676</v>
      </c>
      <c r="I12" s="23" t="n">
        <v>22367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-0.2765186698866802</v>
      </c>
      <c r="C13" s="11">
        <f>IFERROR(C12/C14,0)</f>
        <v>-1.0616042394315308</v>
      </c>
      <c r="D13" s="11">
        <f>IFERROR(D12/D14,0)</f>
        <v>-2.0437596863889147</v>
      </c>
      <c r="E13" s="11">
        <f>IFERROR(E12/E14,0)</f>
        <v>-3.47055735168145</v>
      </c>
      <c r="F13" s="11">
        <f>IFERROR(F12/F14,0)</f>
        <v>-2.50974508616418</v>
      </c>
      <c r="G13" s="11">
        <f>IFERROR(G12/G14,0)</f>
        <v>-1.8756000455010806</v>
      </c>
      <c r="H13" s="11">
        <f>IFERROR(H12/H14,0)</f>
        <v>-1266.191756923748</v>
      </c>
      <c r="I13" s="11">
        <f>IFERROR(I12/I14,0)</f>
        <v>388.56557163455693</v>
      </c>
    </row>
    <row r="14">
      <c r="A14" s="2" t="inlineStr">
        <is>
          <t>Shares</t>
        </is>
      </c>
      <c r="B14" s="23" t="n">
        <v>32.298</v>
      </c>
      <c r="C14" s="23" t="n">
        <v>33.212</v>
      </c>
      <c r="D14" s="23" t="n">
        <v>32.907</v>
      </c>
      <c r="E14" s="23" t="n">
        <v>36.189</v>
      </c>
      <c r="F14" s="23" t="n">
        <v>36.326</v>
      </c>
      <c r="G14" s="23" t="n">
        <v>43.955</v>
      </c>
      <c r="H14" s="23" t="n">
        <v>55.028</v>
      </c>
      <c r="I14" s="23" t="n">
        <v>57.563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0.17888571428571426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Black Diamond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0.1752568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51.904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70086.60000000001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161.675528031711</v>
      </c>
      <c r="C29" s="42">
        <f>NPV!B25</f>
        <v>272.18152803171097</v>
      </c>
      <c r="D29" s="43">
        <f>NPV!B27</f>
        <v>4.737402558473879</v>
      </c>
      <c r="E29" s="44">
        <f>NPV!B29</f>
        <v>1.2886002697941445</v>
      </c>
    </row>
    <row r="30">
      <c r="A30" s="45" t="n">
        <v>1</v>
      </c>
      <c r="B30" s="46">
        <f t="dataTable" ref="B30:E32" r1="B4"/>
        <v>-28.53705415125816</v>
      </c>
      <c r="C30" s="46">
        <v>81.96894584874184</v>
      </c>
      <c r="D30" s="47">
        <v>1.4266945173957382</v>
      </c>
      <c r="E30" s="48">
        <v>-0.310775595460996</v>
      </c>
    </row>
    <row r="31">
      <c r="A31" s="45" t="n">
        <v>2</v>
      </c>
      <c r="B31" s="46">
        <v>161.675528031711</v>
      </c>
      <c r="C31" s="46">
        <v>272.18152803171097</v>
      </c>
      <c r="D31" s="47">
        <v>4.737402558473879</v>
      </c>
      <c r="E31" s="48">
        <v>1.2886002697941445</v>
      </c>
    </row>
    <row r="32">
      <c r="A32" s="45" t="n">
        <v>3</v>
      </c>
      <c r="B32" s="46">
        <v>478.0412037123222</v>
      </c>
      <c r="C32" s="46">
        <v>588.5472037123222</v>
      </c>
      <c r="D32" s="47">
        <v>10.243843690687784</v>
      </c>
      <c r="E32" s="48">
        <v>3.94871675878637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4.737402558473879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0.8662850131405894</v>
      </c>
      <c r="C37" s="47">
        <v>1.7154473090807631</v>
      </c>
      <c r="D37" s="47">
        <v>2.5646096050209373</v>
      </c>
      <c r="E37" s="47">
        <v>4.262934196901284</v>
      </c>
      <c r="F37" s="47">
        <v>5.961258788781632</v>
      </c>
    </row>
    <row r="38">
      <c r="A38" s="50" t="n">
        <v>0.8</v>
      </c>
      <c r="B38" s="47">
        <v>1.3861352825626043</v>
      </c>
      <c r="C38" s="47">
        <v>2.5183516771495023</v>
      </c>
      <c r="D38" s="47">
        <v>3.6505680717364006</v>
      </c>
      <c r="E38" s="47">
        <v>5.9150008609101965</v>
      </c>
      <c r="F38" s="47">
        <v>8.179433650083995</v>
      </c>
    </row>
    <row r="39">
      <c r="A39" s="50" t="n">
        <v>1</v>
      </c>
      <c r="B39" s="47">
        <v>1.9068615720066349</v>
      </c>
      <c r="C39" s="47">
        <v>3.322132065240257</v>
      </c>
      <c r="D39" s="47">
        <v>4.737402558473879</v>
      </c>
      <c r="E39" s="47">
        <v>7.567943544941126</v>
      </c>
      <c r="F39" s="47">
        <v>10.398484531408371</v>
      </c>
    </row>
    <row r="40">
      <c r="A40" s="50" t="n">
        <v>1.2</v>
      </c>
      <c r="B40" s="47">
        <v>2.428463881472681</v>
      </c>
      <c r="C40" s="47">
        <v>4.126788473353028</v>
      </c>
      <c r="D40" s="47">
        <v>5.825113065233376</v>
      </c>
      <c r="E40" s="47">
        <v>9.22176224899407</v>
      </c>
      <c r="F40" s="47">
        <v>12.618411432754764</v>
      </c>
    </row>
    <row r="41">
      <c r="A41" s="50" t="n">
        <v>1.4</v>
      </c>
      <c r="B41" s="47">
        <v>2.9509422109607417</v>
      </c>
      <c r="C41" s="47">
        <v>4.932320901487814</v>
      </c>
      <c r="D41" s="47">
        <v>6.913699592014886</v>
      </c>
      <c r="E41" s="47">
        <v>10.876456973069029</v>
      </c>
      <c r="F41" s="47">
        <v>14.83921435412317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Black Diamond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silevertinib (BDTX-1535) monotherapy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227.09625739047448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22.619999999999997</v>
      </c>
      <c r="T4" s="23">
        <f>IF(T$3&lt;$I4,0,$G4*Assumptions!$E$11*INDEX(Assumptions!$B$24:$G$24,MIN(6,T$3-$I4+1))*IF(T$3&gt;$J4,(1-Assumptions!$B$26)^(T$3-$J4),1)*IF($H4&gt;=1,1,MIN(0.97,$H4*Assumptions!$E$12)))</f>
        <v>56.55</v>
      </c>
      <c r="U4" s="23">
        <f>IF(U$3&lt;$I4,0,$G4*Assumptions!$E$11*INDEX(Assumptions!$B$24:$G$24,MIN(6,U$3-$I4+1))*IF(U$3&gt;$J4,(1-Assumptions!$B$26)^(U$3-$J4),1)*IF($H4&gt;=1,1,MIN(0.97,$H4*Assumptions!$E$12)))</f>
        <v>101.78999999999999</v>
      </c>
      <c r="V4" s="23">
        <f>IF(V$3&lt;$I4,0,$G4*Assumptions!$E$11*INDEX(Assumptions!$B$24:$G$24,MIN(6,V$3-$I4+1))*IF(V$3&gt;$J4,(1-Assumptions!$B$26)^(V$3-$J4),1)*IF($H4&gt;=1,1,MIN(0.97,$H4*Assumptions!$E$12)))</f>
        <v>147.03</v>
      </c>
      <c r="W4" s="23">
        <f>IF(W$3&lt;$I4,0,$G4*Assumptions!$E$11*INDEX(Assumptions!$B$24:$G$24,MIN(6,W$3-$I4+1))*IF(W$3&gt;$J4,(1-Assumptions!$B$26)^(W$3-$J4),1)*IF($H4&gt;=1,1,MIN(0.97,$H4*Assumptions!$E$12)))</f>
        <v>192.26999999999998</v>
      </c>
      <c r="X4" s="23">
        <f>IF(X$3&lt;$I4,0,$G4*Assumptions!$E$11*INDEX(Assumptions!$B$24:$G$24,MIN(6,X$3-$I4+1))*IF(X$3&gt;$J4,(1-Assumptions!$B$26)^(X$3-$J4),1)*IF($H4&gt;=1,1,MIN(0.97,$H4*Assumptions!$E$12)))</f>
        <v>226.2</v>
      </c>
      <c r="Y4" s="23">
        <f>IF(Y$3&lt;$I4,0,$G4*Assumptions!$E$11*INDEX(Assumptions!$B$24:$G$24,MIN(6,Y$3-$I4+1))*IF(Y$3&gt;$J4,(1-Assumptions!$B$26)^(Y$3-$J4),1)*IF($H4&gt;=1,1,MIN(0.97,$H4*Assumptions!$E$12)))</f>
        <v>226.2</v>
      </c>
      <c r="Z4" s="23">
        <f>IF(Z$3&lt;$I4,0,$G4*Assumptions!$E$11*INDEX(Assumptions!$B$24:$G$24,MIN(6,Z$3-$I4+1))*IF(Z$3&gt;$J4,(1-Assumptions!$B$26)^(Z$3-$J4),1)*IF($H4&gt;=1,1,MIN(0.97,$H4*Assumptions!$E$12)))</f>
        <v>226.2</v>
      </c>
      <c r="AA4" s="23">
        <f>IF(AA$3&lt;$I4,0,$G4*Assumptions!$E$11*INDEX(Assumptions!$B$24:$G$24,MIN(6,AA$3-$I4+1))*IF(AA$3&gt;$J4,(1-Assumptions!$B$26)^(AA$3-$J4),1)*IF($H4&gt;=1,1,MIN(0.97,$H4*Assumptions!$E$12)))</f>
        <v>226.2</v>
      </c>
      <c r="AB4" s="23">
        <f>IF(AB$3&lt;$I4,0,$G4*Assumptions!$E$11*INDEX(Assumptions!$B$24:$G$24,MIN(6,AB$3-$I4+1))*IF(AB$3&gt;$J4,(1-Assumptions!$B$26)^(AB$3-$J4),1)*IF($H4&gt;=1,1,MIN(0.97,$H4*Assumptions!$E$12)))</f>
        <v>226.2</v>
      </c>
      <c r="AC4" s="23">
        <f>IF(AC$3&lt;$I4,0,$G4*Assumptions!$E$11*INDEX(Assumptions!$B$24:$G$24,MIN(6,AC$3-$I4+1))*IF(AC$3&gt;$J4,(1-Assumptions!$B$26)^(AC$3-$J4),1)*IF($H4&gt;=1,1,MIN(0.97,$H4*Assumptions!$E$12)))</f>
        <v>226.2</v>
      </c>
      <c r="AD4" s="23">
        <f>IF(AD$3&lt;$I4,0,$G4*Assumptions!$E$11*INDEX(Assumptions!$B$24:$G$24,MIN(6,AD$3-$I4+1))*IF(AD$3&gt;$J4,(1-Assumptions!$B$26)^(AD$3-$J4),1)*IF($H4&gt;=1,1,MIN(0.97,$H4*Assumptions!$E$12)))</f>
        <v>226.2</v>
      </c>
      <c r="AE4" s="23">
        <f>IF(AE$3&lt;$I4,0,$G4*Assumptions!$E$11*INDEX(Assumptions!$B$24:$G$24,MIN(6,AE$3-$I4+1))*IF(AE$3&gt;$J4,(1-Assumptions!$B$26)^(AE$3-$J4),1)*IF($H4&gt;=1,1,MIN(0.97,$H4*Assumptions!$E$12)))</f>
        <v>226.2</v>
      </c>
      <c r="AF4" s="23">
        <f>IF(AF$3&lt;$I4,0,$G4*Assumptions!$E$11*INDEX(Assumptions!$B$24:$G$24,MIN(6,AF$3-$I4+1))*IF(AF$3&gt;$J4,(1-Assumptions!$B$26)^(AF$3-$J4),1)*IF($H4&gt;=1,1,MIN(0.97,$H4*Assumptions!$E$12)))</f>
        <v>113.1</v>
      </c>
      <c r="AG4" s="35">
        <f>IF(F4="Owned",1-IF(H4&gt;=1,1,MIN(0.97,H4*Assumptions!$E$12)),1)</f>
        <v>0.9246</v>
      </c>
    </row>
    <row r="5">
      <c r="A5" s="39" t="n">
        <v>2</v>
      </c>
      <c r="B5" s="14" t="inlineStr">
        <is>
          <t>Brain cancer</t>
        </is>
      </c>
      <c r="C5" s="14" t="inlineStr">
        <is>
          <t xml:space="preserve">silevertinib in combination with temozolomide, temozolomide </t>
        </is>
      </c>
      <c r="D5" s="14" t="inlineStr">
        <is>
          <t>Phase 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800</v>
      </c>
      <c r="H5" s="27" t="n">
        <v>0.108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98.15411402876465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8.64</v>
      </c>
      <c r="S5" s="23">
        <f>IF(S$3&lt;$I5,0,$G5*Assumptions!$E$11*INDEX(Assumptions!$B$24:$G$24,MIN(6,S$3-$I5+1))*IF(S$3&gt;$J5,(1-Assumptions!$B$26)^(S$3-$J5),1)*IF($H5&gt;=1,1,MIN(0.97,$H5*Assumptions!$E$12)))</f>
        <v>21.6</v>
      </c>
      <c r="T5" s="23">
        <f>IF(T$3&lt;$I5,0,$G5*Assumptions!$E$11*INDEX(Assumptions!$B$24:$G$24,MIN(6,T$3-$I5+1))*IF(T$3&gt;$J5,(1-Assumptions!$B$26)^(T$3-$J5),1)*IF($H5&gt;=1,1,MIN(0.97,$H5*Assumptions!$E$12)))</f>
        <v>38.88</v>
      </c>
      <c r="U5" s="23">
        <f>IF(U$3&lt;$I5,0,$G5*Assumptions!$E$11*INDEX(Assumptions!$B$24:$G$24,MIN(6,U$3-$I5+1))*IF(U$3&gt;$J5,(1-Assumptions!$B$26)^(U$3-$J5),1)*IF($H5&gt;=1,1,MIN(0.97,$H5*Assumptions!$E$12)))</f>
        <v>56.16</v>
      </c>
      <c r="V5" s="23">
        <f>IF(V$3&lt;$I5,0,$G5*Assumptions!$E$11*INDEX(Assumptions!$B$24:$G$24,MIN(6,V$3-$I5+1))*IF(V$3&gt;$J5,(1-Assumptions!$B$26)^(V$3-$J5),1)*IF($H5&gt;=1,1,MIN(0.97,$H5*Assumptions!$E$12)))</f>
        <v>73.44</v>
      </c>
      <c r="W5" s="23">
        <f>IF(W$3&lt;$I5,0,$G5*Assumptions!$E$11*INDEX(Assumptions!$B$24:$G$24,MIN(6,W$3-$I5+1))*IF(W$3&gt;$J5,(1-Assumptions!$B$26)^(W$3-$J5),1)*IF($H5&gt;=1,1,MIN(0.97,$H5*Assumptions!$E$12)))</f>
        <v>86.4</v>
      </c>
      <c r="X5" s="23">
        <f>IF(X$3&lt;$I5,0,$G5*Assumptions!$E$11*INDEX(Assumptions!$B$24:$G$24,MIN(6,X$3-$I5+1))*IF(X$3&gt;$J5,(1-Assumptions!$B$26)^(X$3-$J5),1)*IF($H5&gt;=1,1,MIN(0.97,$H5*Assumptions!$E$12)))</f>
        <v>86.4</v>
      </c>
      <c r="Y5" s="23">
        <f>IF(Y$3&lt;$I5,0,$G5*Assumptions!$E$11*INDEX(Assumptions!$B$24:$G$24,MIN(6,Y$3-$I5+1))*IF(Y$3&gt;$J5,(1-Assumptions!$B$26)^(Y$3-$J5),1)*IF($H5&gt;=1,1,MIN(0.97,$H5*Assumptions!$E$12)))</f>
        <v>86.4</v>
      </c>
      <c r="Z5" s="23">
        <f>IF(Z$3&lt;$I5,0,$G5*Assumptions!$E$11*INDEX(Assumptions!$B$24:$G$24,MIN(6,Z$3-$I5+1))*IF(Z$3&gt;$J5,(1-Assumptions!$B$26)^(Z$3-$J5),1)*IF($H5&gt;=1,1,MIN(0.97,$H5*Assumptions!$E$12)))</f>
        <v>86.4</v>
      </c>
      <c r="AA5" s="23">
        <f>IF(AA$3&lt;$I5,0,$G5*Assumptions!$E$11*INDEX(Assumptions!$B$24:$G$24,MIN(6,AA$3-$I5+1))*IF(AA$3&gt;$J5,(1-Assumptions!$B$26)^(AA$3-$J5),1)*IF($H5&gt;=1,1,MIN(0.97,$H5*Assumptions!$E$12)))</f>
        <v>86.4</v>
      </c>
      <c r="AB5" s="23">
        <f>IF(AB$3&lt;$I5,0,$G5*Assumptions!$E$11*INDEX(Assumptions!$B$24:$G$24,MIN(6,AB$3-$I5+1))*IF(AB$3&gt;$J5,(1-Assumptions!$B$26)^(AB$3-$J5),1)*IF($H5&gt;=1,1,MIN(0.97,$H5*Assumptions!$E$12)))</f>
        <v>86.4</v>
      </c>
      <c r="AC5" s="23">
        <f>IF(AC$3&lt;$I5,0,$G5*Assumptions!$E$11*INDEX(Assumptions!$B$24:$G$24,MIN(6,AC$3-$I5+1))*IF(AC$3&gt;$J5,(1-Assumptions!$B$26)^(AC$3-$J5),1)*IF($H5&gt;=1,1,MIN(0.97,$H5*Assumptions!$E$12)))</f>
        <v>86.4</v>
      </c>
      <c r="AD5" s="23">
        <f>IF(AD$3&lt;$I5,0,$G5*Assumptions!$E$11*INDEX(Assumptions!$B$24:$G$24,MIN(6,AD$3-$I5+1))*IF(AD$3&gt;$J5,(1-Assumptions!$B$26)^(AD$3-$J5),1)*IF($H5&gt;=1,1,MIN(0.97,$H5*Assumptions!$E$12)))</f>
        <v>86.4</v>
      </c>
      <c r="AE5" s="23">
        <f>IF(AE$3&lt;$I5,0,$G5*Assumptions!$E$11*INDEX(Assumptions!$B$24:$G$24,MIN(6,AE$3-$I5+1))*IF(AE$3&gt;$J5,(1-Assumptions!$B$26)^(AE$3-$J5),1)*IF($H5&gt;=1,1,MIN(0.97,$H5*Assumptions!$E$12)))</f>
        <v>43.2</v>
      </c>
      <c r="AF5" s="23">
        <f>IF(AF$3&lt;$I5,0,$G5*Assumptions!$E$11*INDEX(Assumptions!$B$24:$G$24,MIN(6,AF$3-$I5+1))*IF(AF$3&gt;$J5,(1-Assumptions!$B$26)^(AF$3-$J5),1)*IF($H5&gt;=1,1,MIN(0.97,$H5*Assumptions!$E$12)))</f>
        <v>21.6</v>
      </c>
      <c r="AG5" s="35">
        <f>IF(F5="Owned",1-IF(H5&gt;=1,1,MIN(0.97,H5*Assumptions!$E$12)),1)</f>
        <v>0.892</v>
      </c>
    </row>
    <row r="6">
      <c r="B6" s="24" t="inlineStr">
        <is>
          <t>Risked revenue</t>
        </is>
      </c>
      <c r="L6" s="54">
        <f>SUM(L4:L5)</f>
        <v>325.2503714192391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8.64</v>
      </c>
      <c r="S6" s="54">
        <f>SUM(S4:S5)</f>
        <v>44.22</v>
      </c>
      <c r="T6" s="54">
        <f>SUM(T4:T5)</f>
        <v>95.43</v>
      </c>
      <c r="U6" s="54">
        <f>SUM(U4:U5)</f>
        <v>157.95</v>
      </c>
      <c r="V6" s="54">
        <f>SUM(V4:V5)</f>
        <v>220.47</v>
      </c>
      <c r="W6" s="54">
        <f>SUM(W4:W5)</f>
        <v>278.66999999999996</v>
      </c>
      <c r="X6" s="54">
        <f>SUM(X4:X5)</f>
        <v>312.6</v>
      </c>
      <c r="Y6" s="54">
        <f>SUM(Y4:Y5)</f>
        <v>312.6</v>
      </c>
      <c r="Z6" s="54">
        <f>SUM(Z4:Z5)</f>
        <v>312.6</v>
      </c>
      <c r="AA6" s="54">
        <f>SUM(AA4:AA5)</f>
        <v>312.6</v>
      </c>
      <c r="AB6" s="54">
        <f>SUM(AB4:AB5)</f>
        <v>312.6</v>
      </c>
      <c r="AC6" s="54">
        <f>SUM(AC4:AC5)</f>
        <v>312.6</v>
      </c>
      <c r="AD6" s="54">
        <f>SUM(AD4:AD5)</f>
        <v>312.6</v>
      </c>
      <c r="AE6" s="54">
        <f>SUM(AE4:AE5)</f>
        <v>269.4</v>
      </c>
      <c r="AF6" s="54">
        <f>SUM(AF4:AF5)</f>
        <v>134.7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3.4560000000000004</v>
      </c>
      <c r="S7" s="55">
        <f>SUMPRODUCT(S4:S5,$K$4:$K$5)</f>
        <v>17.688000000000002</v>
      </c>
      <c r="T7" s="55">
        <f>SUMPRODUCT(T4:T5,$K$4:$K$5)</f>
        <v>38.172000000000004</v>
      </c>
      <c r="U7" s="55">
        <f>SUMPRODUCT(U4:U5,$K$4:$K$5)</f>
        <v>63.18</v>
      </c>
      <c r="V7" s="55">
        <f>SUMPRODUCT(V4:V5,$K$4:$K$5)</f>
        <v>88.188</v>
      </c>
      <c r="W7" s="55">
        <f>SUMPRODUCT(W4:W5,$K$4:$K$5)</f>
        <v>111.468</v>
      </c>
      <c r="X7" s="55">
        <f>SUMPRODUCT(X4:X5,$K$4:$K$5)</f>
        <v>125.04</v>
      </c>
      <c r="Y7" s="55">
        <f>SUMPRODUCT(Y4:Y5,$K$4:$K$5)</f>
        <v>125.04</v>
      </c>
      <c r="Z7" s="55">
        <f>SUMPRODUCT(Z4:Z5,$K$4:$K$5)</f>
        <v>125.04</v>
      </c>
      <c r="AA7" s="55">
        <f>SUMPRODUCT(AA4:AA5,$K$4:$K$5)</f>
        <v>125.04</v>
      </c>
      <c r="AB7" s="55">
        <f>SUMPRODUCT(AB4:AB5,$K$4:$K$5)</f>
        <v>125.04</v>
      </c>
      <c r="AC7" s="55">
        <f>SUMPRODUCT(AC4:AC5,$K$4:$K$5)</f>
        <v>125.04</v>
      </c>
      <c r="AD7" s="55">
        <f>SUMPRODUCT(AD4:AD5,$K$4:$K$5)</f>
        <v>125.04</v>
      </c>
      <c r="AE7" s="55">
        <f>SUMPRODUCT(AE4:AE5,$K$4:$K$5)</f>
        <v>107.76</v>
      </c>
      <c r="AF7" s="55">
        <f>SUMPRODUCT(AF4:AF5,$K$4:$K$5)</f>
        <v>53.88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Black Diamond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8.64</v>
      </c>
      <c r="I4" s="57">
        <f>Pipeline!S6</f>
        <v>44.22</v>
      </c>
      <c r="J4" s="57">
        <f>Pipeline!T6</f>
        <v>95.43</v>
      </c>
      <c r="K4" s="57">
        <f>Pipeline!U6</f>
        <v>157.95</v>
      </c>
      <c r="L4" s="57">
        <f>Pipeline!V6</f>
        <v>220.47</v>
      </c>
      <c r="M4" s="57">
        <f>Pipeline!W6</f>
        <v>278.66999999999996</v>
      </c>
      <c r="N4" s="57">
        <f>Pipeline!X6</f>
        <v>312.6</v>
      </c>
      <c r="O4" s="57">
        <f>Pipeline!Y6</f>
        <v>312.6</v>
      </c>
      <c r="P4" s="57">
        <f>Pipeline!Z6</f>
        <v>312.6</v>
      </c>
      <c r="Q4" s="57">
        <f>Pipeline!AA6</f>
        <v>312.6</v>
      </c>
      <c r="R4" s="57">
        <f>Pipeline!AB6</f>
        <v>312.6</v>
      </c>
      <c r="S4" s="57">
        <f>Pipeline!AC6</f>
        <v>312.6</v>
      </c>
      <c r="T4" s="57">
        <f>Pipeline!AD6</f>
        <v>312.6</v>
      </c>
      <c r="U4" s="57">
        <f>Pipeline!AE6</f>
        <v>269.4</v>
      </c>
      <c r="V4" s="57">
        <f>Pipeline!AF6</f>
        <v>134.7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3.4560000000000004</v>
      </c>
      <c r="I5" s="57">
        <f>Pipeline!S7</f>
        <v>17.688000000000002</v>
      </c>
      <c r="J5" s="57">
        <f>Pipeline!T7</f>
        <v>38.172000000000004</v>
      </c>
      <c r="K5" s="57">
        <f>Pipeline!U7</f>
        <v>63.18</v>
      </c>
      <c r="L5" s="57">
        <f>Pipeline!V7</f>
        <v>88.188</v>
      </c>
      <c r="M5" s="57">
        <f>Pipeline!W7</f>
        <v>111.468</v>
      </c>
      <c r="N5" s="57">
        <f>Pipeline!X7</f>
        <v>125.04</v>
      </c>
      <c r="O5" s="57">
        <f>Pipeline!Y7</f>
        <v>125.04</v>
      </c>
      <c r="P5" s="57">
        <f>Pipeline!Z7</f>
        <v>125.04</v>
      </c>
      <c r="Q5" s="57">
        <f>Pipeline!AA7</f>
        <v>125.04</v>
      </c>
      <c r="R5" s="57">
        <f>Pipeline!AB7</f>
        <v>125.04</v>
      </c>
      <c r="S5" s="57">
        <f>Pipeline!AC7</f>
        <v>125.04</v>
      </c>
      <c r="T5" s="57">
        <f>Pipeline!AD7</f>
        <v>125.04</v>
      </c>
      <c r="U5" s="57">
        <f>Pipeline!AE7</f>
        <v>107.76</v>
      </c>
      <c r="V5" s="57">
        <f>Pipeline!AF7</f>
        <v>53.88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-51.904</v>
      </c>
      <c r="D6" s="23">
        <f>-IF(D3-2026&lt;Assumptions!$B$19,Assumptions!$B$18,Assumptions!$B$18*Assumptions!$B$20*Assumptions!$B$16)</f>
        <v>-51.904</v>
      </c>
      <c r="E6" s="23">
        <f>-IF(E3-2026&lt;Assumptions!$B$19,Assumptions!$B$18,Assumptions!$B$18*Assumptions!$B$20*Assumptions!$B$16)</f>
        <v>-51.904</v>
      </c>
      <c r="F6" s="23">
        <f>-IF(F3-2026&lt;Assumptions!$B$19,Assumptions!$B$18,Assumptions!$B$18*Assumptions!$B$20*Assumptions!$B$16)</f>
        <v>-51.904</v>
      </c>
      <c r="G6" s="23">
        <f>-IF(G3-2026&lt;Assumptions!$B$19,Assumptions!$B$18,Assumptions!$B$18*Assumptions!$B$20*Assumptions!$B$16)</f>
        <v>-2.72895868416</v>
      </c>
      <c r="H6" s="23">
        <f>-IF(H3-2026&lt;Assumptions!$B$19,Assumptions!$B$18,Assumptions!$B$18*Assumptions!$B$20*Assumptions!$B$16)</f>
        <v>-2.72895868416</v>
      </c>
      <c r="I6" s="23">
        <f>-IF(I3-2026&lt;Assumptions!$B$19,Assumptions!$B$18,Assumptions!$B$18*Assumptions!$B$20*Assumptions!$B$16)</f>
        <v>-2.72895868416</v>
      </c>
      <c r="J6" s="23">
        <f>-IF(J3-2026&lt;Assumptions!$B$19,Assumptions!$B$18,Assumptions!$B$18*Assumptions!$B$20*Assumptions!$B$16)</f>
        <v>-2.72895868416</v>
      </c>
      <c r="K6" s="23">
        <f>-IF(K3-2026&lt;Assumptions!$B$19,Assumptions!$B$18,Assumptions!$B$18*Assumptions!$B$20*Assumptions!$B$16)</f>
        <v>-2.72895868416</v>
      </c>
      <c r="L6" s="23">
        <f>-IF(L3-2026&lt;Assumptions!$B$19,Assumptions!$B$18,Assumptions!$B$18*Assumptions!$B$20*Assumptions!$B$16)</f>
        <v>-2.72895868416</v>
      </c>
      <c r="M6" s="23">
        <f>-IF(M3-2026&lt;Assumptions!$B$19,Assumptions!$B$18,Assumptions!$B$18*Assumptions!$B$20*Assumptions!$B$16)</f>
        <v>-2.72895868416</v>
      </c>
      <c r="N6" s="23">
        <f>-IF(N3-2026&lt;Assumptions!$B$19,Assumptions!$B$18,Assumptions!$B$18*Assumptions!$B$20*Assumptions!$B$16)</f>
        <v>-2.72895868416</v>
      </c>
      <c r="O6" s="23">
        <f>-IF(O3-2026&lt;Assumptions!$B$19,Assumptions!$B$18,Assumptions!$B$18*Assumptions!$B$20*Assumptions!$B$16)</f>
        <v>-2.72895868416</v>
      </c>
      <c r="P6" s="23">
        <f>-IF(P3-2026&lt;Assumptions!$B$19,Assumptions!$B$18,Assumptions!$B$18*Assumptions!$B$20*Assumptions!$B$16)</f>
        <v>-2.72895868416</v>
      </c>
      <c r="Q6" s="23">
        <f>-IF(Q3-2026&lt;Assumptions!$B$19,Assumptions!$B$18,Assumptions!$B$18*Assumptions!$B$20*Assumptions!$B$16)</f>
        <v>-2.72895868416</v>
      </c>
      <c r="R6" s="23">
        <f>-IF(R3-2026&lt;Assumptions!$B$19,Assumptions!$B$18,Assumptions!$B$18*Assumptions!$B$20*Assumptions!$B$16)</f>
        <v>-2.72895868416</v>
      </c>
      <c r="S6" s="23">
        <f>-IF(S3-2026&lt;Assumptions!$B$19,Assumptions!$B$18,Assumptions!$B$18*Assumptions!$B$20*Assumptions!$B$16)</f>
        <v>-2.72895868416</v>
      </c>
      <c r="T6" s="23">
        <f>-IF(T3-2026&lt;Assumptions!$B$19,Assumptions!$B$18,Assumptions!$B$18*Assumptions!$B$20*Assumptions!$B$16)</f>
        <v>-2.72895868416</v>
      </c>
      <c r="U6" s="23">
        <f>-IF(U3-2026&lt;Assumptions!$B$19,Assumptions!$B$18,Assumptions!$B$18*Assumptions!$B$20*Assumptions!$B$16)</f>
        <v>-2.72895868416</v>
      </c>
      <c r="V6" s="23">
        <f>-IF(V3-2026&lt;Assumptions!$B$19,Assumptions!$B$18,Assumptions!$B$18*Assumptions!$B$20*Assumptions!$B$16)</f>
        <v>-2.72895868416</v>
      </c>
    </row>
    <row r="7">
      <c r="A7" s="14" t="inlineStr">
        <is>
          <t>Pre-tax cash flow</t>
        </is>
      </c>
      <c r="C7" s="23">
        <f>C5+C6</f>
        <v>-51.904</v>
      </c>
      <c r="D7" s="23">
        <f>D5+D6</f>
        <v>-51.904</v>
      </c>
      <c r="E7" s="23">
        <f>E5+E6</f>
        <v>-51.904</v>
      </c>
      <c r="F7" s="23">
        <f>F5+F6</f>
        <v>-51.904</v>
      </c>
      <c r="G7" s="23">
        <f>G5+G6</f>
        <v>-2.72895868416</v>
      </c>
      <c r="H7" s="23">
        <f>H5+H6</f>
        <v>0.7270413158400002</v>
      </c>
      <c r="I7" s="23">
        <f>I5+I6</f>
        <v>14.959041315840002</v>
      </c>
      <c r="J7" s="23">
        <f>J5+J6</f>
        <v>35.443041315840006</v>
      </c>
      <c r="K7" s="23">
        <f>K5+K6</f>
        <v>60.45104131584</v>
      </c>
      <c r="L7" s="23">
        <f>L5+L6</f>
        <v>85.45904131584</v>
      </c>
      <c r="M7" s="23">
        <f>M5+M6</f>
        <v>108.73904131584</v>
      </c>
      <c r="N7" s="23">
        <f>N5+N6</f>
        <v>122.31104131584</v>
      </c>
      <c r="O7" s="23">
        <f>O5+O6</f>
        <v>122.31104131584</v>
      </c>
      <c r="P7" s="23">
        <f>P5+P6</f>
        <v>122.31104131584</v>
      </c>
      <c r="Q7" s="23">
        <f>Q5+Q6</f>
        <v>122.31104131584</v>
      </c>
      <c r="R7" s="23">
        <f>R5+R6</f>
        <v>122.31104131584</v>
      </c>
      <c r="S7" s="23">
        <f>S5+S6</f>
        <v>122.31104131584</v>
      </c>
      <c r="T7" s="23">
        <f>T5+T6</f>
        <v>122.31104131584</v>
      </c>
      <c r="U7" s="23">
        <f>U5+U6</f>
        <v>105.03104131584</v>
      </c>
      <c r="V7" s="23">
        <f>V5+V6</f>
        <v>51.151041315840004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0.7270413158400002</v>
      </c>
      <c r="I8" s="23">
        <f>MIN(H17,MAX(0,I7))</f>
        <v>14.959041315840002</v>
      </c>
      <c r="J8" s="23">
        <f>MIN(I17,MAX(0,J7))</f>
        <v>35.443041315840006</v>
      </c>
      <c r="K8" s="23">
        <f>MIN(J17,MAX(0,K7))</f>
        <v>60.45104131584</v>
      </c>
      <c r="L8" s="23">
        <f>MIN(K17,MAX(0,L7))</f>
        <v>85.45904131584</v>
      </c>
      <c r="M8" s="23">
        <f>MIN(L17,MAX(0,M7))</f>
        <v>108.73904131584</v>
      </c>
      <c r="N8" s="23">
        <f>MIN(M17,MAX(0,N7))</f>
        <v>122.31104131584</v>
      </c>
      <c r="O8" s="23">
        <f>MIN(N17,MAX(0,O7))</f>
        <v>122.31104131584</v>
      </c>
      <c r="P8" s="23">
        <f>MIN(O17,MAX(0,P7))</f>
        <v>122.31104131584</v>
      </c>
      <c r="Q8" s="23">
        <f>MIN(P17,MAX(0,Q7))</f>
        <v>122.31104131584</v>
      </c>
      <c r="R8" s="23">
        <f>MIN(Q17,MAX(0,R7))</f>
        <v>122.31104131584</v>
      </c>
      <c r="S8" s="23">
        <f>MIN(R17,MAX(0,S7))</f>
        <v>122.31104131584</v>
      </c>
      <c r="T8" s="23">
        <f>MIN(S17,MAX(0,T7))</f>
        <v>122.31104131584</v>
      </c>
      <c r="U8" s="23">
        <f>MIN(T17,MAX(0,U7))</f>
        <v>105.03104131584</v>
      </c>
      <c r="V8" s="23">
        <f>MIN(U17,MAX(0,V7))</f>
        <v>51.151041315840004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-51.904</v>
      </c>
      <c r="D11" s="55">
        <f>D7-D10</f>
        <v>-51.904</v>
      </c>
      <c r="E11" s="55">
        <f>E7-E10</f>
        <v>-51.904</v>
      </c>
      <c r="F11" s="55">
        <f>F7-F10</f>
        <v>-51.904</v>
      </c>
      <c r="G11" s="55">
        <f>G7-G10</f>
        <v>-2.72895868416</v>
      </c>
      <c r="H11" s="55">
        <f>H7-H10</f>
        <v>0.7270413158400002</v>
      </c>
      <c r="I11" s="55">
        <f>I7-I10</f>
        <v>14.959041315840002</v>
      </c>
      <c r="J11" s="55">
        <f>J7-J10</f>
        <v>35.443041315840006</v>
      </c>
      <c r="K11" s="55">
        <f>K7-K10</f>
        <v>60.45104131584</v>
      </c>
      <c r="L11" s="55">
        <f>L7-L10</f>
        <v>85.45904131584</v>
      </c>
      <c r="M11" s="55">
        <f>M7-M10</f>
        <v>108.73904131584</v>
      </c>
      <c r="N11" s="55">
        <f>N7-N10</f>
        <v>122.31104131584</v>
      </c>
      <c r="O11" s="55">
        <f>O7-O10</f>
        <v>122.31104131584</v>
      </c>
      <c r="P11" s="55">
        <f>P7-P10</f>
        <v>122.31104131584</v>
      </c>
      <c r="Q11" s="55">
        <f>Q7-Q10</f>
        <v>122.31104131584</v>
      </c>
      <c r="R11" s="55">
        <f>R7-R10</f>
        <v>122.31104131584</v>
      </c>
      <c r="S11" s="55">
        <f>S7-S10</f>
        <v>122.31104131584</v>
      </c>
      <c r="T11" s="55">
        <f>T7-T10</f>
        <v>122.31104131584</v>
      </c>
      <c r="U11" s="55">
        <f>U7-U10</f>
        <v>105.03104131584</v>
      </c>
      <c r="V11" s="55">
        <f>V7-V10</f>
        <v>51.151041315840004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-25.427995331256977</v>
      </c>
      <c r="D16" s="55">
        <f>D11*D15</f>
        <v>-46.3213290469328</v>
      </c>
      <c r="E16" s="55">
        <f>E11*E15</f>
        <v>-41.358329506189996</v>
      </c>
      <c r="F16" s="55">
        <f>F11*F15</f>
        <v>-36.92707991624107</v>
      </c>
      <c r="G16" s="55">
        <f>G11*G15</f>
        <v>-1.7334969266423241</v>
      </c>
      <c r="H16" s="55">
        <f>H11*H15</f>
        <v>0.4123511253401704</v>
      </c>
      <c r="I16" s="55">
        <f>I11*I15</f>
        <v>7.575195259352015</v>
      </c>
      <c r="J16" s="55">
        <f>J11*J15</f>
        <v>16.02518413470342</v>
      </c>
      <c r="K16" s="55">
        <f>K11*K15</f>
        <v>24.403819890006076</v>
      </c>
      <c r="L16" s="55">
        <f>L11*L15</f>
        <v>30.803071124768966</v>
      </c>
      <c r="M16" s="55">
        <f>M11*M15</f>
        <v>34.99479704919948</v>
      </c>
      <c r="N16" s="55">
        <f>N11*N15</f>
        <v>35.14516773310478</v>
      </c>
      <c r="O16" s="55">
        <f>O11*O15</f>
        <v>31.379614047414975</v>
      </c>
      <c r="P16" s="55">
        <f>P11*P15</f>
        <v>28.017512542334796</v>
      </c>
      <c r="Q16" s="55">
        <f>Q11*Q15</f>
        <v>25.01563619851321</v>
      </c>
      <c r="R16" s="55">
        <f>R11*R15</f>
        <v>22.335389462958222</v>
      </c>
      <c r="S16" s="55">
        <f>S11*S15</f>
        <v>19.94231202049841</v>
      </c>
      <c r="T16" s="55">
        <f>T11*T15</f>
        <v>17.805635732587866</v>
      </c>
      <c r="U16" s="55">
        <f>U11*U15</f>
        <v>13.65184878945972</v>
      </c>
      <c r="V16" s="55">
        <f>V11*V15</f>
        <v>5.936223648732108</v>
      </c>
    </row>
    <row r="17">
      <c r="A17" s="14" t="inlineStr">
        <is>
          <t>Tax-loss carryforward, end of year</t>
        </is>
      </c>
      <c r="C17" s="23">
        <f>Assumptions!$B$21-C8+MAX(0,-C7)</f>
        <v>70138.504</v>
      </c>
      <c r="D17" s="23">
        <f>C17-D8+MAX(0,-D7)</f>
        <v>70190.408</v>
      </c>
      <c r="E17" s="23">
        <f>D17-E8+MAX(0,-E7)</f>
        <v>70242.31199999999</v>
      </c>
      <c r="F17" s="23">
        <f>E17-F8+MAX(0,-F7)</f>
        <v>70294.21599999999</v>
      </c>
      <c r="G17" s="23">
        <f>F17-G8+MAX(0,-G7)</f>
        <v>70296.94495868415</v>
      </c>
      <c r="H17" s="23">
        <f>G17-H8+MAX(0,-H7)</f>
        <v>70296.21791736831</v>
      </c>
      <c r="I17" s="23">
        <f>H17-I8+MAX(0,-I7)</f>
        <v>70281.25887605247</v>
      </c>
      <c r="J17" s="23">
        <f>I17-J8+MAX(0,-J7)</f>
        <v>70245.81583473663</v>
      </c>
      <c r="K17" s="23">
        <f>J17-K8+MAX(0,-K7)</f>
        <v>70185.36479342078</v>
      </c>
      <c r="L17" s="23">
        <f>K17-L8+MAX(0,-L7)</f>
        <v>70099.90575210494</v>
      </c>
      <c r="M17" s="23">
        <f>L17-M8+MAX(0,-M7)</f>
        <v>69991.1667107891</v>
      </c>
      <c r="N17" s="23">
        <f>M17-N8+MAX(0,-N7)</f>
        <v>69868.85566947325</v>
      </c>
      <c r="O17" s="23">
        <f>N17-O8+MAX(0,-O7)</f>
        <v>69746.54462815741</v>
      </c>
      <c r="P17" s="23">
        <f>O17-P8+MAX(0,-P7)</f>
        <v>69624.23358684157</v>
      </c>
      <c r="Q17" s="23">
        <f>P17-Q8+MAX(0,-Q7)</f>
        <v>69501.92254552573</v>
      </c>
      <c r="R17" s="23">
        <f>Q17-R8+MAX(0,-R7)</f>
        <v>69379.61150420988</v>
      </c>
      <c r="S17" s="23">
        <f>R17-S8+MAX(0,-S7)</f>
        <v>69257.30046289404</v>
      </c>
      <c r="T17" s="23">
        <f>S17-T8+MAX(0,-T7)</f>
        <v>69134.9894215782</v>
      </c>
      <c r="U17" s="23">
        <f>T17-U8+MAX(0,-U7)</f>
        <v>69029.95838026235</v>
      </c>
      <c r="V17" s="23">
        <f>U17-V8+MAX(0,-V7)</f>
        <v>68978.80733894651</v>
      </c>
    </row>
    <row r="19">
      <c r="A19" s="14" t="inlineStr">
        <is>
          <t>PV of risked pipeline contribution</t>
        </is>
      </c>
      <c r="B19" s="23">
        <f>SUMPRODUCT(C5:V5,C15:V15)</f>
        <v>325.2503714192391</v>
      </c>
    </row>
    <row r="20">
      <c r="A20" s="14" t="inlineStr">
        <is>
          <t>PV of corporate burn</t>
        </is>
      </c>
      <c r="B20" s="23">
        <f>SUMPRODUCT(C6:V6,C15:V15)</f>
        <v>-163.5748433875281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161.675528031711</v>
      </c>
    </row>
    <row r="23">
      <c r="A23" s="14" t="inlineStr">
        <is>
          <t>Cash &amp; investments</t>
        </is>
      </c>
      <c r="B23" s="57">
        <f>Main!C7</f>
        <v>110.506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272.18152803171097</v>
      </c>
    </row>
    <row r="26">
      <c r="A26" s="14" t="inlineStr">
        <is>
          <t>Shares (mm)</t>
        </is>
      </c>
      <c r="B26" s="57">
        <f>Main!C4</f>
        <v>57.453747</v>
      </c>
    </row>
    <row r="27">
      <c r="A27" s="24" t="inlineStr">
        <is>
          <t>rNPV / share</t>
        </is>
      </c>
      <c r="B27" s="60">
        <f>B25/B26</f>
        <v>4.737402558473879</v>
      </c>
    </row>
    <row r="28">
      <c r="A28" s="14" t="inlineStr">
        <is>
          <t>Price</t>
        </is>
      </c>
      <c r="B28" s="61">
        <f>Main!C3</f>
        <v>2.07</v>
      </c>
    </row>
    <row r="29">
      <c r="A29" s="14" t="inlineStr">
        <is>
          <t>Upside</t>
        </is>
      </c>
      <c r="B29" s="62">
        <f>B27/B28-1</f>
        <v>1.2886002697941445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2026-10-21T06:28:13Z</dcterms:modified>
  <cp:lastModifiedBy>Wang, Eric</cp:lastModifiedBy>
</cp:coreProperties>
</file>