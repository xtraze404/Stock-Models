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Black Diamond Therapeutics Inc</t>
        </is>
      </c>
      <c r="C2" s="10" t="n"/>
    </row>
    <row r="3">
      <c r="B3" t="inlineStr">
        <is>
          <t>Price</t>
        </is>
      </c>
      <c r="C3" s="11">
        <f>INDEX([1]Pharma!$F$1:$F$1000,MATCH("BDTX",[1]Pharma!$B$1:$B$1000,0))</f>
        <v>2.07</v>
      </c>
      <c r="F3" s="1" t="n"/>
    </row>
    <row r="4">
      <c r="B4" t="inlineStr">
        <is>
          <t>Shares</t>
        </is>
      </c>
      <c r="C4" s="21" t="n">
        <v>57.453747</v>
      </c>
      <c r="F4" s="1" t="n"/>
    </row>
    <row r="5">
      <c r="B5" t="inlineStr">
        <is>
          <t>Market Cap.</t>
        </is>
      </c>
      <c r="C5" s="13">
        <f>C3*C4</f>
        <v>118.92925628999998</v>
      </c>
      <c r="F5" s="1" t="n"/>
    </row>
    <row r="6"/>
    <row r="7">
      <c r="B7" t="inlineStr">
        <is>
          <t>Cash</t>
        </is>
      </c>
      <c r="C7" s="21">
        <f>19.194+91.312</f>
        <v>110.506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8.423256289999983</v>
      </c>
    </row>
    <row r="10"/>
    <row r="11">
      <c r="B11" s="14" t="inlineStr">
        <is>
          <t>Net Cash / Share</t>
        </is>
      </c>
      <c r="C11" s="11">
        <f>(C7-C8)/C4</f>
        <v>1.9233906537027081</v>
      </c>
    </row>
    <row r="12">
      <c r="B12" s="14" t="inlineStr">
        <is>
          <t>Upside</t>
        </is>
      </c>
      <c r="C12" s="15">
        <f>IFERROR(C11/C3-1,"")</f>
        <v>-0.07082577115811195</v>
      </c>
    </row>
    <row r="13">
      <c r="B13" s="14" t="inlineStr">
        <is>
          <t>Cash / Share</t>
        </is>
      </c>
      <c r="C13" s="11">
        <f>IFERROR((C7-C8)/C4,"")</f>
        <v>1.9233906537027081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-32.837</v>
      </c>
    </row>
    <row r="18">
      <c r="B18" s="14" t="inlineStr">
        <is>
          <t>Runway (years)</t>
        </is>
      </c>
      <c r="C18" s="22">
        <f>IF(AND(ISNUMBER(C17),C17&lt;0),IF(C7&gt;C8,(C7-C8)/-C17,"net debt"),"n/a")</f>
        <v>3.3652891555257787</v>
      </c>
    </row>
    <row r="19">
      <c r="B19" s="14" t="inlineStr">
        <is>
          <t>Implied Pipeline Value</t>
        </is>
      </c>
      <c r="C19" s="13">
        <f>C9</f>
        <v>8.423256289999983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2018</v>
      </c>
      <c r="C1" s="17" t="n">
        <v>2019</v>
      </c>
      <c r="D1" s="17" t="n">
        <v>2020</v>
      </c>
      <c r="E1" s="17" t="n">
        <v>2021</v>
      </c>
      <c r="F1" s="17" t="n">
        <v>2022</v>
      </c>
      <c r="G1" s="17" t="n">
        <v>2023</v>
      </c>
      <c r="H1" s="17" t="n">
        <v>2024</v>
      </c>
      <c r="I1" s="17" t="n">
        <v>2025</v>
      </c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70</v>
      </c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70.0</v>
      </c>
      <c r="J4" s="1" t="n"/>
      <c r="K4" s="1" t="n"/>
    </row>
    <row r="5">
      <c r="A5" s="2" t="inlineStr">
        <is>
          <t>Research &amp; Dev.</t>
        </is>
      </c>
      <c r="B5" s="23" t="n">
        <v>6.95</v>
      </c>
      <c r="C5" s="23" t="n">
        <v>21.753</v>
      </c>
      <c r="D5" s="23" t="n">
        <v>48.209</v>
      </c>
      <c r="E5" s="23" t="n">
        <v>96.82899999999999</v>
      </c>
      <c r="F5" s="23" t="n">
        <v>64.437</v>
      </c>
      <c r="G5" s="23" t="n">
        <v>59.35</v>
      </c>
      <c r="H5" s="23" t="n">
        <v>51.312</v>
      </c>
      <c r="I5" s="23" t="n">
        <v>33.558</v>
      </c>
      <c r="J5" s="1" t="n"/>
      <c r="K5" s="1" t="n"/>
    </row>
    <row r="6">
      <c r="A6" s="19" t="inlineStr">
        <is>
          <t>SG&amp;A &amp; Other</t>
        </is>
      </c>
      <c r="B6" s="23" t="n">
        <v>1.954</v>
      </c>
      <c r="C6" s="23" t="n">
        <v>7.579</v>
      </c>
      <c r="D6" s="23" t="n">
        <v>21.361</v>
      </c>
      <c r="E6" s="23" t="n">
        <v>30.043</v>
      </c>
      <c r="F6" s="23" t="n">
        <v>28.391</v>
      </c>
      <c r="G6" s="23" t="n">
        <v>27.11</v>
      </c>
      <c r="H6" s="23" t="n">
        <v>27.469</v>
      </c>
      <c r="I6" s="23" t="n">
        <v>23.92</v>
      </c>
      <c r="J6" s="1" t="n"/>
      <c r="K6" s="1" t="n"/>
    </row>
    <row r="7">
      <c r="A7" s="2" t="inlineStr">
        <is>
          <t>Operating Expense</t>
        </is>
      </c>
      <c r="B7" s="23">
        <f>SUM(B5:B6)</f>
        <v>8.904</v>
      </c>
      <c r="C7" s="23">
        <f>SUM(C5:C6)</f>
        <v>29.332</v>
      </c>
      <c r="D7" s="23">
        <f>SUM(D5:D6)</f>
        <v>69.57000000000001</v>
      </c>
      <c r="E7" s="23">
        <f>SUM(E5:E6)</f>
        <v>126.87199999999999</v>
      </c>
      <c r="F7" s="23">
        <f>SUM(F5:F6)</f>
        <v>92.828</v>
      </c>
      <c r="G7" s="23">
        <f>SUM(G5:G6)</f>
        <v>86.46000000000001</v>
      </c>
      <c r="H7" s="23">
        <f>SUM(H5:H6)</f>
        <v>78.781</v>
      </c>
      <c r="I7" s="23">
        <f>SUM(I5:I6)</f>
        <v>57.478</v>
      </c>
      <c r="J7" s="1" t="n"/>
      <c r="K7" s="1" t="n"/>
    </row>
    <row r="8">
      <c r="A8" s="2" t="inlineStr">
        <is>
          <t>Operating Income</t>
        </is>
      </c>
      <c r="B8" s="23">
        <f>B4-B7</f>
        <v>-8.904</v>
      </c>
      <c r="C8" s="23">
        <f>C4-C7</f>
        <v>-29.332</v>
      </c>
      <c r="D8" s="23">
        <f>D4-D7</f>
        <v>-69.57000000000001</v>
      </c>
      <c r="E8" s="23">
        <f>E4-E7</f>
        <v>-126.87199999999999</v>
      </c>
      <c r="F8" s="23">
        <f>F4-F7</f>
        <v>-92.828</v>
      </c>
      <c r="G8" s="23">
        <f>G4-G7</f>
        <v>-86.46000000000001</v>
      </c>
      <c r="H8" s="23">
        <f>H4-H7</f>
        <v>-78.781</v>
      </c>
      <c r="I8" s="23">
        <f>I4-I7</f>
        <v>12.521999999999998</v>
      </c>
      <c r="J8" s="1" t="n"/>
      <c r="K8" s="1" t="n"/>
    </row>
    <row r="9">
      <c r="A9" s="19" t="inlineStr">
        <is>
          <t>Interest &amp; Other</t>
        </is>
      </c>
      <c r="B9" s="23" t="n">
        <v>-0.027</v>
      </c>
      <c r="C9" s="23" t="n">
        <v>-5.926</v>
      </c>
      <c r="D9" s="23" t="n">
        <v>2.316</v>
      </c>
      <c r="E9" s="23" t="n">
        <v>1.276</v>
      </c>
      <c r="F9" s="23" t="n">
        <v>1.659</v>
      </c>
      <c r="G9" s="23" t="n">
        <v>4.018</v>
      </c>
      <c r="H9" s="23" t="n">
        <v>-69597.219</v>
      </c>
      <c r="I9" s="23" t="n">
        <v>22354.478</v>
      </c>
    </row>
    <row r="10">
      <c r="A10" s="2" t="inlineStr">
        <is>
          <t>Pretax</t>
        </is>
      </c>
      <c r="B10" s="23">
        <f>B8+B9</f>
        <v>-8.931</v>
      </c>
      <c r="C10" s="23">
        <f>C8+C9</f>
        <v>-35.258</v>
      </c>
      <c r="D10" s="23">
        <f>D8+D9</f>
        <v>-67.254</v>
      </c>
      <c r="E10" s="23">
        <f>E8+E9</f>
        <v>-125.59599999999999</v>
      </c>
      <c r="F10" s="23">
        <f>F8+F9</f>
        <v>-91.169</v>
      </c>
      <c r="G10" s="23">
        <f>G8+G9</f>
        <v>-82.44200000000001</v>
      </c>
      <c r="H10" s="23">
        <f>H8+H9</f>
        <v>-69676.0</v>
      </c>
      <c r="I10" s="23">
        <f>I8+I9</f>
        <v>22367.0</v>
      </c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</row>
    <row r="12">
      <c r="A12" s="2" t="inlineStr">
        <is>
          <t>Net Income</t>
        </is>
      </c>
      <c r="B12" s="23" t="n">
        <v>-8.930999999999999</v>
      </c>
      <c r="C12" s="23" t="n">
        <v>-35.258</v>
      </c>
      <c r="D12" s="23" t="n">
        <v>-67.254</v>
      </c>
      <c r="E12" s="23" t="n">
        <v>-125.596</v>
      </c>
      <c r="F12" s="23" t="n">
        <v>-91.169</v>
      </c>
      <c r="G12" s="23" t="n">
        <v>-82.44199999999999</v>
      </c>
      <c r="H12" s="23" t="n">
        <v>-69676</v>
      </c>
      <c r="I12" s="23" t="n">
        <v>22367</v>
      </c>
      <c r="J12" s="1" t="n"/>
      <c r="K12" s="1" t="n"/>
    </row>
    <row r="13">
      <c r="A13" s="2" t="inlineStr">
        <is>
          <t>Earnings per Share</t>
        </is>
      </c>
      <c r="B13" s="11">
        <f>IFERROR(B12/B14,0)</f>
        <v>-0.2765186698866802</v>
      </c>
      <c r="C13" s="11">
        <f>IFERROR(C12/C14,0)</f>
        <v>-1.0616042394315308</v>
      </c>
      <c r="D13" s="11">
        <f>IFERROR(D12/D14,0)</f>
        <v>-2.0437596863889147</v>
      </c>
      <c r="E13" s="11">
        <f>IFERROR(E12/E14,0)</f>
        <v>-3.47055735168145</v>
      </c>
      <c r="F13" s="11">
        <f>IFERROR(F12/F14,0)</f>
        <v>-2.50974508616418</v>
      </c>
      <c r="G13" s="11">
        <f>IFERROR(G12/G14,0)</f>
        <v>-1.8756000455010806</v>
      </c>
      <c r="H13" s="11">
        <f>IFERROR(H12/H14,0)</f>
        <v>-1266.191756923748</v>
      </c>
      <c r="I13" s="11">
        <f>IFERROR(I12/I14,0)</f>
        <v>388.56557163455693</v>
      </c>
    </row>
    <row r="14">
      <c r="A14" s="2" t="inlineStr">
        <is>
          <t>Shares</t>
        </is>
      </c>
      <c r="B14" s="23" t="n">
        <v>32.298</v>
      </c>
      <c r="C14" s="23" t="n">
        <v>33.212</v>
      </c>
      <c r="D14" s="23" t="n">
        <v>32.907</v>
      </c>
      <c r="E14" s="23" t="n">
        <v>36.189</v>
      </c>
      <c r="F14" s="23" t="n">
        <v>36.326</v>
      </c>
      <c r="G14" s="23" t="n">
        <v>43.955</v>
      </c>
      <c r="H14" s="23" t="n">
        <v>55.028</v>
      </c>
      <c r="I14" s="23" t="n">
        <v>57.563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>1.0</v>
      </c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>0.17888571428571426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2026-10-21T01:05:57Z</dcterms:modified>
  <cp:lastModifiedBy>Wang, Eric</cp:lastModifiedBy>
</cp:coreProperties>
</file>