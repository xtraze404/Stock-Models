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Tempest Therapeutics Inc</t>
        </is>
      </c>
      <c r="C2" s="10" t="n"/>
    </row>
    <row r="3">
      <c r="B3" t="inlineStr">
        <is>
          <t>Price</t>
        </is>
      </c>
      <c r="C3" s="11">
        <f>INDEX([1]Pharma!$F$1:$F$1000,MATCH("TPST",[1]Pharma!$B$1:$B$1000,0))</f>
        <v>0.5762</v>
      </c>
      <c r="F3" s="1" t="n"/>
    </row>
    <row r="4">
      <c r="B4" t="inlineStr">
        <is>
          <t>Shares</t>
        </is>
      </c>
      <c r="C4" s="21" t="n">
        <v>15.979411</v>
      </c>
      <c r="F4" s="1" t="n"/>
    </row>
    <row r="5">
      <c r="B5" t="inlineStr">
        <is>
          <t>Market Cap.</t>
        </is>
      </c>
      <c r="C5" s="13">
        <f>C3*C4</f>
        <v>9.207336618200001</v>
      </c>
      <c r="F5" s="1" t="n"/>
    </row>
    <row r="6"/>
    <row r="7">
      <c r="B7" t="inlineStr">
        <is>
          <t>Cash</t>
        </is>
      </c>
      <c r="C7" s="21" t="n">
        <v>0.779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8.428336618200001</v>
      </c>
    </row>
    <row r="10"/>
    <row r="11">
      <c r="B11" s="14" t="inlineStr">
        <is>
          <t>Net Cash / Share</t>
        </is>
      </c>
      <c r="C11" s="11">
        <f>(C7-C8)/C4</f>
        <v>0.048750232408441084</v>
      </c>
    </row>
    <row r="12">
      <c r="B12" s="14" t="inlineStr">
        <is>
          <t>Upside</t>
        </is>
      </c>
      <c r="C12" s="15">
        <f>IFERROR(C11/C3-1,"")</f>
        <v>-0.9153935570835802</v>
      </c>
    </row>
    <row r="13">
      <c r="B13" s="14" t="inlineStr">
        <is>
          <t>Cash / Share</t>
        </is>
      </c>
      <c r="C13" s="11">
        <f>IFERROR((C7-C8)/C4,"")</f>
        <v>0.048750232408441084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-20.73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0.03757838880849011</v>
      </c>
    </row>
    <row r="19">
      <c r="B19" s="14" t="inlineStr">
        <is>
          <t>Implied Pipeline Value</t>
        </is>
      </c>
      <c r="C19" s="13">
        <f>C9</f>
        <v>8.428336618200001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2012</v>
      </c>
      <c r="C1" s="17" t="n">
        <v>2013</v>
      </c>
      <c r="D1" s="17" t="n">
        <v>2014</v>
      </c>
      <c r="E1" s="17" t="n">
        <v>2015</v>
      </c>
      <c r="F1" s="17" t="n">
        <v>2016</v>
      </c>
      <c r="G1" s="17" t="n">
        <v>2017</v>
      </c>
      <c r="H1" s="17" t="n">
        <v>2018</v>
      </c>
      <c r="I1" s="17" t="n">
        <v>2019</v>
      </c>
      <c r="J1" s="17" t="n">
        <v>2020</v>
      </c>
      <c r="K1" s="17" t="n">
        <v>2021</v>
      </c>
      <c r="L1" s="17" t="n">
        <v>2022</v>
      </c>
      <c r="M1" s="17" t="n">
        <v>2023</v>
      </c>
      <c r="N1" s="17" t="n">
        <v>2024</v>
      </c>
      <c r="O1" s="17" t="n">
        <v>2025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0.277</v>
      </c>
      <c r="F2" s="23" t="n">
        <v>0.653</v>
      </c>
      <c r="G2" s="23" t="n">
        <v>0.295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2.249</v>
      </c>
      <c r="F3" s="23" t="n">
        <v>5.401</v>
      </c>
      <c r="G3" s="23" t="n">
        <v>0.79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-1.972</v>
      </c>
      <c r="F4" s="23">
        <f>F2-F3</f>
        <v>-4.747999999999999</v>
      </c>
      <c r="G4" s="23">
        <f>G2-G3</f>
        <v>-0.49500000000000005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</row>
    <row r="5">
      <c r="A5" s="2" t="inlineStr">
        <is>
          <t>Research &amp; Dev.</t>
        </is>
      </c>
      <c r="B5" s="23" t="n">
        <v>6.323</v>
      </c>
      <c r="C5" s="23" t="n">
        <v>15.802</v>
      </c>
      <c r="D5" s="23" t="n">
        <v>21.784</v>
      </c>
      <c r="E5" s="23" t="n">
        <v>18.433</v>
      </c>
      <c r="F5" s="23" t="n">
        <v>21.641</v>
      </c>
      <c r="G5" s="23" t="n">
        <v>18.337</v>
      </c>
      <c r="H5" s="23" t="n">
        <v>14.425</v>
      </c>
      <c r="I5" s="23" t="n">
        <v>27.843</v>
      </c>
      <c r="J5" s="23" t="n">
        <v>14.389</v>
      </c>
      <c r="K5" s="23" t="n">
        <v>17.166</v>
      </c>
      <c r="L5" s="23" t="n">
        <v>22.527</v>
      </c>
      <c r="M5" s="23" t="n">
        <v>17.498</v>
      </c>
      <c r="N5" s="23" t="n">
        <v>28.476</v>
      </c>
      <c r="O5" s="23" t="n">
        <v>12.606</v>
      </c>
    </row>
    <row r="6">
      <c r="A6" s="19" t="inlineStr">
        <is>
          <t>SG&amp;A &amp; Other</t>
        </is>
      </c>
      <c r="B6" s="23" t="n">
        <v>7.206</v>
      </c>
      <c r="C6" s="23" t="n">
        <v>13.332</v>
      </c>
      <c r="D6" s="23" t="n">
        <v>26.149</v>
      </c>
      <c r="E6" s="23" t="n">
        <v>51.594</v>
      </c>
      <c r="F6" s="23" t="n">
        <v>54.623</v>
      </c>
      <c r="G6" s="23" t="n">
        <v>65.494</v>
      </c>
      <c r="H6" s="23" t="n">
        <v>12.449</v>
      </c>
      <c r="I6" s="23" t="n">
        <v>17.556</v>
      </c>
      <c r="J6" s="23" t="n">
        <v>4.909</v>
      </c>
      <c r="K6" s="23" t="n">
        <v>9.82</v>
      </c>
      <c r="L6" s="23" t="n">
        <v>12.113</v>
      </c>
      <c r="M6" s="23" t="n">
        <v>11.659</v>
      </c>
      <c r="N6" s="23" t="n">
        <v>13.55</v>
      </c>
      <c r="O6" s="23" t="n">
        <v>13.969</v>
      </c>
    </row>
    <row r="7">
      <c r="A7" s="2" t="inlineStr">
        <is>
          <t>Operating Expense</t>
        </is>
      </c>
      <c r="B7" s="23">
        <f>SUM(B5:B6)</f>
        <v>13.529</v>
      </c>
      <c r="C7" s="23">
        <f>SUM(C5:C6)</f>
        <v>29.134</v>
      </c>
      <c r="D7" s="23">
        <f>SUM(D5:D6)</f>
        <v>47.933</v>
      </c>
      <c r="E7" s="23">
        <f>SUM(E5:E6)</f>
        <v>70.027</v>
      </c>
      <c r="F7" s="23">
        <f>SUM(F5:F6)</f>
        <v>76.264</v>
      </c>
      <c r="G7" s="23">
        <f>SUM(G5:G6)</f>
        <v>83.831</v>
      </c>
      <c r="H7" s="23">
        <f>SUM(H5:H6)</f>
        <v>26.874000000000002</v>
      </c>
      <c r="I7" s="23">
        <f>SUM(I5:I6)</f>
        <v>45.399</v>
      </c>
      <c r="J7" s="23">
        <f>SUM(J5:J6)</f>
        <v>19.298</v>
      </c>
      <c r="K7" s="23">
        <f>SUM(K5:K6)</f>
        <v>26.986</v>
      </c>
      <c r="L7" s="23">
        <f>SUM(L5:L6)</f>
        <v>34.64</v>
      </c>
      <c r="M7" s="23">
        <f>SUM(M5:M6)</f>
        <v>29.157000000000004</v>
      </c>
      <c r="N7" s="23">
        <f>SUM(N5:N6)</f>
        <v>42.025999999999996</v>
      </c>
      <c r="O7" s="23">
        <f>SUM(O5:O6)</f>
        <v>26.575</v>
      </c>
    </row>
    <row r="8">
      <c r="A8" s="2" t="inlineStr">
        <is>
          <t>Operating Income</t>
        </is>
      </c>
      <c r="B8" s="23">
        <f>B4-B7</f>
        <v>-13.529</v>
      </c>
      <c r="C8" s="23">
        <f>C4-C7</f>
        <v>-29.134</v>
      </c>
      <c r="D8" s="23">
        <f>D4-D7</f>
        <v>-47.933</v>
      </c>
      <c r="E8" s="23">
        <f>E4-E7</f>
        <v>-71.999</v>
      </c>
      <c r="F8" s="23">
        <f>F4-F7</f>
        <v>-81.012</v>
      </c>
      <c r="G8" s="23">
        <f>G4-G7</f>
        <v>-84.32600000000001</v>
      </c>
      <c r="H8" s="23">
        <f>H4-H7</f>
        <v>-26.874000000000002</v>
      </c>
      <c r="I8" s="23">
        <f>I4-I7</f>
        <v>-45.399</v>
      </c>
      <c r="J8" s="23">
        <f>J4-J7</f>
        <v>-19.298</v>
      </c>
      <c r="K8" s="23">
        <f>K4-K7</f>
        <v>-26.986</v>
      </c>
      <c r="L8" s="23">
        <f>L4-L7</f>
        <v>-34.64</v>
      </c>
      <c r="M8" s="23">
        <f>M4-M7</f>
        <v>-29.157000000000004</v>
      </c>
      <c r="N8" s="23">
        <f>N4-N7</f>
        <v>-42.025999999999996</v>
      </c>
      <c r="O8" s="23">
        <f>O4-O7</f>
        <v>-26.575</v>
      </c>
    </row>
    <row r="9">
      <c r="A9" s="19" t="inlineStr">
        <is>
          <t>Interest &amp; Other</t>
        </is>
      </c>
      <c r="B9" s="23" t="n">
        <v>0.019</v>
      </c>
      <c r="C9" s="23" t="n">
        <v>0.09</v>
      </c>
      <c r="D9" s="23" t="n">
        <v>-1.587</v>
      </c>
      <c r="E9" s="23" t="n">
        <v>-1.145</v>
      </c>
      <c r="F9" s="23" t="n">
        <v>-1.047</v>
      </c>
      <c r="G9" s="23" t="n">
        <v>-0.185</v>
      </c>
      <c r="H9" s="23" t="n">
        <v>-0.318</v>
      </c>
      <c r="I9" s="23" t="n">
        <v>0.831</v>
      </c>
      <c r="J9" s="23" t="n">
        <v>0.09</v>
      </c>
      <c r="K9" s="23" t="n">
        <v>-1.316</v>
      </c>
      <c r="L9" s="23" t="n">
        <v>-1.069</v>
      </c>
      <c r="M9" s="23" t="n">
        <v>-0.334</v>
      </c>
      <c r="N9" s="23" t="n">
        <v>0.183</v>
      </c>
      <c r="O9" s="23" t="n">
        <v>0.313</v>
      </c>
    </row>
    <row r="10">
      <c r="A10" s="2" t="inlineStr">
        <is>
          <t>Pretax</t>
        </is>
      </c>
      <c r="B10" s="23">
        <f>B8+B9</f>
        <v>-13.51</v>
      </c>
      <c r="C10" s="23">
        <f>C8+C9</f>
        <v>-29.044</v>
      </c>
      <c r="D10" s="23">
        <f>D8+D9</f>
        <v>-49.52</v>
      </c>
      <c r="E10" s="23">
        <f>E8+E9</f>
        <v>-73.14399999999999</v>
      </c>
      <c r="F10" s="23">
        <f>F8+F9</f>
        <v>-82.059</v>
      </c>
      <c r="G10" s="23">
        <f>G8+G9</f>
        <v>-84.51100000000001</v>
      </c>
      <c r="H10" s="23">
        <f>H8+H9</f>
        <v>-27.192000000000004</v>
      </c>
      <c r="I10" s="23">
        <f>I8+I9</f>
        <v>-44.568</v>
      </c>
      <c r="J10" s="23">
        <f>J8+J9</f>
        <v>-19.208</v>
      </c>
      <c r="K10" s="23">
        <f>K8+K9</f>
        <v>-28.302</v>
      </c>
      <c r="L10" s="23">
        <f>L8+L9</f>
        <v>-35.709</v>
      </c>
      <c r="M10" s="23">
        <f>M8+M9</f>
        <v>-29.491000000000003</v>
      </c>
      <c r="N10" s="23">
        <f>N8+N9</f>
        <v>-41.842999999999996</v>
      </c>
      <c r="O10" s="23">
        <f>O8+O9</f>
        <v>-26.262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0.075</v>
      </c>
      <c r="F11" s="23" t="n">
        <v>0.201</v>
      </c>
      <c r="G11" s="23" t="n">
        <v>0.067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</row>
    <row r="12">
      <c r="A12" s="2" t="inlineStr">
        <is>
          <t>Net Income</t>
        </is>
      </c>
      <c r="B12" s="23" t="n">
        <v>-13.51</v>
      </c>
      <c r="C12" s="23" t="n">
        <v>-29.044</v>
      </c>
      <c r="D12" s="23" t="n">
        <v>-49.52</v>
      </c>
      <c r="E12" s="23" t="n">
        <v>-73.21899999999999</v>
      </c>
      <c r="F12" s="23" t="n">
        <v>-82.26000000000001</v>
      </c>
      <c r="G12" s="23" t="n">
        <v>-84.578</v>
      </c>
      <c r="H12" s="23" t="n">
        <v>-27.192</v>
      </c>
      <c r="I12" s="23" t="n">
        <v>-44.568</v>
      </c>
      <c r="J12" s="23" t="n">
        <v>-19.208</v>
      </c>
      <c r="K12" s="23" t="n">
        <v>-28.302</v>
      </c>
      <c r="L12" s="23" t="n">
        <v>-35.709</v>
      </c>
      <c r="M12" s="23" t="n">
        <v>-29.491</v>
      </c>
      <c r="N12" s="23" t="n">
        <v>-41.843</v>
      </c>
      <c r="O12" s="23" t="n">
        <v>-26.262</v>
      </c>
    </row>
    <row r="13">
      <c r="A13" s="2" t="inlineStr">
        <is>
          <t>Earnings per Share</t>
        </is>
      </c>
      <c r="B13" s="11">
        <f>IFERROR(B12/B14,0)</f>
        <v>-6.348684210526315</v>
      </c>
      <c r="C13" s="11">
        <f>IFERROR(C12/C14,0)</f>
        <v>-4.906081081081081</v>
      </c>
      <c r="D13" s="11">
        <f>IFERROR(D12/D14,0)</f>
        <v>-5.969141755062681</v>
      </c>
      <c r="E13" s="11">
        <f>IFERROR(E12/E14,0)</f>
        <v>-7.380203608507207</v>
      </c>
      <c r="F13" s="11">
        <f>IFERROR(F12/F14,0)</f>
        <v>-6.985394021739131</v>
      </c>
      <c r="G13" s="11">
        <f>IFERROR(G12/G14,0)</f>
        <v>-7.2011919965942965</v>
      </c>
      <c r="H13" s="11">
        <f>IFERROR(H12/H14,0)</f>
        <v>-2.3598021348607134</v>
      </c>
      <c r="I13" s="11">
        <f>IFERROR(I12/I14,0)</f>
        <v>-3.928772919605078</v>
      </c>
      <c r="J13" s="11">
        <f>IFERROR(J12/J14,0)</f>
        <v>-1.7095051619793518</v>
      </c>
      <c r="K13" s="11">
        <f>IFERROR(K12/K14,0)</f>
        <v>-2.488963151877583</v>
      </c>
      <c r="L13" s="11">
        <f>IFERROR(L12/L14,0)</f>
        <v>-3.0919560135076636</v>
      </c>
      <c r="M13" s="11">
        <f>IFERROR(M12/M14,0)</f>
        <v>-1.913012454592631</v>
      </c>
      <c r="N13" s="11">
        <f>IFERROR(N12/N14,0)</f>
        <v>-19.498136067101587</v>
      </c>
      <c r="O13" s="11">
        <f>IFERROR(O12/O14,0)</f>
        <v>-6.328192771084337</v>
      </c>
    </row>
    <row r="14">
      <c r="A14" s="2" t="inlineStr">
        <is>
          <t>Shares</t>
        </is>
      </c>
      <c r="B14" s="23" t="n">
        <v>2.128</v>
      </c>
      <c r="C14" s="23" t="n">
        <v>5.92</v>
      </c>
      <c r="D14" s="23" t="n">
        <v>8.295999999999999</v>
      </c>
      <c r="E14" s="23" t="n">
        <v>9.920999999999999</v>
      </c>
      <c r="F14" s="23" t="n">
        <v>11.776</v>
      </c>
      <c r="G14" s="23" t="n">
        <v>11.745</v>
      </c>
      <c r="H14" s="23" t="n">
        <v>11.523</v>
      </c>
      <c r="I14" s="23" t="n">
        <v>11.344</v>
      </c>
      <c r="J14" s="23" t="n">
        <v>11.236</v>
      </c>
      <c r="K14" s="23" t="n">
        <v>11.371</v>
      </c>
      <c r="L14" s="23" t="n">
        <v>11.549</v>
      </c>
      <c r="M14" s="23" t="n">
        <v>15.416</v>
      </c>
      <c r="N14" s="23" t="n">
        <v>2.146</v>
      </c>
      <c r="O14" s="23" t="n">
        <v>4.15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1.3574007220216604</v>
      </c>
      <c r="G16" s="15">
        <f>IFERROR(G2/F2-1,"")</f>
        <v>-0.548238897396631</v>
      </c>
      <c r="H16" s="15">
        <f>IFERROR(H2/G2-1,"")</f>
        <v>-1.0</v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-7.119133574007219</v>
      </c>
      <c r="F17" s="15">
        <f>IFERROR(F4/F2,"")</f>
        <v>-7.27105666156202</v>
      </c>
      <c r="G17" s="15">
        <f>IFERROR(G4/G2,"")</f>
        <v>-1.6779661016949154</v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-259.9241877256317</v>
      </c>
      <c r="F18" s="15">
        <f>IFERROR(F8/F2,"")</f>
        <v>-124.06125574272588</v>
      </c>
      <c r="G18" s="15">
        <f>IFERROR(G8/G2,"")</f>
        <v>-285.85084745762714</v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2026-10-21T01:06:37Z</dcterms:modified>
  <cp:lastModifiedBy>Wang, Eric</cp:lastModifiedBy>
</cp:coreProperties>
</file>