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Beyondspring Inc</t>
        </is>
      </c>
      <c r="C2" s="10" t="n"/>
    </row>
    <row r="3">
      <c r="B3" t="inlineStr">
        <is>
          <t>Price</t>
        </is>
      </c>
      <c r="C3" s="11">
        <f>INDEX([1]Pharma!$F$1:$F$1000,MATCH("BYSI",[1]Pharma!$B$1:$B$1000,0))</f>
        <v>0.5227</v>
      </c>
      <c r="F3" s="1" t="n"/>
    </row>
    <row r="4">
      <c r="B4" t="inlineStr">
        <is>
          <t>Shares</t>
        </is>
      </c>
      <c r="C4" s="21" t="n">
        <v>41.11982</v>
      </c>
      <c r="F4" s="1" t="n"/>
    </row>
    <row r="5">
      <c r="B5" t="inlineStr">
        <is>
          <t>Market Cap.</t>
        </is>
      </c>
      <c r="C5" s="13">
        <f>C3*C4</f>
        <v>21.493329914</v>
      </c>
      <c r="F5" s="1" t="n"/>
    </row>
    <row r="6"/>
    <row r="7">
      <c r="B7" t="inlineStr">
        <is>
          <t>Cash</t>
        </is>
      </c>
      <c r="C7" s="21">
        <f>2.697+3.832</f>
        <v>6.529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14.964329914</v>
      </c>
    </row>
    <row r="10"/>
    <row r="11">
      <c r="B11" s="14" t="inlineStr">
        <is>
          <t>rNPV / Share</t>
        </is>
      </c>
      <c r="C11" s="11">
        <f>NPV!B27</f>
        <v>37.18559198474826</v>
      </c>
    </row>
    <row r="12">
      <c r="B12" s="14" t="inlineStr">
        <is>
          <t>Upside</t>
        </is>
      </c>
      <c r="C12" s="15">
        <f>IFERROR(C11/C3-1,"")</f>
        <v>70.14136595513345</v>
      </c>
    </row>
    <row r="13">
      <c r="B13" s="14" t="inlineStr">
        <is>
          <t>Cash / Share</t>
        </is>
      </c>
      <c r="C13" s="11">
        <f>IFERROR((C7-C8)/C4,"")</f>
        <v>0.15877987792748122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-16.746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0.3898841514391497</v>
      </c>
    </row>
    <row r="19">
      <c r="B19" s="14" t="inlineStr">
        <is>
          <t>Implied Pipeline Value</t>
        </is>
      </c>
      <c r="C19" s="13">
        <f>C9</f>
        <v>14.964329914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0.18</v>
      </c>
      <c r="I2" s="23" t="n">
        <v>1.351</v>
      </c>
      <c r="J2" s="23" t="n">
        <v>1.351</v>
      </c>
      <c r="K2" s="23" t="n">
        <v>0</v>
      </c>
      <c r="L2" s="23" t="n">
        <v>0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0.18</v>
      </c>
      <c r="I4" s="23">
        <f>I2-I3</f>
        <v>1.351</v>
      </c>
      <c r="J4" s="23">
        <f>J2-J3</f>
        <v>1.351</v>
      </c>
      <c r="K4" s="23">
        <f>K2-K3</f>
        <v>0.0</v>
      </c>
      <c r="L4" s="23">
        <f>L2-L3</f>
        <v>0.0</v>
      </c>
      <c r="M4" s="23">
        <f>M2-M3</f>
        <v>0.0</v>
      </c>
    </row>
    <row r="5">
      <c r="A5" s="2" t="inlineStr">
        <is>
          <t>Research &amp; Dev.</t>
        </is>
      </c>
      <c r="B5" s="23" t="n">
        <v>1.876</v>
      </c>
      <c r="C5" s="23" t="n">
        <v>6.282</v>
      </c>
      <c r="D5" s="23" t="n">
        <v>10.437</v>
      </c>
      <c r="E5" s="23" t="n">
        <v>88.928</v>
      </c>
      <c r="F5" s="23" t="n">
        <v>51.618</v>
      </c>
      <c r="G5" s="23" t="n">
        <v>31.342</v>
      </c>
      <c r="H5" s="23" t="n">
        <v>41.793</v>
      </c>
      <c r="I5" s="23" t="n">
        <v>36.888</v>
      </c>
      <c r="J5" s="23" t="n">
        <v>25.582</v>
      </c>
      <c r="K5" s="23" t="n">
        <v>7.272</v>
      </c>
      <c r="L5" s="23" t="n">
        <v>2.644</v>
      </c>
      <c r="M5" s="23" t="n">
        <v>4.388</v>
      </c>
    </row>
    <row r="6">
      <c r="A6" s="19" t="inlineStr">
        <is>
          <t>SG&amp;A &amp; Other</t>
        </is>
      </c>
      <c r="B6" s="23" t="n">
        <v>0.233</v>
      </c>
      <c r="C6" s="23" t="n">
        <v>1.193</v>
      </c>
      <c r="D6" s="23" t="n">
        <v>1.931</v>
      </c>
      <c r="E6" s="23" t="n">
        <v>9.053000000000001</v>
      </c>
      <c r="F6" s="23" t="n">
        <v>5.927</v>
      </c>
      <c r="G6" s="23" t="n">
        <v>8.965</v>
      </c>
      <c r="H6" s="23" t="n">
        <v>22.598</v>
      </c>
      <c r="I6" s="23" t="n">
        <v>30.703</v>
      </c>
      <c r="J6" s="23" t="n">
        <v>13.008</v>
      </c>
      <c r="K6" s="23" t="n">
        <v>7.809</v>
      </c>
      <c r="L6" s="23" t="n">
        <v>6.11</v>
      </c>
      <c r="M6" s="23" t="n">
        <v>4.557</v>
      </c>
    </row>
    <row r="7">
      <c r="A7" s="2" t="inlineStr">
        <is>
          <t>Operating Expense</t>
        </is>
      </c>
      <c r="B7" s="23">
        <f>SUM(B5:B6)</f>
        <v>2.109</v>
      </c>
      <c r="C7" s="23">
        <f>SUM(C5:C6)</f>
        <v>7.475</v>
      </c>
      <c r="D7" s="23">
        <f>SUM(D5:D6)</f>
        <v>12.367999999999999</v>
      </c>
      <c r="E7" s="23">
        <f>SUM(E5:E6)</f>
        <v>97.981</v>
      </c>
      <c r="F7" s="23">
        <f>SUM(F5:F6)</f>
        <v>57.545</v>
      </c>
      <c r="G7" s="23">
        <f>SUM(G5:G6)</f>
        <v>40.307</v>
      </c>
      <c r="H7" s="23">
        <f>SUM(H5:H6)</f>
        <v>64.39099999999999</v>
      </c>
      <c r="I7" s="23">
        <f>SUM(I5:I6)</f>
        <v>67.591</v>
      </c>
      <c r="J7" s="23">
        <f>SUM(J5:J6)</f>
        <v>38.59</v>
      </c>
      <c r="K7" s="23">
        <f>SUM(K5:K6)</f>
        <v>15.081</v>
      </c>
      <c r="L7" s="23">
        <f>SUM(L5:L6)</f>
        <v>8.754000000000001</v>
      </c>
      <c r="M7" s="23">
        <f>SUM(M5:M6)</f>
        <v>8.945</v>
      </c>
    </row>
    <row r="8">
      <c r="A8" s="2" t="inlineStr">
        <is>
          <t>Operating Income</t>
        </is>
      </c>
      <c r="B8" s="23">
        <f>B4-B7</f>
        <v>-2.109</v>
      </c>
      <c r="C8" s="23">
        <f>C4-C7</f>
        <v>-7.475</v>
      </c>
      <c r="D8" s="23">
        <f>D4-D7</f>
        <v>-12.367999999999999</v>
      </c>
      <c r="E8" s="23">
        <f>E4-E7</f>
        <v>-97.981</v>
      </c>
      <c r="F8" s="23">
        <f>F4-F7</f>
        <v>-57.545</v>
      </c>
      <c r="G8" s="23">
        <f>G4-G7</f>
        <v>-40.307</v>
      </c>
      <c r="H8" s="23">
        <f>H4-H7</f>
        <v>-64.21099999999998</v>
      </c>
      <c r="I8" s="23">
        <f>I4-I7</f>
        <v>-66.24</v>
      </c>
      <c r="J8" s="23">
        <f>J4-J7</f>
        <v>-37.239000000000004</v>
      </c>
      <c r="K8" s="23">
        <f>K4-K7</f>
        <v>-15.081</v>
      </c>
      <c r="L8" s="23">
        <f>L4-L7</f>
        <v>-8.754000000000001</v>
      </c>
      <c r="M8" s="23">
        <f>M4-M7</f>
        <v>-8.945</v>
      </c>
    </row>
    <row r="9">
      <c r="A9" s="19" t="inlineStr">
        <is>
          <t>Interest &amp; Other</t>
        </is>
      </c>
      <c r="B9" s="23" t="n">
        <v>-0.904</v>
      </c>
      <c r="C9" s="23" t="n">
        <v>-0.495</v>
      </c>
      <c r="D9" s="23" t="n">
        <v>0.358</v>
      </c>
      <c r="E9" s="23" t="n">
        <v>6.218</v>
      </c>
      <c r="F9" s="23" t="n">
        <v>2.676</v>
      </c>
      <c r="G9" s="23" t="n">
        <v>2.222</v>
      </c>
      <c r="H9" s="23" t="n">
        <v>3.238</v>
      </c>
      <c r="I9" s="23" t="n">
        <v>5.631</v>
      </c>
      <c r="J9" s="23" t="n">
        <v>4.123</v>
      </c>
      <c r="K9" s="23" t="n">
        <v>-6.037</v>
      </c>
      <c r="L9" s="23" t="n">
        <v>-2.273</v>
      </c>
      <c r="M9" s="23" t="n">
        <v>8.029</v>
      </c>
    </row>
    <row r="10">
      <c r="A10" s="2" t="inlineStr">
        <is>
          <t>Pretax</t>
        </is>
      </c>
      <c r="B10" s="23">
        <f>B8+B9</f>
        <v>-3.013</v>
      </c>
      <c r="C10" s="23">
        <f>C8+C9</f>
        <v>-7.97</v>
      </c>
      <c r="D10" s="23">
        <f>D8+D9</f>
        <v>-12.009999999999998</v>
      </c>
      <c r="E10" s="23">
        <f>E8+E9</f>
        <v>-91.76299999999999</v>
      </c>
      <c r="F10" s="23">
        <f>F8+F9</f>
        <v>-54.869</v>
      </c>
      <c r="G10" s="23">
        <f>G8+G9</f>
        <v>-38.085</v>
      </c>
      <c r="H10" s="23">
        <f>H8+H9</f>
        <v>-60.972999999999985</v>
      </c>
      <c r="I10" s="23">
        <f>I8+I9</f>
        <v>-60.608999999999995</v>
      </c>
      <c r="J10" s="23">
        <f>J8+J9</f>
        <v>-33.11600000000001</v>
      </c>
      <c r="K10" s="23">
        <f>K8+K9</f>
        <v>-21.118</v>
      </c>
      <c r="L10" s="23">
        <f>L8+L9</f>
        <v>-11.027000000000001</v>
      </c>
      <c r="M10" s="23">
        <f>M8+M9</f>
        <v>-0.9160000000000004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3.57</v>
      </c>
      <c r="J11" s="23" t="n">
        <v>0.163</v>
      </c>
      <c r="K11" s="23" t="n">
        <v>-0.092</v>
      </c>
      <c r="L11" s="23" t="n">
        <v>0.096</v>
      </c>
      <c r="M11" s="23" t="n">
        <v>0.09</v>
      </c>
    </row>
    <row r="12">
      <c r="A12" s="2" t="inlineStr">
        <is>
          <t>Net Income</t>
        </is>
      </c>
      <c r="B12" s="23" t="n">
        <v>-3.013</v>
      </c>
      <c r="C12" s="23" t="n">
        <v>-7.97</v>
      </c>
      <c r="D12" s="23" t="n">
        <v>-12.01</v>
      </c>
      <c r="E12" s="23" t="n">
        <v>-91.76300000000001</v>
      </c>
      <c r="F12" s="23" t="n">
        <v>-54.869</v>
      </c>
      <c r="G12" s="23" t="n">
        <v>-38.085</v>
      </c>
      <c r="H12" s="23" t="n">
        <v>-60.973</v>
      </c>
      <c r="I12" s="23" t="n">
        <v>-64.179</v>
      </c>
      <c r="J12" s="23" t="n">
        <v>-33.279</v>
      </c>
      <c r="K12" s="23" t="n">
        <v>-21.026</v>
      </c>
      <c r="L12" s="23" t="n">
        <v>-11.123</v>
      </c>
      <c r="M12" s="23" t="n">
        <v>-1.006</v>
      </c>
    </row>
    <row r="13">
      <c r="A13" s="2" t="inlineStr">
        <is>
          <t>Earnings per Share</t>
        </is>
      </c>
      <c r="B13" s="11">
        <f>IFERROR(B12/B14,0)</f>
        <v>-0.21660675772825305</v>
      </c>
      <c r="C13" s="11">
        <f>IFERROR(C12/C14,0)</f>
        <v>-0.5253444070924791</v>
      </c>
      <c r="D13" s="11">
        <f>IFERROR(D12/D14,0)</f>
        <v>-0.7466119607111775</v>
      </c>
      <c r="E13" s="11">
        <f>IFERROR(E12/E14,0)</f>
        <v>-4.397728361928497</v>
      </c>
      <c r="F13" s="11">
        <f>IFERROR(F12/F14,0)</f>
        <v>-2.4208691815574674</v>
      </c>
      <c r="G13" s="11">
        <f>IFERROR(G12/G14,0)</f>
        <v>-1.5452811815304714</v>
      </c>
      <c r="H13" s="11">
        <f>IFERROR(H12/H14,0)</f>
        <v>-2.0335178762006403</v>
      </c>
      <c r="I13" s="11">
        <f>IFERROR(I12/I14,0)</f>
        <v>-1.6446033210332103</v>
      </c>
      <c r="J13" s="11">
        <f>IFERROR(J12/J14,0)</f>
        <v>-0.8512777223543857</v>
      </c>
      <c r="K13" s="11">
        <f>IFERROR(K12/K14,0)</f>
        <v>0</v>
      </c>
      <c r="L13" s="11">
        <f>IFERROR(L12/L14,0)</f>
        <v>0</v>
      </c>
      <c r="M13" s="11">
        <f>IFERROR(M12/M14,0)</f>
        <v>0</v>
      </c>
    </row>
    <row r="14">
      <c r="A14" s="2" t="inlineStr">
        <is>
          <t>Shares</t>
        </is>
      </c>
      <c r="B14" s="23" t="n">
        <v>13.91</v>
      </c>
      <c r="C14" s="23" t="n">
        <v>15.171</v>
      </c>
      <c r="D14" s="23" t="n">
        <v>16.086</v>
      </c>
      <c r="E14" s="23" t="n">
        <v>20.866</v>
      </c>
      <c r="F14" s="23" t="n">
        <v>22.665</v>
      </c>
      <c r="G14" s="23" t="n">
        <v>24.646</v>
      </c>
      <c r="H14" s="23" t="n">
        <v>29.984</v>
      </c>
      <c r="I14" s="23" t="n">
        <v>39.024</v>
      </c>
      <c r="J14" s="23" t="n">
        <v>39.093</v>
      </c>
      <c r="K14" s="23" t="n"/>
      <c r="L14" s="23" t="n"/>
      <c r="M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6.5055555555555555</v>
      </c>
      <c r="J16" s="15">
        <f>IFERROR(J2/I2-1,"")</f>
        <v>0.0</v>
      </c>
      <c r="K16" s="15">
        <f>IFERROR(K2/J2-1,"")</f>
        <v>-1.0</v>
      </c>
      <c r="L16" s="15">
        <f>IFERROR(L2/K2-1,"")</f>
        <v/>
      </c>
      <c r="M16" s="15">
        <f>IFERROR(M2/L2-1,"")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/>
      </c>
      <c r="L17" s="15">
        <f>IFERROR(L4/L2,"")</f>
        <v/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-356.7277777777777</v>
      </c>
      <c r="I18" s="15">
        <f>IFERROR(I8/I2,"")</f>
        <v>-49.030347890451516</v>
      </c>
      <c r="J18" s="15">
        <f>IFERROR(J8/J2,"")</f>
        <v>-27.564026646928205</v>
      </c>
      <c r="K18" s="15">
        <f>IFERROR(K8/K2,"")</f>
        <v/>
      </c>
      <c r="L18" s="15">
        <f>IFERROR(L8/L2,"")</f>
        <v/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Beyondspring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0.4388000000000001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8.349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399.3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1522.5358490062908</v>
      </c>
      <c r="C29" s="42">
        <f>NPV!B25</f>
        <v>1529.0648490062908</v>
      </c>
      <c r="D29" s="43">
        <f>NPV!B27</f>
        <v>37.18559198474826</v>
      </c>
      <c r="E29" s="44">
        <f>NPV!B29</f>
        <v>70.14136595513345</v>
      </c>
    </row>
    <row r="30">
      <c r="A30" s="45" t="n">
        <v>1</v>
      </c>
      <c r="B30" s="46">
        <f t="dataTable" ref="B30:E32" r1="B4"/>
        <v>630.5958279793214</v>
      </c>
      <c r="C30" s="46">
        <v>637.1248279793214</v>
      </c>
      <c r="D30" s="47">
        <v>15.494348661529195</v>
      </c>
      <c r="E30" s="48">
        <v>28.642909243407676</v>
      </c>
    </row>
    <row r="31">
      <c r="A31" s="45" t="n">
        <v>2</v>
      </c>
      <c r="B31" s="46">
        <v>1522.5358490062908</v>
      </c>
      <c r="C31" s="46">
        <v>1529.0648490062908</v>
      </c>
      <c r="D31" s="47">
        <v>37.18559198474826</v>
      </c>
      <c r="E31" s="48">
        <v>70.14136595513345</v>
      </c>
    </row>
    <row r="32">
      <c r="A32" s="45" t="n">
        <v>3</v>
      </c>
      <c r="B32" s="46">
        <v>2885.0861866820055</v>
      </c>
      <c r="C32" s="46">
        <v>2891.6151866820055</v>
      </c>
      <c r="D32" s="47">
        <v>70.32168882748041</v>
      </c>
      <c r="E32" s="48">
        <v>133.5354674334808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37.18559198474826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11.617948105395776</v>
      </c>
      <c r="C37" s="47">
        <v>17.139670830583736</v>
      </c>
      <c r="D37" s="47">
        <v>22.63685747065136</v>
      </c>
      <c r="E37" s="47">
        <v>33.58500967181359</v>
      </c>
      <c r="F37" s="47">
        <v>44.508591451835144</v>
      </c>
    </row>
    <row r="38">
      <c r="A38" s="50" t="n">
        <v>0.8</v>
      </c>
      <c r="B38" s="47">
        <v>15.279756198418768</v>
      </c>
      <c r="C38" s="47">
        <v>22.61245659359165</v>
      </c>
      <c r="D38" s="47">
        <v>29.91122472769981</v>
      </c>
      <c r="E38" s="47">
        <v>44.484395225360714</v>
      </c>
      <c r="F38" s="47">
        <v>59.029639253155246</v>
      </c>
    </row>
    <row r="39">
      <c r="A39" s="50" t="n">
        <v>1</v>
      </c>
      <c r="B39" s="47">
        <v>18.92565193662212</v>
      </c>
      <c r="C39" s="47">
        <v>28.062131817113062</v>
      </c>
      <c r="D39" s="47">
        <v>37.18559198474826</v>
      </c>
      <c r="E39" s="47">
        <v>55.3691320197322</v>
      </c>
      <c r="F39" s="47">
        <v>73.55068705447536</v>
      </c>
    </row>
    <row r="40">
      <c r="A40" s="50" t="n">
        <v>1.2</v>
      </c>
      <c r="B40" s="47">
        <v>22.563654839472235</v>
      </c>
      <c r="C40" s="47">
        <v>33.51180704063447</v>
      </c>
      <c r="D40" s="47">
        <v>44.43600277241187</v>
      </c>
      <c r="E40" s="47">
        <v>66.25386881410367</v>
      </c>
      <c r="F40" s="47">
        <v>88.06640793375061</v>
      </c>
    </row>
    <row r="41">
      <c r="A41" s="50" t="n">
        <v>1.4</v>
      </c>
      <c r="B41" s="47">
        <v>26.188638029466603</v>
      </c>
      <c r="C41" s="47">
        <v>38.9573400355145</v>
      </c>
      <c r="D41" s="47">
        <v>51.684428559834714</v>
      </c>
      <c r="E41" s="47">
        <v>77.13860560847516</v>
      </c>
      <c r="F41" s="47">
        <v>102.56198534303441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Beyondspring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Plinabulin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1888.313405655788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131.64000000000001</v>
      </c>
      <c r="Q4" s="23">
        <f>IF(Q$3&lt;$I4,0,$G4*Assumptions!$E$11*INDEX(Assumptions!$B$24:$G$24,MIN(6,Q$3-$I4+1))*IF(Q$3&gt;$J4,(1-Assumptions!$B$26)^(Q$3-$J4),1)*IF($H4&gt;=1,1,MIN(0.97,$H4*Assumptions!$E$12)))</f>
        <v>329.1</v>
      </c>
      <c r="R4" s="23">
        <f>IF(R$3&lt;$I4,0,$G4*Assumptions!$E$11*INDEX(Assumptions!$B$24:$G$24,MIN(6,R$3-$I4+1))*IF(R$3&gt;$J4,(1-Assumptions!$B$26)^(R$3-$J4),1)*IF($H4&gt;=1,1,MIN(0.97,$H4*Assumptions!$E$12)))</f>
        <v>592.38</v>
      </c>
      <c r="S4" s="23">
        <f>IF(S$3&lt;$I4,0,$G4*Assumptions!$E$11*INDEX(Assumptions!$B$24:$G$24,MIN(6,S$3-$I4+1))*IF(S$3&gt;$J4,(1-Assumptions!$B$26)^(S$3-$J4),1)*IF($H4&gt;=1,1,MIN(0.97,$H4*Assumptions!$E$12)))</f>
        <v>855.6600000000001</v>
      </c>
      <c r="T4" s="23">
        <f>IF(T$3&lt;$I4,0,$G4*Assumptions!$E$11*INDEX(Assumptions!$B$24:$G$24,MIN(6,T$3-$I4+1))*IF(T$3&gt;$J4,(1-Assumptions!$B$26)^(T$3-$J4),1)*IF($H4&gt;=1,1,MIN(0.97,$H4*Assumptions!$E$12)))</f>
        <v>1118.94</v>
      </c>
      <c r="U4" s="23">
        <f>IF(U$3&lt;$I4,0,$G4*Assumptions!$E$11*INDEX(Assumptions!$B$24:$G$24,MIN(6,U$3-$I4+1))*IF(U$3&gt;$J4,(1-Assumptions!$B$26)^(U$3-$J4),1)*IF($H4&gt;=1,1,MIN(0.97,$H4*Assumptions!$E$12)))</f>
        <v>1316.4</v>
      </c>
      <c r="V4" s="23">
        <f>IF(V$3&lt;$I4,0,$G4*Assumptions!$E$11*INDEX(Assumptions!$B$24:$G$24,MIN(6,V$3-$I4+1))*IF(V$3&gt;$J4,(1-Assumptions!$B$26)^(V$3-$J4),1)*IF($H4&gt;=1,1,MIN(0.97,$H4*Assumptions!$E$12)))</f>
        <v>1316.4</v>
      </c>
      <c r="W4" s="23">
        <f>IF(W$3&lt;$I4,0,$G4*Assumptions!$E$11*INDEX(Assumptions!$B$24:$G$24,MIN(6,W$3-$I4+1))*IF(W$3&gt;$J4,(1-Assumptions!$B$26)^(W$3-$J4),1)*IF($H4&gt;=1,1,MIN(0.97,$H4*Assumptions!$E$12)))</f>
        <v>1316.4</v>
      </c>
      <c r="X4" s="23">
        <f>IF(X$3&lt;$I4,0,$G4*Assumptions!$E$11*INDEX(Assumptions!$B$24:$G$24,MIN(6,X$3-$I4+1))*IF(X$3&gt;$J4,(1-Assumptions!$B$26)^(X$3-$J4),1)*IF($H4&gt;=1,1,MIN(0.97,$H4*Assumptions!$E$12)))</f>
        <v>1316.4</v>
      </c>
      <c r="Y4" s="23">
        <f>IF(Y$3&lt;$I4,0,$G4*Assumptions!$E$11*INDEX(Assumptions!$B$24:$G$24,MIN(6,Y$3-$I4+1))*IF(Y$3&gt;$J4,(1-Assumptions!$B$26)^(Y$3-$J4),1)*IF($H4&gt;=1,1,MIN(0.97,$H4*Assumptions!$E$12)))</f>
        <v>1316.4</v>
      </c>
      <c r="Z4" s="23">
        <f>IF(Z$3&lt;$I4,0,$G4*Assumptions!$E$11*INDEX(Assumptions!$B$24:$G$24,MIN(6,Z$3-$I4+1))*IF(Z$3&gt;$J4,(1-Assumptions!$B$26)^(Z$3-$J4),1)*IF($H4&gt;=1,1,MIN(0.97,$H4*Assumptions!$E$12)))</f>
        <v>1316.4</v>
      </c>
      <c r="AA4" s="23">
        <f>IF(AA$3&lt;$I4,0,$G4*Assumptions!$E$11*INDEX(Assumptions!$B$24:$G$24,MIN(6,AA$3-$I4+1))*IF(AA$3&gt;$J4,(1-Assumptions!$B$26)^(AA$3-$J4),1)*IF($H4&gt;=1,1,MIN(0.97,$H4*Assumptions!$E$12)))</f>
        <v>1316.4</v>
      </c>
      <c r="AB4" s="23">
        <f>IF(AB$3&lt;$I4,0,$G4*Assumptions!$E$11*INDEX(Assumptions!$B$24:$G$24,MIN(6,AB$3-$I4+1))*IF(AB$3&gt;$J4,(1-Assumptions!$B$26)^(AB$3-$J4),1)*IF($H4&gt;=1,1,MIN(0.97,$H4*Assumptions!$E$12)))</f>
        <v>1316.4</v>
      </c>
      <c r="AC4" s="23">
        <f>IF(AC$3&lt;$I4,0,$G4*Assumptions!$E$11*INDEX(Assumptions!$B$24:$G$24,MIN(6,AC$3-$I4+1))*IF(AC$3&gt;$J4,(1-Assumptions!$B$26)^(AC$3-$J4),1)*IF($H4&gt;=1,1,MIN(0.97,$H4*Assumptions!$E$12)))</f>
        <v>658.2</v>
      </c>
      <c r="AD4" s="23">
        <f>IF(AD$3&lt;$I4,0,$G4*Assumptions!$E$11*INDEX(Assumptions!$B$24:$G$24,MIN(6,AD$3-$I4+1))*IF(AD$3&gt;$J4,(1-Assumptions!$B$26)^(AD$3-$J4),1)*IF($H4&gt;=1,1,MIN(0.97,$H4*Assumptions!$E$12)))</f>
        <v>329.1</v>
      </c>
      <c r="AE4" s="23">
        <f>IF(AE$3&lt;$I4,0,$G4*Assumptions!$E$11*INDEX(Assumptions!$B$24:$G$24,MIN(6,AE$3-$I4+1))*IF(AE$3&gt;$J4,(1-Assumptions!$B$26)^(AE$3-$J4),1)*IF($H4&gt;=1,1,MIN(0.97,$H4*Assumptions!$E$12)))</f>
        <v>164.55</v>
      </c>
      <c r="AF4" s="23">
        <f>IF(AF$3&lt;$I4,0,$G4*Assumptions!$E$11*INDEX(Assumptions!$B$24:$G$24,MIN(6,AF$3-$I4+1))*IF(AF$3&gt;$J4,(1-Assumptions!$B$26)^(AF$3-$J4),1)*IF($H4&gt;=1,1,MIN(0.97,$H4*Assumptions!$E$12)))</f>
        <v>82.275</v>
      </c>
      <c r="AG4" s="35">
        <f>IF(F4="Owned",1-IF(H4&gt;=1,1,MIN(0.97,H4*Assumptions!$E$12)),1)</f>
        <v>0.5611999999999999</v>
      </c>
    </row>
    <row r="5">
      <c r="B5" s="24" t="inlineStr">
        <is>
          <t>Risked revenue</t>
        </is>
      </c>
      <c r="L5" s="54">
        <f>SUM(L4:L4)</f>
        <v>1888.313405655788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131.64000000000001</v>
      </c>
      <c r="Q5" s="54">
        <f>SUM(Q4:Q4)</f>
        <v>329.1</v>
      </c>
      <c r="R5" s="54">
        <f>SUM(R4:R4)</f>
        <v>592.38</v>
      </c>
      <c r="S5" s="54">
        <f>SUM(S4:S4)</f>
        <v>855.6600000000001</v>
      </c>
      <c r="T5" s="54">
        <f>SUM(T4:T4)</f>
        <v>1118.94</v>
      </c>
      <c r="U5" s="54">
        <f>SUM(U4:U4)</f>
        <v>1316.4</v>
      </c>
      <c r="V5" s="54">
        <f>SUM(V4:V4)</f>
        <v>1316.4</v>
      </c>
      <c r="W5" s="54">
        <f>SUM(W4:W4)</f>
        <v>1316.4</v>
      </c>
      <c r="X5" s="54">
        <f>SUM(X4:X4)</f>
        <v>1316.4</v>
      </c>
      <c r="Y5" s="54">
        <f>SUM(Y4:Y4)</f>
        <v>1316.4</v>
      </c>
      <c r="Z5" s="54">
        <f>SUM(Z4:Z4)</f>
        <v>1316.4</v>
      </c>
      <c r="AA5" s="54">
        <f>SUM(AA4:AA4)</f>
        <v>1316.4</v>
      </c>
      <c r="AB5" s="54">
        <f>SUM(AB4:AB4)</f>
        <v>1316.4</v>
      </c>
      <c r="AC5" s="54">
        <f>SUM(AC4:AC4)</f>
        <v>658.2</v>
      </c>
      <c r="AD5" s="54">
        <f>SUM(AD4:AD4)</f>
        <v>329.1</v>
      </c>
      <c r="AE5" s="54">
        <f>SUM(AE4:AE4)</f>
        <v>164.55</v>
      </c>
      <c r="AF5" s="54">
        <f>SUM(AF4:AF4)</f>
        <v>82.275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52.656000000000006</v>
      </c>
      <c r="Q6" s="55">
        <f>SUMPRODUCT(Q4:Q4,$K$4:$K$4)</f>
        <v>131.64000000000001</v>
      </c>
      <c r="R6" s="55">
        <f>SUMPRODUCT(R4:R4,$K$4:$K$4)</f>
        <v>236.952</v>
      </c>
      <c r="S6" s="55">
        <f>SUMPRODUCT(S4:S4,$K$4:$K$4)</f>
        <v>342.26400000000007</v>
      </c>
      <c r="T6" s="55">
        <f>SUMPRODUCT(T4:T4,$K$4:$K$4)</f>
        <v>447.576</v>
      </c>
      <c r="U6" s="55">
        <f>SUMPRODUCT(U4:U4,$K$4:$K$4)</f>
        <v>526.5600000000001</v>
      </c>
      <c r="V6" s="55">
        <f>SUMPRODUCT(V4:V4,$K$4:$K$4)</f>
        <v>526.5600000000001</v>
      </c>
      <c r="W6" s="55">
        <f>SUMPRODUCT(W4:W4,$K$4:$K$4)</f>
        <v>526.5600000000001</v>
      </c>
      <c r="X6" s="55">
        <f>SUMPRODUCT(X4:X4,$K$4:$K$4)</f>
        <v>526.5600000000001</v>
      </c>
      <c r="Y6" s="55">
        <f>SUMPRODUCT(Y4:Y4,$K$4:$K$4)</f>
        <v>526.5600000000001</v>
      </c>
      <c r="Z6" s="55">
        <f>SUMPRODUCT(Z4:Z4,$K$4:$K$4)</f>
        <v>526.5600000000001</v>
      </c>
      <c r="AA6" s="55">
        <f>SUMPRODUCT(AA4:AA4,$K$4:$K$4)</f>
        <v>526.5600000000001</v>
      </c>
      <c r="AB6" s="55">
        <f>SUMPRODUCT(AB4:AB4,$K$4:$K$4)</f>
        <v>526.5600000000001</v>
      </c>
      <c r="AC6" s="55">
        <f>SUMPRODUCT(AC4:AC4,$K$4:$K$4)</f>
        <v>263.28000000000003</v>
      </c>
      <c r="AD6" s="55">
        <f>SUMPRODUCT(AD4:AD4,$K$4:$K$4)</f>
        <v>131.64000000000001</v>
      </c>
      <c r="AE6" s="55">
        <f>SUMPRODUCT(AE4:AE4,$K$4:$K$4)</f>
        <v>65.82000000000001</v>
      </c>
      <c r="AF6" s="55">
        <f>SUMPRODUCT(AF4:AF4,$K$4:$K$4)</f>
        <v>32.910000000000004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Beyondspring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131.64000000000001</v>
      </c>
      <c r="G4" s="57">
        <f>Pipeline!Q5</f>
        <v>329.1</v>
      </c>
      <c r="H4" s="57">
        <f>Pipeline!R5</f>
        <v>592.38</v>
      </c>
      <c r="I4" s="57">
        <f>Pipeline!S5</f>
        <v>855.6600000000001</v>
      </c>
      <c r="J4" s="57">
        <f>Pipeline!T5</f>
        <v>1118.94</v>
      </c>
      <c r="K4" s="57">
        <f>Pipeline!U5</f>
        <v>1316.4</v>
      </c>
      <c r="L4" s="57">
        <f>Pipeline!V5</f>
        <v>1316.4</v>
      </c>
      <c r="M4" s="57">
        <f>Pipeline!W5</f>
        <v>1316.4</v>
      </c>
      <c r="N4" s="57">
        <f>Pipeline!X5</f>
        <v>1316.4</v>
      </c>
      <c r="O4" s="57">
        <f>Pipeline!Y5</f>
        <v>1316.4</v>
      </c>
      <c r="P4" s="57">
        <f>Pipeline!Z5</f>
        <v>1316.4</v>
      </c>
      <c r="Q4" s="57">
        <f>Pipeline!AA5</f>
        <v>1316.4</v>
      </c>
      <c r="R4" s="57">
        <f>Pipeline!AB5</f>
        <v>1316.4</v>
      </c>
      <c r="S4" s="57">
        <f>Pipeline!AC5</f>
        <v>658.2</v>
      </c>
      <c r="T4" s="57">
        <f>Pipeline!AD5</f>
        <v>329.1</v>
      </c>
      <c r="U4" s="57">
        <f>Pipeline!AE5</f>
        <v>164.55</v>
      </c>
      <c r="V4" s="57">
        <f>Pipeline!AF5</f>
        <v>82.275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52.656000000000006</v>
      </c>
      <c r="G5" s="57">
        <f>Pipeline!Q6</f>
        <v>131.64000000000001</v>
      </c>
      <c r="H5" s="57">
        <f>Pipeline!R6</f>
        <v>236.952</v>
      </c>
      <c r="I5" s="57">
        <f>Pipeline!S6</f>
        <v>342.26400000000007</v>
      </c>
      <c r="J5" s="57">
        <f>Pipeline!T6</f>
        <v>447.576</v>
      </c>
      <c r="K5" s="57">
        <f>Pipeline!U6</f>
        <v>526.5600000000001</v>
      </c>
      <c r="L5" s="57">
        <f>Pipeline!V6</f>
        <v>526.5600000000001</v>
      </c>
      <c r="M5" s="57">
        <f>Pipeline!W6</f>
        <v>526.5600000000001</v>
      </c>
      <c r="N5" s="57">
        <f>Pipeline!X6</f>
        <v>526.5600000000001</v>
      </c>
      <c r="O5" s="57">
        <f>Pipeline!Y6</f>
        <v>526.5600000000001</v>
      </c>
      <c r="P5" s="57">
        <f>Pipeline!Z6</f>
        <v>526.5600000000001</v>
      </c>
      <c r="Q5" s="57">
        <f>Pipeline!AA6</f>
        <v>526.5600000000001</v>
      </c>
      <c r="R5" s="57">
        <f>Pipeline!AB6</f>
        <v>526.5600000000001</v>
      </c>
      <c r="S5" s="57">
        <f>Pipeline!AC6</f>
        <v>263.28000000000003</v>
      </c>
      <c r="T5" s="57">
        <f>Pipeline!AD6</f>
        <v>131.64000000000001</v>
      </c>
      <c r="U5" s="57">
        <f>Pipeline!AE6</f>
        <v>65.82000000000001</v>
      </c>
      <c r="V5" s="57">
        <f>Pipeline!AF6</f>
        <v>32.910000000000004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-8.349</v>
      </c>
      <c r="D6" s="23">
        <f>-IF(D3-2026&lt;Assumptions!$B$19,Assumptions!$B$18,Assumptions!$B$18*Assumptions!$B$20*Assumptions!$B$16)</f>
        <v>-8.349</v>
      </c>
      <c r="E6" s="23">
        <f>-IF(E3-2026&lt;Assumptions!$B$19,Assumptions!$B$18,Assumptions!$B$18*Assumptions!$B$20*Assumptions!$B$16)</f>
        <v>-8.349</v>
      </c>
      <c r="F6" s="23">
        <f>-IF(F3-2026&lt;Assumptions!$B$19,Assumptions!$B$18,Assumptions!$B$18*Assumptions!$B$20*Assumptions!$B$16)</f>
        <v>-1.0990623600000002</v>
      </c>
      <c r="G6" s="23">
        <f>-IF(G3-2026&lt;Assumptions!$B$19,Assumptions!$B$18,Assumptions!$B$18*Assumptions!$B$20*Assumptions!$B$16)</f>
        <v>-1.0990623600000002</v>
      </c>
      <c r="H6" s="23">
        <f>-IF(H3-2026&lt;Assumptions!$B$19,Assumptions!$B$18,Assumptions!$B$18*Assumptions!$B$20*Assumptions!$B$16)</f>
        <v>-1.0990623600000002</v>
      </c>
      <c r="I6" s="23">
        <f>-IF(I3-2026&lt;Assumptions!$B$19,Assumptions!$B$18,Assumptions!$B$18*Assumptions!$B$20*Assumptions!$B$16)</f>
        <v>-1.0990623600000002</v>
      </c>
      <c r="J6" s="23">
        <f>-IF(J3-2026&lt;Assumptions!$B$19,Assumptions!$B$18,Assumptions!$B$18*Assumptions!$B$20*Assumptions!$B$16)</f>
        <v>-1.0990623600000002</v>
      </c>
      <c r="K6" s="23">
        <f>-IF(K3-2026&lt;Assumptions!$B$19,Assumptions!$B$18,Assumptions!$B$18*Assumptions!$B$20*Assumptions!$B$16)</f>
        <v>-1.0990623600000002</v>
      </c>
      <c r="L6" s="23">
        <f>-IF(L3-2026&lt;Assumptions!$B$19,Assumptions!$B$18,Assumptions!$B$18*Assumptions!$B$20*Assumptions!$B$16)</f>
        <v>-1.0990623600000002</v>
      </c>
      <c r="M6" s="23">
        <f>-IF(M3-2026&lt;Assumptions!$B$19,Assumptions!$B$18,Assumptions!$B$18*Assumptions!$B$20*Assumptions!$B$16)</f>
        <v>-1.0990623600000002</v>
      </c>
      <c r="N6" s="23">
        <f>-IF(N3-2026&lt;Assumptions!$B$19,Assumptions!$B$18,Assumptions!$B$18*Assumptions!$B$20*Assumptions!$B$16)</f>
        <v>-1.0990623600000002</v>
      </c>
      <c r="O6" s="23">
        <f>-IF(O3-2026&lt;Assumptions!$B$19,Assumptions!$B$18,Assumptions!$B$18*Assumptions!$B$20*Assumptions!$B$16)</f>
        <v>-1.0990623600000002</v>
      </c>
      <c r="P6" s="23">
        <f>-IF(P3-2026&lt;Assumptions!$B$19,Assumptions!$B$18,Assumptions!$B$18*Assumptions!$B$20*Assumptions!$B$16)</f>
        <v>-1.0990623600000002</v>
      </c>
      <c r="Q6" s="23">
        <f>-IF(Q3-2026&lt;Assumptions!$B$19,Assumptions!$B$18,Assumptions!$B$18*Assumptions!$B$20*Assumptions!$B$16)</f>
        <v>-1.0990623600000002</v>
      </c>
      <c r="R6" s="23">
        <f>-IF(R3-2026&lt;Assumptions!$B$19,Assumptions!$B$18,Assumptions!$B$18*Assumptions!$B$20*Assumptions!$B$16)</f>
        <v>-1.0990623600000002</v>
      </c>
      <c r="S6" s="23">
        <f>-IF(S3-2026&lt;Assumptions!$B$19,Assumptions!$B$18,Assumptions!$B$18*Assumptions!$B$20*Assumptions!$B$16)</f>
        <v>-1.0990623600000002</v>
      </c>
      <c r="T6" s="23">
        <f>-IF(T3-2026&lt;Assumptions!$B$19,Assumptions!$B$18,Assumptions!$B$18*Assumptions!$B$20*Assumptions!$B$16)</f>
        <v>-1.0990623600000002</v>
      </c>
      <c r="U6" s="23">
        <f>-IF(U3-2026&lt;Assumptions!$B$19,Assumptions!$B$18,Assumptions!$B$18*Assumptions!$B$20*Assumptions!$B$16)</f>
        <v>-1.0990623600000002</v>
      </c>
      <c r="V6" s="23">
        <f>-IF(V3-2026&lt;Assumptions!$B$19,Assumptions!$B$18,Assumptions!$B$18*Assumptions!$B$20*Assumptions!$B$16)</f>
        <v>-1.0990623600000002</v>
      </c>
    </row>
    <row r="7">
      <c r="A7" s="14" t="inlineStr">
        <is>
          <t>Pre-tax cash flow</t>
        </is>
      </c>
      <c r="C7" s="23">
        <f>C5+C6</f>
        <v>-8.349</v>
      </c>
      <c r="D7" s="23">
        <f>D5+D6</f>
        <v>-8.349</v>
      </c>
      <c r="E7" s="23">
        <f>E5+E6</f>
        <v>-8.349</v>
      </c>
      <c r="F7" s="23">
        <f>F5+F6</f>
        <v>51.55693764000001</v>
      </c>
      <c r="G7" s="23">
        <f>G5+G6</f>
        <v>130.54093764</v>
      </c>
      <c r="H7" s="23">
        <f>H5+H6</f>
        <v>235.85293764</v>
      </c>
      <c r="I7" s="23">
        <f>I5+I6</f>
        <v>341.16493764000006</v>
      </c>
      <c r="J7" s="23">
        <f>J5+J6</f>
        <v>446.47693764</v>
      </c>
      <c r="K7" s="23">
        <f>K5+K6</f>
        <v>525.4609376400001</v>
      </c>
      <c r="L7" s="23">
        <f>L5+L6</f>
        <v>525.4609376400001</v>
      </c>
      <c r="M7" s="23">
        <f>M5+M6</f>
        <v>525.4609376400001</v>
      </c>
      <c r="N7" s="23">
        <f>N5+N6</f>
        <v>525.4609376400001</v>
      </c>
      <c r="O7" s="23">
        <f>O5+O6</f>
        <v>525.4609376400001</v>
      </c>
      <c r="P7" s="23">
        <f>P5+P6</f>
        <v>525.4609376400001</v>
      </c>
      <c r="Q7" s="23">
        <f>Q5+Q6</f>
        <v>525.4609376400001</v>
      </c>
      <c r="R7" s="23">
        <f>R5+R6</f>
        <v>525.4609376400001</v>
      </c>
      <c r="S7" s="23">
        <f>S5+S6</f>
        <v>262.18093764</v>
      </c>
      <c r="T7" s="23">
        <f>T5+T6</f>
        <v>130.54093764</v>
      </c>
      <c r="U7" s="23">
        <f>U5+U6</f>
        <v>64.72093764</v>
      </c>
      <c r="V7" s="23">
        <f>V5+V6</f>
        <v>31.810937640000002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51.55693764000001</v>
      </c>
      <c r="G8" s="23">
        <f>MIN(F17,MAX(0,G7))</f>
        <v>130.54093764</v>
      </c>
      <c r="H8" s="23">
        <f>MIN(G17,MAX(0,H7))</f>
        <v>235.85293764</v>
      </c>
      <c r="I8" s="23">
        <f>MIN(H17,MAX(0,I7))</f>
        <v>6.396187079999976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334.76875056000006</v>
      </c>
      <c r="J9" s="23">
        <f>MAX(0,J7)-J8</f>
        <v>446.47693764</v>
      </c>
      <c r="K9" s="23">
        <f>MAX(0,K7)-K8</f>
        <v>525.4609376400001</v>
      </c>
      <c r="L9" s="23">
        <f>MAX(0,L7)-L8</f>
        <v>525.4609376400001</v>
      </c>
      <c r="M9" s="23">
        <f>MAX(0,M7)-M8</f>
        <v>525.4609376400001</v>
      </c>
      <c r="N9" s="23">
        <f>MAX(0,N7)-N8</f>
        <v>525.4609376400001</v>
      </c>
      <c r="O9" s="23">
        <f>MAX(0,O7)-O8</f>
        <v>525.4609376400001</v>
      </c>
      <c r="P9" s="23">
        <f>MAX(0,P7)-P8</f>
        <v>525.4609376400001</v>
      </c>
      <c r="Q9" s="23">
        <f>MAX(0,Q7)-Q8</f>
        <v>525.4609376400001</v>
      </c>
      <c r="R9" s="23">
        <f>MAX(0,R7)-R8</f>
        <v>525.4609376400001</v>
      </c>
      <c r="S9" s="23">
        <f>MAX(0,S7)-S8</f>
        <v>262.18093764</v>
      </c>
      <c r="T9" s="23">
        <f>MAX(0,T7)-T8</f>
        <v>130.54093764</v>
      </c>
      <c r="U9" s="23">
        <f>MAX(0,U7)-U8</f>
        <v>64.72093764</v>
      </c>
      <c r="V9" s="23">
        <f>MAX(0,V7)-V8</f>
        <v>31.810937640000002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70.30143761760002</v>
      </c>
      <c r="J10" s="23">
        <f>J9*Assumptions!$E$15</f>
        <v>93.7601569044</v>
      </c>
      <c r="K10" s="23">
        <f>K9*Assumptions!$E$15</f>
        <v>110.34679690440002</v>
      </c>
      <c r="L10" s="23">
        <f>L9*Assumptions!$E$15</f>
        <v>110.34679690440002</v>
      </c>
      <c r="M10" s="23">
        <f>M9*Assumptions!$E$15</f>
        <v>110.34679690440002</v>
      </c>
      <c r="N10" s="23">
        <f>N9*Assumptions!$E$15</f>
        <v>110.34679690440002</v>
      </c>
      <c r="O10" s="23">
        <f>O9*Assumptions!$E$15</f>
        <v>110.34679690440002</v>
      </c>
      <c r="P10" s="23">
        <f>P9*Assumptions!$E$15</f>
        <v>110.34679690440002</v>
      </c>
      <c r="Q10" s="23">
        <f>Q9*Assumptions!$E$15</f>
        <v>110.34679690440002</v>
      </c>
      <c r="R10" s="23">
        <f>R9*Assumptions!$E$15</f>
        <v>110.34679690440002</v>
      </c>
      <c r="S10" s="23">
        <f>S9*Assumptions!$E$15</f>
        <v>55.05799690440001</v>
      </c>
      <c r="T10" s="23">
        <f>T9*Assumptions!$E$15</f>
        <v>27.413596904400002</v>
      </c>
      <c r="U10" s="23">
        <f>U9*Assumptions!$E$15</f>
        <v>13.5913969044</v>
      </c>
      <c r="V10" s="23">
        <f>V9*Assumptions!$E$15</f>
        <v>6.6802969044000005</v>
      </c>
    </row>
    <row r="11">
      <c r="A11" s="24" t="inlineStr">
        <is>
          <t>Free cash flow</t>
        </is>
      </c>
      <c r="C11" s="55">
        <f>C7-C10</f>
        <v>-8.349</v>
      </c>
      <c r="D11" s="55">
        <f>D7-D10</f>
        <v>-8.349</v>
      </c>
      <c r="E11" s="55">
        <f>E7-E10</f>
        <v>-8.349</v>
      </c>
      <c r="F11" s="55">
        <f>F7-F10</f>
        <v>51.55693764000001</v>
      </c>
      <c r="G11" s="55">
        <f>G7-G10</f>
        <v>130.54093764</v>
      </c>
      <c r="H11" s="55">
        <f>H7-H10</f>
        <v>235.85293764</v>
      </c>
      <c r="I11" s="55">
        <f>I7-I10</f>
        <v>270.86350002240005</v>
      </c>
      <c r="J11" s="55">
        <f>J7-J10</f>
        <v>352.7167807356</v>
      </c>
      <c r="K11" s="55">
        <f>K7-K10</f>
        <v>415.1141407356001</v>
      </c>
      <c r="L11" s="55">
        <f>L7-L10</f>
        <v>415.1141407356001</v>
      </c>
      <c r="M11" s="55">
        <f>M7-M10</f>
        <v>415.1141407356001</v>
      </c>
      <c r="N11" s="55">
        <f>N7-N10</f>
        <v>415.1141407356001</v>
      </c>
      <c r="O11" s="55">
        <f>O7-O10</f>
        <v>415.1141407356001</v>
      </c>
      <c r="P11" s="55">
        <f>P7-P10</f>
        <v>415.1141407356001</v>
      </c>
      <c r="Q11" s="55">
        <f>Q7-Q10</f>
        <v>415.1141407356001</v>
      </c>
      <c r="R11" s="55">
        <f>R7-R10</f>
        <v>415.1141407356001</v>
      </c>
      <c r="S11" s="55">
        <f>S7-S10</f>
        <v>207.12294073560003</v>
      </c>
      <c r="T11" s="55">
        <f>T7-T10</f>
        <v>103.1273407356</v>
      </c>
      <c r="U11" s="55">
        <f>U7-U10</f>
        <v>51.1295407356</v>
      </c>
      <c r="V11" s="55">
        <f>V7-V10</f>
        <v>25.130640735600004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-4.090211409923406</v>
      </c>
      <c r="D16" s="55">
        <f>D11*D15</f>
        <v>-7.451001391277011</v>
      </c>
      <c r="E16" s="55">
        <f>E11*E15</f>
        <v>-6.652679813640186</v>
      </c>
      <c r="F16" s="55">
        <f>F11*F15</f>
        <v>36.680162539860845</v>
      </c>
      <c r="G16" s="55">
        <f>G11*G15</f>
        <v>82.92258710747109</v>
      </c>
      <c r="H16" s="55">
        <f>H11*H15</f>
        <v>133.76712180142695</v>
      </c>
      <c r="I16" s="55">
        <f>I11*I15</f>
        <v>137.1641309078075</v>
      </c>
      <c r="J16" s="55">
        <f>J11*J15</f>
        <v>159.47704115791228</v>
      </c>
      <c r="K16" s="55">
        <f>K11*K15</f>
        <v>167.57975551451344</v>
      </c>
      <c r="L16" s="55">
        <f>L11*L15</f>
        <v>149.62478170938698</v>
      </c>
      <c r="M16" s="55">
        <f>M11*M15</f>
        <v>133.59355509766695</v>
      </c>
      <c r="N16" s="55">
        <f>N11*N15</f>
        <v>119.27995990863117</v>
      </c>
      <c r="O16" s="55">
        <f>O11*O15</f>
        <v>106.49996420413497</v>
      </c>
      <c r="P16" s="55">
        <f>P11*P15</f>
        <v>95.08925375369192</v>
      </c>
      <c r="Q16" s="55">
        <f>Q11*Q15</f>
        <v>84.90111942293922</v>
      </c>
      <c r="R16" s="55">
        <f>R11*R15</f>
        <v>75.80457091333858</v>
      </c>
      <c r="S16" s="55">
        <f>S11*S15</f>
        <v>33.77054325035503</v>
      </c>
      <c r="T16" s="55">
        <f>T11*T15</f>
        <v>15.012936227620512</v>
      </c>
      <c r="U16" s="55">
        <f>U11*U15</f>
        <v>6.645775858757132</v>
      </c>
      <c r="V16" s="55">
        <f>V11*V15</f>
        <v>2.916482245616808</v>
      </c>
    </row>
    <row r="17">
      <c r="A17" s="14" t="inlineStr">
        <is>
          <t>Tax-loss carryforward, end of year</t>
        </is>
      </c>
      <c r="C17" s="23">
        <f>Assumptions!$B$21-C8+MAX(0,-C7)</f>
        <v>407.649</v>
      </c>
      <c r="D17" s="23">
        <f>C17-D8+MAX(0,-D7)</f>
        <v>415.998</v>
      </c>
      <c r="E17" s="23">
        <f>D17-E8+MAX(0,-E7)</f>
        <v>424.347</v>
      </c>
      <c r="F17" s="23">
        <f>E17-F8+MAX(0,-F7)</f>
        <v>372.79006236</v>
      </c>
      <c r="G17" s="23">
        <f>F17-G8+MAX(0,-G7)</f>
        <v>242.24912471999997</v>
      </c>
      <c r="H17" s="23">
        <f>G17-H8+MAX(0,-H7)</f>
        <v>6.396187079999976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1888.3134056557874</v>
      </c>
    </row>
    <row r="20">
      <c r="A20" s="14" t="inlineStr">
        <is>
          <t>PV of corporate burn</t>
        </is>
      </c>
      <c r="B20" s="23">
        <f>SUMPRODUCT(C6:V6,C15:V15)</f>
        <v>-24.42897146233163</v>
      </c>
    </row>
    <row r="21">
      <c r="A21" s="14" t="inlineStr">
        <is>
          <t>PV of taxes</t>
        </is>
      </c>
      <c r="B21" s="23">
        <f>-SUMPRODUCT(C10:V10,C15:V15)</f>
        <v>-341.3485851871652</v>
      </c>
    </row>
    <row r="22">
      <c r="A22" s="24" t="inlineStr">
        <is>
          <t>Pipeline rNPV (operations)</t>
        </is>
      </c>
      <c r="B22" s="54">
        <f>SUM(C16:V16)</f>
        <v>1522.5358490062908</v>
      </c>
    </row>
    <row r="23">
      <c r="A23" s="14" t="inlineStr">
        <is>
          <t>Cash &amp; investments</t>
        </is>
      </c>
      <c r="B23" s="57">
        <f>Main!C7</f>
        <v>6.529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1529.0648490062908</v>
      </c>
    </row>
    <row r="26">
      <c r="A26" s="14" t="inlineStr">
        <is>
          <t>Shares (mm)</t>
        </is>
      </c>
      <c r="B26" s="57">
        <f>Main!C4</f>
        <v>41.11982</v>
      </c>
    </row>
    <row r="27">
      <c r="A27" s="24" t="inlineStr">
        <is>
          <t>rNPV / share</t>
        </is>
      </c>
      <c r="B27" s="60">
        <f>B25/B26</f>
        <v>37.18559198474826</v>
      </c>
    </row>
    <row r="28">
      <c r="A28" s="14" t="inlineStr">
        <is>
          <t>Price</t>
        </is>
      </c>
      <c r="B28" s="61">
        <f>Main!C3</f>
        <v>0.5227</v>
      </c>
    </row>
    <row r="29">
      <c r="A29" s="14" t="inlineStr">
        <is>
          <t>Upside</t>
        </is>
      </c>
      <c r="B29" s="62">
        <f>B27/B28-1</f>
        <v>70.14136595513345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2026-10-21T06:30:04Z</dcterms:modified>
  <cp:lastModifiedBy>Wang, Eric</cp:lastModifiedBy>
</cp:coreProperties>
</file>