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Beyondspring Inc</t>
        </is>
      </c>
      <c r="C2" s="10" t="n"/>
    </row>
    <row r="3">
      <c r="B3" t="inlineStr">
        <is>
          <t>Price</t>
        </is>
      </c>
      <c r="C3" s="11">
        <f>INDEX([1]Pharma!$F$1:$F$1000,MATCH("BYSI",[1]Pharma!$B$1:$B$1000,0))</f>
        <v>0.5227</v>
      </c>
      <c r="F3" s="1" t="n"/>
    </row>
    <row r="4">
      <c r="B4" t="inlineStr">
        <is>
          <t>Shares</t>
        </is>
      </c>
      <c r="C4" s="21" t="n">
        <v>41.11982</v>
      </c>
      <c r="F4" s="1" t="n"/>
    </row>
    <row r="5">
      <c r="B5" t="inlineStr">
        <is>
          <t>Market Cap.</t>
        </is>
      </c>
      <c r="C5" s="13">
        <f>C3*C4</f>
        <v>21.493329914</v>
      </c>
      <c r="F5" s="1" t="n"/>
    </row>
    <row r="6"/>
    <row r="7">
      <c r="B7" t="inlineStr">
        <is>
          <t>Cash</t>
        </is>
      </c>
      <c r="C7" s="21">
        <f>2.697+3.832</f>
        <v>6.529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14.964329914</v>
      </c>
    </row>
    <row r="10"/>
    <row r="11">
      <c r="B11" s="14" t="inlineStr">
        <is>
          <t>Net Cash / Share</t>
        </is>
      </c>
      <c r="C11" s="11">
        <f>(C7-C8)/C4</f>
        <v>0.15877987792748122</v>
      </c>
    </row>
    <row r="12">
      <c r="B12" s="14" t="inlineStr">
        <is>
          <t>Upside</t>
        </is>
      </c>
      <c r="C12" s="15">
        <f>IFERROR(C11/C3-1,"")</f>
        <v>-0.6962313412521883</v>
      </c>
    </row>
    <row r="13">
      <c r="B13" s="14" t="inlineStr">
        <is>
          <t>Cash / Share</t>
        </is>
      </c>
      <c r="C13" s="11">
        <f>IFERROR((C7-C8)/C4,"")</f>
        <v>0.15877987792748122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-16.746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0.3898841514391497</v>
      </c>
    </row>
    <row r="19">
      <c r="B19" s="14" t="inlineStr">
        <is>
          <t>Implied Pipeline Value</t>
        </is>
      </c>
      <c r="C19" s="13">
        <f>C9</f>
        <v>14.964329914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0.18</v>
      </c>
      <c r="I2" s="23" t="n">
        <v>1.351</v>
      </c>
      <c r="J2" s="23" t="n">
        <v>1.351</v>
      </c>
      <c r="K2" s="23" t="n">
        <v>0</v>
      </c>
      <c r="L2" s="23" t="n">
        <v>0</v>
      </c>
      <c r="M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0.18</v>
      </c>
      <c r="I4" s="23">
        <f>I2-I3</f>
        <v>1.351</v>
      </c>
      <c r="J4" s="23">
        <f>J2-J3</f>
        <v>1.351</v>
      </c>
      <c r="K4" s="23">
        <f>K2-K3</f>
        <v>0.0</v>
      </c>
      <c r="L4" s="23">
        <f>L2-L3</f>
        <v>0.0</v>
      </c>
      <c r="M4" s="23">
        <f>M2-M3</f>
        <v>0.0</v>
      </c>
    </row>
    <row r="5">
      <c r="A5" s="2" t="inlineStr">
        <is>
          <t>Research &amp; Dev.</t>
        </is>
      </c>
      <c r="B5" s="23" t="n">
        <v>1.876</v>
      </c>
      <c r="C5" s="23" t="n">
        <v>6.282</v>
      </c>
      <c r="D5" s="23" t="n">
        <v>10.437</v>
      </c>
      <c r="E5" s="23" t="n">
        <v>88.928</v>
      </c>
      <c r="F5" s="23" t="n">
        <v>51.618</v>
      </c>
      <c r="G5" s="23" t="n">
        <v>31.342</v>
      </c>
      <c r="H5" s="23" t="n">
        <v>41.793</v>
      </c>
      <c r="I5" s="23" t="n">
        <v>36.888</v>
      </c>
      <c r="J5" s="23" t="n">
        <v>25.582</v>
      </c>
      <c r="K5" s="23" t="n">
        <v>7.272</v>
      </c>
      <c r="L5" s="23" t="n">
        <v>2.644</v>
      </c>
      <c r="M5" s="23" t="n">
        <v>4.388</v>
      </c>
    </row>
    <row r="6">
      <c r="A6" s="19" t="inlineStr">
        <is>
          <t>SG&amp;A &amp; Other</t>
        </is>
      </c>
      <c r="B6" s="23" t="n">
        <v>0.233</v>
      </c>
      <c r="C6" s="23" t="n">
        <v>1.193</v>
      </c>
      <c r="D6" s="23" t="n">
        <v>1.931</v>
      </c>
      <c r="E6" s="23" t="n">
        <v>9.053000000000001</v>
      </c>
      <c r="F6" s="23" t="n">
        <v>5.927</v>
      </c>
      <c r="G6" s="23" t="n">
        <v>8.965</v>
      </c>
      <c r="H6" s="23" t="n">
        <v>22.598</v>
      </c>
      <c r="I6" s="23" t="n">
        <v>30.703</v>
      </c>
      <c r="J6" s="23" t="n">
        <v>13.008</v>
      </c>
      <c r="K6" s="23" t="n">
        <v>7.809</v>
      </c>
      <c r="L6" s="23" t="n">
        <v>6.11</v>
      </c>
      <c r="M6" s="23" t="n">
        <v>4.557</v>
      </c>
    </row>
    <row r="7">
      <c r="A7" s="2" t="inlineStr">
        <is>
          <t>Operating Expense</t>
        </is>
      </c>
      <c r="B7" s="23">
        <f>SUM(B5:B6)</f>
        <v>2.109</v>
      </c>
      <c r="C7" s="23">
        <f>SUM(C5:C6)</f>
        <v>7.475</v>
      </c>
      <c r="D7" s="23">
        <f>SUM(D5:D6)</f>
        <v>12.367999999999999</v>
      </c>
      <c r="E7" s="23">
        <f>SUM(E5:E6)</f>
        <v>97.981</v>
      </c>
      <c r="F7" s="23">
        <f>SUM(F5:F6)</f>
        <v>57.545</v>
      </c>
      <c r="G7" s="23">
        <f>SUM(G5:G6)</f>
        <v>40.307</v>
      </c>
      <c r="H7" s="23">
        <f>SUM(H5:H6)</f>
        <v>64.39099999999999</v>
      </c>
      <c r="I7" s="23">
        <f>SUM(I5:I6)</f>
        <v>67.591</v>
      </c>
      <c r="J7" s="23">
        <f>SUM(J5:J6)</f>
        <v>38.59</v>
      </c>
      <c r="K7" s="23">
        <f>SUM(K5:K6)</f>
        <v>15.081</v>
      </c>
      <c r="L7" s="23">
        <f>SUM(L5:L6)</f>
        <v>8.754000000000001</v>
      </c>
      <c r="M7" s="23">
        <f>SUM(M5:M6)</f>
        <v>8.945</v>
      </c>
    </row>
    <row r="8">
      <c r="A8" s="2" t="inlineStr">
        <is>
          <t>Operating Income</t>
        </is>
      </c>
      <c r="B8" s="23">
        <f>B4-B7</f>
        <v>-2.109</v>
      </c>
      <c r="C8" s="23">
        <f>C4-C7</f>
        <v>-7.475</v>
      </c>
      <c r="D8" s="23">
        <f>D4-D7</f>
        <v>-12.367999999999999</v>
      </c>
      <c r="E8" s="23">
        <f>E4-E7</f>
        <v>-97.981</v>
      </c>
      <c r="F8" s="23">
        <f>F4-F7</f>
        <v>-57.545</v>
      </c>
      <c r="G8" s="23">
        <f>G4-G7</f>
        <v>-40.307</v>
      </c>
      <c r="H8" s="23">
        <f>H4-H7</f>
        <v>-64.21099999999998</v>
      </c>
      <c r="I8" s="23">
        <f>I4-I7</f>
        <v>-66.24</v>
      </c>
      <c r="J8" s="23">
        <f>J4-J7</f>
        <v>-37.239000000000004</v>
      </c>
      <c r="K8" s="23">
        <f>K4-K7</f>
        <v>-15.081</v>
      </c>
      <c r="L8" s="23">
        <f>L4-L7</f>
        <v>-8.754000000000001</v>
      </c>
      <c r="M8" s="23">
        <f>M4-M7</f>
        <v>-8.945</v>
      </c>
    </row>
    <row r="9">
      <c r="A9" s="19" t="inlineStr">
        <is>
          <t>Interest &amp; Other</t>
        </is>
      </c>
      <c r="B9" s="23" t="n">
        <v>-0.904</v>
      </c>
      <c r="C9" s="23" t="n">
        <v>-0.495</v>
      </c>
      <c r="D9" s="23" t="n">
        <v>0.358</v>
      </c>
      <c r="E9" s="23" t="n">
        <v>6.218</v>
      </c>
      <c r="F9" s="23" t="n">
        <v>2.676</v>
      </c>
      <c r="G9" s="23" t="n">
        <v>2.222</v>
      </c>
      <c r="H9" s="23" t="n">
        <v>3.238</v>
      </c>
      <c r="I9" s="23" t="n">
        <v>5.631</v>
      </c>
      <c r="J9" s="23" t="n">
        <v>4.123</v>
      </c>
      <c r="K9" s="23" t="n">
        <v>-6.037</v>
      </c>
      <c r="L9" s="23" t="n">
        <v>-2.273</v>
      </c>
      <c r="M9" s="23" t="n">
        <v>8.029</v>
      </c>
    </row>
    <row r="10">
      <c r="A10" s="2" t="inlineStr">
        <is>
          <t>Pretax</t>
        </is>
      </c>
      <c r="B10" s="23">
        <f>B8+B9</f>
        <v>-3.013</v>
      </c>
      <c r="C10" s="23">
        <f>C8+C9</f>
        <v>-7.97</v>
      </c>
      <c r="D10" s="23">
        <f>D8+D9</f>
        <v>-12.009999999999998</v>
      </c>
      <c r="E10" s="23">
        <f>E8+E9</f>
        <v>-91.76299999999999</v>
      </c>
      <c r="F10" s="23">
        <f>F8+F9</f>
        <v>-54.869</v>
      </c>
      <c r="G10" s="23">
        <f>G8+G9</f>
        <v>-38.085</v>
      </c>
      <c r="H10" s="23">
        <f>H8+H9</f>
        <v>-60.972999999999985</v>
      </c>
      <c r="I10" s="23">
        <f>I8+I9</f>
        <v>-60.608999999999995</v>
      </c>
      <c r="J10" s="23">
        <f>J8+J9</f>
        <v>-33.11600000000001</v>
      </c>
      <c r="K10" s="23">
        <f>K8+K9</f>
        <v>-21.118</v>
      </c>
      <c r="L10" s="23">
        <f>L8+L9</f>
        <v>-11.027000000000001</v>
      </c>
      <c r="M10" s="23">
        <f>M8+M9</f>
        <v>-0.9160000000000004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3.57</v>
      </c>
      <c r="J11" s="23" t="n">
        <v>0.163</v>
      </c>
      <c r="K11" s="23" t="n">
        <v>-0.092</v>
      </c>
      <c r="L11" s="23" t="n">
        <v>0.096</v>
      </c>
      <c r="M11" s="23" t="n">
        <v>0.09</v>
      </c>
    </row>
    <row r="12">
      <c r="A12" s="2" t="inlineStr">
        <is>
          <t>Net Income</t>
        </is>
      </c>
      <c r="B12" s="23" t="n">
        <v>-3.013</v>
      </c>
      <c r="C12" s="23" t="n">
        <v>-7.97</v>
      </c>
      <c r="D12" s="23" t="n">
        <v>-12.01</v>
      </c>
      <c r="E12" s="23" t="n">
        <v>-91.76300000000001</v>
      </c>
      <c r="F12" s="23" t="n">
        <v>-54.869</v>
      </c>
      <c r="G12" s="23" t="n">
        <v>-38.085</v>
      </c>
      <c r="H12" s="23" t="n">
        <v>-60.973</v>
      </c>
      <c r="I12" s="23" t="n">
        <v>-64.179</v>
      </c>
      <c r="J12" s="23" t="n">
        <v>-33.279</v>
      </c>
      <c r="K12" s="23" t="n">
        <v>-21.026</v>
      </c>
      <c r="L12" s="23" t="n">
        <v>-11.123</v>
      </c>
      <c r="M12" s="23" t="n">
        <v>-1.006</v>
      </c>
    </row>
    <row r="13">
      <c r="A13" s="2" t="inlineStr">
        <is>
          <t>Earnings per Share</t>
        </is>
      </c>
      <c r="B13" s="11">
        <f>IFERROR(B12/B14,0)</f>
        <v>-0.21660675772825305</v>
      </c>
      <c r="C13" s="11">
        <f>IFERROR(C12/C14,0)</f>
        <v>-0.5253444070924791</v>
      </c>
      <c r="D13" s="11">
        <f>IFERROR(D12/D14,0)</f>
        <v>-0.7466119607111775</v>
      </c>
      <c r="E13" s="11">
        <f>IFERROR(E12/E14,0)</f>
        <v>-4.397728361928497</v>
      </c>
      <c r="F13" s="11">
        <f>IFERROR(F12/F14,0)</f>
        <v>-2.4208691815574674</v>
      </c>
      <c r="G13" s="11">
        <f>IFERROR(G12/G14,0)</f>
        <v>-1.5452811815304714</v>
      </c>
      <c r="H13" s="11">
        <f>IFERROR(H12/H14,0)</f>
        <v>-2.0335178762006403</v>
      </c>
      <c r="I13" s="11">
        <f>IFERROR(I12/I14,0)</f>
        <v>-1.6446033210332103</v>
      </c>
      <c r="J13" s="11">
        <f>IFERROR(J12/J14,0)</f>
        <v>-0.8512777223543857</v>
      </c>
      <c r="K13" s="11">
        <f>IFERROR(K12/K14,0)</f>
        <v>0</v>
      </c>
      <c r="L13" s="11">
        <f>IFERROR(L12/L14,0)</f>
        <v>0</v>
      </c>
      <c r="M13" s="11">
        <f>IFERROR(M12/M14,0)</f>
        <v>0</v>
      </c>
    </row>
    <row r="14">
      <c r="A14" s="2" t="inlineStr">
        <is>
          <t>Shares</t>
        </is>
      </c>
      <c r="B14" s="23" t="n">
        <v>13.91</v>
      </c>
      <c r="C14" s="23" t="n">
        <v>15.171</v>
      </c>
      <c r="D14" s="23" t="n">
        <v>16.086</v>
      </c>
      <c r="E14" s="23" t="n">
        <v>20.866</v>
      </c>
      <c r="F14" s="23" t="n">
        <v>22.665</v>
      </c>
      <c r="G14" s="23" t="n">
        <v>24.646</v>
      </c>
      <c r="H14" s="23" t="n">
        <v>29.984</v>
      </c>
      <c r="I14" s="23" t="n">
        <v>39.024</v>
      </c>
      <c r="J14" s="23" t="n">
        <v>39.093</v>
      </c>
      <c r="K14" s="23" t="n"/>
      <c r="L14" s="23" t="n"/>
      <c r="M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>6.5055555555555555</v>
      </c>
      <c r="J16" s="15">
        <f>IFERROR(J2/I2-1,"")</f>
        <v>0.0</v>
      </c>
      <c r="K16" s="15">
        <f>IFERROR(K2/J2-1,"")</f>
        <v>-1.0</v>
      </c>
      <c r="L16" s="15">
        <f>IFERROR(L2/K2-1,"")</f>
        <v/>
      </c>
      <c r="M16" s="15">
        <f>IFERROR(M2/L2-1,"")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/>
      </c>
      <c r="L17" s="15">
        <f>IFERROR(L4/L2,"")</f>
        <v/>
      </c>
      <c r="M17" s="15">
        <f>IFERROR(M4/M2,"")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>-356.7277777777777</v>
      </c>
      <c r="I18" s="15">
        <f>IFERROR(I8/I2,"")</f>
        <v>-49.030347890451516</v>
      </c>
      <c r="J18" s="15">
        <f>IFERROR(J8/J2,"")</f>
        <v>-27.564026646928205</v>
      </c>
      <c r="K18" s="15">
        <f>IFERROR(K8/K2,"")</f>
        <v/>
      </c>
      <c r="L18" s="15">
        <f>IFERROR(L8/L2,"")</f>
        <v/>
      </c>
      <c r="M18" s="15">
        <f>IFERROR(M8/M2,"")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2026-10-21T01:06:26Z</dcterms:modified>
  <cp:lastModifiedBy>Wang, Eric</cp:lastModifiedBy>
</cp:coreProperties>
</file>