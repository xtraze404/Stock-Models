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ArriVent BioPharma, Inc.</t>
        </is>
      </c>
      <c r="C2" s="10" t="n"/>
    </row>
    <row r="3">
      <c r="B3" t="inlineStr">
        <is>
          <t>Price</t>
        </is>
      </c>
      <c r="C3" s="11">
        <f>INDEX([1]Pharma!$F$1:$F$1000,MATCH("AVBP",[1]Pharma!$B$1:$B$1000,0))</f>
        <v>18.85</v>
      </c>
      <c r="F3" s="1" t="n"/>
    </row>
    <row r="4">
      <c r="B4" t="inlineStr">
        <is>
          <t>Shares</t>
        </is>
      </c>
      <c r="C4" s="21" t="n">
        <v>49.307729</v>
      </c>
      <c r="F4" s="1" t="n"/>
    </row>
    <row r="5">
      <c r="B5" t="inlineStr">
        <is>
          <t>Market Cap.</t>
        </is>
      </c>
      <c r="C5" s="13">
        <f>C3*C4</f>
        <v>929.4506916500001</v>
      </c>
      <c r="F5" s="1" t="n"/>
    </row>
    <row r="6"/>
    <row r="7">
      <c r="B7" t="inlineStr">
        <is>
          <t>Cash</t>
        </is>
      </c>
      <c r="C7" s="21">
        <f>154.682+218.437</f>
        <v>373.119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556.33169165</v>
      </c>
    </row>
    <row r="10"/>
    <row r="11">
      <c r="B11" s="14" t="inlineStr">
        <is>
          <t>rNPV / Share</t>
        </is>
      </c>
      <c r="C11" s="11">
        <f>NPV!B27</f>
        <v>13.041945825687408</v>
      </c>
    </row>
    <row r="12">
      <c r="B12" s="14" t="inlineStr">
        <is>
          <t>Upside</t>
        </is>
      </c>
      <c r="C12" s="15">
        <f>IFERROR(C11/C3-1,"")</f>
        <v>-0.30811958484416935</v>
      </c>
    </row>
    <row r="13">
      <c r="B13" s="14" t="inlineStr">
        <is>
          <t>Cash / Share</t>
        </is>
      </c>
      <c r="C13" s="11">
        <f>IFERROR((C7-C8)/C4,"")</f>
        <v>7.567150375147069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-147.929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2.5222843391086265</v>
      </c>
    </row>
    <row r="19">
      <c r="B19" s="14" t="inlineStr">
        <is>
          <t>Implied Pipeline Value</t>
        </is>
      </c>
      <c r="C19" s="13">
        <f>C9</f>
        <v>556.33169165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64.884</v>
      </c>
      <c r="C5" s="23" t="n">
        <v>79.004</v>
      </c>
      <c r="D5" s="23" t="n">
        <v>153.351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9.706</v>
      </c>
      <c r="C6" s="23" t="n">
        <v>15.304</v>
      </c>
      <c r="D6" s="23" t="n">
        <v>24.183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74.59</v>
      </c>
      <c r="C7" s="23">
        <f>SUM(C5:C6)</f>
        <v>94.308</v>
      </c>
      <c r="D7" s="23">
        <f>SUM(D5:D6)</f>
        <v>177.534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-74.59</v>
      </c>
      <c r="C8" s="23">
        <f>C4-C7</f>
        <v>-94.308</v>
      </c>
      <c r="D8" s="23">
        <f>D4-D7</f>
        <v>-177.534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5.257</v>
      </c>
      <c r="C9" s="23" t="n">
        <v>13.82</v>
      </c>
      <c r="D9" s="23" t="n">
        <v>11.226</v>
      </c>
    </row>
    <row r="10">
      <c r="A10" s="2" t="inlineStr">
        <is>
          <t>Pretax</t>
        </is>
      </c>
      <c r="B10" s="23">
        <f>B8+B9</f>
        <v>-69.333</v>
      </c>
      <c r="C10" s="23">
        <f>C8+C9</f>
        <v>-80.488</v>
      </c>
      <c r="D10" s="23">
        <f>D8+D9</f>
        <v>-166.308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-69.333</v>
      </c>
      <c r="C12" s="23" t="n">
        <v>-80.488</v>
      </c>
      <c r="D12" s="23" t="n">
        <v>-166.308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-32.383465670247546</v>
      </c>
      <c r="C13" s="11">
        <f>IFERROR(C12/C14,0)</f>
        <v>-2.557691696590295</v>
      </c>
      <c r="D13" s="11">
        <f>IFERROR(D12/D14,0)</f>
        <v>-4.32384369393963</v>
      </c>
    </row>
    <row r="14">
      <c r="A14" s="2" t="inlineStr">
        <is>
          <t>Shares</t>
        </is>
      </c>
      <c r="B14" s="23" t="n">
        <v>2.141</v>
      </c>
      <c r="C14" s="23" t="n">
        <v>31.469</v>
      </c>
      <c r="D14" s="23" t="n">
        <v>38.463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ArriVent BioPharma,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0.49639186485200004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175.94</v>
      </c>
    </row>
    <row r="19">
      <c r="A19" s="14" t="inlineStr">
        <is>
          <t>Years of full burn (until the first launch, max 4)</t>
        </is>
      </c>
      <c r="B19" s="39">
        <f>MIN(4,MAX(1,MIN(Pipeline!I4:I6)-2026))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316.1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269.949730405676</v>
      </c>
      <c r="C29" s="42">
        <f>NPV!B25</f>
        <v>643.068730405676</v>
      </c>
      <c r="D29" s="43">
        <f>NPV!B27</f>
        <v>13.041945825687408</v>
      </c>
      <c r="E29" s="44">
        <f>NPV!B29</f>
        <v>-0.30811958484416935</v>
      </c>
    </row>
    <row r="30">
      <c r="A30" s="45" t="n">
        <v>1</v>
      </c>
      <c r="B30" s="46">
        <f t="dataTable" ref="B30:E32" r1="B4"/>
        <v>-130.3578792261317</v>
      </c>
      <c r="C30" s="46">
        <v>242.76112077386833</v>
      </c>
      <c r="D30" s="47">
        <v>4.923388801254025</v>
      </c>
      <c r="E30" s="48">
        <v>-0.738812265185463</v>
      </c>
    </row>
    <row r="31">
      <c r="A31" s="45" t="n">
        <v>2</v>
      </c>
      <c r="B31" s="46">
        <v>269.949730405676</v>
      </c>
      <c r="C31" s="46">
        <v>643.068730405676</v>
      </c>
      <c r="D31" s="47">
        <v>13.041945825687408</v>
      </c>
      <c r="E31" s="48">
        <v>-0.30811958484416935</v>
      </c>
    </row>
    <row r="32">
      <c r="A32" s="45" t="n">
        <v>3</v>
      </c>
      <c r="B32" s="46">
        <v>889.526555174508</v>
      </c>
      <c r="C32" s="46">
        <v>1262.645555174508</v>
      </c>
      <c r="D32" s="47">
        <v>25.60745710220213</v>
      </c>
      <c r="E32" s="48">
        <v>0.35848578791523233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13.041945825687408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3.267786537147317</v>
      </c>
      <c r="C37" s="47">
        <v>5.802144197567227</v>
      </c>
      <c r="D37" s="47">
        <v>8.094013624041647</v>
      </c>
      <c r="E37" s="47">
        <v>12.535604229247946</v>
      </c>
      <c r="F37" s="47">
        <v>16.894353821597818</v>
      </c>
    </row>
    <row r="38">
      <c r="A38" s="50" t="n">
        <v>0.8</v>
      </c>
      <c r="B38" s="47">
        <v>4.472551945018134</v>
      </c>
      <c r="C38" s="47">
        <v>7.591807983123602</v>
      </c>
      <c r="D38" s="47">
        <v>10.576723821752235</v>
      </c>
      <c r="E38" s="47">
        <v>16.412422225438444</v>
      </c>
      <c r="F38" s="47">
        <v>22.170041751816242</v>
      </c>
    </row>
    <row r="39">
      <c r="A39" s="50" t="n">
        <v>1</v>
      </c>
      <c r="B39" s="47">
        <v>5.56914539536639</v>
      </c>
      <c r="C39" s="47">
        <v>9.36185373202676</v>
      </c>
      <c r="D39" s="47">
        <v>13.041945825687408</v>
      </c>
      <c r="E39" s="47">
        <v>20.277930850029303</v>
      </c>
      <c r="F39" s="47">
        <v>27.447586561769377</v>
      </c>
    </row>
    <row r="40">
      <c r="A40" s="50" t="n">
        <v>1.2</v>
      </c>
      <c r="B40" s="47">
        <v>6.639081096413559</v>
      </c>
      <c r="C40" s="47">
        <v>11.126896434357704</v>
      </c>
      <c r="D40" s="47">
        <v>15.504115241220779</v>
      </c>
      <c r="E40" s="47">
        <v>24.140534530849013</v>
      </c>
      <c r="F40" s="47">
        <v>32.70869236901029</v>
      </c>
    </row>
    <row r="41">
      <c r="A41" s="50" t="n">
        <v>1.4</v>
      </c>
      <c r="B41" s="47">
        <v>7.70987329567503</v>
      </c>
      <c r="C41" s="47">
        <v>12.890973617629381</v>
      </c>
      <c r="D41" s="47">
        <v>17.971793311387888</v>
      </c>
      <c r="E41" s="47">
        <v>28.019149990921314</v>
      </c>
      <c r="F41" s="47">
        <v>37.987421993201124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ArriVent BioPharma,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Lung cancer</t>
        </is>
      </c>
      <c r="C4" s="14" t="inlineStr">
        <is>
          <t>Furmonertinib, Firmonertinib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1200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755.3253622623151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52.656000000000006</v>
      </c>
      <c r="Q4" s="23">
        <f>IF(Q$3&lt;$I4,0,$G4*Assumptions!$E$11*INDEX(Assumptions!$B$24:$G$24,MIN(6,Q$3-$I4+1))*IF(Q$3&gt;$J4,(1-Assumptions!$B$26)^(Q$3-$J4),1)*IF($H4&gt;=1,1,MIN(0.97,$H4*Assumptions!$E$12)))</f>
        <v>131.64000000000001</v>
      </c>
      <c r="R4" s="23">
        <f>IF(R$3&lt;$I4,0,$G4*Assumptions!$E$11*INDEX(Assumptions!$B$24:$G$24,MIN(6,R$3-$I4+1))*IF(R$3&gt;$J4,(1-Assumptions!$B$26)^(R$3-$J4),1)*IF($H4&gt;=1,1,MIN(0.97,$H4*Assumptions!$E$12)))</f>
        <v>236.95200000000003</v>
      </c>
      <c r="S4" s="23">
        <f>IF(S$3&lt;$I4,0,$G4*Assumptions!$E$11*INDEX(Assumptions!$B$24:$G$24,MIN(6,S$3-$I4+1))*IF(S$3&gt;$J4,(1-Assumptions!$B$26)^(S$3-$J4),1)*IF($H4&gt;=1,1,MIN(0.97,$H4*Assumptions!$E$12)))</f>
        <v>342.264</v>
      </c>
      <c r="T4" s="23">
        <f>IF(T$3&lt;$I4,0,$G4*Assumptions!$E$11*INDEX(Assumptions!$B$24:$G$24,MIN(6,T$3-$I4+1))*IF(T$3&gt;$J4,(1-Assumptions!$B$26)^(T$3-$J4),1)*IF($H4&gt;=1,1,MIN(0.97,$H4*Assumptions!$E$12)))</f>
        <v>447.576</v>
      </c>
      <c r="U4" s="23">
        <f>IF(U$3&lt;$I4,0,$G4*Assumptions!$E$11*INDEX(Assumptions!$B$24:$G$24,MIN(6,U$3-$I4+1))*IF(U$3&gt;$J4,(1-Assumptions!$B$26)^(U$3-$J4),1)*IF($H4&gt;=1,1,MIN(0.97,$H4*Assumptions!$E$12)))</f>
        <v>526.5600000000001</v>
      </c>
      <c r="V4" s="23">
        <f>IF(V$3&lt;$I4,0,$G4*Assumptions!$E$11*INDEX(Assumptions!$B$24:$G$24,MIN(6,V$3-$I4+1))*IF(V$3&gt;$J4,(1-Assumptions!$B$26)^(V$3-$J4),1)*IF($H4&gt;=1,1,MIN(0.97,$H4*Assumptions!$E$12)))</f>
        <v>526.5600000000001</v>
      </c>
      <c r="W4" s="23">
        <f>IF(W$3&lt;$I4,0,$G4*Assumptions!$E$11*INDEX(Assumptions!$B$24:$G$24,MIN(6,W$3-$I4+1))*IF(W$3&gt;$J4,(1-Assumptions!$B$26)^(W$3-$J4),1)*IF($H4&gt;=1,1,MIN(0.97,$H4*Assumptions!$E$12)))</f>
        <v>526.5600000000001</v>
      </c>
      <c r="X4" s="23">
        <f>IF(X$3&lt;$I4,0,$G4*Assumptions!$E$11*INDEX(Assumptions!$B$24:$G$24,MIN(6,X$3-$I4+1))*IF(X$3&gt;$J4,(1-Assumptions!$B$26)^(X$3-$J4),1)*IF($H4&gt;=1,1,MIN(0.97,$H4*Assumptions!$E$12)))</f>
        <v>526.5600000000001</v>
      </c>
      <c r="Y4" s="23">
        <f>IF(Y$3&lt;$I4,0,$G4*Assumptions!$E$11*INDEX(Assumptions!$B$24:$G$24,MIN(6,Y$3-$I4+1))*IF(Y$3&gt;$J4,(1-Assumptions!$B$26)^(Y$3-$J4),1)*IF($H4&gt;=1,1,MIN(0.97,$H4*Assumptions!$E$12)))</f>
        <v>526.5600000000001</v>
      </c>
      <c r="Z4" s="23">
        <f>IF(Z$3&lt;$I4,0,$G4*Assumptions!$E$11*INDEX(Assumptions!$B$24:$G$24,MIN(6,Z$3-$I4+1))*IF(Z$3&gt;$J4,(1-Assumptions!$B$26)^(Z$3-$J4),1)*IF($H4&gt;=1,1,MIN(0.97,$H4*Assumptions!$E$12)))</f>
        <v>526.5600000000001</v>
      </c>
      <c r="AA4" s="23">
        <f>IF(AA$3&lt;$I4,0,$G4*Assumptions!$E$11*INDEX(Assumptions!$B$24:$G$24,MIN(6,AA$3-$I4+1))*IF(AA$3&gt;$J4,(1-Assumptions!$B$26)^(AA$3-$J4),1)*IF($H4&gt;=1,1,MIN(0.97,$H4*Assumptions!$E$12)))</f>
        <v>526.5600000000001</v>
      </c>
      <c r="AB4" s="23">
        <f>IF(AB$3&lt;$I4,0,$G4*Assumptions!$E$11*INDEX(Assumptions!$B$24:$G$24,MIN(6,AB$3-$I4+1))*IF(AB$3&gt;$J4,(1-Assumptions!$B$26)^(AB$3-$J4),1)*IF($H4&gt;=1,1,MIN(0.97,$H4*Assumptions!$E$12)))</f>
        <v>526.5600000000001</v>
      </c>
      <c r="AC4" s="23">
        <f>IF(AC$3&lt;$I4,0,$G4*Assumptions!$E$11*INDEX(Assumptions!$B$24:$G$24,MIN(6,AC$3-$I4+1))*IF(AC$3&gt;$J4,(1-Assumptions!$B$26)^(AC$3-$J4),1)*IF($H4&gt;=1,1,MIN(0.97,$H4*Assumptions!$E$12)))</f>
        <v>263.28000000000003</v>
      </c>
      <c r="AD4" s="23">
        <f>IF(AD$3&lt;$I4,0,$G4*Assumptions!$E$11*INDEX(Assumptions!$B$24:$G$24,MIN(6,AD$3-$I4+1))*IF(AD$3&gt;$J4,(1-Assumptions!$B$26)^(AD$3-$J4),1)*IF($H4&gt;=1,1,MIN(0.97,$H4*Assumptions!$E$12)))</f>
        <v>131.64000000000001</v>
      </c>
      <c r="AE4" s="23">
        <f>IF(AE$3&lt;$I4,0,$G4*Assumptions!$E$11*INDEX(Assumptions!$B$24:$G$24,MIN(6,AE$3-$I4+1))*IF(AE$3&gt;$J4,(1-Assumptions!$B$26)^(AE$3-$J4),1)*IF($H4&gt;=1,1,MIN(0.97,$H4*Assumptions!$E$12)))</f>
        <v>65.82000000000001</v>
      </c>
      <c r="AF4" s="23">
        <f>IF(AF$3&lt;$I4,0,$G4*Assumptions!$E$11*INDEX(Assumptions!$B$24:$G$24,MIN(6,AF$3-$I4+1))*IF(AF$3&gt;$J4,(1-Assumptions!$B$26)^(AF$3-$J4),1)*IF($H4&gt;=1,1,MIN(0.97,$H4*Assumptions!$E$12)))</f>
        <v>32.910000000000004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Solid tumors (basket)</t>
        </is>
      </c>
      <c r="C5" s="14" t="inlineStr">
        <is>
          <t>MRG007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1500</v>
      </c>
      <c r="H5" s="27" t="n">
        <v>0.0527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69.22180286367352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7.904999999999999</v>
      </c>
      <c r="U5" s="23">
        <f>IF(U$3&lt;$I5,0,$G5*Assumptions!$E$11*INDEX(Assumptions!$B$24:$G$24,MIN(6,U$3-$I5+1))*IF(U$3&gt;$J5,(1-Assumptions!$B$26)^(U$3-$J5),1)*IF($H5&gt;=1,1,MIN(0.97,$H5*Assumptions!$E$12)))</f>
        <v>19.7625</v>
      </c>
      <c r="V5" s="23">
        <f>IF(V$3&lt;$I5,0,$G5*Assumptions!$E$11*INDEX(Assumptions!$B$24:$G$24,MIN(6,V$3-$I5+1))*IF(V$3&gt;$J5,(1-Assumptions!$B$26)^(V$3-$J5),1)*IF($H5&gt;=1,1,MIN(0.97,$H5*Assumptions!$E$12)))</f>
        <v>35.5725</v>
      </c>
      <c r="W5" s="23">
        <f>IF(W$3&lt;$I5,0,$G5*Assumptions!$E$11*INDEX(Assumptions!$B$24:$G$24,MIN(6,W$3-$I5+1))*IF(W$3&gt;$J5,(1-Assumptions!$B$26)^(W$3-$J5),1)*IF($H5&gt;=1,1,MIN(0.97,$H5*Assumptions!$E$12)))</f>
        <v>51.3825</v>
      </c>
      <c r="X5" s="23">
        <f>IF(X$3&lt;$I5,0,$G5*Assumptions!$E$11*INDEX(Assumptions!$B$24:$G$24,MIN(6,X$3-$I5+1))*IF(X$3&gt;$J5,(1-Assumptions!$B$26)^(X$3-$J5),1)*IF($H5&gt;=1,1,MIN(0.97,$H5*Assumptions!$E$12)))</f>
        <v>67.1925</v>
      </c>
      <c r="Y5" s="23">
        <f>IF(Y$3&lt;$I5,0,$G5*Assumptions!$E$11*INDEX(Assumptions!$B$24:$G$24,MIN(6,Y$3-$I5+1))*IF(Y$3&gt;$J5,(1-Assumptions!$B$26)^(Y$3-$J5),1)*IF($H5&gt;=1,1,MIN(0.97,$H5*Assumptions!$E$12)))</f>
        <v>79.05</v>
      </c>
      <c r="Z5" s="23">
        <f>IF(Z$3&lt;$I5,0,$G5*Assumptions!$E$11*INDEX(Assumptions!$B$24:$G$24,MIN(6,Z$3-$I5+1))*IF(Z$3&gt;$J5,(1-Assumptions!$B$26)^(Z$3-$J5),1)*IF($H5&gt;=1,1,MIN(0.97,$H5*Assumptions!$E$12)))</f>
        <v>79.05</v>
      </c>
      <c r="AA5" s="23">
        <f>IF(AA$3&lt;$I5,0,$G5*Assumptions!$E$11*INDEX(Assumptions!$B$24:$G$24,MIN(6,AA$3-$I5+1))*IF(AA$3&gt;$J5,(1-Assumptions!$B$26)^(AA$3-$J5),1)*IF($H5&gt;=1,1,MIN(0.97,$H5*Assumptions!$E$12)))</f>
        <v>79.05</v>
      </c>
      <c r="AB5" s="23">
        <f>IF(AB$3&lt;$I5,0,$G5*Assumptions!$E$11*INDEX(Assumptions!$B$24:$G$24,MIN(6,AB$3-$I5+1))*IF(AB$3&gt;$J5,(1-Assumptions!$B$26)^(AB$3-$J5),1)*IF($H5&gt;=1,1,MIN(0.97,$H5*Assumptions!$E$12)))</f>
        <v>79.05</v>
      </c>
      <c r="AC5" s="23">
        <f>IF(AC$3&lt;$I5,0,$G5*Assumptions!$E$11*INDEX(Assumptions!$B$24:$G$24,MIN(6,AC$3-$I5+1))*IF(AC$3&gt;$J5,(1-Assumptions!$B$26)^(AC$3-$J5),1)*IF($H5&gt;=1,1,MIN(0.97,$H5*Assumptions!$E$12)))</f>
        <v>79.05</v>
      </c>
      <c r="AD5" s="23">
        <f>IF(AD$3&lt;$I5,0,$G5*Assumptions!$E$11*INDEX(Assumptions!$B$24:$G$24,MIN(6,AD$3-$I5+1))*IF(AD$3&gt;$J5,(1-Assumptions!$B$26)^(AD$3-$J5),1)*IF($H5&gt;=1,1,MIN(0.97,$H5*Assumptions!$E$12)))</f>
        <v>79.05</v>
      </c>
      <c r="AE5" s="23">
        <f>IF(AE$3&lt;$I5,0,$G5*Assumptions!$E$11*INDEX(Assumptions!$B$24:$G$24,MIN(6,AE$3-$I5+1))*IF(AE$3&gt;$J5,(1-Assumptions!$B$26)^(AE$3-$J5),1)*IF($H5&gt;=1,1,MIN(0.97,$H5*Assumptions!$E$12)))</f>
        <v>79.05</v>
      </c>
      <c r="AF5" s="23">
        <f>IF(AF$3&lt;$I5,0,$G5*Assumptions!$E$11*INDEX(Assumptions!$B$24:$G$24,MIN(6,AF$3-$I5+1))*IF(AF$3&gt;$J5,(1-Assumptions!$B$26)^(AF$3-$J5),1)*IF($H5&gt;=1,1,MIN(0.97,$H5*Assumptions!$E$12)))</f>
        <v>79.05</v>
      </c>
      <c r="AG5" s="35">
        <f>IF(F5="Owned",1-IF(H5&gt;=1,1,MIN(0.97,H5*Assumptions!$E$12)),1)</f>
        <v>0.9473</v>
      </c>
    </row>
    <row r="6">
      <c r="A6" s="39" t="n">
        <v>3</v>
      </c>
      <c r="B6" s="14" t="inlineStr">
        <is>
          <t>Ovarian cancer</t>
        </is>
      </c>
      <c r="C6" s="14" t="inlineStr">
        <is>
          <t>ARR-002</t>
        </is>
      </c>
      <c r="D6" s="14" t="inlineStr">
        <is>
          <t>Phase 1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1200</v>
      </c>
      <c r="H6" s="27" t="n">
        <v>0.0527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55.3774422909388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6.324</v>
      </c>
      <c r="U6" s="23">
        <f>IF(U$3&lt;$I6,0,$G6*Assumptions!$E$11*INDEX(Assumptions!$B$24:$G$24,MIN(6,U$3-$I6+1))*IF(U$3&gt;$J6,(1-Assumptions!$B$26)^(U$3-$J6),1)*IF($H6&gt;=1,1,MIN(0.97,$H6*Assumptions!$E$12)))</f>
        <v>15.809999999999999</v>
      </c>
      <c r="V6" s="23">
        <f>IF(V$3&lt;$I6,0,$G6*Assumptions!$E$11*INDEX(Assumptions!$B$24:$G$24,MIN(6,V$3-$I6+1))*IF(V$3&gt;$J6,(1-Assumptions!$B$26)^(V$3-$J6),1)*IF($H6&gt;=1,1,MIN(0.97,$H6*Assumptions!$E$12)))</f>
        <v>28.458</v>
      </c>
      <c r="W6" s="23">
        <f>IF(W$3&lt;$I6,0,$G6*Assumptions!$E$11*INDEX(Assumptions!$B$24:$G$24,MIN(6,W$3-$I6+1))*IF(W$3&gt;$J6,(1-Assumptions!$B$26)^(W$3-$J6),1)*IF($H6&gt;=1,1,MIN(0.97,$H6*Assumptions!$E$12)))</f>
        <v>41.105999999999995</v>
      </c>
      <c r="X6" s="23">
        <f>IF(X$3&lt;$I6,0,$G6*Assumptions!$E$11*INDEX(Assumptions!$B$24:$G$24,MIN(6,X$3-$I6+1))*IF(X$3&gt;$J6,(1-Assumptions!$B$26)^(X$3-$J6),1)*IF($H6&gt;=1,1,MIN(0.97,$H6*Assumptions!$E$12)))</f>
        <v>53.754</v>
      </c>
      <c r="Y6" s="23">
        <f>IF(Y$3&lt;$I6,0,$G6*Assumptions!$E$11*INDEX(Assumptions!$B$24:$G$24,MIN(6,Y$3-$I6+1))*IF(Y$3&gt;$J6,(1-Assumptions!$B$26)^(Y$3-$J6),1)*IF($H6&gt;=1,1,MIN(0.97,$H6*Assumptions!$E$12)))</f>
        <v>63.239999999999995</v>
      </c>
      <c r="Z6" s="23">
        <f>IF(Z$3&lt;$I6,0,$G6*Assumptions!$E$11*INDEX(Assumptions!$B$24:$G$24,MIN(6,Z$3-$I6+1))*IF(Z$3&gt;$J6,(1-Assumptions!$B$26)^(Z$3-$J6),1)*IF($H6&gt;=1,1,MIN(0.97,$H6*Assumptions!$E$12)))</f>
        <v>63.239999999999995</v>
      </c>
      <c r="AA6" s="23">
        <f>IF(AA$3&lt;$I6,0,$G6*Assumptions!$E$11*INDEX(Assumptions!$B$24:$G$24,MIN(6,AA$3-$I6+1))*IF(AA$3&gt;$J6,(1-Assumptions!$B$26)^(AA$3-$J6),1)*IF($H6&gt;=1,1,MIN(0.97,$H6*Assumptions!$E$12)))</f>
        <v>63.239999999999995</v>
      </c>
      <c r="AB6" s="23">
        <f>IF(AB$3&lt;$I6,0,$G6*Assumptions!$E$11*INDEX(Assumptions!$B$24:$G$24,MIN(6,AB$3-$I6+1))*IF(AB$3&gt;$J6,(1-Assumptions!$B$26)^(AB$3-$J6),1)*IF($H6&gt;=1,1,MIN(0.97,$H6*Assumptions!$E$12)))</f>
        <v>63.239999999999995</v>
      </c>
      <c r="AC6" s="23">
        <f>IF(AC$3&lt;$I6,0,$G6*Assumptions!$E$11*INDEX(Assumptions!$B$24:$G$24,MIN(6,AC$3-$I6+1))*IF(AC$3&gt;$J6,(1-Assumptions!$B$26)^(AC$3-$J6),1)*IF($H6&gt;=1,1,MIN(0.97,$H6*Assumptions!$E$12)))</f>
        <v>63.239999999999995</v>
      </c>
      <c r="AD6" s="23">
        <f>IF(AD$3&lt;$I6,0,$G6*Assumptions!$E$11*INDEX(Assumptions!$B$24:$G$24,MIN(6,AD$3-$I6+1))*IF(AD$3&gt;$J6,(1-Assumptions!$B$26)^(AD$3-$J6),1)*IF($H6&gt;=1,1,MIN(0.97,$H6*Assumptions!$E$12)))</f>
        <v>63.239999999999995</v>
      </c>
      <c r="AE6" s="23">
        <f>IF(AE$3&lt;$I6,0,$G6*Assumptions!$E$11*INDEX(Assumptions!$B$24:$G$24,MIN(6,AE$3-$I6+1))*IF(AE$3&gt;$J6,(1-Assumptions!$B$26)^(AE$3-$J6),1)*IF($H6&gt;=1,1,MIN(0.97,$H6*Assumptions!$E$12)))</f>
        <v>63.239999999999995</v>
      </c>
      <c r="AF6" s="23">
        <f>IF(AF$3&lt;$I6,0,$G6*Assumptions!$E$11*INDEX(Assumptions!$B$24:$G$24,MIN(6,AF$3-$I6+1))*IF(AF$3&gt;$J6,(1-Assumptions!$B$26)^(AF$3-$J6),1)*IF($H6&gt;=1,1,MIN(0.97,$H6*Assumptions!$E$12)))</f>
        <v>63.239999999999995</v>
      </c>
      <c r="AG6" s="35">
        <f>IF(F6="Owned",1-IF(H6&gt;=1,1,MIN(0.97,H6*Assumptions!$E$12)),1)</f>
        <v>0.9473</v>
      </c>
    </row>
    <row r="7">
      <c r="B7" s="24" t="inlineStr">
        <is>
          <t>Risked revenue</t>
        </is>
      </c>
      <c r="L7" s="54">
        <f>SUM(L4:L6)</f>
        <v>879.9246074169274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52.656000000000006</v>
      </c>
      <c r="Q7" s="54">
        <f>SUM(Q4:Q6)</f>
        <v>131.64000000000001</v>
      </c>
      <c r="R7" s="54">
        <f>SUM(R4:R6)</f>
        <v>236.95200000000003</v>
      </c>
      <c r="S7" s="54">
        <f>SUM(S4:S6)</f>
        <v>342.264</v>
      </c>
      <c r="T7" s="54">
        <f>SUM(T4:T6)</f>
        <v>461.805</v>
      </c>
      <c r="U7" s="54">
        <f>SUM(U4:U6)</f>
        <v>562.1325</v>
      </c>
      <c r="V7" s="54">
        <f>SUM(V4:V6)</f>
        <v>590.5905</v>
      </c>
      <c r="W7" s="54">
        <f>SUM(W4:W6)</f>
        <v>619.0485000000001</v>
      </c>
      <c r="X7" s="54">
        <f>SUM(X4:X6)</f>
        <v>647.5065000000001</v>
      </c>
      <c r="Y7" s="54">
        <f>SUM(Y4:Y6)</f>
        <v>668.85</v>
      </c>
      <c r="Z7" s="54">
        <f>SUM(Z4:Z6)</f>
        <v>668.85</v>
      </c>
      <c r="AA7" s="54">
        <f>SUM(AA4:AA6)</f>
        <v>668.85</v>
      </c>
      <c r="AB7" s="54">
        <f>SUM(AB4:AB6)</f>
        <v>668.85</v>
      </c>
      <c r="AC7" s="54">
        <f>SUM(AC4:AC6)</f>
        <v>405.57000000000005</v>
      </c>
      <c r="AD7" s="54">
        <f>SUM(AD4:AD6)</f>
        <v>273.93</v>
      </c>
      <c r="AE7" s="54">
        <f>SUM(AE4:AE6)</f>
        <v>208.11</v>
      </c>
      <c r="AF7" s="54">
        <f>SUM(AF4:AF6)</f>
        <v>175.2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21.062400000000004</v>
      </c>
      <c r="Q8" s="55">
        <f>SUMPRODUCT(Q4:Q6,$K$4:$K$6)</f>
        <v>52.656000000000006</v>
      </c>
      <c r="R8" s="55">
        <f>SUMPRODUCT(R4:R6,$K$4:$K$6)</f>
        <v>94.78080000000001</v>
      </c>
      <c r="S8" s="55">
        <f>SUMPRODUCT(S4:S6,$K$4:$K$6)</f>
        <v>136.90560000000002</v>
      </c>
      <c r="T8" s="55">
        <f>SUMPRODUCT(T4:T6,$K$4:$K$6)</f>
        <v>184.722</v>
      </c>
      <c r="U8" s="55">
        <f>SUMPRODUCT(U4:U6,$K$4:$K$6)</f>
        <v>224.85300000000004</v>
      </c>
      <c r="V8" s="55">
        <f>SUMPRODUCT(V4:V6,$K$4:$K$6)</f>
        <v>236.2362</v>
      </c>
      <c r="W8" s="55">
        <f>SUMPRODUCT(W4:W6,$K$4:$K$6)</f>
        <v>247.6194</v>
      </c>
      <c r="X8" s="55">
        <f>SUMPRODUCT(X4:X6,$K$4:$K$6)</f>
        <v>259.00260000000003</v>
      </c>
      <c r="Y8" s="55">
        <f>SUMPRODUCT(Y4:Y6,$K$4:$K$6)</f>
        <v>267.54</v>
      </c>
      <c r="Z8" s="55">
        <f>SUMPRODUCT(Z4:Z6,$K$4:$K$6)</f>
        <v>267.54</v>
      </c>
      <c r="AA8" s="55">
        <f>SUMPRODUCT(AA4:AA6,$K$4:$K$6)</f>
        <v>267.54</v>
      </c>
      <c r="AB8" s="55">
        <f>SUMPRODUCT(AB4:AB6,$K$4:$K$6)</f>
        <v>267.54</v>
      </c>
      <c r="AC8" s="55">
        <f>SUMPRODUCT(AC4:AC6,$K$4:$K$6)</f>
        <v>162.228</v>
      </c>
      <c r="AD8" s="55">
        <f>SUMPRODUCT(AD4:AD6,$K$4:$K$6)</f>
        <v>109.572</v>
      </c>
      <c r="AE8" s="55">
        <f>SUMPRODUCT(AE4:AE6,$K$4:$K$6)</f>
        <v>83.244</v>
      </c>
      <c r="AF8" s="55">
        <f>SUMPRODUCT(AF4:AF6,$K$4:$K$6)</f>
        <v>70.08000000000001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ArriVent BioPharma,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52.656000000000006</v>
      </c>
      <c r="G4" s="57">
        <f>Pipeline!Q7</f>
        <v>131.64000000000001</v>
      </c>
      <c r="H4" s="57">
        <f>Pipeline!R7</f>
        <v>236.95200000000003</v>
      </c>
      <c r="I4" s="57">
        <f>Pipeline!S7</f>
        <v>342.264</v>
      </c>
      <c r="J4" s="57">
        <f>Pipeline!T7</f>
        <v>461.805</v>
      </c>
      <c r="K4" s="57">
        <f>Pipeline!U7</f>
        <v>562.1325</v>
      </c>
      <c r="L4" s="57">
        <f>Pipeline!V7</f>
        <v>590.5905</v>
      </c>
      <c r="M4" s="57">
        <f>Pipeline!W7</f>
        <v>619.0485000000001</v>
      </c>
      <c r="N4" s="57">
        <f>Pipeline!X7</f>
        <v>647.5065000000001</v>
      </c>
      <c r="O4" s="57">
        <f>Pipeline!Y7</f>
        <v>668.85</v>
      </c>
      <c r="P4" s="57">
        <f>Pipeline!Z7</f>
        <v>668.85</v>
      </c>
      <c r="Q4" s="57">
        <f>Pipeline!AA7</f>
        <v>668.85</v>
      </c>
      <c r="R4" s="57">
        <f>Pipeline!AB7</f>
        <v>668.85</v>
      </c>
      <c r="S4" s="57">
        <f>Pipeline!AC7</f>
        <v>405.57000000000005</v>
      </c>
      <c r="T4" s="57">
        <f>Pipeline!AD7</f>
        <v>273.93</v>
      </c>
      <c r="U4" s="57">
        <f>Pipeline!AE7</f>
        <v>208.11</v>
      </c>
      <c r="V4" s="57">
        <f>Pipeline!AF7</f>
        <v>175.2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21.062400000000004</v>
      </c>
      <c r="G5" s="57">
        <f>Pipeline!Q8</f>
        <v>52.656000000000006</v>
      </c>
      <c r="H5" s="57">
        <f>Pipeline!R8</f>
        <v>94.78080000000001</v>
      </c>
      <c r="I5" s="57">
        <f>Pipeline!S8</f>
        <v>136.90560000000002</v>
      </c>
      <c r="J5" s="57">
        <f>Pipeline!T8</f>
        <v>184.722</v>
      </c>
      <c r="K5" s="57">
        <f>Pipeline!U8</f>
        <v>224.85300000000004</v>
      </c>
      <c r="L5" s="57">
        <f>Pipeline!V8</f>
        <v>236.2362</v>
      </c>
      <c r="M5" s="57">
        <f>Pipeline!W8</f>
        <v>247.6194</v>
      </c>
      <c r="N5" s="57">
        <f>Pipeline!X8</f>
        <v>259.00260000000003</v>
      </c>
      <c r="O5" s="57">
        <f>Pipeline!Y8</f>
        <v>267.54</v>
      </c>
      <c r="P5" s="57">
        <f>Pipeline!Z8</f>
        <v>267.54</v>
      </c>
      <c r="Q5" s="57">
        <f>Pipeline!AA8</f>
        <v>267.54</v>
      </c>
      <c r="R5" s="57">
        <f>Pipeline!AB8</f>
        <v>267.54</v>
      </c>
      <c r="S5" s="57">
        <f>Pipeline!AC8</f>
        <v>162.228</v>
      </c>
      <c r="T5" s="57">
        <f>Pipeline!AD8</f>
        <v>109.572</v>
      </c>
      <c r="U5" s="57">
        <f>Pipeline!AE8</f>
        <v>83.244</v>
      </c>
      <c r="V5" s="57">
        <f>Pipeline!AF8</f>
        <v>70.08000000000001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-175.94</v>
      </c>
      <c r="D6" s="23">
        <f>-IF(D3-2026&lt;Assumptions!$B$19,Assumptions!$B$18,Assumptions!$B$18*Assumptions!$B$20*Assumptions!$B$16)</f>
        <v>-175.94</v>
      </c>
      <c r="E6" s="23">
        <f>-IF(E3-2026&lt;Assumptions!$B$19,Assumptions!$B$18,Assumptions!$B$18*Assumptions!$B$20*Assumptions!$B$16)</f>
        <v>-175.94</v>
      </c>
      <c r="F6" s="23">
        <f>-IF(F3-2026&lt;Assumptions!$B$19,Assumptions!$B$18,Assumptions!$B$18*Assumptions!$B$20*Assumptions!$B$16)</f>
        <v>-26.200555410618264</v>
      </c>
      <c r="G6" s="23">
        <f>-IF(G3-2026&lt;Assumptions!$B$19,Assumptions!$B$18,Assumptions!$B$18*Assumptions!$B$20*Assumptions!$B$16)</f>
        <v>-26.200555410618264</v>
      </c>
      <c r="H6" s="23">
        <f>-IF(H3-2026&lt;Assumptions!$B$19,Assumptions!$B$18,Assumptions!$B$18*Assumptions!$B$20*Assumptions!$B$16)</f>
        <v>-26.200555410618264</v>
      </c>
      <c r="I6" s="23">
        <f>-IF(I3-2026&lt;Assumptions!$B$19,Assumptions!$B$18,Assumptions!$B$18*Assumptions!$B$20*Assumptions!$B$16)</f>
        <v>-26.200555410618264</v>
      </c>
      <c r="J6" s="23">
        <f>-IF(J3-2026&lt;Assumptions!$B$19,Assumptions!$B$18,Assumptions!$B$18*Assumptions!$B$20*Assumptions!$B$16)</f>
        <v>-26.200555410618264</v>
      </c>
      <c r="K6" s="23">
        <f>-IF(K3-2026&lt;Assumptions!$B$19,Assumptions!$B$18,Assumptions!$B$18*Assumptions!$B$20*Assumptions!$B$16)</f>
        <v>-26.200555410618264</v>
      </c>
      <c r="L6" s="23">
        <f>-IF(L3-2026&lt;Assumptions!$B$19,Assumptions!$B$18,Assumptions!$B$18*Assumptions!$B$20*Assumptions!$B$16)</f>
        <v>-26.200555410618264</v>
      </c>
      <c r="M6" s="23">
        <f>-IF(M3-2026&lt;Assumptions!$B$19,Assumptions!$B$18,Assumptions!$B$18*Assumptions!$B$20*Assumptions!$B$16)</f>
        <v>-26.200555410618264</v>
      </c>
      <c r="N6" s="23">
        <f>-IF(N3-2026&lt;Assumptions!$B$19,Assumptions!$B$18,Assumptions!$B$18*Assumptions!$B$20*Assumptions!$B$16)</f>
        <v>-26.200555410618264</v>
      </c>
      <c r="O6" s="23">
        <f>-IF(O3-2026&lt;Assumptions!$B$19,Assumptions!$B$18,Assumptions!$B$18*Assumptions!$B$20*Assumptions!$B$16)</f>
        <v>-26.200555410618264</v>
      </c>
      <c r="P6" s="23">
        <f>-IF(P3-2026&lt;Assumptions!$B$19,Assumptions!$B$18,Assumptions!$B$18*Assumptions!$B$20*Assumptions!$B$16)</f>
        <v>-26.200555410618264</v>
      </c>
      <c r="Q6" s="23">
        <f>-IF(Q3-2026&lt;Assumptions!$B$19,Assumptions!$B$18,Assumptions!$B$18*Assumptions!$B$20*Assumptions!$B$16)</f>
        <v>-26.200555410618264</v>
      </c>
      <c r="R6" s="23">
        <f>-IF(R3-2026&lt;Assumptions!$B$19,Assumptions!$B$18,Assumptions!$B$18*Assumptions!$B$20*Assumptions!$B$16)</f>
        <v>-26.200555410618264</v>
      </c>
      <c r="S6" s="23">
        <f>-IF(S3-2026&lt;Assumptions!$B$19,Assumptions!$B$18,Assumptions!$B$18*Assumptions!$B$20*Assumptions!$B$16)</f>
        <v>-26.200555410618264</v>
      </c>
      <c r="T6" s="23">
        <f>-IF(T3-2026&lt;Assumptions!$B$19,Assumptions!$B$18,Assumptions!$B$18*Assumptions!$B$20*Assumptions!$B$16)</f>
        <v>-26.200555410618264</v>
      </c>
      <c r="U6" s="23">
        <f>-IF(U3-2026&lt;Assumptions!$B$19,Assumptions!$B$18,Assumptions!$B$18*Assumptions!$B$20*Assumptions!$B$16)</f>
        <v>-26.200555410618264</v>
      </c>
      <c r="V6" s="23">
        <f>-IF(V3-2026&lt;Assumptions!$B$19,Assumptions!$B$18,Assumptions!$B$18*Assumptions!$B$20*Assumptions!$B$16)</f>
        <v>-26.200555410618264</v>
      </c>
    </row>
    <row r="7">
      <c r="A7" s="14" t="inlineStr">
        <is>
          <t>Pre-tax cash flow</t>
        </is>
      </c>
      <c r="C7" s="23">
        <f>C5+C6</f>
        <v>-175.94</v>
      </c>
      <c r="D7" s="23">
        <f>D5+D6</f>
        <v>-175.94</v>
      </c>
      <c r="E7" s="23">
        <f>E5+E6</f>
        <v>-175.94</v>
      </c>
      <c r="F7" s="23">
        <f>F5+F6</f>
        <v>-5.1381554106182605</v>
      </c>
      <c r="G7" s="23">
        <f>G5+G6</f>
        <v>26.45544458938174</v>
      </c>
      <c r="H7" s="23">
        <f>H5+H6</f>
        <v>68.58024458938175</v>
      </c>
      <c r="I7" s="23">
        <f>I5+I6</f>
        <v>110.70504458938176</v>
      </c>
      <c r="J7" s="23">
        <f>J5+J6</f>
        <v>158.52144458938176</v>
      </c>
      <c r="K7" s="23">
        <f>K5+K6</f>
        <v>198.6524445893818</v>
      </c>
      <c r="L7" s="23">
        <f>L5+L6</f>
        <v>210.03564458938172</v>
      </c>
      <c r="M7" s="23">
        <f>M5+M6</f>
        <v>221.41884458938176</v>
      </c>
      <c r="N7" s="23">
        <f>N5+N6</f>
        <v>232.80204458938175</v>
      </c>
      <c r="O7" s="23">
        <f>O5+O6</f>
        <v>241.33944458938174</v>
      </c>
      <c r="P7" s="23">
        <f>P5+P6</f>
        <v>241.33944458938174</v>
      </c>
      <c r="Q7" s="23">
        <f>Q5+Q6</f>
        <v>241.33944458938174</v>
      </c>
      <c r="R7" s="23">
        <f>R5+R6</f>
        <v>241.33944458938174</v>
      </c>
      <c r="S7" s="23">
        <f>S5+S6</f>
        <v>136.02744458938173</v>
      </c>
      <c r="T7" s="23">
        <f>T5+T6</f>
        <v>83.37144458938174</v>
      </c>
      <c r="U7" s="23">
        <f>U5+U6</f>
        <v>57.043444589381735</v>
      </c>
      <c r="V7" s="23">
        <f>V5+V6</f>
        <v>43.87944458938175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26.45544458938174</v>
      </c>
      <c r="H8" s="23">
        <f>MIN(G17,MAX(0,H7))</f>
        <v>68.58024458938175</v>
      </c>
      <c r="I8" s="23">
        <f>MIN(H17,MAX(0,I7))</f>
        <v>110.70504458938176</v>
      </c>
      <c r="J8" s="23">
        <f>MIN(I17,MAX(0,J7))</f>
        <v>158.52144458938176</v>
      </c>
      <c r="K8" s="23">
        <f>MIN(J17,MAX(0,K7))</f>
        <v>198.6524445893818</v>
      </c>
      <c r="L8" s="23">
        <f>MIN(K17,MAX(0,L7))</f>
        <v>210.03564458938172</v>
      </c>
      <c r="M8" s="23">
        <f>MIN(L17,MAX(0,M7))</f>
        <v>76.1078878743279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145.31095671505386</v>
      </c>
      <c r="N9" s="23">
        <f>MAX(0,N7)-N8</f>
        <v>232.80204458938175</v>
      </c>
      <c r="O9" s="23">
        <f>MAX(0,O7)-O8</f>
        <v>241.33944458938174</v>
      </c>
      <c r="P9" s="23">
        <f>MAX(0,P7)-P8</f>
        <v>241.33944458938174</v>
      </c>
      <c r="Q9" s="23">
        <f>MAX(0,Q7)-Q8</f>
        <v>241.33944458938174</v>
      </c>
      <c r="R9" s="23">
        <f>MAX(0,R7)-R8</f>
        <v>241.33944458938174</v>
      </c>
      <c r="S9" s="23">
        <f>MAX(0,S7)-S8</f>
        <v>136.02744458938173</v>
      </c>
      <c r="T9" s="23">
        <f>MAX(0,T7)-T8</f>
        <v>83.37144458938174</v>
      </c>
      <c r="U9" s="23">
        <f>MAX(0,U7)-U8</f>
        <v>57.043444589381735</v>
      </c>
      <c r="V9" s="23">
        <f>MAX(0,V7)-V8</f>
        <v>43.87944458938175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30.51530091016131</v>
      </c>
      <c r="N10" s="23">
        <f>N9*Assumptions!$E$15</f>
        <v>48.888429363770165</v>
      </c>
      <c r="O10" s="23">
        <f>O9*Assumptions!$E$15</f>
        <v>50.68128336377016</v>
      </c>
      <c r="P10" s="23">
        <f>P9*Assumptions!$E$15</f>
        <v>50.68128336377016</v>
      </c>
      <c r="Q10" s="23">
        <f>Q9*Assumptions!$E$15</f>
        <v>50.68128336377016</v>
      </c>
      <c r="R10" s="23">
        <f>R9*Assumptions!$E$15</f>
        <v>50.68128336377016</v>
      </c>
      <c r="S10" s="23">
        <f>S9*Assumptions!$E$15</f>
        <v>28.565763363770163</v>
      </c>
      <c r="T10" s="23">
        <f>T9*Assumptions!$E$15</f>
        <v>17.508003363770165</v>
      </c>
      <c r="U10" s="23">
        <f>U9*Assumptions!$E$15</f>
        <v>11.979123363770164</v>
      </c>
      <c r="V10" s="23">
        <f>V9*Assumptions!$E$15</f>
        <v>9.214683363770167</v>
      </c>
    </row>
    <row r="11">
      <c r="A11" s="24" t="inlineStr">
        <is>
          <t>Free cash flow</t>
        </is>
      </c>
      <c r="C11" s="55">
        <f>C7-C10</f>
        <v>-175.94</v>
      </c>
      <c r="D11" s="55">
        <f>D7-D10</f>
        <v>-175.94</v>
      </c>
      <c r="E11" s="55">
        <f>E7-E10</f>
        <v>-175.94</v>
      </c>
      <c r="F11" s="55">
        <f>F7-F10</f>
        <v>-5.1381554106182605</v>
      </c>
      <c r="G11" s="55">
        <f>G7-G10</f>
        <v>26.45544458938174</v>
      </c>
      <c r="H11" s="55">
        <f>H7-H10</f>
        <v>68.58024458938175</v>
      </c>
      <c r="I11" s="55">
        <f>I7-I10</f>
        <v>110.70504458938176</v>
      </c>
      <c r="J11" s="55">
        <f>J7-J10</f>
        <v>158.52144458938176</v>
      </c>
      <c r="K11" s="55">
        <f>K7-K10</f>
        <v>198.6524445893818</v>
      </c>
      <c r="L11" s="55">
        <f>L7-L10</f>
        <v>210.03564458938172</v>
      </c>
      <c r="M11" s="55">
        <f>M7-M10</f>
        <v>190.90354367922046</v>
      </c>
      <c r="N11" s="55">
        <f>N7-N10</f>
        <v>183.91361522561158</v>
      </c>
      <c r="O11" s="55">
        <f>O7-O10</f>
        <v>190.6581612256116</v>
      </c>
      <c r="P11" s="55">
        <f>P7-P10</f>
        <v>190.6581612256116</v>
      </c>
      <c r="Q11" s="55">
        <f>Q7-Q10</f>
        <v>190.6581612256116</v>
      </c>
      <c r="R11" s="55">
        <f>R7-R10</f>
        <v>190.6581612256116</v>
      </c>
      <c r="S11" s="55">
        <f>S7-S10</f>
        <v>107.46168122561157</v>
      </c>
      <c r="T11" s="55">
        <f>T7-T10</f>
        <v>65.86344122561158</v>
      </c>
      <c r="U11" s="55">
        <f>U7-U10</f>
        <v>45.06432122561157</v>
      </c>
      <c r="V11" s="55">
        <f>V7-V10</f>
        <v>34.664761225611585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-86.19377116563949</v>
      </c>
      <c r="D16" s="55">
        <f>D11*D15</f>
        <v>-157.016311508118</v>
      </c>
      <c r="E16" s="55">
        <f>E11*E15</f>
        <v>-140.19313527510533</v>
      </c>
      <c r="F16" s="55">
        <f>F11*F15</f>
        <v>-3.655538599529264</v>
      </c>
      <c r="G16" s="55">
        <f>G11*G15</f>
        <v>16.805103043458438</v>
      </c>
      <c r="H16" s="55">
        <f>H11*H15</f>
        <v>38.89619532813329</v>
      </c>
      <c r="I16" s="55">
        <f>I11*I15</f>
        <v>56.06056639952178</v>
      </c>
      <c r="J16" s="55">
        <f>J11*J15</f>
        <v>71.67374030367748</v>
      </c>
      <c r="K16" s="55">
        <f>K11*K15</f>
        <v>80.19511943789121</v>
      </c>
      <c r="L16" s="55">
        <f>L11*L15</f>
        <v>75.70577436169111</v>
      </c>
      <c r="M16" s="55">
        <f>M11*M15</f>
        <v>61.43727851731705</v>
      </c>
      <c r="N16" s="55">
        <f>N11*N15</f>
        <v>52.84620902551933</v>
      </c>
      <c r="O16" s="55">
        <f>O11*O15</f>
        <v>48.91446798167931</v>
      </c>
      <c r="P16" s="55">
        <f>P11*P15</f>
        <v>43.67363212649938</v>
      </c>
      <c r="Q16" s="55">
        <f>Q11*Q15</f>
        <v>38.99431439866016</v>
      </c>
      <c r="R16" s="55">
        <f>R11*R15</f>
        <v>34.81635214166086</v>
      </c>
      <c r="S16" s="55">
        <f>S11*S15</f>
        <v>17.521184957575425</v>
      </c>
      <c r="T16" s="55">
        <f>T11*T15</f>
        <v>9.588181328042323</v>
      </c>
      <c r="U16" s="55">
        <f>U11*U15</f>
        <v>5.857423590819028</v>
      </c>
      <c r="V16" s="55">
        <f>V11*V15</f>
        <v>4.022944011921881</v>
      </c>
    </row>
    <row r="17">
      <c r="A17" s="14" t="inlineStr">
        <is>
          <t>Tax-loss carryforward, end of year</t>
        </is>
      </c>
      <c r="C17" s="23">
        <f>Assumptions!$B$21-C8+MAX(0,-C7)</f>
        <v>492.04</v>
      </c>
      <c r="D17" s="23">
        <f>C17-D8+MAX(0,-D7)</f>
        <v>667.98</v>
      </c>
      <c r="E17" s="23">
        <f>D17-E8+MAX(0,-E7)</f>
        <v>843.9200000000001</v>
      </c>
      <c r="F17" s="23">
        <f>E17-F8+MAX(0,-F7)</f>
        <v>849.0581554106184</v>
      </c>
      <c r="G17" s="23">
        <f>F17-G8+MAX(0,-G7)</f>
        <v>822.6027108212367</v>
      </c>
      <c r="H17" s="23">
        <f>G17-H8+MAX(0,-H7)</f>
        <v>754.0224662318549</v>
      </c>
      <c r="I17" s="23">
        <f>H17-I8+MAX(0,-I7)</f>
        <v>643.3174216424732</v>
      </c>
      <c r="J17" s="23">
        <f>I17-J8+MAX(0,-J7)</f>
        <v>484.7959770530914</v>
      </c>
      <c r="K17" s="23">
        <f>J17-K8+MAX(0,-K7)</f>
        <v>286.1435324637096</v>
      </c>
      <c r="L17" s="23">
        <f>K17-L8+MAX(0,-L7)</f>
        <v>76.1078878743279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879.9246074169274</v>
      </c>
    </row>
    <row r="20">
      <c r="A20" s="14" t="inlineStr">
        <is>
          <t>PV of corporate burn</t>
        </is>
      </c>
      <c r="B20" s="23">
        <f>SUMPRODUCT(C6:V6,C15:V15)</f>
        <v>-532.041306904309</v>
      </c>
    </row>
    <row r="21">
      <c r="A21" s="14" t="inlineStr">
        <is>
          <t>PV of taxes</t>
        </is>
      </c>
      <c r="B21" s="23">
        <f>-SUMPRODUCT(C10:V10,C15:V15)</f>
        <v>-77.93357010694264</v>
      </c>
    </row>
    <row r="22">
      <c r="A22" s="24" t="inlineStr">
        <is>
          <t>Pipeline rNPV (operations)</t>
        </is>
      </c>
      <c r="B22" s="54">
        <f>SUM(C16:V16)</f>
        <v>269.949730405676</v>
      </c>
    </row>
    <row r="23">
      <c r="A23" s="14" t="inlineStr">
        <is>
          <t>Cash &amp; investments</t>
        </is>
      </c>
      <c r="B23" s="57">
        <f>Main!C7</f>
        <v>373.119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643.068730405676</v>
      </c>
    </row>
    <row r="26">
      <c r="A26" s="14" t="inlineStr">
        <is>
          <t>Shares (mm)</t>
        </is>
      </c>
      <c r="B26" s="57">
        <f>Main!C4</f>
        <v>49.307729</v>
      </c>
    </row>
    <row r="27">
      <c r="A27" s="24" t="inlineStr">
        <is>
          <t>rNPV / share</t>
        </is>
      </c>
      <c r="B27" s="60">
        <f>B25/B26</f>
        <v>13.041945825687408</v>
      </c>
    </row>
    <row r="28">
      <c r="A28" s="14" t="inlineStr">
        <is>
          <t>Price</t>
        </is>
      </c>
      <c r="B28" s="61">
        <f>Main!C3</f>
        <v>18.85</v>
      </c>
    </row>
    <row r="29">
      <c r="A29" s="14" t="inlineStr">
        <is>
          <t>Upside</t>
        </is>
      </c>
      <c r="B29" s="62">
        <f>B27/B28-1</f>
        <v>-0.30811958484416935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2026-10-21T06:24:13Z</dcterms:modified>
  <cp:lastModifiedBy>Wang, Eric</cp:lastModifiedBy>
</cp:coreProperties>
</file>