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ArriVent BioPharma, Inc.</t>
        </is>
      </c>
      <c r="C2" s="10" t="n"/>
    </row>
    <row r="3">
      <c r="B3" t="inlineStr">
        <is>
          <t>Price</t>
        </is>
      </c>
      <c r="C3" s="11">
        <f>INDEX([1]Pharma!$F$1:$F$1000,MATCH("AVBP",[1]Pharma!$B$1:$B$1000,0))</f>
        <v>18.85</v>
      </c>
      <c r="F3" s="1" t="n"/>
    </row>
    <row r="4">
      <c r="B4" t="inlineStr">
        <is>
          <t>Shares</t>
        </is>
      </c>
      <c r="C4" s="21" t="n">
        <v>49.307729</v>
      </c>
      <c r="F4" s="1" t="n"/>
    </row>
    <row r="5">
      <c r="B5" t="inlineStr">
        <is>
          <t>Market Cap.</t>
        </is>
      </c>
      <c r="C5" s="13">
        <f>C3*C4</f>
        <v>929.4506916500001</v>
      </c>
      <c r="F5" s="1" t="n"/>
    </row>
    <row r="6"/>
    <row r="7">
      <c r="B7" t="inlineStr">
        <is>
          <t>Cash</t>
        </is>
      </c>
      <c r="C7" s="21">
        <f>154.682+218.437</f>
        <v>373.119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556.33169165</v>
      </c>
    </row>
    <row r="10"/>
    <row r="11">
      <c r="B11" s="14" t="inlineStr">
        <is>
          <t>Net Cash / Share</t>
        </is>
      </c>
      <c r="C11" s="11">
        <f>(C7-C8)/C4</f>
        <v>7.567150375147069</v>
      </c>
    </row>
    <row r="12">
      <c r="B12" s="14" t="inlineStr">
        <is>
          <t>Upside</t>
        </is>
      </c>
      <c r="C12" s="15">
        <f>IFERROR(C11/C3-1,"")</f>
        <v>-0.5985596617959115</v>
      </c>
    </row>
    <row r="13">
      <c r="B13" s="14" t="inlineStr">
        <is>
          <t>Cash / Share</t>
        </is>
      </c>
      <c r="C13" s="11">
        <f>IFERROR((C7-C8)/C4,"")</f>
        <v>7.567150375147069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-147.929</v>
      </c>
    </row>
    <row r="18">
      <c r="B18" s="14" t="inlineStr">
        <is>
          <t>Runway (years)</t>
        </is>
      </c>
      <c r="C18" s="22">
        <f>IF(AND(ISNUMBER(C17),C17&lt;0),IF(C7&gt;C8,(C7-C8)/-C17,"net debt"),"n/a")</f>
        <v>2.5222843391086265</v>
      </c>
    </row>
    <row r="19">
      <c r="B19" s="14" t="inlineStr">
        <is>
          <t>Implied Pipeline Value</t>
        </is>
      </c>
      <c r="C19" s="13">
        <f>C9</f>
        <v>556.33169165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2023</v>
      </c>
      <c r="C1" s="17" t="n">
        <v>2024</v>
      </c>
      <c r="D1" s="17" t="n">
        <v>2025</v>
      </c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64.884</v>
      </c>
      <c r="C5" s="23" t="n">
        <v>79.004</v>
      </c>
      <c r="D5" s="23" t="n">
        <v>153.351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9.706</v>
      </c>
      <c r="C6" s="23" t="n">
        <v>15.304</v>
      </c>
      <c r="D6" s="23" t="n">
        <v>24.183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74.59</v>
      </c>
      <c r="C7" s="23">
        <f>SUM(C5:C6)</f>
        <v>94.308</v>
      </c>
      <c r="D7" s="23">
        <f>SUM(D5:D6)</f>
        <v>177.534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-74.59</v>
      </c>
      <c r="C8" s="23">
        <f>C4-C7</f>
        <v>-94.308</v>
      </c>
      <c r="D8" s="23">
        <f>D4-D7</f>
        <v>-177.534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5.257</v>
      </c>
      <c r="C9" s="23" t="n">
        <v>13.82</v>
      </c>
      <c r="D9" s="23" t="n">
        <v>11.226</v>
      </c>
    </row>
    <row r="10">
      <c r="A10" s="2" t="inlineStr">
        <is>
          <t>Pretax</t>
        </is>
      </c>
      <c r="B10" s="23">
        <f>B8+B9</f>
        <v>-69.333</v>
      </c>
      <c r="C10" s="23">
        <f>C8+C9</f>
        <v>-80.488</v>
      </c>
      <c r="D10" s="23">
        <f>D8+D9</f>
        <v>-166.308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</row>
    <row r="12">
      <c r="A12" s="2" t="inlineStr">
        <is>
          <t>Net Income</t>
        </is>
      </c>
      <c r="B12" s="23" t="n">
        <v>-69.333</v>
      </c>
      <c r="C12" s="23" t="n">
        <v>-80.488</v>
      </c>
      <c r="D12" s="23" t="n">
        <v>-166.308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-32.383465670247546</v>
      </c>
      <c r="C13" s="11">
        <f>IFERROR(C12/C14,0)</f>
        <v>-2.557691696590295</v>
      </c>
      <c r="D13" s="11">
        <f>IFERROR(D12/D14,0)</f>
        <v>-4.32384369393963</v>
      </c>
    </row>
    <row r="14">
      <c r="A14" s="2" t="inlineStr">
        <is>
          <t>Shares</t>
        </is>
      </c>
      <c r="B14" s="23" t="n">
        <v>2.141</v>
      </c>
      <c r="C14" s="23" t="n">
        <v>31.469</v>
      </c>
      <c r="D14" s="23" t="n">
        <v>38.463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4" t="n"/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4" t="n"/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2026-10-21T01:04:55Z</dcterms:modified>
  <cp:lastModifiedBy>Wang, Eric</cp:lastModifiedBy>
</cp:coreProperties>
</file>