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Enanta Pharmaceuticals Inc</t>
        </is>
      </c>
      <c r="C2" s="10" t="n"/>
    </row>
    <row r="3">
      <c r="B3" t="inlineStr">
        <is>
          <t>Price</t>
        </is>
      </c>
      <c r="C3" s="11">
        <f>INDEX([1]Pharma!$F$1:$F$1000,MATCH("ENTA",[1]Pharma!$B$1:$B$1000,0))</f>
        <v>11.67</v>
      </c>
      <c r="F3" s="1" t="n"/>
    </row>
    <row r="4">
      <c r="B4" t="inlineStr">
        <is>
          <t>Shares</t>
        </is>
      </c>
      <c r="C4" s="51" t="n">
        <v>29.125402</v>
      </c>
      <c r="F4" s="1" t="n"/>
    </row>
    <row r="5">
      <c r="B5" t="inlineStr">
        <is>
          <t>Market Cap.</t>
        </is>
      </c>
      <c r="C5" s="13">
        <f>C3*C4</f>
        <v>339.89344134000004</v>
      </c>
      <c r="F5" s="1" t="n"/>
    </row>
    <row r="6"/>
    <row r="7">
      <c r="B7" t="inlineStr">
        <is>
          <t>Cash</t>
        </is>
      </c>
      <c r="C7" s="51">
        <f>33.419+156.087</f>
        <v>189.50599999999997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150.38744134000007</v>
      </c>
    </row>
    <row r="10"/>
    <row r="11">
      <c r="B11" s="14" t="inlineStr">
        <is>
          <t>NPV / Share</t>
        </is>
      </c>
      <c r="C11" s="11">
        <f>NPV!B28</f>
        <v>3.648105454862833</v>
      </c>
    </row>
    <row r="12">
      <c r="B12" s="14" t="inlineStr">
        <is>
          <t>Upside</t>
        </is>
      </c>
      <c r="C12" s="15">
        <f>IFERROR(C11/C3-1,"")</f>
        <v>-0.68739456256531</v>
      </c>
    </row>
    <row r="13">
      <c r="B13" s="14" t="inlineStr">
        <is>
          <t>Cash / Share</t>
        </is>
      </c>
      <c r="C13" s="11">
        <f>IFERROR((C7-C8)/C4,"")</f>
        <v>6.506553969624178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2011</v>
      </c>
      <c r="C1" s="16" t="n">
        <v>2012</v>
      </c>
      <c r="D1" s="16" t="n">
        <v>2013</v>
      </c>
      <c r="E1" s="16" t="n">
        <v>2014</v>
      </c>
      <c r="F1" s="16" t="n">
        <v>2015</v>
      </c>
      <c r="G1" s="16" t="n">
        <v>2016</v>
      </c>
      <c r="H1" s="16" t="n">
        <v>2017</v>
      </c>
      <c r="I1" s="16" t="n">
        <v>2018</v>
      </c>
      <c r="J1" s="16" t="n">
        <v>2019</v>
      </c>
      <c r="K1" s="16" t="n">
        <v>2020</v>
      </c>
      <c r="L1" s="16" t="n">
        <v>2021</v>
      </c>
      <c r="M1" s="16" t="n">
        <v>2022</v>
      </c>
      <c r="N1" s="16" t="n">
        <v>2023</v>
      </c>
      <c r="O1" s="16" t="n">
        <v>2024</v>
      </c>
      <c r="P1" s="16" t="n">
        <v>2025</v>
      </c>
      <c r="Q1" s="16" t="n">
        <v>2026</v>
      </c>
      <c r="R1" s="16" t="n">
        <v>2027</v>
      </c>
      <c r="S1" s="16" t="n">
        <v>2028</v>
      </c>
      <c r="T1" s="16" t="n">
        <v>2029</v>
      </c>
      <c r="U1" s="16" t="n">
        <v>2030</v>
      </c>
      <c r="V1" s="16" t="n">
        <v>2031</v>
      </c>
      <c r="W1" s="16" t="n">
        <v>2032</v>
      </c>
      <c r="X1" s="16" t="n">
        <v>2033</v>
      </c>
      <c r="Y1" s="16" t="n">
        <v>2034</v>
      </c>
      <c r="Z1" s="16" t="n">
        <v>2035</v>
      </c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41.882</v>
      </c>
      <c r="C2" s="52" t="n">
        <v>41.706</v>
      </c>
      <c r="D2" s="52" t="n">
        <v>32.053</v>
      </c>
      <c r="E2" s="52" t="n">
        <v>47.741</v>
      </c>
      <c r="F2" s="52" t="n">
        <v>160.88</v>
      </c>
      <c r="G2" s="52" t="n">
        <v>88.268</v>
      </c>
      <c r="H2" s="52" t="n">
        <v>102.814</v>
      </c>
      <c r="I2" s="52" t="n">
        <v>206.625</v>
      </c>
      <c r="J2" s="52" t="n">
        <v>205.197</v>
      </c>
      <c r="K2" s="52" t="n">
        <v>122.473</v>
      </c>
      <c r="L2" s="52" t="n">
        <v>97.074</v>
      </c>
      <c r="M2" s="52" t="n">
        <v>86.16</v>
      </c>
      <c r="N2" s="52" t="n">
        <v>79.20399999999999</v>
      </c>
      <c r="O2" s="52" t="n">
        <v>67.63500000000001</v>
      </c>
      <c r="P2" s="52" t="n">
        <v>65.324</v>
      </c>
      <c r="Q2" s="52">
        <f>P2*(1+NPV!C5)</f>
        <v>63.0899192</v>
      </c>
      <c r="R2" s="52">
        <f>Q2*(1+NPV!D5)</f>
        <v>61.34723543187555</v>
      </c>
      <c r="S2" s="52">
        <f>R2*(1+NPV!E5)</f>
        <v>60.05621694400919</v>
      </c>
      <c r="T2" s="52">
        <f>S2*(1+NPV!F5)</f>
        <v>59.1874036722192</v>
      </c>
      <c r="U2" s="52">
        <f>T2*(1+NPV!G5)</f>
        <v>58.72048082102725</v>
      </c>
      <c r="V2" s="52">
        <f>U2*(1+NPV!H5)</f>
        <v>58.64349174617301</v>
      </c>
      <c r="W2" s="52">
        <f>V2*(1+NPV!I5)</f>
        <v>58.95234746936953</v>
      </c>
      <c r="X2" s="52">
        <f>W2*(1+NPV!J5)</f>
        <v>59.650605273840064</v>
      </c>
      <c r="Y2" s="52">
        <f>X2*(1+NPV!K5)</f>
        <v>60.7495019798848</v>
      </c>
      <c r="Z2" s="52">
        <f>Y2*(1+NPV!L5)</f>
        <v>62.268239529381916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0</v>
      </c>
      <c r="K3" s="52" t="n">
        <v>0</v>
      </c>
      <c r="L3" s="52" t="n">
        <v>0</v>
      </c>
      <c r="M3" s="52" t="n">
        <v>0</v>
      </c>
      <c r="N3" s="52" t="n">
        <v>0</v>
      </c>
      <c r="O3" s="52" t="n">
        <v>0</v>
      </c>
      <c r="P3" s="52" t="n">
        <v>0</v>
      </c>
      <c r="Q3" s="52">
        <f>Q2*(1-Assumptions!$B$19)</f>
        <v>0.0</v>
      </c>
      <c r="R3" s="52">
        <f>R2*(1-Assumptions!$B$19)</f>
        <v>0.0</v>
      </c>
      <c r="S3" s="52">
        <f>S2*(1-Assumptions!$B$19)</f>
        <v>0.0</v>
      </c>
      <c r="T3" s="52">
        <f>T2*(1-Assumptions!$B$19)</f>
        <v>0.0</v>
      </c>
      <c r="U3" s="52">
        <f>U2*(1-Assumptions!$B$19)</f>
        <v>0.0</v>
      </c>
      <c r="V3" s="52">
        <f>V2*(1-Assumptions!$B$19)</f>
        <v>0.0</v>
      </c>
      <c r="W3" s="52">
        <f>W2*(1-Assumptions!$B$19)</f>
        <v>0.0</v>
      </c>
      <c r="X3" s="52">
        <f>X2*(1-Assumptions!$B$19)</f>
        <v>0.0</v>
      </c>
      <c r="Y3" s="52">
        <f>Y2*(1-Assumptions!$B$19)</f>
        <v>0.0</v>
      </c>
      <c r="Z3" s="52">
        <f>Z2*(1-Assumptions!$B$19)</f>
        <v>0.0</v>
      </c>
    </row>
    <row r="4" customFormat="1" s="1">
      <c r="A4" s="5" t="inlineStr">
        <is>
          <t>Gross Margin</t>
        </is>
      </c>
      <c r="B4" s="52">
        <f>B2-B3</f>
        <v>41.882</v>
      </c>
      <c r="C4" s="52">
        <f>C2-C3</f>
        <v>41.706</v>
      </c>
      <c r="D4" s="52">
        <f>D2-D3</f>
        <v>32.053</v>
      </c>
      <c r="E4" s="52">
        <f>E2-E3</f>
        <v>47.741</v>
      </c>
      <c r="F4" s="52">
        <f>F2-F3</f>
        <v>160.88</v>
      </c>
      <c r="G4" s="52">
        <f>G2-G3</f>
        <v>88.268</v>
      </c>
      <c r="H4" s="52">
        <f>H2-H3</f>
        <v>102.814</v>
      </c>
      <c r="I4" s="52">
        <f>I2-I3</f>
        <v>206.625</v>
      </c>
      <c r="J4" s="52">
        <f>J2-J3</f>
        <v>205.197</v>
      </c>
      <c r="K4" s="52">
        <f>K2-K3</f>
        <v>122.473</v>
      </c>
      <c r="L4" s="52">
        <f>L2-L3</f>
        <v>97.074</v>
      </c>
      <c r="M4" s="52">
        <f>M2-M3</f>
        <v>86.16</v>
      </c>
      <c r="N4" s="52">
        <f>N2-N3</f>
        <v>79.204</v>
      </c>
      <c r="O4" s="52">
        <f>O2-O3</f>
        <v>67.635</v>
      </c>
      <c r="P4" s="52">
        <f>P2-P3</f>
        <v>65.324</v>
      </c>
      <c r="Q4" s="52">
        <f>Q2-Q3</f>
        <v>63.0899192</v>
      </c>
      <c r="R4" s="52">
        <f>R2-R3</f>
        <v>61.34723543187555</v>
      </c>
      <c r="S4" s="52">
        <f>S2-S3</f>
        <v>60.05621694400919</v>
      </c>
      <c r="T4" s="52">
        <f>T2-T3</f>
        <v>59.1874036722192</v>
      </c>
      <c r="U4" s="52">
        <f>U2-U3</f>
        <v>58.72048082102725</v>
      </c>
      <c r="V4" s="52">
        <f>V2-V3</f>
        <v>58.64349174617301</v>
      </c>
      <c r="W4" s="52">
        <f>W2-W3</f>
        <v>58.95234746936953</v>
      </c>
      <c r="X4" s="52">
        <f>X2-X3</f>
        <v>59.650605273840064</v>
      </c>
      <c r="Y4" s="52">
        <f>Y2-Y3</f>
        <v>60.7495019798848</v>
      </c>
      <c r="Z4" s="52">
        <f>Z2-Z3</f>
        <v>62.268239529381916</v>
      </c>
    </row>
    <row r="5">
      <c r="A5" s="2" t="inlineStr">
        <is>
          <t>Research &amp; Dev.</t>
        </is>
      </c>
      <c r="B5" s="52" t="n">
        <v>11.547</v>
      </c>
      <c r="C5" s="52" t="n">
        <v>15.115</v>
      </c>
      <c r="D5" s="52" t="n">
        <v>16.841</v>
      </c>
      <c r="E5" s="52" t="n">
        <v>18.74</v>
      </c>
      <c r="F5" s="52" t="n">
        <v>23.189</v>
      </c>
      <c r="G5" s="52" t="n">
        <v>40.461</v>
      </c>
      <c r="H5" s="52" t="n">
        <v>57.451</v>
      </c>
      <c r="I5" s="52" t="n">
        <v>94.85599999999999</v>
      </c>
      <c r="J5" s="52" t="n">
        <v>142.213</v>
      </c>
      <c r="K5" s="52" t="n">
        <v>136.756</v>
      </c>
      <c r="L5" s="52" t="n">
        <v>174.111</v>
      </c>
      <c r="M5" s="52" t="n">
        <v>164.522</v>
      </c>
      <c r="N5" s="52" t="n">
        <v>163.524</v>
      </c>
      <c r="O5" s="52" t="n">
        <v>131.476</v>
      </c>
      <c r="P5" s="52" t="n">
        <v>106.74</v>
      </c>
      <c r="Q5" s="52">
        <f>Q7*Assumptions!$B$20</f>
        <v>79.99626642180269</v>
      </c>
      <c r="R5" s="52">
        <f>R7*Assumptions!$B$20</f>
        <v>73.00660438377389</v>
      </c>
      <c r="S5" s="52">
        <f>S7*Assumptions!$B$20</f>
        <v>66.79082574283788</v>
      </c>
      <c r="T5" s="52">
        <f>T7*Assumptions!$B$20</f>
        <v>61.21288517023843</v>
      </c>
      <c r="U5" s="52">
        <f>U7*Assumptions!$B$20</f>
        <v>56.15466474895052</v>
      </c>
      <c r="V5" s="52">
        <f>V7*Assumptions!$B$20</f>
        <v>51.5117197237242</v>
      </c>
      <c r="W5" s="52">
        <f>W7*Assumptions!$B$20</f>
        <v>47.18962967516213</v>
      </c>
      <c r="X5" s="52">
        <f>X7*Assumptions!$B$20</f>
        <v>43.10077342173255</v>
      </c>
      <c r="Y5" s="52">
        <f>Y7*Assumptions!$B$20</f>
        <v>39.16137160484883</v>
      </c>
      <c r="Z5" s="52">
        <f>Z7*Assumptions!$B$20</f>
        <v>35.28865670609132</v>
      </c>
    </row>
    <row r="6">
      <c r="A6" s="18" t="inlineStr">
        <is>
          <t>SG&amp;A &amp; Other</t>
        </is>
      </c>
      <c r="B6" s="52" t="n">
        <v>5.036</v>
      </c>
      <c r="C6" s="52" t="n">
        <v>5.302</v>
      </c>
      <c r="D6" s="52" t="n">
        <v>6.183</v>
      </c>
      <c r="E6" s="52" t="n">
        <v>10.016</v>
      </c>
      <c r="F6" s="52" t="n">
        <v>13.543</v>
      </c>
      <c r="G6" s="52" t="n">
        <v>16.966</v>
      </c>
      <c r="H6" s="52" t="n">
        <v>20.749</v>
      </c>
      <c r="I6" s="52" t="n">
        <v>23.441</v>
      </c>
      <c r="J6" s="52" t="n">
        <v>26.246</v>
      </c>
      <c r="K6" s="52" t="n">
        <v>27.356</v>
      </c>
      <c r="L6" s="52" t="n">
        <v>32.536</v>
      </c>
      <c r="M6" s="52" t="n">
        <v>45.482</v>
      </c>
      <c r="N6" s="52" t="n">
        <v>52.887</v>
      </c>
      <c r="O6" s="52" t="n">
        <v>57.85</v>
      </c>
      <c r="P6" s="52" t="n">
        <v>43.933</v>
      </c>
      <c r="Q6" s="52">
        <f>Q7-Q5</f>
        <v>32.92901085346931</v>
      </c>
      <c r="R6" s="52">
        <f>R7-R5</f>
        <v>30.051843362942492</v>
      </c>
      <c r="S6" s="52">
        <f>S7-S5</f>
        <v>27.493230924070474</v>
      </c>
      <c r="T6" s="52">
        <f>T7-T5</f>
        <v>25.19717294698126</v>
      </c>
      <c r="U6" s="52">
        <f>U7-U5</f>
        <v>23.115048335395215</v>
      </c>
      <c r="V6" s="52">
        <f>V7-V5</f>
        <v>21.20386430186049</v>
      </c>
      <c r="W6" s="52">
        <f>W7-W5</f>
        <v>19.424754394801347</v>
      </c>
      <c r="X6" s="52">
        <f>X7-X5</f>
        <v>17.74165094547884</v>
      </c>
      <c r="Y6" s="52">
        <f>Y7-Y5</f>
        <v>16.120067701826535</v>
      </c>
      <c r="Z6" s="52">
        <f>Z7-Z5</f>
        <v>14.525934917414212</v>
      </c>
    </row>
    <row r="7">
      <c r="A7" s="2" t="inlineStr">
        <is>
          <t>Operating Expense</t>
        </is>
      </c>
      <c r="B7" s="52">
        <f>SUM(B5:B6)</f>
        <v>16.583</v>
      </c>
      <c r="C7" s="52">
        <f>SUM(C5:C6)</f>
        <v>20.417</v>
      </c>
      <c r="D7" s="52">
        <f>SUM(D5:D6)</f>
        <v>23.024</v>
      </c>
      <c r="E7" s="52">
        <f>SUM(E5:E6)</f>
        <v>28.756</v>
      </c>
      <c r="F7" s="52">
        <f>SUM(F5:F6)</f>
        <v>36.732</v>
      </c>
      <c r="G7" s="52">
        <f>SUM(G5:G6)</f>
        <v>57.427</v>
      </c>
      <c r="H7" s="52">
        <f>SUM(H5:H6)</f>
        <v>78.2</v>
      </c>
      <c r="I7" s="52">
        <f>SUM(I5:I6)</f>
        <v>118.297</v>
      </c>
      <c r="J7" s="52">
        <f>SUM(J5:J6)</f>
        <v>168.459</v>
      </c>
      <c r="K7" s="52">
        <f>SUM(K5:K6)</f>
        <v>164.112</v>
      </c>
      <c r="L7" s="52">
        <f>SUM(L5:L6)</f>
        <v>206.647</v>
      </c>
      <c r="M7" s="52">
        <f>SUM(M5:M6)</f>
        <v>210.004</v>
      </c>
      <c r="N7" s="52">
        <f>SUM(N5:N6)</f>
        <v>216.411</v>
      </c>
      <c r="O7" s="52">
        <f>SUM(O5:O6)</f>
        <v>189.326</v>
      </c>
      <c r="P7" s="52">
        <f>SUM(P5:P6)</f>
        <v>150.673</v>
      </c>
      <c r="Q7" s="52">
        <f>Q4-Q2*NPV!C6</f>
        <v>112.925277275272</v>
      </c>
      <c r="R7" s="52">
        <f>R4-R2*NPV!D6</f>
        <v>103.05844774671638</v>
      </c>
      <c r="S7" s="52">
        <f>S4-S2*NPV!E6</f>
        <v>94.28405666690836</v>
      </c>
      <c r="T7" s="52">
        <f>T4-T2*NPV!F6</f>
        <v>86.41005811721969</v>
      </c>
      <c r="U7" s="52">
        <f>U4-U2*NPV!G6</f>
        <v>79.26971308434574</v>
      </c>
      <c r="V7" s="52">
        <f>V4-V2*NPV!H6</f>
        <v>72.71558402558469</v>
      </c>
      <c r="W7" s="52">
        <f>W4-W2*NPV!I6</f>
        <v>66.61438406996348</v>
      </c>
      <c r="X7" s="52">
        <f>X4-X2*NPV!J6</f>
        <v>60.842424367211386</v>
      </c>
      <c r="Y7" s="52">
        <f>Y4-Y2*NPV!K6</f>
        <v>55.28143930667537</v>
      </c>
      <c r="Z7" s="52">
        <f>Z4-Z2*NPV!L6</f>
        <v>49.81459162350553</v>
      </c>
    </row>
    <row r="8">
      <c r="A8" s="2" t="inlineStr">
        <is>
          <t>Operating Income</t>
        </is>
      </c>
      <c r="B8" s="52">
        <f>B4-B7</f>
        <v>25.299</v>
      </c>
      <c r="C8" s="52">
        <f>C4-C7</f>
        <v>21.289</v>
      </c>
      <c r="D8" s="52">
        <f>D4-D7</f>
        <v>9.028999999999996</v>
      </c>
      <c r="E8" s="52">
        <f>E4-E7</f>
        <v>18.985</v>
      </c>
      <c r="F8" s="52">
        <f>F4-F7</f>
        <v>124.148</v>
      </c>
      <c r="G8" s="52">
        <f>G4-G7</f>
        <v>30.841</v>
      </c>
      <c r="H8" s="52">
        <f>H4-H7</f>
        <v>24.61399999999999</v>
      </c>
      <c r="I8" s="52">
        <f>I4-I7</f>
        <v>88.328</v>
      </c>
      <c r="J8" s="52">
        <f>J4-J7</f>
        <v>36.738</v>
      </c>
      <c r="K8" s="52">
        <f>K4-K7</f>
        <v>-41.638999999999996</v>
      </c>
      <c r="L8" s="52">
        <f>L4-L7</f>
        <v>-109.573</v>
      </c>
      <c r="M8" s="52">
        <f>M4-M7</f>
        <v>-123.844</v>
      </c>
      <c r="N8" s="52">
        <f>N4-N7</f>
        <v>-137.207</v>
      </c>
      <c r="O8" s="52">
        <f>O4-O7</f>
        <v>-121.69099999999999</v>
      </c>
      <c r="P8" s="52">
        <f>P4-P7</f>
        <v>-85.349</v>
      </c>
      <c r="Q8" s="52">
        <f>Q4-Q7</f>
        <v>-49.835358075272</v>
      </c>
      <c r="R8" s="52">
        <f>R4-R7</f>
        <v>-41.71121231484083</v>
      </c>
      <c r="S8" s="52">
        <f>S4-S7</f>
        <v>-34.22783972289916</v>
      </c>
      <c r="T8" s="52">
        <f>T4-T7</f>
        <v>-27.222654445000494</v>
      </c>
      <c r="U8" s="52">
        <f>U4-U7</f>
        <v>-20.549232263318487</v>
      </c>
      <c r="V8" s="52">
        <f>V4-V7</f>
        <v>-14.072092279411677</v>
      </c>
      <c r="W8" s="52">
        <f>W4-W7</f>
        <v>-7.66203660059395</v>
      </c>
      <c r="X8" s="52">
        <f>X4-X7</f>
        <v>-1.191819093371322</v>
      </c>
      <c r="Y8" s="52">
        <f>Y4-Y7</f>
        <v>5.468062673209431</v>
      </c>
      <c r="Z8" s="52">
        <f>Z4-Z7</f>
        <v>12.453647905876387</v>
      </c>
    </row>
    <row r="9">
      <c r="A9" s="18" t="inlineStr">
        <is>
          <t>Interest &amp; Other</t>
        </is>
      </c>
      <c r="B9" s="52" t="n">
        <v>-1.989</v>
      </c>
      <c r="C9" s="52" t="n">
        <v>0.11</v>
      </c>
      <c r="D9" s="52" t="n">
        <v>0.598</v>
      </c>
      <c r="E9" s="52" t="n">
        <v>0.283</v>
      </c>
      <c r="F9" s="52" t="n">
        <v>1.307</v>
      </c>
      <c r="G9" s="52" t="n">
        <v>1.719</v>
      </c>
      <c r="H9" s="52" t="n">
        <v>2.333</v>
      </c>
      <c r="I9" s="52" t="n">
        <v>4.793</v>
      </c>
      <c r="J9" s="52" t="n">
        <v>8.819000000000001</v>
      </c>
      <c r="K9" s="52" t="n">
        <v>6.62</v>
      </c>
      <c r="L9" s="52" t="n">
        <v>1.994</v>
      </c>
      <c r="M9" s="52" t="n">
        <v>1.656</v>
      </c>
      <c r="N9" s="52" t="n">
        <v>6.212</v>
      </c>
      <c r="O9" s="52" t="n">
        <v>3.903</v>
      </c>
      <c r="P9" s="52" t="n">
        <v>1.8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</row>
    <row r="10">
      <c r="A10" s="2" t="inlineStr">
        <is>
          <t>Pretax</t>
        </is>
      </c>
      <c r="B10" s="52">
        <f>B8+B9</f>
        <v>23.31</v>
      </c>
      <c r="C10" s="52">
        <f>C8+C9</f>
        <v>21.399</v>
      </c>
      <c r="D10" s="52">
        <f>D8+D9</f>
        <v>9.626999999999997</v>
      </c>
      <c r="E10" s="52">
        <f>E8+E9</f>
        <v>19.268</v>
      </c>
      <c r="F10" s="52">
        <f>F8+F9</f>
        <v>125.455</v>
      </c>
      <c r="G10" s="52">
        <f>G8+G9</f>
        <v>32.56</v>
      </c>
      <c r="H10" s="52">
        <f>H8+H9</f>
        <v>26.94699999999999</v>
      </c>
      <c r="I10" s="52">
        <f>I8+I9</f>
        <v>93.12100000000001</v>
      </c>
      <c r="J10" s="52">
        <f>J8+J9</f>
        <v>45.557</v>
      </c>
      <c r="K10" s="52">
        <f>K8+K9</f>
        <v>-35.019</v>
      </c>
      <c r="L10" s="52">
        <f>L8+L9</f>
        <v>-107.579</v>
      </c>
      <c r="M10" s="52">
        <f>M8+M9</f>
        <v>-122.18799999999999</v>
      </c>
      <c r="N10" s="52">
        <f>N8+N9</f>
        <v>-130.995</v>
      </c>
      <c r="O10" s="52">
        <f>O8+O9</f>
        <v>-117.78799999999998</v>
      </c>
      <c r="P10" s="52">
        <f>P8+P9</f>
        <v>-83.549</v>
      </c>
      <c r="Q10" s="52">
        <f>Q8+Q9</f>
        <v>-49.835358075272</v>
      </c>
      <c r="R10" s="52">
        <f>R8+R9</f>
        <v>-41.71121231484083</v>
      </c>
      <c r="S10" s="52">
        <f>S8+S9</f>
        <v>-34.22783972289916</v>
      </c>
      <c r="T10" s="52">
        <f>T8+T9</f>
        <v>-27.222654445000494</v>
      </c>
      <c r="U10" s="52">
        <f>U8+U9</f>
        <v>-20.549232263318487</v>
      </c>
      <c r="V10" s="52">
        <f>V8+V9</f>
        <v>-14.072092279411677</v>
      </c>
      <c r="W10" s="52">
        <f>W8+W9</f>
        <v>-7.66203660059395</v>
      </c>
      <c r="X10" s="52">
        <f>X8+X9</f>
        <v>-1.191819093371322</v>
      </c>
      <c r="Y10" s="52">
        <f>Y8+Y9</f>
        <v>5.468062673209431</v>
      </c>
      <c r="Z10" s="52">
        <f>Z8+Z9</f>
        <v>12.453647905876387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-15.17</v>
      </c>
      <c r="F11" s="52" t="n">
        <v>46.463</v>
      </c>
      <c r="G11" s="52" t="n">
        <v>10.894</v>
      </c>
      <c r="H11" s="52" t="n">
        <v>9.237</v>
      </c>
      <c r="I11" s="52" t="n">
        <v>21.165</v>
      </c>
      <c r="J11" s="52" t="n">
        <v>-0.826</v>
      </c>
      <c r="K11" s="52" t="n">
        <v>1.149</v>
      </c>
      <c r="L11" s="52" t="n">
        <v>-28.583</v>
      </c>
      <c r="M11" s="52" t="n">
        <v>-0.433</v>
      </c>
      <c r="N11" s="52" t="n">
        <v>2.821</v>
      </c>
      <c r="O11" s="52" t="n">
        <v>-1.743</v>
      </c>
      <c r="P11" s="52" t="n">
        <v>-1.66</v>
      </c>
      <c r="Q11" s="52">
        <f>MAX(0,Q10)*Assumptions!$E$14</f>
        <v>0.0</v>
      </c>
      <c r="R11" s="52">
        <f>MAX(0,R10)*Assumptions!$E$14</f>
        <v>0.0</v>
      </c>
      <c r="S11" s="52">
        <f>MAX(0,S10)*Assumptions!$E$14</f>
        <v>0.0</v>
      </c>
      <c r="T11" s="52">
        <f>MAX(0,T10)*Assumptions!$E$14</f>
        <v>0.0</v>
      </c>
      <c r="U11" s="52">
        <f>MAX(0,U10)*Assumptions!$E$14</f>
        <v>0.0</v>
      </c>
      <c r="V11" s="52">
        <f>MAX(0,V10)*Assumptions!$E$14</f>
        <v>0.0</v>
      </c>
      <c r="W11" s="52">
        <f>MAX(0,W10)*Assumptions!$E$14</f>
        <v>0.0</v>
      </c>
      <c r="X11" s="52">
        <f>MAX(0,X10)*Assumptions!$E$14</f>
        <v>0.0</v>
      </c>
      <c r="Y11" s="52">
        <f>MAX(0,Y10)*Assumptions!$E$14</f>
        <v>0.9295706544456034</v>
      </c>
      <c r="Z11" s="52">
        <f>MAX(0,Z10)*Assumptions!$E$14</f>
        <v>2.117120143998986</v>
      </c>
    </row>
    <row r="12">
      <c r="A12" s="2" t="inlineStr">
        <is>
          <t>Net Income</t>
        </is>
      </c>
      <c r="B12" s="52" t="n">
        <v>23.31</v>
      </c>
      <c r="C12" s="52" t="n">
        <v>21.399</v>
      </c>
      <c r="D12" s="52" t="n">
        <v>9.627000000000001</v>
      </c>
      <c r="E12" s="52" t="n">
        <v>34.438</v>
      </c>
      <c r="F12" s="52" t="n">
        <v>78.992</v>
      </c>
      <c r="G12" s="52" t="n">
        <v>21.666</v>
      </c>
      <c r="H12" s="52" t="n">
        <v>17.71</v>
      </c>
      <c r="I12" s="52" t="n">
        <v>71.956</v>
      </c>
      <c r="J12" s="52" t="n">
        <v>46.383</v>
      </c>
      <c r="K12" s="52" t="n">
        <v>-36.168</v>
      </c>
      <c r="L12" s="52" t="n">
        <v>-78.996</v>
      </c>
      <c r="M12" s="52" t="n">
        <v>-121.755</v>
      </c>
      <c r="N12" s="52" t="n">
        <v>-133.816</v>
      </c>
      <c r="O12" s="52" t="n">
        <v>-116.045</v>
      </c>
      <c r="P12" s="52" t="n">
        <v>-81.889</v>
      </c>
      <c r="Q12" s="52">
        <f>Q10-Q11</f>
        <v>-49.835358075272</v>
      </c>
      <c r="R12" s="52">
        <f>R10-R11</f>
        <v>-41.71121231484083</v>
      </c>
      <c r="S12" s="52">
        <f>S10-S11</f>
        <v>-34.22783972289916</v>
      </c>
      <c r="T12" s="52">
        <f>T10-T11</f>
        <v>-27.222654445000494</v>
      </c>
      <c r="U12" s="52">
        <f>U10-U11</f>
        <v>-20.549232263318487</v>
      </c>
      <c r="V12" s="52">
        <f>V10-V11</f>
        <v>-14.072092279411677</v>
      </c>
      <c r="W12" s="52">
        <f>W10-W11</f>
        <v>-7.66203660059395</v>
      </c>
      <c r="X12" s="52">
        <f>X10-X11</f>
        <v>-1.191819093371322</v>
      </c>
      <c r="Y12" s="52">
        <f>Y10-Y11</f>
        <v>4.538492018763828</v>
      </c>
      <c r="Z12" s="52">
        <f>Z10-Z11</f>
        <v>10.336527761877402</v>
      </c>
    </row>
    <row r="13">
      <c r="A13" s="2" t="inlineStr">
        <is>
          <t>Earnings per Share</t>
        </is>
      </c>
      <c r="B13" s="11">
        <f>IFERROR(B12/B14,0)</f>
        <v>1.5688517970117106</v>
      </c>
      <c r="C13" s="11">
        <f>IFERROR(C12/C14,0)</f>
        <v>1.0808121622304157</v>
      </c>
      <c r="D13" s="11">
        <f>IFERROR(D12/D14,0)</f>
        <v>0.49177564364528</v>
      </c>
      <c r="E13" s="11">
        <f>IFERROR(E12/E14,0)</f>
        <v>1.795048214751108</v>
      </c>
      <c r="F13" s="11">
        <f>IFERROR(F12/F14,0)</f>
        <v>4.093910339466182</v>
      </c>
      <c r="G13" s="11">
        <f>IFERROR(G12/G14,0)</f>
        <v>1.1270287141073658</v>
      </c>
      <c r="H13" s="11">
        <f>IFERROR(H12/H14,0)</f>
        <v>0.9125573246766631</v>
      </c>
      <c r="I13" s="11">
        <f>IFERROR(I12/I14,0)</f>
        <v>3.4845520581113805</v>
      </c>
      <c r="J13" s="11">
        <f>IFERROR(J12/J14,0)</f>
        <v>2.21208508202976</v>
      </c>
      <c r="K13" s="11">
        <f>IFERROR(K12/K14,0)</f>
        <v>-1.813841524573721</v>
      </c>
      <c r="L13" s="11">
        <f>IFERROR(L12/L14,0)</f>
        <v>-3.916315502454018</v>
      </c>
      <c r="M13" s="11">
        <f>IFERROR(M12/M14,0)</f>
        <v>-5.909576275299713</v>
      </c>
      <c r="N13" s="11">
        <f>IFERROR(N12/N14,0)</f>
        <v>-6.381610949496876</v>
      </c>
      <c r="O13" s="11">
        <f>IFERROR(O12/O14,0)</f>
        <v>-5.484945880795954</v>
      </c>
      <c r="P13" s="11">
        <f>IFERROR(P12/P14,0)</f>
        <v>-3.8380671166104237</v>
      </c>
      <c r="Q13" s="11">
        <f>IFERROR(Q12/Q14,0)</f>
        <v>-1.7110616387465483</v>
      </c>
      <c r="R13" s="11">
        <f>IFERROR(R12/R14,0)</f>
        <v>-1.4321248618247682</v>
      </c>
      <c r="S13" s="11">
        <f>IFERROR(S12/S14,0)</f>
        <v>-1.1751885767241654</v>
      </c>
      <c r="T13" s="11">
        <f>IFERROR(T12/T14,0)</f>
        <v>-0.9346705135606538</v>
      </c>
      <c r="U13" s="11">
        <f>IFERROR(U12/U14,0)</f>
        <v>-0.7055433007694962</v>
      </c>
      <c r="V13" s="11">
        <f>IFERROR(V12/V14,0)</f>
        <v>-0.48315529788779144</v>
      </c>
      <c r="W13" s="11">
        <f>IFERROR(W12/W14,0)</f>
        <v>-0.26307058699460867</v>
      </c>
      <c r="X13" s="11">
        <f>IFERROR(X12/X14,0)</f>
        <v>-0.04092026243522139</v>
      </c>
      <c r="Y13" s="11">
        <f>IFERROR(Y12/Y14,0)</f>
        <v>0.1558259013476905</v>
      </c>
      <c r="Z13" s="11">
        <f>IFERROR(Z12/Z14,0)</f>
        <v>0.3548973422539336</v>
      </c>
    </row>
    <row r="14">
      <c r="A14" s="2" t="inlineStr">
        <is>
          <t>Shares</t>
        </is>
      </c>
      <c r="B14" s="52" t="n">
        <v>14.858</v>
      </c>
      <c r="C14" s="52" t="n">
        <v>19.799</v>
      </c>
      <c r="D14" s="52" t="n">
        <v>19.576</v>
      </c>
      <c r="E14" s="52" t="n">
        <v>19.185</v>
      </c>
      <c r="F14" s="52" t="n">
        <v>19.295</v>
      </c>
      <c r="G14" s="52" t="n">
        <v>19.224</v>
      </c>
      <c r="H14" s="52" t="n">
        <v>19.407</v>
      </c>
      <c r="I14" s="52" t="n">
        <v>20.65</v>
      </c>
      <c r="J14" s="52" t="n">
        <v>20.968</v>
      </c>
      <c r="K14" s="52" t="n">
        <v>19.94</v>
      </c>
      <c r="L14" s="52" t="n">
        <v>20.171</v>
      </c>
      <c r="M14" s="52" t="n">
        <v>20.603</v>
      </c>
      <c r="N14" s="52" t="n">
        <v>20.969</v>
      </c>
      <c r="O14" s="52" t="n">
        <v>21.157</v>
      </c>
      <c r="P14" s="52" t="n">
        <v>21.336</v>
      </c>
      <c r="Q14" s="52">
        <f>Main!$C$4</f>
        <v>29.125402</v>
      </c>
      <c r="R14" s="52">
        <f>Main!$C$4</f>
        <v>29.125402</v>
      </c>
      <c r="S14" s="52">
        <f>Main!$C$4</f>
        <v>29.125402</v>
      </c>
      <c r="T14" s="52">
        <f>Main!$C$4</f>
        <v>29.125402</v>
      </c>
      <c r="U14" s="52">
        <f>Main!$C$4</f>
        <v>29.125402</v>
      </c>
      <c r="V14" s="52">
        <f>Main!$C$4</f>
        <v>29.125402</v>
      </c>
      <c r="W14" s="52">
        <f>Main!$C$4</f>
        <v>29.125402</v>
      </c>
      <c r="X14" s="52">
        <f>Main!$C$4</f>
        <v>29.125402</v>
      </c>
      <c r="Y14" s="52">
        <f>Main!$C$4</f>
        <v>29.125402</v>
      </c>
      <c r="Z14" s="52">
        <f>Main!$C$4</f>
        <v>29.125402</v>
      </c>
    </row>
    <row r="15"/>
    <row r="16" customFormat="1" s="4">
      <c r="A16" s="3" t="inlineStr">
        <is>
          <t>Revenue Change</t>
        </is>
      </c>
      <c r="C16" s="15">
        <f>IFERROR(C2/B2-1,"")</f>
        <v>-0.00420228260350497</v>
      </c>
      <c r="D16" s="15">
        <f>IFERROR(D2/C2-1,"")</f>
        <v>-0.23145350788855334</v>
      </c>
      <c r="E16" s="15">
        <f>IFERROR(E2/D2-1,"")</f>
        <v>0.48943936604997984</v>
      </c>
      <c r="F16" s="15">
        <f>IFERROR(F2/E2-1,"")</f>
        <v>2.3698498146247458</v>
      </c>
      <c r="G16" s="15">
        <f>IFERROR(G2/F2-1,"")</f>
        <v>-0.45134261561412226</v>
      </c>
      <c r="H16" s="15">
        <f>IFERROR(H2/G2-1,"")</f>
        <v>0.16479358317850168</v>
      </c>
      <c r="I16" s="15">
        <f>IFERROR(I2/H2-1,"")</f>
        <v>1.009697122959908</v>
      </c>
      <c r="J16" s="15">
        <f>IFERROR(J2/I2-1,"")</f>
        <v>-0.006911070780399209</v>
      </c>
      <c r="K16" s="15">
        <f>IFERROR(K2/J2-1,"")</f>
        <v>-0.4031442954819028</v>
      </c>
      <c r="L16" s="15">
        <f>IFERROR(L2/K2-1,"")</f>
        <v>-0.20738448474357618</v>
      </c>
      <c r="M16" s="15">
        <f>IFERROR(M2/L2-1,"")</f>
        <v>-0.11242969281166948</v>
      </c>
      <c r="N16" s="15">
        <f>IFERROR(N2/M2-1,"")</f>
        <v>-0.08073351903435477</v>
      </c>
      <c r="O16" s="15">
        <f>IFERROR(O2/N2-1,"")</f>
        <v>-0.14606585525983518</v>
      </c>
      <c r="P16" s="15">
        <f>IFERROR(P2/O2-1,"")</f>
        <v>-0.03416869963776159</v>
      </c>
      <c r="Q16" s="15">
        <f>IFERROR(Q2/P2-1,"")</f>
        <v>-0.03420000000000001</v>
      </c>
      <c r="R16" s="15">
        <f>IFERROR(R2/Q2-1,"")</f>
        <v>-0.027622222222222215</v>
      </c>
      <c r="S16" s="15">
        <f>IFERROR(S2/R2-1,"")</f>
        <v>-0.02104444444444442</v>
      </c>
      <c r="T16" s="15">
        <f>IFERROR(T2/S2-1,"")</f>
        <v>-0.014466666666666628</v>
      </c>
      <c r="U16" s="15">
        <f>IFERROR(U2/T2-1,"")</f>
        <v>-0.007888888888888834</v>
      </c>
      <c r="V16" s="15">
        <f>IFERROR(V2/U2-1,"")</f>
        <v>-0.0013111111111111518</v>
      </c>
      <c r="W16" s="15">
        <f>IFERROR(W2/V2-1,"")</f>
        <v>0.005266666666666753</v>
      </c>
      <c r="X16" s="15">
        <f>IFERROR(X2/W2-1,"")</f>
        <v>0.011844444444444546</v>
      </c>
      <c r="Y16" s="15">
        <f>IFERROR(Y2/X2-1,"")</f>
        <v>0.018422222222222118</v>
      </c>
      <c r="Z16" s="15">
        <f>IFERROR(Z2/Y2-1,"")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  <c r="S17" s="15">
        <f>IFERROR(S4/S2,"")</f>
        <v>1.0</v>
      </c>
      <c r="T17" s="15">
        <f>IFERROR(T4/T2,"")</f>
        <v>1.0</v>
      </c>
      <c r="U17" s="15">
        <f>IFERROR(U4/U2,"")</f>
        <v>1.0</v>
      </c>
      <c r="V17" s="15">
        <f>IFERROR(V4/V2,"")</f>
        <v>1.0</v>
      </c>
      <c r="W17" s="15">
        <f>IFERROR(W4/W2,"")</f>
        <v>1.0</v>
      </c>
      <c r="X17" s="15">
        <f>IFERROR(X4/X2,"")</f>
        <v>1.0</v>
      </c>
      <c r="Y17" s="15">
        <f>IFERROR(Y4/Y2,"")</f>
        <v>1.0</v>
      </c>
      <c r="Z17" s="15">
        <f>IFERROR(Z4/Z2,"")</f>
        <v>1.0</v>
      </c>
    </row>
    <row r="18">
      <c r="A18" s="14" t="inlineStr">
        <is>
          <t>Operating Margin</t>
        </is>
      </c>
      <c r="B18" s="15">
        <f>IFERROR(B8/B2,"")</f>
        <v>0.6040542476481544</v>
      </c>
      <c r="C18" s="15">
        <f>IFERROR(C8/C2,"")</f>
        <v>0.5104541313000528</v>
      </c>
      <c r="D18" s="15">
        <f>IFERROR(D8/D2,"")</f>
        <v>0.28168970143200317</v>
      </c>
      <c r="E18" s="15">
        <f>IFERROR(E8/E2,"")</f>
        <v>0.39766657589912235</v>
      </c>
      <c r="F18" s="15">
        <f>IFERROR(F8/F2,"")</f>
        <v>0.7716807558428642</v>
      </c>
      <c r="G18" s="15">
        <f>IFERROR(G8/G2,"")</f>
        <v>0.3494018217247474</v>
      </c>
      <c r="H18" s="15">
        <f>IFERROR(H8/H2,"")</f>
        <v>0.23940319411753255</v>
      </c>
      <c r="I18" s="15">
        <f>IFERROR(I8/I2,"")</f>
        <v>0.42747973381730187</v>
      </c>
      <c r="J18" s="15">
        <f>IFERROR(J8/J2,"")</f>
        <v>0.17903770522960863</v>
      </c>
      <c r="K18" s="15">
        <f>IFERROR(K8/K2,"")</f>
        <v>-0.33998513958178533</v>
      </c>
      <c r="L18" s="15">
        <f>IFERROR(L8/L2,"")</f>
        <v>-1.1287574427756144</v>
      </c>
      <c r="M18" s="15">
        <f>IFERROR(M8/M2,"")</f>
        <v>-1.437372330547818</v>
      </c>
      <c r="N18" s="15">
        <f>IFERROR(N8/N2,"")</f>
        <v>-1.7323241250441896</v>
      </c>
      <c r="O18" s="15">
        <f>IFERROR(O8/O2,"")</f>
        <v>-1.7992311672950392</v>
      </c>
      <c r="P18" s="15">
        <f>IFERROR(P8/P2,"")</f>
        <v>-1.306548894740065</v>
      </c>
      <c r="Q18" s="15">
        <f>IFERROR(Q8/Q2,"")</f>
        <v>-0.78991</v>
      </c>
      <c r="R18" s="15">
        <f>IFERROR(R8/R2,"")</f>
        <v>-0.6799200000000001</v>
      </c>
      <c r="S18" s="15">
        <f>IFERROR(S8/S2,"")</f>
        <v>-0.56993</v>
      </c>
      <c r="T18" s="15">
        <f>IFERROR(T8/T2,"")</f>
        <v>-0.45993999999999996</v>
      </c>
      <c r="U18" s="15">
        <f>IFERROR(U8/U2,"")</f>
        <v>-0.34995</v>
      </c>
      <c r="V18" s="15">
        <f>IFERROR(V8/V2,"")</f>
        <v>-0.23996000000000003</v>
      </c>
      <c r="W18" s="15">
        <f>IFERROR(W8/W2,"")</f>
        <v>-0.12996999999999986</v>
      </c>
      <c r="X18" s="15">
        <f>IFERROR(X8/X2,"")</f>
        <v>-0.01997999999999996</v>
      </c>
      <c r="Y18" s="15">
        <f>IFERROR(Y8/Y2,"")</f>
        <v>0.09001</v>
      </c>
      <c r="Z18" s="15">
        <f>IFERROR(Z8/Z2,"")</f>
        <v>0.20000000000000007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Enanta Pharmaceuticals Inc: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-0.0842</v>
      </c>
      <c r="C12" s="53" t="n">
        <v>-0.0342</v>
      </c>
      <c r="D12" s="53" t="n">
        <v>0.0158</v>
      </c>
      <c r="E12" s="54">
        <f>CHOOSE($B$4,B12,C12,D12)</f>
        <v>-0.0342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-0.8999</v>
      </c>
    </row>
    <row r="19">
      <c r="A19" s="14" t="inlineStr">
        <is>
          <t>Gross margin (forecast)</t>
        </is>
      </c>
      <c r="B19" s="53" t="n">
        <v>1</v>
      </c>
    </row>
    <row r="20">
      <c r="A20" s="14" t="inlineStr">
        <is>
          <t>R&amp;D share of operating expense (forecast)</t>
        </is>
      </c>
      <c r="B20" s="53" t="n">
        <v>0.7084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0.2521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Model'!P2</f>
        <v>65.324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-83.2534620887271</v>
      </c>
      <c r="C29" s="56">
        <f>NPV!B26</f>
        <v>106.25253791127287</v>
      </c>
      <c r="D29" s="35">
        <f>NPV!B28</f>
        <v>3.648105454862833</v>
      </c>
      <c r="E29" s="57">
        <f>NPV!B30</f>
        <v>-0.68739456256531</v>
      </c>
    </row>
    <row r="30">
      <c r="A30" s="58" t="n">
        <v>1</v>
      </c>
      <c r="B30" s="59">
        <f t="dataTable" ref="B30:E32" r1="B4"/>
        <v>-89.66194248933388</v>
      </c>
      <c r="C30" s="59">
        <v>99.84405751066609</v>
      </c>
      <c r="D30" s="39">
        <v>3.4280748300286494</v>
      </c>
      <c r="E30" s="60">
        <v>-0.7062489434422752</v>
      </c>
    </row>
    <row r="31">
      <c r="A31" s="58" t="n">
        <v>2</v>
      </c>
      <c r="B31" s="59">
        <v>-83.2534620887271</v>
      </c>
      <c r="C31" s="59">
        <v>106.25253791127287</v>
      </c>
      <c r="D31" s="39">
        <v>3.648105454862833</v>
      </c>
      <c r="E31" s="60">
        <v>-0.68739456256531</v>
      </c>
    </row>
    <row r="32">
      <c r="A32" s="58" t="n">
        <v>3</v>
      </c>
      <c r="B32" s="59">
        <v>-56.29867300873232</v>
      </c>
      <c r="C32" s="59">
        <v>133.20732699126765</v>
      </c>
      <c r="D32" s="39">
        <v>4.573579001287867</v>
      </c>
      <c r="E32" s="60">
        <v>-0.6080909167705341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3.648105454862833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3.8499640573569778</v>
      </c>
      <c r="C37" s="39">
        <v>3.958067274264898</v>
      </c>
      <c r="D37" s="39">
        <v>4.082075271281919</v>
      </c>
      <c r="E37" s="39">
        <v>4.225195643475651</v>
      </c>
      <c r="F37" s="39">
        <v>4.391552754934344</v>
      </c>
    </row>
    <row r="38">
      <c r="A38" s="62" t="n">
        <v>0.115</v>
      </c>
      <c r="B38" s="39">
        <v>3.659116441741075</v>
      </c>
      <c r="C38" s="39">
        <v>3.7387964236090423</v>
      </c>
      <c r="D38" s="39">
        <v>3.829358350916003</v>
      </c>
      <c r="E38" s="39">
        <v>3.9327447390884607</v>
      </c>
      <c r="F38" s="39">
        <v>4.05138398968272</v>
      </c>
    </row>
    <row r="39">
      <c r="A39" s="62" t="n">
        <v>0.125</v>
      </c>
      <c r="B39" s="39">
        <v>3.5213311571426114</v>
      </c>
      <c r="C39" s="39">
        <v>3.5808696180876405</v>
      </c>
      <c r="D39" s="39">
        <v>3.648105454862833</v>
      </c>
      <c r="E39" s="39">
        <v>3.724272770315322</v>
      </c>
      <c r="F39" s="39">
        <v>3.8108801271475357</v>
      </c>
    </row>
    <row r="40">
      <c r="A40" s="62" t="n">
        <v>0.135</v>
      </c>
      <c r="B40" s="39">
        <v>3.4222190690063274</v>
      </c>
      <c r="C40" s="39">
        <v>3.467089754803856</v>
      </c>
      <c r="D40" s="39">
        <v>3.5175545150988</v>
      </c>
      <c r="E40" s="39">
        <v>3.5744285111723775</v>
      </c>
      <c r="F40" s="39">
        <v>3.6386901182303273</v>
      </c>
    </row>
    <row r="41">
      <c r="A41" s="62" t="n">
        <v>0.145</v>
      </c>
      <c r="B41" s="39">
        <v>3.3519018815847694</v>
      </c>
      <c r="C41" s="39">
        <v>3.385851236989739</v>
      </c>
      <c r="D41" s="39">
        <v>3.4239580555119877</v>
      </c>
      <c r="E41" s="39">
        <v>3.466778433350028</v>
      </c>
      <c r="F41" s="39">
        <v>3.514969730421484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Enanta Pharmaceuticals Inc: free-cash-flow DCF ($mm)</t>
        </is>
      </c>
    </row>
    <row r="3">
      <c r="A3" s="20" t="inlineStr">
        <is>
          <t>Fiscal year</t>
        </is>
      </c>
      <c r="B3" s="43">
        <f>'Yearly Model'!P1</f>
        <v>2025</v>
      </c>
      <c r="C3" s="43">
        <f>'Yearly Model'!Q1</f>
        <v>2026</v>
      </c>
      <c r="D3" s="43">
        <f>'Yearly Model'!R1</f>
        <v>2027</v>
      </c>
      <c r="E3" s="43">
        <f>'Yearly Model'!S1</f>
        <v>2028</v>
      </c>
      <c r="F3" s="43">
        <f>'Yearly Model'!T1</f>
        <v>2029</v>
      </c>
      <c r="G3" s="43">
        <f>'Yearly Model'!U1</f>
        <v>2030</v>
      </c>
      <c r="H3" s="43">
        <f>'Yearly Model'!V1</f>
        <v>2031</v>
      </c>
      <c r="I3" s="43">
        <f>'Yearly Model'!W1</f>
        <v>2032</v>
      </c>
      <c r="J3" s="43">
        <f>'Yearly Model'!X1</f>
        <v>2033</v>
      </c>
      <c r="K3" s="43">
        <f>'Yearly Model'!Y1</f>
        <v>2034</v>
      </c>
      <c r="L3" s="43">
        <f>'Yearly Model'!Z1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-0.0342</v>
      </c>
      <c r="D5" s="63">
        <f>Assumptions!$E$12+(Assumptions!$E$11-Assumptions!$E$12)*(D4-1)/(Assumptions!$B$21-1)</f>
        <v>-0.02762222222222222</v>
      </c>
      <c r="E5" s="63">
        <f>Assumptions!$E$12+(Assumptions!$E$11-Assumptions!$E$12)*(E4-1)/(Assumptions!$B$21-1)</f>
        <v>-0.021044444444444445</v>
      </c>
      <c r="F5" s="63">
        <f>Assumptions!$E$12+(Assumptions!$E$11-Assumptions!$E$12)*(F4-1)/(Assumptions!$B$21-1)</f>
        <v>-0.014466666666666666</v>
      </c>
      <c r="G5" s="63">
        <f>Assumptions!$E$12+(Assumptions!$E$11-Assumptions!$E$12)*(G4-1)/(Assumptions!$B$21-1)</f>
        <v>-0.00788888888888889</v>
      </c>
      <c r="H5" s="63">
        <f>Assumptions!$E$12+(Assumptions!$E$11-Assumptions!$E$12)*(H4-1)/(Assumptions!$B$21-1)</f>
        <v>-0.0013111111111111101</v>
      </c>
      <c r="I5" s="63">
        <f>Assumptions!$E$12+(Assumptions!$E$11-Assumptions!$E$12)*(I4-1)/(Assumptions!$B$21-1)</f>
        <v>0.0052666666666666695</v>
      </c>
      <c r="J5" s="63">
        <f>Assumptions!$E$12+(Assumptions!$E$11-Assumptions!$E$12)*(J4-1)/(Assumptions!$B$21-1)</f>
        <v>0.011844444444444442</v>
      </c>
      <c r="K5" s="63">
        <f>Assumptions!$E$12+(Assumptions!$E$11-Assumptions!$E$12)*(K4-1)/(Assumptions!$B$21-1)</f>
        <v>0.018422222222222222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-1.306548894740065</v>
      </c>
      <c r="C6" s="63">
        <f>Assumptions!$B$18+(Assumptions!$E$13-Assumptions!$B$18)*C4/Assumptions!$B$21</f>
        <v>-0.78991</v>
      </c>
      <c r="D6" s="63">
        <f>Assumptions!$B$18+(Assumptions!$E$13-Assumptions!$B$18)*D4/Assumptions!$B$21</f>
        <v>-0.6799200000000001</v>
      </c>
      <c r="E6" s="63">
        <f>Assumptions!$B$18+(Assumptions!$E$13-Assumptions!$B$18)*E4/Assumptions!$B$21</f>
        <v>-0.56993</v>
      </c>
      <c r="F6" s="63">
        <f>Assumptions!$B$18+(Assumptions!$E$13-Assumptions!$B$18)*F4/Assumptions!$B$21</f>
        <v>-0.45994</v>
      </c>
      <c r="G6" s="63">
        <f>Assumptions!$B$18+(Assumptions!$E$13-Assumptions!$B$18)*G4/Assumptions!$B$21</f>
        <v>-0.34995</v>
      </c>
      <c r="H6" s="63">
        <f>Assumptions!$B$18+(Assumptions!$E$13-Assumptions!$B$18)*H4/Assumptions!$B$21</f>
        <v>-0.23995999999999995</v>
      </c>
      <c r="I6" s="63">
        <f>Assumptions!$B$18+(Assumptions!$E$13-Assumptions!$B$18)*I4/Assumptions!$B$21</f>
        <v>-0.12996999999999992</v>
      </c>
      <c r="J6" s="63">
        <f>Assumptions!$B$18+(Assumptions!$E$13-Assumptions!$B$18)*J4/Assumptions!$B$21</f>
        <v>-0.019979999999999998</v>
      </c>
      <c r="K6" s="63">
        <f>Assumptions!$B$18+(Assumptions!$E$13-Assumptions!$B$18)*K4/Assumptions!$B$21</f>
        <v>0.09001000000000003</v>
      </c>
      <c r="L6" s="63">
        <f>Assumptions!$B$18+(Assumptions!$E$13-Assumptions!$B$18)*L4/Assumptions!$B$21</f>
        <v>0.20000000000000007</v>
      </c>
    </row>
    <row r="7">
      <c r="A7" s="14" t="inlineStr">
        <is>
          <t>Revenue</t>
        </is>
      </c>
      <c r="B7" s="55">
        <f>'Yearly Model'!P2</f>
        <v>65.324</v>
      </c>
      <c r="C7" s="55">
        <f>'Yearly Model'!Q2</f>
        <v>63.0899192</v>
      </c>
      <c r="D7" s="55">
        <f>'Yearly Model'!R2</f>
        <v>61.34723543187555</v>
      </c>
      <c r="E7" s="55">
        <f>'Yearly Model'!S2</f>
        <v>60.05621694400919</v>
      </c>
      <c r="F7" s="55">
        <f>'Yearly Model'!T2</f>
        <v>59.1874036722192</v>
      </c>
      <c r="G7" s="55">
        <f>'Yearly Model'!U2</f>
        <v>58.72048082102725</v>
      </c>
      <c r="H7" s="55">
        <f>'Yearly Model'!V2</f>
        <v>58.64349174617301</v>
      </c>
      <c r="I7" s="55">
        <f>'Yearly Model'!W2</f>
        <v>58.95234746936953</v>
      </c>
      <c r="J7" s="55">
        <f>'Yearly Model'!X2</f>
        <v>59.650605273840064</v>
      </c>
      <c r="K7" s="55">
        <f>'Yearly Model'!Y2</f>
        <v>60.7495019798848</v>
      </c>
      <c r="L7" s="55">
        <f>'Yearly Model'!Z2</f>
        <v>62.268239529381916</v>
      </c>
    </row>
    <row r="8">
      <c r="A8" s="14" t="inlineStr">
        <is>
          <t>Operating income</t>
        </is>
      </c>
      <c r="B8" s="55">
        <f>'Yearly Model'!P8</f>
        <v>-85.349</v>
      </c>
      <c r="C8" s="55">
        <f>'Yearly Model'!Q8</f>
        <v>-49.835358075272</v>
      </c>
      <c r="D8" s="55">
        <f>'Yearly Model'!R8</f>
        <v>-41.71121231484083</v>
      </c>
      <c r="E8" s="55">
        <f>'Yearly Model'!S8</f>
        <v>-34.22783972289916</v>
      </c>
      <c r="F8" s="55">
        <f>'Yearly Model'!T8</f>
        <v>-27.222654445000494</v>
      </c>
      <c r="G8" s="55">
        <f>'Yearly Model'!U8</f>
        <v>-20.549232263318487</v>
      </c>
      <c r="H8" s="55">
        <f>'Yearly Model'!V8</f>
        <v>-14.072092279411677</v>
      </c>
      <c r="I8" s="55">
        <f>'Yearly Model'!W8</f>
        <v>-7.66203660059395</v>
      </c>
      <c r="J8" s="55">
        <f>'Yearly Model'!X8</f>
        <v>-1.191819093371322</v>
      </c>
      <c r="K8" s="55">
        <f>'Yearly Model'!Y8</f>
        <v>5.468062673209431</v>
      </c>
      <c r="L8" s="55">
        <f>'Yearly Model'!Z8</f>
        <v>12.453647905876387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0.0</v>
      </c>
      <c r="J9" s="52">
        <f>MAX(0,J8)*Assumptions!$E$14</f>
        <v>0.0</v>
      </c>
      <c r="K9" s="52">
        <f>MAX(0,K8)*Assumptions!$E$14</f>
        <v>0.9295706544456034</v>
      </c>
      <c r="L9" s="52">
        <f>MAX(0,L8)*Assumptions!$E$14</f>
        <v>2.117120143998986</v>
      </c>
    </row>
    <row r="10">
      <c r="A10" s="14" t="inlineStr">
        <is>
          <t>NOPAT</t>
        </is>
      </c>
      <c r="C10" s="52">
        <f>C8-C9</f>
        <v>-49.835358075272</v>
      </c>
      <c r="D10" s="52">
        <f>D8-D9</f>
        <v>-41.71121231484083</v>
      </c>
      <c r="E10" s="52">
        <f>E8-E9</f>
        <v>-34.22783972289916</v>
      </c>
      <c r="F10" s="52">
        <f>F8-F9</f>
        <v>-27.222654445000494</v>
      </c>
      <c r="G10" s="52">
        <f>G8-G9</f>
        <v>-20.549232263318487</v>
      </c>
      <c r="H10" s="52">
        <f>H8-H9</f>
        <v>-14.072092279411677</v>
      </c>
      <c r="I10" s="52">
        <f>I8-I9</f>
        <v>-7.66203660059395</v>
      </c>
      <c r="J10" s="52">
        <f>J8-J9</f>
        <v>-1.191819093371322</v>
      </c>
      <c r="K10" s="52">
        <f>K8-K9</f>
        <v>4.538492018763828</v>
      </c>
      <c r="L10" s="52">
        <f>L8-L9</f>
        <v>10.336527761877402</v>
      </c>
    </row>
    <row r="11">
      <c r="A11" s="14" t="inlineStr">
        <is>
          <t>Reinvestment</t>
        </is>
      </c>
      <c r="C11" s="52">
        <f>(C7-B7)*Assumptions!$E$15</f>
        <v>-0.5585202000000002</v>
      </c>
      <c r="D11" s="52">
        <f>(D7-C7)*Assumptions!$E$15</f>
        <v>-0.4356709420311109</v>
      </c>
      <c r="E11" s="52">
        <f>(E7-D7)*Assumptions!$E$15</f>
        <v>-0.32275462196659</v>
      </c>
      <c r="F11" s="52">
        <f>(F7-E7)*Assumptions!$E$15</f>
        <v>-0.21720331794749903</v>
      </c>
      <c r="G11" s="52">
        <f>(G7-F7)*Assumptions!$E$15</f>
        <v>-0.11673071279798641</v>
      </c>
      <c r="H11" s="52">
        <f>(H7-G7)*Assumptions!$E$15</f>
        <v>-0.019247268713559862</v>
      </c>
      <c r="I11" s="52">
        <f>(I7-H7)*Assumptions!$E$15</f>
        <v>0.07721393079912886</v>
      </c>
      <c r="J11" s="52">
        <f>(J7-I7)*Assumptions!$E$15</f>
        <v>0.17456445111763408</v>
      </c>
      <c r="K11" s="52">
        <f>(K7-J7)*Assumptions!$E$15</f>
        <v>0.2747241765111834</v>
      </c>
      <c r="L11" s="52">
        <f>(L7-K7)*Assumptions!$E$15</f>
        <v>0.37968438737427945</v>
      </c>
    </row>
    <row r="12">
      <c r="A12" s="20" t="inlineStr">
        <is>
          <t>Free cash flow</t>
        </is>
      </c>
      <c r="C12" s="64">
        <f>C10-C11</f>
        <v>-49.276837875271994</v>
      </c>
      <c r="D12" s="64">
        <f>D10-D11</f>
        <v>-41.27554137280972</v>
      </c>
      <c r="E12" s="64">
        <f>E10-E11</f>
        <v>-33.905085100932574</v>
      </c>
      <c r="F12" s="64">
        <f>F10-F11</f>
        <v>-27.005451127052993</v>
      </c>
      <c r="G12" s="64">
        <f>G10-G11</f>
        <v>-20.4325015505205</v>
      </c>
      <c r="H12" s="64">
        <f>H10-H11</f>
        <v>-14.052845010698118</v>
      </c>
      <c r="I12" s="64">
        <f>I10-I11</f>
        <v>-7.739250531393079</v>
      </c>
      <c r="J12" s="64">
        <f>J10-J11</f>
        <v>-1.366383544488956</v>
      </c>
      <c r="K12" s="64">
        <f>K10-K11</f>
        <v>4.263767842252644</v>
      </c>
      <c r="L12" s="64">
        <f>L10-L11</f>
        <v>9.956843374503123</v>
      </c>
    </row>
    <row r="13">
      <c r="A13" s="14" t="inlineStr">
        <is>
          <t>Year fraction</t>
        </is>
      </c>
      <c r="C13" s="46">
        <f>Assumptions!$B$22</f>
        <v>0.2521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0.12605</v>
      </c>
      <c r="D14" s="11">
        <f>C14+C13/2+D13/2</f>
        <v>0.7521</v>
      </c>
      <c r="E14" s="11">
        <f>D14+D13/2+E13/2</f>
        <v>1.7521</v>
      </c>
      <c r="F14" s="11">
        <f>E14+E13/2+F13/2</f>
        <v>2.7521</v>
      </c>
      <c r="G14" s="11">
        <f>F14+F13/2+G13/2</f>
        <v>3.7521</v>
      </c>
      <c r="H14" s="11">
        <f>G14+G13/2+H13/2</f>
        <v>4.7521</v>
      </c>
      <c r="I14" s="11">
        <f>H14+H13/2+I13/2</f>
        <v>5.7521</v>
      </c>
      <c r="J14" s="11">
        <f>I14+I13/2+J13/2</f>
        <v>6.7521</v>
      </c>
      <c r="K14" s="11">
        <f>J14+J13/2+K13/2</f>
        <v>7.7521</v>
      </c>
      <c r="L14" s="11">
        <f>K14+K13/2+L13/2</f>
        <v>8.7521</v>
      </c>
    </row>
    <row r="15">
      <c r="A15" s="14" t="inlineStr">
        <is>
          <t>Discount factor</t>
        </is>
      </c>
      <c r="C15" s="65">
        <f>1/(1+Assumptions!$E$10)^C14</f>
        <v>0.9852631150087029</v>
      </c>
      <c r="D15" s="65">
        <f>1/(1+Assumptions!$E$10)^D14</f>
        <v>0.9152256600412499</v>
      </c>
      <c r="E15" s="65">
        <f>1/(1+Assumptions!$E$10)^E14</f>
        <v>0.8135339200366666</v>
      </c>
      <c r="F15" s="65">
        <f>1/(1+Assumptions!$E$10)^F14</f>
        <v>0.7231412622548148</v>
      </c>
      <c r="G15" s="65">
        <f>1/(1+Assumptions!$E$10)^G14</f>
        <v>0.642792233115391</v>
      </c>
      <c r="H15" s="65">
        <f>1/(1+Assumptions!$E$10)^H14</f>
        <v>0.5713708738803475</v>
      </c>
      <c r="I15" s="65">
        <f>1/(1+Assumptions!$E$10)^I14</f>
        <v>0.5078852212269755</v>
      </c>
      <c r="J15" s="65">
        <f>1/(1+Assumptions!$E$10)^J14</f>
        <v>0.45145352997953375</v>
      </c>
      <c r="K15" s="65">
        <f>1/(1+Assumptions!$E$10)^K14</f>
        <v>0.40129202664847446</v>
      </c>
      <c r="L15" s="65">
        <f>1/(1+Assumptions!$E$10)^L14</f>
        <v>0.35670402368753285</v>
      </c>
    </row>
    <row r="16">
      <c r="A16" s="20" t="inlineStr">
        <is>
          <t>PV of free cash flow</t>
        </is>
      </c>
      <c r="C16" s="64">
        <f>C12*C13*C15</f>
        <v>-12.239619062336144</v>
      </c>
      <c r="D16" s="64">
        <f>D12*D13*D15</f>
        <v>-37.77643459648969</v>
      </c>
      <c r="E16" s="64">
        <f>E12*E13*E15</f>
        <v>-27.582936791338454</v>
      </c>
      <c r="F16" s="64">
        <f>F12*F13*F15</f>
        <v>-19.528756015777812</v>
      </c>
      <c r="G16" s="64">
        <f>G12*G13*G15</f>
        <v>-13.133853299792762</v>
      </c>
      <c r="H16" s="64">
        <f>H12*H13*H15</f>
        <v>-8.029386334267665</v>
      </c>
      <c r="I16" s="64">
        <f>I12*I13*I15</f>
        <v>-3.930650968267562</v>
      </c>
      <c r="J16" s="64">
        <f>J12*J13*J15</f>
        <v>-0.6168586744654865</v>
      </c>
      <c r="K16" s="64">
        <f>K12*K13*K15</f>
        <v>1.7110160385761566</v>
      </c>
      <c r="L16" s="64">
        <f>L12*L13*L15</f>
        <v>3.5516460949118165</v>
      </c>
    </row>
    <row r="19">
      <c r="A19" s="14" t="inlineStr">
        <is>
          <t>PV of forecast free cash flow</t>
        </is>
      </c>
      <c r="B19" s="52">
        <f>SUM(C16:L16)</f>
        <v>-117.5758336092476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10.2057644588657</v>
      </c>
    </row>
    <row r="21">
      <c r="A21" s="14" t="inlineStr">
        <is>
          <t>Terminal value</t>
        </is>
      </c>
      <c r="B21" s="52">
        <f>B20/(Assumptions!$E$10-Assumptions!$E$11)</f>
        <v>102.05764458865698</v>
      </c>
    </row>
    <row r="22">
      <c r="A22" s="14" t="inlineStr">
        <is>
          <t>PV of terminal value</t>
        </is>
      </c>
      <c r="B22" s="52">
        <f>B21/(1+Assumptions!$E$10)^(L14+0.5)</f>
        <v>34.32237152052049</v>
      </c>
    </row>
    <row r="23">
      <c r="A23" s="20" t="inlineStr">
        <is>
          <t>Enterprise value</t>
        </is>
      </c>
      <c r="B23" s="66">
        <f>B19+B22</f>
        <v>-83.2534620887271</v>
      </c>
    </row>
    <row r="24">
      <c r="A24" s="14" t="inlineStr">
        <is>
          <t>Cash &amp; investments</t>
        </is>
      </c>
      <c r="B24" s="55">
        <f>Main!C7</f>
        <v>189.50599999999997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106.25253791127287</v>
      </c>
    </row>
    <row r="27">
      <c r="A27" s="14" t="inlineStr">
        <is>
          <t>Shares (mm)</t>
        </is>
      </c>
      <c r="B27" s="55">
        <f>Main!C4</f>
        <v>29.125402</v>
      </c>
    </row>
    <row r="28">
      <c r="A28" s="20" t="inlineStr">
        <is>
          <t>NPV / share</t>
        </is>
      </c>
      <c r="B28" s="49">
        <f>B26/B27</f>
        <v>3.648105454862833</v>
      </c>
    </row>
    <row r="29">
      <c r="A29" s="14" t="inlineStr">
        <is>
          <t>Price</t>
        </is>
      </c>
      <c r="B29" s="50">
        <f>Main!C3</f>
        <v>11.67</v>
      </c>
    </row>
    <row r="30">
      <c r="A30" s="14" t="inlineStr">
        <is>
          <t>Upside</t>
        </is>
      </c>
      <c r="B30" s="63">
        <f>B28/B29-1</f>
        <v>-0.68739456256531</v>
      </c>
    </row>
    <row r="31">
      <c r="A31" s="14" t="inlineStr">
        <is>
          <t>Terminal value, % of EV</t>
        </is>
      </c>
      <c r="B31" s="63">
        <f>IFERROR(B22/B23,0)</f>
        <v>-0.41226359432285875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2026-10-21T06:25:59Z</dcterms:modified>
  <cp:lastModifiedBy>Wang, Eric</cp:lastModifiedBy>
</cp:coreProperties>
</file>