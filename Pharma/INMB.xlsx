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INmune Bio Inc</t>
        </is>
      </c>
      <c r="C2" s="10" t="n"/>
    </row>
    <row r="3">
      <c r="B3" t="inlineStr">
        <is>
          <t>Price</t>
        </is>
      </c>
      <c r="C3" s="11">
        <f>INDEX([1]Pharma!$F$1:$F$1000,MATCH("INMB",[1]Pharma!$B$1:$B$1000,0))</f>
        <v>1.6</v>
      </c>
      <c r="F3" s="1" t="n"/>
    </row>
    <row r="4">
      <c r="B4" t="inlineStr">
        <is>
          <t>Shares</t>
        </is>
      </c>
      <c r="C4" s="21" t="n">
        <v>27.753789</v>
      </c>
      <c r="F4" s="1" t="n"/>
    </row>
    <row r="5">
      <c r="B5" t="inlineStr">
        <is>
          <t>Market Cap.</t>
        </is>
      </c>
      <c r="C5" s="13">
        <f>C3*C4</f>
        <v>44.4060624</v>
      </c>
      <c r="F5" s="1" t="n"/>
    </row>
    <row r="6"/>
    <row r="7">
      <c r="B7" t="inlineStr">
        <is>
          <t>Cash</t>
        </is>
      </c>
      <c r="C7" s="21" t="n">
        <v>18.411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25.995062400000002</v>
      </c>
    </row>
    <row r="10"/>
    <row r="11">
      <c r="B11" s="14" t="inlineStr">
        <is>
          <t>Net Cash / Share</t>
        </is>
      </c>
      <c r="C11" s="11">
        <f>(C7-C8)/C4</f>
        <v>0.663368882713636</v>
      </c>
    </row>
    <row r="12">
      <c r="B12" s="14" t="inlineStr">
        <is>
          <t>Upside</t>
        </is>
      </c>
      <c r="C12" s="15">
        <f>IFERROR(C11/C3-1,"")</f>
        <v>-0.5853944483039775</v>
      </c>
    </row>
    <row r="13">
      <c r="B13" s="14" t="inlineStr">
        <is>
          <t>Cash / Share</t>
        </is>
      </c>
      <c r="C13" s="11">
        <f>IFERROR((C7-C8)/C4,"")</f>
        <v>0.663368882713636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-14.961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1.2305995588530179</v>
      </c>
    </row>
    <row r="19">
      <c r="B19" s="14" t="inlineStr">
        <is>
          <t>Implied Pipeline Value</t>
        </is>
      </c>
      <c r="C19" s="13">
        <f>C9</f>
        <v>25.995062400000002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2017</v>
      </c>
      <c r="C1" s="17" t="n">
        <v>2018</v>
      </c>
      <c r="D1" s="17" t="n">
        <v>2019</v>
      </c>
      <c r="E1" s="17" t="n">
        <v>2020</v>
      </c>
      <c r="F1" s="17" t="n">
        <v>2021</v>
      </c>
      <c r="G1" s="17" t="n">
        <v>2022</v>
      </c>
      <c r="H1" s="17" t="n">
        <v>2023</v>
      </c>
      <c r="I1" s="17" t="n">
        <v>2024</v>
      </c>
      <c r="J1" s="17" t="n">
        <v>2025</v>
      </c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0.011</v>
      </c>
      <c r="F2" s="23" t="n">
        <v>0.181</v>
      </c>
      <c r="G2" s="23" t="n">
        <v>0.374</v>
      </c>
      <c r="H2" s="23" t="n">
        <v>0.155</v>
      </c>
      <c r="I2" s="23" t="n">
        <v>0.014</v>
      </c>
      <c r="J2" s="23" t="n">
        <v>0.05</v>
      </c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0.011</v>
      </c>
      <c r="F4" s="23">
        <f>F2-F3</f>
        <v>0.181</v>
      </c>
      <c r="G4" s="23">
        <f>G2-G3</f>
        <v>0.374</v>
      </c>
      <c r="H4" s="23">
        <f>H2-H3</f>
        <v>0.155</v>
      </c>
      <c r="I4" s="23">
        <f>I2-I3</f>
        <v>0.014</v>
      </c>
      <c r="J4" s="23">
        <f>J2-J3</f>
        <v>0.05</v>
      </c>
      <c r="K4" s="1" t="n"/>
    </row>
    <row r="5">
      <c r="A5" s="2" t="inlineStr">
        <is>
          <t>Research &amp; Dev.</t>
        </is>
      </c>
      <c r="B5" s="23" t="n">
        <v>0.435</v>
      </c>
      <c r="C5" s="23" t="n">
        <v>3.355</v>
      </c>
      <c r="D5" s="23" t="n">
        <v>3.282</v>
      </c>
      <c r="E5" s="23" t="n">
        <v>5.918</v>
      </c>
      <c r="F5" s="23" t="n">
        <v>20.543</v>
      </c>
      <c r="G5" s="23" t="n">
        <v>17.067</v>
      </c>
      <c r="H5" s="23" t="n">
        <v>20.273</v>
      </c>
      <c r="I5" s="23" t="n">
        <v>33.166</v>
      </c>
      <c r="J5" s="23" t="n">
        <v>20.659</v>
      </c>
      <c r="K5" s="1" t="n"/>
    </row>
    <row r="6">
      <c r="A6" s="19" t="inlineStr">
        <is>
          <t>SG&amp;A &amp; Other</t>
        </is>
      </c>
      <c r="B6" s="23" t="n">
        <v>0.546</v>
      </c>
      <c r="C6" s="23" t="n">
        <v>9.085000000000001</v>
      </c>
      <c r="D6" s="23" t="n">
        <v>4.474</v>
      </c>
      <c r="E6" s="23" t="n">
        <v>6.321</v>
      </c>
      <c r="F6" s="23" t="n">
        <v>8.791</v>
      </c>
      <c r="G6" s="23" t="n">
        <v>9.257999999999999</v>
      </c>
      <c r="H6" s="23" t="n">
        <v>9.622999999999999</v>
      </c>
      <c r="I6" s="23" t="n">
        <v>9.483000000000001</v>
      </c>
      <c r="J6" s="23" t="n">
        <v>26.774</v>
      </c>
      <c r="K6" s="1" t="n"/>
    </row>
    <row r="7">
      <c r="A7" s="2" t="inlineStr">
        <is>
          <t>Operating Expense</t>
        </is>
      </c>
      <c r="B7" s="23">
        <f>SUM(B5:B6)</f>
        <v>0.9810000000000001</v>
      </c>
      <c r="C7" s="23">
        <f>SUM(C5:C6)</f>
        <v>12.440000000000001</v>
      </c>
      <c r="D7" s="23">
        <f>SUM(D5:D6)</f>
        <v>7.756</v>
      </c>
      <c r="E7" s="23">
        <f>SUM(E5:E6)</f>
        <v>12.239</v>
      </c>
      <c r="F7" s="23">
        <f>SUM(F5:F6)</f>
        <v>29.334</v>
      </c>
      <c r="G7" s="23">
        <f>SUM(G5:G6)</f>
        <v>26.325</v>
      </c>
      <c r="H7" s="23">
        <f>SUM(H5:H6)</f>
        <v>29.896</v>
      </c>
      <c r="I7" s="23">
        <f>SUM(I5:I6)</f>
        <v>42.649</v>
      </c>
      <c r="J7" s="23">
        <f>SUM(J5:J6)</f>
        <v>47.433</v>
      </c>
      <c r="K7" s="1" t="n"/>
    </row>
    <row r="8">
      <c r="A8" s="2" t="inlineStr">
        <is>
          <t>Operating Income</t>
        </is>
      </c>
      <c r="B8" s="23">
        <f>B4-B7</f>
        <v>-0.9810000000000001</v>
      </c>
      <c r="C8" s="23">
        <f>C4-C7</f>
        <v>-12.440000000000001</v>
      </c>
      <c r="D8" s="23">
        <f>D4-D7</f>
        <v>-7.756</v>
      </c>
      <c r="E8" s="23">
        <f>E4-E7</f>
        <v>-12.228000000000002</v>
      </c>
      <c r="F8" s="23">
        <f>F4-F7</f>
        <v>-29.153</v>
      </c>
      <c r="G8" s="23">
        <f>G4-G7</f>
        <v>-25.951</v>
      </c>
      <c r="H8" s="23">
        <f>H4-H7</f>
        <v>-29.741</v>
      </c>
      <c r="I8" s="23">
        <f>I4-I7</f>
        <v>-42.635</v>
      </c>
      <c r="J8" s="23">
        <f>J4-J7</f>
        <v>-47.383</v>
      </c>
      <c r="K8" s="1" t="n"/>
    </row>
    <row r="9">
      <c r="A9" s="19" t="inlineStr">
        <is>
          <t>Interest &amp; Other</t>
        </is>
      </c>
      <c r="B9" s="23" t="n">
        <v>0.15</v>
      </c>
      <c r="C9" s="23" t="n">
        <v>0</v>
      </c>
      <c r="D9" s="23" t="n">
        <v>0.078</v>
      </c>
      <c r="E9" s="23" t="n">
        <v>0.129</v>
      </c>
      <c r="F9" s="23" t="n">
        <v>-1.187</v>
      </c>
      <c r="G9" s="23" t="n">
        <v>-1.348</v>
      </c>
      <c r="H9" s="23" t="n">
        <v>-0.259</v>
      </c>
      <c r="I9" s="23" t="n">
        <v>0.635</v>
      </c>
      <c r="J9" s="23" t="n">
        <v>1.383</v>
      </c>
    </row>
    <row r="10">
      <c r="A10" s="2" t="inlineStr">
        <is>
          <t>Pretax</t>
        </is>
      </c>
      <c r="B10" s="23">
        <f>B8+B9</f>
        <v>-0.8310000000000001</v>
      </c>
      <c r="C10" s="23">
        <f>C8+C9</f>
        <v>-12.440000000000001</v>
      </c>
      <c r="D10" s="23">
        <f>D8+D9</f>
        <v>-7.678</v>
      </c>
      <c r="E10" s="23">
        <f>E8+E9</f>
        <v>-12.099000000000002</v>
      </c>
      <c r="F10" s="23">
        <f>F8+F9</f>
        <v>-30.34</v>
      </c>
      <c r="G10" s="23">
        <f>G8+G9</f>
        <v>-27.299</v>
      </c>
      <c r="H10" s="23">
        <f>H8+H9</f>
        <v>-30.0</v>
      </c>
      <c r="I10" s="23">
        <f>I8+I9</f>
        <v>-42.0</v>
      </c>
      <c r="J10" s="23">
        <f>J8+J9</f>
        <v>-46.0</v>
      </c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</row>
    <row r="12">
      <c r="A12" s="2" t="inlineStr">
        <is>
          <t>Net Income</t>
        </is>
      </c>
      <c r="B12" s="23" t="n">
        <v>-0.831</v>
      </c>
      <c r="C12" s="23" t="n">
        <v>-12.44</v>
      </c>
      <c r="D12" s="23" t="n">
        <v>-7.678</v>
      </c>
      <c r="E12" s="23" t="n">
        <v>-12.099</v>
      </c>
      <c r="F12" s="23" t="n">
        <v>-30.34</v>
      </c>
      <c r="G12" s="23" t="n">
        <v>-27.299</v>
      </c>
      <c r="H12" s="23" t="n">
        <v>-30</v>
      </c>
      <c r="I12" s="23" t="n">
        <v>-42</v>
      </c>
      <c r="J12" s="23" t="n">
        <v>-46</v>
      </c>
      <c r="K12" s="1" t="n"/>
    </row>
    <row r="13">
      <c r="A13" s="2" t="inlineStr">
        <is>
          <t>Earnings per Share</t>
        </is>
      </c>
      <c r="B13" s="11">
        <f>IFERROR(B12/B14,0)</f>
        <v>-0.126599634369287</v>
      </c>
      <c r="C13" s="11">
        <f>IFERROR(C12/C14,0)</f>
        <v>-1.4336752333755907</v>
      </c>
      <c r="D13" s="11">
        <f>IFERROR(D12/D14,0)</f>
        <v>-0.7473960868295532</v>
      </c>
      <c r="E13" s="11">
        <f>IFERROR(E12/E14,0)</f>
        <v>-1.0092592592592593</v>
      </c>
      <c r="F13" s="11">
        <f>IFERROR(F12/F14,0)</f>
        <v>-1.8808505362345793</v>
      </c>
      <c r="G13" s="11">
        <f>IFERROR(G12/G14,0)</f>
        <v>-1.5227868578122385</v>
      </c>
      <c r="H13" s="11">
        <f>IFERROR(H12/H14,0)</f>
        <v>-1.668427784884044</v>
      </c>
      <c r="I13" s="11">
        <f>IFERROR(I12/I14,0)</f>
        <v>-2.10589651022864</v>
      </c>
      <c r="J13" s="11">
        <f>IFERROR(J12/J14,0)</f>
        <v>-1.8579852976815576</v>
      </c>
    </row>
    <row r="14">
      <c r="A14" s="2" t="inlineStr">
        <is>
          <t>Shares</t>
        </is>
      </c>
      <c r="B14" s="23" t="n">
        <v>6.564</v>
      </c>
      <c r="C14" s="23" t="n">
        <v>8.677</v>
      </c>
      <c r="D14" s="23" t="n">
        <v>10.273</v>
      </c>
      <c r="E14" s="23" t="n">
        <v>11.988</v>
      </c>
      <c r="F14" s="23" t="n">
        <v>16.131</v>
      </c>
      <c r="G14" s="23" t="n">
        <v>17.927</v>
      </c>
      <c r="H14" s="23" t="n">
        <v>17.981</v>
      </c>
      <c r="I14" s="23" t="n">
        <v>19.944</v>
      </c>
      <c r="J14" s="23" t="n">
        <v>24.758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>15.454545454545453</v>
      </c>
      <c r="G16" s="15">
        <f>IFERROR(G2/F2-1,"")</f>
        <v>1.0662983425414367</v>
      </c>
      <c r="H16" s="15">
        <f>IFERROR(H2/G2-1,"")</f>
        <v>-0.5855614973262032</v>
      </c>
      <c r="I16" s="15">
        <f>IFERROR(I2/H2-1,"")</f>
        <v>-0.9096774193548387</v>
      </c>
      <c r="J16" s="15">
        <f>IFERROR(J2/I2-1,"")</f>
        <v>2.5714285714285716</v>
      </c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>-1111.6363636363637</v>
      </c>
      <c r="F18" s="15">
        <f>IFERROR(F8/F2,"")</f>
        <v>-161.06629834254144</v>
      </c>
      <c r="G18" s="15">
        <f>IFERROR(G8/G2,"")</f>
        <v>-69.38770053475936</v>
      </c>
      <c r="H18" s="15">
        <f>IFERROR(H8/H2,"")</f>
        <v>-191.8774193548387</v>
      </c>
      <c r="I18" s="15">
        <f>IFERROR(I8/I2,"")</f>
        <v>-3045.3571428571427</v>
      </c>
      <c r="J18" s="15">
        <f>IFERROR(J8/J2,"")</f>
        <v>-947.66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2026-10-21T01:06:14Z</dcterms:modified>
  <cp:lastModifiedBy>Wang, Eric</cp:lastModifiedBy>
</cp:coreProperties>
</file>