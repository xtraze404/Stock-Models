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uniQure N.V.</t>
        </is>
      </c>
      <c r="C2" s="10" t="n"/>
    </row>
    <row r="3">
      <c r="B3" t="inlineStr">
        <is>
          <t>Price</t>
        </is>
      </c>
      <c r="C3" s="11">
        <f>INDEX([1]Pharma!$F$1:$F$1000,MATCH("QURE",[1]Pharma!$B$1:$B$1000,0))</f>
        <v>22.715</v>
      </c>
      <c r="F3" s="1" t="n"/>
    </row>
    <row r="4">
      <c r="B4" t="inlineStr">
        <is>
          <t>Shares</t>
        </is>
      </c>
      <c r="C4" s="21" t="n">
        <v>63.067485</v>
      </c>
      <c r="F4" s="1" t="n"/>
    </row>
    <row r="5">
      <c r="B5" t="inlineStr">
        <is>
          <t>Market Cap.</t>
        </is>
      </c>
      <c r="C5" s="13">
        <f>C3*C4</f>
        <v>1432.577921775</v>
      </c>
      <c r="F5" s="1" t="n"/>
    </row>
    <row r="6"/>
    <row r="7">
      <c r="B7" t="inlineStr">
        <is>
          <t>Cash</t>
        </is>
      </c>
      <c r="C7" s="21">
        <f>139.994+446.851</f>
        <v>586.845</v>
      </c>
    </row>
    <row r="8">
      <c r="B8" t="inlineStr">
        <is>
          <t>Debt</t>
        </is>
      </c>
      <c r="C8" s="21" t="n">
        <v>49.942</v>
      </c>
    </row>
    <row r="9">
      <c r="B9" t="inlineStr">
        <is>
          <t>Enterprise V.</t>
        </is>
      </c>
      <c r="C9" s="13">
        <f>C5-C7+C8</f>
        <v>895.674921775</v>
      </c>
    </row>
    <row r="10"/>
    <row r="11">
      <c r="B11" s="14" t="inlineStr">
        <is>
          <t>rNPV / Share</t>
        </is>
      </c>
      <c r="C11" s="11">
        <f>NPV!B27</f>
        <v>5.780727008200854</v>
      </c>
    </row>
    <row r="12">
      <c r="B12" s="14" t="inlineStr">
        <is>
          <t>Upside</t>
        </is>
      </c>
      <c r="C12" s="15">
        <f>IFERROR(C11/C3-1,"")</f>
        <v>-0.7455105873563348</v>
      </c>
    </row>
    <row r="13">
      <c r="B13" s="14" t="inlineStr">
        <is>
          <t>Cash / Share</t>
        </is>
      </c>
      <c r="C13" s="11">
        <f>IFERROR((C7-C8)/C4,"")</f>
        <v>8.513150635386841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-172.106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3.119606521562293</v>
      </c>
    </row>
    <row r="19">
      <c r="B19" s="14" t="inlineStr">
        <is>
          <t>Implied Pipeline Value</t>
        </is>
      </c>
      <c r="C19" s="13">
        <f>C9</f>
        <v>895.674921775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2014</v>
      </c>
      <c r="C1" s="17" t="n">
        <v>2015</v>
      </c>
      <c r="D1" s="17" t="n">
        <v>2016</v>
      </c>
      <c r="E1" s="17" t="n">
        <v>2017</v>
      </c>
      <c r="F1" s="17" t="n">
        <v>2018</v>
      </c>
      <c r="G1" s="17" t="n">
        <v>2019</v>
      </c>
      <c r="H1" s="17" t="n">
        <v>2020</v>
      </c>
      <c r="I1" s="17" t="n">
        <v>2021</v>
      </c>
      <c r="J1" s="17" t="n">
        <v>2022</v>
      </c>
      <c r="K1" s="17" t="n">
        <v>2023</v>
      </c>
      <c r="L1" s="17" t="n">
        <v>2024</v>
      </c>
      <c r="M1" s="17" t="n">
        <v>2025</v>
      </c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6.141</v>
      </c>
      <c r="C2" s="23" t="n">
        <v>10.578</v>
      </c>
      <c r="D2" s="23" t="n">
        <v>25.098</v>
      </c>
      <c r="E2" s="23" t="n">
        <v>13.107</v>
      </c>
      <c r="F2" s="23" t="n">
        <v>11.284</v>
      </c>
      <c r="G2" s="23" t="n">
        <v>7.281</v>
      </c>
      <c r="H2" s="23" t="n">
        <v>37.514</v>
      </c>
      <c r="I2" s="23" t="n">
        <v>524.002</v>
      </c>
      <c r="J2" s="23" t="n">
        <v>106.483</v>
      </c>
      <c r="K2" s="23" t="n">
        <v>15.843</v>
      </c>
      <c r="L2" s="23" t="n">
        <v>27.119</v>
      </c>
      <c r="M2" s="23" t="n">
        <v>16.098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1.348</v>
      </c>
      <c r="E3" s="23" t="n">
        <v>0.8169999999999999</v>
      </c>
      <c r="F3" s="23" t="n">
        <v>1.202</v>
      </c>
      <c r="G3" s="23" t="n">
        <v>1.654</v>
      </c>
      <c r="H3" s="23" t="n">
        <v>2.899</v>
      </c>
      <c r="I3" s="23" t="n">
        <v>24.976</v>
      </c>
      <c r="J3" s="23" t="n">
        <v>1.254</v>
      </c>
      <c r="K3" s="23" t="n">
        <v>0.065</v>
      </c>
      <c r="L3" s="23" t="n">
        <v>1.267</v>
      </c>
      <c r="M3" s="23" t="n">
        <v>1.686</v>
      </c>
    </row>
    <row r="4" customFormat="1" s="1">
      <c r="A4" s="5" t="inlineStr">
        <is>
          <t>Gross Margin</t>
        </is>
      </c>
      <c r="B4" s="23">
        <f>B2-B3</f>
        <v>6.141</v>
      </c>
      <c r="C4" s="23">
        <f>C2-C3</f>
        <v>10.578</v>
      </c>
      <c r="D4" s="23">
        <f>D2-D3</f>
        <v>23.75</v>
      </c>
      <c r="E4" s="23">
        <f>E2-E3</f>
        <v>12.29</v>
      </c>
      <c r="F4" s="23">
        <f>F2-F3</f>
        <v>10.082</v>
      </c>
      <c r="G4" s="23">
        <f>G2-G3</f>
        <v>5.627</v>
      </c>
      <c r="H4" s="23">
        <f>H2-H3</f>
        <v>34.615</v>
      </c>
      <c r="I4" s="23">
        <f>I2-I3</f>
        <v>499.02599999999995</v>
      </c>
      <c r="J4" s="23">
        <f>J2-J3</f>
        <v>105.229</v>
      </c>
      <c r="K4" s="23">
        <f>K2-K3</f>
        <v>15.778</v>
      </c>
      <c r="L4" s="23">
        <f>L2-L3</f>
        <v>25.852</v>
      </c>
      <c r="M4" s="23">
        <f>M2-M3</f>
        <v>14.411999999999999</v>
      </c>
    </row>
    <row r="5">
      <c r="A5" s="2" t="inlineStr">
        <is>
          <t>Research &amp; Dev.</t>
        </is>
      </c>
      <c r="B5" s="23" t="n">
        <v>43.772</v>
      </c>
      <c r="C5" s="23" t="n">
        <v>59.125</v>
      </c>
      <c r="D5" s="23" t="n">
        <v>72.51000000000001</v>
      </c>
      <c r="E5" s="23" t="n">
        <v>72.172</v>
      </c>
      <c r="F5" s="23" t="n">
        <v>74.809</v>
      </c>
      <c r="G5" s="23" t="n">
        <v>94.73699999999999</v>
      </c>
      <c r="H5" s="23" t="n">
        <v>122.4</v>
      </c>
      <c r="I5" s="23" t="n">
        <v>143.548</v>
      </c>
      <c r="J5" s="23" t="n">
        <v>197.591</v>
      </c>
      <c r="K5" s="23" t="n">
        <v>214.864</v>
      </c>
      <c r="L5" s="23" t="n">
        <v>143.782</v>
      </c>
      <c r="M5" s="23" t="n">
        <v>140.673</v>
      </c>
    </row>
    <row r="6">
      <c r="A6" s="19" t="inlineStr">
        <is>
          <t>SG&amp;A &amp; Other</t>
        </is>
      </c>
      <c r="B6" s="23" t="n">
        <v>16.051</v>
      </c>
      <c r="C6" s="23" t="n">
        <v>22.604</v>
      </c>
      <c r="D6" s="23" t="n">
        <v>23.186</v>
      </c>
      <c r="E6" s="23" t="n">
        <v>11.461</v>
      </c>
      <c r="F6" s="23" t="n">
        <v>23.505</v>
      </c>
      <c r="G6" s="23" t="n">
        <v>32.03</v>
      </c>
      <c r="H6" s="23" t="n">
        <v>37.641</v>
      </c>
      <c r="I6" s="23" t="n">
        <v>44.86</v>
      </c>
      <c r="J6" s="23" t="n">
        <v>50.797</v>
      </c>
      <c r="K6" s="23" t="n">
        <v>83.785</v>
      </c>
      <c r="L6" s="23" t="n">
        <v>66.364</v>
      </c>
      <c r="M6" s="23" t="n">
        <v>59.088</v>
      </c>
    </row>
    <row r="7">
      <c r="A7" s="2" t="inlineStr">
        <is>
          <t>Operating Expense</t>
        </is>
      </c>
      <c r="B7" s="23">
        <f>SUM(B5:B6)</f>
        <v>59.82299999999999</v>
      </c>
      <c r="C7" s="23">
        <f>SUM(C5:C6)</f>
        <v>81.729</v>
      </c>
      <c r="D7" s="23">
        <f>SUM(D5:D6)</f>
        <v>95.696</v>
      </c>
      <c r="E7" s="23">
        <f>SUM(E5:E6)</f>
        <v>83.633</v>
      </c>
      <c r="F7" s="23">
        <f>SUM(F5:F6)</f>
        <v>98.314</v>
      </c>
      <c r="G7" s="23">
        <f>SUM(G5:G6)</f>
        <v>126.767</v>
      </c>
      <c r="H7" s="23">
        <f>SUM(H5:H6)</f>
        <v>160.041</v>
      </c>
      <c r="I7" s="23">
        <f>SUM(I5:I6)</f>
        <v>188.40800000000002</v>
      </c>
      <c r="J7" s="23">
        <f>SUM(J5:J6)</f>
        <v>248.388</v>
      </c>
      <c r="K7" s="23">
        <f>SUM(K5:K6)</f>
        <v>298.649</v>
      </c>
      <c r="L7" s="23">
        <f>SUM(L5:L6)</f>
        <v>210.14600000000002</v>
      </c>
      <c r="M7" s="23">
        <f>SUM(M5:M6)</f>
        <v>199.761</v>
      </c>
    </row>
    <row r="8">
      <c r="A8" s="2" t="inlineStr">
        <is>
          <t>Operating Income</t>
        </is>
      </c>
      <c r="B8" s="23">
        <f>B4-B7</f>
        <v>-53.681999999999995</v>
      </c>
      <c r="C8" s="23">
        <f>C4-C7</f>
        <v>-71.151</v>
      </c>
      <c r="D8" s="23">
        <f>D4-D7</f>
        <v>-71.946</v>
      </c>
      <c r="E8" s="23">
        <f>E4-E7</f>
        <v>-71.34299999999999</v>
      </c>
      <c r="F8" s="23">
        <f>F4-F7</f>
        <v>-88.232</v>
      </c>
      <c r="G8" s="23">
        <f>G4-G7</f>
        <v>-121.14</v>
      </c>
      <c r="H8" s="23">
        <f>H4-H7</f>
        <v>-125.42599999999999</v>
      </c>
      <c r="I8" s="23">
        <f>I4-I7</f>
        <v>310.61799999999994</v>
      </c>
      <c r="J8" s="23">
        <f>J4-J7</f>
        <v>-143.159</v>
      </c>
      <c r="K8" s="23">
        <f>K4-K7</f>
        <v>-282.871</v>
      </c>
      <c r="L8" s="23">
        <f>L4-L7</f>
        <v>-184.294</v>
      </c>
      <c r="M8" s="23">
        <f>M4-M7</f>
        <v>-185.349</v>
      </c>
    </row>
    <row r="9">
      <c r="A9" s="19" t="inlineStr">
        <is>
          <t>Interest &amp; Other</t>
        </is>
      </c>
      <c r="B9" s="23" t="n">
        <v>3.37</v>
      </c>
      <c r="C9" s="23" t="n">
        <v>-12.111</v>
      </c>
      <c r="D9" s="23" t="n">
        <v>-0.283</v>
      </c>
      <c r="E9" s="23" t="n">
        <v>-8.116</v>
      </c>
      <c r="F9" s="23" t="n">
        <v>5.159</v>
      </c>
      <c r="G9" s="23" t="n">
        <v>-3.061</v>
      </c>
      <c r="H9" s="23" t="n">
        <v>-16.017</v>
      </c>
      <c r="I9" s="23" t="n">
        <v>22.199</v>
      </c>
      <c r="J9" s="23" t="n">
        <v>14.889</v>
      </c>
      <c r="K9" s="23" t="n">
        <v>-23.708</v>
      </c>
      <c r="L9" s="23" t="n">
        <v>-52.877</v>
      </c>
      <c r="M9" s="23" t="n">
        <v>-8.02</v>
      </c>
    </row>
    <row r="10">
      <c r="A10" s="2" t="inlineStr">
        <is>
          <t>Pretax</t>
        </is>
      </c>
      <c r="B10" s="23">
        <f>B8+B9</f>
        <v>-50.312</v>
      </c>
      <c r="C10" s="23">
        <f>C8+C9</f>
        <v>-83.262</v>
      </c>
      <c r="D10" s="23">
        <f>D8+D9</f>
        <v>-72.229</v>
      </c>
      <c r="E10" s="23">
        <f>E8+E9</f>
        <v>-79.45899999999999</v>
      </c>
      <c r="F10" s="23">
        <f>F8+F9</f>
        <v>-83.073</v>
      </c>
      <c r="G10" s="23">
        <f>G8+G9</f>
        <v>-124.201</v>
      </c>
      <c r="H10" s="23">
        <f>H8+H9</f>
        <v>-141.44299999999998</v>
      </c>
      <c r="I10" s="23">
        <f>I8+I9</f>
        <v>332.81699999999995</v>
      </c>
      <c r="J10" s="23">
        <f>J8+J9</f>
        <v>-128.26999999999998</v>
      </c>
      <c r="K10" s="23">
        <f>K8+K9</f>
        <v>-306.57899999999995</v>
      </c>
      <c r="L10" s="23">
        <f>L8+L9</f>
        <v>-237.17100000000002</v>
      </c>
      <c r="M10" s="23">
        <f>M8+M9</f>
        <v>-193.369</v>
      </c>
    </row>
    <row r="11">
      <c r="A11" s="2" t="inlineStr">
        <is>
          <t>Taxes</t>
        </is>
      </c>
      <c r="B11" s="23" t="n">
        <v>-0.535</v>
      </c>
      <c r="C11" s="23" t="n">
        <v>-1.179</v>
      </c>
      <c r="D11" s="23" t="n">
        <v>1.145</v>
      </c>
      <c r="E11" s="23" t="n">
        <v>-0.199</v>
      </c>
      <c r="F11" s="23" t="n">
        <v>0.231</v>
      </c>
      <c r="G11" s="23" t="n">
        <v>0</v>
      </c>
      <c r="H11" s="23" t="n">
        <v>-16.419</v>
      </c>
      <c r="I11" s="23" t="n">
        <v>3.217</v>
      </c>
      <c r="J11" s="23" t="n">
        <v>-1.47</v>
      </c>
      <c r="K11" s="23" t="n">
        <v>1.921</v>
      </c>
      <c r="L11" s="23" t="n">
        <v>2.429</v>
      </c>
      <c r="M11" s="23" t="n">
        <v>5.631</v>
      </c>
    </row>
    <row r="12">
      <c r="A12" s="2" t="inlineStr">
        <is>
          <t>Net Income</t>
        </is>
      </c>
      <c r="B12" s="23" t="n">
        <v>-49.777</v>
      </c>
      <c r="C12" s="23" t="n">
        <v>-82.083</v>
      </c>
      <c r="D12" s="23" t="n">
        <v>-73.374</v>
      </c>
      <c r="E12" s="23" t="n">
        <v>-79.26000000000001</v>
      </c>
      <c r="F12" s="23" t="n">
        <v>-83.304</v>
      </c>
      <c r="G12" s="23" t="n">
        <v>-124.201</v>
      </c>
      <c r="H12" s="23" t="n">
        <v>-125.024</v>
      </c>
      <c r="I12" s="23" t="n">
        <v>329.6</v>
      </c>
      <c r="J12" s="23" t="n">
        <v>-126.8</v>
      </c>
      <c r="K12" s="23" t="n">
        <v>-308.5</v>
      </c>
      <c r="L12" s="23" t="n">
        <v>-239.6</v>
      </c>
      <c r="M12" s="23" t="n">
        <v>-199</v>
      </c>
    </row>
    <row r="13">
      <c r="A13" s="2" t="inlineStr">
        <is>
          <t>Earnings per Share</t>
        </is>
      </c>
      <c r="B13" s="11">
        <f>IFERROR(B12/B14,0)</f>
        <v>-2.907365223993926</v>
      </c>
      <c r="C13" s="11">
        <f>IFERROR(C12/C14,0)</f>
        <v>-3.7171904718775473</v>
      </c>
      <c r="D13" s="11">
        <f>IFERROR(D12/D14,0)</f>
        <v>-2.9307397347819135</v>
      </c>
      <c r="E13" s="11">
        <f>IFERROR(E12/E14,0)</f>
        <v>-2.937296175511414</v>
      </c>
      <c r="F13" s="11">
        <f>IFERROR(F12/F14,0)</f>
        <v>-2.3373737373737375</v>
      </c>
      <c r="G13" s="11">
        <f>IFERROR(G12/G14,0)</f>
        <v>-3.1051026275656888</v>
      </c>
      <c r="H13" s="11">
        <f>IFERROR(H12/H14,0)</f>
        <v>-2.8116763369765665</v>
      </c>
      <c r="I13" s="11">
        <f>IFERROR(I12/I14,0)</f>
        <v>7.036570525821396</v>
      </c>
      <c r="J13" s="11">
        <f>IFERROR(J12/J14,0)</f>
        <v>-2.713170001069862</v>
      </c>
      <c r="K13" s="11">
        <f>IFERROR(K12/K14,0)</f>
        <v>-6.471439659331669</v>
      </c>
      <c r="L13" s="11">
        <f>IFERROR(L12/L14,0)</f>
        <v>-4.925075541121092</v>
      </c>
      <c r="M13" s="11">
        <f>IFERROR(M12/M14,0)</f>
        <v>-3.460749191332475</v>
      </c>
    </row>
    <row r="14">
      <c r="A14" s="2" t="inlineStr">
        <is>
          <t>Shares</t>
        </is>
      </c>
      <c r="B14" s="23" t="n">
        <v>17.121</v>
      </c>
      <c r="C14" s="23" t="n">
        <v>22.082</v>
      </c>
      <c r="D14" s="23" t="n">
        <v>25.036</v>
      </c>
      <c r="E14" s="23" t="n">
        <v>26.984</v>
      </c>
      <c r="F14" s="23" t="n">
        <v>35.64</v>
      </c>
      <c r="G14" s="23" t="n">
        <v>39.999</v>
      </c>
      <c r="H14" s="23" t="n">
        <v>44.466</v>
      </c>
      <c r="I14" s="23" t="n">
        <v>46.841</v>
      </c>
      <c r="J14" s="23" t="n">
        <v>46.735</v>
      </c>
      <c r="K14" s="23" t="n">
        <v>47.671</v>
      </c>
      <c r="L14" s="23" t="n">
        <v>48.649</v>
      </c>
      <c r="M14" s="23" t="n">
        <v>57.502</v>
      </c>
    </row>
    <row r="15"/>
    <row r="16" customFormat="1" s="4">
      <c r="A16" s="3" t="inlineStr">
        <is>
          <t>Revenue Change</t>
        </is>
      </c>
      <c r="C16" s="15">
        <f>IFERROR(C2/B2-1,"")</f>
        <v>0.7225207620908647</v>
      </c>
      <c r="D16" s="15">
        <f>IFERROR(D2/C2-1,"")</f>
        <v>1.3726602382302895</v>
      </c>
      <c r="E16" s="15">
        <f>IFERROR(E2/D2-1,"")</f>
        <v>-0.4777671527611762</v>
      </c>
      <c r="F16" s="15">
        <f>IFERROR(F2/E2-1,"")</f>
        <v>-0.13908598458838783</v>
      </c>
      <c r="G16" s="15">
        <f>IFERROR(G2/F2-1,"")</f>
        <v>-0.3547500886210564</v>
      </c>
      <c r="H16" s="15">
        <f>IFERROR(H2/G2-1,"")</f>
        <v>4.152314242549101</v>
      </c>
      <c r="I16" s="15">
        <f>IFERROR(I2/H2-1,"")</f>
        <v>12.968171882497199</v>
      </c>
      <c r="J16" s="15">
        <f>IFERROR(J2/I2-1,"")</f>
        <v>-0.7967889435536506</v>
      </c>
      <c r="K16" s="15">
        <f>IFERROR(K2/J2-1,"")</f>
        <v>-0.8512156870110722</v>
      </c>
      <c r="L16" s="15">
        <f>IFERROR(L2/K2-1,"")</f>
        <v>0.7117338887836899</v>
      </c>
      <c r="M16" s="15">
        <f>IFERROR(M2/L2-1,"")</f>
        <v>-0.40639404107821087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0.9462905410789705</v>
      </c>
      <c r="E17" s="15">
        <f>IFERROR(E4/E2,"")</f>
        <v>0.9376668955519951</v>
      </c>
      <c r="F17" s="15">
        <f>IFERROR(F4/F2,"")</f>
        <v>0.8934774902516838</v>
      </c>
      <c r="G17" s="15">
        <f>IFERROR(G4/G2,"")</f>
        <v>0.7728334020052191</v>
      </c>
      <c r="H17" s="15">
        <f>IFERROR(H4/H2,"")</f>
        <v>0.9227221837180786</v>
      </c>
      <c r="I17" s="15">
        <f>IFERROR(I4/I2,"")</f>
        <v>0.9523360597860313</v>
      </c>
      <c r="J17" s="15">
        <f>IFERROR(J4/J2,"")</f>
        <v>0.9882234722913517</v>
      </c>
      <c r="K17" s="15">
        <f>IFERROR(K4/K2,"")</f>
        <v>0.9958972416840245</v>
      </c>
      <c r="L17" s="15">
        <f>IFERROR(L4/L2,"")</f>
        <v>0.9532799882001549</v>
      </c>
      <c r="M17" s="15">
        <f>IFERROR(M4/M2,"")</f>
        <v>0.8952664927320164</v>
      </c>
    </row>
    <row r="18">
      <c r="A18" s="14" t="inlineStr">
        <is>
          <t>Operating Margin</t>
        </is>
      </c>
      <c r="B18" s="15">
        <f>IFERROR(B8/B2,"")</f>
        <v>-8.741573033707864</v>
      </c>
      <c r="C18" s="15">
        <f>IFERROR(C8/C2,"")</f>
        <v>-6.726318774815655</v>
      </c>
      <c r="D18" s="15">
        <f>IFERROR(D8/D2,"")</f>
        <v>-2.8666029165670572</v>
      </c>
      <c r="E18" s="15">
        <f>IFERROR(E8/E2,"")</f>
        <v>-5.443121995880063</v>
      </c>
      <c r="F18" s="15">
        <f>IFERROR(F8/F2,"")</f>
        <v>-7.819213045019496</v>
      </c>
      <c r="G18" s="15">
        <f>IFERROR(G8/G2,"")</f>
        <v>-16.637824474660075</v>
      </c>
      <c r="H18" s="15">
        <f>IFERROR(H8/H2,"")</f>
        <v>-3.343445113824172</v>
      </c>
      <c r="I18" s="15">
        <f>IFERROR(I8/I2,"")</f>
        <v>0.5927801802283197</v>
      </c>
      <c r="J18" s="15">
        <f>IFERROR(J8/J2,"")</f>
        <v>-1.344430566381488</v>
      </c>
      <c r="K18" s="15">
        <f>IFERROR(K8/K2,"")</f>
        <v>-17.85463611689705</v>
      </c>
      <c r="L18" s="15">
        <f>IFERROR(L8/L2,"")</f>
        <v>-6.795752055754269</v>
      </c>
      <c r="M18" s="15">
        <f>IFERROR(M8/M2,"")</f>
        <v>-11.513790532985464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uniQure N.V.: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1-PRODUCT(Pipeline!AG4:AG7)</f>
        <v>0.5438100452963999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191.738</v>
      </c>
    </row>
    <row r="19">
      <c r="A19" s="14" t="inlineStr">
        <is>
          <t>Years of full burn (until the first launch, max 4)</t>
        </is>
      </c>
      <c r="B19" s="39">
        <f>MIN(4,MAX(1,MIN(Pipeline!I4:I7)-2026))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1490.9</v>
      </c>
    </row>
    <row r="22">
      <c r="A22" s="14" t="inlineStr">
        <is>
          <t>First year, fraction after the balance sheet date</t>
        </is>
      </c>
      <c r="B22" s="28" t="n">
        <v>0.7534</v>
      </c>
    </row>
    <row r="23">
      <c r="A23" s="14" t="inlineStr">
        <is>
          <t>Balance sheet date</t>
        </is>
      </c>
      <c r="B23" s="41" t="n">
        <v>46112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-172.32708612119777</v>
      </c>
      <c r="C29" s="42">
        <f>NPV!B25</f>
        <v>364.5759138788022</v>
      </c>
      <c r="D29" s="43">
        <f>NPV!B27</f>
        <v>5.780727008200854</v>
      </c>
      <c r="E29" s="44">
        <f>NPV!B29</f>
        <v>-0.7455105873563348</v>
      </c>
    </row>
    <row r="30">
      <c r="A30" s="45" t="n">
        <v>1</v>
      </c>
      <c r="B30" s="46">
        <f t="dataTable" ref="B30:E32" r1="B4"/>
        <v>-458.49769570742114</v>
      </c>
      <c r="C30" s="46">
        <v>78.40530429257888</v>
      </c>
      <c r="D30" s="47">
        <v>1.2431969388438255</v>
      </c>
      <c r="E30" s="48">
        <v>-0.9452697803722727</v>
      </c>
    </row>
    <row r="31">
      <c r="A31" s="45" t="n">
        <v>2</v>
      </c>
      <c r="B31" s="46">
        <v>-172.32708612119777</v>
      </c>
      <c r="C31" s="46">
        <v>364.5759138788022</v>
      </c>
      <c r="D31" s="47">
        <v>5.780727008200854</v>
      </c>
      <c r="E31" s="48">
        <v>-0.7455105873563348</v>
      </c>
    </row>
    <row r="32">
      <c r="A32" s="45" t="n">
        <v>3</v>
      </c>
      <c r="B32" s="46">
        <v>288.6247281216785</v>
      </c>
      <c r="C32" s="46">
        <v>825.5277281216786</v>
      </c>
      <c r="D32" s="47">
        <v>13.089593284426652</v>
      </c>
      <c r="E32" s="48">
        <v>-0.42374671871333247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5.780727008200854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0.3129779595091665</v>
      </c>
      <c r="C37" s="47">
        <v>1.6554841608324073</v>
      </c>
      <c r="D37" s="47">
        <v>2.997990362155652</v>
      </c>
      <c r="E37" s="47">
        <v>5.683002764802137</v>
      </c>
      <c r="F37" s="47">
        <v>8.200663092673128</v>
      </c>
    </row>
    <row r="38">
      <c r="A38" s="50" t="n">
        <v>0.8</v>
      </c>
      <c r="B38" s="47">
        <v>0.7852666729205274</v>
      </c>
      <c r="C38" s="47">
        <v>2.5752749413515192</v>
      </c>
      <c r="D38" s="47">
        <v>4.36528320978251</v>
      </c>
      <c r="E38" s="47">
        <v>7.816515709074807</v>
      </c>
      <c r="F38" s="47">
        <v>10.902256853698075</v>
      </c>
    </row>
    <row r="39">
      <c r="A39" s="50" t="n">
        <v>1</v>
      </c>
      <c r="B39" s="47">
        <v>1.3057063371233764</v>
      </c>
      <c r="C39" s="47">
        <v>3.5432166726621133</v>
      </c>
      <c r="D39" s="47">
        <v>5.780727008200854</v>
      </c>
      <c r="E39" s="47">
        <v>9.806896162393839</v>
      </c>
      <c r="F39" s="47">
        <v>13.580991527643773</v>
      </c>
    </row>
    <row r="40">
      <c r="A40" s="50" t="n">
        <v>1.2</v>
      </c>
      <c r="B40" s="47">
        <v>1.870685744092291</v>
      </c>
      <c r="C40" s="47">
        <v>4.555698146738777</v>
      </c>
      <c r="D40" s="47">
        <v>7.173530075179558</v>
      </c>
      <c r="E40" s="47">
        <v>11.795537715609498</v>
      </c>
      <c r="F40" s="47">
        <v>16.2571786582643</v>
      </c>
    </row>
    <row r="41">
      <c r="A41" s="50" t="n">
        <v>1.4</v>
      </c>
      <c r="B41" s="47">
        <v>2.4767213475997214</v>
      </c>
      <c r="C41" s="47">
        <v>5.609235817353957</v>
      </c>
      <c r="D41" s="47">
        <v>8.480393688389654</v>
      </c>
      <c r="E41" s="47">
        <v>13.787907020296347</v>
      </c>
      <c r="F41" s="47">
        <v>18.94399157520296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9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uniQure N.V.: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Huntington's disease</t>
        </is>
      </c>
      <c r="C4" s="14" t="inlineStr">
        <is>
          <t>intra-striatal rAAV5-miHTT</t>
        </is>
      </c>
      <c r="D4" s="14" t="inlineStr">
        <is>
          <t>Phase 1/2</t>
        </is>
      </c>
      <c r="E4" s="14" t="inlineStr">
        <is>
          <t>Neurology / rare</t>
        </is>
      </c>
      <c r="F4" s="14" t="inlineStr">
        <is>
          <t>Owned</t>
        </is>
      </c>
      <c r="G4" s="40" t="n">
        <v>800</v>
      </c>
      <c r="H4" s="27" t="n">
        <v>0.207</v>
      </c>
      <c r="I4" s="26" t="n">
        <v>2032</v>
      </c>
      <c r="J4" s="39">
        <f>I4+Assumptions!$B$25</f>
        <v>2044.0</v>
      </c>
      <c r="K4" s="53">
        <f>Assumptions!$E$13</f>
        <v>0.4</v>
      </c>
      <c r="L4" s="23">
        <f>K4*SUMPRODUCT(M4:AF4,NPV!$C$15:$V$15)</f>
        <v>161.6246717236473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16.56</v>
      </c>
      <c r="T4" s="23">
        <f>IF(T$3&lt;$I4,0,$G4*Assumptions!$E$11*INDEX(Assumptions!$B$24:$G$24,MIN(6,T$3-$I4+1))*IF(T$3&gt;$J4,(1-Assumptions!$B$26)^(T$3-$J4),1)*IF($H4&gt;=1,1,MIN(0.97,$H4*Assumptions!$E$12)))</f>
        <v>41.4</v>
      </c>
      <c r="U4" s="23">
        <f>IF(U$3&lt;$I4,0,$G4*Assumptions!$E$11*INDEX(Assumptions!$B$24:$G$24,MIN(6,U$3-$I4+1))*IF(U$3&gt;$J4,(1-Assumptions!$B$26)^(U$3-$J4),1)*IF($H4&gt;=1,1,MIN(0.97,$H4*Assumptions!$E$12)))</f>
        <v>74.52</v>
      </c>
      <c r="V4" s="23">
        <f>IF(V$3&lt;$I4,0,$G4*Assumptions!$E$11*INDEX(Assumptions!$B$24:$G$24,MIN(6,V$3-$I4+1))*IF(V$3&gt;$J4,(1-Assumptions!$B$26)^(V$3-$J4),1)*IF($H4&gt;=1,1,MIN(0.97,$H4*Assumptions!$E$12)))</f>
        <v>107.64</v>
      </c>
      <c r="W4" s="23">
        <f>IF(W$3&lt;$I4,0,$G4*Assumptions!$E$11*INDEX(Assumptions!$B$24:$G$24,MIN(6,W$3-$I4+1))*IF(W$3&gt;$J4,(1-Assumptions!$B$26)^(W$3-$J4),1)*IF($H4&gt;=1,1,MIN(0.97,$H4*Assumptions!$E$12)))</f>
        <v>140.76</v>
      </c>
      <c r="X4" s="23">
        <f>IF(X$3&lt;$I4,0,$G4*Assumptions!$E$11*INDEX(Assumptions!$B$24:$G$24,MIN(6,X$3-$I4+1))*IF(X$3&gt;$J4,(1-Assumptions!$B$26)^(X$3-$J4),1)*IF($H4&gt;=1,1,MIN(0.97,$H4*Assumptions!$E$12)))</f>
        <v>165.6</v>
      </c>
      <c r="Y4" s="23">
        <f>IF(Y$3&lt;$I4,0,$G4*Assumptions!$E$11*INDEX(Assumptions!$B$24:$G$24,MIN(6,Y$3-$I4+1))*IF(Y$3&gt;$J4,(1-Assumptions!$B$26)^(Y$3-$J4),1)*IF($H4&gt;=1,1,MIN(0.97,$H4*Assumptions!$E$12)))</f>
        <v>165.6</v>
      </c>
      <c r="Z4" s="23">
        <f>IF(Z$3&lt;$I4,0,$G4*Assumptions!$E$11*INDEX(Assumptions!$B$24:$G$24,MIN(6,Z$3-$I4+1))*IF(Z$3&gt;$J4,(1-Assumptions!$B$26)^(Z$3-$J4),1)*IF($H4&gt;=1,1,MIN(0.97,$H4*Assumptions!$E$12)))</f>
        <v>165.6</v>
      </c>
      <c r="AA4" s="23">
        <f>IF(AA$3&lt;$I4,0,$G4*Assumptions!$E$11*INDEX(Assumptions!$B$24:$G$24,MIN(6,AA$3-$I4+1))*IF(AA$3&gt;$J4,(1-Assumptions!$B$26)^(AA$3-$J4),1)*IF($H4&gt;=1,1,MIN(0.97,$H4*Assumptions!$E$12)))</f>
        <v>165.6</v>
      </c>
      <c r="AB4" s="23">
        <f>IF(AB$3&lt;$I4,0,$G4*Assumptions!$E$11*INDEX(Assumptions!$B$24:$G$24,MIN(6,AB$3-$I4+1))*IF(AB$3&gt;$J4,(1-Assumptions!$B$26)^(AB$3-$J4),1)*IF($H4&gt;=1,1,MIN(0.97,$H4*Assumptions!$E$12)))</f>
        <v>165.6</v>
      </c>
      <c r="AC4" s="23">
        <f>IF(AC$3&lt;$I4,0,$G4*Assumptions!$E$11*INDEX(Assumptions!$B$24:$G$24,MIN(6,AC$3-$I4+1))*IF(AC$3&gt;$J4,(1-Assumptions!$B$26)^(AC$3-$J4),1)*IF($H4&gt;=1,1,MIN(0.97,$H4*Assumptions!$E$12)))</f>
        <v>165.6</v>
      </c>
      <c r="AD4" s="23">
        <f>IF(AD$3&lt;$I4,0,$G4*Assumptions!$E$11*INDEX(Assumptions!$B$24:$G$24,MIN(6,AD$3-$I4+1))*IF(AD$3&gt;$J4,(1-Assumptions!$B$26)^(AD$3-$J4),1)*IF($H4&gt;=1,1,MIN(0.97,$H4*Assumptions!$E$12)))</f>
        <v>165.6</v>
      </c>
      <c r="AE4" s="23">
        <f>IF(AE$3&lt;$I4,0,$G4*Assumptions!$E$11*INDEX(Assumptions!$B$24:$G$24,MIN(6,AE$3-$I4+1))*IF(AE$3&gt;$J4,(1-Assumptions!$B$26)^(AE$3-$J4),1)*IF($H4&gt;=1,1,MIN(0.97,$H4*Assumptions!$E$12)))</f>
        <v>165.6</v>
      </c>
      <c r="AF4" s="23">
        <f>IF(AF$3&lt;$I4,0,$G4*Assumptions!$E$11*INDEX(Assumptions!$B$24:$G$24,MIN(6,AF$3-$I4+1))*IF(AF$3&gt;$J4,(1-Assumptions!$B$26)^(AF$3-$J4),1)*IF($H4&gt;=1,1,MIN(0.97,$H4*Assumptions!$E$12)))</f>
        <v>82.8</v>
      </c>
      <c r="AG4" s="35">
        <f>IF(F4="Owned",1-IF(H4&gt;=1,1,MIN(0.97,H4*Assumptions!$E$12)),1)</f>
        <v>0.793</v>
      </c>
    </row>
    <row r="5">
      <c r="A5" s="39" t="n">
        <v>2</v>
      </c>
      <c r="B5" s="14" t="inlineStr">
        <is>
          <t>ALS</t>
        </is>
      </c>
      <c r="C5" s="14" t="inlineStr">
        <is>
          <t>AMT-162</t>
        </is>
      </c>
      <c r="D5" s="14" t="inlineStr">
        <is>
          <t>Phase 1/2</t>
        </is>
      </c>
      <c r="E5" s="14" t="inlineStr">
        <is>
          <t>Neurology / rare</t>
        </is>
      </c>
      <c r="F5" s="14" t="inlineStr">
        <is>
          <t>Owned</t>
        </is>
      </c>
      <c r="G5" s="40" t="n">
        <v>800</v>
      </c>
      <c r="H5" s="27" t="n">
        <v>0.207</v>
      </c>
      <c r="I5" s="26" t="n">
        <v>2032</v>
      </c>
      <c r="J5" s="39">
        <f>I5+Assumptions!$B$25</f>
        <v>2044.0</v>
      </c>
      <c r="K5" s="53">
        <f>Assumptions!$E$13</f>
        <v>0.4</v>
      </c>
      <c r="L5" s="23">
        <f>K5*SUMPRODUCT(M5:AF5,NPV!$C$15:$V$15)</f>
        <v>161.6246717236473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0</v>
      </c>
      <c r="Q5" s="23">
        <f>IF(Q$3&lt;$I5,0,$G5*Assumptions!$E$11*INDEX(Assumptions!$B$24:$G$24,MIN(6,Q$3-$I5+1))*IF(Q$3&gt;$J5,(1-Assumptions!$B$26)^(Q$3-$J5),1)*IF($H5&gt;=1,1,MIN(0.97,$H5*Assumptions!$E$12)))</f>
        <v>0</v>
      </c>
      <c r="R5" s="23">
        <f>IF(R$3&lt;$I5,0,$G5*Assumptions!$E$11*INDEX(Assumptions!$B$24:$G$24,MIN(6,R$3-$I5+1))*IF(R$3&gt;$J5,(1-Assumptions!$B$26)^(R$3-$J5),1)*IF($H5&gt;=1,1,MIN(0.97,$H5*Assumptions!$E$12)))</f>
        <v>0</v>
      </c>
      <c r="S5" s="23">
        <f>IF(S$3&lt;$I5,0,$G5*Assumptions!$E$11*INDEX(Assumptions!$B$24:$G$24,MIN(6,S$3-$I5+1))*IF(S$3&gt;$J5,(1-Assumptions!$B$26)^(S$3-$J5),1)*IF($H5&gt;=1,1,MIN(0.97,$H5*Assumptions!$E$12)))</f>
        <v>16.56</v>
      </c>
      <c r="T5" s="23">
        <f>IF(T$3&lt;$I5,0,$G5*Assumptions!$E$11*INDEX(Assumptions!$B$24:$G$24,MIN(6,T$3-$I5+1))*IF(T$3&gt;$J5,(1-Assumptions!$B$26)^(T$3-$J5),1)*IF($H5&gt;=1,1,MIN(0.97,$H5*Assumptions!$E$12)))</f>
        <v>41.4</v>
      </c>
      <c r="U5" s="23">
        <f>IF(U$3&lt;$I5,0,$G5*Assumptions!$E$11*INDEX(Assumptions!$B$24:$G$24,MIN(6,U$3-$I5+1))*IF(U$3&gt;$J5,(1-Assumptions!$B$26)^(U$3-$J5),1)*IF($H5&gt;=1,1,MIN(0.97,$H5*Assumptions!$E$12)))</f>
        <v>74.52</v>
      </c>
      <c r="V5" s="23">
        <f>IF(V$3&lt;$I5,0,$G5*Assumptions!$E$11*INDEX(Assumptions!$B$24:$G$24,MIN(6,V$3-$I5+1))*IF(V$3&gt;$J5,(1-Assumptions!$B$26)^(V$3-$J5),1)*IF($H5&gt;=1,1,MIN(0.97,$H5*Assumptions!$E$12)))</f>
        <v>107.64</v>
      </c>
      <c r="W5" s="23">
        <f>IF(W$3&lt;$I5,0,$G5*Assumptions!$E$11*INDEX(Assumptions!$B$24:$G$24,MIN(6,W$3-$I5+1))*IF(W$3&gt;$J5,(1-Assumptions!$B$26)^(W$3-$J5),1)*IF($H5&gt;=1,1,MIN(0.97,$H5*Assumptions!$E$12)))</f>
        <v>140.76</v>
      </c>
      <c r="X5" s="23">
        <f>IF(X$3&lt;$I5,0,$G5*Assumptions!$E$11*INDEX(Assumptions!$B$24:$G$24,MIN(6,X$3-$I5+1))*IF(X$3&gt;$J5,(1-Assumptions!$B$26)^(X$3-$J5),1)*IF($H5&gt;=1,1,MIN(0.97,$H5*Assumptions!$E$12)))</f>
        <v>165.6</v>
      </c>
      <c r="Y5" s="23">
        <f>IF(Y$3&lt;$I5,0,$G5*Assumptions!$E$11*INDEX(Assumptions!$B$24:$G$24,MIN(6,Y$3-$I5+1))*IF(Y$3&gt;$J5,(1-Assumptions!$B$26)^(Y$3-$J5),1)*IF($H5&gt;=1,1,MIN(0.97,$H5*Assumptions!$E$12)))</f>
        <v>165.6</v>
      </c>
      <c r="Z5" s="23">
        <f>IF(Z$3&lt;$I5,0,$G5*Assumptions!$E$11*INDEX(Assumptions!$B$24:$G$24,MIN(6,Z$3-$I5+1))*IF(Z$3&gt;$J5,(1-Assumptions!$B$26)^(Z$3-$J5),1)*IF($H5&gt;=1,1,MIN(0.97,$H5*Assumptions!$E$12)))</f>
        <v>165.6</v>
      </c>
      <c r="AA5" s="23">
        <f>IF(AA$3&lt;$I5,0,$G5*Assumptions!$E$11*INDEX(Assumptions!$B$24:$G$24,MIN(6,AA$3-$I5+1))*IF(AA$3&gt;$J5,(1-Assumptions!$B$26)^(AA$3-$J5),1)*IF($H5&gt;=1,1,MIN(0.97,$H5*Assumptions!$E$12)))</f>
        <v>165.6</v>
      </c>
      <c r="AB5" s="23">
        <f>IF(AB$3&lt;$I5,0,$G5*Assumptions!$E$11*INDEX(Assumptions!$B$24:$G$24,MIN(6,AB$3-$I5+1))*IF(AB$3&gt;$J5,(1-Assumptions!$B$26)^(AB$3-$J5),1)*IF($H5&gt;=1,1,MIN(0.97,$H5*Assumptions!$E$12)))</f>
        <v>165.6</v>
      </c>
      <c r="AC5" s="23">
        <f>IF(AC$3&lt;$I5,0,$G5*Assumptions!$E$11*INDEX(Assumptions!$B$24:$G$24,MIN(6,AC$3-$I5+1))*IF(AC$3&gt;$J5,(1-Assumptions!$B$26)^(AC$3-$J5),1)*IF($H5&gt;=1,1,MIN(0.97,$H5*Assumptions!$E$12)))</f>
        <v>165.6</v>
      </c>
      <c r="AD5" s="23">
        <f>IF(AD$3&lt;$I5,0,$G5*Assumptions!$E$11*INDEX(Assumptions!$B$24:$G$24,MIN(6,AD$3-$I5+1))*IF(AD$3&gt;$J5,(1-Assumptions!$B$26)^(AD$3-$J5),1)*IF($H5&gt;=1,1,MIN(0.97,$H5*Assumptions!$E$12)))</f>
        <v>165.6</v>
      </c>
      <c r="AE5" s="23">
        <f>IF(AE$3&lt;$I5,0,$G5*Assumptions!$E$11*INDEX(Assumptions!$B$24:$G$24,MIN(6,AE$3-$I5+1))*IF(AE$3&gt;$J5,(1-Assumptions!$B$26)^(AE$3-$J5),1)*IF($H5&gt;=1,1,MIN(0.97,$H5*Assumptions!$E$12)))</f>
        <v>165.6</v>
      </c>
      <c r="AF5" s="23">
        <f>IF(AF$3&lt;$I5,0,$G5*Assumptions!$E$11*INDEX(Assumptions!$B$24:$G$24,MIN(6,AF$3-$I5+1))*IF(AF$3&gt;$J5,(1-Assumptions!$B$26)^(AF$3-$J5),1)*IF($H5&gt;=1,1,MIN(0.97,$H5*Assumptions!$E$12)))</f>
        <v>82.8</v>
      </c>
      <c r="AG5" s="35">
        <f>IF(F5="Owned",1-IF(H5&gt;=1,1,MIN(0.97,H5*Assumptions!$E$12)),1)</f>
        <v>0.793</v>
      </c>
    </row>
    <row r="6">
      <c r="A6" s="39" t="n">
        <v>3</v>
      </c>
      <c r="B6" s="14" t="inlineStr">
        <is>
          <t>Rare metabolic / lysosomal</t>
        </is>
      </c>
      <c r="C6" s="14" t="inlineStr">
        <is>
          <t>AMT-191</t>
        </is>
      </c>
      <c r="D6" s="14" t="inlineStr">
        <is>
          <t>Phase 1/2</t>
        </is>
      </c>
      <c r="E6" s="14" t="inlineStr">
        <is>
          <t>Metabolic / rare</t>
        </is>
      </c>
      <c r="F6" s="14" t="inlineStr">
        <is>
          <t>Owned</t>
        </is>
      </c>
      <c r="G6" s="40" t="n">
        <v>700</v>
      </c>
      <c r="H6" s="27" t="n">
        <v>0.207</v>
      </c>
      <c r="I6" s="26" t="n">
        <v>2032</v>
      </c>
      <c r="J6" s="39">
        <f>I6+Assumptions!$B$25</f>
        <v>2044.0</v>
      </c>
      <c r="K6" s="53">
        <f>Assumptions!$E$13</f>
        <v>0.4</v>
      </c>
      <c r="L6" s="23">
        <f>K6*SUMPRODUCT(M6:AF6,NPV!$C$15:$V$15)</f>
        <v>141.42158775819135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0</v>
      </c>
      <c r="S6" s="23">
        <f>IF(S$3&lt;$I6,0,$G6*Assumptions!$E$11*INDEX(Assumptions!$B$24:$G$24,MIN(6,S$3-$I6+1))*IF(S$3&gt;$J6,(1-Assumptions!$B$26)^(S$3-$J6),1)*IF($H6&gt;=1,1,MIN(0.97,$H6*Assumptions!$E$12)))</f>
        <v>14.489999999999998</v>
      </c>
      <c r="T6" s="23">
        <f>IF(T$3&lt;$I6,0,$G6*Assumptions!$E$11*INDEX(Assumptions!$B$24:$G$24,MIN(6,T$3-$I6+1))*IF(T$3&gt;$J6,(1-Assumptions!$B$26)^(T$3-$J6),1)*IF($H6&gt;=1,1,MIN(0.97,$H6*Assumptions!$E$12)))</f>
        <v>36.225</v>
      </c>
      <c r="U6" s="23">
        <f>IF(U$3&lt;$I6,0,$G6*Assumptions!$E$11*INDEX(Assumptions!$B$24:$G$24,MIN(6,U$3-$I6+1))*IF(U$3&gt;$J6,(1-Assumptions!$B$26)^(U$3-$J6),1)*IF($H6&gt;=1,1,MIN(0.97,$H6*Assumptions!$E$12)))</f>
        <v>65.205</v>
      </c>
      <c r="V6" s="23">
        <f>IF(V$3&lt;$I6,0,$G6*Assumptions!$E$11*INDEX(Assumptions!$B$24:$G$24,MIN(6,V$3-$I6+1))*IF(V$3&gt;$J6,(1-Assumptions!$B$26)^(V$3-$J6),1)*IF($H6&gt;=1,1,MIN(0.97,$H6*Assumptions!$E$12)))</f>
        <v>94.185</v>
      </c>
      <c r="W6" s="23">
        <f>IF(W$3&lt;$I6,0,$G6*Assumptions!$E$11*INDEX(Assumptions!$B$24:$G$24,MIN(6,W$3-$I6+1))*IF(W$3&gt;$J6,(1-Assumptions!$B$26)^(W$3-$J6),1)*IF($H6&gt;=1,1,MIN(0.97,$H6*Assumptions!$E$12)))</f>
        <v>123.16499999999999</v>
      </c>
      <c r="X6" s="23">
        <f>IF(X$3&lt;$I6,0,$G6*Assumptions!$E$11*INDEX(Assumptions!$B$24:$G$24,MIN(6,X$3-$I6+1))*IF(X$3&gt;$J6,(1-Assumptions!$B$26)^(X$3-$J6),1)*IF($H6&gt;=1,1,MIN(0.97,$H6*Assumptions!$E$12)))</f>
        <v>144.9</v>
      </c>
      <c r="Y6" s="23">
        <f>IF(Y$3&lt;$I6,0,$G6*Assumptions!$E$11*INDEX(Assumptions!$B$24:$G$24,MIN(6,Y$3-$I6+1))*IF(Y$3&gt;$J6,(1-Assumptions!$B$26)^(Y$3-$J6),1)*IF($H6&gt;=1,1,MIN(0.97,$H6*Assumptions!$E$12)))</f>
        <v>144.9</v>
      </c>
      <c r="Z6" s="23">
        <f>IF(Z$3&lt;$I6,0,$G6*Assumptions!$E$11*INDEX(Assumptions!$B$24:$G$24,MIN(6,Z$3-$I6+1))*IF(Z$3&gt;$J6,(1-Assumptions!$B$26)^(Z$3-$J6),1)*IF($H6&gt;=1,1,MIN(0.97,$H6*Assumptions!$E$12)))</f>
        <v>144.9</v>
      </c>
      <c r="AA6" s="23">
        <f>IF(AA$3&lt;$I6,0,$G6*Assumptions!$E$11*INDEX(Assumptions!$B$24:$G$24,MIN(6,AA$3-$I6+1))*IF(AA$3&gt;$J6,(1-Assumptions!$B$26)^(AA$3-$J6),1)*IF($H6&gt;=1,1,MIN(0.97,$H6*Assumptions!$E$12)))</f>
        <v>144.9</v>
      </c>
      <c r="AB6" s="23">
        <f>IF(AB$3&lt;$I6,0,$G6*Assumptions!$E$11*INDEX(Assumptions!$B$24:$G$24,MIN(6,AB$3-$I6+1))*IF(AB$3&gt;$J6,(1-Assumptions!$B$26)^(AB$3-$J6),1)*IF($H6&gt;=1,1,MIN(0.97,$H6*Assumptions!$E$12)))</f>
        <v>144.9</v>
      </c>
      <c r="AC6" s="23">
        <f>IF(AC$3&lt;$I6,0,$G6*Assumptions!$E$11*INDEX(Assumptions!$B$24:$G$24,MIN(6,AC$3-$I6+1))*IF(AC$3&gt;$J6,(1-Assumptions!$B$26)^(AC$3-$J6),1)*IF($H6&gt;=1,1,MIN(0.97,$H6*Assumptions!$E$12)))</f>
        <v>144.9</v>
      </c>
      <c r="AD6" s="23">
        <f>IF(AD$3&lt;$I6,0,$G6*Assumptions!$E$11*INDEX(Assumptions!$B$24:$G$24,MIN(6,AD$3-$I6+1))*IF(AD$3&gt;$J6,(1-Assumptions!$B$26)^(AD$3-$J6),1)*IF($H6&gt;=1,1,MIN(0.97,$H6*Assumptions!$E$12)))</f>
        <v>144.9</v>
      </c>
      <c r="AE6" s="23">
        <f>IF(AE$3&lt;$I6,0,$G6*Assumptions!$E$11*INDEX(Assumptions!$B$24:$G$24,MIN(6,AE$3-$I6+1))*IF(AE$3&gt;$J6,(1-Assumptions!$B$26)^(AE$3-$J6),1)*IF($H6&gt;=1,1,MIN(0.97,$H6*Assumptions!$E$12)))</f>
        <v>144.9</v>
      </c>
      <c r="AF6" s="23">
        <f>IF(AF$3&lt;$I6,0,$G6*Assumptions!$E$11*INDEX(Assumptions!$B$24:$G$24,MIN(6,AF$3-$I6+1))*IF(AF$3&gt;$J6,(1-Assumptions!$B$26)^(AF$3-$J6),1)*IF($H6&gt;=1,1,MIN(0.97,$H6*Assumptions!$E$12)))</f>
        <v>72.45</v>
      </c>
      <c r="AG6" s="35">
        <f>IF(F6="Owned",1-IF(H6&gt;=1,1,MIN(0.97,H6*Assumptions!$E$12)),1)</f>
        <v>0.793</v>
      </c>
    </row>
    <row r="7">
      <c r="A7" s="39" t="n">
        <v>4</v>
      </c>
      <c r="B7" s="14" t="inlineStr">
        <is>
          <t>Epilepsy</t>
        </is>
      </c>
      <c r="C7" s="14" t="inlineStr">
        <is>
          <t>AAV9-hSyn1-miGRIK2</t>
        </is>
      </c>
      <c r="D7" s="14" t="inlineStr">
        <is>
          <t>Phase 1/2</t>
        </is>
      </c>
      <c r="E7" s="14" t="inlineStr">
        <is>
          <t>Neurology / area</t>
        </is>
      </c>
      <c r="F7" s="14" t="inlineStr">
        <is>
          <t>Owned</t>
        </is>
      </c>
      <c r="G7" s="40" t="n">
        <v>1200</v>
      </c>
      <c r="H7" s="27" t="n">
        <v>0.0852</v>
      </c>
      <c r="I7" s="26" t="n">
        <v>2032</v>
      </c>
      <c r="J7" s="39">
        <f>I7+Assumptions!$B$25</f>
        <v>2044.0</v>
      </c>
      <c r="K7" s="53">
        <f>Assumptions!$E$13</f>
        <v>0.4</v>
      </c>
      <c r="L7" s="23">
        <f>K7*SUMPRODUCT(M7:AF7,NPV!$C$15:$V$15)</f>
        <v>99.78566689025179</v>
      </c>
      <c r="M7" s="23">
        <f>IF(M$3&lt;$I7,0,$G7*Assumptions!$E$11*INDEX(Assumptions!$B$24:$G$24,MIN(6,M$3-$I7+1))*IF(M$3&gt;$J7,(1-Assumptions!$B$26)^(M$3-$J7),1)*IF($H7&gt;=1,1,MIN(0.97,$H7*Assumptions!$E$12)))</f>
        <v>0</v>
      </c>
      <c r="N7" s="23">
        <f>IF(N$3&lt;$I7,0,$G7*Assumptions!$E$11*INDEX(Assumptions!$B$24:$G$24,MIN(6,N$3-$I7+1))*IF(N$3&gt;$J7,(1-Assumptions!$B$26)^(N$3-$J7),1)*IF($H7&gt;=1,1,MIN(0.97,$H7*Assumptions!$E$12)))</f>
        <v>0</v>
      </c>
      <c r="O7" s="23">
        <f>IF(O$3&lt;$I7,0,$G7*Assumptions!$E$11*INDEX(Assumptions!$B$24:$G$24,MIN(6,O$3-$I7+1))*IF(O$3&gt;$J7,(1-Assumptions!$B$26)^(O$3-$J7),1)*IF($H7&gt;=1,1,MIN(0.97,$H7*Assumptions!$E$12)))</f>
        <v>0</v>
      </c>
      <c r="P7" s="23">
        <f>IF(P$3&lt;$I7,0,$G7*Assumptions!$E$11*INDEX(Assumptions!$B$24:$G$24,MIN(6,P$3-$I7+1))*IF(P$3&gt;$J7,(1-Assumptions!$B$26)^(P$3-$J7),1)*IF($H7&gt;=1,1,MIN(0.97,$H7*Assumptions!$E$12)))</f>
        <v>0</v>
      </c>
      <c r="Q7" s="23">
        <f>IF(Q$3&lt;$I7,0,$G7*Assumptions!$E$11*INDEX(Assumptions!$B$24:$G$24,MIN(6,Q$3-$I7+1))*IF(Q$3&gt;$J7,(1-Assumptions!$B$26)^(Q$3-$J7),1)*IF($H7&gt;=1,1,MIN(0.97,$H7*Assumptions!$E$12)))</f>
        <v>0</v>
      </c>
      <c r="R7" s="23">
        <f>IF(R$3&lt;$I7,0,$G7*Assumptions!$E$11*INDEX(Assumptions!$B$24:$G$24,MIN(6,R$3-$I7+1))*IF(R$3&gt;$J7,(1-Assumptions!$B$26)^(R$3-$J7),1)*IF($H7&gt;=1,1,MIN(0.97,$H7*Assumptions!$E$12)))</f>
        <v>0</v>
      </c>
      <c r="S7" s="23">
        <f>IF(S$3&lt;$I7,0,$G7*Assumptions!$E$11*INDEX(Assumptions!$B$24:$G$24,MIN(6,S$3-$I7+1))*IF(S$3&gt;$J7,(1-Assumptions!$B$26)^(S$3-$J7),1)*IF($H7&gt;=1,1,MIN(0.97,$H7*Assumptions!$E$12)))</f>
        <v>10.224</v>
      </c>
      <c r="T7" s="23">
        <f>IF(T$3&lt;$I7,0,$G7*Assumptions!$E$11*INDEX(Assumptions!$B$24:$G$24,MIN(6,T$3-$I7+1))*IF(T$3&gt;$J7,(1-Assumptions!$B$26)^(T$3-$J7),1)*IF($H7&gt;=1,1,MIN(0.97,$H7*Assumptions!$E$12)))</f>
        <v>25.56</v>
      </c>
      <c r="U7" s="23">
        <f>IF(U$3&lt;$I7,0,$G7*Assumptions!$E$11*INDEX(Assumptions!$B$24:$G$24,MIN(6,U$3-$I7+1))*IF(U$3&gt;$J7,(1-Assumptions!$B$26)^(U$3-$J7),1)*IF($H7&gt;=1,1,MIN(0.97,$H7*Assumptions!$E$12)))</f>
        <v>46.007999999999996</v>
      </c>
      <c r="V7" s="23">
        <f>IF(V$3&lt;$I7,0,$G7*Assumptions!$E$11*INDEX(Assumptions!$B$24:$G$24,MIN(6,V$3-$I7+1))*IF(V$3&gt;$J7,(1-Assumptions!$B$26)^(V$3-$J7),1)*IF($H7&gt;=1,1,MIN(0.97,$H7*Assumptions!$E$12)))</f>
        <v>66.456</v>
      </c>
      <c r="W7" s="23">
        <f>IF(W$3&lt;$I7,0,$G7*Assumptions!$E$11*INDEX(Assumptions!$B$24:$G$24,MIN(6,W$3-$I7+1))*IF(W$3&gt;$J7,(1-Assumptions!$B$26)^(W$3-$J7),1)*IF($H7&gt;=1,1,MIN(0.97,$H7*Assumptions!$E$12)))</f>
        <v>86.904</v>
      </c>
      <c r="X7" s="23">
        <f>IF(X$3&lt;$I7,0,$G7*Assumptions!$E$11*INDEX(Assumptions!$B$24:$G$24,MIN(6,X$3-$I7+1))*IF(X$3&gt;$J7,(1-Assumptions!$B$26)^(X$3-$J7),1)*IF($H7&gt;=1,1,MIN(0.97,$H7*Assumptions!$E$12)))</f>
        <v>102.24</v>
      </c>
      <c r="Y7" s="23">
        <f>IF(Y$3&lt;$I7,0,$G7*Assumptions!$E$11*INDEX(Assumptions!$B$24:$G$24,MIN(6,Y$3-$I7+1))*IF(Y$3&gt;$J7,(1-Assumptions!$B$26)^(Y$3-$J7),1)*IF($H7&gt;=1,1,MIN(0.97,$H7*Assumptions!$E$12)))</f>
        <v>102.24</v>
      </c>
      <c r="Z7" s="23">
        <f>IF(Z$3&lt;$I7,0,$G7*Assumptions!$E$11*INDEX(Assumptions!$B$24:$G$24,MIN(6,Z$3-$I7+1))*IF(Z$3&gt;$J7,(1-Assumptions!$B$26)^(Z$3-$J7),1)*IF($H7&gt;=1,1,MIN(0.97,$H7*Assumptions!$E$12)))</f>
        <v>102.24</v>
      </c>
      <c r="AA7" s="23">
        <f>IF(AA$3&lt;$I7,0,$G7*Assumptions!$E$11*INDEX(Assumptions!$B$24:$G$24,MIN(6,AA$3-$I7+1))*IF(AA$3&gt;$J7,(1-Assumptions!$B$26)^(AA$3-$J7),1)*IF($H7&gt;=1,1,MIN(0.97,$H7*Assumptions!$E$12)))</f>
        <v>102.24</v>
      </c>
      <c r="AB7" s="23">
        <f>IF(AB$3&lt;$I7,0,$G7*Assumptions!$E$11*INDEX(Assumptions!$B$24:$G$24,MIN(6,AB$3-$I7+1))*IF(AB$3&gt;$J7,(1-Assumptions!$B$26)^(AB$3-$J7),1)*IF($H7&gt;=1,1,MIN(0.97,$H7*Assumptions!$E$12)))</f>
        <v>102.24</v>
      </c>
      <c r="AC7" s="23">
        <f>IF(AC$3&lt;$I7,0,$G7*Assumptions!$E$11*INDEX(Assumptions!$B$24:$G$24,MIN(6,AC$3-$I7+1))*IF(AC$3&gt;$J7,(1-Assumptions!$B$26)^(AC$3-$J7),1)*IF($H7&gt;=1,1,MIN(0.97,$H7*Assumptions!$E$12)))</f>
        <v>102.24</v>
      </c>
      <c r="AD7" s="23">
        <f>IF(AD$3&lt;$I7,0,$G7*Assumptions!$E$11*INDEX(Assumptions!$B$24:$G$24,MIN(6,AD$3-$I7+1))*IF(AD$3&gt;$J7,(1-Assumptions!$B$26)^(AD$3-$J7),1)*IF($H7&gt;=1,1,MIN(0.97,$H7*Assumptions!$E$12)))</f>
        <v>102.24</v>
      </c>
      <c r="AE7" s="23">
        <f>IF(AE$3&lt;$I7,0,$G7*Assumptions!$E$11*INDEX(Assumptions!$B$24:$G$24,MIN(6,AE$3-$I7+1))*IF(AE$3&gt;$J7,(1-Assumptions!$B$26)^(AE$3-$J7),1)*IF($H7&gt;=1,1,MIN(0.97,$H7*Assumptions!$E$12)))</f>
        <v>102.24</v>
      </c>
      <c r="AF7" s="23">
        <f>IF(AF$3&lt;$I7,0,$G7*Assumptions!$E$11*INDEX(Assumptions!$B$24:$G$24,MIN(6,AF$3-$I7+1))*IF(AF$3&gt;$J7,(1-Assumptions!$B$26)^(AF$3-$J7),1)*IF($H7&gt;=1,1,MIN(0.97,$H7*Assumptions!$E$12)))</f>
        <v>51.12</v>
      </c>
      <c r="AG7" s="35">
        <f>IF(F7="Owned",1-IF(H7&gt;=1,1,MIN(0.97,H7*Assumptions!$E$12)),1)</f>
        <v>0.9148000000000001</v>
      </c>
    </row>
    <row r="8">
      <c r="B8" s="24" t="inlineStr">
        <is>
          <t>Risked revenue</t>
        </is>
      </c>
      <c r="L8" s="54">
        <f>SUM(L4:L7)</f>
        <v>564.4565980957378</v>
      </c>
      <c r="M8" s="54">
        <f>SUM(M4:M7)</f>
        <v>0.0</v>
      </c>
      <c r="N8" s="54">
        <f>SUM(N4:N7)</f>
        <v>0.0</v>
      </c>
      <c r="O8" s="54">
        <f>SUM(O4:O7)</f>
        <v>0.0</v>
      </c>
      <c r="P8" s="54">
        <f>SUM(P4:P7)</f>
        <v>0.0</v>
      </c>
      <c r="Q8" s="54">
        <f>SUM(Q4:Q7)</f>
        <v>0.0</v>
      </c>
      <c r="R8" s="54">
        <f>SUM(R4:R7)</f>
        <v>0.0</v>
      </c>
      <c r="S8" s="54">
        <f>SUM(S4:S7)</f>
        <v>57.834</v>
      </c>
      <c r="T8" s="54">
        <f>SUM(T4:T7)</f>
        <v>144.585</v>
      </c>
      <c r="U8" s="54">
        <f>SUM(U4:U7)</f>
        <v>260.253</v>
      </c>
      <c r="V8" s="54">
        <f>SUM(V4:V7)</f>
        <v>375.92100000000005</v>
      </c>
      <c r="W8" s="54">
        <f>SUM(W4:W7)</f>
        <v>491.58899999999994</v>
      </c>
      <c r="X8" s="54">
        <f>SUM(X4:X7)</f>
        <v>578.34</v>
      </c>
      <c r="Y8" s="54">
        <f>SUM(Y4:Y7)</f>
        <v>578.34</v>
      </c>
      <c r="Z8" s="54">
        <f>SUM(Z4:Z7)</f>
        <v>578.34</v>
      </c>
      <c r="AA8" s="54">
        <f>SUM(AA4:AA7)</f>
        <v>578.34</v>
      </c>
      <c r="AB8" s="54">
        <f>SUM(AB4:AB7)</f>
        <v>578.34</v>
      </c>
      <c r="AC8" s="54">
        <f>SUM(AC4:AC7)</f>
        <v>578.34</v>
      </c>
      <c r="AD8" s="54">
        <f>SUM(AD4:AD7)</f>
        <v>578.34</v>
      </c>
      <c r="AE8" s="54">
        <f>SUM(AE4:AE7)</f>
        <v>578.34</v>
      </c>
      <c r="AF8" s="54">
        <f>SUM(AF4:AF7)</f>
        <v>289.17</v>
      </c>
    </row>
    <row r="9">
      <c r="B9" s="24" t="inlineStr">
        <is>
          <t>Risked contribution (revenue x share)</t>
        </is>
      </c>
      <c r="M9" s="55">
        <f>SUMPRODUCT(M4:M7,$K$4:$K$7)</f>
        <v>0.0</v>
      </c>
      <c r="N9" s="55">
        <f>SUMPRODUCT(N4:N7,$K$4:$K$7)</f>
        <v>0.0</v>
      </c>
      <c r="O9" s="55">
        <f>SUMPRODUCT(O4:O7,$K$4:$K$7)</f>
        <v>0.0</v>
      </c>
      <c r="P9" s="55">
        <f>SUMPRODUCT(P4:P7,$K$4:$K$7)</f>
        <v>0.0</v>
      </c>
      <c r="Q9" s="55">
        <f>SUMPRODUCT(Q4:Q7,$K$4:$K$7)</f>
        <v>0.0</v>
      </c>
      <c r="R9" s="55">
        <f>SUMPRODUCT(R4:R7,$K$4:$K$7)</f>
        <v>0.0</v>
      </c>
      <c r="S9" s="55">
        <f>SUMPRODUCT(S4:S7,$K$4:$K$7)</f>
        <v>23.133599999999998</v>
      </c>
      <c r="T9" s="55">
        <f>SUMPRODUCT(T4:T7,$K$4:$K$7)</f>
        <v>57.834</v>
      </c>
      <c r="U9" s="55">
        <f>SUMPRODUCT(U4:U7,$K$4:$K$7)</f>
        <v>104.1012</v>
      </c>
      <c r="V9" s="55">
        <f>SUMPRODUCT(V4:V7,$K$4:$K$7)</f>
        <v>150.3684</v>
      </c>
      <c r="W9" s="55">
        <f>SUMPRODUCT(W4:W7,$K$4:$K$7)</f>
        <v>196.6356</v>
      </c>
      <c r="X9" s="55">
        <f>SUMPRODUCT(X4:X7,$K$4:$K$7)</f>
        <v>231.336</v>
      </c>
      <c r="Y9" s="55">
        <f>SUMPRODUCT(Y4:Y7,$K$4:$K$7)</f>
        <v>231.336</v>
      </c>
      <c r="Z9" s="55">
        <f>SUMPRODUCT(Z4:Z7,$K$4:$K$7)</f>
        <v>231.336</v>
      </c>
      <c r="AA9" s="55">
        <f>SUMPRODUCT(AA4:AA7,$K$4:$K$7)</f>
        <v>231.336</v>
      </c>
      <c r="AB9" s="55">
        <f>SUMPRODUCT(AB4:AB7,$K$4:$K$7)</f>
        <v>231.336</v>
      </c>
      <c r="AC9" s="55">
        <f>SUMPRODUCT(AC4:AC7,$K$4:$K$7)</f>
        <v>231.336</v>
      </c>
      <c r="AD9" s="55">
        <f>SUMPRODUCT(AD4:AD7,$K$4:$K$7)</f>
        <v>231.336</v>
      </c>
      <c r="AE9" s="55">
        <f>SUMPRODUCT(AE4:AE7,$K$4:$K$7)</f>
        <v>231.336</v>
      </c>
      <c r="AF9" s="55">
        <f>SUMPRODUCT(AF4:AF7,$K$4:$K$7)</f>
        <v>115.668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uniQure N.V.: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Pipeline!M8</f>
        <v>0.0</v>
      </c>
      <c r="D4" s="57">
        <f>Pipeline!N8</f>
        <v>0.0</v>
      </c>
      <c r="E4" s="57">
        <f>Pipeline!O8</f>
        <v>0.0</v>
      </c>
      <c r="F4" s="57">
        <f>Pipeline!P8</f>
        <v>0.0</v>
      </c>
      <c r="G4" s="57">
        <f>Pipeline!Q8</f>
        <v>0.0</v>
      </c>
      <c r="H4" s="57">
        <f>Pipeline!R8</f>
        <v>0.0</v>
      </c>
      <c r="I4" s="57">
        <f>Pipeline!S8</f>
        <v>57.834</v>
      </c>
      <c r="J4" s="57">
        <f>Pipeline!T8</f>
        <v>144.585</v>
      </c>
      <c r="K4" s="57">
        <f>Pipeline!U8</f>
        <v>260.253</v>
      </c>
      <c r="L4" s="57">
        <f>Pipeline!V8</f>
        <v>375.92100000000005</v>
      </c>
      <c r="M4" s="57">
        <f>Pipeline!W8</f>
        <v>491.58899999999994</v>
      </c>
      <c r="N4" s="57">
        <f>Pipeline!X8</f>
        <v>578.34</v>
      </c>
      <c r="O4" s="57">
        <f>Pipeline!Y8</f>
        <v>578.34</v>
      </c>
      <c r="P4" s="57">
        <f>Pipeline!Z8</f>
        <v>578.34</v>
      </c>
      <c r="Q4" s="57">
        <f>Pipeline!AA8</f>
        <v>578.34</v>
      </c>
      <c r="R4" s="57">
        <f>Pipeline!AB8</f>
        <v>578.34</v>
      </c>
      <c r="S4" s="57">
        <f>Pipeline!AC8</f>
        <v>578.34</v>
      </c>
      <c r="T4" s="57">
        <f>Pipeline!AD8</f>
        <v>578.34</v>
      </c>
      <c r="U4" s="57">
        <f>Pipeline!AE8</f>
        <v>578.34</v>
      </c>
      <c r="V4" s="57">
        <f>Pipeline!AF8</f>
        <v>289.17</v>
      </c>
    </row>
    <row r="5">
      <c r="A5" s="14" t="inlineStr">
        <is>
          <t>Risked contribution</t>
        </is>
      </c>
      <c r="C5" s="57">
        <f>Pipeline!M9</f>
        <v>0.0</v>
      </c>
      <c r="D5" s="57">
        <f>Pipeline!N9</f>
        <v>0.0</v>
      </c>
      <c r="E5" s="57">
        <f>Pipeline!O9</f>
        <v>0.0</v>
      </c>
      <c r="F5" s="57">
        <f>Pipeline!P9</f>
        <v>0.0</v>
      </c>
      <c r="G5" s="57">
        <f>Pipeline!Q9</f>
        <v>0.0</v>
      </c>
      <c r="H5" s="57">
        <f>Pipeline!R9</f>
        <v>0.0</v>
      </c>
      <c r="I5" s="57">
        <f>Pipeline!S9</f>
        <v>23.133599999999998</v>
      </c>
      <c r="J5" s="57">
        <f>Pipeline!T9</f>
        <v>57.834</v>
      </c>
      <c r="K5" s="57">
        <f>Pipeline!U9</f>
        <v>104.1012</v>
      </c>
      <c r="L5" s="57">
        <f>Pipeline!V9</f>
        <v>150.3684</v>
      </c>
      <c r="M5" s="57">
        <f>Pipeline!W9</f>
        <v>196.6356</v>
      </c>
      <c r="N5" s="57">
        <f>Pipeline!X9</f>
        <v>231.336</v>
      </c>
      <c r="O5" s="57">
        <f>Pipeline!Y9</f>
        <v>231.336</v>
      </c>
      <c r="P5" s="57">
        <f>Pipeline!Z9</f>
        <v>231.336</v>
      </c>
      <c r="Q5" s="57">
        <f>Pipeline!AA9</f>
        <v>231.336</v>
      </c>
      <c r="R5" s="57">
        <f>Pipeline!AB9</f>
        <v>231.336</v>
      </c>
      <c r="S5" s="57">
        <f>Pipeline!AC9</f>
        <v>231.336</v>
      </c>
      <c r="T5" s="57">
        <f>Pipeline!AD9</f>
        <v>231.336</v>
      </c>
      <c r="U5" s="57">
        <f>Pipeline!AE9</f>
        <v>231.336</v>
      </c>
      <c r="V5" s="57">
        <f>Pipeline!AF9</f>
        <v>115.668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-191.738</v>
      </c>
      <c r="D6" s="23">
        <f>-IF(D3-2026&lt;Assumptions!$B$19,Assumptions!$B$18,Assumptions!$B$18*Assumptions!$B$20*Assumptions!$B$16)</f>
        <v>-191.738</v>
      </c>
      <c r="E6" s="23">
        <f>-IF(E3-2026&lt;Assumptions!$B$19,Assumptions!$B$18,Assumptions!$B$18*Assumptions!$B$20*Assumptions!$B$16)</f>
        <v>-191.738</v>
      </c>
      <c r="F6" s="23">
        <f>-IF(F3-2026&lt;Assumptions!$B$19,Assumptions!$B$18,Assumptions!$B$18*Assumptions!$B$20*Assumptions!$B$16)</f>
        <v>-191.738</v>
      </c>
      <c r="G6" s="23">
        <f>-IF(G3-2026&lt;Assumptions!$B$19,Assumptions!$B$18,Assumptions!$B$18*Assumptions!$B$20*Assumptions!$B$16)</f>
        <v>-31.280715139512335</v>
      </c>
      <c r="H6" s="23">
        <f>-IF(H3-2026&lt;Assumptions!$B$19,Assumptions!$B$18,Assumptions!$B$18*Assumptions!$B$20*Assumptions!$B$16)</f>
        <v>-31.280715139512335</v>
      </c>
      <c r="I6" s="23">
        <f>-IF(I3-2026&lt;Assumptions!$B$19,Assumptions!$B$18,Assumptions!$B$18*Assumptions!$B$20*Assumptions!$B$16)</f>
        <v>-31.280715139512335</v>
      </c>
      <c r="J6" s="23">
        <f>-IF(J3-2026&lt;Assumptions!$B$19,Assumptions!$B$18,Assumptions!$B$18*Assumptions!$B$20*Assumptions!$B$16)</f>
        <v>-31.280715139512335</v>
      </c>
      <c r="K6" s="23">
        <f>-IF(K3-2026&lt;Assumptions!$B$19,Assumptions!$B$18,Assumptions!$B$18*Assumptions!$B$20*Assumptions!$B$16)</f>
        <v>-31.280715139512335</v>
      </c>
      <c r="L6" s="23">
        <f>-IF(L3-2026&lt;Assumptions!$B$19,Assumptions!$B$18,Assumptions!$B$18*Assumptions!$B$20*Assumptions!$B$16)</f>
        <v>-31.280715139512335</v>
      </c>
      <c r="M6" s="23">
        <f>-IF(M3-2026&lt;Assumptions!$B$19,Assumptions!$B$18,Assumptions!$B$18*Assumptions!$B$20*Assumptions!$B$16)</f>
        <v>-31.280715139512335</v>
      </c>
      <c r="N6" s="23">
        <f>-IF(N3-2026&lt;Assumptions!$B$19,Assumptions!$B$18,Assumptions!$B$18*Assumptions!$B$20*Assumptions!$B$16)</f>
        <v>-31.280715139512335</v>
      </c>
      <c r="O6" s="23">
        <f>-IF(O3-2026&lt;Assumptions!$B$19,Assumptions!$B$18,Assumptions!$B$18*Assumptions!$B$20*Assumptions!$B$16)</f>
        <v>-31.280715139512335</v>
      </c>
      <c r="P6" s="23">
        <f>-IF(P3-2026&lt;Assumptions!$B$19,Assumptions!$B$18,Assumptions!$B$18*Assumptions!$B$20*Assumptions!$B$16)</f>
        <v>-31.280715139512335</v>
      </c>
      <c r="Q6" s="23">
        <f>-IF(Q3-2026&lt;Assumptions!$B$19,Assumptions!$B$18,Assumptions!$B$18*Assumptions!$B$20*Assumptions!$B$16)</f>
        <v>-31.280715139512335</v>
      </c>
      <c r="R6" s="23">
        <f>-IF(R3-2026&lt;Assumptions!$B$19,Assumptions!$B$18,Assumptions!$B$18*Assumptions!$B$20*Assumptions!$B$16)</f>
        <v>-31.280715139512335</v>
      </c>
      <c r="S6" s="23">
        <f>-IF(S3-2026&lt;Assumptions!$B$19,Assumptions!$B$18,Assumptions!$B$18*Assumptions!$B$20*Assumptions!$B$16)</f>
        <v>-31.280715139512335</v>
      </c>
      <c r="T6" s="23">
        <f>-IF(T3-2026&lt;Assumptions!$B$19,Assumptions!$B$18,Assumptions!$B$18*Assumptions!$B$20*Assumptions!$B$16)</f>
        <v>-31.280715139512335</v>
      </c>
      <c r="U6" s="23">
        <f>-IF(U3-2026&lt;Assumptions!$B$19,Assumptions!$B$18,Assumptions!$B$18*Assumptions!$B$20*Assumptions!$B$16)</f>
        <v>-31.280715139512335</v>
      </c>
      <c r="V6" s="23">
        <f>-IF(V3-2026&lt;Assumptions!$B$19,Assumptions!$B$18,Assumptions!$B$18*Assumptions!$B$20*Assumptions!$B$16)</f>
        <v>-31.280715139512335</v>
      </c>
    </row>
    <row r="7">
      <c r="A7" s="14" t="inlineStr">
        <is>
          <t>Pre-tax cash flow</t>
        </is>
      </c>
      <c r="C7" s="23">
        <f>C5+C6</f>
        <v>-191.738</v>
      </c>
      <c r="D7" s="23">
        <f>D5+D6</f>
        <v>-191.738</v>
      </c>
      <c r="E7" s="23">
        <f>E5+E6</f>
        <v>-191.738</v>
      </c>
      <c r="F7" s="23">
        <f>F5+F6</f>
        <v>-191.738</v>
      </c>
      <c r="G7" s="23">
        <f>G5+G6</f>
        <v>-31.280715139512335</v>
      </c>
      <c r="H7" s="23">
        <f>H5+H6</f>
        <v>-31.280715139512335</v>
      </c>
      <c r="I7" s="23">
        <f>I5+I6</f>
        <v>-8.147115139512337</v>
      </c>
      <c r="J7" s="23">
        <f>J5+J6</f>
        <v>26.55328486048767</v>
      </c>
      <c r="K7" s="23">
        <f>K5+K6</f>
        <v>72.82048486048767</v>
      </c>
      <c r="L7" s="23">
        <f>L5+L6</f>
        <v>119.08768486048767</v>
      </c>
      <c r="M7" s="23">
        <f>M5+M6</f>
        <v>165.3548848604877</v>
      </c>
      <c r="N7" s="23">
        <f>N5+N6</f>
        <v>200.0552848604877</v>
      </c>
      <c r="O7" s="23">
        <f>O5+O6</f>
        <v>200.0552848604877</v>
      </c>
      <c r="P7" s="23">
        <f>P5+P6</f>
        <v>200.0552848604877</v>
      </c>
      <c r="Q7" s="23">
        <f>Q5+Q6</f>
        <v>200.0552848604877</v>
      </c>
      <c r="R7" s="23">
        <f>R5+R6</f>
        <v>200.0552848604877</v>
      </c>
      <c r="S7" s="23">
        <f>S5+S6</f>
        <v>200.0552848604877</v>
      </c>
      <c r="T7" s="23">
        <f>T5+T6</f>
        <v>200.0552848604877</v>
      </c>
      <c r="U7" s="23">
        <f>U5+U6</f>
        <v>200.0552848604877</v>
      </c>
      <c r="V7" s="23">
        <f>V5+V6</f>
        <v>84.38728486048767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26.55328486048767</v>
      </c>
      <c r="K8" s="23">
        <f>MIN(J17,MAX(0,K7))</f>
        <v>72.82048486048767</v>
      </c>
      <c r="L8" s="23">
        <f>MIN(K17,MAX(0,L7))</f>
        <v>119.08768486048767</v>
      </c>
      <c r="M8" s="23">
        <f>MIN(L17,MAX(0,M7))</f>
        <v>165.3548848604877</v>
      </c>
      <c r="N8" s="23">
        <f>MIN(M17,MAX(0,N7))</f>
        <v>200.0552848604877</v>
      </c>
      <c r="O8" s="23">
        <f>MIN(N17,MAX(0,O7))</f>
        <v>200.0552848604877</v>
      </c>
      <c r="P8" s="23">
        <f>MIN(O17,MAX(0,P7))</f>
        <v>200.0552848604877</v>
      </c>
      <c r="Q8" s="23">
        <f>MIN(P17,MAX(0,Q7))</f>
        <v>200.0552848604877</v>
      </c>
      <c r="R8" s="23">
        <f>MIN(Q17,MAX(0,R7))</f>
        <v>200.0552848604877</v>
      </c>
      <c r="S8" s="23">
        <f>MIN(R17,MAX(0,S7))</f>
        <v>200.0552848604877</v>
      </c>
      <c r="T8" s="23">
        <f>MIN(S17,MAX(0,T7))</f>
        <v>200.0552848604877</v>
      </c>
      <c r="U8" s="23">
        <f>MIN(T17,MAX(0,U7))</f>
        <v>200.0552848604877</v>
      </c>
      <c r="V8" s="23">
        <f>MIN(U17,MAX(0,V7))</f>
        <v>84.38728486048767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-191.738</v>
      </c>
      <c r="D11" s="55">
        <f>D7-D10</f>
        <v>-191.738</v>
      </c>
      <c r="E11" s="55">
        <f>E7-E10</f>
        <v>-191.738</v>
      </c>
      <c r="F11" s="55">
        <f>F7-F10</f>
        <v>-191.738</v>
      </c>
      <c r="G11" s="55">
        <f>G7-G10</f>
        <v>-31.280715139512335</v>
      </c>
      <c r="H11" s="55">
        <f>H7-H10</f>
        <v>-31.280715139512335</v>
      </c>
      <c r="I11" s="55">
        <f>I7-I10</f>
        <v>-8.147115139512337</v>
      </c>
      <c r="J11" s="55">
        <f>J7-J10</f>
        <v>26.55328486048767</v>
      </c>
      <c r="K11" s="55">
        <f>K7-K10</f>
        <v>72.82048486048767</v>
      </c>
      <c r="L11" s="55">
        <f>L7-L10</f>
        <v>119.08768486048767</v>
      </c>
      <c r="M11" s="55">
        <f>M7-M10</f>
        <v>165.3548848604877</v>
      </c>
      <c r="N11" s="55">
        <f>N7-N10</f>
        <v>200.0552848604877</v>
      </c>
      <c r="O11" s="55">
        <f>O7-O10</f>
        <v>200.0552848604877</v>
      </c>
      <c r="P11" s="55">
        <f>P7-P10</f>
        <v>200.0552848604877</v>
      </c>
      <c r="Q11" s="55">
        <f>Q7-Q10</f>
        <v>200.0552848604877</v>
      </c>
      <c r="R11" s="55">
        <f>R7-R10</f>
        <v>200.0552848604877</v>
      </c>
      <c r="S11" s="55">
        <f>S7-S10</f>
        <v>200.0552848604877</v>
      </c>
      <c r="T11" s="55">
        <f>T7-T10</f>
        <v>200.0552848604877</v>
      </c>
      <c r="U11" s="55">
        <f>U7-U10</f>
        <v>200.0552848604877</v>
      </c>
      <c r="V11" s="55">
        <f>V7-V10</f>
        <v>84.38728486048767</v>
      </c>
    </row>
    <row r="12">
      <c r="A12" s="14" t="inlineStr">
        <is>
          <t>Year fraction</t>
        </is>
      </c>
      <c r="C12" s="58">
        <f>Assumptions!$B$22</f>
        <v>0.7534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0.3767</v>
      </c>
      <c r="D13" s="11">
        <f>C13+C12/2+D12/2</f>
        <v>1.2534</v>
      </c>
      <c r="E13" s="11">
        <f>D13+D12/2+E12/2</f>
        <v>2.2534</v>
      </c>
      <c r="F13" s="11">
        <f>E13+E12/2+F12/2</f>
        <v>3.2534</v>
      </c>
      <c r="G13" s="11">
        <f>F13+F12/2+G12/2</f>
        <v>4.2534</v>
      </c>
      <c r="H13" s="11">
        <f>G13+G12/2+H12/2</f>
        <v>5.2534</v>
      </c>
      <c r="I13" s="11">
        <f>H13+H12/2+I12/2</f>
        <v>6.2534</v>
      </c>
      <c r="J13" s="11">
        <f>I13+I12/2+J12/2</f>
        <v>7.2534</v>
      </c>
      <c r="K13" s="11">
        <f>J13+J12/2+K12/2</f>
        <v>8.2534</v>
      </c>
      <c r="L13" s="11">
        <f>K13+K12/2+L12/2</f>
        <v>9.2534</v>
      </c>
      <c r="M13" s="11">
        <f>L13+L12/2+M12/2</f>
        <v>10.2534</v>
      </c>
      <c r="N13" s="11">
        <f>M13+M12/2+N12/2</f>
        <v>11.2534</v>
      </c>
      <c r="O13" s="11">
        <f>N13+N12/2+O12/2</f>
        <v>12.2534</v>
      </c>
      <c r="P13" s="11">
        <f>O13+O12/2+P12/2</f>
        <v>13.2534</v>
      </c>
      <c r="Q13" s="11">
        <f>P13+P12/2+Q12/2</f>
        <v>14.2534</v>
      </c>
      <c r="R13" s="11">
        <f>Q13+Q12/2+R12/2</f>
        <v>15.2534</v>
      </c>
      <c r="S13" s="11">
        <f>R13+R12/2+S12/2</f>
        <v>16.2534</v>
      </c>
      <c r="T13" s="11">
        <f>S13+S12/2+T12/2</f>
        <v>17.2534</v>
      </c>
      <c r="U13" s="11">
        <f>T13+T12/2+U12/2</f>
        <v>18.2534</v>
      </c>
      <c r="V13" s="11">
        <f>U13+U12/2+V12/2</f>
        <v>19.2534</v>
      </c>
    </row>
    <row r="14">
      <c r="A14" s="14" t="inlineStr">
        <is>
          <t>Discount factor</t>
        </is>
      </c>
      <c r="C14" s="59">
        <f>1/(1+Assumptions!$E$10)^C13</f>
        <v>0.9582075111464873</v>
      </c>
      <c r="D14" s="59">
        <f>1/(1+Assumptions!$E$10)^D13</f>
        <v>0.8675811957247958</v>
      </c>
      <c r="E14" s="59">
        <f>1/(1+Assumptions!$E$10)^E13</f>
        <v>0.7746260676114247</v>
      </c>
      <c r="F14" s="59">
        <f>1/(1+Assumptions!$E$10)^F13</f>
        <v>0.6916304175102005</v>
      </c>
      <c r="G14" s="59">
        <f>1/(1+Assumptions!$E$10)^G13</f>
        <v>0.6175271584912504</v>
      </c>
      <c r="H14" s="59">
        <f>1/(1+Assumptions!$E$10)^H13</f>
        <v>0.5513635343671878</v>
      </c>
      <c r="I14" s="59">
        <f>1/(1+Assumptions!$E$10)^I13</f>
        <v>0.49228886997070337</v>
      </c>
      <c r="J14" s="59">
        <f>1/(1+Assumptions!$E$10)^J13</f>
        <v>0.4395436339024137</v>
      </c>
      <c r="K14" s="59">
        <f>1/(1+Assumptions!$E$10)^K13</f>
        <v>0.39244967312715506</v>
      </c>
      <c r="L14" s="59">
        <f>1/(1+Assumptions!$E$10)^L13</f>
        <v>0.35040149386353125</v>
      </c>
      <c r="M14" s="59">
        <f>1/(1+Assumptions!$E$10)^M13</f>
        <v>0.3128584766638672</v>
      </c>
      <c r="N14" s="59">
        <f>1/(1+Assumptions!$E$10)^N13</f>
        <v>0.2793379255927385</v>
      </c>
      <c r="O14" s="59">
        <f>1/(1+Assumptions!$E$10)^O13</f>
        <v>0.24940886213637367</v>
      </c>
      <c r="P14" s="59">
        <f>1/(1+Assumptions!$E$10)^P13</f>
        <v>0.2226864840503336</v>
      </c>
      <c r="Q14" s="59">
        <f>1/(1+Assumptions!$E$10)^Q13</f>
        <v>0.19882721790208358</v>
      </c>
      <c r="R14" s="59">
        <f>1/(1+Assumptions!$E$10)^R13</f>
        <v>0.17752430169828887</v>
      </c>
      <c r="S14" s="59">
        <f>1/(1+Assumptions!$E$10)^S13</f>
        <v>0.1585038408020436</v>
      </c>
      <c r="T14" s="59">
        <f>1/(1+Assumptions!$E$10)^T13</f>
        <v>0.14152128643039608</v>
      </c>
      <c r="U14" s="59">
        <f>1/(1+Assumptions!$E$10)^U13</f>
        <v>0.12635829145571076</v>
      </c>
      <c r="V14" s="59">
        <f>1/(1+Assumptions!$E$10)^V13</f>
        <v>0.11281990308545603</v>
      </c>
    </row>
    <row r="15">
      <c r="A15" s="14" t="inlineStr">
        <is>
          <t>PV factor</t>
        </is>
      </c>
      <c r="C15" s="59">
        <f>C12*C14</f>
        <v>0.7219135388977634</v>
      </c>
      <c r="D15" s="59">
        <f>D12*D14</f>
        <v>0.8675811957247958</v>
      </c>
      <c r="E15" s="59">
        <f>E12*E14</f>
        <v>0.7746260676114247</v>
      </c>
      <c r="F15" s="59">
        <f>F12*F14</f>
        <v>0.6916304175102005</v>
      </c>
      <c r="G15" s="59">
        <f>G12*G14</f>
        <v>0.6175271584912504</v>
      </c>
      <c r="H15" s="59">
        <f>H12*H14</f>
        <v>0.5513635343671878</v>
      </c>
      <c r="I15" s="59">
        <f>I12*I14</f>
        <v>0.49228886997070337</v>
      </c>
      <c r="J15" s="59">
        <f>J12*J14</f>
        <v>0.4395436339024137</v>
      </c>
      <c r="K15" s="59">
        <f>K12*K14</f>
        <v>0.39244967312715506</v>
      </c>
      <c r="L15" s="59">
        <f>L12*L14</f>
        <v>0.35040149386353125</v>
      </c>
      <c r="M15" s="59">
        <f>M12*M14</f>
        <v>0.3128584766638672</v>
      </c>
      <c r="N15" s="59">
        <f>N12*N14</f>
        <v>0.2793379255927385</v>
      </c>
      <c r="O15" s="59">
        <f>O12*O14</f>
        <v>0.24940886213637367</v>
      </c>
      <c r="P15" s="59">
        <f>P12*P14</f>
        <v>0.2226864840503336</v>
      </c>
      <c r="Q15" s="59">
        <f>Q12*Q14</f>
        <v>0.19882721790208358</v>
      </c>
      <c r="R15" s="59">
        <f>R12*R14</f>
        <v>0.17752430169828887</v>
      </c>
      <c r="S15" s="59">
        <f>S12*S14</f>
        <v>0.1585038408020436</v>
      </c>
      <c r="T15" s="59">
        <f>T12*T14</f>
        <v>0.14152128643039608</v>
      </c>
      <c r="U15" s="59">
        <f>U12*U14</f>
        <v>0.12635829145571076</v>
      </c>
      <c r="V15" s="59">
        <f>V12*V14</f>
        <v>0.11281990308545603</v>
      </c>
    </row>
    <row r="16">
      <c r="A16" s="24" t="inlineStr">
        <is>
          <t>PV of free cash flow</t>
        </is>
      </c>
      <c r="C16" s="55">
        <f>C11*C15</f>
        <v>-138.41825812117938</v>
      </c>
      <c r="D16" s="55">
        <f>D11*D15</f>
        <v>-166.3482833058809</v>
      </c>
      <c r="E16" s="55">
        <f>E11*E15</f>
        <v>-148.52525295167936</v>
      </c>
      <c r="F16" s="55">
        <f>F11*F15</f>
        <v>-132.6118329925708</v>
      </c>
      <c r="G16" s="55">
        <f>G11*G15</f>
        <v>-19.31669113567729</v>
      </c>
      <c r="H16" s="55">
        <f>H11*H15</f>
        <v>-17.24704565685472</v>
      </c>
      <c r="I16" s="55">
        <f>I11*I15</f>
        <v>-4.010734105551737</v>
      </c>
      <c r="J16" s="55">
        <f>J11*J15</f>
        <v>11.671327319624696</v>
      </c>
      <c r="K16" s="55">
        <f>K11*K15</f>
        <v>28.57837548045933</v>
      </c>
      <c r="L16" s="55">
        <f>L11*L15</f>
        <v>41.72850267586431</v>
      </c>
      <c r="M16" s="55">
        <f>M11*M15</f>
        <v>51.73267738638133</v>
      </c>
      <c r="N16" s="55">
        <f>N11*N15</f>
        <v>55.88302827679302</v>
      </c>
      <c r="O16" s="55">
        <f>O11*O15</f>
        <v>49.89556096142233</v>
      </c>
      <c r="P16" s="55">
        <f>P11*P15</f>
        <v>44.54960800126993</v>
      </c>
      <c r="Q16" s="55">
        <f>Q11*Q15</f>
        <v>39.77643571541959</v>
      </c>
      <c r="R16" s="55">
        <f>R11*R15</f>
        <v>35.51467474591034</v>
      </c>
      <c r="S16" s="55">
        <f>S11*S15</f>
        <v>31.709531023134225</v>
      </c>
      <c r="T16" s="55">
        <f>T11*T15</f>
        <v>28.312081270655558</v>
      </c>
      <c r="U16" s="55">
        <f>U11*U15</f>
        <v>25.278643991656743</v>
      </c>
      <c r="V16" s="55">
        <f>V11*V15</f>
        <v>9.52056529960499</v>
      </c>
    </row>
    <row r="17">
      <c r="A17" s="14" t="inlineStr">
        <is>
          <t>Tax-loss carryforward, end of year</t>
        </is>
      </c>
      <c r="C17" s="23">
        <f>Assumptions!$B$21-C8+MAX(0,-C7)</f>
        <v>1682.6380000000001</v>
      </c>
      <c r="D17" s="23">
        <f>C17-D8+MAX(0,-D7)</f>
        <v>1874.3760000000002</v>
      </c>
      <c r="E17" s="23">
        <f>D17-E8+MAX(0,-E7)</f>
        <v>2066.114</v>
      </c>
      <c r="F17" s="23">
        <f>E17-F8+MAX(0,-F7)</f>
        <v>2257.852</v>
      </c>
      <c r="G17" s="23">
        <f>F17-G8+MAX(0,-G7)</f>
        <v>2289.132715139512</v>
      </c>
      <c r="H17" s="23">
        <f>G17-H8+MAX(0,-H7)</f>
        <v>2320.4134302790244</v>
      </c>
      <c r="I17" s="23">
        <f>H17-I8+MAX(0,-I7)</f>
        <v>2328.5605454185365</v>
      </c>
      <c r="J17" s="23">
        <f>I17-J8+MAX(0,-J7)</f>
        <v>2302.007260558049</v>
      </c>
      <c r="K17" s="23">
        <f>J17-K8+MAX(0,-K7)</f>
        <v>2229.186775697561</v>
      </c>
      <c r="L17" s="23">
        <f>K17-L8+MAX(0,-L7)</f>
        <v>2110.0990908370736</v>
      </c>
      <c r="M17" s="23">
        <f>L17-M8+MAX(0,-M7)</f>
        <v>1944.7442059765858</v>
      </c>
      <c r="N17" s="23">
        <f>M17-N8+MAX(0,-N7)</f>
        <v>1744.688921116098</v>
      </c>
      <c r="O17" s="23">
        <f>N17-O8+MAX(0,-O7)</f>
        <v>1544.6336362556103</v>
      </c>
      <c r="P17" s="23">
        <f>O17-P8+MAX(0,-P7)</f>
        <v>1344.5783513951226</v>
      </c>
      <c r="Q17" s="23">
        <f>P17-Q8+MAX(0,-Q7)</f>
        <v>1144.5230665346348</v>
      </c>
      <c r="R17" s="23">
        <f>Q17-R8+MAX(0,-R7)</f>
        <v>944.4677816741471</v>
      </c>
      <c r="S17" s="23">
        <f>R17-S8+MAX(0,-S7)</f>
        <v>744.4124968136593</v>
      </c>
      <c r="T17" s="23">
        <f>S17-T8+MAX(0,-T7)</f>
        <v>544.3572119531716</v>
      </c>
      <c r="U17" s="23">
        <f>T17-U8+MAX(0,-U7)</f>
        <v>344.3019270926839</v>
      </c>
      <c r="V17" s="23">
        <f>U17-V8+MAX(0,-V7)</f>
        <v>259.91464223219623</v>
      </c>
    </row>
    <row r="19">
      <c r="A19" s="14" t="inlineStr">
        <is>
          <t>PV of risked pipeline contribution</t>
        </is>
      </c>
      <c r="B19" s="23">
        <f>SUMPRODUCT(C5:V5,C15:V15)</f>
        <v>564.4565980957378</v>
      </c>
    </row>
    <row r="20">
      <c r="A20" s="14" t="inlineStr">
        <is>
          <t>PV of corporate burn</t>
        </is>
      </c>
      <c r="B20" s="23">
        <f>SUMPRODUCT(C6:V6,C15:V15)</f>
        <v>-736.7836842169354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-172.32708612119777</v>
      </c>
    </row>
    <row r="23">
      <c r="A23" s="14" t="inlineStr">
        <is>
          <t>Cash &amp; investments</t>
        </is>
      </c>
      <c r="B23" s="57">
        <f>Main!C7</f>
        <v>586.845</v>
      </c>
    </row>
    <row r="24">
      <c r="A24" s="14" t="inlineStr">
        <is>
          <t>Debt</t>
        </is>
      </c>
      <c r="B24" s="57">
        <f>Main!C8</f>
        <v>49.942</v>
      </c>
    </row>
    <row r="25">
      <c r="A25" s="24" t="inlineStr">
        <is>
          <t>Equity value</t>
        </is>
      </c>
      <c r="B25" s="54">
        <f>B22+B23-B24</f>
        <v>364.5759138788022</v>
      </c>
    </row>
    <row r="26">
      <c r="A26" s="14" t="inlineStr">
        <is>
          <t>Shares (mm)</t>
        </is>
      </c>
      <c r="B26" s="57">
        <f>Main!C4</f>
        <v>63.067485</v>
      </c>
    </row>
    <row r="27">
      <c r="A27" s="24" t="inlineStr">
        <is>
          <t>rNPV / share</t>
        </is>
      </c>
      <c r="B27" s="60">
        <f>B25/B26</f>
        <v>5.780727008200854</v>
      </c>
    </row>
    <row r="28">
      <c r="A28" s="14" t="inlineStr">
        <is>
          <t>Price</t>
        </is>
      </c>
      <c r="B28" s="61">
        <f>Main!C3</f>
        <v>22.715</v>
      </c>
    </row>
    <row r="29">
      <c r="A29" s="14" t="inlineStr">
        <is>
          <t>Upside</t>
        </is>
      </c>
      <c r="B29" s="62">
        <f>B27/B28-1</f>
        <v>-0.7455105873563348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2026-10-21T06:23:21Z</dcterms:modified>
  <cp:lastModifiedBy>Wang, Eric</cp:lastModifiedBy>
</cp:coreProperties>
</file>