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uniQure N.V.</t>
        </is>
      </c>
      <c r="C2" s="10" t="n"/>
    </row>
    <row r="3">
      <c r="B3" t="inlineStr">
        <is>
          <t>Price</t>
        </is>
      </c>
      <c r="C3" s="11">
        <f>INDEX([1]Pharma!$F$1:$F$1000,MATCH("QURE",[1]Pharma!$B$1:$B$1000,0))</f>
        <v>22.715</v>
      </c>
      <c r="F3" s="1" t="n"/>
    </row>
    <row r="4">
      <c r="B4" t="inlineStr">
        <is>
          <t>Shares</t>
        </is>
      </c>
      <c r="C4" s="21" t="n">
        <v>63.067485</v>
      </c>
      <c r="F4" s="1" t="n"/>
    </row>
    <row r="5">
      <c r="B5" t="inlineStr">
        <is>
          <t>Market Cap.</t>
        </is>
      </c>
      <c r="C5" s="13">
        <f>C3*C4</f>
        <v>1432.577921775</v>
      </c>
      <c r="F5" s="1" t="n"/>
    </row>
    <row r="6"/>
    <row r="7">
      <c r="B7" t="inlineStr">
        <is>
          <t>Cash</t>
        </is>
      </c>
      <c r="C7" s="21">
        <f>139.994+446.851</f>
        <v>586.845</v>
      </c>
    </row>
    <row r="8">
      <c r="B8" t="inlineStr">
        <is>
          <t>Debt</t>
        </is>
      </c>
      <c r="C8" s="21" t="n">
        <v>49.942</v>
      </c>
    </row>
    <row r="9">
      <c r="B9" t="inlineStr">
        <is>
          <t>Enterprise V.</t>
        </is>
      </c>
      <c r="C9" s="13">
        <f>C5-C7+C8</f>
        <v>895.674921775</v>
      </c>
    </row>
    <row r="10"/>
    <row r="11">
      <c r="B11" s="14" t="inlineStr">
        <is>
          <t>Net Cash / Share</t>
        </is>
      </c>
      <c r="C11" s="11">
        <f>(C7-C8)/C4</f>
        <v>8.513150635386841</v>
      </c>
    </row>
    <row r="12">
      <c r="B12" s="14" t="inlineStr">
        <is>
          <t>Upside</t>
        </is>
      </c>
      <c r="C12" s="15">
        <f>IFERROR(C11/C3-1,"")</f>
        <v>-0.6252189902977398</v>
      </c>
    </row>
    <row r="13">
      <c r="B13" s="14" t="inlineStr">
        <is>
          <t>Cash / Share</t>
        </is>
      </c>
      <c r="C13" s="11">
        <f>IFERROR((C7-C8)/C4,"")</f>
        <v>8.513150635386841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-172.106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3.119606521562293</v>
      </c>
    </row>
    <row r="19">
      <c r="B19" s="14" t="inlineStr">
        <is>
          <t>Implied Pipeline Value</t>
        </is>
      </c>
      <c r="C19" s="13">
        <f>C9</f>
        <v>895.674921775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6.141</v>
      </c>
      <c r="C2" s="23" t="n">
        <v>10.578</v>
      </c>
      <c r="D2" s="23" t="n">
        <v>25.098</v>
      </c>
      <c r="E2" s="23" t="n">
        <v>13.107</v>
      </c>
      <c r="F2" s="23" t="n">
        <v>11.284</v>
      </c>
      <c r="G2" s="23" t="n">
        <v>7.281</v>
      </c>
      <c r="H2" s="23" t="n">
        <v>37.514</v>
      </c>
      <c r="I2" s="23" t="n">
        <v>524.002</v>
      </c>
      <c r="J2" s="23" t="n">
        <v>106.483</v>
      </c>
      <c r="K2" s="23" t="n">
        <v>15.843</v>
      </c>
      <c r="L2" s="23" t="n">
        <v>27.119</v>
      </c>
      <c r="M2" s="23" t="n">
        <v>16.098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1.348</v>
      </c>
      <c r="E3" s="23" t="n">
        <v>0.8169999999999999</v>
      </c>
      <c r="F3" s="23" t="n">
        <v>1.202</v>
      </c>
      <c r="G3" s="23" t="n">
        <v>1.654</v>
      </c>
      <c r="H3" s="23" t="n">
        <v>2.899</v>
      </c>
      <c r="I3" s="23" t="n">
        <v>24.976</v>
      </c>
      <c r="J3" s="23" t="n">
        <v>1.254</v>
      </c>
      <c r="K3" s="23" t="n">
        <v>0.065</v>
      </c>
      <c r="L3" s="23" t="n">
        <v>1.267</v>
      </c>
      <c r="M3" s="23" t="n">
        <v>1.686</v>
      </c>
    </row>
    <row r="4" customFormat="1" s="1">
      <c r="A4" s="5" t="inlineStr">
        <is>
          <t>Gross Margin</t>
        </is>
      </c>
      <c r="B4" s="23">
        <f>B2-B3</f>
        <v>6.141</v>
      </c>
      <c r="C4" s="23">
        <f>C2-C3</f>
        <v>10.578</v>
      </c>
      <c r="D4" s="23">
        <f>D2-D3</f>
        <v>23.75</v>
      </c>
      <c r="E4" s="23">
        <f>E2-E3</f>
        <v>12.29</v>
      </c>
      <c r="F4" s="23">
        <f>F2-F3</f>
        <v>10.082</v>
      </c>
      <c r="G4" s="23">
        <f>G2-G3</f>
        <v>5.627</v>
      </c>
      <c r="H4" s="23">
        <f>H2-H3</f>
        <v>34.615</v>
      </c>
      <c r="I4" s="23">
        <f>I2-I3</f>
        <v>499.02599999999995</v>
      </c>
      <c r="J4" s="23">
        <f>J2-J3</f>
        <v>105.229</v>
      </c>
      <c r="K4" s="23">
        <f>K2-K3</f>
        <v>15.778</v>
      </c>
      <c r="L4" s="23">
        <f>L2-L3</f>
        <v>25.852</v>
      </c>
      <c r="M4" s="23">
        <f>M2-M3</f>
        <v>14.411999999999999</v>
      </c>
    </row>
    <row r="5">
      <c r="A5" s="2" t="inlineStr">
        <is>
          <t>Research &amp; Dev.</t>
        </is>
      </c>
      <c r="B5" s="23" t="n">
        <v>43.772</v>
      </c>
      <c r="C5" s="23" t="n">
        <v>59.125</v>
      </c>
      <c r="D5" s="23" t="n">
        <v>72.51000000000001</v>
      </c>
      <c r="E5" s="23" t="n">
        <v>72.172</v>
      </c>
      <c r="F5" s="23" t="n">
        <v>74.809</v>
      </c>
      <c r="G5" s="23" t="n">
        <v>94.73699999999999</v>
      </c>
      <c r="H5" s="23" t="n">
        <v>122.4</v>
      </c>
      <c r="I5" s="23" t="n">
        <v>143.548</v>
      </c>
      <c r="J5" s="23" t="n">
        <v>197.591</v>
      </c>
      <c r="K5" s="23" t="n">
        <v>214.864</v>
      </c>
      <c r="L5" s="23" t="n">
        <v>143.782</v>
      </c>
      <c r="M5" s="23" t="n">
        <v>140.673</v>
      </c>
    </row>
    <row r="6">
      <c r="A6" s="19" t="inlineStr">
        <is>
          <t>SG&amp;A &amp; Other</t>
        </is>
      </c>
      <c r="B6" s="23" t="n">
        <v>16.051</v>
      </c>
      <c r="C6" s="23" t="n">
        <v>22.604</v>
      </c>
      <c r="D6" s="23" t="n">
        <v>23.186</v>
      </c>
      <c r="E6" s="23" t="n">
        <v>11.461</v>
      </c>
      <c r="F6" s="23" t="n">
        <v>23.505</v>
      </c>
      <c r="G6" s="23" t="n">
        <v>32.03</v>
      </c>
      <c r="H6" s="23" t="n">
        <v>37.641</v>
      </c>
      <c r="I6" s="23" t="n">
        <v>44.86</v>
      </c>
      <c r="J6" s="23" t="n">
        <v>50.797</v>
      </c>
      <c r="K6" s="23" t="n">
        <v>83.785</v>
      </c>
      <c r="L6" s="23" t="n">
        <v>66.364</v>
      </c>
      <c r="M6" s="23" t="n">
        <v>59.088</v>
      </c>
    </row>
    <row r="7">
      <c r="A7" s="2" t="inlineStr">
        <is>
          <t>Operating Expense</t>
        </is>
      </c>
      <c r="B7" s="23">
        <f>SUM(B5:B6)</f>
        <v>59.82299999999999</v>
      </c>
      <c r="C7" s="23">
        <f>SUM(C5:C6)</f>
        <v>81.729</v>
      </c>
      <c r="D7" s="23">
        <f>SUM(D5:D6)</f>
        <v>95.696</v>
      </c>
      <c r="E7" s="23">
        <f>SUM(E5:E6)</f>
        <v>83.633</v>
      </c>
      <c r="F7" s="23">
        <f>SUM(F5:F6)</f>
        <v>98.314</v>
      </c>
      <c r="G7" s="23">
        <f>SUM(G5:G6)</f>
        <v>126.767</v>
      </c>
      <c r="H7" s="23">
        <f>SUM(H5:H6)</f>
        <v>160.041</v>
      </c>
      <c r="I7" s="23">
        <f>SUM(I5:I6)</f>
        <v>188.40800000000002</v>
      </c>
      <c r="J7" s="23">
        <f>SUM(J5:J6)</f>
        <v>248.388</v>
      </c>
      <c r="K7" s="23">
        <f>SUM(K5:K6)</f>
        <v>298.649</v>
      </c>
      <c r="L7" s="23">
        <f>SUM(L5:L6)</f>
        <v>210.14600000000002</v>
      </c>
      <c r="M7" s="23">
        <f>SUM(M5:M6)</f>
        <v>199.761</v>
      </c>
    </row>
    <row r="8">
      <c r="A8" s="2" t="inlineStr">
        <is>
          <t>Operating Income</t>
        </is>
      </c>
      <c r="B8" s="23">
        <f>B4-B7</f>
        <v>-53.681999999999995</v>
      </c>
      <c r="C8" s="23">
        <f>C4-C7</f>
        <v>-71.151</v>
      </c>
      <c r="D8" s="23">
        <f>D4-D7</f>
        <v>-71.946</v>
      </c>
      <c r="E8" s="23">
        <f>E4-E7</f>
        <v>-71.34299999999999</v>
      </c>
      <c r="F8" s="23">
        <f>F4-F7</f>
        <v>-88.232</v>
      </c>
      <c r="G8" s="23">
        <f>G4-G7</f>
        <v>-121.14</v>
      </c>
      <c r="H8" s="23">
        <f>H4-H7</f>
        <v>-125.42599999999999</v>
      </c>
      <c r="I8" s="23">
        <f>I4-I7</f>
        <v>310.61799999999994</v>
      </c>
      <c r="J8" s="23">
        <f>J4-J7</f>
        <v>-143.159</v>
      </c>
      <c r="K8" s="23">
        <f>K4-K7</f>
        <v>-282.871</v>
      </c>
      <c r="L8" s="23">
        <f>L4-L7</f>
        <v>-184.294</v>
      </c>
      <c r="M8" s="23">
        <f>M4-M7</f>
        <v>-185.349</v>
      </c>
    </row>
    <row r="9">
      <c r="A9" s="19" t="inlineStr">
        <is>
          <t>Interest &amp; Other</t>
        </is>
      </c>
      <c r="B9" s="23" t="n">
        <v>3.37</v>
      </c>
      <c r="C9" s="23" t="n">
        <v>-12.111</v>
      </c>
      <c r="D9" s="23" t="n">
        <v>-0.283</v>
      </c>
      <c r="E9" s="23" t="n">
        <v>-8.116</v>
      </c>
      <c r="F9" s="23" t="n">
        <v>5.159</v>
      </c>
      <c r="G9" s="23" t="n">
        <v>-3.061</v>
      </c>
      <c r="H9" s="23" t="n">
        <v>-16.017</v>
      </c>
      <c r="I9" s="23" t="n">
        <v>22.199</v>
      </c>
      <c r="J9" s="23" t="n">
        <v>14.889</v>
      </c>
      <c r="K9" s="23" t="n">
        <v>-23.708</v>
      </c>
      <c r="L9" s="23" t="n">
        <v>-52.877</v>
      </c>
      <c r="M9" s="23" t="n">
        <v>-8.02</v>
      </c>
    </row>
    <row r="10">
      <c r="A10" s="2" t="inlineStr">
        <is>
          <t>Pretax</t>
        </is>
      </c>
      <c r="B10" s="23">
        <f>B8+B9</f>
        <v>-50.312</v>
      </c>
      <c r="C10" s="23">
        <f>C8+C9</f>
        <v>-83.262</v>
      </c>
      <c r="D10" s="23">
        <f>D8+D9</f>
        <v>-72.229</v>
      </c>
      <c r="E10" s="23">
        <f>E8+E9</f>
        <v>-79.45899999999999</v>
      </c>
      <c r="F10" s="23">
        <f>F8+F9</f>
        <v>-83.073</v>
      </c>
      <c r="G10" s="23">
        <f>G8+G9</f>
        <v>-124.201</v>
      </c>
      <c r="H10" s="23">
        <f>H8+H9</f>
        <v>-141.44299999999998</v>
      </c>
      <c r="I10" s="23">
        <f>I8+I9</f>
        <v>332.81699999999995</v>
      </c>
      <c r="J10" s="23">
        <f>J8+J9</f>
        <v>-128.26999999999998</v>
      </c>
      <c r="K10" s="23">
        <f>K8+K9</f>
        <v>-306.57899999999995</v>
      </c>
      <c r="L10" s="23">
        <f>L8+L9</f>
        <v>-237.17100000000002</v>
      </c>
      <c r="M10" s="23">
        <f>M8+M9</f>
        <v>-193.369</v>
      </c>
    </row>
    <row r="11">
      <c r="A11" s="2" t="inlineStr">
        <is>
          <t>Taxes</t>
        </is>
      </c>
      <c r="B11" s="23" t="n">
        <v>-0.535</v>
      </c>
      <c r="C11" s="23" t="n">
        <v>-1.179</v>
      </c>
      <c r="D11" s="23" t="n">
        <v>1.145</v>
      </c>
      <c r="E11" s="23" t="n">
        <v>-0.199</v>
      </c>
      <c r="F11" s="23" t="n">
        <v>0.231</v>
      </c>
      <c r="G11" s="23" t="n">
        <v>0</v>
      </c>
      <c r="H11" s="23" t="n">
        <v>-16.419</v>
      </c>
      <c r="I11" s="23" t="n">
        <v>3.217</v>
      </c>
      <c r="J11" s="23" t="n">
        <v>-1.47</v>
      </c>
      <c r="K11" s="23" t="n">
        <v>1.921</v>
      </c>
      <c r="L11" s="23" t="n">
        <v>2.429</v>
      </c>
      <c r="M11" s="23" t="n">
        <v>5.631</v>
      </c>
    </row>
    <row r="12">
      <c r="A12" s="2" t="inlineStr">
        <is>
          <t>Net Income</t>
        </is>
      </c>
      <c r="B12" s="23" t="n">
        <v>-49.777</v>
      </c>
      <c r="C12" s="23" t="n">
        <v>-82.083</v>
      </c>
      <c r="D12" s="23" t="n">
        <v>-73.374</v>
      </c>
      <c r="E12" s="23" t="n">
        <v>-79.26000000000001</v>
      </c>
      <c r="F12" s="23" t="n">
        <v>-83.304</v>
      </c>
      <c r="G12" s="23" t="n">
        <v>-124.201</v>
      </c>
      <c r="H12" s="23" t="n">
        <v>-125.024</v>
      </c>
      <c r="I12" s="23" t="n">
        <v>329.6</v>
      </c>
      <c r="J12" s="23" t="n">
        <v>-126.8</v>
      </c>
      <c r="K12" s="23" t="n">
        <v>-308.5</v>
      </c>
      <c r="L12" s="23" t="n">
        <v>-239.6</v>
      </c>
      <c r="M12" s="23" t="n">
        <v>-199</v>
      </c>
    </row>
    <row r="13">
      <c r="A13" s="2" t="inlineStr">
        <is>
          <t>Earnings per Share</t>
        </is>
      </c>
      <c r="B13" s="11">
        <f>IFERROR(B12/B14,0)</f>
        <v>-2.907365223993926</v>
      </c>
      <c r="C13" s="11">
        <f>IFERROR(C12/C14,0)</f>
        <v>-3.7171904718775473</v>
      </c>
      <c r="D13" s="11">
        <f>IFERROR(D12/D14,0)</f>
        <v>-2.9307397347819135</v>
      </c>
      <c r="E13" s="11">
        <f>IFERROR(E12/E14,0)</f>
        <v>-2.937296175511414</v>
      </c>
      <c r="F13" s="11">
        <f>IFERROR(F12/F14,0)</f>
        <v>-2.3373737373737375</v>
      </c>
      <c r="G13" s="11">
        <f>IFERROR(G12/G14,0)</f>
        <v>-3.1051026275656888</v>
      </c>
      <c r="H13" s="11">
        <f>IFERROR(H12/H14,0)</f>
        <v>-2.8116763369765665</v>
      </c>
      <c r="I13" s="11">
        <f>IFERROR(I12/I14,0)</f>
        <v>7.036570525821396</v>
      </c>
      <c r="J13" s="11">
        <f>IFERROR(J12/J14,0)</f>
        <v>-2.713170001069862</v>
      </c>
      <c r="K13" s="11">
        <f>IFERROR(K12/K14,0)</f>
        <v>-6.471439659331669</v>
      </c>
      <c r="L13" s="11">
        <f>IFERROR(L12/L14,0)</f>
        <v>-4.925075541121092</v>
      </c>
      <c r="M13" s="11">
        <f>IFERROR(M12/M14,0)</f>
        <v>-3.460749191332475</v>
      </c>
    </row>
    <row r="14">
      <c r="A14" s="2" t="inlineStr">
        <is>
          <t>Shares</t>
        </is>
      </c>
      <c r="B14" s="23" t="n">
        <v>17.121</v>
      </c>
      <c r="C14" s="23" t="n">
        <v>22.082</v>
      </c>
      <c r="D14" s="23" t="n">
        <v>25.036</v>
      </c>
      <c r="E14" s="23" t="n">
        <v>26.984</v>
      </c>
      <c r="F14" s="23" t="n">
        <v>35.64</v>
      </c>
      <c r="G14" s="23" t="n">
        <v>39.999</v>
      </c>
      <c r="H14" s="23" t="n">
        <v>44.466</v>
      </c>
      <c r="I14" s="23" t="n">
        <v>46.841</v>
      </c>
      <c r="J14" s="23" t="n">
        <v>46.735</v>
      </c>
      <c r="K14" s="23" t="n">
        <v>47.671</v>
      </c>
      <c r="L14" s="23" t="n">
        <v>48.649</v>
      </c>
      <c r="M14" s="23" t="n">
        <v>57.502</v>
      </c>
    </row>
    <row r="15"/>
    <row r="16" customFormat="1" s="4">
      <c r="A16" s="3" t="inlineStr">
        <is>
          <t>Revenue Change</t>
        </is>
      </c>
      <c r="C16" s="15">
        <f>IFERROR(C2/B2-1,"")</f>
        <v>0.7225207620908647</v>
      </c>
      <c r="D16" s="15">
        <f>IFERROR(D2/C2-1,"")</f>
        <v>1.3726602382302895</v>
      </c>
      <c r="E16" s="15">
        <f>IFERROR(E2/D2-1,"")</f>
        <v>-0.4777671527611762</v>
      </c>
      <c r="F16" s="15">
        <f>IFERROR(F2/E2-1,"")</f>
        <v>-0.13908598458838783</v>
      </c>
      <c r="G16" s="15">
        <f>IFERROR(G2/F2-1,"")</f>
        <v>-0.3547500886210564</v>
      </c>
      <c r="H16" s="15">
        <f>IFERROR(H2/G2-1,"")</f>
        <v>4.152314242549101</v>
      </c>
      <c r="I16" s="15">
        <f>IFERROR(I2/H2-1,"")</f>
        <v>12.968171882497199</v>
      </c>
      <c r="J16" s="15">
        <f>IFERROR(J2/I2-1,"")</f>
        <v>-0.7967889435536506</v>
      </c>
      <c r="K16" s="15">
        <f>IFERROR(K2/J2-1,"")</f>
        <v>-0.8512156870110722</v>
      </c>
      <c r="L16" s="15">
        <f>IFERROR(L2/K2-1,"")</f>
        <v>0.7117338887836899</v>
      </c>
      <c r="M16" s="15">
        <f>IFERROR(M2/L2-1,"")</f>
        <v>-0.40639404107821087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0.9462905410789705</v>
      </c>
      <c r="E17" s="15">
        <f>IFERROR(E4/E2,"")</f>
        <v>0.9376668955519951</v>
      </c>
      <c r="F17" s="15">
        <f>IFERROR(F4/F2,"")</f>
        <v>0.8934774902516838</v>
      </c>
      <c r="G17" s="15">
        <f>IFERROR(G4/G2,"")</f>
        <v>0.7728334020052191</v>
      </c>
      <c r="H17" s="15">
        <f>IFERROR(H4/H2,"")</f>
        <v>0.9227221837180786</v>
      </c>
      <c r="I17" s="15">
        <f>IFERROR(I4/I2,"")</f>
        <v>0.9523360597860313</v>
      </c>
      <c r="J17" s="15">
        <f>IFERROR(J4/J2,"")</f>
        <v>0.9882234722913517</v>
      </c>
      <c r="K17" s="15">
        <f>IFERROR(K4/K2,"")</f>
        <v>0.9958972416840245</v>
      </c>
      <c r="L17" s="15">
        <f>IFERROR(L4/L2,"")</f>
        <v>0.9532799882001549</v>
      </c>
      <c r="M17" s="15">
        <f>IFERROR(M4/M2,"")</f>
        <v>0.8952664927320164</v>
      </c>
    </row>
    <row r="18">
      <c r="A18" s="14" t="inlineStr">
        <is>
          <t>Operating Margin</t>
        </is>
      </c>
      <c r="B18" s="15">
        <f>IFERROR(B8/B2,"")</f>
        <v>-8.741573033707864</v>
      </c>
      <c r="C18" s="15">
        <f>IFERROR(C8/C2,"")</f>
        <v>-6.726318774815655</v>
      </c>
      <c r="D18" s="15">
        <f>IFERROR(D8/D2,"")</f>
        <v>-2.8666029165670572</v>
      </c>
      <c r="E18" s="15">
        <f>IFERROR(E8/E2,"")</f>
        <v>-5.443121995880063</v>
      </c>
      <c r="F18" s="15">
        <f>IFERROR(F8/F2,"")</f>
        <v>-7.819213045019496</v>
      </c>
      <c r="G18" s="15">
        <f>IFERROR(G8/G2,"")</f>
        <v>-16.637824474660075</v>
      </c>
      <c r="H18" s="15">
        <f>IFERROR(H8/H2,"")</f>
        <v>-3.343445113824172</v>
      </c>
      <c r="I18" s="15">
        <f>IFERROR(I8/I2,"")</f>
        <v>0.5927801802283197</v>
      </c>
      <c r="J18" s="15">
        <f>IFERROR(J8/J2,"")</f>
        <v>-1.344430566381488</v>
      </c>
      <c r="K18" s="15">
        <f>IFERROR(K8/K2,"")</f>
        <v>-17.85463611689705</v>
      </c>
      <c r="L18" s="15">
        <f>IFERROR(L8/L2,"")</f>
        <v>-6.795752055754269</v>
      </c>
      <c r="M18" s="15">
        <f>IFERROR(M8/M2,"")</f>
        <v>-11.513790532985464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2026-10-21T01:04:44Z</dcterms:modified>
  <cp:lastModifiedBy>Wang, Eric</cp:lastModifiedBy>
</cp:coreProperties>
</file>