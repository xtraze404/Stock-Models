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Cellectar Biosciences Inc</t>
        </is>
      </c>
      <c r="C2" s="10" t="n"/>
    </row>
    <row r="3">
      <c r="B3" t="inlineStr">
        <is>
          <t>Price</t>
        </is>
      </c>
      <c r="C3" s="11">
        <f>INDEX([1]Pharma!$F$1:$F$1000,MATCH("CLRB",[1]Pharma!$B$1:$B$1000,0))</f>
        <v>1.23</v>
      </c>
      <c r="F3" s="1" t="n"/>
    </row>
    <row r="4">
      <c r="B4" t="inlineStr">
        <is>
          <t>Shares</t>
        </is>
      </c>
      <c r="C4" s="21" t="n">
        <v>9.452108000000001</v>
      </c>
      <c r="F4" s="1" t="n"/>
    </row>
    <row r="5">
      <c r="B5" t="inlineStr">
        <is>
          <t>Market Cap.</t>
        </is>
      </c>
      <c r="C5" s="13">
        <f>C3*C4</f>
        <v>11.62609284</v>
      </c>
      <c r="F5" s="1" t="n"/>
    </row>
    <row r="6"/>
    <row r="7">
      <c r="B7" t="inlineStr">
        <is>
          <t>Cash</t>
        </is>
      </c>
      <c r="C7" s="21" t="n">
        <v>33.993982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-22.367889160000004</v>
      </c>
    </row>
    <row r="10"/>
    <row r="11">
      <c r="B11" s="14" t="inlineStr">
        <is>
          <t>rNPV / Share</t>
        </is>
      </c>
      <c r="C11" s="11">
        <f>NPV!B27</f>
        <v>31.113266212797328</v>
      </c>
    </row>
    <row r="12">
      <c r="B12" s="14" t="inlineStr">
        <is>
          <t>Upside</t>
        </is>
      </c>
      <c r="C12" s="15">
        <f>IFERROR(C11/C3-1,"")</f>
        <v>24.29533838438807</v>
      </c>
    </row>
    <row r="13">
      <c r="B13" s="14" t="inlineStr">
        <is>
          <t>Cash / Share</t>
        </is>
      </c>
      <c r="C13" s="11">
        <f>IFERROR((C7-C8)/C4,"")</f>
        <v>3.596444517984771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-19.475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1.745518973042362</v>
      </c>
    </row>
    <row r="19">
      <c r="B19" s="14" t="inlineStr">
        <is>
          <t>Implied Pipeline Value</t>
        </is>
      </c>
      <c r="C19" s="13">
        <f>C9</f>
        <v>-22.367889160000004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2003</v>
      </c>
      <c r="C1" s="17" t="n">
        <v>2004</v>
      </c>
      <c r="D1" s="17" t="n">
        <v>2005</v>
      </c>
      <c r="E1" s="17" t="n">
        <v>2006</v>
      </c>
      <c r="F1" s="17" t="n">
        <v>2007</v>
      </c>
      <c r="G1" s="17" t="n">
        <v>2008</v>
      </c>
      <c r="H1" s="17" t="n">
        <v>2009</v>
      </c>
      <c r="I1" s="17" t="n">
        <v>2010</v>
      </c>
      <c r="J1" s="17" t="n">
        <v>2011</v>
      </c>
      <c r="K1" s="17" t="n">
        <v>2012</v>
      </c>
      <c r="L1" s="17" t="n">
        <v>2013</v>
      </c>
      <c r="M1" s="17" t="n">
        <v>2014</v>
      </c>
      <c r="N1" s="17" t="n">
        <v>2015</v>
      </c>
      <c r="O1" s="17" t="n">
        <v>2016</v>
      </c>
      <c r="P1" s="17" t="n">
        <v>2017</v>
      </c>
      <c r="Q1" s="17" t="n">
        <v>2018</v>
      </c>
      <c r="R1" s="17" t="n">
        <v>2019</v>
      </c>
      <c r="S1" s="17" t="n">
        <v>2020</v>
      </c>
      <c r="T1" s="17" t="n">
        <v>2021</v>
      </c>
      <c r="U1" s="17" t="n">
        <v>2022</v>
      </c>
      <c r="V1" s="17" t="n">
        <v>2023</v>
      </c>
      <c r="W1" s="17" t="n">
        <v>2024</v>
      </c>
      <c r="X1" s="17" t="n">
        <v>2025</v>
      </c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  <c r="S4" s="23">
        <f>S2-S3</f>
        <v>0.0</v>
      </c>
      <c r="T4" s="23">
        <f>T2-T3</f>
        <v>0.0</v>
      </c>
      <c r="U4" s="23">
        <f>U2-U3</f>
        <v>0.0</v>
      </c>
      <c r="V4" s="23">
        <f>V2-V3</f>
        <v>0.0</v>
      </c>
      <c r="W4" s="23">
        <f>W2-W3</f>
        <v>0.0</v>
      </c>
      <c r="X4" s="23">
        <f>X2-X3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2.984</v>
      </c>
      <c r="J5" s="23" t="n">
        <v>3.599</v>
      </c>
      <c r="K5" s="23" t="n">
        <v>5.123</v>
      </c>
      <c r="L5" s="23" t="n">
        <v>6.86</v>
      </c>
      <c r="M5" s="23" t="n">
        <v>5.964</v>
      </c>
      <c r="N5" s="23" t="n">
        <v>5.159</v>
      </c>
      <c r="O5" s="23" t="n">
        <v>4.75</v>
      </c>
      <c r="P5" s="23" t="n">
        <v>9.465999999999999</v>
      </c>
      <c r="Q5" s="23" t="n">
        <v>6.835</v>
      </c>
      <c r="R5" s="23" t="n">
        <v>8.996</v>
      </c>
      <c r="S5" s="23" t="n">
        <v>10.141</v>
      </c>
      <c r="T5" s="23" t="n">
        <v>17.586</v>
      </c>
      <c r="U5" s="23" t="n">
        <v>18.266</v>
      </c>
      <c r="V5" s="23" t="n">
        <v>27.266</v>
      </c>
      <c r="W5" s="23" t="n">
        <v>26.136</v>
      </c>
      <c r="X5" s="23" t="n">
        <v>11.499</v>
      </c>
    </row>
    <row r="6">
      <c r="A6" s="19" t="inlineStr">
        <is>
          <t>SG&amp;A &amp; Other</t>
        </is>
      </c>
      <c r="B6" s="23" t="n">
        <v>0.296</v>
      </c>
      <c r="C6" s="23" t="n">
        <v>0.343</v>
      </c>
      <c r="D6" s="23" t="n">
        <v>0.482</v>
      </c>
      <c r="E6" s="23" t="n">
        <v>0.963</v>
      </c>
      <c r="F6" s="23" t="n">
        <v>5.09</v>
      </c>
      <c r="G6" s="23" t="n">
        <v>6.091</v>
      </c>
      <c r="H6" s="23" t="n">
        <v>6.22</v>
      </c>
      <c r="I6" s="23" t="n">
        <v>1.209</v>
      </c>
      <c r="J6" s="23" t="n">
        <v>3.439</v>
      </c>
      <c r="K6" s="23" t="n">
        <v>3.632</v>
      </c>
      <c r="L6" s="23" t="n">
        <v>5.542</v>
      </c>
      <c r="M6" s="23" t="n">
        <v>3.926</v>
      </c>
      <c r="N6" s="23" t="n">
        <v>3.599</v>
      </c>
      <c r="O6" s="23" t="n">
        <v>4.699</v>
      </c>
      <c r="P6" s="23" t="n">
        <v>4.135</v>
      </c>
      <c r="Q6" s="23" t="n">
        <v>6.496</v>
      </c>
      <c r="R6" s="23" t="n">
        <v>5.183</v>
      </c>
      <c r="S6" s="23" t="n">
        <v>5.15</v>
      </c>
      <c r="T6" s="23" t="n">
        <v>6.545</v>
      </c>
      <c r="U6" s="23" t="n">
        <v>10.548</v>
      </c>
      <c r="V6" s="23" t="n">
        <v>11.694</v>
      </c>
      <c r="W6" s="23" t="n">
        <v>25.641</v>
      </c>
      <c r="X6" s="23" t="n">
        <v>11.481</v>
      </c>
    </row>
    <row r="7">
      <c r="A7" s="2" t="inlineStr">
        <is>
          <t>Operating Expense</t>
        </is>
      </c>
      <c r="B7" s="23">
        <f>SUM(B5:B6)</f>
        <v>0.296</v>
      </c>
      <c r="C7" s="23">
        <f>SUM(C5:C6)</f>
        <v>0.343</v>
      </c>
      <c r="D7" s="23">
        <f>SUM(D5:D6)</f>
        <v>0.482</v>
      </c>
      <c r="E7" s="23">
        <f>SUM(E5:E6)</f>
        <v>0.963</v>
      </c>
      <c r="F7" s="23">
        <f>SUM(F5:F6)</f>
        <v>5.09</v>
      </c>
      <c r="G7" s="23">
        <f>SUM(G5:G6)</f>
        <v>6.091</v>
      </c>
      <c r="H7" s="23">
        <f>SUM(H5:H6)</f>
        <v>6.22</v>
      </c>
      <c r="I7" s="23">
        <f>SUM(I5:I6)</f>
        <v>4.193</v>
      </c>
      <c r="J7" s="23">
        <f>SUM(J5:J6)</f>
        <v>7.038</v>
      </c>
      <c r="K7" s="23">
        <f>SUM(K5:K6)</f>
        <v>8.755</v>
      </c>
      <c r="L7" s="23">
        <f>SUM(L5:L6)</f>
        <v>12.402000000000001</v>
      </c>
      <c r="M7" s="23">
        <f>SUM(M5:M6)</f>
        <v>9.89</v>
      </c>
      <c r="N7" s="23">
        <f>SUM(N5:N6)</f>
        <v>8.758</v>
      </c>
      <c r="O7" s="23">
        <f>SUM(O5:O6)</f>
        <v>9.449</v>
      </c>
      <c r="P7" s="23">
        <f>SUM(P5:P6)</f>
        <v>13.600999999999999</v>
      </c>
      <c r="Q7" s="23">
        <f>SUM(Q5:Q6)</f>
        <v>13.331</v>
      </c>
      <c r="R7" s="23">
        <f>SUM(R5:R6)</f>
        <v>14.179</v>
      </c>
      <c r="S7" s="23">
        <f>SUM(S5:S6)</f>
        <v>15.291</v>
      </c>
      <c r="T7" s="23">
        <f>SUM(T5:T6)</f>
        <v>24.131</v>
      </c>
      <c r="U7" s="23">
        <f>SUM(U5:U6)</f>
        <v>28.814</v>
      </c>
      <c r="V7" s="23">
        <f>SUM(V5:V6)</f>
        <v>38.96</v>
      </c>
      <c r="W7" s="23">
        <f>SUM(W5:W6)</f>
        <v>51.777</v>
      </c>
      <c r="X7" s="23">
        <f>SUM(X5:X6)</f>
        <v>22.98</v>
      </c>
    </row>
    <row r="8">
      <c r="A8" s="2" t="inlineStr">
        <is>
          <t>Operating Income</t>
        </is>
      </c>
      <c r="B8" s="23">
        <f>B4-B7</f>
        <v>-0.296</v>
      </c>
      <c r="C8" s="23">
        <f>C4-C7</f>
        <v>-0.343</v>
      </c>
      <c r="D8" s="23">
        <f>D4-D7</f>
        <v>-0.482</v>
      </c>
      <c r="E8" s="23">
        <f>E4-E7</f>
        <v>-0.963</v>
      </c>
      <c r="F8" s="23">
        <f>F4-F7</f>
        <v>-5.09</v>
      </c>
      <c r="G8" s="23">
        <f>G4-G7</f>
        <v>-6.091</v>
      </c>
      <c r="H8" s="23">
        <f>H4-H7</f>
        <v>-6.22</v>
      </c>
      <c r="I8" s="23">
        <f>I4-I7</f>
        <v>-4.193</v>
      </c>
      <c r="J8" s="23">
        <f>J4-J7</f>
        <v>-7.038</v>
      </c>
      <c r="K8" s="23">
        <f>K4-K7</f>
        <v>-8.755</v>
      </c>
      <c r="L8" s="23">
        <f>L4-L7</f>
        <v>-12.402000000000001</v>
      </c>
      <c r="M8" s="23">
        <f>M4-M7</f>
        <v>-9.89</v>
      </c>
      <c r="N8" s="23">
        <f>N4-N7</f>
        <v>-8.758</v>
      </c>
      <c r="O8" s="23">
        <f>O4-O7</f>
        <v>-9.449</v>
      </c>
      <c r="P8" s="23">
        <f>P4-P7</f>
        <v>-13.600999999999999</v>
      </c>
      <c r="Q8" s="23">
        <f>Q4-Q7</f>
        <v>-13.331</v>
      </c>
      <c r="R8" s="23">
        <f>R4-R7</f>
        <v>-14.179</v>
      </c>
      <c r="S8" s="23">
        <f>S4-S7</f>
        <v>-15.291</v>
      </c>
      <c r="T8" s="23">
        <f>T4-T7</f>
        <v>-24.131</v>
      </c>
      <c r="U8" s="23">
        <f>U4-U7</f>
        <v>-28.814</v>
      </c>
      <c r="V8" s="23">
        <f>V4-V7</f>
        <v>-38.96</v>
      </c>
      <c r="W8" s="23">
        <f>W4-W7</f>
        <v>-51.777</v>
      </c>
      <c r="X8" s="23">
        <f>X4-X7</f>
        <v>-22.98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-0.367</v>
      </c>
      <c r="J9" s="23" t="n">
        <v>0.709</v>
      </c>
      <c r="K9" s="23" t="n">
        <v>-0.042</v>
      </c>
      <c r="L9" s="23" t="n">
        <v>1.62</v>
      </c>
      <c r="M9" s="23" t="n">
        <v>1.839</v>
      </c>
      <c r="N9" s="23" t="n">
        <v>3.263</v>
      </c>
      <c r="O9" s="23" t="n">
        <v>3.269</v>
      </c>
      <c r="P9" s="23" t="n">
        <v>0.039</v>
      </c>
      <c r="Q9" s="23" t="n">
        <v>0.092</v>
      </c>
      <c r="R9" s="23" t="n">
        <v>0.08599999999999999</v>
      </c>
      <c r="S9" s="23" t="n">
        <v>0.196</v>
      </c>
      <c r="T9" s="23" t="n">
        <v>0.008999999999999999</v>
      </c>
      <c r="U9" s="23" t="n">
        <v>-3.039</v>
      </c>
      <c r="V9" s="23" t="n">
        <v>0.917</v>
      </c>
      <c r="W9" s="23" t="n">
        <v>7.262</v>
      </c>
      <c r="X9" s="23" t="n">
        <v>1.189</v>
      </c>
    </row>
    <row r="10">
      <c r="A10" s="2" t="inlineStr">
        <is>
          <t>Pretax</t>
        </is>
      </c>
      <c r="B10" s="23">
        <f>B8+B9</f>
        <v>-0.296</v>
      </c>
      <c r="C10" s="23">
        <f>C8+C9</f>
        <v>-0.343</v>
      </c>
      <c r="D10" s="23">
        <f>D8+D9</f>
        <v>-0.482</v>
      </c>
      <c r="E10" s="23">
        <f>E8+E9</f>
        <v>-0.963</v>
      </c>
      <c r="F10" s="23">
        <f>F8+F9</f>
        <v>-5.09</v>
      </c>
      <c r="G10" s="23">
        <f>G8+G9</f>
        <v>-6.091</v>
      </c>
      <c r="H10" s="23">
        <f>H8+H9</f>
        <v>-6.22</v>
      </c>
      <c r="I10" s="23">
        <f>I8+I9</f>
        <v>-4.56</v>
      </c>
      <c r="J10" s="23">
        <f>J8+J9</f>
        <v>-6.329000000000001</v>
      </c>
      <c r="K10" s="23">
        <f>K8+K9</f>
        <v>-8.797</v>
      </c>
      <c r="L10" s="23">
        <f>L8+L9</f>
        <v>-10.782</v>
      </c>
      <c r="M10" s="23">
        <f>M8+M9</f>
        <v>-8.051</v>
      </c>
      <c r="N10" s="23">
        <f>N8+N9</f>
        <v>-5.494999999999999</v>
      </c>
      <c r="O10" s="23">
        <f>O8+O9</f>
        <v>-6.18</v>
      </c>
      <c r="P10" s="23">
        <f>P8+P9</f>
        <v>-13.562</v>
      </c>
      <c r="Q10" s="23">
        <f>Q8+Q9</f>
        <v>-13.238999999999999</v>
      </c>
      <c r="R10" s="23">
        <f>R8+R9</f>
        <v>-14.093</v>
      </c>
      <c r="S10" s="23">
        <f>S8+S9</f>
        <v>-15.095</v>
      </c>
      <c r="T10" s="23">
        <f>T8+T9</f>
        <v>-24.122</v>
      </c>
      <c r="U10" s="23">
        <f>U8+U9</f>
        <v>-31.853</v>
      </c>
      <c r="V10" s="23">
        <f>V8+V9</f>
        <v>-38.043</v>
      </c>
      <c r="W10" s="23">
        <f>W8+W9</f>
        <v>-44.515</v>
      </c>
      <c r="X10" s="23">
        <f>X8+X9</f>
        <v>-21.791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1.106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-0.06</v>
      </c>
      <c r="V11" s="23" t="n">
        <v>-0.06</v>
      </c>
      <c r="W11" s="23" t="n">
        <v>0.066</v>
      </c>
      <c r="X11" s="23" t="n">
        <v>0</v>
      </c>
    </row>
    <row r="12">
      <c r="A12" s="2" t="inlineStr">
        <is>
          <t>Net Income</t>
        </is>
      </c>
      <c r="B12" s="23" t="n">
        <v>-0.296</v>
      </c>
      <c r="C12" s="23" t="n">
        <v>-0.343</v>
      </c>
      <c r="D12" s="23" t="n">
        <v>-0.482</v>
      </c>
      <c r="E12" s="23" t="n">
        <v>-0.963</v>
      </c>
      <c r="F12" s="23" t="n">
        <v>-5.09</v>
      </c>
      <c r="G12" s="23" t="n">
        <v>-6.091</v>
      </c>
      <c r="H12" s="23" t="n">
        <v>-6.22</v>
      </c>
      <c r="I12" s="23" t="n">
        <v>-4.56</v>
      </c>
      <c r="J12" s="23" t="n">
        <v>-7.435</v>
      </c>
      <c r="K12" s="23" t="n">
        <v>-8.797000000000001</v>
      </c>
      <c r="L12" s="23" t="n">
        <v>-10.782</v>
      </c>
      <c r="M12" s="23" t="n">
        <v>-8.052</v>
      </c>
      <c r="N12" s="23" t="n">
        <v>-5.495</v>
      </c>
      <c r="O12" s="23" t="n">
        <v>-6.18</v>
      </c>
      <c r="P12" s="23" t="n">
        <v>-13.562</v>
      </c>
      <c r="Q12" s="23" t="n">
        <v>-13.239</v>
      </c>
      <c r="R12" s="23" t="n">
        <v>-14.093</v>
      </c>
      <c r="S12" s="23" t="n">
        <v>-15.094</v>
      </c>
      <c r="T12" s="23" t="n">
        <v>-24.122</v>
      </c>
      <c r="U12" s="23" t="n">
        <v>-31.793</v>
      </c>
      <c r="V12" s="23" t="n">
        <v>-37.983</v>
      </c>
      <c r="W12" s="23" t="n">
        <v>-44.581</v>
      </c>
      <c r="X12" s="23" t="n">
        <v>-21.791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-275.3703703703704</v>
      </c>
      <c r="K13" s="11">
        <f>IFERROR(K12/K14,0)</f>
        <v>-191.23913043478262</v>
      </c>
      <c r="L13" s="11">
        <f>IFERROR(L12/L14,0)</f>
        <v>-229.40425531914894</v>
      </c>
      <c r="M13" s="11">
        <f>IFERROR(M12/M14,0)</f>
        <v>-175.04347826086956</v>
      </c>
      <c r="N13" s="11">
        <f>IFERROR(N12/N14,0)</f>
        <v>-70.44871794871796</v>
      </c>
      <c r="O13" s="11">
        <f>IFERROR(O12/O14,0)</f>
        <v>-14.141876430205949</v>
      </c>
      <c r="P13" s="11">
        <f>IFERROR(P12/P14,0)</f>
        <v>-96.87142857142855</v>
      </c>
      <c r="Q13" s="11">
        <f>IFERROR(Q12/Q14,0)</f>
        <v>-44.726351351351354</v>
      </c>
      <c r="R13" s="11">
        <f>IFERROR(R12/R14,0)</f>
        <v>-18.350260416666668</v>
      </c>
      <c r="S13" s="11">
        <f>IFERROR(S12/S14,0)</f>
        <v>-7.619384149419484</v>
      </c>
      <c r="T13" s="11">
        <f>IFERROR(T12/T14,0)</f>
        <v>-43.46306306306306</v>
      </c>
      <c r="U13" s="11">
        <f>IFERROR(U12/U14,0)</f>
        <v>-45.03257790368272</v>
      </c>
      <c r="V13" s="11">
        <f>IFERROR(V12/V14,0)</f>
        <v>-31.082651391162027</v>
      </c>
      <c r="W13" s="11">
        <f>IFERROR(W12/W14,0)</f>
        <v>-36.01050080775445</v>
      </c>
      <c r="X13" s="11">
        <f>IFERROR(X12/X14,0)</f>
        <v>-8.355444785276074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>
        <v>0.027</v>
      </c>
      <c r="K14" s="23" t="n">
        <v>0.046</v>
      </c>
      <c r="L14" s="23" t="n">
        <v>0.047</v>
      </c>
      <c r="M14" s="23" t="n">
        <v>0.046</v>
      </c>
      <c r="N14" s="23" t="n">
        <v>0.078</v>
      </c>
      <c r="O14" s="23" t="n">
        <v>0.437</v>
      </c>
      <c r="P14" s="23" t="n">
        <v>0.14</v>
      </c>
      <c r="Q14" s="23" t="n">
        <v>0.296</v>
      </c>
      <c r="R14" s="23" t="n">
        <v>0.768</v>
      </c>
      <c r="S14" s="23" t="n">
        <v>1.981</v>
      </c>
      <c r="T14" s="23" t="n">
        <v>0.555</v>
      </c>
      <c r="U14" s="23" t="n">
        <v>0.706</v>
      </c>
      <c r="V14" s="23" t="n">
        <v>1.222</v>
      </c>
      <c r="W14" s="23" t="n">
        <v>1.238</v>
      </c>
      <c r="X14" s="23" t="n">
        <v>2.608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/>
      </c>
      <c r="U16" s="15">
        <f>IFERROR(U2/T2-1,"")</f>
        <v/>
      </c>
      <c r="V16" s="15">
        <f>IFERROR(V2/U2-1,"")</f>
        <v/>
      </c>
      <c r="W16" s="15">
        <f>IFERROR(W2/V2-1,"")</f>
        <v/>
      </c>
      <c r="X16" s="15">
        <f>IFERROR(X2/W2-1,"")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/>
      </c>
      <c r="T17" s="15">
        <f>IFERROR(T4/T2,"")</f>
        <v/>
      </c>
      <c r="U17" s="15">
        <f>IFERROR(U4/U2,"")</f>
        <v/>
      </c>
      <c r="V17" s="15">
        <f>IFERROR(V4/V2,"")</f>
        <v/>
      </c>
      <c r="W17" s="15">
        <f>IFERROR(W4/W2,"")</f>
        <v/>
      </c>
      <c r="X17" s="15">
        <f>IFERROR(X4/X2,"")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/>
      </c>
      <c r="T18" s="15">
        <f>IFERROR(T8/T2,"")</f>
        <v/>
      </c>
      <c r="U18" s="15">
        <f>IFERROR(U8/U2,"")</f>
        <v/>
      </c>
      <c r="V18" s="15">
        <f>IFERROR(V8/V2,"")</f>
        <v/>
      </c>
      <c r="W18" s="15">
        <f>IFERROR(W8/W2,"")</f>
        <v/>
      </c>
      <c r="X18" s="15">
        <f>IFERROR(X8/X2,"")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Cellectar Biosciences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1-PRODUCT(Pipeline!AG4:AG7)</f>
        <v>0.2417237279192359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23.531</v>
      </c>
    </row>
    <row r="19">
      <c r="A19" s="14" t="inlineStr">
        <is>
          <t>Years of full burn (until the first launch, max 4)</t>
        </is>
      </c>
      <c r="B19" s="39">
        <f>MIN(4,MAX(1,MIN(Pipeline!I4:I7)-2026))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287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260.0919704761113</v>
      </c>
      <c r="C29" s="42">
        <f>NPV!B25</f>
        <v>294.08595247611134</v>
      </c>
      <c r="D29" s="43">
        <f>NPV!B27</f>
        <v>31.113266212797328</v>
      </c>
      <c r="E29" s="44">
        <f>NPV!B29</f>
        <v>24.29533838438807</v>
      </c>
    </row>
    <row r="30">
      <c r="A30" s="45" t="n">
        <v>1</v>
      </c>
      <c r="B30" s="46">
        <f t="dataTable" ref="B30:E32" r1="B4"/>
        <v>67.8238348495804</v>
      </c>
      <c r="C30" s="46">
        <v>101.8178168495804</v>
      </c>
      <c r="D30" s="47">
        <v>10.771969263319926</v>
      </c>
      <c r="E30" s="48">
        <v>7.757698588064981</v>
      </c>
    </row>
    <row r="31">
      <c r="A31" s="45" t="n">
        <v>2</v>
      </c>
      <c r="B31" s="46">
        <v>260.0919704761113</v>
      </c>
      <c r="C31" s="46">
        <v>294.08595247611134</v>
      </c>
      <c r="D31" s="47">
        <v>31.113266212797328</v>
      </c>
      <c r="E31" s="48">
        <v>24.29533838438807</v>
      </c>
    </row>
    <row r="32">
      <c r="A32" s="45" t="n">
        <v>3</v>
      </c>
      <c r="B32" s="46">
        <v>572.7296694216351</v>
      </c>
      <c r="C32" s="46">
        <v>606.723651421635</v>
      </c>
      <c r="D32" s="47">
        <v>64.18924238081442</v>
      </c>
      <c r="E32" s="48">
        <v>51.18637591936132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31.113266212797328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7.826887291949117</v>
      </c>
      <c r="C37" s="47">
        <v>13.037561933949082</v>
      </c>
      <c r="D37" s="47">
        <v>18.118282804415404</v>
      </c>
      <c r="E37" s="47">
        <v>28.09381203939256</v>
      </c>
      <c r="F37" s="47">
        <v>37.98159016558776</v>
      </c>
    </row>
    <row r="38">
      <c r="A38" s="50" t="n">
        <v>0.8</v>
      </c>
      <c r="B38" s="47">
        <v>11.171788092436618</v>
      </c>
      <c r="C38" s="47">
        <v>17.969830332471723</v>
      </c>
      <c r="D38" s="47">
        <v>24.645513499130093</v>
      </c>
      <c r="E38" s="47">
        <v>37.83848821771607</v>
      </c>
      <c r="F38" s="47">
        <v>50.94550782681897</v>
      </c>
    </row>
    <row r="39">
      <c r="A39" s="50" t="n">
        <v>1</v>
      </c>
      <c r="B39" s="47">
        <v>14.450495149749255</v>
      </c>
      <c r="C39" s="47">
        <v>22.837021332356574</v>
      </c>
      <c r="D39" s="47">
        <v>31.113266212797328</v>
      </c>
      <c r="E39" s="47">
        <v>47.53131373764787</v>
      </c>
      <c r="F39" s="47">
        <v>63.86779432577324</v>
      </c>
    </row>
    <row r="40">
      <c r="A40" s="50" t="n">
        <v>1.2</v>
      </c>
      <c r="B40" s="47">
        <v>17.69039696564297</v>
      </c>
      <c r="C40" s="47">
        <v>27.67628402966079</v>
      </c>
      <c r="D40" s="47">
        <v>37.56912618844175</v>
      </c>
      <c r="E40" s="47">
        <v>57.2222250602238</v>
      </c>
      <c r="F40" s="47">
        <v>76.76782902152836</v>
      </c>
    </row>
    <row r="41">
      <c r="A41" s="50" t="n">
        <v>1.4</v>
      </c>
      <c r="B41" s="47">
        <v>20.903590750533773</v>
      </c>
      <c r="C41" s="47">
        <v>32.50333873877605</v>
      </c>
      <c r="D41" s="47">
        <v>43.99608495024846</v>
      </c>
      <c r="E41" s="47">
        <v>66.86996758114016</v>
      </c>
      <c r="F41" s="47">
        <v>89.67317220266213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9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Cellectar Biosciences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Lymphoma</t>
        </is>
      </c>
      <c r="C4" s="14" t="inlineStr">
        <is>
          <t>Iopofosine I 131 single dose, Iopofosine I 131 multiple dose</t>
        </is>
      </c>
      <c r="D4" s="14" t="inlineStr">
        <is>
          <t>Phase 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0.108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184.0389638039337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16.2</v>
      </c>
      <c r="S4" s="23">
        <f>IF(S$3&lt;$I4,0,$G4*Assumptions!$E$11*INDEX(Assumptions!$B$24:$G$24,MIN(6,S$3-$I4+1))*IF(S$3&gt;$J4,(1-Assumptions!$B$26)^(S$3-$J4),1)*IF($H4&gt;=1,1,MIN(0.97,$H4*Assumptions!$E$12)))</f>
        <v>40.5</v>
      </c>
      <c r="T4" s="23">
        <f>IF(T$3&lt;$I4,0,$G4*Assumptions!$E$11*INDEX(Assumptions!$B$24:$G$24,MIN(6,T$3-$I4+1))*IF(T$3&gt;$J4,(1-Assumptions!$B$26)^(T$3-$J4),1)*IF($H4&gt;=1,1,MIN(0.97,$H4*Assumptions!$E$12)))</f>
        <v>72.9</v>
      </c>
      <c r="U4" s="23">
        <f>IF(U$3&lt;$I4,0,$G4*Assumptions!$E$11*INDEX(Assumptions!$B$24:$G$24,MIN(6,U$3-$I4+1))*IF(U$3&gt;$J4,(1-Assumptions!$B$26)^(U$3-$J4),1)*IF($H4&gt;=1,1,MIN(0.97,$H4*Assumptions!$E$12)))</f>
        <v>105.3</v>
      </c>
      <c r="V4" s="23">
        <f>IF(V$3&lt;$I4,0,$G4*Assumptions!$E$11*INDEX(Assumptions!$B$24:$G$24,MIN(6,V$3-$I4+1))*IF(V$3&gt;$J4,(1-Assumptions!$B$26)^(V$3-$J4),1)*IF($H4&gt;=1,1,MIN(0.97,$H4*Assumptions!$E$12)))</f>
        <v>137.7</v>
      </c>
      <c r="W4" s="23">
        <f>IF(W$3&lt;$I4,0,$G4*Assumptions!$E$11*INDEX(Assumptions!$B$24:$G$24,MIN(6,W$3-$I4+1))*IF(W$3&gt;$J4,(1-Assumptions!$B$26)^(W$3-$J4),1)*IF($H4&gt;=1,1,MIN(0.97,$H4*Assumptions!$E$12)))</f>
        <v>162.0</v>
      </c>
      <c r="X4" s="23">
        <f>IF(X$3&lt;$I4,0,$G4*Assumptions!$E$11*INDEX(Assumptions!$B$24:$G$24,MIN(6,X$3-$I4+1))*IF(X$3&gt;$J4,(1-Assumptions!$B$26)^(X$3-$J4),1)*IF($H4&gt;=1,1,MIN(0.97,$H4*Assumptions!$E$12)))</f>
        <v>162.0</v>
      </c>
      <c r="Y4" s="23">
        <f>IF(Y$3&lt;$I4,0,$G4*Assumptions!$E$11*INDEX(Assumptions!$B$24:$G$24,MIN(6,Y$3-$I4+1))*IF(Y$3&gt;$J4,(1-Assumptions!$B$26)^(Y$3-$J4),1)*IF($H4&gt;=1,1,MIN(0.97,$H4*Assumptions!$E$12)))</f>
        <v>162.0</v>
      </c>
      <c r="Z4" s="23">
        <f>IF(Z$3&lt;$I4,0,$G4*Assumptions!$E$11*INDEX(Assumptions!$B$24:$G$24,MIN(6,Z$3-$I4+1))*IF(Z$3&gt;$J4,(1-Assumptions!$B$26)^(Z$3-$J4),1)*IF($H4&gt;=1,1,MIN(0.97,$H4*Assumptions!$E$12)))</f>
        <v>162.0</v>
      </c>
      <c r="AA4" s="23">
        <f>IF(AA$3&lt;$I4,0,$G4*Assumptions!$E$11*INDEX(Assumptions!$B$24:$G$24,MIN(6,AA$3-$I4+1))*IF(AA$3&gt;$J4,(1-Assumptions!$B$26)^(AA$3-$J4),1)*IF($H4&gt;=1,1,MIN(0.97,$H4*Assumptions!$E$12)))</f>
        <v>162.0</v>
      </c>
      <c r="AB4" s="23">
        <f>IF(AB$3&lt;$I4,0,$G4*Assumptions!$E$11*INDEX(Assumptions!$B$24:$G$24,MIN(6,AB$3-$I4+1))*IF(AB$3&gt;$J4,(1-Assumptions!$B$26)^(AB$3-$J4),1)*IF($H4&gt;=1,1,MIN(0.97,$H4*Assumptions!$E$12)))</f>
        <v>162.0</v>
      </c>
      <c r="AC4" s="23">
        <f>IF(AC$3&lt;$I4,0,$G4*Assumptions!$E$11*INDEX(Assumptions!$B$24:$G$24,MIN(6,AC$3-$I4+1))*IF(AC$3&gt;$J4,(1-Assumptions!$B$26)^(AC$3-$J4),1)*IF($H4&gt;=1,1,MIN(0.97,$H4*Assumptions!$E$12)))</f>
        <v>162.0</v>
      </c>
      <c r="AD4" s="23">
        <f>IF(AD$3&lt;$I4,0,$G4*Assumptions!$E$11*INDEX(Assumptions!$B$24:$G$24,MIN(6,AD$3-$I4+1))*IF(AD$3&gt;$J4,(1-Assumptions!$B$26)^(AD$3-$J4),1)*IF($H4&gt;=1,1,MIN(0.97,$H4*Assumptions!$E$12)))</f>
        <v>162.0</v>
      </c>
      <c r="AE4" s="23">
        <f>IF(AE$3&lt;$I4,0,$G4*Assumptions!$E$11*INDEX(Assumptions!$B$24:$G$24,MIN(6,AE$3-$I4+1))*IF(AE$3&gt;$J4,(1-Assumptions!$B$26)^(AE$3-$J4),1)*IF($H4&gt;=1,1,MIN(0.97,$H4*Assumptions!$E$12)))</f>
        <v>81.0</v>
      </c>
      <c r="AF4" s="23">
        <f>IF(AF$3&lt;$I4,0,$G4*Assumptions!$E$11*INDEX(Assumptions!$B$24:$G$24,MIN(6,AF$3-$I4+1))*IF(AF$3&gt;$J4,(1-Assumptions!$B$26)^(AF$3-$J4),1)*IF($H4&gt;=1,1,MIN(0.97,$H4*Assumptions!$E$12)))</f>
        <v>40.5</v>
      </c>
      <c r="AG4" s="35">
        <f>IF(F4="Owned",1-IF(H4&gt;=1,1,MIN(0.97,H4*Assumptions!$E$12)),1)</f>
        <v>0.892</v>
      </c>
    </row>
    <row r="5">
      <c r="A5" s="39" t="n">
        <v>2</v>
      </c>
      <c r="B5" s="14" t="inlineStr">
        <is>
          <t>Breast cancer</t>
        </is>
      </c>
      <c r="C5" s="14" t="inlineStr">
        <is>
          <t>Iopofosine I 131, CLR 125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3000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138.44360572734703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15.809999999999999</v>
      </c>
      <c r="U5" s="23">
        <f>IF(U$3&lt;$I5,0,$G5*Assumptions!$E$11*INDEX(Assumptions!$B$24:$G$24,MIN(6,U$3-$I5+1))*IF(U$3&gt;$J5,(1-Assumptions!$B$26)^(U$3-$J5),1)*IF($H5&gt;=1,1,MIN(0.97,$H5*Assumptions!$E$12)))</f>
        <v>39.525</v>
      </c>
      <c r="V5" s="23">
        <f>IF(V$3&lt;$I5,0,$G5*Assumptions!$E$11*INDEX(Assumptions!$B$24:$G$24,MIN(6,V$3-$I5+1))*IF(V$3&gt;$J5,(1-Assumptions!$B$26)^(V$3-$J5),1)*IF($H5&gt;=1,1,MIN(0.97,$H5*Assumptions!$E$12)))</f>
        <v>71.145</v>
      </c>
      <c r="W5" s="23">
        <f>IF(W$3&lt;$I5,0,$G5*Assumptions!$E$11*INDEX(Assumptions!$B$24:$G$24,MIN(6,W$3-$I5+1))*IF(W$3&gt;$J5,(1-Assumptions!$B$26)^(W$3-$J5),1)*IF($H5&gt;=1,1,MIN(0.97,$H5*Assumptions!$E$12)))</f>
        <v>102.765</v>
      </c>
      <c r="X5" s="23">
        <f>IF(X$3&lt;$I5,0,$G5*Assumptions!$E$11*INDEX(Assumptions!$B$24:$G$24,MIN(6,X$3-$I5+1))*IF(X$3&gt;$J5,(1-Assumptions!$B$26)^(X$3-$J5),1)*IF($H5&gt;=1,1,MIN(0.97,$H5*Assumptions!$E$12)))</f>
        <v>134.385</v>
      </c>
      <c r="Y5" s="23">
        <f>IF(Y$3&lt;$I5,0,$G5*Assumptions!$E$11*INDEX(Assumptions!$B$24:$G$24,MIN(6,Y$3-$I5+1))*IF(Y$3&gt;$J5,(1-Assumptions!$B$26)^(Y$3-$J5),1)*IF($H5&gt;=1,1,MIN(0.97,$H5*Assumptions!$E$12)))</f>
        <v>158.1</v>
      </c>
      <c r="Z5" s="23">
        <f>IF(Z$3&lt;$I5,0,$G5*Assumptions!$E$11*INDEX(Assumptions!$B$24:$G$24,MIN(6,Z$3-$I5+1))*IF(Z$3&gt;$J5,(1-Assumptions!$B$26)^(Z$3-$J5),1)*IF($H5&gt;=1,1,MIN(0.97,$H5*Assumptions!$E$12)))</f>
        <v>158.1</v>
      </c>
      <c r="AA5" s="23">
        <f>IF(AA$3&lt;$I5,0,$G5*Assumptions!$E$11*INDEX(Assumptions!$B$24:$G$24,MIN(6,AA$3-$I5+1))*IF(AA$3&gt;$J5,(1-Assumptions!$B$26)^(AA$3-$J5),1)*IF($H5&gt;=1,1,MIN(0.97,$H5*Assumptions!$E$12)))</f>
        <v>158.1</v>
      </c>
      <c r="AB5" s="23">
        <f>IF(AB$3&lt;$I5,0,$G5*Assumptions!$E$11*INDEX(Assumptions!$B$24:$G$24,MIN(6,AB$3-$I5+1))*IF(AB$3&gt;$J5,(1-Assumptions!$B$26)^(AB$3-$J5),1)*IF($H5&gt;=1,1,MIN(0.97,$H5*Assumptions!$E$12)))</f>
        <v>158.1</v>
      </c>
      <c r="AC5" s="23">
        <f>IF(AC$3&lt;$I5,0,$G5*Assumptions!$E$11*INDEX(Assumptions!$B$24:$G$24,MIN(6,AC$3-$I5+1))*IF(AC$3&gt;$J5,(1-Assumptions!$B$26)^(AC$3-$J5),1)*IF($H5&gt;=1,1,MIN(0.97,$H5*Assumptions!$E$12)))</f>
        <v>158.1</v>
      </c>
      <c r="AD5" s="23">
        <f>IF(AD$3&lt;$I5,0,$G5*Assumptions!$E$11*INDEX(Assumptions!$B$24:$G$24,MIN(6,AD$3-$I5+1))*IF(AD$3&gt;$J5,(1-Assumptions!$B$26)^(AD$3-$J5),1)*IF($H5&gt;=1,1,MIN(0.97,$H5*Assumptions!$E$12)))</f>
        <v>158.1</v>
      </c>
      <c r="AE5" s="23">
        <f>IF(AE$3&lt;$I5,0,$G5*Assumptions!$E$11*INDEX(Assumptions!$B$24:$G$24,MIN(6,AE$3-$I5+1))*IF(AE$3&gt;$J5,(1-Assumptions!$B$26)^(AE$3-$J5),1)*IF($H5&gt;=1,1,MIN(0.97,$H5*Assumptions!$E$12)))</f>
        <v>158.1</v>
      </c>
      <c r="AF5" s="23">
        <f>IF(AF$3&lt;$I5,0,$G5*Assumptions!$E$11*INDEX(Assumptions!$B$24:$G$24,MIN(6,AF$3-$I5+1))*IF(AF$3&gt;$J5,(1-Assumptions!$B$26)^(AF$3-$J5),1)*IF($H5&gt;=1,1,MIN(0.97,$H5*Assumptions!$E$12)))</f>
        <v>158.1</v>
      </c>
      <c r="AG5" s="35">
        <f>IF(F5="Owned",1-IF(H5&gt;=1,1,MIN(0.97,H5*Assumptions!$E$12)),1)</f>
        <v>0.9473</v>
      </c>
    </row>
    <row r="6">
      <c r="A6" s="39" t="n">
        <v>3</v>
      </c>
      <c r="B6" s="14" t="inlineStr">
        <is>
          <t>Brain cancer</t>
        </is>
      </c>
      <c r="C6" s="14" t="inlineStr">
        <is>
          <t>CLR 131</t>
        </is>
      </c>
      <c r="D6" s="14" t="inlineStr">
        <is>
          <t>Phase 1</t>
        </is>
      </c>
      <c r="E6" s="14" t="inlineStr">
        <is>
          <t>Oncology / area</t>
        </is>
      </c>
      <c r="F6" s="14" t="inlineStr">
        <is>
          <t>Owned</t>
        </is>
      </c>
      <c r="G6" s="40" t="n">
        <v>800</v>
      </c>
      <c r="H6" s="27" t="n">
        <v>0.0527</v>
      </c>
      <c r="I6" s="26" t="n">
        <v>2033</v>
      </c>
      <c r="J6" s="39">
        <f>I6+Assumptions!$B$25</f>
        <v>2045.0</v>
      </c>
      <c r="K6" s="53">
        <f>Assumptions!$E$13</f>
        <v>0.4</v>
      </c>
      <c r="L6" s="23">
        <f>K6*SUMPRODUCT(M6:AF6,NPV!$C$15:$V$15)</f>
        <v>36.91829486062586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0</v>
      </c>
      <c r="T6" s="23">
        <f>IF(T$3&lt;$I6,0,$G6*Assumptions!$E$11*INDEX(Assumptions!$B$24:$G$24,MIN(6,T$3-$I6+1))*IF(T$3&gt;$J6,(1-Assumptions!$B$26)^(T$3-$J6),1)*IF($H6&gt;=1,1,MIN(0.97,$H6*Assumptions!$E$12)))</f>
        <v>4.215999999999999</v>
      </c>
      <c r="U6" s="23">
        <f>IF(U$3&lt;$I6,0,$G6*Assumptions!$E$11*INDEX(Assumptions!$B$24:$G$24,MIN(6,U$3-$I6+1))*IF(U$3&gt;$J6,(1-Assumptions!$B$26)^(U$3-$J6),1)*IF($H6&gt;=1,1,MIN(0.97,$H6*Assumptions!$E$12)))</f>
        <v>10.54</v>
      </c>
      <c r="V6" s="23">
        <f>IF(V$3&lt;$I6,0,$G6*Assumptions!$E$11*INDEX(Assumptions!$B$24:$G$24,MIN(6,V$3-$I6+1))*IF(V$3&gt;$J6,(1-Assumptions!$B$26)^(V$3-$J6),1)*IF($H6&gt;=1,1,MIN(0.97,$H6*Assumptions!$E$12)))</f>
        <v>18.971999999999998</v>
      </c>
      <c r="W6" s="23">
        <f>IF(W$3&lt;$I6,0,$G6*Assumptions!$E$11*INDEX(Assumptions!$B$24:$G$24,MIN(6,W$3-$I6+1))*IF(W$3&gt;$J6,(1-Assumptions!$B$26)^(W$3-$J6),1)*IF($H6&gt;=1,1,MIN(0.97,$H6*Assumptions!$E$12)))</f>
        <v>27.404</v>
      </c>
      <c r="X6" s="23">
        <f>IF(X$3&lt;$I6,0,$G6*Assumptions!$E$11*INDEX(Assumptions!$B$24:$G$24,MIN(6,X$3-$I6+1))*IF(X$3&gt;$J6,(1-Assumptions!$B$26)^(X$3-$J6),1)*IF($H6&gt;=1,1,MIN(0.97,$H6*Assumptions!$E$12)))</f>
        <v>35.836</v>
      </c>
      <c r="Y6" s="23">
        <f>IF(Y$3&lt;$I6,0,$G6*Assumptions!$E$11*INDEX(Assumptions!$B$24:$G$24,MIN(6,Y$3-$I6+1))*IF(Y$3&gt;$J6,(1-Assumptions!$B$26)^(Y$3-$J6),1)*IF($H6&gt;=1,1,MIN(0.97,$H6*Assumptions!$E$12)))</f>
        <v>42.16</v>
      </c>
      <c r="Z6" s="23">
        <f>IF(Z$3&lt;$I6,0,$G6*Assumptions!$E$11*INDEX(Assumptions!$B$24:$G$24,MIN(6,Z$3-$I6+1))*IF(Z$3&gt;$J6,(1-Assumptions!$B$26)^(Z$3-$J6),1)*IF($H6&gt;=1,1,MIN(0.97,$H6*Assumptions!$E$12)))</f>
        <v>42.16</v>
      </c>
      <c r="AA6" s="23">
        <f>IF(AA$3&lt;$I6,0,$G6*Assumptions!$E$11*INDEX(Assumptions!$B$24:$G$24,MIN(6,AA$3-$I6+1))*IF(AA$3&gt;$J6,(1-Assumptions!$B$26)^(AA$3-$J6),1)*IF($H6&gt;=1,1,MIN(0.97,$H6*Assumptions!$E$12)))</f>
        <v>42.16</v>
      </c>
      <c r="AB6" s="23">
        <f>IF(AB$3&lt;$I6,0,$G6*Assumptions!$E$11*INDEX(Assumptions!$B$24:$G$24,MIN(6,AB$3-$I6+1))*IF(AB$3&gt;$J6,(1-Assumptions!$B$26)^(AB$3-$J6),1)*IF($H6&gt;=1,1,MIN(0.97,$H6*Assumptions!$E$12)))</f>
        <v>42.16</v>
      </c>
      <c r="AC6" s="23">
        <f>IF(AC$3&lt;$I6,0,$G6*Assumptions!$E$11*INDEX(Assumptions!$B$24:$G$24,MIN(6,AC$3-$I6+1))*IF(AC$3&gt;$J6,(1-Assumptions!$B$26)^(AC$3-$J6),1)*IF($H6&gt;=1,1,MIN(0.97,$H6*Assumptions!$E$12)))</f>
        <v>42.16</v>
      </c>
      <c r="AD6" s="23">
        <f>IF(AD$3&lt;$I6,0,$G6*Assumptions!$E$11*INDEX(Assumptions!$B$24:$G$24,MIN(6,AD$3-$I6+1))*IF(AD$3&gt;$J6,(1-Assumptions!$B$26)^(AD$3-$J6),1)*IF($H6&gt;=1,1,MIN(0.97,$H6*Assumptions!$E$12)))</f>
        <v>42.16</v>
      </c>
      <c r="AE6" s="23">
        <f>IF(AE$3&lt;$I6,0,$G6*Assumptions!$E$11*INDEX(Assumptions!$B$24:$G$24,MIN(6,AE$3-$I6+1))*IF(AE$3&gt;$J6,(1-Assumptions!$B$26)^(AE$3-$J6),1)*IF($H6&gt;=1,1,MIN(0.97,$H6*Assumptions!$E$12)))</f>
        <v>42.16</v>
      </c>
      <c r="AF6" s="23">
        <f>IF(AF$3&lt;$I6,0,$G6*Assumptions!$E$11*INDEX(Assumptions!$B$24:$G$24,MIN(6,AF$3-$I6+1))*IF(AF$3&gt;$J6,(1-Assumptions!$B$26)^(AF$3-$J6),1)*IF($H6&gt;=1,1,MIN(0.97,$H6*Assumptions!$E$12)))</f>
        <v>42.16</v>
      </c>
      <c r="AG6" s="35">
        <f>IF(F6="Owned",1-IF(H6&gt;=1,1,MIN(0.97,H6*Assumptions!$E$12)),1)</f>
        <v>0.9473</v>
      </c>
    </row>
    <row r="7">
      <c r="A7" s="39" t="n">
        <v>4</v>
      </c>
      <c r="B7" s="14" t="inlineStr">
        <is>
          <t>Sarcoma / GIST</t>
        </is>
      </c>
      <c r="C7" s="14" t="inlineStr">
        <is>
          <t>CLR 131</t>
        </is>
      </c>
      <c r="D7" s="14" t="inlineStr">
        <is>
          <t>Phase 1</t>
        </is>
      </c>
      <c r="E7" s="14" t="inlineStr">
        <is>
          <t>Oncology / area</t>
        </is>
      </c>
      <c r="F7" s="14" t="inlineStr">
        <is>
          <t>Owned</t>
        </is>
      </c>
      <c r="G7" s="40" t="n">
        <v>600</v>
      </c>
      <c r="H7" s="27" t="n">
        <v>0.0527</v>
      </c>
      <c r="I7" s="26" t="n">
        <v>2033</v>
      </c>
      <c r="J7" s="39">
        <f>I7+Assumptions!$B$25</f>
        <v>2045.0</v>
      </c>
      <c r="K7" s="53">
        <f>Assumptions!$E$13</f>
        <v>0.4</v>
      </c>
      <c r="L7" s="23">
        <f>K7*SUMPRODUCT(M7:AF7,NPV!$C$15:$V$15)</f>
        <v>27.6887211454694</v>
      </c>
      <c r="M7" s="23">
        <f>IF(M$3&lt;$I7,0,$G7*Assumptions!$E$11*INDEX(Assumptions!$B$24:$G$24,MIN(6,M$3-$I7+1))*IF(M$3&gt;$J7,(1-Assumptions!$B$26)^(M$3-$J7),1)*IF($H7&gt;=1,1,MIN(0.97,$H7*Assumptions!$E$12)))</f>
        <v>0</v>
      </c>
      <c r="N7" s="23">
        <f>IF(N$3&lt;$I7,0,$G7*Assumptions!$E$11*INDEX(Assumptions!$B$24:$G$24,MIN(6,N$3-$I7+1))*IF(N$3&gt;$J7,(1-Assumptions!$B$26)^(N$3-$J7),1)*IF($H7&gt;=1,1,MIN(0.97,$H7*Assumptions!$E$12)))</f>
        <v>0</v>
      </c>
      <c r="O7" s="23">
        <f>IF(O$3&lt;$I7,0,$G7*Assumptions!$E$11*INDEX(Assumptions!$B$24:$G$24,MIN(6,O$3-$I7+1))*IF(O$3&gt;$J7,(1-Assumptions!$B$26)^(O$3-$J7),1)*IF($H7&gt;=1,1,MIN(0.97,$H7*Assumptions!$E$12)))</f>
        <v>0</v>
      </c>
      <c r="P7" s="23">
        <f>IF(P$3&lt;$I7,0,$G7*Assumptions!$E$11*INDEX(Assumptions!$B$24:$G$24,MIN(6,P$3-$I7+1))*IF(P$3&gt;$J7,(1-Assumptions!$B$26)^(P$3-$J7),1)*IF($H7&gt;=1,1,MIN(0.97,$H7*Assumptions!$E$12)))</f>
        <v>0</v>
      </c>
      <c r="Q7" s="23">
        <f>IF(Q$3&lt;$I7,0,$G7*Assumptions!$E$11*INDEX(Assumptions!$B$24:$G$24,MIN(6,Q$3-$I7+1))*IF(Q$3&gt;$J7,(1-Assumptions!$B$26)^(Q$3-$J7),1)*IF($H7&gt;=1,1,MIN(0.97,$H7*Assumptions!$E$12)))</f>
        <v>0</v>
      </c>
      <c r="R7" s="23">
        <f>IF(R$3&lt;$I7,0,$G7*Assumptions!$E$11*INDEX(Assumptions!$B$24:$G$24,MIN(6,R$3-$I7+1))*IF(R$3&gt;$J7,(1-Assumptions!$B$26)^(R$3-$J7),1)*IF($H7&gt;=1,1,MIN(0.97,$H7*Assumptions!$E$12)))</f>
        <v>0</v>
      </c>
      <c r="S7" s="23">
        <f>IF(S$3&lt;$I7,0,$G7*Assumptions!$E$11*INDEX(Assumptions!$B$24:$G$24,MIN(6,S$3-$I7+1))*IF(S$3&gt;$J7,(1-Assumptions!$B$26)^(S$3-$J7),1)*IF($H7&gt;=1,1,MIN(0.97,$H7*Assumptions!$E$12)))</f>
        <v>0</v>
      </c>
      <c r="T7" s="23">
        <f>IF(T$3&lt;$I7,0,$G7*Assumptions!$E$11*INDEX(Assumptions!$B$24:$G$24,MIN(6,T$3-$I7+1))*IF(T$3&gt;$J7,(1-Assumptions!$B$26)^(T$3-$J7),1)*IF($H7&gt;=1,1,MIN(0.97,$H7*Assumptions!$E$12)))</f>
        <v>3.162</v>
      </c>
      <c r="U7" s="23">
        <f>IF(U$3&lt;$I7,0,$G7*Assumptions!$E$11*INDEX(Assumptions!$B$24:$G$24,MIN(6,U$3-$I7+1))*IF(U$3&gt;$J7,(1-Assumptions!$B$26)^(U$3-$J7),1)*IF($H7&gt;=1,1,MIN(0.97,$H7*Assumptions!$E$12)))</f>
        <v>7.904999999999999</v>
      </c>
      <c r="V7" s="23">
        <f>IF(V$3&lt;$I7,0,$G7*Assumptions!$E$11*INDEX(Assumptions!$B$24:$G$24,MIN(6,V$3-$I7+1))*IF(V$3&gt;$J7,(1-Assumptions!$B$26)^(V$3-$J7),1)*IF($H7&gt;=1,1,MIN(0.97,$H7*Assumptions!$E$12)))</f>
        <v>14.229</v>
      </c>
      <c r="W7" s="23">
        <f>IF(W$3&lt;$I7,0,$G7*Assumptions!$E$11*INDEX(Assumptions!$B$24:$G$24,MIN(6,W$3-$I7+1))*IF(W$3&gt;$J7,(1-Assumptions!$B$26)^(W$3-$J7),1)*IF($H7&gt;=1,1,MIN(0.97,$H7*Assumptions!$E$12)))</f>
        <v>20.552999999999997</v>
      </c>
      <c r="X7" s="23">
        <f>IF(X$3&lt;$I7,0,$G7*Assumptions!$E$11*INDEX(Assumptions!$B$24:$G$24,MIN(6,X$3-$I7+1))*IF(X$3&gt;$J7,(1-Assumptions!$B$26)^(X$3-$J7),1)*IF($H7&gt;=1,1,MIN(0.97,$H7*Assumptions!$E$12)))</f>
        <v>26.877</v>
      </c>
      <c r="Y7" s="23">
        <f>IF(Y$3&lt;$I7,0,$G7*Assumptions!$E$11*INDEX(Assumptions!$B$24:$G$24,MIN(6,Y$3-$I7+1))*IF(Y$3&gt;$J7,(1-Assumptions!$B$26)^(Y$3-$J7),1)*IF($H7&gt;=1,1,MIN(0.97,$H7*Assumptions!$E$12)))</f>
        <v>31.619999999999997</v>
      </c>
      <c r="Z7" s="23">
        <f>IF(Z$3&lt;$I7,0,$G7*Assumptions!$E$11*INDEX(Assumptions!$B$24:$G$24,MIN(6,Z$3-$I7+1))*IF(Z$3&gt;$J7,(1-Assumptions!$B$26)^(Z$3-$J7),1)*IF($H7&gt;=1,1,MIN(0.97,$H7*Assumptions!$E$12)))</f>
        <v>31.619999999999997</v>
      </c>
      <c r="AA7" s="23">
        <f>IF(AA$3&lt;$I7,0,$G7*Assumptions!$E$11*INDEX(Assumptions!$B$24:$G$24,MIN(6,AA$3-$I7+1))*IF(AA$3&gt;$J7,(1-Assumptions!$B$26)^(AA$3-$J7),1)*IF($H7&gt;=1,1,MIN(0.97,$H7*Assumptions!$E$12)))</f>
        <v>31.619999999999997</v>
      </c>
      <c r="AB7" s="23">
        <f>IF(AB$3&lt;$I7,0,$G7*Assumptions!$E$11*INDEX(Assumptions!$B$24:$G$24,MIN(6,AB$3-$I7+1))*IF(AB$3&gt;$J7,(1-Assumptions!$B$26)^(AB$3-$J7),1)*IF($H7&gt;=1,1,MIN(0.97,$H7*Assumptions!$E$12)))</f>
        <v>31.619999999999997</v>
      </c>
      <c r="AC7" s="23">
        <f>IF(AC$3&lt;$I7,0,$G7*Assumptions!$E$11*INDEX(Assumptions!$B$24:$G$24,MIN(6,AC$3-$I7+1))*IF(AC$3&gt;$J7,(1-Assumptions!$B$26)^(AC$3-$J7),1)*IF($H7&gt;=1,1,MIN(0.97,$H7*Assumptions!$E$12)))</f>
        <v>31.619999999999997</v>
      </c>
      <c r="AD7" s="23">
        <f>IF(AD$3&lt;$I7,0,$G7*Assumptions!$E$11*INDEX(Assumptions!$B$24:$G$24,MIN(6,AD$3-$I7+1))*IF(AD$3&gt;$J7,(1-Assumptions!$B$26)^(AD$3-$J7),1)*IF($H7&gt;=1,1,MIN(0.97,$H7*Assumptions!$E$12)))</f>
        <v>31.619999999999997</v>
      </c>
      <c r="AE7" s="23">
        <f>IF(AE$3&lt;$I7,0,$G7*Assumptions!$E$11*INDEX(Assumptions!$B$24:$G$24,MIN(6,AE$3-$I7+1))*IF(AE$3&gt;$J7,(1-Assumptions!$B$26)^(AE$3-$J7),1)*IF($H7&gt;=1,1,MIN(0.97,$H7*Assumptions!$E$12)))</f>
        <v>31.619999999999997</v>
      </c>
      <c r="AF7" s="23">
        <f>IF(AF$3&lt;$I7,0,$G7*Assumptions!$E$11*INDEX(Assumptions!$B$24:$G$24,MIN(6,AF$3-$I7+1))*IF(AF$3&gt;$J7,(1-Assumptions!$B$26)^(AF$3-$J7),1)*IF($H7&gt;=1,1,MIN(0.97,$H7*Assumptions!$E$12)))</f>
        <v>31.619999999999997</v>
      </c>
      <c r="AG7" s="35">
        <f>IF(F7="Owned",1-IF(H7&gt;=1,1,MIN(0.97,H7*Assumptions!$E$12)),1)</f>
        <v>0.9473</v>
      </c>
    </row>
    <row r="8">
      <c r="B8" s="24" t="inlineStr">
        <is>
          <t>Risked revenue</t>
        </is>
      </c>
      <c r="L8" s="54">
        <f>SUM(L4:L7)</f>
        <v>387.089585537376</v>
      </c>
      <c r="M8" s="54">
        <f>SUM(M4:M7)</f>
        <v>0.0</v>
      </c>
      <c r="N8" s="54">
        <f>SUM(N4:N7)</f>
        <v>0.0</v>
      </c>
      <c r="O8" s="54">
        <f>SUM(O4:O7)</f>
        <v>0.0</v>
      </c>
      <c r="P8" s="54">
        <f>SUM(P4:P7)</f>
        <v>0.0</v>
      </c>
      <c r="Q8" s="54">
        <f>SUM(Q4:Q7)</f>
        <v>0.0</v>
      </c>
      <c r="R8" s="54">
        <f>SUM(R4:R7)</f>
        <v>16.2</v>
      </c>
      <c r="S8" s="54">
        <f>SUM(S4:S7)</f>
        <v>40.5</v>
      </c>
      <c r="T8" s="54">
        <f>SUM(T4:T7)</f>
        <v>96.08800000000001</v>
      </c>
      <c r="U8" s="54">
        <f>SUM(U4:U7)</f>
        <v>163.26999999999998</v>
      </c>
      <c r="V8" s="54">
        <f>SUM(V4:V7)</f>
        <v>242.046</v>
      </c>
      <c r="W8" s="54">
        <f>SUM(W4:W7)</f>
        <v>312.722</v>
      </c>
      <c r="X8" s="54">
        <f>SUM(X4:X7)</f>
        <v>359.098</v>
      </c>
      <c r="Y8" s="54">
        <f>SUM(Y4:Y7)</f>
        <v>393.88</v>
      </c>
      <c r="Z8" s="54">
        <f>SUM(Z4:Z7)</f>
        <v>393.88</v>
      </c>
      <c r="AA8" s="54">
        <f>SUM(AA4:AA7)</f>
        <v>393.88</v>
      </c>
      <c r="AB8" s="54">
        <f>SUM(AB4:AB7)</f>
        <v>393.88</v>
      </c>
      <c r="AC8" s="54">
        <f>SUM(AC4:AC7)</f>
        <v>393.88</v>
      </c>
      <c r="AD8" s="54">
        <f>SUM(AD4:AD7)</f>
        <v>393.88</v>
      </c>
      <c r="AE8" s="54">
        <f>SUM(AE4:AE7)</f>
        <v>312.88</v>
      </c>
      <c r="AF8" s="54">
        <f>SUM(AF4:AF7)</f>
        <v>272.38</v>
      </c>
    </row>
    <row r="9">
      <c r="B9" s="24" t="inlineStr">
        <is>
          <t>Risked contribution (revenue x share)</t>
        </is>
      </c>
      <c r="M9" s="55">
        <f>SUMPRODUCT(M4:M7,$K$4:$K$7)</f>
        <v>0.0</v>
      </c>
      <c r="N9" s="55">
        <f>SUMPRODUCT(N4:N7,$K$4:$K$7)</f>
        <v>0.0</v>
      </c>
      <c r="O9" s="55">
        <f>SUMPRODUCT(O4:O7,$K$4:$K$7)</f>
        <v>0.0</v>
      </c>
      <c r="P9" s="55">
        <f>SUMPRODUCT(P4:P7,$K$4:$K$7)</f>
        <v>0.0</v>
      </c>
      <c r="Q9" s="55">
        <f>SUMPRODUCT(Q4:Q7,$K$4:$K$7)</f>
        <v>0.0</v>
      </c>
      <c r="R9" s="55">
        <f>SUMPRODUCT(R4:R7,$K$4:$K$7)</f>
        <v>6.48</v>
      </c>
      <c r="S9" s="55">
        <f>SUMPRODUCT(S4:S7,$K$4:$K$7)</f>
        <v>16.2</v>
      </c>
      <c r="T9" s="55">
        <f>SUMPRODUCT(T4:T7,$K$4:$K$7)</f>
        <v>38.4352</v>
      </c>
      <c r="U9" s="55">
        <f>SUMPRODUCT(U4:U7,$K$4:$K$7)</f>
        <v>65.308</v>
      </c>
      <c r="V9" s="55">
        <f>SUMPRODUCT(V4:V7,$K$4:$K$7)</f>
        <v>96.8184</v>
      </c>
      <c r="W9" s="55">
        <f>SUMPRODUCT(W4:W7,$K$4:$K$7)</f>
        <v>125.0888</v>
      </c>
      <c r="X9" s="55">
        <f>SUMPRODUCT(X4:X7,$K$4:$K$7)</f>
        <v>143.6392</v>
      </c>
      <c r="Y9" s="55">
        <f>SUMPRODUCT(Y4:Y7,$K$4:$K$7)</f>
        <v>157.552</v>
      </c>
      <c r="Z9" s="55">
        <f>SUMPRODUCT(Z4:Z7,$K$4:$K$7)</f>
        <v>157.552</v>
      </c>
      <c r="AA9" s="55">
        <f>SUMPRODUCT(AA4:AA7,$K$4:$K$7)</f>
        <v>157.552</v>
      </c>
      <c r="AB9" s="55">
        <f>SUMPRODUCT(AB4:AB7,$K$4:$K$7)</f>
        <v>157.552</v>
      </c>
      <c r="AC9" s="55">
        <f>SUMPRODUCT(AC4:AC7,$K$4:$K$7)</f>
        <v>157.552</v>
      </c>
      <c r="AD9" s="55">
        <f>SUMPRODUCT(AD4:AD7,$K$4:$K$7)</f>
        <v>157.552</v>
      </c>
      <c r="AE9" s="55">
        <f>SUMPRODUCT(AE4:AE7,$K$4:$K$7)</f>
        <v>125.152</v>
      </c>
      <c r="AF9" s="55">
        <f>SUMPRODUCT(AF4:AF7,$K$4:$K$7)</f>
        <v>108.952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Cellectar Biosciences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Pipeline!M8</f>
        <v>0.0</v>
      </c>
      <c r="D4" s="57">
        <f>Pipeline!N8</f>
        <v>0.0</v>
      </c>
      <c r="E4" s="57">
        <f>Pipeline!O8</f>
        <v>0.0</v>
      </c>
      <c r="F4" s="57">
        <f>Pipeline!P8</f>
        <v>0.0</v>
      </c>
      <c r="G4" s="57">
        <f>Pipeline!Q8</f>
        <v>0.0</v>
      </c>
      <c r="H4" s="57">
        <f>Pipeline!R8</f>
        <v>16.2</v>
      </c>
      <c r="I4" s="57">
        <f>Pipeline!S8</f>
        <v>40.5</v>
      </c>
      <c r="J4" s="57">
        <f>Pipeline!T8</f>
        <v>96.08800000000001</v>
      </c>
      <c r="K4" s="57">
        <f>Pipeline!U8</f>
        <v>163.26999999999998</v>
      </c>
      <c r="L4" s="57">
        <f>Pipeline!V8</f>
        <v>242.046</v>
      </c>
      <c r="M4" s="57">
        <f>Pipeline!W8</f>
        <v>312.722</v>
      </c>
      <c r="N4" s="57">
        <f>Pipeline!X8</f>
        <v>359.098</v>
      </c>
      <c r="O4" s="57">
        <f>Pipeline!Y8</f>
        <v>393.88</v>
      </c>
      <c r="P4" s="57">
        <f>Pipeline!Z8</f>
        <v>393.88</v>
      </c>
      <c r="Q4" s="57">
        <f>Pipeline!AA8</f>
        <v>393.88</v>
      </c>
      <c r="R4" s="57">
        <f>Pipeline!AB8</f>
        <v>393.88</v>
      </c>
      <c r="S4" s="57">
        <f>Pipeline!AC8</f>
        <v>393.88</v>
      </c>
      <c r="T4" s="57">
        <f>Pipeline!AD8</f>
        <v>393.88</v>
      </c>
      <c r="U4" s="57">
        <f>Pipeline!AE8</f>
        <v>312.88</v>
      </c>
      <c r="V4" s="57">
        <f>Pipeline!AF8</f>
        <v>272.38</v>
      </c>
    </row>
    <row r="5">
      <c r="A5" s="14" t="inlineStr">
        <is>
          <t>Risked contribution</t>
        </is>
      </c>
      <c r="C5" s="57">
        <f>Pipeline!M9</f>
        <v>0.0</v>
      </c>
      <c r="D5" s="57">
        <f>Pipeline!N9</f>
        <v>0.0</v>
      </c>
      <c r="E5" s="57">
        <f>Pipeline!O9</f>
        <v>0.0</v>
      </c>
      <c r="F5" s="57">
        <f>Pipeline!P9</f>
        <v>0.0</v>
      </c>
      <c r="G5" s="57">
        <f>Pipeline!Q9</f>
        <v>0.0</v>
      </c>
      <c r="H5" s="57">
        <f>Pipeline!R9</f>
        <v>6.48</v>
      </c>
      <c r="I5" s="57">
        <f>Pipeline!S9</f>
        <v>16.2</v>
      </c>
      <c r="J5" s="57">
        <f>Pipeline!T9</f>
        <v>38.4352</v>
      </c>
      <c r="K5" s="57">
        <f>Pipeline!U9</f>
        <v>65.308</v>
      </c>
      <c r="L5" s="57">
        <f>Pipeline!V9</f>
        <v>96.8184</v>
      </c>
      <c r="M5" s="57">
        <f>Pipeline!W9</f>
        <v>125.0888</v>
      </c>
      <c r="N5" s="57">
        <f>Pipeline!X9</f>
        <v>143.6392</v>
      </c>
      <c r="O5" s="57">
        <f>Pipeline!Y9</f>
        <v>157.552</v>
      </c>
      <c r="P5" s="57">
        <f>Pipeline!Z9</f>
        <v>157.552</v>
      </c>
      <c r="Q5" s="57">
        <f>Pipeline!AA9</f>
        <v>157.552</v>
      </c>
      <c r="R5" s="57">
        <f>Pipeline!AB9</f>
        <v>157.552</v>
      </c>
      <c r="S5" s="57">
        <f>Pipeline!AC9</f>
        <v>157.552</v>
      </c>
      <c r="T5" s="57">
        <f>Pipeline!AD9</f>
        <v>157.552</v>
      </c>
      <c r="U5" s="57">
        <f>Pipeline!AE9</f>
        <v>125.152</v>
      </c>
      <c r="V5" s="57">
        <f>Pipeline!AF9</f>
        <v>108.952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-23.531</v>
      </c>
      <c r="D6" s="23">
        <f>-IF(D3-2026&lt;Assumptions!$B$19,Assumptions!$B$18,Assumptions!$B$18*Assumptions!$B$20*Assumptions!$B$16)</f>
        <v>-23.531</v>
      </c>
      <c r="E6" s="23">
        <f>-IF(E3-2026&lt;Assumptions!$B$19,Assumptions!$B$18,Assumptions!$B$18*Assumptions!$B$20*Assumptions!$B$16)</f>
        <v>-23.531</v>
      </c>
      <c r="F6" s="23">
        <f>-IF(F3-2026&lt;Assumptions!$B$19,Assumptions!$B$18,Assumptions!$B$18*Assumptions!$B$20*Assumptions!$B$16)</f>
        <v>-23.531</v>
      </c>
      <c r="G6" s="23">
        <f>-IF(G3-2026&lt;Assumptions!$B$19,Assumptions!$B$18,Assumptions!$B$18*Assumptions!$B$20*Assumptions!$B$16)</f>
        <v>-1.706400312500262</v>
      </c>
      <c r="H6" s="23">
        <f>-IF(H3-2026&lt;Assumptions!$B$19,Assumptions!$B$18,Assumptions!$B$18*Assumptions!$B$20*Assumptions!$B$16)</f>
        <v>-1.706400312500262</v>
      </c>
      <c r="I6" s="23">
        <f>-IF(I3-2026&lt;Assumptions!$B$19,Assumptions!$B$18,Assumptions!$B$18*Assumptions!$B$20*Assumptions!$B$16)</f>
        <v>-1.706400312500262</v>
      </c>
      <c r="J6" s="23">
        <f>-IF(J3-2026&lt;Assumptions!$B$19,Assumptions!$B$18,Assumptions!$B$18*Assumptions!$B$20*Assumptions!$B$16)</f>
        <v>-1.706400312500262</v>
      </c>
      <c r="K6" s="23">
        <f>-IF(K3-2026&lt;Assumptions!$B$19,Assumptions!$B$18,Assumptions!$B$18*Assumptions!$B$20*Assumptions!$B$16)</f>
        <v>-1.706400312500262</v>
      </c>
      <c r="L6" s="23">
        <f>-IF(L3-2026&lt;Assumptions!$B$19,Assumptions!$B$18,Assumptions!$B$18*Assumptions!$B$20*Assumptions!$B$16)</f>
        <v>-1.706400312500262</v>
      </c>
      <c r="M6" s="23">
        <f>-IF(M3-2026&lt;Assumptions!$B$19,Assumptions!$B$18,Assumptions!$B$18*Assumptions!$B$20*Assumptions!$B$16)</f>
        <v>-1.706400312500262</v>
      </c>
      <c r="N6" s="23">
        <f>-IF(N3-2026&lt;Assumptions!$B$19,Assumptions!$B$18,Assumptions!$B$18*Assumptions!$B$20*Assumptions!$B$16)</f>
        <v>-1.706400312500262</v>
      </c>
      <c r="O6" s="23">
        <f>-IF(O3-2026&lt;Assumptions!$B$19,Assumptions!$B$18,Assumptions!$B$18*Assumptions!$B$20*Assumptions!$B$16)</f>
        <v>-1.706400312500262</v>
      </c>
      <c r="P6" s="23">
        <f>-IF(P3-2026&lt;Assumptions!$B$19,Assumptions!$B$18,Assumptions!$B$18*Assumptions!$B$20*Assumptions!$B$16)</f>
        <v>-1.706400312500262</v>
      </c>
      <c r="Q6" s="23">
        <f>-IF(Q3-2026&lt;Assumptions!$B$19,Assumptions!$B$18,Assumptions!$B$18*Assumptions!$B$20*Assumptions!$B$16)</f>
        <v>-1.706400312500262</v>
      </c>
      <c r="R6" s="23">
        <f>-IF(R3-2026&lt;Assumptions!$B$19,Assumptions!$B$18,Assumptions!$B$18*Assumptions!$B$20*Assumptions!$B$16)</f>
        <v>-1.706400312500262</v>
      </c>
      <c r="S6" s="23">
        <f>-IF(S3-2026&lt;Assumptions!$B$19,Assumptions!$B$18,Assumptions!$B$18*Assumptions!$B$20*Assumptions!$B$16)</f>
        <v>-1.706400312500262</v>
      </c>
      <c r="T6" s="23">
        <f>-IF(T3-2026&lt;Assumptions!$B$19,Assumptions!$B$18,Assumptions!$B$18*Assumptions!$B$20*Assumptions!$B$16)</f>
        <v>-1.706400312500262</v>
      </c>
      <c r="U6" s="23">
        <f>-IF(U3-2026&lt;Assumptions!$B$19,Assumptions!$B$18,Assumptions!$B$18*Assumptions!$B$20*Assumptions!$B$16)</f>
        <v>-1.706400312500262</v>
      </c>
      <c r="V6" s="23">
        <f>-IF(V3-2026&lt;Assumptions!$B$19,Assumptions!$B$18,Assumptions!$B$18*Assumptions!$B$20*Assumptions!$B$16)</f>
        <v>-1.706400312500262</v>
      </c>
    </row>
    <row r="7">
      <c r="A7" s="14" t="inlineStr">
        <is>
          <t>Pre-tax cash flow</t>
        </is>
      </c>
      <c r="C7" s="23">
        <f>C5+C6</f>
        <v>-23.531</v>
      </c>
      <c r="D7" s="23">
        <f>D5+D6</f>
        <v>-23.531</v>
      </c>
      <c r="E7" s="23">
        <f>E5+E6</f>
        <v>-23.531</v>
      </c>
      <c r="F7" s="23">
        <f>F5+F6</f>
        <v>-23.531</v>
      </c>
      <c r="G7" s="23">
        <f>G5+G6</f>
        <v>-1.706400312500262</v>
      </c>
      <c r="H7" s="23">
        <f>H5+H6</f>
        <v>4.773599687499738</v>
      </c>
      <c r="I7" s="23">
        <f>I5+I6</f>
        <v>14.493599687499737</v>
      </c>
      <c r="J7" s="23">
        <f>J5+J6</f>
        <v>36.72879968749974</v>
      </c>
      <c r="K7" s="23">
        <f>K5+K6</f>
        <v>63.60159968749974</v>
      </c>
      <c r="L7" s="23">
        <f>L5+L6</f>
        <v>95.11199968749973</v>
      </c>
      <c r="M7" s="23">
        <f>M5+M6</f>
        <v>123.38239968749974</v>
      </c>
      <c r="N7" s="23">
        <f>N5+N6</f>
        <v>141.93279968749974</v>
      </c>
      <c r="O7" s="23">
        <f>O5+O6</f>
        <v>155.84559968749974</v>
      </c>
      <c r="P7" s="23">
        <f>P5+P6</f>
        <v>155.84559968749974</v>
      </c>
      <c r="Q7" s="23">
        <f>Q5+Q6</f>
        <v>155.84559968749974</v>
      </c>
      <c r="R7" s="23">
        <f>R5+R6</f>
        <v>155.84559968749974</v>
      </c>
      <c r="S7" s="23">
        <f>S5+S6</f>
        <v>155.84559968749974</v>
      </c>
      <c r="T7" s="23">
        <f>T5+T6</f>
        <v>155.84559968749974</v>
      </c>
      <c r="U7" s="23">
        <f>U5+U6</f>
        <v>123.44559968749974</v>
      </c>
      <c r="V7" s="23">
        <f>V5+V6</f>
        <v>107.24559968749973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4.773599687499738</v>
      </c>
      <c r="I8" s="23">
        <f>MIN(H17,MAX(0,I7))</f>
        <v>14.493599687499737</v>
      </c>
      <c r="J8" s="23">
        <f>MIN(I17,MAX(0,J7))</f>
        <v>36.72879968749974</v>
      </c>
      <c r="K8" s="23">
        <f>MIN(J17,MAX(0,K7))</f>
        <v>63.60159968749974</v>
      </c>
      <c r="L8" s="23">
        <f>MIN(K17,MAX(0,L7))</f>
        <v>95.11199968749973</v>
      </c>
      <c r="M8" s="23">
        <f>MIN(L17,MAX(0,M7))</f>
        <v>123.38239968749974</v>
      </c>
      <c r="N8" s="23">
        <f>MIN(M17,MAX(0,N7))</f>
        <v>44.73840218750183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97.1943974999979</v>
      </c>
      <c r="O9" s="23">
        <f>MAX(0,O7)-O8</f>
        <v>155.84559968749974</v>
      </c>
      <c r="P9" s="23">
        <f>MAX(0,P7)-P8</f>
        <v>155.84559968749974</v>
      </c>
      <c r="Q9" s="23">
        <f>MAX(0,Q7)-Q8</f>
        <v>155.84559968749974</v>
      </c>
      <c r="R9" s="23">
        <f>MAX(0,R7)-R8</f>
        <v>155.84559968749974</v>
      </c>
      <c r="S9" s="23">
        <f>MAX(0,S7)-S8</f>
        <v>155.84559968749974</v>
      </c>
      <c r="T9" s="23">
        <f>MAX(0,T7)-T8</f>
        <v>155.84559968749974</v>
      </c>
      <c r="U9" s="23">
        <f>MAX(0,U7)-U8</f>
        <v>123.44559968749974</v>
      </c>
      <c r="V9" s="23">
        <f>MAX(0,V7)-V8</f>
        <v>107.24559968749973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20.41082347499956</v>
      </c>
      <c r="O10" s="23">
        <f>O9*Assumptions!$E$15</f>
        <v>32.72757593437495</v>
      </c>
      <c r="P10" s="23">
        <f>P9*Assumptions!$E$15</f>
        <v>32.72757593437495</v>
      </c>
      <c r="Q10" s="23">
        <f>Q9*Assumptions!$E$15</f>
        <v>32.72757593437495</v>
      </c>
      <c r="R10" s="23">
        <f>R9*Assumptions!$E$15</f>
        <v>32.72757593437495</v>
      </c>
      <c r="S10" s="23">
        <f>S9*Assumptions!$E$15</f>
        <v>32.72757593437495</v>
      </c>
      <c r="T10" s="23">
        <f>T9*Assumptions!$E$15</f>
        <v>32.72757593437495</v>
      </c>
      <c r="U10" s="23">
        <f>U9*Assumptions!$E$15</f>
        <v>25.923575934374945</v>
      </c>
      <c r="V10" s="23">
        <f>V9*Assumptions!$E$15</f>
        <v>22.521575934374944</v>
      </c>
    </row>
    <row r="11">
      <c r="A11" s="24" t="inlineStr">
        <is>
          <t>Free cash flow</t>
        </is>
      </c>
      <c r="C11" s="55">
        <f>C7-C10</f>
        <v>-23.531</v>
      </c>
      <c r="D11" s="55">
        <f>D7-D10</f>
        <v>-23.531</v>
      </c>
      <c r="E11" s="55">
        <f>E7-E10</f>
        <v>-23.531</v>
      </c>
      <c r="F11" s="55">
        <f>F7-F10</f>
        <v>-23.531</v>
      </c>
      <c r="G11" s="55">
        <f>G7-G10</f>
        <v>-1.706400312500262</v>
      </c>
      <c r="H11" s="55">
        <f>H7-H10</f>
        <v>4.773599687499738</v>
      </c>
      <c r="I11" s="55">
        <f>I7-I10</f>
        <v>14.493599687499737</v>
      </c>
      <c r="J11" s="55">
        <f>J7-J10</f>
        <v>36.72879968749974</v>
      </c>
      <c r="K11" s="55">
        <f>K7-K10</f>
        <v>63.60159968749974</v>
      </c>
      <c r="L11" s="55">
        <f>L7-L10</f>
        <v>95.11199968749973</v>
      </c>
      <c r="M11" s="55">
        <f>M7-M10</f>
        <v>123.38239968749974</v>
      </c>
      <c r="N11" s="55">
        <f>N7-N10</f>
        <v>121.52197621250018</v>
      </c>
      <c r="O11" s="55">
        <f>O7-O10</f>
        <v>123.11802375312479</v>
      </c>
      <c r="P11" s="55">
        <f>P7-P10</f>
        <v>123.11802375312479</v>
      </c>
      <c r="Q11" s="55">
        <f>Q7-Q10</f>
        <v>123.11802375312479</v>
      </c>
      <c r="R11" s="55">
        <f>R7-R10</f>
        <v>123.11802375312479</v>
      </c>
      <c r="S11" s="55">
        <f>S7-S10</f>
        <v>123.11802375312479</v>
      </c>
      <c r="T11" s="55">
        <f>T7-T10</f>
        <v>123.11802375312479</v>
      </c>
      <c r="U11" s="55">
        <f>U7-U10</f>
        <v>97.52202375312478</v>
      </c>
      <c r="V11" s="55">
        <f>V7-V10</f>
        <v>84.72402375312478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-11.527939236663993</v>
      </c>
      <c r="D16" s="55">
        <f>D11*D15</f>
        <v>-21.00006153289488</v>
      </c>
      <c r="E16" s="55">
        <f>E11*E15</f>
        <v>-18.750054940084706</v>
      </c>
      <c r="F16" s="55">
        <f>F11*F15</f>
        <v>-16.741120482218488</v>
      </c>
      <c r="G16" s="55">
        <f>G11*G15</f>
        <v>-1.0839444783500702</v>
      </c>
      <c r="H16" s="55">
        <f>H11*H15</f>
        <v>2.7074103770702185</v>
      </c>
      <c r="I16" s="55">
        <f>I11*I15</f>
        <v>7.339497587150602</v>
      </c>
      <c r="J16" s="55">
        <f>J11*J15</f>
        <v>16.606525743482777</v>
      </c>
      <c r="K16" s="55">
        <f>K11*K15</f>
        <v>25.675686468006425</v>
      </c>
      <c r="L16" s="55">
        <f>L11*L15</f>
        <v>34.282407643274425</v>
      </c>
      <c r="M16" s="55">
        <f>M11*M15</f>
        <v>39.7073763411808</v>
      </c>
      <c r="N16" s="55">
        <f>N11*N15</f>
        <v>34.91843574627125</v>
      </c>
      <c r="O16" s="55">
        <f>O11*O15</f>
        <v>31.586650118342117</v>
      </c>
      <c r="P16" s="55">
        <f>P11*P15</f>
        <v>28.20236617709117</v>
      </c>
      <c r="Q16" s="55">
        <f>Q11*Q15</f>
        <v>25.180684086688547</v>
      </c>
      <c r="R16" s="55">
        <f>R11*R15</f>
        <v>22.48275364882906</v>
      </c>
      <c r="S16" s="55">
        <f>S11*S15</f>
        <v>20.073887186454513</v>
      </c>
      <c r="T16" s="55">
        <f>T11*T15</f>
        <v>17.923113559334386</v>
      </c>
      <c r="U16" s="55">
        <f>U11*U15</f>
        <v>12.675832832278827</v>
      </c>
      <c r="V16" s="55">
        <f>V11*V15</f>
        <v>9.83246363086833</v>
      </c>
    </row>
    <row r="17">
      <c r="A17" s="14" t="inlineStr">
        <is>
          <t>Tax-loss carryforward, end of year</t>
        </is>
      </c>
      <c r="C17" s="23">
        <f>Assumptions!$B$21-C8+MAX(0,-C7)</f>
        <v>310.531</v>
      </c>
      <c r="D17" s="23">
        <f>C17-D8+MAX(0,-D7)</f>
        <v>334.062</v>
      </c>
      <c r="E17" s="23">
        <f>D17-E8+MAX(0,-E7)</f>
        <v>357.593</v>
      </c>
      <c r="F17" s="23">
        <f>E17-F8+MAX(0,-F7)</f>
        <v>381.124</v>
      </c>
      <c r="G17" s="23">
        <f>F17-G8+MAX(0,-G7)</f>
        <v>382.8304003125003</v>
      </c>
      <c r="H17" s="23">
        <f>G17-H8+MAX(0,-H7)</f>
        <v>378.05680062500056</v>
      </c>
      <c r="I17" s="23">
        <f>H17-I8+MAX(0,-I7)</f>
        <v>363.5632009375008</v>
      </c>
      <c r="J17" s="23">
        <f>I17-J8+MAX(0,-J7)</f>
        <v>326.83440125000106</v>
      </c>
      <c r="K17" s="23">
        <f>J17-K8+MAX(0,-K7)</f>
        <v>263.2328015625013</v>
      </c>
      <c r="L17" s="23">
        <f>K17-L8+MAX(0,-L7)</f>
        <v>168.12080187500158</v>
      </c>
      <c r="M17" s="23">
        <f>L17-M8+MAX(0,-M7)</f>
        <v>44.73840218750183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387.089585537376</v>
      </c>
    </row>
    <row r="20">
      <c r="A20" s="14" t="inlineStr">
        <is>
          <t>PV of corporate burn</t>
        </is>
      </c>
      <c r="B20" s="23">
        <f>SUMPRODUCT(C6:V6,C15:V15)</f>
        <v>-76.4857196263583</v>
      </c>
    </row>
    <row r="21">
      <c r="A21" s="14" t="inlineStr">
        <is>
          <t>PV of taxes</t>
        </is>
      </c>
      <c r="B21" s="23">
        <f>-SUMPRODUCT(C10:V10,C15:V15)</f>
        <v>-50.51189543490639</v>
      </c>
    </row>
    <row r="22">
      <c r="A22" s="24" t="inlineStr">
        <is>
          <t>Pipeline rNPV (operations)</t>
        </is>
      </c>
      <c r="B22" s="54">
        <f>SUM(C16:V16)</f>
        <v>260.0919704761113</v>
      </c>
    </row>
    <row r="23">
      <c r="A23" s="14" t="inlineStr">
        <is>
          <t>Cash &amp; investments</t>
        </is>
      </c>
      <c r="B23" s="57">
        <f>Main!C7</f>
        <v>33.993982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294.08595247611134</v>
      </c>
    </row>
    <row r="26">
      <c r="A26" s="14" t="inlineStr">
        <is>
          <t>Shares (mm)</t>
        </is>
      </c>
      <c r="B26" s="57">
        <f>Main!C4</f>
        <v>9.452108</v>
      </c>
    </row>
    <row r="27">
      <c r="A27" s="24" t="inlineStr">
        <is>
          <t>rNPV / share</t>
        </is>
      </c>
      <c r="B27" s="60">
        <f>B25/B26</f>
        <v>31.113266212797328</v>
      </c>
    </row>
    <row r="28">
      <c r="A28" s="14" t="inlineStr">
        <is>
          <t>Price</t>
        </is>
      </c>
      <c r="B28" s="61">
        <f>Main!C3</f>
        <v>1.23</v>
      </c>
    </row>
    <row r="29">
      <c r="A29" s="14" t="inlineStr">
        <is>
          <t>Upside</t>
        </is>
      </c>
      <c r="B29" s="62">
        <f>B27/B28-1</f>
        <v>24.29533838438807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2026-10-21T06:30:44Z</dcterms:modified>
  <cp:lastModifiedBy>Wang, Eric</cp:lastModifiedBy>
</cp:coreProperties>
</file>