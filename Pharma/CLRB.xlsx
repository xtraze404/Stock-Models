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Cellectar Biosciences Inc</t>
        </is>
      </c>
      <c r="C2" s="10" t="n"/>
    </row>
    <row r="3">
      <c r="B3" t="inlineStr">
        <is>
          <t>Price</t>
        </is>
      </c>
      <c r="C3" s="11">
        <f>INDEX([1]Pharma!$F$1:$F$1000,MATCH("CLRB",[1]Pharma!$B$1:$B$1000,0))</f>
        <v>1.23</v>
      </c>
      <c r="F3" s="1" t="n"/>
    </row>
    <row r="4">
      <c r="B4" t="inlineStr">
        <is>
          <t>Shares</t>
        </is>
      </c>
      <c r="C4" s="21" t="n">
        <v>9.452108000000001</v>
      </c>
      <c r="F4" s="1" t="n"/>
    </row>
    <row r="5">
      <c r="B5" t="inlineStr">
        <is>
          <t>Market Cap.</t>
        </is>
      </c>
      <c r="C5" s="13">
        <f>C3*C4</f>
        <v>11.62609284</v>
      </c>
      <c r="F5" s="1" t="n"/>
    </row>
    <row r="6"/>
    <row r="7">
      <c r="B7" t="inlineStr">
        <is>
          <t>Cash</t>
        </is>
      </c>
      <c r="C7" s="21" t="n">
        <v>33.993982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-22.367889160000004</v>
      </c>
    </row>
    <row r="10"/>
    <row r="11">
      <c r="B11" s="14" t="inlineStr">
        <is>
          <t>Net Cash / Share</t>
        </is>
      </c>
      <c r="C11" s="11">
        <f>(C7-C8)/C4</f>
        <v>3.596444517984771</v>
      </c>
    </row>
    <row r="12">
      <c r="B12" s="14" t="inlineStr">
        <is>
          <t>Upside</t>
        </is>
      </c>
      <c r="C12" s="15">
        <f>IFERROR(C11/C3-1,"")</f>
        <v>1.923938632507944</v>
      </c>
    </row>
    <row r="13">
      <c r="B13" s="14" t="inlineStr">
        <is>
          <t>Cash / Share</t>
        </is>
      </c>
      <c r="C13" s="11">
        <f>IFERROR((C7-C8)/C4,"")</f>
        <v>3.596444517984771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-19.475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1.745518973042362</v>
      </c>
    </row>
    <row r="19">
      <c r="B19" s="14" t="inlineStr">
        <is>
          <t>Implied Pipeline Value</t>
        </is>
      </c>
      <c r="C19" s="13">
        <f>C9</f>
        <v>-22.367889160000004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2003</v>
      </c>
      <c r="C1" s="17" t="n">
        <v>2004</v>
      </c>
      <c r="D1" s="17" t="n">
        <v>2005</v>
      </c>
      <c r="E1" s="17" t="n">
        <v>2006</v>
      </c>
      <c r="F1" s="17" t="n">
        <v>2007</v>
      </c>
      <c r="G1" s="17" t="n">
        <v>2008</v>
      </c>
      <c r="H1" s="17" t="n">
        <v>2009</v>
      </c>
      <c r="I1" s="17" t="n">
        <v>2010</v>
      </c>
      <c r="J1" s="17" t="n">
        <v>2011</v>
      </c>
      <c r="K1" s="17" t="n">
        <v>2012</v>
      </c>
      <c r="L1" s="17" t="n">
        <v>2013</v>
      </c>
      <c r="M1" s="17" t="n">
        <v>2014</v>
      </c>
      <c r="N1" s="17" t="n">
        <v>2015</v>
      </c>
      <c r="O1" s="17" t="n">
        <v>2016</v>
      </c>
      <c r="P1" s="17" t="n">
        <v>2017</v>
      </c>
      <c r="Q1" s="17" t="n">
        <v>2018</v>
      </c>
      <c r="R1" s="17" t="n">
        <v>2019</v>
      </c>
      <c r="S1" s="17" t="n">
        <v>2020</v>
      </c>
      <c r="T1" s="17" t="n">
        <v>2021</v>
      </c>
      <c r="U1" s="17" t="n">
        <v>2022</v>
      </c>
      <c r="V1" s="17" t="n">
        <v>2023</v>
      </c>
      <c r="W1" s="17" t="n">
        <v>2024</v>
      </c>
      <c r="X1" s="17" t="n">
        <v>2025</v>
      </c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  <c r="W2" s="23" t="n">
        <v>0</v>
      </c>
      <c r="X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0.0</v>
      </c>
      <c r="W4" s="23">
        <f>W2-W3</f>
        <v>0.0</v>
      </c>
      <c r="X4" s="23">
        <f>X2-X3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2.984</v>
      </c>
      <c r="J5" s="23" t="n">
        <v>3.599</v>
      </c>
      <c r="K5" s="23" t="n">
        <v>5.123</v>
      </c>
      <c r="L5" s="23" t="n">
        <v>6.86</v>
      </c>
      <c r="M5" s="23" t="n">
        <v>5.964</v>
      </c>
      <c r="N5" s="23" t="n">
        <v>5.159</v>
      </c>
      <c r="O5" s="23" t="n">
        <v>4.75</v>
      </c>
      <c r="P5" s="23" t="n">
        <v>9.465999999999999</v>
      </c>
      <c r="Q5" s="23" t="n">
        <v>6.835</v>
      </c>
      <c r="R5" s="23" t="n">
        <v>8.996</v>
      </c>
      <c r="S5" s="23" t="n">
        <v>10.141</v>
      </c>
      <c r="T5" s="23" t="n">
        <v>17.586</v>
      </c>
      <c r="U5" s="23" t="n">
        <v>18.266</v>
      </c>
      <c r="V5" s="23" t="n">
        <v>27.266</v>
      </c>
      <c r="W5" s="23" t="n">
        <v>26.136</v>
      </c>
      <c r="X5" s="23" t="n">
        <v>11.499</v>
      </c>
    </row>
    <row r="6">
      <c r="A6" s="19" t="inlineStr">
        <is>
          <t>SG&amp;A &amp; Other</t>
        </is>
      </c>
      <c r="B6" s="23" t="n">
        <v>0.296</v>
      </c>
      <c r="C6" s="23" t="n">
        <v>0.343</v>
      </c>
      <c r="D6" s="23" t="n">
        <v>0.482</v>
      </c>
      <c r="E6" s="23" t="n">
        <v>0.963</v>
      </c>
      <c r="F6" s="23" t="n">
        <v>5.09</v>
      </c>
      <c r="G6" s="23" t="n">
        <v>6.091</v>
      </c>
      <c r="H6" s="23" t="n">
        <v>6.22</v>
      </c>
      <c r="I6" s="23" t="n">
        <v>1.209</v>
      </c>
      <c r="J6" s="23" t="n">
        <v>3.439</v>
      </c>
      <c r="K6" s="23" t="n">
        <v>3.632</v>
      </c>
      <c r="L6" s="23" t="n">
        <v>5.542</v>
      </c>
      <c r="M6" s="23" t="n">
        <v>3.926</v>
      </c>
      <c r="N6" s="23" t="n">
        <v>3.599</v>
      </c>
      <c r="O6" s="23" t="n">
        <v>4.699</v>
      </c>
      <c r="P6" s="23" t="n">
        <v>4.135</v>
      </c>
      <c r="Q6" s="23" t="n">
        <v>6.496</v>
      </c>
      <c r="R6" s="23" t="n">
        <v>5.183</v>
      </c>
      <c r="S6" s="23" t="n">
        <v>5.15</v>
      </c>
      <c r="T6" s="23" t="n">
        <v>6.545</v>
      </c>
      <c r="U6" s="23" t="n">
        <v>10.548</v>
      </c>
      <c r="V6" s="23" t="n">
        <v>11.694</v>
      </c>
      <c r="W6" s="23" t="n">
        <v>25.641</v>
      </c>
      <c r="X6" s="23" t="n">
        <v>11.481</v>
      </c>
    </row>
    <row r="7">
      <c r="A7" s="2" t="inlineStr">
        <is>
          <t>Operating Expense</t>
        </is>
      </c>
      <c r="B7" s="23">
        <f>SUM(B5:B6)</f>
        <v>0.296</v>
      </c>
      <c r="C7" s="23">
        <f>SUM(C5:C6)</f>
        <v>0.343</v>
      </c>
      <c r="D7" s="23">
        <f>SUM(D5:D6)</f>
        <v>0.482</v>
      </c>
      <c r="E7" s="23">
        <f>SUM(E5:E6)</f>
        <v>0.963</v>
      </c>
      <c r="F7" s="23">
        <f>SUM(F5:F6)</f>
        <v>5.09</v>
      </c>
      <c r="G7" s="23">
        <f>SUM(G5:G6)</f>
        <v>6.091</v>
      </c>
      <c r="H7" s="23">
        <f>SUM(H5:H6)</f>
        <v>6.22</v>
      </c>
      <c r="I7" s="23">
        <f>SUM(I5:I6)</f>
        <v>4.193</v>
      </c>
      <c r="J7" s="23">
        <f>SUM(J5:J6)</f>
        <v>7.038</v>
      </c>
      <c r="K7" s="23">
        <f>SUM(K5:K6)</f>
        <v>8.755</v>
      </c>
      <c r="L7" s="23">
        <f>SUM(L5:L6)</f>
        <v>12.402000000000001</v>
      </c>
      <c r="M7" s="23">
        <f>SUM(M5:M6)</f>
        <v>9.89</v>
      </c>
      <c r="N7" s="23">
        <f>SUM(N5:N6)</f>
        <v>8.758</v>
      </c>
      <c r="O7" s="23">
        <f>SUM(O5:O6)</f>
        <v>9.449</v>
      </c>
      <c r="P7" s="23">
        <f>SUM(P5:P6)</f>
        <v>13.600999999999999</v>
      </c>
      <c r="Q7" s="23">
        <f>SUM(Q5:Q6)</f>
        <v>13.331</v>
      </c>
      <c r="R7" s="23">
        <f>SUM(R5:R6)</f>
        <v>14.179</v>
      </c>
      <c r="S7" s="23">
        <f>SUM(S5:S6)</f>
        <v>15.291</v>
      </c>
      <c r="T7" s="23">
        <f>SUM(T5:T6)</f>
        <v>24.131</v>
      </c>
      <c r="U7" s="23">
        <f>SUM(U5:U6)</f>
        <v>28.814</v>
      </c>
      <c r="V7" s="23">
        <f>SUM(V5:V6)</f>
        <v>38.96</v>
      </c>
      <c r="W7" s="23">
        <f>SUM(W5:W6)</f>
        <v>51.777</v>
      </c>
      <c r="X7" s="23">
        <f>SUM(X5:X6)</f>
        <v>22.98</v>
      </c>
    </row>
    <row r="8">
      <c r="A8" s="2" t="inlineStr">
        <is>
          <t>Operating Income</t>
        </is>
      </c>
      <c r="B8" s="23">
        <f>B4-B7</f>
        <v>-0.296</v>
      </c>
      <c r="C8" s="23">
        <f>C4-C7</f>
        <v>-0.343</v>
      </c>
      <c r="D8" s="23">
        <f>D4-D7</f>
        <v>-0.482</v>
      </c>
      <c r="E8" s="23">
        <f>E4-E7</f>
        <v>-0.963</v>
      </c>
      <c r="F8" s="23">
        <f>F4-F7</f>
        <v>-5.09</v>
      </c>
      <c r="G8" s="23">
        <f>G4-G7</f>
        <v>-6.091</v>
      </c>
      <c r="H8" s="23">
        <f>H4-H7</f>
        <v>-6.22</v>
      </c>
      <c r="I8" s="23">
        <f>I4-I7</f>
        <v>-4.193</v>
      </c>
      <c r="J8" s="23">
        <f>J4-J7</f>
        <v>-7.038</v>
      </c>
      <c r="K8" s="23">
        <f>K4-K7</f>
        <v>-8.755</v>
      </c>
      <c r="L8" s="23">
        <f>L4-L7</f>
        <v>-12.402000000000001</v>
      </c>
      <c r="M8" s="23">
        <f>M4-M7</f>
        <v>-9.89</v>
      </c>
      <c r="N8" s="23">
        <f>N4-N7</f>
        <v>-8.758</v>
      </c>
      <c r="O8" s="23">
        <f>O4-O7</f>
        <v>-9.449</v>
      </c>
      <c r="P8" s="23">
        <f>P4-P7</f>
        <v>-13.600999999999999</v>
      </c>
      <c r="Q8" s="23">
        <f>Q4-Q7</f>
        <v>-13.331</v>
      </c>
      <c r="R8" s="23">
        <f>R4-R7</f>
        <v>-14.179</v>
      </c>
      <c r="S8" s="23">
        <f>S4-S7</f>
        <v>-15.291</v>
      </c>
      <c r="T8" s="23">
        <f>T4-T7</f>
        <v>-24.131</v>
      </c>
      <c r="U8" s="23">
        <f>U4-U7</f>
        <v>-28.814</v>
      </c>
      <c r="V8" s="23">
        <f>V4-V7</f>
        <v>-38.96</v>
      </c>
      <c r="W8" s="23">
        <f>W4-W7</f>
        <v>-51.777</v>
      </c>
      <c r="X8" s="23">
        <f>X4-X7</f>
        <v>-22.98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-0.367</v>
      </c>
      <c r="J9" s="23" t="n">
        <v>0.709</v>
      </c>
      <c r="K9" s="23" t="n">
        <v>-0.042</v>
      </c>
      <c r="L9" s="23" t="n">
        <v>1.62</v>
      </c>
      <c r="M9" s="23" t="n">
        <v>1.839</v>
      </c>
      <c r="N9" s="23" t="n">
        <v>3.263</v>
      </c>
      <c r="O9" s="23" t="n">
        <v>3.269</v>
      </c>
      <c r="P9" s="23" t="n">
        <v>0.039</v>
      </c>
      <c r="Q9" s="23" t="n">
        <v>0.092</v>
      </c>
      <c r="R9" s="23" t="n">
        <v>0.08599999999999999</v>
      </c>
      <c r="S9" s="23" t="n">
        <v>0.196</v>
      </c>
      <c r="T9" s="23" t="n">
        <v>0.008999999999999999</v>
      </c>
      <c r="U9" s="23" t="n">
        <v>-3.039</v>
      </c>
      <c r="V9" s="23" t="n">
        <v>0.917</v>
      </c>
      <c r="W9" s="23" t="n">
        <v>7.262</v>
      </c>
      <c r="X9" s="23" t="n">
        <v>1.189</v>
      </c>
    </row>
    <row r="10">
      <c r="A10" s="2" t="inlineStr">
        <is>
          <t>Pretax</t>
        </is>
      </c>
      <c r="B10" s="23">
        <f>B8+B9</f>
        <v>-0.296</v>
      </c>
      <c r="C10" s="23">
        <f>C8+C9</f>
        <v>-0.343</v>
      </c>
      <c r="D10" s="23">
        <f>D8+D9</f>
        <v>-0.482</v>
      </c>
      <c r="E10" s="23">
        <f>E8+E9</f>
        <v>-0.963</v>
      </c>
      <c r="F10" s="23">
        <f>F8+F9</f>
        <v>-5.09</v>
      </c>
      <c r="G10" s="23">
        <f>G8+G9</f>
        <v>-6.091</v>
      </c>
      <c r="H10" s="23">
        <f>H8+H9</f>
        <v>-6.22</v>
      </c>
      <c r="I10" s="23">
        <f>I8+I9</f>
        <v>-4.56</v>
      </c>
      <c r="J10" s="23">
        <f>J8+J9</f>
        <v>-6.329000000000001</v>
      </c>
      <c r="K10" s="23">
        <f>K8+K9</f>
        <v>-8.797</v>
      </c>
      <c r="L10" s="23">
        <f>L8+L9</f>
        <v>-10.782</v>
      </c>
      <c r="M10" s="23">
        <f>M8+M9</f>
        <v>-8.051</v>
      </c>
      <c r="N10" s="23">
        <f>N8+N9</f>
        <v>-5.494999999999999</v>
      </c>
      <c r="O10" s="23">
        <f>O8+O9</f>
        <v>-6.18</v>
      </c>
      <c r="P10" s="23">
        <f>P8+P9</f>
        <v>-13.562</v>
      </c>
      <c r="Q10" s="23">
        <f>Q8+Q9</f>
        <v>-13.238999999999999</v>
      </c>
      <c r="R10" s="23">
        <f>R8+R9</f>
        <v>-14.093</v>
      </c>
      <c r="S10" s="23">
        <f>S8+S9</f>
        <v>-15.095</v>
      </c>
      <c r="T10" s="23">
        <f>T8+T9</f>
        <v>-24.122</v>
      </c>
      <c r="U10" s="23">
        <f>U8+U9</f>
        <v>-31.853</v>
      </c>
      <c r="V10" s="23">
        <f>V8+V9</f>
        <v>-38.043</v>
      </c>
      <c r="W10" s="23">
        <f>W8+W9</f>
        <v>-44.515</v>
      </c>
      <c r="X10" s="23">
        <f>X8+X9</f>
        <v>-21.791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1.106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-0.06</v>
      </c>
      <c r="V11" s="23" t="n">
        <v>-0.06</v>
      </c>
      <c r="W11" s="23" t="n">
        <v>0.066</v>
      </c>
      <c r="X11" s="23" t="n">
        <v>0</v>
      </c>
    </row>
    <row r="12">
      <c r="A12" s="2" t="inlineStr">
        <is>
          <t>Net Income</t>
        </is>
      </c>
      <c r="B12" s="23" t="n">
        <v>-0.296</v>
      </c>
      <c r="C12" s="23" t="n">
        <v>-0.343</v>
      </c>
      <c r="D12" s="23" t="n">
        <v>-0.482</v>
      </c>
      <c r="E12" s="23" t="n">
        <v>-0.963</v>
      </c>
      <c r="F12" s="23" t="n">
        <v>-5.09</v>
      </c>
      <c r="G12" s="23" t="n">
        <v>-6.091</v>
      </c>
      <c r="H12" s="23" t="n">
        <v>-6.22</v>
      </c>
      <c r="I12" s="23" t="n">
        <v>-4.56</v>
      </c>
      <c r="J12" s="23" t="n">
        <v>-7.435</v>
      </c>
      <c r="K12" s="23" t="n">
        <v>-8.797000000000001</v>
      </c>
      <c r="L12" s="23" t="n">
        <v>-10.782</v>
      </c>
      <c r="M12" s="23" t="n">
        <v>-8.052</v>
      </c>
      <c r="N12" s="23" t="n">
        <v>-5.495</v>
      </c>
      <c r="O12" s="23" t="n">
        <v>-6.18</v>
      </c>
      <c r="P12" s="23" t="n">
        <v>-13.562</v>
      </c>
      <c r="Q12" s="23" t="n">
        <v>-13.239</v>
      </c>
      <c r="R12" s="23" t="n">
        <v>-14.093</v>
      </c>
      <c r="S12" s="23" t="n">
        <v>-15.094</v>
      </c>
      <c r="T12" s="23" t="n">
        <v>-24.122</v>
      </c>
      <c r="U12" s="23" t="n">
        <v>-31.793</v>
      </c>
      <c r="V12" s="23" t="n">
        <v>-37.983</v>
      </c>
      <c r="W12" s="23" t="n">
        <v>-44.581</v>
      </c>
      <c r="X12" s="23" t="n">
        <v>-21.791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-275.3703703703704</v>
      </c>
      <c r="K13" s="11">
        <f>IFERROR(K12/K14,0)</f>
        <v>-191.23913043478262</v>
      </c>
      <c r="L13" s="11">
        <f>IFERROR(L12/L14,0)</f>
        <v>-229.40425531914894</v>
      </c>
      <c r="M13" s="11">
        <f>IFERROR(M12/M14,0)</f>
        <v>-175.04347826086956</v>
      </c>
      <c r="N13" s="11">
        <f>IFERROR(N12/N14,0)</f>
        <v>-70.44871794871796</v>
      </c>
      <c r="O13" s="11">
        <f>IFERROR(O12/O14,0)</f>
        <v>-14.141876430205949</v>
      </c>
      <c r="P13" s="11">
        <f>IFERROR(P12/P14,0)</f>
        <v>-96.87142857142855</v>
      </c>
      <c r="Q13" s="11">
        <f>IFERROR(Q12/Q14,0)</f>
        <v>-44.726351351351354</v>
      </c>
      <c r="R13" s="11">
        <f>IFERROR(R12/R14,0)</f>
        <v>-18.350260416666668</v>
      </c>
      <c r="S13" s="11">
        <f>IFERROR(S12/S14,0)</f>
        <v>-7.619384149419484</v>
      </c>
      <c r="T13" s="11">
        <f>IFERROR(T12/T14,0)</f>
        <v>-43.46306306306306</v>
      </c>
      <c r="U13" s="11">
        <f>IFERROR(U12/U14,0)</f>
        <v>-45.03257790368272</v>
      </c>
      <c r="V13" s="11">
        <f>IFERROR(V12/V14,0)</f>
        <v>-31.082651391162027</v>
      </c>
      <c r="W13" s="11">
        <f>IFERROR(W12/W14,0)</f>
        <v>-36.01050080775445</v>
      </c>
      <c r="X13" s="11">
        <f>IFERROR(X12/X14,0)</f>
        <v>-8.355444785276074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>
        <v>0.027</v>
      </c>
      <c r="K14" s="23" t="n">
        <v>0.046</v>
      </c>
      <c r="L14" s="23" t="n">
        <v>0.047</v>
      </c>
      <c r="M14" s="23" t="n">
        <v>0.046</v>
      </c>
      <c r="N14" s="23" t="n">
        <v>0.078</v>
      </c>
      <c r="O14" s="23" t="n">
        <v>0.437</v>
      </c>
      <c r="P14" s="23" t="n">
        <v>0.14</v>
      </c>
      <c r="Q14" s="23" t="n">
        <v>0.296</v>
      </c>
      <c r="R14" s="23" t="n">
        <v>0.768</v>
      </c>
      <c r="S14" s="23" t="n">
        <v>1.981</v>
      </c>
      <c r="T14" s="23" t="n">
        <v>0.555</v>
      </c>
      <c r="U14" s="23" t="n">
        <v>0.706</v>
      </c>
      <c r="V14" s="23" t="n">
        <v>1.222</v>
      </c>
      <c r="W14" s="23" t="n">
        <v>1.238</v>
      </c>
      <c r="X14" s="23" t="n">
        <v>2.608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  <c r="W16" s="15">
        <f>IFERROR(W2/V2-1,"")</f>
        <v/>
      </c>
      <c r="X16" s="15">
        <f>IFERROR(X2/W2-1,"")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  <c r="W17" s="15">
        <f>IFERROR(W4/W2,"")</f>
        <v/>
      </c>
      <c r="X17" s="15">
        <f>IFERROR(X4/X2,"")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  <c r="W18" s="15">
        <f>IFERROR(W8/W2,"")</f>
        <v/>
      </c>
      <c r="X18" s="15">
        <f>IFERROR(X8/X2,"")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2026-10-21T01:06:36Z</dcterms:modified>
  <cp:lastModifiedBy>Wang, Eric</cp:lastModifiedBy>
</cp:coreProperties>
</file>