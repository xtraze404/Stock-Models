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Supernus Pharmaceuticals, Inc.</t>
        </is>
      </c>
      <c r="C2" s="10" t="n"/>
    </row>
    <row r="3">
      <c r="B3" t="inlineStr">
        <is>
          <t>Price</t>
        </is>
      </c>
      <c r="C3" s="11">
        <f>INDEX([1]Pharma!$F$1:$F$1000,MATCH("SUPN",[1]Pharma!$B$1:$B$1000,0))</f>
        <v>41.23</v>
      </c>
      <c r="F3" s="1" t="n"/>
    </row>
    <row r="4">
      <c r="B4" t="inlineStr">
        <is>
          <t>Shares</t>
        </is>
      </c>
      <c r="C4" s="51" t="n">
        <v>58.127013</v>
      </c>
      <c r="F4" s="1" t="n"/>
    </row>
    <row r="5">
      <c r="B5" t="inlineStr">
        <is>
          <t>Market Cap.</t>
        </is>
      </c>
      <c r="C5" s="13">
        <f>C3*C4</f>
        <v>2396.57674599</v>
      </c>
      <c r="F5" s="1" t="n"/>
    </row>
    <row r="6"/>
    <row r="7">
      <c r="B7" t="inlineStr">
        <is>
          <t>Cash</t>
        </is>
      </c>
      <c r="C7" s="51">
        <f>179.953+192.114</f>
        <v>372.067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2024.5097459899998</v>
      </c>
    </row>
    <row r="10"/>
    <row r="11">
      <c r="B11" s="14" t="inlineStr">
        <is>
          <t>NPV / Share</t>
        </is>
      </c>
      <c r="C11" s="11">
        <f>NPV!B28</f>
        <v>22.845623795053047</v>
      </c>
    </row>
    <row r="12">
      <c r="B12" s="14" t="inlineStr">
        <is>
          <t>Upside</t>
        </is>
      </c>
      <c r="C12" s="15">
        <f>IFERROR(C11/C3-1,"")</f>
        <v>-0.4458980403819295</v>
      </c>
    </row>
    <row r="13">
      <c r="B13" s="14" t="inlineStr">
        <is>
          <t>Cash / Share</t>
        </is>
      </c>
      <c r="C13" s="11">
        <f>IFERROR((C7-C8)/C4,"")</f>
        <v>6.40093100947747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2010</v>
      </c>
      <c r="C1" s="16" t="n">
        <v>2011</v>
      </c>
      <c r="D1" s="16" t="n">
        <v>2012</v>
      </c>
      <c r="E1" s="16" t="n">
        <v>2013</v>
      </c>
      <c r="F1" s="16" t="n">
        <v>2014</v>
      </c>
      <c r="G1" s="16" t="n">
        <v>2015</v>
      </c>
      <c r="H1" s="16" t="n">
        <v>2016</v>
      </c>
      <c r="I1" s="16" t="n">
        <v>2017</v>
      </c>
      <c r="J1" s="16" t="n">
        <v>2018</v>
      </c>
      <c r="K1" s="16" t="n">
        <v>2019</v>
      </c>
      <c r="L1" s="16" t="n">
        <v>2020</v>
      </c>
      <c r="M1" s="16" t="n">
        <v>2021</v>
      </c>
      <c r="N1" s="16" t="n">
        <v>2022</v>
      </c>
      <c r="O1" s="16" t="n">
        <v>2023</v>
      </c>
      <c r="P1" s="16" t="n">
        <v>2024</v>
      </c>
      <c r="Q1" s="16" t="n">
        <v>2025</v>
      </c>
      <c r="R1" s="16" t="n">
        <v>2026</v>
      </c>
      <c r="S1" s="16" t="n">
        <v>2027</v>
      </c>
      <c r="T1" s="16" t="n">
        <v>2028</v>
      </c>
      <c r="U1" s="16" t="n">
        <v>2029</v>
      </c>
      <c r="V1" s="16" t="n">
        <v>2030</v>
      </c>
      <c r="W1" s="16" t="n">
        <v>2031</v>
      </c>
      <c r="X1" s="16" t="n">
        <v>2032</v>
      </c>
      <c r="Y1" s="16" t="n">
        <v>2033</v>
      </c>
      <c r="Z1" s="16" t="n">
        <v>2034</v>
      </c>
      <c r="AA1" s="16" t="n">
        <v>2035</v>
      </c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0.106</v>
      </c>
      <c r="C2" s="52" t="n">
        <v>0.803</v>
      </c>
      <c r="D2" s="52" t="n">
        <v>1.48</v>
      </c>
      <c r="E2" s="52" t="n">
        <v>12.019</v>
      </c>
      <c r="F2" s="52" t="n">
        <v>92.678</v>
      </c>
      <c r="G2" s="52" t="n">
        <v>147.465</v>
      </c>
      <c r="H2" s="52" t="n">
        <v>215.003</v>
      </c>
      <c r="I2" s="52" t="n">
        <v>302.238</v>
      </c>
      <c r="J2" s="52" t="n">
        <v>408.897</v>
      </c>
      <c r="K2" s="52" t="n">
        <v>392.755</v>
      </c>
      <c r="L2" s="52" t="n">
        <v>520.397</v>
      </c>
      <c r="M2" s="52" t="n">
        <v>579.775</v>
      </c>
      <c r="N2" s="52" t="n">
        <v>667.2380000000001</v>
      </c>
      <c r="O2" s="52" t="n">
        <v>607.521</v>
      </c>
      <c r="P2" s="52" t="n">
        <v>661.817</v>
      </c>
      <c r="Q2" s="52" t="n">
        <v>718.952</v>
      </c>
      <c r="R2" s="52">
        <f>Q2*(1+NPV!C5)</f>
        <v>783.2263088</v>
      </c>
      <c r="S2" s="52">
        <f>R2*(1+NPV!D5)</f>
        <v>847.6423214415288</v>
      </c>
      <c r="T2" s="52">
        <f>S2*(1+NPV!E5)</f>
        <v>911.2908415337716</v>
      </c>
      <c r="U2" s="52">
        <f>T2*(1+NPV!F5)</f>
        <v>973.1978660352993</v>
      </c>
      <c r="V2" s="52">
        <f>U2*(1+NPV!G5)</f>
        <v>1032.3466696710002</v>
      </c>
      <c r="W2" s="52">
        <f>V2*(1+NPV!H5)</f>
        <v>1087.7033922024696</v>
      </c>
      <c r="X2" s="52">
        <f>W2*(1+NPV!I5)</f>
        <v>1138.2453431601443</v>
      </c>
      <c r="Y2" s="52">
        <f>X2*(1+NPV!J5)</f>
        <v>1182.9910323168176</v>
      </c>
      <c r="Z2" s="52">
        <f>Y2*(1+NPV!K5)</f>
        <v>1221.0307661782049</v>
      </c>
      <c r="AA2" s="52">
        <f>Z2*(1+NPV!L5)</f>
        <v>1251.55653533266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1.104</v>
      </c>
      <c r="F3" s="52" t="n">
        <v>5.758</v>
      </c>
      <c r="G3" s="52" t="n">
        <v>8.423</v>
      </c>
      <c r="H3" s="52" t="n">
        <v>11.986</v>
      </c>
      <c r="I3" s="52" t="n">
        <v>15.215</v>
      </c>
      <c r="J3" s="52" t="n">
        <v>15.356</v>
      </c>
      <c r="K3" s="52" t="n">
        <v>16.66</v>
      </c>
      <c r="L3" s="52" t="n">
        <v>52.459</v>
      </c>
      <c r="M3" s="52" t="n">
        <v>75.06100000000001</v>
      </c>
      <c r="N3" s="52" t="n">
        <v>87.221</v>
      </c>
      <c r="O3" s="52" t="n">
        <v>83.779</v>
      </c>
      <c r="P3" s="52" t="n">
        <v>77.90600000000001</v>
      </c>
      <c r="Q3" s="52" t="n">
        <v>74.562</v>
      </c>
      <c r="R3" s="52">
        <f>R2*(1-Assumptions!$B$19)</f>
        <v>81.22056822256</v>
      </c>
      <c r="S3" s="52">
        <f>S2*(1-Assumptions!$B$19)</f>
        <v>87.90050873348655</v>
      </c>
      <c r="T3" s="52">
        <f>T2*(1-Assumptions!$B$19)</f>
        <v>94.50086026705213</v>
      </c>
      <c r="U3" s="52">
        <f>U2*(1-Assumptions!$B$19)</f>
        <v>100.92061870786056</v>
      </c>
      <c r="V3" s="52">
        <f>V2*(1-Assumptions!$B$19)</f>
        <v>107.05434964488273</v>
      </c>
      <c r="W3" s="52">
        <f>W2*(1-Assumptions!$B$19)</f>
        <v>112.79484177139611</v>
      </c>
      <c r="X3" s="52">
        <f>X2*(1-Assumptions!$B$19)</f>
        <v>118.03604208570698</v>
      </c>
      <c r="Y3" s="52">
        <f>Y2*(1-Assumptions!$B$19)</f>
        <v>122.676170051254</v>
      </c>
      <c r="Z3" s="52">
        <f>Z2*(1-Assumptions!$B$19)</f>
        <v>126.62089045267986</v>
      </c>
      <c r="AA3" s="52">
        <f>AA2*(1-Assumptions!$B$19)</f>
        <v>129.78641271399684</v>
      </c>
    </row>
    <row r="4" customFormat="1" s="1">
      <c r="A4" s="5" t="inlineStr">
        <is>
          <t>Gross Margin</t>
        </is>
      </c>
      <c r="B4" s="52">
        <f>B2-B3</f>
        <v>0.106</v>
      </c>
      <c r="C4" s="52">
        <f>C2-C3</f>
        <v>0.803</v>
      </c>
      <c r="D4" s="52">
        <f>D2-D3</f>
        <v>1.48</v>
      </c>
      <c r="E4" s="52">
        <f>E2-E3</f>
        <v>10.915</v>
      </c>
      <c r="F4" s="52">
        <f>F2-F3</f>
        <v>86.92</v>
      </c>
      <c r="G4" s="52">
        <f>G2-G3</f>
        <v>139.042</v>
      </c>
      <c r="H4" s="52">
        <f>H2-H3</f>
        <v>203.017</v>
      </c>
      <c r="I4" s="52">
        <f>I2-I3</f>
        <v>287.023</v>
      </c>
      <c r="J4" s="52">
        <f>J2-J3</f>
        <v>393.541</v>
      </c>
      <c r="K4" s="52">
        <f>K2-K3</f>
        <v>376.09499999999997</v>
      </c>
      <c r="L4" s="52">
        <f>L2-L3</f>
        <v>467.93800000000005</v>
      </c>
      <c r="M4" s="52">
        <f>M2-M3</f>
        <v>504.71399999999994</v>
      </c>
      <c r="N4" s="52">
        <f>N2-N3</f>
        <v>580.017</v>
      </c>
      <c r="O4" s="52">
        <f>O2-O3</f>
        <v>523.742</v>
      </c>
      <c r="P4" s="52">
        <f>P2-P3</f>
        <v>583.9110000000001</v>
      </c>
      <c r="Q4" s="52">
        <f>Q2-Q3</f>
        <v>644.39</v>
      </c>
      <c r="R4" s="52">
        <f>R2-R3</f>
        <v>702.00574057744</v>
      </c>
      <c r="S4" s="52">
        <f>S2-S3</f>
        <v>759.7418127080423</v>
      </c>
      <c r="T4" s="52">
        <f>T2-T3</f>
        <v>816.7899812667195</v>
      </c>
      <c r="U4" s="52">
        <f>U2-U3</f>
        <v>872.2772473274388</v>
      </c>
      <c r="V4" s="52">
        <f>V2-V3</f>
        <v>925.2923200261175</v>
      </c>
      <c r="W4" s="52">
        <f>W2-W3</f>
        <v>974.9085504310734</v>
      </c>
      <c r="X4" s="52">
        <f>X2-X3</f>
        <v>1020.2093010744373</v>
      </c>
      <c r="Y4" s="52">
        <f>Y2-Y3</f>
        <v>1060.3148622655635</v>
      </c>
      <c r="Z4" s="52">
        <f>Z2-Z3</f>
        <v>1094.4098757255251</v>
      </c>
      <c r="AA4" s="52">
        <f>AA2-AA3</f>
        <v>1121.770122618663</v>
      </c>
    </row>
    <row r="5">
      <c r="A5" s="2" t="inlineStr">
        <is>
          <t>Research &amp; Dev.</t>
        </is>
      </c>
      <c r="B5" s="52" t="n">
        <v>35.149</v>
      </c>
      <c r="C5" s="52" t="n">
        <v>30.627</v>
      </c>
      <c r="D5" s="52" t="n">
        <v>23.517</v>
      </c>
      <c r="E5" s="52" t="n">
        <v>17.245</v>
      </c>
      <c r="F5" s="52" t="n">
        <v>19.586</v>
      </c>
      <c r="G5" s="52" t="n">
        <v>29.135</v>
      </c>
      <c r="H5" s="52" t="n">
        <v>42.791</v>
      </c>
      <c r="I5" s="52" t="n">
        <v>49.577</v>
      </c>
      <c r="J5" s="52" t="n">
        <v>89.209</v>
      </c>
      <c r="K5" s="52" t="n">
        <v>69.099</v>
      </c>
      <c r="L5" s="52" t="n">
        <v>75.961</v>
      </c>
      <c r="M5" s="52" t="n">
        <v>90.467</v>
      </c>
      <c r="N5" s="52" t="n">
        <v>74.55200000000001</v>
      </c>
      <c r="O5" s="52" t="n">
        <v>91.593</v>
      </c>
      <c r="P5" s="52" t="n">
        <v>108.796</v>
      </c>
      <c r="Q5" s="52" t="n">
        <v>106.235</v>
      </c>
      <c r="R5" s="52">
        <f>R7*Assumptions!$B$20</f>
        <v>119.80136180506159</v>
      </c>
      <c r="S5" s="52">
        <f>S7*Assumptions!$B$20</f>
        <v>125.10488136341561</v>
      </c>
      <c r="T5" s="52">
        <f>T7*Assumptions!$B$20</f>
        <v>129.60777584810975</v>
      </c>
      <c r="U5" s="52">
        <f>U7*Assumptions!$B$20</f>
        <v>133.18910384923444</v>
      </c>
      <c r="V5" s="52">
        <f>V7*Assumptions!$B$20</f>
        <v>135.74321713943968</v>
      </c>
      <c r="W5" s="52">
        <f>W7*Assumptions!$B$20</f>
        <v>137.18413430727685</v>
      </c>
      <c r="X5" s="52">
        <f>X7*Assumptions!$B$20</f>
        <v>137.44941854508977</v>
      </c>
      <c r="Y5" s="52">
        <f>Y7*Assumptions!$B$20</f>
        <v>136.50334306213915</v>
      </c>
      <c r="Z5" s="52">
        <f>Z7*Assumptions!$B$20</f>
        <v>134.33915169186122</v>
      </c>
      <c r="AA5" s="52">
        <f>AA7*Assumptions!$B$20</f>
        <v>130.98025997748528</v>
      </c>
    </row>
    <row r="6">
      <c r="A6" s="18" t="inlineStr">
        <is>
          <t>SG&amp;A &amp; Other</t>
        </is>
      </c>
      <c r="B6" s="52" t="n">
        <v>5.08</v>
      </c>
      <c r="C6" s="52" t="n">
        <v>7.928</v>
      </c>
      <c r="D6" s="52" t="n">
        <v>20.132</v>
      </c>
      <c r="E6" s="52" t="n">
        <v>55.59</v>
      </c>
      <c r="F6" s="52" t="n">
        <v>72.61199999999999</v>
      </c>
      <c r="G6" s="52" t="n">
        <v>89.063</v>
      </c>
      <c r="H6" s="52" t="n">
        <v>106.01</v>
      </c>
      <c r="I6" s="52" t="n">
        <v>137.905</v>
      </c>
      <c r="J6" s="52" t="n">
        <v>159.888</v>
      </c>
      <c r="K6" s="52" t="n">
        <v>158.425</v>
      </c>
      <c r="L6" s="52" t="n">
        <v>218.279</v>
      </c>
      <c r="M6" s="52" t="n">
        <v>328.218</v>
      </c>
      <c r="N6" s="52" t="n">
        <v>459.341</v>
      </c>
      <c r="O6" s="52" t="n">
        <v>437.418</v>
      </c>
      <c r="P6" s="52" t="n">
        <v>393.449</v>
      </c>
      <c r="Q6" s="52" t="n">
        <v>600.438</v>
      </c>
      <c r="R6" s="52">
        <f>R7-R5</f>
        <v>677.2802203976104</v>
      </c>
      <c r="S6" s="52">
        <f>S7-S5</f>
        <v>707.2629254457369</v>
      </c>
      <c r="T6" s="52">
        <f>T7-T5</f>
        <v>732.7194087700523</v>
      </c>
      <c r="U6" s="52">
        <f>U7-U5</f>
        <v>752.9659450478676</v>
      </c>
      <c r="V6" s="52">
        <f>V7-V5</f>
        <v>767.4052668222349</v>
      </c>
      <c r="W6" s="52">
        <f>W7-W5</f>
        <v>775.5512902255034</v>
      </c>
      <c r="X6" s="52">
        <f>X7-X5</f>
        <v>777.051037510065</v>
      </c>
      <c r="Y6" s="52">
        <f>Y7-Y5</f>
        <v>771.702532268128</v>
      </c>
      <c r="Z6" s="52">
        <f>Z7-Z5</f>
        <v>759.4675794582467</v>
      </c>
      <c r="AA6" s="52">
        <f>AA7-AA5</f>
        <v>740.4785555746457</v>
      </c>
    </row>
    <row r="7">
      <c r="A7" s="2" t="inlineStr">
        <is>
          <t>Operating Expense</t>
        </is>
      </c>
      <c r="B7" s="52">
        <f>SUM(B5:B6)</f>
        <v>40.229</v>
      </c>
      <c r="C7" s="52">
        <f>SUM(C5:C6)</f>
        <v>38.555</v>
      </c>
      <c r="D7" s="52">
        <f>SUM(D5:D6)</f>
        <v>43.649</v>
      </c>
      <c r="E7" s="52">
        <f>SUM(E5:E6)</f>
        <v>72.83500000000001</v>
      </c>
      <c r="F7" s="52">
        <f>SUM(F5:F6)</f>
        <v>92.198</v>
      </c>
      <c r="G7" s="52">
        <f>SUM(G5:G6)</f>
        <v>118.19800000000001</v>
      </c>
      <c r="H7" s="52">
        <f>SUM(H5:H6)</f>
        <v>148.801</v>
      </c>
      <c r="I7" s="52">
        <f>SUM(I5:I6)</f>
        <v>187.482</v>
      </c>
      <c r="J7" s="52">
        <f>SUM(J5:J6)</f>
        <v>249.097</v>
      </c>
      <c r="K7" s="52">
        <f>SUM(K5:K6)</f>
        <v>227.524</v>
      </c>
      <c r="L7" s="52">
        <f>SUM(L5:L6)</f>
        <v>294.24</v>
      </c>
      <c r="M7" s="52">
        <f>SUM(M5:M6)</f>
        <v>418.685</v>
      </c>
      <c r="N7" s="52">
        <f>SUM(N5:N6)</f>
        <v>533.893</v>
      </c>
      <c r="O7" s="52">
        <f>SUM(O5:O6)</f>
        <v>529.011</v>
      </c>
      <c r="P7" s="52">
        <f>SUM(P5:P6)</f>
        <v>502.245</v>
      </c>
      <c r="Q7" s="52">
        <f>SUM(Q5:Q6)</f>
        <v>706.673</v>
      </c>
      <c r="R7" s="52">
        <f>R4-R2*NPV!C6</f>
        <v>797.0815822026719</v>
      </c>
      <c r="S7" s="52">
        <f>S4-S2*NPV!D6</f>
        <v>832.3678068091525</v>
      </c>
      <c r="T7" s="52">
        <f>T4-T2*NPV!E6</f>
        <v>862.327184618162</v>
      </c>
      <c r="U7" s="52">
        <f>U4-U2*NPV!F6</f>
        <v>886.1550488971021</v>
      </c>
      <c r="V7" s="52">
        <f>V4-V2*NPV!G6</f>
        <v>903.1484839616746</v>
      </c>
      <c r="W7" s="52">
        <f>W4-W2*NPV!H6</f>
        <v>912.7354245327803</v>
      </c>
      <c r="X7" s="52">
        <f>X4-X2*NPV!I6</f>
        <v>914.5004560551548</v>
      </c>
      <c r="Y7" s="52">
        <f>Y4-Y2*NPV!J6</f>
        <v>908.2058753302672</v>
      </c>
      <c r="Z7" s="52">
        <f>Z4-Z2*NPV!K6</f>
        <v>893.8067311501079</v>
      </c>
      <c r="AA7" s="52">
        <f>AA4-AA2*NPV!L6</f>
        <v>871.458815552131</v>
      </c>
    </row>
    <row r="8">
      <c r="A8" s="2" t="inlineStr">
        <is>
          <t>Operating Income</t>
        </is>
      </c>
      <c r="B8" s="52">
        <f>B4-B7</f>
        <v>-40.123</v>
      </c>
      <c r="C8" s="52">
        <f>C4-C7</f>
        <v>-37.752</v>
      </c>
      <c r="D8" s="52">
        <f>D4-D7</f>
        <v>-42.169000000000004</v>
      </c>
      <c r="E8" s="52">
        <f>E4-E7</f>
        <v>-61.92000000000001</v>
      </c>
      <c r="F8" s="52">
        <f>F4-F7</f>
        <v>-5.277999999999992</v>
      </c>
      <c r="G8" s="52">
        <f>G4-G7</f>
        <v>20.843999999999994</v>
      </c>
      <c r="H8" s="52">
        <f>H4-H7</f>
        <v>54.21600000000001</v>
      </c>
      <c r="I8" s="52">
        <f>I4-I7</f>
        <v>99.54100000000003</v>
      </c>
      <c r="J8" s="52">
        <f>J4-J7</f>
        <v>144.444</v>
      </c>
      <c r="K8" s="52">
        <f>K4-K7</f>
        <v>148.57099999999997</v>
      </c>
      <c r="L8" s="52">
        <f>L4-L7</f>
        <v>173.69800000000004</v>
      </c>
      <c r="M8" s="52">
        <f>M4-M7</f>
        <v>86.02899999999994</v>
      </c>
      <c r="N8" s="52">
        <f>N4-N7</f>
        <v>46.124000000000024</v>
      </c>
      <c r="O8" s="52">
        <f>O4-O7</f>
        <v>-5.2690000000000055</v>
      </c>
      <c r="P8" s="52">
        <f>P4-P7</f>
        <v>81.66600000000005</v>
      </c>
      <c r="Q8" s="52">
        <f>Q4-Q7</f>
        <v>-62.283000000000015</v>
      </c>
      <c r="R8" s="52">
        <f>R4-R7</f>
        <v>-95.07584162523199</v>
      </c>
      <c r="S8" s="52">
        <f>S4-S7</f>
        <v>-72.62599410111022</v>
      </c>
      <c r="T8" s="52">
        <f>T4-T7</f>
        <v>-45.5372033514426</v>
      </c>
      <c r="U8" s="52">
        <f>U4-U7</f>
        <v>-13.877801569663347</v>
      </c>
      <c r="V8" s="52">
        <f>V4-V7</f>
        <v>22.143836064442894</v>
      </c>
      <c r="W8" s="52">
        <f>W4-W7</f>
        <v>62.173125898293165</v>
      </c>
      <c r="X8" s="52">
        <f>X4-X7</f>
        <v>105.70884501928253</v>
      </c>
      <c r="Y8" s="52">
        <f>Y4-Y7</f>
        <v>152.10898693529634</v>
      </c>
      <c r="Z8" s="52">
        <f>Z4-Z7</f>
        <v>200.60314457541722</v>
      </c>
      <c r="AA8" s="52">
        <f>AA4-AA7</f>
        <v>250.31130706653198</v>
      </c>
    </row>
    <row r="9">
      <c r="A9" s="18" t="inlineStr">
        <is>
          <t>Interest &amp; Other</t>
        </is>
      </c>
      <c r="B9" s="52" t="n">
        <v>1.261</v>
      </c>
      <c r="C9" s="52" t="n">
        <v>75.322</v>
      </c>
      <c r="D9" s="52" t="n">
        <v>-4.115</v>
      </c>
      <c r="E9" s="52" t="n">
        <v>-30.353</v>
      </c>
      <c r="F9" s="52" t="n">
        <v>-5.017</v>
      </c>
      <c r="G9" s="52" t="n">
        <v>-6.234</v>
      </c>
      <c r="H9" s="52" t="n">
        <v>-3.847</v>
      </c>
      <c r="I9" s="52" t="n">
        <v>1.077</v>
      </c>
      <c r="J9" s="52" t="n">
        <v>-4.268</v>
      </c>
      <c r="K9" s="52" t="n">
        <v>-1.084</v>
      </c>
      <c r="L9" s="52" t="n">
        <v>-5.05</v>
      </c>
      <c r="M9" s="52" t="n">
        <v>-12.878</v>
      </c>
      <c r="N9" s="52" t="n">
        <v>14.608</v>
      </c>
      <c r="O9" s="52" t="n">
        <v>8.022</v>
      </c>
      <c r="P9" s="52" t="n">
        <v>16.239</v>
      </c>
      <c r="Q9" s="52" t="n">
        <v>13.203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</row>
    <row r="10">
      <c r="A10" s="2" t="inlineStr">
        <is>
          <t>Pretax</t>
        </is>
      </c>
      <c r="B10" s="52">
        <f>B8+B9</f>
        <v>-38.861999999999995</v>
      </c>
      <c r="C10" s="52">
        <f>C8+C9</f>
        <v>37.57</v>
      </c>
      <c r="D10" s="52">
        <f>D8+D9</f>
        <v>-46.284000000000006</v>
      </c>
      <c r="E10" s="52">
        <f>E8+E9</f>
        <v>-92.27300000000001</v>
      </c>
      <c r="F10" s="52">
        <f>F8+F9</f>
        <v>-10.294999999999991</v>
      </c>
      <c r="G10" s="52">
        <f>G8+G9</f>
        <v>14.609999999999994</v>
      </c>
      <c r="H10" s="52">
        <f>H8+H9</f>
        <v>50.36900000000001</v>
      </c>
      <c r="I10" s="52">
        <f>I8+I9</f>
        <v>100.61800000000002</v>
      </c>
      <c r="J10" s="52">
        <f>J8+J9</f>
        <v>140.176</v>
      </c>
      <c r="K10" s="52">
        <f>K8+K9</f>
        <v>147.48699999999997</v>
      </c>
      <c r="L10" s="52">
        <f>L8+L9</f>
        <v>168.64800000000002</v>
      </c>
      <c r="M10" s="52">
        <f>M8+M9</f>
        <v>73.15099999999994</v>
      </c>
      <c r="N10" s="52">
        <f>N8+N9</f>
        <v>60.73200000000003</v>
      </c>
      <c r="O10" s="52">
        <f>O8+O9</f>
        <v>2.752999999999995</v>
      </c>
      <c r="P10" s="52">
        <f>P8+P9</f>
        <v>97.90500000000006</v>
      </c>
      <c r="Q10" s="52">
        <f>Q8+Q9</f>
        <v>-49.08000000000001</v>
      </c>
      <c r="R10" s="52">
        <f>R8+R9</f>
        <v>-95.07584162523199</v>
      </c>
      <c r="S10" s="52">
        <f>S8+S9</f>
        <v>-72.62599410111022</v>
      </c>
      <c r="T10" s="52">
        <f>T8+T9</f>
        <v>-45.5372033514426</v>
      </c>
      <c r="U10" s="52">
        <f>U8+U9</f>
        <v>-13.877801569663347</v>
      </c>
      <c r="V10" s="52">
        <f>V8+V9</f>
        <v>22.143836064442894</v>
      </c>
      <c r="W10" s="52">
        <f>W8+W9</f>
        <v>62.173125898293165</v>
      </c>
      <c r="X10" s="52">
        <f>X8+X9</f>
        <v>105.70884501928253</v>
      </c>
      <c r="Y10" s="52">
        <f>Y8+Y9</f>
        <v>152.10898693529634</v>
      </c>
      <c r="Z10" s="52">
        <f>Z8+Z9</f>
        <v>200.60314457541722</v>
      </c>
      <c r="AA10" s="52">
        <f>AA8+AA9</f>
        <v>250.31130706653198</v>
      </c>
    </row>
    <row r="11">
      <c r="A11" s="2" t="inlineStr">
        <is>
          <t>Taxes</t>
        </is>
      </c>
      <c r="B11" s="52" t="n">
        <v>-0.399</v>
      </c>
      <c r="C11" s="52" t="n">
        <v>-16.245</v>
      </c>
      <c r="D11" s="52" t="n">
        <v>0</v>
      </c>
      <c r="E11" s="52" t="n">
        <v>0</v>
      </c>
      <c r="F11" s="52" t="n">
        <v>0.63</v>
      </c>
      <c r="G11" s="52" t="n">
        <v>0.666</v>
      </c>
      <c r="H11" s="52" t="n">
        <v>-40.852</v>
      </c>
      <c r="I11" s="52" t="n">
        <v>43.334</v>
      </c>
      <c r="J11" s="52" t="n">
        <v>29.183</v>
      </c>
      <c r="K11" s="52" t="n">
        <v>34.431</v>
      </c>
      <c r="L11" s="52" t="n">
        <v>41.698</v>
      </c>
      <c r="M11" s="52" t="n">
        <v>19.751</v>
      </c>
      <c r="N11" s="52" t="n">
        <v>0.032</v>
      </c>
      <c r="O11" s="52" t="n">
        <v>1.453</v>
      </c>
      <c r="P11" s="52" t="n">
        <v>24.005</v>
      </c>
      <c r="Q11" s="52" t="n">
        <v>-10.48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3.7644521309552923</v>
      </c>
      <c r="W11" s="52">
        <f>MAX(0,W10)*Assumptions!$E$14</f>
        <v>10.569431402709839</v>
      </c>
      <c r="X11" s="52">
        <f>MAX(0,X10)*Assumptions!$E$14</f>
        <v>17.970503653278033</v>
      </c>
      <c r="Y11" s="52">
        <f>MAX(0,Y10)*Assumptions!$E$14</f>
        <v>25.85852777900038</v>
      </c>
      <c r="Z11" s="52">
        <f>MAX(0,Z10)*Assumptions!$E$14</f>
        <v>34.10253457782093</v>
      </c>
      <c r="AA11" s="52">
        <f>MAX(0,AA10)*Assumptions!$E$14</f>
        <v>42.55292220131044</v>
      </c>
    </row>
    <row r="12">
      <c r="A12" s="2" t="inlineStr">
        <is>
          <t>Net Income</t>
        </is>
      </c>
      <c r="B12" s="52" t="n">
        <v>-38.463</v>
      </c>
      <c r="C12" s="52" t="n">
        <v>53.815</v>
      </c>
      <c r="D12" s="52" t="n">
        <v>-46.284</v>
      </c>
      <c r="E12" s="52" t="n">
        <v>-92.273</v>
      </c>
      <c r="F12" s="52" t="n">
        <v>-10.925</v>
      </c>
      <c r="G12" s="52" t="n">
        <v>13.944</v>
      </c>
      <c r="H12" s="52" t="n">
        <v>91.221</v>
      </c>
      <c r="I12" s="52" t="n">
        <v>57.284</v>
      </c>
      <c r="J12" s="52" t="n">
        <v>110.993</v>
      </c>
      <c r="K12" s="52" t="n">
        <v>113.056</v>
      </c>
      <c r="L12" s="52" t="n">
        <v>126.95</v>
      </c>
      <c r="M12" s="52" t="n">
        <v>53.4</v>
      </c>
      <c r="N12" s="52" t="n">
        <v>60.7</v>
      </c>
      <c r="O12" s="52" t="n">
        <v>1.3</v>
      </c>
      <c r="P12" s="52" t="n">
        <v>73.90000000000001</v>
      </c>
      <c r="Q12" s="52" t="n">
        <v>-38.6</v>
      </c>
      <c r="R12" s="52">
        <f>R10-R11</f>
        <v>-95.07584162523199</v>
      </c>
      <c r="S12" s="52">
        <f>S10-S11</f>
        <v>-72.62599410111022</v>
      </c>
      <c r="T12" s="52">
        <f>T10-T11</f>
        <v>-45.5372033514426</v>
      </c>
      <c r="U12" s="52">
        <f>U10-U11</f>
        <v>-13.877801569663347</v>
      </c>
      <c r="V12" s="52">
        <f>V10-V11</f>
        <v>18.379383933487603</v>
      </c>
      <c r="W12" s="52">
        <f>W10-W11</f>
        <v>51.603694495583326</v>
      </c>
      <c r="X12" s="52">
        <f>X10-X11</f>
        <v>87.7383413660045</v>
      </c>
      <c r="Y12" s="52">
        <f>Y10-Y11</f>
        <v>126.25045915629596</v>
      </c>
      <c r="Z12" s="52">
        <f>Z10-Z11</f>
        <v>166.50060999759629</v>
      </c>
      <c r="AA12" s="52">
        <f>AA10-AA11</f>
        <v>207.75838486522156</v>
      </c>
    </row>
    <row r="13">
      <c r="A13" s="2" t="inlineStr">
        <is>
          <t>Earnings per Share</t>
        </is>
      </c>
      <c r="B13" s="11">
        <f>IFERROR(B12/B14,0)</f>
        <v>-2.2019120677810853</v>
      </c>
      <c r="C13" s="11">
        <f>IFERROR(C12/C14,0)</f>
        <v>3.0474545557506088</v>
      </c>
      <c r="D13" s="11">
        <f>IFERROR(D12/D14,0)</f>
        <v>-2.653746918181297</v>
      </c>
      <c r="E13" s="11">
        <f>IFERROR(E12/E14,0)</f>
        <v>-2.8972933936196936</v>
      </c>
      <c r="F13" s="11">
        <f>IFERROR(F12/F14,0)</f>
        <v>-0.25851257660727384</v>
      </c>
      <c r="G13" s="11">
        <f>IFERROR(G12/G14,0)</f>
        <v>0.27255668491008606</v>
      </c>
      <c r="H13" s="11">
        <f>IFERROR(H12/H14,0)</f>
        <v>1.7641222997930728</v>
      </c>
      <c r="I13" s="11">
        <f>IFERROR(I12/I14,0)</f>
        <v>1.0747265529727397</v>
      </c>
      <c r="J13" s="11">
        <f>IFERROR(J12/J14,0)</f>
        <v>2.051664540934213</v>
      </c>
      <c r="K13" s="11">
        <f>IFERROR(K12/K14,0)</f>
        <v>2.1007488340115574</v>
      </c>
      <c r="L13" s="11">
        <f>IFERROR(L12/L14,0)</f>
        <v>2.3644999068727883</v>
      </c>
      <c r="M13" s="11">
        <f>IFERROR(M12/M14,0)</f>
        <v>0.9823941718637894</v>
      </c>
      <c r="N13" s="11">
        <f>IFERROR(N12/N14,0)</f>
        <v>0.9841115434500649</v>
      </c>
      <c r="O13" s="11">
        <f>IFERROR(O12/O14,0)</f>
        <v>0.023420469490334554</v>
      </c>
      <c r="P13" s="11">
        <f>IFERROR(P12/P14,0)</f>
        <v>1.320609732125306</v>
      </c>
      <c r="Q13" s="11">
        <f>IFERROR(Q12/Q14,0)</f>
        <v>-0.6837788524561124</v>
      </c>
      <c r="R13" s="11">
        <f>IFERROR(R12/R14,0)</f>
        <v>-1.6356567578181247</v>
      </c>
      <c r="S13" s="11">
        <f>IFERROR(S12/S14,0)</f>
        <v>-1.2494361976093666</v>
      </c>
      <c r="T13" s="11">
        <f>IFERROR(T12/T14,0)</f>
        <v>-0.7834086253742748</v>
      </c>
      <c r="U13" s="11">
        <f>IFERROR(U12/U14,0)</f>
        <v>-0.23874960802928835</v>
      </c>
      <c r="V13" s="11">
        <f>IFERROR(V12/V14,0)</f>
        <v>0.3161935042746408</v>
      </c>
      <c r="W13" s="11">
        <f>IFERROR(W12/W14,0)</f>
        <v>0.8877747510539261</v>
      </c>
      <c r="X13" s="11">
        <f>IFERROR(X12/X14,0)</f>
        <v>1.509424565924358</v>
      </c>
      <c r="Y13" s="11">
        <f>IFERROR(Y12/Y14,0)</f>
        <v>2.171975689793246</v>
      </c>
      <c r="Z13" s="11">
        <f>IFERROR(Z12/Z14,0)</f>
        <v>2.8644274220248733</v>
      </c>
      <c r="AA13" s="11">
        <f>IFERROR(AA12/AA14,0)</f>
        <v>3.57421402103049</v>
      </c>
    </row>
    <row r="14">
      <c r="A14" s="2" t="inlineStr">
        <is>
          <t>Shares</t>
        </is>
      </c>
      <c r="B14" s="52" t="n">
        <v>17.468</v>
      </c>
      <c r="C14" s="52" t="n">
        <v>17.659</v>
      </c>
      <c r="D14" s="52" t="n">
        <v>17.441</v>
      </c>
      <c r="E14" s="52" t="n">
        <v>31.848</v>
      </c>
      <c r="F14" s="52" t="n">
        <v>42.261</v>
      </c>
      <c r="G14" s="52" t="n">
        <v>51.16</v>
      </c>
      <c r="H14" s="52" t="n">
        <v>51.709</v>
      </c>
      <c r="I14" s="52" t="n">
        <v>53.301</v>
      </c>
      <c r="J14" s="52" t="n">
        <v>54.099</v>
      </c>
      <c r="K14" s="52" t="n">
        <v>53.817</v>
      </c>
      <c r="L14" s="52" t="n">
        <v>53.69</v>
      </c>
      <c r="M14" s="52" t="n">
        <v>54.357</v>
      </c>
      <c r="N14" s="52" t="n">
        <v>61.68</v>
      </c>
      <c r="O14" s="52" t="n">
        <v>55.507</v>
      </c>
      <c r="P14" s="52" t="n">
        <v>55.959</v>
      </c>
      <c r="Q14" s="52" t="n">
        <v>56.451</v>
      </c>
      <c r="R14" s="52">
        <f>Main!$C$4</f>
        <v>58.127013</v>
      </c>
      <c r="S14" s="52">
        <f>Main!$C$4</f>
        <v>58.127013</v>
      </c>
      <c r="T14" s="52">
        <f>Main!$C$4</f>
        <v>58.127013</v>
      </c>
      <c r="U14" s="52">
        <f>Main!$C$4</f>
        <v>58.127013</v>
      </c>
      <c r="V14" s="52">
        <f>Main!$C$4</f>
        <v>58.127013</v>
      </c>
      <c r="W14" s="52">
        <f>Main!$C$4</f>
        <v>58.127013</v>
      </c>
      <c r="X14" s="52">
        <f>Main!$C$4</f>
        <v>58.127013</v>
      </c>
      <c r="Y14" s="52">
        <f>Main!$C$4</f>
        <v>58.127013</v>
      </c>
      <c r="Z14" s="52">
        <f>Main!$C$4</f>
        <v>58.127013</v>
      </c>
      <c r="AA14" s="52">
        <f>Main!$C$4</f>
        <v>58.127013</v>
      </c>
    </row>
    <row r="15"/>
    <row r="16" customFormat="1" s="4">
      <c r="A16" s="3" t="inlineStr">
        <is>
          <t>Revenue Change</t>
        </is>
      </c>
      <c r="C16" s="15">
        <f>IFERROR(C2/B2-1,"")</f>
        <v>6.575471698113208</v>
      </c>
      <c r="D16" s="15">
        <f>IFERROR(D2/C2-1,"")</f>
        <v>0.843088418430884</v>
      </c>
      <c r="E16" s="15">
        <f>IFERROR(E2/D2-1,"")</f>
        <v>7.120945945945946</v>
      </c>
      <c r="F16" s="15">
        <f>IFERROR(F2/E2-1,"")</f>
        <v>6.710957650386887</v>
      </c>
      <c r="G16" s="15">
        <f>IFERROR(G2/F2-1,"")</f>
        <v>0.5911543192559183</v>
      </c>
      <c r="H16" s="15">
        <f>IFERROR(H2/G2-1,"")</f>
        <v>0.457993422167972</v>
      </c>
      <c r="I16" s="15">
        <f>IFERROR(I2/H2-1,"")</f>
        <v>0.40573852457872683</v>
      </c>
      <c r="J16" s="15">
        <f>IFERROR(J2/I2-1,"")</f>
        <v>0.35289738550413907</v>
      </c>
      <c r="K16" s="15">
        <f>IFERROR(K2/J2-1,"")</f>
        <v>-0.03947693428907528</v>
      </c>
      <c r="L16" s="15">
        <f>IFERROR(L2/K2-1,"")</f>
        <v>0.3249914068566919</v>
      </c>
      <c r="M16" s="15">
        <f>IFERROR(M2/L2-1,"")</f>
        <v>0.11410134954659612</v>
      </c>
      <c r="N16" s="15">
        <f>IFERROR(N2/M2-1,"")</f>
        <v>0.15085679789573558</v>
      </c>
      <c r="O16" s="15">
        <f>IFERROR(O2/N2-1,"")</f>
        <v>-0.08949879952880391</v>
      </c>
      <c r="P16" s="15">
        <f>IFERROR(P2/O2-1,"")</f>
        <v>0.08937304224874532</v>
      </c>
      <c r="Q16" s="15">
        <f>IFERROR(Q2/P2-1,"")</f>
        <v>0.08633051130448455</v>
      </c>
      <c r="R16" s="15">
        <f>IFERROR(R2/Q2-1,"")</f>
        <v>0.08939999999999992</v>
      </c>
      <c r="S16" s="15">
        <f>IFERROR(S2/R2-1,"")</f>
        <v>0.08224444444444434</v>
      </c>
      <c r="T16" s="15">
        <f>IFERROR(T2/S2-1,"")</f>
        <v>0.07508888888888898</v>
      </c>
      <c r="U16" s="15">
        <f>IFERROR(U2/T2-1,"")</f>
        <v>0.0679333333333334</v>
      </c>
      <c r="V16" s="15">
        <f>IFERROR(V2/U2-1,"")</f>
        <v>0.06077777777777782</v>
      </c>
      <c r="W16" s="15">
        <f>IFERROR(W2/V2-1,"")</f>
        <v>0.05362222222222224</v>
      </c>
      <c r="X16" s="15">
        <f>IFERROR(X2/W2-1,"")</f>
        <v>0.046466666666666656</v>
      </c>
      <c r="Y16" s="15">
        <f>IFERROR(Y2/X2-1,"")</f>
        <v>0.039311111111111074</v>
      </c>
      <c r="Z16" s="15">
        <f>IFERROR(Z2/Y2-1,"")</f>
        <v>0.03215555555555549</v>
      </c>
      <c r="AA16" s="15">
        <f>IFERROR(AA2/Z2-1,"")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0.9081454363923787</v>
      </c>
      <c r="F17" s="15">
        <f>IFERROR(F4/F2,"")</f>
        <v>0.9378709078745765</v>
      </c>
      <c r="G17" s="15">
        <f>IFERROR(G4/G2,"")</f>
        <v>0.9428813616790425</v>
      </c>
      <c r="H17" s="15">
        <f>IFERROR(H4/H2,"")</f>
        <v>0.9442519406705954</v>
      </c>
      <c r="I17" s="15">
        <f>IFERROR(I4/I2,"")</f>
        <v>0.9496588781026873</v>
      </c>
      <c r="J17" s="15">
        <f>IFERROR(J4/J2,"")</f>
        <v>0.9624453101881403</v>
      </c>
      <c r="K17" s="15">
        <f>IFERROR(K4/K2,"")</f>
        <v>0.9575816985143409</v>
      </c>
      <c r="L17" s="15">
        <f>IFERROR(L4/L2,"")</f>
        <v>0.8991942689907897</v>
      </c>
      <c r="M17" s="15">
        <f>IFERROR(M4/M2,"")</f>
        <v>0.8705342589797765</v>
      </c>
      <c r="N17" s="15">
        <f>IFERROR(N4/N2,"")</f>
        <v>0.8692805265887135</v>
      </c>
      <c r="O17" s="15">
        <f>IFERROR(O4/O2,"")</f>
        <v>0.8620969480890373</v>
      </c>
      <c r="P17" s="15">
        <f>IFERROR(P4/P2,"")</f>
        <v>0.8822846799039614</v>
      </c>
      <c r="Q17" s="15">
        <f>IFERROR(Q4/Q2,"")</f>
        <v>0.8962907120364085</v>
      </c>
      <c r="R17" s="15">
        <f>IFERROR(R4/R2,"")</f>
        <v>0.8963</v>
      </c>
      <c r="S17" s="15">
        <f>IFERROR(S4/S2,"")</f>
        <v>0.8963</v>
      </c>
      <c r="T17" s="15">
        <f>IFERROR(T4/T2,"")</f>
        <v>0.8962999999999999</v>
      </c>
      <c r="U17" s="15">
        <f>IFERROR(U4/U2,"")</f>
        <v>0.8963</v>
      </c>
      <c r="V17" s="15">
        <f>IFERROR(V4/V2,"")</f>
        <v>0.8963000000000001</v>
      </c>
      <c r="W17" s="15">
        <f>IFERROR(W4/W2,"")</f>
        <v>0.8963</v>
      </c>
      <c r="X17" s="15">
        <f>IFERROR(X4/X2,"")</f>
        <v>0.8963</v>
      </c>
      <c r="Y17" s="15">
        <f>IFERROR(Y4/Y2,"")</f>
        <v>0.8962999999999999</v>
      </c>
      <c r="Z17" s="15">
        <f>IFERROR(Z4/Z2,"")</f>
        <v>0.8963000000000001</v>
      </c>
      <c r="AA17" s="15">
        <f>IFERROR(AA4/AA2,"")</f>
        <v>0.8962999999999999</v>
      </c>
    </row>
    <row r="18">
      <c r="A18" s="14" t="inlineStr">
        <is>
          <t>Operating Margin</t>
        </is>
      </c>
      <c r="B18" s="15">
        <f>IFERROR(B8/B2,"")</f>
        <v>-378.5188679245283</v>
      </c>
      <c r="C18" s="15">
        <f>IFERROR(C8/C2,"")</f>
        <v>-47.013698630136986</v>
      </c>
      <c r="D18" s="15">
        <f>IFERROR(D8/D2,"")</f>
        <v>-28.49256756756757</v>
      </c>
      <c r="E18" s="15">
        <f>IFERROR(E8/E2,"")</f>
        <v>-5.151842915383976</v>
      </c>
      <c r="F18" s="15">
        <f>IFERROR(F8/F2,"")</f>
        <v>-0.05694986944042806</v>
      </c>
      <c r="G18" s="15">
        <f>IFERROR(G8/G2,"")</f>
        <v>0.14134879462923403</v>
      </c>
      <c r="H18" s="15">
        <f>IFERROR(H8/H2,"")</f>
        <v>0.25216392329409365</v>
      </c>
      <c r="I18" s="15">
        <f>IFERROR(I8/I2,"")</f>
        <v>0.3293464091212886</v>
      </c>
      <c r="J18" s="15">
        <f>IFERROR(J8/J2,"")</f>
        <v>0.3532527751487538</v>
      </c>
      <c r="K18" s="15">
        <f>IFERROR(K8/K2,"")</f>
        <v>0.3782790798334839</v>
      </c>
      <c r="L18" s="15">
        <f>IFERROR(L8/L2,"")</f>
        <v>0.3337797873546543</v>
      </c>
      <c r="M18" s="15">
        <f>IFERROR(M8/M2,"")</f>
        <v>0.1483834246043723</v>
      </c>
      <c r="N18" s="15">
        <f>IFERROR(N8/N2,"")</f>
        <v>0.06912675836807859</v>
      </c>
      <c r="O18" s="15">
        <f>IFERROR(O8/O2,"")</f>
        <v>-0.008672951223085302</v>
      </c>
      <c r="P18" s="15">
        <f>IFERROR(P8/P2,"")</f>
        <v>0.12339664892258743</v>
      </c>
      <c r="Q18" s="15">
        <f>IFERROR(Q8/Q2,"")</f>
        <v>-0.08663026182554609</v>
      </c>
      <c r="R18" s="15">
        <f>IFERROR(R8/R2,"")</f>
        <v>-0.12138999999999998</v>
      </c>
      <c r="S18" s="15">
        <f>IFERROR(S8/S2,"")</f>
        <v>-0.08568000000000005</v>
      </c>
      <c r="T18" s="15">
        <f>IFERROR(T8/T2,"")</f>
        <v>-0.049970000000000035</v>
      </c>
      <c r="U18" s="15">
        <f>IFERROR(U8/U2,"")</f>
        <v>-0.01425999999999998</v>
      </c>
      <c r="V18" s="15">
        <f>IFERROR(V8/V2,"")</f>
        <v>0.02144999999999994</v>
      </c>
      <c r="W18" s="15">
        <f>IFERROR(W8/W2,"")</f>
        <v>0.05716</v>
      </c>
      <c r="X18" s="15">
        <f>IFERROR(X8/X2,"")</f>
        <v>0.09286999999999994</v>
      </c>
      <c r="Y18" s="15">
        <f>IFERROR(Y8/Y2,"")</f>
        <v>0.12857999999999994</v>
      </c>
      <c r="Z18" s="15">
        <f>IFERROR(Z8/Z2,"")</f>
        <v>0.16428999999999994</v>
      </c>
      <c r="AA18" s="15">
        <f>IFERROR(AA8/AA2,"")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Supernus Pharmaceuticals,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0.0394</v>
      </c>
      <c r="C12" s="53" t="n">
        <v>0.08939999999999999</v>
      </c>
      <c r="D12" s="53" t="n">
        <v>0.1394</v>
      </c>
      <c r="E12" s="54">
        <f>CHOOSE($B$4,B12,C12,D12)</f>
        <v>0.0894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-0.1571</v>
      </c>
    </row>
    <row r="19">
      <c r="A19" s="14" t="inlineStr">
        <is>
          <t>Gross margin (forecast)</t>
        </is>
      </c>
      <c r="B19" s="53" t="n">
        <v>0.8963</v>
      </c>
    </row>
    <row r="20">
      <c r="A20" s="14" t="inlineStr">
        <is>
          <t>R&amp;D share of operating expense (forecast)</t>
        </is>
      </c>
      <c r="B20" s="53" t="n">
        <v>0.1503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Model'!Q2</f>
        <v>718.952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955.8808713281578</v>
      </c>
      <c r="C29" s="56">
        <f>NPV!B26</f>
        <v>1327.9478713281578</v>
      </c>
      <c r="D29" s="35">
        <f>NPV!B28</f>
        <v>22.845623795053047</v>
      </c>
      <c r="E29" s="57">
        <f>NPV!B30</f>
        <v>-0.4458980403819295</v>
      </c>
    </row>
    <row r="30">
      <c r="A30" s="58" t="n">
        <v>1</v>
      </c>
      <c r="B30" s="59">
        <f t="dataTable" ref="B30:E32" r1="B4"/>
        <v>332.43444107633024</v>
      </c>
      <c r="C30" s="59">
        <v>704.5014410763303</v>
      </c>
      <c r="D30" s="39">
        <v>12.120035156052666</v>
      </c>
      <c r="E30" s="60">
        <v>-0.7060384390964669</v>
      </c>
    </row>
    <row r="31">
      <c r="A31" s="58" t="n">
        <v>2</v>
      </c>
      <c r="B31" s="59">
        <v>955.8808713281578</v>
      </c>
      <c r="C31" s="59">
        <v>1327.9478713281578</v>
      </c>
      <c r="D31" s="39">
        <v>22.845623795053047</v>
      </c>
      <c r="E31" s="60">
        <v>-0.4458980403819295</v>
      </c>
    </row>
    <row r="32">
      <c r="A32" s="58" t="n">
        <v>3</v>
      </c>
      <c r="B32" s="59">
        <v>2193.3444446035005</v>
      </c>
      <c r="C32" s="59">
        <v>2565.4114446035005</v>
      </c>
      <c r="D32" s="39">
        <v>44.13458239465187</v>
      </c>
      <c r="E32" s="60">
        <v>0.07044827539781418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22.845623795053047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27.861523619035253</v>
      </c>
      <c r="C37" s="39">
        <v>29.76728339738211</v>
      </c>
      <c r="D37" s="39">
        <v>31.97160082738527</v>
      </c>
      <c r="E37" s="39">
        <v>34.549184971164024</v>
      </c>
      <c r="F37" s="39">
        <v>37.601912742256964</v>
      </c>
    </row>
    <row r="38">
      <c r="A38" s="62" t="n">
        <v>0.1</v>
      </c>
      <c r="B38" s="39">
        <v>23.76398413053613</v>
      </c>
      <c r="C38" s="39">
        <v>25.160758508083823</v>
      </c>
      <c r="D38" s="39">
        <v>26.748162165294968</v>
      </c>
      <c r="E38" s="39">
        <v>28.567100029074318</v>
      </c>
      <c r="F38" s="39">
        <v>30.671063883395597</v>
      </c>
    </row>
    <row r="39">
      <c r="A39" s="62" t="n">
        <v>0.11</v>
      </c>
      <c r="B39" s="39">
        <v>20.609408600455623</v>
      </c>
      <c r="C39" s="39">
        <v>21.66366725582384</v>
      </c>
      <c r="D39" s="39">
        <v>22.845623795053047</v>
      </c>
      <c r="E39" s="39">
        <v>24.17926725043648</v>
      </c>
      <c r="F39" s="39">
        <v>25.69498431655738</v>
      </c>
    </row>
    <row r="40">
      <c r="A40" s="62" t="n">
        <v>0.12</v>
      </c>
      <c r="B40" s="39">
        <v>18.12272250775633</v>
      </c>
      <c r="C40" s="39">
        <v>18.937160173098555</v>
      </c>
      <c r="D40" s="39">
        <v>19.84043713948215</v>
      </c>
      <c r="E40" s="39">
        <v>20.847397988582298</v>
      </c>
      <c r="F40" s="39">
        <v>21.976380628647096</v>
      </c>
    </row>
    <row r="41">
      <c r="A41" s="62" t="n">
        <v>0.13</v>
      </c>
      <c r="B41" s="39">
        <v>16.12500731820132</v>
      </c>
      <c r="C41" s="39">
        <v>16.76611298071343</v>
      </c>
      <c r="D41" s="39">
        <v>17.47094489546927</v>
      </c>
      <c r="E41" s="39">
        <v>18.249094094290495</v>
      </c>
      <c r="F41" s="39">
        <v>19.112171178305616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Supernus Pharmaceuticals, Inc.: free-cash-flow DCF ($mm)</t>
        </is>
      </c>
    </row>
    <row r="3">
      <c r="A3" s="20" t="inlineStr">
        <is>
          <t>Fiscal year</t>
        </is>
      </c>
      <c r="B3" s="43">
        <f>'Yearly Model'!Q1</f>
        <v>2025</v>
      </c>
      <c r="C3" s="43">
        <f>'Yearly Model'!R1</f>
        <v>2026</v>
      </c>
      <c r="D3" s="43">
        <f>'Yearly Model'!S1</f>
        <v>2027</v>
      </c>
      <c r="E3" s="43">
        <f>'Yearly Model'!T1</f>
        <v>2028</v>
      </c>
      <c r="F3" s="43">
        <f>'Yearly Model'!U1</f>
        <v>2029</v>
      </c>
      <c r="G3" s="43">
        <f>'Yearly Model'!V1</f>
        <v>2030</v>
      </c>
      <c r="H3" s="43">
        <f>'Yearly Model'!W1</f>
        <v>2031</v>
      </c>
      <c r="I3" s="43">
        <f>'Yearly Model'!X1</f>
        <v>2032</v>
      </c>
      <c r="J3" s="43">
        <f>'Yearly Model'!Y1</f>
        <v>2033</v>
      </c>
      <c r="K3" s="43">
        <f>'Yearly Model'!Z1</f>
        <v>2034</v>
      </c>
      <c r="L3" s="43">
        <f>'Yearly Model'!AA1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0.0894</v>
      </c>
      <c r="D5" s="63">
        <f>Assumptions!$E$12+(Assumptions!$E$11-Assumptions!$E$12)*(D4-1)/(Assumptions!$B$21-1)</f>
        <v>0.08224444444444444</v>
      </c>
      <c r="E5" s="63">
        <f>Assumptions!$E$12+(Assumptions!$E$11-Assumptions!$E$12)*(E4-1)/(Assumptions!$B$21-1)</f>
        <v>0.07508888888888889</v>
      </c>
      <c r="F5" s="63">
        <f>Assumptions!$E$12+(Assumptions!$E$11-Assumptions!$E$12)*(F4-1)/(Assumptions!$B$21-1)</f>
        <v>0.06793333333333333</v>
      </c>
      <c r="G5" s="63">
        <f>Assumptions!$E$12+(Assumptions!$E$11-Assumptions!$E$12)*(G4-1)/(Assumptions!$B$21-1)</f>
        <v>0.06077777777777778</v>
      </c>
      <c r="H5" s="63">
        <f>Assumptions!$E$12+(Assumptions!$E$11-Assumptions!$E$12)*(H4-1)/(Assumptions!$B$21-1)</f>
        <v>0.053622222222222224</v>
      </c>
      <c r="I5" s="63">
        <f>Assumptions!$E$12+(Assumptions!$E$11-Assumptions!$E$12)*(I4-1)/(Assumptions!$B$21-1)</f>
        <v>0.04646666666666667</v>
      </c>
      <c r="J5" s="63">
        <f>Assumptions!$E$12+(Assumptions!$E$11-Assumptions!$E$12)*(J4-1)/(Assumptions!$B$21-1)</f>
        <v>0.039311111111111116</v>
      </c>
      <c r="K5" s="63">
        <f>Assumptions!$E$12+(Assumptions!$E$11-Assumptions!$E$12)*(K4-1)/(Assumptions!$B$21-1)</f>
        <v>0.03215555555555556</v>
      </c>
      <c r="L5" s="63">
        <f>Assumptions!$E$12+(Assumptions!$E$11-Assumptions!$E$12)*(L4-1)/(Assumptions!$B$21-1)</f>
        <v>0.02500000000000001</v>
      </c>
    </row>
    <row r="6">
      <c r="A6" s="14" t="inlineStr">
        <is>
          <t>Operating margin</t>
        </is>
      </c>
      <c r="B6" s="63">
        <f>IFERROR(B8/B7,0)</f>
        <v>-0.08663026182554609</v>
      </c>
      <c r="C6" s="63">
        <f>Assumptions!$B$18+(Assumptions!$E$13-Assumptions!$B$18)*C4/Assumptions!$B$21</f>
        <v>-0.12139</v>
      </c>
      <c r="D6" s="63">
        <f>Assumptions!$B$18+(Assumptions!$E$13-Assumptions!$B$18)*D4/Assumptions!$B$21</f>
        <v>-0.08567999999999999</v>
      </c>
      <c r="E6" s="63">
        <f>Assumptions!$B$18+(Assumptions!$E$13-Assumptions!$B$18)*E4/Assumptions!$B$21</f>
        <v>-0.04997</v>
      </c>
      <c r="F6" s="63">
        <f>Assumptions!$B$18+(Assumptions!$E$13-Assumptions!$B$18)*F4/Assumptions!$B$21</f>
        <v>-0.014259999999999995</v>
      </c>
      <c r="G6" s="63">
        <f>Assumptions!$B$18+(Assumptions!$E$13-Assumptions!$B$18)*G4/Assumptions!$B$21</f>
        <v>0.021449999999999997</v>
      </c>
      <c r="H6" s="63">
        <f>Assumptions!$B$18+(Assumptions!$E$13-Assumptions!$B$18)*H4/Assumptions!$B$21</f>
        <v>0.05715999999999999</v>
      </c>
      <c r="I6" s="63">
        <f>Assumptions!$B$18+(Assumptions!$E$13-Assumptions!$B$18)*I4/Assumptions!$B$21</f>
        <v>0.09286999999999998</v>
      </c>
      <c r="J6" s="63">
        <f>Assumptions!$B$18+(Assumptions!$E$13-Assumptions!$B$18)*J4/Assumptions!$B$21</f>
        <v>0.12858</v>
      </c>
      <c r="K6" s="63">
        <f>Assumptions!$B$18+(Assumptions!$E$13-Assumptions!$B$18)*K4/Assumptions!$B$21</f>
        <v>0.16428999999999996</v>
      </c>
      <c r="L6" s="63">
        <f>Assumptions!$B$18+(Assumptions!$E$13-Assumptions!$B$18)*L4/Assumptions!$B$21</f>
        <v>0.19999999999999998</v>
      </c>
    </row>
    <row r="7">
      <c r="A7" s="14" t="inlineStr">
        <is>
          <t>Revenue</t>
        </is>
      </c>
      <c r="B7" s="55">
        <f>'Yearly Model'!Q2</f>
        <v>718.952</v>
      </c>
      <c r="C7" s="55">
        <f>'Yearly Model'!R2</f>
        <v>783.2263088</v>
      </c>
      <c r="D7" s="55">
        <f>'Yearly Model'!S2</f>
        <v>847.6423214415288</v>
      </c>
      <c r="E7" s="55">
        <f>'Yearly Model'!T2</f>
        <v>911.2908415337716</v>
      </c>
      <c r="F7" s="55">
        <f>'Yearly Model'!U2</f>
        <v>973.1978660352993</v>
      </c>
      <c r="G7" s="55">
        <f>'Yearly Model'!V2</f>
        <v>1032.3466696710002</v>
      </c>
      <c r="H7" s="55">
        <f>'Yearly Model'!W2</f>
        <v>1087.7033922024696</v>
      </c>
      <c r="I7" s="55">
        <f>'Yearly Model'!X2</f>
        <v>1138.2453431601443</v>
      </c>
      <c r="J7" s="55">
        <f>'Yearly Model'!Y2</f>
        <v>1182.9910323168176</v>
      </c>
      <c r="K7" s="55">
        <f>'Yearly Model'!Z2</f>
        <v>1221.0307661782049</v>
      </c>
      <c r="L7" s="55">
        <f>'Yearly Model'!AA2</f>
        <v>1251.55653533266</v>
      </c>
    </row>
    <row r="8">
      <c r="A8" s="14" t="inlineStr">
        <is>
          <t>Operating income</t>
        </is>
      </c>
      <c r="B8" s="55">
        <f>'Yearly Model'!Q8</f>
        <v>-62.283000000000015</v>
      </c>
      <c r="C8" s="55">
        <f>'Yearly Model'!R8</f>
        <v>-95.07584162523199</v>
      </c>
      <c r="D8" s="55">
        <f>'Yearly Model'!S8</f>
        <v>-72.62599410111022</v>
      </c>
      <c r="E8" s="55">
        <f>'Yearly Model'!T8</f>
        <v>-45.5372033514426</v>
      </c>
      <c r="F8" s="55">
        <f>'Yearly Model'!U8</f>
        <v>-13.877801569663347</v>
      </c>
      <c r="G8" s="55">
        <f>'Yearly Model'!V8</f>
        <v>22.143836064442894</v>
      </c>
      <c r="H8" s="55">
        <f>'Yearly Model'!W8</f>
        <v>62.173125898293165</v>
      </c>
      <c r="I8" s="55">
        <f>'Yearly Model'!X8</f>
        <v>105.70884501928253</v>
      </c>
      <c r="J8" s="55">
        <f>'Yearly Model'!Y8</f>
        <v>152.10898693529634</v>
      </c>
      <c r="K8" s="55">
        <f>'Yearly Model'!Z8</f>
        <v>200.60314457541722</v>
      </c>
      <c r="L8" s="55">
        <f>'Yearly Model'!AA8</f>
        <v>250.31130706653198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3.7644521309552923</v>
      </c>
      <c r="H9" s="52">
        <f>MAX(0,H8)*Assumptions!$E$14</f>
        <v>10.569431402709839</v>
      </c>
      <c r="I9" s="52">
        <f>MAX(0,I8)*Assumptions!$E$14</f>
        <v>17.970503653278033</v>
      </c>
      <c r="J9" s="52">
        <f>MAX(0,J8)*Assumptions!$E$14</f>
        <v>25.85852777900038</v>
      </c>
      <c r="K9" s="52">
        <f>MAX(0,K8)*Assumptions!$E$14</f>
        <v>34.10253457782093</v>
      </c>
      <c r="L9" s="52">
        <f>MAX(0,L8)*Assumptions!$E$14</f>
        <v>42.55292220131044</v>
      </c>
    </row>
    <row r="10">
      <c r="A10" s="14" t="inlineStr">
        <is>
          <t>NOPAT</t>
        </is>
      </c>
      <c r="C10" s="52">
        <f>C8-C9</f>
        <v>-95.07584162523199</v>
      </c>
      <c r="D10" s="52">
        <f>D8-D9</f>
        <v>-72.62599410111022</v>
      </c>
      <c r="E10" s="52">
        <f>E8-E9</f>
        <v>-45.5372033514426</v>
      </c>
      <c r="F10" s="52">
        <f>F8-F9</f>
        <v>-13.877801569663347</v>
      </c>
      <c r="G10" s="52">
        <f>G8-G9</f>
        <v>18.379383933487603</v>
      </c>
      <c r="H10" s="52">
        <f>H8-H9</f>
        <v>51.603694495583326</v>
      </c>
      <c r="I10" s="52">
        <f>I8-I9</f>
        <v>87.7383413660045</v>
      </c>
      <c r="J10" s="52">
        <f>J8-J9</f>
        <v>126.25045915629596</v>
      </c>
      <c r="K10" s="52">
        <f>K8-K9</f>
        <v>166.50060999759629</v>
      </c>
      <c r="L10" s="52">
        <f>L8-L9</f>
        <v>207.75838486522156</v>
      </c>
    </row>
    <row r="11">
      <c r="A11" s="14" t="inlineStr">
        <is>
          <t>Reinvestment</t>
        </is>
      </c>
      <c r="C11" s="52">
        <f>(C7-B7)*Assumptions!$E$15</f>
        <v>16.068577199999993</v>
      </c>
      <c r="D11" s="52">
        <f>(D7-C7)*Assumptions!$E$15</f>
        <v>16.104003160382206</v>
      </c>
      <c r="E11" s="52">
        <f>(E7-D7)*Assumptions!$E$15</f>
        <v>15.912130023060712</v>
      </c>
      <c r="F11" s="52">
        <f>(F7-E7)*Assumptions!$E$15</f>
        <v>15.476756125381911</v>
      </c>
      <c r="G11" s="52">
        <f>(G7-F7)*Assumptions!$E$15</f>
        <v>14.787200908925229</v>
      </c>
      <c r="H11" s="52">
        <f>(H7-G7)*Assumptions!$E$15</f>
        <v>13.83918063286734</v>
      </c>
      <c r="I11" s="52">
        <f>(I7-H7)*Assumptions!$E$15</f>
        <v>12.635487739418693</v>
      </c>
      <c r="J11" s="52">
        <f>(J7-I7)*Assumptions!$E$15</f>
        <v>11.18642228916832</v>
      </c>
      <c r="K11" s="52">
        <f>(K7-J7)*Assumptions!$E$15</f>
        <v>9.509933465346819</v>
      </c>
      <c r="L11" s="52">
        <f>(L7-K7)*Assumptions!$E$15</f>
        <v>7.631442288613755</v>
      </c>
    </row>
    <row r="12">
      <c r="A12" s="20" t="inlineStr">
        <is>
          <t>Free cash flow</t>
        </is>
      </c>
      <c r="C12" s="64">
        <f>C10-C11</f>
        <v>-111.14441882523198</v>
      </c>
      <c r="D12" s="64">
        <f>D10-D11</f>
        <v>-88.72999726149243</v>
      </c>
      <c r="E12" s="64">
        <f>E10-E11</f>
        <v>-61.44933337450331</v>
      </c>
      <c r="F12" s="64">
        <f>F10-F11</f>
        <v>-29.35455769504526</v>
      </c>
      <c r="G12" s="64">
        <f>G10-G11</f>
        <v>3.592183024562374</v>
      </c>
      <c r="H12" s="64">
        <f>H10-H11</f>
        <v>37.76451386271599</v>
      </c>
      <c r="I12" s="64">
        <f>I10-I11</f>
        <v>75.10285362658581</v>
      </c>
      <c r="J12" s="64">
        <f>J10-J11</f>
        <v>115.06403686712764</v>
      </c>
      <c r="K12" s="64">
        <f>K10-K11</f>
        <v>156.99067653224947</v>
      </c>
      <c r="L12" s="64">
        <f>L10-L11</f>
        <v>200.1269425766078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-54.573360807685056</v>
      </c>
      <c r="D16" s="64">
        <f>D12*D13*D15</f>
        <v>-79.90273868531793</v>
      </c>
      <c r="E16" s="64">
        <f>E12*E13*E15</f>
        <v>-49.85232229517212</v>
      </c>
      <c r="F16" s="64">
        <f>F12*F13*F15</f>
        <v>-21.454617706951034</v>
      </c>
      <c r="G16" s="64">
        <f>G12*G13*G15</f>
        <v>2.3652699641320813</v>
      </c>
      <c r="H16" s="64">
        <f>H12*H13*H15</f>
        <v>22.401813654556612</v>
      </c>
      <c r="I16" s="64">
        <f>I12*I13*I15</f>
        <v>40.135875600621276</v>
      </c>
      <c r="J16" s="64">
        <f>J12*J13*J15</f>
        <v>55.39785266123028</v>
      </c>
      <c r="K16" s="64">
        <f>K12*K13*K15</f>
        <v>68.09327250367424</v>
      </c>
      <c r="L16" s="64">
        <f>L12*L13*L15</f>
        <v>78.20111174240706</v>
      </c>
    </row>
    <row r="19">
      <c r="A19" s="14" t="inlineStr">
        <is>
          <t>PV of forecast free cash flow</t>
        </is>
      </c>
      <c r="B19" s="52">
        <f>SUM(C16:L16)</f>
        <v>60.81215663149544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205.13011614102294</v>
      </c>
    </row>
    <row r="21">
      <c r="A21" s="14" t="inlineStr">
        <is>
          <t>Terminal value</t>
        </is>
      </c>
      <c r="B21" s="52">
        <f>B20/(Assumptions!$E$10-Assumptions!$E$11)</f>
        <v>2413.2954840120346</v>
      </c>
    </row>
    <row r="22">
      <c r="A22" s="14" t="inlineStr">
        <is>
          <t>PV of terminal value</t>
        </is>
      </c>
      <c r="B22" s="52">
        <f>B21/(1+Assumptions!$E$10)^(L14+0.5)</f>
        <v>895.0687146966624</v>
      </c>
    </row>
    <row r="23">
      <c r="A23" s="20" t="inlineStr">
        <is>
          <t>Enterprise value</t>
        </is>
      </c>
      <c r="B23" s="66">
        <f>B19+B22</f>
        <v>955.8808713281578</v>
      </c>
    </row>
    <row r="24">
      <c r="A24" s="14" t="inlineStr">
        <is>
          <t>Cash &amp; investments</t>
        </is>
      </c>
      <c r="B24" s="55">
        <f>Main!C7</f>
        <v>372.067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1327.9478713281578</v>
      </c>
    </row>
    <row r="27">
      <c r="A27" s="14" t="inlineStr">
        <is>
          <t>Shares (mm)</t>
        </is>
      </c>
      <c r="B27" s="55">
        <f>Main!C4</f>
        <v>58.127013</v>
      </c>
    </row>
    <row r="28">
      <c r="A28" s="20" t="inlineStr">
        <is>
          <t>NPV / share</t>
        </is>
      </c>
      <c r="B28" s="49">
        <f>B26/B27</f>
        <v>22.845623795053047</v>
      </c>
    </row>
    <row r="29">
      <c r="A29" s="14" t="inlineStr">
        <is>
          <t>Price</t>
        </is>
      </c>
      <c r="B29" s="50">
        <f>Main!C3</f>
        <v>41.23</v>
      </c>
    </row>
    <row r="30">
      <c r="A30" s="14" t="inlineStr">
        <is>
          <t>Upside</t>
        </is>
      </c>
      <c r="B30" s="63">
        <f>B28/B29-1</f>
        <v>-0.4458980403819295</v>
      </c>
    </row>
    <row r="31">
      <c r="A31" s="14" t="inlineStr">
        <is>
          <t>Terminal value, % of EV</t>
        </is>
      </c>
      <c r="B31" s="63">
        <f>IFERROR(B22/B23,0)</f>
        <v>0.9363810298379552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2026-10-21T01:04:24Z</dcterms:modified>
  <cp:lastModifiedBy>Wang, Eric</cp:lastModifiedBy>
</cp:coreProperties>
</file>