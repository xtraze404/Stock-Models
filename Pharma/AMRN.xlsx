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Amarin Corporation PLC</t>
        </is>
      </c>
      <c r="C2" s="10" t="n"/>
    </row>
    <row r="3">
      <c r="B3" t="inlineStr">
        <is>
          <t>Price</t>
        </is>
      </c>
      <c r="C3" s="11">
        <f>INDEX([1]Pharma!$F$1:$F$1000,MATCH("AMRN",[1]Pharma!$B$1:$B$1000,0))</f>
        <v>11.48</v>
      </c>
      <c r="F3" s="1" t="n"/>
    </row>
    <row r="4">
      <c r="B4" t="inlineStr">
        <is>
          <t>Shares</t>
        </is>
      </c>
      <c r="C4" s="51">
        <f>420.044022/20</f>
        <v>21.0022011</v>
      </c>
      <c r="F4" s="1" t="n"/>
    </row>
    <row r="5">
      <c r="B5" t="inlineStr">
        <is>
          <t>Market Cap.</t>
        </is>
      </c>
      <c r="C5" s="13">
        <f>C3*C4</f>
        <v>241.105268628</v>
      </c>
      <c r="F5" s="1" t="n"/>
    </row>
    <row r="6"/>
    <row r="7">
      <c r="B7" t="inlineStr">
        <is>
          <t>Cash</t>
        </is>
      </c>
      <c r="C7" s="51">
        <f>143.558+171.091</f>
        <v>314.649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-73.543731372</v>
      </c>
    </row>
    <row r="10"/>
    <row r="11">
      <c r="B11" s="14" t="inlineStr">
        <is>
          <t>NPV / Share</t>
        </is>
      </c>
      <c r="C11" s="11">
        <f>NPV!B28</f>
        <v>17.88638936479413</v>
      </c>
    </row>
    <row r="12">
      <c r="B12" s="14" t="inlineStr">
        <is>
          <t>Upside</t>
        </is>
      </c>
      <c r="C12" s="15">
        <f>IFERROR(C11/C3-1,"")</f>
        <v>0.5580478540761438</v>
      </c>
    </row>
    <row r="13">
      <c r="B13" s="14" t="inlineStr">
        <is>
          <t>Cash / Share</t>
        </is>
      </c>
      <c r="C13" s="11">
        <f>IFERROR((C7-C8)/C4,"")</f>
        <v>14.98171541648556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26.351</v>
      </c>
      <c r="G2" s="52" t="n">
        <v>54.202</v>
      </c>
      <c r="H2" s="52" t="n">
        <v>81.756</v>
      </c>
      <c r="I2" s="52" t="n">
        <v>130.084</v>
      </c>
      <c r="J2" s="52" t="n">
        <v>181.104</v>
      </c>
      <c r="K2" s="52" t="n">
        <v>229.214</v>
      </c>
      <c r="L2" s="52" t="n">
        <v>429.755</v>
      </c>
      <c r="M2" s="52" t="n">
        <v>614.0599999999999</v>
      </c>
      <c r="N2" s="52" t="n">
        <v>583.187</v>
      </c>
      <c r="O2" s="52" t="n">
        <v>369.193</v>
      </c>
      <c r="P2" s="52" t="n">
        <v>306.911</v>
      </c>
      <c r="Q2" s="52" t="n">
        <v>228.614</v>
      </c>
      <c r="R2" s="52" t="n">
        <v>213.646</v>
      </c>
      <c r="S2" s="52">
        <f>R2*(1+NPV!C5)</f>
        <v>192.2814</v>
      </c>
      <c r="T2" s="52">
        <f>S2*(1+NPV!D5)</f>
        <v>175.72383499999998</v>
      </c>
      <c r="U2" s="52">
        <f>T2*(1+NPV!E5)</f>
        <v>163.03266913888888</v>
      </c>
      <c r="V2" s="52">
        <f>U2*(1+NPV!F5)</f>
        <v>153.52243010578704</v>
      </c>
      <c r="W2" s="52">
        <f>V2*(1+NPV!G5)</f>
        <v>146.69921098997426</v>
      </c>
      <c r="X2" s="52">
        <f>W2*(1+NPV!H5)</f>
        <v>142.21673509861392</v>
      </c>
      <c r="Y2" s="52">
        <f>X2*(1+NPV!I5)</f>
        <v>139.84645618030368</v>
      </c>
      <c r="Z2" s="52">
        <f>Y2*(1+NPV!J5)</f>
        <v>139.45799380202504</v>
      </c>
      <c r="AA2" s="52">
        <f>Z2*(1+NPV!K5)</f>
        <v>141.00752706649197</v>
      </c>
      <c r="AB2" s="52">
        <f>AA2*(1+NPV!L5)</f>
        <v>144.53271524315426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11.912</v>
      </c>
      <c r="G3" s="52" t="n">
        <v>20.485</v>
      </c>
      <c r="H3" s="52" t="n">
        <v>27.875</v>
      </c>
      <c r="I3" s="52" t="n">
        <v>34.363</v>
      </c>
      <c r="J3" s="52" t="n">
        <v>44.952</v>
      </c>
      <c r="K3" s="52" t="n">
        <v>54.543</v>
      </c>
      <c r="L3" s="52" t="n">
        <v>96.01900000000001</v>
      </c>
      <c r="M3" s="52" t="n">
        <v>131.444</v>
      </c>
      <c r="N3" s="52" t="n">
        <v>121.327</v>
      </c>
      <c r="O3" s="52" t="n">
        <v>0</v>
      </c>
      <c r="P3" s="52" t="n">
        <v>0</v>
      </c>
      <c r="Q3" s="52" t="n">
        <v>0</v>
      </c>
      <c r="R3" s="52" t="n">
        <v>0</v>
      </c>
      <c r="S3" s="52">
        <f>S2*(1-Assumptions!$B$19)</f>
        <v>39.99453119999999</v>
      </c>
      <c r="T3" s="52">
        <f>T2*(1-Assumptions!$B$19)</f>
        <v>36.55055767999999</v>
      </c>
      <c r="U3" s="52">
        <f>U2*(1-Assumptions!$B$19)</f>
        <v>33.91079518088888</v>
      </c>
      <c r="V3" s="52">
        <f>V2*(1-Assumptions!$B$19)</f>
        <v>31.932665462003698</v>
      </c>
      <c r="W3" s="52">
        <f>W2*(1-Assumptions!$B$19)</f>
        <v>30.513435885914642</v>
      </c>
      <c r="X3" s="52">
        <f>X2*(1-Assumptions!$B$19)</f>
        <v>29.58108090051169</v>
      </c>
      <c r="Y3" s="52">
        <f>Y2*(1-Assumptions!$B$19)</f>
        <v>29.08806288550316</v>
      </c>
      <c r="Z3" s="52">
        <f>Z2*(1-Assumptions!$B$19)</f>
        <v>29.007262710821205</v>
      </c>
      <c r="AA3" s="52">
        <f>AA2*(1-Assumptions!$B$19)</f>
        <v>29.329565629830327</v>
      </c>
      <c r="AB3" s="52">
        <f>AB2*(1-Assumptions!$B$19)</f>
        <v>30.06280477057608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14.438999999999998</v>
      </c>
      <c r="G4" s="52">
        <f>G2-G3</f>
        <v>33.717</v>
      </c>
      <c r="H4" s="52">
        <f>H2-H3</f>
        <v>53.881</v>
      </c>
      <c r="I4" s="52">
        <f>I2-I3</f>
        <v>95.721</v>
      </c>
      <c r="J4" s="52">
        <f>J2-J3</f>
        <v>136.15200000000002</v>
      </c>
      <c r="K4" s="52">
        <f>K2-K3</f>
        <v>174.671</v>
      </c>
      <c r="L4" s="52">
        <f>L2-L3</f>
        <v>333.736</v>
      </c>
      <c r="M4" s="52">
        <f>M2-M3</f>
        <v>482.616</v>
      </c>
      <c r="N4" s="52">
        <f>N2-N3</f>
        <v>461.86</v>
      </c>
      <c r="O4" s="52">
        <f>O2-O3</f>
        <v>369.193</v>
      </c>
      <c r="P4" s="52">
        <f>P2-P3</f>
        <v>306.911</v>
      </c>
      <c r="Q4" s="52">
        <f>Q2-Q3</f>
        <v>228.614</v>
      </c>
      <c r="R4" s="52">
        <f>R2-R3</f>
        <v>213.646</v>
      </c>
      <c r="S4" s="52">
        <f>S2-S3</f>
        <v>152.2868688</v>
      </c>
      <c r="T4" s="52">
        <f>T2-T3</f>
        <v>139.17327731999998</v>
      </c>
      <c r="U4" s="52">
        <f>U2-U3</f>
        <v>129.12187395799998</v>
      </c>
      <c r="V4" s="52">
        <f>V2-V3</f>
        <v>121.58976464378334</v>
      </c>
      <c r="W4" s="52">
        <f>W2-W3</f>
        <v>116.18577510405962</v>
      </c>
      <c r="X4" s="52">
        <f>X2-X3</f>
        <v>112.63565419810223</v>
      </c>
      <c r="Y4" s="52">
        <f>Y2-Y3</f>
        <v>110.75839329480051</v>
      </c>
      <c r="Z4" s="52">
        <f>Z2-Z3</f>
        <v>110.45073109120383</v>
      </c>
      <c r="AA4" s="52">
        <f>AA2-AA3</f>
        <v>111.67796143666165</v>
      </c>
      <c r="AB4" s="52">
        <f>AB2-AB3</f>
        <v>114.46991047257818</v>
      </c>
    </row>
    <row r="5">
      <c r="A5" s="2" t="inlineStr">
        <is>
          <t>Research &amp; Dev.</t>
        </is>
      </c>
      <c r="B5" s="52" t="n">
        <v>20.892</v>
      </c>
      <c r="C5" s="52" t="n">
        <v>28.014</v>
      </c>
      <c r="D5" s="52" t="n">
        <v>21.602</v>
      </c>
      <c r="E5" s="52" t="n">
        <v>58.956</v>
      </c>
      <c r="F5" s="52" t="n">
        <v>72.75</v>
      </c>
      <c r="G5" s="52" t="n">
        <v>50.326</v>
      </c>
      <c r="H5" s="52" t="n">
        <v>51.062</v>
      </c>
      <c r="I5" s="52" t="n">
        <v>49.975</v>
      </c>
      <c r="J5" s="52" t="n">
        <v>47.158</v>
      </c>
      <c r="K5" s="52" t="n">
        <v>55.9</v>
      </c>
      <c r="L5" s="52" t="n">
        <v>34.392</v>
      </c>
      <c r="M5" s="52" t="n">
        <v>38.959</v>
      </c>
      <c r="N5" s="52" t="n">
        <v>29.307</v>
      </c>
      <c r="O5" s="52" t="n">
        <v>30.411</v>
      </c>
      <c r="P5" s="52" t="n">
        <v>22.219</v>
      </c>
      <c r="Q5" s="52" t="n">
        <v>20.869</v>
      </c>
      <c r="R5" s="52" t="n">
        <v>19.806</v>
      </c>
      <c r="S5" s="52">
        <f>S7*Assumptions!$B$20</f>
        <v>13.992827215991403</v>
      </c>
      <c r="T5" s="52">
        <f>T7*Assumptions!$B$20</f>
        <v>12.235072851080519</v>
      </c>
      <c r="U5" s="52">
        <f>U7*Assumptions!$B$20</f>
        <v>10.838537868606576</v>
      </c>
      <c r="V5" s="52">
        <f>V7*Assumptions!$B$20</f>
        <v>9.723317626026624</v>
      </c>
      <c r="W5" s="52">
        <f>W7*Assumptions!$B$20</f>
        <v>8.829663406858407</v>
      </c>
      <c r="X5" s="52">
        <f>X7*Assumptions!$B$20</f>
        <v>8.11246296269389</v>
      </c>
      <c r="Y5" s="52">
        <f>Y7*Assumptions!$B$20</f>
        <v>7.537306826139582</v>
      </c>
      <c r="Z5" s="52">
        <f>Z7*Assumptions!$B$20</f>
        <v>7.077643521170089</v>
      </c>
      <c r="AA5" s="52">
        <f>AA7*Assumptions!$B$20</f>
        <v>6.712682926046614</v>
      </c>
      <c r="AB5" s="52">
        <f>AB7*Assumptions!$B$20</f>
        <v>6.425808893538444</v>
      </c>
    </row>
    <row r="6">
      <c r="A6" s="18" t="inlineStr">
        <is>
          <t>SG&amp;A &amp; Other</t>
        </is>
      </c>
      <c r="B6" s="52" t="n">
        <v>13.152</v>
      </c>
      <c r="C6" s="52" t="n">
        <v>17.087</v>
      </c>
      <c r="D6" s="52" t="n">
        <v>22.559</v>
      </c>
      <c r="E6" s="52" t="n">
        <v>57.794</v>
      </c>
      <c r="F6" s="52" t="n">
        <v>123.795</v>
      </c>
      <c r="G6" s="52" t="n">
        <v>79.346</v>
      </c>
      <c r="H6" s="52" t="n">
        <v>101.041</v>
      </c>
      <c r="I6" s="52" t="n">
        <v>111.372</v>
      </c>
      <c r="J6" s="52" t="n">
        <v>134.549</v>
      </c>
      <c r="K6" s="52" t="n">
        <v>226.996</v>
      </c>
      <c r="L6" s="52" t="n">
        <v>323.623</v>
      </c>
      <c r="M6" s="52" t="n">
        <v>463.312</v>
      </c>
      <c r="N6" s="52" t="n">
        <v>422.051</v>
      </c>
      <c r="O6" s="52" t="n">
        <v>444.651</v>
      </c>
      <c r="P6" s="52" t="n">
        <v>352.28</v>
      </c>
      <c r="Q6" s="52" t="n">
        <v>299.542</v>
      </c>
      <c r="R6" s="52" t="n">
        <v>244.01</v>
      </c>
      <c r="S6" s="52">
        <f>S7-S5</f>
        <v>172.3297721980086</v>
      </c>
      <c r="T6" s="52">
        <f>T7-T5</f>
        <v>150.68200905411945</v>
      </c>
      <c r="U6" s="52">
        <f>U7-U5</f>
        <v>133.48287183321202</v>
      </c>
      <c r="V6" s="52">
        <f>V7-V5</f>
        <v>119.74828857938782</v>
      </c>
      <c r="W6" s="52">
        <f>W7-W5</f>
        <v>108.74241924105647</v>
      </c>
      <c r="X6" s="52">
        <f>X7-X5</f>
        <v>99.9096803488093</v>
      </c>
      <c r="Y6" s="52">
        <f>Y7-Y5</f>
        <v>92.82629938077895</v>
      </c>
      <c r="Z6" s="52">
        <f>Z7-Z5</f>
        <v>87.1652795303624</v>
      </c>
      <c r="AA6" s="52">
        <f>AA7-AA5</f>
        <v>82.670578406132</v>
      </c>
      <c r="AB6" s="52">
        <f>AB7-AB5</f>
        <v>79.13755853040888</v>
      </c>
    </row>
    <row r="7">
      <c r="A7" s="2" t="inlineStr">
        <is>
          <t>Operating Expense</t>
        </is>
      </c>
      <c r="B7" s="52">
        <f>SUM(B5:B6)</f>
        <v>34.044</v>
      </c>
      <c r="C7" s="52">
        <f>SUM(C5:C6)</f>
        <v>45.101</v>
      </c>
      <c r="D7" s="52">
        <f>SUM(D5:D6)</f>
        <v>44.161</v>
      </c>
      <c r="E7" s="52">
        <f>SUM(E5:E6)</f>
        <v>116.75</v>
      </c>
      <c r="F7" s="52">
        <f>SUM(F5:F6)</f>
        <v>196.54500000000002</v>
      </c>
      <c r="G7" s="52">
        <f>SUM(G5:G6)</f>
        <v>129.672</v>
      </c>
      <c r="H7" s="52">
        <f>SUM(H5:H6)</f>
        <v>152.103</v>
      </c>
      <c r="I7" s="52">
        <f>SUM(I5:I6)</f>
        <v>161.347</v>
      </c>
      <c r="J7" s="52">
        <f>SUM(J5:J6)</f>
        <v>181.707</v>
      </c>
      <c r="K7" s="52">
        <f>SUM(K5:K6)</f>
        <v>282.896</v>
      </c>
      <c r="L7" s="52">
        <f>SUM(L5:L6)</f>
        <v>358.015</v>
      </c>
      <c r="M7" s="52">
        <f>SUM(M5:M6)</f>
        <v>502.271</v>
      </c>
      <c r="N7" s="52">
        <f>SUM(N5:N6)</f>
        <v>451.358</v>
      </c>
      <c r="O7" s="52">
        <f>SUM(O5:O6)</f>
        <v>475.062</v>
      </c>
      <c r="P7" s="52">
        <f>SUM(P5:P6)</f>
        <v>374.49899999999997</v>
      </c>
      <c r="Q7" s="52">
        <f>SUM(Q5:Q6)</f>
        <v>320.41099999999994</v>
      </c>
      <c r="R7" s="52">
        <f>SUM(R5:R6)</f>
        <v>263.816</v>
      </c>
      <c r="S7" s="52">
        <f>S4-S2*NPV!C6</f>
        <v>186.32259941400002</v>
      </c>
      <c r="T7" s="52">
        <f>T4-T2*NPV!D6</f>
        <v>162.91708190519998</v>
      </c>
      <c r="U7" s="52">
        <f>U4-U2*NPV!E6</f>
        <v>144.3214097018186</v>
      </c>
      <c r="V7" s="52">
        <f>V4-V2*NPV!F6</f>
        <v>129.47160620541445</v>
      </c>
      <c r="W7" s="52">
        <f>W4-W2*NPV!G6</f>
        <v>117.57208264791487</v>
      </c>
      <c r="X7" s="52">
        <f>X4-X2*NPV!H6</f>
        <v>108.0221433115032</v>
      </c>
      <c r="Y7" s="52">
        <f>Y4-Y2*NPV!I6</f>
        <v>100.36360620691853</v>
      </c>
      <c r="Z7" s="52">
        <f>Z4-Z2*NPV!J6</f>
        <v>94.24292305153249</v>
      </c>
      <c r="AA7" s="52">
        <f>AA4-AA2*NPV!K6</f>
        <v>89.3832613321786</v>
      </c>
      <c r="AB7" s="52">
        <f>AB4-AB2*NPV!L6</f>
        <v>85.56336742394733</v>
      </c>
    </row>
    <row r="8">
      <c r="A8" s="2" t="inlineStr">
        <is>
          <t>Operating Income</t>
        </is>
      </c>
      <c r="B8" s="52">
        <f>B4-B7</f>
        <v>-34.044</v>
      </c>
      <c r="C8" s="52">
        <f>C4-C7</f>
        <v>-45.101</v>
      </c>
      <c r="D8" s="52">
        <f>D4-D7</f>
        <v>-44.161</v>
      </c>
      <c r="E8" s="52">
        <f>E4-E7</f>
        <v>-116.75</v>
      </c>
      <c r="F8" s="52">
        <f>F4-F7</f>
        <v>-182.10600000000002</v>
      </c>
      <c r="G8" s="52">
        <f>G4-G7</f>
        <v>-95.955</v>
      </c>
      <c r="H8" s="52">
        <f>H4-H7</f>
        <v>-98.22200000000001</v>
      </c>
      <c r="I8" s="52">
        <f>I4-I7</f>
        <v>-65.626</v>
      </c>
      <c r="J8" s="52">
        <f>J4-J7</f>
        <v>-45.55499999999998</v>
      </c>
      <c r="K8" s="52">
        <f>K4-K7</f>
        <v>-108.22500000000002</v>
      </c>
      <c r="L8" s="52">
        <f>L4-L7</f>
        <v>-24.278999999999996</v>
      </c>
      <c r="M8" s="52">
        <f>M4-M7</f>
        <v>-19.65500000000003</v>
      </c>
      <c r="N8" s="52">
        <f>N4-N7</f>
        <v>10.50200000000001</v>
      </c>
      <c r="O8" s="52">
        <f>O4-O7</f>
        <v>-105.86900000000003</v>
      </c>
      <c r="P8" s="52">
        <f>P4-P7</f>
        <v>-67.58799999999997</v>
      </c>
      <c r="Q8" s="52">
        <f>Q4-Q7</f>
        <v>-91.79699999999994</v>
      </c>
      <c r="R8" s="52">
        <f>R4-R7</f>
        <v>-50.16999999999999</v>
      </c>
      <c r="S8" s="52">
        <f>S4-S7</f>
        <v>-34.035730614000016</v>
      </c>
      <c r="T8" s="52">
        <f>T4-T7</f>
        <v>-23.743804585199996</v>
      </c>
      <c r="U8" s="52">
        <f>U4-U7</f>
        <v>-15.199535743818615</v>
      </c>
      <c r="V8" s="52">
        <f>V4-V7</f>
        <v>-7.881841561631106</v>
      </c>
      <c r="W8" s="52">
        <f>W4-W7</f>
        <v>-1.3863075438552528</v>
      </c>
      <c r="X8" s="52">
        <f>X4-X7</f>
        <v>4.61351088659903</v>
      </c>
      <c r="Y8" s="52">
        <f>Y4-Y7</f>
        <v>10.39478708788198</v>
      </c>
      <c r="Z8" s="52">
        <f>Z4-Z7</f>
        <v>16.20780803967135</v>
      </c>
      <c r="AA8" s="52">
        <f>AA4-AA7</f>
        <v>22.29470010448304</v>
      </c>
      <c r="AB8" s="52">
        <f>AB4-AB7</f>
        <v>28.90654304863085</v>
      </c>
    </row>
    <row r="9">
      <c r="A9" s="18" t="inlineStr">
        <is>
          <t>Interest &amp; Other</t>
        </is>
      </c>
      <c r="B9" s="52" t="n">
        <v>2.537</v>
      </c>
      <c r="C9" s="52" t="n">
        <v>-204.989</v>
      </c>
      <c r="D9" s="52" t="n">
        <v>-22.449</v>
      </c>
      <c r="E9" s="52" t="n">
        <v>-53.318</v>
      </c>
      <c r="F9" s="52" t="n">
        <v>12.685</v>
      </c>
      <c r="G9" s="52" t="n">
        <v>36.754</v>
      </c>
      <c r="H9" s="52" t="n">
        <v>-20.068</v>
      </c>
      <c r="I9" s="52" t="n">
        <v>-10.755</v>
      </c>
      <c r="J9" s="52" t="n">
        <v>-9.263</v>
      </c>
      <c r="K9" s="52" t="n">
        <v>-8.124000000000001</v>
      </c>
      <c r="L9" s="52" t="n">
        <v>1.798</v>
      </c>
      <c r="M9" s="52" t="n">
        <v>2.4</v>
      </c>
      <c r="N9" s="52" t="n">
        <v>0.76</v>
      </c>
      <c r="O9" s="52" t="n">
        <v>2.067</v>
      </c>
      <c r="P9" s="52" t="n">
        <v>18.03</v>
      </c>
      <c r="Q9" s="52" t="n">
        <v>9.779999999999999</v>
      </c>
      <c r="R9" s="52" t="n">
        <v>14.12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-31.506999999999998</v>
      </c>
      <c r="C10" s="52">
        <f>C8+C9</f>
        <v>-250.09</v>
      </c>
      <c r="D10" s="52">
        <f>D8+D9</f>
        <v>-66.61</v>
      </c>
      <c r="E10" s="52">
        <f>E8+E9</f>
        <v>-170.06799999999998</v>
      </c>
      <c r="F10" s="52">
        <f>F8+F9</f>
        <v>-169.42100000000002</v>
      </c>
      <c r="G10" s="52">
        <f>G8+G9</f>
        <v>-59.201</v>
      </c>
      <c r="H10" s="52">
        <f>H8+H9</f>
        <v>-118.29</v>
      </c>
      <c r="I10" s="52">
        <f>I8+I9</f>
        <v>-76.381</v>
      </c>
      <c r="J10" s="52">
        <f>J8+J9</f>
        <v>-54.81799999999998</v>
      </c>
      <c r="K10" s="52">
        <f>K8+K9</f>
        <v>-116.34900000000002</v>
      </c>
      <c r="L10" s="52">
        <f>L8+L9</f>
        <v>-22.480999999999995</v>
      </c>
      <c r="M10" s="52">
        <f>M8+M9</f>
        <v>-17.25500000000003</v>
      </c>
      <c r="N10" s="52">
        <f>N8+N9</f>
        <v>11.26200000000001</v>
      </c>
      <c r="O10" s="52">
        <f>O8+O9</f>
        <v>-103.80200000000002</v>
      </c>
      <c r="P10" s="52">
        <f>P8+P9</f>
        <v>-49.557999999999964</v>
      </c>
      <c r="Q10" s="52">
        <f>Q8+Q9</f>
        <v>-82.01699999999994</v>
      </c>
      <c r="R10" s="52">
        <f>R8+R9</f>
        <v>-36.04999999999999</v>
      </c>
      <c r="S10" s="52">
        <f>S8+S9</f>
        <v>-34.035730614000016</v>
      </c>
      <c r="T10" s="52">
        <f>T8+T9</f>
        <v>-23.743804585199996</v>
      </c>
      <c r="U10" s="52">
        <f>U8+U9</f>
        <v>-15.199535743818615</v>
      </c>
      <c r="V10" s="52">
        <f>V8+V9</f>
        <v>-7.881841561631106</v>
      </c>
      <c r="W10" s="52">
        <f>W8+W9</f>
        <v>-1.3863075438552528</v>
      </c>
      <c r="X10" s="52">
        <f>X8+X9</f>
        <v>4.61351088659903</v>
      </c>
      <c r="Y10" s="52">
        <f>Y8+Y9</f>
        <v>10.39478708788198</v>
      </c>
      <c r="Z10" s="52">
        <f>Z8+Z9</f>
        <v>16.20780803967135</v>
      </c>
      <c r="AA10" s="52">
        <f>AA8+AA9</f>
        <v>22.29470010448304</v>
      </c>
      <c r="AB10" s="52">
        <f>AB8+AB9</f>
        <v>28.90654304863085</v>
      </c>
    </row>
    <row r="11">
      <c r="A11" s="2" t="inlineStr">
        <is>
          <t>Taxes</t>
        </is>
      </c>
      <c r="B11" s="52" t="n">
        <v>-0.901</v>
      </c>
      <c r="C11" s="52" t="n">
        <v>-0.501</v>
      </c>
      <c r="D11" s="52" t="n">
        <v>2.516</v>
      </c>
      <c r="E11" s="52" t="n">
        <v>9.116</v>
      </c>
      <c r="F11" s="52" t="n">
        <v>-3.194</v>
      </c>
      <c r="G11" s="52" t="n">
        <v>-2.837</v>
      </c>
      <c r="H11" s="52" t="n">
        <v>-3.086</v>
      </c>
      <c r="I11" s="52" t="n">
        <v>9.968999999999999</v>
      </c>
      <c r="J11" s="52" t="n">
        <v>13.047</v>
      </c>
      <c r="K11" s="52" t="n">
        <v>0.096</v>
      </c>
      <c r="L11" s="52" t="n">
        <v>0.164</v>
      </c>
      <c r="M11" s="52" t="n">
        <v>0.745</v>
      </c>
      <c r="N11" s="52" t="n">
        <v>3.562</v>
      </c>
      <c r="O11" s="52" t="n">
        <v>1.998</v>
      </c>
      <c r="P11" s="52" t="n">
        <v>5.442</v>
      </c>
      <c r="Q11" s="52" t="n">
        <v>4.983</v>
      </c>
      <c r="R11" s="52" t="n">
        <v>2.75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0.7842968507218352</v>
      </c>
      <c r="Y11" s="52">
        <f>MAX(0,Y10)*Assumptions!$E$14</f>
        <v>1.7671138049399366</v>
      </c>
      <c r="Z11" s="52">
        <f>MAX(0,Z10)*Assumptions!$E$14</f>
        <v>2.7553273667441296</v>
      </c>
      <c r="AA11" s="52">
        <f>MAX(0,AA10)*Assumptions!$E$14</f>
        <v>3.790099017762117</v>
      </c>
      <c r="AB11" s="52">
        <f>MAX(0,AB10)*Assumptions!$E$14</f>
        <v>4.914112318267245</v>
      </c>
    </row>
    <row r="12">
      <c r="A12" s="2" t="inlineStr">
        <is>
          <t>Net Income</t>
        </is>
      </c>
      <c r="B12" s="52" t="n">
        <v>-30.606</v>
      </c>
      <c r="C12" s="52" t="n">
        <v>-249.589</v>
      </c>
      <c r="D12" s="52" t="n">
        <v>-69.126</v>
      </c>
      <c r="E12" s="52" t="n">
        <v>-179.184</v>
      </c>
      <c r="F12" s="52" t="n">
        <v>-166.227</v>
      </c>
      <c r="G12" s="52" t="n">
        <v>-56.364</v>
      </c>
      <c r="H12" s="52" t="n">
        <v>-115.204</v>
      </c>
      <c r="I12" s="52" t="n">
        <v>-86.34999999999999</v>
      </c>
      <c r="J12" s="52" t="n">
        <v>-67.86499999999999</v>
      </c>
      <c r="K12" s="52" t="n">
        <v>-116.445</v>
      </c>
      <c r="L12" s="52" t="n">
        <v>-22.645</v>
      </c>
      <c r="M12" s="52" t="n">
        <v>-18</v>
      </c>
      <c r="N12" s="52" t="n">
        <v>7.7</v>
      </c>
      <c r="O12" s="52" t="n">
        <v>-105.8</v>
      </c>
      <c r="P12" s="52" t="n">
        <v>-55</v>
      </c>
      <c r="Q12" s="52" t="n">
        <v>-87</v>
      </c>
      <c r="R12" s="52" t="n">
        <v>-38.8</v>
      </c>
      <c r="S12" s="52">
        <f>S10-S11</f>
        <v>-34.035730614000016</v>
      </c>
      <c r="T12" s="52">
        <f>T10-T11</f>
        <v>-23.743804585199996</v>
      </c>
      <c r="U12" s="52">
        <f>U10-U11</f>
        <v>-15.199535743818615</v>
      </c>
      <c r="V12" s="52">
        <f>V10-V11</f>
        <v>-7.881841561631106</v>
      </c>
      <c r="W12" s="52">
        <f>W10-W11</f>
        <v>-1.3863075438552528</v>
      </c>
      <c r="X12" s="52">
        <f>X10-X11</f>
        <v>3.8292140358771953</v>
      </c>
      <c r="Y12" s="52">
        <f>Y10-Y11</f>
        <v>8.627673282942043</v>
      </c>
      <c r="Z12" s="52">
        <f>Z10-Z11</f>
        <v>13.45248067292722</v>
      </c>
      <c r="AA12" s="52">
        <f>AA10-AA11</f>
        <v>18.504601086720925</v>
      </c>
      <c r="AB12" s="52">
        <f>AB10-AB11</f>
        <v>23.99243073036361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-0.479865049669219</v>
      </c>
      <c r="E13" s="11">
        <f>IFERROR(E12/E14,0)</f>
        <v>-1.244186450210739</v>
      </c>
      <c r="F13" s="11">
        <f>IFERROR(F12/F14,0)</f>
        <v>-0.9949542108098403</v>
      </c>
      <c r="G13" s="11">
        <f>IFERROR(G12/G14,0)</f>
        <v>-0.32425902061855666</v>
      </c>
      <c r="H13" s="11">
        <f>IFERROR(H12/H14,0)</f>
        <v>-0.6377052265657002</v>
      </c>
      <c r="I13" s="11">
        <f>IFERROR(I12/I14,0)</f>
        <v>-0.4075535459754382</v>
      </c>
      <c r="J13" s="11">
        <f>IFERROR(J12/J14,0)</f>
        <v>-0.2507463458611058</v>
      </c>
      <c r="K13" s="11">
        <f>IFERROR(K12/K14,0)</f>
        <v>-0.3917580920275739</v>
      </c>
      <c r="L13" s="11">
        <f>IFERROR(L12/L14,0)</f>
        <v>-0.06610945354967916</v>
      </c>
      <c r="M13" s="11">
        <f>IFERROR(M12/M14,0)</f>
        <v>-0.04715016541849701</v>
      </c>
      <c r="N13" s="11">
        <f>IFERROR(N12/N14,0)</f>
        <v>0.019131385410455178</v>
      </c>
      <c r="O13" s="11">
        <f>IFERROR(O12/O14,0)</f>
        <v>-0.2637384552105795</v>
      </c>
      <c r="P13" s="11">
        <f>IFERROR(P12/P14,0)</f>
        <v>-0.13491800664777814</v>
      </c>
      <c r="Q13" s="11">
        <f>IFERROR(Q12/Q14,0)</f>
        <v>-0.21171128421144847</v>
      </c>
      <c r="R13" s="11">
        <f>IFERROR(R12/R14,0)</f>
        <v>-0.09349758062961464</v>
      </c>
      <c r="S13" s="11">
        <f>IFERROR(S12/S14,0)</f>
        <v>-1.6205792170040698</v>
      </c>
      <c r="T13" s="11">
        <f>IFERROR(T12/T14,0)</f>
        <v>-1.130538864576437</v>
      </c>
      <c r="U13" s="11">
        <f>IFERROR(U12/U14,0)</f>
        <v>-0.7237115610619791</v>
      </c>
      <c r="V13" s="11">
        <f>IFERROR(V12/V14,0)</f>
        <v>-0.37528645326756277</v>
      </c>
      <c r="W13" s="11">
        <f>IFERROR(W12/W14,0)</f>
        <v>-0.06600772639279474</v>
      </c>
      <c r="X13" s="11">
        <f>IFERROR(X12/X14,0)</f>
        <v>0.1823244153146022</v>
      </c>
      <c r="Y13" s="11">
        <f>IFERROR(Y12/Y14,0)</f>
        <v>0.4107985273477856</v>
      </c>
      <c r="Z13" s="11">
        <f>IFERROR(Z12/Z14,0)</f>
        <v>0.6405271813594442</v>
      </c>
      <c r="AA13" s="11">
        <f>IFERROR(AA12/AA14,0)</f>
        <v>0.8810791306403082</v>
      </c>
      <c r="AB13" s="11">
        <f>IFERROR(AB12/AB14,0)</f>
        <v>1.1423769640203858</v>
      </c>
    </row>
    <row r="14">
      <c r="A14" s="2" t="inlineStr">
        <is>
          <t>Shares</t>
        </is>
      </c>
      <c r="B14" s="52" t="n"/>
      <c r="C14" s="52" t="n"/>
      <c r="D14" s="52" t="n">
        <v>144.053</v>
      </c>
      <c r="E14" s="52" t="n">
        <v>144.017</v>
      </c>
      <c r="F14" s="52" t="n">
        <v>167.07</v>
      </c>
      <c r="G14" s="52" t="n">
        <v>173.824</v>
      </c>
      <c r="H14" s="52" t="n">
        <v>180.654</v>
      </c>
      <c r="I14" s="52" t="n">
        <v>211.874</v>
      </c>
      <c r="J14" s="52" t="n">
        <v>270.652</v>
      </c>
      <c r="K14" s="52" t="n">
        <v>297.237</v>
      </c>
      <c r="L14" s="52" t="n">
        <v>342.538</v>
      </c>
      <c r="M14" s="52" t="n">
        <v>381.759</v>
      </c>
      <c r="N14" s="52" t="n">
        <v>402.48</v>
      </c>
      <c r="O14" s="52" t="n">
        <v>401.155</v>
      </c>
      <c r="P14" s="52" t="n">
        <v>407.655</v>
      </c>
      <c r="Q14" s="52" t="n">
        <v>410.937</v>
      </c>
      <c r="R14" s="52" t="n">
        <v>414.984</v>
      </c>
      <c r="S14" s="52">
        <f>Main!$C$4</f>
        <v>21.0022011</v>
      </c>
      <c r="T14" s="52">
        <f>Main!$C$4</f>
        <v>21.0022011</v>
      </c>
      <c r="U14" s="52">
        <f>Main!$C$4</f>
        <v>21.0022011</v>
      </c>
      <c r="V14" s="52">
        <f>Main!$C$4</f>
        <v>21.0022011</v>
      </c>
      <c r="W14" s="52">
        <f>Main!$C$4</f>
        <v>21.0022011</v>
      </c>
      <c r="X14" s="52">
        <f>Main!$C$4</f>
        <v>21.0022011</v>
      </c>
      <c r="Y14" s="52">
        <f>Main!$C$4</f>
        <v>21.0022011</v>
      </c>
      <c r="Z14" s="52">
        <f>Main!$C$4</f>
        <v>21.0022011</v>
      </c>
      <c r="AA14" s="52">
        <f>Main!$C$4</f>
        <v>21.0022011</v>
      </c>
      <c r="AB14" s="52">
        <f>Main!$C$4</f>
        <v>21.0022011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1.056923835907556</v>
      </c>
      <c r="H16" s="15">
        <f>IFERROR(H2/G2-1,"")</f>
        <v>0.5083576251798827</v>
      </c>
      <c r="I16" s="15">
        <f>IFERROR(I2/H2-1,"")</f>
        <v>0.5911248104114684</v>
      </c>
      <c r="J16" s="15">
        <f>IFERROR(J2/I2-1,"")</f>
        <v>0.3922081116816827</v>
      </c>
      <c r="K16" s="15">
        <f>IFERROR(K2/J2-1,"")</f>
        <v>0.2656484671790793</v>
      </c>
      <c r="L16" s="15">
        <f>IFERROR(L2/K2-1,"")</f>
        <v>0.8749072918757144</v>
      </c>
      <c r="M16" s="15">
        <f>IFERROR(M2/L2-1,"")</f>
        <v>0.4288606298937765</v>
      </c>
      <c r="N16" s="15">
        <f>IFERROR(N2/M2-1,"")</f>
        <v>-0.05027684591082293</v>
      </c>
      <c r="O16" s="15">
        <f>IFERROR(O2/N2-1,"")</f>
        <v>-0.3669389063885169</v>
      </c>
      <c r="P16" s="15">
        <f>IFERROR(P2/O2-1,"")</f>
        <v>-0.16869767303280392</v>
      </c>
      <c r="Q16" s="15">
        <f>IFERROR(Q2/P2-1,"")</f>
        <v>-0.2551130458015516</v>
      </c>
      <c r="R16" s="15">
        <f>IFERROR(R2/Q2-1,"")</f>
        <v>-0.0654728056899403</v>
      </c>
      <c r="S16" s="15">
        <f>IFERROR(S2/R2-1,"")</f>
        <v>-0.09999999999999998</v>
      </c>
      <c r="T16" s="15">
        <f>IFERROR(T2/S2-1,"")</f>
        <v>-0.08611111111111114</v>
      </c>
      <c r="U16" s="15">
        <f>IFERROR(U2/T2-1,"")</f>
        <v>-0.07222222222222219</v>
      </c>
      <c r="V16" s="15">
        <f>IFERROR(V2/U2-1,"")</f>
        <v>-0.05833333333333324</v>
      </c>
      <c r="W16" s="15">
        <f>IFERROR(W2/V2-1,"")</f>
        <v>-0.04444444444444462</v>
      </c>
      <c r="X16" s="15">
        <f>IFERROR(X2/W2-1,"")</f>
        <v>-0.03055555555555567</v>
      </c>
      <c r="Y16" s="15">
        <f>IFERROR(Y2/X2-1,"")</f>
        <v>-0.01666666666666683</v>
      </c>
      <c r="Z16" s="15">
        <f>IFERROR(Z2/Y2-1,"")</f>
        <v>-0.002777777777777879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0.547948844446131</v>
      </c>
      <c r="G17" s="15">
        <f>IFERROR(G4/G2,"")</f>
        <v>0.6220619165344452</v>
      </c>
      <c r="H17" s="15">
        <f>IFERROR(H4/H2,"")</f>
        <v>0.6590464308429962</v>
      </c>
      <c r="I17" s="15">
        <f>IFERROR(I4/I2,"")</f>
        <v>0.7358399188216844</v>
      </c>
      <c r="J17" s="15">
        <f>IFERROR(J4/J2,"")</f>
        <v>0.7517890272992314</v>
      </c>
      <c r="K17" s="15">
        <f>IFERROR(K4/K2,"")</f>
        <v>0.7620433306866072</v>
      </c>
      <c r="L17" s="15">
        <f>IFERROR(L4/L2,"")</f>
        <v>0.7765726983979244</v>
      </c>
      <c r="M17" s="15">
        <f>IFERROR(M4/M2,"")</f>
        <v>0.7859427417516204</v>
      </c>
      <c r="N17" s="15">
        <f>IFERROR(N4/N2,"")</f>
        <v>0.7919586684888381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0.792</v>
      </c>
      <c r="T17" s="15">
        <f>IFERROR(T4/T2,"")</f>
        <v>0.792</v>
      </c>
      <c r="U17" s="15">
        <f>IFERROR(U4/U2,"")</f>
        <v>0.7919999999999999</v>
      </c>
      <c r="V17" s="15">
        <f>IFERROR(V4/V2,"")</f>
        <v>0.792</v>
      </c>
      <c r="W17" s="15">
        <f>IFERROR(W4/W2,"")</f>
        <v>0.792</v>
      </c>
      <c r="X17" s="15">
        <f>IFERROR(X4/X2,"")</f>
        <v>0.792</v>
      </c>
      <c r="Y17" s="15">
        <f>IFERROR(Y4/Y2,"")</f>
        <v>0.792</v>
      </c>
      <c r="Z17" s="15">
        <f>IFERROR(Z4/Z2,"")</f>
        <v>0.792</v>
      </c>
      <c r="AA17" s="15">
        <f>IFERROR(AA4/AA2,"")</f>
        <v>0.792</v>
      </c>
      <c r="AB17" s="15">
        <f>IFERROR(AB4/AB2,"")</f>
        <v>0.792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-6.910781374520893</v>
      </c>
      <c r="G18" s="15">
        <f>IFERROR(G8/G2,"")</f>
        <v>-1.770322128334748</v>
      </c>
      <c r="H18" s="15">
        <f>IFERROR(H8/H2,"")</f>
        <v>-1.201404178286609</v>
      </c>
      <c r="I18" s="15">
        <f>IFERROR(I8/I2,"")</f>
        <v>-0.504489406844808</v>
      </c>
      <c r="J18" s="15">
        <f>IFERROR(J8/J2,"")</f>
        <v>-0.2515405512854491</v>
      </c>
      <c r="K18" s="15">
        <f>IFERROR(K8/K2,"")</f>
        <v>-0.472157023567496</v>
      </c>
      <c r="L18" s="15">
        <f>IFERROR(L8/L2,"")</f>
        <v>-0.056494979697734746</v>
      </c>
      <c r="M18" s="15">
        <f>IFERROR(M8/M2,"")</f>
        <v>-0.03200827280721759</v>
      </c>
      <c r="N18" s="15">
        <f>IFERROR(N8/N2,"")</f>
        <v>0.018007945993309196</v>
      </c>
      <c r="O18" s="15">
        <f>IFERROR(O8/O2,"")</f>
        <v>-0.28675787460759017</v>
      </c>
      <c r="P18" s="15">
        <f>IFERROR(P8/P2,"")</f>
        <v>-0.22022019412793925</v>
      </c>
      <c r="Q18" s="15">
        <f>IFERROR(Q8/Q2,"")</f>
        <v>-0.40153708871722615</v>
      </c>
      <c r="R18" s="15">
        <f>IFERROR(R8/R2,"")</f>
        <v>-0.23482770564391559</v>
      </c>
      <c r="S18" s="15">
        <f>IFERROR(S8/S2,"")</f>
        <v>-0.17701000000000008</v>
      </c>
      <c r="T18" s="15">
        <f>IFERROR(T8/T2,"")</f>
        <v>-0.13512</v>
      </c>
      <c r="U18" s="15">
        <f>IFERROR(U8/U2,"")</f>
        <v>-0.09323000000000004</v>
      </c>
      <c r="V18" s="15">
        <f>IFERROR(V8/V2,"")</f>
        <v>-0.05134</v>
      </c>
      <c r="W18" s="15">
        <f>IFERROR(W8/W2,"")</f>
        <v>-0.009449999999999972</v>
      </c>
      <c r="X18" s="15">
        <f>IFERROR(X8/X2,"")</f>
        <v>0.03243999999999996</v>
      </c>
      <c r="Y18" s="15">
        <f>IFERROR(Y8/Y2,"")</f>
        <v>0.07433000000000005</v>
      </c>
      <c r="Z18" s="15">
        <f>IFERROR(Z8/Z2,"")</f>
        <v>0.11621999999999999</v>
      </c>
      <c r="AA18" s="15">
        <f>IFERROR(AA8/AA2,"")</f>
        <v>0.15810999999999997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Amarin Corporation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-0.2189</v>
      </c>
    </row>
    <row r="19">
      <c r="A19" s="14" t="inlineStr">
        <is>
          <t>Gross margin (forecast)</t>
        </is>
      </c>
      <c r="B19" s="53" t="n">
        <v>0.792</v>
      </c>
    </row>
    <row r="20">
      <c r="A20" s="14" t="inlineStr">
        <is>
          <t>R&amp;D share of operating expense (forecast)</t>
        </is>
      </c>
      <c r="B20" s="53" t="n">
        <v>0.0751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213.646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61.00454639230756</v>
      </c>
      <c r="C29" s="56">
        <f>NPV!B26</f>
        <v>375.6535463923076</v>
      </c>
      <c r="D29" s="35">
        <f>NPV!B28</f>
        <v>17.88638936479413</v>
      </c>
      <c r="E29" s="57">
        <f>NPV!B30</f>
        <v>0.5580478540761438</v>
      </c>
    </row>
    <row r="30">
      <c r="A30" s="58" t="n">
        <v>1</v>
      </c>
      <c r="B30" s="59">
        <f t="dataTable" ref="B30:E32" r1="B4"/>
        <v>7.401487590406838</v>
      </c>
      <c r="C30" s="59">
        <v>322.0504875904068</v>
      </c>
      <c r="D30" s="39">
        <v>15.334130268393954</v>
      </c>
      <c r="E30" s="60">
        <v>0.33572563313536175</v>
      </c>
    </row>
    <row r="31">
      <c r="A31" s="58" t="n">
        <v>2</v>
      </c>
      <c r="B31" s="59">
        <v>61.00454639230756</v>
      </c>
      <c r="C31" s="59">
        <v>375.6535463923076</v>
      </c>
      <c r="D31" s="39">
        <v>17.88638936479413</v>
      </c>
      <c r="E31" s="60">
        <v>0.5580478540761438</v>
      </c>
    </row>
    <row r="32">
      <c r="A32" s="58" t="n">
        <v>3</v>
      </c>
      <c r="B32" s="59">
        <v>170.35868731879506</v>
      </c>
      <c r="C32" s="59">
        <v>485.0076873187951</v>
      </c>
      <c r="D32" s="39">
        <v>23.09318366248741</v>
      </c>
      <c r="E32" s="60">
        <v>1.0116013643281714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17.88638936479413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18.984782524896996</v>
      </c>
      <c r="C37" s="39">
        <v>19.372989631469032</v>
      </c>
      <c r="D37" s="39">
        <v>19.81181883716676</v>
      </c>
      <c r="E37" s="39">
        <v>20.31142010649181</v>
      </c>
      <c r="F37" s="39">
        <v>20.884843731528527</v>
      </c>
    </row>
    <row r="38">
      <c r="A38" s="62" t="n">
        <v>0.115</v>
      </c>
      <c r="B38" s="39">
        <v>18.10223702922978</v>
      </c>
      <c r="C38" s="39">
        <v>18.3982964179783</v>
      </c>
      <c r="D38" s="39">
        <v>18.72902591694878</v>
      </c>
      <c r="E38" s="39">
        <v>19.100564943248525</v>
      </c>
      <c r="F38" s="39">
        <v>19.520588044443382</v>
      </c>
    </row>
    <row r="39">
      <c r="A39" s="62" t="n">
        <v>0.125</v>
      </c>
      <c r="B39" s="39">
        <v>17.401050448286668</v>
      </c>
      <c r="C39" s="39">
        <v>17.631438992431452</v>
      </c>
      <c r="D39" s="39">
        <v>17.88638936479413</v>
      </c>
      <c r="E39" s="39">
        <v>18.169797545041398</v>
      </c>
      <c r="F39" s="39">
        <v>18.486425515731423</v>
      </c>
    </row>
    <row r="40">
      <c r="A40" s="62" t="n">
        <v>0.135</v>
      </c>
      <c r="B40" s="39">
        <v>16.834490028985233</v>
      </c>
      <c r="C40" s="39">
        <v>17.016723253229706</v>
      </c>
      <c r="D40" s="39">
        <v>17.2168448803865</v>
      </c>
      <c r="E40" s="39">
        <v>17.437425545110624</v>
      </c>
      <c r="F40" s="39">
        <v>17.681550202463146</v>
      </c>
    </row>
    <row r="41">
      <c r="A41" s="62" t="n">
        <v>0.145</v>
      </c>
      <c r="B41" s="39">
        <v>16.370316728776505</v>
      </c>
      <c r="C41" s="39">
        <v>16.51639823895048</v>
      </c>
      <c r="D41" s="39">
        <v>16.675811176371948</v>
      </c>
      <c r="E41" s="39">
        <v>16.850307448430126</v>
      </c>
      <c r="F41" s="39">
        <v>17.041957655921575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Amarin Corporation PLC: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-0.23482770564391559</v>
      </c>
      <c r="C6" s="63">
        <f>Assumptions!$B$18+(Assumptions!$E$13-Assumptions!$B$18)*C4/Assumptions!$B$21</f>
        <v>-0.17701</v>
      </c>
      <c r="D6" s="63">
        <f>Assumptions!$B$18+(Assumptions!$E$13-Assumptions!$B$18)*D4/Assumptions!$B$21</f>
        <v>-0.13512000000000002</v>
      </c>
      <c r="E6" s="63">
        <f>Assumptions!$B$18+(Assumptions!$E$13-Assumptions!$B$18)*E4/Assumptions!$B$21</f>
        <v>-0.09323000000000001</v>
      </c>
      <c r="F6" s="63">
        <f>Assumptions!$B$18+(Assumptions!$E$13-Assumptions!$B$18)*F4/Assumptions!$B$21</f>
        <v>-0.05134</v>
      </c>
      <c r="G6" s="63">
        <f>Assumptions!$B$18+(Assumptions!$E$13-Assumptions!$B$18)*G4/Assumptions!$B$21</f>
        <v>-0.009450000000000014</v>
      </c>
      <c r="H6" s="63">
        <f>Assumptions!$B$18+(Assumptions!$E$13-Assumptions!$B$18)*H4/Assumptions!$B$21</f>
        <v>0.03244</v>
      </c>
      <c r="I6" s="63">
        <f>Assumptions!$B$18+(Assumptions!$E$13-Assumptions!$B$18)*I4/Assumptions!$B$21</f>
        <v>0.07433000000000003</v>
      </c>
      <c r="J6" s="63">
        <f>Assumptions!$B$18+(Assumptions!$E$13-Assumptions!$B$18)*J4/Assumptions!$B$21</f>
        <v>0.11622000000000002</v>
      </c>
      <c r="K6" s="63">
        <f>Assumptions!$B$18+(Assumptions!$E$13-Assumptions!$B$18)*K4/Assumptions!$B$21</f>
        <v>0.15811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Model'!R2</f>
        <v>213.646</v>
      </c>
      <c r="C7" s="55">
        <f>'Yearly Model'!S2</f>
        <v>192.2814</v>
      </c>
      <c r="D7" s="55">
        <f>'Yearly Model'!T2</f>
        <v>175.72383499999998</v>
      </c>
      <c r="E7" s="55">
        <f>'Yearly Model'!U2</f>
        <v>163.03266913888888</v>
      </c>
      <c r="F7" s="55">
        <f>'Yearly Model'!V2</f>
        <v>153.52243010578704</v>
      </c>
      <c r="G7" s="55">
        <f>'Yearly Model'!W2</f>
        <v>146.69921098997426</v>
      </c>
      <c r="H7" s="55">
        <f>'Yearly Model'!X2</f>
        <v>142.21673509861392</v>
      </c>
      <c r="I7" s="55">
        <f>'Yearly Model'!Y2</f>
        <v>139.84645618030368</v>
      </c>
      <c r="J7" s="55">
        <f>'Yearly Model'!Z2</f>
        <v>139.45799380202504</v>
      </c>
      <c r="K7" s="55">
        <f>'Yearly Model'!AA2</f>
        <v>141.00752706649197</v>
      </c>
      <c r="L7" s="55">
        <f>'Yearly Model'!AB2</f>
        <v>144.53271524315426</v>
      </c>
    </row>
    <row r="8">
      <c r="A8" s="14" t="inlineStr">
        <is>
          <t>Operating income</t>
        </is>
      </c>
      <c r="B8" s="55">
        <f>'Yearly Model'!R8</f>
        <v>-50.16999999999999</v>
      </c>
      <c r="C8" s="55">
        <f>'Yearly Model'!S8</f>
        <v>-34.035730614000016</v>
      </c>
      <c r="D8" s="55">
        <f>'Yearly Model'!T8</f>
        <v>-23.743804585199996</v>
      </c>
      <c r="E8" s="55">
        <f>'Yearly Model'!U8</f>
        <v>-15.199535743818615</v>
      </c>
      <c r="F8" s="55">
        <f>'Yearly Model'!V8</f>
        <v>-7.881841561631106</v>
      </c>
      <c r="G8" s="55">
        <f>'Yearly Model'!W8</f>
        <v>-1.3863075438552528</v>
      </c>
      <c r="H8" s="55">
        <f>'Yearly Model'!X8</f>
        <v>4.61351088659903</v>
      </c>
      <c r="I8" s="55">
        <f>'Yearly Model'!Y8</f>
        <v>10.39478708788198</v>
      </c>
      <c r="J8" s="55">
        <f>'Yearly Model'!Z8</f>
        <v>16.20780803967135</v>
      </c>
      <c r="K8" s="55">
        <f>'Yearly Model'!AA8</f>
        <v>22.29470010448304</v>
      </c>
      <c r="L8" s="55">
        <f>'Yearly Model'!AB8</f>
        <v>28.90654304863085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0.7842968507218352</v>
      </c>
      <c r="I9" s="52">
        <f>MAX(0,I8)*Assumptions!$E$14</f>
        <v>1.7671138049399366</v>
      </c>
      <c r="J9" s="52">
        <f>MAX(0,J8)*Assumptions!$E$14</f>
        <v>2.7553273667441296</v>
      </c>
      <c r="K9" s="52">
        <f>MAX(0,K8)*Assumptions!$E$14</f>
        <v>3.790099017762117</v>
      </c>
      <c r="L9" s="52">
        <f>MAX(0,L8)*Assumptions!$E$14</f>
        <v>4.914112318267245</v>
      </c>
    </row>
    <row r="10">
      <c r="A10" s="14" t="inlineStr">
        <is>
          <t>NOPAT</t>
        </is>
      </c>
      <c r="C10" s="52">
        <f>C8-C9</f>
        <v>-34.035730614000016</v>
      </c>
      <c r="D10" s="52">
        <f>D8-D9</f>
        <v>-23.743804585199996</v>
      </c>
      <c r="E10" s="52">
        <f>E8-E9</f>
        <v>-15.199535743818615</v>
      </c>
      <c r="F10" s="52">
        <f>F8-F9</f>
        <v>-7.881841561631106</v>
      </c>
      <c r="G10" s="52">
        <f>G8-G9</f>
        <v>-1.3863075438552528</v>
      </c>
      <c r="H10" s="52">
        <f>H8-H9</f>
        <v>3.8292140358771953</v>
      </c>
      <c r="I10" s="52">
        <f>I8-I9</f>
        <v>8.627673282942043</v>
      </c>
      <c r="J10" s="52">
        <f>J8-J9</f>
        <v>13.45248067292722</v>
      </c>
      <c r="K10" s="52">
        <f>K8-K9</f>
        <v>18.504601086720925</v>
      </c>
      <c r="L10" s="52">
        <f>L8-L9</f>
        <v>23.99243073036361</v>
      </c>
    </row>
    <row r="11">
      <c r="A11" s="14" t="inlineStr">
        <is>
          <t>Reinvestment</t>
        </is>
      </c>
      <c r="C11" s="52">
        <f>(C7-B7)*Assumptions!$E$15</f>
        <v>-5.341149999999999</v>
      </c>
      <c r="D11" s="52">
        <f>(D7-C7)*Assumptions!$E$15</f>
        <v>-4.139391250000003</v>
      </c>
      <c r="E11" s="52">
        <f>(E7-D7)*Assumptions!$E$15</f>
        <v>-3.1727914652777756</v>
      </c>
      <c r="F11" s="52">
        <f>(F7-E7)*Assumptions!$E$15</f>
        <v>-2.37755975827546</v>
      </c>
      <c r="G11" s="52">
        <f>(G7-F7)*Assumptions!$E$15</f>
        <v>-1.705804778953194</v>
      </c>
      <c r="H11" s="52">
        <f>(H7-G7)*Assumptions!$E$15</f>
        <v>-1.1206189728400844</v>
      </c>
      <c r="I11" s="52">
        <f>(I7-H7)*Assumptions!$E$15</f>
        <v>-0.592569729577562</v>
      </c>
      <c r="J11" s="52">
        <f>(J7-I7)*Assumptions!$E$15</f>
        <v>-0.09711559456965801</v>
      </c>
      <c r="K11" s="52">
        <f>(K7-J7)*Assumptions!$E$15</f>
        <v>0.3873833161167326</v>
      </c>
      <c r="L11" s="52">
        <f>(L7-K7)*Assumptions!$E$15</f>
        <v>0.8812970441655708</v>
      </c>
    </row>
    <row r="12">
      <c r="A12" s="20" t="inlineStr">
        <is>
          <t>Free cash flow</t>
        </is>
      </c>
      <c r="C12" s="64">
        <f>C10-C11</f>
        <v>-28.694580614000017</v>
      </c>
      <c r="D12" s="64">
        <f>D10-D11</f>
        <v>-19.604413335199993</v>
      </c>
      <c r="E12" s="64">
        <f>E10-E11</f>
        <v>-12.02674427854084</v>
      </c>
      <c r="F12" s="64">
        <f>F10-F11</f>
        <v>-5.504281803355646</v>
      </c>
      <c r="G12" s="64">
        <f>G10-G11</f>
        <v>0.31949723509794126</v>
      </c>
      <c r="H12" s="64">
        <f>H10-H11</f>
        <v>4.949833008717279</v>
      </c>
      <c r="I12" s="64">
        <f>I10-I11</f>
        <v>9.220243012519605</v>
      </c>
      <c r="J12" s="64">
        <f>J10-J11</f>
        <v>13.549596267496877</v>
      </c>
      <c r="K12" s="64">
        <f>K10-K11</f>
        <v>18.117217770604192</v>
      </c>
      <c r="L12" s="64">
        <f>L10-L11</f>
        <v>23.111133686198038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-14.04182595791524</v>
      </c>
      <c r="D16" s="64">
        <f>D12*D13*D15</f>
        <v>-17.417731950880132</v>
      </c>
      <c r="E16" s="64">
        <f>E12*E13*E15</f>
        <v>-9.498024960160208</v>
      </c>
      <c r="F16" s="64">
        <f>F12*F13*F15</f>
        <v>-3.8639666356336813</v>
      </c>
      <c r="G16" s="64">
        <f>G12*G13*G15</f>
        <v>0.19936425264709942</v>
      </c>
      <c r="H16" s="64">
        <f>H12*H13*H15</f>
        <v>2.7454795294470316</v>
      </c>
      <c r="I16" s="64">
        <f>I12*I13*I15</f>
        <v>4.545875189067498</v>
      </c>
      <c r="J16" s="64">
        <f>J12*J13*J15</f>
        <v>5.938120036355259</v>
      </c>
      <c r="K16" s="64">
        <f>K12*K13*K15</f>
        <v>7.057674091717391</v>
      </c>
      <c r="L16" s="64">
        <f>L12*L13*L15</f>
        <v>8.00274211894597</v>
      </c>
    </row>
    <row r="19">
      <c r="A19" s="14" t="inlineStr">
        <is>
          <t>PV of forecast free cash flow</t>
        </is>
      </c>
      <c r="B19" s="52">
        <f>SUM(C16:L16)</f>
        <v>-16.33229428640901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23.688912028352984</v>
      </c>
    </row>
    <row r="21">
      <c r="A21" s="14" t="inlineStr">
        <is>
          <t>Terminal value</t>
        </is>
      </c>
      <c r="B21" s="52">
        <f>B20/(Assumptions!$E$10-Assumptions!$E$11)</f>
        <v>236.88912028352982</v>
      </c>
    </row>
    <row r="22">
      <c r="A22" s="14" t="inlineStr">
        <is>
          <t>PV of terminal value</t>
        </is>
      </c>
      <c r="B22" s="52">
        <f>B21/(1+Assumptions!$E$10)^(L14+0.5)</f>
        <v>77.33684067871657</v>
      </c>
    </row>
    <row r="23">
      <c r="A23" s="20" t="inlineStr">
        <is>
          <t>Enterprise value</t>
        </is>
      </c>
      <c r="B23" s="66">
        <f>B19+B22</f>
        <v>61.00454639230756</v>
      </c>
    </row>
    <row r="24">
      <c r="A24" s="14" t="inlineStr">
        <is>
          <t>Cash &amp; investments</t>
        </is>
      </c>
      <c r="B24" s="55">
        <f>Main!C7</f>
        <v>314.649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375.6535463923076</v>
      </c>
    </row>
    <row r="27">
      <c r="A27" s="14" t="inlineStr">
        <is>
          <t>Shares (mm)</t>
        </is>
      </c>
      <c r="B27" s="55">
        <f>Main!C4</f>
        <v>21.0022011</v>
      </c>
    </row>
    <row r="28">
      <c r="A28" s="20" t="inlineStr">
        <is>
          <t>NPV / share</t>
        </is>
      </c>
      <c r="B28" s="49">
        <f>B26/B27</f>
        <v>17.88638936479413</v>
      </c>
    </row>
    <row r="29">
      <c r="A29" s="14" t="inlineStr">
        <is>
          <t>Price</t>
        </is>
      </c>
      <c r="B29" s="50">
        <f>Main!C3</f>
        <v>11.48</v>
      </c>
    </row>
    <row r="30">
      <c r="A30" s="14" t="inlineStr">
        <is>
          <t>Upside</t>
        </is>
      </c>
      <c r="B30" s="63">
        <f>B28/B29-1</f>
        <v>0.5580478540761438</v>
      </c>
    </row>
    <row r="31">
      <c r="A31" s="14" t="inlineStr">
        <is>
          <t>Terminal value, % of EV</t>
        </is>
      </c>
      <c r="B31" s="63">
        <f>IFERROR(B22/B23,0)</f>
        <v>1.2677225756483692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2026-10-21T06:26:28Z</dcterms:modified>
  <cp:lastModifiedBy>Wang, Eric</cp:lastModifiedBy>
</cp:coreProperties>
</file>