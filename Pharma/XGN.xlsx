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Exagen Inc.</t>
        </is>
      </c>
      <c r="C2" s="10" t="n"/>
    </row>
    <row r="3">
      <c r="B3" t="inlineStr">
        <is>
          <t>Price</t>
        </is>
      </c>
      <c r="C3" s="11">
        <f>INDEX([1]Pharma!$F$1:$F$1000,MATCH("XGN",[1]Pharma!$B$1:$B$1000,0))</f>
        <v>7.41</v>
      </c>
      <c r="F3" s="1" t="n"/>
    </row>
    <row r="4">
      <c r="B4" t="inlineStr">
        <is>
          <t>Shares</t>
        </is>
      </c>
      <c r="C4" s="51" t="n">
        <v>24.225339</v>
      </c>
      <c r="F4" s="1" t="n"/>
    </row>
    <row r="5">
      <c r="B5" t="inlineStr">
        <is>
          <t>Market Cap.</t>
        </is>
      </c>
      <c r="C5" s="13">
        <f>C3*C4</f>
        <v>179.50976199000002</v>
      </c>
      <c r="F5" s="1" t="n"/>
    </row>
    <row r="6"/>
    <row r="7">
      <c r="B7" t="inlineStr">
        <is>
          <t>Cash</t>
        </is>
      </c>
      <c r="C7" s="51" t="n">
        <v>24.588</v>
      </c>
    </row>
    <row r="8">
      <c r="B8" t="inlineStr">
        <is>
          <t>Debt</t>
        </is>
      </c>
      <c r="C8" s="51">
        <f>0.517+22.322</f>
        <v>22.839</v>
      </c>
    </row>
    <row r="9">
      <c r="B9" t="inlineStr">
        <is>
          <t>Enterprise V.</t>
        </is>
      </c>
      <c r="C9" s="13">
        <f>C5-C7+C8</f>
        <v>177.76076199000002</v>
      </c>
    </row>
    <row r="10"/>
    <row r="11">
      <c r="B11" s="14" t="inlineStr">
        <is>
          <t>NPV / Share</t>
        </is>
      </c>
      <c r="C11" s="11">
        <f>NPV!B28</f>
        <v>3.1292978824892494</v>
      </c>
    </row>
    <row r="12">
      <c r="B12" s="14" t="inlineStr">
        <is>
          <t>Upside</t>
        </is>
      </c>
      <c r="C12" s="15">
        <f>IFERROR(C11/C3-1,"")</f>
        <v>-0.5776925934562416</v>
      </c>
    </row>
    <row r="13">
      <c r="B13" s="14" t="inlineStr">
        <is>
          <t>Cash / Share</t>
        </is>
      </c>
      <c r="C13" s="11">
        <f>IFERROR((C7-C8)/C4,"")</f>
        <v>0.0721971321020524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32.44</v>
      </c>
      <c r="C2" s="52" t="n">
        <v>40.387</v>
      </c>
      <c r="D2" s="52" t="n">
        <v>41.975</v>
      </c>
      <c r="E2" s="52" t="n">
        <v>48.299</v>
      </c>
      <c r="F2" s="52" t="n">
        <v>45.563</v>
      </c>
      <c r="G2" s="52" t="n">
        <v>52.548</v>
      </c>
      <c r="H2" s="52" t="n">
        <v>55.641</v>
      </c>
      <c r="I2" s="52" t="n">
        <v>66.575</v>
      </c>
      <c r="J2" s="52">
        <f>I2*(1+NPV!C5)</f>
        <v>75.8355825</v>
      </c>
      <c r="K2" s="52">
        <f>J2*(1+NPV!D5)</f>
        <v>85.42288536316667</v>
      </c>
      <c r="L2" s="52">
        <f>K2*(1+NPV!E5)</f>
        <v>95.13926400164152</v>
      </c>
      <c r="M2" s="52">
        <f>L2*(1+NPV!F5)</f>
        <v>104.75467228340742</v>
      </c>
      <c r="N2" s="52">
        <f>M2*(1+NPV!G5)</f>
        <v>114.01382137245749</v>
      </c>
      <c r="O2" s="52">
        <f>N2*(1+NPV!H5)</f>
        <v>122.64593447058998</v>
      </c>
      <c r="P2" s="52">
        <f>O2*(1+NPV!I5)</f>
        <v>130.37671654005283</v>
      </c>
      <c r="Q2" s="52">
        <f>P2*(1+NPV!J5)</f>
        <v>136.94190853293637</v>
      </c>
      <c r="R2" s="52">
        <f>Q2*(1+NPV!K5)</f>
        <v>142.1015753311051</v>
      </c>
      <c r="S2" s="52">
        <f>R2*(1+NPV!L5)</f>
        <v>145.6541147143827</v>
      </c>
    </row>
    <row r="3" customFormat="1" s="1">
      <c r="A3" s="5" t="inlineStr">
        <is>
          <t>Cost of Sales</t>
        </is>
      </c>
      <c r="B3" s="52" t="n">
        <v>15.379</v>
      </c>
      <c r="C3" s="52" t="n">
        <v>18.808</v>
      </c>
      <c r="D3" s="52" t="n">
        <v>16.559</v>
      </c>
      <c r="E3" s="52" t="n">
        <v>20.588</v>
      </c>
      <c r="F3" s="52" t="n">
        <v>24.214</v>
      </c>
      <c r="G3" s="52" t="n">
        <v>23.092</v>
      </c>
      <c r="H3" s="52" t="n">
        <v>22.529</v>
      </c>
      <c r="I3" s="52" t="n">
        <v>27.776</v>
      </c>
      <c r="J3" s="52">
        <f>J2*(1-Assumptions!$B$19)</f>
        <v>31.638605019</v>
      </c>
      <c r="K3" s="52">
        <f>K2*(1-Assumptions!$B$19)</f>
        <v>35.638427773513136</v>
      </c>
      <c r="L3" s="52">
        <f>L2*(1-Assumptions!$B$19)</f>
        <v>39.692100941484846</v>
      </c>
      <c r="M3" s="52">
        <f>M2*(1-Assumptions!$B$19)</f>
        <v>43.70364927663758</v>
      </c>
      <c r="N3" s="52">
        <f>N2*(1-Assumptions!$B$19)</f>
        <v>47.56656627658926</v>
      </c>
      <c r="O3" s="52">
        <f>O2*(1-Assumptions!$B$19)</f>
        <v>51.16788386113014</v>
      </c>
      <c r="P3" s="52">
        <f>P2*(1-Assumptions!$B$19)</f>
        <v>54.39316614051004</v>
      </c>
      <c r="Q3" s="52">
        <f>Q2*(1-Assumptions!$B$19)</f>
        <v>57.132164239941055</v>
      </c>
      <c r="R3" s="52">
        <f>R2*(1-Assumptions!$B$19)</f>
        <v>59.284777228137045</v>
      </c>
      <c r="S3" s="52">
        <f>S2*(1-Assumptions!$B$19)</f>
        <v>60.766896658840466</v>
      </c>
    </row>
    <row r="4" customFormat="1" s="1">
      <c r="A4" s="5" t="inlineStr">
        <is>
          <t>Gross Margin</t>
        </is>
      </c>
      <c r="B4" s="52">
        <f>B2-B3</f>
        <v>17.061</v>
      </c>
      <c r="C4" s="52">
        <f>C2-C3</f>
        <v>21.579</v>
      </c>
      <c r="D4" s="52">
        <f>D2-D3</f>
        <v>25.416</v>
      </c>
      <c r="E4" s="52">
        <f>E2-E3</f>
        <v>27.711</v>
      </c>
      <c r="F4" s="52">
        <f>F2-F3</f>
        <v>21.349000000000004</v>
      </c>
      <c r="G4" s="52">
        <f>G2-G3</f>
        <v>29.456000000000003</v>
      </c>
      <c r="H4" s="52">
        <f>H2-H3</f>
        <v>33.111999999999995</v>
      </c>
      <c r="I4" s="52">
        <f>I2-I3</f>
        <v>38.79900000000001</v>
      </c>
      <c r="J4" s="52">
        <f>J2-J3</f>
        <v>44.196977481000005</v>
      </c>
      <c r="K4" s="52">
        <f>K2-K3</f>
        <v>49.784457589653535</v>
      </c>
      <c r="L4" s="52">
        <f>L2-L3</f>
        <v>55.447163060156676</v>
      </c>
      <c r="M4" s="52">
        <f>M2-M3</f>
        <v>61.05102300676984</v>
      </c>
      <c r="N4" s="52">
        <f>N2-N3</f>
        <v>66.44725509586823</v>
      </c>
      <c r="O4" s="52">
        <f>O2-O3</f>
        <v>71.47805060945984</v>
      </c>
      <c r="P4" s="52">
        <f>P2-P3</f>
        <v>75.98355039954279</v>
      </c>
      <c r="Q4" s="52">
        <f>Q2-Q3</f>
        <v>79.8097442929953</v>
      </c>
      <c r="R4" s="52">
        <f>R2-R3</f>
        <v>82.81679810296805</v>
      </c>
      <c r="S4" s="52">
        <f>S2-S3</f>
        <v>84.88721805554223</v>
      </c>
    </row>
    <row r="5">
      <c r="A5" s="2" t="inlineStr">
        <is>
          <t>Research &amp; Dev.</t>
        </is>
      </c>
      <c r="B5" s="52" t="n">
        <v>2.125</v>
      </c>
      <c r="C5" s="52" t="n">
        <v>2.176</v>
      </c>
      <c r="D5" s="52" t="n">
        <v>3.568</v>
      </c>
      <c r="E5" s="52" t="n">
        <v>7.237</v>
      </c>
      <c r="F5" s="52" t="n">
        <v>9.875999999999999</v>
      </c>
      <c r="G5" s="52" t="n">
        <v>4.865</v>
      </c>
      <c r="H5" s="52" t="n">
        <v>5.375</v>
      </c>
      <c r="I5" s="52" t="n">
        <v>6.254</v>
      </c>
      <c r="J5" s="52">
        <f>J7*Assumptions!$B$20</f>
        <v>6.549264496105696</v>
      </c>
      <c r="K5" s="52">
        <f>K7*Assumptions!$B$20</f>
        <v>6.987365822906591</v>
      </c>
      <c r="L5" s="52">
        <f>L7*Assumptions!$B$20</f>
        <v>7.347922933710012</v>
      </c>
      <c r="M5" s="52">
        <f>M7*Assumptions!$B$20</f>
        <v>7.6124512206767525</v>
      </c>
      <c r="N5" s="52">
        <f>N7*Assumptions!$B$20</f>
        <v>7.764946648855844</v>
      </c>
      <c r="O5" s="52">
        <f>O7*Assumptions!$B$20</f>
        <v>7.793081625392362</v>
      </c>
      <c r="P5" s="52">
        <f>P7*Assumptions!$B$20</f>
        <v>7.68926437761676</v>
      </c>
      <c r="Q5" s="52">
        <f>Q7*Assumptions!$B$20</f>
        <v>7.451456769434151</v>
      </c>
      <c r="R5" s="52">
        <f>R7*Assumptions!$B$20</f>
        <v>7.083657522480391</v>
      </c>
      <c r="S5" s="52">
        <f>S7*Assumptions!$B$20</f>
        <v>6.595981541828351</v>
      </c>
    </row>
    <row r="6">
      <c r="A6" s="18" t="inlineStr">
        <is>
          <t>SG&amp;A &amp; Other</t>
        </is>
      </c>
      <c r="B6" s="52" t="n">
        <v>19.816</v>
      </c>
      <c r="C6" s="52" t="n">
        <v>28.702</v>
      </c>
      <c r="D6" s="52" t="n">
        <v>37.033</v>
      </c>
      <c r="E6" s="52" t="n">
        <v>44.541</v>
      </c>
      <c r="F6" s="52" t="n">
        <v>57.524</v>
      </c>
      <c r="G6" s="52" t="n">
        <v>47.428</v>
      </c>
      <c r="H6" s="52" t="n">
        <v>41.373</v>
      </c>
      <c r="I6" s="52" t="n">
        <v>46.615</v>
      </c>
      <c r="J6" s="52">
        <f>J7-J5</f>
        <v>48.812227440544305</v>
      </c>
      <c r="K6" s="52">
        <f>K7-K5</f>
        <v>52.07743403260137</v>
      </c>
      <c r="L6" s="52">
        <f>L7-L5</f>
        <v>54.76469696240167</v>
      </c>
      <c r="M6" s="52">
        <f>M7-M5</f>
        <v>56.736248869574744</v>
      </c>
      <c r="N6" s="52">
        <f>N7-N5</f>
        <v>57.87281031526794</v>
      </c>
      <c r="O6" s="52">
        <f>O7-O5</f>
        <v>58.082502697450934</v>
      </c>
      <c r="P6" s="52">
        <f>P7-P5</f>
        <v>57.308743886261176</v>
      </c>
      <c r="Q6" s="52">
        <f>Q7-Q5</f>
        <v>55.53634347937524</v>
      </c>
      <c r="R6" s="52">
        <f>R7-R5</f>
        <v>52.795104290540664</v>
      </c>
      <c r="S6" s="52">
        <f>S7-S5</f>
        <v>49.160413570837335</v>
      </c>
    </row>
    <row r="7">
      <c r="A7" s="2" t="inlineStr">
        <is>
          <t>Operating Expense</t>
        </is>
      </c>
      <c r="B7" s="52">
        <f>SUM(B5:B6)</f>
        <v>21.941</v>
      </c>
      <c r="C7" s="52">
        <f>SUM(C5:C6)</f>
        <v>30.878</v>
      </c>
      <c r="D7" s="52">
        <f>SUM(D5:D6)</f>
        <v>40.601</v>
      </c>
      <c r="E7" s="52">
        <f>SUM(E5:E6)</f>
        <v>51.778</v>
      </c>
      <c r="F7" s="52">
        <f>SUM(F5:F6)</f>
        <v>67.4</v>
      </c>
      <c r="G7" s="52">
        <f>SUM(G5:G6)</f>
        <v>52.293</v>
      </c>
      <c r="H7" s="52">
        <f>SUM(H5:H6)</f>
        <v>46.748</v>
      </c>
      <c r="I7" s="52">
        <f>SUM(I5:I6)</f>
        <v>52.869</v>
      </c>
      <c r="J7" s="52">
        <f>J4-J2*NPV!C6</f>
        <v>55.361491936650005</v>
      </c>
      <c r="K7" s="52">
        <f>K4-K2*NPV!D6</f>
        <v>59.06479985550796</v>
      </c>
      <c r="L7" s="52">
        <f>L4-L2*NPV!E6</f>
        <v>62.11261989611168</v>
      </c>
      <c r="M7" s="52">
        <f>M4-M2*NPV!F6</f>
        <v>64.3487000902515</v>
      </c>
      <c r="N7" s="52">
        <f>N4-N2*NPV!G6</f>
        <v>65.63775696412378</v>
      </c>
      <c r="O7" s="52">
        <f>O4-O2*NPV!H6</f>
        <v>65.8755843228433</v>
      </c>
      <c r="P7" s="52">
        <f>P4-P2*NPV!I6</f>
        <v>64.99800826387794</v>
      </c>
      <c r="Q7" s="52">
        <f>Q4-Q2*NPV!J6</f>
        <v>62.98780024880939</v>
      </c>
      <c r="R7" s="52">
        <f>R4-R2*NPV!K6</f>
        <v>59.87876181302106</v>
      </c>
      <c r="S7" s="52">
        <f>S4-S2*NPV!L6</f>
        <v>55.756395112665686</v>
      </c>
    </row>
    <row r="8">
      <c r="A8" s="2" t="inlineStr">
        <is>
          <t>Operating Income</t>
        </is>
      </c>
      <c r="B8" s="52">
        <f>B4-B7</f>
        <v>-4.879999999999999</v>
      </c>
      <c r="C8" s="52">
        <f>C4-C7</f>
        <v>-9.299</v>
      </c>
      <c r="D8" s="52">
        <f>D4-D7</f>
        <v>-15.184999999999999</v>
      </c>
      <c r="E8" s="52">
        <f>E4-E7</f>
        <v>-24.067</v>
      </c>
      <c r="F8" s="52">
        <f>F4-F7</f>
        <v>-46.051</v>
      </c>
      <c r="G8" s="52">
        <f>G4-G7</f>
        <v>-22.836999999999996</v>
      </c>
      <c r="H8" s="52">
        <f>H4-H7</f>
        <v>-13.636000000000003</v>
      </c>
      <c r="I8" s="52">
        <f>I4-I7</f>
        <v>-14.069999999999993</v>
      </c>
      <c r="J8" s="52">
        <f>J4-J7</f>
        <v>-11.16451445565</v>
      </c>
      <c r="K8" s="52">
        <f>K4-K7</f>
        <v>-9.280342265854422</v>
      </c>
      <c r="L8" s="52">
        <f>L4-L7</f>
        <v>-6.6654568359550055</v>
      </c>
      <c r="M8" s="52">
        <f>M4-M7</f>
        <v>-3.297677083481659</v>
      </c>
      <c r="N8" s="52">
        <f>N4-N7</f>
        <v>0.8094981317444478</v>
      </c>
      <c r="O8" s="52">
        <f>O4-O7</f>
        <v>5.602466286616547</v>
      </c>
      <c r="P8" s="52">
        <f>P4-P7</f>
        <v>10.985542135664858</v>
      </c>
      <c r="Q8" s="52">
        <f>Q4-Q7</f>
        <v>16.821944044185912</v>
      </c>
      <c r="R8" s="52">
        <f>R4-R7</f>
        <v>22.938036289946993</v>
      </c>
      <c r="S8" s="52">
        <f>S4-S7</f>
        <v>29.13082294287655</v>
      </c>
    </row>
    <row r="9">
      <c r="A9" s="18" t="inlineStr">
        <is>
          <t>Interest &amp; Other</t>
        </is>
      </c>
      <c r="B9" s="52" t="n">
        <v>-3.074</v>
      </c>
      <c r="C9" s="52" t="n">
        <v>-2.714</v>
      </c>
      <c r="D9" s="52" t="n">
        <v>-1.581</v>
      </c>
      <c r="E9" s="52" t="n">
        <v>-2.609</v>
      </c>
      <c r="F9" s="52" t="n">
        <v>-1.618</v>
      </c>
      <c r="G9" s="52" t="n">
        <v>-0.819</v>
      </c>
      <c r="H9" s="52" t="n">
        <v>-1.467</v>
      </c>
      <c r="I9" s="52" t="n">
        <v>-5.83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-7.953999999999999</v>
      </c>
      <c r="C10" s="52">
        <f>C8+C9</f>
        <v>-12.013</v>
      </c>
      <c r="D10" s="52">
        <f>D8+D9</f>
        <v>-16.766</v>
      </c>
      <c r="E10" s="52">
        <f>E8+E9</f>
        <v>-26.676000000000002</v>
      </c>
      <c r="F10" s="52">
        <f>F8+F9</f>
        <v>-47.669000000000004</v>
      </c>
      <c r="G10" s="52">
        <f>G8+G9</f>
        <v>-23.655999999999995</v>
      </c>
      <c r="H10" s="52">
        <f>H8+H9</f>
        <v>-15.103000000000003</v>
      </c>
      <c r="I10" s="52">
        <f>I8+I9</f>
        <v>-19.89999999999999</v>
      </c>
      <c r="J10" s="52">
        <f>J8+J9</f>
        <v>-11.16451445565</v>
      </c>
      <c r="K10" s="52">
        <f>K8+K9</f>
        <v>-9.280342265854422</v>
      </c>
      <c r="L10" s="52">
        <f>L8+L9</f>
        <v>-6.6654568359550055</v>
      </c>
      <c r="M10" s="52">
        <f>M8+M9</f>
        <v>-3.297677083481659</v>
      </c>
      <c r="N10" s="52">
        <f>N8+N9</f>
        <v>0.8094981317444478</v>
      </c>
      <c r="O10" s="52">
        <f>O8+O9</f>
        <v>5.602466286616547</v>
      </c>
      <c r="P10" s="52">
        <f>P8+P9</f>
        <v>10.985542135664858</v>
      </c>
      <c r="Q10" s="52">
        <f>Q8+Q9</f>
        <v>16.821944044185912</v>
      </c>
      <c r="R10" s="52">
        <f>R8+R9</f>
        <v>22.938036289946993</v>
      </c>
      <c r="S10" s="52">
        <f>S8+S9</f>
        <v>29.13082294287655</v>
      </c>
    </row>
    <row r="11">
      <c r="A11" s="2" t="inlineStr">
        <is>
          <t>Taxes</t>
        </is>
      </c>
      <c r="B11" s="52" t="n">
        <v>0.058</v>
      </c>
      <c r="C11" s="52" t="n">
        <v>0.025</v>
      </c>
      <c r="D11" s="52" t="n">
        <v>-0.079</v>
      </c>
      <c r="E11" s="52" t="n">
        <v>0.175</v>
      </c>
      <c r="F11" s="52" t="n">
        <v>-0.282</v>
      </c>
      <c r="G11" s="52" t="n">
        <v>0.033</v>
      </c>
      <c r="H11" s="52" t="n">
        <v>0.012</v>
      </c>
      <c r="I11" s="52" t="n">
        <v>0.051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0.13761468239655614</v>
      </c>
      <c r="O11" s="52">
        <f>MAX(0,O10)*Assumptions!$E$14</f>
        <v>0.9524192687248131</v>
      </c>
      <c r="P11" s="52">
        <f>MAX(0,P10)*Assumptions!$E$14</f>
        <v>1.867542163063026</v>
      </c>
      <c r="Q11" s="52">
        <f>MAX(0,Q10)*Assumptions!$E$14</f>
        <v>2.859730487511605</v>
      </c>
      <c r="R11" s="52">
        <f>MAX(0,R10)*Assumptions!$E$14</f>
        <v>3.899466169290989</v>
      </c>
      <c r="S11" s="52">
        <f>MAX(0,S10)*Assumptions!$E$14</f>
        <v>4.952239900289014</v>
      </c>
    </row>
    <row r="12">
      <c r="A12" s="2" t="inlineStr">
        <is>
          <t>Net Income</t>
        </is>
      </c>
      <c r="B12" s="52" t="n">
        <v>-8.012</v>
      </c>
      <c r="C12" s="52" t="n">
        <v>-12.038</v>
      </c>
      <c r="D12" s="52" t="n">
        <v>-16.687</v>
      </c>
      <c r="E12" s="52" t="n">
        <v>-26.851</v>
      </c>
      <c r="F12" s="52" t="n">
        <v>-47.387</v>
      </c>
      <c r="G12" s="52" t="n">
        <v>-23.689</v>
      </c>
      <c r="H12" s="52" t="n">
        <v>-15.115</v>
      </c>
      <c r="I12" s="52" t="n">
        <v>-19.951</v>
      </c>
      <c r="J12" s="52">
        <f>J10-J11</f>
        <v>-11.16451445565</v>
      </c>
      <c r="K12" s="52">
        <f>K10-K11</f>
        <v>-9.280342265854422</v>
      </c>
      <c r="L12" s="52">
        <f>L10-L11</f>
        <v>-6.6654568359550055</v>
      </c>
      <c r="M12" s="52">
        <f>M10-M11</f>
        <v>-3.297677083481659</v>
      </c>
      <c r="N12" s="52">
        <f>N10-N11</f>
        <v>0.6718834493478917</v>
      </c>
      <c r="O12" s="52">
        <f>O10-O11</f>
        <v>4.650047017891734</v>
      </c>
      <c r="P12" s="52">
        <f>P10-P11</f>
        <v>9.117999972601831</v>
      </c>
      <c r="Q12" s="52">
        <f>Q10-Q11</f>
        <v>13.962213556674307</v>
      </c>
      <c r="R12" s="52">
        <f>R10-R11</f>
        <v>19.038570120656004</v>
      </c>
      <c r="S12" s="52">
        <f>S10-S11</f>
        <v>24.178583042587533</v>
      </c>
    </row>
    <row r="13">
      <c r="A13" s="2" t="inlineStr">
        <is>
          <t>Earnings per Share</t>
        </is>
      </c>
      <c r="B13" s="11">
        <f>IFERROR(B12/B14,0)</f>
        <v>-2.231133389028126</v>
      </c>
      <c r="C13" s="11">
        <f>IFERROR(C12/C14,0)</f>
        <v>-3.3635093601564683</v>
      </c>
      <c r="D13" s="11">
        <f>IFERROR(D12/D14,0)</f>
        <v>-1.3209055647906278</v>
      </c>
      <c r="E13" s="11">
        <f>IFERROR(E12/E14,0)</f>
        <v>-1.6811294765840221</v>
      </c>
      <c r="F13" s="11">
        <f>IFERROR(F12/F14,0)</f>
        <v>-2.774089685048589</v>
      </c>
      <c r="G13" s="11">
        <f>IFERROR(G12/G14,0)</f>
        <v>-1.3399513547146333</v>
      </c>
      <c r="H13" s="11">
        <f>IFERROR(H12/H14,0)</f>
        <v>-0.830357633357139</v>
      </c>
      <c r="I13" s="11">
        <f>IFERROR(I12/I14,0)</f>
        <v>-0.9254569069486965</v>
      </c>
      <c r="J13" s="11">
        <f>IFERROR(J12/J14,0)</f>
        <v>-0.460861020588814</v>
      </c>
      <c r="K13" s="11">
        <f>IFERROR(K12/K14,0)</f>
        <v>-0.3830841032133512</v>
      </c>
      <c r="L13" s="11">
        <f>IFERROR(L12/L14,0)</f>
        <v>-0.2751440066929509</v>
      </c>
      <c r="M13" s="11">
        <f>IFERROR(M12/M14,0)</f>
        <v>-0.1361251160812098</v>
      </c>
      <c r="N13" s="11">
        <f>IFERROR(N12/N14,0)</f>
        <v>0.027734738793454724</v>
      </c>
      <c r="O13" s="11">
        <f>IFERROR(O12/O14,0)</f>
        <v>0.19194971917180328</v>
      </c>
      <c r="P13" s="11">
        <f>IFERROR(P12/P14,0)</f>
        <v>0.37638276073667454</v>
      </c>
      <c r="Q13" s="11">
        <f>IFERROR(Q12/Q14,0)</f>
        <v>0.5763474994787197</v>
      </c>
      <c r="R13" s="11">
        <f>IFERROR(R12/R14,0)</f>
        <v>0.7858948896713479</v>
      </c>
      <c r="S13" s="11">
        <f>IFERROR(S12/S14,0)</f>
        <v>0.9980699565272351</v>
      </c>
    </row>
    <row r="14">
      <c r="A14" s="2" t="inlineStr">
        <is>
          <t>Shares</t>
        </is>
      </c>
      <c r="B14" s="52" t="n">
        <v>3.591</v>
      </c>
      <c r="C14" s="52" t="n">
        <v>3.579</v>
      </c>
      <c r="D14" s="52" t="n">
        <v>12.633</v>
      </c>
      <c r="E14" s="52" t="n">
        <v>15.972</v>
      </c>
      <c r="F14" s="52" t="n">
        <v>17.082</v>
      </c>
      <c r="G14" s="52" t="n">
        <v>17.679</v>
      </c>
      <c r="H14" s="52" t="n">
        <v>18.203</v>
      </c>
      <c r="I14" s="52" t="n">
        <v>21.558</v>
      </c>
      <c r="J14" s="52">
        <f>Main!$C$4</f>
        <v>24.225339</v>
      </c>
      <c r="K14" s="52">
        <f>Main!$C$4</f>
        <v>24.225339</v>
      </c>
      <c r="L14" s="52">
        <f>Main!$C$4</f>
        <v>24.225339</v>
      </c>
      <c r="M14" s="52">
        <f>Main!$C$4</f>
        <v>24.225339</v>
      </c>
      <c r="N14" s="52">
        <f>Main!$C$4</f>
        <v>24.225339</v>
      </c>
      <c r="O14" s="52">
        <f>Main!$C$4</f>
        <v>24.225339</v>
      </c>
      <c r="P14" s="52">
        <f>Main!$C$4</f>
        <v>24.225339</v>
      </c>
      <c r="Q14" s="52">
        <f>Main!$C$4</f>
        <v>24.225339</v>
      </c>
      <c r="R14" s="52">
        <f>Main!$C$4</f>
        <v>24.225339</v>
      </c>
      <c r="S14" s="52">
        <f>Main!$C$4</f>
        <v>24.225339</v>
      </c>
    </row>
    <row r="15"/>
    <row r="16" customFormat="1" s="4">
      <c r="A16" s="3" t="inlineStr">
        <is>
          <t>Revenue Change</t>
        </is>
      </c>
      <c r="C16" s="15">
        <f>IFERROR(C2/B2-1,"")</f>
        <v>0.24497533908754643</v>
      </c>
      <c r="D16" s="15">
        <f>IFERROR(D2/C2-1,"")</f>
        <v>0.03931958303414462</v>
      </c>
      <c r="E16" s="15">
        <f>IFERROR(E2/D2-1,"")</f>
        <v>0.15066110780226327</v>
      </c>
      <c r="F16" s="15">
        <f>IFERROR(F2/E2-1,"")</f>
        <v>-0.056647135551460615</v>
      </c>
      <c r="G16" s="15">
        <f>IFERROR(G2/F2-1,"")</f>
        <v>0.15330421614028933</v>
      </c>
      <c r="H16" s="15">
        <f>IFERROR(H2/G2-1,"")</f>
        <v>0.058860470427038125</v>
      </c>
      <c r="I16" s="15">
        <f>IFERROR(I2/H2-1,"")</f>
        <v>0.1965097679768517</v>
      </c>
      <c r="J16" s="15">
        <f>IFERROR(J2/I2-1,"")</f>
        <v>0.1391</v>
      </c>
      <c r="K16" s="15">
        <f>IFERROR(K2/J2-1,"")</f>
        <v>0.1264222222222222</v>
      </c>
      <c r="L16" s="15">
        <f>IFERROR(L2/K2-1,"")</f>
        <v>0.11374444444444443</v>
      </c>
      <c r="M16" s="15">
        <f>IFERROR(M2/L2-1,"")</f>
        <v>0.10106666666666664</v>
      </c>
      <c r="N16" s="15">
        <f>IFERROR(N2/M2-1,"")</f>
        <v>0.08838888888888885</v>
      </c>
      <c r="O16" s="15">
        <f>IFERROR(O2/N2-1,"")</f>
        <v>0.07571111111111106</v>
      </c>
      <c r="P16" s="15">
        <f>IFERROR(P2/O2-1,"")</f>
        <v>0.06303333333333327</v>
      </c>
      <c r="Q16" s="15">
        <f>IFERROR(Q2/P2-1,"")</f>
        <v>0.05035555555555549</v>
      </c>
      <c r="R16" s="15">
        <f>IFERROR(R2/Q2-1,"")</f>
        <v>0.0376777777777777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0.525924784217016</v>
      </c>
      <c r="C17" s="15">
        <f>IFERROR(C4/C2,"")</f>
        <v>0.5343055933840097</v>
      </c>
      <c r="D17" s="15">
        <f>IFERROR(D4/D2,"")</f>
        <v>0.6055032757593806</v>
      </c>
      <c r="E17" s="15">
        <f>IFERROR(E4/E2,"")</f>
        <v>0.5737385867202219</v>
      </c>
      <c r="F17" s="15">
        <f>IFERROR(F4/F2,"")</f>
        <v>0.4685600158022958</v>
      </c>
      <c r="G17" s="15">
        <f>IFERROR(G4/G2,"")</f>
        <v>0.5605541600060897</v>
      </c>
      <c r="H17" s="15">
        <f>IFERROR(H4/H2,"")</f>
        <v>0.595100735069463</v>
      </c>
      <c r="I17" s="15">
        <f>IFERROR(I4/I2,"")</f>
        <v>0.5827863312054075</v>
      </c>
      <c r="J17" s="15">
        <f>IFERROR(J4/J2,"")</f>
        <v>0.5828000000000001</v>
      </c>
      <c r="K17" s="15">
        <f>IFERROR(K4/K2,"")</f>
        <v>0.5828</v>
      </c>
      <c r="L17" s="15">
        <f>IFERROR(L4/L2,"")</f>
        <v>0.5828</v>
      </c>
      <c r="M17" s="15">
        <f>IFERROR(M4/M2,"")</f>
        <v>0.5828</v>
      </c>
      <c r="N17" s="15">
        <f>IFERROR(N4/N2,"")</f>
        <v>0.5828000000000001</v>
      </c>
      <c r="O17" s="15">
        <f>IFERROR(O4/O2,"")</f>
        <v>0.5828</v>
      </c>
      <c r="P17" s="15">
        <f>IFERROR(P4/P2,"")</f>
        <v>0.5828000000000001</v>
      </c>
      <c r="Q17" s="15">
        <f>IFERROR(Q4/Q2,"")</f>
        <v>0.5827999999999999</v>
      </c>
      <c r="R17" s="15">
        <f>IFERROR(R4/R2,"")</f>
        <v>0.5828</v>
      </c>
      <c r="S17" s="15">
        <f>IFERROR(S4/S2,"")</f>
        <v>0.5828</v>
      </c>
    </row>
    <row r="18">
      <c r="A18" s="14" t="inlineStr">
        <is>
          <t>Operating Margin</t>
        </is>
      </c>
      <c r="B18" s="15">
        <f>IFERROR(B8/B2,"")</f>
        <v>-0.1504315659679408</v>
      </c>
      <c r="C18" s="15">
        <f>IFERROR(C8/C2,"")</f>
        <v>-0.23024735682273997</v>
      </c>
      <c r="D18" s="15">
        <f>IFERROR(D8/D2,"")</f>
        <v>-0.36176295413936865</v>
      </c>
      <c r="E18" s="15">
        <f>IFERROR(E8/E2,"")</f>
        <v>-0.49829189010124436</v>
      </c>
      <c r="F18" s="15">
        <f>IFERROR(F8/F2,"")</f>
        <v>-1.0107104448785198</v>
      </c>
      <c r="G18" s="15">
        <f>IFERROR(G8/G2,"")</f>
        <v>-0.43459313389662774</v>
      </c>
      <c r="H18" s="15">
        <f>IFERROR(H8/H2,"")</f>
        <v>-0.2450710806779174</v>
      </c>
      <c r="I18" s="15">
        <f>IFERROR(I8/I2,"")</f>
        <v>-0.21134059331580912</v>
      </c>
      <c r="J18" s="15">
        <f>IFERROR(J8/J2,"")</f>
        <v>-0.14722</v>
      </c>
      <c r="K18" s="15">
        <f>IFERROR(K8/K2,"")</f>
        <v>-0.10863999999999994</v>
      </c>
      <c r="L18" s="15">
        <f>IFERROR(L8/L2,"")</f>
        <v>-0.07006000000000001</v>
      </c>
      <c r="M18" s="15">
        <f>IFERROR(M8/M2,"")</f>
        <v>-0.03147999999999994</v>
      </c>
      <c r="N18" s="15">
        <f>IFERROR(N8/N2,"")</f>
        <v>0.007099999999999997</v>
      </c>
      <c r="O18" s="15">
        <f>IFERROR(O8/O2,"")</f>
        <v>0.04567999999999998</v>
      </c>
      <c r="P18" s="15">
        <f>IFERROR(P8/P2,"")</f>
        <v>0.08426000000000006</v>
      </c>
      <c r="Q18" s="15">
        <f>IFERROR(Q8/Q2,"")</f>
        <v>0.12284000000000006</v>
      </c>
      <c r="R18" s="15">
        <f>IFERROR(R8/R2,"")</f>
        <v>0.16142000000000006</v>
      </c>
      <c r="S18" s="15">
        <f>IFERROR(S8/S2,"")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Exagen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0.0891</v>
      </c>
      <c r="C12" s="53" t="n">
        <v>0.1391</v>
      </c>
      <c r="D12" s="53" t="n">
        <v>0.1891</v>
      </c>
      <c r="E12" s="54">
        <f>CHOOSE($B$4,B12,C12,D12)</f>
        <v>0.1391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-0.1858</v>
      </c>
    </row>
    <row r="19">
      <c r="A19" s="14" t="inlineStr">
        <is>
          <t>Gross margin (forecast)</t>
        </is>
      </c>
      <c r="B19" s="53" t="n">
        <v>0.5828</v>
      </c>
    </row>
    <row r="20">
      <c r="A20" s="14" t="inlineStr">
        <is>
          <t>R&amp;D share of operating expense (forecast)</t>
        </is>
      </c>
      <c r="B20" s="53" t="n">
        <v>0.1183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66.575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74.05930203528423</v>
      </c>
      <c r="C29" s="56">
        <f>NPV!B26</f>
        <v>75.80830203528424</v>
      </c>
      <c r="D29" s="35">
        <f>NPV!B28</f>
        <v>3.1292978824892494</v>
      </c>
      <c r="E29" s="57">
        <f>NPV!B30</f>
        <v>-0.5776925934562416</v>
      </c>
    </row>
    <row r="30">
      <c r="A30" s="58" t="n">
        <v>1</v>
      </c>
      <c r="B30" s="59">
        <f t="dataTable" ref="B30:E32" r1="B4"/>
        <v>19.91469548590712</v>
      </c>
      <c r="C30" s="59">
        <v>21.663695485907127</v>
      </c>
      <c r="D30" s="39">
        <v>0.8942576814263414</v>
      </c>
      <c r="E30" s="60">
        <v>-0.8793174518992791</v>
      </c>
    </row>
    <row r="31">
      <c r="A31" s="58" t="n">
        <v>2</v>
      </c>
      <c r="B31" s="59">
        <v>74.05930203528423</v>
      </c>
      <c r="C31" s="59">
        <v>75.80830203528424</v>
      </c>
      <c r="D31" s="39">
        <v>3.1292978824892494</v>
      </c>
      <c r="E31" s="60">
        <v>-0.5776925934562416</v>
      </c>
    </row>
    <row r="32">
      <c r="A32" s="58" t="n">
        <v>3</v>
      </c>
      <c r="B32" s="59">
        <v>177.0605439076963</v>
      </c>
      <c r="C32" s="59">
        <v>178.8095439076963</v>
      </c>
      <c r="D32" s="39">
        <v>7.381095633282833</v>
      </c>
      <c r="E32" s="60">
        <v>-0.003900724253328991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3.1292978824892494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4.0895601133347546</v>
      </c>
      <c r="C37" s="39">
        <v>4.424799964952799</v>
      </c>
      <c r="D37" s="39">
        <v>4.803158817349079</v>
      </c>
      <c r="E37" s="39">
        <v>5.2332754314252155</v>
      </c>
      <c r="F37" s="39">
        <v>5.726256973703026</v>
      </c>
    </row>
    <row r="38">
      <c r="A38" s="62" t="n">
        <v>0.115</v>
      </c>
      <c r="B38" s="39">
        <v>3.3204110130175595</v>
      </c>
      <c r="C38" s="39">
        <v>3.5762529472885194</v>
      </c>
      <c r="D38" s="39">
        <v>3.8615429106907673</v>
      </c>
      <c r="E38" s="39">
        <v>4.181489973614569</v>
      </c>
      <c r="F38" s="39">
        <v>4.5426056278539235</v>
      </c>
    </row>
    <row r="39">
      <c r="A39" s="62" t="n">
        <v>0.125</v>
      </c>
      <c r="B39" s="39">
        <v>2.7097989713537567</v>
      </c>
      <c r="C39" s="39">
        <v>2.909145726692327</v>
      </c>
      <c r="D39" s="39">
        <v>3.1292978824892494</v>
      </c>
      <c r="E39" s="39">
        <v>3.373550866176837</v>
      </c>
      <c r="F39" s="39">
        <v>3.645932550178778</v>
      </c>
    </row>
    <row r="40">
      <c r="A40" s="62" t="n">
        <v>0.135</v>
      </c>
      <c r="B40" s="39">
        <v>2.2167891427715154</v>
      </c>
      <c r="C40" s="39">
        <v>2.374770760740358</v>
      </c>
      <c r="D40" s="39">
        <v>2.5478652041152636</v>
      </c>
      <c r="E40" s="39">
        <v>2.738240245237767</v>
      </c>
      <c r="F40" s="39">
        <v>2.9484973184957792</v>
      </c>
    </row>
    <row r="41">
      <c r="A41" s="62" t="n">
        <v>0.145</v>
      </c>
      <c r="B41" s="39">
        <v>1.813150150605382</v>
      </c>
      <c r="C41" s="39">
        <v>1.9401210593323086</v>
      </c>
      <c r="D41" s="39">
        <v>2.0783265319292803</v>
      </c>
      <c r="E41" s="39">
        <v>2.229239489276066</v>
      </c>
      <c r="F41" s="39">
        <v>2.394600747602519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Exagen Inc.: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0.1391</v>
      </c>
      <c r="D5" s="63">
        <f>Assumptions!$E$12+(Assumptions!$E$11-Assumptions!$E$12)*(D4-1)/(Assumptions!$B$21-1)</f>
        <v>0.1264222222222222</v>
      </c>
      <c r="E5" s="63">
        <f>Assumptions!$E$12+(Assumptions!$E$11-Assumptions!$E$12)*(E4-1)/(Assumptions!$B$21-1)</f>
        <v>0.11374444444444444</v>
      </c>
      <c r="F5" s="63">
        <f>Assumptions!$E$12+(Assumptions!$E$11-Assumptions!$E$12)*(F4-1)/(Assumptions!$B$21-1)</f>
        <v>0.10106666666666667</v>
      </c>
      <c r="G5" s="63">
        <f>Assumptions!$E$12+(Assumptions!$E$11-Assumptions!$E$12)*(G4-1)/(Assumptions!$B$21-1)</f>
        <v>0.08838888888888888</v>
      </c>
      <c r="H5" s="63">
        <f>Assumptions!$E$12+(Assumptions!$E$11-Assumptions!$E$12)*(H4-1)/(Assumptions!$B$21-1)</f>
        <v>0.07571111111111112</v>
      </c>
      <c r="I5" s="63">
        <f>Assumptions!$E$12+(Assumptions!$E$11-Assumptions!$E$12)*(I4-1)/(Assumptions!$B$21-1)</f>
        <v>0.06303333333333333</v>
      </c>
      <c r="J5" s="63">
        <f>Assumptions!$E$12+(Assumptions!$E$11-Assumptions!$E$12)*(J4-1)/(Assumptions!$B$21-1)</f>
        <v>0.05035555555555554</v>
      </c>
      <c r="K5" s="63">
        <f>Assumptions!$E$12+(Assumptions!$E$11-Assumptions!$E$12)*(K4-1)/(Assumptions!$B$21-1)</f>
        <v>0.03767777777777777</v>
      </c>
      <c r="L5" s="63">
        <f>Assumptions!$E$12+(Assumptions!$E$11-Assumptions!$E$12)*(L4-1)/(Assumptions!$B$21-1)</f>
        <v>0.02499999999999998</v>
      </c>
    </row>
    <row r="6">
      <c r="A6" s="14" t="inlineStr">
        <is>
          <t>Operating margin</t>
        </is>
      </c>
      <c r="B6" s="63">
        <f>IFERROR(B8/B7,0)</f>
        <v>-0.21134059331580912</v>
      </c>
      <c r="C6" s="63">
        <f>Assumptions!$B$18+(Assumptions!$E$13-Assumptions!$B$18)*C4/Assumptions!$B$21</f>
        <v>-0.14722</v>
      </c>
      <c r="D6" s="63">
        <f>Assumptions!$B$18+(Assumptions!$E$13-Assumptions!$B$18)*D4/Assumptions!$B$21</f>
        <v>-0.10863999999999999</v>
      </c>
      <c r="E6" s="63">
        <f>Assumptions!$B$18+(Assumptions!$E$13-Assumptions!$B$18)*E4/Assumptions!$B$21</f>
        <v>-0.07006</v>
      </c>
      <c r="F6" s="63">
        <f>Assumptions!$B$18+(Assumptions!$E$13-Assumptions!$B$18)*F4/Assumptions!$B$21</f>
        <v>-0.03147999999999998</v>
      </c>
      <c r="G6" s="63">
        <f>Assumptions!$B$18+(Assumptions!$E$13-Assumptions!$B$18)*G4/Assumptions!$B$21</f>
        <v>0.007100000000000023</v>
      </c>
      <c r="H6" s="63">
        <f>Assumptions!$B$18+(Assumptions!$E$13-Assumptions!$B$18)*H4/Assumptions!$B$21</f>
        <v>0.04568</v>
      </c>
      <c r="I6" s="63">
        <f>Assumptions!$B$18+(Assumptions!$E$13-Assumptions!$B$18)*I4/Assumptions!$B$21</f>
        <v>0.08426000000000003</v>
      </c>
      <c r="J6" s="63">
        <f>Assumptions!$B$18+(Assumptions!$E$13-Assumptions!$B$18)*J4/Assumptions!$B$21</f>
        <v>0.12284000000000003</v>
      </c>
      <c r="K6" s="63">
        <f>Assumptions!$B$18+(Assumptions!$E$13-Assumptions!$B$18)*K4/Assumptions!$B$21</f>
        <v>0.16142000000000004</v>
      </c>
      <c r="L6" s="63">
        <f>Assumptions!$B$18+(Assumptions!$E$13-Assumptions!$B$18)*L4/Assumptions!$B$21</f>
        <v>0.20000000000000004</v>
      </c>
    </row>
    <row r="7">
      <c r="A7" s="14" t="inlineStr">
        <is>
          <t>Revenue</t>
        </is>
      </c>
      <c r="B7" s="55">
        <f>'Yearly Model'!I2</f>
        <v>66.575</v>
      </c>
      <c r="C7" s="55">
        <f>'Yearly Model'!J2</f>
        <v>75.8355825</v>
      </c>
      <c r="D7" s="55">
        <f>'Yearly Model'!K2</f>
        <v>85.42288536316667</v>
      </c>
      <c r="E7" s="55">
        <f>'Yearly Model'!L2</f>
        <v>95.13926400164152</v>
      </c>
      <c r="F7" s="55">
        <f>'Yearly Model'!M2</f>
        <v>104.75467228340742</v>
      </c>
      <c r="G7" s="55">
        <f>'Yearly Model'!N2</f>
        <v>114.01382137245749</v>
      </c>
      <c r="H7" s="55">
        <f>'Yearly Model'!O2</f>
        <v>122.64593447058998</v>
      </c>
      <c r="I7" s="55">
        <f>'Yearly Model'!P2</f>
        <v>130.37671654005283</v>
      </c>
      <c r="J7" s="55">
        <f>'Yearly Model'!Q2</f>
        <v>136.94190853293637</v>
      </c>
      <c r="K7" s="55">
        <f>'Yearly Model'!R2</f>
        <v>142.1015753311051</v>
      </c>
      <c r="L7" s="55">
        <f>'Yearly Model'!S2</f>
        <v>145.6541147143827</v>
      </c>
    </row>
    <row r="8">
      <c r="A8" s="14" t="inlineStr">
        <is>
          <t>Operating income</t>
        </is>
      </c>
      <c r="B8" s="55">
        <f>'Yearly Model'!I8</f>
        <v>-14.069999999999993</v>
      </c>
      <c r="C8" s="55">
        <f>'Yearly Model'!J8</f>
        <v>-11.16451445565</v>
      </c>
      <c r="D8" s="55">
        <f>'Yearly Model'!K8</f>
        <v>-9.280342265854422</v>
      </c>
      <c r="E8" s="55">
        <f>'Yearly Model'!L8</f>
        <v>-6.6654568359550055</v>
      </c>
      <c r="F8" s="55">
        <f>'Yearly Model'!M8</f>
        <v>-3.297677083481659</v>
      </c>
      <c r="G8" s="55">
        <f>'Yearly Model'!N8</f>
        <v>0.8094981317444478</v>
      </c>
      <c r="H8" s="55">
        <f>'Yearly Model'!O8</f>
        <v>5.602466286616547</v>
      </c>
      <c r="I8" s="55">
        <f>'Yearly Model'!P8</f>
        <v>10.985542135664858</v>
      </c>
      <c r="J8" s="55">
        <f>'Yearly Model'!Q8</f>
        <v>16.821944044185912</v>
      </c>
      <c r="K8" s="55">
        <f>'Yearly Model'!R8</f>
        <v>22.938036289946993</v>
      </c>
      <c r="L8" s="55">
        <f>'Yearly Model'!S8</f>
        <v>29.13082294287655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0.13761468239655614</v>
      </c>
      <c r="H9" s="52">
        <f>MAX(0,H8)*Assumptions!$E$14</f>
        <v>0.9524192687248131</v>
      </c>
      <c r="I9" s="52">
        <f>MAX(0,I8)*Assumptions!$E$14</f>
        <v>1.867542163063026</v>
      </c>
      <c r="J9" s="52">
        <f>MAX(0,J8)*Assumptions!$E$14</f>
        <v>2.859730487511605</v>
      </c>
      <c r="K9" s="52">
        <f>MAX(0,K8)*Assumptions!$E$14</f>
        <v>3.899466169290989</v>
      </c>
      <c r="L9" s="52">
        <f>MAX(0,L8)*Assumptions!$E$14</f>
        <v>4.952239900289014</v>
      </c>
    </row>
    <row r="10">
      <c r="A10" s="14" t="inlineStr">
        <is>
          <t>NOPAT</t>
        </is>
      </c>
      <c r="C10" s="52">
        <f>C8-C9</f>
        <v>-11.16451445565</v>
      </c>
      <c r="D10" s="52">
        <f>D8-D9</f>
        <v>-9.280342265854422</v>
      </c>
      <c r="E10" s="52">
        <f>E8-E9</f>
        <v>-6.6654568359550055</v>
      </c>
      <c r="F10" s="52">
        <f>F8-F9</f>
        <v>-3.297677083481659</v>
      </c>
      <c r="G10" s="52">
        <f>G8-G9</f>
        <v>0.6718834493478917</v>
      </c>
      <c r="H10" s="52">
        <f>H8-H9</f>
        <v>4.650047017891734</v>
      </c>
      <c r="I10" s="52">
        <f>I8-I9</f>
        <v>9.117999972601831</v>
      </c>
      <c r="J10" s="52">
        <f>J8-J9</f>
        <v>13.962213556674307</v>
      </c>
      <c r="K10" s="52">
        <f>K8-K9</f>
        <v>19.038570120656004</v>
      </c>
      <c r="L10" s="52">
        <f>L8-L9</f>
        <v>24.178583042587533</v>
      </c>
    </row>
    <row r="11">
      <c r="A11" s="14" t="inlineStr">
        <is>
          <t>Reinvestment</t>
        </is>
      </c>
      <c r="C11" s="52">
        <f>(C7-B7)*Assumptions!$E$15</f>
        <v>2.3151456249999995</v>
      </c>
      <c r="D11" s="52">
        <f>(D7-C7)*Assumptions!$E$15</f>
        <v>2.3968257157916675</v>
      </c>
      <c r="E11" s="52">
        <f>(E7-D7)*Assumptions!$E$15</f>
        <v>2.4290946596187126</v>
      </c>
      <c r="F11" s="52">
        <f>(F7-E7)*Assumptions!$E$15</f>
        <v>2.4038520704414736</v>
      </c>
      <c r="G11" s="52">
        <f>(G7-F7)*Assumptions!$E$15</f>
        <v>2.3147872722625173</v>
      </c>
      <c r="H11" s="52">
        <f>(H7-G7)*Assumptions!$E$15</f>
        <v>2.158028274533123</v>
      </c>
      <c r="I11" s="52">
        <f>(I7-H7)*Assumptions!$E$15</f>
        <v>1.9326955173657119</v>
      </c>
      <c r="J11" s="52">
        <f>(J7-I7)*Assumptions!$E$15</f>
        <v>1.6412979982208853</v>
      </c>
      <c r="K11" s="52">
        <f>(K7-J7)*Assumptions!$E$15</f>
        <v>1.2899166995421822</v>
      </c>
      <c r="L11" s="52">
        <f>(L7-K7)*Assumptions!$E$15</f>
        <v>0.8881348458194012</v>
      </c>
    </row>
    <row r="12">
      <c r="A12" s="20" t="inlineStr">
        <is>
          <t>Free cash flow</t>
        </is>
      </c>
      <c r="C12" s="64">
        <f>C10-C11</f>
        <v>-13.47966008065</v>
      </c>
      <c r="D12" s="64">
        <f>D10-D11</f>
        <v>-11.67716798164609</v>
      </c>
      <c r="E12" s="64">
        <f>E10-E11</f>
        <v>-9.094551495573718</v>
      </c>
      <c r="F12" s="64">
        <f>F10-F11</f>
        <v>-5.701529153923133</v>
      </c>
      <c r="G12" s="64">
        <f>G10-G11</f>
        <v>-1.6429038229146258</v>
      </c>
      <c r="H12" s="64">
        <f>H10-H11</f>
        <v>2.492018743358611</v>
      </c>
      <c r="I12" s="64">
        <f>I10-I11</f>
        <v>7.185304455236119</v>
      </c>
      <c r="J12" s="64">
        <f>J10-J11</f>
        <v>12.320915558453422</v>
      </c>
      <c r="K12" s="64">
        <f>K10-K11</f>
        <v>17.748653421113822</v>
      </c>
      <c r="L12" s="64">
        <f>L10-L11</f>
        <v>23.290448196768132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-6.596334108190319</v>
      </c>
      <c r="D16" s="64">
        <f>D12*D13*D15</f>
        <v>-10.374693614754715</v>
      </c>
      <c r="E16" s="64">
        <f>E12*E13*E15</f>
        <v>-7.182349196577557</v>
      </c>
      <c r="F16" s="64">
        <f>F12*F13*F15</f>
        <v>-4.002432871336814</v>
      </c>
      <c r="G16" s="64">
        <f>G12*G13*G15</f>
        <v>-1.025161587786609</v>
      </c>
      <c r="H16" s="64">
        <f>H12*H13*H15</f>
        <v>1.3822257104108633</v>
      </c>
      <c r="I16" s="64">
        <f>I12*I13*I15</f>
        <v>3.542585288110331</v>
      </c>
      <c r="J16" s="64">
        <f>J12*J13*J15</f>
        <v>5.399649856682371</v>
      </c>
      <c r="K16" s="64">
        <f>K12*K13*K15</f>
        <v>6.9140975727692435</v>
      </c>
      <c r="L16" s="64">
        <f>L12*L13*L15</f>
        <v>8.064833741354544</v>
      </c>
    </row>
    <row r="19">
      <c r="A19" s="14" t="inlineStr">
        <is>
          <t>PV of forecast free cash flow</t>
        </is>
      </c>
      <c r="B19" s="52">
        <f>SUM(C16:L16)</f>
        <v>-3.8775792093186645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23.872709401687327</v>
      </c>
    </row>
    <row r="21">
      <c r="A21" s="14" t="inlineStr">
        <is>
          <t>Terminal value</t>
        </is>
      </c>
      <c r="B21" s="52">
        <f>B20/(Assumptions!$E$10-Assumptions!$E$11)</f>
        <v>238.72709401687325</v>
      </c>
    </row>
    <row r="22">
      <c r="A22" s="14" t="inlineStr">
        <is>
          <t>PV of terminal value</t>
        </is>
      </c>
      <c r="B22" s="52">
        <f>B21/(1+Assumptions!$E$10)^(L14+0.5)</f>
        <v>77.9368812446029</v>
      </c>
    </row>
    <row r="23">
      <c r="A23" s="20" t="inlineStr">
        <is>
          <t>Enterprise value</t>
        </is>
      </c>
      <c r="B23" s="66">
        <f>B19+B22</f>
        <v>74.05930203528423</v>
      </c>
    </row>
    <row r="24">
      <c r="A24" s="14" t="inlineStr">
        <is>
          <t>Cash &amp; investments</t>
        </is>
      </c>
      <c r="B24" s="55">
        <f>Main!C7</f>
        <v>24.588</v>
      </c>
    </row>
    <row r="25">
      <c r="A25" s="14" t="inlineStr">
        <is>
          <t>Debt</t>
        </is>
      </c>
      <c r="B25" s="55">
        <f>Main!C8</f>
        <v>22.839</v>
      </c>
    </row>
    <row r="26">
      <c r="A26" s="20" t="inlineStr">
        <is>
          <t>Equity value</t>
        </is>
      </c>
      <c r="B26" s="66">
        <f>B23+B24-B25</f>
        <v>75.80830203528424</v>
      </c>
    </row>
    <row r="27">
      <c r="A27" s="14" t="inlineStr">
        <is>
          <t>Shares (mm)</t>
        </is>
      </c>
      <c r="B27" s="55">
        <f>Main!C4</f>
        <v>24.225339</v>
      </c>
    </row>
    <row r="28">
      <c r="A28" s="20" t="inlineStr">
        <is>
          <t>NPV / share</t>
        </is>
      </c>
      <c r="B28" s="49">
        <f>B26/B27</f>
        <v>3.1292978824892494</v>
      </c>
    </row>
    <row r="29">
      <c r="A29" s="14" t="inlineStr">
        <is>
          <t>Price</t>
        </is>
      </c>
      <c r="B29" s="50">
        <f>Main!C3</f>
        <v>7.41</v>
      </c>
    </row>
    <row r="30">
      <c r="A30" s="14" t="inlineStr">
        <is>
          <t>Upside</t>
        </is>
      </c>
      <c r="B30" s="63">
        <f>B28/B29-1</f>
        <v>-0.5776925934562416</v>
      </c>
    </row>
    <row r="31">
      <c r="A31" s="14" t="inlineStr">
        <is>
          <t>Terminal value, % of EV</t>
        </is>
      </c>
      <c r="B31" s="63">
        <f>IFERROR(B22/B23,0)</f>
        <v>1.0523577606425627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2026-10-21T01:05:39Z</dcterms:modified>
  <cp:lastModifiedBy>Wang, Eric</cp:lastModifiedBy>
</cp:coreProperties>
</file>