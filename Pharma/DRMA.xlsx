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Dermata Therapeutics Inc</t>
        </is>
      </c>
      <c r="C2" s="10" t="n"/>
    </row>
    <row r="3">
      <c r="B3" t="inlineStr">
        <is>
          <t>Price</t>
        </is>
      </c>
      <c r="C3" s="11">
        <f>INDEX([1]Pharma!$F$1:$F$1000,MATCH("DRMA",[1]Pharma!$B$1:$B$1000,0))</f>
        <v>0.8699</v>
      </c>
      <c r="F3" s="1" t="n"/>
    </row>
    <row r="4">
      <c r="B4" t="inlineStr">
        <is>
          <t>Shares</t>
        </is>
      </c>
      <c r="C4" s="21" t="n">
        <v>4.022143</v>
      </c>
      <c r="F4" s="1" t="n"/>
    </row>
    <row r="5">
      <c r="B5" t="inlineStr">
        <is>
          <t>Market Cap.</t>
        </is>
      </c>
      <c r="C5" s="13">
        <f>C3*C4</f>
        <v>3.4988621956999997</v>
      </c>
      <c r="F5" s="1" t="n"/>
    </row>
    <row r="6"/>
    <row r="7">
      <c r="B7" t="inlineStr">
        <is>
          <t>Cash</t>
        </is>
      </c>
      <c r="C7" s="21" t="n">
        <v>4.412764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-0.9139018043000005</v>
      </c>
    </row>
    <row r="10"/>
    <row r="11">
      <c r="B11" s="14" t="inlineStr">
        <is>
          <t>Net Cash / Share</t>
        </is>
      </c>
      <c r="C11" s="11">
        <f>(C7-C8)/C4</f>
        <v>1.0971176310737834</v>
      </c>
    </row>
    <row r="12">
      <c r="B12" s="14" t="inlineStr">
        <is>
          <t>Upside</t>
        </is>
      </c>
      <c r="C12" s="15">
        <f>IFERROR(C11/C3-1,"")</f>
        <v>0.2611997138450206</v>
      </c>
    </row>
    <row r="13">
      <c r="B13" s="14" t="inlineStr">
        <is>
          <t>Cash / Share</t>
        </is>
      </c>
      <c r="C13" s="11">
        <f>IFERROR((C7-C8)/C4,"")</f>
        <v>1.0971176310737834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-8.077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0.5463370063142255</v>
      </c>
    </row>
    <row r="19">
      <c r="B19" s="14" t="inlineStr">
        <is>
          <t>Implied Pipeline Value</t>
        </is>
      </c>
      <c r="C19" s="13">
        <f>C9</f>
        <v>-0.9139018043000005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2020</v>
      </c>
      <c r="C1" s="17" t="n">
        <v>2021</v>
      </c>
      <c r="D1" s="17" t="n">
        <v>2022</v>
      </c>
      <c r="E1" s="17" t="n">
        <v>2023</v>
      </c>
      <c r="F1" s="17" t="n">
        <v>2024</v>
      </c>
      <c r="G1" s="17" t="n">
        <v>2025</v>
      </c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0.0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1.608</v>
      </c>
      <c r="C5" s="23" t="n">
        <v>3.459</v>
      </c>
      <c r="D5" s="23" t="n">
        <v>5.651</v>
      </c>
      <c r="E5" s="23" t="n">
        <v>4.07</v>
      </c>
      <c r="F5" s="23" t="n">
        <v>8.204000000000001</v>
      </c>
      <c r="G5" s="23" t="n">
        <v>2.93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1.565</v>
      </c>
      <c r="C6" s="23" t="n">
        <v>4.398</v>
      </c>
      <c r="D6" s="23" t="n">
        <v>4.023</v>
      </c>
      <c r="E6" s="23" t="n">
        <v>3.972</v>
      </c>
      <c r="F6" s="23" t="n">
        <v>4.31</v>
      </c>
      <c r="G6" s="23" t="n">
        <v>4.844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3.173</v>
      </c>
      <c r="C7" s="23">
        <f>SUM(C5:C6)</f>
        <v>7.856999999999999</v>
      </c>
      <c r="D7" s="23">
        <f>SUM(D5:D6)</f>
        <v>9.674</v>
      </c>
      <c r="E7" s="23">
        <f>SUM(E5:E6)</f>
        <v>8.042</v>
      </c>
      <c r="F7" s="23">
        <f>SUM(F5:F6)</f>
        <v>12.514</v>
      </c>
      <c r="G7" s="23">
        <f>SUM(G5:G6)</f>
        <v>7.774000000000001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-3.173</v>
      </c>
      <c r="C8" s="23">
        <f>C4-C7</f>
        <v>-7.856999999999999</v>
      </c>
      <c r="D8" s="23">
        <f>D4-D7</f>
        <v>-9.674</v>
      </c>
      <c r="E8" s="23">
        <f>E4-E7</f>
        <v>-8.042</v>
      </c>
      <c r="F8" s="23">
        <f>F4-F7</f>
        <v>-12.514</v>
      </c>
      <c r="G8" s="23">
        <f>G4-G7</f>
        <v>-7.774000000000001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-0.064</v>
      </c>
      <c r="C9" s="23" t="n">
        <v>-0.046</v>
      </c>
      <c r="D9" s="23" t="n">
        <v>0.064</v>
      </c>
      <c r="E9" s="23" t="n">
        <v>0.247</v>
      </c>
      <c r="F9" s="23" t="n">
        <v>0.226</v>
      </c>
      <c r="G9" s="23" t="n">
        <v>0.215</v>
      </c>
    </row>
    <row r="10">
      <c r="A10" s="2" t="inlineStr">
        <is>
          <t>Pretax</t>
        </is>
      </c>
      <c r="B10" s="23">
        <f>B8+B9</f>
        <v>-3.237</v>
      </c>
      <c r="C10" s="23">
        <f>C8+C9</f>
        <v>-7.903</v>
      </c>
      <c r="D10" s="23">
        <f>D8+D9</f>
        <v>-9.61</v>
      </c>
      <c r="E10" s="23">
        <f>E8+E9</f>
        <v>-7.795</v>
      </c>
      <c r="F10" s="23">
        <f>F8+F9</f>
        <v>-12.287999999999998</v>
      </c>
      <c r="G10" s="23">
        <f>G8+G9</f>
        <v>-7.559000000000001</v>
      </c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</row>
    <row r="12">
      <c r="A12" s="2" t="inlineStr">
        <is>
          <t>Net Income</t>
        </is>
      </c>
      <c r="B12" s="23" t="n">
        <v>-3.237</v>
      </c>
      <c r="C12" s="23" t="n">
        <v>-7.902</v>
      </c>
      <c r="D12" s="23" t="n">
        <v>-9.611000000000001</v>
      </c>
      <c r="E12" s="23" t="n">
        <v>-7.795</v>
      </c>
      <c r="F12" s="23" t="n">
        <v>-12.287</v>
      </c>
      <c r="G12" s="23" t="n">
        <v>-7.559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-0.28231292517006806</v>
      </c>
      <c r="C13" s="11">
        <f>IFERROR(C12/C14,0)</f>
        <v>-0.3061248208267152</v>
      </c>
      <c r="D13" s="11">
        <f>IFERROR(D12/D14,0)</f>
        <v>0</v>
      </c>
      <c r="E13" s="11">
        <f>IFERROR(E12/E14,0)</f>
        <v>-6.662393162393163</v>
      </c>
      <c r="F13" s="11">
        <f>IFERROR(F12/F14,0)</f>
        <v>-13.384531590413944</v>
      </c>
      <c r="G13" s="11">
        <f>IFERROR(G12/G14,0)</f>
        <v>-8.163066954643629</v>
      </c>
    </row>
    <row r="14">
      <c r="A14" s="2" t="inlineStr">
        <is>
          <t>Shares</t>
        </is>
      </c>
      <c r="B14" s="23" t="n">
        <v>11.466</v>
      </c>
      <c r="C14" s="23" t="n">
        <v>25.813</v>
      </c>
      <c r="D14" s="23" t="n"/>
      <c r="E14" s="23" t="n">
        <v>1.17</v>
      </c>
      <c r="F14" s="23" t="n">
        <v>0.918</v>
      </c>
      <c r="G14" s="23" t="n">
        <v>0.926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2026-10-21T01:06:49Z</dcterms:modified>
  <cp:lastModifiedBy>Wang, Eric</cp:lastModifiedBy>
</cp:coreProperties>
</file>