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Zevra Therapeutics Inc</t>
        </is>
      </c>
      <c r="C2" s="10" t="n"/>
    </row>
    <row r="3">
      <c r="B3" t="inlineStr">
        <is>
          <t>Price</t>
        </is>
      </c>
      <c r="C3" s="11">
        <f>INDEX([1]Pharma!$F$1:$F$1000,MATCH("ZVRA",[1]Pharma!$B$1:$B$1000,0))</f>
        <v>10.47</v>
      </c>
      <c r="F3" s="1" t="n"/>
    </row>
    <row r="4">
      <c r="B4" t="inlineStr">
        <is>
          <t>Shares</t>
        </is>
      </c>
      <c r="C4" s="21" t="n">
        <v>59.383781</v>
      </c>
      <c r="F4" s="1" t="n"/>
    </row>
    <row r="5">
      <c r="B5" t="inlineStr">
        <is>
          <t>Market Cap.</t>
        </is>
      </c>
      <c r="C5" s="13">
        <f>C3*C4</f>
        <v>621.74818707</v>
      </c>
      <c r="F5" s="1" t="n"/>
    </row>
    <row r="6"/>
    <row r="7">
      <c r="B7" t="inlineStr">
        <is>
          <t>Cash</t>
        </is>
      </c>
      <c r="C7" s="21">
        <f>145.321+76.249</f>
        <v>221.57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400.17818707</v>
      </c>
    </row>
    <row r="10"/>
    <row r="11">
      <c r="B11" s="14" t="inlineStr">
        <is>
          <t>Net Cash / Share</t>
        </is>
      </c>
      <c r="C11" s="11">
        <f>(C7-C8)/C4</f>
        <v>3.731153460908796</v>
      </c>
    </row>
    <row r="12">
      <c r="B12" s="14" t="inlineStr">
        <is>
          <t>Upside</t>
        </is>
      </c>
      <c r="C12" s="15">
        <f>IFERROR(C11/C3-1,"")</f>
        <v>-0.6436338623773834</v>
      </c>
    </row>
    <row r="13">
      <c r="B13" s="14" t="inlineStr">
        <is>
          <t>Cash / Share</t>
        </is>
      </c>
      <c r="C13" s="11">
        <f>IFERROR((C7-C8)/C4,"")</f>
        <v>3.731153460908796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33.399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400.17818707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12.839</v>
      </c>
      <c r="I2" s="23" t="n">
        <v>13.288</v>
      </c>
      <c r="J2" s="23" t="n">
        <v>28.65</v>
      </c>
      <c r="K2" s="23" t="n">
        <v>10.161</v>
      </c>
      <c r="L2" s="23" t="n">
        <v>27.461</v>
      </c>
      <c r="M2" s="23" t="n">
        <v>23.612</v>
      </c>
      <c r="N2" s="23" t="n">
        <v>106.47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10</v>
      </c>
      <c r="I3" s="23" t="n">
        <v>0</v>
      </c>
      <c r="J3" s="23" t="n">
        <v>2.059</v>
      </c>
      <c r="K3" s="23" t="n">
        <v>0.222</v>
      </c>
      <c r="L3" s="23" t="n">
        <v>2.945</v>
      </c>
      <c r="M3" s="23" t="n">
        <v>7.417</v>
      </c>
      <c r="N3" s="23" t="n">
        <v>16.482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2.8390000000000004</v>
      </c>
      <c r="I4" s="23">
        <f>I2-I3</f>
        <v>13.288</v>
      </c>
      <c r="J4" s="23">
        <f>J2-J3</f>
        <v>26.590999999999998</v>
      </c>
      <c r="K4" s="23">
        <f>K2-K3</f>
        <v>9.939</v>
      </c>
      <c r="L4" s="23">
        <f>L2-L3</f>
        <v>24.516</v>
      </c>
      <c r="M4" s="23">
        <f>M2-M3</f>
        <v>16.195</v>
      </c>
      <c r="N4" s="23">
        <f>N2-N3</f>
        <v>89.988</v>
      </c>
    </row>
    <row r="5">
      <c r="A5" s="2" t="inlineStr">
        <is>
          <t>Research &amp; Dev.</t>
        </is>
      </c>
      <c r="B5" s="23" t="n">
        <v>3.367</v>
      </c>
      <c r="C5" s="23" t="n">
        <v>11.917</v>
      </c>
      <c r="D5" s="23" t="n">
        <v>13.931</v>
      </c>
      <c r="E5" s="23" t="n">
        <v>20.472</v>
      </c>
      <c r="F5" s="23" t="n">
        <v>20.593</v>
      </c>
      <c r="G5" s="23" t="n">
        <v>41.759</v>
      </c>
      <c r="H5" s="23" t="n">
        <v>19.415</v>
      </c>
      <c r="I5" s="23" t="n">
        <v>8.843</v>
      </c>
      <c r="J5" s="23" t="n">
        <v>10.161</v>
      </c>
      <c r="K5" s="23" t="n">
        <v>19.803</v>
      </c>
      <c r="L5" s="23" t="n">
        <v>39.806</v>
      </c>
      <c r="M5" s="23" t="n">
        <v>42.095</v>
      </c>
      <c r="N5" s="23" t="n">
        <v>12.743</v>
      </c>
    </row>
    <row r="6">
      <c r="A6" s="19" t="inlineStr">
        <is>
          <t>SG&amp;A &amp; Other</t>
        </is>
      </c>
      <c r="B6" s="23" t="n">
        <v>1.351</v>
      </c>
      <c r="C6" s="23" t="n">
        <v>4.526</v>
      </c>
      <c r="D6" s="23" t="n">
        <v>8.882999999999999</v>
      </c>
      <c r="E6" s="23" t="n">
        <v>17.01</v>
      </c>
      <c r="F6" s="23" t="n">
        <v>12.773</v>
      </c>
      <c r="G6" s="23" t="n">
        <v>14.144</v>
      </c>
      <c r="H6" s="23" t="n">
        <v>3.761</v>
      </c>
      <c r="I6" s="23" t="n">
        <v>10.054</v>
      </c>
      <c r="J6" s="23" t="n">
        <v>8.701000000000001</v>
      </c>
      <c r="K6" s="23" t="n">
        <v>32.701</v>
      </c>
      <c r="L6" s="23" t="n">
        <v>34.314</v>
      </c>
      <c r="M6" s="23" t="n">
        <v>61.103</v>
      </c>
      <c r="N6" s="23" t="n">
        <v>140.188</v>
      </c>
    </row>
    <row r="7">
      <c r="A7" s="2" t="inlineStr">
        <is>
          <t>Operating Expense</t>
        </is>
      </c>
      <c r="B7" s="23">
        <f>SUM(B5:B6)</f>
        <v>4.718</v>
      </c>
      <c r="C7" s="23">
        <f>SUM(C5:C6)</f>
        <v>16.442999999999998</v>
      </c>
      <c r="D7" s="23">
        <f>SUM(D5:D6)</f>
        <v>22.814</v>
      </c>
      <c r="E7" s="23">
        <f>SUM(E5:E6)</f>
        <v>37.482</v>
      </c>
      <c r="F7" s="23">
        <f>SUM(F5:F6)</f>
        <v>33.366</v>
      </c>
      <c r="G7" s="23">
        <f>SUM(G5:G6)</f>
        <v>55.903</v>
      </c>
      <c r="H7" s="23">
        <f>SUM(H5:H6)</f>
        <v>23.176</v>
      </c>
      <c r="I7" s="23">
        <f>SUM(I5:I6)</f>
        <v>18.897</v>
      </c>
      <c r="J7" s="23">
        <f>SUM(J5:J6)</f>
        <v>18.862000000000002</v>
      </c>
      <c r="K7" s="23">
        <f>SUM(K5:K6)</f>
        <v>52.504000000000005</v>
      </c>
      <c r="L7" s="23">
        <f>SUM(L5:L6)</f>
        <v>74.12</v>
      </c>
      <c r="M7" s="23">
        <f>SUM(M5:M6)</f>
        <v>103.19800000000001</v>
      </c>
      <c r="N7" s="23">
        <f>SUM(N5:N6)</f>
        <v>152.93099999999998</v>
      </c>
    </row>
    <row r="8">
      <c r="A8" s="2" t="inlineStr">
        <is>
          <t>Operating Income</t>
        </is>
      </c>
      <c r="B8" s="23">
        <f>B4-B7</f>
        <v>-4.718</v>
      </c>
      <c r="C8" s="23">
        <f>C4-C7</f>
        <v>-16.442999999999998</v>
      </c>
      <c r="D8" s="23">
        <f>D4-D7</f>
        <v>-22.814</v>
      </c>
      <c r="E8" s="23">
        <f>E4-E7</f>
        <v>-37.482</v>
      </c>
      <c r="F8" s="23">
        <f>F4-F7</f>
        <v>-33.366</v>
      </c>
      <c r="G8" s="23">
        <f>G4-G7</f>
        <v>-55.903</v>
      </c>
      <c r="H8" s="23">
        <f>H4-H7</f>
        <v>-20.336999999999996</v>
      </c>
      <c r="I8" s="23">
        <f>I4-I7</f>
        <v>-5.608999999999998</v>
      </c>
      <c r="J8" s="23">
        <f>J4-J7</f>
        <v>7.728999999999996</v>
      </c>
      <c r="K8" s="23">
        <f>K4-K7</f>
        <v>-42.565000000000005</v>
      </c>
      <c r="L8" s="23">
        <f>L4-L7</f>
        <v>-49.604000000000006</v>
      </c>
      <c r="M8" s="23">
        <f>M4-M7</f>
        <v>-87.00300000000001</v>
      </c>
      <c r="N8" s="23">
        <f>N4-N7</f>
        <v>-62.942999999999984</v>
      </c>
    </row>
    <row r="9">
      <c r="A9" s="19" t="inlineStr">
        <is>
          <t>Interest &amp; Other</t>
        </is>
      </c>
      <c r="B9" s="23" t="n">
        <v>-0.528</v>
      </c>
      <c r="C9" s="23" t="n">
        <v>-8.034000000000001</v>
      </c>
      <c r="D9" s="23" t="n">
        <v>-31.824</v>
      </c>
      <c r="E9" s="23" t="n">
        <v>20.951</v>
      </c>
      <c r="F9" s="23" t="n">
        <v>-10.063</v>
      </c>
      <c r="G9" s="23" t="n">
        <v>-0.6889999999999999</v>
      </c>
      <c r="H9" s="23" t="n">
        <v>-4.207</v>
      </c>
      <c r="I9" s="23" t="n">
        <v>-7.185</v>
      </c>
      <c r="J9" s="23" t="n">
        <v>-16.25</v>
      </c>
      <c r="K9" s="23" t="n">
        <v>15.76</v>
      </c>
      <c r="L9" s="23" t="n">
        <v>3.555</v>
      </c>
      <c r="M9" s="23" t="n">
        <v>-3.137</v>
      </c>
      <c r="N9" s="23" t="n">
        <v>149.621</v>
      </c>
    </row>
    <row r="10">
      <c r="A10" s="2" t="inlineStr">
        <is>
          <t>Pretax</t>
        </is>
      </c>
      <c r="B10" s="23">
        <f>B8+B9</f>
        <v>-5.246</v>
      </c>
      <c r="C10" s="23">
        <f>C8+C9</f>
        <v>-24.476999999999997</v>
      </c>
      <c r="D10" s="23">
        <f>D8+D9</f>
        <v>-54.638000000000005</v>
      </c>
      <c r="E10" s="23">
        <f>E8+E9</f>
        <v>-16.531</v>
      </c>
      <c r="F10" s="23">
        <f>F8+F9</f>
        <v>-43.429</v>
      </c>
      <c r="G10" s="23">
        <f>G8+G9</f>
        <v>-56.592</v>
      </c>
      <c r="H10" s="23">
        <f>H8+H9</f>
        <v>-24.543999999999997</v>
      </c>
      <c r="I10" s="23">
        <f>I8+I9</f>
        <v>-12.793999999999997</v>
      </c>
      <c r="J10" s="23">
        <f>J8+J9</f>
        <v>-8.521000000000004</v>
      </c>
      <c r="K10" s="23">
        <f>K8+K9</f>
        <v>-26.805000000000007</v>
      </c>
      <c r="L10" s="23">
        <f>L8+L9</f>
        <v>-46.04900000000001</v>
      </c>
      <c r="M10" s="23">
        <f>M8+M9</f>
        <v>-90.14000000000001</v>
      </c>
      <c r="N10" s="23">
        <f>N8+N9</f>
        <v>86.67800000000003</v>
      </c>
    </row>
    <row r="11">
      <c r="A11" s="2" t="inlineStr">
        <is>
          <t>Taxes</t>
        </is>
      </c>
      <c r="B11" s="23" t="n">
        <v>-0.02</v>
      </c>
      <c r="C11" s="23" t="n">
        <v>-0.022</v>
      </c>
      <c r="D11" s="23" t="n">
        <v>0.026</v>
      </c>
      <c r="E11" s="23" t="n">
        <v>-0.015</v>
      </c>
      <c r="F11" s="23" t="n">
        <v>-0.043</v>
      </c>
      <c r="G11" s="23" t="n">
        <v>-0.126</v>
      </c>
      <c r="H11" s="23" t="n">
        <v>-0.022</v>
      </c>
      <c r="I11" s="23" t="n">
        <v>-0.034</v>
      </c>
      <c r="J11" s="23" t="n">
        <v>0.034</v>
      </c>
      <c r="K11" s="23" t="n">
        <v>-0.033</v>
      </c>
      <c r="L11" s="23" t="n">
        <v>0</v>
      </c>
      <c r="M11" s="23" t="n">
        <v>15.371</v>
      </c>
      <c r="N11" s="23" t="n">
        <v>3.449</v>
      </c>
    </row>
    <row r="12">
      <c r="A12" s="2" t="inlineStr">
        <is>
          <t>Net Income</t>
        </is>
      </c>
      <c r="B12" s="23" t="n">
        <v>-5.226</v>
      </c>
      <c r="C12" s="23" t="n">
        <v>-24.455</v>
      </c>
      <c r="D12" s="23" t="n">
        <v>-54.664</v>
      </c>
      <c r="E12" s="23" t="n">
        <v>-16.516</v>
      </c>
      <c r="F12" s="23" t="n">
        <v>-43.386</v>
      </c>
      <c r="G12" s="23" t="n">
        <v>-56.466</v>
      </c>
      <c r="H12" s="23" t="n">
        <v>-24.522</v>
      </c>
      <c r="I12" s="23" t="n">
        <v>-12.76</v>
      </c>
      <c r="J12" s="23" t="n">
        <v>-8.555</v>
      </c>
      <c r="K12" s="23" t="n">
        <v>-26.772</v>
      </c>
      <c r="L12" s="23" t="n">
        <v>-46.049</v>
      </c>
      <c r="M12" s="23" t="n">
        <v>-105.511</v>
      </c>
      <c r="N12" s="23" t="n">
        <v>83.229</v>
      </c>
    </row>
    <row r="13">
      <c r="A13" s="2" t="inlineStr">
        <is>
          <t>Earnings per Share</t>
        </is>
      </c>
      <c r="B13" s="11">
        <f>IFERROR(B12/B14,0)</f>
        <v>-1.0974380512389754</v>
      </c>
      <c r="C13" s="11">
        <f>IFERROR(C12/C14,0)</f>
        <v>-5.135447291054179</v>
      </c>
      <c r="D13" s="11">
        <f>IFERROR(D12/D14,0)</f>
        <v>-3.7093031146094866</v>
      </c>
      <c r="E13" s="11">
        <f>IFERROR(E12/E14,0)</f>
        <v>-1.1314653695964922</v>
      </c>
      <c r="F13" s="11">
        <f>IFERROR(F12/F14,0)</f>
        <v>-2.9608953797857094</v>
      </c>
      <c r="G13" s="11">
        <f>IFERROR(G12/G14,0)</f>
        <v>-3.1492470719464585</v>
      </c>
      <c r="H13" s="11">
        <f>IFERROR(H12/H14,0)</f>
        <v>-13.233675121424715</v>
      </c>
      <c r="I13" s="11">
        <f>IFERROR(I12/I14,0)</f>
        <v>-3.2052248178849534</v>
      </c>
      <c r="J13" s="11">
        <f>IFERROR(J12/J14,0)</f>
        <v>-0.28740845259692266</v>
      </c>
      <c r="K13" s="11">
        <f>IFERROR(K12/K14,0)</f>
        <v>-0.7762474992026444</v>
      </c>
      <c r="L13" s="11">
        <f>IFERROR(L12/L14,0)</f>
        <v>-1.2989112038813044</v>
      </c>
      <c r="M13" s="11">
        <f>IFERROR(M12/M14,0)</f>
        <v>-2.281269594170937</v>
      </c>
      <c r="N13" s="11">
        <f>IFERROR(N12/N14,0)</f>
        <v>1.4534516179732113</v>
      </c>
    </row>
    <row r="14">
      <c r="A14" s="2" t="inlineStr">
        <is>
          <t>Shares</t>
        </is>
      </c>
      <c r="B14" s="23" t="n">
        <v>4.762</v>
      </c>
      <c r="C14" s="23" t="n">
        <v>4.762</v>
      </c>
      <c r="D14" s="23" t="n">
        <v>14.737</v>
      </c>
      <c r="E14" s="23" t="n">
        <v>14.597</v>
      </c>
      <c r="F14" s="23" t="n">
        <v>14.653</v>
      </c>
      <c r="G14" s="23" t="n">
        <v>17.93</v>
      </c>
      <c r="H14" s="23" t="n">
        <v>1.853</v>
      </c>
      <c r="I14" s="23" t="n">
        <v>3.981</v>
      </c>
      <c r="J14" s="23" t="n">
        <v>29.766</v>
      </c>
      <c r="K14" s="23" t="n">
        <v>34.489</v>
      </c>
      <c r="L14" s="23" t="n">
        <v>35.452</v>
      </c>
      <c r="M14" s="23" t="n">
        <v>46.251</v>
      </c>
      <c r="N14" s="23" t="n">
        <v>57.263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0.03497157099462567</v>
      </c>
      <c r="J16" s="15">
        <f>IFERROR(J2/I2-1,"")</f>
        <v>1.1560806742925949</v>
      </c>
      <c r="K16" s="15">
        <f>IFERROR(K2/J2-1,"")</f>
        <v>-0.6453403141361256</v>
      </c>
      <c r="L16" s="15">
        <f>IFERROR(L2/K2-1,"")</f>
        <v>1.70258832792048</v>
      </c>
      <c r="M16" s="15">
        <f>IFERROR(M2/L2-1,"")</f>
        <v>-0.1401624121481374</v>
      </c>
      <c r="N16" s="15">
        <f>IFERROR(N2/M2-1,"")</f>
        <v>3.5091478909029306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0.2211231404314978</v>
      </c>
      <c r="I17" s="15">
        <f>IFERROR(I4/I2,"")</f>
        <v>1.0</v>
      </c>
      <c r="J17" s="15">
        <f>IFERROR(J4/J2,"")</f>
        <v>0.928132635253054</v>
      </c>
      <c r="K17" s="15">
        <f>IFERROR(K4/K2,"")</f>
        <v>0.9781517567168586</v>
      </c>
      <c r="L17" s="15">
        <f>IFERROR(L4/L2,"")</f>
        <v>0.8927570008375514</v>
      </c>
      <c r="M17" s="15">
        <f>IFERROR(M4/M2,"")</f>
        <v>0.6858800609859395</v>
      </c>
      <c r="N17" s="15">
        <f>IFERROR(N4/N2,"")</f>
        <v>0.8451958298112144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-1.5840018693044626</v>
      </c>
      <c r="I18" s="15">
        <f>IFERROR(I8/I2,"")</f>
        <v>-0.42211017459361816</v>
      </c>
      <c r="J18" s="15">
        <f>IFERROR(J8/J2,"")</f>
        <v>0.2697731239092494</v>
      </c>
      <c r="K18" s="15">
        <f>IFERROR(K8/K2,"")</f>
        <v>-4.189056195256373</v>
      </c>
      <c r="L18" s="15">
        <f>IFERROR(L8/L2,"")</f>
        <v>-1.8063435417501186</v>
      </c>
      <c r="M18" s="15">
        <f>IFERROR(M8/M2,"")</f>
        <v>-3.684694223276301</v>
      </c>
      <c r="N18" s="15">
        <f>IFERROR(N8/N2,"")</f>
        <v>-0.5911806142575372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2026-10-21T06:24:54Z</dcterms:modified>
  <cp:lastModifiedBy>Wang, Eric</cp:lastModifiedBy>
</cp:coreProperties>
</file>