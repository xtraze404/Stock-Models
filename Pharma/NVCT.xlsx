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Nuvectis Pharma Inc</t>
        </is>
      </c>
      <c r="C2" s="10" t="n"/>
    </row>
    <row r="3">
      <c r="B3" t="inlineStr">
        <is>
          <t>Price</t>
        </is>
      </c>
      <c r="C3" s="11">
        <f>INDEX([1]Pharma!$F$1:$F$1000,MATCH("NVCT",[1]Pharma!$B$1:$B$1000,0))</f>
        <v>20.59</v>
      </c>
      <c r="F3" s="1" t="n"/>
    </row>
    <row r="4">
      <c r="B4" t="inlineStr">
        <is>
          <t>Shares</t>
        </is>
      </c>
      <c r="C4" s="21" t="n">
        <v>32.581533</v>
      </c>
      <c r="F4" s="1" t="n"/>
    </row>
    <row r="5">
      <c r="B5" t="inlineStr">
        <is>
          <t>Market Cap.</t>
        </is>
      </c>
      <c r="C5" s="13">
        <f>C3*C4</f>
        <v>670.85376447</v>
      </c>
      <c r="F5" s="1" t="n"/>
    </row>
    <row r="6"/>
    <row r="7">
      <c r="B7" t="inlineStr">
        <is>
          <t>Cash</t>
        </is>
      </c>
      <c r="C7" s="21" t="n">
        <v>22.16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648.69376447</v>
      </c>
    </row>
    <row r="10"/>
    <row r="11">
      <c r="B11" s="14" t="inlineStr">
        <is>
          <t>Net Cash / Share</t>
        </is>
      </c>
      <c r="C11" s="11">
        <f>(C7-C8)/C4</f>
        <v>0.6801398816931051</v>
      </c>
    </row>
    <row r="12">
      <c r="B12" s="14" t="inlineStr">
        <is>
          <t>Upside</t>
        </is>
      </c>
      <c r="C12" s="15">
        <f>IFERROR(C11/C3-1,"")</f>
        <v>-0.9669674656778482</v>
      </c>
    </row>
    <row r="13">
      <c r="B13" s="14" t="inlineStr">
        <is>
          <t>Cash / Share</t>
        </is>
      </c>
      <c r="C13" s="11">
        <f>IFERROR((C7-C8)/C4,"")</f>
        <v>0.6801398816931051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-19.51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1.1358277806253203</v>
      </c>
    </row>
    <row r="19">
      <c r="B19" s="14" t="inlineStr">
        <is>
          <t>Implied Pipeline Value</t>
        </is>
      </c>
      <c r="C19" s="13">
        <f>C9</f>
        <v>648.69376447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2021</v>
      </c>
      <c r="C1" s="17" t="n">
        <v>2022</v>
      </c>
      <c r="D1" s="17" t="n">
        <v>2023</v>
      </c>
      <c r="E1" s="17" t="n">
        <v>2024</v>
      </c>
      <c r="F1" s="17" t="n">
        <v>2025</v>
      </c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9.545</v>
      </c>
      <c r="C5" s="23" t="n">
        <v>13.227</v>
      </c>
      <c r="D5" s="23" t="n">
        <v>15.38</v>
      </c>
      <c r="E5" s="23" t="n">
        <v>12.918</v>
      </c>
      <c r="F5" s="23" t="n">
        <v>18.153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3.349</v>
      </c>
      <c r="C6" s="23" t="n">
        <v>6.007</v>
      </c>
      <c r="D6" s="23" t="n">
        <v>7.517</v>
      </c>
      <c r="E6" s="23" t="n">
        <v>6.929</v>
      </c>
      <c r="F6" s="23" t="n">
        <v>9.420999999999999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12.894</v>
      </c>
      <c r="C7" s="23">
        <f>SUM(C5:C6)</f>
        <v>19.234</v>
      </c>
      <c r="D7" s="23">
        <f>SUM(D5:D6)</f>
        <v>22.897000000000002</v>
      </c>
      <c r="E7" s="23">
        <f>SUM(E5:E6)</f>
        <v>19.847</v>
      </c>
      <c r="F7" s="23">
        <f>SUM(F5:F6)</f>
        <v>27.573999999999998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-12.894</v>
      </c>
      <c r="C8" s="23">
        <f>C4-C7</f>
        <v>-19.234</v>
      </c>
      <c r="D8" s="23">
        <f>D4-D7</f>
        <v>-22.897000000000002</v>
      </c>
      <c r="E8" s="23">
        <f>E4-E7</f>
        <v>-19.847</v>
      </c>
      <c r="F8" s="23">
        <f>F4-F7</f>
        <v>-27.573999999999998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0.004</v>
      </c>
      <c r="C9" s="23" t="n">
        <v>0.149</v>
      </c>
      <c r="D9" s="23" t="n">
        <v>0.637</v>
      </c>
      <c r="E9" s="23" t="n">
        <v>0.847</v>
      </c>
      <c r="F9" s="23" t="n">
        <v>1.132</v>
      </c>
    </row>
    <row r="10">
      <c r="A10" s="2" t="inlineStr">
        <is>
          <t>Pretax</t>
        </is>
      </c>
      <c r="B10" s="23">
        <f>B8+B9</f>
        <v>-12.89</v>
      </c>
      <c r="C10" s="23">
        <f>C8+C9</f>
        <v>-19.085</v>
      </c>
      <c r="D10" s="23">
        <f>D8+D9</f>
        <v>-22.26</v>
      </c>
      <c r="E10" s="23">
        <f>E8+E9</f>
        <v>-19.0</v>
      </c>
      <c r="F10" s="23">
        <f>F8+F9</f>
        <v>-26.441999999999997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</row>
    <row r="12">
      <c r="A12" s="2" t="inlineStr">
        <is>
          <t>Net Income</t>
        </is>
      </c>
      <c r="B12" s="23" t="n">
        <v>-12.89</v>
      </c>
      <c r="C12" s="23" t="n">
        <v>-19.085</v>
      </c>
      <c r="D12" s="23" t="n">
        <v>-22.26</v>
      </c>
      <c r="E12" s="23" t="n">
        <v>-19</v>
      </c>
      <c r="F12" s="23" t="n">
        <v>-26.442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-1.0066380320187427</v>
      </c>
      <c r="C13" s="11">
        <f>IFERROR(C12/C14,0)</f>
        <v>-1.5077421393585086</v>
      </c>
      <c r="D13" s="11">
        <f>IFERROR(D12/D14,0)</f>
        <v>-1.4308671337661503</v>
      </c>
      <c r="E13" s="11">
        <f>IFERROR(E12/E14,0)</f>
        <v>-1.1102670484427044</v>
      </c>
      <c r="F13" s="11">
        <f>IFERROR(F12/F14,0)</f>
        <v>-1.212212900563884</v>
      </c>
    </row>
    <row r="14">
      <c r="A14" s="2" t="inlineStr">
        <is>
          <t>Shares</t>
        </is>
      </c>
      <c r="B14" s="23" t="n">
        <v>12.805</v>
      </c>
      <c r="C14" s="23" t="n">
        <v>12.658</v>
      </c>
      <c r="D14" s="23" t="n">
        <v>15.557</v>
      </c>
      <c r="E14" s="23" t="n">
        <v>17.113</v>
      </c>
      <c r="F14" s="23" t="n">
        <v>21.813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2026-10-21T01:05:03Z</dcterms:modified>
  <cp:lastModifiedBy>Wang, Eric</cp:lastModifiedBy>
</cp:coreProperties>
</file>