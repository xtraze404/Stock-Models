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Greenwich Lifesciences Inc</t>
        </is>
      </c>
      <c r="C2" s="10" t="n"/>
    </row>
    <row r="3">
      <c r="B3" t="inlineStr">
        <is>
          <t>Price</t>
        </is>
      </c>
      <c r="C3" s="11">
        <f>INDEX([1]Pharma!$F$1:$F$1000,MATCH("GLSI",[1]Pharma!$B$1:$B$1000,0))</f>
        <v>16.24</v>
      </c>
      <c r="F3" s="1" t="n"/>
    </row>
    <row r="4">
      <c r="B4" t="inlineStr">
        <is>
          <t>Shares</t>
        </is>
      </c>
      <c r="C4" s="21" t="n">
        <v>14.678208</v>
      </c>
      <c r="F4" s="1" t="n"/>
    </row>
    <row r="5">
      <c r="B5" t="inlineStr">
        <is>
          <t>Market Cap.</t>
        </is>
      </c>
      <c r="C5" s="13">
        <f>C3*C4</f>
        <v>238.37409791999997</v>
      </c>
      <c r="F5" s="1" t="n"/>
    </row>
    <row r="6"/>
    <row r="7">
      <c r="B7" t="inlineStr">
        <is>
          <t>Cash</t>
        </is>
      </c>
      <c r="C7" s="21" t="n">
        <v>8.876353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229.49774491999997</v>
      </c>
    </row>
    <row r="10"/>
    <row r="11">
      <c r="B11" s="14" t="inlineStr">
        <is>
          <t>Net Cash / Share</t>
        </is>
      </c>
      <c r="C11" s="11">
        <f>(C7-C8)/C4</f>
        <v>0.6047300188142858</v>
      </c>
    </row>
    <row r="12">
      <c r="B12" s="14" t="inlineStr">
        <is>
          <t>Upside</t>
        </is>
      </c>
      <c r="C12" s="15">
        <f>IFERROR(C11/C3-1,"")</f>
        <v>-0.9627629298759677</v>
      </c>
    </row>
    <row r="13">
      <c r="B13" s="14" t="inlineStr">
        <is>
          <t>Cash / Share</t>
        </is>
      </c>
      <c r="C13" s="11">
        <f>IFERROR((C7-C8)/C4,"")</f>
        <v>0.6047300188142858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-12.488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0.7107905989750161</v>
      </c>
    </row>
    <row r="19">
      <c r="B19" s="14" t="inlineStr">
        <is>
          <t>Implied Pipeline Value</t>
        </is>
      </c>
      <c r="C19" s="13">
        <f>C9</f>
        <v>229.49774491999997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2.606</v>
      </c>
      <c r="C5" s="23" t="n">
        <v>1.058</v>
      </c>
      <c r="D5" s="23" t="n">
        <v>3.56</v>
      </c>
      <c r="E5" s="23" t="n">
        <v>6.476</v>
      </c>
      <c r="F5" s="23" t="n">
        <v>7.699</v>
      </c>
      <c r="G5" s="23" t="n">
        <v>15.48</v>
      </c>
      <c r="H5" s="23" t="n">
        <v>17.22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0.819</v>
      </c>
      <c r="C6" s="23" t="n">
        <v>0.806</v>
      </c>
      <c r="D6" s="23" t="n">
        <v>1.038</v>
      </c>
      <c r="E6" s="23" t="n">
        <v>1.565</v>
      </c>
      <c r="F6" s="23" t="n">
        <v>1.629</v>
      </c>
      <c r="G6" s="23" t="n">
        <v>2.157</v>
      </c>
      <c r="H6" s="23" t="n">
        <v>2.228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3.425</v>
      </c>
      <c r="C7" s="23">
        <f>SUM(C5:C6)</f>
        <v>1.864</v>
      </c>
      <c r="D7" s="23">
        <f>SUM(D5:D6)</f>
        <v>4.598</v>
      </c>
      <c r="E7" s="23">
        <f>SUM(E5:E6)</f>
        <v>8.041</v>
      </c>
      <c r="F7" s="23">
        <f>SUM(F5:F6)</f>
        <v>9.328</v>
      </c>
      <c r="G7" s="23">
        <f>SUM(G5:G6)</f>
        <v>17.637</v>
      </c>
      <c r="H7" s="23">
        <f>SUM(H5:H6)</f>
        <v>19.448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-3.425</v>
      </c>
      <c r="C8" s="23">
        <f>C4-C7</f>
        <v>-1.864</v>
      </c>
      <c r="D8" s="23">
        <f>D4-D7</f>
        <v>-4.598</v>
      </c>
      <c r="E8" s="23">
        <f>E4-E7</f>
        <v>-8.041</v>
      </c>
      <c r="F8" s="23">
        <f>F4-F7</f>
        <v>-9.328</v>
      </c>
      <c r="G8" s="23">
        <f>G4-G7</f>
        <v>-17.637</v>
      </c>
      <c r="H8" s="23">
        <f>H4-H7</f>
        <v>-19.448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0.001</v>
      </c>
      <c r="D9" s="23" t="n">
        <v>0.027</v>
      </c>
      <c r="E9" s="23" t="n">
        <v>0.215</v>
      </c>
      <c r="F9" s="23" t="n">
        <v>0.436</v>
      </c>
      <c r="G9" s="23" t="n">
        <v>0.223</v>
      </c>
      <c r="H9" s="23" t="n">
        <v>0.09</v>
      </c>
    </row>
    <row r="10">
      <c r="A10" s="2" t="inlineStr">
        <is>
          <t>Pretax</t>
        </is>
      </c>
      <c r="B10" s="23">
        <f>B8+B9</f>
        <v>-3.425</v>
      </c>
      <c r="C10" s="23">
        <f>C8+C9</f>
        <v>-1.8630000000000002</v>
      </c>
      <c r="D10" s="23">
        <f>D8+D9</f>
        <v>-4.571</v>
      </c>
      <c r="E10" s="23">
        <f>E8+E9</f>
        <v>-7.8260000000000005</v>
      </c>
      <c r="F10" s="23">
        <f>F8+F9</f>
        <v>-8.892</v>
      </c>
      <c r="G10" s="23">
        <f>G8+G9</f>
        <v>-17.414</v>
      </c>
      <c r="H10" s="23">
        <f>H8+H9</f>
        <v>-19.358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-3.425</v>
      </c>
      <c r="C12" s="23" t="n">
        <v>-1.863</v>
      </c>
      <c r="D12" s="23" t="n">
        <v>-4.571</v>
      </c>
      <c r="E12" s="23" t="n">
        <v>-7.825</v>
      </c>
      <c r="F12" s="23" t="n">
        <v>-8.891999999999999</v>
      </c>
      <c r="G12" s="23" t="n">
        <v>-17.414</v>
      </c>
      <c r="H12" s="23" t="n">
        <v>-19.358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-1.5168290522586358</v>
      </c>
      <c r="C13" s="11">
        <f>IFERROR(C12/C14,0)</f>
        <v>-0.19612590799031476</v>
      </c>
      <c r="D13" s="11">
        <f>IFERROR(D12/D14,0)</f>
        <v>-0.3531365883807169</v>
      </c>
      <c r="E13" s="11">
        <f>IFERROR(E12/E14,0)</f>
        <v>-0.605931547158123</v>
      </c>
      <c r="F13" s="11">
        <f>IFERROR(F12/F14,0)</f>
        <v>-0.6920921544209214</v>
      </c>
      <c r="G13" s="11">
        <f>IFERROR(G12/G14,0)</f>
        <v>-1.3379946215904726</v>
      </c>
      <c r="H13" s="11">
        <f>IFERROR(H12/H14,0)</f>
        <v>-1.4302179534540083</v>
      </c>
    </row>
    <row r="14">
      <c r="A14" s="2" t="inlineStr">
        <is>
          <t>Shares</t>
        </is>
      </c>
      <c r="B14" s="23" t="n">
        <v>2.258</v>
      </c>
      <c r="C14" s="23" t="n">
        <v>9.499000000000001</v>
      </c>
      <c r="D14" s="23" t="n">
        <v>12.944</v>
      </c>
      <c r="E14" s="23" t="n">
        <v>12.914</v>
      </c>
      <c r="F14" s="23" t="n">
        <v>12.848</v>
      </c>
      <c r="G14" s="23" t="n">
        <v>13.015</v>
      </c>
      <c r="H14" s="23" t="n">
        <v>13.535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2026-10-21T01:05:36Z</dcterms:modified>
  <cp:lastModifiedBy>Wang, Eric</cp:lastModifiedBy>
</cp:coreProperties>
</file>