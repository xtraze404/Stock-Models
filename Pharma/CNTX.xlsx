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Context Therapeutics Inc</t>
        </is>
      </c>
      <c r="C2" s="10" t="n"/>
    </row>
    <row r="3">
      <c r="B3" t="inlineStr">
        <is>
          <t>Price</t>
        </is>
      </c>
      <c r="C3" s="11">
        <f>INDEX([1]Pharma!$F$1:$F$1000,MATCH("CNTX",[1]Pharma!$B$1:$B$1000,0))</f>
        <v>0.2438</v>
      </c>
      <c r="F3" s="1" t="n"/>
    </row>
    <row r="4">
      <c r="B4" t="inlineStr">
        <is>
          <t>Shares</t>
        </is>
      </c>
      <c r="C4" s="21" t="n">
        <v>91.879177</v>
      </c>
      <c r="F4" s="1" t="n"/>
    </row>
    <row r="5">
      <c r="B5" t="inlineStr">
        <is>
          <t>Market Cap.</t>
        </is>
      </c>
      <c r="C5" s="13">
        <f>C3*C4</f>
        <v>22.400143352599997</v>
      </c>
      <c r="F5" s="1" t="n"/>
    </row>
    <row r="6"/>
    <row r="7">
      <c r="B7" t="inlineStr">
        <is>
          <t>Cash</t>
        </is>
      </c>
      <c r="C7" s="21" t="n">
        <v>42.990371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-20.590227647400006</v>
      </c>
    </row>
    <row r="10"/>
    <row r="11">
      <c r="B11" s="14" t="inlineStr">
        <is>
          <t>rNPV / Share</t>
        </is>
      </c>
      <c r="C11" s="11">
        <f>NPV!B27</f>
        <v>1.3228974310426584</v>
      </c>
    </row>
    <row r="12">
      <c r="B12" s="14" t="inlineStr">
        <is>
          <t>Upside</t>
        </is>
      </c>
      <c r="C12" s="15">
        <f>IFERROR(C11/C3-1,"")</f>
        <v>4.426158453825507</v>
      </c>
    </row>
    <row r="13">
      <c r="B13" s="14" t="inlineStr">
        <is>
          <t>Cash / Share</t>
        </is>
      </c>
      <c r="C13" s="11">
        <f>IFERROR((C7-C8)/C4,"")</f>
        <v>0.4679011328105388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-33.971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1.2655020752995203</v>
      </c>
    </row>
    <row r="19">
      <c r="B19" s="14" t="inlineStr">
        <is>
          <t>Implied Pipeline Value</t>
        </is>
      </c>
      <c r="C19" s="13">
        <f>C9</f>
        <v>-20.590227647400006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1.642</v>
      </c>
      <c r="C5" s="23" t="n">
        <v>3.805</v>
      </c>
      <c r="D5" s="23" t="n">
        <v>7.091</v>
      </c>
      <c r="E5" s="23" t="n">
        <v>17.783</v>
      </c>
      <c r="F5" s="23" t="n">
        <v>22.701</v>
      </c>
      <c r="G5" s="23" t="n">
        <v>31.856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0.931</v>
      </c>
      <c r="C6" s="23" t="n">
        <v>6.721</v>
      </c>
      <c r="D6" s="23" t="n">
        <v>8.289999999999999</v>
      </c>
      <c r="E6" s="23" t="n">
        <v>7.29</v>
      </c>
      <c r="F6" s="23" t="n">
        <v>7.223</v>
      </c>
      <c r="G6" s="23" t="n">
        <v>7.846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2.573</v>
      </c>
      <c r="C7" s="23">
        <f>SUM(C5:C6)</f>
        <v>10.526</v>
      </c>
      <c r="D7" s="23">
        <f>SUM(D5:D6)</f>
        <v>15.381</v>
      </c>
      <c r="E7" s="23">
        <f>SUM(E5:E6)</f>
        <v>25.073</v>
      </c>
      <c r="F7" s="23">
        <f>SUM(F5:F6)</f>
        <v>29.924</v>
      </c>
      <c r="G7" s="23">
        <f>SUM(G5:G6)</f>
        <v>39.702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-2.573</v>
      </c>
      <c r="C8" s="23">
        <f>C4-C7</f>
        <v>-10.526</v>
      </c>
      <c r="D8" s="23">
        <f>D4-D7</f>
        <v>-15.381</v>
      </c>
      <c r="E8" s="23">
        <f>E4-E7</f>
        <v>-25.073</v>
      </c>
      <c r="F8" s="23">
        <f>F4-F7</f>
        <v>-29.924</v>
      </c>
      <c r="G8" s="23">
        <f>G4-G7</f>
        <v>-39.702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9.217000000000001</v>
      </c>
      <c r="C9" s="23" t="n">
        <v>0.06900000000000001</v>
      </c>
      <c r="D9" s="23" t="n">
        <v>0.545</v>
      </c>
      <c r="E9" s="23" t="n">
        <v>1.108</v>
      </c>
      <c r="F9" s="23" t="n">
        <v>3.199</v>
      </c>
      <c r="G9" s="23" t="n">
        <v>3.579</v>
      </c>
    </row>
    <row r="10">
      <c r="A10" s="2" t="inlineStr">
        <is>
          <t>Pretax</t>
        </is>
      </c>
      <c r="B10" s="23">
        <f>B8+B9</f>
        <v>6.644</v>
      </c>
      <c r="C10" s="23">
        <f>C8+C9</f>
        <v>-10.456999999999999</v>
      </c>
      <c r="D10" s="23">
        <f>D8+D9</f>
        <v>-14.836</v>
      </c>
      <c r="E10" s="23">
        <f>E8+E9</f>
        <v>-23.965</v>
      </c>
      <c r="F10" s="23">
        <f>F8+F9</f>
        <v>-26.725</v>
      </c>
      <c r="G10" s="23">
        <f>G8+G9</f>
        <v>-36.123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6.644</v>
      </c>
      <c r="C12" s="23" t="n">
        <v>-10.457</v>
      </c>
      <c r="D12" s="23" t="n">
        <v>-14.836</v>
      </c>
      <c r="E12" s="23" t="n">
        <v>-23.964</v>
      </c>
      <c r="F12" s="23" t="n">
        <v>-26.725</v>
      </c>
      <c r="G12" s="23" t="n">
        <v>-36.124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3.2330900243309</v>
      </c>
      <c r="C13" s="11">
        <f>IFERROR(C12/C14,0)</f>
        <v>-3.6898376852505295</v>
      </c>
      <c r="D13" s="11">
        <f>IFERROR(D12/D14,0)</f>
        <v>-0.9292246022798447</v>
      </c>
      <c r="E13" s="11">
        <f>IFERROR(E12/E14,0)</f>
        <v>-1.5009394964299136</v>
      </c>
      <c r="F13" s="11">
        <f>IFERROR(F12/F14,0)</f>
        <v>-0.4574945220487538</v>
      </c>
      <c r="G13" s="11">
        <f>IFERROR(G12/G14,0)</f>
        <v>-0.3795095917466854</v>
      </c>
    </row>
    <row r="14">
      <c r="A14" s="2" t="inlineStr">
        <is>
          <t>Shares</t>
        </is>
      </c>
      <c r="B14" s="23" t="n">
        <v>2.055</v>
      </c>
      <c r="C14" s="23" t="n">
        <v>2.834</v>
      </c>
      <c r="D14" s="23" t="n">
        <v>15.966</v>
      </c>
      <c r="E14" s="23" t="n">
        <v>15.966</v>
      </c>
      <c r="F14" s="23" t="n">
        <v>58.416</v>
      </c>
      <c r="G14" s="23" t="n">
        <v>95.18600000000001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Context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0.14991449318299988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48.726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112.1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78.5563562196137</v>
      </c>
      <c r="C29" s="42">
        <f>NPV!B25</f>
        <v>121.5467272196137</v>
      </c>
      <c r="D29" s="43">
        <f>NPV!B27</f>
        <v>1.3228974310426584</v>
      </c>
      <c r="E29" s="44">
        <f>NPV!B29</f>
        <v>4.426158453825507</v>
      </c>
    </row>
    <row r="30">
      <c r="A30" s="45" t="n">
        <v>1</v>
      </c>
      <c r="B30" s="46">
        <f t="dataTable" ref="B30:E32" r1="B4"/>
        <v>-49.833612741964885</v>
      </c>
      <c r="C30" s="46">
        <v>-6.843241741964881</v>
      </c>
      <c r="D30" s="47">
        <v>-0.07448087766355245</v>
      </c>
      <c r="E30" s="48">
        <v>-1.3054999083820855</v>
      </c>
    </row>
    <row r="31">
      <c r="A31" s="45" t="n">
        <v>2</v>
      </c>
      <c r="B31" s="46">
        <v>78.5563562196137</v>
      </c>
      <c r="C31" s="46">
        <v>121.5467272196137</v>
      </c>
      <c r="D31" s="47">
        <v>1.3228974310426584</v>
      </c>
      <c r="E31" s="48">
        <v>4.426158453825507</v>
      </c>
    </row>
    <row r="32">
      <c r="A32" s="45" t="n">
        <v>3</v>
      </c>
      <c r="B32" s="46">
        <v>293.61228243017996</v>
      </c>
      <c r="C32" s="46">
        <v>336.60265343017994</v>
      </c>
      <c r="D32" s="47">
        <v>3.6635357914686146</v>
      </c>
      <c r="E32" s="48">
        <v>14.026808004383161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1.3228974310426584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-0.2903407568305163</v>
      </c>
      <c r="C37" s="47">
        <v>0.07654838633437423</v>
      </c>
      <c r="D37" s="47">
        <v>0.4327246627756649</v>
      </c>
      <c r="E37" s="47">
        <v>1.13106785134289</v>
      </c>
      <c r="F37" s="47">
        <v>1.8227484227218076</v>
      </c>
    </row>
    <row r="38">
      <c r="A38" s="50" t="n">
        <v>0.8</v>
      </c>
      <c r="B38" s="47">
        <v>-0.06478536651783971</v>
      </c>
      <c r="C38" s="47">
        <v>0.41249875405525477</v>
      </c>
      <c r="D38" s="47">
        <v>0.8800784772475628</v>
      </c>
      <c r="E38" s="47">
        <v>1.803246808330384</v>
      </c>
      <c r="F38" s="47">
        <v>2.7190113117780976</v>
      </c>
    </row>
    <row r="39">
      <c r="A39" s="50" t="n">
        <v>1</v>
      </c>
      <c r="B39" s="47">
        <v>0.15580196381124667</v>
      </c>
      <c r="C39" s="47">
        <v>0.7438396310777806</v>
      </c>
      <c r="D39" s="47">
        <v>1.3228974310426584</v>
      </c>
      <c r="E39" s="47">
        <v>2.4709930718448607</v>
      </c>
      <c r="F39" s="47">
        <v>3.613641083640694</v>
      </c>
    </row>
    <row r="40">
      <c r="A40" s="50" t="n">
        <v>1.2</v>
      </c>
      <c r="B40" s="47">
        <v>0.37336289102765924</v>
      </c>
      <c r="C40" s="47">
        <v>1.0731234777178538</v>
      </c>
      <c r="D40" s="47">
        <v>1.7655124093379875</v>
      </c>
      <c r="E40" s="47">
        <v>3.139159164509558</v>
      </c>
      <c r="F40" s="47">
        <v>4.505482256065989</v>
      </c>
    </row>
    <row r="41">
      <c r="A41" s="50" t="n">
        <v>1.4</v>
      </c>
      <c r="B41" s="47">
        <v>0.5893363603395521</v>
      </c>
      <c r="C41" s="47">
        <v>1.4009842290543801</v>
      </c>
      <c r="D41" s="47">
        <v>2.2051525341210785</v>
      </c>
      <c r="E41" s="47">
        <v>3.8047572528184057</v>
      </c>
      <c r="F41" s="47">
        <v>5.397733551184172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Context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CT-202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138.44360572734703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15.809999999999999</v>
      </c>
      <c r="U4" s="23">
        <f>IF(U$3&lt;$I4,0,$G4*Assumptions!$E$11*INDEX(Assumptions!$B$24:$G$24,MIN(6,U$3-$I4+1))*IF(U$3&gt;$J4,(1-Assumptions!$B$26)^(U$3-$J4),1)*IF($H4&gt;=1,1,MIN(0.97,$H4*Assumptions!$E$12)))</f>
        <v>39.525</v>
      </c>
      <c r="V4" s="23">
        <f>IF(V$3&lt;$I4,0,$G4*Assumptions!$E$11*INDEX(Assumptions!$B$24:$G$24,MIN(6,V$3-$I4+1))*IF(V$3&gt;$J4,(1-Assumptions!$B$26)^(V$3-$J4),1)*IF($H4&gt;=1,1,MIN(0.97,$H4*Assumptions!$E$12)))</f>
        <v>71.145</v>
      </c>
      <c r="W4" s="23">
        <f>IF(W$3&lt;$I4,0,$G4*Assumptions!$E$11*INDEX(Assumptions!$B$24:$G$24,MIN(6,W$3-$I4+1))*IF(W$3&gt;$J4,(1-Assumptions!$B$26)^(W$3-$J4),1)*IF($H4&gt;=1,1,MIN(0.97,$H4*Assumptions!$E$12)))</f>
        <v>102.765</v>
      </c>
      <c r="X4" s="23">
        <f>IF(X$3&lt;$I4,0,$G4*Assumptions!$E$11*INDEX(Assumptions!$B$24:$G$24,MIN(6,X$3-$I4+1))*IF(X$3&gt;$J4,(1-Assumptions!$B$26)^(X$3-$J4),1)*IF($H4&gt;=1,1,MIN(0.97,$H4*Assumptions!$E$12)))</f>
        <v>134.385</v>
      </c>
      <c r="Y4" s="23">
        <f>IF(Y$3&lt;$I4,0,$G4*Assumptions!$E$11*INDEX(Assumptions!$B$24:$G$24,MIN(6,Y$3-$I4+1))*IF(Y$3&gt;$J4,(1-Assumptions!$B$26)^(Y$3-$J4),1)*IF($H4&gt;=1,1,MIN(0.97,$H4*Assumptions!$E$12)))</f>
        <v>158.1</v>
      </c>
      <c r="Z4" s="23">
        <f>IF(Z$3&lt;$I4,0,$G4*Assumptions!$E$11*INDEX(Assumptions!$B$24:$G$24,MIN(6,Z$3-$I4+1))*IF(Z$3&gt;$J4,(1-Assumptions!$B$26)^(Z$3-$J4),1)*IF($H4&gt;=1,1,MIN(0.97,$H4*Assumptions!$E$12)))</f>
        <v>158.1</v>
      </c>
      <c r="AA4" s="23">
        <f>IF(AA$3&lt;$I4,0,$G4*Assumptions!$E$11*INDEX(Assumptions!$B$24:$G$24,MIN(6,AA$3-$I4+1))*IF(AA$3&gt;$J4,(1-Assumptions!$B$26)^(AA$3-$J4),1)*IF($H4&gt;=1,1,MIN(0.97,$H4*Assumptions!$E$12)))</f>
        <v>158.1</v>
      </c>
      <c r="AB4" s="23">
        <f>IF(AB$3&lt;$I4,0,$G4*Assumptions!$E$11*INDEX(Assumptions!$B$24:$G$24,MIN(6,AB$3-$I4+1))*IF(AB$3&gt;$J4,(1-Assumptions!$B$26)^(AB$3-$J4),1)*IF($H4&gt;=1,1,MIN(0.97,$H4*Assumptions!$E$12)))</f>
        <v>158.1</v>
      </c>
      <c r="AC4" s="23">
        <f>IF(AC$3&lt;$I4,0,$G4*Assumptions!$E$11*INDEX(Assumptions!$B$24:$G$24,MIN(6,AC$3-$I4+1))*IF(AC$3&gt;$J4,(1-Assumptions!$B$26)^(AC$3-$J4),1)*IF($H4&gt;=1,1,MIN(0.97,$H4*Assumptions!$E$12)))</f>
        <v>158.1</v>
      </c>
      <c r="AD4" s="23">
        <f>IF(AD$3&lt;$I4,0,$G4*Assumptions!$E$11*INDEX(Assumptions!$B$24:$G$24,MIN(6,AD$3-$I4+1))*IF(AD$3&gt;$J4,(1-Assumptions!$B$26)^(AD$3-$J4),1)*IF($H4&gt;=1,1,MIN(0.97,$H4*Assumptions!$E$12)))</f>
        <v>158.1</v>
      </c>
      <c r="AE4" s="23">
        <f>IF(AE$3&lt;$I4,0,$G4*Assumptions!$E$11*INDEX(Assumptions!$B$24:$G$24,MIN(6,AE$3-$I4+1))*IF(AE$3&gt;$J4,(1-Assumptions!$B$26)^(AE$3-$J4),1)*IF($H4&gt;=1,1,MIN(0.97,$H4*Assumptions!$E$12)))</f>
        <v>158.1</v>
      </c>
      <c r="AF4" s="23">
        <f>IF(AF$3&lt;$I4,0,$G4*Assumptions!$E$11*INDEX(Assumptions!$B$24:$G$24,MIN(6,AF$3-$I4+1))*IF(AF$3&gt;$J4,(1-Assumptions!$B$26)^(AF$3-$J4),1)*IF($H4&gt;=1,1,MIN(0.97,$H4*Assumptions!$E$12)))</f>
        <v>158.1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CT-95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A6" s="39" t="n">
        <v>3</v>
      </c>
      <c r="B6" s="14" t="inlineStr">
        <is>
          <t>Ovarian cancer</t>
        </is>
      </c>
      <c r="C6" s="14" t="inlineStr">
        <is>
          <t>CTIM-76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1200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55.3774422909388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6.324</v>
      </c>
      <c r="U6" s="23">
        <f>IF(U$3&lt;$I6,0,$G6*Assumptions!$E$11*INDEX(Assumptions!$B$24:$G$24,MIN(6,U$3-$I6+1))*IF(U$3&gt;$J6,(1-Assumptions!$B$26)^(U$3-$J6),1)*IF($H6&gt;=1,1,MIN(0.97,$H6*Assumptions!$E$12)))</f>
        <v>15.809999999999999</v>
      </c>
      <c r="V6" s="23">
        <f>IF(V$3&lt;$I6,0,$G6*Assumptions!$E$11*INDEX(Assumptions!$B$24:$G$24,MIN(6,V$3-$I6+1))*IF(V$3&gt;$J6,(1-Assumptions!$B$26)^(V$3-$J6),1)*IF($H6&gt;=1,1,MIN(0.97,$H6*Assumptions!$E$12)))</f>
        <v>28.458</v>
      </c>
      <c r="W6" s="23">
        <f>IF(W$3&lt;$I6,0,$G6*Assumptions!$E$11*INDEX(Assumptions!$B$24:$G$24,MIN(6,W$3-$I6+1))*IF(W$3&gt;$J6,(1-Assumptions!$B$26)^(W$3-$J6),1)*IF($H6&gt;=1,1,MIN(0.97,$H6*Assumptions!$E$12)))</f>
        <v>41.105999999999995</v>
      </c>
      <c r="X6" s="23">
        <f>IF(X$3&lt;$I6,0,$G6*Assumptions!$E$11*INDEX(Assumptions!$B$24:$G$24,MIN(6,X$3-$I6+1))*IF(X$3&gt;$J6,(1-Assumptions!$B$26)^(X$3-$J6),1)*IF($H6&gt;=1,1,MIN(0.97,$H6*Assumptions!$E$12)))</f>
        <v>53.754</v>
      </c>
      <c r="Y6" s="23">
        <f>IF(Y$3&lt;$I6,0,$G6*Assumptions!$E$11*INDEX(Assumptions!$B$24:$G$24,MIN(6,Y$3-$I6+1))*IF(Y$3&gt;$J6,(1-Assumptions!$B$26)^(Y$3-$J6),1)*IF($H6&gt;=1,1,MIN(0.97,$H6*Assumptions!$E$12)))</f>
        <v>63.239999999999995</v>
      </c>
      <c r="Z6" s="23">
        <f>IF(Z$3&lt;$I6,0,$G6*Assumptions!$E$11*INDEX(Assumptions!$B$24:$G$24,MIN(6,Z$3-$I6+1))*IF(Z$3&gt;$J6,(1-Assumptions!$B$26)^(Z$3-$J6),1)*IF($H6&gt;=1,1,MIN(0.97,$H6*Assumptions!$E$12)))</f>
        <v>63.239999999999995</v>
      </c>
      <c r="AA6" s="23">
        <f>IF(AA$3&lt;$I6,0,$G6*Assumptions!$E$11*INDEX(Assumptions!$B$24:$G$24,MIN(6,AA$3-$I6+1))*IF(AA$3&gt;$J6,(1-Assumptions!$B$26)^(AA$3-$J6),1)*IF($H6&gt;=1,1,MIN(0.97,$H6*Assumptions!$E$12)))</f>
        <v>63.239999999999995</v>
      </c>
      <c r="AB6" s="23">
        <f>IF(AB$3&lt;$I6,0,$G6*Assumptions!$E$11*INDEX(Assumptions!$B$24:$G$24,MIN(6,AB$3-$I6+1))*IF(AB$3&gt;$J6,(1-Assumptions!$B$26)^(AB$3-$J6),1)*IF($H6&gt;=1,1,MIN(0.97,$H6*Assumptions!$E$12)))</f>
        <v>63.239999999999995</v>
      </c>
      <c r="AC6" s="23">
        <f>IF(AC$3&lt;$I6,0,$G6*Assumptions!$E$11*INDEX(Assumptions!$B$24:$G$24,MIN(6,AC$3-$I6+1))*IF(AC$3&gt;$J6,(1-Assumptions!$B$26)^(AC$3-$J6),1)*IF($H6&gt;=1,1,MIN(0.97,$H6*Assumptions!$E$12)))</f>
        <v>63.239999999999995</v>
      </c>
      <c r="AD6" s="23">
        <f>IF(AD$3&lt;$I6,0,$G6*Assumptions!$E$11*INDEX(Assumptions!$B$24:$G$24,MIN(6,AD$3-$I6+1))*IF(AD$3&gt;$J6,(1-Assumptions!$B$26)^(AD$3-$J6),1)*IF($H6&gt;=1,1,MIN(0.97,$H6*Assumptions!$E$12)))</f>
        <v>63.239999999999995</v>
      </c>
      <c r="AE6" s="23">
        <f>IF(AE$3&lt;$I6,0,$G6*Assumptions!$E$11*INDEX(Assumptions!$B$24:$G$24,MIN(6,AE$3-$I6+1))*IF(AE$3&gt;$J6,(1-Assumptions!$B$26)^(AE$3-$J6),1)*IF($H6&gt;=1,1,MIN(0.97,$H6*Assumptions!$E$12)))</f>
        <v>63.239999999999995</v>
      </c>
      <c r="AF6" s="23">
        <f>IF(AF$3&lt;$I6,0,$G6*Assumptions!$E$11*INDEX(Assumptions!$B$24:$G$24,MIN(6,AF$3-$I6+1))*IF(AF$3&gt;$J6,(1-Assumptions!$B$26)^(AF$3-$J6),1)*IF($H6&gt;=1,1,MIN(0.97,$H6*Assumptions!$E$12)))</f>
        <v>63.239999999999995</v>
      </c>
      <c r="AG6" s="35">
        <f>IF(F6="Owned",1-IF(H6&gt;=1,1,MIN(0.97,H6*Assumptions!$E$12)),1)</f>
        <v>0.9473</v>
      </c>
    </row>
    <row r="7">
      <c r="B7" s="24" t="inlineStr">
        <is>
          <t>Risked revenue</t>
        </is>
      </c>
      <c r="L7" s="54">
        <f>SUM(L4:L6)</f>
        <v>263.04285088195934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0.0</v>
      </c>
      <c r="S7" s="54">
        <f>SUM(S4:S6)</f>
        <v>0.0</v>
      </c>
      <c r="T7" s="54">
        <f>SUM(T4:T6)</f>
        <v>30.038999999999994</v>
      </c>
      <c r="U7" s="54">
        <f>SUM(U4:U6)</f>
        <v>75.0975</v>
      </c>
      <c r="V7" s="54">
        <f>SUM(V4:V6)</f>
        <v>135.1755</v>
      </c>
      <c r="W7" s="54">
        <f>SUM(W4:W6)</f>
        <v>195.2535</v>
      </c>
      <c r="X7" s="54">
        <f>SUM(X4:X6)</f>
        <v>255.33149999999998</v>
      </c>
      <c r="Y7" s="54">
        <f>SUM(Y4:Y6)</f>
        <v>300.39</v>
      </c>
      <c r="Z7" s="54">
        <f>SUM(Z4:Z6)</f>
        <v>300.39</v>
      </c>
      <c r="AA7" s="54">
        <f>SUM(AA4:AA6)</f>
        <v>300.39</v>
      </c>
      <c r="AB7" s="54">
        <f>SUM(AB4:AB6)</f>
        <v>300.39</v>
      </c>
      <c r="AC7" s="54">
        <f>SUM(AC4:AC6)</f>
        <v>300.39</v>
      </c>
      <c r="AD7" s="54">
        <f>SUM(AD4:AD6)</f>
        <v>300.39</v>
      </c>
      <c r="AE7" s="54">
        <f>SUM(AE4:AE6)</f>
        <v>300.39</v>
      </c>
      <c r="AF7" s="54">
        <f>SUM(AF4:AF6)</f>
        <v>300.39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0.0</v>
      </c>
      <c r="S8" s="55">
        <f>SUMPRODUCT(S4:S6,$K$4:$K$6)</f>
        <v>0.0</v>
      </c>
      <c r="T8" s="55">
        <f>SUMPRODUCT(T4:T6,$K$4:$K$6)</f>
        <v>12.015600000000001</v>
      </c>
      <c r="U8" s="55">
        <f>SUMPRODUCT(U4:U6,$K$4:$K$6)</f>
        <v>30.039</v>
      </c>
      <c r="V8" s="55">
        <f>SUMPRODUCT(V4:V6,$K$4:$K$6)</f>
        <v>54.0702</v>
      </c>
      <c r="W8" s="55">
        <f>SUMPRODUCT(W4:W6,$K$4:$K$6)</f>
        <v>78.10140000000001</v>
      </c>
      <c r="X8" s="55">
        <f>SUMPRODUCT(X4:X6,$K$4:$K$6)</f>
        <v>102.1326</v>
      </c>
      <c r="Y8" s="55">
        <f>SUMPRODUCT(Y4:Y6,$K$4:$K$6)</f>
        <v>120.156</v>
      </c>
      <c r="Z8" s="55">
        <f>SUMPRODUCT(Z4:Z6,$K$4:$K$6)</f>
        <v>120.156</v>
      </c>
      <c r="AA8" s="55">
        <f>SUMPRODUCT(AA4:AA6,$K$4:$K$6)</f>
        <v>120.156</v>
      </c>
      <c r="AB8" s="55">
        <f>SUMPRODUCT(AB4:AB6,$K$4:$K$6)</f>
        <v>120.156</v>
      </c>
      <c r="AC8" s="55">
        <f>SUMPRODUCT(AC4:AC6,$K$4:$K$6)</f>
        <v>120.156</v>
      </c>
      <c r="AD8" s="55">
        <f>SUMPRODUCT(AD4:AD6,$K$4:$K$6)</f>
        <v>120.156</v>
      </c>
      <c r="AE8" s="55">
        <f>SUMPRODUCT(AE4:AE6,$K$4:$K$6)</f>
        <v>120.156</v>
      </c>
      <c r="AF8" s="55">
        <f>SUMPRODUCT(AF4:AF6,$K$4:$K$6)</f>
        <v>120.156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Context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0.0</v>
      </c>
      <c r="I4" s="57">
        <f>Pipeline!S7</f>
        <v>0.0</v>
      </c>
      <c r="J4" s="57">
        <f>Pipeline!T7</f>
        <v>30.038999999999994</v>
      </c>
      <c r="K4" s="57">
        <f>Pipeline!U7</f>
        <v>75.0975</v>
      </c>
      <c r="L4" s="57">
        <f>Pipeline!V7</f>
        <v>135.1755</v>
      </c>
      <c r="M4" s="57">
        <f>Pipeline!W7</f>
        <v>195.2535</v>
      </c>
      <c r="N4" s="57">
        <f>Pipeline!X7</f>
        <v>255.33149999999998</v>
      </c>
      <c r="O4" s="57">
        <f>Pipeline!Y7</f>
        <v>300.39</v>
      </c>
      <c r="P4" s="57">
        <f>Pipeline!Z7</f>
        <v>300.39</v>
      </c>
      <c r="Q4" s="57">
        <f>Pipeline!AA7</f>
        <v>300.39</v>
      </c>
      <c r="R4" s="57">
        <f>Pipeline!AB7</f>
        <v>300.39</v>
      </c>
      <c r="S4" s="57">
        <f>Pipeline!AC7</f>
        <v>300.39</v>
      </c>
      <c r="T4" s="57">
        <f>Pipeline!AD7</f>
        <v>300.39</v>
      </c>
      <c r="U4" s="57">
        <f>Pipeline!AE7</f>
        <v>300.39</v>
      </c>
      <c r="V4" s="57">
        <f>Pipeline!AF7</f>
        <v>300.39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0.0</v>
      </c>
      <c r="I5" s="57">
        <f>Pipeline!S8</f>
        <v>0.0</v>
      </c>
      <c r="J5" s="57">
        <f>Pipeline!T8</f>
        <v>12.015600000000001</v>
      </c>
      <c r="K5" s="57">
        <f>Pipeline!U8</f>
        <v>30.039</v>
      </c>
      <c r="L5" s="57">
        <f>Pipeline!V8</f>
        <v>54.0702</v>
      </c>
      <c r="M5" s="57">
        <f>Pipeline!W8</f>
        <v>78.10140000000001</v>
      </c>
      <c r="N5" s="57">
        <f>Pipeline!X8</f>
        <v>102.1326</v>
      </c>
      <c r="O5" s="57">
        <f>Pipeline!Y8</f>
        <v>120.156</v>
      </c>
      <c r="P5" s="57">
        <f>Pipeline!Z8</f>
        <v>120.156</v>
      </c>
      <c r="Q5" s="57">
        <f>Pipeline!AA8</f>
        <v>120.156</v>
      </c>
      <c r="R5" s="57">
        <f>Pipeline!AB8</f>
        <v>120.156</v>
      </c>
      <c r="S5" s="57">
        <f>Pipeline!AC8</f>
        <v>120.156</v>
      </c>
      <c r="T5" s="57">
        <f>Pipeline!AD8</f>
        <v>120.156</v>
      </c>
      <c r="U5" s="57">
        <f>Pipeline!AE8</f>
        <v>120.156</v>
      </c>
      <c r="V5" s="57">
        <f>Pipeline!AF8</f>
        <v>120.156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-48.726</v>
      </c>
      <c r="D6" s="23">
        <f>-IF(D3-2026&lt;Assumptions!$B$19,Assumptions!$B$18,Assumptions!$B$18*Assumptions!$B$20*Assumptions!$B$16)</f>
        <v>-48.726</v>
      </c>
      <c r="E6" s="23">
        <f>-IF(E3-2026&lt;Assumptions!$B$19,Assumptions!$B$18,Assumptions!$B$18*Assumptions!$B$20*Assumptions!$B$16)</f>
        <v>-48.726</v>
      </c>
      <c r="F6" s="23">
        <f>-IF(F3-2026&lt;Assumptions!$B$19,Assumptions!$B$18,Assumptions!$B$18*Assumptions!$B$20*Assumptions!$B$16)</f>
        <v>-48.726</v>
      </c>
      <c r="G6" s="23">
        <f>-IF(G3-2026&lt;Assumptions!$B$19,Assumptions!$B$18,Assumptions!$B$18*Assumptions!$B$20*Assumptions!$B$16)</f>
        <v>-2.1914200784504554</v>
      </c>
      <c r="H6" s="23">
        <f>-IF(H3-2026&lt;Assumptions!$B$19,Assumptions!$B$18,Assumptions!$B$18*Assumptions!$B$20*Assumptions!$B$16)</f>
        <v>-2.1914200784504554</v>
      </c>
      <c r="I6" s="23">
        <f>-IF(I3-2026&lt;Assumptions!$B$19,Assumptions!$B$18,Assumptions!$B$18*Assumptions!$B$20*Assumptions!$B$16)</f>
        <v>-2.1914200784504554</v>
      </c>
      <c r="J6" s="23">
        <f>-IF(J3-2026&lt;Assumptions!$B$19,Assumptions!$B$18,Assumptions!$B$18*Assumptions!$B$20*Assumptions!$B$16)</f>
        <v>-2.1914200784504554</v>
      </c>
      <c r="K6" s="23">
        <f>-IF(K3-2026&lt;Assumptions!$B$19,Assumptions!$B$18,Assumptions!$B$18*Assumptions!$B$20*Assumptions!$B$16)</f>
        <v>-2.1914200784504554</v>
      </c>
      <c r="L6" s="23">
        <f>-IF(L3-2026&lt;Assumptions!$B$19,Assumptions!$B$18,Assumptions!$B$18*Assumptions!$B$20*Assumptions!$B$16)</f>
        <v>-2.1914200784504554</v>
      </c>
      <c r="M6" s="23">
        <f>-IF(M3-2026&lt;Assumptions!$B$19,Assumptions!$B$18,Assumptions!$B$18*Assumptions!$B$20*Assumptions!$B$16)</f>
        <v>-2.1914200784504554</v>
      </c>
      <c r="N6" s="23">
        <f>-IF(N3-2026&lt;Assumptions!$B$19,Assumptions!$B$18,Assumptions!$B$18*Assumptions!$B$20*Assumptions!$B$16)</f>
        <v>-2.1914200784504554</v>
      </c>
      <c r="O6" s="23">
        <f>-IF(O3-2026&lt;Assumptions!$B$19,Assumptions!$B$18,Assumptions!$B$18*Assumptions!$B$20*Assumptions!$B$16)</f>
        <v>-2.1914200784504554</v>
      </c>
      <c r="P6" s="23">
        <f>-IF(P3-2026&lt;Assumptions!$B$19,Assumptions!$B$18,Assumptions!$B$18*Assumptions!$B$20*Assumptions!$B$16)</f>
        <v>-2.1914200784504554</v>
      </c>
      <c r="Q6" s="23">
        <f>-IF(Q3-2026&lt;Assumptions!$B$19,Assumptions!$B$18,Assumptions!$B$18*Assumptions!$B$20*Assumptions!$B$16)</f>
        <v>-2.1914200784504554</v>
      </c>
      <c r="R6" s="23">
        <f>-IF(R3-2026&lt;Assumptions!$B$19,Assumptions!$B$18,Assumptions!$B$18*Assumptions!$B$20*Assumptions!$B$16)</f>
        <v>-2.1914200784504554</v>
      </c>
      <c r="S6" s="23">
        <f>-IF(S3-2026&lt;Assumptions!$B$19,Assumptions!$B$18,Assumptions!$B$18*Assumptions!$B$20*Assumptions!$B$16)</f>
        <v>-2.1914200784504554</v>
      </c>
      <c r="T6" s="23">
        <f>-IF(T3-2026&lt;Assumptions!$B$19,Assumptions!$B$18,Assumptions!$B$18*Assumptions!$B$20*Assumptions!$B$16)</f>
        <v>-2.1914200784504554</v>
      </c>
      <c r="U6" s="23">
        <f>-IF(U3-2026&lt;Assumptions!$B$19,Assumptions!$B$18,Assumptions!$B$18*Assumptions!$B$20*Assumptions!$B$16)</f>
        <v>-2.1914200784504554</v>
      </c>
      <c r="V6" s="23">
        <f>-IF(V3-2026&lt;Assumptions!$B$19,Assumptions!$B$18,Assumptions!$B$18*Assumptions!$B$20*Assumptions!$B$16)</f>
        <v>-2.1914200784504554</v>
      </c>
    </row>
    <row r="7">
      <c r="A7" s="14" t="inlineStr">
        <is>
          <t>Pre-tax cash flow</t>
        </is>
      </c>
      <c r="C7" s="23">
        <f>C5+C6</f>
        <v>-48.726</v>
      </c>
      <c r="D7" s="23">
        <f>D5+D6</f>
        <v>-48.726</v>
      </c>
      <c r="E7" s="23">
        <f>E5+E6</f>
        <v>-48.726</v>
      </c>
      <c r="F7" s="23">
        <f>F5+F6</f>
        <v>-48.726</v>
      </c>
      <c r="G7" s="23">
        <f>G5+G6</f>
        <v>-2.1914200784504554</v>
      </c>
      <c r="H7" s="23">
        <f>H5+H6</f>
        <v>-2.1914200784504554</v>
      </c>
      <c r="I7" s="23">
        <f>I5+I6</f>
        <v>-2.1914200784504554</v>
      </c>
      <c r="J7" s="23">
        <f>J5+J6</f>
        <v>9.824179921549545</v>
      </c>
      <c r="K7" s="23">
        <f>K5+K6</f>
        <v>27.847579921549546</v>
      </c>
      <c r="L7" s="23">
        <f>L5+L6</f>
        <v>51.878779921549544</v>
      </c>
      <c r="M7" s="23">
        <f>M5+M6</f>
        <v>75.90997992154956</v>
      </c>
      <c r="N7" s="23">
        <f>N5+N6</f>
        <v>99.94117992154955</v>
      </c>
      <c r="O7" s="23">
        <f>O5+O6</f>
        <v>117.96457992154956</v>
      </c>
      <c r="P7" s="23">
        <f>P5+P6</f>
        <v>117.96457992154956</v>
      </c>
      <c r="Q7" s="23">
        <f>Q5+Q6</f>
        <v>117.96457992154956</v>
      </c>
      <c r="R7" s="23">
        <f>R5+R6</f>
        <v>117.96457992154956</v>
      </c>
      <c r="S7" s="23">
        <f>S5+S6</f>
        <v>117.96457992154956</v>
      </c>
      <c r="T7" s="23">
        <f>T5+T6</f>
        <v>117.96457992154956</v>
      </c>
      <c r="U7" s="23">
        <f>U5+U6</f>
        <v>117.96457992154956</v>
      </c>
      <c r="V7" s="23">
        <f>V5+V6</f>
        <v>117.96457992154956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9.824179921549545</v>
      </c>
      <c r="K8" s="23">
        <f>MIN(J17,MAX(0,K7))</f>
        <v>27.847579921549546</v>
      </c>
      <c r="L8" s="23">
        <f>MIN(K17,MAX(0,L7))</f>
        <v>51.878779921549544</v>
      </c>
      <c r="M8" s="23">
        <f>MIN(L17,MAX(0,M7))</f>
        <v>75.90997992154956</v>
      </c>
      <c r="N8" s="23">
        <f>MIN(M17,MAX(0,N7))</f>
        <v>99.94117992154955</v>
      </c>
      <c r="O8" s="23">
        <f>MIN(N17,MAX(0,O7))</f>
        <v>48.17656062760361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69.78801929394595</v>
      </c>
      <c r="P9" s="23">
        <f>MAX(0,P7)-P8</f>
        <v>117.96457992154956</v>
      </c>
      <c r="Q9" s="23">
        <f>MAX(0,Q7)-Q8</f>
        <v>117.96457992154956</v>
      </c>
      <c r="R9" s="23">
        <f>MAX(0,R7)-R8</f>
        <v>117.96457992154956</v>
      </c>
      <c r="S9" s="23">
        <f>MAX(0,S7)-S8</f>
        <v>117.96457992154956</v>
      </c>
      <c r="T9" s="23">
        <f>MAX(0,T7)-T8</f>
        <v>117.96457992154956</v>
      </c>
      <c r="U9" s="23">
        <f>MAX(0,U7)-U8</f>
        <v>117.96457992154956</v>
      </c>
      <c r="V9" s="23">
        <f>MAX(0,V7)-V8</f>
        <v>117.96457992154956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14.65548405172865</v>
      </c>
      <c r="P10" s="23">
        <f>P9*Assumptions!$E$15</f>
        <v>24.772561783525408</v>
      </c>
      <c r="Q10" s="23">
        <f>Q9*Assumptions!$E$15</f>
        <v>24.772561783525408</v>
      </c>
      <c r="R10" s="23">
        <f>R9*Assumptions!$E$15</f>
        <v>24.772561783525408</v>
      </c>
      <c r="S10" s="23">
        <f>S9*Assumptions!$E$15</f>
        <v>24.772561783525408</v>
      </c>
      <c r="T10" s="23">
        <f>T9*Assumptions!$E$15</f>
        <v>24.772561783525408</v>
      </c>
      <c r="U10" s="23">
        <f>U9*Assumptions!$E$15</f>
        <v>24.772561783525408</v>
      </c>
      <c r="V10" s="23">
        <f>V9*Assumptions!$E$15</f>
        <v>24.772561783525408</v>
      </c>
    </row>
    <row r="11">
      <c r="A11" s="24" t="inlineStr">
        <is>
          <t>Free cash flow</t>
        </is>
      </c>
      <c r="C11" s="55">
        <f>C7-C10</f>
        <v>-48.726</v>
      </c>
      <c r="D11" s="55">
        <f>D7-D10</f>
        <v>-48.726</v>
      </c>
      <c r="E11" s="55">
        <f>E7-E10</f>
        <v>-48.726</v>
      </c>
      <c r="F11" s="55">
        <f>F7-F10</f>
        <v>-48.726</v>
      </c>
      <c r="G11" s="55">
        <f>G7-G10</f>
        <v>-2.1914200784504554</v>
      </c>
      <c r="H11" s="55">
        <f>H7-H10</f>
        <v>-2.1914200784504554</v>
      </c>
      <c r="I11" s="55">
        <f>I7-I10</f>
        <v>-2.1914200784504554</v>
      </c>
      <c r="J11" s="55">
        <f>J7-J10</f>
        <v>9.824179921549545</v>
      </c>
      <c r="K11" s="55">
        <f>K7-K10</f>
        <v>27.847579921549546</v>
      </c>
      <c r="L11" s="55">
        <f>L7-L10</f>
        <v>51.878779921549544</v>
      </c>
      <c r="M11" s="55">
        <f>M7-M10</f>
        <v>75.90997992154956</v>
      </c>
      <c r="N11" s="55">
        <f>N7-N10</f>
        <v>99.94117992154955</v>
      </c>
      <c r="O11" s="55">
        <f>O7-O10</f>
        <v>103.30909586982091</v>
      </c>
      <c r="P11" s="55">
        <f>P7-P10</f>
        <v>93.19201813802415</v>
      </c>
      <c r="Q11" s="55">
        <f>Q7-Q10</f>
        <v>93.19201813802415</v>
      </c>
      <c r="R11" s="55">
        <f>R7-R10</f>
        <v>93.19201813802415</v>
      </c>
      <c r="S11" s="55">
        <f>S7-S10</f>
        <v>93.19201813802415</v>
      </c>
      <c r="T11" s="55">
        <f>T7-T10</f>
        <v>93.19201813802415</v>
      </c>
      <c r="U11" s="55">
        <f>U7-U10</f>
        <v>93.19201813802415</v>
      </c>
      <c r="V11" s="55">
        <f>V7-V10</f>
        <v>93.19201813802415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-23.871079310088383</v>
      </c>
      <c r="D16" s="55">
        <f>D11*D15</f>
        <v>-43.48514717826849</v>
      </c>
      <c r="E16" s="55">
        <f>E11*E15</f>
        <v>-38.82602426631114</v>
      </c>
      <c r="F16" s="55">
        <f>F11*F15</f>
        <v>-34.66609309492066</v>
      </c>
      <c r="G16" s="55">
        <f>G11*G15</f>
        <v>-1.3920401188284968</v>
      </c>
      <c r="H16" s="55">
        <f>H11*H15</f>
        <v>-1.2428929632397292</v>
      </c>
      <c r="I16" s="55">
        <f>I11*I15</f>
        <v>-1.1097258600354725</v>
      </c>
      <c r="J16" s="55">
        <f>J11*J15</f>
        <v>4.441895683058327</v>
      </c>
      <c r="K16" s="55">
        <f>K11*K15</f>
        <v>11.241945713182814</v>
      </c>
      <c r="L16" s="55">
        <f>L11*L15</f>
        <v>18.699317511458318</v>
      </c>
      <c r="M16" s="55">
        <f>M11*M15</f>
        <v>24.429628119008154</v>
      </c>
      <c r="N16" s="55">
        <f>N11*N15</f>
        <v>28.717354492283103</v>
      </c>
      <c r="O16" s="55">
        <f>O11*O15</f>
        <v>26.50455364541599</v>
      </c>
      <c r="P16" s="55">
        <f>P11*P15</f>
        <v>21.347284014083876</v>
      </c>
      <c r="Q16" s="55">
        <f>Q11*Q15</f>
        <v>19.060075012574888</v>
      </c>
      <c r="R16" s="55">
        <f>R11*R15</f>
        <v>17.017924118370434</v>
      </c>
      <c r="S16" s="55">
        <f>S11*S15</f>
        <v>15.194575105687885</v>
      </c>
      <c r="T16" s="55">
        <f>T11*T15</f>
        <v>13.566584915792754</v>
      </c>
      <c r="U16" s="55">
        <f>U11*U15</f>
        <v>12.11302224624353</v>
      </c>
      <c r="V16" s="55">
        <f>V11*V15</f>
        <v>10.815198434146007</v>
      </c>
    </row>
    <row r="17">
      <c r="A17" s="14" t="inlineStr">
        <is>
          <t>Tax-loss carryforward, end of year</t>
        </is>
      </c>
      <c r="C17" s="23">
        <f>Assumptions!$B$21-C8+MAX(0,-C7)</f>
        <v>160.826</v>
      </c>
      <c r="D17" s="23">
        <f>C17-D8+MAX(0,-D7)</f>
        <v>209.552</v>
      </c>
      <c r="E17" s="23">
        <f>D17-E8+MAX(0,-E7)</f>
        <v>258.278</v>
      </c>
      <c r="F17" s="23">
        <f>E17-F8+MAX(0,-F7)</f>
        <v>307.004</v>
      </c>
      <c r="G17" s="23">
        <f>F17-G8+MAX(0,-G7)</f>
        <v>309.19542007845047</v>
      </c>
      <c r="H17" s="23">
        <f>G17-H8+MAX(0,-H7)</f>
        <v>311.3868401569009</v>
      </c>
      <c r="I17" s="23">
        <f>H17-I8+MAX(0,-I7)</f>
        <v>313.57826023535137</v>
      </c>
      <c r="J17" s="23">
        <f>I17-J8+MAX(0,-J7)</f>
        <v>303.7540803138018</v>
      </c>
      <c r="K17" s="23">
        <f>J17-K8+MAX(0,-K7)</f>
        <v>275.90650039225227</v>
      </c>
      <c r="L17" s="23">
        <f>K17-L8+MAX(0,-L7)</f>
        <v>224.02772047070272</v>
      </c>
      <c r="M17" s="23">
        <f>L17-M8+MAX(0,-M7)</f>
        <v>148.11774054915315</v>
      </c>
      <c r="N17" s="23">
        <f>M17-N8+MAX(0,-N7)</f>
        <v>48.17656062760361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263.0428508819594</v>
      </c>
    </row>
    <row r="20">
      <c r="A20" s="14" t="inlineStr">
        <is>
          <t>PV of corporate burn</t>
        </is>
      </c>
      <c r="B20" s="23">
        <f>SUMPRODUCT(C6:V6,C15:V15)</f>
        <v>-151.72138058165683</v>
      </c>
    </row>
    <row r="21">
      <c r="A21" s="14" t="inlineStr">
        <is>
          <t>PV of taxes</t>
        </is>
      </c>
      <c r="B21" s="23">
        <f>-SUMPRODUCT(C10:V10,C15:V15)</f>
        <v>-32.76511408068884</v>
      </c>
    </row>
    <row r="22">
      <c r="A22" s="24" t="inlineStr">
        <is>
          <t>Pipeline rNPV (operations)</t>
        </is>
      </c>
      <c r="B22" s="54">
        <f>SUM(C16:V16)</f>
        <v>78.5563562196137</v>
      </c>
    </row>
    <row r="23">
      <c r="A23" s="14" t="inlineStr">
        <is>
          <t>Cash &amp; investments</t>
        </is>
      </c>
      <c r="B23" s="57">
        <f>Main!C7</f>
        <v>42.990371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121.5467272196137</v>
      </c>
    </row>
    <row r="26">
      <c r="A26" s="14" t="inlineStr">
        <is>
          <t>Shares (mm)</t>
        </is>
      </c>
      <c r="B26" s="57">
        <f>Main!C4</f>
        <v>91.879177</v>
      </c>
    </row>
    <row r="27">
      <c r="A27" s="24" t="inlineStr">
        <is>
          <t>rNPV / share</t>
        </is>
      </c>
      <c r="B27" s="60">
        <f>B25/B26</f>
        <v>1.3228974310426584</v>
      </c>
    </row>
    <row r="28">
      <c r="A28" s="14" t="inlineStr">
        <is>
          <t>Price</t>
        </is>
      </c>
      <c r="B28" s="61">
        <f>Main!C3</f>
        <v>0.2438</v>
      </c>
    </row>
    <row r="29">
      <c r="A29" s="14" t="inlineStr">
        <is>
          <t>Upside</t>
        </is>
      </c>
      <c r="B29" s="62">
        <f>B27/B28-1</f>
        <v>4.426158453825507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2026-10-21T06:30:04Z</dcterms:modified>
  <cp:lastModifiedBy>Wang, Eric</cp:lastModifiedBy>
</cp:coreProperties>
</file>