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aTyr Pharma Inc</t>
        </is>
      </c>
      <c r="C2" s="10" t="n"/>
    </row>
    <row r="3">
      <c r="B3" t="inlineStr">
        <is>
          <t>Price</t>
        </is>
      </c>
      <c r="C3" s="11">
        <f>INDEX([1]Pharma!$F$1:$F$1000,MATCH("ATYR",[1]Pharma!$B$1:$B$1000,0))</f>
        <v>0.1733</v>
      </c>
      <c r="F3" s="1" t="n"/>
    </row>
    <row r="4">
      <c r="B4" t="inlineStr">
        <is>
          <t>Shares</t>
        </is>
      </c>
      <c r="C4" s="21" t="n">
        <v>98.087425</v>
      </c>
      <c r="F4" s="1" t="n"/>
    </row>
    <row r="5">
      <c r="B5" t="inlineStr">
        <is>
          <t>Market Cap.</t>
        </is>
      </c>
      <c r="C5" s="13">
        <f>C3*C4</f>
        <v>16.9985507525</v>
      </c>
      <c r="F5" s="1" t="n"/>
    </row>
    <row r="6"/>
    <row r="7">
      <c r="B7" t="inlineStr">
        <is>
          <t>Cash</t>
        </is>
      </c>
      <c r="C7" s="21">
        <f>16.16+41.258</f>
        <v>57.418000000000006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-40.419449247500005</v>
      </c>
    </row>
    <row r="10"/>
    <row r="11">
      <c r="B11" s="14" t="inlineStr">
        <is>
          <t>Net Cash / Share</t>
        </is>
      </c>
      <c r="C11" s="11">
        <f>(C7-C8)/C4</f>
        <v>0.5853757502554482</v>
      </c>
    </row>
    <row r="12">
      <c r="B12" s="14" t="inlineStr">
        <is>
          <t>Upside</t>
        </is>
      </c>
      <c r="C12" s="15">
        <f>IFERROR(C11/C3-1,"")</f>
        <v>2.3778173701987777</v>
      </c>
    </row>
    <row r="13">
      <c r="B13" s="14" t="inlineStr">
        <is>
          <t>Cash / Share</t>
        </is>
      </c>
      <c r="C13" s="11">
        <f>IFERROR((C7-C8)/C4,"")</f>
        <v>0.5853757502554482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-54.54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1.052768610194353</v>
      </c>
    </row>
    <row r="19">
      <c r="B19" s="14" t="inlineStr">
        <is>
          <t>Implied Pipeline Value</t>
        </is>
      </c>
      <c r="C19" s="13">
        <f>C9</f>
        <v>-40.419449247500005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0.422</v>
      </c>
      <c r="I2" s="23" t="n">
        <v>10.455</v>
      </c>
      <c r="J2" s="23" t="n">
        <v>0</v>
      </c>
      <c r="K2" s="23" t="n">
        <v>10.386</v>
      </c>
      <c r="L2" s="23" t="n">
        <v>0.353</v>
      </c>
      <c r="M2" s="23" t="n">
        <v>0.235</v>
      </c>
      <c r="N2" s="23" t="n">
        <v>0.19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0.422</v>
      </c>
      <c r="I4" s="23">
        <f>I2-I3</f>
        <v>10.455</v>
      </c>
      <c r="J4" s="23">
        <f>J2-J3</f>
        <v>0.0</v>
      </c>
      <c r="K4" s="23">
        <f>K2-K3</f>
        <v>10.386</v>
      </c>
      <c r="L4" s="23">
        <f>L2-L3</f>
        <v>0.353</v>
      </c>
      <c r="M4" s="23">
        <f>M2-M3</f>
        <v>0.235</v>
      </c>
      <c r="N4" s="23">
        <f>N2-N3</f>
        <v>0.19</v>
      </c>
    </row>
    <row r="5">
      <c r="A5" s="2" t="inlineStr">
        <is>
          <t>Research &amp; Dev.</t>
        </is>
      </c>
      <c r="B5" s="23" t="n">
        <v>13.832</v>
      </c>
      <c r="C5" s="23" t="n">
        <v>16.777</v>
      </c>
      <c r="D5" s="23" t="n">
        <v>34.504</v>
      </c>
      <c r="E5" s="23" t="n">
        <v>42.846</v>
      </c>
      <c r="F5" s="23" t="n">
        <v>30.067</v>
      </c>
      <c r="G5" s="23" t="n">
        <v>20.385</v>
      </c>
      <c r="H5" s="23" t="n">
        <v>14.048</v>
      </c>
      <c r="I5" s="23" t="n">
        <v>17.291</v>
      </c>
      <c r="J5" s="23" t="n">
        <v>23.264</v>
      </c>
      <c r="K5" s="23" t="n">
        <v>42.808</v>
      </c>
      <c r="L5" s="23" t="n">
        <v>42.293</v>
      </c>
      <c r="M5" s="23" t="n">
        <v>54.372</v>
      </c>
      <c r="N5" s="23" t="n">
        <v>60.219</v>
      </c>
    </row>
    <row r="6">
      <c r="A6" s="19" t="inlineStr">
        <is>
          <t>SG&amp;A &amp; Other</t>
        </is>
      </c>
      <c r="B6" s="23" t="n">
        <v>5.71</v>
      </c>
      <c r="C6" s="23" t="n">
        <v>6.777</v>
      </c>
      <c r="D6" s="23" t="n">
        <v>13.112</v>
      </c>
      <c r="E6" s="23" t="n">
        <v>15.094</v>
      </c>
      <c r="F6" s="23" t="n">
        <v>17.078</v>
      </c>
      <c r="G6" s="23" t="n">
        <v>12.435</v>
      </c>
      <c r="H6" s="23" t="n">
        <v>9.352</v>
      </c>
      <c r="I6" s="23" t="n">
        <v>9.074999999999999</v>
      </c>
      <c r="J6" s="23" t="n">
        <v>10.751</v>
      </c>
      <c r="K6" s="23" t="n">
        <v>13.982</v>
      </c>
      <c r="L6" s="23" t="n">
        <v>12.979</v>
      </c>
      <c r="M6" s="23" t="n">
        <v>13.777</v>
      </c>
      <c r="N6" s="23" t="n">
        <v>17.598</v>
      </c>
    </row>
    <row r="7">
      <c r="A7" s="2" t="inlineStr">
        <is>
          <t>Operating Expense</t>
        </is>
      </c>
      <c r="B7" s="23">
        <f>SUM(B5:B6)</f>
        <v>19.542</v>
      </c>
      <c r="C7" s="23">
        <f>SUM(C5:C6)</f>
        <v>23.554000000000002</v>
      </c>
      <c r="D7" s="23">
        <f>SUM(D5:D6)</f>
        <v>47.616</v>
      </c>
      <c r="E7" s="23">
        <f>SUM(E5:E6)</f>
        <v>57.94</v>
      </c>
      <c r="F7" s="23">
        <f>SUM(F5:F6)</f>
        <v>47.144999999999996</v>
      </c>
      <c r="G7" s="23">
        <f>SUM(G5:G6)</f>
        <v>32.82</v>
      </c>
      <c r="H7" s="23">
        <f>SUM(H5:H6)</f>
        <v>23.4</v>
      </c>
      <c r="I7" s="23">
        <f>SUM(I5:I6)</f>
        <v>26.366</v>
      </c>
      <c r="J7" s="23">
        <f>SUM(J5:J6)</f>
        <v>34.015</v>
      </c>
      <c r="K7" s="23">
        <f>SUM(K5:K6)</f>
        <v>56.79</v>
      </c>
      <c r="L7" s="23">
        <f>SUM(L5:L6)</f>
        <v>55.272</v>
      </c>
      <c r="M7" s="23">
        <f>SUM(M5:M6)</f>
        <v>68.149</v>
      </c>
      <c r="N7" s="23">
        <f>SUM(N5:N6)</f>
        <v>77.81700000000001</v>
      </c>
    </row>
    <row r="8">
      <c r="A8" s="2" t="inlineStr">
        <is>
          <t>Operating Income</t>
        </is>
      </c>
      <c r="B8" s="23">
        <f>B4-B7</f>
        <v>-19.542</v>
      </c>
      <c r="C8" s="23">
        <f>C4-C7</f>
        <v>-23.554000000000002</v>
      </c>
      <c r="D8" s="23">
        <f>D4-D7</f>
        <v>-47.616</v>
      </c>
      <c r="E8" s="23">
        <f>E4-E7</f>
        <v>-57.94</v>
      </c>
      <c r="F8" s="23">
        <f>F4-F7</f>
        <v>-47.144999999999996</v>
      </c>
      <c r="G8" s="23">
        <f>G4-G7</f>
        <v>-32.82</v>
      </c>
      <c r="H8" s="23">
        <f>H4-H7</f>
        <v>-22.977999999999998</v>
      </c>
      <c r="I8" s="23">
        <f>I4-I7</f>
        <v>-15.911</v>
      </c>
      <c r="J8" s="23">
        <f>J4-J7</f>
        <v>-34.015</v>
      </c>
      <c r="K8" s="23">
        <f>K4-K7</f>
        <v>-46.403999999999996</v>
      </c>
      <c r="L8" s="23">
        <f>L4-L7</f>
        <v>-54.919</v>
      </c>
      <c r="M8" s="23">
        <f>M4-M7</f>
        <v>-67.914</v>
      </c>
      <c r="N8" s="23">
        <f>N4-N7</f>
        <v>-77.62700000000001</v>
      </c>
    </row>
    <row r="9">
      <c r="A9" s="19" t="inlineStr">
        <is>
          <t>Interest &amp; Other</t>
        </is>
      </c>
      <c r="B9" s="23" t="n">
        <v>-0.472</v>
      </c>
      <c r="C9" s="23" t="n">
        <v>-0.796</v>
      </c>
      <c r="D9" s="23" t="n">
        <v>-0.357</v>
      </c>
      <c r="E9" s="23" t="n">
        <v>0.036</v>
      </c>
      <c r="F9" s="23" t="n">
        <v>-1.062</v>
      </c>
      <c r="G9" s="23" t="n">
        <v>-1.695</v>
      </c>
      <c r="H9" s="23" t="n">
        <v>6.754</v>
      </c>
      <c r="I9" s="23" t="n">
        <v>-0.313</v>
      </c>
      <c r="J9" s="23" t="n">
        <v>0.247</v>
      </c>
      <c r="K9" s="23" t="n">
        <v>1.066</v>
      </c>
      <c r="L9" s="23" t="n">
        <v>4.53</v>
      </c>
      <c r="M9" s="23" t="n">
        <v>3.891</v>
      </c>
      <c r="N9" s="23" t="n">
        <v>3.509</v>
      </c>
    </row>
    <row r="10">
      <c r="A10" s="2" t="inlineStr">
        <is>
          <t>Pretax</t>
        </is>
      </c>
      <c r="B10" s="23">
        <f>B8+B9</f>
        <v>-20.014000000000003</v>
      </c>
      <c r="C10" s="23">
        <f>C8+C9</f>
        <v>-24.35</v>
      </c>
      <c r="D10" s="23">
        <f>D8+D9</f>
        <v>-47.973</v>
      </c>
      <c r="E10" s="23">
        <f>E8+E9</f>
        <v>-57.903999999999996</v>
      </c>
      <c r="F10" s="23">
        <f>F8+F9</f>
        <v>-48.206999999999994</v>
      </c>
      <c r="G10" s="23">
        <f>G8+G9</f>
        <v>-34.515</v>
      </c>
      <c r="H10" s="23">
        <f>H8+H9</f>
        <v>-16.223999999999997</v>
      </c>
      <c r="I10" s="23">
        <f>I8+I9</f>
        <v>-16.224</v>
      </c>
      <c r="J10" s="23">
        <f>J8+J9</f>
        <v>-33.768</v>
      </c>
      <c r="K10" s="23">
        <f>K8+K9</f>
        <v>-45.337999999999994</v>
      </c>
      <c r="L10" s="23">
        <f>L8+L9</f>
        <v>-50.388999999999996</v>
      </c>
      <c r="M10" s="23">
        <f>M8+M9</f>
        <v>-64.023</v>
      </c>
      <c r="N10" s="23">
        <f>N8+N9</f>
        <v>-74.11800000000001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-0.049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-20.014</v>
      </c>
      <c r="C12" s="23" t="n">
        <v>-24.35</v>
      </c>
      <c r="D12" s="23" t="n">
        <v>-47.973</v>
      </c>
      <c r="E12" s="23" t="n">
        <v>-57.855</v>
      </c>
      <c r="F12" s="23" t="n">
        <v>-48.207</v>
      </c>
      <c r="G12" s="23" t="n">
        <v>-34.515</v>
      </c>
      <c r="H12" s="23" t="n">
        <v>-16.224</v>
      </c>
      <c r="I12" s="23" t="n">
        <v>-16.224</v>
      </c>
      <c r="J12" s="23" t="n">
        <v>-33.768</v>
      </c>
      <c r="K12" s="23" t="n">
        <v>-45.338</v>
      </c>
      <c r="L12" s="23" t="n">
        <v>-50.389</v>
      </c>
      <c r="M12" s="23" t="n">
        <v>-64.023</v>
      </c>
      <c r="N12" s="23" t="n">
        <v>-74.11799999999999</v>
      </c>
    </row>
    <row r="13">
      <c r="A13" s="2" t="inlineStr">
        <is>
          <t>Earnings per Share</t>
        </is>
      </c>
      <c r="B13" s="11">
        <f>IFERROR(B12/B14,0)</f>
        <v>-17.949775784753363</v>
      </c>
      <c r="C13" s="11">
        <f>IFERROR(C12/C14,0)</f>
        <v>-19.975389663658735</v>
      </c>
      <c r="D13" s="11">
        <f>IFERROR(D12/D14,0)</f>
        <v>-39.38669950738916</v>
      </c>
      <c r="E13" s="11">
        <f>IFERROR(E12/E14,0)</f>
        <v>-31.75356750823271</v>
      </c>
      <c r="F13" s="11">
        <f>IFERROR(F12/F14,0)</f>
        <v>-26.128455284552846</v>
      </c>
      <c r="G13" s="11">
        <f>IFERROR(G12/G14,0)</f>
        <v>-16.113445378151262</v>
      </c>
      <c r="H13" s="11">
        <f>IFERROR(H12/H14,0)</f>
        <v>-4.834326579261026</v>
      </c>
      <c r="I13" s="11">
        <f>IFERROR(I12/I14,0)</f>
        <v>-1.77117903930131</v>
      </c>
      <c r="J13" s="11">
        <f>IFERROR(J12/J14,0)</f>
        <v>-1.7697185682092134</v>
      </c>
      <c r="K13" s="11">
        <f>IFERROR(K12/K14,0)</f>
        <v>-1.5952850105559464</v>
      </c>
      <c r="L13" s="11">
        <f>IFERROR(L12/L14,0)</f>
        <v>-0.9399880610379435</v>
      </c>
      <c r="M13" s="11">
        <f>IFERROR(M12/M14,0)</f>
        <v>-0.8621349025733561</v>
      </c>
      <c r="N13" s="11">
        <f>IFERROR(N12/N14,0)</f>
        <v>-0.7970963058557832</v>
      </c>
    </row>
    <row r="14">
      <c r="A14" s="2" t="inlineStr">
        <is>
          <t>Shares</t>
        </is>
      </c>
      <c r="B14" s="23" t="n">
        <v>1.115</v>
      </c>
      <c r="C14" s="23" t="n">
        <v>1.219</v>
      </c>
      <c r="D14" s="23" t="n">
        <v>1.218</v>
      </c>
      <c r="E14" s="23" t="n">
        <v>1.822</v>
      </c>
      <c r="F14" s="23" t="n">
        <v>1.845</v>
      </c>
      <c r="G14" s="23" t="n">
        <v>2.142</v>
      </c>
      <c r="H14" s="23" t="n">
        <v>3.356</v>
      </c>
      <c r="I14" s="23" t="n">
        <v>9.16</v>
      </c>
      <c r="J14" s="23" t="n">
        <v>19.081</v>
      </c>
      <c r="K14" s="23" t="n">
        <v>28.42</v>
      </c>
      <c r="L14" s="23" t="n">
        <v>53.606</v>
      </c>
      <c r="M14" s="23" t="n">
        <v>74.261</v>
      </c>
      <c r="N14" s="23" t="n">
        <v>92.985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23.77488151658768</v>
      </c>
      <c r="J16" s="15">
        <f>IFERROR(J2/I2-1,"")</f>
        <v>-1.0</v>
      </c>
      <c r="K16" s="15">
        <f>IFERROR(K2/J2-1,"")</f>
        <v/>
      </c>
      <c r="L16" s="15">
        <f>IFERROR(L2/K2-1,"")</f>
        <v>-0.9660119391488542</v>
      </c>
      <c r="M16" s="15">
        <f>IFERROR(M2/L2-1,"")</f>
        <v>-0.3342776203966006</v>
      </c>
      <c r="N16" s="15">
        <f>IFERROR(N2/M2-1,"")</f>
        <v>-0.1914893617021276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15">
        <f>IFERROR(J4/J2,"")</f>
        <v/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-54.45023696682464</v>
      </c>
      <c r="I18" s="15">
        <f>IFERROR(I8/I2,"")</f>
        <v>-1.5218555714968913</v>
      </c>
      <c r="J18" s="15">
        <f>IFERROR(J8/J2,"")</f>
        <v/>
      </c>
      <c r="K18" s="15">
        <f>IFERROR(K8/K2,"")</f>
        <v>-4.46793760831889</v>
      </c>
      <c r="L18" s="15">
        <f>IFERROR(L8/L2,"")</f>
        <v>-155.57790368271955</v>
      </c>
      <c r="M18" s="15">
        <f>IFERROR(M8/M2,"")</f>
        <v>-288.9957446808511</v>
      </c>
      <c r="N18" s="15">
        <f>IFERROR(N8/N2,"")</f>
        <v>-408.5631578947369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2026-10-21T01:06:29Z</dcterms:modified>
  <cp:lastModifiedBy>Wang, Eric</cp:lastModifiedBy>
</cp:coreProperties>
</file>