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Relmada Therapeutics Inc</t>
        </is>
      </c>
      <c r="C2" s="10" t="n"/>
    </row>
    <row r="3">
      <c r="B3" t="inlineStr">
        <is>
          <t>Price</t>
        </is>
      </c>
      <c r="C3" s="11">
        <f>INDEX([1]Pharma!$F$1:$F$1000,MATCH("RLMD",[1]Pharma!$B$1:$B$1000,0))</f>
        <v>3.36</v>
      </c>
      <c r="F3" s="1" t="n"/>
    </row>
    <row r="4">
      <c r="B4" t="inlineStr">
        <is>
          <t>Shares</t>
        </is>
      </c>
      <c r="C4" s="21" t="n">
        <v>106.669846</v>
      </c>
      <c r="F4" s="1" t="n"/>
    </row>
    <row r="5">
      <c r="B5" t="inlineStr">
        <is>
          <t>Market Cap.</t>
        </is>
      </c>
      <c r="C5" s="13">
        <f>C3*C4</f>
        <v>358.41068256</v>
      </c>
      <c r="F5" s="1" t="n"/>
    </row>
    <row r="6"/>
    <row r="7">
      <c r="B7" t="inlineStr">
        <is>
          <t>Cash</t>
        </is>
      </c>
      <c r="C7" s="21">
        <f>11.33437+206.396805</f>
        <v>217.731175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140.67950756</v>
      </c>
    </row>
    <row r="10"/>
    <row r="11">
      <c r="B11" s="14" t="inlineStr">
        <is>
          <t>rNPV / Share</t>
        </is>
      </c>
      <c r="C11" s="11">
        <f>NPV!B27</f>
        <v>6.538683324754362</v>
      </c>
    </row>
    <row r="12">
      <c r="B12" s="14" t="inlineStr">
        <is>
          <t>Upside</t>
        </is>
      </c>
      <c r="C12" s="15">
        <f>IFERROR(C11/C3-1,"")</f>
        <v>0.9460367037959412</v>
      </c>
    </row>
    <row r="13">
      <c r="B13" s="14" t="inlineStr">
        <is>
          <t>Cash / Share</t>
        </is>
      </c>
      <c r="C13" s="11">
        <f>IFERROR((C7-C8)/C4,"")</f>
        <v>2.0411689260336985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-45.992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4.73410973647591</v>
      </c>
    </row>
    <row r="19">
      <c r="B19" s="14" t="inlineStr">
        <is>
          <t>Implied Pipeline Value</t>
        </is>
      </c>
      <c r="C19" s="13">
        <f>C9</f>
        <v>140.67950756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2005</v>
      </c>
      <c r="C1" s="17" t="n">
        <v>2006</v>
      </c>
      <c r="D1" s="17" t="n">
        <v>2007</v>
      </c>
      <c r="E1" s="17" t="n">
        <v>2008</v>
      </c>
      <c r="F1" s="17" t="n">
        <v>2009</v>
      </c>
      <c r="G1" s="17" t="n">
        <v>2010</v>
      </c>
      <c r="H1" s="17" t="n">
        <v>2011</v>
      </c>
      <c r="I1" s="17" t="n">
        <v>2012</v>
      </c>
      <c r="J1" s="17" t="n">
        <v>2013</v>
      </c>
      <c r="K1" s="17" t="n">
        <v>2015</v>
      </c>
      <c r="L1" s="17" t="n">
        <v>2016</v>
      </c>
      <c r="M1" s="17" t="n">
        <v>2017</v>
      </c>
      <c r="N1" s="17" t="n">
        <v>2018</v>
      </c>
      <c r="O1" s="17" t="n">
        <v>2019</v>
      </c>
      <c r="P1" s="17" t="n">
        <v>2020</v>
      </c>
      <c r="Q1" s="17" t="n">
        <v>2021</v>
      </c>
      <c r="R1" s="17" t="n">
        <v>2022</v>
      </c>
      <c r="S1" s="17" t="n">
        <v>2023</v>
      </c>
      <c r="T1" s="17" t="n">
        <v>2024</v>
      </c>
      <c r="U1" s="17" t="n">
        <v>2025</v>
      </c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0.008</v>
      </c>
      <c r="J2" s="23" t="n">
        <v>0.005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0</v>
      </c>
      <c r="S2" s="23" t="n">
        <v>0</v>
      </c>
      <c r="T2" s="23" t="n">
        <v>0</v>
      </c>
      <c r="U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0.006</v>
      </c>
      <c r="J3" s="23" t="n">
        <v>0.004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0.002</v>
      </c>
      <c r="J4" s="23">
        <f>J2-J3</f>
        <v>0.001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  <c r="P4" s="23">
        <f>P2-P3</f>
        <v>0.0</v>
      </c>
      <c r="Q4" s="23">
        <f>Q2-Q3</f>
        <v>0.0</v>
      </c>
      <c r="R4" s="23">
        <f>R2-R3</f>
        <v>0.0</v>
      </c>
      <c r="S4" s="23">
        <f>S2-S3</f>
        <v>0.0</v>
      </c>
      <c r="T4" s="23">
        <f>T2-T3</f>
        <v>0.0</v>
      </c>
      <c r="U4" s="23">
        <f>U2-U3</f>
        <v>0.0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-0.667</v>
      </c>
      <c r="J5" s="23" t="n">
        <v>5.249</v>
      </c>
      <c r="K5" s="23" t="n">
        <v>7.872</v>
      </c>
      <c r="L5" s="23" t="n">
        <v>6.207</v>
      </c>
      <c r="M5" s="23" t="n">
        <v>1.293</v>
      </c>
      <c r="N5" s="23" t="n">
        <v>2.943</v>
      </c>
      <c r="O5" s="23" t="n">
        <v>7.859</v>
      </c>
      <c r="P5" s="23" t="n">
        <v>35.973</v>
      </c>
      <c r="Q5" s="23" t="n">
        <v>90.622</v>
      </c>
      <c r="R5" s="23" t="n">
        <v>113.323</v>
      </c>
      <c r="S5" s="23" t="n">
        <v>54.807</v>
      </c>
      <c r="T5" s="23" t="n">
        <v>46.176</v>
      </c>
      <c r="U5" s="23" t="n">
        <v>26.879</v>
      </c>
    </row>
    <row r="6">
      <c r="A6" s="19" t="inlineStr">
        <is>
          <t>SG&amp;A &amp; Other</t>
        </is>
      </c>
      <c r="B6" s="23" t="n">
        <v>1.016</v>
      </c>
      <c r="C6" s="23" t="n">
        <v>1.028</v>
      </c>
      <c r="D6" s="23" t="n">
        <v>-0.217</v>
      </c>
      <c r="E6" s="23" t="n">
        <v>1.773</v>
      </c>
      <c r="F6" s="23" t="n">
        <v>1.141</v>
      </c>
      <c r="G6" s="23" t="n">
        <v>0.831</v>
      </c>
      <c r="H6" s="23" t="n">
        <v>0.874</v>
      </c>
      <c r="I6" s="23" t="n">
        <v>3.826</v>
      </c>
      <c r="J6" s="23" t="n">
        <v>1.526</v>
      </c>
      <c r="K6" s="23" t="n">
        <v>9.227</v>
      </c>
      <c r="L6" s="23" t="n">
        <v>10.009</v>
      </c>
      <c r="M6" s="23" t="n">
        <v>5.925</v>
      </c>
      <c r="N6" s="23" t="n">
        <v>3.975</v>
      </c>
      <c r="O6" s="23" t="n">
        <v>7.25</v>
      </c>
      <c r="P6" s="23" t="n">
        <v>24.866</v>
      </c>
      <c r="Q6" s="23" t="n">
        <v>35.082</v>
      </c>
      <c r="R6" s="23" t="n">
        <v>47.926</v>
      </c>
      <c r="S6" s="23" t="n">
        <v>48.895</v>
      </c>
      <c r="T6" s="23" t="n">
        <v>37.716</v>
      </c>
      <c r="U6" s="23" t="n">
        <v>32.221</v>
      </c>
    </row>
    <row r="7">
      <c r="A7" s="2" t="inlineStr">
        <is>
          <t>Operating Expense</t>
        </is>
      </c>
      <c r="B7" s="23">
        <f>SUM(B5:B6)</f>
        <v>1.016</v>
      </c>
      <c r="C7" s="23">
        <f>SUM(C5:C6)</f>
        <v>1.028</v>
      </c>
      <c r="D7" s="23">
        <f>SUM(D5:D6)</f>
        <v>-0.217</v>
      </c>
      <c r="E7" s="23">
        <f>SUM(E5:E6)</f>
        <v>1.773</v>
      </c>
      <c r="F7" s="23">
        <f>SUM(F5:F6)</f>
        <v>1.141</v>
      </c>
      <c r="G7" s="23">
        <f>SUM(G5:G6)</f>
        <v>0.831</v>
      </c>
      <c r="H7" s="23">
        <f>SUM(H5:H6)</f>
        <v>0.874</v>
      </c>
      <c r="I7" s="23">
        <f>SUM(I5:I6)</f>
        <v>3.159</v>
      </c>
      <c r="J7" s="23">
        <f>SUM(J5:J6)</f>
        <v>6.7749999999999995</v>
      </c>
      <c r="K7" s="23">
        <f>SUM(K5:K6)</f>
        <v>17.099</v>
      </c>
      <c r="L7" s="23">
        <f>SUM(L5:L6)</f>
        <v>16.216</v>
      </c>
      <c r="M7" s="23">
        <f>SUM(M5:M6)</f>
        <v>7.218</v>
      </c>
      <c r="N7" s="23">
        <f>SUM(N5:N6)</f>
        <v>6.918</v>
      </c>
      <c r="O7" s="23">
        <f>SUM(O5:O6)</f>
        <v>15.109</v>
      </c>
      <c r="P7" s="23">
        <f>SUM(P5:P6)</f>
        <v>60.839</v>
      </c>
      <c r="Q7" s="23">
        <f>SUM(Q5:Q6)</f>
        <v>125.70400000000001</v>
      </c>
      <c r="R7" s="23">
        <f>SUM(R5:R6)</f>
        <v>161.249</v>
      </c>
      <c r="S7" s="23">
        <f>SUM(S5:S6)</f>
        <v>103.702</v>
      </c>
      <c r="T7" s="23">
        <f>SUM(T5:T6)</f>
        <v>83.892</v>
      </c>
      <c r="U7" s="23">
        <f>SUM(U5:U6)</f>
        <v>59.099999999999994</v>
      </c>
    </row>
    <row r="8">
      <c r="A8" s="2" t="inlineStr">
        <is>
          <t>Operating Income</t>
        </is>
      </c>
      <c r="B8" s="23">
        <f>B4-B7</f>
        <v>-1.016</v>
      </c>
      <c r="C8" s="23">
        <f>C4-C7</f>
        <v>-1.028</v>
      </c>
      <c r="D8" s="23">
        <f>D4-D7</f>
        <v>0.217</v>
      </c>
      <c r="E8" s="23">
        <f>E4-E7</f>
        <v>-1.773</v>
      </c>
      <c r="F8" s="23">
        <f>F4-F7</f>
        <v>-1.141</v>
      </c>
      <c r="G8" s="23">
        <f>G4-G7</f>
        <v>-0.831</v>
      </c>
      <c r="H8" s="23">
        <f>H4-H7</f>
        <v>-0.874</v>
      </c>
      <c r="I8" s="23">
        <f>I4-I7</f>
        <v>-3.157</v>
      </c>
      <c r="J8" s="23">
        <f>J4-J7</f>
        <v>-6.773999999999999</v>
      </c>
      <c r="K8" s="23">
        <f>K4-K7</f>
        <v>-17.099</v>
      </c>
      <c r="L8" s="23">
        <f>L4-L7</f>
        <v>-16.216</v>
      </c>
      <c r="M8" s="23">
        <f>M4-M7</f>
        <v>-7.218</v>
      </c>
      <c r="N8" s="23">
        <f>N4-N7</f>
        <v>-6.918</v>
      </c>
      <c r="O8" s="23">
        <f>O4-O7</f>
        <v>-15.109</v>
      </c>
      <c r="P8" s="23">
        <f>P4-P7</f>
        <v>-60.839</v>
      </c>
      <c r="Q8" s="23">
        <f>Q4-Q7</f>
        <v>-125.70400000000001</v>
      </c>
      <c r="R8" s="23">
        <f>R4-R7</f>
        <v>-161.249</v>
      </c>
      <c r="S8" s="23">
        <f>S4-S7</f>
        <v>-103.702</v>
      </c>
      <c r="T8" s="23">
        <f>T4-T7</f>
        <v>-83.892</v>
      </c>
      <c r="U8" s="23">
        <f>U4-U7</f>
        <v>-59.099999999999994</v>
      </c>
    </row>
    <row r="9">
      <c r="A9" s="19" t="inlineStr">
        <is>
          <t>Interest &amp; Other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-3.703</v>
      </c>
      <c r="J9" s="23" t="n">
        <v>-13.098</v>
      </c>
      <c r="K9" s="23" t="n">
        <v>-3.704</v>
      </c>
      <c r="L9" s="23" t="n">
        <v>13.241</v>
      </c>
      <c r="M9" s="23" t="n">
        <v>0.9320000000000001</v>
      </c>
      <c r="N9" s="23" t="n">
        <v>-2.043</v>
      </c>
      <c r="O9" s="23" t="n">
        <v>0.104</v>
      </c>
      <c r="P9" s="23" t="n">
        <v>1.382</v>
      </c>
      <c r="Q9" s="23" t="n">
        <v>-0.048</v>
      </c>
      <c r="R9" s="23" t="n">
        <v>4.205</v>
      </c>
      <c r="S9" s="23" t="n">
        <v>103.702</v>
      </c>
      <c r="T9" s="23" t="n">
        <v>83.89100000000001</v>
      </c>
      <c r="U9" s="23" t="n">
        <v>59.1</v>
      </c>
    </row>
    <row r="10">
      <c r="A10" s="2" t="inlineStr">
        <is>
          <t>Pretax</t>
        </is>
      </c>
      <c r="B10" s="23">
        <f>B8+B9</f>
        <v>-1.016</v>
      </c>
      <c r="C10" s="23">
        <f>C8+C9</f>
        <v>-1.028</v>
      </c>
      <c r="D10" s="23">
        <f>D8+D9</f>
        <v>0.217</v>
      </c>
      <c r="E10" s="23">
        <f>E8+E9</f>
        <v>-1.773</v>
      </c>
      <c r="F10" s="23">
        <f>F8+F9</f>
        <v>-1.141</v>
      </c>
      <c r="G10" s="23">
        <f>G8+G9</f>
        <v>-0.831</v>
      </c>
      <c r="H10" s="23">
        <f>H8+H9</f>
        <v>-0.874</v>
      </c>
      <c r="I10" s="23">
        <f>I8+I9</f>
        <v>-6.859999999999999</v>
      </c>
      <c r="J10" s="23">
        <f>J8+J9</f>
        <v>-19.872</v>
      </c>
      <c r="K10" s="23">
        <f>K8+K9</f>
        <v>-20.803</v>
      </c>
      <c r="L10" s="23">
        <f>L8+L9</f>
        <v>-2.9750000000000014</v>
      </c>
      <c r="M10" s="23">
        <f>M8+M9</f>
        <v>-6.286</v>
      </c>
      <c r="N10" s="23">
        <f>N8+N9</f>
        <v>-8.961</v>
      </c>
      <c r="O10" s="23">
        <f>O8+O9</f>
        <v>-15.005</v>
      </c>
      <c r="P10" s="23">
        <f>P8+P9</f>
        <v>-59.457</v>
      </c>
      <c r="Q10" s="23">
        <f>Q8+Q9</f>
        <v>-125.75200000000001</v>
      </c>
      <c r="R10" s="23">
        <f>R8+R9</f>
        <v>-157.04399999999998</v>
      </c>
      <c r="S10" s="23">
        <f>S8+S9</f>
        <v>0.0</v>
      </c>
      <c r="T10" s="23">
        <f>T8+T9</f>
        <v>-0.000999999999990564</v>
      </c>
      <c r="U10" s="23">
        <f>U8+U9</f>
        <v>7.105427357601002e-15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0</v>
      </c>
      <c r="T11" s="23" t="n">
        <v>0</v>
      </c>
      <c r="U11" s="23" t="n">
        <v>0</v>
      </c>
    </row>
    <row r="12">
      <c r="A12" s="2" t="inlineStr">
        <is>
          <t>Net Income</t>
        </is>
      </c>
      <c r="B12" s="23" t="n">
        <v>-1.016</v>
      </c>
      <c r="C12" s="23" t="n">
        <v>-1.028</v>
      </c>
      <c r="D12" s="23" t="n">
        <v>0.217</v>
      </c>
      <c r="E12" s="23" t="n">
        <v>-1.773</v>
      </c>
      <c r="F12" s="23" t="n">
        <v>-1.141</v>
      </c>
      <c r="G12" s="23" t="n">
        <v>-0.831</v>
      </c>
      <c r="H12" s="23" t="n">
        <v>-0.874</v>
      </c>
      <c r="I12" s="23" t="n">
        <v>-6.86</v>
      </c>
      <c r="J12" s="23" t="n">
        <v>-19.872</v>
      </c>
      <c r="K12" s="23" t="n">
        <v>-20.804</v>
      </c>
      <c r="L12" s="23" t="n">
        <v>-2.975</v>
      </c>
      <c r="M12" s="23" t="n">
        <v>-6.287</v>
      </c>
      <c r="N12" s="23" t="n">
        <v>-8.961</v>
      </c>
      <c r="O12" s="23" t="n">
        <v>-15.005</v>
      </c>
      <c r="P12" s="23" t="n">
        <v>-59.456</v>
      </c>
      <c r="Q12" s="23" t="n">
        <v>-125.752</v>
      </c>
      <c r="R12" s="23" t="n">
        <v>-157.044</v>
      </c>
      <c r="S12" s="23" t="n">
        <v>0</v>
      </c>
      <c r="T12" s="23" t="n">
        <v>0</v>
      </c>
      <c r="U12" s="23" t="n">
        <v>0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0</v>
      </c>
      <c r="F13" s="11">
        <f>IFERROR(F12/F14,0)</f>
        <v>0</v>
      </c>
      <c r="G13" s="11">
        <f>IFERROR(G12/G14,0)</f>
        <v>0</v>
      </c>
      <c r="H13" s="11">
        <f>IFERROR(H12/H14,0)</f>
        <v>0</v>
      </c>
      <c r="I13" s="11">
        <f>IFERROR(I12/I14,0)</f>
        <v>-0.10554658050619278</v>
      </c>
      <c r="J13" s="11">
        <f>IFERROR(J12/J14,0)</f>
        <v>-0.27267488130848816</v>
      </c>
      <c r="K13" s="11">
        <f>IFERROR(K12/K14,0)</f>
        <v>-0.697582402843443</v>
      </c>
      <c r="L13" s="11">
        <f>IFERROR(L12/L14,0)</f>
        <v>-0.08549587608127138</v>
      </c>
      <c r="M13" s="11">
        <f>IFERROR(M12/M14,0)</f>
        <v>-0.17356375783342076</v>
      </c>
      <c r="N13" s="11">
        <f>IFERROR(N12/N14,0)</f>
        <v>-0.9523860133914337</v>
      </c>
      <c r="O13" s="11">
        <f>IFERROR(O12/O14,0)</f>
        <v>-1.6237420192619847</v>
      </c>
      <c r="P13" s="11">
        <f>IFERROR(P12/P14,0)</f>
        <v>-3.8127484930101323</v>
      </c>
      <c r="Q13" s="11">
        <f>IFERROR(Q12/Q14,0)</f>
        <v>-7.164131487495014</v>
      </c>
      <c r="R13" s="11">
        <f>IFERROR(R12/R14,0)</f>
        <v>-5.300347632387188</v>
      </c>
      <c r="S13" s="11">
        <f>IFERROR(S12/S14,0)</f>
        <v>0.0</v>
      </c>
      <c r="T13" s="11">
        <f>IFERROR(T12/T14,0)</f>
        <v>0.0</v>
      </c>
      <c r="U13" s="11">
        <f>IFERROR(U12/U14,0)</f>
        <v>0.0</v>
      </c>
    </row>
    <row r="14">
      <c r="A14" s="2" t="inlineStr">
        <is>
          <t>Shares</t>
        </is>
      </c>
      <c r="B14" s="23" t="n"/>
      <c r="C14" s="23" t="n"/>
      <c r="D14" s="23" t="n"/>
      <c r="E14" s="23" t="n"/>
      <c r="F14" s="23" t="n"/>
      <c r="G14" s="23" t="n"/>
      <c r="H14" s="23" t="n"/>
      <c r="I14" s="23" t="n">
        <v>64.995</v>
      </c>
      <c r="J14" s="23" t="n">
        <v>72.878</v>
      </c>
      <c r="K14" s="23" t="n">
        <v>29.823</v>
      </c>
      <c r="L14" s="23" t="n">
        <v>34.797</v>
      </c>
      <c r="M14" s="23" t="n">
        <v>36.223</v>
      </c>
      <c r="N14" s="23" t="n">
        <v>9.409000000000001</v>
      </c>
      <c r="O14" s="23" t="n">
        <v>9.241</v>
      </c>
      <c r="P14" s="23" t="n">
        <v>15.594</v>
      </c>
      <c r="Q14" s="23" t="n">
        <v>17.553</v>
      </c>
      <c r="R14" s="23" t="n">
        <v>29.629</v>
      </c>
      <c r="S14" s="23" t="n">
        <v>30.099</v>
      </c>
      <c r="T14" s="23" t="n">
        <v>30.164</v>
      </c>
      <c r="U14" s="23" t="n">
        <v>39.48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>-0.375</v>
      </c>
      <c r="K16" s="15">
        <f>IFERROR(K2/J2-1,"")</f>
        <v>-1.0</v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  <c r="P16" s="15">
        <f>IFERROR(P2/O2-1,"")</f>
        <v/>
      </c>
      <c r="Q16" s="15">
        <f>IFERROR(Q2/P2-1,"")</f>
        <v/>
      </c>
      <c r="R16" s="15">
        <f>IFERROR(R2/Q2-1,"")</f>
        <v/>
      </c>
      <c r="S16" s="15">
        <f>IFERROR(S2/R2-1,"")</f>
        <v/>
      </c>
      <c r="T16" s="15">
        <f>IFERROR(T2/S2-1,"")</f>
        <v/>
      </c>
      <c r="U16" s="15">
        <f>IFERROR(U2/T2-1,"")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>0.25</v>
      </c>
      <c r="J17" s="15">
        <f>IFERROR(J4/J2,"")</f>
        <v>0.2</v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  <c r="P17" s="15">
        <f>IFERROR(P4/P2,"")</f>
        <v/>
      </c>
      <c r="Q17" s="15">
        <f>IFERROR(Q4/Q2,"")</f>
        <v/>
      </c>
      <c r="R17" s="15">
        <f>IFERROR(R4/R2,"")</f>
        <v/>
      </c>
      <c r="S17" s="15">
        <f>IFERROR(S4/S2,"")</f>
        <v/>
      </c>
      <c r="T17" s="15">
        <f>IFERROR(T4/T2,"")</f>
        <v/>
      </c>
      <c r="U17" s="15">
        <f>IFERROR(U4/U2,"")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>-394.625</v>
      </c>
      <c r="J18" s="15">
        <f>IFERROR(J8/J2,"")</f>
        <v>-1354.7999999999997</v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  <c r="P18" s="15">
        <f>IFERROR(P8/P2,"")</f>
        <v/>
      </c>
      <c r="Q18" s="15">
        <f>IFERROR(Q8/Q2,"")</f>
        <v/>
      </c>
      <c r="R18" s="15">
        <f>IFERROR(R8/R2,"")</f>
        <v/>
      </c>
      <c r="S18" s="15">
        <f>IFERROR(S8/S2,"")</f>
        <v/>
      </c>
      <c r="T18" s="15">
        <f>IFERROR(T8/T2,"")</f>
        <v/>
      </c>
      <c r="U18" s="15">
        <f>IFERROR(U8/U2,"")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  <c r="S19" s="20" t="inlineStr">
        <is>
          <t>A</t>
        </is>
      </c>
      <c r="T19" s="20" t="inlineStr">
        <is>
          <t>A</t>
        </is>
      </c>
      <c r="U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Relmada Therapeutics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0.4388000000000001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65.133</v>
      </c>
    </row>
    <row r="19">
      <c r="A19" s="14" t="inlineStr">
        <is>
          <t>Years of full burn (until the first launch, max 4)</t>
        </is>
      </c>
      <c r="B19" s="39">
        <f>MIN(4,MAX(1,MIN(Pipeline!I4:I4)-2026))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429.7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479.74916829431584</v>
      </c>
      <c r="C29" s="42">
        <f>NPV!B25</f>
        <v>697.4803432943158</v>
      </c>
      <c r="D29" s="43">
        <f>NPV!B27</f>
        <v>6.538683324754362</v>
      </c>
      <c r="E29" s="44">
        <f>NPV!B29</f>
        <v>0.9460367037959412</v>
      </c>
    </row>
    <row r="30">
      <c r="A30" s="45" t="n">
        <v>1</v>
      </c>
      <c r="B30" s="46">
        <f t="dataTable" ref="B30:E32" r1="B4"/>
        <v>121.91372940681795</v>
      </c>
      <c r="C30" s="46">
        <v>339.64490440681794</v>
      </c>
      <c r="D30" s="47">
        <v>3.184076073446454</v>
      </c>
      <c r="E30" s="48">
        <v>-0.052358311474269614</v>
      </c>
    </row>
    <row r="31">
      <c r="A31" s="45" t="n">
        <v>2</v>
      </c>
      <c r="B31" s="46">
        <v>479.74916829431584</v>
      </c>
      <c r="C31" s="46">
        <v>697.4803432943158</v>
      </c>
      <c r="D31" s="47">
        <v>6.538683324754362</v>
      </c>
      <c r="E31" s="48">
        <v>0.9460367037959412</v>
      </c>
    </row>
    <row r="32">
      <c r="A32" s="45" t="n">
        <v>3</v>
      </c>
      <c r="B32" s="46">
        <v>1020.0178008843548</v>
      </c>
      <c r="C32" s="46">
        <v>1237.7489758843549</v>
      </c>
      <c r="D32" s="47">
        <v>11.603550790580075</v>
      </c>
      <c r="E32" s="48">
        <v>2.453437735291689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6.538683324754362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2.5612475144877904</v>
      </c>
      <c r="C37" s="47">
        <v>3.4861265799366543</v>
      </c>
      <c r="D37" s="47">
        <v>4.376859316250242</v>
      </c>
      <c r="E37" s="47">
        <v>6.115357697575328</v>
      </c>
      <c r="F37" s="47">
        <v>7.829741471113048</v>
      </c>
    </row>
    <row r="38">
      <c r="A38" s="50" t="n">
        <v>0.8</v>
      </c>
      <c r="B38" s="47">
        <v>3.1033456047946464</v>
      </c>
      <c r="C38" s="47">
        <v>4.299447866623238</v>
      </c>
      <c r="D38" s="47">
        <v>5.463033933008131</v>
      </c>
      <c r="E38" s="47">
        <v>7.754810427074064</v>
      </c>
      <c r="F38" s="47">
        <v>10.026168121668372</v>
      </c>
    </row>
    <row r="39">
      <c r="A39" s="50" t="n">
        <v>1</v>
      </c>
      <c r="B39" s="47">
        <v>3.6280098374636687</v>
      </c>
      <c r="C39" s="47">
        <v>5.098523292771996</v>
      </c>
      <c r="D39" s="47">
        <v>6.538683324754362</v>
      </c>
      <c r="E39" s="47">
        <v>9.386076833641127</v>
      </c>
      <c r="F39" s="47">
        <v>12.21596662753444</v>
      </c>
    </row>
    <row r="40">
      <c r="A40" s="50" t="n">
        <v>1.2</v>
      </c>
      <c r="B40" s="47">
        <v>4.143599600343499</v>
      </c>
      <c r="C40" s="47">
        <v>5.887936196489224</v>
      </c>
      <c r="D40" s="47">
        <v>7.604948338996097</v>
      </c>
      <c r="E40" s="47">
        <v>11.009897380728537</v>
      </c>
      <c r="F40" s="47">
        <v>14.398638800036576</v>
      </c>
    </row>
    <row r="41">
      <c r="A41" s="50" t="n">
        <v>1.4</v>
      </c>
      <c r="B41" s="47">
        <v>4.652745315639028</v>
      </c>
      <c r="C41" s="47">
        <v>6.674120251246576</v>
      </c>
      <c r="D41" s="47">
        <v>8.671213353237833</v>
      </c>
      <c r="E41" s="47">
        <v>12.633717927815944</v>
      </c>
      <c r="F41" s="47">
        <v>16.57612129267242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Relmada Therapeutics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Bladder / urothelial cancer</t>
        </is>
      </c>
      <c r="C4" s="14" t="inlineStr"/>
      <c r="D4" s="14" t="inlineStr">
        <is>
          <t>Phase 3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1200</v>
      </c>
      <c r="H4" s="27" t="n">
        <v>0.4388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755.3253622623151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52.656000000000006</v>
      </c>
      <c r="Q4" s="23">
        <f>IF(Q$3&lt;$I4,0,$G4*Assumptions!$E$11*INDEX(Assumptions!$B$24:$G$24,MIN(6,Q$3-$I4+1))*IF(Q$3&gt;$J4,(1-Assumptions!$B$26)^(Q$3-$J4),1)*IF($H4&gt;=1,1,MIN(0.97,$H4*Assumptions!$E$12)))</f>
        <v>131.64000000000001</v>
      </c>
      <c r="R4" s="23">
        <f>IF(R$3&lt;$I4,0,$G4*Assumptions!$E$11*INDEX(Assumptions!$B$24:$G$24,MIN(6,R$3-$I4+1))*IF(R$3&gt;$J4,(1-Assumptions!$B$26)^(R$3-$J4),1)*IF($H4&gt;=1,1,MIN(0.97,$H4*Assumptions!$E$12)))</f>
        <v>236.95200000000003</v>
      </c>
      <c r="S4" s="23">
        <f>IF(S$3&lt;$I4,0,$G4*Assumptions!$E$11*INDEX(Assumptions!$B$24:$G$24,MIN(6,S$3-$I4+1))*IF(S$3&gt;$J4,(1-Assumptions!$B$26)^(S$3-$J4),1)*IF($H4&gt;=1,1,MIN(0.97,$H4*Assumptions!$E$12)))</f>
        <v>342.264</v>
      </c>
      <c r="T4" s="23">
        <f>IF(T$3&lt;$I4,0,$G4*Assumptions!$E$11*INDEX(Assumptions!$B$24:$G$24,MIN(6,T$3-$I4+1))*IF(T$3&gt;$J4,(1-Assumptions!$B$26)^(T$3-$J4),1)*IF($H4&gt;=1,1,MIN(0.97,$H4*Assumptions!$E$12)))</f>
        <v>447.576</v>
      </c>
      <c r="U4" s="23">
        <f>IF(U$3&lt;$I4,0,$G4*Assumptions!$E$11*INDEX(Assumptions!$B$24:$G$24,MIN(6,U$3-$I4+1))*IF(U$3&gt;$J4,(1-Assumptions!$B$26)^(U$3-$J4),1)*IF($H4&gt;=1,1,MIN(0.97,$H4*Assumptions!$E$12)))</f>
        <v>526.5600000000001</v>
      </c>
      <c r="V4" s="23">
        <f>IF(V$3&lt;$I4,0,$G4*Assumptions!$E$11*INDEX(Assumptions!$B$24:$G$24,MIN(6,V$3-$I4+1))*IF(V$3&gt;$J4,(1-Assumptions!$B$26)^(V$3-$J4),1)*IF($H4&gt;=1,1,MIN(0.97,$H4*Assumptions!$E$12)))</f>
        <v>526.5600000000001</v>
      </c>
      <c r="W4" s="23">
        <f>IF(W$3&lt;$I4,0,$G4*Assumptions!$E$11*INDEX(Assumptions!$B$24:$G$24,MIN(6,W$3-$I4+1))*IF(W$3&gt;$J4,(1-Assumptions!$B$26)^(W$3-$J4),1)*IF($H4&gt;=1,1,MIN(0.97,$H4*Assumptions!$E$12)))</f>
        <v>526.5600000000001</v>
      </c>
      <c r="X4" s="23">
        <f>IF(X$3&lt;$I4,0,$G4*Assumptions!$E$11*INDEX(Assumptions!$B$24:$G$24,MIN(6,X$3-$I4+1))*IF(X$3&gt;$J4,(1-Assumptions!$B$26)^(X$3-$J4),1)*IF($H4&gt;=1,1,MIN(0.97,$H4*Assumptions!$E$12)))</f>
        <v>526.5600000000001</v>
      </c>
      <c r="Y4" s="23">
        <f>IF(Y$3&lt;$I4,0,$G4*Assumptions!$E$11*INDEX(Assumptions!$B$24:$G$24,MIN(6,Y$3-$I4+1))*IF(Y$3&gt;$J4,(1-Assumptions!$B$26)^(Y$3-$J4),1)*IF($H4&gt;=1,1,MIN(0.97,$H4*Assumptions!$E$12)))</f>
        <v>526.5600000000001</v>
      </c>
      <c r="Z4" s="23">
        <f>IF(Z$3&lt;$I4,0,$G4*Assumptions!$E$11*INDEX(Assumptions!$B$24:$G$24,MIN(6,Z$3-$I4+1))*IF(Z$3&gt;$J4,(1-Assumptions!$B$26)^(Z$3-$J4),1)*IF($H4&gt;=1,1,MIN(0.97,$H4*Assumptions!$E$12)))</f>
        <v>526.5600000000001</v>
      </c>
      <c r="AA4" s="23">
        <f>IF(AA$3&lt;$I4,0,$G4*Assumptions!$E$11*INDEX(Assumptions!$B$24:$G$24,MIN(6,AA$3-$I4+1))*IF(AA$3&gt;$J4,(1-Assumptions!$B$26)^(AA$3-$J4),1)*IF($H4&gt;=1,1,MIN(0.97,$H4*Assumptions!$E$12)))</f>
        <v>526.5600000000001</v>
      </c>
      <c r="AB4" s="23">
        <f>IF(AB$3&lt;$I4,0,$G4*Assumptions!$E$11*INDEX(Assumptions!$B$24:$G$24,MIN(6,AB$3-$I4+1))*IF(AB$3&gt;$J4,(1-Assumptions!$B$26)^(AB$3-$J4),1)*IF($H4&gt;=1,1,MIN(0.97,$H4*Assumptions!$E$12)))</f>
        <v>526.5600000000001</v>
      </c>
      <c r="AC4" s="23">
        <f>IF(AC$3&lt;$I4,0,$G4*Assumptions!$E$11*INDEX(Assumptions!$B$24:$G$24,MIN(6,AC$3-$I4+1))*IF(AC$3&gt;$J4,(1-Assumptions!$B$26)^(AC$3-$J4),1)*IF($H4&gt;=1,1,MIN(0.97,$H4*Assumptions!$E$12)))</f>
        <v>263.28000000000003</v>
      </c>
      <c r="AD4" s="23">
        <f>IF(AD$3&lt;$I4,0,$G4*Assumptions!$E$11*INDEX(Assumptions!$B$24:$G$24,MIN(6,AD$3-$I4+1))*IF(AD$3&gt;$J4,(1-Assumptions!$B$26)^(AD$3-$J4),1)*IF($H4&gt;=1,1,MIN(0.97,$H4*Assumptions!$E$12)))</f>
        <v>131.64000000000001</v>
      </c>
      <c r="AE4" s="23">
        <f>IF(AE$3&lt;$I4,0,$G4*Assumptions!$E$11*INDEX(Assumptions!$B$24:$G$24,MIN(6,AE$3-$I4+1))*IF(AE$3&gt;$J4,(1-Assumptions!$B$26)^(AE$3-$J4),1)*IF($H4&gt;=1,1,MIN(0.97,$H4*Assumptions!$E$12)))</f>
        <v>65.82000000000001</v>
      </c>
      <c r="AF4" s="23">
        <f>IF(AF$3&lt;$I4,0,$G4*Assumptions!$E$11*INDEX(Assumptions!$B$24:$G$24,MIN(6,AF$3-$I4+1))*IF(AF$3&gt;$J4,(1-Assumptions!$B$26)^(AF$3-$J4),1)*IF($H4&gt;=1,1,MIN(0.97,$H4*Assumptions!$E$12)))</f>
        <v>32.910000000000004</v>
      </c>
      <c r="AG4" s="35">
        <f>IF(F4="Owned",1-IF(H4&gt;=1,1,MIN(0.97,H4*Assumptions!$E$12)),1)</f>
        <v>0.5611999999999999</v>
      </c>
    </row>
    <row r="5">
      <c r="B5" s="24" t="inlineStr">
        <is>
          <t>Risked revenue</t>
        </is>
      </c>
      <c r="L5" s="54">
        <f>SUM(L4:L4)</f>
        <v>755.3253622623151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52.656000000000006</v>
      </c>
      <c r="Q5" s="54">
        <f>SUM(Q4:Q4)</f>
        <v>131.64000000000001</v>
      </c>
      <c r="R5" s="54">
        <f>SUM(R4:R4)</f>
        <v>236.95200000000003</v>
      </c>
      <c r="S5" s="54">
        <f>SUM(S4:S4)</f>
        <v>342.264</v>
      </c>
      <c r="T5" s="54">
        <f>SUM(T4:T4)</f>
        <v>447.576</v>
      </c>
      <c r="U5" s="54">
        <f>SUM(U4:U4)</f>
        <v>526.5600000000001</v>
      </c>
      <c r="V5" s="54">
        <f>SUM(V4:V4)</f>
        <v>526.5600000000001</v>
      </c>
      <c r="W5" s="54">
        <f>SUM(W4:W4)</f>
        <v>526.5600000000001</v>
      </c>
      <c r="X5" s="54">
        <f>SUM(X4:X4)</f>
        <v>526.5600000000001</v>
      </c>
      <c r="Y5" s="54">
        <f>SUM(Y4:Y4)</f>
        <v>526.5600000000001</v>
      </c>
      <c r="Z5" s="54">
        <f>SUM(Z4:Z4)</f>
        <v>526.5600000000001</v>
      </c>
      <c r="AA5" s="54">
        <f>SUM(AA4:AA4)</f>
        <v>526.5600000000001</v>
      </c>
      <c r="AB5" s="54">
        <f>SUM(AB4:AB4)</f>
        <v>526.5600000000001</v>
      </c>
      <c r="AC5" s="54">
        <f>SUM(AC4:AC4)</f>
        <v>263.28000000000003</v>
      </c>
      <c r="AD5" s="54">
        <f>SUM(AD4:AD4)</f>
        <v>131.64000000000001</v>
      </c>
      <c r="AE5" s="54">
        <f>SUM(AE4:AE4)</f>
        <v>65.82000000000001</v>
      </c>
      <c r="AF5" s="54">
        <f>SUM(AF4:AF4)</f>
        <v>32.910000000000004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21.062400000000004</v>
      </c>
      <c r="Q6" s="55">
        <f>SUMPRODUCT(Q4:Q4,$K$4:$K$4)</f>
        <v>52.656000000000006</v>
      </c>
      <c r="R6" s="55">
        <f>SUMPRODUCT(R4:R4,$K$4:$K$4)</f>
        <v>94.78080000000001</v>
      </c>
      <c r="S6" s="55">
        <f>SUMPRODUCT(S4:S4,$K$4:$K$4)</f>
        <v>136.90560000000002</v>
      </c>
      <c r="T6" s="55">
        <f>SUMPRODUCT(T4:T4,$K$4:$K$4)</f>
        <v>179.03040000000001</v>
      </c>
      <c r="U6" s="55">
        <f>SUMPRODUCT(U4:U4,$K$4:$K$4)</f>
        <v>210.62400000000002</v>
      </c>
      <c r="V6" s="55">
        <f>SUMPRODUCT(V4:V4,$K$4:$K$4)</f>
        <v>210.62400000000002</v>
      </c>
      <c r="W6" s="55">
        <f>SUMPRODUCT(W4:W4,$K$4:$K$4)</f>
        <v>210.62400000000002</v>
      </c>
      <c r="X6" s="55">
        <f>SUMPRODUCT(X4:X4,$K$4:$K$4)</f>
        <v>210.62400000000002</v>
      </c>
      <c r="Y6" s="55">
        <f>SUMPRODUCT(Y4:Y4,$K$4:$K$4)</f>
        <v>210.62400000000002</v>
      </c>
      <c r="Z6" s="55">
        <f>SUMPRODUCT(Z4:Z4,$K$4:$K$4)</f>
        <v>210.62400000000002</v>
      </c>
      <c r="AA6" s="55">
        <f>SUMPRODUCT(AA4:AA4,$K$4:$K$4)</f>
        <v>210.62400000000002</v>
      </c>
      <c r="AB6" s="55">
        <f>SUMPRODUCT(AB4:AB4,$K$4:$K$4)</f>
        <v>210.62400000000002</v>
      </c>
      <c r="AC6" s="55">
        <f>SUMPRODUCT(AC4:AC4,$K$4:$K$4)</f>
        <v>105.31200000000001</v>
      </c>
      <c r="AD6" s="55">
        <f>SUMPRODUCT(AD4:AD4,$K$4:$K$4)</f>
        <v>52.656000000000006</v>
      </c>
      <c r="AE6" s="55">
        <f>SUMPRODUCT(AE4:AE4,$K$4:$K$4)</f>
        <v>26.328000000000003</v>
      </c>
      <c r="AF6" s="55">
        <f>SUMPRODUCT(AF4:AF4,$K$4:$K$4)</f>
        <v>13.164000000000001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Relmada Therapeutics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52.656000000000006</v>
      </c>
      <c r="G4" s="57">
        <f>Pipeline!Q5</f>
        <v>131.64000000000001</v>
      </c>
      <c r="H4" s="57">
        <f>Pipeline!R5</f>
        <v>236.95200000000003</v>
      </c>
      <c r="I4" s="57">
        <f>Pipeline!S5</f>
        <v>342.264</v>
      </c>
      <c r="J4" s="57">
        <f>Pipeline!T5</f>
        <v>447.576</v>
      </c>
      <c r="K4" s="57">
        <f>Pipeline!U5</f>
        <v>526.5600000000001</v>
      </c>
      <c r="L4" s="57">
        <f>Pipeline!V5</f>
        <v>526.5600000000001</v>
      </c>
      <c r="M4" s="57">
        <f>Pipeline!W5</f>
        <v>526.5600000000001</v>
      </c>
      <c r="N4" s="57">
        <f>Pipeline!X5</f>
        <v>526.5600000000001</v>
      </c>
      <c r="O4" s="57">
        <f>Pipeline!Y5</f>
        <v>526.5600000000001</v>
      </c>
      <c r="P4" s="57">
        <f>Pipeline!Z5</f>
        <v>526.5600000000001</v>
      </c>
      <c r="Q4" s="57">
        <f>Pipeline!AA5</f>
        <v>526.5600000000001</v>
      </c>
      <c r="R4" s="57">
        <f>Pipeline!AB5</f>
        <v>526.5600000000001</v>
      </c>
      <c r="S4" s="57">
        <f>Pipeline!AC5</f>
        <v>263.28000000000003</v>
      </c>
      <c r="T4" s="57">
        <f>Pipeline!AD5</f>
        <v>131.64000000000001</v>
      </c>
      <c r="U4" s="57">
        <f>Pipeline!AE5</f>
        <v>65.82000000000001</v>
      </c>
      <c r="V4" s="57">
        <f>Pipeline!AF5</f>
        <v>32.910000000000004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21.062400000000004</v>
      </c>
      <c r="G5" s="57">
        <f>Pipeline!Q6</f>
        <v>52.656000000000006</v>
      </c>
      <c r="H5" s="57">
        <f>Pipeline!R6</f>
        <v>94.78080000000001</v>
      </c>
      <c r="I5" s="57">
        <f>Pipeline!S6</f>
        <v>136.90560000000002</v>
      </c>
      <c r="J5" s="57">
        <f>Pipeline!T6</f>
        <v>179.03040000000001</v>
      </c>
      <c r="K5" s="57">
        <f>Pipeline!U6</f>
        <v>210.62400000000002</v>
      </c>
      <c r="L5" s="57">
        <f>Pipeline!V6</f>
        <v>210.62400000000002</v>
      </c>
      <c r="M5" s="57">
        <f>Pipeline!W6</f>
        <v>210.62400000000002</v>
      </c>
      <c r="N5" s="57">
        <f>Pipeline!X6</f>
        <v>210.62400000000002</v>
      </c>
      <c r="O5" s="57">
        <f>Pipeline!Y6</f>
        <v>210.62400000000002</v>
      </c>
      <c r="P5" s="57">
        <f>Pipeline!Z6</f>
        <v>210.62400000000002</v>
      </c>
      <c r="Q5" s="57">
        <f>Pipeline!AA6</f>
        <v>210.62400000000002</v>
      </c>
      <c r="R5" s="57">
        <f>Pipeline!AB6</f>
        <v>210.62400000000002</v>
      </c>
      <c r="S5" s="57">
        <f>Pipeline!AC6</f>
        <v>105.31200000000001</v>
      </c>
      <c r="T5" s="57">
        <f>Pipeline!AD6</f>
        <v>52.656000000000006</v>
      </c>
      <c r="U5" s="57">
        <f>Pipeline!AE6</f>
        <v>26.328000000000003</v>
      </c>
      <c r="V5" s="57">
        <f>Pipeline!AF6</f>
        <v>13.164000000000001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-65.133</v>
      </c>
      <c r="D6" s="23">
        <f>-IF(D3-2026&lt;Assumptions!$B$19,Assumptions!$B$18,Assumptions!$B$18*Assumptions!$B$20*Assumptions!$B$16)</f>
        <v>-65.133</v>
      </c>
      <c r="E6" s="23">
        <f>-IF(E3-2026&lt;Assumptions!$B$19,Assumptions!$B$18,Assumptions!$B$18*Assumptions!$B$20*Assumptions!$B$16)</f>
        <v>-65.133</v>
      </c>
      <c r="F6" s="23">
        <f>-IF(F3-2026&lt;Assumptions!$B$19,Assumptions!$B$18,Assumptions!$B$18*Assumptions!$B$20*Assumptions!$B$16)</f>
        <v>-8.574108120000002</v>
      </c>
      <c r="G6" s="23">
        <f>-IF(G3-2026&lt;Assumptions!$B$19,Assumptions!$B$18,Assumptions!$B$18*Assumptions!$B$20*Assumptions!$B$16)</f>
        <v>-8.574108120000002</v>
      </c>
      <c r="H6" s="23">
        <f>-IF(H3-2026&lt;Assumptions!$B$19,Assumptions!$B$18,Assumptions!$B$18*Assumptions!$B$20*Assumptions!$B$16)</f>
        <v>-8.574108120000002</v>
      </c>
      <c r="I6" s="23">
        <f>-IF(I3-2026&lt;Assumptions!$B$19,Assumptions!$B$18,Assumptions!$B$18*Assumptions!$B$20*Assumptions!$B$16)</f>
        <v>-8.574108120000002</v>
      </c>
      <c r="J6" s="23">
        <f>-IF(J3-2026&lt;Assumptions!$B$19,Assumptions!$B$18,Assumptions!$B$18*Assumptions!$B$20*Assumptions!$B$16)</f>
        <v>-8.574108120000002</v>
      </c>
      <c r="K6" s="23">
        <f>-IF(K3-2026&lt;Assumptions!$B$19,Assumptions!$B$18,Assumptions!$B$18*Assumptions!$B$20*Assumptions!$B$16)</f>
        <v>-8.574108120000002</v>
      </c>
      <c r="L6" s="23">
        <f>-IF(L3-2026&lt;Assumptions!$B$19,Assumptions!$B$18,Assumptions!$B$18*Assumptions!$B$20*Assumptions!$B$16)</f>
        <v>-8.574108120000002</v>
      </c>
      <c r="M6" s="23">
        <f>-IF(M3-2026&lt;Assumptions!$B$19,Assumptions!$B$18,Assumptions!$B$18*Assumptions!$B$20*Assumptions!$B$16)</f>
        <v>-8.574108120000002</v>
      </c>
      <c r="N6" s="23">
        <f>-IF(N3-2026&lt;Assumptions!$B$19,Assumptions!$B$18,Assumptions!$B$18*Assumptions!$B$20*Assumptions!$B$16)</f>
        <v>-8.574108120000002</v>
      </c>
      <c r="O6" s="23">
        <f>-IF(O3-2026&lt;Assumptions!$B$19,Assumptions!$B$18,Assumptions!$B$18*Assumptions!$B$20*Assumptions!$B$16)</f>
        <v>-8.574108120000002</v>
      </c>
      <c r="P6" s="23">
        <f>-IF(P3-2026&lt;Assumptions!$B$19,Assumptions!$B$18,Assumptions!$B$18*Assumptions!$B$20*Assumptions!$B$16)</f>
        <v>-8.574108120000002</v>
      </c>
      <c r="Q6" s="23">
        <f>-IF(Q3-2026&lt;Assumptions!$B$19,Assumptions!$B$18,Assumptions!$B$18*Assumptions!$B$20*Assumptions!$B$16)</f>
        <v>-8.574108120000002</v>
      </c>
      <c r="R6" s="23">
        <f>-IF(R3-2026&lt;Assumptions!$B$19,Assumptions!$B$18,Assumptions!$B$18*Assumptions!$B$20*Assumptions!$B$16)</f>
        <v>-8.574108120000002</v>
      </c>
      <c r="S6" s="23">
        <f>-IF(S3-2026&lt;Assumptions!$B$19,Assumptions!$B$18,Assumptions!$B$18*Assumptions!$B$20*Assumptions!$B$16)</f>
        <v>-8.574108120000002</v>
      </c>
      <c r="T6" s="23">
        <f>-IF(T3-2026&lt;Assumptions!$B$19,Assumptions!$B$18,Assumptions!$B$18*Assumptions!$B$20*Assumptions!$B$16)</f>
        <v>-8.574108120000002</v>
      </c>
      <c r="U6" s="23">
        <f>-IF(U3-2026&lt;Assumptions!$B$19,Assumptions!$B$18,Assumptions!$B$18*Assumptions!$B$20*Assumptions!$B$16)</f>
        <v>-8.574108120000002</v>
      </c>
      <c r="V6" s="23">
        <f>-IF(V3-2026&lt;Assumptions!$B$19,Assumptions!$B$18,Assumptions!$B$18*Assumptions!$B$20*Assumptions!$B$16)</f>
        <v>-8.574108120000002</v>
      </c>
    </row>
    <row r="7">
      <c r="A7" s="14" t="inlineStr">
        <is>
          <t>Pre-tax cash flow</t>
        </is>
      </c>
      <c r="C7" s="23">
        <f>C5+C6</f>
        <v>-65.133</v>
      </c>
      <c r="D7" s="23">
        <f>D5+D6</f>
        <v>-65.133</v>
      </c>
      <c r="E7" s="23">
        <f>E5+E6</f>
        <v>-65.133</v>
      </c>
      <c r="F7" s="23">
        <f>F5+F6</f>
        <v>12.488291880000002</v>
      </c>
      <c r="G7" s="23">
        <f>G5+G6</f>
        <v>44.08189188</v>
      </c>
      <c r="H7" s="23">
        <f>H5+H6</f>
        <v>86.20669188000001</v>
      </c>
      <c r="I7" s="23">
        <f>I5+I6</f>
        <v>128.33149188000002</v>
      </c>
      <c r="J7" s="23">
        <f>J5+J6</f>
        <v>170.45629188</v>
      </c>
      <c r="K7" s="23">
        <f>K5+K6</f>
        <v>202.04989188000002</v>
      </c>
      <c r="L7" s="23">
        <f>L5+L6</f>
        <v>202.04989188000002</v>
      </c>
      <c r="M7" s="23">
        <f>M5+M6</f>
        <v>202.04989188000002</v>
      </c>
      <c r="N7" s="23">
        <f>N5+N6</f>
        <v>202.04989188000002</v>
      </c>
      <c r="O7" s="23">
        <f>O5+O6</f>
        <v>202.04989188000002</v>
      </c>
      <c r="P7" s="23">
        <f>P5+P6</f>
        <v>202.04989188000002</v>
      </c>
      <c r="Q7" s="23">
        <f>Q5+Q6</f>
        <v>202.04989188000002</v>
      </c>
      <c r="R7" s="23">
        <f>R5+R6</f>
        <v>202.04989188000002</v>
      </c>
      <c r="S7" s="23">
        <f>S5+S6</f>
        <v>96.73789188</v>
      </c>
      <c r="T7" s="23">
        <f>T5+T6</f>
        <v>44.08189188</v>
      </c>
      <c r="U7" s="23">
        <f>U5+U6</f>
        <v>17.75389188</v>
      </c>
      <c r="V7" s="23">
        <f>V5+V6</f>
        <v>4.58989188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12.488291880000002</v>
      </c>
      <c r="G8" s="23">
        <f>MIN(F17,MAX(0,G7))</f>
        <v>44.08189188</v>
      </c>
      <c r="H8" s="23">
        <f>MIN(G17,MAX(0,H7))</f>
        <v>86.20669188000001</v>
      </c>
      <c r="I8" s="23">
        <f>MIN(H17,MAX(0,I7))</f>
        <v>128.33149188000002</v>
      </c>
      <c r="J8" s="23">
        <f>MIN(I17,MAX(0,J7))</f>
        <v>170.45629188</v>
      </c>
      <c r="K8" s="23">
        <f>MIN(J17,MAX(0,K7))</f>
        <v>183.53434059999992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18.515551280000096</v>
      </c>
      <c r="L9" s="23">
        <f>MAX(0,L7)-L8</f>
        <v>202.04989188000002</v>
      </c>
      <c r="M9" s="23">
        <f>MAX(0,M7)-M8</f>
        <v>202.04989188000002</v>
      </c>
      <c r="N9" s="23">
        <f>MAX(0,N7)-N8</f>
        <v>202.04989188000002</v>
      </c>
      <c r="O9" s="23">
        <f>MAX(0,O7)-O8</f>
        <v>202.04989188000002</v>
      </c>
      <c r="P9" s="23">
        <f>MAX(0,P7)-P8</f>
        <v>202.04989188000002</v>
      </c>
      <c r="Q9" s="23">
        <f>MAX(0,Q7)-Q8</f>
        <v>202.04989188000002</v>
      </c>
      <c r="R9" s="23">
        <f>MAX(0,R7)-R8</f>
        <v>202.04989188000002</v>
      </c>
      <c r="S9" s="23">
        <f>MAX(0,S7)-S8</f>
        <v>96.73789188</v>
      </c>
      <c r="T9" s="23">
        <f>MAX(0,T7)-T8</f>
        <v>44.08189188</v>
      </c>
      <c r="U9" s="23">
        <f>MAX(0,U7)-U8</f>
        <v>17.75389188</v>
      </c>
      <c r="V9" s="23">
        <f>MAX(0,V7)-V8</f>
        <v>4.58989188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3.88826576880002</v>
      </c>
      <c r="L10" s="23">
        <f>L9*Assumptions!$E$15</f>
        <v>42.4304772948</v>
      </c>
      <c r="M10" s="23">
        <f>M9*Assumptions!$E$15</f>
        <v>42.4304772948</v>
      </c>
      <c r="N10" s="23">
        <f>N9*Assumptions!$E$15</f>
        <v>42.4304772948</v>
      </c>
      <c r="O10" s="23">
        <f>O9*Assumptions!$E$15</f>
        <v>42.4304772948</v>
      </c>
      <c r="P10" s="23">
        <f>P9*Assumptions!$E$15</f>
        <v>42.4304772948</v>
      </c>
      <c r="Q10" s="23">
        <f>Q9*Assumptions!$E$15</f>
        <v>42.4304772948</v>
      </c>
      <c r="R10" s="23">
        <f>R9*Assumptions!$E$15</f>
        <v>42.4304772948</v>
      </c>
      <c r="S10" s="23">
        <f>S9*Assumptions!$E$15</f>
        <v>20.3149572948</v>
      </c>
      <c r="T10" s="23">
        <f>T9*Assumptions!$E$15</f>
        <v>9.2571972948</v>
      </c>
      <c r="U10" s="23">
        <f>U9*Assumptions!$E$15</f>
        <v>3.7283172948</v>
      </c>
      <c r="V10" s="23">
        <f>V9*Assumptions!$E$15</f>
        <v>0.9638772948</v>
      </c>
    </row>
    <row r="11">
      <c r="A11" s="24" t="inlineStr">
        <is>
          <t>Free cash flow</t>
        </is>
      </c>
      <c r="C11" s="55">
        <f>C7-C10</f>
        <v>-65.133</v>
      </c>
      <c r="D11" s="55">
        <f>D7-D10</f>
        <v>-65.133</v>
      </c>
      <c r="E11" s="55">
        <f>E7-E10</f>
        <v>-65.133</v>
      </c>
      <c r="F11" s="55">
        <f>F7-F10</f>
        <v>12.488291880000002</v>
      </c>
      <c r="G11" s="55">
        <f>G7-G10</f>
        <v>44.08189188</v>
      </c>
      <c r="H11" s="55">
        <f>H7-H10</f>
        <v>86.20669188000001</v>
      </c>
      <c r="I11" s="55">
        <f>I7-I10</f>
        <v>128.33149188000002</v>
      </c>
      <c r="J11" s="55">
        <f>J7-J10</f>
        <v>170.45629188</v>
      </c>
      <c r="K11" s="55">
        <f>K7-K10</f>
        <v>198.1616261112</v>
      </c>
      <c r="L11" s="55">
        <f>L7-L10</f>
        <v>159.61941458520002</v>
      </c>
      <c r="M11" s="55">
        <f>M7-M10</f>
        <v>159.61941458520002</v>
      </c>
      <c r="N11" s="55">
        <f>N7-N10</f>
        <v>159.61941458520002</v>
      </c>
      <c r="O11" s="55">
        <f>O7-O10</f>
        <v>159.61941458520002</v>
      </c>
      <c r="P11" s="55">
        <f>P7-P10</f>
        <v>159.61941458520002</v>
      </c>
      <c r="Q11" s="55">
        <f>Q7-Q10</f>
        <v>159.61941458520002</v>
      </c>
      <c r="R11" s="55">
        <f>R7-R10</f>
        <v>159.61941458520002</v>
      </c>
      <c r="S11" s="55">
        <f>S7-S10</f>
        <v>76.42293458520001</v>
      </c>
      <c r="T11" s="55">
        <f>T7-T10</f>
        <v>34.8246945852</v>
      </c>
      <c r="U11" s="55">
        <f>U7-U10</f>
        <v>14.025574585200001</v>
      </c>
      <c r="V11" s="55">
        <f>V7-V10</f>
        <v>3.6260145851999996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-31.90893996437193</v>
      </c>
      <c r="D16" s="55">
        <f>D11*D15</f>
        <v>-58.12744922961379</v>
      </c>
      <c r="E16" s="55">
        <f>E11*E15</f>
        <v>-51.89950824072658</v>
      </c>
      <c r="F16" s="55">
        <f>F11*F15</f>
        <v>8.884790233317364</v>
      </c>
      <c r="G16" s="55">
        <f>G11*G15</f>
        <v>28.00182521564292</v>
      </c>
      <c r="H16" s="55">
        <f>H11*H15</f>
        <v>48.893268696155154</v>
      </c>
      <c r="I16" s="55">
        <f>I11*I15</f>
        <v>64.98652476382702</v>
      </c>
      <c r="J16" s="55">
        <f>J11*J15</f>
        <v>77.06995119165924</v>
      </c>
      <c r="K16" s="55">
        <f>K11*K15</f>
        <v>79.99697817382838</v>
      </c>
      <c r="L16" s="55">
        <f>L11*L15</f>
        <v>57.5336220095248</v>
      </c>
      <c r="M16" s="55">
        <f>M11*M15</f>
        <v>51.369305365647136</v>
      </c>
      <c r="N16" s="55">
        <f>N11*N15</f>
        <v>45.86545121932779</v>
      </c>
      <c r="O16" s="55">
        <f>O11*O15</f>
        <v>40.951295731542665</v>
      </c>
      <c r="P16" s="55">
        <f>P11*P15</f>
        <v>36.56365690316309</v>
      </c>
      <c r="Q16" s="55">
        <f>Q11*Q15</f>
        <v>32.646122234967045</v>
      </c>
      <c r="R16" s="55">
        <f>R11*R15</f>
        <v>29.148323424077716</v>
      </c>
      <c r="S16" s="55">
        <f>S11*S15</f>
        <v>12.460445031161912</v>
      </c>
      <c r="T16" s="55">
        <f>T11*T15</f>
        <v>5.069663536601685</v>
      </c>
      <c r="U16" s="55">
        <f>U11*U15</f>
        <v>1.8230327056041746</v>
      </c>
      <c r="V16" s="55">
        <f>V11*V15</f>
        <v>0.42080929298004655</v>
      </c>
    </row>
    <row r="17">
      <c r="A17" s="14" t="inlineStr">
        <is>
          <t>Tax-loss carryforward, end of year</t>
        </is>
      </c>
      <c r="C17" s="23">
        <f>Assumptions!$B$21-C8+MAX(0,-C7)</f>
        <v>494.83299999999997</v>
      </c>
      <c r="D17" s="23">
        <f>C17-D8+MAX(0,-D7)</f>
        <v>559.966</v>
      </c>
      <c r="E17" s="23">
        <f>D17-E8+MAX(0,-E7)</f>
        <v>625.099</v>
      </c>
      <c r="F17" s="23">
        <f>E17-F8+MAX(0,-F7)</f>
        <v>612.61070812</v>
      </c>
      <c r="G17" s="23">
        <f>F17-G8+MAX(0,-G7)</f>
        <v>568.52881624</v>
      </c>
      <c r="H17" s="23">
        <f>G17-H8+MAX(0,-H7)</f>
        <v>482.32212436</v>
      </c>
      <c r="I17" s="23">
        <f>H17-I8+MAX(0,-I7)</f>
        <v>353.99063247999993</v>
      </c>
      <c r="J17" s="23">
        <f>I17-J8+MAX(0,-J7)</f>
        <v>183.53434059999992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755.325362262315</v>
      </c>
    </row>
    <row r="20">
      <c r="A20" s="14" t="inlineStr">
        <is>
          <t>PV of corporate burn</t>
        </is>
      </c>
      <c r="B20" s="23">
        <f>SUMPRODUCT(C6:V6,C15:V15)</f>
        <v>-190.57757794419047</v>
      </c>
    </row>
    <row r="21">
      <c r="A21" s="14" t="inlineStr">
        <is>
          <t>PV of taxes</t>
        </is>
      </c>
      <c r="B21" s="23">
        <f>-SUMPRODUCT(C10:V10,C15:V15)</f>
        <v>-84.99861602380881</v>
      </c>
    </row>
    <row r="22">
      <c r="A22" s="24" t="inlineStr">
        <is>
          <t>Pipeline rNPV (operations)</t>
        </is>
      </c>
      <c r="B22" s="54">
        <f>SUM(C16:V16)</f>
        <v>479.74916829431584</v>
      </c>
    </row>
    <row r="23">
      <c r="A23" s="14" t="inlineStr">
        <is>
          <t>Cash &amp; investments</t>
        </is>
      </c>
      <c r="B23" s="57">
        <f>Main!C7</f>
        <v>217.731175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697.4803432943158</v>
      </c>
    </row>
    <row r="26">
      <c r="A26" s="14" t="inlineStr">
        <is>
          <t>Shares (mm)</t>
        </is>
      </c>
      <c r="B26" s="57">
        <f>Main!C4</f>
        <v>106.669846</v>
      </c>
    </row>
    <row r="27">
      <c r="A27" s="24" t="inlineStr">
        <is>
          <t>rNPV / share</t>
        </is>
      </c>
      <c r="B27" s="60">
        <f>B25/B26</f>
        <v>6.538683324754362</v>
      </c>
    </row>
    <row r="28">
      <c r="A28" s="14" t="inlineStr">
        <is>
          <t>Price</t>
        </is>
      </c>
      <c r="B28" s="61">
        <f>Main!C3</f>
        <v>3.36</v>
      </c>
    </row>
    <row r="29">
      <c r="A29" s="14" t="inlineStr">
        <is>
          <t>Upside</t>
        </is>
      </c>
      <c r="B29" s="62">
        <f>B27/B28-1</f>
        <v>0.9460367037959412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2026-10-21T06:25:52Z</dcterms:modified>
  <cp:lastModifiedBy>Wang, Eric</cp:lastModifiedBy>
</cp:coreProperties>
</file>