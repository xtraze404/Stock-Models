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Relmada Therapeutics Inc</t>
        </is>
      </c>
      <c r="C2" s="10" t="n"/>
    </row>
    <row r="3">
      <c r="B3" t="inlineStr">
        <is>
          <t>Price</t>
        </is>
      </c>
      <c r="C3" s="11">
        <f>INDEX([1]Pharma!$F$1:$F$1000,MATCH("RLMD",[1]Pharma!$B$1:$B$1000,0))</f>
        <v>3.36</v>
      </c>
      <c r="F3" s="1" t="n"/>
    </row>
    <row r="4">
      <c r="B4" t="inlineStr">
        <is>
          <t>Shares</t>
        </is>
      </c>
      <c r="C4" s="21" t="n">
        <v>106.669846</v>
      </c>
      <c r="F4" s="1" t="n"/>
    </row>
    <row r="5">
      <c r="B5" t="inlineStr">
        <is>
          <t>Market Cap.</t>
        </is>
      </c>
      <c r="C5" s="13">
        <f>C3*C4</f>
        <v>358.41068256</v>
      </c>
      <c r="F5" s="1" t="n"/>
    </row>
    <row r="6"/>
    <row r="7">
      <c r="B7" t="inlineStr">
        <is>
          <t>Cash</t>
        </is>
      </c>
      <c r="C7" s="21">
        <f>11.33437+206.396805</f>
        <v>217.731175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140.67950756</v>
      </c>
    </row>
    <row r="10"/>
    <row r="11">
      <c r="B11" s="14" t="inlineStr">
        <is>
          <t>Net Cash / Share</t>
        </is>
      </c>
      <c r="C11" s="11">
        <f>(C7-C8)/C4</f>
        <v>2.0411689260336985</v>
      </c>
    </row>
    <row r="12">
      <c r="B12" s="14" t="inlineStr">
        <is>
          <t>Upside</t>
        </is>
      </c>
      <c r="C12" s="15">
        <f>IFERROR(C11/C3-1,"")</f>
        <v>-0.39250924820425637</v>
      </c>
    </row>
    <row r="13">
      <c r="B13" s="14" t="inlineStr">
        <is>
          <t>Cash / Share</t>
        </is>
      </c>
      <c r="C13" s="11">
        <f>IFERROR((C7-C8)/C4,"")</f>
        <v>2.0411689260336985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-45.992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4.73410973647591</v>
      </c>
    </row>
    <row r="19">
      <c r="B19" s="14" t="inlineStr">
        <is>
          <t>Implied Pipeline Value</t>
        </is>
      </c>
      <c r="C19" s="13">
        <f>C9</f>
        <v>140.67950756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2005</v>
      </c>
      <c r="C1" s="17" t="n">
        <v>2006</v>
      </c>
      <c r="D1" s="17" t="n">
        <v>2007</v>
      </c>
      <c r="E1" s="17" t="n">
        <v>2008</v>
      </c>
      <c r="F1" s="17" t="n">
        <v>2009</v>
      </c>
      <c r="G1" s="17" t="n">
        <v>2010</v>
      </c>
      <c r="H1" s="17" t="n">
        <v>2011</v>
      </c>
      <c r="I1" s="17" t="n">
        <v>2012</v>
      </c>
      <c r="J1" s="17" t="n">
        <v>2013</v>
      </c>
      <c r="K1" s="17" t="n">
        <v>2015</v>
      </c>
      <c r="L1" s="17" t="n">
        <v>2016</v>
      </c>
      <c r="M1" s="17" t="n">
        <v>2017</v>
      </c>
      <c r="N1" s="17" t="n">
        <v>2018</v>
      </c>
      <c r="O1" s="17" t="n">
        <v>2019</v>
      </c>
      <c r="P1" s="17" t="n">
        <v>2020</v>
      </c>
      <c r="Q1" s="17" t="n">
        <v>2021</v>
      </c>
      <c r="R1" s="17" t="n">
        <v>2022</v>
      </c>
      <c r="S1" s="17" t="n">
        <v>2023</v>
      </c>
      <c r="T1" s="17" t="n">
        <v>2024</v>
      </c>
      <c r="U1" s="17" t="n">
        <v>2025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0.008</v>
      </c>
      <c r="J2" s="23" t="n">
        <v>0.005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0.006</v>
      </c>
      <c r="J3" s="23" t="n">
        <v>0.004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0.002</v>
      </c>
      <c r="J4" s="23">
        <f>J2-J3</f>
        <v>0.001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-0.667</v>
      </c>
      <c r="J5" s="23" t="n">
        <v>5.249</v>
      </c>
      <c r="K5" s="23" t="n">
        <v>7.872</v>
      </c>
      <c r="L5" s="23" t="n">
        <v>6.207</v>
      </c>
      <c r="M5" s="23" t="n">
        <v>1.293</v>
      </c>
      <c r="N5" s="23" t="n">
        <v>2.943</v>
      </c>
      <c r="O5" s="23" t="n">
        <v>7.859</v>
      </c>
      <c r="P5" s="23" t="n">
        <v>35.973</v>
      </c>
      <c r="Q5" s="23" t="n">
        <v>90.622</v>
      </c>
      <c r="R5" s="23" t="n">
        <v>113.323</v>
      </c>
      <c r="S5" s="23" t="n">
        <v>54.807</v>
      </c>
      <c r="T5" s="23" t="n">
        <v>46.176</v>
      </c>
      <c r="U5" s="23" t="n">
        <v>26.879</v>
      </c>
    </row>
    <row r="6">
      <c r="A6" s="19" t="inlineStr">
        <is>
          <t>SG&amp;A &amp; Other</t>
        </is>
      </c>
      <c r="B6" s="23" t="n">
        <v>1.016</v>
      </c>
      <c r="C6" s="23" t="n">
        <v>1.028</v>
      </c>
      <c r="D6" s="23" t="n">
        <v>-0.217</v>
      </c>
      <c r="E6" s="23" t="n">
        <v>1.773</v>
      </c>
      <c r="F6" s="23" t="n">
        <v>1.141</v>
      </c>
      <c r="G6" s="23" t="n">
        <v>0.831</v>
      </c>
      <c r="H6" s="23" t="n">
        <v>0.874</v>
      </c>
      <c r="I6" s="23" t="n">
        <v>3.826</v>
      </c>
      <c r="J6" s="23" t="n">
        <v>1.526</v>
      </c>
      <c r="K6" s="23" t="n">
        <v>9.227</v>
      </c>
      <c r="L6" s="23" t="n">
        <v>10.009</v>
      </c>
      <c r="M6" s="23" t="n">
        <v>5.925</v>
      </c>
      <c r="N6" s="23" t="n">
        <v>3.975</v>
      </c>
      <c r="O6" s="23" t="n">
        <v>7.25</v>
      </c>
      <c r="P6" s="23" t="n">
        <v>24.866</v>
      </c>
      <c r="Q6" s="23" t="n">
        <v>35.082</v>
      </c>
      <c r="R6" s="23" t="n">
        <v>47.926</v>
      </c>
      <c r="S6" s="23" t="n">
        <v>48.895</v>
      </c>
      <c r="T6" s="23" t="n">
        <v>37.716</v>
      </c>
      <c r="U6" s="23" t="n">
        <v>32.221</v>
      </c>
    </row>
    <row r="7">
      <c r="A7" s="2" t="inlineStr">
        <is>
          <t>Operating Expense</t>
        </is>
      </c>
      <c r="B7" s="23">
        <f>SUM(B5:B6)</f>
        <v>1.016</v>
      </c>
      <c r="C7" s="23">
        <f>SUM(C5:C6)</f>
        <v>1.028</v>
      </c>
      <c r="D7" s="23">
        <f>SUM(D5:D6)</f>
        <v>-0.217</v>
      </c>
      <c r="E7" s="23">
        <f>SUM(E5:E6)</f>
        <v>1.773</v>
      </c>
      <c r="F7" s="23">
        <f>SUM(F5:F6)</f>
        <v>1.141</v>
      </c>
      <c r="G7" s="23">
        <f>SUM(G5:G6)</f>
        <v>0.831</v>
      </c>
      <c r="H7" s="23">
        <f>SUM(H5:H6)</f>
        <v>0.874</v>
      </c>
      <c r="I7" s="23">
        <f>SUM(I5:I6)</f>
        <v>3.159</v>
      </c>
      <c r="J7" s="23">
        <f>SUM(J5:J6)</f>
        <v>6.7749999999999995</v>
      </c>
      <c r="K7" s="23">
        <f>SUM(K5:K6)</f>
        <v>17.099</v>
      </c>
      <c r="L7" s="23">
        <f>SUM(L5:L6)</f>
        <v>16.216</v>
      </c>
      <c r="M7" s="23">
        <f>SUM(M5:M6)</f>
        <v>7.218</v>
      </c>
      <c r="N7" s="23">
        <f>SUM(N5:N6)</f>
        <v>6.918</v>
      </c>
      <c r="O7" s="23">
        <f>SUM(O5:O6)</f>
        <v>15.109</v>
      </c>
      <c r="P7" s="23">
        <f>SUM(P5:P6)</f>
        <v>60.839</v>
      </c>
      <c r="Q7" s="23">
        <f>SUM(Q5:Q6)</f>
        <v>125.70400000000001</v>
      </c>
      <c r="R7" s="23">
        <f>SUM(R5:R6)</f>
        <v>161.249</v>
      </c>
      <c r="S7" s="23">
        <f>SUM(S5:S6)</f>
        <v>103.702</v>
      </c>
      <c r="T7" s="23">
        <f>SUM(T5:T6)</f>
        <v>83.892</v>
      </c>
      <c r="U7" s="23">
        <f>SUM(U5:U6)</f>
        <v>59.099999999999994</v>
      </c>
    </row>
    <row r="8">
      <c r="A8" s="2" t="inlineStr">
        <is>
          <t>Operating Income</t>
        </is>
      </c>
      <c r="B8" s="23">
        <f>B4-B7</f>
        <v>-1.016</v>
      </c>
      <c r="C8" s="23">
        <f>C4-C7</f>
        <v>-1.028</v>
      </c>
      <c r="D8" s="23">
        <f>D4-D7</f>
        <v>0.217</v>
      </c>
      <c r="E8" s="23">
        <f>E4-E7</f>
        <v>-1.773</v>
      </c>
      <c r="F8" s="23">
        <f>F4-F7</f>
        <v>-1.141</v>
      </c>
      <c r="G8" s="23">
        <f>G4-G7</f>
        <v>-0.831</v>
      </c>
      <c r="H8" s="23">
        <f>H4-H7</f>
        <v>-0.874</v>
      </c>
      <c r="I8" s="23">
        <f>I4-I7</f>
        <v>-3.157</v>
      </c>
      <c r="J8" s="23">
        <f>J4-J7</f>
        <v>-6.773999999999999</v>
      </c>
      <c r="K8" s="23">
        <f>K4-K7</f>
        <v>-17.099</v>
      </c>
      <c r="L8" s="23">
        <f>L4-L7</f>
        <v>-16.216</v>
      </c>
      <c r="M8" s="23">
        <f>M4-M7</f>
        <v>-7.218</v>
      </c>
      <c r="N8" s="23">
        <f>N4-N7</f>
        <v>-6.918</v>
      </c>
      <c r="O8" s="23">
        <f>O4-O7</f>
        <v>-15.109</v>
      </c>
      <c r="P8" s="23">
        <f>P4-P7</f>
        <v>-60.839</v>
      </c>
      <c r="Q8" s="23">
        <f>Q4-Q7</f>
        <v>-125.70400000000001</v>
      </c>
      <c r="R8" s="23">
        <f>R4-R7</f>
        <v>-161.249</v>
      </c>
      <c r="S8" s="23">
        <f>S4-S7</f>
        <v>-103.702</v>
      </c>
      <c r="T8" s="23">
        <f>T4-T7</f>
        <v>-83.892</v>
      </c>
      <c r="U8" s="23">
        <f>U4-U7</f>
        <v>-59.099999999999994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-3.703</v>
      </c>
      <c r="J9" s="23" t="n">
        <v>-13.098</v>
      </c>
      <c r="K9" s="23" t="n">
        <v>-3.704</v>
      </c>
      <c r="L9" s="23" t="n">
        <v>13.241</v>
      </c>
      <c r="M9" s="23" t="n">
        <v>0.9320000000000001</v>
      </c>
      <c r="N9" s="23" t="n">
        <v>-2.043</v>
      </c>
      <c r="O9" s="23" t="n">
        <v>0.104</v>
      </c>
      <c r="P9" s="23" t="n">
        <v>1.382</v>
      </c>
      <c r="Q9" s="23" t="n">
        <v>-0.048</v>
      </c>
      <c r="R9" s="23" t="n">
        <v>4.205</v>
      </c>
      <c r="S9" s="23" t="n">
        <v>103.702</v>
      </c>
      <c r="T9" s="23" t="n">
        <v>83.89100000000001</v>
      </c>
      <c r="U9" s="23" t="n">
        <v>59.1</v>
      </c>
    </row>
    <row r="10">
      <c r="A10" s="2" t="inlineStr">
        <is>
          <t>Pretax</t>
        </is>
      </c>
      <c r="B10" s="23">
        <f>B8+B9</f>
        <v>-1.016</v>
      </c>
      <c r="C10" s="23">
        <f>C8+C9</f>
        <v>-1.028</v>
      </c>
      <c r="D10" s="23">
        <f>D8+D9</f>
        <v>0.217</v>
      </c>
      <c r="E10" s="23">
        <f>E8+E9</f>
        <v>-1.773</v>
      </c>
      <c r="F10" s="23">
        <f>F8+F9</f>
        <v>-1.141</v>
      </c>
      <c r="G10" s="23">
        <f>G8+G9</f>
        <v>-0.831</v>
      </c>
      <c r="H10" s="23">
        <f>H8+H9</f>
        <v>-0.874</v>
      </c>
      <c r="I10" s="23">
        <f>I8+I9</f>
        <v>-6.859999999999999</v>
      </c>
      <c r="J10" s="23">
        <f>J8+J9</f>
        <v>-19.872</v>
      </c>
      <c r="K10" s="23">
        <f>K8+K9</f>
        <v>-20.803</v>
      </c>
      <c r="L10" s="23">
        <f>L8+L9</f>
        <v>-2.9750000000000014</v>
      </c>
      <c r="M10" s="23">
        <f>M8+M9</f>
        <v>-6.286</v>
      </c>
      <c r="N10" s="23">
        <f>N8+N9</f>
        <v>-8.961</v>
      </c>
      <c r="O10" s="23">
        <f>O8+O9</f>
        <v>-15.005</v>
      </c>
      <c r="P10" s="23">
        <f>P8+P9</f>
        <v>-59.457</v>
      </c>
      <c r="Q10" s="23">
        <f>Q8+Q9</f>
        <v>-125.75200000000001</v>
      </c>
      <c r="R10" s="23">
        <f>R8+R9</f>
        <v>-157.04399999999998</v>
      </c>
      <c r="S10" s="23">
        <f>S8+S9</f>
        <v>0.0</v>
      </c>
      <c r="T10" s="23">
        <f>T8+T9</f>
        <v>-0.000999999999990564</v>
      </c>
      <c r="U10" s="23">
        <f>U8+U9</f>
        <v>7.105427357601002e-15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</row>
    <row r="12">
      <c r="A12" s="2" t="inlineStr">
        <is>
          <t>Net Income</t>
        </is>
      </c>
      <c r="B12" s="23" t="n">
        <v>-1.016</v>
      </c>
      <c r="C12" s="23" t="n">
        <v>-1.028</v>
      </c>
      <c r="D12" s="23" t="n">
        <v>0.217</v>
      </c>
      <c r="E12" s="23" t="n">
        <v>-1.773</v>
      </c>
      <c r="F12" s="23" t="n">
        <v>-1.141</v>
      </c>
      <c r="G12" s="23" t="n">
        <v>-0.831</v>
      </c>
      <c r="H12" s="23" t="n">
        <v>-0.874</v>
      </c>
      <c r="I12" s="23" t="n">
        <v>-6.86</v>
      </c>
      <c r="J12" s="23" t="n">
        <v>-19.872</v>
      </c>
      <c r="K12" s="23" t="n">
        <v>-20.804</v>
      </c>
      <c r="L12" s="23" t="n">
        <v>-2.975</v>
      </c>
      <c r="M12" s="23" t="n">
        <v>-6.287</v>
      </c>
      <c r="N12" s="23" t="n">
        <v>-8.961</v>
      </c>
      <c r="O12" s="23" t="n">
        <v>-15.005</v>
      </c>
      <c r="P12" s="23" t="n">
        <v>-59.456</v>
      </c>
      <c r="Q12" s="23" t="n">
        <v>-125.752</v>
      </c>
      <c r="R12" s="23" t="n">
        <v>-157.044</v>
      </c>
      <c r="S12" s="23" t="n">
        <v>0</v>
      </c>
      <c r="T12" s="23" t="n">
        <v>0</v>
      </c>
      <c r="U12" s="23" t="n">
        <v>0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-0.10554658050619278</v>
      </c>
      <c r="J13" s="11">
        <f>IFERROR(J12/J14,0)</f>
        <v>-0.27267488130848816</v>
      </c>
      <c r="K13" s="11">
        <f>IFERROR(K12/K14,0)</f>
        <v>-0.697582402843443</v>
      </c>
      <c r="L13" s="11">
        <f>IFERROR(L12/L14,0)</f>
        <v>-0.08549587608127138</v>
      </c>
      <c r="M13" s="11">
        <f>IFERROR(M12/M14,0)</f>
        <v>-0.17356375783342076</v>
      </c>
      <c r="N13" s="11">
        <f>IFERROR(N12/N14,0)</f>
        <v>-0.9523860133914337</v>
      </c>
      <c r="O13" s="11">
        <f>IFERROR(O12/O14,0)</f>
        <v>-1.6237420192619847</v>
      </c>
      <c r="P13" s="11">
        <f>IFERROR(P12/P14,0)</f>
        <v>-3.8127484930101323</v>
      </c>
      <c r="Q13" s="11">
        <f>IFERROR(Q12/Q14,0)</f>
        <v>-7.164131487495014</v>
      </c>
      <c r="R13" s="11">
        <f>IFERROR(R12/R14,0)</f>
        <v>-5.300347632387188</v>
      </c>
      <c r="S13" s="11">
        <f>IFERROR(S12/S14,0)</f>
        <v>0.0</v>
      </c>
      <c r="T13" s="11">
        <f>IFERROR(T12/T14,0)</f>
        <v>0.0</v>
      </c>
      <c r="U13" s="11">
        <f>IFERROR(U12/U14,0)</f>
        <v>0.0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>
        <v>64.995</v>
      </c>
      <c r="J14" s="23" t="n">
        <v>72.878</v>
      </c>
      <c r="K14" s="23" t="n">
        <v>29.823</v>
      </c>
      <c r="L14" s="23" t="n">
        <v>34.797</v>
      </c>
      <c r="M14" s="23" t="n">
        <v>36.223</v>
      </c>
      <c r="N14" s="23" t="n">
        <v>9.409000000000001</v>
      </c>
      <c r="O14" s="23" t="n">
        <v>9.241</v>
      </c>
      <c r="P14" s="23" t="n">
        <v>15.594</v>
      </c>
      <c r="Q14" s="23" t="n">
        <v>17.553</v>
      </c>
      <c r="R14" s="23" t="n">
        <v>29.629</v>
      </c>
      <c r="S14" s="23" t="n">
        <v>30.099</v>
      </c>
      <c r="T14" s="23" t="n">
        <v>30.164</v>
      </c>
      <c r="U14" s="23" t="n">
        <v>39.48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-0.375</v>
      </c>
      <c r="K16" s="15">
        <f>IFERROR(K2/J2-1,"")</f>
        <v>-1.0</v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0.25</v>
      </c>
      <c r="J17" s="15">
        <f>IFERROR(J4/J2,"")</f>
        <v>0.2</v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-394.625</v>
      </c>
      <c r="J18" s="15">
        <f>IFERROR(J8/J2,"")</f>
        <v>-1354.7999999999997</v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2026-10-21T01:05:21Z</dcterms:modified>
  <cp:lastModifiedBy>Wang, Eric</cp:lastModifiedBy>
</cp:coreProperties>
</file>