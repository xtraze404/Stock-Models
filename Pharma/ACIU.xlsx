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 Immune AG</t>
        </is>
      </c>
      <c r="C2" s="10" t="n"/>
    </row>
    <row r="3">
      <c r="B3" t="inlineStr">
        <is>
          <t>Price</t>
        </is>
      </c>
      <c r="C3" s="11">
        <f>INDEX([1]Pharma!$F$1:$F$1000,MATCH("ACIU",[1]Pharma!$B$1:$B$1000,0))</f>
        <v>2.49</v>
      </c>
      <c r="F3" s="1" t="n"/>
    </row>
    <row r="4">
      <c r="B4" t="inlineStr">
        <is>
          <t>Shares</t>
        </is>
      </c>
      <c r="C4" s="21" t="n">
        <v>101.742231</v>
      </c>
      <c r="F4" s="1" t="n"/>
    </row>
    <row r="5">
      <c r="B5" t="inlineStr">
        <is>
          <t>Market Cap.</t>
        </is>
      </c>
      <c r="C5" s="13">
        <f>C3*C4</f>
        <v>253.33815519000004</v>
      </c>
      <c r="F5" s="1" t="n"/>
    </row>
    <row r="6"/>
    <row r="7">
      <c r="B7" t="inlineStr">
        <is>
          <t>Cash</t>
        </is>
      </c>
      <c r="C7" s="21">
        <f>(26.795+64.617)/0.82396</f>
        <v>110.9422787513957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142.39587643860432</v>
      </c>
    </row>
    <row r="10"/>
    <row r="11">
      <c r="B11" s="14" t="inlineStr">
        <is>
          <t>Net Cash / Share</t>
        </is>
      </c>
      <c r="C11" s="11">
        <f>(C7-C8)/C4</f>
        <v>1.0904250640168849</v>
      </c>
    </row>
    <row r="12">
      <c r="B12" s="14" t="inlineStr">
        <is>
          <t>Upside</t>
        </is>
      </c>
      <c r="C12" s="15">
        <f>IFERROR(C11/C3-1,"")</f>
        <v>-0.5620782875434198</v>
      </c>
    </row>
    <row r="13">
      <c r="B13" s="14" t="inlineStr">
        <is>
          <t>Cash / Share</t>
        </is>
      </c>
      <c r="C13" s="11">
        <f>IFERROR((C7-C8)/C4,"")</f>
        <v>1.0904250640168849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-84.06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1.3197987003496991</v>
      </c>
    </row>
    <row r="19">
      <c r="B19" s="14" t="inlineStr">
        <is>
          <t>Implied Pipeline Value</t>
        </is>
      </c>
      <c r="C19" s="13">
        <f>C9</f>
        <v>142.39587643860432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47.442</v>
      </c>
      <c r="C2" s="23" t="n">
        <v>28.174</v>
      </c>
      <c r="D2" s="23" t="n">
        <v>24.583</v>
      </c>
      <c r="E2" s="23" t="n">
        <v>8.388999999999999</v>
      </c>
      <c r="F2" s="23" t="n">
        <v>134.055</v>
      </c>
      <c r="G2" s="23" t="n">
        <v>18.728</v>
      </c>
      <c r="H2" s="23" t="n">
        <v>0</v>
      </c>
      <c r="I2" s="23" t="n">
        <v>4.776</v>
      </c>
      <c r="J2" s="23" t="n">
        <v>17.963</v>
      </c>
      <c r="K2" s="23" t="n">
        <v>33.144</v>
      </c>
      <c r="L2" s="23" t="n">
        <v>4.336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47.442</v>
      </c>
      <c r="C4" s="23">
        <f>C2-C3</f>
        <v>28.174</v>
      </c>
      <c r="D4" s="23">
        <f>D2-D3</f>
        <v>24.583</v>
      </c>
      <c r="E4" s="23">
        <f>E2-E3</f>
        <v>8.389</v>
      </c>
      <c r="F4" s="23">
        <f>F2-F3</f>
        <v>134.055</v>
      </c>
      <c r="G4" s="23">
        <f>G2-G3</f>
        <v>18.728</v>
      </c>
      <c r="H4" s="23">
        <f>H2-H3</f>
        <v>0.0</v>
      </c>
      <c r="I4" s="23">
        <f>I2-I3</f>
        <v>4.776</v>
      </c>
      <c r="J4" s="23">
        <f>J2-J3</f>
        <v>17.963</v>
      </c>
      <c r="K4" s="23">
        <f>K2-K3</f>
        <v>33.144</v>
      </c>
      <c r="L4" s="23">
        <f>L2-L3</f>
        <v>4.336</v>
      </c>
    </row>
    <row r="5">
      <c r="A5" s="2" t="inlineStr">
        <is>
          <t>Research &amp; Dev.</t>
        </is>
      </c>
      <c r="B5" s="23" t="n">
        <v>20.692</v>
      </c>
      <c r="C5" s="23" t="n">
        <v>31.281</v>
      </c>
      <c r="D5" s="23" t="n">
        <v>39.641</v>
      </c>
      <c r="E5" s="23" t="n">
        <v>53.737</v>
      </c>
      <c r="F5" s="23" t="n">
        <v>61.207</v>
      </c>
      <c r="G5" s="23" t="n">
        <v>72.196</v>
      </c>
      <c r="H5" s="23" t="n">
        <v>75.589</v>
      </c>
      <c r="I5" s="23" t="n">
        <v>73.227</v>
      </c>
      <c r="J5" s="23" t="n">
        <v>66.273</v>
      </c>
      <c r="K5" s="23" t="n">
        <v>75.938</v>
      </c>
      <c r="L5" s="23" t="n">
        <v>68.494</v>
      </c>
    </row>
    <row r="6">
      <c r="A6" s="19" t="inlineStr">
        <is>
          <t>SG&amp;A &amp; Other</t>
        </is>
      </c>
      <c r="B6" s="23" t="n">
        <v>4.147</v>
      </c>
      <c r="C6" s="23" t="n">
        <v>9.583</v>
      </c>
      <c r="D6" s="23" t="n">
        <v>12.295</v>
      </c>
      <c r="E6" s="23" t="n">
        <v>14.788</v>
      </c>
      <c r="F6" s="23" t="n">
        <v>18.797</v>
      </c>
      <c r="G6" s="23" t="n">
        <v>20.88</v>
      </c>
      <c r="H6" s="23" t="n">
        <v>20.302</v>
      </c>
      <c r="I6" s="23" t="n">
        <v>17.532</v>
      </c>
      <c r="J6" s="23" t="n">
        <v>16.771</v>
      </c>
      <c r="K6" s="23" t="n">
        <v>20.774</v>
      </c>
      <c r="L6" s="23" t="n">
        <v>19.971</v>
      </c>
    </row>
    <row r="7">
      <c r="A7" s="2" t="inlineStr">
        <is>
          <t>Operating Expense</t>
        </is>
      </c>
      <c r="B7" s="23">
        <f>SUM(B5:B6)</f>
        <v>24.839</v>
      </c>
      <c r="C7" s="23">
        <f>SUM(C5:C6)</f>
        <v>40.864</v>
      </c>
      <c r="D7" s="23">
        <f>SUM(D5:D6)</f>
        <v>51.936</v>
      </c>
      <c r="E7" s="23">
        <f>SUM(E5:E6)</f>
        <v>68.525</v>
      </c>
      <c r="F7" s="23">
        <f>SUM(F5:F6)</f>
        <v>80.004</v>
      </c>
      <c r="G7" s="23">
        <f>SUM(G5:G6)</f>
        <v>93.076</v>
      </c>
      <c r="H7" s="23">
        <f>SUM(H5:H6)</f>
        <v>95.89099999999999</v>
      </c>
      <c r="I7" s="23">
        <f>SUM(I5:I6)</f>
        <v>90.759</v>
      </c>
      <c r="J7" s="23">
        <f>SUM(J5:J6)</f>
        <v>83.044</v>
      </c>
      <c r="K7" s="23">
        <f>SUM(K5:K6)</f>
        <v>96.712</v>
      </c>
      <c r="L7" s="23">
        <f>SUM(L5:L6)</f>
        <v>88.465</v>
      </c>
    </row>
    <row r="8">
      <c r="A8" s="2" t="inlineStr">
        <is>
          <t>Operating Income</t>
        </is>
      </c>
      <c r="B8" s="23">
        <f>B4-B7</f>
        <v>22.603</v>
      </c>
      <c r="C8" s="23">
        <f>C4-C7</f>
        <v>-12.689999999999998</v>
      </c>
      <c r="D8" s="23">
        <f>D4-D7</f>
        <v>-27.353</v>
      </c>
      <c r="E8" s="23">
        <f>E4-E7</f>
        <v>-60.13600000000001</v>
      </c>
      <c r="F8" s="23">
        <f>F4-F7</f>
        <v>54.051</v>
      </c>
      <c r="G8" s="23">
        <f>G4-G7</f>
        <v>-74.34799999999998</v>
      </c>
      <c r="H8" s="23">
        <f>H4-H7</f>
        <v>-95.89099999999999</v>
      </c>
      <c r="I8" s="23">
        <f>I4-I7</f>
        <v>-85.983</v>
      </c>
      <c r="J8" s="23">
        <f>J4-J7</f>
        <v>-65.08099999999999</v>
      </c>
      <c r="K8" s="23">
        <f>K4-K7</f>
        <v>-63.568000000000005</v>
      </c>
      <c r="L8" s="23">
        <f>L4-L7</f>
        <v>-84.129</v>
      </c>
    </row>
    <row r="9">
      <c r="A9" s="19" t="inlineStr">
        <is>
          <t>Interest &amp; Other</t>
        </is>
      </c>
      <c r="B9" s="23" t="n">
        <v>1.998</v>
      </c>
      <c r="C9" s="23" t="n">
        <v>4.078</v>
      </c>
      <c r="D9" s="23" t="n">
        <v>-4.699</v>
      </c>
      <c r="E9" s="23" t="n">
        <v>-1.7</v>
      </c>
      <c r="F9" s="23" t="n">
        <v>1.1</v>
      </c>
      <c r="G9" s="23" t="n">
        <v>-0.802</v>
      </c>
      <c r="H9" s="23" t="n">
        <v>7.303</v>
      </c>
      <c r="I9" s="23" t="n">
        <v>0.13</v>
      </c>
      <c r="J9" s="23" t="n">
        <v>-0.727</v>
      </c>
      <c r="K9" s="23" t="n">
        <v>1.778</v>
      </c>
      <c r="L9" s="23" t="n">
        <v>-1.37</v>
      </c>
    </row>
    <row r="10">
      <c r="A10" s="2" t="inlineStr">
        <is>
          <t>Pretax</t>
        </is>
      </c>
      <c r="B10" s="23">
        <f>B8+B9</f>
        <v>24.601000000000003</v>
      </c>
      <c r="C10" s="23">
        <f>C8+C9</f>
        <v>-8.611999999999998</v>
      </c>
      <c r="D10" s="23">
        <f>D8+D9</f>
        <v>-32.052</v>
      </c>
      <c r="E10" s="23">
        <f>E8+E9</f>
        <v>-61.83600000000001</v>
      </c>
      <c r="F10" s="23">
        <f>F8+F9</f>
        <v>55.151</v>
      </c>
      <c r="G10" s="23">
        <f>G8+G9</f>
        <v>-75.14999999999999</v>
      </c>
      <c r="H10" s="23">
        <f>H8+H9</f>
        <v>-88.588</v>
      </c>
      <c r="I10" s="23">
        <f>I8+I9</f>
        <v>-85.85300000000001</v>
      </c>
      <c r="J10" s="23">
        <f>J8+J9</f>
        <v>-65.80799999999999</v>
      </c>
      <c r="K10" s="23">
        <f>K8+K9</f>
        <v>-61.790000000000006</v>
      </c>
      <c r="L10" s="23">
        <f>L8+L9</f>
        <v>-85.49900000000001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0.004</v>
      </c>
      <c r="I11" s="23" t="n">
        <v>0.016</v>
      </c>
      <c r="J11" s="23" t="n">
        <v>0.012</v>
      </c>
      <c r="K11" s="23" t="n">
        <v>0.004</v>
      </c>
      <c r="L11" s="23" t="n">
        <v>0</v>
      </c>
    </row>
    <row r="12">
      <c r="A12" s="2" t="inlineStr">
        <is>
          <t>Net Income</t>
        </is>
      </c>
      <c r="B12" s="23" t="n">
        <v>24.601</v>
      </c>
      <c r="C12" s="23" t="n">
        <v>-8.612</v>
      </c>
      <c r="D12" s="23" t="n">
        <v>-32.054</v>
      </c>
      <c r="E12" s="23" t="n">
        <v>-61.837</v>
      </c>
      <c r="F12" s="23" t="n">
        <v>55.151</v>
      </c>
      <c r="G12" s="23" t="n">
        <v>-75.15000000000001</v>
      </c>
      <c r="H12" s="23" t="n">
        <v>-88.592</v>
      </c>
      <c r="I12" s="23" t="n">
        <v>-85.869</v>
      </c>
      <c r="J12" s="23" t="n">
        <v>-65.81999999999999</v>
      </c>
      <c r="K12" s="23" t="n">
        <v>-61.794</v>
      </c>
      <c r="L12" s="23" t="n">
        <v>-85.498</v>
      </c>
    </row>
    <row r="13">
      <c r="A13" s="2" t="inlineStr">
        <is>
          <t>Earnings per Share</t>
        </is>
      </c>
      <c r="B13" s="11">
        <f>IFERROR(B12/B14,0)</f>
        <v>0.5343048889081945</v>
      </c>
      <c r="C13" s="11">
        <f>IFERROR(C12/C14,0)</f>
        <v>-0.17190650138730862</v>
      </c>
      <c r="D13" s="11">
        <f>IFERROR(D12/D14,0)</f>
        <v>-0.5615233690701422</v>
      </c>
      <c r="E13" s="11">
        <f>IFERROR(E12/E14,0)</f>
        <v>-0.9999838287137359</v>
      </c>
      <c r="F13" s="11">
        <f>IFERROR(F12/F14,0)</f>
        <v>0.7756494100108294</v>
      </c>
      <c r="G13" s="11">
        <f>IFERROR(G12/G14,0)</f>
        <v>-1.045201668984701</v>
      </c>
      <c r="H13" s="11">
        <f>IFERROR(H12/H14,0)</f>
        <v>-1.1819831358736257</v>
      </c>
      <c r="I13" s="11">
        <f>IFERROR(I12/I14,0)</f>
        <v>-1.0277066328362496</v>
      </c>
      <c r="J13" s="11">
        <f>IFERROR(J12/J14,0)</f>
        <v>-0.7771415077631502</v>
      </c>
      <c r="K13" s="11">
        <f>IFERROR(K12/K14,0)</f>
        <v>-0.6198491353368375</v>
      </c>
      <c r="L13" s="11">
        <f>IFERROR(L12/L14,0)</f>
        <v>-0.8485985389868193</v>
      </c>
    </row>
    <row r="14">
      <c r="A14" s="2" t="inlineStr">
        <is>
          <t>Shares</t>
        </is>
      </c>
      <c r="B14" s="23" t="n">
        <v>46.043</v>
      </c>
      <c r="C14" s="23" t="n">
        <v>50.097</v>
      </c>
      <c r="D14" s="23" t="n">
        <v>57.084</v>
      </c>
      <c r="E14" s="23" t="n">
        <v>61.838</v>
      </c>
      <c r="F14" s="23" t="n">
        <v>71.10299999999999</v>
      </c>
      <c r="G14" s="23" t="n">
        <v>71.90000000000001</v>
      </c>
      <c r="H14" s="23" t="n">
        <v>74.952</v>
      </c>
      <c r="I14" s="23" t="n">
        <v>83.554</v>
      </c>
      <c r="J14" s="23" t="n">
        <v>84.69499999999999</v>
      </c>
      <c r="K14" s="23" t="n">
        <v>99.69199999999999</v>
      </c>
      <c r="L14" s="23" t="n">
        <v>100.752</v>
      </c>
    </row>
    <row r="15"/>
    <row r="16" customFormat="1" s="4">
      <c r="A16" s="3" t="inlineStr">
        <is>
          <t>Revenue Change</t>
        </is>
      </c>
      <c r="C16" s="15">
        <f>IFERROR(C2/B2-1,"")</f>
        <v>-0.4061380211626828</v>
      </c>
      <c r="D16" s="15">
        <f>IFERROR(D2/C2-1,"")</f>
        <v>-0.12745793994462984</v>
      </c>
      <c r="E16" s="15">
        <f>IFERROR(E2/D2-1,"")</f>
        <v>-0.6587479152259692</v>
      </c>
      <c r="F16" s="15">
        <f>IFERROR(F2/E2-1,"")</f>
        <v>14.979854571462631</v>
      </c>
      <c r="G16" s="15">
        <f>IFERROR(G2/F2-1,"")</f>
        <v>-0.8602961471038006</v>
      </c>
      <c r="H16" s="15">
        <f>IFERROR(H2/G2-1,"")</f>
        <v>-1.0</v>
      </c>
      <c r="I16" s="15">
        <f>IFERROR(I2/H2-1,"")</f>
        <v/>
      </c>
      <c r="J16" s="15">
        <f>IFERROR(J2/I2-1,"")</f>
        <v>2.7610971524288113</v>
      </c>
      <c r="K16" s="15">
        <f>IFERROR(K2/J2-1,"")</f>
        <v>0.8451260925235204</v>
      </c>
      <c r="L16" s="15">
        <f>IFERROR(L2/K2-1,"")</f>
        <v>-0.869176924933623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>0.47643438303612834</v>
      </c>
      <c r="C18" s="15">
        <f>IFERROR(C8/C2,"")</f>
        <v>-0.4504152764960601</v>
      </c>
      <c r="D18" s="15">
        <f>IFERROR(D8/D2,"")</f>
        <v>-1.1126794939592402</v>
      </c>
      <c r="E18" s="15">
        <f>IFERROR(E8/E2,"")</f>
        <v>-7.168434855167483</v>
      </c>
      <c r="F18" s="15">
        <f>IFERROR(F8/F2,"")</f>
        <v>0.40320017903099475</v>
      </c>
      <c r="G18" s="15">
        <f>IFERROR(G8/G2,"")</f>
        <v>-3.9698846646732155</v>
      </c>
      <c r="H18" s="15">
        <f>IFERROR(H8/H2,"")</f>
        <v/>
      </c>
      <c r="I18" s="15">
        <f>IFERROR(I8/I2,"")</f>
        <v>-18.00314070351759</v>
      </c>
      <c r="J18" s="15">
        <f>IFERROR(J8/J2,"")</f>
        <v>-3.6230585091577123</v>
      </c>
      <c r="K18" s="15">
        <f>IFERROR(K8/K2,"")</f>
        <v>-1.9179338643495054</v>
      </c>
      <c r="L18" s="15">
        <f>IFERROR(L8/L2,"")</f>
        <v>-19.402444649446494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2026-10-21T01:05:30Z</dcterms:modified>
  <cp:lastModifiedBy>Wang, Eric</cp:lastModifiedBy>
</cp:coreProperties>
</file>