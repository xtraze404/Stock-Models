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AC Immune AG</t>
        </is>
      </c>
      <c r="C2" s="10" t="n"/>
    </row>
    <row r="3">
      <c r="B3" t="inlineStr">
        <is>
          <t>Price</t>
        </is>
      </c>
      <c r="C3" s="11">
        <f>INDEX([1]Pharma!$F$1:$F$1000,MATCH("ACIU",[1]Pharma!$B$1:$B$1000,0))</f>
        <v>2.49</v>
      </c>
      <c r="F3" s="1" t="n"/>
    </row>
    <row r="4">
      <c r="B4" t="inlineStr">
        <is>
          <t>Shares</t>
        </is>
      </c>
      <c r="C4" s="21" t="n">
        <v>101.742231</v>
      </c>
      <c r="F4" s="1" t="n"/>
    </row>
    <row r="5">
      <c r="B5" t="inlineStr">
        <is>
          <t>Market Cap.</t>
        </is>
      </c>
      <c r="C5" s="13">
        <f>C3*C4</f>
        <v>253.33815519000004</v>
      </c>
      <c r="F5" s="1" t="n"/>
    </row>
    <row r="6"/>
    <row r="7">
      <c r="B7" t="inlineStr">
        <is>
          <t>Cash</t>
        </is>
      </c>
      <c r="C7" s="21">
        <f>(26.795+64.617)/0.82396</f>
        <v>110.9422787513957</v>
      </c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142.39587643860432</v>
      </c>
    </row>
    <row r="10"/>
    <row r="11">
      <c r="B11" s="14" t="inlineStr">
        <is>
          <t>rNPV / Share</t>
        </is>
      </c>
      <c r="C11" s="11">
        <f>NPV!B27</f>
        <v>5.167693506494669</v>
      </c>
    </row>
    <row r="12">
      <c r="B12" s="14" t="inlineStr">
        <is>
          <t>Upside</t>
        </is>
      </c>
      <c r="C12" s="15">
        <f>IFERROR(C11/C3-1,"")</f>
        <v>1.0753789182709514</v>
      </c>
    </row>
    <row r="13">
      <c r="B13" s="14" t="inlineStr">
        <is>
          <t>Cash / Share</t>
        </is>
      </c>
      <c r="C13" s="11">
        <f>IFERROR((C7-C8)/C4,"")</f>
        <v>1.0904250640168849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-84.06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1.3197987003496991</v>
      </c>
    </row>
    <row r="19">
      <c r="B19" s="14" t="inlineStr">
        <is>
          <t>Implied Pipeline Value</t>
        </is>
      </c>
      <c r="C19" s="13">
        <f>C9</f>
        <v>142.39587643860432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47.442</v>
      </c>
      <c r="C2" s="23" t="n">
        <v>28.174</v>
      </c>
      <c r="D2" s="23" t="n">
        <v>24.583</v>
      </c>
      <c r="E2" s="23" t="n">
        <v>8.388999999999999</v>
      </c>
      <c r="F2" s="23" t="n">
        <v>134.055</v>
      </c>
      <c r="G2" s="23" t="n">
        <v>18.728</v>
      </c>
      <c r="H2" s="23" t="n">
        <v>0</v>
      </c>
      <c r="I2" s="23" t="n">
        <v>4.776</v>
      </c>
      <c r="J2" s="23" t="n">
        <v>17.963</v>
      </c>
      <c r="K2" s="23" t="n">
        <v>33.144</v>
      </c>
      <c r="L2" s="23" t="n">
        <v>4.336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</row>
    <row r="4" customFormat="1" s="1">
      <c r="A4" s="5" t="inlineStr">
        <is>
          <t>Gross Margin</t>
        </is>
      </c>
      <c r="B4" s="23">
        <f>B2-B3</f>
        <v>47.442</v>
      </c>
      <c r="C4" s="23">
        <f>C2-C3</f>
        <v>28.174</v>
      </c>
      <c r="D4" s="23">
        <f>D2-D3</f>
        <v>24.583</v>
      </c>
      <c r="E4" s="23">
        <f>E2-E3</f>
        <v>8.389</v>
      </c>
      <c r="F4" s="23">
        <f>F2-F3</f>
        <v>134.055</v>
      </c>
      <c r="G4" s="23">
        <f>G2-G3</f>
        <v>18.728</v>
      </c>
      <c r="H4" s="23">
        <f>H2-H3</f>
        <v>0.0</v>
      </c>
      <c r="I4" s="23">
        <f>I2-I3</f>
        <v>4.776</v>
      </c>
      <c r="J4" s="23">
        <f>J2-J3</f>
        <v>17.963</v>
      </c>
      <c r="K4" s="23">
        <f>K2-K3</f>
        <v>33.144</v>
      </c>
      <c r="L4" s="23">
        <f>L2-L3</f>
        <v>4.336</v>
      </c>
    </row>
    <row r="5">
      <c r="A5" s="2" t="inlineStr">
        <is>
          <t>Research &amp; Dev.</t>
        </is>
      </c>
      <c r="B5" s="23" t="n">
        <v>20.692</v>
      </c>
      <c r="C5" s="23" t="n">
        <v>31.281</v>
      </c>
      <c r="D5" s="23" t="n">
        <v>39.641</v>
      </c>
      <c r="E5" s="23" t="n">
        <v>53.737</v>
      </c>
      <c r="F5" s="23" t="n">
        <v>61.207</v>
      </c>
      <c r="G5" s="23" t="n">
        <v>72.196</v>
      </c>
      <c r="H5" s="23" t="n">
        <v>75.589</v>
      </c>
      <c r="I5" s="23" t="n">
        <v>73.227</v>
      </c>
      <c r="J5" s="23" t="n">
        <v>66.273</v>
      </c>
      <c r="K5" s="23" t="n">
        <v>75.938</v>
      </c>
      <c r="L5" s="23" t="n">
        <v>68.494</v>
      </c>
    </row>
    <row r="6">
      <c r="A6" s="19" t="inlineStr">
        <is>
          <t>SG&amp;A &amp; Other</t>
        </is>
      </c>
      <c r="B6" s="23" t="n">
        <v>4.147</v>
      </c>
      <c r="C6" s="23" t="n">
        <v>9.583</v>
      </c>
      <c r="D6" s="23" t="n">
        <v>12.295</v>
      </c>
      <c r="E6" s="23" t="n">
        <v>14.788</v>
      </c>
      <c r="F6" s="23" t="n">
        <v>18.797</v>
      </c>
      <c r="G6" s="23" t="n">
        <v>20.88</v>
      </c>
      <c r="H6" s="23" t="n">
        <v>20.302</v>
      </c>
      <c r="I6" s="23" t="n">
        <v>17.532</v>
      </c>
      <c r="J6" s="23" t="n">
        <v>16.771</v>
      </c>
      <c r="K6" s="23" t="n">
        <v>20.774</v>
      </c>
      <c r="L6" s="23" t="n">
        <v>19.971</v>
      </c>
    </row>
    <row r="7">
      <c r="A7" s="2" t="inlineStr">
        <is>
          <t>Operating Expense</t>
        </is>
      </c>
      <c r="B7" s="23">
        <f>SUM(B5:B6)</f>
        <v>24.839</v>
      </c>
      <c r="C7" s="23">
        <f>SUM(C5:C6)</f>
        <v>40.864</v>
      </c>
      <c r="D7" s="23">
        <f>SUM(D5:D6)</f>
        <v>51.936</v>
      </c>
      <c r="E7" s="23">
        <f>SUM(E5:E6)</f>
        <v>68.525</v>
      </c>
      <c r="F7" s="23">
        <f>SUM(F5:F6)</f>
        <v>80.004</v>
      </c>
      <c r="G7" s="23">
        <f>SUM(G5:G6)</f>
        <v>93.076</v>
      </c>
      <c r="H7" s="23">
        <f>SUM(H5:H6)</f>
        <v>95.89099999999999</v>
      </c>
      <c r="I7" s="23">
        <f>SUM(I5:I6)</f>
        <v>90.759</v>
      </c>
      <c r="J7" s="23">
        <f>SUM(J5:J6)</f>
        <v>83.044</v>
      </c>
      <c r="K7" s="23">
        <f>SUM(K5:K6)</f>
        <v>96.712</v>
      </c>
      <c r="L7" s="23">
        <f>SUM(L5:L6)</f>
        <v>88.465</v>
      </c>
    </row>
    <row r="8">
      <c r="A8" s="2" t="inlineStr">
        <is>
          <t>Operating Income</t>
        </is>
      </c>
      <c r="B8" s="23">
        <f>B4-B7</f>
        <v>22.603</v>
      </c>
      <c r="C8" s="23">
        <f>C4-C7</f>
        <v>-12.689999999999998</v>
      </c>
      <c r="D8" s="23">
        <f>D4-D7</f>
        <v>-27.353</v>
      </c>
      <c r="E8" s="23">
        <f>E4-E7</f>
        <v>-60.13600000000001</v>
      </c>
      <c r="F8" s="23">
        <f>F4-F7</f>
        <v>54.051</v>
      </c>
      <c r="G8" s="23">
        <f>G4-G7</f>
        <v>-74.34799999999998</v>
      </c>
      <c r="H8" s="23">
        <f>H4-H7</f>
        <v>-95.89099999999999</v>
      </c>
      <c r="I8" s="23">
        <f>I4-I7</f>
        <v>-85.983</v>
      </c>
      <c r="J8" s="23">
        <f>J4-J7</f>
        <v>-65.08099999999999</v>
      </c>
      <c r="K8" s="23">
        <f>K4-K7</f>
        <v>-63.568000000000005</v>
      </c>
      <c r="L8" s="23">
        <f>L4-L7</f>
        <v>-84.129</v>
      </c>
    </row>
    <row r="9">
      <c r="A9" s="19" t="inlineStr">
        <is>
          <t>Interest &amp; Other</t>
        </is>
      </c>
      <c r="B9" s="23" t="n">
        <v>1.998</v>
      </c>
      <c r="C9" s="23" t="n">
        <v>4.078</v>
      </c>
      <c r="D9" s="23" t="n">
        <v>-4.699</v>
      </c>
      <c r="E9" s="23" t="n">
        <v>-1.7</v>
      </c>
      <c r="F9" s="23" t="n">
        <v>1.1</v>
      </c>
      <c r="G9" s="23" t="n">
        <v>-0.802</v>
      </c>
      <c r="H9" s="23" t="n">
        <v>7.303</v>
      </c>
      <c r="I9" s="23" t="n">
        <v>0.13</v>
      </c>
      <c r="J9" s="23" t="n">
        <v>-0.727</v>
      </c>
      <c r="K9" s="23" t="n">
        <v>1.778</v>
      </c>
      <c r="L9" s="23" t="n">
        <v>-1.37</v>
      </c>
    </row>
    <row r="10">
      <c r="A10" s="2" t="inlineStr">
        <is>
          <t>Pretax</t>
        </is>
      </c>
      <c r="B10" s="23">
        <f>B8+B9</f>
        <v>24.601000000000003</v>
      </c>
      <c r="C10" s="23">
        <f>C8+C9</f>
        <v>-8.611999999999998</v>
      </c>
      <c r="D10" s="23">
        <f>D8+D9</f>
        <v>-32.052</v>
      </c>
      <c r="E10" s="23">
        <f>E8+E9</f>
        <v>-61.83600000000001</v>
      </c>
      <c r="F10" s="23">
        <f>F8+F9</f>
        <v>55.151</v>
      </c>
      <c r="G10" s="23">
        <f>G8+G9</f>
        <v>-75.14999999999999</v>
      </c>
      <c r="H10" s="23">
        <f>H8+H9</f>
        <v>-88.588</v>
      </c>
      <c r="I10" s="23">
        <f>I8+I9</f>
        <v>-85.85300000000001</v>
      </c>
      <c r="J10" s="23">
        <f>J8+J9</f>
        <v>-65.80799999999999</v>
      </c>
      <c r="K10" s="23">
        <f>K8+K9</f>
        <v>-61.790000000000006</v>
      </c>
      <c r="L10" s="23">
        <f>L8+L9</f>
        <v>-85.49900000000001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0.004</v>
      </c>
      <c r="I11" s="23" t="n">
        <v>0.016</v>
      </c>
      <c r="J11" s="23" t="n">
        <v>0.012</v>
      </c>
      <c r="K11" s="23" t="n">
        <v>0.004</v>
      </c>
      <c r="L11" s="23" t="n">
        <v>0</v>
      </c>
    </row>
    <row r="12">
      <c r="A12" s="2" t="inlineStr">
        <is>
          <t>Net Income</t>
        </is>
      </c>
      <c r="B12" s="23" t="n">
        <v>24.601</v>
      </c>
      <c r="C12" s="23" t="n">
        <v>-8.612</v>
      </c>
      <c r="D12" s="23" t="n">
        <v>-32.054</v>
      </c>
      <c r="E12" s="23" t="n">
        <v>-61.837</v>
      </c>
      <c r="F12" s="23" t="n">
        <v>55.151</v>
      </c>
      <c r="G12" s="23" t="n">
        <v>-75.15000000000001</v>
      </c>
      <c r="H12" s="23" t="n">
        <v>-88.592</v>
      </c>
      <c r="I12" s="23" t="n">
        <v>-85.869</v>
      </c>
      <c r="J12" s="23" t="n">
        <v>-65.81999999999999</v>
      </c>
      <c r="K12" s="23" t="n">
        <v>-61.794</v>
      </c>
      <c r="L12" s="23" t="n">
        <v>-85.498</v>
      </c>
    </row>
    <row r="13">
      <c r="A13" s="2" t="inlineStr">
        <is>
          <t>Earnings per Share</t>
        </is>
      </c>
      <c r="B13" s="11">
        <f>IFERROR(B12/B14,0)</f>
        <v>0.5343048889081945</v>
      </c>
      <c r="C13" s="11">
        <f>IFERROR(C12/C14,0)</f>
        <v>-0.17190650138730862</v>
      </c>
      <c r="D13" s="11">
        <f>IFERROR(D12/D14,0)</f>
        <v>-0.5615233690701422</v>
      </c>
      <c r="E13" s="11">
        <f>IFERROR(E12/E14,0)</f>
        <v>-0.9999838287137359</v>
      </c>
      <c r="F13" s="11">
        <f>IFERROR(F12/F14,0)</f>
        <v>0.7756494100108294</v>
      </c>
      <c r="G13" s="11">
        <f>IFERROR(G12/G14,0)</f>
        <v>-1.045201668984701</v>
      </c>
      <c r="H13" s="11">
        <f>IFERROR(H12/H14,0)</f>
        <v>-1.1819831358736257</v>
      </c>
      <c r="I13" s="11">
        <f>IFERROR(I12/I14,0)</f>
        <v>-1.0277066328362496</v>
      </c>
      <c r="J13" s="11">
        <f>IFERROR(J12/J14,0)</f>
        <v>-0.7771415077631502</v>
      </c>
      <c r="K13" s="11">
        <f>IFERROR(K12/K14,0)</f>
        <v>-0.6198491353368375</v>
      </c>
      <c r="L13" s="11">
        <f>IFERROR(L12/L14,0)</f>
        <v>-0.8485985389868193</v>
      </c>
    </row>
    <row r="14">
      <c r="A14" s="2" t="inlineStr">
        <is>
          <t>Shares</t>
        </is>
      </c>
      <c r="B14" s="23" t="n">
        <v>46.043</v>
      </c>
      <c r="C14" s="23" t="n">
        <v>50.097</v>
      </c>
      <c r="D14" s="23" t="n">
        <v>57.084</v>
      </c>
      <c r="E14" s="23" t="n">
        <v>61.838</v>
      </c>
      <c r="F14" s="23" t="n">
        <v>71.10299999999999</v>
      </c>
      <c r="G14" s="23" t="n">
        <v>71.90000000000001</v>
      </c>
      <c r="H14" s="23" t="n">
        <v>74.952</v>
      </c>
      <c r="I14" s="23" t="n">
        <v>83.554</v>
      </c>
      <c r="J14" s="23" t="n">
        <v>84.69499999999999</v>
      </c>
      <c r="K14" s="23" t="n">
        <v>99.69199999999999</v>
      </c>
      <c r="L14" s="23" t="n">
        <v>100.752</v>
      </c>
    </row>
    <row r="15"/>
    <row r="16" customFormat="1" s="4">
      <c r="A16" s="3" t="inlineStr">
        <is>
          <t>Revenue Change</t>
        </is>
      </c>
      <c r="C16" s="15">
        <f>IFERROR(C2/B2-1,"")</f>
        <v>-0.4061380211626828</v>
      </c>
      <c r="D16" s="15">
        <f>IFERROR(D2/C2-1,"")</f>
        <v>-0.12745793994462984</v>
      </c>
      <c r="E16" s="15">
        <f>IFERROR(E2/D2-1,"")</f>
        <v>-0.6587479152259692</v>
      </c>
      <c r="F16" s="15">
        <f>IFERROR(F2/E2-1,"")</f>
        <v>14.979854571462631</v>
      </c>
      <c r="G16" s="15">
        <f>IFERROR(G2/F2-1,"")</f>
        <v>-0.8602961471038006</v>
      </c>
      <c r="H16" s="15">
        <f>IFERROR(H2/G2-1,"")</f>
        <v>-1.0</v>
      </c>
      <c r="I16" s="15">
        <f>IFERROR(I2/H2-1,"")</f>
        <v/>
      </c>
      <c r="J16" s="15">
        <f>IFERROR(J2/I2-1,"")</f>
        <v>2.7610971524288113</v>
      </c>
      <c r="K16" s="15">
        <f>IFERROR(K2/J2-1,"")</f>
        <v>0.8451260925235204</v>
      </c>
      <c r="L16" s="15">
        <f>IFERROR(L2/K2-1,"")</f>
        <v>-0.869176924933623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/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</row>
    <row r="18">
      <c r="A18" s="14" t="inlineStr">
        <is>
          <t>Operating Margin</t>
        </is>
      </c>
      <c r="B18" s="15">
        <f>IFERROR(B8/B2,"")</f>
        <v>0.47643438303612834</v>
      </c>
      <c r="C18" s="15">
        <f>IFERROR(C8/C2,"")</f>
        <v>-0.4504152764960601</v>
      </c>
      <c r="D18" s="15">
        <f>IFERROR(D8/D2,"")</f>
        <v>-1.1126794939592402</v>
      </c>
      <c r="E18" s="15">
        <f>IFERROR(E8/E2,"")</f>
        <v>-7.168434855167483</v>
      </c>
      <c r="F18" s="15">
        <f>IFERROR(F8/F2,"")</f>
        <v>0.40320017903099475</v>
      </c>
      <c r="G18" s="15">
        <f>IFERROR(G8/G2,"")</f>
        <v>-3.9698846646732155</v>
      </c>
      <c r="H18" s="15">
        <f>IFERROR(H8/H2,"")</f>
        <v/>
      </c>
      <c r="I18" s="15">
        <f>IFERROR(I8/I2,"")</f>
        <v>-18.00314070351759</v>
      </c>
      <c r="J18" s="15">
        <f>IFERROR(J8/J2,"")</f>
        <v>-3.6230585091577123</v>
      </c>
      <c r="K18" s="15">
        <f>IFERROR(K8/K2,"")</f>
        <v>-1.9179338643495054</v>
      </c>
      <c r="L18" s="15">
        <f>IFERROR(L8/L2,"")</f>
        <v>-19.402444649446494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AC Immune AG: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1-PRODUCT(Pipeline!AG4:AG6)</f>
        <v>0.24590612106999998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84.128</v>
      </c>
    </row>
    <row r="19">
      <c r="A19" s="14" t="inlineStr">
        <is>
          <t>Years of full burn (until the first launch, max 4)</t>
        </is>
      </c>
      <c r="B19" s="39">
        <f>MIN(4,MAX(1,MIN(Pipeline!I4:I6)-2026))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565.2</v>
      </c>
    </row>
    <row r="22">
      <c r="A22" s="14" t="inlineStr">
        <is>
          <t>First year, fraction after the balance sheet date</t>
        </is>
      </c>
      <c r="B22" s="28" t="n">
        <v>1</v>
      </c>
    </row>
    <row r="23">
      <c r="A23" s="14" t="inlineStr">
        <is>
          <t>Balance sheet date</t>
        </is>
      </c>
      <c r="B23" s="41" t="n">
        <v>46022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414.83038772358486</v>
      </c>
      <c r="C29" s="42">
        <f>NPV!B25</f>
        <v>525.7726664749806</v>
      </c>
      <c r="D29" s="43">
        <f>NPV!B27</f>
        <v>5.167693506494669</v>
      </c>
      <c r="E29" s="44">
        <f>NPV!B29</f>
        <v>1.0753789182709514</v>
      </c>
    </row>
    <row r="30">
      <c r="A30" s="45" t="n">
        <v>1</v>
      </c>
      <c r="B30" s="46">
        <f t="dataTable" ref="B30:E32" r1="B4"/>
        <v>12.533366725814476</v>
      </c>
      <c r="C30" s="46">
        <v>123.47564547721018</v>
      </c>
      <c r="D30" s="47">
        <v>1.2136125212077389</v>
      </c>
      <c r="E30" s="48">
        <v>-0.5126054131695827</v>
      </c>
    </row>
    <row r="31">
      <c r="A31" s="45" t="n">
        <v>2</v>
      </c>
      <c r="B31" s="46">
        <v>414.83038772358486</v>
      </c>
      <c r="C31" s="46">
        <v>525.7726664749806</v>
      </c>
      <c r="D31" s="47">
        <v>5.167693506494669</v>
      </c>
      <c r="E31" s="48">
        <v>1.0753789182709514</v>
      </c>
    </row>
    <row r="32">
      <c r="A32" s="45" t="n">
        <v>3</v>
      </c>
      <c r="B32" s="46">
        <v>1081.2078442800662</v>
      </c>
      <c r="C32" s="46">
        <v>1192.1501230314618</v>
      </c>
      <c r="D32" s="47">
        <v>11.717357790507481</v>
      </c>
      <c r="E32" s="48">
        <v>3.705766180926699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5.167693506494669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0.6237895184206437</v>
      </c>
      <c r="C37" s="47">
        <v>1.6522878740518772</v>
      </c>
      <c r="D37" s="47">
        <v>2.650623584060185</v>
      </c>
      <c r="E37" s="47">
        <v>4.611873745644833</v>
      </c>
      <c r="F37" s="47">
        <v>6.553061225469417</v>
      </c>
    </row>
    <row r="38">
      <c r="A38" s="50" t="n">
        <v>0.8</v>
      </c>
      <c r="B38" s="47">
        <v>1.2649901397499557</v>
      </c>
      <c r="C38" s="47">
        <v>2.6030098739787717</v>
      </c>
      <c r="D38" s="47">
        <v>3.914471172007199</v>
      </c>
      <c r="E38" s="47">
        <v>6.5066001000830935</v>
      </c>
      <c r="F38" s="47">
        <v>9.075492651229233</v>
      </c>
    </row>
    <row r="39">
      <c r="A39" s="50" t="n">
        <v>1</v>
      </c>
      <c r="B39" s="47">
        <v>1.8926844564344583</v>
      </c>
      <c r="C39" s="47">
        <v>3.542309263891681</v>
      </c>
      <c r="D39" s="47">
        <v>5.167693506494669</v>
      </c>
      <c r="E39" s="47">
        <v>8.38934201809314</v>
      </c>
      <c r="F39" s="47">
        <v>11.596890394163395</v>
      </c>
    </row>
    <row r="40">
      <c r="A40" s="50" t="n">
        <v>1.2</v>
      </c>
      <c r="B40" s="47">
        <v>2.5129159693196734</v>
      </c>
      <c r="C40" s="47">
        <v>4.477499618021283</v>
      </c>
      <c r="D40" s="47">
        <v>6.418687097845869</v>
      </c>
      <c r="E40" s="47">
        <v>10.272470240230074</v>
      </c>
      <c r="F40" s="47">
        <v>14.107879645971439</v>
      </c>
    </row>
    <row r="41">
      <c r="A41" s="50" t="n">
        <v>1.4</v>
      </c>
      <c r="B41" s="47">
        <v>3.129793761838278</v>
      </c>
      <c r="C41" s="47">
        <v>5.406582868067781</v>
      </c>
      <c r="D41" s="47">
        <v>7.663814556525459</v>
      </c>
      <c r="E41" s="47">
        <v>12.152534452817559</v>
      </c>
      <c r="F41" s="47">
        <v>16.62045127084186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AC Immune AG: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Alzheimer's disease</t>
        </is>
      </c>
      <c r="C4" s="14" t="inlineStr">
        <is>
          <t>ACI-35.030, ACI-24.060 at Dose A in Study Part 1a</t>
        </is>
      </c>
      <c r="D4" s="14" t="inlineStr">
        <is>
          <t>Phase 1/2</t>
        </is>
      </c>
      <c r="E4" s="14" t="inlineStr">
        <is>
          <t>Neurology / chronic</t>
        </is>
      </c>
      <c r="F4" s="14" t="inlineStr">
        <is>
          <t>Owned</t>
        </is>
      </c>
      <c r="G4" s="40" t="n">
        <v>4000</v>
      </c>
      <c r="H4" s="27" t="n">
        <v>0.0863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327.6279511966952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34.52</v>
      </c>
      <c r="T4" s="23">
        <f>IF(T$3&lt;$I4,0,$G4*Assumptions!$E$11*INDEX(Assumptions!$B$24:$G$24,MIN(6,T$3-$I4+1))*IF(T$3&gt;$J4,(1-Assumptions!$B$26)^(T$3-$J4),1)*IF($H4&gt;=1,1,MIN(0.97,$H4*Assumptions!$E$12)))</f>
        <v>86.3</v>
      </c>
      <c r="U4" s="23">
        <f>IF(U$3&lt;$I4,0,$G4*Assumptions!$E$11*INDEX(Assumptions!$B$24:$G$24,MIN(6,U$3-$I4+1))*IF(U$3&gt;$J4,(1-Assumptions!$B$26)^(U$3-$J4),1)*IF($H4&gt;=1,1,MIN(0.97,$H4*Assumptions!$E$12)))</f>
        <v>155.34</v>
      </c>
      <c r="V4" s="23">
        <f>IF(V$3&lt;$I4,0,$G4*Assumptions!$E$11*INDEX(Assumptions!$B$24:$G$24,MIN(6,V$3-$I4+1))*IF(V$3&gt;$J4,(1-Assumptions!$B$26)^(V$3-$J4),1)*IF($H4&gt;=1,1,MIN(0.97,$H4*Assumptions!$E$12)))</f>
        <v>224.38</v>
      </c>
      <c r="W4" s="23">
        <f>IF(W$3&lt;$I4,0,$G4*Assumptions!$E$11*INDEX(Assumptions!$B$24:$G$24,MIN(6,W$3-$I4+1))*IF(W$3&gt;$J4,(1-Assumptions!$B$26)^(W$3-$J4),1)*IF($H4&gt;=1,1,MIN(0.97,$H4*Assumptions!$E$12)))</f>
        <v>293.42</v>
      </c>
      <c r="X4" s="23">
        <f>IF(X$3&lt;$I4,0,$G4*Assumptions!$E$11*INDEX(Assumptions!$B$24:$G$24,MIN(6,X$3-$I4+1))*IF(X$3&gt;$J4,(1-Assumptions!$B$26)^(X$3-$J4),1)*IF($H4&gt;=1,1,MIN(0.97,$H4*Assumptions!$E$12)))</f>
        <v>345.2</v>
      </c>
      <c r="Y4" s="23">
        <f>IF(Y$3&lt;$I4,0,$G4*Assumptions!$E$11*INDEX(Assumptions!$B$24:$G$24,MIN(6,Y$3-$I4+1))*IF(Y$3&gt;$J4,(1-Assumptions!$B$26)^(Y$3-$J4),1)*IF($H4&gt;=1,1,MIN(0.97,$H4*Assumptions!$E$12)))</f>
        <v>345.2</v>
      </c>
      <c r="Z4" s="23">
        <f>IF(Z$3&lt;$I4,0,$G4*Assumptions!$E$11*INDEX(Assumptions!$B$24:$G$24,MIN(6,Z$3-$I4+1))*IF(Z$3&gt;$J4,(1-Assumptions!$B$26)^(Z$3-$J4),1)*IF($H4&gt;=1,1,MIN(0.97,$H4*Assumptions!$E$12)))</f>
        <v>345.2</v>
      </c>
      <c r="AA4" s="23">
        <f>IF(AA$3&lt;$I4,0,$G4*Assumptions!$E$11*INDEX(Assumptions!$B$24:$G$24,MIN(6,AA$3-$I4+1))*IF(AA$3&gt;$J4,(1-Assumptions!$B$26)^(AA$3-$J4),1)*IF($H4&gt;=1,1,MIN(0.97,$H4*Assumptions!$E$12)))</f>
        <v>345.2</v>
      </c>
      <c r="AB4" s="23">
        <f>IF(AB$3&lt;$I4,0,$G4*Assumptions!$E$11*INDEX(Assumptions!$B$24:$G$24,MIN(6,AB$3-$I4+1))*IF(AB$3&gt;$J4,(1-Assumptions!$B$26)^(AB$3-$J4),1)*IF($H4&gt;=1,1,MIN(0.97,$H4*Assumptions!$E$12)))</f>
        <v>345.2</v>
      </c>
      <c r="AC4" s="23">
        <f>IF(AC$3&lt;$I4,0,$G4*Assumptions!$E$11*INDEX(Assumptions!$B$24:$G$24,MIN(6,AC$3-$I4+1))*IF(AC$3&gt;$J4,(1-Assumptions!$B$26)^(AC$3-$J4),1)*IF($H4&gt;=1,1,MIN(0.97,$H4*Assumptions!$E$12)))</f>
        <v>345.2</v>
      </c>
      <c r="AD4" s="23">
        <f>IF(AD$3&lt;$I4,0,$G4*Assumptions!$E$11*INDEX(Assumptions!$B$24:$G$24,MIN(6,AD$3-$I4+1))*IF(AD$3&gt;$J4,(1-Assumptions!$B$26)^(AD$3-$J4),1)*IF($H4&gt;=1,1,MIN(0.97,$H4*Assumptions!$E$12)))</f>
        <v>345.2</v>
      </c>
      <c r="AE4" s="23">
        <f>IF(AE$3&lt;$I4,0,$G4*Assumptions!$E$11*INDEX(Assumptions!$B$24:$G$24,MIN(6,AE$3-$I4+1))*IF(AE$3&gt;$J4,(1-Assumptions!$B$26)^(AE$3-$J4),1)*IF($H4&gt;=1,1,MIN(0.97,$H4*Assumptions!$E$12)))</f>
        <v>345.2</v>
      </c>
      <c r="AF4" s="23">
        <f>IF(AF$3&lt;$I4,0,$G4*Assumptions!$E$11*INDEX(Assumptions!$B$24:$G$24,MIN(6,AF$3-$I4+1))*IF(AF$3&gt;$J4,(1-Assumptions!$B$26)^(AF$3-$J4),1)*IF($H4&gt;=1,1,MIN(0.97,$H4*Assumptions!$E$12)))</f>
        <v>172.6</v>
      </c>
      <c r="AG4" s="35">
        <f>IF(F4="Owned",1-IF(H4&gt;=1,1,MIN(0.97,H4*Assumptions!$E$12)),1)</f>
        <v>0.9137</v>
      </c>
    </row>
    <row r="5">
      <c r="A5" s="39" t="n">
        <v>2</v>
      </c>
      <c r="B5" s="14" t="inlineStr">
        <is>
          <t>Obesity</t>
        </is>
      </c>
      <c r="C5" s="14" t="inlineStr">
        <is>
          <t>ACI-19764 at dose A1, ACI-19764 at dose A2</t>
        </is>
      </c>
      <c r="D5" s="14" t="inlineStr">
        <is>
          <t>Phase 1</t>
        </is>
      </c>
      <c r="E5" s="14" t="inlineStr">
        <is>
          <t>Metabolic / chronic</t>
        </is>
      </c>
      <c r="F5" s="14" t="inlineStr">
        <is>
          <t>Owned</t>
        </is>
      </c>
      <c r="G5" s="40" t="n">
        <v>6000</v>
      </c>
      <c r="H5" s="27" t="n">
        <v>0.0585</v>
      </c>
      <c r="I5" s="26" t="n">
        <v>2033</v>
      </c>
      <c r="J5" s="39">
        <f>I5+Assumptions!$B$25</f>
        <v>2045.0</v>
      </c>
      <c r="K5" s="53">
        <f>Assumptions!$E$13</f>
        <v>0.4</v>
      </c>
      <c r="L5" s="23">
        <f>K5*SUMPRODUCT(M5:AF5,NPV!$C$15:$V$15)</f>
        <v>290.56341486639496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0</v>
      </c>
      <c r="T5" s="23">
        <f>IF(T$3&lt;$I5,0,$G5*Assumptions!$E$11*INDEX(Assumptions!$B$24:$G$24,MIN(6,T$3-$I5+1))*IF(T$3&gt;$J5,(1-Assumptions!$B$26)^(T$3-$J5),1)*IF($H5&gt;=1,1,MIN(0.97,$H5*Assumptions!$E$12)))</f>
        <v>35.1</v>
      </c>
      <c r="U5" s="23">
        <f>IF(U$3&lt;$I5,0,$G5*Assumptions!$E$11*INDEX(Assumptions!$B$24:$G$24,MIN(6,U$3-$I5+1))*IF(U$3&gt;$J5,(1-Assumptions!$B$26)^(U$3-$J5),1)*IF($H5&gt;=1,1,MIN(0.97,$H5*Assumptions!$E$12)))</f>
        <v>87.75</v>
      </c>
      <c r="V5" s="23">
        <f>IF(V$3&lt;$I5,0,$G5*Assumptions!$E$11*INDEX(Assumptions!$B$24:$G$24,MIN(6,V$3-$I5+1))*IF(V$3&gt;$J5,(1-Assumptions!$B$26)^(V$3-$J5),1)*IF($H5&gt;=1,1,MIN(0.97,$H5*Assumptions!$E$12)))</f>
        <v>157.95000000000002</v>
      </c>
      <c r="W5" s="23">
        <f>IF(W$3&lt;$I5,0,$G5*Assumptions!$E$11*INDEX(Assumptions!$B$24:$G$24,MIN(6,W$3-$I5+1))*IF(W$3&gt;$J5,(1-Assumptions!$B$26)^(W$3-$J5),1)*IF($H5&gt;=1,1,MIN(0.97,$H5*Assumptions!$E$12)))</f>
        <v>228.15</v>
      </c>
      <c r="X5" s="23">
        <f>IF(X$3&lt;$I5,0,$G5*Assumptions!$E$11*INDEX(Assumptions!$B$24:$G$24,MIN(6,X$3-$I5+1))*IF(X$3&gt;$J5,(1-Assumptions!$B$26)^(X$3-$J5),1)*IF($H5&gt;=1,1,MIN(0.97,$H5*Assumptions!$E$12)))</f>
        <v>298.35</v>
      </c>
      <c r="Y5" s="23">
        <f>IF(Y$3&lt;$I5,0,$G5*Assumptions!$E$11*INDEX(Assumptions!$B$24:$G$24,MIN(6,Y$3-$I5+1))*IF(Y$3&gt;$J5,(1-Assumptions!$B$26)^(Y$3-$J5),1)*IF($H5&gt;=1,1,MIN(0.97,$H5*Assumptions!$E$12)))</f>
        <v>351.0</v>
      </c>
      <c r="Z5" s="23">
        <f>IF(Z$3&lt;$I5,0,$G5*Assumptions!$E$11*INDEX(Assumptions!$B$24:$G$24,MIN(6,Z$3-$I5+1))*IF(Z$3&gt;$J5,(1-Assumptions!$B$26)^(Z$3-$J5),1)*IF($H5&gt;=1,1,MIN(0.97,$H5*Assumptions!$E$12)))</f>
        <v>351.0</v>
      </c>
      <c r="AA5" s="23">
        <f>IF(AA$3&lt;$I5,0,$G5*Assumptions!$E$11*INDEX(Assumptions!$B$24:$G$24,MIN(6,AA$3-$I5+1))*IF(AA$3&gt;$J5,(1-Assumptions!$B$26)^(AA$3-$J5),1)*IF($H5&gt;=1,1,MIN(0.97,$H5*Assumptions!$E$12)))</f>
        <v>351.0</v>
      </c>
      <c r="AB5" s="23">
        <f>IF(AB$3&lt;$I5,0,$G5*Assumptions!$E$11*INDEX(Assumptions!$B$24:$G$24,MIN(6,AB$3-$I5+1))*IF(AB$3&gt;$J5,(1-Assumptions!$B$26)^(AB$3-$J5),1)*IF($H5&gt;=1,1,MIN(0.97,$H5*Assumptions!$E$12)))</f>
        <v>351.0</v>
      </c>
      <c r="AC5" s="23">
        <f>IF(AC$3&lt;$I5,0,$G5*Assumptions!$E$11*INDEX(Assumptions!$B$24:$G$24,MIN(6,AC$3-$I5+1))*IF(AC$3&gt;$J5,(1-Assumptions!$B$26)^(AC$3-$J5),1)*IF($H5&gt;=1,1,MIN(0.97,$H5*Assumptions!$E$12)))</f>
        <v>351.0</v>
      </c>
      <c r="AD5" s="23">
        <f>IF(AD$3&lt;$I5,0,$G5*Assumptions!$E$11*INDEX(Assumptions!$B$24:$G$24,MIN(6,AD$3-$I5+1))*IF(AD$3&gt;$J5,(1-Assumptions!$B$26)^(AD$3-$J5),1)*IF($H5&gt;=1,1,MIN(0.97,$H5*Assumptions!$E$12)))</f>
        <v>351.0</v>
      </c>
      <c r="AE5" s="23">
        <f>IF(AE$3&lt;$I5,0,$G5*Assumptions!$E$11*INDEX(Assumptions!$B$24:$G$24,MIN(6,AE$3-$I5+1))*IF(AE$3&gt;$J5,(1-Assumptions!$B$26)^(AE$3-$J5),1)*IF($H5&gt;=1,1,MIN(0.97,$H5*Assumptions!$E$12)))</f>
        <v>351.0</v>
      </c>
      <c r="AF5" s="23">
        <f>IF(AF$3&lt;$I5,0,$G5*Assumptions!$E$11*INDEX(Assumptions!$B$24:$G$24,MIN(6,AF$3-$I5+1))*IF(AF$3&gt;$J5,(1-Assumptions!$B$26)^(AF$3-$J5),1)*IF($H5&gt;=1,1,MIN(0.97,$H5*Assumptions!$E$12)))</f>
        <v>351.0</v>
      </c>
      <c r="AG5" s="35">
        <f>IF(F5="Owned",1-IF(H5&gt;=1,1,MIN(0.97,H5*Assumptions!$E$12)),1)</f>
        <v>0.9415</v>
      </c>
    </row>
    <row r="6">
      <c r="A6" s="39" t="n">
        <v>3</v>
      </c>
      <c r="B6" s="14" t="inlineStr">
        <is>
          <t>Parkinson's disease</t>
        </is>
      </c>
      <c r="C6" s="14" t="inlineStr">
        <is>
          <t>ACI-7104.056 at Dose A, ACI-7104.056 at Dose B (optional)</t>
        </is>
      </c>
      <c r="D6" s="14" t="inlineStr">
        <is>
          <t>Phase 2</t>
        </is>
      </c>
      <c r="E6" s="14" t="inlineStr">
        <is>
          <t>Neurology / area</t>
        </is>
      </c>
      <c r="F6" s="14" t="inlineStr">
        <is>
          <t>Owned</t>
        </is>
      </c>
      <c r="G6" s="40" t="n">
        <v>1500</v>
      </c>
      <c r="H6" s="27" t="n">
        <v>0.1234</v>
      </c>
      <c r="I6" s="26" t="n">
        <v>2031</v>
      </c>
      <c r="J6" s="39">
        <f>I6+Assumptions!$B$25</f>
        <v>2043.0</v>
      </c>
      <c r="K6" s="53">
        <f>Assumptions!$E$13</f>
        <v>0.4</v>
      </c>
      <c r="L6" s="23">
        <f>K6*SUMPRODUCT(M6:AF6,NPV!$C$15:$V$15)</f>
        <v>198.78974021184104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18.509999999999998</v>
      </c>
      <c r="S6" s="23">
        <f>IF(S$3&lt;$I6,0,$G6*Assumptions!$E$11*INDEX(Assumptions!$B$24:$G$24,MIN(6,S$3-$I6+1))*IF(S$3&gt;$J6,(1-Assumptions!$B$26)^(S$3-$J6),1)*IF($H6&gt;=1,1,MIN(0.97,$H6*Assumptions!$E$12)))</f>
        <v>46.275</v>
      </c>
      <c r="T6" s="23">
        <f>IF(T$3&lt;$I6,0,$G6*Assumptions!$E$11*INDEX(Assumptions!$B$24:$G$24,MIN(6,T$3-$I6+1))*IF(T$3&gt;$J6,(1-Assumptions!$B$26)^(T$3-$J6),1)*IF($H6&gt;=1,1,MIN(0.97,$H6*Assumptions!$E$12)))</f>
        <v>83.295</v>
      </c>
      <c r="U6" s="23">
        <f>IF(U$3&lt;$I6,0,$G6*Assumptions!$E$11*INDEX(Assumptions!$B$24:$G$24,MIN(6,U$3-$I6+1))*IF(U$3&gt;$J6,(1-Assumptions!$B$26)^(U$3-$J6),1)*IF($H6&gt;=1,1,MIN(0.97,$H6*Assumptions!$E$12)))</f>
        <v>120.315</v>
      </c>
      <c r="V6" s="23">
        <f>IF(V$3&lt;$I6,0,$G6*Assumptions!$E$11*INDEX(Assumptions!$B$24:$G$24,MIN(6,V$3-$I6+1))*IF(V$3&gt;$J6,(1-Assumptions!$B$26)^(V$3-$J6),1)*IF($H6&gt;=1,1,MIN(0.97,$H6*Assumptions!$E$12)))</f>
        <v>157.335</v>
      </c>
      <c r="W6" s="23">
        <f>IF(W$3&lt;$I6,0,$G6*Assumptions!$E$11*INDEX(Assumptions!$B$24:$G$24,MIN(6,W$3-$I6+1))*IF(W$3&gt;$J6,(1-Assumptions!$B$26)^(W$3-$J6),1)*IF($H6&gt;=1,1,MIN(0.97,$H6*Assumptions!$E$12)))</f>
        <v>185.1</v>
      </c>
      <c r="X6" s="23">
        <f>IF(X$3&lt;$I6,0,$G6*Assumptions!$E$11*INDEX(Assumptions!$B$24:$G$24,MIN(6,X$3-$I6+1))*IF(X$3&gt;$J6,(1-Assumptions!$B$26)^(X$3-$J6),1)*IF($H6&gt;=1,1,MIN(0.97,$H6*Assumptions!$E$12)))</f>
        <v>185.1</v>
      </c>
      <c r="Y6" s="23">
        <f>IF(Y$3&lt;$I6,0,$G6*Assumptions!$E$11*INDEX(Assumptions!$B$24:$G$24,MIN(6,Y$3-$I6+1))*IF(Y$3&gt;$J6,(1-Assumptions!$B$26)^(Y$3-$J6),1)*IF($H6&gt;=1,1,MIN(0.97,$H6*Assumptions!$E$12)))</f>
        <v>185.1</v>
      </c>
      <c r="Z6" s="23">
        <f>IF(Z$3&lt;$I6,0,$G6*Assumptions!$E$11*INDEX(Assumptions!$B$24:$G$24,MIN(6,Z$3-$I6+1))*IF(Z$3&gt;$J6,(1-Assumptions!$B$26)^(Z$3-$J6),1)*IF($H6&gt;=1,1,MIN(0.97,$H6*Assumptions!$E$12)))</f>
        <v>185.1</v>
      </c>
      <c r="AA6" s="23">
        <f>IF(AA$3&lt;$I6,0,$G6*Assumptions!$E$11*INDEX(Assumptions!$B$24:$G$24,MIN(6,AA$3-$I6+1))*IF(AA$3&gt;$J6,(1-Assumptions!$B$26)^(AA$3-$J6),1)*IF($H6&gt;=1,1,MIN(0.97,$H6*Assumptions!$E$12)))</f>
        <v>185.1</v>
      </c>
      <c r="AB6" s="23">
        <f>IF(AB$3&lt;$I6,0,$G6*Assumptions!$E$11*INDEX(Assumptions!$B$24:$G$24,MIN(6,AB$3-$I6+1))*IF(AB$3&gt;$J6,(1-Assumptions!$B$26)^(AB$3-$J6),1)*IF($H6&gt;=1,1,MIN(0.97,$H6*Assumptions!$E$12)))</f>
        <v>185.1</v>
      </c>
      <c r="AC6" s="23">
        <f>IF(AC$3&lt;$I6,0,$G6*Assumptions!$E$11*INDEX(Assumptions!$B$24:$G$24,MIN(6,AC$3-$I6+1))*IF(AC$3&gt;$J6,(1-Assumptions!$B$26)^(AC$3-$J6),1)*IF($H6&gt;=1,1,MIN(0.97,$H6*Assumptions!$E$12)))</f>
        <v>185.1</v>
      </c>
      <c r="AD6" s="23">
        <f>IF(AD$3&lt;$I6,0,$G6*Assumptions!$E$11*INDEX(Assumptions!$B$24:$G$24,MIN(6,AD$3-$I6+1))*IF(AD$3&gt;$J6,(1-Assumptions!$B$26)^(AD$3-$J6),1)*IF($H6&gt;=1,1,MIN(0.97,$H6*Assumptions!$E$12)))</f>
        <v>185.1</v>
      </c>
      <c r="AE6" s="23">
        <f>IF(AE$3&lt;$I6,0,$G6*Assumptions!$E$11*INDEX(Assumptions!$B$24:$G$24,MIN(6,AE$3-$I6+1))*IF(AE$3&gt;$J6,(1-Assumptions!$B$26)^(AE$3-$J6),1)*IF($H6&gt;=1,1,MIN(0.97,$H6*Assumptions!$E$12)))</f>
        <v>92.55</v>
      </c>
      <c r="AF6" s="23">
        <f>IF(AF$3&lt;$I6,0,$G6*Assumptions!$E$11*INDEX(Assumptions!$B$24:$G$24,MIN(6,AF$3-$I6+1))*IF(AF$3&gt;$J6,(1-Assumptions!$B$26)^(AF$3-$J6),1)*IF($H6&gt;=1,1,MIN(0.97,$H6*Assumptions!$E$12)))</f>
        <v>46.275</v>
      </c>
      <c r="AG6" s="35">
        <f>IF(F6="Owned",1-IF(H6&gt;=1,1,MIN(0.97,H6*Assumptions!$E$12)),1)</f>
        <v>0.8766</v>
      </c>
    </row>
    <row r="7">
      <c r="B7" s="24" t="inlineStr">
        <is>
          <t>Risked revenue</t>
        </is>
      </c>
      <c r="L7" s="54">
        <f>SUM(L4:L6)</f>
        <v>816.9811062749312</v>
      </c>
      <c r="M7" s="54">
        <f>SUM(M4:M6)</f>
        <v>0.0</v>
      </c>
      <c r="N7" s="54">
        <f>SUM(N4:N6)</f>
        <v>0.0</v>
      </c>
      <c r="O7" s="54">
        <f>SUM(O4:O6)</f>
        <v>0.0</v>
      </c>
      <c r="P7" s="54">
        <f>SUM(P4:P6)</f>
        <v>0.0</v>
      </c>
      <c r="Q7" s="54">
        <f>SUM(Q4:Q6)</f>
        <v>0.0</v>
      </c>
      <c r="R7" s="54">
        <f>SUM(R4:R6)</f>
        <v>18.509999999999998</v>
      </c>
      <c r="S7" s="54">
        <f>SUM(S4:S6)</f>
        <v>80.795</v>
      </c>
      <c r="T7" s="54">
        <f>SUM(T4:T6)</f>
        <v>204.695</v>
      </c>
      <c r="U7" s="54">
        <f>SUM(U4:U6)</f>
        <v>363.405</v>
      </c>
      <c r="V7" s="54">
        <f>SUM(V4:V6)</f>
        <v>539.6650000000001</v>
      </c>
      <c r="W7" s="54">
        <f>SUM(W4:W6)</f>
        <v>706.6700000000001</v>
      </c>
      <c r="X7" s="54">
        <f>SUM(X4:X6)</f>
        <v>828.65</v>
      </c>
      <c r="Y7" s="54">
        <f>SUM(Y4:Y6)</f>
        <v>881.3000000000001</v>
      </c>
      <c r="Z7" s="54">
        <f>SUM(Z4:Z6)</f>
        <v>881.3000000000001</v>
      </c>
      <c r="AA7" s="54">
        <f>SUM(AA4:AA6)</f>
        <v>881.3000000000001</v>
      </c>
      <c r="AB7" s="54">
        <f>SUM(AB4:AB6)</f>
        <v>881.3000000000001</v>
      </c>
      <c r="AC7" s="54">
        <f>SUM(AC4:AC6)</f>
        <v>881.3000000000001</v>
      </c>
      <c r="AD7" s="54">
        <f>SUM(AD4:AD6)</f>
        <v>881.3000000000001</v>
      </c>
      <c r="AE7" s="54">
        <f>SUM(AE4:AE6)</f>
        <v>788.75</v>
      </c>
      <c r="AF7" s="54">
        <f>SUM(AF4:AF6)</f>
        <v>569.875</v>
      </c>
    </row>
    <row r="8">
      <c r="B8" s="24" t="inlineStr">
        <is>
          <t>Risked contribution (revenue x share)</t>
        </is>
      </c>
      <c r="M8" s="55">
        <f>SUMPRODUCT(M4:M6,$K$4:$K$6)</f>
        <v>0.0</v>
      </c>
      <c r="N8" s="55">
        <f>SUMPRODUCT(N4:N6,$K$4:$K$6)</f>
        <v>0.0</v>
      </c>
      <c r="O8" s="55">
        <f>SUMPRODUCT(O4:O6,$K$4:$K$6)</f>
        <v>0.0</v>
      </c>
      <c r="P8" s="55">
        <f>SUMPRODUCT(P4:P6,$K$4:$K$6)</f>
        <v>0.0</v>
      </c>
      <c r="Q8" s="55">
        <f>SUMPRODUCT(Q4:Q6,$K$4:$K$6)</f>
        <v>0.0</v>
      </c>
      <c r="R8" s="55">
        <f>SUMPRODUCT(R4:R6,$K$4:$K$6)</f>
        <v>7.404</v>
      </c>
      <c r="S8" s="55">
        <f>SUMPRODUCT(S4:S6,$K$4:$K$6)</f>
        <v>32.318000000000005</v>
      </c>
      <c r="T8" s="55">
        <f>SUMPRODUCT(T4:T6,$K$4:$K$6)</f>
        <v>81.87800000000001</v>
      </c>
      <c r="U8" s="55">
        <f>SUMPRODUCT(U4:U6,$K$4:$K$6)</f>
        <v>145.36200000000002</v>
      </c>
      <c r="V8" s="55">
        <f>SUMPRODUCT(V4:V6,$K$4:$K$6)</f>
        <v>215.866</v>
      </c>
      <c r="W8" s="55">
        <f>SUMPRODUCT(W4:W6,$K$4:$K$6)</f>
        <v>282.668</v>
      </c>
      <c r="X8" s="55">
        <f>SUMPRODUCT(X4:X6,$K$4:$K$6)</f>
        <v>331.46000000000004</v>
      </c>
      <c r="Y8" s="55">
        <f>SUMPRODUCT(Y4:Y6,$K$4:$K$6)</f>
        <v>352.52000000000004</v>
      </c>
      <c r="Z8" s="55">
        <f>SUMPRODUCT(Z4:Z6,$K$4:$K$6)</f>
        <v>352.52000000000004</v>
      </c>
      <c r="AA8" s="55">
        <f>SUMPRODUCT(AA4:AA6,$K$4:$K$6)</f>
        <v>352.52000000000004</v>
      </c>
      <c r="AB8" s="55">
        <f>SUMPRODUCT(AB4:AB6,$K$4:$K$6)</f>
        <v>352.52000000000004</v>
      </c>
      <c r="AC8" s="55">
        <f>SUMPRODUCT(AC4:AC6,$K$4:$K$6)</f>
        <v>352.52000000000004</v>
      </c>
      <c r="AD8" s="55">
        <f>SUMPRODUCT(AD4:AD6,$K$4:$K$6)</f>
        <v>352.52000000000004</v>
      </c>
      <c r="AE8" s="55">
        <f>SUMPRODUCT(AE4:AE6,$K$4:$K$6)</f>
        <v>315.5</v>
      </c>
      <c r="AF8" s="55">
        <f>SUMPRODUCT(AF4:AF6,$K$4:$K$6)</f>
        <v>227.95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AC Immune AG: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Pipeline!M7</f>
        <v>0.0</v>
      </c>
      <c r="D4" s="57">
        <f>Pipeline!N7</f>
        <v>0.0</v>
      </c>
      <c r="E4" s="57">
        <f>Pipeline!O7</f>
        <v>0.0</v>
      </c>
      <c r="F4" s="57">
        <f>Pipeline!P7</f>
        <v>0.0</v>
      </c>
      <c r="G4" s="57">
        <f>Pipeline!Q7</f>
        <v>0.0</v>
      </c>
      <c r="H4" s="57">
        <f>Pipeline!R7</f>
        <v>18.509999999999998</v>
      </c>
      <c r="I4" s="57">
        <f>Pipeline!S7</f>
        <v>80.795</v>
      </c>
      <c r="J4" s="57">
        <f>Pipeline!T7</f>
        <v>204.695</v>
      </c>
      <c r="K4" s="57">
        <f>Pipeline!U7</f>
        <v>363.405</v>
      </c>
      <c r="L4" s="57">
        <f>Pipeline!V7</f>
        <v>539.6650000000001</v>
      </c>
      <c r="M4" s="57">
        <f>Pipeline!W7</f>
        <v>706.6700000000001</v>
      </c>
      <c r="N4" s="57">
        <f>Pipeline!X7</f>
        <v>828.65</v>
      </c>
      <c r="O4" s="57">
        <f>Pipeline!Y7</f>
        <v>881.3000000000001</v>
      </c>
      <c r="P4" s="57">
        <f>Pipeline!Z7</f>
        <v>881.3000000000001</v>
      </c>
      <c r="Q4" s="57">
        <f>Pipeline!AA7</f>
        <v>881.3000000000001</v>
      </c>
      <c r="R4" s="57">
        <f>Pipeline!AB7</f>
        <v>881.3000000000001</v>
      </c>
      <c r="S4" s="57">
        <f>Pipeline!AC7</f>
        <v>881.3000000000001</v>
      </c>
      <c r="T4" s="57">
        <f>Pipeline!AD7</f>
        <v>881.3000000000001</v>
      </c>
      <c r="U4" s="57">
        <f>Pipeline!AE7</f>
        <v>788.75</v>
      </c>
      <c r="V4" s="57">
        <f>Pipeline!AF7</f>
        <v>569.875</v>
      </c>
    </row>
    <row r="5">
      <c r="A5" s="14" t="inlineStr">
        <is>
          <t>Risked contribution</t>
        </is>
      </c>
      <c r="C5" s="57">
        <f>Pipeline!M8</f>
        <v>0.0</v>
      </c>
      <c r="D5" s="57">
        <f>Pipeline!N8</f>
        <v>0.0</v>
      </c>
      <c r="E5" s="57">
        <f>Pipeline!O8</f>
        <v>0.0</v>
      </c>
      <c r="F5" s="57">
        <f>Pipeline!P8</f>
        <v>0.0</v>
      </c>
      <c r="G5" s="57">
        <f>Pipeline!Q8</f>
        <v>0.0</v>
      </c>
      <c r="H5" s="57">
        <f>Pipeline!R8</f>
        <v>7.404</v>
      </c>
      <c r="I5" s="57">
        <f>Pipeline!S8</f>
        <v>32.318000000000005</v>
      </c>
      <c r="J5" s="57">
        <f>Pipeline!T8</f>
        <v>81.87800000000001</v>
      </c>
      <c r="K5" s="57">
        <f>Pipeline!U8</f>
        <v>145.36200000000002</v>
      </c>
      <c r="L5" s="57">
        <f>Pipeline!V8</f>
        <v>215.866</v>
      </c>
      <c r="M5" s="57">
        <f>Pipeline!W8</f>
        <v>282.668</v>
      </c>
      <c r="N5" s="57">
        <f>Pipeline!X8</f>
        <v>331.46000000000004</v>
      </c>
      <c r="O5" s="57">
        <f>Pipeline!Y8</f>
        <v>352.52000000000004</v>
      </c>
      <c r="P5" s="57">
        <f>Pipeline!Z8</f>
        <v>352.52000000000004</v>
      </c>
      <c r="Q5" s="57">
        <f>Pipeline!AA8</f>
        <v>352.52000000000004</v>
      </c>
      <c r="R5" s="57">
        <f>Pipeline!AB8</f>
        <v>352.52000000000004</v>
      </c>
      <c r="S5" s="57">
        <f>Pipeline!AC8</f>
        <v>352.52000000000004</v>
      </c>
      <c r="T5" s="57">
        <f>Pipeline!AD8</f>
        <v>352.52000000000004</v>
      </c>
      <c r="U5" s="57">
        <f>Pipeline!AE8</f>
        <v>315.5</v>
      </c>
      <c r="V5" s="57">
        <f>Pipeline!AF8</f>
        <v>227.95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-84.128</v>
      </c>
      <c r="D6" s="23">
        <f>-IF(D3-2026&lt;Assumptions!$B$19,Assumptions!$B$18,Assumptions!$B$18*Assumptions!$B$20*Assumptions!$B$16)</f>
        <v>-84.128</v>
      </c>
      <c r="E6" s="23">
        <f>-IF(E3-2026&lt;Assumptions!$B$19,Assumptions!$B$18,Assumptions!$B$18*Assumptions!$B$20*Assumptions!$B$16)</f>
        <v>-84.128</v>
      </c>
      <c r="F6" s="23">
        <f>-IF(F3-2026&lt;Assumptions!$B$19,Assumptions!$B$18,Assumptions!$B$18*Assumptions!$B$20*Assumptions!$B$16)</f>
        <v>-84.128</v>
      </c>
      <c r="G6" s="23">
        <f>-IF(G3-2026&lt;Assumptions!$B$19,Assumptions!$B$18,Assumptions!$B$18*Assumptions!$B$20*Assumptions!$B$16)</f>
        <v>-6.206277046013088</v>
      </c>
      <c r="H6" s="23">
        <f>-IF(H3-2026&lt;Assumptions!$B$19,Assumptions!$B$18,Assumptions!$B$18*Assumptions!$B$20*Assumptions!$B$16)</f>
        <v>-6.206277046013088</v>
      </c>
      <c r="I6" s="23">
        <f>-IF(I3-2026&lt;Assumptions!$B$19,Assumptions!$B$18,Assumptions!$B$18*Assumptions!$B$20*Assumptions!$B$16)</f>
        <v>-6.206277046013088</v>
      </c>
      <c r="J6" s="23">
        <f>-IF(J3-2026&lt;Assumptions!$B$19,Assumptions!$B$18,Assumptions!$B$18*Assumptions!$B$20*Assumptions!$B$16)</f>
        <v>-6.206277046013088</v>
      </c>
      <c r="K6" s="23">
        <f>-IF(K3-2026&lt;Assumptions!$B$19,Assumptions!$B$18,Assumptions!$B$18*Assumptions!$B$20*Assumptions!$B$16)</f>
        <v>-6.206277046013088</v>
      </c>
      <c r="L6" s="23">
        <f>-IF(L3-2026&lt;Assumptions!$B$19,Assumptions!$B$18,Assumptions!$B$18*Assumptions!$B$20*Assumptions!$B$16)</f>
        <v>-6.206277046013088</v>
      </c>
      <c r="M6" s="23">
        <f>-IF(M3-2026&lt;Assumptions!$B$19,Assumptions!$B$18,Assumptions!$B$18*Assumptions!$B$20*Assumptions!$B$16)</f>
        <v>-6.206277046013088</v>
      </c>
      <c r="N6" s="23">
        <f>-IF(N3-2026&lt;Assumptions!$B$19,Assumptions!$B$18,Assumptions!$B$18*Assumptions!$B$20*Assumptions!$B$16)</f>
        <v>-6.206277046013088</v>
      </c>
      <c r="O6" s="23">
        <f>-IF(O3-2026&lt;Assumptions!$B$19,Assumptions!$B$18,Assumptions!$B$18*Assumptions!$B$20*Assumptions!$B$16)</f>
        <v>-6.206277046013088</v>
      </c>
      <c r="P6" s="23">
        <f>-IF(P3-2026&lt;Assumptions!$B$19,Assumptions!$B$18,Assumptions!$B$18*Assumptions!$B$20*Assumptions!$B$16)</f>
        <v>-6.206277046013088</v>
      </c>
      <c r="Q6" s="23">
        <f>-IF(Q3-2026&lt;Assumptions!$B$19,Assumptions!$B$18,Assumptions!$B$18*Assumptions!$B$20*Assumptions!$B$16)</f>
        <v>-6.206277046013088</v>
      </c>
      <c r="R6" s="23">
        <f>-IF(R3-2026&lt;Assumptions!$B$19,Assumptions!$B$18,Assumptions!$B$18*Assumptions!$B$20*Assumptions!$B$16)</f>
        <v>-6.206277046013088</v>
      </c>
      <c r="S6" s="23">
        <f>-IF(S3-2026&lt;Assumptions!$B$19,Assumptions!$B$18,Assumptions!$B$18*Assumptions!$B$20*Assumptions!$B$16)</f>
        <v>-6.206277046013088</v>
      </c>
      <c r="T6" s="23">
        <f>-IF(T3-2026&lt;Assumptions!$B$19,Assumptions!$B$18,Assumptions!$B$18*Assumptions!$B$20*Assumptions!$B$16)</f>
        <v>-6.206277046013088</v>
      </c>
      <c r="U6" s="23">
        <f>-IF(U3-2026&lt;Assumptions!$B$19,Assumptions!$B$18,Assumptions!$B$18*Assumptions!$B$20*Assumptions!$B$16)</f>
        <v>-6.206277046013088</v>
      </c>
      <c r="V6" s="23">
        <f>-IF(V3-2026&lt;Assumptions!$B$19,Assumptions!$B$18,Assumptions!$B$18*Assumptions!$B$20*Assumptions!$B$16)</f>
        <v>-6.206277046013088</v>
      </c>
    </row>
    <row r="7">
      <c r="A7" s="14" t="inlineStr">
        <is>
          <t>Pre-tax cash flow</t>
        </is>
      </c>
      <c r="C7" s="23">
        <f>C5+C6</f>
        <v>-84.128</v>
      </c>
      <c r="D7" s="23">
        <f>D5+D6</f>
        <v>-84.128</v>
      </c>
      <c r="E7" s="23">
        <f>E5+E6</f>
        <v>-84.128</v>
      </c>
      <c r="F7" s="23">
        <f>F5+F6</f>
        <v>-84.128</v>
      </c>
      <c r="G7" s="23">
        <f>G5+G6</f>
        <v>-6.206277046013088</v>
      </c>
      <c r="H7" s="23">
        <f>H5+H6</f>
        <v>1.1977229539869123</v>
      </c>
      <c r="I7" s="23">
        <f>I5+I6</f>
        <v>26.111722953986916</v>
      </c>
      <c r="J7" s="23">
        <f>J5+J6</f>
        <v>75.67172295398693</v>
      </c>
      <c r="K7" s="23">
        <f>K5+K6</f>
        <v>139.15572295398692</v>
      </c>
      <c r="L7" s="23">
        <f>L5+L6</f>
        <v>209.65972295398691</v>
      </c>
      <c r="M7" s="23">
        <f>M5+M6</f>
        <v>276.4617229539869</v>
      </c>
      <c r="N7" s="23">
        <f>N5+N6</f>
        <v>325.25372295398694</v>
      </c>
      <c r="O7" s="23">
        <f>O5+O6</f>
        <v>346.31372295398694</v>
      </c>
      <c r="P7" s="23">
        <f>P5+P6</f>
        <v>346.31372295398694</v>
      </c>
      <c r="Q7" s="23">
        <f>Q5+Q6</f>
        <v>346.31372295398694</v>
      </c>
      <c r="R7" s="23">
        <f>R5+R6</f>
        <v>346.31372295398694</v>
      </c>
      <c r="S7" s="23">
        <f>S5+S6</f>
        <v>346.31372295398694</v>
      </c>
      <c r="T7" s="23">
        <f>T5+T6</f>
        <v>346.31372295398694</v>
      </c>
      <c r="U7" s="23">
        <f>U5+U6</f>
        <v>309.2937229539869</v>
      </c>
      <c r="V7" s="23">
        <f>V5+V6</f>
        <v>221.7437229539869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1.1977229539869123</v>
      </c>
      <c r="I8" s="23">
        <f>MIN(H17,MAX(0,I7))</f>
        <v>26.111722953986916</v>
      </c>
      <c r="J8" s="23">
        <f>MIN(I17,MAX(0,J7))</f>
        <v>75.67172295398693</v>
      </c>
      <c r="K8" s="23">
        <f>MIN(J17,MAX(0,K7))</f>
        <v>139.15572295398692</v>
      </c>
      <c r="L8" s="23">
        <f>MIN(K17,MAX(0,L7))</f>
        <v>209.65972295398691</v>
      </c>
      <c r="M8" s="23">
        <f>MIN(L17,MAX(0,M7))</f>
        <v>276.4617229539869</v>
      </c>
      <c r="N8" s="23">
        <f>MIN(M17,MAX(0,N7))</f>
        <v>179.6599393220917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145.59378363189523</v>
      </c>
      <c r="O9" s="23">
        <f>MAX(0,O7)-O8</f>
        <v>346.31372295398694</v>
      </c>
      <c r="P9" s="23">
        <f>MAX(0,P7)-P8</f>
        <v>346.31372295398694</v>
      </c>
      <c r="Q9" s="23">
        <f>MAX(0,Q7)-Q8</f>
        <v>346.31372295398694</v>
      </c>
      <c r="R9" s="23">
        <f>MAX(0,R7)-R8</f>
        <v>346.31372295398694</v>
      </c>
      <c r="S9" s="23">
        <f>MAX(0,S7)-S8</f>
        <v>346.31372295398694</v>
      </c>
      <c r="T9" s="23">
        <f>MAX(0,T7)-T8</f>
        <v>346.31372295398694</v>
      </c>
      <c r="U9" s="23">
        <f>MAX(0,U7)-U8</f>
        <v>309.2937229539869</v>
      </c>
      <c r="V9" s="23">
        <f>MAX(0,V7)-V8</f>
        <v>221.7437229539869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30.574694562698</v>
      </c>
      <c r="O10" s="23">
        <f>O9*Assumptions!$E$15</f>
        <v>72.72588182033725</v>
      </c>
      <c r="P10" s="23">
        <f>P9*Assumptions!$E$15</f>
        <v>72.72588182033725</v>
      </c>
      <c r="Q10" s="23">
        <f>Q9*Assumptions!$E$15</f>
        <v>72.72588182033725</v>
      </c>
      <c r="R10" s="23">
        <f>R9*Assumptions!$E$15</f>
        <v>72.72588182033725</v>
      </c>
      <c r="S10" s="23">
        <f>S9*Assumptions!$E$15</f>
        <v>72.72588182033725</v>
      </c>
      <c r="T10" s="23">
        <f>T9*Assumptions!$E$15</f>
        <v>72.72588182033725</v>
      </c>
      <c r="U10" s="23">
        <f>U9*Assumptions!$E$15</f>
        <v>64.95168182033724</v>
      </c>
      <c r="V10" s="23">
        <f>V9*Assumptions!$E$15</f>
        <v>46.56618182033724</v>
      </c>
    </row>
    <row r="11">
      <c r="A11" s="24" t="inlineStr">
        <is>
          <t>Free cash flow</t>
        </is>
      </c>
      <c r="C11" s="55">
        <f>C7-C10</f>
        <v>-84.128</v>
      </c>
      <c r="D11" s="55">
        <f>D7-D10</f>
        <v>-84.128</v>
      </c>
      <c r="E11" s="55">
        <f>E7-E10</f>
        <v>-84.128</v>
      </c>
      <c r="F11" s="55">
        <f>F7-F10</f>
        <v>-84.128</v>
      </c>
      <c r="G11" s="55">
        <f>G7-G10</f>
        <v>-6.206277046013088</v>
      </c>
      <c r="H11" s="55">
        <f>H7-H10</f>
        <v>1.1977229539869123</v>
      </c>
      <c r="I11" s="55">
        <f>I7-I10</f>
        <v>26.111722953986916</v>
      </c>
      <c r="J11" s="55">
        <f>J7-J10</f>
        <v>75.67172295398693</v>
      </c>
      <c r="K11" s="55">
        <f>K7-K10</f>
        <v>139.15572295398692</v>
      </c>
      <c r="L11" s="55">
        <f>L7-L10</f>
        <v>209.65972295398691</v>
      </c>
      <c r="M11" s="55">
        <f>M7-M10</f>
        <v>276.4617229539869</v>
      </c>
      <c r="N11" s="55">
        <f>N7-N10</f>
        <v>294.67902839128897</v>
      </c>
      <c r="O11" s="55">
        <f>O7-O10</f>
        <v>273.5878411336497</v>
      </c>
      <c r="P11" s="55">
        <f>P7-P10</f>
        <v>273.5878411336497</v>
      </c>
      <c r="Q11" s="55">
        <f>Q7-Q10</f>
        <v>273.5878411336497</v>
      </c>
      <c r="R11" s="55">
        <f>R7-R10</f>
        <v>273.5878411336497</v>
      </c>
      <c r="S11" s="55">
        <f>S7-S10</f>
        <v>273.5878411336497</v>
      </c>
      <c r="T11" s="55">
        <f>T7-T10</f>
        <v>273.5878411336497</v>
      </c>
      <c r="U11" s="55">
        <f>U7-U10</f>
        <v>244.34204113364967</v>
      </c>
      <c r="V11" s="55">
        <f>V7-V10</f>
        <v>175.17754113364964</v>
      </c>
    </row>
    <row r="12">
      <c r="A12" s="14" t="inlineStr">
        <is>
          <t>Year fraction</t>
        </is>
      </c>
      <c r="C12" s="58">
        <f>Assumptions!$B$22</f>
        <v>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0.5</v>
      </c>
      <c r="D13" s="11">
        <f>C13+C12/2+D12/2</f>
        <v>1.5</v>
      </c>
      <c r="E13" s="11">
        <f>D13+D12/2+E12/2</f>
        <v>2.5</v>
      </c>
      <c r="F13" s="11">
        <f>E13+E12/2+F12/2</f>
        <v>3.5</v>
      </c>
      <c r="G13" s="11">
        <f>F13+F12/2+G12/2</f>
        <v>4.5</v>
      </c>
      <c r="H13" s="11">
        <f>G13+G12/2+H12/2</f>
        <v>5.5</v>
      </c>
      <c r="I13" s="11">
        <f>H13+H12/2+I12/2</f>
        <v>6.5</v>
      </c>
      <c r="J13" s="11">
        <f>I13+I12/2+J12/2</f>
        <v>7.5</v>
      </c>
      <c r="K13" s="11">
        <f>J13+J12/2+K12/2</f>
        <v>8.5</v>
      </c>
      <c r="L13" s="11">
        <f>K13+K12/2+L12/2</f>
        <v>9.5</v>
      </c>
      <c r="M13" s="11">
        <f>L13+L12/2+M12/2</f>
        <v>10.5</v>
      </c>
      <c r="N13" s="11">
        <f>M13+M12/2+N12/2</f>
        <v>11.5</v>
      </c>
      <c r="O13" s="11">
        <f>N13+N12/2+O12/2</f>
        <v>12.5</v>
      </c>
      <c r="P13" s="11">
        <f>O13+O12/2+P12/2</f>
        <v>13.5</v>
      </c>
      <c r="Q13" s="11">
        <f>P13+P12/2+Q12/2</f>
        <v>14.5</v>
      </c>
      <c r="R13" s="11">
        <f>Q13+Q12/2+R12/2</f>
        <v>15.5</v>
      </c>
      <c r="S13" s="11">
        <f>R13+R12/2+S12/2</f>
        <v>16.5</v>
      </c>
      <c r="T13" s="11">
        <f>S13+S12/2+T12/2</f>
        <v>17.5</v>
      </c>
      <c r="U13" s="11">
        <f>T13+T12/2+U12/2</f>
        <v>18.5</v>
      </c>
      <c r="V13" s="11">
        <f>U13+U12/2+V12/2</f>
        <v>19.5</v>
      </c>
    </row>
    <row r="14">
      <c r="A14" s="14" t="inlineStr">
        <is>
          <t>Discount factor</t>
        </is>
      </c>
      <c r="C14" s="59">
        <f>1/(1+Assumptions!$E$10)^C13</f>
        <v>0.9449111825230679</v>
      </c>
      <c r="D14" s="59">
        <f>1/(1+Assumptions!$E$10)^D13</f>
        <v>0.8436706986813106</v>
      </c>
      <c r="E14" s="59">
        <f>1/(1+Assumptions!$E$10)^E13</f>
        <v>0.7532774095368845</v>
      </c>
      <c r="F14" s="59">
        <f>1/(1+Assumptions!$E$10)^F13</f>
        <v>0.6725691156579324</v>
      </c>
      <c r="G14" s="59">
        <f>1/(1+Assumptions!$E$10)^G13</f>
        <v>0.6005081389802968</v>
      </c>
      <c r="H14" s="59">
        <f>1/(1+Assumptions!$E$10)^H13</f>
        <v>0.5361679812324078</v>
      </c>
      <c r="I14" s="59">
        <f>1/(1+Assumptions!$E$10)^I13</f>
        <v>0.4787214118146497</v>
      </c>
      <c r="J14" s="59">
        <f>1/(1+Assumptions!$E$10)^J13</f>
        <v>0.42742983197736584</v>
      </c>
      <c r="K14" s="59">
        <f>1/(1+Assumptions!$E$10)^K13</f>
        <v>0.38163377855121944</v>
      </c>
      <c r="L14" s="59">
        <f>1/(1+Assumptions!$E$10)^L13</f>
        <v>0.34074444513501734</v>
      </c>
      <c r="M14" s="59">
        <f>1/(1+Assumptions!$E$10)^M13</f>
        <v>0.304236111727694</v>
      </c>
      <c r="N14" s="59">
        <f>1/(1+Assumptions!$E$10)^N13</f>
        <v>0.27163938547115535</v>
      </c>
      <c r="O14" s="59">
        <f>1/(1+Assumptions!$E$10)^O13</f>
        <v>0.24253516559924582</v>
      </c>
      <c r="P14" s="59">
        <f>1/(1+Assumptions!$E$10)^P13</f>
        <v>0.21654925499932662</v>
      </c>
      <c r="Q14" s="59">
        <f>1/(1+Assumptions!$E$10)^Q13</f>
        <v>0.1933475491065416</v>
      </c>
      <c r="R14" s="59">
        <f>1/(1+Assumptions!$E$10)^R13</f>
        <v>0.17263174027369785</v>
      </c>
      <c r="S14" s="59">
        <f>1/(1+Assumptions!$E$10)^S13</f>
        <v>0.15413548238723018</v>
      </c>
      <c r="T14" s="59">
        <f>1/(1+Assumptions!$E$10)^T13</f>
        <v>0.1376209664171698</v>
      </c>
      <c r="U14" s="59">
        <f>1/(1+Assumptions!$E$10)^U13</f>
        <v>0.12287586287247303</v>
      </c>
      <c r="V14" s="59">
        <f>1/(1+Assumptions!$E$10)^V13</f>
        <v>0.10971059185042233</v>
      </c>
    </row>
    <row r="15">
      <c r="A15" s="14" t="inlineStr">
        <is>
          <t>PV factor</t>
        </is>
      </c>
      <c r="C15" s="59">
        <f>C12*C14</f>
        <v>0.9449111825230679</v>
      </c>
      <c r="D15" s="59">
        <f>D12*D14</f>
        <v>0.8436706986813106</v>
      </c>
      <c r="E15" s="59">
        <f>E12*E14</f>
        <v>0.7532774095368845</v>
      </c>
      <c r="F15" s="59">
        <f>F12*F14</f>
        <v>0.6725691156579324</v>
      </c>
      <c r="G15" s="59">
        <f>G12*G14</f>
        <v>0.6005081389802968</v>
      </c>
      <c r="H15" s="59">
        <f>H12*H14</f>
        <v>0.5361679812324078</v>
      </c>
      <c r="I15" s="59">
        <f>I12*I14</f>
        <v>0.4787214118146497</v>
      </c>
      <c r="J15" s="59">
        <f>J12*J14</f>
        <v>0.42742983197736584</v>
      </c>
      <c r="K15" s="59">
        <f>K12*K14</f>
        <v>0.38163377855121944</v>
      </c>
      <c r="L15" s="59">
        <f>L12*L14</f>
        <v>0.34074444513501734</v>
      </c>
      <c r="M15" s="59">
        <f>M12*M14</f>
        <v>0.304236111727694</v>
      </c>
      <c r="N15" s="59">
        <f>N12*N14</f>
        <v>0.27163938547115535</v>
      </c>
      <c r="O15" s="59">
        <f>O12*O14</f>
        <v>0.24253516559924582</v>
      </c>
      <c r="P15" s="59">
        <f>P12*P14</f>
        <v>0.21654925499932662</v>
      </c>
      <c r="Q15" s="59">
        <f>Q12*Q14</f>
        <v>0.1933475491065416</v>
      </c>
      <c r="R15" s="59">
        <f>R12*R14</f>
        <v>0.17263174027369785</v>
      </c>
      <c r="S15" s="59">
        <f>S12*S14</f>
        <v>0.15413548238723018</v>
      </c>
      <c r="T15" s="59">
        <f>T12*T14</f>
        <v>0.1376209664171698</v>
      </c>
      <c r="U15" s="59">
        <f>U12*U14</f>
        <v>0.12287586287247303</v>
      </c>
      <c r="V15" s="59">
        <f>V12*V14</f>
        <v>0.10971059185042233</v>
      </c>
    </row>
    <row r="16">
      <c r="A16" s="24" t="inlineStr">
        <is>
          <t>PV of free cash flow</t>
        </is>
      </c>
      <c r="C16" s="55">
        <f>C11*C15</f>
        <v>-79.49348796330067</v>
      </c>
      <c r="D16" s="55">
        <f>D11*D15</f>
        <v>-70.9763285386613</v>
      </c>
      <c r="E16" s="55">
        <f>E11*E15</f>
        <v>-63.37172190951902</v>
      </c>
      <c r="F16" s="55">
        <f>F11*F15</f>
        <v>-56.58189456207054</v>
      </c>
      <c r="G16" s="55">
        <f>G11*G15</f>
        <v>-3.7269198788974527</v>
      </c>
      <c r="H16" s="55">
        <f>H11*H15</f>
        <v>0.6421806983148789</v>
      </c>
      <c r="I16" s="55">
        <f>I11*I15</f>
        <v>12.500240877445613</v>
      </c>
      <c r="J16" s="55">
        <f>J11*J15</f>
        <v>32.34435182766041</v>
      </c>
      <c r="K16" s="55">
        <f>K11*K15</f>
        <v>53.10652435795669</v>
      </c>
      <c r="L16" s="55">
        <f>L11*L15</f>
        <v>71.44038596511773</v>
      </c>
      <c r="M16" s="55">
        <f>M11*M15</f>
        <v>84.10963963305994</v>
      </c>
      <c r="N16" s="55">
        <f>N11*N15</f>
        <v>80.04643018344687</v>
      </c>
      <c r="O16" s="55">
        <f>O11*O15</f>
        <v>66.35467235528989</v>
      </c>
      <c r="P16" s="55">
        <f>P11*P15</f>
        <v>59.24524317436597</v>
      </c>
      <c r="Q16" s="55">
        <f>Q11*Q15</f>
        <v>52.897538548541036</v>
      </c>
      <c r="R16" s="55">
        <f>R11*R15</f>
        <v>47.22994513262592</v>
      </c>
      <c r="S16" s="55">
        <f>S11*S15</f>
        <v>42.169593868415994</v>
      </c>
      <c r="T16" s="55">
        <f>T11*T15</f>
        <v>37.651423096799995</v>
      </c>
      <c r="U16" s="55">
        <f>U11*U15</f>
        <v>30.0237391403185</v>
      </c>
      <c r="V16" s="55">
        <f>V11*V15</f>
        <v>19.218831716674405</v>
      </c>
    </row>
    <row r="17">
      <c r="A17" s="14" t="inlineStr">
        <is>
          <t>Tax-loss carryforward, end of year</t>
        </is>
      </c>
      <c r="C17" s="23">
        <f>Assumptions!$B$21-C8+MAX(0,-C7)</f>
        <v>649.3280000000001</v>
      </c>
      <c r="D17" s="23">
        <f>C17-D8+MAX(0,-D7)</f>
        <v>733.4560000000001</v>
      </c>
      <c r="E17" s="23">
        <f>D17-E8+MAX(0,-E7)</f>
        <v>817.5840000000002</v>
      </c>
      <c r="F17" s="23">
        <f>E17-F8+MAX(0,-F7)</f>
        <v>901.7120000000002</v>
      </c>
      <c r="G17" s="23">
        <f>F17-G8+MAX(0,-G7)</f>
        <v>907.9182770460133</v>
      </c>
      <c r="H17" s="23">
        <f>G17-H8+MAX(0,-H7)</f>
        <v>906.7205540920263</v>
      </c>
      <c r="I17" s="23">
        <f>H17-I8+MAX(0,-I7)</f>
        <v>880.6088311380394</v>
      </c>
      <c r="J17" s="23">
        <f>I17-J8+MAX(0,-J7)</f>
        <v>804.9371081840525</v>
      </c>
      <c r="K17" s="23">
        <f>J17-K8+MAX(0,-K7)</f>
        <v>665.7813852300656</v>
      </c>
      <c r="L17" s="23">
        <f>K17-L8+MAX(0,-L7)</f>
        <v>456.1216622760786</v>
      </c>
      <c r="M17" s="23">
        <f>L17-M8+MAX(0,-M7)</f>
        <v>179.6599393220917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816.9811062749312</v>
      </c>
    </row>
    <row r="20">
      <c r="A20" s="14" t="inlineStr">
        <is>
          <t>PV of corporate burn</t>
        </is>
      </c>
      <c r="B20" s="23">
        <f>SUMPRODUCT(C6:V6,C15:V15)</f>
        <v>-299.53389911071287</v>
      </c>
    </row>
    <row r="21">
      <c r="A21" s="14" t="inlineStr">
        <is>
          <t>PV of taxes</t>
        </is>
      </c>
      <c r="B21" s="23">
        <f>-SUMPRODUCT(C10:V10,C15:V15)</f>
        <v>-102.61681944063355</v>
      </c>
    </row>
    <row r="22">
      <c r="A22" s="24" t="inlineStr">
        <is>
          <t>Pipeline rNPV (operations)</t>
        </is>
      </c>
      <c r="B22" s="54">
        <f>SUM(C16:V16)</f>
        <v>414.83038772358486</v>
      </c>
    </row>
    <row r="23">
      <c r="A23" s="14" t="inlineStr">
        <is>
          <t>Cash &amp; investments</t>
        </is>
      </c>
      <c r="B23" s="57">
        <f>Main!C7</f>
        <v>110.9422787513957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525.7726664749806</v>
      </c>
    </row>
    <row r="26">
      <c r="A26" s="14" t="inlineStr">
        <is>
          <t>Shares (mm)</t>
        </is>
      </c>
      <c r="B26" s="57">
        <f>Main!C4</f>
        <v>101.742231</v>
      </c>
    </row>
    <row r="27">
      <c r="A27" s="24" t="inlineStr">
        <is>
          <t>rNPV / share</t>
        </is>
      </c>
      <c r="B27" s="60">
        <f>B25/B26</f>
        <v>5.167693506494669</v>
      </c>
    </row>
    <row r="28">
      <c r="A28" s="14" t="inlineStr">
        <is>
          <t>Price</t>
        </is>
      </c>
      <c r="B28" s="61">
        <f>Main!C3</f>
        <v>2.49</v>
      </c>
    </row>
    <row r="29">
      <c r="A29" s="14" t="inlineStr">
        <is>
          <t>Upside</t>
        </is>
      </c>
      <c r="B29" s="62">
        <f>B27/B28-1</f>
        <v>1.0753789182709514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2026-10-21T06:26:25Z</dcterms:modified>
  <cp:lastModifiedBy>Wang, Eric</cp:lastModifiedBy>
</cp:coreProperties>
</file>