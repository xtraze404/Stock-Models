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Immutep Ltd</t>
        </is>
      </c>
      <c r="C2" s="10" t="n"/>
    </row>
    <row r="3">
      <c r="B3" t="inlineStr">
        <is>
          <t>Price</t>
        </is>
      </c>
      <c r="C3" s="11">
        <f>INDEX([1]Pharma!$F$1:$F$1000,MATCH("IMMP",[1]Pharma!$B$1:$B$1000,0))</f>
        <v>3.26</v>
      </c>
      <c r="F3" s="1" t="n"/>
    </row>
    <row r="4">
      <c r="B4" t="inlineStr">
        <is>
          <t>Shares</t>
        </is>
      </c>
      <c r="C4" s="21">
        <f>1460.389575/10</f>
        <v>146.03895749999998</v>
      </c>
      <c r="F4" s="1" t="n"/>
    </row>
    <row r="5">
      <c r="B5" t="inlineStr">
        <is>
          <t>Market Cap.</t>
        </is>
      </c>
      <c r="C5" s="13">
        <f>C3*C4</f>
        <v>476.0870014499999</v>
      </c>
      <c r="F5" s="1" t="n"/>
    </row>
    <row r="6"/>
    <row r="7">
      <c r="B7" t="inlineStr">
        <is>
          <t>Cash</t>
        </is>
      </c>
      <c r="C7" s="21">
        <f>(67.408+62.285)/1.437</f>
        <v>90.25260960334028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385.8343918466596</v>
      </c>
    </row>
    <row r="10"/>
    <row r="11">
      <c r="B11" s="14" t="inlineStr">
        <is>
          <t>Net Cash / Share</t>
        </is>
      </c>
      <c r="C11" s="11">
        <f>(C7-C8)/C4</f>
        <v>0.6180036556570208</v>
      </c>
    </row>
    <row r="12">
      <c r="B12" s="14" t="inlineStr">
        <is>
          <t>Upside</t>
        </is>
      </c>
      <c r="C12" s="15">
        <f>IFERROR(C11/C3-1,"")</f>
        <v>-0.8104283264855765</v>
      </c>
    </row>
    <row r="13">
      <c r="B13" s="14" t="inlineStr">
        <is>
          <t>Cash / Share</t>
        </is>
      </c>
      <c r="C13" s="11">
        <f>IFERROR((C7-C8)/C4,"")</f>
        <v>0.6180036556570208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-43.18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2.0901484391695293</v>
      </c>
    </row>
    <row r="19">
      <c r="B19" s="14" t="inlineStr">
        <is>
          <t>Implied Pipeline Value</t>
        </is>
      </c>
      <c r="C19" s="13">
        <f>C9</f>
        <v>385.8343918466596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1.412</v>
      </c>
      <c r="C2" s="23" t="n">
        <v>2.938</v>
      </c>
      <c r="D2" s="23" t="n">
        <v>5.117</v>
      </c>
      <c r="E2" s="23" t="n">
        <v>5.212</v>
      </c>
      <c r="F2" s="23" t="n">
        <v>11.482</v>
      </c>
      <c r="G2" s="23" t="n">
        <v>2.761</v>
      </c>
      <c r="H2" s="23" t="n">
        <v>4.703</v>
      </c>
      <c r="I2" s="23" t="n">
        <v>3.619</v>
      </c>
      <c r="J2" s="23" t="n">
        <v>5.455</v>
      </c>
      <c r="K2" s="23" t="n">
        <v>7.19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1.412</v>
      </c>
      <c r="C4" s="23">
        <f>C2-C3</f>
        <v>2.938</v>
      </c>
      <c r="D4" s="23">
        <f>D2-D3</f>
        <v>5.117</v>
      </c>
      <c r="E4" s="23">
        <f>E2-E3</f>
        <v>5.212</v>
      </c>
      <c r="F4" s="23">
        <f>F2-F3</f>
        <v>11.482</v>
      </c>
      <c r="G4" s="23">
        <f>G2-G3</f>
        <v>2.761</v>
      </c>
      <c r="H4" s="23">
        <f>H2-H3</f>
        <v>4.703</v>
      </c>
      <c r="I4" s="23">
        <f>I2-I3</f>
        <v>3.619</v>
      </c>
      <c r="J4" s="23">
        <f>J2-J3</f>
        <v>5.455</v>
      </c>
      <c r="K4" s="23">
        <f>K2-K3</f>
        <v>7.19</v>
      </c>
    </row>
    <row r="5">
      <c r="A5" s="2" t="inlineStr">
        <is>
          <t>Research &amp; Dev.</t>
        </is>
      </c>
      <c r="B5" s="23" t="n">
        <v>4.913</v>
      </c>
      <c r="C5" s="23" t="n">
        <v>5.237</v>
      </c>
      <c r="D5" s="23" t="n">
        <v>6.952</v>
      </c>
      <c r="E5" s="23" t="n">
        <v>9.583</v>
      </c>
      <c r="F5" s="23" t="n">
        <v>10.836</v>
      </c>
      <c r="G5" s="23" t="n">
        <v>8.365</v>
      </c>
      <c r="H5" s="23" t="n">
        <v>17.632</v>
      </c>
      <c r="I5" s="23" t="n">
        <v>20.037</v>
      </c>
      <c r="J5" s="23" t="n">
        <v>21.901</v>
      </c>
      <c r="K5" s="23" t="n">
        <v>34.641</v>
      </c>
    </row>
    <row r="6">
      <c r="A6" s="19" t="inlineStr">
        <is>
          <t>SG&amp;A &amp; Other</t>
        </is>
      </c>
      <c r="B6" s="23" t="n">
        <v>2.033</v>
      </c>
      <c r="C6" s="23" t="n">
        <v>1.494</v>
      </c>
      <c r="D6" s="23" t="n">
        <v>1.755</v>
      </c>
      <c r="E6" s="23" t="n">
        <v>1.931</v>
      </c>
      <c r="F6" s="23" t="n">
        <v>1.992</v>
      </c>
      <c r="G6" s="23" t="n">
        <v>1.964</v>
      </c>
      <c r="H6" s="23" t="n">
        <v>2.312</v>
      </c>
      <c r="I6" s="23" t="n">
        <v>2.583</v>
      </c>
      <c r="J6" s="23" t="n">
        <v>2.943</v>
      </c>
      <c r="K6" s="23" t="n">
        <v>2.473</v>
      </c>
    </row>
    <row r="7">
      <c r="A7" s="2" t="inlineStr">
        <is>
          <t>Operating Expense</t>
        </is>
      </c>
      <c r="B7" s="23">
        <f>SUM(B5:B6)</f>
        <v>6.946</v>
      </c>
      <c r="C7" s="23">
        <f>SUM(C5:C6)</f>
        <v>6.731</v>
      </c>
      <c r="D7" s="23">
        <f>SUM(D5:D6)</f>
        <v>8.707</v>
      </c>
      <c r="E7" s="23">
        <f>SUM(E5:E6)</f>
        <v>11.514</v>
      </c>
      <c r="F7" s="23">
        <f>SUM(F5:F6)</f>
        <v>12.828</v>
      </c>
      <c r="G7" s="23">
        <f>SUM(G5:G6)</f>
        <v>10.329</v>
      </c>
      <c r="H7" s="23">
        <f>SUM(H5:H6)</f>
        <v>19.944000000000003</v>
      </c>
      <c r="I7" s="23">
        <f>SUM(I5:I6)</f>
        <v>22.619999999999997</v>
      </c>
      <c r="J7" s="23">
        <f>SUM(J5:J6)</f>
        <v>24.844</v>
      </c>
      <c r="K7" s="23">
        <f>SUM(K5:K6)</f>
        <v>37.114</v>
      </c>
    </row>
    <row r="8">
      <c r="A8" s="2" t="inlineStr">
        <is>
          <t>Operating Income</t>
        </is>
      </c>
      <c r="B8" s="23">
        <f>B4-B7</f>
        <v>-5.534</v>
      </c>
      <c r="C8" s="23">
        <f>C4-C7</f>
        <v>-3.7929999999999997</v>
      </c>
      <c r="D8" s="23">
        <f>D4-D7</f>
        <v>-3.5900000000000007</v>
      </c>
      <c r="E8" s="23">
        <f>E4-E7</f>
        <v>-6.302</v>
      </c>
      <c r="F8" s="23">
        <f>F4-F7</f>
        <v>-1.346</v>
      </c>
      <c r="G8" s="23">
        <f>G4-G7</f>
        <v>-7.5680000000000005</v>
      </c>
      <c r="H8" s="23">
        <f>H4-H7</f>
        <v>-15.241000000000003</v>
      </c>
      <c r="I8" s="23">
        <f>I4-I7</f>
        <v>-19.000999999999998</v>
      </c>
      <c r="J8" s="23">
        <f>J4-J7</f>
        <v>-19.389000000000003</v>
      </c>
      <c r="K8" s="23">
        <f>K4-K7</f>
        <v>-29.923999999999996</v>
      </c>
    </row>
    <row r="9">
      <c r="A9" s="19" t="inlineStr">
        <is>
          <t>Interest &amp; Other</t>
        </is>
      </c>
      <c r="B9" s="23" t="n">
        <v>-38.444</v>
      </c>
      <c r="C9" s="23" t="n">
        <v>-3.238</v>
      </c>
      <c r="D9" s="23" t="n">
        <v>-5.279</v>
      </c>
      <c r="E9" s="23" t="n">
        <v>-6.463</v>
      </c>
      <c r="F9" s="23" t="n">
        <v>-8.026</v>
      </c>
      <c r="G9" s="23" t="n">
        <v>-13.242</v>
      </c>
      <c r="H9" s="23" t="n">
        <v>-7.174</v>
      </c>
      <c r="I9" s="23" t="n">
        <v>-8.762</v>
      </c>
      <c r="J9" s="23" t="n">
        <v>-10.337</v>
      </c>
      <c r="K9" s="23" t="n">
        <v>-12.827</v>
      </c>
    </row>
    <row r="10">
      <c r="A10" s="2" t="inlineStr">
        <is>
          <t>Pretax</t>
        </is>
      </c>
      <c r="B10" s="23">
        <f>B8+B9</f>
        <v>-43.978</v>
      </c>
      <c r="C10" s="23">
        <f>C8+C9</f>
        <v>-7.031</v>
      </c>
      <c r="D10" s="23">
        <f>D8+D9</f>
        <v>-8.869</v>
      </c>
      <c r="E10" s="23">
        <f>E8+E9</f>
        <v>-12.765</v>
      </c>
      <c r="F10" s="23">
        <f>F8+F9</f>
        <v>-9.372</v>
      </c>
      <c r="G10" s="23">
        <f>G8+G9</f>
        <v>-20.810000000000002</v>
      </c>
      <c r="H10" s="23">
        <f>H8+H9</f>
        <v>-22.415000000000003</v>
      </c>
      <c r="I10" s="23">
        <f>I8+I9</f>
        <v>-27.762999999999998</v>
      </c>
      <c r="J10" s="23">
        <f>J8+J9</f>
        <v>-29.726000000000003</v>
      </c>
      <c r="K10" s="23">
        <f>K8+K9</f>
        <v>-42.751</v>
      </c>
    </row>
    <row r="11">
      <c r="A11" s="2" t="inlineStr">
        <is>
          <t>Taxes</t>
        </is>
      </c>
      <c r="B11" s="23" t="n">
        <v>-0.822</v>
      </c>
      <c r="C11" s="23" t="n">
        <v>-0.513</v>
      </c>
      <c r="D11" s="23" t="n">
        <v>0.001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-43.156</v>
      </c>
      <c r="C12" s="23" t="n">
        <v>-6.519</v>
      </c>
      <c r="D12" s="23" t="n">
        <v>-8.869999999999999</v>
      </c>
      <c r="E12" s="23" t="n">
        <v>-12.765</v>
      </c>
      <c r="F12" s="23" t="n">
        <v>-9.372</v>
      </c>
      <c r="G12" s="23" t="n">
        <v>-20.809</v>
      </c>
      <c r="H12" s="23" t="n">
        <v>-22.415</v>
      </c>
      <c r="I12" s="23" t="n">
        <v>-27.764</v>
      </c>
      <c r="J12" s="23" t="n">
        <v>-29.726</v>
      </c>
      <c r="K12" s="23" t="n">
        <v>-42.752</v>
      </c>
    </row>
    <row r="13">
      <c r="A13" s="2" t="inlineStr">
        <is>
          <t>Earnings per Share</t>
        </is>
      </c>
      <c r="B13" s="11">
        <f>IFERROR(B12/B14,0)</f>
        <v>-0.019365692354015772</v>
      </c>
      <c r="C13" s="11">
        <f>IFERROR(C12/C14,0)</f>
        <v>-0.0027501826705163884</v>
      </c>
      <c r="D13" s="11">
        <f>IFERROR(D12/D14,0)</f>
        <v>-0.03224246918426916</v>
      </c>
      <c r="E13" s="11">
        <f>IFERROR(E12/E14,0)</f>
        <v>-0.036807321672635424</v>
      </c>
      <c r="F13" s="11">
        <f>IFERROR(F12/F14,0)</f>
        <v>-0.022700408859263277</v>
      </c>
      <c r="G13" s="11">
        <f>IFERROR(G12/G14,0)</f>
        <v>-0.034977400588643646</v>
      </c>
      <c r="H13" s="11">
        <f>IFERROR(H12/H14,0)</f>
        <v>-0.026402644151487454</v>
      </c>
      <c r="I13" s="11">
        <f>IFERROR(I12/I14,0)</f>
        <v>-0.03111160914388167</v>
      </c>
      <c r="J13" s="11">
        <f>IFERROR(J12/J14,0)</f>
        <v>-0.02474976312629989</v>
      </c>
      <c r="K13" s="11">
        <f>IFERROR(K12/K14,0)</f>
        <v>-0.02936630815115626</v>
      </c>
    </row>
    <row r="14">
      <c r="A14" s="2" t="inlineStr">
        <is>
          <t>Shares</t>
        </is>
      </c>
      <c r="B14" s="23" t="n">
        <v>2228.477</v>
      </c>
      <c r="C14" s="23" t="n">
        <v>2370.388</v>
      </c>
      <c r="D14" s="23" t="n">
        <v>275.103</v>
      </c>
      <c r="E14" s="23" t="n">
        <v>346.806</v>
      </c>
      <c r="F14" s="23" t="n">
        <v>412.856</v>
      </c>
      <c r="G14" s="23" t="n">
        <v>594.927</v>
      </c>
      <c r="H14" s="23" t="n">
        <v>848.968</v>
      </c>
      <c r="I14" s="23" t="n">
        <v>892.4</v>
      </c>
      <c r="J14" s="23" t="n">
        <v>1201.062</v>
      </c>
      <c r="K14" s="23" t="n">
        <v>1455.818</v>
      </c>
    </row>
    <row r="15"/>
    <row r="16" customFormat="1" s="4">
      <c r="A16" s="3" t="inlineStr">
        <is>
          <t>Revenue Change</t>
        </is>
      </c>
      <c r="C16" s="15">
        <f>IFERROR(C2/B2-1,"")</f>
        <v>1.0807365439093486</v>
      </c>
      <c r="D16" s="15">
        <f>IFERROR(D2/C2-1,"")</f>
        <v>0.7416609938733831</v>
      </c>
      <c r="E16" s="15">
        <f>IFERROR(E2/D2-1,"")</f>
        <v>0.018565565761188063</v>
      </c>
      <c r="F16" s="15">
        <f>IFERROR(F2/E2-1,"")</f>
        <v>1.202993092862625</v>
      </c>
      <c r="G16" s="15">
        <f>IFERROR(G2/F2-1,"")</f>
        <v>-0.7595366660860476</v>
      </c>
      <c r="H16" s="15">
        <f>IFERROR(H2/G2-1,"")</f>
        <v>0.7033683448026078</v>
      </c>
      <c r="I16" s="15">
        <f>IFERROR(I2/H2-1,"")</f>
        <v>-0.23049117584520518</v>
      </c>
      <c r="J16" s="15">
        <f>IFERROR(J2/I2-1,"")</f>
        <v>0.5073224647692731</v>
      </c>
      <c r="K16" s="15">
        <f>IFERROR(K2/J2-1,"")</f>
        <v>0.31805682859761686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</row>
    <row r="18">
      <c r="A18" s="14" t="inlineStr">
        <is>
          <t>Operating Margin</t>
        </is>
      </c>
      <c r="B18" s="15">
        <f>IFERROR(B8/B2,"")</f>
        <v>-3.919263456090652</v>
      </c>
      <c r="C18" s="15">
        <f>IFERROR(C8/C2,"")</f>
        <v>-1.291014295439074</v>
      </c>
      <c r="D18" s="15">
        <f>IFERROR(D8/D2,"")</f>
        <v>-0.7015829587649015</v>
      </c>
      <c r="E18" s="15">
        <f>IFERROR(E8/E2,"")</f>
        <v>-1.2091327705295472</v>
      </c>
      <c r="F18" s="15">
        <f>IFERROR(F8/F2,"")</f>
        <v>-0.11722696394356386</v>
      </c>
      <c r="G18" s="15">
        <f>IFERROR(G8/G2,"")</f>
        <v>-2.7410358565737054</v>
      </c>
      <c r="H18" s="15">
        <f>IFERROR(H8/H2,"")</f>
        <v>-3.2406974271741444</v>
      </c>
      <c r="I18" s="15">
        <f>IFERROR(I8/I2,"")</f>
        <v>-5.250345399281569</v>
      </c>
      <c r="J18" s="15">
        <f>IFERROR(J8/J2,"")</f>
        <v>-3.5543538038496796</v>
      </c>
      <c r="K18" s="15">
        <f>IFERROR(K8/K2,"")</f>
        <v>-4.161891515994436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2026-10-21T01:05:09Z</dcterms:modified>
  <cp:lastModifiedBy>Wang, Eric</cp:lastModifiedBy>
</cp:coreProperties>
</file>