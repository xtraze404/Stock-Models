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Lineage Cell Therapeutics Inc</t>
        </is>
      </c>
      <c r="C2" s="10" t="n"/>
    </row>
    <row r="3">
      <c r="B3" t="inlineStr">
        <is>
          <t>Price</t>
        </is>
      </c>
      <c r="C3" s="11">
        <f>INDEX([1]Pharma!$F$1:$F$1000,MATCH("LCTX",[1]Pharma!$B$1:$B$1000,0))</f>
        <v>0.9726</v>
      </c>
      <c r="F3" s="1" t="n"/>
    </row>
    <row r="4">
      <c r="B4" t="inlineStr">
        <is>
          <t>Shares</t>
        </is>
      </c>
      <c r="C4" s="21" t="n">
        <v>252.907464</v>
      </c>
      <c r="F4" s="1" t="n"/>
    </row>
    <row r="5">
      <c r="B5" t="inlineStr">
        <is>
          <t>Market Cap.</t>
        </is>
      </c>
      <c r="C5" s="13">
        <f>C3*C4</f>
        <v>245.97779948640002</v>
      </c>
      <c r="F5" s="1" t="n"/>
    </row>
    <row r="6"/>
    <row r="7">
      <c r="B7" t="inlineStr">
        <is>
          <t>Cash</t>
        </is>
      </c>
      <c r="C7" s="21">
        <f>37.355+13.474</f>
        <v>50.82899999999999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195.14879948640004</v>
      </c>
    </row>
    <row r="10"/>
    <row r="11">
      <c r="B11" s="14" t="inlineStr">
        <is>
          <t>Net Cash / Share</t>
        </is>
      </c>
      <c r="C11" s="11">
        <f>(C7-C8)/C4</f>
        <v>0.20097864727313858</v>
      </c>
    </row>
    <row r="12">
      <c r="B12" s="14" t="inlineStr">
        <is>
          <t>Upside</t>
        </is>
      </c>
      <c r="C12" s="15">
        <f>IFERROR(C11/C3-1,"")</f>
        <v>-0.7933594002949429</v>
      </c>
    </row>
    <row r="13">
      <c r="B13" s="14" t="inlineStr">
        <is>
          <t>Cash / Share</t>
        </is>
      </c>
      <c r="C13" s="11">
        <f>IFERROR((C7-C8)/C4,"")</f>
        <v>0.20097864727313858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-23.816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2.1342374874034262</v>
      </c>
    </row>
    <row r="19">
      <c r="B19" s="14" t="inlineStr">
        <is>
          <t>Implied Pipeline Value</t>
        </is>
      </c>
      <c r="C19" s="13">
        <f>C9</f>
        <v>195.14879948640004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2009</v>
      </c>
      <c r="C1" s="17" t="n">
        <v>2010</v>
      </c>
      <c r="D1" s="17" t="n">
        <v>2011</v>
      </c>
      <c r="E1" s="17" t="n">
        <v>2012</v>
      </c>
      <c r="F1" s="17" t="n">
        <v>2013</v>
      </c>
      <c r="G1" s="17" t="n">
        <v>2014</v>
      </c>
      <c r="H1" s="17" t="n">
        <v>2015</v>
      </c>
      <c r="I1" s="17" t="n">
        <v>2016</v>
      </c>
      <c r="J1" s="17" t="n">
        <v>2017</v>
      </c>
      <c r="K1" s="17" t="n">
        <v>2018</v>
      </c>
      <c r="L1" s="17" t="n">
        <v>2019</v>
      </c>
      <c r="M1" s="17" t="n">
        <v>2020</v>
      </c>
      <c r="N1" s="17" t="n">
        <v>2021</v>
      </c>
      <c r="O1" s="17" t="n">
        <v>2022</v>
      </c>
      <c r="P1" s="17" t="n">
        <v>2023</v>
      </c>
      <c r="Q1" s="17" t="n">
        <v>2024</v>
      </c>
      <c r="R1" s="17" t="n">
        <v>2025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1.925</v>
      </c>
      <c r="C2" s="23" t="n">
        <v>3.708</v>
      </c>
      <c r="D2" s="23" t="n">
        <v>4.434</v>
      </c>
      <c r="E2" s="23" t="n">
        <v>3.915</v>
      </c>
      <c r="F2" s="23" t="n">
        <v>4.434</v>
      </c>
      <c r="G2" s="23" t="n">
        <v>5.244</v>
      </c>
      <c r="H2" s="23" t="n">
        <v>7.036</v>
      </c>
      <c r="I2" s="23" t="n">
        <v>5.923</v>
      </c>
      <c r="J2" s="23" t="n">
        <v>3.458</v>
      </c>
      <c r="K2" s="23" t="n">
        <v>4.988</v>
      </c>
      <c r="L2" s="23" t="n">
        <v>3.515</v>
      </c>
      <c r="M2" s="23" t="n">
        <v>1.826</v>
      </c>
      <c r="N2" s="23" t="n">
        <v>4.341</v>
      </c>
      <c r="O2" s="23" t="n">
        <v>14.703</v>
      </c>
      <c r="P2" s="23" t="n">
        <v>8.945</v>
      </c>
      <c r="Q2" s="23" t="n">
        <v>9.499000000000001</v>
      </c>
      <c r="R2" s="23" t="n">
        <v>14.556</v>
      </c>
    </row>
    <row r="3" customFormat="1" s="1">
      <c r="A3" s="5" t="inlineStr">
        <is>
          <t>Cost of Sales</t>
        </is>
      </c>
      <c r="B3" s="23" t="n">
        <v>0</v>
      </c>
      <c r="C3" s="23" t="n">
        <v>0.028</v>
      </c>
      <c r="D3" s="23" t="n">
        <v>0.079</v>
      </c>
      <c r="E3" s="23" t="n">
        <v>0.434</v>
      </c>
      <c r="F3" s="23" t="n">
        <v>0.793</v>
      </c>
      <c r="G3" s="23" t="n">
        <v>0.837</v>
      </c>
      <c r="H3" s="23" t="n">
        <v>1.107</v>
      </c>
      <c r="I3" s="23" t="n">
        <v>0.358</v>
      </c>
      <c r="J3" s="23" t="n">
        <v>0.168</v>
      </c>
      <c r="K3" s="23" t="n">
        <v>0.302</v>
      </c>
      <c r="L3" s="23" t="n">
        <v>0.412</v>
      </c>
      <c r="M3" s="23" t="n">
        <v>0.385</v>
      </c>
      <c r="N3" s="23" t="n">
        <v>1.426</v>
      </c>
      <c r="O3" s="23" t="n">
        <v>0.728</v>
      </c>
      <c r="P3" s="23" t="n">
        <v>0.671</v>
      </c>
      <c r="Q3" s="23" t="n">
        <v>0.334</v>
      </c>
      <c r="R3" s="23" t="n">
        <v>0</v>
      </c>
    </row>
    <row r="4" customFormat="1" s="1">
      <c r="A4" s="5" t="inlineStr">
        <is>
          <t>Gross Margin</t>
        </is>
      </c>
      <c r="B4" s="23">
        <f>B2-B3</f>
        <v>1.925</v>
      </c>
      <c r="C4" s="23">
        <f>C2-C3</f>
        <v>3.68</v>
      </c>
      <c r="D4" s="23">
        <f>D2-D3</f>
        <v>4.355</v>
      </c>
      <c r="E4" s="23">
        <f>E2-E3</f>
        <v>3.481</v>
      </c>
      <c r="F4" s="23">
        <f>F2-F3</f>
        <v>3.641</v>
      </c>
      <c r="G4" s="23">
        <f>G2-G3</f>
        <v>4.407</v>
      </c>
      <c r="H4" s="23">
        <f>H2-H3</f>
        <v>5.928999999999999</v>
      </c>
      <c r="I4" s="23">
        <f>I2-I3</f>
        <v>5.565</v>
      </c>
      <c r="J4" s="23">
        <f>J2-J3</f>
        <v>3.29</v>
      </c>
      <c r="K4" s="23">
        <f>K2-K3</f>
        <v>4.686000000000001</v>
      </c>
      <c r="L4" s="23">
        <f>L2-L3</f>
        <v>3.103</v>
      </c>
      <c r="M4" s="23">
        <f>M2-M3</f>
        <v>1.441</v>
      </c>
      <c r="N4" s="23">
        <f>N2-N3</f>
        <v>2.915</v>
      </c>
      <c r="O4" s="23">
        <f>O2-O3</f>
        <v>13.975</v>
      </c>
      <c r="P4" s="23">
        <f>P2-P3</f>
        <v>8.274000000000001</v>
      </c>
      <c r="Q4" s="23">
        <f>Q2-Q3</f>
        <v>9.165000000000001</v>
      </c>
      <c r="R4" s="23">
        <f>R2-R3</f>
        <v>14.556</v>
      </c>
    </row>
    <row r="5">
      <c r="A5" s="2" t="inlineStr">
        <is>
          <t>Research &amp; Dev.</t>
        </is>
      </c>
      <c r="B5" s="23" t="n">
        <v>-3.182</v>
      </c>
      <c r="C5" s="23" t="n">
        <v>8.191000000000001</v>
      </c>
      <c r="D5" s="23" t="n">
        <v>13.7</v>
      </c>
      <c r="E5" s="23" t="n">
        <v>18.117</v>
      </c>
      <c r="F5" s="23" t="n">
        <v>26.609</v>
      </c>
      <c r="G5" s="23" t="n">
        <v>37.533</v>
      </c>
      <c r="H5" s="23" t="n">
        <v>42.604</v>
      </c>
      <c r="I5" s="23" t="n">
        <v>36.106</v>
      </c>
      <c r="J5" s="23" t="n">
        <v>24.024</v>
      </c>
      <c r="K5" s="23" t="n">
        <v>20.955</v>
      </c>
      <c r="L5" s="23" t="n">
        <v>17.948</v>
      </c>
      <c r="M5" s="23" t="n">
        <v>12.317</v>
      </c>
      <c r="N5" s="23" t="n">
        <v>33.914</v>
      </c>
      <c r="O5" s="23" t="n">
        <v>13.987</v>
      </c>
      <c r="P5" s="23" t="n">
        <v>15.705</v>
      </c>
      <c r="Q5" s="23" t="n">
        <v>12.472</v>
      </c>
      <c r="R5" s="23" t="n">
        <v>17.729</v>
      </c>
    </row>
    <row r="6">
      <c r="A6" s="19" t="inlineStr">
        <is>
          <t>SG&amp;A &amp; Other</t>
        </is>
      </c>
      <c r="B6" s="23" t="n">
        <v>8.627000000000001</v>
      </c>
      <c r="C6" s="23" t="n">
        <v>5.341</v>
      </c>
      <c r="D6" s="23" t="n">
        <v>9.342000000000001</v>
      </c>
      <c r="E6" s="23" t="n">
        <v>10.365</v>
      </c>
      <c r="F6" s="23" t="n">
        <v>33.018</v>
      </c>
      <c r="G6" s="23" t="n">
        <v>17.556</v>
      </c>
      <c r="H6" s="23" t="n">
        <v>29.134</v>
      </c>
      <c r="I6" s="23" t="n">
        <v>28.426</v>
      </c>
      <c r="J6" s="23" t="n">
        <v>18.168</v>
      </c>
      <c r="K6" s="23" t="n">
        <v>25.526</v>
      </c>
      <c r="L6" s="23" t="n">
        <v>24.031</v>
      </c>
      <c r="M6" s="23" t="n">
        <v>15.571</v>
      </c>
      <c r="N6" s="23" t="n">
        <v>18.212</v>
      </c>
      <c r="O6" s="23" t="n">
        <v>22.508</v>
      </c>
      <c r="P6" s="23" t="n">
        <v>17.302</v>
      </c>
      <c r="Q6" s="23" t="n">
        <v>18.171</v>
      </c>
      <c r="R6" s="23" t="n">
        <v>33.446</v>
      </c>
    </row>
    <row r="7">
      <c r="A7" s="2" t="inlineStr">
        <is>
          <t>Operating Expense</t>
        </is>
      </c>
      <c r="B7" s="23">
        <f>SUM(B5:B6)</f>
        <v>5.445</v>
      </c>
      <c r="C7" s="23">
        <f>SUM(C5:C6)</f>
        <v>13.532</v>
      </c>
      <c r="D7" s="23">
        <f>SUM(D5:D6)</f>
        <v>23.042</v>
      </c>
      <c r="E7" s="23">
        <f>SUM(E5:E6)</f>
        <v>28.482</v>
      </c>
      <c r="F7" s="23">
        <f>SUM(F5:F6)</f>
        <v>59.627</v>
      </c>
      <c r="G7" s="23">
        <f>SUM(G5:G6)</f>
        <v>55.089</v>
      </c>
      <c r="H7" s="23">
        <f>SUM(H5:H6)</f>
        <v>71.738</v>
      </c>
      <c r="I7" s="23">
        <f>SUM(I5:I6)</f>
        <v>64.532</v>
      </c>
      <c r="J7" s="23">
        <f>SUM(J5:J6)</f>
        <v>42.192</v>
      </c>
      <c r="K7" s="23">
        <f>SUM(K5:K6)</f>
        <v>46.480999999999995</v>
      </c>
      <c r="L7" s="23">
        <f>SUM(L5:L6)</f>
        <v>41.979</v>
      </c>
      <c r="M7" s="23">
        <f>SUM(M5:M6)</f>
        <v>27.887999999999998</v>
      </c>
      <c r="N7" s="23">
        <f>SUM(N5:N6)</f>
        <v>52.126000000000005</v>
      </c>
      <c r="O7" s="23">
        <f>SUM(O5:O6)</f>
        <v>36.495</v>
      </c>
      <c r="P7" s="23">
        <f>SUM(P5:P6)</f>
        <v>33.007</v>
      </c>
      <c r="Q7" s="23">
        <f>SUM(Q5:Q6)</f>
        <v>30.643</v>
      </c>
      <c r="R7" s="23">
        <f>SUM(R5:R6)</f>
        <v>51.175</v>
      </c>
    </row>
    <row r="8">
      <c r="A8" s="2" t="inlineStr">
        <is>
          <t>Operating Income</t>
        </is>
      </c>
      <c r="B8" s="23">
        <f>B4-B7</f>
        <v>-3.5200000000000005</v>
      </c>
      <c r="C8" s="23">
        <f>C4-C7</f>
        <v>-9.852</v>
      </c>
      <c r="D8" s="23">
        <f>D4-D7</f>
        <v>-18.687</v>
      </c>
      <c r="E8" s="23">
        <f>E4-E7</f>
        <v>-25.000999999999998</v>
      </c>
      <c r="F8" s="23">
        <f>F4-F7</f>
        <v>-55.986000000000004</v>
      </c>
      <c r="G8" s="23">
        <f>G4-G7</f>
        <v>-50.682</v>
      </c>
      <c r="H8" s="23">
        <f>H4-H7</f>
        <v>-65.809</v>
      </c>
      <c r="I8" s="23">
        <f>I4-I7</f>
        <v>-58.967</v>
      </c>
      <c r="J8" s="23">
        <f>J4-J7</f>
        <v>-38.902</v>
      </c>
      <c r="K8" s="23">
        <f>K4-K7</f>
        <v>-41.794999999999995</v>
      </c>
      <c r="L8" s="23">
        <f>L4-L7</f>
        <v>-38.876</v>
      </c>
      <c r="M8" s="23">
        <f>M4-M7</f>
        <v>-26.447</v>
      </c>
      <c r="N8" s="23">
        <f>N4-N7</f>
        <v>-49.211000000000006</v>
      </c>
      <c r="O8" s="23">
        <f>O4-O7</f>
        <v>-22.519999999999996</v>
      </c>
      <c r="P8" s="23">
        <f>P4-P7</f>
        <v>-24.732999999999997</v>
      </c>
      <c r="Q8" s="23">
        <f>Q4-Q7</f>
        <v>-21.478</v>
      </c>
      <c r="R8" s="23">
        <f>R4-R7</f>
        <v>-36.619</v>
      </c>
    </row>
    <row r="9">
      <c r="A9" s="19" t="inlineStr">
        <is>
          <t>Interest &amp; Other</t>
        </is>
      </c>
      <c r="B9" s="23" t="n">
        <v>-1.624</v>
      </c>
      <c r="C9" s="23" t="n">
        <v>-1.332</v>
      </c>
      <c r="D9" s="23" t="n">
        <v>2.171</v>
      </c>
      <c r="E9" s="23" t="n">
        <v>3.575</v>
      </c>
      <c r="F9" s="23" t="n">
        <v>12.103</v>
      </c>
      <c r="G9" s="23" t="n">
        <v>14.27</v>
      </c>
      <c r="H9" s="23" t="n">
        <v>18.818</v>
      </c>
      <c r="I9" s="23" t="n">
        <v>92.539</v>
      </c>
      <c r="J9" s="23" t="n">
        <v>18.926</v>
      </c>
      <c r="K9" s="23" t="n">
        <v>-3.849</v>
      </c>
      <c r="L9" s="23" t="n">
        <v>19.76</v>
      </c>
      <c r="M9" s="23" t="n">
        <v>4.559</v>
      </c>
      <c r="N9" s="23" t="n">
        <v>6.192</v>
      </c>
      <c r="O9" s="23" t="n">
        <v>-3.212</v>
      </c>
      <c r="P9" s="23" t="n">
        <v>1.444</v>
      </c>
      <c r="Q9" s="23" t="n">
        <v>2.869</v>
      </c>
      <c r="R9" s="23" t="n">
        <v>-32.194</v>
      </c>
    </row>
    <row r="10">
      <c r="A10" s="2" t="inlineStr">
        <is>
          <t>Pretax</t>
        </is>
      </c>
      <c r="B10" s="23">
        <f>B8+B9</f>
        <v>-5.144</v>
      </c>
      <c r="C10" s="23">
        <f>C8+C9</f>
        <v>-11.184000000000001</v>
      </c>
      <c r="D10" s="23">
        <f>D8+D9</f>
        <v>-16.516000000000002</v>
      </c>
      <c r="E10" s="23">
        <f>E8+E9</f>
        <v>-21.426</v>
      </c>
      <c r="F10" s="23">
        <f>F8+F9</f>
        <v>-43.883</v>
      </c>
      <c r="G10" s="23">
        <f>G8+G9</f>
        <v>-36.412000000000006</v>
      </c>
      <c r="H10" s="23">
        <f>H8+H9</f>
        <v>-46.991</v>
      </c>
      <c r="I10" s="23">
        <f>I8+I9</f>
        <v>33.572</v>
      </c>
      <c r="J10" s="23">
        <f>J8+J9</f>
        <v>-19.976000000000003</v>
      </c>
      <c r="K10" s="23">
        <f>K8+K9</f>
        <v>-45.64399999999999</v>
      </c>
      <c r="L10" s="23">
        <f>L8+L9</f>
        <v>-19.115999999999996</v>
      </c>
      <c r="M10" s="23">
        <f>M8+M9</f>
        <v>-21.887999999999998</v>
      </c>
      <c r="N10" s="23">
        <f>N8+N9</f>
        <v>-43.019000000000005</v>
      </c>
      <c r="O10" s="23">
        <f>O8+O9</f>
        <v>-25.731999999999996</v>
      </c>
      <c r="P10" s="23">
        <f>P8+P9</f>
        <v>-23.288999999999998</v>
      </c>
      <c r="Q10" s="23">
        <f>Q8+Q9</f>
        <v>-18.609</v>
      </c>
      <c r="R10" s="23">
        <f>R8+R9</f>
        <v>-68.813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0.346</v>
      </c>
      <c r="L11" s="23" t="n">
        <v>-7.407</v>
      </c>
      <c r="M11" s="23" t="n">
        <v>-1.239</v>
      </c>
      <c r="N11" s="23" t="n">
        <v>0</v>
      </c>
      <c r="O11" s="23" t="n">
        <v>0.541</v>
      </c>
      <c r="P11" s="23" t="n">
        <v>-1.803</v>
      </c>
      <c r="Q11" s="23" t="n">
        <v>0</v>
      </c>
      <c r="R11" s="23" t="n">
        <v>-5.28</v>
      </c>
    </row>
    <row r="12">
      <c r="A12" s="2" t="inlineStr">
        <is>
          <t>Net Income</t>
        </is>
      </c>
      <c r="B12" s="23" t="n">
        <v>-5.144</v>
      </c>
      <c r="C12" s="23" t="n">
        <v>-11.185</v>
      </c>
      <c r="D12" s="23" t="n">
        <v>-16.515</v>
      </c>
      <c r="E12" s="23" t="n">
        <v>-21.426</v>
      </c>
      <c r="F12" s="23" t="n">
        <v>-43.883</v>
      </c>
      <c r="G12" s="23" t="n">
        <v>-36.412</v>
      </c>
      <c r="H12" s="23" t="n">
        <v>-46.991</v>
      </c>
      <c r="I12" s="23" t="n">
        <v>33.572</v>
      </c>
      <c r="J12" s="23" t="n">
        <v>-19.976</v>
      </c>
      <c r="K12" s="23" t="n">
        <v>-45.99</v>
      </c>
      <c r="L12" s="23" t="n">
        <v>-11.709</v>
      </c>
      <c r="M12" s="23" t="n">
        <v>-20.649</v>
      </c>
      <c r="N12" s="23" t="n">
        <v>-43.019</v>
      </c>
      <c r="O12" s="23" t="n">
        <v>-26.273</v>
      </c>
      <c r="P12" s="23" t="n">
        <v>-21.486</v>
      </c>
      <c r="Q12" s="23" t="n">
        <v>-18.609</v>
      </c>
      <c r="R12" s="23" t="n">
        <v>-63.533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-0.2777777777777778</v>
      </c>
      <c r="D13" s="11">
        <f>IFERROR(D12/D14,0)</f>
        <v>-0.35097972542185574</v>
      </c>
      <c r="E13" s="11">
        <f>IFERROR(E12/E14,0)</f>
        <v>-0.4353639208355346</v>
      </c>
      <c r="F13" s="11">
        <f>IFERROR(F12/F14,0)</f>
        <v>-0.8092612399955741</v>
      </c>
      <c r="G13" s="11">
        <f>IFERROR(G12/G14,0)</f>
        <v>-0.5478207230655814</v>
      </c>
      <c r="H13" s="11">
        <f>IFERROR(H12/H14,0)</f>
        <v>-0.5895171306344168</v>
      </c>
      <c r="I13" s="11">
        <f>IFERROR(I12/I14,0)</f>
        <v>0.3372274065070867</v>
      </c>
      <c r="J13" s="11">
        <f>IFERROR(J12/J14,0)</f>
        <v>-0.17449945840176107</v>
      </c>
      <c r="K13" s="11">
        <f>IFERROR(K12/K14,0)</f>
        <v>-0.36240278007612114</v>
      </c>
      <c r="L13" s="11">
        <f>IFERROR(L12/L14,0)</f>
        <v>-0.08045597905629652</v>
      </c>
      <c r="M13" s="11">
        <f>IFERROR(M12/M14,0)</f>
        <v>-0.13761963157473808</v>
      </c>
      <c r="N13" s="11">
        <f>IFERROR(N12/N14,0)</f>
        <v>-0.2615104983526036</v>
      </c>
      <c r="O13" s="11">
        <f>IFERROR(O12/O14,0)</f>
        <v>-0.15473638333961554</v>
      </c>
      <c r="P13" s="11">
        <f>IFERROR(P12/P14,0)</f>
        <v>-0.12443893596196058</v>
      </c>
      <c r="Q13" s="11">
        <f>IFERROR(Q12/Q14,0)</f>
        <v>-0.09295529813729751</v>
      </c>
      <c r="R13" s="11">
        <f>IFERROR(R12/R14,0)</f>
        <v>-0.2760911887917398</v>
      </c>
    </row>
    <row r="14">
      <c r="A14" s="2" t="inlineStr">
        <is>
          <t>Shares</t>
        </is>
      </c>
      <c r="B14" s="23" t="n"/>
      <c r="C14" s="23" t="n">
        <v>40.266</v>
      </c>
      <c r="D14" s="23" t="n">
        <v>47.054</v>
      </c>
      <c r="E14" s="23" t="n">
        <v>49.214</v>
      </c>
      <c r="F14" s="23" t="n">
        <v>54.226</v>
      </c>
      <c r="G14" s="23" t="n">
        <v>66.467</v>
      </c>
      <c r="H14" s="23" t="n">
        <v>79.711</v>
      </c>
      <c r="I14" s="23" t="n">
        <v>99.553</v>
      </c>
      <c r="J14" s="23" t="n">
        <v>114.476</v>
      </c>
      <c r="K14" s="23" t="n">
        <v>126.903</v>
      </c>
      <c r="L14" s="23" t="n">
        <v>145.533</v>
      </c>
      <c r="M14" s="23" t="n">
        <v>150.044</v>
      </c>
      <c r="N14" s="23" t="n">
        <v>164.502</v>
      </c>
      <c r="O14" s="23" t="n">
        <v>169.792</v>
      </c>
      <c r="P14" s="23" t="n">
        <v>172.663</v>
      </c>
      <c r="Q14" s="23" t="n">
        <v>200.193</v>
      </c>
      <c r="R14" s="23" t="n">
        <v>230.116</v>
      </c>
    </row>
    <row r="15"/>
    <row r="16" customFormat="1" s="4">
      <c r="A16" s="3" t="inlineStr">
        <is>
          <t>Revenue Change</t>
        </is>
      </c>
      <c r="C16" s="15">
        <f>IFERROR(C2/B2-1,"")</f>
        <v>0.9262337662337663</v>
      </c>
      <c r="D16" s="15">
        <f>IFERROR(D2/C2-1,"")</f>
        <v>0.19579288025889974</v>
      </c>
      <c r="E16" s="15">
        <f>IFERROR(E2/D2-1,"")</f>
        <v>-0.11705006765899872</v>
      </c>
      <c r="F16" s="15">
        <f>IFERROR(F2/E2-1,"")</f>
        <v>0.13256704980842926</v>
      </c>
      <c r="G16" s="15">
        <f>IFERROR(G2/F2-1,"")</f>
        <v>0.1826792963464139</v>
      </c>
      <c r="H16" s="15">
        <f>IFERROR(H2/G2-1,"")</f>
        <v>0.34172387490465295</v>
      </c>
      <c r="I16" s="15">
        <f>IFERROR(I2/H2-1,"")</f>
        <v>-0.15818646958499138</v>
      </c>
      <c r="J16" s="15">
        <f>IFERROR(J2/I2-1,"")</f>
        <v>-0.41617423602903936</v>
      </c>
      <c r="K16" s="15">
        <f>IFERROR(K2/J2-1,"")</f>
        <v>0.4424522845575478</v>
      </c>
      <c r="L16" s="15">
        <f>IFERROR(L2/K2-1,"")</f>
        <v>-0.295308740978348</v>
      </c>
      <c r="M16" s="15">
        <f>IFERROR(M2/L2-1,"")</f>
        <v>-0.48051209103840686</v>
      </c>
      <c r="N16" s="15">
        <f>IFERROR(N2/M2-1,"")</f>
        <v>1.3773274917853233</v>
      </c>
      <c r="O16" s="15">
        <f>IFERROR(O2/N2-1,"")</f>
        <v>2.387007601935038</v>
      </c>
      <c r="P16" s="15">
        <f>IFERROR(P2/O2-1,"")</f>
        <v>-0.391620757668503</v>
      </c>
      <c r="Q16" s="15">
        <f>IFERROR(Q2/P2-1,"")</f>
        <v>0.06193404136389047</v>
      </c>
      <c r="R16" s="15">
        <f>IFERROR(R2/Q2-1,"")</f>
        <v>0.5323718286135382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0.9924487594390506</v>
      </c>
      <c r="D17" s="15">
        <f>IFERROR(D4/D2,"")</f>
        <v>0.9821831303563374</v>
      </c>
      <c r="E17" s="15">
        <f>IFERROR(E4/E2,"")</f>
        <v>0.8891443167305236</v>
      </c>
      <c r="F17" s="15">
        <f>IFERROR(F4/F2,"")</f>
        <v>0.8211547135769057</v>
      </c>
      <c r="G17" s="15">
        <f>IFERROR(G4/G2,"")</f>
        <v>0.8403890160183066</v>
      </c>
      <c r="H17" s="15">
        <f>IFERROR(H4/H2,"")</f>
        <v>0.8426662876634451</v>
      </c>
      <c r="I17" s="15">
        <f>IFERROR(I4/I2,"")</f>
        <v>0.9395576565929428</v>
      </c>
      <c r="J17" s="15">
        <f>IFERROR(J4/J2,"")</f>
        <v>0.951417004048583</v>
      </c>
      <c r="K17" s="15">
        <f>IFERROR(K4/K2,"")</f>
        <v>0.9394546912590217</v>
      </c>
      <c r="L17" s="15">
        <f>IFERROR(L4/L2,"")</f>
        <v>0.8827880512091039</v>
      </c>
      <c r="M17" s="15">
        <f>IFERROR(M4/M2,"")</f>
        <v>0.7891566265060241</v>
      </c>
      <c r="N17" s="15">
        <f>IFERROR(N4/N2,"")</f>
        <v>0.6715042616908546</v>
      </c>
      <c r="O17" s="15">
        <f>IFERROR(O4/O2,"")</f>
        <v>0.9504862953138815</v>
      </c>
      <c r="P17" s="15">
        <f>IFERROR(P4/P2,"")</f>
        <v>0.9249860257126887</v>
      </c>
      <c r="Q17" s="15">
        <f>IFERROR(Q4/Q2,"")</f>
        <v>0.9648384040425309</v>
      </c>
      <c r="R17" s="15">
        <f>IFERROR(R4/R2,"")</f>
        <v>1.0</v>
      </c>
    </row>
    <row r="18">
      <c r="A18" s="14" t="inlineStr">
        <is>
          <t>Operating Margin</t>
        </is>
      </c>
      <c r="B18" s="15">
        <f>IFERROR(B8/B2,"")</f>
        <v>-1.8285714285714287</v>
      </c>
      <c r="C18" s="15">
        <f>IFERROR(C8/C2,"")</f>
        <v>-2.656957928802589</v>
      </c>
      <c r="D18" s="15">
        <f>IFERROR(D8/D2,"")</f>
        <v>-4.214479025710419</v>
      </c>
      <c r="E18" s="15">
        <f>IFERROR(E8/E2,"")</f>
        <v>-6.385951468710089</v>
      </c>
      <c r="F18" s="15">
        <f>IFERROR(F8/F2,"")</f>
        <v>-12.626522327469553</v>
      </c>
      <c r="G18" s="15">
        <f>IFERROR(G8/G2,"")</f>
        <v>-9.664759725400458</v>
      </c>
      <c r="H18" s="15">
        <f>IFERROR(H8/H2,"")</f>
        <v>-9.35318362706083</v>
      </c>
      <c r="I18" s="15">
        <f>IFERROR(I8/I2,"")</f>
        <v>-9.955596825932805</v>
      </c>
      <c r="J18" s="15">
        <f>IFERROR(J8/J2,"")</f>
        <v>-11.249855407750145</v>
      </c>
      <c r="K18" s="15">
        <f>IFERROR(K8/K2,"")</f>
        <v>-8.379109863672813</v>
      </c>
      <c r="L18" s="15">
        <f>IFERROR(L8/L2,"")</f>
        <v>-11.060028449502132</v>
      </c>
      <c r="M18" s="15">
        <f>IFERROR(M8/M2,"")</f>
        <v>-14.483570646221247</v>
      </c>
      <c r="N18" s="15">
        <f>IFERROR(N8/N2,"")</f>
        <v>-11.336328035014974</v>
      </c>
      <c r="O18" s="15">
        <f>IFERROR(O8/O2,"")</f>
        <v>-1.5316602054002582</v>
      </c>
      <c r="P18" s="15">
        <f>IFERROR(P8/P2,"")</f>
        <v>-2.7650083845723863</v>
      </c>
      <c r="Q18" s="15">
        <f>IFERROR(Q8/Q2,"")</f>
        <v>-2.2610801136961785</v>
      </c>
      <c r="R18" s="15">
        <f>IFERROR(R8/R2,"")</f>
        <v>-2.5157323440505635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2026-10-21T06:26:24Z</dcterms:modified>
  <cp:lastModifiedBy>Wang, Eric</cp:lastModifiedBy>
</cp:coreProperties>
</file>