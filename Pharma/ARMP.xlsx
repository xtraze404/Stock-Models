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Armata Pharmaceuticals, Inc.</t>
        </is>
      </c>
      <c r="C2" s="10" t="n"/>
    </row>
    <row r="3">
      <c r="B3" t="inlineStr">
        <is>
          <t>Price</t>
        </is>
      </c>
      <c r="C3" s="11">
        <f>INDEX([1]Pharma!$F$1:$F$1000,MATCH("ARMP",[1]Pharma!$B$1:$B$1000,0))</f>
        <v>3.18</v>
      </c>
      <c r="F3" s="1" t="n"/>
    </row>
    <row r="4">
      <c r="B4" t="inlineStr">
        <is>
          <t>Shares</t>
        </is>
      </c>
      <c r="C4" s="21" t="n">
        <v>37.181979</v>
      </c>
      <c r="F4" s="1" t="n"/>
    </row>
    <row r="5">
      <c r="B5" t="inlineStr">
        <is>
          <t>Market Cap.</t>
        </is>
      </c>
      <c r="C5" s="13">
        <f>C3*C4</f>
        <v>118.23869322</v>
      </c>
      <c r="F5" s="1" t="n"/>
    </row>
    <row r="6"/>
    <row r="7">
      <c r="B7" t="inlineStr">
        <is>
          <t>Cash</t>
        </is>
      </c>
      <c r="C7" s="21" t="n">
        <v>23.952</v>
      </c>
    </row>
    <row r="8">
      <c r="B8" t="inlineStr">
        <is>
          <t>Debt</t>
        </is>
      </c>
      <c r="C8" s="21">
        <f>163.904+42.024</f>
        <v>205.928</v>
      </c>
    </row>
    <row r="9">
      <c r="B9" t="inlineStr">
        <is>
          <t>Enterprise V.</t>
        </is>
      </c>
      <c r="C9" s="13">
        <f>C5-C7+C8</f>
        <v>300.21469322</v>
      </c>
    </row>
    <row r="10"/>
    <row r="11">
      <c r="B11" s="14" t="inlineStr">
        <is>
          <t>Net Cash / Share</t>
        </is>
      </c>
      <c r="C11" s="11">
        <f>(C7-C8)/C4</f>
        <v>-4.8941988805921275</v>
      </c>
    </row>
    <row r="12">
      <c r="B12" s="14" t="inlineStr">
        <is>
          <t>Upside</t>
        </is>
      </c>
      <c r="C12" s="15">
        <f>IFERROR(C11/C3-1,"")</f>
        <v>-2.539056251758531</v>
      </c>
    </row>
    <row r="13">
      <c r="B13" s="14" t="inlineStr">
        <is>
          <t>Cash / Share</t>
        </is>
      </c>
      <c r="C13" s="11">
        <f>IFERROR((C7-C8)/C4,"")</f>
        <v>-4.8941988805921275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-25.42</v>
      </c>
    </row>
    <row r="18">
      <c r="B18" s="14" t="inlineStr">
        <is>
          <t>Runway (years)</t>
        </is>
      </c>
      <c r="C18" s="22" t="str">
        <f>IF(AND(ISNUMBER(C17),C17&lt;0),IF(C7&gt;C8,(C7-C8)/-C17,"net debt"),"n/a")</f>
        <v>net debt</v>
      </c>
    </row>
    <row r="19">
      <c r="B19" s="14" t="inlineStr">
        <is>
          <t>Implied Pipeline Value</t>
        </is>
      </c>
      <c r="C19" s="13">
        <f>C9</f>
        <v>300.21469322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2013</v>
      </c>
      <c r="C1" s="17" t="n">
        <v>2014</v>
      </c>
      <c r="D1" s="17" t="n">
        <v>2015</v>
      </c>
      <c r="E1" s="17" t="n">
        <v>2016</v>
      </c>
      <c r="F1" s="17" t="n">
        <v>2017</v>
      </c>
      <c r="G1" s="17" t="n">
        <v>2018</v>
      </c>
      <c r="H1" s="17" t="n">
        <v>2019</v>
      </c>
      <c r="I1" s="17" t="n">
        <v>2020</v>
      </c>
      <c r="J1" s="17" t="n">
        <v>2021</v>
      </c>
      <c r="K1" s="17" t="n">
        <v>2022</v>
      </c>
      <c r="L1" s="17" t="n">
        <v>2023</v>
      </c>
      <c r="M1" s="17" t="n">
        <v>2024</v>
      </c>
      <c r="N1" s="17" t="n">
        <v>2025</v>
      </c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0</v>
      </c>
      <c r="M2" s="23" t="n">
        <v>0</v>
      </c>
      <c r="N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  <c r="M4" s="23">
        <f>M2-M3</f>
        <v>0.0</v>
      </c>
      <c r="N4" s="23">
        <f>N2-N3</f>
        <v>0.0</v>
      </c>
    </row>
    <row r="5">
      <c r="A5" s="2" t="inlineStr">
        <is>
          <t>Research &amp; Dev.</t>
        </is>
      </c>
      <c r="B5" s="23" t="n">
        <v>6.469</v>
      </c>
      <c r="C5" s="23" t="n">
        <v>5.805</v>
      </c>
      <c r="D5" s="23" t="n">
        <v>3.992</v>
      </c>
      <c r="E5" s="23" t="n">
        <v>5.678</v>
      </c>
      <c r="F5" s="23" t="n">
        <v>2.881</v>
      </c>
      <c r="G5" s="23" t="n">
        <v>8.372</v>
      </c>
      <c r="H5" s="23" t="n">
        <v>9.824</v>
      </c>
      <c r="I5" s="23" t="n">
        <v>14.444</v>
      </c>
      <c r="J5" s="23" t="n">
        <v>20.015</v>
      </c>
      <c r="K5" s="23" t="n">
        <v>35.017</v>
      </c>
      <c r="L5" s="23" t="n">
        <v>33.77</v>
      </c>
      <c r="M5" s="23" t="n">
        <v>34.426</v>
      </c>
      <c r="N5" s="23" t="n">
        <v>23.717</v>
      </c>
    </row>
    <row r="6">
      <c r="A6" s="19" t="inlineStr">
        <is>
          <t>SG&amp;A &amp; Other</t>
        </is>
      </c>
      <c r="B6" s="23" t="n">
        <v>5.915</v>
      </c>
      <c r="C6" s="23" t="n">
        <v>8.305</v>
      </c>
      <c r="D6" s="23" t="n">
        <v>6.235</v>
      </c>
      <c r="E6" s="23" t="n">
        <v>17.7</v>
      </c>
      <c r="F6" s="23" t="n">
        <v>13.275</v>
      </c>
      <c r="G6" s="23" t="n">
        <v>9.286</v>
      </c>
      <c r="H6" s="23" t="n">
        <v>9.928000000000001</v>
      </c>
      <c r="I6" s="23" t="n">
        <v>7.143</v>
      </c>
      <c r="J6" s="23" t="n">
        <v>3.807</v>
      </c>
      <c r="K6" s="23" t="n">
        <v>1.929</v>
      </c>
      <c r="L6" s="23" t="n">
        <v>7.12</v>
      </c>
      <c r="M6" s="23" t="n">
        <v>8.01</v>
      </c>
      <c r="N6" s="23" t="n">
        <v>12.917</v>
      </c>
    </row>
    <row r="7">
      <c r="A7" s="2" t="inlineStr">
        <is>
          <t>Operating Expense</t>
        </is>
      </c>
      <c r="B7" s="23">
        <f>SUM(B5:B6)</f>
        <v>12.384</v>
      </c>
      <c r="C7" s="23">
        <f>SUM(C5:C6)</f>
        <v>14.11</v>
      </c>
      <c r="D7" s="23">
        <f>SUM(D5:D6)</f>
        <v>10.227</v>
      </c>
      <c r="E7" s="23">
        <f>SUM(E5:E6)</f>
        <v>23.378</v>
      </c>
      <c r="F7" s="23">
        <f>SUM(F5:F6)</f>
        <v>16.156</v>
      </c>
      <c r="G7" s="23">
        <f>SUM(G5:G6)</f>
        <v>17.658</v>
      </c>
      <c r="H7" s="23">
        <f>SUM(H5:H6)</f>
        <v>19.752000000000002</v>
      </c>
      <c r="I7" s="23">
        <f>SUM(I5:I6)</f>
        <v>21.587</v>
      </c>
      <c r="J7" s="23">
        <f>SUM(J5:J6)</f>
        <v>23.822</v>
      </c>
      <c r="K7" s="23">
        <f>SUM(K5:K6)</f>
        <v>36.946000000000005</v>
      </c>
      <c r="L7" s="23">
        <f>SUM(L5:L6)</f>
        <v>40.89</v>
      </c>
      <c r="M7" s="23">
        <f>SUM(M5:M6)</f>
        <v>42.436</v>
      </c>
      <c r="N7" s="23">
        <f>SUM(N5:N6)</f>
        <v>36.634</v>
      </c>
    </row>
    <row r="8">
      <c r="A8" s="2" t="inlineStr">
        <is>
          <t>Operating Income</t>
        </is>
      </c>
      <c r="B8" s="23">
        <f>B4-B7</f>
        <v>-12.384</v>
      </c>
      <c r="C8" s="23">
        <f>C4-C7</f>
        <v>-14.11</v>
      </c>
      <c r="D8" s="23">
        <f>D4-D7</f>
        <v>-10.227</v>
      </c>
      <c r="E8" s="23">
        <f>E4-E7</f>
        <v>-23.378</v>
      </c>
      <c r="F8" s="23">
        <f>F4-F7</f>
        <v>-16.156</v>
      </c>
      <c r="G8" s="23">
        <f>G4-G7</f>
        <v>-17.658</v>
      </c>
      <c r="H8" s="23">
        <f>H4-H7</f>
        <v>-19.752000000000002</v>
      </c>
      <c r="I8" s="23">
        <f>I4-I7</f>
        <v>-21.587</v>
      </c>
      <c r="J8" s="23">
        <f>J4-J7</f>
        <v>-23.822</v>
      </c>
      <c r="K8" s="23">
        <f>K4-K7</f>
        <v>-36.946000000000005</v>
      </c>
      <c r="L8" s="23">
        <f>L4-L7</f>
        <v>-40.89</v>
      </c>
      <c r="M8" s="23">
        <f>M4-M7</f>
        <v>-42.436</v>
      </c>
      <c r="N8" s="23">
        <f>N4-N7</f>
        <v>-36.634</v>
      </c>
    </row>
    <row r="9">
      <c r="A9" s="19" t="inlineStr">
        <is>
          <t>Interest &amp; Other</t>
        </is>
      </c>
      <c r="B9" s="23" t="n">
        <v>-52.199</v>
      </c>
      <c r="C9" s="23" t="n">
        <v>37.219</v>
      </c>
      <c r="D9" s="23" t="n">
        <v>9.638</v>
      </c>
      <c r="E9" s="23" t="n">
        <v>3.984</v>
      </c>
      <c r="F9" s="23" t="n">
        <v>2.016</v>
      </c>
      <c r="G9" s="23" t="n">
        <v>0.628</v>
      </c>
      <c r="H9" s="23" t="n">
        <v>0.273</v>
      </c>
      <c r="I9" s="23" t="n">
        <v>-0.594</v>
      </c>
      <c r="J9" s="23" t="n">
        <v>0.667</v>
      </c>
      <c r="K9" s="23" t="n">
        <v>0.029</v>
      </c>
      <c r="L9" s="23" t="n">
        <v>-28.155</v>
      </c>
      <c r="M9" s="23" t="n">
        <v>23.52</v>
      </c>
      <c r="N9" s="23" t="n">
        <v>-137.165</v>
      </c>
    </row>
    <row r="10">
      <c r="A10" s="2" t="inlineStr">
        <is>
          <t>Pretax</t>
        </is>
      </c>
      <c r="B10" s="23">
        <f>B8+B9</f>
        <v>-64.583</v>
      </c>
      <c r="C10" s="23">
        <f>C8+C9</f>
        <v>23.109</v>
      </c>
      <c r="D10" s="23">
        <f>D8+D9</f>
        <v>-0.5890000000000004</v>
      </c>
      <c r="E10" s="23">
        <f>E8+E9</f>
        <v>-19.394</v>
      </c>
      <c r="F10" s="23">
        <f>F8+F9</f>
        <v>-14.139999999999999</v>
      </c>
      <c r="G10" s="23">
        <f>G8+G9</f>
        <v>-17.03</v>
      </c>
      <c r="H10" s="23">
        <f>H8+H9</f>
        <v>-19.479000000000003</v>
      </c>
      <c r="I10" s="23">
        <f>I8+I9</f>
        <v>-22.181</v>
      </c>
      <c r="J10" s="23">
        <f>J8+J9</f>
        <v>-23.154999999999998</v>
      </c>
      <c r="K10" s="23">
        <f>K8+K9</f>
        <v>-36.917</v>
      </c>
      <c r="L10" s="23">
        <f>L8+L9</f>
        <v>-69.045</v>
      </c>
      <c r="M10" s="23">
        <f>M8+M9</f>
        <v>-18.916</v>
      </c>
      <c r="N10" s="23">
        <f>N8+N9</f>
        <v>-173.79899999999998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-0.073</v>
      </c>
      <c r="E11" s="23" t="n">
        <v>-0.556</v>
      </c>
      <c r="F11" s="23" t="n">
        <v>-1.302</v>
      </c>
      <c r="G11" s="23" t="n">
        <v>-0.328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</row>
    <row r="12">
      <c r="A12" s="2" t="inlineStr">
        <is>
          <t>Net Income</t>
        </is>
      </c>
      <c r="B12" s="23" t="n">
        <v>-64.583</v>
      </c>
      <c r="C12" s="23" t="n">
        <v>23.109</v>
      </c>
      <c r="D12" s="23" t="n">
        <v>-0.516</v>
      </c>
      <c r="E12" s="23" t="n">
        <v>-18.838</v>
      </c>
      <c r="F12" s="23" t="n">
        <v>-12.838</v>
      </c>
      <c r="G12" s="23" t="n">
        <v>-16.702</v>
      </c>
      <c r="H12" s="23" t="n">
        <v>-19.479</v>
      </c>
      <c r="I12" s="23" t="n">
        <v>-22.181</v>
      </c>
      <c r="J12" s="23" t="n">
        <v>-23.155</v>
      </c>
      <c r="K12" s="23" t="n">
        <v>-36.917</v>
      </c>
      <c r="L12" s="23" t="n">
        <v>-69.045</v>
      </c>
      <c r="M12" s="23" t="n">
        <v>-18.916</v>
      </c>
      <c r="N12" s="23" t="n">
        <v>-173.799</v>
      </c>
    </row>
    <row r="13">
      <c r="A13" s="2" t="inlineStr">
        <is>
          <t>Earnings per Share</t>
        </is>
      </c>
      <c r="B13" s="11">
        <f>IFERROR(B12/B14,0)</f>
        <v>-10.84881572316479</v>
      </c>
      <c r="C13" s="11">
        <f>IFERROR(C12/C14,0)</f>
        <v>3.925428911160184</v>
      </c>
      <c r="D13" s="11">
        <f>IFERROR(D12/D14,0)</f>
        <v>-0.09536130105340973</v>
      </c>
      <c r="E13" s="11">
        <f>IFERROR(E12/E14,0)</f>
        <v>-19.14430894308943</v>
      </c>
      <c r="F13" s="11">
        <f>IFERROR(F12/F14,0)</f>
        <v>-1.9528445390933982</v>
      </c>
      <c r="G13" s="11">
        <f>IFERROR(G12/G14,0)</f>
        <v>-3.589512142703633</v>
      </c>
      <c r="H13" s="11">
        <f>IFERROR(H12/H14,0)</f>
        <v>-2.4318352059925092</v>
      </c>
      <c r="I13" s="11">
        <f>IFERROR(I12/I14,0)</f>
        <v>-1.3512640877246422</v>
      </c>
      <c r="J13" s="11">
        <f>IFERROR(J12/J14,0)</f>
        <v>-0.9606289412545637</v>
      </c>
      <c r="K13" s="11">
        <f>IFERROR(K12/K14,0)</f>
        <v>-1.0764856826266986</v>
      </c>
      <c r="L13" s="11">
        <f>IFERROR(L12/L14,0)</f>
        <v>-1.9138762612263</v>
      </c>
      <c r="M13" s="11">
        <f>IFERROR(M12/M14,0)</f>
        <v>-0.3202844564849306</v>
      </c>
      <c r="N13" s="11">
        <f>IFERROR(N12/N14,0)</f>
        <v>-4.795910483181104</v>
      </c>
    </row>
    <row r="14">
      <c r="A14" s="2" t="inlineStr">
        <is>
          <t>Shares</t>
        </is>
      </c>
      <c r="B14" s="23" t="n">
        <v>5.953</v>
      </c>
      <c r="C14" s="23" t="n">
        <v>5.887</v>
      </c>
      <c r="D14" s="23" t="n">
        <v>5.411</v>
      </c>
      <c r="E14" s="23" t="n">
        <v>0.984</v>
      </c>
      <c r="F14" s="23" t="n">
        <v>6.574</v>
      </c>
      <c r="G14" s="23" t="n">
        <v>4.653</v>
      </c>
      <c r="H14" s="23" t="n">
        <v>8.01</v>
      </c>
      <c r="I14" s="23" t="n">
        <v>16.415</v>
      </c>
      <c r="J14" s="23" t="n">
        <v>24.104</v>
      </c>
      <c r="K14" s="23" t="n">
        <v>34.294</v>
      </c>
      <c r="L14" s="23" t="n">
        <v>36.076</v>
      </c>
      <c r="M14" s="23" t="n">
        <v>59.06</v>
      </c>
      <c r="N14" s="23" t="n">
        <v>36.239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  <c r="N16" s="15">
        <f>IFERROR(N2/M2-1,"")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/>
      </c>
      <c r="N17" s="15">
        <f>IFERROR(N4/N2,"")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/>
      </c>
      <c r="N18" s="15">
        <f>IFERROR(N8/N2,"")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2026-10-21T06:27:44Z</dcterms:modified>
  <cp:lastModifiedBy>Wang, Eric</cp:lastModifiedBy>
</cp:coreProperties>
</file>