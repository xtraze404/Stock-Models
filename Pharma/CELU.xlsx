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Celularity Inc</t>
        </is>
      </c>
      <c r="C2" s="10" t="n"/>
    </row>
    <row r="3">
      <c r="B3" t="inlineStr">
        <is>
          <t>Price</t>
        </is>
      </c>
      <c r="C3" s="11">
        <f>INDEX([1]Pharma!$F$1:$F$1000,MATCH("CELU",[1]Pharma!$B$1:$B$1000,0))</f>
        <v>1.26</v>
      </c>
      <c r="F3" s="1" t="n"/>
    </row>
    <row r="4">
      <c r="B4" t="inlineStr">
        <is>
          <t>Shares</t>
        </is>
      </c>
      <c r="C4" s="21" t="n">
        <v>32.449767</v>
      </c>
      <c r="F4" s="1" t="n"/>
    </row>
    <row r="5">
      <c r="B5" t="inlineStr">
        <is>
          <t>Market Cap.</t>
        </is>
      </c>
      <c r="C5" s="13">
        <f>C3*C4</f>
        <v>40.88670642</v>
      </c>
      <c r="F5" s="1" t="n"/>
    </row>
    <row r="6"/>
    <row r="7">
      <c r="B7" t="inlineStr">
        <is>
          <t>Cash</t>
        </is>
      </c>
      <c r="C7" s="21" t="n">
        <v>0.368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40.51870642</v>
      </c>
    </row>
    <row r="10"/>
    <row r="11">
      <c r="B11" s="14" t="inlineStr">
        <is>
          <t>Net Cash / Share</t>
        </is>
      </c>
      <c r="C11" s="11">
        <f>(C7-C8)/C4</f>
        <v>0.011340605311588215</v>
      </c>
    </row>
    <row r="12">
      <c r="B12" s="14" t="inlineStr">
        <is>
          <t>Upside</t>
        </is>
      </c>
      <c r="C12" s="15">
        <f>IFERROR(C11/C3-1,"")</f>
        <v>-0.9909995195939776</v>
      </c>
    </row>
    <row r="13">
      <c r="B13" s="14" t="inlineStr">
        <is>
          <t>Cash / Share</t>
        </is>
      </c>
      <c r="C13" s="11">
        <f>IFERROR((C7-C8)/C4,"")</f>
        <v>0.011340605311588215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-8.923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0.04124173484254175</v>
      </c>
    </row>
    <row r="19">
      <c r="B19" s="14" t="inlineStr">
        <is>
          <t>Implied Pipeline Value</t>
        </is>
      </c>
      <c r="C19" s="13">
        <f>C9</f>
        <v>40.51870642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14.278</v>
      </c>
      <c r="D2" s="23" t="n">
        <v>21.335</v>
      </c>
      <c r="E2" s="23" t="n">
        <v>17.975</v>
      </c>
      <c r="F2" s="23" t="n">
        <v>22.771</v>
      </c>
      <c r="G2" s="23" t="n">
        <v>54.22</v>
      </c>
      <c r="H2" s="23" t="n">
        <v>26.55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16.016</v>
      </c>
      <c r="G3" s="23" t="n">
        <v>14.989</v>
      </c>
      <c r="H3" s="23" t="n">
        <v>20.074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14.278</v>
      </c>
      <c r="D4" s="23">
        <f>D2-D3</f>
        <v>21.335</v>
      </c>
      <c r="E4" s="23">
        <f>E2-E3</f>
        <v>17.975</v>
      </c>
      <c r="F4" s="23">
        <f>F2-F3</f>
        <v>6.755000000000003</v>
      </c>
      <c r="G4" s="23">
        <f>G2-G3</f>
        <v>39.230999999999995</v>
      </c>
      <c r="H4" s="23">
        <f>H2-H3</f>
        <v>6.475999999999999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52.707</v>
      </c>
      <c r="D5" s="23" t="n">
        <v>88.35299999999999</v>
      </c>
      <c r="E5" s="23" t="n">
        <v>78.363</v>
      </c>
      <c r="F5" s="23" t="n">
        <v>30.465</v>
      </c>
      <c r="G5" s="23" t="n">
        <v>17.386</v>
      </c>
      <c r="H5" s="23" t="n">
        <v>15.025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1.684</v>
      </c>
      <c r="C6" s="23" t="n">
        <v>113.496</v>
      </c>
      <c r="D6" s="23" t="n">
        <v>42.041</v>
      </c>
      <c r="E6" s="23" t="n">
        <v>-34.788</v>
      </c>
      <c r="F6" s="23" t="n">
        <v>168.577</v>
      </c>
      <c r="G6" s="23" t="n">
        <v>60.203</v>
      </c>
      <c r="H6" s="23" t="n">
        <v>52.759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1.684</v>
      </c>
      <c r="C7" s="23">
        <f>SUM(C5:C6)</f>
        <v>166.203</v>
      </c>
      <c r="D7" s="23">
        <f>SUM(D5:D6)</f>
        <v>130.394</v>
      </c>
      <c r="E7" s="23">
        <f>SUM(E5:E6)</f>
        <v>43.575</v>
      </c>
      <c r="F7" s="23">
        <f>SUM(F5:F6)</f>
        <v>199.042</v>
      </c>
      <c r="G7" s="23">
        <f>SUM(G5:G6)</f>
        <v>77.589</v>
      </c>
      <c r="H7" s="23">
        <f>SUM(H5:H6)</f>
        <v>67.784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-1.684</v>
      </c>
      <c r="C8" s="23">
        <f>C4-C7</f>
        <v>-151.925</v>
      </c>
      <c r="D8" s="23">
        <f>D4-D7</f>
        <v>-109.059</v>
      </c>
      <c r="E8" s="23">
        <f>E4-E7</f>
        <v>-25.6</v>
      </c>
      <c r="F8" s="23">
        <f>F4-F7</f>
        <v>-192.287</v>
      </c>
      <c r="G8" s="23">
        <f>G4-G7</f>
        <v>-38.358000000000004</v>
      </c>
      <c r="H8" s="23">
        <f>H4-H7</f>
        <v>-61.30800000000001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8.231</v>
      </c>
      <c r="C9" s="23" t="n">
        <v>-61.008</v>
      </c>
      <c r="D9" s="23" t="n">
        <v>8.961</v>
      </c>
      <c r="E9" s="23" t="n">
        <v>39.805</v>
      </c>
      <c r="F9" s="23" t="n">
        <v>-3.998</v>
      </c>
      <c r="G9" s="23" t="n">
        <v>-19.534</v>
      </c>
      <c r="H9" s="23" t="n">
        <v>-30.405</v>
      </c>
    </row>
    <row r="10">
      <c r="A10" s="2" t="inlineStr">
        <is>
          <t>Pretax</t>
        </is>
      </c>
      <c r="B10" s="23">
        <f>B8+B9</f>
        <v>6.547</v>
      </c>
      <c r="C10" s="23">
        <f>C8+C9</f>
        <v>-212.93300000000002</v>
      </c>
      <c r="D10" s="23">
        <f>D8+D9</f>
        <v>-100.098</v>
      </c>
      <c r="E10" s="23">
        <f>E8+E9</f>
        <v>14.204999999999998</v>
      </c>
      <c r="F10" s="23">
        <f>F8+F9</f>
        <v>-196.285</v>
      </c>
      <c r="G10" s="23">
        <f>G8+G9</f>
        <v>-57.892</v>
      </c>
      <c r="H10" s="23">
        <f>H8+H9</f>
        <v>-91.71300000000001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0.668</v>
      </c>
      <c r="C11" s="23" t="n">
        <v>-4.7</v>
      </c>
      <c r="D11" s="23" t="n">
        <v>0.02</v>
      </c>
      <c r="E11" s="23" t="n">
        <v>0.013</v>
      </c>
      <c r="F11" s="23" t="n">
        <v>0.01</v>
      </c>
      <c r="G11" s="23" t="n">
        <v>0</v>
      </c>
      <c r="H11" s="23" t="n">
        <v>0.003</v>
      </c>
    </row>
    <row r="12">
      <c r="A12" s="2" t="inlineStr">
        <is>
          <t>Net Income</t>
        </is>
      </c>
      <c r="B12" s="23" t="n">
        <v>5.879</v>
      </c>
      <c r="C12" s="23" t="n">
        <v>-208.233</v>
      </c>
      <c r="D12" s="23" t="n">
        <v>-100.118</v>
      </c>
      <c r="E12" s="23" t="n">
        <v>14.192</v>
      </c>
      <c r="F12" s="23" t="n">
        <v>-196.295</v>
      </c>
      <c r="G12" s="23" t="n">
        <v>-57.892</v>
      </c>
      <c r="H12" s="23" t="n">
        <v>-91.71599999999999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0.23028712444670765</v>
      </c>
      <c r="C13" s="11">
        <f>IFERROR(C12/C14,0)</f>
        <v>-11.305950700401782</v>
      </c>
      <c r="D13" s="11">
        <f>IFERROR(D12/D14,0)</f>
        <v>-1.4930283191911358</v>
      </c>
      <c r="E13" s="11">
        <f>IFERROR(E12/E14,0)</f>
        <v>0.947206834412334</v>
      </c>
      <c r="F13" s="11">
        <f>IFERROR(F12/F14,0)</f>
        <v>-11.01976084881828</v>
      </c>
      <c r="G13" s="11">
        <f>IFERROR(G12/G14,0)</f>
        <v>-2.64455712393221</v>
      </c>
      <c r="H13" s="11">
        <f>IFERROR(H12/H14,0)</f>
        <v>-3.5827962029766787</v>
      </c>
    </row>
    <row r="14">
      <c r="A14" s="2" t="inlineStr">
        <is>
          <t>Shares</t>
        </is>
      </c>
      <c r="B14" s="23" t="n">
        <v>25.529</v>
      </c>
      <c r="C14" s="23" t="n">
        <v>18.418</v>
      </c>
      <c r="D14" s="23" t="n">
        <v>67.057</v>
      </c>
      <c r="E14" s="23" t="n">
        <v>14.983</v>
      </c>
      <c r="F14" s="23" t="n">
        <v>17.813</v>
      </c>
      <c r="G14" s="23" t="n">
        <v>21.891</v>
      </c>
      <c r="H14" s="23" t="n">
        <v>25.599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0.49425689872531176</v>
      </c>
      <c r="E16" s="15">
        <f>IFERROR(E2/D2-1,"")</f>
        <v>-0.1574876962737286</v>
      </c>
      <c r="F16" s="15">
        <f>IFERROR(F2/E2-1,"")</f>
        <v>0.2668150208623088</v>
      </c>
      <c r="G16" s="15">
        <f>IFERROR(G2/F2-1,"")</f>
        <v>1.3810987659742655</v>
      </c>
      <c r="H16" s="15">
        <f>IFERROR(H2/G2-1,"")</f>
        <v>-0.5103282921431206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0.2966492468490625</v>
      </c>
      <c r="G17" s="15">
        <f>IFERROR(G4/G2,"")</f>
        <v>0.7235521947620803</v>
      </c>
      <c r="H17" s="15">
        <f>IFERROR(H4/H2,"")</f>
        <v>0.24391713747645946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-10.640495867768596</v>
      </c>
      <c r="D18" s="15">
        <f>IFERROR(D8/D2,"")</f>
        <v>-5.1117412702132645</v>
      </c>
      <c r="E18" s="15">
        <f>IFERROR(E8/E2,"")</f>
        <v>-1.4242002781641168</v>
      </c>
      <c r="F18" s="15">
        <f>IFERROR(F8/F2,"")</f>
        <v>-8.444381010934961</v>
      </c>
      <c r="G18" s="15">
        <f>IFERROR(G8/G2,"")</f>
        <v>-0.7074511250461085</v>
      </c>
      <c r="H18" s="15">
        <f>IFERROR(H8/H2,"")</f>
        <v>-2.3091525423728814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2026-10-21T01:06:16Z</dcterms:modified>
  <cp:lastModifiedBy>Wang, Eric</cp:lastModifiedBy>
</cp:coreProperties>
</file>