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Biomea Fusion, Inc.</t>
        </is>
      </c>
      <c r="C2" s="10" t="n"/>
    </row>
    <row r="3">
      <c r="B3" t="inlineStr">
        <is>
          <t>Price</t>
        </is>
      </c>
      <c r="C3" s="11">
        <f>INDEX([1]Pharma!$F$1:$F$1000,MATCH("BMEA",[1]Pharma!$B$1:$B$1000,0))</f>
        <v>0.7356</v>
      </c>
      <c r="F3" s="1" t="n"/>
    </row>
    <row r="4">
      <c r="B4" t="inlineStr">
        <is>
          <t>Shares</t>
        </is>
      </c>
      <c r="C4" s="21" t="n">
        <v>72.483852</v>
      </c>
      <c r="F4" s="1" t="n"/>
    </row>
    <row r="5">
      <c r="B5" t="inlineStr">
        <is>
          <t>Market Cap.</t>
        </is>
      </c>
      <c r="C5" s="13">
        <f>C3*C4</f>
        <v>53.319121531200004</v>
      </c>
      <c r="F5" s="1" t="n"/>
    </row>
    <row r="6"/>
    <row r="7">
      <c r="B7" t="inlineStr">
        <is>
          <t>Cash</t>
        </is>
      </c>
      <c r="C7" s="21" t="n">
        <v>34.824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18.495121531200006</v>
      </c>
    </row>
    <row r="10"/>
    <row r="11">
      <c r="B11" s="14" t="inlineStr">
        <is>
          <t>Net Cash / Share</t>
        </is>
      </c>
      <c r="C11" s="11">
        <f>(C7-C8)/C4</f>
        <v>0.48043804294506864</v>
      </c>
    </row>
    <row r="12">
      <c r="B12" s="14" t="inlineStr">
        <is>
          <t>Upside</t>
        </is>
      </c>
      <c r="C12" s="15">
        <f>IFERROR(C11/C3-1,"")</f>
        <v>-0.34687596119484965</v>
      </c>
    </row>
    <row r="13">
      <c r="B13" s="14" t="inlineStr">
        <is>
          <t>Cash / Share</t>
        </is>
      </c>
      <c r="C13" s="11">
        <f>IFERROR((C7-C8)/C4,"")</f>
        <v>0.48043804294506864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-47.189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0.7379685943758079</v>
      </c>
    </row>
    <row r="19">
      <c r="B19" s="14" t="inlineStr">
        <is>
          <t>Implied Pipeline Value</t>
        </is>
      </c>
      <c r="C19" s="13">
        <f>C9</f>
        <v>18.495121531200006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1.092</v>
      </c>
      <c r="C5" s="23" t="n">
        <v>3.671</v>
      </c>
      <c r="D5" s="23" t="n">
        <v>27.996</v>
      </c>
      <c r="E5" s="23" t="n">
        <v>62.713</v>
      </c>
      <c r="F5" s="23" t="n">
        <v>102.546</v>
      </c>
      <c r="G5" s="23" t="n">
        <v>118.085</v>
      </c>
      <c r="H5" s="23" t="n">
        <v>61.979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0.103</v>
      </c>
      <c r="C6" s="23" t="n">
        <v>1.656</v>
      </c>
      <c r="D6" s="23" t="n">
        <v>13.671</v>
      </c>
      <c r="E6" s="23" t="n">
        <v>20.921</v>
      </c>
      <c r="F6" s="23" t="n">
        <v>23.589</v>
      </c>
      <c r="G6" s="23" t="n">
        <v>25.985</v>
      </c>
      <c r="H6" s="23" t="n">
        <v>21.533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1.195</v>
      </c>
      <c r="C7" s="23">
        <f>SUM(C5:C6)</f>
        <v>5.327</v>
      </c>
      <c r="D7" s="23">
        <f>SUM(D5:D6)</f>
        <v>41.667</v>
      </c>
      <c r="E7" s="23">
        <f>SUM(E5:E6)</f>
        <v>83.634</v>
      </c>
      <c r="F7" s="23">
        <f>SUM(F5:F6)</f>
        <v>126.135</v>
      </c>
      <c r="G7" s="23">
        <f>SUM(G5:G6)</f>
        <v>144.07</v>
      </c>
      <c r="H7" s="23">
        <f>SUM(H5:H6)</f>
        <v>83.512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-1.195</v>
      </c>
      <c r="C8" s="23">
        <f>C4-C7</f>
        <v>-5.327</v>
      </c>
      <c r="D8" s="23">
        <f>D4-D7</f>
        <v>-41.667</v>
      </c>
      <c r="E8" s="23">
        <f>E4-E7</f>
        <v>-83.634</v>
      </c>
      <c r="F8" s="23">
        <f>F4-F7</f>
        <v>-126.135</v>
      </c>
      <c r="G8" s="23">
        <f>G4-G7</f>
        <v>-144.07</v>
      </c>
      <c r="H8" s="23">
        <f>H4-H7</f>
        <v>-83.512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-0.003</v>
      </c>
      <c r="C9" s="23" t="n">
        <v>0.003</v>
      </c>
      <c r="D9" s="23" t="n">
        <v>0.1</v>
      </c>
      <c r="E9" s="23" t="n">
        <v>1.806</v>
      </c>
      <c r="F9" s="23" t="n">
        <v>8.880000000000001</v>
      </c>
      <c r="G9" s="23" t="n">
        <v>5.644</v>
      </c>
      <c r="H9" s="23" t="n">
        <v>21.715</v>
      </c>
    </row>
    <row r="10">
      <c r="A10" s="2" t="inlineStr">
        <is>
          <t>Pretax</t>
        </is>
      </c>
      <c r="B10" s="23">
        <f>B8+B9</f>
        <v>-1.198</v>
      </c>
      <c r="C10" s="23">
        <f>C8+C9</f>
        <v>-5.324</v>
      </c>
      <c r="D10" s="23">
        <f>D8+D9</f>
        <v>-41.567</v>
      </c>
      <c r="E10" s="23">
        <f>E8+E9</f>
        <v>-81.828</v>
      </c>
      <c r="F10" s="23">
        <f>F8+F9</f>
        <v>-117.25500000000001</v>
      </c>
      <c r="G10" s="23">
        <f>G8+G9</f>
        <v>-138.426</v>
      </c>
      <c r="H10" s="23">
        <f>H8+H9</f>
        <v>-61.797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-1.198</v>
      </c>
      <c r="C12" s="23" t="n">
        <v>-5.324</v>
      </c>
      <c r="D12" s="23" t="n">
        <v>-41.567</v>
      </c>
      <c r="E12" s="23" t="n">
        <v>-81.828</v>
      </c>
      <c r="F12" s="23" t="n">
        <v>-117.255</v>
      </c>
      <c r="G12" s="23" t="n">
        <v>-138.426</v>
      </c>
      <c r="H12" s="23" t="n">
        <v>-61.797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-0.19795109054857898</v>
      </c>
      <c r="C13" s="11">
        <f>IFERROR(C12/C14,0)</f>
        <v>-0.5054590335137188</v>
      </c>
      <c r="D13" s="11">
        <f>IFERROR(D12/D14,0)</f>
        <v>-1.7421937214468333</v>
      </c>
      <c r="E13" s="11">
        <f>IFERROR(E12/E14,0)</f>
        <v>-2.7954359114512166</v>
      </c>
      <c r="F13" s="11">
        <f>IFERROR(F12/F14,0)</f>
        <v>-3.4378573313396075</v>
      </c>
      <c r="G13" s="11">
        <f>IFERROR(G12/G14,0)</f>
        <v>-3.8338780258128837</v>
      </c>
      <c r="H13" s="11">
        <f>IFERROR(H12/H14,0)</f>
        <v>-1.1832158995175002</v>
      </c>
    </row>
    <row r="14">
      <c r="A14" s="2" t="inlineStr">
        <is>
          <t>Shares</t>
        </is>
      </c>
      <c r="B14" s="23" t="n">
        <v>6.052</v>
      </c>
      <c r="C14" s="23" t="n">
        <v>10.533</v>
      </c>
      <c r="D14" s="23" t="n">
        <v>23.859</v>
      </c>
      <c r="E14" s="23" t="n">
        <v>29.272</v>
      </c>
      <c r="F14" s="23" t="n">
        <v>34.107</v>
      </c>
      <c r="G14" s="23" t="n">
        <v>36.106</v>
      </c>
      <c r="H14" s="23" t="n">
        <v>52.228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2026-10-21T01:06:07Z</dcterms:modified>
  <cp:lastModifiedBy>Wang, Eric</cp:lastModifiedBy>
</cp:coreProperties>
</file>