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Trevi Therapeutics, Inc.</t>
        </is>
      </c>
      <c r="C2" s="10" t="n"/>
    </row>
    <row r="3">
      <c r="B3" t="inlineStr">
        <is>
          <t>Price</t>
        </is>
      </c>
      <c r="C3" s="11">
        <f>INDEX([1]Pharma!$F$1:$F$1000,MATCH("TRVI",[1]Pharma!$B$1:$B$1000,0))</f>
        <v>12.83</v>
      </c>
      <c r="F3" s="1" t="n"/>
    </row>
    <row r="4">
      <c r="B4" t="inlineStr">
        <is>
          <t>Shares</t>
        </is>
      </c>
      <c r="C4" s="21" t="n">
        <v>142.475841</v>
      </c>
      <c r="F4" s="1" t="n"/>
    </row>
    <row r="5">
      <c r="B5" t="inlineStr">
        <is>
          <t>Market Cap.</t>
        </is>
      </c>
      <c r="C5" s="13">
        <f>C3*C4</f>
        <v>1827.96504003</v>
      </c>
      <c r="F5" s="1" t="n"/>
    </row>
    <row r="6"/>
    <row r="7">
      <c r="B7" t="inlineStr">
        <is>
          <t>Cash</t>
        </is>
      </c>
      <c r="C7" s="21">
        <f>54.302+264.568</f>
        <v>318.87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1509.0950400299998</v>
      </c>
    </row>
    <row r="10"/>
    <row r="11">
      <c r="B11" s="14" t="inlineStr">
        <is>
          <t>Net Cash / Share</t>
        </is>
      </c>
      <c r="C11" s="11">
        <f>(C7-C8)/C4</f>
        <v>2.2380636447690807</v>
      </c>
    </row>
    <row r="12">
      <c r="B12" s="14" t="inlineStr">
        <is>
          <t>Upside</t>
        </is>
      </c>
      <c r="C12" s="15">
        <f>IFERROR(C11/C3-1,"")</f>
        <v>-0.8255601212183101</v>
      </c>
    </row>
    <row r="13">
      <c r="B13" s="14" t="inlineStr">
        <is>
          <t>Cash / Share</t>
        </is>
      </c>
      <c r="C13" s="11">
        <f>IFERROR((C7-C8)/C4,"")</f>
        <v>2.2380636447690807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-52.629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6.058826882517244</v>
      </c>
    </row>
    <row r="19">
      <c r="B19" s="14" t="inlineStr">
        <is>
          <t>Implied Pipeline Value</t>
        </is>
      </c>
      <c r="C19" s="13">
        <f>C9</f>
        <v>1509.0950400299998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14.072</v>
      </c>
      <c r="C5" s="23" t="n">
        <v>19.339</v>
      </c>
      <c r="D5" s="23" t="n">
        <v>22.328</v>
      </c>
      <c r="E5" s="23" t="n">
        <v>22.984</v>
      </c>
      <c r="F5" s="23" t="n">
        <v>19.834</v>
      </c>
      <c r="G5" s="23" t="n">
        <v>23.683</v>
      </c>
      <c r="H5" s="23" t="n">
        <v>39.377</v>
      </c>
      <c r="I5" s="23" t="n">
        <v>33.478</v>
      </c>
      <c r="J5" s="1" t="n"/>
      <c r="K5" s="1" t="n"/>
    </row>
    <row r="6">
      <c r="A6" s="19" t="inlineStr">
        <is>
          <t>SG&amp;A &amp; Other</t>
        </is>
      </c>
      <c r="B6" s="23" t="n">
        <v>4.336</v>
      </c>
      <c r="C6" s="23" t="n">
        <v>7.306</v>
      </c>
      <c r="D6" s="23" t="n">
        <v>10.161</v>
      </c>
      <c r="E6" s="23" t="n">
        <v>9.492000000000001</v>
      </c>
      <c r="F6" s="23" t="n">
        <v>10.073</v>
      </c>
      <c r="G6" s="23" t="n">
        <v>10.24</v>
      </c>
      <c r="H6" s="23" t="n">
        <v>12.147</v>
      </c>
      <c r="I6" s="23" t="n">
        <v>15.85</v>
      </c>
      <c r="J6" s="1" t="n"/>
      <c r="K6" s="1" t="n"/>
    </row>
    <row r="7">
      <c r="A7" s="2" t="inlineStr">
        <is>
          <t>Operating Expense</t>
        </is>
      </c>
      <c r="B7" s="23">
        <f>SUM(B5:B6)</f>
        <v>18.408</v>
      </c>
      <c r="C7" s="23">
        <f>SUM(C5:C6)</f>
        <v>26.645</v>
      </c>
      <c r="D7" s="23">
        <f>SUM(D5:D6)</f>
        <v>32.489</v>
      </c>
      <c r="E7" s="23">
        <f>SUM(E5:E6)</f>
        <v>32.476</v>
      </c>
      <c r="F7" s="23">
        <f>SUM(F5:F6)</f>
        <v>29.907</v>
      </c>
      <c r="G7" s="23">
        <f>SUM(G5:G6)</f>
        <v>33.923</v>
      </c>
      <c r="H7" s="23">
        <f>SUM(H5:H6)</f>
        <v>51.524</v>
      </c>
      <c r="I7" s="23">
        <f>SUM(I5:I6)</f>
        <v>49.328</v>
      </c>
      <c r="J7" s="1" t="n"/>
      <c r="K7" s="1" t="n"/>
    </row>
    <row r="8">
      <c r="A8" s="2" t="inlineStr">
        <is>
          <t>Operating Income</t>
        </is>
      </c>
      <c r="B8" s="23">
        <f>B4-B7</f>
        <v>-18.408</v>
      </c>
      <c r="C8" s="23">
        <f>C4-C7</f>
        <v>-26.645</v>
      </c>
      <c r="D8" s="23">
        <f>D4-D7</f>
        <v>-32.489</v>
      </c>
      <c r="E8" s="23">
        <f>E4-E7</f>
        <v>-32.476</v>
      </c>
      <c r="F8" s="23">
        <f>F4-F7</f>
        <v>-29.907</v>
      </c>
      <c r="G8" s="23">
        <f>G4-G7</f>
        <v>-33.923</v>
      </c>
      <c r="H8" s="23">
        <f>H4-H7</f>
        <v>-51.524</v>
      </c>
      <c r="I8" s="23">
        <f>I4-I7</f>
        <v>-49.328</v>
      </c>
      <c r="J8" s="1" t="n"/>
      <c r="K8" s="1" t="n"/>
    </row>
    <row r="9">
      <c r="A9" s="19" t="inlineStr">
        <is>
          <t>Interest &amp; Other</t>
        </is>
      </c>
      <c r="B9" s="23" t="n">
        <v>-2.261</v>
      </c>
      <c r="C9" s="23" t="n">
        <v>0.577</v>
      </c>
      <c r="D9" s="23" t="n">
        <v>-0.287</v>
      </c>
      <c r="E9" s="23" t="n">
        <v>-1.485</v>
      </c>
      <c r="F9" s="23" t="n">
        <v>0.719</v>
      </c>
      <c r="G9" s="23" t="n">
        <v>4.821</v>
      </c>
      <c r="H9" s="23" t="n">
        <v>3.584</v>
      </c>
      <c r="I9" s="23" t="n">
        <v>6.504</v>
      </c>
    </row>
    <row r="10">
      <c r="A10" s="2" t="inlineStr">
        <is>
          <t>Pretax</t>
        </is>
      </c>
      <c r="B10" s="23">
        <f>B8+B9</f>
        <v>-20.669</v>
      </c>
      <c r="C10" s="23">
        <f>C8+C9</f>
        <v>-26.067999999999998</v>
      </c>
      <c r="D10" s="23">
        <f>D8+D9</f>
        <v>-32.775999999999996</v>
      </c>
      <c r="E10" s="23">
        <f>E8+E9</f>
        <v>-33.961</v>
      </c>
      <c r="F10" s="23">
        <f>F8+F9</f>
        <v>-29.188</v>
      </c>
      <c r="G10" s="23">
        <f>G8+G9</f>
        <v>-29.102000000000004</v>
      </c>
      <c r="H10" s="23">
        <f>H8+H9</f>
        <v>-47.94</v>
      </c>
      <c r="I10" s="23">
        <f>I8+I9</f>
        <v>-42.824000000000005</v>
      </c>
      <c r="J10" s="1" t="n"/>
      <c r="K10" s="1" t="n"/>
    </row>
    <row r="11">
      <c r="A11" s="2" t="inlineStr">
        <is>
          <t>Taxes</t>
        </is>
      </c>
      <c r="B11" s="23" t="n">
        <v>-0.124</v>
      </c>
      <c r="C11" s="23" t="n">
        <v>-0.018</v>
      </c>
      <c r="D11" s="23" t="n">
        <v>-0.018</v>
      </c>
      <c r="E11" s="23" t="n">
        <v>-0.021</v>
      </c>
      <c r="F11" s="23" t="n">
        <v>-0.036</v>
      </c>
      <c r="G11" s="23" t="n">
        <v>-0.032</v>
      </c>
      <c r="H11" s="23" t="n">
        <v>-0.03</v>
      </c>
      <c r="I11" s="23" t="n">
        <v>-0.064</v>
      </c>
    </row>
    <row r="12">
      <c r="A12" s="2" t="inlineStr">
        <is>
          <t>Net Income</t>
        </is>
      </c>
      <c r="B12" s="23" t="n">
        <v>-20.545</v>
      </c>
      <c r="C12" s="23" t="n">
        <v>-26.05</v>
      </c>
      <c r="D12" s="23" t="n">
        <v>-32.758</v>
      </c>
      <c r="E12" s="23" t="n">
        <v>-33.94</v>
      </c>
      <c r="F12" s="23" t="n">
        <v>-29.152</v>
      </c>
      <c r="G12" s="23" t="n">
        <v>-29.07</v>
      </c>
      <c r="H12" s="23" t="n">
        <v>-47.91</v>
      </c>
      <c r="I12" s="23" t="n">
        <v>-42.76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-1.7388912399492173</v>
      </c>
      <c r="C13" s="11">
        <f>IFERROR(C12/C14,0)</f>
        <v>-2.219665985003408</v>
      </c>
      <c r="D13" s="11">
        <f>IFERROR(D12/D14,0)</f>
        <v>-1.813943186222936</v>
      </c>
      <c r="E13" s="11">
        <f>IFERROR(E12/E14,0)</f>
        <v>-1.4859244341316054</v>
      </c>
      <c r="F13" s="11">
        <f>IFERROR(F12/F14,0)</f>
        <v>-0.4516748783737721</v>
      </c>
      <c r="G13" s="11">
        <f>IFERROR(G12/G14,0)</f>
        <v>-0.29353851746387566</v>
      </c>
      <c r="H13" s="11">
        <f>IFERROR(H12/H14,0)</f>
        <v>-0.46983485662730945</v>
      </c>
      <c r="I13" s="11">
        <f>IFERROR(I12/I14,0)</f>
        <v>-0.3173354508820233</v>
      </c>
    </row>
    <row r="14">
      <c r="A14" s="2" t="inlineStr">
        <is>
          <t>Shares</t>
        </is>
      </c>
      <c r="B14" s="23" t="n">
        <v>11.815</v>
      </c>
      <c r="C14" s="23" t="n">
        <v>11.736</v>
      </c>
      <c r="D14" s="23" t="n">
        <v>18.059</v>
      </c>
      <c r="E14" s="23" t="n">
        <v>22.841</v>
      </c>
      <c r="F14" s="23" t="n">
        <v>64.542</v>
      </c>
      <c r="G14" s="23" t="n">
        <v>99.033</v>
      </c>
      <c r="H14" s="23" t="n">
        <v>101.972</v>
      </c>
      <c r="I14" s="23" t="n">
        <v>134.747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2026-10-21T01:04:33Z</dcterms:modified>
  <cp:lastModifiedBy>Wang, Eric</cp:lastModifiedBy>
</cp:coreProperties>
</file>