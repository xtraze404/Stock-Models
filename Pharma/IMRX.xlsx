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Immuneering Corporation</t>
        </is>
      </c>
      <c r="C2" s="10" t="n"/>
    </row>
    <row r="3">
      <c r="B3" t="inlineStr">
        <is>
          <t>Price</t>
        </is>
      </c>
      <c r="C3" s="11">
        <f>INDEX([1]Pharma!$F$1:$F$1000,MATCH("IMRX",[1]Pharma!$B$1:$B$1000,0))</f>
        <v>3.73</v>
      </c>
      <c r="F3" s="1" t="n"/>
    </row>
    <row r="4">
      <c r="B4" t="inlineStr">
        <is>
          <t>Shares</t>
        </is>
      </c>
      <c r="C4" s="21" t="n">
        <v>64.697402</v>
      </c>
      <c r="F4" s="1" t="n"/>
    </row>
    <row r="5">
      <c r="B5" t="inlineStr">
        <is>
          <t>Market Cap.</t>
        </is>
      </c>
      <c r="C5" s="13">
        <f>C3*C4</f>
        <v>241.32130945999998</v>
      </c>
      <c r="F5" s="1" t="n"/>
    </row>
    <row r="6"/>
    <row r="7">
      <c r="B7" t="inlineStr">
        <is>
          <t>Cash</t>
        </is>
      </c>
      <c r="C7" s="21">
        <f>41.324682+108.575637</f>
        <v>149.900319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91.42099045999998</v>
      </c>
    </row>
    <row r="10"/>
    <row r="11">
      <c r="B11" s="14" t="inlineStr">
        <is>
          <t>Net Cash / Share</t>
        </is>
      </c>
      <c r="C11" s="11">
        <f>(C7-C8)/C4</f>
        <v>2.3169449524418306</v>
      </c>
    </row>
    <row r="12">
      <c r="B12" s="14" t="inlineStr">
        <is>
          <t>Upside</t>
        </is>
      </c>
      <c r="C12" s="15">
        <f>IFERROR(C11/C3-1,"")</f>
        <v>-0.3788351333936111</v>
      </c>
    </row>
    <row r="13">
      <c r="B13" s="14" t="inlineStr">
        <is>
          <t>Cash / Share</t>
        </is>
      </c>
      <c r="C13" s="11">
        <f>IFERROR((C7-C8)/C4,"")</f>
        <v>2.3169449524418306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-56.753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2.6412756858668263</v>
      </c>
    </row>
    <row r="19">
      <c r="B19" s="14" t="inlineStr">
        <is>
          <t>Implied Pipeline Value</t>
        </is>
      </c>
      <c r="C19" s="13">
        <f>C9</f>
        <v>91.42099045999998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2.312</v>
      </c>
      <c r="C2" s="23" t="n">
        <v>2.08</v>
      </c>
      <c r="D2" s="23" t="n">
        <v>0.317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1.28</v>
      </c>
      <c r="C3" s="23" t="n">
        <v>1.153</v>
      </c>
      <c r="D3" s="23" t="n">
        <v>0.158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1.0319999999999998</v>
      </c>
      <c r="C4" s="23">
        <f>C2-C3</f>
        <v>0.927</v>
      </c>
      <c r="D4" s="23">
        <f>D2-D3</f>
        <v>0.159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15.004</v>
      </c>
      <c r="C5" s="23" t="n">
        <v>26.541</v>
      </c>
      <c r="D5" s="23" t="n">
        <v>36.267</v>
      </c>
      <c r="E5" s="23" t="n">
        <v>41.624</v>
      </c>
      <c r="F5" s="23" t="n">
        <v>47.964</v>
      </c>
      <c r="G5" s="23" t="n">
        <v>42.048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3.11</v>
      </c>
      <c r="C6" s="23" t="n">
        <v>8.272</v>
      </c>
      <c r="D6" s="23" t="n">
        <v>15.637</v>
      </c>
      <c r="E6" s="23" t="n">
        <v>16.789</v>
      </c>
      <c r="F6" s="23" t="n">
        <v>16.107</v>
      </c>
      <c r="G6" s="23" t="n">
        <v>17.328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18.114</v>
      </c>
      <c r="C7" s="23">
        <f>SUM(C5:C6)</f>
        <v>34.813</v>
      </c>
      <c r="D7" s="23">
        <f>SUM(D5:D6)</f>
        <v>51.904</v>
      </c>
      <c r="E7" s="23">
        <f>SUM(E5:E6)</f>
        <v>58.413000000000004</v>
      </c>
      <c r="F7" s="23">
        <f>SUM(F5:F6)</f>
        <v>64.071</v>
      </c>
      <c r="G7" s="23">
        <f>SUM(G5:G6)</f>
        <v>59.376000000000005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-17.082</v>
      </c>
      <c r="C8" s="23">
        <f>C4-C7</f>
        <v>-33.886</v>
      </c>
      <c r="D8" s="23">
        <f>D4-D7</f>
        <v>-51.745000000000005</v>
      </c>
      <c r="E8" s="23">
        <f>E4-E7</f>
        <v>-58.413000000000004</v>
      </c>
      <c r="F8" s="23">
        <f>F4-F7</f>
        <v>-64.071</v>
      </c>
      <c r="G8" s="23">
        <f>G4-G7</f>
        <v>-59.376000000000005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0.043</v>
      </c>
      <c r="C9" s="23" t="n">
        <v>0.043</v>
      </c>
      <c r="D9" s="23" t="n">
        <v>1.231</v>
      </c>
      <c r="E9" s="23" t="n">
        <v>4.941</v>
      </c>
      <c r="F9" s="23" t="n">
        <v>3.035</v>
      </c>
      <c r="G9" s="23" t="n">
        <v>3.351</v>
      </c>
    </row>
    <row r="10">
      <c r="A10" s="2" t="inlineStr">
        <is>
          <t>Pretax</t>
        </is>
      </c>
      <c r="B10" s="23">
        <f>B8+B9</f>
        <v>-17.039</v>
      </c>
      <c r="C10" s="23">
        <f>C8+C9</f>
        <v>-33.843</v>
      </c>
      <c r="D10" s="23">
        <f>D8+D9</f>
        <v>-50.514</v>
      </c>
      <c r="E10" s="23">
        <f>E8+E9</f>
        <v>-53.472</v>
      </c>
      <c r="F10" s="23">
        <f>F8+F9</f>
        <v>-61.036</v>
      </c>
      <c r="G10" s="23">
        <f>G8+G9</f>
        <v>-56.025000000000006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-0.307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-17.04</v>
      </c>
      <c r="C12" s="23" t="n">
        <v>-33.536</v>
      </c>
      <c r="D12" s="23" t="n">
        <v>-50.514</v>
      </c>
      <c r="E12" s="23" t="n">
        <v>-53.472</v>
      </c>
      <c r="F12" s="23" t="n">
        <v>-61.037</v>
      </c>
      <c r="G12" s="23" t="n">
        <v>-56.025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-3.442424242424242</v>
      </c>
      <c r="C13" s="11">
        <f>IFERROR(C12/C14,0)</f>
        <v>-2.463527510467935</v>
      </c>
      <c r="D13" s="11">
        <f>IFERROR(D12/D14,0)</f>
        <v>-1.9143517641262744</v>
      </c>
      <c r="E13" s="11">
        <f>IFERROR(E12/E14,0)</f>
        <v>-1.8816905373544004</v>
      </c>
      <c r="F13" s="11">
        <f>IFERROR(F12/F14,0)</f>
        <v>-2.0357881395503967</v>
      </c>
      <c r="G13" s="11">
        <f>IFERROR(G12/G14,0)</f>
        <v>-1.2729482868308644</v>
      </c>
    </row>
    <row r="14">
      <c r="A14" s="2" t="inlineStr">
        <is>
          <t>Shares</t>
        </is>
      </c>
      <c r="B14" s="23" t="n">
        <v>4.95</v>
      </c>
      <c r="C14" s="23" t="n">
        <v>13.613</v>
      </c>
      <c r="D14" s="23" t="n">
        <v>26.387</v>
      </c>
      <c r="E14" s="23" t="n">
        <v>28.417</v>
      </c>
      <c r="F14" s="23" t="n">
        <v>29.982</v>
      </c>
      <c r="G14" s="23" t="n">
        <v>44.012</v>
      </c>
    </row>
    <row r="15"/>
    <row r="16" customFormat="1" s="4">
      <c r="A16" s="3" t="inlineStr">
        <is>
          <t>Revenue Change</t>
        </is>
      </c>
      <c r="C16" s="15">
        <f>IFERROR(C2/B2-1,"")</f>
        <v>-0.10034602076124555</v>
      </c>
      <c r="D16" s="15">
        <f>IFERROR(D2/C2-1,"")</f>
        <v>-0.8475961538461538</v>
      </c>
      <c r="E16" s="15">
        <f>IFERROR(E2/D2-1,"")</f>
        <v>-1.0</v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0.44636678200692037</v>
      </c>
      <c r="C17" s="15">
        <f>IFERROR(C4/C2,"")</f>
        <v>0.44567307692307695</v>
      </c>
      <c r="D17" s="15">
        <f>IFERROR(D4/D2,"")</f>
        <v>0.501577287066246</v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-7.388408304498271</v>
      </c>
      <c r="C18" s="15">
        <f>IFERROR(C8/C2,"")</f>
        <v>-16.291346153846156</v>
      </c>
      <c r="D18" s="15">
        <f>IFERROR(D8/D2,"")</f>
        <v>-163.23343848580444</v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2026-10-21T01:05:31Z</dcterms:modified>
  <cp:lastModifiedBy>Wang, Eric</cp:lastModifiedBy>
</cp:coreProperties>
</file>