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Scholar Rock Holding Corporation</t>
        </is>
      </c>
      <c r="C2" s="10" t="n"/>
    </row>
    <row r="3">
      <c r="B3" t="inlineStr">
        <is>
          <t>Price</t>
        </is>
      </c>
      <c r="C3" s="11">
        <f>INDEX([1]Pharma!$F$1:$F$1000,MATCH("SRRK",[1]Pharma!$B$1:$B$1000,0))</f>
        <v>41.36</v>
      </c>
      <c r="F3" s="1" t="n"/>
    </row>
    <row r="4">
      <c r="B4" t="inlineStr">
        <is>
          <t>Shares</t>
        </is>
      </c>
      <c r="C4" s="21" t="n">
        <v>121.785282</v>
      </c>
      <c r="F4" s="1" t="n"/>
    </row>
    <row r="5">
      <c r="B5" t="inlineStr">
        <is>
          <t>Market Cap.</t>
        </is>
      </c>
      <c r="C5" s="13">
        <f>C3*C4</f>
        <v>5037.03926352</v>
      </c>
      <c r="F5" s="1" t="n"/>
    </row>
    <row r="6"/>
    <row r="7">
      <c r="B7" t="inlineStr">
        <is>
          <t>Cash</t>
        </is>
      </c>
      <c r="C7" s="21">
        <f>437.091+54.997</f>
        <v>492.088</v>
      </c>
    </row>
    <row r="8">
      <c r="B8" t="inlineStr">
        <is>
          <t>Debt</t>
        </is>
      </c>
      <c r="C8" s="21" t="n">
        <v>196.203</v>
      </c>
    </row>
    <row r="9">
      <c r="B9" t="inlineStr">
        <is>
          <t>Enterprise V.</t>
        </is>
      </c>
      <c r="C9" s="13">
        <f>C5-C7+C8</f>
        <v>4741.15426352</v>
      </c>
    </row>
    <row r="10"/>
    <row r="11">
      <c r="B11" s="14" t="inlineStr">
        <is>
          <t>rNPV / Share</t>
        </is>
      </c>
      <c r="C11" s="11">
        <f>NPV!B27</f>
        <v>13.60851654870379</v>
      </c>
    </row>
    <row r="12">
      <c r="B12" s="14" t="inlineStr">
        <is>
          <t>Upside</t>
        </is>
      </c>
      <c r="C12" s="15">
        <f>IFERROR(C11/C3-1,"")</f>
        <v>-0.6709739712595795</v>
      </c>
    </row>
    <row r="13">
      <c r="B13" s="14" t="inlineStr">
        <is>
          <t>Cash / Share</t>
        </is>
      </c>
      <c r="C13" s="11">
        <f>IFERROR((C7-C8)/C4,"")</f>
        <v>2.4295628760789008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-296.827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0.9968264342529487</v>
      </c>
    </row>
    <row r="19">
      <c r="B19" s="14" t="inlineStr">
        <is>
          <t>Implied Pipeline Value</t>
        </is>
      </c>
      <c r="C19" s="13">
        <f>C9</f>
        <v>4741.15426352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20.492</v>
      </c>
      <c r="E2" s="23" t="n">
        <v>15.403</v>
      </c>
      <c r="F2" s="23" t="n">
        <v>18.816</v>
      </c>
      <c r="G2" s="23" t="n">
        <v>33.193</v>
      </c>
      <c r="H2" s="23" t="n">
        <v>0</v>
      </c>
      <c r="I2" s="23" t="n">
        <v>0</v>
      </c>
      <c r="J2" s="23" t="n">
        <v>0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20.492</v>
      </c>
      <c r="E4" s="23">
        <f>E2-E3</f>
        <v>15.403</v>
      </c>
      <c r="F4" s="23">
        <f>F2-F3</f>
        <v>18.816</v>
      </c>
      <c r="G4" s="23">
        <f>G2-G3</f>
        <v>33.193</v>
      </c>
      <c r="H4" s="23">
        <f>H2-H3</f>
        <v>0.0</v>
      </c>
      <c r="I4" s="23">
        <f>I2-I3</f>
        <v>0.0</v>
      </c>
      <c r="J4" s="23">
        <f>J2-J3</f>
        <v>0.0</v>
      </c>
      <c r="K4" s="1" t="n"/>
    </row>
    <row r="5">
      <c r="A5" s="2" t="inlineStr">
        <is>
          <t>Research &amp; Dev.</t>
        </is>
      </c>
      <c r="B5" s="23" t="n">
        <v>19.944</v>
      </c>
      <c r="C5" s="23" t="n">
        <v>36.31</v>
      </c>
      <c r="D5" s="23" t="n">
        <v>54.217</v>
      </c>
      <c r="E5" s="23" t="n">
        <v>74.062</v>
      </c>
      <c r="F5" s="23" t="n">
        <v>108.468</v>
      </c>
      <c r="G5" s="23" t="n">
        <v>124.444</v>
      </c>
      <c r="H5" s="23" t="n">
        <v>121.9</v>
      </c>
      <c r="I5" s="23" t="n">
        <v>184.55</v>
      </c>
      <c r="J5" s="23" t="n">
        <v>208.44</v>
      </c>
      <c r="K5" s="1" t="n"/>
    </row>
    <row r="6">
      <c r="A6" s="19" t="inlineStr">
        <is>
          <t>SG&amp;A &amp; Other</t>
        </is>
      </c>
      <c r="B6" s="23" t="n">
        <v>5.085</v>
      </c>
      <c r="C6" s="23" t="n">
        <v>14.382</v>
      </c>
      <c r="D6" s="23" t="n">
        <v>20.817</v>
      </c>
      <c r="E6" s="23" t="n">
        <v>28.219</v>
      </c>
      <c r="F6" s="23" t="n">
        <v>40.269</v>
      </c>
      <c r="G6" s="23" t="n">
        <v>43.119</v>
      </c>
      <c r="H6" s="23" t="n">
        <v>49.395</v>
      </c>
      <c r="I6" s="23" t="n">
        <v>67.504</v>
      </c>
      <c r="J6" s="23" t="n">
        <v>176.205</v>
      </c>
      <c r="K6" s="1" t="n"/>
    </row>
    <row r="7">
      <c r="A7" s="2" t="inlineStr">
        <is>
          <t>Operating Expense</t>
        </is>
      </c>
      <c r="B7" s="23">
        <f>SUM(B5:B6)</f>
        <v>25.029</v>
      </c>
      <c r="C7" s="23">
        <f>SUM(C5:C6)</f>
        <v>50.692</v>
      </c>
      <c r="D7" s="23">
        <f>SUM(D5:D6)</f>
        <v>75.03399999999999</v>
      </c>
      <c r="E7" s="23">
        <f>SUM(E5:E6)</f>
        <v>102.281</v>
      </c>
      <c r="F7" s="23">
        <f>SUM(F5:F6)</f>
        <v>148.737</v>
      </c>
      <c r="G7" s="23">
        <f>SUM(G5:G6)</f>
        <v>167.563</v>
      </c>
      <c r="H7" s="23">
        <f>SUM(H5:H6)</f>
        <v>171.29500000000002</v>
      </c>
      <c r="I7" s="23">
        <f>SUM(I5:I6)</f>
        <v>252.05400000000003</v>
      </c>
      <c r="J7" s="23">
        <f>SUM(J5:J6)</f>
        <v>384.645</v>
      </c>
      <c r="K7" s="1" t="n"/>
    </row>
    <row r="8">
      <c r="A8" s="2" t="inlineStr">
        <is>
          <t>Operating Income</t>
        </is>
      </c>
      <c r="B8" s="23">
        <f>B4-B7</f>
        <v>-25.029</v>
      </c>
      <c r="C8" s="23">
        <f>C4-C7</f>
        <v>-50.692</v>
      </c>
      <c r="D8" s="23">
        <f>D4-D7</f>
        <v>-54.54199999999999</v>
      </c>
      <c r="E8" s="23">
        <f>E4-E7</f>
        <v>-86.878</v>
      </c>
      <c r="F8" s="23">
        <f>F4-F7</f>
        <v>-129.921</v>
      </c>
      <c r="G8" s="23">
        <f>G4-G7</f>
        <v>-134.37</v>
      </c>
      <c r="H8" s="23">
        <f>H4-H7</f>
        <v>-171.29500000000002</v>
      </c>
      <c r="I8" s="23">
        <f>I4-I7</f>
        <v>-252.05400000000003</v>
      </c>
      <c r="J8" s="23">
        <f>J4-J7</f>
        <v>-384.645</v>
      </c>
      <c r="K8" s="1" t="n"/>
    </row>
    <row r="9">
      <c r="A9" s="19" t="inlineStr">
        <is>
          <t>Interest &amp; Other</t>
        </is>
      </c>
      <c r="B9" s="23" t="n">
        <v>0.034</v>
      </c>
      <c r="C9" s="23" t="n">
        <v>1.366</v>
      </c>
      <c r="D9" s="23" t="n">
        <v>3.542</v>
      </c>
      <c r="E9" s="23" t="n">
        <v>0.395</v>
      </c>
      <c r="F9" s="23" t="n">
        <v>-1.878</v>
      </c>
      <c r="G9" s="23" t="n">
        <v>-0.132</v>
      </c>
      <c r="H9" s="23" t="n">
        <v>5.295</v>
      </c>
      <c r="I9" s="23" t="n">
        <v>6.054</v>
      </c>
      <c r="J9" s="23" t="n">
        <v>6.645</v>
      </c>
    </row>
    <row r="10">
      <c r="A10" s="2" t="inlineStr">
        <is>
          <t>Pretax</t>
        </is>
      </c>
      <c r="B10" s="23">
        <f>B8+B9</f>
        <v>-24.995</v>
      </c>
      <c r="C10" s="23">
        <f>C8+C9</f>
        <v>-49.326</v>
      </c>
      <c r="D10" s="23">
        <f>D8+D9</f>
        <v>-50.999999999999986</v>
      </c>
      <c r="E10" s="23">
        <f>E8+E9</f>
        <v>-86.483</v>
      </c>
      <c r="F10" s="23">
        <f>F8+F9</f>
        <v>-131.79899999999998</v>
      </c>
      <c r="G10" s="23">
        <f>G8+G9</f>
        <v>-134.502</v>
      </c>
      <c r="H10" s="23">
        <f>H8+H9</f>
        <v>-166.00000000000003</v>
      </c>
      <c r="I10" s="23">
        <f>I8+I9</f>
        <v>-246.00000000000003</v>
      </c>
      <c r="J10" s="23">
        <f>J8+J9</f>
        <v>-378.0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</row>
    <row r="12">
      <c r="A12" s="2" t="inlineStr">
        <is>
          <t>Net Income</t>
        </is>
      </c>
      <c r="B12" s="23" t="n">
        <v>-24.995</v>
      </c>
      <c r="C12" s="23" t="n">
        <v>-49.326</v>
      </c>
      <c r="D12" s="23" t="n">
        <v>-51</v>
      </c>
      <c r="E12" s="23" t="n">
        <v>-86.483</v>
      </c>
      <c r="F12" s="23" t="n">
        <v>-131.799</v>
      </c>
      <c r="G12" s="23" t="n">
        <v>-134.502</v>
      </c>
      <c r="H12" s="23" t="n">
        <v>-166</v>
      </c>
      <c r="I12" s="23" t="n">
        <v>-246</v>
      </c>
      <c r="J12" s="23" t="n">
        <v>-378</v>
      </c>
      <c r="K12" s="1" t="n"/>
    </row>
    <row r="13">
      <c r="A13" s="2" t="inlineStr">
        <is>
          <t>Earnings per Share</t>
        </is>
      </c>
      <c r="B13" s="11">
        <f>IFERROR(B12/B14,0)</f>
        <v>-15.296817625458997</v>
      </c>
      <c r="C13" s="11">
        <f>IFERROR(C12/C14,0)</f>
        <v>-3.1508144362823383</v>
      </c>
      <c r="D13" s="11">
        <f>IFERROR(D12/D14,0)</f>
        <v>-1.8519863461398793</v>
      </c>
      <c r="E13" s="11">
        <f>IFERROR(E12/E14,0)</f>
        <v>-2.8139194377562307</v>
      </c>
      <c r="F13" s="11">
        <f>IFERROR(F12/F14,0)</f>
        <v>-3.5900795380257136</v>
      </c>
      <c r="G13" s="11">
        <f>IFERROR(G12/G14,0)</f>
        <v>-2.256290679728914</v>
      </c>
      <c r="H13" s="11">
        <f>IFERROR(H12/H14,0)</f>
        <v>-1.991673365568047</v>
      </c>
      <c r="I13" s="11">
        <f>IFERROR(I12/I14,0)</f>
        <v>-2.4639916664997297</v>
      </c>
      <c r="J13" s="11">
        <f>IFERROR(J12/J14,0)</f>
        <v>-3.295524886443885</v>
      </c>
    </row>
    <row r="14">
      <c r="A14" s="2" t="inlineStr">
        <is>
          <t>Shares</t>
        </is>
      </c>
      <c r="B14" s="23" t="n">
        <v>1.634</v>
      </c>
      <c r="C14" s="23" t="n">
        <v>15.655</v>
      </c>
      <c r="D14" s="23" t="n">
        <v>27.538</v>
      </c>
      <c r="E14" s="23" t="n">
        <v>30.734</v>
      </c>
      <c r="F14" s="23" t="n">
        <v>36.712</v>
      </c>
      <c r="G14" s="23" t="n">
        <v>59.612</v>
      </c>
      <c r="H14" s="23" t="n">
        <v>83.34699999999999</v>
      </c>
      <c r="I14" s="23" t="n">
        <v>99.83799999999999</v>
      </c>
      <c r="J14" s="23" t="n">
        <v>114.701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-0.24834081592816715</v>
      </c>
      <c r="F16" s="15">
        <f>IFERROR(F2/E2-1,"")</f>
        <v>0.22158021164708153</v>
      </c>
      <c r="G16" s="15">
        <f>IFERROR(G2/F2-1,"")</f>
        <v>0.7640837585034013</v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/>
      </c>
      <c r="J17" s="15">
        <f>IFERROR(J4/J2,"")</f>
        <v/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-2.6616240484091347</v>
      </c>
      <c r="E18" s="15">
        <f>IFERROR(E8/E2,"")</f>
        <v>-5.640329805881971</v>
      </c>
      <c r="F18" s="15">
        <f>IFERROR(F8/F2,"")</f>
        <v>-6.9048150510204085</v>
      </c>
      <c r="G18" s="15">
        <f>IFERROR(G8/G2,"")</f>
        <v>-4.048142680685687</v>
      </c>
      <c r="H18" s="15">
        <f>IFERROR(H8/H2,"")</f>
        <v/>
      </c>
      <c r="I18" s="15">
        <f>IFERROR(I8/I2,"")</f>
        <v/>
      </c>
      <c r="J18" s="15">
        <f>IFERROR(J8/J2,"")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Scholar Rock Holding Corporation: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0.9470906425600001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406.363</v>
      </c>
    </row>
    <row r="19">
      <c r="A19" s="14" t="inlineStr">
        <is>
          <t>Years of full burn (until the first launch, max 4)</t>
        </is>
      </c>
      <c r="B19" s="39">
        <f>MIN(4,MAX(1,MIN(Pipeline!I4:I6)-2026))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1268.1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1361.4320254855577</v>
      </c>
      <c r="C29" s="42">
        <f>NPV!B25</f>
        <v>1657.3170254855577</v>
      </c>
      <c r="D29" s="43">
        <f>NPV!B27</f>
        <v>13.60851654870379</v>
      </c>
      <c r="E29" s="44">
        <f>NPV!B29</f>
        <v>-0.6709739712595795</v>
      </c>
    </row>
    <row r="30">
      <c r="A30" s="45" t="n">
        <v>1</v>
      </c>
      <c r="B30" s="46">
        <f t="dataTable" ref="B30:E32" r1="B4"/>
        <v>245.4038361290281</v>
      </c>
      <c r="C30" s="46">
        <v>541.2888361290281</v>
      </c>
      <c r="D30" s="47">
        <v>4.4446161903950605</v>
      </c>
      <c r="E30" s="48">
        <v>-0.8925382932689783</v>
      </c>
    </row>
    <row r="31">
      <c r="A31" s="45" t="n">
        <v>2</v>
      </c>
      <c r="B31" s="46">
        <v>1361.4320254855577</v>
      </c>
      <c r="C31" s="46">
        <v>1657.3170254855577</v>
      </c>
      <c r="D31" s="47">
        <v>13.60851654870379</v>
      </c>
      <c r="E31" s="48">
        <v>-0.6709739712595795</v>
      </c>
    </row>
    <row r="32">
      <c r="A32" s="45" t="n">
        <v>3</v>
      </c>
      <c r="B32" s="46">
        <v>2900.4227434288896</v>
      </c>
      <c r="C32" s="46">
        <v>3196.30774342889</v>
      </c>
      <c r="D32" s="47">
        <v>26.245435334533198</v>
      </c>
      <c r="E32" s="48">
        <v>-0.3654391843681528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13.60851654870379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2.7770874984728766</v>
      </c>
      <c r="C37" s="47">
        <v>5.850588080502284</v>
      </c>
      <c r="D37" s="47">
        <v>8.609183200356908</v>
      </c>
      <c r="E37" s="47">
        <v>13.961990801602008</v>
      </c>
      <c r="F37" s="47">
        <v>19.220411490700826</v>
      </c>
    </row>
    <row r="38">
      <c r="A38" s="50" t="n">
        <v>0.8</v>
      </c>
      <c r="B38" s="47">
        <v>3.6340312329775286</v>
      </c>
      <c r="C38" s="47">
        <v>7.475959409779002</v>
      </c>
      <c r="D38" s="47">
        <v>11.084814694128275</v>
      </c>
      <c r="E38" s="47">
        <v>18.134444580303118</v>
      </c>
      <c r="F38" s="47">
        <v>25.089913548063254</v>
      </c>
    </row>
    <row r="39">
      <c r="A39" s="50" t="n">
        <v>1</v>
      </c>
      <c r="B39" s="47">
        <v>4.538237959195092</v>
      </c>
      <c r="C39" s="47">
        <v>9.15082843225283</v>
      </c>
      <c r="D39" s="47">
        <v>13.60851654870379</v>
      </c>
      <c r="E39" s="47">
        <v>22.35536543724658</v>
      </c>
      <c r="F39" s="47">
        <v>31.00803314254143</v>
      </c>
    </row>
    <row r="40">
      <c r="A40" s="50" t="n">
        <v>1.2</v>
      </c>
      <c r="B40" s="47">
        <v>5.2273255497186035</v>
      </c>
      <c r="C40" s="47">
        <v>10.217316218217775</v>
      </c>
      <c r="D40" s="47">
        <v>15.0755561618098</v>
      </c>
      <c r="E40" s="47">
        <v>24.618955747168627</v>
      </c>
      <c r="F40" s="47">
        <v>34.07506745481124</v>
      </c>
    </row>
    <row r="41">
      <c r="A41" s="50" t="n">
        <v>1.4</v>
      </c>
      <c r="B41" s="47">
        <v>5.86478908094226</v>
      </c>
      <c r="C41" s="47">
        <v>11.143449052248558</v>
      </c>
      <c r="D41" s="47">
        <v>16.293722921431264</v>
      </c>
      <c r="E41" s="47">
        <v>26.44026597949769</v>
      </c>
      <c r="F41" s="47">
        <v>36.50153445879086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Scholar Rock Holding Corporation: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Muscular dystrophy / SMA</t>
        </is>
      </c>
      <c r="C4" s="14" t="inlineStr">
        <is>
          <t>Apitegromab, Nusinersen</t>
        </is>
      </c>
      <c r="D4" s="14" t="inlineStr">
        <is>
          <t>Filed (NDA/BLA)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1000</v>
      </c>
      <c r="H4" s="27" t="n">
        <v>0.9360000000000001</v>
      </c>
      <c r="I4" s="26" t="n">
        <v>2027</v>
      </c>
      <c r="J4" s="39">
        <f>I4+Assumptions!$B$25</f>
        <v>2039.0</v>
      </c>
      <c r="K4" s="53">
        <f>Assumptions!$E$13</f>
        <v>0.4</v>
      </c>
      <c r="L4" s="23">
        <f>K4*SUMPRODUCT(M4:AF4,NPV!$C$15:$V$15)</f>
        <v>1686.4168598200258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93.60000000000001</v>
      </c>
      <c r="O4" s="23">
        <f>IF(O$3&lt;$I4,0,$G4*Assumptions!$E$11*INDEX(Assumptions!$B$24:$G$24,MIN(6,O$3-$I4+1))*IF(O$3&gt;$J4,(1-Assumptions!$B$26)^(O$3-$J4),1)*IF($H4&gt;=1,1,MIN(0.97,$H4*Assumptions!$E$12)))</f>
        <v>234.0</v>
      </c>
      <c r="P4" s="23">
        <f>IF(P$3&lt;$I4,0,$G4*Assumptions!$E$11*INDEX(Assumptions!$B$24:$G$24,MIN(6,P$3-$I4+1))*IF(P$3&gt;$J4,(1-Assumptions!$B$26)^(P$3-$J4),1)*IF($H4&gt;=1,1,MIN(0.97,$H4*Assumptions!$E$12)))</f>
        <v>421.20000000000005</v>
      </c>
      <c r="Q4" s="23">
        <f>IF(Q$3&lt;$I4,0,$G4*Assumptions!$E$11*INDEX(Assumptions!$B$24:$G$24,MIN(6,Q$3-$I4+1))*IF(Q$3&gt;$J4,(1-Assumptions!$B$26)^(Q$3-$J4),1)*IF($H4&gt;=1,1,MIN(0.97,$H4*Assumptions!$E$12)))</f>
        <v>608.4000000000001</v>
      </c>
      <c r="R4" s="23">
        <f>IF(R$3&lt;$I4,0,$G4*Assumptions!$E$11*INDEX(Assumptions!$B$24:$G$24,MIN(6,R$3-$I4+1))*IF(R$3&gt;$J4,(1-Assumptions!$B$26)^(R$3-$J4),1)*IF($H4&gt;=1,1,MIN(0.97,$H4*Assumptions!$E$12)))</f>
        <v>795.6</v>
      </c>
      <c r="S4" s="23">
        <f>IF(S$3&lt;$I4,0,$G4*Assumptions!$E$11*INDEX(Assumptions!$B$24:$G$24,MIN(6,S$3-$I4+1))*IF(S$3&gt;$J4,(1-Assumptions!$B$26)^(S$3-$J4),1)*IF($H4&gt;=1,1,MIN(0.97,$H4*Assumptions!$E$12)))</f>
        <v>936.0</v>
      </c>
      <c r="T4" s="23">
        <f>IF(T$3&lt;$I4,0,$G4*Assumptions!$E$11*INDEX(Assumptions!$B$24:$G$24,MIN(6,T$3-$I4+1))*IF(T$3&gt;$J4,(1-Assumptions!$B$26)^(T$3-$J4),1)*IF($H4&gt;=1,1,MIN(0.97,$H4*Assumptions!$E$12)))</f>
        <v>936.0</v>
      </c>
      <c r="U4" s="23">
        <f>IF(U$3&lt;$I4,0,$G4*Assumptions!$E$11*INDEX(Assumptions!$B$24:$G$24,MIN(6,U$3-$I4+1))*IF(U$3&gt;$J4,(1-Assumptions!$B$26)^(U$3-$J4),1)*IF($H4&gt;=1,1,MIN(0.97,$H4*Assumptions!$E$12)))</f>
        <v>936.0</v>
      </c>
      <c r="V4" s="23">
        <f>IF(V$3&lt;$I4,0,$G4*Assumptions!$E$11*INDEX(Assumptions!$B$24:$G$24,MIN(6,V$3-$I4+1))*IF(V$3&gt;$J4,(1-Assumptions!$B$26)^(V$3-$J4),1)*IF($H4&gt;=1,1,MIN(0.97,$H4*Assumptions!$E$12)))</f>
        <v>936.0</v>
      </c>
      <c r="W4" s="23">
        <f>IF(W$3&lt;$I4,0,$G4*Assumptions!$E$11*INDEX(Assumptions!$B$24:$G$24,MIN(6,W$3-$I4+1))*IF(W$3&gt;$J4,(1-Assumptions!$B$26)^(W$3-$J4),1)*IF($H4&gt;=1,1,MIN(0.97,$H4*Assumptions!$E$12)))</f>
        <v>936.0</v>
      </c>
      <c r="X4" s="23">
        <f>IF(X$3&lt;$I4,0,$G4*Assumptions!$E$11*INDEX(Assumptions!$B$24:$G$24,MIN(6,X$3-$I4+1))*IF(X$3&gt;$J4,(1-Assumptions!$B$26)^(X$3-$J4),1)*IF($H4&gt;=1,1,MIN(0.97,$H4*Assumptions!$E$12)))</f>
        <v>936.0</v>
      </c>
      <c r="Y4" s="23">
        <f>IF(Y$3&lt;$I4,0,$G4*Assumptions!$E$11*INDEX(Assumptions!$B$24:$G$24,MIN(6,Y$3-$I4+1))*IF(Y$3&gt;$J4,(1-Assumptions!$B$26)^(Y$3-$J4),1)*IF($H4&gt;=1,1,MIN(0.97,$H4*Assumptions!$E$12)))</f>
        <v>936.0</v>
      </c>
      <c r="Z4" s="23">
        <f>IF(Z$3&lt;$I4,0,$G4*Assumptions!$E$11*INDEX(Assumptions!$B$24:$G$24,MIN(6,Z$3-$I4+1))*IF(Z$3&gt;$J4,(1-Assumptions!$B$26)^(Z$3-$J4),1)*IF($H4&gt;=1,1,MIN(0.97,$H4*Assumptions!$E$12)))</f>
        <v>936.0</v>
      </c>
      <c r="AA4" s="23">
        <f>IF(AA$3&lt;$I4,0,$G4*Assumptions!$E$11*INDEX(Assumptions!$B$24:$G$24,MIN(6,AA$3-$I4+1))*IF(AA$3&gt;$J4,(1-Assumptions!$B$26)^(AA$3-$J4),1)*IF($H4&gt;=1,1,MIN(0.97,$H4*Assumptions!$E$12)))</f>
        <v>468.0</v>
      </c>
      <c r="AB4" s="23">
        <f>IF(AB$3&lt;$I4,0,$G4*Assumptions!$E$11*INDEX(Assumptions!$B$24:$G$24,MIN(6,AB$3-$I4+1))*IF(AB$3&gt;$J4,(1-Assumptions!$B$26)^(AB$3-$J4),1)*IF($H4&gt;=1,1,MIN(0.97,$H4*Assumptions!$E$12)))</f>
        <v>234.0</v>
      </c>
      <c r="AC4" s="23">
        <f>IF(AC$3&lt;$I4,0,$G4*Assumptions!$E$11*INDEX(Assumptions!$B$24:$G$24,MIN(6,AC$3-$I4+1))*IF(AC$3&gt;$J4,(1-Assumptions!$B$26)^(AC$3-$J4),1)*IF($H4&gt;=1,1,MIN(0.97,$H4*Assumptions!$E$12)))</f>
        <v>117.0</v>
      </c>
      <c r="AD4" s="23">
        <f>IF(AD$3&lt;$I4,0,$G4*Assumptions!$E$11*INDEX(Assumptions!$B$24:$G$24,MIN(6,AD$3-$I4+1))*IF(AD$3&gt;$J4,(1-Assumptions!$B$26)^(AD$3-$J4),1)*IF($H4&gt;=1,1,MIN(0.97,$H4*Assumptions!$E$12)))</f>
        <v>58.5</v>
      </c>
      <c r="AE4" s="23">
        <f>IF(AE$3&lt;$I4,0,$G4*Assumptions!$E$11*INDEX(Assumptions!$B$24:$G$24,MIN(6,AE$3-$I4+1))*IF(AE$3&gt;$J4,(1-Assumptions!$B$26)^(AE$3-$J4),1)*IF($H4&gt;=1,1,MIN(0.97,$H4*Assumptions!$E$12)))</f>
        <v>29.25</v>
      </c>
      <c r="AF4" s="23">
        <f>IF(AF$3&lt;$I4,0,$G4*Assumptions!$E$11*INDEX(Assumptions!$B$24:$G$24,MIN(6,AF$3-$I4+1))*IF(AF$3&gt;$J4,(1-Assumptions!$B$26)^(AF$3-$J4),1)*IF($H4&gt;=1,1,MIN(0.97,$H4*Assumptions!$E$12)))</f>
        <v>14.625</v>
      </c>
      <c r="AG4" s="35">
        <f>IF(F4="Owned",1-IF(H4&gt;=1,1,MIN(0.97,H4*Assumptions!$E$12)),1)</f>
        <v>0.06399999999999995</v>
      </c>
    </row>
    <row r="5">
      <c r="A5" s="39" t="n">
        <v>2</v>
      </c>
      <c r="B5" s="14" t="inlineStr">
        <is>
          <t>Obesity</t>
        </is>
      </c>
      <c r="C5" s="14" t="inlineStr">
        <is>
          <t>Apitegromab, Tirzepatide</t>
        </is>
      </c>
      <c r="D5" s="14" t="inlineStr">
        <is>
          <t>Phase 2</t>
        </is>
      </c>
      <c r="E5" s="14" t="inlineStr">
        <is>
          <t>Metabolic / chronic</t>
        </is>
      </c>
      <c r="F5" s="14" t="inlineStr">
        <is>
          <t>Owned</t>
        </is>
      </c>
      <c r="G5" s="40" t="n">
        <v>6000</v>
      </c>
      <c r="H5" s="27" t="n">
        <v>0.1273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867.709633045954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76.38</v>
      </c>
      <c r="S5" s="23">
        <f>IF(S$3&lt;$I5,0,$G5*Assumptions!$E$11*INDEX(Assumptions!$B$24:$G$24,MIN(6,S$3-$I5+1))*IF(S$3&gt;$J5,(1-Assumptions!$B$26)^(S$3-$J5),1)*IF($H5&gt;=1,1,MIN(0.97,$H5*Assumptions!$E$12)))</f>
        <v>190.95</v>
      </c>
      <c r="T5" s="23">
        <f>IF(T$3&lt;$I5,0,$G5*Assumptions!$E$11*INDEX(Assumptions!$B$24:$G$24,MIN(6,T$3-$I5+1))*IF(T$3&gt;$J5,(1-Assumptions!$B$26)^(T$3-$J5),1)*IF($H5&gt;=1,1,MIN(0.97,$H5*Assumptions!$E$12)))</f>
        <v>343.71</v>
      </c>
      <c r="U5" s="23">
        <f>IF(U$3&lt;$I5,0,$G5*Assumptions!$E$11*INDEX(Assumptions!$B$24:$G$24,MIN(6,U$3-$I5+1))*IF(U$3&gt;$J5,(1-Assumptions!$B$26)^(U$3-$J5),1)*IF($H5&gt;=1,1,MIN(0.97,$H5*Assumptions!$E$12)))</f>
        <v>496.46999999999997</v>
      </c>
      <c r="V5" s="23">
        <f>IF(V$3&lt;$I5,0,$G5*Assumptions!$E$11*INDEX(Assumptions!$B$24:$G$24,MIN(6,V$3-$I5+1))*IF(V$3&gt;$J5,(1-Assumptions!$B$26)^(V$3-$J5),1)*IF($H5&gt;=1,1,MIN(0.97,$H5*Assumptions!$E$12)))</f>
        <v>649.23</v>
      </c>
      <c r="W5" s="23">
        <f>IF(W$3&lt;$I5,0,$G5*Assumptions!$E$11*INDEX(Assumptions!$B$24:$G$24,MIN(6,W$3-$I5+1))*IF(W$3&gt;$J5,(1-Assumptions!$B$26)^(W$3-$J5),1)*IF($H5&gt;=1,1,MIN(0.97,$H5*Assumptions!$E$12)))</f>
        <v>763.8</v>
      </c>
      <c r="X5" s="23">
        <f>IF(X$3&lt;$I5,0,$G5*Assumptions!$E$11*INDEX(Assumptions!$B$24:$G$24,MIN(6,X$3-$I5+1))*IF(X$3&gt;$J5,(1-Assumptions!$B$26)^(X$3-$J5),1)*IF($H5&gt;=1,1,MIN(0.97,$H5*Assumptions!$E$12)))</f>
        <v>763.8</v>
      </c>
      <c r="Y5" s="23">
        <f>IF(Y$3&lt;$I5,0,$G5*Assumptions!$E$11*INDEX(Assumptions!$B$24:$G$24,MIN(6,Y$3-$I5+1))*IF(Y$3&gt;$J5,(1-Assumptions!$B$26)^(Y$3-$J5),1)*IF($H5&gt;=1,1,MIN(0.97,$H5*Assumptions!$E$12)))</f>
        <v>763.8</v>
      </c>
      <c r="Z5" s="23">
        <f>IF(Z$3&lt;$I5,0,$G5*Assumptions!$E$11*INDEX(Assumptions!$B$24:$G$24,MIN(6,Z$3-$I5+1))*IF(Z$3&gt;$J5,(1-Assumptions!$B$26)^(Z$3-$J5),1)*IF($H5&gt;=1,1,MIN(0.97,$H5*Assumptions!$E$12)))</f>
        <v>763.8</v>
      </c>
      <c r="AA5" s="23">
        <f>IF(AA$3&lt;$I5,0,$G5*Assumptions!$E$11*INDEX(Assumptions!$B$24:$G$24,MIN(6,AA$3-$I5+1))*IF(AA$3&gt;$J5,(1-Assumptions!$B$26)^(AA$3-$J5),1)*IF($H5&gt;=1,1,MIN(0.97,$H5*Assumptions!$E$12)))</f>
        <v>763.8</v>
      </c>
      <c r="AB5" s="23">
        <f>IF(AB$3&lt;$I5,0,$G5*Assumptions!$E$11*INDEX(Assumptions!$B$24:$G$24,MIN(6,AB$3-$I5+1))*IF(AB$3&gt;$J5,(1-Assumptions!$B$26)^(AB$3-$J5),1)*IF($H5&gt;=1,1,MIN(0.97,$H5*Assumptions!$E$12)))</f>
        <v>763.8</v>
      </c>
      <c r="AC5" s="23">
        <f>IF(AC$3&lt;$I5,0,$G5*Assumptions!$E$11*INDEX(Assumptions!$B$24:$G$24,MIN(6,AC$3-$I5+1))*IF(AC$3&gt;$J5,(1-Assumptions!$B$26)^(AC$3-$J5),1)*IF($H5&gt;=1,1,MIN(0.97,$H5*Assumptions!$E$12)))</f>
        <v>763.8</v>
      </c>
      <c r="AD5" s="23">
        <f>IF(AD$3&lt;$I5,0,$G5*Assumptions!$E$11*INDEX(Assumptions!$B$24:$G$24,MIN(6,AD$3-$I5+1))*IF(AD$3&gt;$J5,(1-Assumptions!$B$26)^(AD$3-$J5),1)*IF($H5&gt;=1,1,MIN(0.97,$H5*Assumptions!$E$12)))</f>
        <v>763.8</v>
      </c>
      <c r="AE5" s="23">
        <f>IF(AE$3&lt;$I5,0,$G5*Assumptions!$E$11*INDEX(Assumptions!$B$24:$G$24,MIN(6,AE$3-$I5+1))*IF(AE$3&gt;$J5,(1-Assumptions!$B$26)^(AE$3-$J5),1)*IF($H5&gt;=1,1,MIN(0.97,$H5*Assumptions!$E$12)))</f>
        <v>381.9</v>
      </c>
      <c r="AF5" s="23">
        <f>IF(AF$3&lt;$I5,0,$G5*Assumptions!$E$11*INDEX(Assumptions!$B$24:$G$24,MIN(6,AF$3-$I5+1))*IF(AF$3&gt;$J5,(1-Assumptions!$B$26)^(AF$3-$J5),1)*IF($H5&gt;=1,1,MIN(0.97,$H5*Assumptions!$E$12)))</f>
        <v>190.95</v>
      </c>
      <c r="AG5" s="35">
        <f>IF(F5="Owned",1-IF(H5&gt;=1,1,MIN(0.97,H5*Assumptions!$E$12)),1)</f>
        <v>0.8727</v>
      </c>
    </row>
    <row r="6">
      <c r="A6" s="39" t="n">
        <v>3</v>
      </c>
      <c r="B6" s="14" t="inlineStr">
        <is>
          <t>Solid tumors (basket)</t>
        </is>
      </c>
      <c r="C6" s="14" t="inlineStr">
        <is>
          <t>SRK-181, anti-PD-(L)1 antibody therapy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1500</v>
      </c>
      <c r="H6" s="27" t="n">
        <v>0.0527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69.22180286367352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7.904999999999999</v>
      </c>
      <c r="U6" s="23">
        <f>IF(U$3&lt;$I6,0,$G6*Assumptions!$E$11*INDEX(Assumptions!$B$24:$G$24,MIN(6,U$3-$I6+1))*IF(U$3&gt;$J6,(1-Assumptions!$B$26)^(U$3-$J6),1)*IF($H6&gt;=1,1,MIN(0.97,$H6*Assumptions!$E$12)))</f>
        <v>19.7625</v>
      </c>
      <c r="V6" s="23">
        <f>IF(V$3&lt;$I6,0,$G6*Assumptions!$E$11*INDEX(Assumptions!$B$24:$G$24,MIN(6,V$3-$I6+1))*IF(V$3&gt;$J6,(1-Assumptions!$B$26)^(V$3-$J6),1)*IF($H6&gt;=1,1,MIN(0.97,$H6*Assumptions!$E$12)))</f>
        <v>35.5725</v>
      </c>
      <c r="W6" s="23">
        <f>IF(W$3&lt;$I6,0,$G6*Assumptions!$E$11*INDEX(Assumptions!$B$24:$G$24,MIN(6,W$3-$I6+1))*IF(W$3&gt;$J6,(1-Assumptions!$B$26)^(W$3-$J6),1)*IF($H6&gt;=1,1,MIN(0.97,$H6*Assumptions!$E$12)))</f>
        <v>51.3825</v>
      </c>
      <c r="X6" s="23">
        <f>IF(X$3&lt;$I6,0,$G6*Assumptions!$E$11*INDEX(Assumptions!$B$24:$G$24,MIN(6,X$3-$I6+1))*IF(X$3&gt;$J6,(1-Assumptions!$B$26)^(X$3-$J6),1)*IF($H6&gt;=1,1,MIN(0.97,$H6*Assumptions!$E$12)))</f>
        <v>67.1925</v>
      </c>
      <c r="Y6" s="23">
        <f>IF(Y$3&lt;$I6,0,$G6*Assumptions!$E$11*INDEX(Assumptions!$B$24:$G$24,MIN(6,Y$3-$I6+1))*IF(Y$3&gt;$J6,(1-Assumptions!$B$26)^(Y$3-$J6),1)*IF($H6&gt;=1,1,MIN(0.97,$H6*Assumptions!$E$12)))</f>
        <v>79.05</v>
      </c>
      <c r="Z6" s="23">
        <f>IF(Z$3&lt;$I6,0,$G6*Assumptions!$E$11*INDEX(Assumptions!$B$24:$G$24,MIN(6,Z$3-$I6+1))*IF(Z$3&gt;$J6,(1-Assumptions!$B$26)^(Z$3-$J6),1)*IF($H6&gt;=1,1,MIN(0.97,$H6*Assumptions!$E$12)))</f>
        <v>79.05</v>
      </c>
      <c r="AA6" s="23">
        <f>IF(AA$3&lt;$I6,0,$G6*Assumptions!$E$11*INDEX(Assumptions!$B$24:$G$24,MIN(6,AA$3-$I6+1))*IF(AA$3&gt;$J6,(1-Assumptions!$B$26)^(AA$3-$J6),1)*IF($H6&gt;=1,1,MIN(0.97,$H6*Assumptions!$E$12)))</f>
        <v>79.05</v>
      </c>
      <c r="AB6" s="23">
        <f>IF(AB$3&lt;$I6,0,$G6*Assumptions!$E$11*INDEX(Assumptions!$B$24:$G$24,MIN(6,AB$3-$I6+1))*IF(AB$3&gt;$J6,(1-Assumptions!$B$26)^(AB$3-$J6),1)*IF($H6&gt;=1,1,MIN(0.97,$H6*Assumptions!$E$12)))</f>
        <v>79.05</v>
      </c>
      <c r="AC6" s="23">
        <f>IF(AC$3&lt;$I6,0,$G6*Assumptions!$E$11*INDEX(Assumptions!$B$24:$G$24,MIN(6,AC$3-$I6+1))*IF(AC$3&gt;$J6,(1-Assumptions!$B$26)^(AC$3-$J6),1)*IF($H6&gt;=1,1,MIN(0.97,$H6*Assumptions!$E$12)))</f>
        <v>79.05</v>
      </c>
      <c r="AD6" s="23">
        <f>IF(AD$3&lt;$I6,0,$G6*Assumptions!$E$11*INDEX(Assumptions!$B$24:$G$24,MIN(6,AD$3-$I6+1))*IF(AD$3&gt;$J6,(1-Assumptions!$B$26)^(AD$3-$J6),1)*IF($H6&gt;=1,1,MIN(0.97,$H6*Assumptions!$E$12)))</f>
        <v>79.05</v>
      </c>
      <c r="AE6" s="23">
        <f>IF(AE$3&lt;$I6,0,$G6*Assumptions!$E$11*INDEX(Assumptions!$B$24:$G$24,MIN(6,AE$3-$I6+1))*IF(AE$3&gt;$J6,(1-Assumptions!$B$26)^(AE$3-$J6),1)*IF($H6&gt;=1,1,MIN(0.97,$H6*Assumptions!$E$12)))</f>
        <v>79.05</v>
      </c>
      <c r="AF6" s="23">
        <f>IF(AF$3&lt;$I6,0,$G6*Assumptions!$E$11*INDEX(Assumptions!$B$24:$G$24,MIN(6,AF$3-$I6+1))*IF(AF$3&gt;$J6,(1-Assumptions!$B$26)^(AF$3-$J6),1)*IF($H6&gt;=1,1,MIN(0.97,$H6*Assumptions!$E$12)))</f>
        <v>79.05</v>
      </c>
      <c r="AG6" s="35">
        <f>IF(F6="Owned",1-IF(H6&gt;=1,1,MIN(0.97,H6*Assumptions!$E$12)),1)</f>
        <v>0.9473</v>
      </c>
    </row>
    <row r="7">
      <c r="B7" s="24" t="inlineStr">
        <is>
          <t>Risked revenue</t>
        </is>
      </c>
      <c r="L7" s="54">
        <f>SUM(L4:L6)</f>
        <v>2623.3482957296533</v>
      </c>
      <c r="M7" s="54">
        <f>SUM(M4:M6)</f>
        <v>0.0</v>
      </c>
      <c r="N7" s="54">
        <f>SUM(N4:N6)</f>
        <v>93.60000000000001</v>
      </c>
      <c r="O7" s="54">
        <f>SUM(O4:O6)</f>
        <v>234.0</v>
      </c>
      <c r="P7" s="54">
        <f>SUM(P4:P6)</f>
        <v>421.20000000000005</v>
      </c>
      <c r="Q7" s="54">
        <f>SUM(Q4:Q6)</f>
        <v>608.4000000000001</v>
      </c>
      <c r="R7" s="54">
        <f>SUM(R4:R6)</f>
        <v>871.98</v>
      </c>
      <c r="S7" s="54">
        <f>SUM(S4:S6)</f>
        <v>1126.95</v>
      </c>
      <c r="T7" s="54">
        <f>SUM(T4:T6)</f>
        <v>1287.615</v>
      </c>
      <c r="U7" s="54">
        <f>SUM(U4:U6)</f>
        <v>1452.2325</v>
      </c>
      <c r="V7" s="54">
        <f>SUM(V4:V6)</f>
        <v>1620.8025</v>
      </c>
      <c r="W7" s="54">
        <f>SUM(W4:W6)</f>
        <v>1751.1825</v>
      </c>
      <c r="X7" s="54">
        <f>SUM(X4:X6)</f>
        <v>1766.9924999999998</v>
      </c>
      <c r="Y7" s="54">
        <f>SUM(Y4:Y6)</f>
        <v>1778.85</v>
      </c>
      <c r="Z7" s="54">
        <f>SUM(Z4:Z6)</f>
        <v>1778.85</v>
      </c>
      <c r="AA7" s="54">
        <f>SUM(AA4:AA6)</f>
        <v>1310.85</v>
      </c>
      <c r="AB7" s="54">
        <f>SUM(AB4:AB6)</f>
        <v>1076.85</v>
      </c>
      <c r="AC7" s="54">
        <f>SUM(AC4:AC6)</f>
        <v>959.8499999999999</v>
      </c>
      <c r="AD7" s="54">
        <f>SUM(AD4:AD6)</f>
        <v>901.3499999999999</v>
      </c>
      <c r="AE7" s="54">
        <f>SUM(AE4:AE6)</f>
        <v>490.2</v>
      </c>
      <c r="AF7" s="54">
        <f>SUM(AF4:AF6)</f>
        <v>284.625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37.440000000000005</v>
      </c>
      <c r="O8" s="55">
        <f>SUMPRODUCT(O4:O6,$K$4:$K$6)</f>
        <v>93.60000000000001</v>
      </c>
      <c r="P8" s="55">
        <f>SUMPRODUCT(P4:P6,$K$4:$K$6)</f>
        <v>168.48000000000002</v>
      </c>
      <c r="Q8" s="55">
        <f>SUMPRODUCT(Q4:Q6,$K$4:$K$6)</f>
        <v>243.36000000000004</v>
      </c>
      <c r="R8" s="55">
        <f>SUMPRODUCT(R4:R6,$K$4:$K$6)</f>
        <v>348.79200000000003</v>
      </c>
      <c r="S8" s="55">
        <f>SUMPRODUCT(S4:S6,$K$4:$K$6)</f>
        <v>450.78000000000003</v>
      </c>
      <c r="T8" s="55">
        <f>SUMPRODUCT(T4:T6,$K$4:$K$6)</f>
        <v>515.046</v>
      </c>
      <c r="U8" s="55">
        <f>SUMPRODUCT(U4:U6,$K$4:$K$6)</f>
        <v>580.893</v>
      </c>
      <c r="V8" s="55">
        <f>SUMPRODUCT(V4:V6,$K$4:$K$6)</f>
        <v>648.3210000000001</v>
      </c>
      <c r="W8" s="55">
        <f>SUMPRODUCT(W4:W6,$K$4:$K$6)</f>
        <v>700.4730000000001</v>
      </c>
      <c r="X8" s="55">
        <f>SUMPRODUCT(X4:X6,$K$4:$K$6)</f>
        <v>706.797</v>
      </c>
      <c r="Y8" s="55">
        <f>SUMPRODUCT(Y4:Y6,$K$4:$K$6)</f>
        <v>711.5400000000001</v>
      </c>
      <c r="Z8" s="55">
        <f>SUMPRODUCT(Z4:Z6,$K$4:$K$6)</f>
        <v>711.5400000000001</v>
      </c>
      <c r="AA8" s="55">
        <f>SUMPRODUCT(AA4:AA6,$K$4:$K$6)</f>
        <v>524.34</v>
      </c>
      <c r="AB8" s="55">
        <f>SUMPRODUCT(AB4:AB6,$K$4:$K$6)</f>
        <v>430.74</v>
      </c>
      <c r="AC8" s="55">
        <f>SUMPRODUCT(AC4:AC6,$K$4:$K$6)</f>
        <v>383.94</v>
      </c>
      <c r="AD8" s="55">
        <f>SUMPRODUCT(AD4:AD6,$K$4:$K$6)</f>
        <v>360.53999999999996</v>
      </c>
      <c r="AE8" s="55">
        <f>SUMPRODUCT(AE4:AE6,$K$4:$K$6)</f>
        <v>196.07999999999998</v>
      </c>
      <c r="AF8" s="55">
        <f>SUMPRODUCT(AF4:AF6,$K$4:$K$6)</f>
        <v>113.85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Scholar Rock Holding Corporation: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93.60000000000001</v>
      </c>
      <c r="E4" s="57">
        <f>Pipeline!O7</f>
        <v>234.0</v>
      </c>
      <c r="F4" s="57">
        <f>Pipeline!P7</f>
        <v>421.20000000000005</v>
      </c>
      <c r="G4" s="57">
        <f>Pipeline!Q7</f>
        <v>608.4000000000001</v>
      </c>
      <c r="H4" s="57">
        <f>Pipeline!R7</f>
        <v>871.98</v>
      </c>
      <c r="I4" s="57">
        <f>Pipeline!S7</f>
        <v>1126.95</v>
      </c>
      <c r="J4" s="57">
        <f>Pipeline!T7</f>
        <v>1287.615</v>
      </c>
      <c r="K4" s="57">
        <f>Pipeline!U7</f>
        <v>1452.2325</v>
      </c>
      <c r="L4" s="57">
        <f>Pipeline!V7</f>
        <v>1620.8025</v>
      </c>
      <c r="M4" s="57">
        <f>Pipeline!W7</f>
        <v>1751.1825</v>
      </c>
      <c r="N4" s="57">
        <f>Pipeline!X7</f>
        <v>1766.9924999999998</v>
      </c>
      <c r="O4" s="57">
        <f>Pipeline!Y7</f>
        <v>1778.85</v>
      </c>
      <c r="P4" s="57">
        <f>Pipeline!Z7</f>
        <v>1778.85</v>
      </c>
      <c r="Q4" s="57">
        <f>Pipeline!AA7</f>
        <v>1310.85</v>
      </c>
      <c r="R4" s="57">
        <f>Pipeline!AB7</f>
        <v>1076.85</v>
      </c>
      <c r="S4" s="57">
        <f>Pipeline!AC7</f>
        <v>959.8499999999999</v>
      </c>
      <c r="T4" s="57">
        <f>Pipeline!AD7</f>
        <v>901.3499999999999</v>
      </c>
      <c r="U4" s="57">
        <f>Pipeline!AE7</f>
        <v>490.2</v>
      </c>
      <c r="V4" s="57">
        <f>Pipeline!AF7</f>
        <v>284.625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37.440000000000005</v>
      </c>
      <c r="E5" s="57">
        <f>Pipeline!O8</f>
        <v>93.60000000000001</v>
      </c>
      <c r="F5" s="57">
        <f>Pipeline!P8</f>
        <v>168.48000000000002</v>
      </c>
      <c r="G5" s="57">
        <f>Pipeline!Q8</f>
        <v>243.36000000000004</v>
      </c>
      <c r="H5" s="57">
        <f>Pipeline!R8</f>
        <v>348.79200000000003</v>
      </c>
      <c r="I5" s="57">
        <f>Pipeline!S8</f>
        <v>450.78000000000003</v>
      </c>
      <c r="J5" s="57">
        <f>Pipeline!T8</f>
        <v>515.046</v>
      </c>
      <c r="K5" s="57">
        <f>Pipeline!U8</f>
        <v>580.893</v>
      </c>
      <c r="L5" s="57">
        <f>Pipeline!V8</f>
        <v>648.3210000000001</v>
      </c>
      <c r="M5" s="57">
        <f>Pipeline!W8</f>
        <v>700.4730000000001</v>
      </c>
      <c r="N5" s="57">
        <f>Pipeline!X8</f>
        <v>706.797</v>
      </c>
      <c r="O5" s="57">
        <f>Pipeline!Y8</f>
        <v>711.5400000000001</v>
      </c>
      <c r="P5" s="57">
        <f>Pipeline!Z8</f>
        <v>711.5400000000001</v>
      </c>
      <c r="Q5" s="57">
        <f>Pipeline!AA8</f>
        <v>524.34</v>
      </c>
      <c r="R5" s="57">
        <f>Pipeline!AB8</f>
        <v>430.74</v>
      </c>
      <c r="S5" s="57">
        <f>Pipeline!AC8</f>
        <v>383.94</v>
      </c>
      <c r="T5" s="57">
        <f>Pipeline!AD8</f>
        <v>360.53999999999996</v>
      </c>
      <c r="U5" s="57">
        <f>Pipeline!AE8</f>
        <v>196.07999999999998</v>
      </c>
      <c r="V5" s="57">
        <f>Pipeline!AF8</f>
        <v>113.85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-406.363</v>
      </c>
      <c r="D6" s="23">
        <f>-IF(D3-2026&lt;Assumptions!$B$19,Assumptions!$B$18,Assumptions!$B$18*Assumptions!$B$20*Assumptions!$B$16)</f>
        <v>-115.45877843478279</v>
      </c>
      <c r="E6" s="23">
        <f>-IF(E3-2026&lt;Assumptions!$B$19,Assumptions!$B$18,Assumptions!$B$18*Assumptions!$B$20*Assumptions!$B$16)</f>
        <v>-115.45877843478279</v>
      </c>
      <c r="F6" s="23">
        <f>-IF(F3-2026&lt;Assumptions!$B$19,Assumptions!$B$18,Assumptions!$B$18*Assumptions!$B$20*Assumptions!$B$16)</f>
        <v>-115.45877843478279</v>
      </c>
      <c r="G6" s="23">
        <f>-IF(G3-2026&lt;Assumptions!$B$19,Assumptions!$B$18,Assumptions!$B$18*Assumptions!$B$20*Assumptions!$B$16)</f>
        <v>-115.45877843478279</v>
      </c>
      <c r="H6" s="23">
        <f>-IF(H3-2026&lt;Assumptions!$B$19,Assumptions!$B$18,Assumptions!$B$18*Assumptions!$B$20*Assumptions!$B$16)</f>
        <v>-115.45877843478279</v>
      </c>
      <c r="I6" s="23">
        <f>-IF(I3-2026&lt;Assumptions!$B$19,Assumptions!$B$18,Assumptions!$B$18*Assumptions!$B$20*Assumptions!$B$16)</f>
        <v>-115.45877843478279</v>
      </c>
      <c r="J6" s="23">
        <f>-IF(J3-2026&lt;Assumptions!$B$19,Assumptions!$B$18,Assumptions!$B$18*Assumptions!$B$20*Assumptions!$B$16)</f>
        <v>-115.45877843478279</v>
      </c>
      <c r="K6" s="23">
        <f>-IF(K3-2026&lt;Assumptions!$B$19,Assumptions!$B$18,Assumptions!$B$18*Assumptions!$B$20*Assumptions!$B$16)</f>
        <v>-115.45877843478279</v>
      </c>
      <c r="L6" s="23">
        <f>-IF(L3-2026&lt;Assumptions!$B$19,Assumptions!$B$18,Assumptions!$B$18*Assumptions!$B$20*Assumptions!$B$16)</f>
        <v>-115.45877843478279</v>
      </c>
      <c r="M6" s="23">
        <f>-IF(M3-2026&lt;Assumptions!$B$19,Assumptions!$B$18,Assumptions!$B$18*Assumptions!$B$20*Assumptions!$B$16)</f>
        <v>-115.45877843478279</v>
      </c>
      <c r="N6" s="23">
        <f>-IF(N3-2026&lt;Assumptions!$B$19,Assumptions!$B$18,Assumptions!$B$18*Assumptions!$B$20*Assumptions!$B$16)</f>
        <v>-115.45877843478279</v>
      </c>
      <c r="O6" s="23">
        <f>-IF(O3-2026&lt;Assumptions!$B$19,Assumptions!$B$18,Assumptions!$B$18*Assumptions!$B$20*Assumptions!$B$16)</f>
        <v>-115.45877843478279</v>
      </c>
      <c r="P6" s="23">
        <f>-IF(P3-2026&lt;Assumptions!$B$19,Assumptions!$B$18,Assumptions!$B$18*Assumptions!$B$20*Assumptions!$B$16)</f>
        <v>-115.45877843478279</v>
      </c>
      <c r="Q6" s="23">
        <f>-IF(Q3-2026&lt;Assumptions!$B$19,Assumptions!$B$18,Assumptions!$B$18*Assumptions!$B$20*Assumptions!$B$16)</f>
        <v>-115.45877843478279</v>
      </c>
      <c r="R6" s="23">
        <f>-IF(R3-2026&lt;Assumptions!$B$19,Assumptions!$B$18,Assumptions!$B$18*Assumptions!$B$20*Assumptions!$B$16)</f>
        <v>-115.45877843478279</v>
      </c>
      <c r="S6" s="23">
        <f>-IF(S3-2026&lt;Assumptions!$B$19,Assumptions!$B$18,Assumptions!$B$18*Assumptions!$B$20*Assumptions!$B$16)</f>
        <v>-115.45877843478279</v>
      </c>
      <c r="T6" s="23">
        <f>-IF(T3-2026&lt;Assumptions!$B$19,Assumptions!$B$18,Assumptions!$B$18*Assumptions!$B$20*Assumptions!$B$16)</f>
        <v>-115.45877843478279</v>
      </c>
      <c r="U6" s="23">
        <f>-IF(U3-2026&lt;Assumptions!$B$19,Assumptions!$B$18,Assumptions!$B$18*Assumptions!$B$20*Assumptions!$B$16)</f>
        <v>-115.45877843478279</v>
      </c>
      <c r="V6" s="23">
        <f>-IF(V3-2026&lt;Assumptions!$B$19,Assumptions!$B$18,Assumptions!$B$18*Assumptions!$B$20*Assumptions!$B$16)</f>
        <v>-115.45877843478279</v>
      </c>
    </row>
    <row r="7">
      <c r="A7" s="14" t="inlineStr">
        <is>
          <t>Pre-tax cash flow</t>
        </is>
      </c>
      <c r="C7" s="23">
        <f>C5+C6</f>
        <v>-406.363</v>
      </c>
      <c r="D7" s="23">
        <f>D5+D6</f>
        <v>-78.01877843478277</v>
      </c>
      <c r="E7" s="23">
        <f>E5+E6</f>
        <v>-21.858778434782778</v>
      </c>
      <c r="F7" s="23">
        <f>F5+F6</f>
        <v>53.02122156521723</v>
      </c>
      <c r="G7" s="23">
        <f>G5+G6</f>
        <v>127.90122156521726</v>
      </c>
      <c r="H7" s="23">
        <f>H5+H6</f>
        <v>233.33322156521723</v>
      </c>
      <c r="I7" s="23">
        <f>I5+I6</f>
        <v>335.32122156521723</v>
      </c>
      <c r="J7" s="23">
        <f>J5+J6</f>
        <v>399.58722156521725</v>
      </c>
      <c r="K7" s="23">
        <f>K5+K6</f>
        <v>465.43422156521723</v>
      </c>
      <c r="L7" s="23">
        <f>L5+L6</f>
        <v>532.8622215652174</v>
      </c>
      <c r="M7" s="23">
        <f>M5+M6</f>
        <v>585.0142215652173</v>
      </c>
      <c r="N7" s="23">
        <f>N5+N6</f>
        <v>591.3382215652173</v>
      </c>
      <c r="O7" s="23">
        <f>O5+O6</f>
        <v>596.0812215652173</v>
      </c>
      <c r="P7" s="23">
        <f>P5+P6</f>
        <v>596.0812215652173</v>
      </c>
      <c r="Q7" s="23">
        <f>Q5+Q6</f>
        <v>408.88122156521723</v>
      </c>
      <c r="R7" s="23">
        <f>R5+R6</f>
        <v>315.2812215652172</v>
      </c>
      <c r="S7" s="23">
        <f>S5+S6</f>
        <v>268.4812215652172</v>
      </c>
      <c r="T7" s="23">
        <f>T5+T6</f>
        <v>245.08122156521716</v>
      </c>
      <c r="U7" s="23">
        <f>U5+U6</f>
        <v>80.6212215652172</v>
      </c>
      <c r="V7" s="23">
        <f>V5+V6</f>
        <v>-1.608778434782792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53.02122156521723</v>
      </c>
      <c r="G8" s="23">
        <f>MIN(F17,MAX(0,G7))</f>
        <v>127.90122156521726</v>
      </c>
      <c r="H8" s="23">
        <f>MIN(G17,MAX(0,H7))</f>
        <v>233.33322156521723</v>
      </c>
      <c r="I8" s="23">
        <f>MIN(H17,MAX(0,I7))</f>
        <v>335.32122156521723</v>
      </c>
      <c r="J8" s="23">
        <f>MIN(I17,MAX(0,J7))</f>
        <v>399.58722156521725</v>
      </c>
      <c r="K8" s="23">
        <f>MIN(J17,MAX(0,K7))</f>
        <v>465.43422156521723</v>
      </c>
      <c r="L8" s="23">
        <f>MIN(K17,MAX(0,L7))</f>
        <v>159.74222747826212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373.1199940869553</v>
      </c>
      <c r="M9" s="23">
        <f>MAX(0,M7)-M8</f>
        <v>585.0142215652173</v>
      </c>
      <c r="N9" s="23">
        <f>MAX(0,N7)-N8</f>
        <v>591.3382215652173</v>
      </c>
      <c r="O9" s="23">
        <f>MAX(0,O7)-O8</f>
        <v>596.0812215652173</v>
      </c>
      <c r="P9" s="23">
        <f>MAX(0,P7)-P8</f>
        <v>596.0812215652173</v>
      </c>
      <c r="Q9" s="23">
        <f>MAX(0,Q7)-Q8</f>
        <v>408.88122156521723</v>
      </c>
      <c r="R9" s="23">
        <f>MAX(0,R7)-R8</f>
        <v>315.2812215652172</v>
      </c>
      <c r="S9" s="23">
        <f>MAX(0,S7)-S8</f>
        <v>268.4812215652172</v>
      </c>
      <c r="T9" s="23">
        <f>MAX(0,T7)-T8</f>
        <v>245.08122156521716</v>
      </c>
      <c r="U9" s="23">
        <f>MAX(0,U7)-U8</f>
        <v>80.6212215652172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78.3551987582606</v>
      </c>
      <c r="M10" s="23">
        <f>M9*Assumptions!$E$15</f>
        <v>122.85298652869564</v>
      </c>
      <c r="N10" s="23">
        <f>N9*Assumptions!$E$15</f>
        <v>124.18102652869563</v>
      </c>
      <c r="O10" s="23">
        <f>O9*Assumptions!$E$15</f>
        <v>125.17705652869563</v>
      </c>
      <c r="P10" s="23">
        <f>P9*Assumptions!$E$15</f>
        <v>125.17705652869563</v>
      </c>
      <c r="Q10" s="23">
        <f>Q9*Assumptions!$E$15</f>
        <v>85.86505652869562</v>
      </c>
      <c r="R10" s="23">
        <f>R9*Assumptions!$E$15</f>
        <v>66.20905652869561</v>
      </c>
      <c r="S10" s="23">
        <f>S9*Assumptions!$E$15</f>
        <v>56.38105652869561</v>
      </c>
      <c r="T10" s="23">
        <f>T9*Assumptions!$E$15</f>
        <v>51.4670565286956</v>
      </c>
      <c r="U10" s="23">
        <f>U9*Assumptions!$E$15</f>
        <v>16.93045652869561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-406.363</v>
      </c>
      <c r="D11" s="55">
        <f>D7-D10</f>
        <v>-78.01877843478277</v>
      </c>
      <c r="E11" s="55">
        <f>E7-E10</f>
        <v>-21.858778434782778</v>
      </c>
      <c r="F11" s="55">
        <f>F7-F10</f>
        <v>53.02122156521723</v>
      </c>
      <c r="G11" s="55">
        <f>G7-G10</f>
        <v>127.90122156521726</v>
      </c>
      <c r="H11" s="55">
        <f>H7-H10</f>
        <v>233.33322156521723</v>
      </c>
      <c r="I11" s="55">
        <f>I7-I10</f>
        <v>335.32122156521723</v>
      </c>
      <c r="J11" s="55">
        <f>J7-J10</f>
        <v>399.58722156521725</v>
      </c>
      <c r="K11" s="55">
        <f>K7-K10</f>
        <v>465.43422156521723</v>
      </c>
      <c r="L11" s="55">
        <f>L7-L10</f>
        <v>454.5070228069568</v>
      </c>
      <c r="M11" s="55">
        <f>M7-M10</f>
        <v>462.1612350365217</v>
      </c>
      <c r="N11" s="55">
        <f>N7-N10</f>
        <v>467.15719503652167</v>
      </c>
      <c r="O11" s="55">
        <f>O7-O10</f>
        <v>470.9041650365217</v>
      </c>
      <c r="P11" s="55">
        <f>P7-P10</f>
        <v>470.9041650365217</v>
      </c>
      <c r="Q11" s="55">
        <f>Q7-Q10</f>
        <v>323.0161650365216</v>
      </c>
      <c r="R11" s="55">
        <f>R7-R10</f>
        <v>249.0721650365216</v>
      </c>
      <c r="S11" s="55">
        <f>S7-S10</f>
        <v>212.1001650365216</v>
      </c>
      <c r="T11" s="55">
        <f>T7-T10</f>
        <v>193.61416503652157</v>
      </c>
      <c r="U11" s="55">
        <f>U7-U10</f>
        <v>63.69076503652158</v>
      </c>
      <c r="V11" s="55">
        <f>V7-V10</f>
        <v>-1.608778434782792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-199.07900097864479</v>
      </c>
      <c r="D16" s="55">
        <f>D11*D15</f>
        <v>-69.62726394338236</v>
      </c>
      <c r="E16" s="55">
        <f>E11*E15</f>
        <v>-17.417589417165267</v>
      </c>
      <c r="F16" s="55">
        <f>F11*F15</f>
        <v>37.72192674929679</v>
      </c>
      <c r="G16" s="55">
        <f>G11*G15</f>
        <v>81.24577912594873</v>
      </c>
      <c r="H16" s="55">
        <f>H11*H15</f>
        <v>132.33803140953643</v>
      </c>
      <c r="I16" s="55">
        <f>I11*I15</f>
        <v>169.80524850019933</v>
      </c>
      <c r="J16" s="55">
        <f>J11*J15</f>
        <v>180.6689992090307</v>
      </c>
      <c r="K16" s="55">
        <f>K11*K15</f>
        <v>187.89375114943647</v>
      </c>
      <c r="L16" s="55">
        <f>L11*L15</f>
        <v>163.8236508936207</v>
      </c>
      <c r="M16" s="55">
        <f>M11*M15</f>
        <v>148.73442351891052</v>
      </c>
      <c r="N16" s="55">
        <f>N11*N15</f>
        <v>134.23414436386642</v>
      </c>
      <c r="O16" s="55">
        <f>O11*O15</f>
        <v>120.81322171077433</v>
      </c>
      <c r="P16" s="55">
        <f>P11*P15</f>
        <v>107.86894795604849</v>
      </c>
      <c r="Q16" s="55">
        <f>Q11*Q15</f>
        <v>66.06480317608138</v>
      </c>
      <c r="R16" s="55">
        <f>R11*R15</f>
        <v>45.48341466660752</v>
      </c>
      <c r="S16" s="55">
        <f>S11*S15</f>
        <v>34.582059193128146</v>
      </c>
      <c r="T16" s="55">
        <f>T11*T15</f>
        <v>28.185707996772578</v>
      </c>
      <c r="U16" s="55">
        <f>U11*U15</f>
        <v>8.278473512882039</v>
      </c>
      <c r="V16" s="55">
        <f>V11*V15</f>
        <v>-0.1867033073903513</v>
      </c>
    </row>
    <row r="17">
      <c r="A17" s="14" t="inlineStr">
        <is>
          <t>Tax-loss carryforward, end of year</t>
        </is>
      </c>
      <c r="C17" s="23">
        <f>Assumptions!$B$21-C8+MAX(0,-C7)</f>
        <v>1674.463</v>
      </c>
      <c r="D17" s="23">
        <f>C17-D8+MAX(0,-D7)</f>
        <v>1752.4817784347827</v>
      </c>
      <c r="E17" s="23">
        <f>D17-E8+MAX(0,-E7)</f>
        <v>1774.3405568695655</v>
      </c>
      <c r="F17" s="23">
        <f>E17-F8+MAX(0,-F7)</f>
        <v>1721.3193353043482</v>
      </c>
      <c r="G17" s="23">
        <f>F17-G8+MAX(0,-G7)</f>
        <v>1593.418113739131</v>
      </c>
      <c r="H17" s="23">
        <f>G17-H8+MAX(0,-H7)</f>
        <v>1360.0848921739139</v>
      </c>
      <c r="I17" s="23">
        <f>H17-I8+MAX(0,-I7)</f>
        <v>1024.7636706086967</v>
      </c>
      <c r="J17" s="23">
        <f>I17-J8+MAX(0,-J7)</f>
        <v>625.1764490434794</v>
      </c>
      <c r="K17" s="23">
        <f>J17-K8+MAX(0,-K7)</f>
        <v>159.74222747826212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1.608778434782792</v>
      </c>
    </row>
    <row r="19">
      <c r="A19" s="14" t="inlineStr">
        <is>
          <t>PV of risked pipeline contribution</t>
        </is>
      </c>
      <c r="B19" s="23">
        <f>SUMPRODUCT(C5:V5,C15:V15)</f>
        <v>2623.3482957296537</v>
      </c>
    </row>
    <row r="20">
      <c r="A20" s="14" t="inlineStr">
        <is>
          <t>PV of corporate burn</t>
        </is>
      </c>
      <c r="B20" s="23">
        <f>SUMPRODUCT(C6:V6,C15:V15)</f>
        <v>-1049.12753457532</v>
      </c>
    </row>
    <row r="21">
      <c r="A21" s="14" t="inlineStr">
        <is>
          <t>PV of taxes</t>
        </is>
      </c>
      <c r="B21" s="23">
        <f>-SUMPRODUCT(C10:V10,C15:V15)</f>
        <v>-212.78873566877573</v>
      </c>
    </row>
    <row r="22">
      <c r="A22" s="24" t="inlineStr">
        <is>
          <t>Pipeline rNPV (operations)</t>
        </is>
      </c>
      <c r="B22" s="54">
        <f>SUM(C16:V16)</f>
        <v>1361.4320254855577</v>
      </c>
    </row>
    <row r="23">
      <c r="A23" s="14" t="inlineStr">
        <is>
          <t>Cash &amp; investments</t>
        </is>
      </c>
      <c r="B23" s="57">
        <f>Main!C7</f>
        <v>492.088</v>
      </c>
    </row>
    <row r="24">
      <c r="A24" s="14" t="inlineStr">
        <is>
          <t>Debt</t>
        </is>
      </c>
      <c r="B24" s="57">
        <f>Main!C8</f>
        <v>196.203</v>
      </c>
    </row>
    <row r="25">
      <c r="A25" s="24" t="inlineStr">
        <is>
          <t>Equity value</t>
        </is>
      </c>
      <c r="B25" s="54">
        <f>B22+B23-B24</f>
        <v>1657.3170254855577</v>
      </c>
    </row>
    <row r="26">
      <c r="A26" s="14" t="inlineStr">
        <is>
          <t>Shares (mm)</t>
        </is>
      </c>
      <c r="B26" s="57">
        <f>Main!C4</f>
        <v>121.785282</v>
      </c>
    </row>
    <row r="27">
      <c r="A27" s="24" t="inlineStr">
        <is>
          <t>rNPV / share</t>
        </is>
      </c>
      <c r="B27" s="60">
        <f>B25/B26</f>
        <v>13.60851654870379</v>
      </c>
    </row>
    <row r="28">
      <c r="A28" s="14" t="inlineStr">
        <is>
          <t>Price</t>
        </is>
      </c>
      <c r="B28" s="61">
        <f>Main!C3</f>
        <v>41.36</v>
      </c>
    </row>
    <row r="29">
      <c r="A29" s="14" t="inlineStr">
        <is>
          <t>Upside</t>
        </is>
      </c>
      <c r="B29" s="62">
        <f>B27/B28-1</f>
        <v>-0.6709739712595795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2026-10-21T06:21:44Z</dcterms:modified>
  <cp:lastModifiedBy>Wang, Eric</cp:lastModifiedBy>
</cp:coreProperties>
</file>