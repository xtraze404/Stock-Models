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Scholar Rock Holding Corporation</t>
        </is>
      </c>
      <c r="C2" s="10" t="n"/>
    </row>
    <row r="3">
      <c r="B3" t="inlineStr">
        <is>
          <t>Price</t>
        </is>
      </c>
      <c r="C3" s="11">
        <f>INDEX([1]Pharma!$F$1:$F$1000,MATCH("SRRK",[1]Pharma!$B$1:$B$1000,0))</f>
        <v>41.36</v>
      </c>
      <c r="F3" s="1" t="n"/>
    </row>
    <row r="4">
      <c r="B4" t="inlineStr">
        <is>
          <t>Shares</t>
        </is>
      </c>
      <c r="C4" s="21" t="n">
        <v>121.785282</v>
      </c>
      <c r="F4" s="1" t="n"/>
    </row>
    <row r="5">
      <c r="B5" t="inlineStr">
        <is>
          <t>Market Cap.</t>
        </is>
      </c>
      <c r="C5" s="13">
        <f>C3*C4</f>
        <v>5037.03926352</v>
      </c>
      <c r="F5" s="1" t="n"/>
    </row>
    <row r="6"/>
    <row r="7">
      <c r="B7" t="inlineStr">
        <is>
          <t>Cash</t>
        </is>
      </c>
      <c r="C7" s="21">
        <f>437.091+54.997</f>
        <v>492.088</v>
      </c>
    </row>
    <row r="8">
      <c r="B8" t="inlineStr">
        <is>
          <t>Debt</t>
        </is>
      </c>
      <c r="C8" s="21" t="n">
        <v>196.203</v>
      </c>
    </row>
    <row r="9">
      <c r="B9" t="inlineStr">
        <is>
          <t>Enterprise V.</t>
        </is>
      </c>
      <c r="C9" s="13">
        <f>C5-C7+C8</f>
        <v>4741.15426352</v>
      </c>
    </row>
    <row r="10"/>
    <row r="11">
      <c r="B11" s="14" t="inlineStr">
        <is>
          <t>Net Cash / Share</t>
        </is>
      </c>
      <c r="C11" s="11">
        <f>(C7-C8)/C4</f>
        <v>2.4295628760789008</v>
      </c>
    </row>
    <row r="12">
      <c r="B12" s="14" t="inlineStr">
        <is>
          <t>Upside</t>
        </is>
      </c>
      <c r="C12" s="15">
        <f>IFERROR(C11/C3-1,"")</f>
        <v>-0.9412581509652104</v>
      </c>
    </row>
    <row r="13">
      <c r="B13" s="14" t="inlineStr">
        <is>
          <t>Cash / Share</t>
        </is>
      </c>
      <c r="C13" s="11">
        <f>IFERROR((C7-C8)/C4,"")</f>
        <v>2.4295628760789008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-296.827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0.9968264342529487</v>
      </c>
    </row>
    <row r="19">
      <c r="B19" s="14" t="inlineStr">
        <is>
          <t>Implied Pipeline Value</t>
        </is>
      </c>
      <c r="C19" s="13">
        <f>C9</f>
        <v>4741.15426352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20.492</v>
      </c>
      <c r="E2" s="23" t="n">
        <v>15.403</v>
      </c>
      <c r="F2" s="23" t="n">
        <v>18.816</v>
      </c>
      <c r="G2" s="23" t="n">
        <v>33.193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20.492</v>
      </c>
      <c r="E4" s="23">
        <f>E2-E3</f>
        <v>15.403</v>
      </c>
      <c r="F4" s="23">
        <f>F2-F3</f>
        <v>18.816</v>
      </c>
      <c r="G4" s="23">
        <f>G2-G3</f>
        <v>33.193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19.944</v>
      </c>
      <c r="C5" s="23" t="n">
        <v>36.31</v>
      </c>
      <c r="D5" s="23" t="n">
        <v>54.217</v>
      </c>
      <c r="E5" s="23" t="n">
        <v>74.062</v>
      </c>
      <c r="F5" s="23" t="n">
        <v>108.468</v>
      </c>
      <c r="G5" s="23" t="n">
        <v>124.444</v>
      </c>
      <c r="H5" s="23" t="n">
        <v>121.9</v>
      </c>
      <c r="I5" s="23" t="n">
        <v>184.55</v>
      </c>
      <c r="J5" s="23" t="n">
        <v>208.44</v>
      </c>
      <c r="K5" s="1" t="n"/>
    </row>
    <row r="6">
      <c r="A6" s="19" t="inlineStr">
        <is>
          <t>SG&amp;A &amp; Other</t>
        </is>
      </c>
      <c r="B6" s="23" t="n">
        <v>5.085</v>
      </c>
      <c r="C6" s="23" t="n">
        <v>14.382</v>
      </c>
      <c r="D6" s="23" t="n">
        <v>20.817</v>
      </c>
      <c r="E6" s="23" t="n">
        <v>28.219</v>
      </c>
      <c r="F6" s="23" t="n">
        <v>40.269</v>
      </c>
      <c r="G6" s="23" t="n">
        <v>43.119</v>
      </c>
      <c r="H6" s="23" t="n">
        <v>49.395</v>
      </c>
      <c r="I6" s="23" t="n">
        <v>67.504</v>
      </c>
      <c r="J6" s="23" t="n">
        <v>176.205</v>
      </c>
      <c r="K6" s="1" t="n"/>
    </row>
    <row r="7">
      <c r="A7" s="2" t="inlineStr">
        <is>
          <t>Operating Expense</t>
        </is>
      </c>
      <c r="B7" s="23">
        <f>SUM(B5:B6)</f>
        <v>25.029</v>
      </c>
      <c r="C7" s="23">
        <f>SUM(C5:C6)</f>
        <v>50.692</v>
      </c>
      <c r="D7" s="23">
        <f>SUM(D5:D6)</f>
        <v>75.03399999999999</v>
      </c>
      <c r="E7" s="23">
        <f>SUM(E5:E6)</f>
        <v>102.281</v>
      </c>
      <c r="F7" s="23">
        <f>SUM(F5:F6)</f>
        <v>148.737</v>
      </c>
      <c r="G7" s="23">
        <f>SUM(G5:G6)</f>
        <v>167.563</v>
      </c>
      <c r="H7" s="23">
        <f>SUM(H5:H6)</f>
        <v>171.29500000000002</v>
      </c>
      <c r="I7" s="23">
        <f>SUM(I5:I6)</f>
        <v>252.05400000000003</v>
      </c>
      <c r="J7" s="23">
        <f>SUM(J5:J6)</f>
        <v>384.645</v>
      </c>
      <c r="K7" s="1" t="n"/>
    </row>
    <row r="8">
      <c r="A8" s="2" t="inlineStr">
        <is>
          <t>Operating Income</t>
        </is>
      </c>
      <c r="B8" s="23">
        <f>B4-B7</f>
        <v>-25.029</v>
      </c>
      <c r="C8" s="23">
        <f>C4-C7</f>
        <v>-50.692</v>
      </c>
      <c r="D8" s="23">
        <f>D4-D7</f>
        <v>-54.54199999999999</v>
      </c>
      <c r="E8" s="23">
        <f>E4-E7</f>
        <v>-86.878</v>
      </c>
      <c r="F8" s="23">
        <f>F4-F7</f>
        <v>-129.921</v>
      </c>
      <c r="G8" s="23">
        <f>G4-G7</f>
        <v>-134.37</v>
      </c>
      <c r="H8" s="23">
        <f>H4-H7</f>
        <v>-171.29500000000002</v>
      </c>
      <c r="I8" s="23">
        <f>I4-I7</f>
        <v>-252.05400000000003</v>
      </c>
      <c r="J8" s="23">
        <f>J4-J7</f>
        <v>-384.645</v>
      </c>
      <c r="K8" s="1" t="n"/>
    </row>
    <row r="9">
      <c r="A9" s="19" t="inlineStr">
        <is>
          <t>Interest &amp; Other</t>
        </is>
      </c>
      <c r="B9" s="23" t="n">
        <v>0.034</v>
      </c>
      <c r="C9" s="23" t="n">
        <v>1.366</v>
      </c>
      <c r="D9" s="23" t="n">
        <v>3.542</v>
      </c>
      <c r="E9" s="23" t="n">
        <v>0.395</v>
      </c>
      <c r="F9" s="23" t="n">
        <v>-1.878</v>
      </c>
      <c r="G9" s="23" t="n">
        <v>-0.132</v>
      </c>
      <c r="H9" s="23" t="n">
        <v>5.295</v>
      </c>
      <c r="I9" s="23" t="n">
        <v>6.054</v>
      </c>
      <c r="J9" s="23" t="n">
        <v>6.645</v>
      </c>
    </row>
    <row r="10">
      <c r="A10" s="2" t="inlineStr">
        <is>
          <t>Pretax</t>
        </is>
      </c>
      <c r="B10" s="23">
        <f>B8+B9</f>
        <v>-24.995</v>
      </c>
      <c r="C10" s="23">
        <f>C8+C9</f>
        <v>-49.326</v>
      </c>
      <c r="D10" s="23">
        <f>D8+D9</f>
        <v>-50.999999999999986</v>
      </c>
      <c r="E10" s="23">
        <f>E8+E9</f>
        <v>-86.483</v>
      </c>
      <c r="F10" s="23">
        <f>F8+F9</f>
        <v>-131.79899999999998</v>
      </c>
      <c r="G10" s="23">
        <f>G8+G9</f>
        <v>-134.502</v>
      </c>
      <c r="H10" s="23">
        <f>H8+H9</f>
        <v>-166.00000000000003</v>
      </c>
      <c r="I10" s="23">
        <f>I8+I9</f>
        <v>-246.00000000000003</v>
      </c>
      <c r="J10" s="23">
        <f>J8+J9</f>
        <v>-378.0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-24.995</v>
      </c>
      <c r="C12" s="23" t="n">
        <v>-49.326</v>
      </c>
      <c r="D12" s="23" t="n">
        <v>-51</v>
      </c>
      <c r="E12" s="23" t="n">
        <v>-86.483</v>
      </c>
      <c r="F12" s="23" t="n">
        <v>-131.799</v>
      </c>
      <c r="G12" s="23" t="n">
        <v>-134.502</v>
      </c>
      <c r="H12" s="23" t="n">
        <v>-166</v>
      </c>
      <c r="I12" s="23" t="n">
        <v>-246</v>
      </c>
      <c r="J12" s="23" t="n">
        <v>-378</v>
      </c>
      <c r="K12" s="1" t="n"/>
    </row>
    <row r="13">
      <c r="A13" s="2" t="inlineStr">
        <is>
          <t>Earnings per Share</t>
        </is>
      </c>
      <c r="B13" s="11">
        <f>IFERROR(B12/B14,0)</f>
        <v>-15.296817625458997</v>
      </c>
      <c r="C13" s="11">
        <f>IFERROR(C12/C14,0)</f>
        <v>-3.1508144362823383</v>
      </c>
      <c r="D13" s="11">
        <f>IFERROR(D12/D14,0)</f>
        <v>-1.8519863461398793</v>
      </c>
      <c r="E13" s="11">
        <f>IFERROR(E12/E14,0)</f>
        <v>-2.8139194377562307</v>
      </c>
      <c r="F13" s="11">
        <f>IFERROR(F12/F14,0)</f>
        <v>-3.5900795380257136</v>
      </c>
      <c r="G13" s="11">
        <f>IFERROR(G12/G14,0)</f>
        <v>-2.256290679728914</v>
      </c>
      <c r="H13" s="11">
        <f>IFERROR(H12/H14,0)</f>
        <v>-1.991673365568047</v>
      </c>
      <c r="I13" s="11">
        <f>IFERROR(I12/I14,0)</f>
        <v>-2.4639916664997297</v>
      </c>
      <c r="J13" s="11">
        <f>IFERROR(J12/J14,0)</f>
        <v>-3.295524886443885</v>
      </c>
    </row>
    <row r="14">
      <c r="A14" s="2" t="inlineStr">
        <is>
          <t>Shares</t>
        </is>
      </c>
      <c r="B14" s="23" t="n">
        <v>1.634</v>
      </c>
      <c r="C14" s="23" t="n">
        <v>15.655</v>
      </c>
      <c r="D14" s="23" t="n">
        <v>27.538</v>
      </c>
      <c r="E14" s="23" t="n">
        <v>30.734</v>
      </c>
      <c r="F14" s="23" t="n">
        <v>36.712</v>
      </c>
      <c r="G14" s="23" t="n">
        <v>59.612</v>
      </c>
      <c r="H14" s="23" t="n">
        <v>83.34699999999999</v>
      </c>
      <c r="I14" s="23" t="n">
        <v>99.83799999999999</v>
      </c>
      <c r="J14" s="23" t="n">
        <v>114.701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-0.24834081592816715</v>
      </c>
      <c r="F16" s="15">
        <f>IFERROR(F2/E2-1,"")</f>
        <v>0.22158021164708153</v>
      </c>
      <c r="G16" s="15">
        <f>IFERROR(G2/F2-1,"")</f>
        <v>0.7640837585034013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-2.6616240484091347</v>
      </c>
      <c r="E18" s="15">
        <f>IFERROR(E8/E2,"")</f>
        <v>-5.640329805881971</v>
      </c>
      <c r="F18" s="15">
        <f>IFERROR(F8/F2,"")</f>
        <v>-6.9048150510204085</v>
      </c>
      <c r="G18" s="15">
        <f>IFERROR(G8/G2,"")</f>
        <v>-4.048142680685687</v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2026-10-21T01:04:05Z</dcterms:modified>
  <cp:lastModifiedBy>Wang, Eric</cp:lastModifiedBy>
</cp:coreProperties>
</file>