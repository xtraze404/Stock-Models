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Briacell Therapeutics Corp</t>
        </is>
      </c>
      <c r="C2" s="10" t="n"/>
    </row>
    <row r="3">
      <c r="B3" t="inlineStr">
        <is>
          <t>Price</t>
        </is>
      </c>
      <c r="C3" s="11">
        <f>INDEX([1]Pharma!$F$1:$F$1000,MATCH("BCTX",[1]Pharma!$B$1:$B$1000,0))</f>
        <v>3.46</v>
      </c>
      <c r="F3" s="1" t="n"/>
    </row>
    <row r="4">
      <c r="B4" t="inlineStr">
        <is>
          <t>Shares</t>
        </is>
      </c>
      <c r="C4" s="21" t="n">
        <v>8.699787000000001</v>
      </c>
      <c r="F4" s="1" t="n"/>
    </row>
    <row r="5">
      <c r="B5" t="inlineStr">
        <is>
          <t>Market Cap.</t>
        </is>
      </c>
      <c r="C5" s="13">
        <f>C3*C4</f>
        <v>30.10126302</v>
      </c>
      <c r="F5" s="1" t="n"/>
    </row>
    <row r="6"/>
    <row r="7">
      <c r="B7" t="inlineStr">
        <is>
          <t>Cash</t>
        </is>
      </c>
      <c r="C7" s="21">
        <f>6.880221+15.924204</f>
        <v>22.804425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7.296838020000003</v>
      </c>
    </row>
    <row r="10"/>
    <row r="11">
      <c r="B11" s="14" t="inlineStr">
        <is>
          <t>Net Cash / Share</t>
        </is>
      </c>
      <c r="C11" s="11">
        <f>(C7-C8)/C4</f>
        <v>2.6212624515979526</v>
      </c>
    </row>
    <row r="12">
      <c r="B12" s="14" t="inlineStr">
        <is>
          <t>Upside</t>
        </is>
      </c>
      <c r="C12" s="15">
        <f>IFERROR(C11/C3-1,"")</f>
        <v>-0.24240969606995588</v>
      </c>
    </row>
    <row r="13">
      <c r="B13" s="14" t="inlineStr">
        <is>
          <t>Cash / Share</t>
        </is>
      </c>
      <c r="C13" s="11">
        <f>IFERROR((C7-C8)/C4,"")</f>
        <v>2.6212624515979526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-30.825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0.7398029197080291</v>
      </c>
    </row>
    <row r="19">
      <c r="B19" s="14" t="inlineStr">
        <is>
          <t>Implied Pipeline Value</t>
        </is>
      </c>
      <c r="C19" s="13">
        <f>C9</f>
        <v>7.296838020000003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2.426</v>
      </c>
      <c r="D5" s="23" t="n">
        <v>2.021</v>
      </c>
      <c r="E5" s="23" t="n">
        <v>8.021000000000001</v>
      </c>
      <c r="F5" s="23" t="n">
        <v>15.337</v>
      </c>
      <c r="G5" s="23" t="n">
        <v>27.178</v>
      </c>
      <c r="H5" s="23" t="n">
        <v>21.271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4.394</v>
      </c>
      <c r="C6" s="23" t="n">
        <v>0.992</v>
      </c>
      <c r="D6" s="23" t="n">
        <v>4.955</v>
      </c>
      <c r="E6" s="23" t="n">
        <v>7.267</v>
      </c>
      <c r="F6" s="23" t="n">
        <v>7.936</v>
      </c>
      <c r="G6" s="23" t="n">
        <v>6.152</v>
      </c>
      <c r="H6" s="23" t="n">
        <v>5.934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4.394</v>
      </c>
      <c r="C7" s="23">
        <f>SUM(C5:C6)</f>
        <v>3.418</v>
      </c>
      <c r="D7" s="23">
        <f>SUM(D5:D6)</f>
        <v>6.976</v>
      </c>
      <c r="E7" s="23">
        <f>SUM(E5:E6)</f>
        <v>15.288</v>
      </c>
      <c r="F7" s="23">
        <f>SUM(F5:F6)</f>
        <v>23.273</v>
      </c>
      <c r="G7" s="23">
        <f>SUM(G5:G6)</f>
        <v>33.33</v>
      </c>
      <c r="H7" s="23">
        <f>SUM(H5:H6)</f>
        <v>27.205000000000002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-4.394</v>
      </c>
      <c r="C8" s="23">
        <f>C4-C7</f>
        <v>-3.418</v>
      </c>
      <c r="D8" s="23">
        <f>D4-D7</f>
        <v>-6.976</v>
      </c>
      <c r="E8" s="23">
        <f>E4-E7</f>
        <v>-15.288</v>
      </c>
      <c r="F8" s="23">
        <f>F4-F7</f>
        <v>-23.273</v>
      </c>
      <c r="G8" s="23">
        <f>G4-G7</f>
        <v>-33.33</v>
      </c>
      <c r="H8" s="23">
        <f>H4-H7</f>
        <v>-27.205000000000002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0.306</v>
      </c>
      <c r="C9" s="23" t="n">
        <v>-0.074</v>
      </c>
      <c r="D9" s="23" t="n">
        <v>-6.84</v>
      </c>
      <c r="E9" s="23" t="n">
        <v>-11.55</v>
      </c>
      <c r="F9" s="23" t="n">
        <v>2.97</v>
      </c>
      <c r="G9" s="23" t="n">
        <v>28.539</v>
      </c>
      <c r="H9" s="23" t="n">
        <v>0.893</v>
      </c>
    </row>
    <row r="10">
      <c r="A10" s="2" t="inlineStr">
        <is>
          <t>Pretax</t>
        </is>
      </c>
      <c r="B10" s="23">
        <f>B8+B9</f>
        <v>-4.088</v>
      </c>
      <c r="C10" s="23">
        <f>C8+C9</f>
        <v>-3.492</v>
      </c>
      <c r="D10" s="23">
        <f>D8+D9</f>
        <v>-13.815999999999999</v>
      </c>
      <c r="E10" s="23">
        <f>E8+E9</f>
        <v>-26.838</v>
      </c>
      <c r="F10" s="23">
        <f>F8+F9</f>
        <v>-20.303</v>
      </c>
      <c r="G10" s="23">
        <f>G8+G9</f>
        <v>-4.790999999999997</v>
      </c>
      <c r="H10" s="23">
        <f>H8+H9</f>
        <v>-26.312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-4.088</v>
      </c>
      <c r="C12" s="23" t="n">
        <v>-3.491</v>
      </c>
      <c r="D12" s="23" t="n">
        <v>-13.816</v>
      </c>
      <c r="E12" s="23" t="n">
        <v>-26.839</v>
      </c>
      <c r="F12" s="23" t="n">
        <v>-20.302</v>
      </c>
      <c r="G12" s="23" t="n">
        <v>-4.791</v>
      </c>
      <c r="H12" s="23" t="n">
        <v>-26.312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-1022.0</v>
      </c>
      <c r="C13" s="11">
        <f>IFERROR(C12/C14,0)</f>
        <v>-698.2</v>
      </c>
      <c r="D13" s="11">
        <f>IFERROR(D12/D14,0)</f>
        <v>-431.75</v>
      </c>
      <c r="E13" s="11">
        <f>IFERROR(E12/E14,0)</f>
        <v>-246.22935779816513</v>
      </c>
      <c r="F13" s="11">
        <f>IFERROR(F12/F14,0)</f>
        <v>-184.56363636363636</v>
      </c>
      <c r="G13" s="11">
        <f>IFERROR(G12/G14,0)</f>
        <v>-43.554545454545455</v>
      </c>
      <c r="H13" s="11">
        <f>IFERROR(H12/H14,0)</f>
        <v>-62.2033096926714</v>
      </c>
    </row>
    <row r="14">
      <c r="A14" s="2" t="inlineStr">
        <is>
          <t>Shares</t>
        </is>
      </c>
      <c r="B14" s="23" t="n">
        <v>0.004</v>
      </c>
      <c r="C14" s="23" t="n">
        <v>0.005</v>
      </c>
      <c r="D14" s="23" t="n">
        <v>0.032</v>
      </c>
      <c r="E14" s="23" t="n">
        <v>0.109</v>
      </c>
      <c r="F14" s="23" t="n">
        <v>0.11</v>
      </c>
      <c r="G14" s="23" t="n">
        <v>0.11</v>
      </c>
      <c r="H14" s="23" t="n">
        <v>0.423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2026-10-21T01:06:22Z</dcterms:modified>
  <cp:lastModifiedBy>Wang, Eric</cp:lastModifiedBy>
</cp:coreProperties>
</file>