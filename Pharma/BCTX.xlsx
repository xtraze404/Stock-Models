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Briacell Therapeutics Corp</t>
        </is>
      </c>
      <c r="C2" s="10" t="n"/>
    </row>
    <row r="3">
      <c r="B3" t="inlineStr">
        <is>
          <t>Price</t>
        </is>
      </c>
      <c r="C3" s="11">
        <f>INDEX([1]Pharma!$F$1:$F$1000,MATCH("BCTX",[1]Pharma!$B$1:$B$1000,0))</f>
        <v>3.46</v>
      </c>
      <c r="F3" s="1" t="n"/>
    </row>
    <row r="4">
      <c r="B4" t="inlineStr">
        <is>
          <t>Shares</t>
        </is>
      </c>
      <c r="C4" s="21" t="n">
        <v>8.699787000000001</v>
      </c>
      <c r="F4" s="1" t="n"/>
    </row>
    <row r="5">
      <c r="B5" t="inlineStr">
        <is>
          <t>Market Cap.</t>
        </is>
      </c>
      <c r="C5" s="13">
        <f>C3*C4</f>
        <v>30.10126302</v>
      </c>
      <c r="F5" s="1" t="n"/>
    </row>
    <row r="6"/>
    <row r="7">
      <c r="B7" t="inlineStr">
        <is>
          <t>Cash</t>
        </is>
      </c>
      <c r="C7" s="21">
        <f>6.880221+15.924204</f>
        <v>22.804425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7.296838020000003</v>
      </c>
    </row>
    <row r="10"/>
    <row r="11">
      <c r="B11" s="14" t="inlineStr">
        <is>
          <t>rNPV / Share</t>
        </is>
      </c>
      <c r="C11" s="11">
        <f>NPV!B27</f>
        <v>163.26343063575496</v>
      </c>
    </row>
    <row r="12">
      <c r="B12" s="14" t="inlineStr">
        <is>
          <t>Upside</t>
        </is>
      </c>
      <c r="C12" s="15">
        <f>IFERROR(C11/C3-1,"")</f>
        <v>46.18596261148987</v>
      </c>
    </row>
    <row r="13">
      <c r="B13" s="14" t="inlineStr">
        <is>
          <t>Cash / Share</t>
        </is>
      </c>
      <c r="C13" s="11">
        <f>IFERROR((C7-C8)/C4,"")</f>
        <v>2.6212624515979526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-30.825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0.7398029197080291</v>
      </c>
    </row>
    <row r="19">
      <c r="B19" s="14" t="inlineStr">
        <is>
          <t>Implied Pipeline Value</t>
        </is>
      </c>
      <c r="C19" s="13">
        <f>C9</f>
        <v>7.296838020000003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2.426</v>
      </c>
      <c r="D5" s="23" t="n">
        <v>2.021</v>
      </c>
      <c r="E5" s="23" t="n">
        <v>8.021000000000001</v>
      </c>
      <c r="F5" s="23" t="n">
        <v>15.337</v>
      </c>
      <c r="G5" s="23" t="n">
        <v>27.178</v>
      </c>
      <c r="H5" s="23" t="n">
        <v>21.271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4.394</v>
      </c>
      <c r="C6" s="23" t="n">
        <v>0.992</v>
      </c>
      <c r="D6" s="23" t="n">
        <v>4.955</v>
      </c>
      <c r="E6" s="23" t="n">
        <v>7.267</v>
      </c>
      <c r="F6" s="23" t="n">
        <v>7.936</v>
      </c>
      <c r="G6" s="23" t="n">
        <v>6.152</v>
      </c>
      <c r="H6" s="23" t="n">
        <v>5.934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4.394</v>
      </c>
      <c r="C7" s="23">
        <f>SUM(C5:C6)</f>
        <v>3.418</v>
      </c>
      <c r="D7" s="23">
        <f>SUM(D5:D6)</f>
        <v>6.976</v>
      </c>
      <c r="E7" s="23">
        <f>SUM(E5:E6)</f>
        <v>15.288</v>
      </c>
      <c r="F7" s="23">
        <f>SUM(F5:F6)</f>
        <v>23.273</v>
      </c>
      <c r="G7" s="23">
        <f>SUM(G5:G6)</f>
        <v>33.33</v>
      </c>
      <c r="H7" s="23">
        <f>SUM(H5:H6)</f>
        <v>27.205000000000002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-4.394</v>
      </c>
      <c r="C8" s="23">
        <f>C4-C7</f>
        <v>-3.418</v>
      </c>
      <c r="D8" s="23">
        <f>D4-D7</f>
        <v>-6.976</v>
      </c>
      <c r="E8" s="23">
        <f>E4-E7</f>
        <v>-15.288</v>
      </c>
      <c r="F8" s="23">
        <f>F4-F7</f>
        <v>-23.273</v>
      </c>
      <c r="G8" s="23">
        <f>G4-G7</f>
        <v>-33.33</v>
      </c>
      <c r="H8" s="23">
        <f>H4-H7</f>
        <v>-27.205000000000002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0.306</v>
      </c>
      <c r="C9" s="23" t="n">
        <v>-0.074</v>
      </c>
      <c r="D9" s="23" t="n">
        <v>-6.84</v>
      </c>
      <c r="E9" s="23" t="n">
        <v>-11.55</v>
      </c>
      <c r="F9" s="23" t="n">
        <v>2.97</v>
      </c>
      <c r="G9" s="23" t="n">
        <v>28.539</v>
      </c>
      <c r="H9" s="23" t="n">
        <v>0.893</v>
      </c>
    </row>
    <row r="10">
      <c r="A10" s="2" t="inlineStr">
        <is>
          <t>Pretax</t>
        </is>
      </c>
      <c r="B10" s="23">
        <f>B8+B9</f>
        <v>-4.088</v>
      </c>
      <c r="C10" s="23">
        <f>C8+C9</f>
        <v>-3.492</v>
      </c>
      <c r="D10" s="23">
        <f>D8+D9</f>
        <v>-13.815999999999999</v>
      </c>
      <c r="E10" s="23">
        <f>E8+E9</f>
        <v>-26.838</v>
      </c>
      <c r="F10" s="23">
        <f>F8+F9</f>
        <v>-20.303</v>
      </c>
      <c r="G10" s="23">
        <f>G8+G9</f>
        <v>-4.790999999999997</v>
      </c>
      <c r="H10" s="23">
        <f>H8+H9</f>
        <v>-26.312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-4.088</v>
      </c>
      <c r="C12" s="23" t="n">
        <v>-3.491</v>
      </c>
      <c r="D12" s="23" t="n">
        <v>-13.816</v>
      </c>
      <c r="E12" s="23" t="n">
        <v>-26.839</v>
      </c>
      <c r="F12" s="23" t="n">
        <v>-20.302</v>
      </c>
      <c r="G12" s="23" t="n">
        <v>-4.791</v>
      </c>
      <c r="H12" s="23" t="n">
        <v>-26.312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-1022.0</v>
      </c>
      <c r="C13" s="11">
        <f>IFERROR(C12/C14,0)</f>
        <v>-698.2</v>
      </c>
      <c r="D13" s="11">
        <f>IFERROR(D12/D14,0)</f>
        <v>-431.75</v>
      </c>
      <c r="E13" s="11">
        <f>IFERROR(E12/E14,0)</f>
        <v>-246.22935779816513</v>
      </c>
      <c r="F13" s="11">
        <f>IFERROR(F12/F14,0)</f>
        <v>-184.56363636363636</v>
      </c>
      <c r="G13" s="11">
        <f>IFERROR(G12/G14,0)</f>
        <v>-43.554545454545455</v>
      </c>
      <c r="H13" s="11">
        <f>IFERROR(H12/H14,0)</f>
        <v>-62.2033096926714</v>
      </c>
    </row>
    <row r="14">
      <c r="A14" s="2" t="inlineStr">
        <is>
          <t>Shares</t>
        </is>
      </c>
      <c r="B14" s="23" t="n">
        <v>0.004</v>
      </c>
      <c r="C14" s="23" t="n">
        <v>0.005</v>
      </c>
      <c r="D14" s="23" t="n">
        <v>0.032</v>
      </c>
      <c r="E14" s="23" t="n">
        <v>0.109</v>
      </c>
      <c r="F14" s="23" t="n">
        <v>0.11</v>
      </c>
      <c r="G14" s="23" t="n">
        <v>0.11</v>
      </c>
      <c r="H14" s="23" t="n">
        <v>0.423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Briacell Therapeutics Corp: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32.029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99.59999999999999</v>
      </c>
    </row>
    <row r="22">
      <c r="A22" s="14" t="inlineStr">
        <is>
          <t>First year, fraction after the balance sheet date</t>
        </is>
      </c>
      <c r="B22" s="28" t="n">
        <v>0.6712</v>
      </c>
    </row>
    <row r="23">
      <c r="A23" s="14" t="inlineStr">
        <is>
          <t>Balance sheet date</t>
        </is>
      </c>
      <c r="B23" s="41" t="n">
        <v>46142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1397.5526464203429</v>
      </c>
      <c r="C29" s="42">
        <f>NPV!B25</f>
        <v>1420.357071420343</v>
      </c>
      <c r="D29" s="43">
        <f>NPV!B27</f>
        <v>163.26343063575496</v>
      </c>
      <c r="E29" s="44">
        <f>NPV!B29</f>
        <v>46.18596261148987</v>
      </c>
    </row>
    <row r="30">
      <c r="A30" s="45" t="n">
        <v>1</v>
      </c>
      <c r="B30" s="46">
        <f t="dataTable" ref="B30:E32" r1="B4"/>
        <v>531.8743669450829</v>
      </c>
      <c r="C30" s="46">
        <v>554.6787919450829</v>
      </c>
      <c r="D30" s="47">
        <v>63.757743947648706</v>
      </c>
      <c r="E30" s="48">
        <v>17.427093626488066</v>
      </c>
    </row>
    <row r="31">
      <c r="A31" s="45" t="n">
        <v>2</v>
      </c>
      <c r="B31" s="46">
        <v>1397.5526464203429</v>
      </c>
      <c r="C31" s="46">
        <v>1420.357071420343</v>
      </c>
      <c r="D31" s="47">
        <v>163.26343063575496</v>
      </c>
      <c r="E31" s="48">
        <v>46.18596261148987</v>
      </c>
    </row>
    <row r="32">
      <c r="A32" s="45" t="n">
        <v>3</v>
      </c>
      <c r="B32" s="46">
        <v>2733.173721878755</v>
      </c>
      <c r="C32" s="46">
        <v>2755.9781468787546</v>
      </c>
      <c r="D32" s="47">
        <v>316.78685315844564</v>
      </c>
      <c r="E32" s="48">
        <v>90.55689397642938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163.26343063575496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45.96066957758979</v>
      </c>
      <c r="C37" s="47">
        <v>71.34870433517615</v>
      </c>
      <c r="D37" s="47">
        <v>96.66553233622999</v>
      </c>
      <c r="E37" s="47">
        <v>147.25970852461296</v>
      </c>
      <c r="F37" s="47">
        <v>197.82098517422597</v>
      </c>
    </row>
    <row r="38">
      <c r="A38" s="50" t="n">
        <v>0.8</v>
      </c>
      <c r="B38" s="47">
        <v>62.45188327680222</v>
      </c>
      <c r="C38" s="47">
        <v>96.23503069373716</v>
      </c>
      <c r="D38" s="47">
        <v>129.96448148599248</v>
      </c>
      <c r="E38" s="47">
        <v>197.39320226703626</v>
      </c>
      <c r="F38" s="47">
        <v>264.7332668780442</v>
      </c>
    </row>
    <row r="39">
      <c r="A39" s="50" t="n">
        <v>1</v>
      </c>
      <c r="B39" s="47">
        <v>78.93980365511672</v>
      </c>
      <c r="C39" s="47">
        <v>121.10161714543587</v>
      </c>
      <c r="D39" s="47">
        <v>163.26343063575496</v>
      </c>
      <c r="E39" s="47">
        <v>247.47046781810255</v>
      </c>
      <c r="F39" s="47">
        <v>331.6455485818626</v>
      </c>
    </row>
    <row r="40">
      <c r="A40" s="50" t="n">
        <v>1.2</v>
      </c>
      <c r="B40" s="47">
        <v>95.37402740875156</v>
      </c>
      <c r="C40" s="47">
        <v>145.96820359713453</v>
      </c>
      <c r="D40" s="47">
        <v>196.53763645265684</v>
      </c>
      <c r="E40" s="47">
        <v>297.54773336916884</v>
      </c>
      <c r="F40" s="47">
        <v>398.5578302856809</v>
      </c>
    </row>
    <row r="41">
      <c r="A41" s="50" t="n">
        <v>1.4</v>
      </c>
      <c r="B41" s="47">
        <v>111.80825116238644</v>
      </c>
      <c r="C41" s="47">
        <v>170.8347900488332</v>
      </c>
      <c r="D41" s="47">
        <v>229.7798858509711</v>
      </c>
      <c r="E41" s="47">
        <v>347.62499892023516</v>
      </c>
      <c r="F41" s="47">
        <v>465.4701119894991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Briacell Therapeutics Corp: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SV-BR-1-GM, Cyclophosphamide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1852.8904577458998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131.64000000000001</v>
      </c>
      <c r="Q4" s="23">
        <f>IF(Q$3&lt;$I4,0,$G4*Assumptions!$E$11*INDEX(Assumptions!$B$24:$G$24,MIN(6,Q$3-$I4+1))*IF(Q$3&gt;$J4,(1-Assumptions!$B$26)^(Q$3-$J4),1)*IF($H4&gt;=1,1,MIN(0.97,$H4*Assumptions!$E$12)))</f>
        <v>329.1</v>
      </c>
      <c r="R4" s="23">
        <f>IF(R$3&lt;$I4,0,$G4*Assumptions!$E$11*INDEX(Assumptions!$B$24:$G$24,MIN(6,R$3-$I4+1))*IF(R$3&gt;$J4,(1-Assumptions!$B$26)^(R$3-$J4),1)*IF($H4&gt;=1,1,MIN(0.97,$H4*Assumptions!$E$12)))</f>
        <v>592.38</v>
      </c>
      <c r="S4" s="23">
        <f>IF(S$3&lt;$I4,0,$G4*Assumptions!$E$11*INDEX(Assumptions!$B$24:$G$24,MIN(6,S$3-$I4+1))*IF(S$3&gt;$J4,(1-Assumptions!$B$26)^(S$3-$J4),1)*IF($H4&gt;=1,1,MIN(0.97,$H4*Assumptions!$E$12)))</f>
        <v>855.6600000000001</v>
      </c>
      <c r="T4" s="23">
        <f>IF(T$3&lt;$I4,0,$G4*Assumptions!$E$11*INDEX(Assumptions!$B$24:$G$24,MIN(6,T$3-$I4+1))*IF(T$3&gt;$J4,(1-Assumptions!$B$26)^(T$3-$J4),1)*IF($H4&gt;=1,1,MIN(0.97,$H4*Assumptions!$E$12)))</f>
        <v>1118.94</v>
      </c>
      <c r="U4" s="23">
        <f>IF(U$3&lt;$I4,0,$G4*Assumptions!$E$11*INDEX(Assumptions!$B$24:$G$24,MIN(6,U$3-$I4+1))*IF(U$3&gt;$J4,(1-Assumptions!$B$26)^(U$3-$J4),1)*IF($H4&gt;=1,1,MIN(0.97,$H4*Assumptions!$E$12)))</f>
        <v>1316.4</v>
      </c>
      <c r="V4" s="23">
        <f>IF(V$3&lt;$I4,0,$G4*Assumptions!$E$11*INDEX(Assumptions!$B$24:$G$24,MIN(6,V$3-$I4+1))*IF(V$3&gt;$J4,(1-Assumptions!$B$26)^(V$3-$J4),1)*IF($H4&gt;=1,1,MIN(0.97,$H4*Assumptions!$E$12)))</f>
        <v>1316.4</v>
      </c>
      <c r="W4" s="23">
        <f>IF(W$3&lt;$I4,0,$G4*Assumptions!$E$11*INDEX(Assumptions!$B$24:$G$24,MIN(6,W$3-$I4+1))*IF(W$3&gt;$J4,(1-Assumptions!$B$26)^(W$3-$J4),1)*IF($H4&gt;=1,1,MIN(0.97,$H4*Assumptions!$E$12)))</f>
        <v>1316.4</v>
      </c>
      <c r="X4" s="23">
        <f>IF(X$3&lt;$I4,0,$G4*Assumptions!$E$11*INDEX(Assumptions!$B$24:$G$24,MIN(6,X$3-$I4+1))*IF(X$3&gt;$J4,(1-Assumptions!$B$26)^(X$3-$J4),1)*IF($H4&gt;=1,1,MIN(0.97,$H4*Assumptions!$E$12)))</f>
        <v>1316.4</v>
      </c>
      <c r="Y4" s="23">
        <f>IF(Y$3&lt;$I4,0,$G4*Assumptions!$E$11*INDEX(Assumptions!$B$24:$G$24,MIN(6,Y$3-$I4+1))*IF(Y$3&gt;$J4,(1-Assumptions!$B$26)^(Y$3-$J4),1)*IF($H4&gt;=1,1,MIN(0.97,$H4*Assumptions!$E$12)))</f>
        <v>1316.4</v>
      </c>
      <c r="Z4" s="23">
        <f>IF(Z$3&lt;$I4,0,$G4*Assumptions!$E$11*INDEX(Assumptions!$B$24:$G$24,MIN(6,Z$3-$I4+1))*IF(Z$3&gt;$J4,(1-Assumptions!$B$26)^(Z$3-$J4),1)*IF($H4&gt;=1,1,MIN(0.97,$H4*Assumptions!$E$12)))</f>
        <v>1316.4</v>
      </c>
      <c r="AA4" s="23">
        <f>IF(AA$3&lt;$I4,0,$G4*Assumptions!$E$11*INDEX(Assumptions!$B$24:$G$24,MIN(6,AA$3-$I4+1))*IF(AA$3&gt;$J4,(1-Assumptions!$B$26)^(AA$3-$J4),1)*IF($H4&gt;=1,1,MIN(0.97,$H4*Assumptions!$E$12)))</f>
        <v>1316.4</v>
      </c>
      <c r="AB4" s="23">
        <f>IF(AB$3&lt;$I4,0,$G4*Assumptions!$E$11*INDEX(Assumptions!$B$24:$G$24,MIN(6,AB$3-$I4+1))*IF(AB$3&gt;$J4,(1-Assumptions!$B$26)^(AB$3-$J4),1)*IF($H4&gt;=1,1,MIN(0.97,$H4*Assumptions!$E$12)))</f>
        <v>1316.4</v>
      </c>
      <c r="AC4" s="23">
        <f>IF(AC$3&lt;$I4,0,$G4*Assumptions!$E$11*INDEX(Assumptions!$B$24:$G$24,MIN(6,AC$3-$I4+1))*IF(AC$3&gt;$J4,(1-Assumptions!$B$26)^(AC$3-$J4),1)*IF($H4&gt;=1,1,MIN(0.97,$H4*Assumptions!$E$12)))</f>
        <v>658.2</v>
      </c>
      <c r="AD4" s="23">
        <f>IF(AD$3&lt;$I4,0,$G4*Assumptions!$E$11*INDEX(Assumptions!$B$24:$G$24,MIN(6,AD$3-$I4+1))*IF(AD$3&gt;$J4,(1-Assumptions!$B$26)^(AD$3-$J4),1)*IF($H4&gt;=1,1,MIN(0.97,$H4*Assumptions!$E$12)))</f>
        <v>329.1</v>
      </c>
      <c r="AE4" s="23">
        <f>IF(AE$3&lt;$I4,0,$G4*Assumptions!$E$11*INDEX(Assumptions!$B$24:$G$24,MIN(6,AE$3-$I4+1))*IF(AE$3&gt;$J4,(1-Assumptions!$B$26)^(AE$3-$J4),1)*IF($H4&gt;=1,1,MIN(0.97,$H4*Assumptions!$E$12)))</f>
        <v>164.55</v>
      </c>
      <c r="AF4" s="23">
        <f>IF(AF$3&lt;$I4,0,$G4*Assumptions!$E$11*INDEX(Assumptions!$B$24:$G$24,MIN(6,AF$3-$I4+1))*IF(AF$3&gt;$J4,(1-Assumptions!$B$26)^(AF$3-$J4),1)*IF($H4&gt;=1,1,MIN(0.97,$H4*Assumptions!$E$12)))</f>
        <v>82.275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1852.8904577458998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131.64000000000001</v>
      </c>
      <c r="Q5" s="54">
        <f>SUM(Q4:Q4)</f>
        <v>329.1</v>
      </c>
      <c r="R5" s="54">
        <f>SUM(R4:R4)</f>
        <v>592.38</v>
      </c>
      <c r="S5" s="54">
        <f>SUM(S4:S4)</f>
        <v>855.6600000000001</v>
      </c>
      <c r="T5" s="54">
        <f>SUM(T4:T4)</f>
        <v>1118.94</v>
      </c>
      <c r="U5" s="54">
        <f>SUM(U4:U4)</f>
        <v>1316.4</v>
      </c>
      <c r="V5" s="54">
        <f>SUM(V4:V4)</f>
        <v>1316.4</v>
      </c>
      <c r="W5" s="54">
        <f>SUM(W4:W4)</f>
        <v>1316.4</v>
      </c>
      <c r="X5" s="54">
        <f>SUM(X4:X4)</f>
        <v>1316.4</v>
      </c>
      <c r="Y5" s="54">
        <f>SUM(Y4:Y4)</f>
        <v>1316.4</v>
      </c>
      <c r="Z5" s="54">
        <f>SUM(Z4:Z4)</f>
        <v>1316.4</v>
      </c>
      <c r="AA5" s="54">
        <f>SUM(AA4:AA4)</f>
        <v>1316.4</v>
      </c>
      <c r="AB5" s="54">
        <f>SUM(AB4:AB4)</f>
        <v>1316.4</v>
      </c>
      <c r="AC5" s="54">
        <f>SUM(AC4:AC4)</f>
        <v>658.2</v>
      </c>
      <c r="AD5" s="54">
        <f>SUM(AD4:AD4)</f>
        <v>329.1</v>
      </c>
      <c r="AE5" s="54">
        <f>SUM(AE4:AE4)</f>
        <v>164.55</v>
      </c>
      <c r="AF5" s="54">
        <f>SUM(AF4:AF4)</f>
        <v>82.275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52.656000000000006</v>
      </c>
      <c r="Q6" s="55">
        <f>SUMPRODUCT(Q4:Q4,$K$4:$K$4)</f>
        <v>131.64000000000001</v>
      </c>
      <c r="R6" s="55">
        <f>SUMPRODUCT(R4:R4,$K$4:$K$4)</f>
        <v>236.952</v>
      </c>
      <c r="S6" s="55">
        <f>SUMPRODUCT(S4:S4,$K$4:$K$4)</f>
        <v>342.26400000000007</v>
      </c>
      <c r="T6" s="55">
        <f>SUMPRODUCT(T4:T4,$K$4:$K$4)</f>
        <v>447.576</v>
      </c>
      <c r="U6" s="55">
        <f>SUMPRODUCT(U4:U4,$K$4:$K$4)</f>
        <v>526.5600000000001</v>
      </c>
      <c r="V6" s="55">
        <f>SUMPRODUCT(V4:V4,$K$4:$K$4)</f>
        <v>526.5600000000001</v>
      </c>
      <c r="W6" s="55">
        <f>SUMPRODUCT(W4:W4,$K$4:$K$4)</f>
        <v>526.5600000000001</v>
      </c>
      <c r="X6" s="55">
        <f>SUMPRODUCT(X4:X4,$K$4:$K$4)</f>
        <v>526.5600000000001</v>
      </c>
      <c r="Y6" s="55">
        <f>SUMPRODUCT(Y4:Y4,$K$4:$K$4)</f>
        <v>526.5600000000001</v>
      </c>
      <c r="Z6" s="55">
        <f>SUMPRODUCT(Z4:Z4,$K$4:$K$4)</f>
        <v>526.5600000000001</v>
      </c>
      <c r="AA6" s="55">
        <f>SUMPRODUCT(AA4:AA4,$K$4:$K$4)</f>
        <v>526.5600000000001</v>
      </c>
      <c r="AB6" s="55">
        <f>SUMPRODUCT(AB4:AB4,$K$4:$K$4)</f>
        <v>526.5600000000001</v>
      </c>
      <c r="AC6" s="55">
        <f>SUMPRODUCT(AC4:AC4,$K$4:$K$4)</f>
        <v>263.28000000000003</v>
      </c>
      <c r="AD6" s="55">
        <f>SUMPRODUCT(AD4:AD4,$K$4:$K$4)</f>
        <v>131.64000000000001</v>
      </c>
      <c r="AE6" s="55">
        <f>SUMPRODUCT(AE4:AE4,$K$4:$K$4)</f>
        <v>65.82000000000001</v>
      </c>
      <c r="AF6" s="55">
        <f>SUMPRODUCT(AF4:AF4,$K$4:$K$4)</f>
        <v>32.910000000000004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Briacell Therapeutics Corp: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131.64000000000001</v>
      </c>
      <c r="G4" s="57">
        <f>Pipeline!Q5</f>
        <v>329.1</v>
      </c>
      <c r="H4" s="57">
        <f>Pipeline!R5</f>
        <v>592.38</v>
      </c>
      <c r="I4" s="57">
        <f>Pipeline!S5</f>
        <v>855.6600000000001</v>
      </c>
      <c r="J4" s="57">
        <f>Pipeline!T5</f>
        <v>1118.94</v>
      </c>
      <c r="K4" s="57">
        <f>Pipeline!U5</f>
        <v>1316.4</v>
      </c>
      <c r="L4" s="57">
        <f>Pipeline!V5</f>
        <v>1316.4</v>
      </c>
      <c r="M4" s="57">
        <f>Pipeline!W5</f>
        <v>1316.4</v>
      </c>
      <c r="N4" s="57">
        <f>Pipeline!X5</f>
        <v>1316.4</v>
      </c>
      <c r="O4" s="57">
        <f>Pipeline!Y5</f>
        <v>1316.4</v>
      </c>
      <c r="P4" s="57">
        <f>Pipeline!Z5</f>
        <v>1316.4</v>
      </c>
      <c r="Q4" s="57">
        <f>Pipeline!AA5</f>
        <v>1316.4</v>
      </c>
      <c r="R4" s="57">
        <f>Pipeline!AB5</f>
        <v>1316.4</v>
      </c>
      <c r="S4" s="57">
        <f>Pipeline!AC5</f>
        <v>658.2</v>
      </c>
      <c r="T4" s="57">
        <f>Pipeline!AD5</f>
        <v>329.1</v>
      </c>
      <c r="U4" s="57">
        <f>Pipeline!AE5</f>
        <v>164.55</v>
      </c>
      <c r="V4" s="57">
        <f>Pipeline!AF5</f>
        <v>82.275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52.656000000000006</v>
      </c>
      <c r="G5" s="57">
        <f>Pipeline!Q6</f>
        <v>131.64000000000001</v>
      </c>
      <c r="H5" s="57">
        <f>Pipeline!R6</f>
        <v>236.952</v>
      </c>
      <c r="I5" s="57">
        <f>Pipeline!S6</f>
        <v>342.26400000000007</v>
      </c>
      <c r="J5" s="57">
        <f>Pipeline!T6</f>
        <v>447.576</v>
      </c>
      <c r="K5" s="57">
        <f>Pipeline!U6</f>
        <v>526.5600000000001</v>
      </c>
      <c r="L5" s="57">
        <f>Pipeline!V6</f>
        <v>526.5600000000001</v>
      </c>
      <c r="M5" s="57">
        <f>Pipeline!W6</f>
        <v>526.5600000000001</v>
      </c>
      <c r="N5" s="57">
        <f>Pipeline!X6</f>
        <v>526.5600000000001</v>
      </c>
      <c r="O5" s="57">
        <f>Pipeline!Y6</f>
        <v>526.5600000000001</v>
      </c>
      <c r="P5" s="57">
        <f>Pipeline!Z6</f>
        <v>526.5600000000001</v>
      </c>
      <c r="Q5" s="57">
        <f>Pipeline!AA6</f>
        <v>526.5600000000001</v>
      </c>
      <c r="R5" s="57">
        <f>Pipeline!AB6</f>
        <v>526.5600000000001</v>
      </c>
      <c r="S5" s="57">
        <f>Pipeline!AC6</f>
        <v>263.28000000000003</v>
      </c>
      <c r="T5" s="57">
        <f>Pipeline!AD6</f>
        <v>131.64000000000001</v>
      </c>
      <c r="U5" s="57">
        <f>Pipeline!AE6</f>
        <v>65.82000000000001</v>
      </c>
      <c r="V5" s="57">
        <f>Pipeline!AF6</f>
        <v>32.910000000000004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-32.029</v>
      </c>
      <c r="D6" s="23">
        <f>-IF(D3-2026&lt;Assumptions!$B$19,Assumptions!$B$18,Assumptions!$B$18*Assumptions!$B$20*Assumptions!$B$16)</f>
        <v>-32.029</v>
      </c>
      <c r="E6" s="23">
        <f>-IF(E3-2026&lt;Assumptions!$B$19,Assumptions!$B$18,Assumptions!$B$18*Assumptions!$B$20*Assumptions!$B$16)</f>
        <v>-32.029</v>
      </c>
      <c r="F6" s="23">
        <f>-IF(F3-2026&lt;Assumptions!$B$19,Assumptions!$B$18,Assumptions!$B$18*Assumptions!$B$20*Assumptions!$B$16)</f>
        <v>-4.216297560000001</v>
      </c>
      <c r="G6" s="23">
        <f>-IF(G3-2026&lt;Assumptions!$B$19,Assumptions!$B$18,Assumptions!$B$18*Assumptions!$B$20*Assumptions!$B$16)</f>
        <v>-4.216297560000001</v>
      </c>
      <c r="H6" s="23">
        <f>-IF(H3-2026&lt;Assumptions!$B$19,Assumptions!$B$18,Assumptions!$B$18*Assumptions!$B$20*Assumptions!$B$16)</f>
        <v>-4.216297560000001</v>
      </c>
      <c r="I6" s="23">
        <f>-IF(I3-2026&lt;Assumptions!$B$19,Assumptions!$B$18,Assumptions!$B$18*Assumptions!$B$20*Assumptions!$B$16)</f>
        <v>-4.216297560000001</v>
      </c>
      <c r="J6" s="23">
        <f>-IF(J3-2026&lt;Assumptions!$B$19,Assumptions!$B$18,Assumptions!$B$18*Assumptions!$B$20*Assumptions!$B$16)</f>
        <v>-4.216297560000001</v>
      </c>
      <c r="K6" s="23">
        <f>-IF(K3-2026&lt;Assumptions!$B$19,Assumptions!$B$18,Assumptions!$B$18*Assumptions!$B$20*Assumptions!$B$16)</f>
        <v>-4.216297560000001</v>
      </c>
      <c r="L6" s="23">
        <f>-IF(L3-2026&lt;Assumptions!$B$19,Assumptions!$B$18,Assumptions!$B$18*Assumptions!$B$20*Assumptions!$B$16)</f>
        <v>-4.216297560000001</v>
      </c>
      <c r="M6" s="23">
        <f>-IF(M3-2026&lt;Assumptions!$B$19,Assumptions!$B$18,Assumptions!$B$18*Assumptions!$B$20*Assumptions!$B$16)</f>
        <v>-4.216297560000001</v>
      </c>
      <c r="N6" s="23">
        <f>-IF(N3-2026&lt;Assumptions!$B$19,Assumptions!$B$18,Assumptions!$B$18*Assumptions!$B$20*Assumptions!$B$16)</f>
        <v>-4.216297560000001</v>
      </c>
      <c r="O6" s="23">
        <f>-IF(O3-2026&lt;Assumptions!$B$19,Assumptions!$B$18,Assumptions!$B$18*Assumptions!$B$20*Assumptions!$B$16)</f>
        <v>-4.216297560000001</v>
      </c>
      <c r="P6" s="23">
        <f>-IF(P3-2026&lt;Assumptions!$B$19,Assumptions!$B$18,Assumptions!$B$18*Assumptions!$B$20*Assumptions!$B$16)</f>
        <v>-4.216297560000001</v>
      </c>
      <c r="Q6" s="23">
        <f>-IF(Q3-2026&lt;Assumptions!$B$19,Assumptions!$B$18,Assumptions!$B$18*Assumptions!$B$20*Assumptions!$B$16)</f>
        <v>-4.216297560000001</v>
      </c>
      <c r="R6" s="23">
        <f>-IF(R3-2026&lt;Assumptions!$B$19,Assumptions!$B$18,Assumptions!$B$18*Assumptions!$B$20*Assumptions!$B$16)</f>
        <v>-4.216297560000001</v>
      </c>
      <c r="S6" s="23">
        <f>-IF(S3-2026&lt;Assumptions!$B$19,Assumptions!$B$18,Assumptions!$B$18*Assumptions!$B$20*Assumptions!$B$16)</f>
        <v>-4.216297560000001</v>
      </c>
      <c r="T6" s="23">
        <f>-IF(T3-2026&lt;Assumptions!$B$19,Assumptions!$B$18,Assumptions!$B$18*Assumptions!$B$20*Assumptions!$B$16)</f>
        <v>-4.216297560000001</v>
      </c>
      <c r="U6" s="23">
        <f>-IF(U3-2026&lt;Assumptions!$B$19,Assumptions!$B$18,Assumptions!$B$18*Assumptions!$B$20*Assumptions!$B$16)</f>
        <v>-4.216297560000001</v>
      </c>
      <c r="V6" s="23">
        <f>-IF(V3-2026&lt;Assumptions!$B$19,Assumptions!$B$18,Assumptions!$B$18*Assumptions!$B$20*Assumptions!$B$16)</f>
        <v>-4.216297560000001</v>
      </c>
    </row>
    <row r="7">
      <c r="A7" s="14" t="inlineStr">
        <is>
          <t>Pre-tax cash flow</t>
        </is>
      </c>
      <c r="C7" s="23">
        <f>C5+C6</f>
        <v>-32.029</v>
      </c>
      <c r="D7" s="23">
        <f>D5+D6</f>
        <v>-32.029</v>
      </c>
      <c r="E7" s="23">
        <f>E5+E6</f>
        <v>-32.029</v>
      </c>
      <c r="F7" s="23">
        <f>F5+F6</f>
        <v>48.439702440000005</v>
      </c>
      <c r="G7" s="23">
        <f>G5+G6</f>
        <v>127.42370244000001</v>
      </c>
      <c r="H7" s="23">
        <f>H5+H6</f>
        <v>232.73570244</v>
      </c>
      <c r="I7" s="23">
        <f>I5+I6</f>
        <v>338.0477024400001</v>
      </c>
      <c r="J7" s="23">
        <f>J5+J6</f>
        <v>443.35970244000004</v>
      </c>
      <c r="K7" s="23">
        <f>K5+K6</f>
        <v>522.34370244</v>
      </c>
      <c r="L7" s="23">
        <f>L5+L6</f>
        <v>522.34370244</v>
      </c>
      <c r="M7" s="23">
        <f>M5+M6</f>
        <v>522.34370244</v>
      </c>
      <c r="N7" s="23">
        <f>N5+N6</f>
        <v>522.34370244</v>
      </c>
      <c r="O7" s="23">
        <f>O5+O6</f>
        <v>522.34370244</v>
      </c>
      <c r="P7" s="23">
        <f>P5+P6</f>
        <v>522.34370244</v>
      </c>
      <c r="Q7" s="23">
        <f>Q5+Q6</f>
        <v>522.34370244</v>
      </c>
      <c r="R7" s="23">
        <f>R5+R6</f>
        <v>522.34370244</v>
      </c>
      <c r="S7" s="23">
        <f>S5+S6</f>
        <v>259.06370244000004</v>
      </c>
      <c r="T7" s="23">
        <f>T5+T6</f>
        <v>127.42370244000001</v>
      </c>
      <c r="U7" s="23">
        <f>U5+U6</f>
        <v>61.603702440000006</v>
      </c>
      <c r="V7" s="23">
        <f>V5+V6</f>
        <v>28.693702440000003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48.439702440000005</v>
      </c>
      <c r="G8" s="23">
        <f>MIN(F17,MAX(0,G7))</f>
        <v>127.42370244000001</v>
      </c>
      <c r="H8" s="23">
        <f>MIN(G17,MAX(0,H7))</f>
        <v>19.82359511999998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212.91210732000002</v>
      </c>
      <c r="I9" s="23">
        <f>MAX(0,I7)-I8</f>
        <v>338.0477024400001</v>
      </c>
      <c r="J9" s="23">
        <f>MAX(0,J7)-J8</f>
        <v>443.35970244000004</v>
      </c>
      <c r="K9" s="23">
        <f>MAX(0,K7)-K8</f>
        <v>522.34370244</v>
      </c>
      <c r="L9" s="23">
        <f>MAX(0,L7)-L8</f>
        <v>522.34370244</v>
      </c>
      <c r="M9" s="23">
        <f>MAX(0,M7)-M8</f>
        <v>522.34370244</v>
      </c>
      <c r="N9" s="23">
        <f>MAX(0,N7)-N8</f>
        <v>522.34370244</v>
      </c>
      <c r="O9" s="23">
        <f>MAX(0,O7)-O8</f>
        <v>522.34370244</v>
      </c>
      <c r="P9" s="23">
        <f>MAX(0,P7)-P8</f>
        <v>522.34370244</v>
      </c>
      <c r="Q9" s="23">
        <f>MAX(0,Q7)-Q8</f>
        <v>522.34370244</v>
      </c>
      <c r="R9" s="23">
        <f>MAX(0,R7)-R8</f>
        <v>522.34370244</v>
      </c>
      <c r="S9" s="23">
        <f>MAX(0,S7)-S8</f>
        <v>259.06370244000004</v>
      </c>
      <c r="T9" s="23">
        <f>MAX(0,T7)-T8</f>
        <v>127.42370244000001</v>
      </c>
      <c r="U9" s="23">
        <f>MAX(0,U7)-U8</f>
        <v>61.603702440000006</v>
      </c>
      <c r="V9" s="23">
        <f>MAX(0,V7)-V8</f>
        <v>28.693702440000003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44.7115425372</v>
      </c>
      <c r="I10" s="23">
        <f>I9*Assumptions!$E$15</f>
        <v>70.99001751240002</v>
      </c>
      <c r="J10" s="23">
        <f>J9*Assumptions!$E$15</f>
        <v>93.1055375124</v>
      </c>
      <c r="K10" s="23">
        <f>K9*Assumptions!$E$15</f>
        <v>109.6921775124</v>
      </c>
      <c r="L10" s="23">
        <f>L9*Assumptions!$E$15</f>
        <v>109.6921775124</v>
      </c>
      <c r="M10" s="23">
        <f>M9*Assumptions!$E$15</f>
        <v>109.6921775124</v>
      </c>
      <c r="N10" s="23">
        <f>N9*Assumptions!$E$15</f>
        <v>109.6921775124</v>
      </c>
      <c r="O10" s="23">
        <f>O9*Assumptions!$E$15</f>
        <v>109.6921775124</v>
      </c>
      <c r="P10" s="23">
        <f>P9*Assumptions!$E$15</f>
        <v>109.6921775124</v>
      </c>
      <c r="Q10" s="23">
        <f>Q9*Assumptions!$E$15</f>
        <v>109.6921775124</v>
      </c>
      <c r="R10" s="23">
        <f>R9*Assumptions!$E$15</f>
        <v>109.6921775124</v>
      </c>
      <c r="S10" s="23">
        <f>S9*Assumptions!$E$15</f>
        <v>54.403377512400006</v>
      </c>
      <c r="T10" s="23">
        <f>T9*Assumptions!$E$15</f>
        <v>26.7589775124</v>
      </c>
      <c r="U10" s="23">
        <f>U9*Assumptions!$E$15</f>
        <v>12.9367775124</v>
      </c>
      <c r="V10" s="23">
        <f>V9*Assumptions!$E$15</f>
        <v>6.025677512400001</v>
      </c>
    </row>
    <row r="11">
      <c r="A11" s="24" t="inlineStr">
        <is>
          <t>Free cash flow</t>
        </is>
      </c>
      <c r="C11" s="55">
        <f>C7-C10</f>
        <v>-32.029</v>
      </c>
      <c r="D11" s="55">
        <f>D7-D10</f>
        <v>-32.029</v>
      </c>
      <c r="E11" s="55">
        <f>E7-E10</f>
        <v>-32.029</v>
      </c>
      <c r="F11" s="55">
        <f>F7-F10</f>
        <v>48.439702440000005</v>
      </c>
      <c r="G11" s="55">
        <f>G7-G10</f>
        <v>127.42370244000001</v>
      </c>
      <c r="H11" s="55">
        <f>H7-H10</f>
        <v>188.02415990280002</v>
      </c>
      <c r="I11" s="55">
        <f>I7-I10</f>
        <v>267.05768492760006</v>
      </c>
      <c r="J11" s="55">
        <f>J7-J10</f>
        <v>350.2541649276</v>
      </c>
      <c r="K11" s="55">
        <f>K7-K10</f>
        <v>412.6515249276</v>
      </c>
      <c r="L11" s="55">
        <f>L7-L10</f>
        <v>412.6515249276</v>
      </c>
      <c r="M11" s="55">
        <f>M7-M10</f>
        <v>412.6515249276</v>
      </c>
      <c r="N11" s="55">
        <f>N7-N10</f>
        <v>412.6515249276</v>
      </c>
      <c r="O11" s="55">
        <f>O7-O10</f>
        <v>412.6515249276</v>
      </c>
      <c r="P11" s="55">
        <f>P7-P10</f>
        <v>412.6515249276</v>
      </c>
      <c r="Q11" s="55">
        <f>Q7-Q10</f>
        <v>412.6515249276</v>
      </c>
      <c r="R11" s="55">
        <f>R7-R10</f>
        <v>412.6515249276</v>
      </c>
      <c r="S11" s="55">
        <f>S7-S10</f>
        <v>204.66032492760004</v>
      </c>
      <c r="T11" s="55">
        <f>T7-T10</f>
        <v>100.66472492760002</v>
      </c>
      <c r="U11" s="55">
        <f>U7-U10</f>
        <v>48.66692492760001</v>
      </c>
      <c r="V11" s="55">
        <f>V7-V10</f>
        <v>22.6680249276</v>
      </c>
    </row>
    <row r="12">
      <c r="A12" s="14" t="inlineStr">
        <is>
          <t>Year fraction</t>
        </is>
      </c>
      <c r="C12" s="58">
        <f>Assumptions!$B$22</f>
        <v>0.6712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0.3356</v>
      </c>
      <c r="D13" s="11">
        <f>C13+C12/2+D12/2</f>
        <v>1.1712</v>
      </c>
      <c r="E13" s="11">
        <f>D13+D12/2+E12/2</f>
        <v>2.1712</v>
      </c>
      <c r="F13" s="11">
        <f>E13+E12/2+F12/2</f>
        <v>3.1712</v>
      </c>
      <c r="G13" s="11">
        <f>F13+F12/2+G12/2</f>
        <v>4.1712</v>
      </c>
      <c r="H13" s="11">
        <f>G13+G12/2+H12/2</f>
        <v>5.1712</v>
      </c>
      <c r="I13" s="11">
        <f>H13+H12/2+I12/2</f>
        <v>6.1712</v>
      </c>
      <c r="J13" s="11">
        <f>I13+I12/2+J12/2</f>
        <v>7.1712</v>
      </c>
      <c r="K13" s="11">
        <f>J13+J12/2+K12/2</f>
        <v>8.171199999999999</v>
      </c>
      <c r="L13" s="11">
        <f>K13+K12/2+L12/2</f>
        <v>9.171199999999999</v>
      </c>
      <c r="M13" s="11">
        <f>L13+L12/2+M12/2</f>
        <v>10.171199999999999</v>
      </c>
      <c r="N13" s="11">
        <f>M13+M12/2+N12/2</f>
        <v>11.171199999999999</v>
      </c>
      <c r="O13" s="11">
        <f>N13+N12/2+O12/2</f>
        <v>12.171199999999999</v>
      </c>
      <c r="P13" s="11">
        <f>O13+O12/2+P12/2</f>
        <v>13.171199999999999</v>
      </c>
      <c r="Q13" s="11">
        <f>P13+P12/2+Q12/2</f>
        <v>14.171199999999999</v>
      </c>
      <c r="R13" s="11">
        <f>Q13+Q12/2+R12/2</f>
        <v>15.171199999999999</v>
      </c>
      <c r="S13" s="11">
        <f>R13+R12/2+S12/2</f>
        <v>16.1712</v>
      </c>
      <c r="T13" s="11">
        <f>S13+S12/2+T12/2</f>
        <v>17.1712</v>
      </c>
      <c r="U13" s="11">
        <f>T13+T12/2+U12/2</f>
        <v>18.1712</v>
      </c>
      <c r="V13" s="11">
        <f>U13+U12/2+V12/2</f>
        <v>19.1712</v>
      </c>
    </row>
    <row r="14">
      <c r="A14" s="14" t="inlineStr">
        <is>
          <t>Discount factor</t>
        </is>
      </c>
      <c r="C14" s="59">
        <f>1/(1+Assumptions!$E$10)^C13</f>
        <v>0.9626810690845582</v>
      </c>
      <c r="D14" s="59">
        <f>1/(1+Assumptions!$E$10)^D13</f>
        <v>0.8757010125045376</v>
      </c>
      <c r="E14" s="59">
        <f>1/(1+Assumptions!$E$10)^E13</f>
        <v>0.7818759040219084</v>
      </c>
      <c r="F14" s="59">
        <f>1/(1+Assumptions!$E$10)^F13</f>
        <v>0.6981034857338467</v>
      </c>
      <c r="G14" s="59">
        <f>1/(1+Assumptions!$E$10)^G13</f>
        <v>0.6233066836909346</v>
      </c>
      <c r="H14" s="59">
        <f>1/(1+Assumptions!$E$10)^H13</f>
        <v>0.5565238247240487</v>
      </c>
      <c r="I14" s="59">
        <f>1/(1+Assumptions!$E$10)^I13</f>
        <v>0.4968962720750434</v>
      </c>
      <c r="J14" s="59">
        <f>1/(1+Assumptions!$E$10)^J13</f>
        <v>0.4436573857812887</v>
      </c>
      <c r="K14" s="59">
        <f>1/(1+Assumptions!$E$10)^K13</f>
        <v>0.3961226658761507</v>
      </c>
      <c r="L14" s="59">
        <f>1/(1+Assumptions!$E$10)^L13</f>
        <v>0.3536809516751345</v>
      </c>
      <c r="M14" s="59">
        <f>1/(1+Assumptions!$E$10)^M13</f>
        <v>0.31578656399565574</v>
      </c>
      <c r="N14" s="59">
        <f>1/(1+Assumptions!$E$10)^N13</f>
        <v>0.28195228928183547</v>
      </c>
      <c r="O14" s="59">
        <f>1/(1+Assumptions!$E$10)^O13</f>
        <v>0.2517431154302102</v>
      </c>
      <c r="P14" s="59">
        <f>1/(1+Assumptions!$E$10)^P13</f>
        <v>0.2247706387769734</v>
      </c>
      <c r="Q14" s="59">
        <f>1/(1+Assumptions!$E$10)^Q13</f>
        <v>0.20068807033658337</v>
      </c>
      <c r="R14" s="59">
        <f>1/(1+Assumptions!$E$10)^R13</f>
        <v>0.17918577708623512</v>
      </c>
      <c r="S14" s="59">
        <f>1/(1+Assumptions!$E$10)^S13</f>
        <v>0.15998730096985278</v>
      </c>
      <c r="T14" s="59">
        <f>1/(1+Assumptions!$E$10)^T13</f>
        <v>0.14284580443736852</v>
      </c>
      <c r="U14" s="59">
        <f>1/(1+Assumptions!$E$10)^U13</f>
        <v>0.12754089681907904</v>
      </c>
      <c r="V14" s="59">
        <f>1/(1+Assumptions!$E$10)^V13</f>
        <v>0.11387580073132055</v>
      </c>
    </row>
    <row r="15">
      <c r="A15" s="14" t="inlineStr">
        <is>
          <t>PV factor</t>
        </is>
      </c>
      <c r="C15" s="59">
        <f>C12*C14</f>
        <v>0.6461515335695555</v>
      </c>
      <c r="D15" s="59">
        <f>D12*D14</f>
        <v>0.8757010125045376</v>
      </c>
      <c r="E15" s="59">
        <f>E12*E14</f>
        <v>0.7818759040219084</v>
      </c>
      <c r="F15" s="59">
        <f>F12*F14</f>
        <v>0.6981034857338467</v>
      </c>
      <c r="G15" s="59">
        <f>G12*G14</f>
        <v>0.6233066836909346</v>
      </c>
      <c r="H15" s="59">
        <f>H12*H14</f>
        <v>0.5565238247240487</v>
      </c>
      <c r="I15" s="59">
        <f>I12*I14</f>
        <v>0.4968962720750434</v>
      </c>
      <c r="J15" s="59">
        <f>J12*J14</f>
        <v>0.4436573857812887</v>
      </c>
      <c r="K15" s="59">
        <f>K12*K14</f>
        <v>0.3961226658761507</v>
      </c>
      <c r="L15" s="59">
        <f>L12*L14</f>
        <v>0.3536809516751345</v>
      </c>
      <c r="M15" s="59">
        <f>M12*M14</f>
        <v>0.31578656399565574</v>
      </c>
      <c r="N15" s="59">
        <f>N12*N14</f>
        <v>0.28195228928183547</v>
      </c>
      <c r="O15" s="59">
        <f>O12*O14</f>
        <v>0.2517431154302102</v>
      </c>
      <c r="P15" s="59">
        <f>P12*P14</f>
        <v>0.2247706387769734</v>
      </c>
      <c r="Q15" s="59">
        <f>Q12*Q14</f>
        <v>0.20068807033658337</v>
      </c>
      <c r="R15" s="59">
        <f>R12*R14</f>
        <v>0.17918577708623512</v>
      </c>
      <c r="S15" s="59">
        <f>S12*S14</f>
        <v>0.15998730096985278</v>
      </c>
      <c r="T15" s="59">
        <f>T12*T14</f>
        <v>0.14284580443736852</v>
      </c>
      <c r="U15" s="59">
        <f>U12*U14</f>
        <v>0.12754089681907904</v>
      </c>
      <c r="V15" s="59">
        <f>V12*V14</f>
        <v>0.11387580073132055</v>
      </c>
    </row>
    <row r="16">
      <c r="A16" s="24" t="inlineStr">
        <is>
          <t>PV of free cash flow</t>
        </is>
      </c>
      <c r="C16" s="55">
        <f>C11*C15</f>
        <v>-20.695587468699294</v>
      </c>
      <c r="D16" s="55">
        <f>D11*D15</f>
        <v>-28.047827729507837</v>
      </c>
      <c r="E16" s="55">
        <f>E11*E15</f>
        <v>-25.042703329917707</v>
      </c>
      <c r="F16" s="55">
        <f>F11*F15</f>
        <v>33.815925121274326</v>
      </c>
      <c r="G16" s="55">
        <f>G11*G15</f>
        <v>79.42404539149686</v>
      </c>
      <c r="H16" s="55">
        <f>H11*H15</f>
        <v>104.63992460963239</v>
      </c>
      <c r="I16" s="55">
        <f>I11*I15</f>
        <v>132.699968069516</v>
      </c>
      <c r="J16" s="55">
        <f>J11*J15</f>
        <v>155.39284717078738</v>
      </c>
      <c r="K16" s="55">
        <f>K11*K15</f>
        <v>163.46062213217976</v>
      </c>
      <c r="L16" s="55">
        <f>L11*L15</f>
        <v>145.94698404658908</v>
      </c>
      <c r="M16" s="55">
        <f>M11*M15</f>
        <v>130.30980718445448</v>
      </c>
      <c r="N16" s="55">
        <f>N11*N15</f>
        <v>116.34804212897721</v>
      </c>
      <c r="O16" s="55">
        <f>O11*O15</f>
        <v>103.88218047230107</v>
      </c>
      <c r="P16" s="55">
        <f>P11*P15</f>
        <v>92.75194685026881</v>
      </c>
      <c r="Q16" s="55">
        <f>Q11*Q15</f>
        <v>82.81423825916858</v>
      </c>
      <c r="R16" s="55">
        <f>R11*R15</f>
        <v>73.94128415997193</v>
      </c>
      <c r="S16" s="55">
        <f>S11*S15</f>
        <v>32.74305300077981</v>
      </c>
      <c r="T16" s="55">
        <f>T11*T15</f>
        <v>14.379533610749448</v>
      </c>
      <c r="U16" s="55">
        <f>U11*U15</f>
        <v>6.207023250692898</v>
      </c>
      <c r="V16" s="55">
        <f>V11*V15</f>
        <v>2.5813394896279847</v>
      </c>
    </row>
    <row r="17">
      <c r="A17" s="14" t="inlineStr">
        <is>
          <t>Tax-loss carryforward, end of year</t>
        </is>
      </c>
      <c r="C17" s="23">
        <f>Assumptions!$B$21-C8+MAX(0,-C7)</f>
        <v>131.629</v>
      </c>
      <c r="D17" s="23">
        <f>C17-D8+MAX(0,-D7)</f>
        <v>163.658</v>
      </c>
      <c r="E17" s="23">
        <f>D17-E8+MAX(0,-E7)</f>
        <v>195.68699999999998</v>
      </c>
      <c r="F17" s="23">
        <f>E17-F8+MAX(0,-F7)</f>
        <v>147.24729756</v>
      </c>
      <c r="G17" s="23">
        <f>F17-G8+MAX(0,-G7)</f>
        <v>19.82359511999998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1852.8904577458998</v>
      </c>
    </row>
    <row r="20">
      <c r="A20" s="14" t="inlineStr">
        <is>
          <t>PV of corporate burn</t>
        </is>
      </c>
      <c r="B20" s="23">
        <f>SUMPRODUCT(C6:V6,C15:V15)</f>
        <v>-97.25684524132362</v>
      </c>
    </row>
    <row r="21">
      <c r="A21" s="14" t="inlineStr">
        <is>
          <t>PV of taxes</t>
        </is>
      </c>
      <c r="B21" s="23">
        <f>-SUMPRODUCT(C10:V10,C15:V15)</f>
        <v>-358.0809660842329</v>
      </c>
    </row>
    <row r="22">
      <c r="A22" s="24" t="inlineStr">
        <is>
          <t>Pipeline rNPV (operations)</t>
        </is>
      </c>
      <c r="B22" s="54">
        <f>SUM(C16:V16)</f>
        <v>1397.5526464203429</v>
      </c>
    </row>
    <row r="23">
      <c r="A23" s="14" t="inlineStr">
        <is>
          <t>Cash &amp; investments</t>
        </is>
      </c>
      <c r="B23" s="57">
        <f>Main!C7</f>
        <v>22.804425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1420.357071420343</v>
      </c>
    </row>
    <row r="26">
      <c r="A26" s="14" t="inlineStr">
        <is>
          <t>Shares (mm)</t>
        </is>
      </c>
      <c r="B26" s="57">
        <f>Main!C4</f>
        <v>8.699787</v>
      </c>
    </row>
    <row r="27">
      <c r="A27" s="24" t="inlineStr">
        <is>
          <t>rNPV / share</t>
        </is>
      </c>
      <c r="B27" s="60">
        <f>B25/B26</f>
        <v>163.26343063575496</v>
      </c>
    </row>
    <row r="28">
      <c r="A28" s="14" t="inlineStr">
        <is>
          <t>Price</t>
        </is>
      </c>
      <c r="B28" s="61">
        <f>Main!C3</f>
        <v>3.46</v>
      </c>
    </row>
    <row r="29">
      <c r="A29" s="14" t="inlineStr">
        <is>
          <t>Upside</t>
        </is>
      </c>
      <c r="B29" s="62">
        <f>B27/B28-1</f>
        <v>46.18596261148987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2026-10-21T06:29:52Z</dcterms:modified>
  <cp:lastModifiedBy>Wang, Eric</cp:lastModifiedBy>
</cp:coreProperties>
</file>