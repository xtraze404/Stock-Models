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Grail Inc</t>
        </is>
      </c>
      <c r="C2" s="10" t="n"/>
    </row>
    <row r="3">
      <c r="B3" t="inlineStr">
        <is>
          <t>Price</t>
        </is>
      </c>
      <c r="C3" s="11">
        <f>INDEX([1]Pharma!$F$1:$F$1000,MATCH("GRAL",[1]Pharma!$B$1:$B$1000,0))</f>
        <v>124.67</v>
      </c>
      <c r="F3" s="1" t="n"/>
    </row>
    <row r="4">
      <c r="B4" t="inlineStr">
        <is>
          <t>Shares</t>
        </is>
      </c>
      <c r="C4" s="51" t="n">
        <v>44.666234</v>
      </c>
      <c r="F4" s="1" t="n"/>
    </row>
    <row r="5">
      <c r="B5" t="inlineStr">
        <is>
          <t>Market Cap.</t>
        </is>
      </c>
      <c r="C5" s="13">
        <f>C3*C4</f>
        <v>5568.5393927800005</v>
      </c>
      <c r="F5" s="1" t="n"/>
    </row>
    <row r="6"/>
    <row r="7">
      <c r="B7" t="inlineStr">
        <is>
          <t>Cash</t>
        </is>
      </c>
      <c r="C7" s="51">
        <f>55.645+805.964</f>
        <v>861.609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4706.93039278</v>
      </c>
    </row>
    <row r="10"/>
    <row r="11">
      <c r="B11" s="14" t="inlineStr">
        <is>
          <t>NPV / Share</t>
        </is>
      </c>
      <c r="C11" s="11">
        <f>NPV!B28</f>
        <v>3.466444000775628</v>
      </c>
    </row>
    <row r="12">
      <c r="B12" s="14" t="inlineStr">
        <is>
          <t>Upside</t>
        </is>
      </c>
      <c r="C12" s="15">
        <f>IFERROR(C11/C3-1,"")</f>
        <v>-0.9721950429070696</v>
      </c>
    </row>
    <row r="13">
      <c r="B13" s="14" t="inlineStr">
        <is>
          <t>Cash / Share</t>
        </is>
      </c>
      <c r="C13" s="11">
        <f>IFERROR((C7-C8)/C4,"")</f>
        <v>19.28994058464835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2022</v>
      </c>
      <c r="C1" s="16" t="n">
        <v>2023</v>
      </c>
      <c r="D1" s="16" t="n">
        <v>2024</v>
      </c>
      <c r="E1" s="16" t="n">
        <v>2025</v>
      </c>
      <c r="F1" s="16" t="n">
        <v>2026</v>
      </c>
      <c r="G1" s="16" t="n">
        <v>2027</v>
      </c>
      <c r="H1" s="16" t="n">
        <v>2028</v>
      </c>
      <c r="I1" s="16" t="n">
        <v>2029</v>
      </c>
      <c r="J1" s="16" t="n">
        <v>2030</v>
      </c>
      <c r="K1" s="16" t="n">
        <v>2031</v>
      </c>
      <c r="L1" s="16" t="n">
        <v>2032</v>
      </c>
      <c r="M1" s="16" t="n">
        <v>2033</v>
      </c>
      <c r="N1" s="16" t="n">
        <v>2034</v>
      </c>
      <c r="O1" s="16" t="n">
        <v>2035</v>
      </c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55.55</v>
      </c>
      <c r="C2" s="52" t="n">
        <v>93.105</v>
      </c>
      <c r="D2" s="52" t="n">
        <v>125.595</v>
      </c>
      <c r="E2" s="52" t="n">
        <v>147.172</v>
      </c>
      <c r="F2" s="52">
        <f>E2*(1+NPV!C5)</f>
        <v>186.687682</v>
      </c>
      <c r="G2" s="52">
        <f>F2*(1+NPV!D5)</f>
        <v>231.76238566511108</v>
      </c>
      <c r="H2" s="52">
        <f>G2*(1+NPV!E5)</f>
        <v>281.44966601409243</v>
      </c>
      <c r="I2" s="52">
        <f>H2*(1+NPV!F5)</f>
        <v>334.1745701140658</v>
      </c>
      <c r="J2" s="52">
        <f>I2*(1+NPV!G5)</f>
        <v>387.7353276017924</v>
      </c>
      <c r="K2" s="52">
        <f>J2*(1+NPV!H5)</f>
        <v>439.39028957896454</v>
      </c>
      <c r="L2" s="52">
        <f>K2*(1+NPV!I5)</f>
        <v>486.03889198926464</v>
      </c>
      <c r="M2" s="52">
        <f>L2*(1+NPV!J5)</f>
        <v>524.4899687777487</v>
      </c>
      <c r="N2" s="52">
        <f>M2*(1+NPV!K5)</f>
        <v>551.7925854857904</v>
      </c>
      <c r="O2" s="52">
        <f>N2*(1+NPV!L5)</f>
        <v>565.587400122935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>
        <f>F2*(1-Assumptions!$B$19)</f>
        <v>0.0</v>
      </c>
      <c r="G3" s="52">
        <f>G2*(1-Assumptions!$B$19)</f>
        <v>0.0</v>
      </c>
      <c r="H3" s="52">
        <f>H2*(1-Assumptions!$B$19)</f>
        <v>0.0</v>
      </c>
      <c r="I3" s="52">
        <f>I2*(1-Assumptions!$B$19)</f>
        <v>0.0</v>
      </c>
      <c r="J3" s="52">
        <f>J2*(1-Assumptions!$B$19)</f>
        <v>0.0</v>
      </c>
      <c r="K3" s="52">
        <f>K2*(1-Assumptions!$B$19)</f>
        <v>0.0</v>
      </c>
      <c r="L3" s="52">
        <f>L2*(1-Assumptions!$B$19)</f>
        <v>0.0</v>
      </c>
      <c r="M3" s="52">
        <f>M2*(1-Assumptions!$B$19)</f>
        <v>0.0</v>
      </c>
      <c r="N3" s="52">
        <f>N2*(1-Assumptions!$B$19)</f>
        <v>0.0</v>
      </c>
      <c r="O3" s="52">
        <f>O2*(1-Assumptions!$B$19)</f>
        <v>0.0</v>
      </c>
    </row>
    <row r="4" customFormat="1" s="1">
      <c r="A4" s="5" t="inlineStr">
        <is>
          <t>Gross Margin</t>
        </is>
      </c>
      <c r="B4" s="52">
        <f>B2-B3</f>
        <v>55.55</v>
      </c>
      <c r="C4" s="52">
        <f>C2-C3</f>
        <v>93.105</v>
      </c>
      <c r="D4" s="52">
        <f>D2-D3</f>
        <v>125.595</v>
      </c>
      <c r="E4" s="52">
        <f>E2-E3</f>
        <v>147.172</v>
      </c>
      <c r="F4" s="52">
        <f>F2-F3</f>
        <v>186.687682</v>
      </c>
      <c r="G4" s="52">
        <f>G2-G3</f>
        <v>231.76238566511108</v>
      </c>
      <c r="H4" s="52">
        <f>H2-H3</f>
        <v>281.44966601409243</v>
      </c>
      <c r="I4" s="52">
        <f>I2-I3</f>
        <v>334.1745701140658</v>
      </c>
      <c r="J4" s="52">
        <f>J2-J3</f>
        <v>387.7353276017924</v>
      </c>
      <c r="K4" s="52">
        <f>K2-K3</f>
        <v>439.39028957896454</v>
      </c>
      <c r="L4" s="52">
        <f>L2-L3</f>
        <v>486.03889198926464</v>
      </c>
      <c r="M4" s="52">
        <f>M2-M3</f>
        <v>524.4899687777487</v>
      </c>
      <c r="N4" s="52">
        <f>N2-N3</f>
        <v>551.7925854857904</v>
      </c>
      <c r="O4" s="52">
        <f>O2-O3</f>
        <v>565.587400122935</v>
      </c>
    </row>
    <row r="5">
      <c r="A5" s="2" t="inlineStr">
        <is>
          <t>Research &amp; Dev.</t>
        </is>
      </c>
      <c r="B5" s="52" t="n">
        <v>329.576</v>
      </c>
      <c r="C5" s="52" t="n">
        <v>338.745</v>
      </c>
      <c r="D5" s="52" t="n">
        <v>322.38</v>
      </c>
      <c r="E5" s="52" t="n">
        <v>195.794</v>
      </c>
      <c r="F5" s="52">
        <f>F7*Assumptions!$B$20</f>
        <v>120.05511454056001</v>
      </c>
      <c r="G5" s="52">
        <f>G7*Assumptions!$B$20</f>
        <v>138.16746383811264</v>
      </c>
      <c r="H5" s="52">
        <f>H7*Assumptions!$B$20</f>
        <v>154.58341456158016</v>
      </c>
      <c r="I5" s="52">
        <f>I7*Assumptions!$B$20</f>
        <v>167.86257005969756</v>
      </c>
      <c r="J5" s="52">
        <f>J7*Assumptions!$B$20</f>
        <v>176.57466818985628</v>
      </c>
      <c r="K5" s="52">
        <f>K7*Assumptions!$B$20</f>
        <v>179.48214548721546</v>
      </c>
      <c r="L5" s="52">
        <f>L7*Assumptions!$B$20</f>
        <v>175.73222178763854</v>
      </c>
      <c r="M5" s="52">
        <f>M7*Assumptions!$B$20</f>
        <v>165.02552377623087</v>
      </c>
      <c r="N5" s="52">
        <f>N7*Assumptions!$B$20</f>
        <v>147.72591098625585</v>
      </c>
      <c r="O5" s="52">
        <f>O7*Assumptions!$B$20</f>
        <v>124.88169794714408</v>
      </c>
    </row>
    <row r="6">
      <c r="A6" s="18" t="inlineStr">
        <is>
          <t>SG&amp;A &amp; Other</t>
        </is>
      </c>
      <c r="B6" s="52" t="n">
        <v>5168.864</v>
      </c>
      <c r="C6" s="52" t="n">
        <v>1269.742</v>
      </c>
      <c r="D6" s="52" t="n">
        <v>1992.373</v>
      </c>
      <c r="E6" s="52" t="n">
        <v>513.5410000000001</v>
      </c>
      <c r="F6" s="52">
        <f>F7-F5</f>
        <v>314.92718451944</v>
      </c>
      <c r="G6" s="52">
        <f>G7-G5</f>
        <v>362.4392891985274</v>
      </c>
      <c r="H6" s="52">
        <f>H7-H5</f>
        <v>405.5014208064638</v>
      </c>
      <c r="I6" s="52">
        <f>I7-I5</f>
        <v>440.33514754790224</v>
      </c>
      <c r="J6" s="52">
        <f>J7-J5</f>
        <v>463.1886223531012</v>
      </c>
      <c r="K6" s="52">
        <f>K7-K5</f>
        <v>470.81548308965205</v>
      </c>
      <c r="L6" s="52">
        <f>L7-L5</f>
        <v>460.97872671829816</v>
      </c>
      <c r="M6" s="52">
        <f>M7-M5</f>
        <v>432.89304063040265</v>
      </c>
      <c r="N6" s="52">
        <f>N7-N5</f>
        <v>387.51289693496096</v>
      </c>
      <c r="O6" s="52">
        <f>O7-O5</f>
        <v>327.588222151204</v>
      </c>
    </row>
    <row r="7">
      <c r="A7" s="2" t="inlineStr">
        <is>
          <t>Operating Expense</t>
        </is>
      </c>
      <c r="B7" s="52">
        <f>SUM(B5:B6)</f>
        <v>5498.44</v>
      </c>
      <c r="C7" s="52">
        <f>SUM(C5:C6)</f>
        <v>1608.487</v>
      </c>
      <c r="D7" s="52">
        <f>SUM(D5:D6)</f>
        <v>2314.753</v>
      </c>
      <c r="E7" s="52">
        <f>SUM(E5:E6)</f>
        <v>709.335</v>
      </c>
      <c r="F7" s="52">
        <f>F4-F2*NPV!C6</f>
        <v>434.98229906</v>
      </c>
      <c r="G7" s="52">
        <f>G4-G2*NPV!D6</f>
        <v>500.60675303664</v>
      </c>
      <c r="H7" s="52">
        <f>H4-H2*NPV!E6</f>
        <v>560.084835368044</v>
      </c>
      <c r="I7" s="52">
        <f>I4-I2*NPV!F6</f>
        <v>608.1977176075998</v>
      </c>
      <c r="J7" s="52">
        <f>J4-J2*NPV!G6</f>
        <v>639.7632905429575</v>
      </c>
      <c r="K7" s="52">
        <f>K4-K2*NPV!H6</f>
        <v>650.2976285768675</v>
      </c>
      <c r="L7" s="52">
        <f>L4-L2*NPV!I6</f>
        <v>636.7109485059367</v>
      </c>
      <c r="M7" s="52">
        <f>M4-M2*NPV!J6</f>
        <v>597.9185644066335</v>
      </c>
      <c r="N7" s="52">
        <f>N4-N2*NPV!K6</f>
        <v>535.2388079212168</v>
      </c>
      <c r="O7" s="52">
        <f>O4-O2*NPV!L6</f>
        <v>452.46992009834804</v>
      </c>
    </row>
    <row r="8">
      <c r="A8" s="2" t="inlineStr">
        <is>
          <t>Operating Income</t>
        </is>
      </c>
      <c r="B8" s="52">
        <f>B4-B7</f>
        <v>-5442.889999999999</v>
      </c>
      <c r="C8" s="52">
        <f>C4-C7</f>
        <v>-1515.382</v>
      </c>
      <c r="D8" s="52">
        <f>D4-D7</f>
        <v>-2189.1580000000004</v>
      </c>
      <c r="E8" s="52">
        <f>E4-E7</f>
        <v>-562.163</v>
      </c>
      <c r="F8" s="52">
        <f>F4-F7</f>
        <v>-248.29461706</v>
      </c>
      <c r="G8" s="52">
        <f>G4-G7</f>
        <v>-268.8443673715289</v>
      </c>
      <c r="H8" s="52">
        <f>H4-H7</f>
        <v>-278.63516935395154</v>
      </c>
      <c r="I8" s="52">
        <f>I4-I7</f>
        <v>-274.023147493534</v>
      </c>
      <c r="J8" s="52">
        <f>J4-J7</f>
        <v>-252.02796294116513</v>
      </c>
      <c r="K8" s="52">
        <f>K4-K7</f>
        <v>-210.90733899790297</v>
      </c>
      <c r="L8" s="52">
        <f>L4-L7</f>
        <v>-150.67205651667206</v>
      </c>
      <c r="M8" s="52">
        <f>M4-M7</f>
        <v>-73.42859562888486</v>
      </c>
      <c r="N8" s="52">
        <f>N4-N7</f>
        <v>16.55377756457358</v>
      </c>
      <c r="O8" s="52">
        <f>O4-O7</f>
        <v>113.117480024587</v>
      </c>
    </row>
    <row r="9">
      <c r="A9" s="18" t="inlineStr">
        <is>
          <t>Interest &amp; Other</t>
        </is>
      </c>
      <c r="B9" s="52" t="n">
        <v>1.502</v>
      </c>
      <c r="C9" s="52" t="n">
        <v>7.746</v>
      </c>
      <c r="D9" s="52" t="n">
        <v>26.797</v>
      </c>
      <c r="E9" s="52" t="n">
        <v>27.659</v>
      </c>
      <c r="F9" s="52" t="n">
        <v>0</v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</row>
    <row r="10">
      <c r="A10" s="2" t="inlineStr">
        <is>
          <t>Pretax</t>
        </is>
      </c>
      <c r="B10" s="52">
        <f>B8+B9</f>
        <v>-5441.387999999999</v>
      </c>
      <c r="C10" s="52">
        <f>C8+C9</f>
        <v>-1507.636</v>
      </c>
      <c r="D10" s="52">
        <f>D8+D9</f>
        <v>-2162.3610000000003</v>
      </c>
      <c r="E10" s="52">
        <f>E8+E9</f>
        <v>-534.504</v>
      </c>
      <c r="F10" s="52">
        <f>F8+F9</f>
        <v>-248.29461706</v>
      </c>
      <c r="G10" s="52">
        <f>G8+G9</f>
        <v>-268.8443673715289</v>
      </c>
      <c r="H10" s="52">
        <f>H8+H9</f>
        <v>-278.63516935395154</v>
      </c>
      <c r="I10" s="52">
        <f>I8+I9</f>
        <v>-274.023147493534</v>
      </c>
      <c r="J10" s="52">
        <f>J8+J9</f>
        <v>-252.02796294116513</v>
      </c>
      <c r="K10" s="52">
        <f>K8+K9</f>
        <v>-210.90733899790297</v>
      </c>
      <c r="L10" s="52">
        <f>L8+L9</f>
        <v>-150.67205651667206</v>
      </c>
      <c r="M10" s="52">
        <f>M8+M9</f>
        <v>-73.42859562888486</v>
      </c>
      <c r="N10" s="52">
        <f>N8+N9</f>
        <v>16.55377756457358</v>
      </c>
      <c r="O10" s="52">
        <f>O8+O9</f>
        <v>113.117480024587</v>
      </c>
    </row>
    <row r="11">
      <c r="A11" s="2" t="inlineStr">
        <is>
          <t>Taxes</t>
        </is>
      </c>
      <c r="B11" s="52" t="n">
        <v>-42.29</v>
      </c>
      <c r="C11" s="52" t="n">
        <v>-41.951</v>
      </c>
      <c r="D11" s="52" t="n">
        <v>-135.356</v>
      </c>
      <c r="E11" s="52" t="n">
        <v>-126.153</v>
      </c>
      <c r="F11" s="52">
        <f>MAX(0,F10)*Assumptions!$E$14</f>
        <v>0.0</v>
      </c>
      <c r="G11" s="52">
        <f>MAX(0,G10)*Assumptions!$E$14</f>
        <v>0.0</v>
      </c>
      <c r="H11" s="52">
        <f>MAX(0,H10)*Assumptions!$E$14</f>
        <v>0.0</v>
      </c>
      <c r="I11" s="52">
        <f>MAX(0,I10)*Assumptions!$E$14</f>
        <v>0.0</v>
      </c>
      <c r="J11" s="52">
        <f>MAX(0,J10)*Assumptions!$E$14</f>
        <v>0.0</v>
      </c>
      <c r="K11" s="52">
        <f>MAX(0,K10)*Assumptions!$E$14</f>
        <v>0.0</v>
      </c>
      <c r="L11" s="52">
        <f>MAX(0,L10)*Assumptions!$E$14</f>
        <v>0.0</v>
      </c>
      <c r="M11" s="52">
        <f>MAX(0,M10)*Assumptions!$E$14</f>
        <v>0.0</v>
      </c>
      <c r="N11" s="52">
        <f>MAX(0,N10)*Assumptions!$E$14</f>
        <v>2.814142185977509</v>
      </c>
      <c r="O11" s="52">
        <f>MAX(0,O10)*Assumptions!$E$14</f>
        <v>19.22997160417979</v>
      </c>
    </row>
    <row r="12">
      <c r="A12" s="2" t="inlineStr">
        <is>
          <t>Net Income</t>
        </is>
      </c>
      <c r="B12" s="52" t="n">
        <v>-5399.098</v>
      </c>
      <c r="C12" s="52" t="n">
        <v>-1465.685</v>
      </c>
      <c r="D12" s="52" t="n">
        <v>-2027.005</v>
      </c>
      <c r="E12" s="52" t="n">
        <v>-408.351</v>
      </c>
      <c r="F12" s="52">
        <f>F10-F11</f>
        <v>-248.29461706</v>
      </c>
      <c r="G12" s="52">
        <f>G10-G11</f>
        <v>-268.8443673715289</v>
      </c>
      <c r="H12" s="52">
        <f>H10-H11</f>
        <v>-278.63516935395154</v>
      </c>
      <c r="I12" s="52">
        <f>I10-I11</f>
        <v>-274.023147493534</v>
      </c>
      <c r="J12" s="52">
        <f>J10-J11</f>
        <v>-252.02796294116513</v>
      </c>
      <c r="K12" s="52">
        <f>K10-K11</f>
        <v>-210.90733899790297</v>
      </c>
      <c r="L12" s="52">
        <f>L10-L11</f>
        <v>-150.67205651667206</v>
      </c>
      <c r="M12" s="52">
        <f>M10-M11</f>
        <v>-73.42859562888486</v>
      </c>
      <c r="N12" s="52">
        <f>N10-N11</f>
        <v>13.73963537859607</v>
      </c>
      <c r="O12" s="52">
        <f>O10-O11</f>
        <v>93.8875084204072</v>
      </c>
    </row>
    <row r="13">
      <c r="A13" s="2" t="inlineStr">
        <is>
          <t>Earnings per Share</t>
        </is>
      </c>
      <c r="B13" s="11">
        <f>IFERROR(B12/B14,0)</f>
        <v>-173.8895938677574</v>
      </c>
      <c r="C13" s="11">
        <f>IFERROR(C12/C14,0)</f>
        <v>-47.20554607233727</v>
      </c>
      <c r="D13" s="11">
        <f>IFERROR(D12/D14,0)</f>
        <v>-63.54048462430645</v>
      </c>
      <c r="E13" s="11">
        <f>IFERROR(E12/E14,0)</f>
        <v>-11.110382543396637</v>
      </c>
      <c r="F13" s="11">
        <f>IFERROR(F12/F14,0)</f>
        <v>-5.558888556845871</v>
      </c>
      <c r="G13" s="11">
        <f>IFERROR(G12/G14,0)</f>
        <v>-6.018962050203939</v>
      </c>
      <c r="H13" s="11">
        <f>IFERROR(H12/H14,0)</f>
        <v>-6.238161232799513</v>
      </c>
      <c r="I13" s="11">
        <f>IFERROR(I12/I14,0)</f>
        <v>-6.134906011855263</v>
      </c>
      <c r="J13" s="11">
        <f>IFERROR(J12/J14,0)</f>
        <v>-5.642471736953805</v>
      </c>
      <c r="K13" s="11">
        <f>IFERROR(K12/K14,0)</f>
        <v>-4.72185183550292</v>
      </c>
      <c r="L13" s="11">
        <f>IFERROR(L12/L14,0)</f>
        <v>-3.3732876722195124</v>
      </c>
      <c r="M13" s="11">
        <f>IFERROR(M12/M14,0)</f>
        <v>-1.6439397068686126</v>
      </c>
      <c r="N13" s="11">
        <f>IFERROR(N12/N14,0)</f>
        <v>0.3076067567862576</v>
      </c>
      <c r="O13" s="11">
        <f>IFERROR(O12/O14,0)</f>
        <v>2.10197950470611</v>
      </c>
    </row>
    <row r="14">
      <c r="A14" s="2" t="inlineStr">
        <is>
          <t>Shares</t>
        </is>
      </c>
      <c r="B14" s="52" t="n">
        <v>31.049</v>
      </c>
      <c r="C14" s="52" t="n">
        <v>31.049</v>
      </c>
      <c r="D14" s="52" t="n">
        <v>31.901</v>
      </c>
      <c r="E14" s="52" t="n">
        <v>36.754</v>
      </c>
      <c r="F14" s="52">
        <f>Main!$C$4</f>
        <v>44.666234</v>
      </c>
      <c r="G14" s="52">
        <f>Main!$C$4</f>
        <v>44.666234</v>
      </c>
      <c r="H14" s="52">
        <f>Main!$C$4</f>
        <v>44.666234</v>
      </c>
      <c r="I14" s="52">
        <f>Main!$C$4</f>
        <v>44.666234</v>
      </c>
      <c r="J14" s="52">
        <f>Main!$C$4</f>
        <v>44.666234</v>
      </c>
      <c r="K14" s="52">
        <f>Main!$C$4</f>
        <v>44.666234</v>
      </c>
      <c r="L14" s="52">
        <f>Main!$C$4</f>
        <v>44.666234</v>
      </c>
      <c r="M14" s="52">
        <f>Main!$C$4</f>
        <v>44.666234</v>
      </c>
      <c r="N14" s="52">
        <f>Main!$C$4</f>
        <v>44.666234</v>
      </c>
      <c r="O14" s="52">
        <f>Main!$C$4</f>
        <v>44.666234</v>
      </c>
    </row>
    <row r="15"/>
    <row r="16" customFormat="1" s="4">
      <c r="A16" s="3" t="inlineStr">
        <is>
          <t>Revenue Change</t>
        </is>
      </c>
      <c r="C16" s="15">
        <f>IFERROR(C2/B2-1,"")</f>
        <v>0.6760576057605763</v>
      </c>
      <c r="D16" s="15">
        <f>IFERROR(D2/C2-1,"")</f>
        <v>0.34896085065248905</v>
      </c>
      <c r="E16" s="15">
        <f>IFERROR(E2/D2-1,"")</f>
        <v>0.17179824037581115</v>
      </c>
      <c r="F16" s="15">
        <f>IFERROR(F2/E2-1,"")</f>
        <v>0.26849999999999996</v>
      </c>
      <c r="G16" s="15">
        <f>IFERROR(G2/F2-1,"")</f>
        <v>0.24144444444444435</v>
      </c>
      <c r="H16" s="15">
        <f>IFERROR(H2/G2-1,"")</f>
        <v>0.21438888888888896</v>
      </c>
      <c r="I16" s="15">
        <f>IFERROR(I2/H2-1,"")</f>
        <v>0.18733333333333335</v>
      </c>
      <c r="J16" s="15">
        <f>IFERROR(J2/I2-1,"")</f>
        <v>0.16027777777777774</v>
      </c>
      <c r="K16" s="15">
        <f>IFERROR(K2/J2-1,"")</f>
        <v>0.13322222222222235</v>
      </c>
      <c r="L16" s="15">
        <f>IFERROR(L2/K2-1,"")</f>
        <v>0.10616666666666674</v>
      </c>
      <c r="M16" s="15">
        <f>IFERROR(M2/L2-1,"")</f>
        <v>0.07911111111111113</v>
      </c>
      <c r="N16" s="15">
        <f>IFERROR(N2/M2-1,"")</f>
        <v>0.05205555555555552</v>
      </c>
      <c r="O16" s="15">
        <f>IFERROR(O2/N2-1,"")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</row>
    <row r="18">
      <c r="A18" s="14" t="inlineStr">
        <is>
          <t>Operating Margin</t>
        </is>
      </c>
      <c r="B18" s="15">
        <f>IFERROR(B8/B2,"")</f>
        <v>-97.98181818181817</v>
      </c>
      <c r="C18" s="15">
        <f>IFERROR(C8/C2,"")</f>
        <v>-16.27605391761989</v>
      </c>
      <c r="D18" s="15">
        <f>IFERROR(D8/D2,"")</f>
        <v>-17.43029579202994</v>
      </c>
      <c r="E18" s="15">
        <f>IFERROR(E8/E2,"")</f>
        <v>-3.8197687060038596</v>
      </c>
      <c r="F18" s="15">
        <f>IFERROR(F8/F2,"")</f>
        <v>-1.33</v>
      </c>
      <c r="G18" s="15">
        <f>IFERROR(G8/G2,"")</f>
        <v>-1.1600000000000001</v>
      </c>
      <c r="H18" s="15">
        <f>IFERROR(H8/H2,"")</f>
        <v>-0.9900000000000001</v>
      </c>
      <c r="I18" s="15">
        <f>IFERROR(I8/I2,"")</f>
        <v>-0.8200000000000002</v>
      </c>
      <c r="J18" s="15">
        <f>IFERROR(J8/J2,"")</f>
        <v>-0.6500000000000002</v>
      </c>
      <c r="K18" s="15">
        <f>IFERROR(K8/K2,"")</f>
        <v>-0.48</v>
      </c>
      <c r="L18" s="15">
        <f>IFERROR(L8/L2,"")</f>
        <v>-0.31000000000000005</v>
      </c>
      <c r="M18" s="15">
        <f>IFERROR(M8/M2,"")</f>
        <v>-0.1400000000000001</v>
      </c>
      <c r="N18" s="15">
        <f>IFERROR(N8/N2,"")</f>
        <v>0.02999999999999976</v>
      </c>
      <c r="O18" s="15">
        <f>IFERROR(O8/O2,"")</f>
        <v>0.19999999999999998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E</t>
        </is>
      </c>
      <c r="G19" s="19" t="inlineStr">
        <is>
          <t>E</t>
        </is>
      </c>
      <c r="H19" s="19" t="inlineStr">
        <is>
          <t>E</t>
        </is>
      </c>
      <c r="I19" s="19" t="inlineStr">
        <is>
          <t>E</t>
        </is>
      </c>
      <c r="J19" s="19" t="inlineStr">
        <is>
          <t>E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Grail Inc: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0.105</v>
      </c>
      <c r="C10" s="53" t="n">
        <v>0.095</v>
      </c>
      <c r="D10" s="53" t="n">
        <v>0.08500000000000001</v>
      </c>
      <c r="E10" s="54">
        <f>IF(ISNUMBER($B$6),$B$6,CHOOSE($B$4,B10,C10,D10))</f>
        <v>0.095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0.2185</v>
      </c>
      <c r="C12" s="53" t="n">
        <v>0.2685</v>
      </c>
      <c r="D12" s="53" t="n">
        <v>0.3185</v>
      </c>
      <c r="E12" s="54">
        <f>CHOOSE($B$4,B12,C12,D12)</f>
        <v>0.2685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-1.5</v>
      </c>
    </row>
    <row r="19">
      <c r="A19" s="14" t="inlineStr">
        <is>
          <t>Gross margin (forecast)</t>
        </is>
      </c>
      <c r="B19" s="53" t="n">
        <v>1</v>
      </c>
    </row>
    <row r="20">
      <c r="A20" s="14" t="inlineStr">
        <is>
          <t>R&amp;D share of operating expense (forecast)</t>
        </is>
      </c>
      <c r="B20" s="53" t="n">
        <v>0.276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Model'!E2</f>
        <v>147.172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-706.7760011134596</v>
      </c>
      <c r="C29" s="56">
        <f>NPV!B26</f>
        <v>154.8329988865404</v>
      </c>
      <c r="D29" s="35">
        <f>NPV!B28</f>
        <v>3.466444000775628</v>
      </c>
      <c r="E29" s="57">
        <f>NPV!B30</f>
        <v>-0.9721950429070696</v>
      </c>
    </row>
    <row r="30">
      <c r="A30" s="58" t="n">
        <v>1</v>
      </c>
      <c r="B30" s="59">
        <f t="dataTable" ref="B30:E32" r1="B4"/>
        <v>-887.0770237831287</v>
      </c>
      <c r="C30" s="59">
        <v>-25.468023783128615</v>
      </c>
      <c r="D30" s="39">
        <v>-0.5701851600725643</v>
      </c>
      <c r="E30" s="60">
        <v>-1.0045735554670134</v>
      </c>
    </row>
    <row r="31">
      <c r="A31" s="58" t="n">
        <v>2</v>
      </c>
      <c r="B31" s="59">
        <v>-706.7760011134596</v>
      </c>
      <c r="C31" s="59">
        <v>154.8329988865404</v>
      </c>
      <c r="D31" s="39">
        <v>3.466444000775628</v>
      </c>
      <c r="E31" s="60">
        <v>-0.9721950429070696</v>
      </c>
    </row>
    <row r="32">
      <c r="A32" s="58" t="n">
        <v>3</v>
      </c>
      <c r="B32" s="59">
        <v>-165.7712496521583</v>
      </c>
      <c r="C32" s="59">
        <v>695.8377503478417</v>
      </c>
      <c r="D32" s="39">
        <v>15.578608000572462</v>
      </c>
      <c r="E32" s="60">
        <v>-0.8750412448819085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3.466444000775628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0.075</v>
      </c>
      <c r="B37" s="39">
        <f t="dataTable" ref="B37:F41" dt2D="1" r1="B7" r2="B6"/>
        <v>6.453309366434076</v>
      </c>
      <c r="C37" s="39">
        <v>8.22950793347396</v>
      </c>
      <c r="D37" s="39">
        <v>10.390487332314592</v>
      </c>
      <c r="E37" s="39">
        <v>13.064859668572803</v>
      </c>
      <c r="F37" s="39">
        <v>16.445547169788913</v>
      </c>
    </row>
    <row r="38">
      <c r="A38" s="62" t="n">
        <v>0.08500000000000001</v>
      </c>
      <c r="B38" s="39">
        <v>3.5852337200544935</v>
      </c>
      <c r="C38" s="39">
        <v>4.771657726304401</v>
      </c>
      <c r="D38" s="39">
        <v>6.179084039323142</v>
      </c>
      <c r="E38" s="39">
        <v>7.868055835486922</v>
      </c>
      <c r="F38" s="39">
        <v>9.923336601732531</v>
      </c>
    </row>
    <row r="39">
      <c r="A39" s="62" t="n">
        <v>0.095</v>
      </c>
      <c r="B39" s="39">
        <v>1.683074330071614</v>
      </c>
      <c r="C39" s="39">
        <v>2.506511124282782</v>
      </c>
      <c r="D39" s="39">
        <v>3.466444000775628</v>
      </c>
      <c r="E39" s="39">
        <v>4.594586224750342</v>
      </c>
      <c r="F39" s="39">
        <v>5.933224517324494</v>
      </c>
    </row>
    <row r="40">
      <c r="A40" s="62" t="n">
        <v>0.105</v>
      </c>
      <c r="B40" s="39">
        <v>0.4078457945890187</v>
      </c>
      <c r="C40" s="39">
        <v>0.9947553395805294</v>
      </c>
      <c r="D40" s="39">
        <v>1.6706533303079796</v>
      </c>
      <c r="E40" s="39">
        <v>2.4535117075421793</v>
      </c>
      <c r="F40" s="39">
        <v>3.3664391500906743</v>
      </c>
    </row>
    <row r="41">
      <c r="A41" s="62" t="n">
        <v>0.115</v>
      </c>
      <c r="B41" s="39">
        <v>-0.4424962406816758</v>
      </c>
      <c r="C41" s="39">
        <v>-0.016503643581171717</v>
      </c>
      <c r="D41" s="39">
        <v>0.4699809405215514</v>
      </c>
      <c r="E41" s="39">
        <v>1.0277770170446299</v>
      </c>
      <c r="F41" s="39">
        <v>1.6704105218388372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Grail Inc: free-cash-flow DCF ($mm)</t>
        </is>
      </c>
    </row>
    <row r="3">
      <c r="A3" s="20" t="inlineStr">
        <is>
          <t>Fiscal year</t>
        </is>
      </c>
      <c r="B3" s="43">
        <f>'Yearly Model'!E1</f>
        <v>2025</v>
      </c>
      <c r="C3" s="43">
        <f>'Yearly Model'!F1</f>
        <v>2026</v>
      </c>
      <c r="D3" s="43">
        <f>'Yearly Model'!G1</f>
        <v>2027</v>
      </c>
      <c r="E3" s="43">
        <f>'Yearly Model'!H1</f>
        <v>2028</v>
      </c>
      <c r="F3" s="43">
        <f>'Yearly Model'!I1</f>
        <v>2029</v>
      </c>
      <c r="G3" s="43">
        <f>'Yearly Model'!J1</f>
        <v>2030</v>
      </c>
      <c r="H3" s="43">
        <f>'Yearly Model'!K1</f>
        <v>2031</v>
      </c>
      <c r="I3" s="43">
        <f>'Yearly Model'!L1</f>
        <v>2032</v>
      </c>
      <c r="J3" s="43">
        <f>'Yearly Model'!M1</f>
        <v>2033</v>
      </c>
      <c r="K3" s="43">
        <f>'Yearly Model'!N1</f>
        <v>2034</v>
      </c>
      <c r="L3" s="43">
        <f>'Yearly Model'!O1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0.2685</v>
      </c>
      <c r="D5" s="63">
        <f>Assumptions!$E$12+(Assumptions!$E$11-Assumptions!$E$12)*(D4-1)/(Assumptions!$B$21-1)</f>
        <v>0.24144444444444446</v>
      </c>
      <c r="E5" s="63">
        <f>Assumptions!$E$12+(Assumptions!$E$11-Assumptions!$E$12)*(E4-1)/(Assumptions!$B$21-1)</f>
        <v>0.2143888888888889</v>
      </c>
      <c r="F5" s="63">
        <f>Assumptions!$E$12+(Assumptions!$E$11-Assumptions!$E$12)*(F4-1)/(Assumptions!$B$21-1)</f>
        <v>0.18733333333333335</v>
      </c>
      <c r="G5" s="63">
        <f>Assumptions!$E$12+(Assumptions!$E$11-Assumptions!$E$12)*(G4-1)/(Assumptions!$B$21-1)</f>
        <v>0.1602777777777778</v>
      </c>
      <c r="H5" s="63">
        <f>Assumptions!$E$12+(Assumptions!$E$11-Assumptions!$E$12)*(H4-1)/(Assumptions!$B$21-1)</f>
        <v>0.13322222222222224</v>
      </c>
      <c r="I5" s="63">
        <f>Assumptions!$E$12+(Assumptions!$E$11-Assumptions!$E$12)*(I4-1)/(Assumptions!$B$21-1)</f>
        <v>0.10616666666666669</v>
      </c>
      <c r="J5" s="63">
        <f>Assumptions!$E$12+(Assumptions!$E$11-Assumptions!$E$12)*(J4-1)/(Assumptions!$B$21-1)</f>
        <v>0.0791111111111111</v>
      </c>
      <c r="K5" s="63">
        <f>Assumptions!$E$12+(Assumptions!$E$11-Assumptions!$E$12)*(K4-1)/(Assumptions!$B$21-1)</f>
        <v>0.05205555555555555</v>
      </c>
      <c r="L5" s="63">
        <f>Assumptions!$E$12+(Assumptions!$E$11-Assumptions!$E$12)*(L4-1)/(Assumptions!$B$21-1)</f>
        <v>0.025000000000000022</v>
      </c>
    </row>
    <row r="6">
      <c r="A6" s="14" t="inlineStr">
        <is>
          <t>Operating margin</t>
        </is>
      </c>
      <c r="B6" s="63">
        <f>IFERROR(B8/B7,0)</f>
        <v>-3.8197687060038596</v>
      </c>
      <c r="C6" s="63">
        <f>Assumptions!$B$18+(Assumptions!$E$13-Assumptions!$B$18)*C4/Assumptions!$B$21</f>
        <v>-1.33</v>
      </c>
      <c r="D6" s="63">
        <f>Assumptions!$B$18+(Assumptions!$E$13-Assumptions!$B$18)*D4/Assumptions!$B$21</f>
        <v>-1.1600000000000001</v>
      </c>
      <c r="E6" s="63">
        <f>Assumptions!$B$18+(Assumptions!$E$13-Assumptions!$B$18)*E4/Assumptions!$B$21</f>
        <v>-0.99</v>
      </c>
      <c r="F6" s="63">
        <f>Assumptions!$B$18+(Assumptions!$E$13-Assumptions!$B$18)*F4/Assumptions!$B$21</f>
        <v>-0.8200000000000001</v>
      </c>
      <c r="G6" s="63">
        <f>Assumptions!$B$18+(Assumptions!$E$13-Assumptions!$B$18)*G4/Assumptions!$B$21</f>
        <v>-0.65</v>
      </c>
      <c r="H6" s="63">
        <f>Assumptions!$B$18+(Assumptions!$E$13-Assumptions!$B$18)*H4/Assumptions!$B$21</f>
        <v>-0.48</v>
      </c>
      <c r="I6" s="63">
        <f>Assumptions!$B$18+(Assumptions!$E$13-Assumptions!$B$18)*I4/Assumptions!$B$21</f>
        <v>-0.31000000000000005</v>
      </c>
      <c r="J6" s="63">
        <f>Assumptions!$B$18+(Assumptions!$E$13-Assumptions!$B$18)*J4/Assumptions!$B$21</f>
        <v>-0.14000000000000012</v>
      </c>
      <c r="K6" s="63">
        <f>Assumptions!$B$18+(Assumptions!$E$13-Assumptions!$B$18)*K4/Assumptions!$B$21</f>
        <v>0.029999999999999805</v>
      </c>
      <c r="L6" s="63">
        <f>Assumptions!$B$18+(Assumptions!$E$13-Assumptions!$B$18)*L4/Assumptions!$B$21</f>
        <v>0.19999999999999996</v>
      </c>
    </row>
    <row r="7">
      <c r="A7" s="14" t="inlineStr">
        <is>
          <t>Revenue</t>
        </is>
      </c>
      <c r="B7" s="55">
        <f>'Yearly Model'!E2</f>
        <v>147.172</v>
      </c>
      <c r="C7" s="55">
        <f>'Yearly Model'!F2</f>
        <v>186.687682</v>
      </c>
      <c r="D7" s="55">
        <f>'Yearly Model'!G2</f>
        <v>231.76238566511108</v>
      </c>
      <c r="E7" s="55">
        <f>'Yearly Model'!H2</f>
        <v>281.44966601409243</v>
      </c>
      <c r="F7" s="55">
        <f>'Yearly Model'!I2</f>
        <v>334.1745701140658</v>
      </c>
      <c r="G7" s="55">
        <f>'Yearly Model'!J2</f>
        <v>387.7353276017924</v>
      </c>
      <c r="H7" s="55">
        <f>'Yearly Model'!K2</f>
        <v>439.39028957896454</v>
      </c>
      <c r="I7" s="55">
        <f>'Yearly Model'!L2</f>
        <v>486.03889198926464</v>
      </c>
      <c r="J7" s="55">
        <f>'Yearly Model'!M2</f>
        <v>524.4899687777487</v>
      </c>
      <c r="K7" s="55">
        <f>'Yearly Model'!N2</f>
        <v>551.7925854857904</v>
      </c>
      <c r="L7" s="55">
        <f>'Yearly Model'!O2</f>
        <v>565.587400122935</v>
      </c>
    </row>
    <row r="8">
      <c r="A8" s="14" t="inlineStr">
        <is>
          <t>Operating income</t>
        </is>
      </c>
      <c r="B8" s="55">
        <f>'Yearly Model'!E8</f>
        <v>-562.163</v>
      </c>
      <c r="C8" s="55">
        <f>'Yearly Model'!F8</f>
        <v>-248.29461706</v>
      </c>
      <c r="D8" s="55">
        <f>'Yearly Model'!G8</f>
        <v>-268.8443673715289</v>
      </c>
      <c r="E8" s="55">
        <f>'Yearly Model'!H8</f>
        <v>-278.63516935395154</v>
      </c>
      <c r="F8" s="55">
        <f>'Yearly Model'!I8</f>
        <v>-274.023147493534</v>
      </c>
      <c r="G8" s="55">
        <f>'Yearly Model'!J8</f>
        <v>-252.02796294116513</v>
      </c>
      <c r="H8" s="55">
        <f>'Yearly Model'!K8</f>
        <v>-210.90733899790297</v>
      </c>
      <c r="I8" s="55">
        <f>'Yearly Model'!L8</f>
        <v>-150.67205651667206</v>
      </c>
      <c r="J8" s="55">
        <f>'Yearly Model'!M8</f>
        <v>-73.42859562888486</v>
      </c>
      <c r="K8" s="55">
        <f>'Yearly Model'!N8</f>
        <v>16.55377756457358</v>
      </c>
      <c r="L8" s="55">
        <f>'Yearly Model'!O8</f>
        <v>113.117480024587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0.0</v>
      </c>
      <c r="J9" s="52">
        <f>MAX(0,J8)*Assumptions!$E$14</f>
        <v>0.0</v>
      </c>
      <c r="K9" s="52">
        <f>MAX(0,K8)*Assumptions!$E$14</f>
        <v>2.814142185977509</v>
      </c>
      <c r="L9" s="52">
        <f>MAX(0,L8)*Assumptions!$E$14</f>
        <v>19.22997160417979</v>
      </c>
    </row>
    <row r="10">
      <c r="A10" s="14" t="inlineStr">
        <is>
          <t>NOPAT</t>
        </is>
      </c>
      <c r="C10" s="52">
        <f>C8-C9</f>
        <v>-248.29461706</v>
      </c>
      <c r="D10" s="52">
        <f>D8-D9</f>
        <v>-268.8443673715289</v>
      </c>
      <c r="E10" s="52">
        <f>E8-E9</f>
        <v>-278.63516935395154</v>
      </c>
      <c r="F10" s="52">
        <f>F8-F9</f>
        <v>-274.023147493534</v>
      </c>
      <c r="G10" s="52">
        <f>G8-G9</f>
        <v>-252.02796294116513</v>
      </c>
      <c r="H10" s="52">
        <f>H8-H9</f>
        <v>-210.90733899790297</v>
      </c>
      <c r="I10" s="52">
        <f>I8-I9</f>
        <v>-150.67205651667206</v>
      </c>
      <c r="J10" s="52">
        <f>J8-J9</f>
        <v>-73.42859562888486</v>
      </c>
      <c r="K10" s="52">
        <f>K8-K9</f>
        <v>13.73963537859607</v>
      </c>
      <c r="L10" s="52">
        <f>L8-L9</f>
        <v>93.8875084204072</v>
      </c>
    </row>
    <row r="11">
      <c r="A11" s="14" t="inlineStr">
        <is>
          <t>Reinvestment</t>
        </is>
      </c>
      <c r="C11" s="52">
        <f>(C7-B7)*Assumptions!$E$15</f>
        <v>9.8789205</v>
      </c>
      <c r="D11" s="52">
        <f>(D7-C7)*Assumptions!$E$15</f>
        <v>11.268675916277772</v>
      </c>
      <c r="E11" s="52">
        <f>(E7-D7)*Assumptions!$E$15</f>
        <v>12.421820087245337</v>
      </c>
      <c r="F11" s="52">
        <f>(F7-E7)*Assumptions!$E$15</f>
        <v>13.181226024993336</v>
      </c>
      <c r="G11" s="52">
        <f>(G7-F7)*Assumptions!$E$15</f>
        <v>13.390189371931655</v>
      </c>
      <c r="H11" s="52">
        <f>(H7-G7)*Assumptions!$E$15</f>
        <v>12.913740494293037</v>
      </c>
      <c r="I11" s="52">
        <f>(I7-H7)*Assumptions!$E$15</f>
        <v>11.662150602575025</v>
      </c>
      <c r="J11" s="52">
        <f>(J7-I7)*Assumptions!$E$15</f>
        <v>9.612769197121011</v>
      </c>
      <c r="K11" s="52">
        <f>(K7-J7)*Assumptions!$E$15</f>
        <v>6.825654177010421</v>
      </c>
      <c r="L11" s="52">
        <f>(L7-K7)*Assumptions!$E$15</f>
        <v>3.448703659286167</v>
      </c>
    </row>
    <row r="12">
      <c r="A12" s="20" t="inlineStr">
        <is>
          <t>Free cash flow</t>
        </is>
      </c>
      <c r="C12" s="64">
        <f>C10-C11</f>
        <v>-258.17353756</v>
      </c>
      <c r="D12" s="64">
        <f>D10-D11</f>
        <v>-280.1130432878067</v>
      </c>
      <c r="E12" s="64">
        <f>E10-E11</f>
        <v>-291.0569894411969</v>
      </c>
      <c r="F12" s="64">
        <f>F10-F11</f>
        <v>-287.20437351852735</v>
      </c>
      <c r="G12" s="64">
        <f>G10-G11</f>
        <v>-265.4181523130968</v>
      </c>
      <c r="H12" s="64">
        <f>H10-H11</f>
        <v>-223.82107949219602</v>
      </c>
      <c r="I12" s="64">
        <f>I10-I11</f>
        <v>-162.33420711924708</v>
      </c>
      <c r="J12" s="64">
        <f>J10-J11</f>
        <v>-83.04136482600587</v>
      </c>
      <c r="K12" s="64">
        <f>K10-K11</f>
        <v>6.913981201585649</v>
      </c>
      <c r="L12" s="64">
        <f>L10-L11</f>
        <v>90.43880476112103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0.9773850037537266</v>
      </c>
      <c r="D15" s="65">
        <f>1/(1+Assumptions!$E$10)^D14</f>
        <v>0.9129022614872813</v>
      </c>
      <c r="E15" s="65">
        <f>1/(1+Assumptions!$E$10)^E14</f>
        <v>0.8337006954221746</v>
      </c>
      <c r="F15" s="65">
        <f>1/(1+Assumptions!$E$10)^F14</f>
        <v>0.7613704981024426</v>
      </c>
      <c r="G15" s="65">
        <f>1/(1+Assumptions!$E$10)^G14</f>
        <v>0.6953155233812262</v>
      </c>
      <c r="H15" s="65">
        <f>1/(1+Assumptions!$E$10)^H14</f>
        <v>0.6349913455536312</v>
      </c>
      <c r="I15" s="65">
        <f>1/(1+Assumptions!$E$10)^I14</f>
        <v>0.5799007721950971</v>
      </c>
      <c r="J15" s="65">
        <f>1/(1+Assumptions!$E$10)^J14</f>
        <v>0.5295897462968923</v>
      </c>
      <c r="K15" s="65">
        <f>1/(1+Assumptions!$E$10)^K14</f>
        <v>0.48364360392410255</v>
      </c>
      <c r="L15" s="65">
        <f>1/(1+Assumptions!$E$10)^L14</f>
        <v>0.44168365655169184</v>
      </c>
    </row>
    <row r="16">
      <c r="A16" s="20" t="inlineStr">
        <is>
          <t>PV of free cash flow</t>
        </is>
      </c>
      <c r="C16" s="64">
        <f>C12*C13*C15</f>
        <v>-127.20204525890323</v>
      </c>
      <c r="D16" s="64">
        <f>D12*D13*D15</f>
        <v>-255.71583068952344</v>
      </c>
      <c r="E16" s="64">
        <f>E12*E13*E15</f>
        <v>-242.65441450461037</v>
      </c>
      <c r="F16" s="64">
        <f>F12*F13*F15</f>
        <v>-218.66893692300116</v>
      </c>
      <c r="G16" s="64">
        <f>G12*G13*G15</f>
        <v>-184.54936149045892</v>
      </c>
      <c r="H16" s="64">
        <f>H12*H13*H15</f>
        <v>-142.1244484300158</v>
      </c>
      <c r="I16" s="64">
        <f>I12*I13*I15</f>
        <v>-94.13773206213021</v>
      </c>
      <c r="J16" s="64">
        <f>J12*J13*J15</f>
        <v>-43.97785533035212</v>
      </c>
      <c r="K16" s="64">
        <f>K12*K13*K15</f>
        <v>3.3439027857983805</v>
      </c>
      <c r="L16" s="64">
        <f>L12*L13*L15</f>
        <v>39.945341981056494</v>
      </c>
    </row>
    <row r="19">
      <c r="A19" s="14" t="inlineStr">
        <is>
          <t>PV of forecast free cash flow</t>
        </is>
      </c>
      <c r="B19" s="52">
        <f>SUM(C16:L16)</f>
        <v>-1265.7413799221404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92.69977488014902</v>
      </c>
    </row>
    <row r="21">
      <c r="A21" s="14" t="inlineStr">
        <is>
          <t>Terminal value</t>
        </is>
      </c>
      <c r="B21" s="52">
        <f>B20/(Assumptions!$E$10-Assumptions!$E$11)</f>
        <v>1324.282498287843</v>
      </c>
    </row>
    <row r="22">
      <c r="A22" s="14" t="inlineStr">
        <is>
          <t>PV of terminal value</t>
        </is>
      </c>
      <c r="B22" s="52">
        <f>B21/(1+Assumptions!$E$10)^(L14+0.5)</f>
        <v>558.9653788086807</v>
      </c>
    </row>
    <row r="23">
      <c r="A23" s="20" t="inlineStr">
        <is>
          <t>Enterprise value</t>
        </is>
      </c>
      <c r="B23" s="66">
        <f>B19+B22</f>
        <v>-706.7760011134596</v>
      </c>
    </row>
    <row r="24">
      <c r="A24" s="14" t="inlineStr">
        <is>
          <t>Cash &amp; investments</t>
        </is>
      </c>
      <c r="B24" s="55">
        <f>Main!C7</f>
        <v>861.609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154.8329988865404</v>
      </c>
    </row>
    <row r="27">
      <c r="A27" s="14" t="inlineStr">
        <is>
          <t>Shares (mm)</t>
        </is>
      </c>
      <c r="B27" s="55">
        <f>Main!C4</f>
        <v>44.666234</v>
      </c>
    </row>
    <row r="28">
      <c r="A28" s="20" t="inlineStr">
        <is>
          <t>NPV / share</t>
        </is>
      </c>
      <c r="B28" s="49">
        <f>B26/B27</f>
        <v>3.466444000775628</v>
      </c>
    </row>
    <row r="29">
      <c r="A29" s="14" t="inlineStr">
        <is>
          <t>Price</t>
        </is>
      </c>
      <c r="B29" s="50">
        <f>Main!C3</f>
        <v>124.67</v>
      </c>
    </row>
    <row r="30">
      <c r="A30" s="14" t="inlineStr">
        <is>
          <t>Upside</t>
        </is>
      </c>
      <c r="B30" s="63">
        <f>B28/B29-1</f>
        <v>-0.9721950429070696</v>
      </c>
    </row>
    <row r="31">
      <c r="A31" s="14" t="inlineStr">
        <is>
          <t>Terminal value, % of EV</t>
        </is>
      </c>
      <c r="B31" s="63">
        <f>IFERROR(B22/B23,0)</f>
        <v>-0.7908663818919756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2026-10-21T06:21:39Z</dcterms:modified>
  <cp:lastModifiedBy>Wang, Eric</cp:lastModifiedBy>
</cp:coreProperties>
</file>