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Sunshine Biopharma Inc</t>
        </is>
      </c>
      <c r="C2" s="10" t="n"/>
    </row>
    <row r="3">
      <c r="B3" t="inlineStr">
        <is>
          <t>Price</t>
        </is>
      </c>
      <c r="C3" s="11">
        <f>INDEX([1]Pharma!$F$1:$F$1000,MATCH("SBFM",[1]Pharma!$B$1:$B$1000,0))</f>
        <v>0.2418</v>
      </c>
      <c r="F3" s="1" t="n"/>
    </row>
    <row r="4">
      <c r="B4" t="inlineStr">
        <is>
          <t>Shares</t>
        </is>
      </c>
      <c r="C4" s="21" t="n">
        <v>3.877337</v>
      </c>
      <c r="F4" s="1" t="n"/>
    </row>
    <row r="5">
      <c r="B5" t="inlineStr">
        <is>
          <t>Market Cap.</t>
        </is>
      </c>
      <c r="C5" s="13">
        <f>C3*C4</f>
        <v>0.9375400865999999</v>
      </c>
      <c r="F5" s="1" t="n"/>
    </row>
    <row r="6"/>
    <row r="7">
      <c r="B7" t="inlineStr">
        <is>
          <t>Cash</t>
        </is>
      </c>
      <c r="C7" s="21" t="n">
        <v>13.748301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-12.8107609134</v>
      </c>
    </row>
    <row r="10"/>
    <row r="11">
      <c r="B11" s="14" t="inlineStr">
        <is>
          <t>Net Cash / Share</t>
        </is>
      </c>
      <c r="C11" s="11">
        <f>(C7-C8)/C4</f>
        <v>3.545810178480746</v>
      </c>
    </row>
    <row r="12">
      <c r="B12" s="14" t="inlineStr">
        <is>
          <t>Upside</t>
        </is>
      </c>
      <c r="C12" s="15">
        <f>IFERROR(C11/C3-1,"")</f>
        <v>13.664227371715246</v>
      </c>
    </row>
    <row r="13">
      <c r="B13" s="14" t="inlineStr">
        <is>
          <t>Cash / Share</t>
        </is>
      </c>
      <c r="C13" s="11">
        <f>IFERROR((C7-C8)/C4,"")</f>
        <v>3.545810178480746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-5.353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2.5683356996076965</v>
      </c>
    </row>
    <row r="19">
      <c r="B19" s="14" t="inlineStr">
        <is>
          <t>Implied Pipeline Value</t>
        </is>
      </c>
      <c r="C19" s="13">
        <f>C9</f>
        <v>-12.8107609134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0.002</v>
      </c>
      <c r="H2" s="23" t="n">
        <v>0</v>
      </c>
      <c r="I2" s="23" t="n">
        <v>0</v>
      </c>
      <c r="J2" s="23" t="n">
        <v>0</v>
      </c>
      <c r="K2" s="23" t="n">
        <v>0.021</v>
      </c>
      <c r="L2" s="23" t="n">
        <v>0.07099999999999999</v>
      </c>
      <c r="M2" s="23" t="n">
        <v>0.228</v>
      </c>
      <c r="N2" s="23" t="n">
        <v>4.346</v>
      </c>
      <c r="O2" s="23" t="n">
        <v>24.093</v>
      </c>
      <c r="P2" s="23" t="n">
        <v>34.874</v>
      </c>
      <c r="Q2" s="23" t="n">
        <v>36.306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0.011</v>
      </c>
      <c r="L3" s="23" t="n">
        <v>0.026</v>
      </c>
      <c r="M3" s="23" t="n">
        <v>0.118</v>
      </c>
      <c r="N3" s="23" t="n">
        <v>2.649</v>
      </c>
      <c r="O3" s="23" t="n">
        <v>15.754</v>
      </c>
      <c r="P3" s="23" t="n">
        <v>24.204</v>
      </c>
      <c r="Q3" s="23" t="n">
        <v>24.05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0.002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0.010000000000000002</v>
      </c>
      <c r="L4" s="23">
        <f>L2-L3</f>
        <v>0.045</v>
      </c>
      <c r="M4" s="23">
        <f>M2-M3</f>
        <v>0.11000000000000001</v>
      </c>
      <c r="N4" s="23">
        <f>N2-N3</f>
        <v>1.697</v>
      </c>
      <c r="O4" s="23">
        <f>O2-O3</f>
        <v>8.339</v>
      </c>
      <c r="P4" s="23">
        <f>P2-P3</f>
        <v>10.670000000000002</v>
      </c>
      <c r="Q4" s="23">
        <f>Q2-Q3</f>
        <v>12.255999999999997</v>
      </c>
    </row>
    <row r="5">
      <c r="A5" s="2" t="inlineStr">
        <is>
          <t>Research &amp; Dev.</t>
        </is>
      </c>
      <c r="B5" s="23" t="n">
        <v>0</v>
      </c>
      <c r="C5" s="23" t="n">
        <v>0.143</v>
      </c>
      <c r="D5" s="23" t="n">
        <v>0.002</v>
      </c>
      <c r="E5" s="23" t="n">
        <v>0.137</v>
      </c>
      <c r="F5" s="23" t="n">
        <v>0.327</v>
      </c>
      <c r="G5" s="23" t="n">
        <v>0.008999999999999999</v>
      </c>
      <c r="H5" s="23" t="n">
        <v>0.033</v>
      </c>
      <c r="I5" s="23" t="n">
        <v>0</v>
      </c>
      <c r="J5" s="23" t="n">
        <v>0.013</v>
      </c>
      <c r="K5" s="23" t="n">
        <v>0.015</v>
      </c>
      <c r="L5" s="23" t="n">
        <v>0.002</v>
      </c>
      <c r="M5" s="23" t="n">
        <v>0.672</v>
      </c>
      <c r="N5" s="23" t="n">
        <v>0.8120000000000001</v>
      </c>
      <c r="O5" s="23" t="n">
        <v>1.856</v>
      </c>
      <c r="P5" s="23" t="n">
        <v>0.9340000000000001</v>
      </c>
      <c r="Q5" s="23" t="n">
        <v>0.604</v>
      </c>
    </row>
    <row r="6">
      <c r="A6" s="19" t="inlineStr">
        <is>
          <t>SG&amp;A &amp; Other</t>
        </is>
      </c>
      <c r="B6" s="23" t="n">
        <v>0.537</v>
      </c>
      <c r="C6" s="23" t="n">
        <v>0.414</v>
      </c>
      <c r="D6" s="23" t="n">
        <v>0.705</v>
      </c>
      <c r="E6" s="23" t="n">
        <v>1.799</v>
      </c>
      <c r="F6" s="23" t="n">
        <v>1.428</v>
      </c>
      <c r="G6" s="23" t="n">
        <v>0.773</v>
      </c>
      <c r="H6" s="23" t="n">
        <v>0.96</v>
      </c>
      <c r="I6" s="23" t="n">
        <v>0.857</v>
      </c>
      <c r="J6" s="23" t="n">
        <v>1.151</v>
      </c>
      <c r="K6" s="23" t="n">
        <v>0.637</v>
      </c>
      <c r="L6" s="23" t="n">
        <v>0.621</v>
      </c>
      <c r="M6" s="23" t="n">
        <v>1.879</v>
      </c>
      <c r="N6" s="23" t="n">
        <v>27.885</v>
      </c>
      <c r="O6" s="23" t="n">
        <v>11.269</v>
      </c>
      <c r="P6" s="23" t="n">
        <v>15.548</v>
      </c>
      <c r="Q6" s="23" t="n">
        <v>17.878</v>
      </c>
    </row>
    <row r="7">
      <c r="A7" s="2" t="inlineStr">
        <is>
          <t>Operating Expense</t>
        </is>
      </c>
      <c r="B7" s="23">
        <f>SUM(B5:B6)</f>
        <v>0.537</v>
      </c>
      <c r="C7" s="23">
        <f>SUM(C5:C6)</f>
        <v>0.5569999999999999</v>
      </c>
      <c r="D7" s="23">
        <f>SUM(D5:D6)</f>
        <v>0.707</v>
      </c>
      <c r="E7" s="23">
        <f>SUM(E5:E6)</f>
        <v>1.936</v>
      </c>
      <c r="F7" s="23">
        <f>SUM(F5:F6)</f>
        <v>1.755</v>
      </c>
      <c r="G7" s="23">
        <f>SUM(G5:G6)</f>
        <v>0.782</v>
      </c>
      <c r="H7" s="23">
        <f>SUM(H5:H6)</f>
        <v>0.993</v>
      </c>
      <c r="I7" s="23">
        <f>SUM(I5:I6)</f>
        <v>0.857</v>
      </c>
      <c r="J7" s="23">
        <f>SUM(J5:J6)</f>
        <v>1.164</v>
      </c>
      <c r="K7" s="23">
        <f>SUM(K5:K6)</f>
        <v>0.652</v>
      </c>
      <c r="L7" s="23">
        <f>SUM(L5:L6)</f>
        <v>0.623</v>
      </c>
      <c r="M7" s="23">
        <f>SUM(M5:M6)</f>
        <v>2.551</v>
      </c>
      <c r="N7" s="23">
        <f>SUM(N5:N6)</f>
        <v>28.697000000000003</v>
      </c>
      <c r="O7" s="23">
        <f>SUM(O5:O6)</f>
        <v>13.125</v>
      </c>
      <c r="P7" s="23">
        <f>SUM(P5:P6)</f>
        <v>16.482</v>
      </c>
      <c r="Q7" s="23">
        <f>SUM(Q5:Q6)</f>
        <v>18.482</v>
      </c>
    </row>
    <row r="8">
      <c r="A8" s="2" t="inlineStr">
        <is>
          <t>Operating Income</t>
        </is>
      </c>
      <c r="B8" s="23">
        <f>B4-B7</f>
        <v>-0.537</v>
      </c>
      <c r="C8" s="23">
        <f>C4-C7</f>
        <v>-0.5569999999999999</v>
      </c>
      <c r="D8" s="23">
        <f>D4-D7</f>
        <v>-0.707</v>
      </c>
      <c r="E8" s="23">
        <f>E4-E7</f>
        <v>-1.936</v>
      </c>
      <c r="F8" s="23">
        <f>F4-F7</f>
        <v>-1.755</v>
      </c>
      <c r="G8" s="23">
        <f>G4-G7</f>
        <v>-0.78</v>
      </c>
      <c r="H8" s="23">
        <f>H4-H7</f>
        <v>-0.993</v>
      </c>
      <c r="I8" s="23">
        <f>I4-I7</f>
        <v>-0.857</v>
      </c>
      <c r="J8" s="23">
        <f>J4-J7</f>
        <v>-1.164</v>
      </c>
      <c r="K8" s="23">
        <f>K4-K7</f>
        <v>-0.642</v>
      </c>
      <c r="L8" s="23">
        <f>L4-L7</f>
        <v>-0.578</v>
      </c>
      <c r="M8" s="23">
        <f>M4-M7</f>
        <v>-2.4410000000000003</v>
      </c>
      <c r="N8" s="23">
        <f>N4-N7</f>
        <v>-27.000000000000004</v>
      </c>
      <c r="O8" s="23">
        <f>O4-O7</f>
        <v>-4.786</v>
      </c>
      <c r="P8" s="23">
        <f>P4-P7</f>
        <v>-5.811999999999998</v>
      </c>
      <c r="Q8" s="23">
        <f>Q4-Q7</f>
        <v>-6.226000000000003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-0.001</v>
      </c>
      <c r="E9" s="23" t="n">
        <v>-0.555</v>
      </c>
      <c r="F9" s="23" t="n">
        <v>-0.179</v>
      </c>
      <c r="G9" s="23" t="n">
        <v>-0.873</v>
      </c>
      <c r="H9" s="23" t="n">
        <v>-2.504</v>
      </c>
      <c r="I9" s="23" t="n">
        <v>-0.183</v>
      </c>
      <c r="J9" s="23" t="n">
        <v>-0.992</v>
      </c>
      <c r="K9" s="23" t="n">
        <v>-1.019</v>
      </c>
      <c r="L9" s="23" t="n">
        <v>-2.207</v>
      </c>
      <c r="M9" s="23" t="n">
        <v>-9.996</v>
      </c>
      <c r="N9" s="23" t="n">
        <v>0.49</v>
      </c>
      <c r="O9" s="23" t="n">
        <v>0.674</v>
      </c>
      <c r="P9" s="23" t="n">
        <v>0.443</v>
      </c>
      <c r="Q9" s="23" t="n">
        <v>0.273</v>
      </c>
    </row>
    <row r="10">
      <c r="A10" s="2" t="inlineStr">
        <is>
          <t>Pretax</t>
        </is>
      </c>
      <c r="B10" s="23">
        <f>B8+B9</f>
        <v>-0.537</v>
      </c>
      <c r="C10" s="23">
        <f>C8+C9</f>
        <v>-0.5569999999999999</v>
      </c>
      <c r="D10" s="23">
        <f>D8+D9</f>
        <v>-0.708</v>
      </c>
      <c r="E10" s="23">
        <f>E8+E9</f>
        <v>-2.491</v>
      </c>
      <c r="F10" s="23">
        <f>F8+F9</f>
        <v>-1.934</v>
      </c>
      <c r="G10" s="23">
        <f>G8+G9</f>
        <v>-1.653</v>
      </c>
      <c r="H10" s="23">
        <f>H8+H9</f>
        <v>-3.497</v>
      </c>
      <c r="I10" s="23">
        <f>I8+I9</f>
        <v>-1.04</v>
      </c>
      <c r="J10" s="23">
        <f>J8+J9</f>
        <v>-2.1559999999999997</v>
      </c>
      <c r="K10" s="23">
        <f>K8+K9</f>
        <v>-1.661</v>
      </c>
      <c r="L10" s="23">
        <f>L8+L9</f>
        <v>-2.7849999999999997</v>
      </c>
      <c r="M10" s="23">
        <f>M8+M9</f>
        <v>-12.437000000000001</v>
      </c>
      <c r="N10" s="23">
        <f>N8+N9</f>
        <v>-26.510000000000005</v>
      </c>
      <c r="O10" s="23">
        <f>O8+O9</f>
        <v>-4.111999999999999</v>
      </c>
      <c r="P10" s="23">
        <f>P8+P9</f>
        <v>-5.368999999999998</v>
      </c>
      <c r="Q10" s="23">
        <f>Q8+Q9</f>
        <v>-5.953000000000003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0.233</v>
      </c>
      <c r="O11" s="23" t="n">
        <v>0.395</v>
      </c>
      <c r="P11" s="23" t="n">
        <v>-0.235</v>
      </c>
      <c r="Q11" s="23" t="n">
        <v>0.022</v>
      </c>
    </row>
    <row r="12">
      <c r="A12" s="2" t="inlineStr">
        <is>
          <t>Net Income</t>
        </is>
      </c>
      <c r="B12" s="23" t="n">
        <v>-0.537</v>
      </c>
      <c r="C12" s="23" t="n">
        <v>-0.556</v>
      </c>
      <c r="D12" s="23" t="n">
        <v>-0.708</v>
      </c>
      <c r="E12" s="23" t="n">
        <v>-2.491</v>
      </c>
      <c r="F12" s="23" t="n">
        <v>-1.934</v>
      </c>
      <c r="G12" s="23" t="n">
        <v>-1.653</v>
      </c>
      <c r="H12" s="23" t="n">
        <v>-3.497</v>
      </c>
      <c r="I12" s="23" t="n">
        <v>-1.04</v>
      </c>
      <c r="J12" s="23" t="n">
        <v>-2.156</v>
      </c>
      <c r="K12" s="23" t="n">
        <v>-1.66</v>
      </c>
      <c r="L12" s="23" t="n">
        <v>-2.784</v>
      </c>
      <c r="M12" s="23" t="n">
        <v>-12.436</v>
      </c>
      <c r="N12" s="23" t="n">
        <v>-26.744</v>
      </c>
      <c r="O12" s="23" t="n">
        <v>-4.506</v>
      </c>
      <c r="P12" s="23" t="n">
        <v>-5.134</v>
      </c>
      <c r="Q12" s="23" t="n">
        <v>-5.975</v>
      </c>
    </row>
    <row r="13">
      <c r="A13" s="2" t="inlineStr">
        <is>
          <t>Earnings per Share</t>
        </is>
      </c>
      <c r="B13" s="11">
        <f>IFERROR(B12/B14,0)</f>
        <v>-0.06453551255858671</v>
      </c>
      <c r="C13" s="11">
        <f>IFERROR(C12/C14,0)</f>
        <v>-0.06459858254908796</v>
      </c>
      <c r="D13" s="11">
        <f>IFERROR(D12/D14,0)</f>
        <v>-0.05103438333453471</v>
      </c>
      <c r="E13" s="11">
        <f>IFERROR(E12/E14,0)</f>
        <v>-0.16133419689119172</v>
      </c>
      <c r="F13" s="11">
        <f>IFERROR(F12/F14,0)</f>
        <v>-0.10492621527777778</v>
      </c>
      <c r="G13" s="11">
        <f>IFERROR(G12/G14,0)</f>
        <v>-0.048502097943135467</v>
      </c>
      <c r="H13" s="11">
        <f>IFERROR(H12/H14,0)</f>
        <v>-0.02953073408827975</v>
      </c>
      <c r="I13" s="11">
        <f>IFERROR(I12/I14,0)</f>
        <v>-0.08551225127446144</v>
      </c>
      <c r="J13" s="11">
        <f>IFERROR(J12/J14,0)</f>
        <v>-2.539458186101296</v>
      </c>
      <c r="K13" s="11">
        <f>IFERROR(K12/K14,0)</f>
        <v>-0.544798162126682</v>
      </c>
      <c r="L13" s="11">
        <f>IFERROR(L12/L14,0)</f>
        <v>-9.80281690140845</v>
      </c>
      <c r="M13" s="11">
        <f>IFERROR(M12/M14,0)</f>
        <v>-17.082417582417584</v>
      </c>
      <c r="N13" s="11">
        <f>IFERROR(N12/N14,0)</f>
        <v>-6.32096431103758</v>
      </c>
      <c r="O13" s="11">
        <f>IFERROR(O12/O14,0)</f>
        <v>-1.0647448015122873</v>
      </c>
      <c r="P13" s="11">
        <f>IFERROR(P12/P14,0)</f>
        <v>-1.2194774346793351</v>
      </c>
      <c r="Q13" s="11">
        <f>IFERROR(Q12/Q14,0)</f>
        <v>-1.4373346163098388</v>
      </c>
    </row>
    <row r="14">
      <c r="A14" s="2" t="inlineStr">
        <is>
          <t>Shares</t>
        </is>
      </c>
      <c r="B14" s="23" t="n">
        <v>8.321</v>
      </c>
      <c r="C14" s="23" t="n">
        <v>8.606999999999999</v>
      </c>
      <c r="D14" s="23" t="n">
        <v>13.873</v>
      </c>
      <c r="E14" s="23" t="n">
        <v>15.44</v>
      </c>
      <c r="F14" s="23" t="n">
        <v>18.432</v>
      </c>
      <c r="G14" s="23" t="n">
        <v>34.081</v>
      </c>
      <c r="H14" s="23" t="n">
        <v>118.419</v>
      </c>
      <c r="I14" s="23" t="n">
        <v>12.162</v>
      </c>
      <c r="J14" s="23" t="n">
        <v>0.849</v>
      </c>
      <c r="K14" s="23" t="n">
        <v>3.047</v>
      </c>
      <c r="L14" s="23" t="n">
        <v>0.284</v>
      </c>
      <c r="M14" s="23" t="n">
        <v>0.728</v>
      </c>
      <c r="N14" s="23" t="n">
        <v>4.231</v>
      </c>
      <c r="O14" s="23" t="n">
        <v>4.232</v>
      </c>
      <c r="P14" s="23" t="n">
        <v>4.21</v>
      </c>
      <c r="Q14" s="23" t="n">
        <v>4.157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2.3809523809523805</v>
      </c>
      <c r="M16" s="15">
        <f>IFERROR(M2/L2-1,"")</f>
        <v>2.2112676056338034</v>
      </c>
      <c r="N16" s="15">
        <f>IFERROR(N2/M2-1,"")</f>
        <v>18.061403508771928</v>
      </c>
      <c r="O16" s="15">
        <f>IFERROR(O2/N2-1,"")</f>
        <v>4.543718361711919</v>
      </c>
      <c r="P16" s="15">
        <f>IFERROR(P2/O2-1,"")</f>
        <v>0.44747437014900604</v>
      </c>
      <c r="Q16" s="15">
        <f>IFERROR(Q2/P2-1,"")</f>
        <v>0.04106210930779364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0.4761904761904763</v>
      </c>
      <c r="L17" s="15">
        <f>IFERROR(L4/L2,"")</f>
        <v>0.6338028169014085</v>
      </c>
      <c r="M17" s="15">
        <f>IFERROR(M4/M2,"")</f>
        <v>0.48245614035087725</v>
      </c>
      <c r="N17" s="15">
        <f>IFERROR(N4/N2,"")</f>
        <v>0.39047399907961344</v>
      </c>
      <c r="O17" s="15">
        <f>IFERROR(O4/O2,"")</f>
        <v>0.34611712945668865</v>
      </c>
      <c r="P17" s="15">
        <f>IFERROR(P4/P2,"")</f>
        <v>0.30595859379480417</v>
      </c>
      <c r="Q17" s="15">
        <f>IFERROR(Q4/Q2,"")</f>
        <v>0.33757505646449615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-390.0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-30.57142857142857</v>
      </c>
      <c r="L18" s="15">
        <f>IFERROR(L8/L2,"")</f>
        <v>-8.140845070422536</v>
      </c>
      <c r="M18" s="15">
        <f>IFERROR(M8/M2,"")</f>
        <v>-10.706140350877194</v>
      </c>
      <c r="N18" s="15">
        <f>IFERROR(N8/N2,"")</f>
        <v>-6.21260929590428</v>
      </c>
      <c r="O18" s="15">
        <f>IFERROR(O8/O2,"")</f>
        <v>-0.19864690989083963</v>
      </c>
      <c r="P18" s="15">
        <f>IFERROR(P8/P2,"")</f>
        <v>-0.16665710844755396</v>
      </c>
      <c r="Q18" s="15">
        <f>IFERROR(Q8/Q2,"")</f>
        <v>-0.17148680658844276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2026-10-21T01:06:55Z</dcterms:modified>
  <cp:lastModifiedBy>Wang, Eric</cp:lastModifiedBy>
</cp:coreProperties>
</file>