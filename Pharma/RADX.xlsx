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Radiopharm Theranostics Ltd</t>
        </is>
      </c>
      <c r="C2" s="10" t="n"/>
    </row>
    <row r="3">
      <c r="B3" t="inlineStr">
        <is>
          <t>Price</t>
        </is>
      </c>
      <c r="C3" s="11">
        <f>INDEX([1]Pharma!$F$1:$F$1000,MATCH("RADX",[1]Pharma!$B$1:$B$1000,0))</f>
        <v>0.99</v>
      </c>
      <c r="F3" s="1" t="n"/>
    </row>
    <row r="4">
      <c r="B4" t="inlineStr">
        <is>
          <t>Shares</t>
        </is>
      </c>
      <c r="C4" s="21" t="n"/>
      <c r="F4" s="1" t="n"/>
    </row>
    <row r="5">
      <c r="B5" t="inlineStr">
        <is>
          <t>Market Cap.</t>
        </is>
      </c>
      <c r="C5" s="13">
        <f>C3*C4</f>
        <v>0.0</v>
      </c>
      <c r="F5" s="1" t="n"/>
    </row>
    <row r="6"/>
    <row r="7">
      <c r="B7" t="inlineStr">
        <is>
          <t>Cash</t>
        </is>
      </c>
      <c r="C7" s="21" t="n">
        <v>29.116835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-29.116835</v>
      </c>
    </row>
    <row r="10"/>
    <row r="11">
      <c r="B11" s="14" t="inlineStr">
        <is>
          <t>NPV / Share</t>
        </is>
      </c>
      <c r="C11" s="11" t="n"/>
    </row>
    <row r="12">
      <c r="B12" s="14" t="inlineStr">
        <is>
          <t>Upside</t>
        </is>
      </c>
      <c r="C12" s="15" t="n"/>
    </row>
    <row r="13">
      <c r="B13" s="14" t="inlineStr">
        <is>
          <t>Cash / Share</t>
        </is>
      </c>
      <c r="C13" s="11">
        <f>IFERROR((C7-C8)/C4,"")</f>
        <v/>
      </c>
    </row>
    <row r="14">
      <c r="B14" s="14" t="inlineStr">
        <is>
          <t>Scenario</t>
        </is>
      </c>
      <c r="C14" s="14" t="inlineStr">
        <is>
          <t>no data</t>
        </is>
      </c>
    </row>
    <row r="15">
      <c r="B15" s="14" t="inlineStr">
        <is>
          <t>Model</t>
        </is>
      </c>
      <c r="C15" s="14" t="inlineStr">
        <is>
          <t>n/a</t>
        </is>
      </c>
    </row>
    <row r="16"/>
    <row r="17">
      <c r="B17" s="14" t="inlineStr">
        <is>
          <t>TTM Operating Cash Flow</t>
        </is>
      </c>
      <c r="C17" s="21" t="n">
        <v>-36.645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0.7945650156910901</v>
      </c>
    </row>
    <row r="19">
      <c r="B19" s="14" t="inlineStr">
        <is>
          <t>Implied Pipeline Value</t>
        </is>
      </c>
      <c r="C19" s="13">
        <f>C9</f>
        <v>-29.116835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2023</v>
      </c>
      <c r="C1" s="17" t="n">
        <v>2024</v>
      </c>
      <c r="D1" s="17" t="n">
        <v>2025</v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0.292</v>
      </c>
      <c r="C2" s="23" t="n">
        <v>0.299</v>
      </c>
      <c r="D2" s="23" t="n">
        <v>3.633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3.594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0.292</v>
      </c>
      <c r="C4" s="23">
        <f>C2-C3</f>
        <v>0.299</v>
      </c>
      <c r="D4" s="23">
        <f>D2-D3</f>
        <v>0.039000000000000146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22.632</v>
      </c>
      <c r="C5" s="23" t="n">
        <v>23.086</v>
      </c>
      <c r="D5" s="23" t="n">
        <v>27.515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12.148</v>
      </c>
      <c r="C6" s="23" t="n">
        <v>24.423</v>
      </c>
      <c r="D6" s="23" t="n">
        <v>10.698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34.78</v>
      </c>
      <c r="C7" s="23">
        <f>SUM(C5:C6)</f>
        <v>47.509</v>
      </c>
      <c r="D7" s="23">
        <f>SUM(D5:D6)</f>
        <v>38.213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-34.488</v>
      </c>
      <c r="C8" s="23">
        <f>C4-C7</f>
        <v>-47.21</v>
      </c>
      <c r="D8" s="23">
        <f>D4-D7</f>
        <v>-38.174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-0.08599999999999999</v>
      </c>
      <c r="C9" s="23" t="n">
        <v>-0.643</v>
      </c>
      <c r="D9" s="23" t="n">
        <v>-0.065</v>
      </c>
    </row>
    <row r="10">
      <c r="A10" s="2" t="inlineStr">
        <is>
          <t>Pretax</t>
        </is>
      </c>
      <c r="B10" s="23">
        <f>B8+B9</f>
        <v>-34.574</v>
      </c>
      <c r="C10" s="23">
        <f>C8+C9</f>
        <v>-47.853</v>
      </c>
      <c r="D10" s="23">
        <f>D8+D9</f>
        <v>-38.239</v>
      </c>
      <c r="I10" s="1" t="n"/>
      <c r="J10" s="1" t="n"/>
      <c r="K10" s="1" t="n"/>
    </row>
    <row r="11">
      <c r="A11" s="2" t="inlineStr">
        <is>
          <t>Taxes</t>
        </is>
      </c>
      <c r="B11" s="23" t="n">
        <v>0.038</v>
      </c>
      <c r="C11" s="23" t="n">
        <v>0.096</v>
      </c>
      <c r="D11" s="23" t="n">
        <v>0.103</v>
      </c>
    </row>
    <row r="12">
      <c r="A12" s="2" t="inlineStr">
        <is>
          <t>Net Income</t>
        </is>
      </c>
      <c r="B12" s="23" t="n">
        <v>-34.611</v>
      </c>
      <c r="C12" s="23" t="n">
        <v>-47.949</v>
      </c>
      <c r="D12" s="23" t="n">
        <v>-38.342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-0.11316960563444754</v>
      </c>
      <c r="C13" s="11">
        <f>IFERROR(C12/C14,0)</f>
        <v>-0.12407234901412824</v>
      </c>
      <c r="D13" s="11">
        <f>IFERROR(D12/D14,0)</f>
        <v>-0.01842428226411758</v>
      </c>
    </row>
    <row r="14">
      <c r="A14" s="2" t="inlineStr">
        <is>
          <t>Shares</t>
        </is>
      </c>
      <c r="B14" s="23" t="n">
        <v>305.833</v>
      </c>
      <c r="C14" s="23" t="n">
        <v>386.46</v>
      </c>
      <c r="D14" s="23" t="n">
        <v>2081.058</v>
      </c>
    </row>
    <row r="15"/>
    <row r="16" customFormat="1" s="4">
      <c r="A16" s="3" t="inlineStr">
        <is>
          <t>Revenue Change</t>
        </is>
      </c>
      <c r="C16" s="15">
        <f>IFERROR(C2/B2-1,"")</f>
        <v>0.023972602739726012</v>
      </c>
      <c r="D16" s="15">
        <f>IFERROR(D2/C2-1,"")</f>
        <v>11.150501672240804</v>
      </c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0.010734929810074359</v>
      </c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-118.1095890410959</v>
      </c>
      <c r="C18" s="15">
        <f>IFERROR(C8/C2,"")</f>
        <v>-157.89297658862878</v>
      </c>
      <c r="D18" s="15">
        <f>IFERROR(D8/D2,"")</f>
        <v>-10.507569501789154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2026-10-21T01:06:59Z</dcterms:modified>
  <cp:lastModifiedBy>Wang, Eric</cp:lastModifiedBy>
</cp:coreProperties>
</file>