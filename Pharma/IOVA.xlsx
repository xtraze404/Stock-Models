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NPV" sheetId="5" state="visible" r:id="rId5"/>
  </sheets>
  <externalReferences>
    <externalReference r:id="rId6"/>
  </externalReferences>
  <definedNames/>
  <calcPr calcId="191029" fullCalcOnLoad="1"/>
</workbook>
</file>

<file path=xl/styles.xml><?xml version="1.0" encoding="utf-8"?>
<styleSheet xmlns="http://schemas.openxmlformats.org/spreadsheetml/2006/main">
  <numFmts count="11">
    <numFmt numFmtId="164" formatCode="#,##0.0"/>
    <numFmt numFmtId="165" formatCode="0.0%"/>
    <numFmt numFmtId="166" formatCode="#,##0.0;(#,##0.0);&quot;-&quot;"/>
    <numFmt numFmtId="167" formatCode="0.0%;(0.0%);&quot;-&quot;"/>
    <numFmt numFmtId="168" formatCode="yyyy-mm-dd"/>
    <numFmt numFmtId="169" formatCode="0.0000"/>
    <numFmt numFmtId="170" formatCode="#,##0;(#,##0);&quot;-&quot;"/>
    <numFmt numFmtId="171" formatCode="$#,##0.00;($#,##0.00);&quot;-&quot;"/>
    <numFmt numFmtId="172" formatCode="[=1]&quot;Bear&quot;;[=2]&quot;Base&quot;;&quot;Bull&quot;"/>
    <numFmt numFmtId="173" formatCode="0.000"/>
    <numFmt numFmtId="174" formatCode="yyyy-mm-dd h:mm:ss"/>
  </numFmts>
  <fonts count="11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color rgb="00008000"/>
      <sz val="12"/>
    </font>
    <font>
      <name val="Aptos Narrow"/>
      <b val="1"/>
      <color rgb="00008000"/>
      <sz val="12"/>
    </font>
    <font>
      <name val="Aptos Narrow"/>
      <i val="1"/>
      <color rgb="00008000"/>
      <sz val="12"/>
    </font>
    <font>
      <name val="Aptos Narrow"/>
      <sz val="12"/>
    </font>
    <font>
      <name val="Aptos Narrow"/>
      <b val="1"/>
      <color rgb="000000FF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7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0" fontId="3" fillId="0" borderId="1" pivotButton="0" quotePrefix="0" xfId="0"/>
    <xf numFmtId="166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7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7" fontId="3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" fontId="2" fillId="0" borderId="0" pivotButton="0" quotePrefix="0" xfId="0"/>
    <xf numFmtId="2" fontId="5" fillId="0" borderId="0" pivotButton="0" quotePrefix="0" xfId="0"/>
    <xf numFmtId="168" fontId="2" fillId="0" borderId="0" pivotButton="0" quotePrefix="0" xfId="0"/>
    <xf numFmtId="169" fontId="2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71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71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" fontId="7" fillId="2" borderId="0" pivotButton="0" quotePrefix="0" xfId="0"/>
    <xf numFmtId="167" fontId="2" fillId="0" borderId="0" pivotButton="0" quotePrefix="0" xfId="0"/>
    <xf numFmtId="166" fontId="3" fillId="0" borderId="0" pivotButton="0" quotePrefix="0" xfId="0"/>
    <xf numFmtId="2" fontId="6" fillId="0" borderId="0" pivotButton="0" quotePrefix="0" xfId="0"/>
    <xf numFmtId="173" fontId="2" fillId="0" borderId="0" pivotButton="0" quotePrefix="0" xfId="0"/>
    <xf numFmtId="166" fontId="3" fillId="0" borderId="6" pivotButton="0" quotePrefix="0" xfId="0"/>
    <xf numFmtId="171" fontId="3" fillId="0" borderId="6" pivotButton="0" quotePrefix="0" xfId="0"/>
    <xf numFmtId="171" fontId="6" fillId="0" borderId="0" pivotButton="0" quotePrefix="0" xfId="0"/>
    <xf numFmtId="164" fontId="2" fillId="0" borderId="0" pivotButton="0" quotePrefix="0" xfId="0"/>
    <xf numFmtId="166" fontId="2" fillId="0" borderId="0" pivotButton="0" quotePrefix="0" xfId="0"/>
    <xf numFmtId="167" fontId="5" fillId="0" borderId="0" pivotButton="0" quotePrefix="0" xfId="0"/>
    <xf numFmtId="167" fontId="3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67" fontId="2" fillId="0" borderId="0" pivotButton="0" quotePrefix="0" xfId="0"/>
    <xf numFmtId="166" fontId="3" fillId="0" borderId="0" pivotButton="0" quotePrefix="0" xfId="0"/>
    <xf numFmtId="173" fontId="2" fillId="0" borderId="0" pivotButton="0" quotePrefix="0" xfId="0"/>
    <xf numFmtId="166" fontId="3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Iovance Biotherapeutics Inc</t>
        </is>
      </c>
      <c r="C2" s="10" t="n"/>
    </row>
    <row r="3">
      <c r="B3" t="inlineStr">
        <is>
          <t>Price</t>
        </is>
      </c>
      <c r="C3" s="11">
        <f>INDEX([1]Pharma!$F$1:$F$1000,MATCH("IOVA",[1]Pharma!$B$1:$B$1000,0))</f>
        <v>14.86</v>
      </c>
      <c r="F3" s="1" t="n"/>
    </row>
    <row r="4">
      <c r="B4" t="inlineStr">
        <is>
          <t>Shares</t>
        </is>
      </c>
      <c r="C4" s="51" t="n">
        <v>452.971432</v>
      </c>
      <c r="F4" s="1" t="n"/>
    </row>
    <row r="5">
      <c r="B5" t="inlineStr">
        <is>
          <t>Market Cap.</t>
        </is>
      </c>
      <c r="C5" s="13">
        <f>C3*C4</f>
        <v>6731.15547952</v>
      </c>
      <c r="F5" s="1" t="n"/>
    </row>
    <row r="6"/>
    <row r="7">
      <c r="B7" t="inlineStr">
        <is>
          <t>Cash</t>
        </is>
      </c>
      <c r="C7" s="51">
        <f>110.768+186.906</f>
        <v>297.674</v>
      </c>
    </row>
    <row r="8">
      <c r="B8" t="inlineStr">
        <is>
          <t>Debt</t>
        </is>
      </c>
      <c r="C8" s="51" t="n">
        <v>0</v>
      </c>
    </row>
    <row r="9">
      <c r="B9" t="inlineStr">
        <is>
          <t>Enterprise V.</t>
        </is>
      </c>
      <c r="C9" s="13">
        <f>C5-C7+C8</f>
        <v>6433.48147952</v>
      </c>
    </row>
    <row r="10"/>
    <row r="11">
      <c r="B11" s="14" t="inlineStr">
        <is>
          <t>NPV / Share</t>
        </is>
      </c>
      <c r="C11" s="11">
        <f>NPV!B28</f>
        <v>0.1576083713009876</v>
      </c>
    </row>
    <row r="12">
      <c r="B12" s="14" t="inlineStr">
        <is>
          <t>Upside</t>
        </is>
      </c>
      <c r="C12" s="15">
        <f>IFERROR(C11/C3-1,"")</f>
        <v>-0.9893937838962996</v>
      </c>
    </row>
    <row r="13">
      <c r="B13" s="14" t="inlineStr">
        <is>
          <t>Cash / Share</t>
        </is>
      </c>
      <c r="C13" s="11">
        <f>IFERROR((C7-C8)/C4,"")</f>
        <v>0.6571584408440133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DCF</t>
        </is>
      </c>
    </row>
    <row r="16"/>
    <row r="17"/>
    <row r="18"/>
    <row r="19"/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6" t="n">
        <v>2008</v>
      </c>
      <c r="C1" s="16" t="n">
        <v>2009</v>
      </c>
      <c r="D1" s="16" t="n">
        <v>2010</v>
      </c>
      <c r="E1" s="16" t="n">
        <v>2011</v>
      </c>
      <c r="F1" s="16" t="n">
        <v>2012</v>
      </c>
      <c r="G1" s="16" t="n">
        <v>2013</v>
      </c>
      <c r="H1" s="16" t="n">
        <v>2014</v>
      </c>
      <c r="I1" s="16" t="n">
        <v>2015</v>
      </c>
      <c r="J1" s="16" t="n">
        <v>2016</v>
      </c>
      <c r="K1" s="16" t="n">
        <v>2017</v>
      </c>
      <c r="L1" s="16" t="n">
        <v>2018</v>
      </c>
      <c r="M1" s="16" t="n">
        <v>2019</v>
      </c>
      <c r="N1" s="16" t="n">
        <v>2020</v>
      </c>
      <c r="O1" s="16" t="n">
        <v>2021</v>
      </c>
      <c r="P1" s="16" t="n">
        <v>2022</v>
      </c>
      <c r="Q1" s="16" t="n">
        <v>2023</v>
      </c>
      <c r="R1" s="16" t="n">
        <v>2024</v>
      </c>
      <c r="S1" s="16" t="n">
        <v>2025</v>
      </c>
      <c r="T1" s="16" t="n">
        <v>2026</v>
      </c>
      <c r="U1" s="16" t="n">
        <v>2027</v>
      </c>
      <c r="V1" s="16" t="n">
        <v>2028</v>
      </c>
      <c r="W1" s="16" t="n">
        <v>2029</v>
      </c>
      <c r="X1" s="16" t="n">
        <v>2030</v>
      </c>
      <c r="Y1" s="16" t="n">
        <v>2031</v>
      </c>
      <c r="Z1" s="16" t="n">
        <v>2032</v>
      </c>
      <c r="AA1" s="16" t="n">
        <v>2033</v>
      </c>
      <c r="AB1" s="16" t="n">
        <v>2034</v>
      </c>
      <c r="AC1" s="16" t="n">
        <v>2035</v>
      </c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52" t="n">
        <v>0</v>
      </c>
      <c r="C2" s="52" t="n">
        <v>0</v>
      </c>
      <c r="D2" s="52" t="n">
        <v>0</v>
      </c>
      <c r="E2" s="52" t="n">
        <v>0</v>
      </c>
      <c r="F2" s="52" t="n">
        <v>0</v>
      </c>
      <c r="G2" s="52" t="n">
        <v>0</v>
      </c>
      <c r="H2" s="52" t="n">
        <v>0</v>
      </c>
      <c r="I2" s="52" t="n">
        <v>0</v>
      </c>
      <c r="J2" s="52" t="n">
        <v>0</v>
      </c>
      <c r="K2" s="52" t="n">
        <v>0</v>
      </c>
      <c r="L2" s="52" t="n">
        <v>0</v>
      </c>
      <c r="M2" s="52" t="n">
        <v>0</v>
      </c>
      <c r="N2" s="52" t="n">
        <v>0</v>
      </c>
      <c r="O2" s="52" t="n">
        <v>0</v>
      </c>
      <c r="P2" s="52" t="n">
        <v>0</v>
      </c>
      <c r="Q2" s="52" t="n">
        <v>1.189</v>
      </c>
      <c r="R2" s="52" t="n">
        <v>164.07</v>
      </c>
      <c r="S2" s="52" t="n">
        <v>263.502</v>
      </c>
      <c r="T2" s="52">
        <f>S2*(1+NPV!C5)</f>
        <v>355.7277</v>
      </c>
      <c r="U2" s="52">
        <f>T2*(1+NPV!D5)</f>
        <v>467.38667250000003</v>
      </c>
      <c r="V2" s="52">
        <f>U2*(1+NPV!E5)</f>
        <v>597.21630375</v>
      </c>
      <c r="W2" s="52">
        <f>V2*(1+NPV!F5)</f>
        <v>741.54357715625</v>
      </c>
      <c r="X2" s="52">
        <f>W2*(1+NPV!G5)</f>
        <v>893.9719791272569</v>
      </c>
      <c r="Y2" s="52">
        <f>X2*(1+NPV!H5)</f>
        <v>1045.4505644793755</v>
      </c>
      <c r="Z2" s="52">
        <f>Y2*(1+NPV!I5)</f>
        <v>1184.8439730766256</v>
      </c>
      <c r="AA2" s="52">
        <f>Z2*(1+NPV!J5)</f>
        <v>1300.0371371257422</v>
      </c>
      <c r="AB2" s="52">
        <f>AA2*(1+NPV!K5)</f>
        <v>1379.4838510612042</v>
      </c>
      <c r="AC2" s="52">
        <f>AB2*(1+NPV!L5)</f>
        <v>1413.970947337734</v>
      </c>
    </row>
    <row r="3" customFormat="1" s="1">
      <c r="A3" s="5" t="inlineStr">
        <is>
          <t>Cost of Sales</t>
        </is>
      </c>
      <c r="B3" s="52" t="n">
        <v>0</v>
      </c>
      <c r="C3" s="52" t="n">
        <v>0</v>
      </c>
      <c r="D3" s="52" t="n">
        <v>0</v>
      </c>
      <c r="E3" s="52" t="n">
        <v>0</v>
      </c>
      <c r="F3" s="52" t="n">
        <v>0</v>
      </c>
      <c r="G3" s="52" t="n">
        <v>0</v>
      </c>
      <c r="H3" s="52" t="n">
        <v>0</v>
      </c>
      <c r="I3" s="52" t="n">
        <v>0</v>
      </c>
      <c r="J3" s="52" t="n">
        <v>0</v>
      </c>
      <c r="K3" s="52" t="n">
        <v>0</v>
      </c>
      <c r="L3" s="52" t="n">
        <v>0</v>
      </c>
      <c r="M3" s="52" t="n">
        <v>0</v>
      </c>
      <c r="N3" s="52" t="n">
        <v>0</v>
      </c>
      <c r="O3" s="52" t="n">
        <v>0</v>
      </c>
      <c r="P3" s="52" t="n">
        <v>0</v>
      </c>
      <c r="Q3" s="52" t="n">
        <v>1.033</v>
      </c>
      <c r="R3" s="52" t="n">
        <v>93.248</v>
      </c>
      <c r="S3" s="52" t="n">
        <v>173.184</v>
      </c>
      <c r="T3" s="52">
        <f>T2*(1-Assumptions!$B$19)</f>
        <v>233.78424444</v>
      </c>
      <c r="U3" s="52">
        <f>U2*(1-Assumptions!$B$19)</f>
        <v>307.16652116700004</v>
      </c>
      <c r="V3" s="52">
        <f>V2*(1-Assumptions!$B$19)</f>
        <v>392.49055482449995</v>
      </c>
      <c r="W3" s="52">
        <f>W2*(1-Assumptions!$B$19)</f>
        <v>487.34243890708746</v>
      </c>
      <c r="X3" s="52">
        <f>X2*(1-Assumptions!$B$19)</f>
        <v>587.5183846824332</v>
      </c>
      <c r="Y3" s="52">
        <f>Y2*(1-Assumptions!$B$19)</f>
        <v>687.0701109758456</v>
      </c>
      <c r="Z3" s="52">
        <f>Z2*(1-Assumptions!$B$19)</f>
        <v>778.6794591059584</v>
      </c>
      <c r="AA3" s="52">
        <f>AA2*(1-Assumptions!$B$19)</f>
        <v>854.3844065190378</v>
      </c>
      <c r="AB3" s="52">
        <f>AB2*(1-Assumptions!$B$19)</f>
        <v>906.5967869174234</v>
      </c>
      <c r="AC3" s="52">
        <f>AC2*(1-Assumptions!$B$19)</f>
        <v>929.2617065903588</v>
      </c>
    </row>
    <row r="4" customFormat="1" s="1">
      <c r="A4" s="5" t="inlineStr">
        <is>
          <t>Gross Margin</t>
        </is>
      </c>
      <c r="B4" s="52">
        <f>B2-B3</f>
        <v>0.0</v>
      </c>
      <c r="C4" s="52">
        <f>C2-C3</f>
        <v>0.0</v>
      </c>
      <c r="D4" s="52">
        <f>D2-D3</f>
        <v>0.0</v>
      </c>
      <c r="E4" s="52">
        <f>E2-E3</f>
        <v>0.0</v>
      </c>
      <c r="F4" s="52">
        <f>F2-F3</f>
        <v>0.0</v>
      </c>
      <c r="G4" s="52">
        <f>G2-G3</f>
        <v>0.0</v>
      </c>
      <c r="H4" s="52">
        <f>H2-H3</f>
        <v>0.0</v>
      </c>
      <c r="I4" s="52">
        <f>I2-I3</f>
        <v>0.0</v>
      </c>
      <c r="J4" s="52">
        <f>J2-J3</f>
        <v>0.0</v>
      </c>
      <c r="K4" s="52">
        <f>K2-K3</f>
        <v>0.0</v>
      </c>
      <c r="L4" s="52">
        <f>L2-L3</f>
        <v>0.0</v>
      </c>
      <c r="M4" s="52">
        <f>M2-M3</f>
        <v>0.0</v>
      </c>
      <c r="N4" s="52">
        <f>N2-N3</f>
        <v>0.0</v>
      </c>
      <c r="O4" s="52">
        <f>O2-O3</f>
        <v>0.0</v>
      </c>
      <c r="P4" s="52">
        <f>P2-P3</f>
        <v>0.0</v>
      </c>
      <c r="Q4" s="52">
        <f>Q2-Q3</f>
        <v>0.15600000000000014</v>
      </c>
      <c r="R4" s="52">
        <f>R2-R3</f>
        <v>70.82199999999999</v>
      </c>
      <c r="S4" s="52">
        <f>S2-S3</f>
        <v>90.31800000000001</v>
      </c>
      <c r="T4" s="52">
        <f>T2-T3</f>
        <v>121.94345556000002</v>
      </c>
      <c r="U4" s="52">
        <f>U2-U3</f>
        <v>160.220151333</v>
      </c>
      <c r="V4" s="52">
        <f>V2-V3</f>
        <v>204.7257489255</v>
      </c>
      <c r="W4" s="52">
        <f>W2-W3</f>
        <v>254.2011382491625</v>
      </c>
      <c r="X4" s="52">
        <f>X2-X3</f>
        <v>306.4535944448237</v>
      </c>
      <c r="Y4" s="52">
        <f>Y2-Y3</f>
        <v>358.3804535035299</v>
      </c>
      <c r="Z4" s="52">
        <f>Z2-Z3</f>
        <v>406.16451397066726</v>
      </c>
      <c r="AA4" s="52">
        <f>AA2-AA3</f>
        <v>445.6527306067044</v>
      </c>
      <c r="AB4" s="52">
        <f>AB2-AB3</f>
        <v>472.8870641437808</v>
      </c>
      <c r="AC4" s="52">
        <f>AC2-AC3</f>
        <v>484.70924074737525</v>
      </c>
    </row>
    <row r="5">
      <c r="A5" s="2" t="inlineStr">
        <is>
          <t>Research &amp; Dev.</t>
        </is>
      </c>
      <c r="B5" s="52" t="n">
        <v>0</v>
      </c>
      <c r="C5" s="52" t="n">
        <v>0</v>
      </c>
      <c r="D5" s="52" t="n">
        <v>0.171</v>
      </c>
      <c r="E5" s="52" t="n">
        <v>1.756</v>
      </c>
      <c r="F5" s="52" t="n">
        <v>1.656</v>
      </c>
      <c r="G5" s="52" t="n">
        <v>2.154</v>
      </c>
      <c r="H5" s="52" t="n">
        <v>3.849</v>
      </c>
      <c r="I5" s="52" t="n">
        <v>15.47</v>
      </c>
      <c r="J5" s="52" t="n">
        <v>26.941</v>
      </c>
      <c r="K5" s="52" t="n">
        <v>71.61499999999999</v>
      </c>
      <c r="L5" s="52" t="n">
        <v>99.828</v>
      </c>
      <c r="M5" s="52" t="n">
        <v>166.023</v>
      </c>
      <c r="N5" s="52" t="n">
        <v>201.727</v>
      </c>
      <c r="O5" s="52" t="n">
        <v>259.039</v>
      </c>
      <c r="P5" s="52" t="n">
        <v>294.781</v>
      </c>
      <c r="Q5" s="52" t="n">
        <v>333.194</v>
      </c>
      <c r="R5" s="52" t="n">
        <v>276.228</v>
      </c>
      <c r="S5" s="52" t="n">
        <v>300.27</v>
      </c>
      <c r="T5" s="52">
        <f>T7*Assumptions!$B$20</f>
        <v>250.53745390812</v>
      </c>
      <c r="U5" s="52">
        <f>U7*Assumptions!$B$20</f>
        <v>297.34074462836696</v>
      </c>
      <c r="V5" s="52">
        <f>V7*Assumptions!$B$20</f>
        <v>339.25397684866044</v>
      </c>
      <c r="W5" s="52">
        <f>W7*Assumptions!$B$20</f>
        <v>370.72759258092645</v>
      </c>
      <c r="X5" s="52">
        <f>X7*Assumptions!$B$20</f>
        <v>386.03676797069033</v>
      </c>
      <c r="Y5" s="52">
        <f>Y7*Assumptions!$B$20</f>
        <v>380.23413392318093</v>
      </c>
      <c r="Z5" s="52">
        <f>Z7*Assumptions!$B$20</f>
        <v>350.222342750649</v>
      </c>
      <c r="AA5" s="52">
        <f>AA7*Assumptions!$B$20</f>
        <v>295.71528746315363</v>
      </c>
      <c r="AB5" s="52">
        <f>AB7*Assumptions!$B$20</f>
        <v>219.818544492441</v>
      </c>
      <c r="AC5" s="52">
        <f>AC7*Assumptions!$B$20</f>
        <v>128.99656952562142</v>
      </c>
    </row>
    <row r="6">
      <c r="A6" s="18" t="inlineStr">
        <is>
          <t>SG&amp;A &amp; Other</t>
        </is>
      </c>
      <c r="B6" s="52" t="n">
        <v>0.059</v>
      </c>
      <c r="C6" s="52" t="n">
        <v>0.016</v>
      </c>
      <c r="D6" s="52" t="n">
        <v>0.644</v>
      </c>
      <c r="E6" s="52" t="n">
        <v>19.463</v>
      </c>
      <c r="F6" s="52" t="n">
        <v>6.477</v>
      </c>
      <c r="G6" s="52" t="n">
        <v>20.487</v>
      </c>
      <c r="H6" s="52" t="n">
        <v>8.192</v>
      </c>
      <c r="I6" s="52" t="n">
        <v>12.39</v>
      </c>
      <c r="J6" s="52" t="n">
        <v>26.698</v>
      </c>
      <c r="K6" s="52" t="n">
        <v>21.262</v>
      </c>
      <c r="L6" s="52" t="n">
        <v>28.43</v>
      </c>
      <c r="M6" s="52" t="n">
        <v>40.849</v>
      </c>
      <c r="N6" s="52" t="n">
        <v>60.21</v>
      </c>
      <c r="O6" s="52" t="n">
        <v>83.664</v>
      </c>
      <c r="P6" s="52" t="n">
        <v>104.097</v>
      </c>
      <c r="Q6" s="52" t="n">
        <v>127.521</v>
      </c>
      <c r="R6" s="52" t="n">
        <v>189.872</v>
      </c>
      <c r="S6" s="52" t="n">
        <v>193.404</v>
      </c>
      <c r="T6" s="52">
        <f>T7-T5</f>
        <v>161.39522269188004</v>
      </c>
      <c r="U6" s="52">
        <f>U7-U5</f>
        <v>191.54571480663304</v>
      </c>
      <c r="V6" s="52">
        <f>V7-V5</f>
        <v>218.54605085383952</v>
      </c>
      <c r="W6" s="52">
        <f>W7-W5</f>
        <v>238.82122784151107</v>
      </c>
      <c r="X6" s="52">
        <f>X7-X5</f>
        <v>248.6833372096621</v>
      </c>
      <c r="Y6" s="52">
        <f>Y7-Y5</f>
        <v>244.94530363548552</v>
      </c>
      <c r="Z6" s="52">
        <f>Z7-Z5</f>
        <v>225.6118281645911</v>
      </c>
      <c r="AA6" s="52">
        <f>AA7-AA5</f>
        <v>190.49860182187376</v>
      </c>
      <c r="AB6" s="52">
        <f>AB7-AB5</f>
        <v>141.60622448559423</v>
      </c>
      <c r="AC6" s="52">
        <f>AC7-AC5</f>
        <v>83.0990725750386</v>
      </c>
    </row>
    <row r="7">
      <c r="A7" s="2" t="inlineStr">
        <is>
          <t>Operating Expense</t>
        </is>
      </c>
      <c r="B7" s="52">
        <f>SUM(B5:B6)</f>
        <v>0.059</v>
      </c>
      <c r="C7" s="52">
        <f>SUM(C5:C6)</f>
        <v>0.016</v>
      </c>
      <c r="D7" s="52">
        <f>SUM(D5:D6)</f>
        <v>0.8150000000000001</v>
      </c>
      <c r="E7" s="52">
        <f>SUM(E5:E6)</f>
        <v>21.219</v>
      </c>
      <c r="F7" s="52">
        <f>SUM(F5:F6)</f>
        <v>8.133000000000001</v>
      </c>
      <c r="G7" s="52">
        <f>SUM(G5:G6)</f>
        <v>22.641</v>
      </c>
      <c r="H7" s="52">
        <f>SUM(H5:H6)</f>
        <v>12.041</v>
      </c>
      <c r="I7" s="52">
        <f>SUM(I5:I6)</f>
        <v>27.86</v>
      </c>
      <c r="J7" s="52">
        <f>SUM(J5:J6)</f>
        <v>53.638999999999996</v>
      </c>
      <c r="K7" s="52">
        <f>SUM(K5:K6)</f>
        <v>92.877</v>
      </c>
      <c r="L7" s="52">
        <f>SUM(L5:L6)</f>
        <v>128.258</v>
      </c>
      <c r="M7" s="52">
        <f>SUM(M5:M6)</f>
        <v>206.87199999999999</v>
      </c>
      <c r="N7" s="52">
        <f>SUM(N5:N6)</f>
        <v>261.937</v>
      </c>
      <c r="O7" s="52">
        <f>SUM(O5:O6)</f>
        <v>342.703</v>
      </c>
      <c r="P7" s="52">
        <f>SUM(P5:P6)</f>
        <v>398.878</v>
      </c>
      <c r="Q7" s="52">
        <f>SUM(Q5:Q6)</f>
        <v>460.71500000000003</v>
      </c>
      <c r="R7" s="52">
        <f>SUM(R5:R6)</f>
        <v>466.1</v>
      </c>
      <c r="S7" s="52">
        <f>SUM(S5:S6)</f>
        <v>493.674</v>
      </c>
      <c r="T7" s="52">
        <f>T4-T2*NPV!C6</f>
        <v>411.93267660000004</v>
      </c>
      <c r="U7" s="52">
        <f>U4-U2*NPV!D6</f>
        <v>488.886459435</v>
      </c>
      <c r="V7" s="52">
        <f>V4-V2*NPV!E6</f>
        <v>557.8000277025</v>
      </c>
      <c r="W7" s="52">
        <f>W4-W2*NPV!F6</f>
        <v>609.5488204224375</v>
      </c>
      <c r="X7" s="52">
        <f>X4-X2*NPV!G6</f>
        <v>634.7201051803524</v>
      </c>
      <c r="Y7" s="52">
        <f>Y4-Y2*NPV!H6</f>
        <v>625.1794375586665</v>
      </c>
      <c r="Z7" s="52">
        <f>Z4-Z2*NPV!I6</f>
        <v>575.8341709152401</v>
      </c>
      <c r="AA7" s="52">
        <f>AA4-AA2*NPV!J6</f>
        <v>486.2138892850274</v>
      </c>
      <c r="AB7" s="52">
        <f>AB4-AB2*NPV!K6</f>
        <v>361.4247689780352</v>
      </c>
      <c r="AC7" s="52">
        <f>AC4-AC2*NPV!L6</f>
        <v>212.09564210066003</v>
      </c>
    </row>
    <row r="8">
      <c r="A8" s="2" t="inlineStr">
        <is>
          <t>Operating Income</t>
        </is>
      </c>
      <c r="B8" s="52">
        <f>B4-B7</f>
        <v>-0.059</v>
      </c>
      <c r="C8" s="52">
        <f>C4-C7</f>
        <v>-0.016</v>
      </c>
      <c r="D8" s="52">
        <f>D4-D7</f>
        <v>-0.8150000000000001</v>
      </c>
      <c r="E8" s="52">
        <f>E4-E7</f>
        <v>-21.219</v>
      </c>
      <c r="F8" s="52">
        <f>F4-F7</f>
        <v>-8.133000000000001</v>
      </c>
      <c r="G8" s="52">
        <f>G4-G7</f>
        <v>-22.641</v>
      </c>
      <c r="H8" s="52">
        <f>H4-H7</f>
        <v>-12.041</v>
      </c>
      <c r="I8" s="52">
        <f>I4-I7</f>
        <v>-27.86</v>
      </c>
      <c r="J8" s="52">
        <f>J4-J7</f>
        <v>-53.638999999999996</v>
      </c>
      <c r="K8" s="52">
        <f>K4-K7</f>
        <v>-92.877</v>
      </c>
      <c r="L8" s="52">
        <f>L4-L7</f>
        <v>-128.258</v>
      </c>
      <c r="M8" s="52">
        <f>M4-M7</f>
        <v>-206.87199999999999</v>
      </c>
      <c r="N8" s="52">
        <f>N4-N7</f>
        <v>-261.937</v>
      </c>
      <c r="O8" s="52">
        <f>O4-O7</f>
        <v>-342.703</v>
      </c>
      <c r="P8" s="52">
        <f>P4-P7</f>
        <v>-398.878</v>
      </c>
      <c r="Q8" s="52">
        <f>Q4-Q7</f>
        <v>-460.559</v>
      </c>
      <c r="R8" s="52">
        <f>R4-R7</f>
        <v>-395.278</v>
      </c>
      <c r="S8" s="52">
        <f>S4-S7</f>
        <v>-403.356</v>
      </c>
      <c r="T8" s="52">
        <f>T4-T7</f>
        <v>-289.98922104</v>
      </c>
      <c r="U8" s="52">
        <f>U4-U7</f>
        <v>-328.666308102</v>
      </c>
      <c r="V8" s="52">
        <f>V4-V7</f>
        <v>-353.07427877699996</v>
      </c>
      <c r="W8" s="52">
        <f>W4-W7</f>
        <v>-355.347682173275</v>
      </c>
      <c r="X8" s="52">
        <f>X4-X7</f>
        <v>-328.26651073552875</v>
      </c>
      <c r="Y8" s="52">
        <f>Y4-Y7</f>
        <v>-266.79898405513654</v>
      </c>
      <c r="Z8" s="52">
        <f>Z4-Z7</f>
        <v>-169.6696569445728</v>
      </c>
      <c r="AA8" s="52">
        <f>AA4-AA7</f>
        <v>-40.56115867832301</v>
      </c>
      <c r="AB8" s="52">
        <f>AB4-AB7</f>
        <v>111.46229516574556</v>
      </c>
      <c r="AC8" s="52">
        <f>AC4-AC7</f>
        <v>272.6135986467152</v>
      </c>
    </row>
    <row r="9">
      <c r="A9" s="18" t="inlineStr">
        <is>
          <t>Interest &amp; Other</t>
        </is>
      </c>
      <c r="B9" s="52" t="n">
        <v>0</v>
      </c>
      <c r="C9" s="52" t="n">
        <v>0</v>
      </c>
      <c r="D9" s="52" t="n">
        <v>-0.793</v>
      </c>
      <c r="E9" s="52" t="n">
        <v>-4.476</v>
      </c>
      <c r="F9" s="52" t="n">
        <v>4.825</v>
      </c>
      <c r="G9" s="52" t="n">
        <v>-2.741</v>
      </c>
      <c r="H9" s="52" t="n">
        <v>0.006</v>
      </c>
      <c r="I9" s="52" t="n">
        <v>0.2</v>
      </c>
      <c r="J9" s="52" t="n">
        <v>0.745</v>
      </c>
      <c r="K9" s="52" t="n">
        <v>0.8129999999999999</v>
      </c>
      <c r="L9" s="52" t="n">
        <v>4.678</v>
      </c>
      <c r="M9" s="52" t="n">
        <v>9.316000000000001</v>
      </c>
      <c r="N9" s="52" t="n">
        <v>2.356</v>
      </c>
      <c r="O9" s="52" t="n">
        <v>0.403</v>
      </c>
      <c r="P9" s="52" t="n">
        <v>2.978</v>
      </c>
      <c r="Q9" s="52" t="n">
        <v>13.08</v>
      </c>
      <c r="R9" s="52" t="n">
        <v>20.25</v>
      </c>
      <c r="S9" s="52" t="n">
        <v>10.285</v>
      </c>
      <c r="T9" s="52" t="n">
        <v>0</v>
      </c>
      <c r="U9" s="52" t="n">
        <v>0</v>
      </c>
      <c r="V9" s="52" t="n">
        <v>0</v>
      </c>
      <c r="W9" s="52" t="n">
        <v>0</v>
      </c>
      <c r="X9" s="52" t="n">
        <v>0</v>
      </c>
      <c r="Y9" s="52" t="n">
        <v>0</v>
      </c>
      <c r="Z9" s="52" t="n">
        <v>0</v>
      </c>
      <c r="AA9" s="52" t="n">
        <v>0</v>
      </c>
      <c r="AB9" s="52" t="n">
        <v>0</v>
      </c>
      <c r="AC9" s="52" t="n">
        <v>0</v>
      </c>
    </row>
    <row r="10">
      <c r="A10" s="2" t="inlineStr">
        <is>
          <t>Pretax</t>
        </is>
      </c>
      <c r="B10" s="52">
        <f>B8+B9</f>
        <v>-0.059</v>
      </c>
      <c r="C10" s="52">
        <f>C8+C9</f>
        <v>-0.016</v>
      </c>
      <c r="D10" s="52">
        <f>D8+D9</f>
        <v>-1.608</v>
      </c>
      <c r="E10" s="52">
        <f>E8+E9</f>
        <v>-25.695</v>
      </c>
      <c r="F10" s="52">
        <f>F8+F9</f>
        <v>-3.3080000000000007</v>
      </c>
      <c r="G10" s="52">
        <f>G8+G9</f>
        <v>-25.381999999999998</v>
      </c>
      <c r="H10" s="52">
        <f>H8+H9</f>
        <v>-12.035</v>
      </c>
      <c r="I10" s="52">
        <f>I8+I9</f>
        <v>-27.66</v>
      </c>
      <c r="J10" s="52">
        <f>J8+J9</f>
        <v>-52.894</v>
      </c>
      <c r="K10" s="52">
        <f>K8+K9</f>
        <v>-92.064</v>
      </c>
      <c r="L10" s="52">
        <f>L8+L9</f>
        <v>-123.58000000000001</v>
      </c>
      <c r="M10" s="52">
        <f>M8+M9</f>
        <v>-197.55599999999998</v>
      </c>
      <c r="N10" s="52">
        <f>N8+N9</f>
        <v>-259.581</v>
      </c>
      <c r="O10" s="52">
        <f>O8+O9</f>
        <v>-342.29999999999995</v>
      </c>
      <c r="P10" s="52">
        <f>P8+P9</f>
        <v>-395.9</v>
      </c>
      <c r="Q10" s="52">
        <f>Q8+Q9</f>
        <v>-447.47900000000004</v>
      </c>
      <c r="R10" s="52">
        <f>R8+R9</f>
        <v>-375.028</v>
      </c>
      <c r="S10" s="52">
        <f>S8+S9</f>
        <v>-393.07099999999997</v>
      </c>
      <c r="T10" s="52">
        <f>T8+T9</f>
        <v>-289.98922104</v>
      </c>
      <c r="U10" s="52">
        <f>U8+U9</f>
        <v>-328.666308102</v>
      </c>
      <c r="V10" s="52">
        <f>V8+V9</f>
        <v>-353.07427877699996</v>
      </c>
      <c r="W10" s="52">
        <f>W8+W9</f>
        <v>-355.347682173275</v>
      </c>
      <c r="X10" s="52">
        <f>X8+X9</f>
        <v>-328.26651073552875</v>
      </c>
      <c r="Y10" s="52">
        <f>Y8+Y9</f>
        <v>-266.79898405513654</v>
      </c>
      <c r="Z10" s="52">
        <f>Z8+Z9</f>
        <v>-169.6696569445728</v>
      </c>
      <c r="AA10" s="52">
        <f>AA8+AA9</f>
        <v>-40.56115867832301</v>
      </c>
      <c r="AB10" s="52">
        <f>AB8+AB9</f>
        <v>111.46229516574556</v>
      </c>
      <c r="AC10" s="52">
        <f>AC8+AC9</f>
        <v>272.6135986467152</v>
      </c>
    </row>
    <row r="11">
      <c r="A11" s="2" t="inlineStr">
        <is>
          <t>Taxes</t>
        </is>
      </c>
      <c r="B11" s="52" t="n">
        <v>0</v>
      </c>
      <c r="C11" s="52" t="n">
        <v>0</v>
      </c>
      <c r="D11" s="52" t="n">
        <v>0</v>
      </c>
      <c r="E11" s="52" t="n">
        <v>0</v>
      </c>
      <c r="F11" s="52" t="n">
        <v>0</v>
      </c>
      <c r="G11" s="52" t="n">
        <v>0</v>
      </c>
      <c r="H11" s="52" t="n">
        <v>0</v>
      </c>
      <c r="I11" s="52" t="n">
        <v>0</v>
      </c>
      <c r="J11" s="52" t="n">
        <v>0</v>
      </c>
      <c r="K11" s="52" t="n">
        <v>0</v>
      </c>
      <c r="L11" s="52" t="n">
        <v>0</v>
      </c>
      <c r="M11" s="52" t="n">
        <v>0</v>
      </c>
      <c r="N11" s="52" t="n">
        <v>0</v>
      </c>
      <c r="O11" s="52" t="n">
        <v>0</v>
      </c>
      <c r="P11" s="52" t="n">
        <v>0</v>
      </c>
      <c r="Q11" s="52" t="n">
        <v>-3.479</v>
      </c>
      <c r="R11" s="52" t="n">
        <v>-2.828</v>
      </c>
      <c r="S11" s="52" t="n">
        <v>-2.071</v>
      </c>
      <c r="T11" s="52">
        <f>MAX(0,T10)*Assumptions!$E$14</f>
        <v>0.0</v>
      </c>
      <c r="U11" s="52">
        <f>MAX(0,U10)*Assumptions!$E$14</f>
        <v>0.0</v>
      </c>
      <c r="V11" s="52">
        <f>MAX(0,V10)*Assumptions!$E$14</f>
        <v>0.0</v>
      </c>
      <c r="W11" s="52">
        <f>MAX(0,W10)*Assumptions!$E$14</f>
        <v>0.0</v>
      </c>
      <c r="X11" s="52">
        <f>MAX(0,X10)*Assumptions!$E$14</f>
        <v>0.0</v>
      </c>
      <c r="Y11" s="52">
        <f>MAX(0,Y10)*Assumptions!$E$14</f>
        <v>0.0</v>
      </c>
      <c r="Z11" s="52">
        <f>MAX(0,Z10)*Assumptions!$E$14</f>
        <v>0.0</v>
      </c>
      <c r="AA11" s="52">
        <f>MAX(0,AA10)*Assumptions!$E$14</f>
        <v>0.0</v>
      </c>
      <c r="AB11" s="52">
        <f>MAX(0,AB10)*Assumptions!$E$14</f>
        <v>18.948590178176747</v>
      </c>
      <c r="AC11" s="52">
        <f>MAX(0,AC10)*Assumptions!$E$14</f>
        <v>46.34431176994159</v>
      </c>
    </row>
    <row r="12">
      <c r="A12" s="2" t="inlineStr">
        <is>
          <t>Net Income</t>
        </is>
      </c>
      <c r="B12" s="52" t="n">
        <v>-0.059</v>
      </c>
      <c r="C12" s="52" t="n">
        <v>-0.016</v>
      </c>
      <c r="D12" s="52" t="n">
        <v>-1.608</v>
      </c>
      <c r="E12" s="52" t="n">
        <v>-25.694</v>
      </c>
      <c r="F12" s="52" t="n">
        <v>-3.308</v>
      </c>
      <c r="G12" s="52" t="n">
        <v>-25.382</v>
      </c>
      <c r="H12" s="52" t="n">
        <v>-12.035</v>
      </c>
      <c r="I12" s="52" t="n">
        <v>-27.66</v>
      </c>
      <c r="J12" s="52" t="n">
        <v>-52.894</v>
      </c>
      <c r="K12" s="52" t="n">
        <v>-92.06399999999999</v>
      </c>
      <c r="L12" s="52" t="n">
        <v>-123.58</v>
      </c>
      <c r="M12" s="52" t="n">
        <v>-197.556</v>
      </c>
      <c r="N12" s="52" t="n">
        <v>-259.581</v>
      </c>
      <c r="O12" s="52" t="n">
        <v>-342.3</v>
      </c>
      <c r="P12" s="52" t="n">
        <v>-395.9</v>
      </c>
      <c r="Q12" s="52" t="n">
        <v>-444</v>
      </c>
      <c r="R12" s="52" t="n">
        <v>-372.2</v>
      </c>
      <c r="S12" s="52" t="n">
        <v>-391</v>
      </c>
      <c r="T12" s="52">
        <f>T10-T11</f>
        <v>-289.98922104</v>
      </c>
      <c r="U12" s="52">
        <f>U10-U11</f>
        <v>-328.666308102</v>
      </c>
      <c r="V12" s="52">
        <f>V10-V11</f>
        <v>-353.07427877699996</v>
      </c>
      <c r="W12" s="52">
        <f>W10-W11</f>
        <v>-355.347682173275</v>
      </c>
      <c r="X12" s="52">
        <f>X10-X11</f>
        <v>-328.26651073552875</v>
      </c>
      <c r="Y12" s="52">
        <f>Y10-Y11</f>
        <v>-266.79898405513654</v>
      </c>
      <c r="Z12" s="52">
        <f>Z10-Z11</f>
        <v>-169.6696569445728</v>
      </c>
      <c r="AA12" s="52">
        <f>AA10-AA11</f>
        <v>-40.56115867832301</v>
      </c>
      <c r="AB12" s="52">
        <f>AB10-AB11</f>
        <v>92.51370498756881</v>
      </c>
      <c r="AC12" s="52">
        <f>AC10-AC11</f>
        <v>226.26928687677363</v>
      </c>
    </row>
    <row r="13">
      <c r="A13" s="2" t="inlineStr">
        <is>
          <t>Earnings per Share</t>
        </is>
      </c>
      <c r="B13" s="11">
        <f>IFERROR(B12/B14,0)</f>
        <v>0</v>
      </c>
      <c r="C13" s="11">
        <f>IFERROR(C12/C14,0)</f>
        <v>0</v>
      </c>
      <c r="D13" s="11">
        <f>IFERROR(D12/D14,0)</f>
        <v>0</v>
      </c>
      <c r="E13" s="11">
        <f>IFERROR(E12/E14,0)</f>
        <v>-7.351645207439199</v>
      </c>
      <c r="F13" s="11">
        <f>IFERROR(F12/F14,0)</f>
        <v>-0.08998667065640216</v>
      </c>
      <c r="G13" s="11">
        <f>IFERROR(G12/G14,0)</f>
        <v>-0.6887363308278838</v>
      </c>
      <c r="H13" s="11">
        <f>IFERROR(H12/H14,0)</f>
        <v>-0.326337482035847</v>
      </c>
      <c r="I13" s="11">
        <f>IFERROR(I12/I14,0)</f>
        <v>-0.42197440082991344</v>
      </c>
      <c r="J13" s="11">
        <f>IFERROR(J12/J14,0)</f>
        <v>-0.6484014906345004</v>
      </c>
      <c r="K13" s="11">
        <f>IFERROR(K12/K14,0)</f>
        <v>-0.9560422443066762</v>
      </c>
      <c r="L13" s="11">
        <f>IFERROR(L12/L14,0)</f>
        <v>-0.8606988389828738</v>
      </c>
      <c r="M13" s="11">
        <f>IFERROR(M12/M14,0)</f>
        <v>-1.076482127288579</v>
      </c>
      <c r="N13" s="11">
        <f>IFERROR(N12/N14,0)</f>
        <v>-1.271633060960555</v>
      </c>
      <c r="O13" s="11">
        <f>IFERROR(O12/O14,0)</f>
        <v>-1.5117455073820703</v>
      </c>
      <c r="P13" s="11">
        <f>IFERROR(P12/P14,0)</f>
        <v>-1.6842078395003954</v>
      </c>
      <c r="Q13" s="11">
        <f>IFERROR(Q12/Q14,0)</f>
        <v>-1.8883090702629597</v>
      </c>
      <c r="R13" s="11">
        <f>IFERROR(R12/R14,0)</f>
        <v>-1.2839928659396915</v>
      </c>
      <c r="S13" s="11">
        <f>IFERROR(S12/S14,0)</f>
        <v>-1.0941806937273502</v>
      </c>
      <c r="T13" s="11">
        <f>IFERROR(T12/T14,0)</f>
        <v>-0.6401931789817598</v>
      </c>
      <c r="U13" s="11">
        <f>IFERROR(U12/U14,0)</f>
        <v>-0.725578446858874</v>
      </c>
      <c r="V13" s="11">
        <f>IFERROR(V12/V14,0)</f>
        <v>-0.7794625749753683</v>
      </c>
      <c r="W13" s="11">
        <f>IFERROR(W12/W14,0)</f>
        <v>-0.7844814420289424</v>
      </c>
      <c r="X13" s="11">
        <f>IFERROR(X12/X14,0)</f>
        <v>-0.7246958363050339</v>
      </c>
      <c r="Y13" s="11">
        <f>IFERROR(Y12/Y14,0)</f>
        <v>-0.5889973742430992</v>
      </c>
      <c r="Z13" s="11">
        <f>IFERROR(Z12/Z14,0)</f>
        <v>-0.37457032598155726</v>
      </c>
      <c r="AA13" s="11">
        <f>IFERROR(AA12/AA14,0)</f>
        <v>-0.08954462867389618</v>
      </c>
      <c r="AB13" s="11">
        <f>IFERROR(AB12/AB14,0)</f>
        <v>0.20423739435198823</v>
      </c>
      <c r="AC13" s="11">
        <f>IFERROR(AC12/AC14,0)</f>
        <v>0.49952220138415626</v>
      </c>
    </row>
    <row r="14">
      <c r="A14" s="2" t="inlineStr">
        <is>
          <t>Shares</t>
        </is>
      </c>
      <c r="B14" s="52" t="n"/>
      <c r="C14" s="52" t="n"/>
      <c r="D14" s="52" t="n"/>
      <c r="E14" s="52" t="n">
        <v>3.495</v>
      </c>
      <c r="F14" s="52" t="n">
        <v>36.761</v>
      </c>
      <c r="G14" s="52" t="n">
        <v>36.853</v>
      </c>
      <c r="H14" s="52" t="n">
        <v>36.879</v>
      </c>
      <c r="I14" s="52" t="n">
        <v>65.54900000000001</v>
      </c>
      <c r="J14" s="52" t="n">
        <v>81.57599999999999</v>
      </c>
      <c r="K14" s="52" t="n">
        <v>96.297</v>
      </c>
      <c r="L14" s="52" t="n">
        <v>143.581</v>
      </c>
      <c r="M14" s="52" t="n">
        <v>183.52</v>
      </c>
      <c r="N14" s="52" t="n">
        <v>204.132</v>
      </c>
      <c r="O14" s="52" t="n">
        <v>226.427</v>
      </c>
      <c r="P14" s="52" t="n">
        <v>235.066</v>
      </c>
      <c r="Q14" s="52" t="n">
        <v>235.131</v>
      </c>
      <c r="R14" s="52" t="n">
        <v>289.877</v>
      </c>
      <c r="S14" s="52" t="n">
        <v>357.345</v>
      </c>
      <c r="T14" s="52">
        <f>Main!$C$4</f>
        <v>452.971432</v>
      </c>
      <c r="U14" s="52">
        <f>Main!$C$4</f>
        <v>452.971432</v>
      </c>
      <c r="V14" s="52">
        <f>Main!$C$4</f>
        <v>452.971432</v>
      </c>
      <c r="W14" s="52">
        <f>Main!$C$4</f>
        <v>452.971432</v>
      </c>
      <c r="X14" s="52">
        <f>Main!$C$4</f>
        <v>452.971432</v>
      </c>
      <c r="Y14" s="52">
        <f>Main!$C$4</f>
        <v>452.971432</v>
      </c>
      <c r="Z14" s="52">
        <f>Main!$C$4</f>
        <v>452.971432</v>
      </c>
      <c r="AA14" s="52">
        <f>Main!$C$4</f>
        <v>452.971432</v>
      </c>
      <c r="AB14" s="52">
        <f>Main!$C$4</f>
        <v>452.971432</v>
      </c>
      <c r="AC14" s="52">
        <f>Main!$C$4</f>
        <v>452.971432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/>
      </c>
      <c r="H16" s="15">
        <f>IFERROR(H2/G2-1,"")</f>
        <v/>
      </c>
      <c r="I16" s="15">
        <f>IFERROR(I2/H2-1,"")</f>
        <v/>
      </c>
      <c r="J16" s="15">
        <f>IFERROR(J2/I2-1,"")</f>
        <v/>
      </c>
      <c r="K16" s="15">
        <f>IFERROR(K2/J2-1,"")</f>
        <v/>
      </c>
      <c r="L16" s="15">
        <f>IFERROR(L2/K2-1,"")</f>
        <v/>
      </c>
      <c r="M16" s="15">
        <f>IFERROR(M2/L2-1,"")</f>
        <v/>
      </c>
      <c r="N16" s="15">
        <f>IFERROR(N2/M2-1,"")</f>
        <v/>
      </c>
      <c r="O16" s="15">
        <f>IFERROR(O2/N2-1,"")</f>
        <v/>
      </c>
      <c r="P16" s="15">
        <f>IFERROR(P2/O2-1,"")</f>
        <v/>
      </c>
      <c r="Q16" s="15">
        <f>IFERROR(Q2/P2-1,"")</f>
        <v/>
      </c>
      <c r="R16" s="15">
        <f>IFERROR(R2/Q2-1,"")</f>
        <v>136.98990748528175</v>
      </c>
      <c r="S16" s="15">
        <f>IFERROR(S2/R2-1,"")</f>
        <v>0.6060340098738344</v>
      </c>
      <c r="T16" s="15">
        <f>IFERROR(T2/S2-1,"")</f>
        <v>0.3500000000000001</v>
      </c>
      <c r="U16" s="15">
        <f>IFERROR(U2/T2-1,"")</f>
        <v>0.3138888888888889</v>
      </c>
      <c r="V16" s="15">
        <f>IFERROR(V2/U2-1,"")</f>
        <v>0.2777777777777777</v>
      </c>
      <c r="W16" s="15">
        <f>IFERROR(W2/V2-1,"")</f>
        <v>0.2416666666666667</v>
      </c>
      <c r="X16" s="15">
        <f>IFERROR(X2/W2-1,"")</f>
        <v>0.2055555555555555</v>
      </c>
      <c r="Y16" s="15">
        <f>IFERROR(Y2/X2-1,"")</f>
        <v>0.1694444444444445</v>
      </c>
      <c r="Z16" s="15">
        <f>IFERROR(Z2/Y2-1,"")</f>
        <v>0.1333333333333333</v>
      </c>
      <c r="AA16" s="15">
        <f>IFERROR(AA2/Z2-1,"")</f>
        <v>0.09722222222222232</v>
      </c>
      <c r="AB16" s="15">
        <f>IFERROR(AB2/AA2-1,"")</f>
        <v>0.061111111111111116</v>
      </c>
      <c r="AC16" s="15">
        <f>IFERROR(AC2/AB2-1,"")</f>
        <v>0.02499999999999991</v>
      </c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/>
      </c>
      <c r="G17" s="15">
        <f>IFERROR(G4/G2,"")</f>
        <v/>
      </c>
      <c r="H17" s="15">
        <f>IFERROR(H4/H2,"")</f>
        <v/>
      </c>
      <c r="I17" s="15">
        <f>IFERROR(I4/I2,"")</f>
        <v/>
      </c>
      <c r="J17" s="15">
        <f>IFERROR(J4/J2,"")</f>
        <v/>
      </c>
      <c r="K17" s="15">
        <f>IFERROR(K4/K2,"")</f>
        <v/>
      </c>
      <c r="L17" s="15">
        <f>IFERROR(L4/L2,"")</f>
        <v/>
      </c>
      <c r="M17" s="15">
        <f>IFERROR(M4/M2,"")</f>
        <v/>
      </c>
      <c r="N17" s="15">
        <f>IFERROR(N4/N2,"")</f>
        <v/>
      </c>
      <c r="O17" s="15">
        <f>IFERROR(O4/O2,"")</f>
        <v/>
      </c>
      <c r="P17" s="15">
        <f>IFERROR(P4/P2,"")</f>
        <v/>
      </c>
      <c r="Q17" s="15">
        <f>IFERROR(Q4/Q2,"")</f>
        <v>0.13120269133725831</v>
      </c>
      <c r="R17" s="15">
        <f>IFERROR(R4/R2,"")</f>
        <v>0.43165721947949043</v>
      </c>
      <c r="S17" s="15">
        <f>IFERROR(S4/S2,"")</f>
        <v>0.342760206753649</v>
      </c>
      <c r="T17" s="15">
        <f>IFERROR(T4/T2,"")</f>
        <v>0.34280000000000005</v>
      </c>
      <c r="U17" s="15">
        <f>IFERROR(U4/U2,"")</f>
        <v>0.34279999999999994</v>
      </c>
      <c r="V17" s="15">
        <f>IFERROR(V4/V2,"")</f>
        <v>0.34280000000000005</v>
      </c>
      <c r="W17" s="15">
        <f>IFERROR(W4/W2,"")</f>
        <v>0.34280000000000005</v>
      </c>
      <c r="X17" s="15">
        <f>IFERROR(X4/X2,"")</f>
        <v>0.34280000000000005</v>
      </c>
      <c r="Y17" s="15">
        <f>IFERROR(Y4/Y2,"")</f>
        <v>0.3428</v>
      </c>
      <c r="Z17" s="15">
        <f>IFERROR(Z4/Z2,"")</f>
        <v>0.3428</v>
      </c>
      <c r="AA17" s="15">
        <f>IFERROR(AA4/AA2,"")</f>
        <v>0.34279999999999994</v>
      </c>
      <c r="AB17" s="15">
        <f>IFERROR(AB4/AB2,"")</f>
        <v>0.3428</v>
      </c>
      <c r="AC17" s="15">
        <f>IFERROR(AC4/AC2,"")</f>
        <v>0.3428</v>
      </c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/>
      </c>
      <c r="G18" s="15">
        <f>IFERROR(G8/G2,"")</f>
        <v/>
      </c>
      <c r="H18" s="15">
        <f>IFERROR(H8/H2,"")</f>
        <v/>
      </c>
      <c r="I18" s="15">
        <f>IFERROR(I8/I2,"")</f>
        <v/>
      </c>
      <c r="J18" s="15">
        <f>IFERROR(J8/J2,"")</f>
        <v/>
      </c>
      <c r="K18" s="15">
        <f>IFERROR(K8/K2,"")</f>
        <v/>
      </c>
      <c r="L18" s="15">
        <f>IFERROR(L8/L2,"")</f>
        <v/>
      </c>
      <c r="M18" s="15">
        <f>IFERROR(M8/M2,"")</f>
        <v/>
      </c>
      <c r="N18" s="15">
        <f>IFERROR(N8/N2,"")</f>
        <v/>
      </c>
      <c r="O18" s="15">
        <f>IFERROR(O8/O2,"")</f>
        <v/>
      </c>
      <c r="P18" s="15">
        <f>IFERROR(P8/P2,"")</f>
        <v/>
      </c>
      <c r="Q18" s="15">
        <f>IFERROR(Q8/Q2,"")</f>
        <v>-387.349873843566</v>
      </c>
      <c r="R18" s="15">
        <f>IFERROR(R8/R2,"")</f>
        <v>-2.4092033887974647</v>
      </c>
      <c r="S18" s="15">
        <f>IFERROR(S8/S2,"")</f>
        <v>-1.5307511897442903</v>
      </c>
      <c r="T18" s="15">
        <f>IFERROR(T8/T2,"")</f>
        <v>-0.8152</v>
      </c>
      <c r="U18" s="15">
        <f>IFERROR(U8/U2,"")</f>
        <v>-0.7031999999999999</v>
      </c>
      <c r="V18" s="15">
        <f>IFERROR(V8/V2,"")</f>
        <v>-0.5912</v>
      </c>
      <c r="W18" s="15">
        <f>IFERROR(W8/W2,"")</f>
        <v>-0.47920000000000007</v>
      </c>
      <c r="X18" s="15">
        <f>IFERROR(X8/X2,"")</f>
        <v>-0.3672</v>
      </c>
      <c r="Y18" s="15">
        <f>IFERROR(Y8/Y2,"")</f>
        <v>-0.2551999999999999</v>
      </c>
      <c r="Z18" s="15">
        <f>IFERROR(Z8/Z2,"")</f>
        <v>-0.14320000000000002</v>
      </c>
      <c r="AA18" s="15">
        <f>IFERROR(AA8/AA2,"")</f>
        <v>-0.031199999999999888</v>
      </c>
      <c r="AB18" s="15">
        <f>IFERROR(AB8/AB2,"")</f>
        <v>0.08080000000000019</v>
      </c>
      <c r="AC18" s="15">
        <f>IFERROR(AC8/AC2,"")</f>
        <v>0.19280000000000005</v>
      </c>
    </row>
    <row r="19">
      <c r="A19" s="14" t="inlineStr">
        <is>
          <t>Actual / Estimate</t>
        </is>
      </c>
      <c r="B19" s="19" t="inlineStr">
        <is>
          <t>A</t>
        </is>
      </c>
      <c r="C19" s="19" t="inlineStr">
        <is>
          <t>A</t>
        </is>
      </c>
      <c r="D19" s="19" t="inlineStr">
        <is>
          <t>A</t>
        </is>
      </c>
      <c r="E19" s="19" t="inlineStr">
        <is>
          <t>A</t>
        </is>
      </c>
      <c r="F19" s="19" t="inlineStr">
        <is>
          <t>A</t>
        </is>
      </c>
      <c r="G19" s="19" t="inlineStr">
        <is>
          <t>A</t>
        </is>
      </c>
      <c r="H19" s="19" t="inlineStr">
        <is>
          <t>A</t>
        </is>
      </c>
      <c r="I19" s="19" t="inlineStr">
        <is>
          <t>A</t>
        </is>
      </c>
      <c r="J19" s="19" t="inlineStr">
        <is>
          <t>A</t>
        </is>
      </c>
      <c r="K19" s="19" t="inlineStr">
        <is>
          <t>A</t>
        </is>
      </c>
      <c r="L19" s="19" t="inlineStr">
        <is>
          <t>A</t>
        </is>
      </c>
      <c r="M19" s="19" t="inlineStr">
        <is>
          <t>A</t>
        </is>
      </c>
      <c r="N19" s="19" t="inlineStr">
        <is>
          <t>A</t>
        </is>
      </c>
      <c r="O19" s="19" t="inlineStr">
        <is>
          <t>A</t>
        </is>
      </c>
      <c r="P19" s="19" t="inlineStr">
        <is>
          <t>A</t>
        </is>
      </c>
      <c r="Q19" s="19" t="inlineStr">
        <is>
          <t>A</t>
        </is>
      </c>
      <c r="R19" s="19" t="inlineStr">
        <is>
          <t>A</t>
        </is>
      </c>
      <c r="S19" s="19" t="inlineStr">
        <is>
          <t>A</t>
        </is>
      </c>
      <c r="T19" s="19" t="inlineStr">
        <is>
          <t>E</t>
        </is>
      </c>
      <c r="U19" s="19" t="inlineStr">
        <is>
          <t>E</t>
        </is>
      </c>
      <c r="V19" s="19" t="inlineStr">
        <is>
          <t>E</t>
        </is>
      </c>
      <c r="W19" s="19" t="inlineStr">
        <is>
          <t>E</t>
        </is>
      </c>
      <c r="X19" s="19" t="inlineStr">
        <is>
          <t>E</t>
        </is>
      </c>
      <c r="Y19" s="19" t="inlineStr">
        <is>
          <t>E</t>
        </is>
      </c>
      <c r="Z19" s="19" t="inlineStr">
        <is>
          <t>E</t>
        </is>
      </c>
      <c r="AA19" s="19" t="inlineStr">
        <is>
          <t>E</t>
        </is>
      </c>
      <c r="AB19" s="19" t="inlineStr">
        <is>
          <t>E</t>
        </is>
      </c>
      <c r="AC19" s="19" t="inlineStr">
        <is>
          <t>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44" customWidth="1" style="9" min="1" max="1"/>
    <col width="14" customWidth="1" style="9" min="2" max="2"/>
    <col width="14" customWidth="1" style="9" min="3" max="3"/>
    <col width="14" customWidth="1" style="9" min="4" max="4"/>
    <col width="14" customWidth="1" style="9" min="5" max="5"/>
    <col width="14" customWidth="1" style="9" min="6" max="6"/>
  </cols>
  <sheetData>
    <row r="1">
      <c r="A1" s="20" t="inlineStr">
        <is>
          <t>Iovance Biotherapeutics Inc: basic DCF assumptions</t>
        </is>
      </c>
    </row>
    <row r="2">
      <c r="A2" s="21" t="inlineStr">
        <is>
          <t>Blue = input, black = formula, green = link. $mm unless noted.</t>
        </is>
      </c>
    </row>
    <row r="4">
      <c r="A4" s="20" t="inlineStr">
        <is>
          <t>Scenario (1 Bear, 2 Base, 3 Bull)</t>
        </is>
      </c>
      <c r="B4" s="22" t="n">
        <v>2</v>
      </c>
      <c r="C4" s="20" t="str">
        <f>CHOOSE($B$4,"Bear","Base","Bull")</f>
        <v>Base</v>
      </c>
    </row>
    <row r="6">
      <c r="A6" s="14" t="inlineStr">
        <is>
          <t>Discount rate override (blank = scenario)</t>
        </is>
      </c>
      <c r="B6" s="53" t="n"/>
    </row>
    <row r="7">
      <c r="A7" s="14" t="inlineStr">
        <is>
          <t>Terminal growth override (blank = scenario)</t>
        </is>
      </c>
      <c r="B7" s="53" t="n"/>
    </row>
    <row r="9">
      <c r="A9" s="24" t="inlineStr">
        <is>
          <t>Parameter</t>
        </is>
      </c>
      <c r="B9" s="25" t="inlineStr">
        <is>
          <t>Bear</t>
        </is>
      </c>
      <c r="C9" s="25" t="inlineStr">
        <is>
          <t>Base</t>
        </is>
      </c>
      <c r="D9" s="25" t="inlineStr">
        <is>
          <t>Bull</t>
        </is>
      </c>
      <c r="E9" s="25" t="inlineStr">
        <is>
          <t>Live</t>
        </is>
      </c>
    </row>
    <row r="10">
      <c r="A10" s="14" t="inlineStr">
        <is>
          <t>Discount rate</t>
        </is>
      </c>
      <c r="B10" s="53" t="n">
        <v>0.105</v>
      </c>
      <c r="C10" s="53" t="n">
        <v>0.095</v>
      </c>
      <c r="D10" s="53" t="n">
        <v>0.08500000000000001</v>
      </c>
      <c r="E10" s="54">
        <f>IF(ISNUMBER($B$6),$B$6,CHOOSE($B$4,B10,C10,D10))</f>
        <v>0.095</v>
      </c>
    </row>
    <row r="11">
      <c r="A11" s="14" t="inlineStr">
        <is>
          <t>Terminal growth</t>
        </is>
      </c>
      <c r="B11" s="53" t="n">
        <v>0.02</v>
      </c>
      <c r="C11" s="53" t="n">
        <v>0.025</v>
      </c>
      <c r="D11" s="53" t="n">
        <v>0.03</v>
      </c>
      <c r="E11" s="54">
        <f>IF(ISNUMBER($B$7),$B$7,CHOOSE($B$4,B11,C11,D11))</f>
        <v>0.025</v>
      </c>
    </row>
    <row r="12">
      <c r="A12" s="14" t="inlineStr">
        <is>
          <t>Revenue growth, first forecast year</t>
        </is>
      </c>
      <c r="B12" s="53" t="n">
        <v>0.3</v>
      </c>
      <c r="C12" s="53" t="n">
        <v>0.35</v>
      </c>
      <c r="D12" s="53" t="n">
        <v>0.4</v>
      </c>
      <c r="E12" s="54">
        <f>CHOOSE($B$4,B12,C12,D12)</f>
        <v>0.35</v>
      </c>
    </row>
    <row r="13">
      <c r="A13" s="14" t="inlineStr">
        <is>
          <t>Operating margin, year 10</t>
        </is>
      </c>
      <c r="B13" s="53" t="n">
        <v>0.1428</v>
      </c>
      <c r="C13" s="53" t="n">
        <v>0.1928</v>
      </c>
      <c r="D13" s="53" t="n">
        <v>0.2428</v>
      </c>
      <c r="E13" s="54">
        <f>CHOOSE($B$4,B13,C13,D13)</f>
        <v>0.1928</v>
      </c>
    </row>
    <row r="14">
      <c r="A14" s="14" t="inlineStr">
        <is>
          <t>Tax rate on operating income</t>
        </is>
      </c>
      <c r="B14" s="53" t="n">
        <v>0.17</v>
      </c>
      <c r="C14" s="53" t="n">
        <v>0.17</v>
      </c>
      <c r="D14" s="53" t="n">
        <v>0.17</v>
      </c>
      <c r="E14" s="54">
        <f>CHOOSE($B$4,B14,C14,D14)</f>
        <v>0.17</v>
      </c>
    </row>
    <row r="15">
      <c r="A15" s="14" t="inlineStr">
        <is>
          <t>Reinvestment, % of revenue increase</t>
        </is>
      </c>
      <c r="B15" s="53" t="n">
        <v>0.25</v>
      </c>
      <c r="C15" s="53" t="n">
        <v>0.25</v>
      </c>
      <c r="D15" s="53" t="n">
        <v>0.25</v>
      </c>
      <c r="E15" s="54">
        <f>CHOOSE($B$4,B15,C15,D15)</f>
        <v>0.25</v>
      </c>
    </row>
    <row r="17">
      <c r="A17" s="27" t="inlineStr">
        <is>
          <t>Single inputs</t>
        </is>
      </c>
      <c r="B17" s="28" t="n"/>
      <c r="C17" s="28" t="n"/>
      <c r="D17" s="28" t="n"/>
      <c r="E17" s="28" t="n"/>
    </row>
    <row r="18">
      <c r="A18" s="14" t="inlineStr">
        <is>
          <t>Starting operating margin (TTM)</t>
        </is>
      </c>
      <c r="B18" s="53" t="n">
        <v>-0.9272</v>
      </c>
    </row>
    <row r="19">
      <c r="A19" s="14" t="inlineStr">
        <is>
          <t>Gross margin (forecast)</t>
        </is>
      </c>
      <c r="B19" s="53" t="n">
        <v>0.3428</v>
      </c>
    </row>
    <row r="20">
      <c r="A20" s="14" t="inlineStr">
        <is>
          <t>R&amp;D share of operating expense (forecast)</t>
        </is>
      </c>
      <c r="B20" s="53" t="n">
        <v>0.6082</v>
      </c>
    </row>
    <row r="21">
      <c r="A21" s="14" t="inlineStr">
        <is>
          <t>Forecast years</t>
        </is>
      </c>
      <c r="B21" s="29" t="n">
        <v>10</v>
      </c>
    </row>
    <row r="22">
      <c r="A22" s="14" t="inlineStr">
        <is>
          <t>First forecast year, fraction after balance sheet date</t>
        </is>
      </c>
      <c r="B22" s="30" t="n">
        <v>0.5041</v>
      </c>
    </row>
    <row r="23">
      <c r="A23" s="14" t="inlineStr">
        <is>
          <t>Balance sheet date</t>
        </is>
      </c>
      <c r="B23" s="31" t="n">
        <v>46203</v>
      </c>
    </row>
    <row r="24">
      <c r="A24" s="14" t="inlineStr">
        <is>
          <t>Reporting currency per USD (USD)</t>
        </is>
      </c>
      <c r="B24" s="32" t="n">
        <v>1</v>
      </c>
    </row>
    <row r="25">
      <c r="A25" s="14" t="inlineStr">
        <is>
          <t>Base revenue, FY2025</t>
        </is>
      </c>
      <c r="B25" s="55">
        <f>'Yearly Model'!S2</f>
        <v>263.502</v>
      </c>
    </row>
    <row r="27">
      <c r="A27" s="27" t="inlineStr">
        <is>
          <t>Scenario summary</t>
        </is>
      </c>
      <c r="B27" s="28" t="n"/>
      <c r="C27" s="28" t="n"/>
      <c r="D27" s="28" t="n"/>
      <c r="E27" s="28" t="n"/>
    </row>
    <row r="28">
      <c r="A28" s="24" t="inlineStr">
        <is>
          <t>Scenario</t>
        </is>
      </c>
      <c r="B28" s="25" t="inlineStr">
        <is>
          <t>Enterprise value</t>
        </is>
      </c>
      <c r="C28" s="25" t="inlineStr">
        <is>
          <t>Equity value</t>
        </is>
      </c>
      <c r="D28" s="25" t="inlineStr">
        <is>
          <t>NPV / share</t>
        </is>
      </c>
      <c r="E28" s="25" t="inlineStr">
        <is>
          <t>Upside</t>
        </is>
      </c>
    </row>
    <row r="29">
      <c r="A29" s="21" t="inlineStr">
        <is>
          <t>Live</t>
        </is>
      </c>
      <c r="B29" s="56">
        <f>NPV!B23</f>
        <v>-226.28191035660393</v>
      </c>
      <c r="C29" s="56">
        <f>NPV!B26</f>
        <v>71.39208964339605</v>
      </c>
      <c r="D29" s="35">
        <f>NPV!B28</f>
        <v>0.1576083713009876</v>
      </c>
      <c r="E29" s="57">
        <f>NPV!B30</f>
        <v>-0.9893937838962996</v>
      </c>
    </row>
    <row r="30">
      <c r="A30" s="58" t="n">
        <v>1</v>
      </c>
      <c r="B30" s="59">
        <f t="dataTable" ref="B30:E32" r1="B4"/>
        <v>-885.000292398492</v>
      </c>
      <c r="C30" s="59">
        <v>-587.326292398492</v>
      </c>
      <c r="D30" s="39">
        <v>-1.2966078010820161</v>
      </c>
      <c r="E30" s="60">
        <v>-1.0872548991306874</v>
      </c>
    </row>
    <row r="31">
      <c r="A31" s="58" t="n">
        <v>2</v>
      </c>
      <c r="B31" s="59">
        <v>-226.28191035660393</v>
      </c>
      <c r="C31" s="59">
        <v>71.39208964339605</v>
      </c>
      <c r="D31" s="39">
        <v>0.1576083713009876</v>
      </c>
      <c r="E31" s="60">
        <v>-0.9893937838962996</v>
      </c>
    </row>
    <row r="32">
      <c r="A32" s="58" t="n">
        <v>3</v>
      </c>
      <c r="B32" s="59">
        <v>1332.3823614696605</v>
      </c>
      <c r="C32" s="59">
        <v>1630.0563614696605</v>
      </c>
      <c r="D32" s="39">
        <v>3.598585355090695</v>
      </c>
      <c r="E32" s="60">
        <v>-0.7578340945430219</v>
      </c>
    </row>
    <row r="35">
      <c r="A35" s="27" t="inlineStr">
        <is>
          <t>NPV / share: discount rate (rows) x terminal growth (columns)</t>
        </is>
      </c>
      <c r="B35" s="28" t="n"/>
      <c r="C35" s="28" t="n"/>
      <c r="D35" s="28" t="n"/>
      <c r="E35" s="28" t="n"/>
      <c r="F35" s="28" t="n"/>
    </row>
    <row r="36">
      <c r="A36" s="35">
        <f>NPV!B28</f>
        <v>0.1576083713009876</v>
      </c>
      <c r="B36" s="61" t="n">
        <v>0.015</v>
      </c>
      <c r="C36" s="61" t="n">
        <v>0.02</v>
      </c>
      <c r="D36" s="61" t="n">
        <v>0.025</v>
      </c>
      <c r="E36" s="61" t="n">
        <v>0.03</v>
      </c>
      <c r="F36" s="61" t="n">
        <v>0.035</v>
      </c>
    </row>
    <row r="37">
      <c r="A37" s="62" t="n">
        <v>0.075</v>
      </c>
      <c r="B37" s="39">
        <f t="dataTable" ref="B37:F41" dt2D="1" r1="B7" r2="B6"/>
        <v>1.0301822544153392</v>
      </c>
      <c r="C37" s="39">
        <v>1.4631601006775512</v>
      </c>
      <c r="D37" s="39">
        <v>1.986883586130325</v>
      </c>
      <c r="E37" s="39">
        <v>2.6316506457166</v>
      </c>
      <c r="F37" s="39">
        <v>3.4429087498515663</v>
      </c>
    </row>
    <row r="38">
      <c r="A38" s="62" t="n">
        <v>0.08500000000000001</v>
      </c>
      <c r="B38" s="39">
        <v>0.2542043245585697</v>
      </c>
      <c r="C38" s="39">
        <v>0.547109195845208</v>
      </c>
      <c r="D38" s="39">
        <v>0.8920960240995448</v>
      </c>
      <c r="E38" s="39">
        <v>1.3034068280925182</v>
      </c>
      <c r="F38" s="39">
        <v>1.8009808583973752</v>
      </c>
    </row>
    <row r="39">
      <c r="A39" s="62" t="n">
        <v>0.095</v>
      </c>
      <c r="B39" s="39">
        <v>-0.28764921433893403</v>
      </c>
      <c r="C39" s="39">
        <v>-0.08109603969187557</v>
      </c>
      <c r="D39" s="39">
        <v>0.1576083713009876</v>
      </c>
      <c r="E39" s="39">
        <v>0.4359135556914401</v>
      </c>
      <c r="F39" s="39">
        <v>0.7637525599380044</v>
      </c>
    </row>
    <row r="40">
      <c r="A40" s="62" t="n">
        <v>0.105</v>
      </c>
      <c r="B40" s="39">
        <v>-0.6762268787923473</v>
      </c>
      <c r="C40" s="39">
        <v>-0.526072966081543</v>
      </c>
      <c r="D40" s="39">
        <v>-0.354962388231484</v>
      </c>
      <c r="E40" s="39">
        <v>-0.15867940352921298</v>
      </c>
      <c r="F40" s="39">
        <v>0.06819649217600203</v>
      </c>
    </row>
    <row r="41">
      <c r="A41" s="62" t="n">
        <v>0.115</v>
      </c>
      <c r="B41" s="39">
        <v>-0.9598109765290904</v>
      </c>
      <c r="C41" s="39">
        <v>-0.8481465287895967</v>
      </c>
      <c r="D41" s="39">
        <v>-0.7222346403980692</v>
      </c>
      <c r="E41" s="39">
        <v>-0.5795408366824223</v>
      </c>
      <c r="F41" s="39">
        <v>-0.4168968074902269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38" customWidth="1" style="9" min="1" max="1"/>
    <col width="13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</cols>
  <sheetData>
    <row r="1">
      <c r="A1" s="20" t="inlineStr">
        <is>
          <t>Iovance Biotherapeutics Inc: free-cash-flow DCF ($mm)</t>
        </is>
      </c>
    </row>
    <row r="3">
      <c r="A3" s="20" t="inlineStr">
        <is>
          <t>Fiscal year</t>
        </is>
      </c>
      <c r="B3" s="43">
        <f>'Yearly Model'!S1</f>
        <v>2025</v>
      </c>
      <c r="C3" s="43">
        <f>'Yearly Model'!T1</f>
        <v>2026</v>
      </c>
      <c r="D3" s="43">
        <f>'Yearly Model'!U1</f>
        <v>2027</v>
      </c>
      <c r="E3" s="43">
        <f>'Yearly Model'!V1</f>
        <v>2028</v>
      </c>
      <c r="F3" s="43">
        <f>'Yearly Model'!W1</f>
        <v>2029</v>
      </c>
      <c r="G3" s="43">
        <f>'Yearly Model'!X1</f>
        <v>2030</v>
      </c>
      <c r="H3" s="43">
        <f>'Yearly Model'!Y1</f>
        <v>2031</v>
      </c>
      <c r="I3" s="43">
        <f>'Yearly Model'!Z1</f>
        <v>2032</v>
      </c>
      <c r="J3" s="43">
        <f>'Yearly Model'!AA1</f>
        <v>2033</v>
      </c>
      <c r="K3" s="43">
        <f>'Yearly Model'!AB1</f>
        <v>2034</v>
      </c>
      <c r="L3" s="43">
        <f>'Yearly Model'!AC1</f>
        <v>2035</v>
      </c>
    </row>
    <row r="4">
      <c r="A4" s="14" t="inlineStr">
        <is>
          <t>Period</t>
        </is>
      </c>
      <c r="B4" s="19" t="inlineStr">
        <is>
          <t>Actual</t>
        </is>
      </c>
      <c r="C4" s="29" t="n">
        <v>1</v>
      </c>
      <c r="D4" s="29" t="n">
        <v>2</v>
      </c>
      <c r="E4" s="29" t="n">
        <v>3</v>
      </c>
      <c r="F4" s="29" t="n">
        <v>4</v>
      </c>
      <c r="G4" s="29" t="n">
        <v>5</v>
      </c>
      <c r="H4" s="29" t="n">
        <v>6</v>
      </c>
      <c r="I4" s="29" t="n">
        <v>7</v>
      </c>
      <c r="J4" s="29" t="n">
        <v>8</v>
      </c>
      <c r="K4" s="29" t="n">
        <v>9</v>
      </c>
      <c r="L4" s="29" t="n">
        <v>10</v>
      </c>
    </row>
    <row r="5">
      <c r="A5" s="14" t="inlineStr">
        <is>
          <t>Revenue growth</t>
        </is>
      </c>
      <c r="C5" s="63">
        <f>Assumptions!$E$12+(Assumptions!$E$11-Assumptions!$E$12)*(C4-1)/(Assumptions!$B$21-1)</f>
        <v>0.35</v>
      </c>
      <c r="D5" s="63">
        <f>Assumptions!$E$12+(Assumptions!$E$11-Assumptions!$E$12)*(D4-1)/(Assumptions!$B$21-1)</f>
        <v>0.3138888888888889</v>
      </c>
      <c r="E5" s="63">
        <f>Assumptions!$E$12+(Assumptions!$E$11-Assumptions!$E$12)*(E4-1)/(Assumptions!$B$21-1)</f>
        <v>0.2777777777777778</v>
      </c>
      <c r="F5" s="63">
        <f>Assumptions!$E$12+(Assumptions!$E$11-Assumptions!$E$12)*(F4-1)/(Assumptions!$B$21-1)</f>
        <v>0.24166666666666664</v>
      </c>
      <c r="G5" s="63">
        <f>Assumptions!$E$12+(Assumptions!$E$11-Assumptions!$E$12)*(G4-1)/(Assumptions!$B$21-1)</f>
        <v>0.20555555555555555</v>
      </c>
      <c r="H5" s="63">
        <f>Assumptions!$E$12+(Assumptions!$E$11-Assumptions!$E$12)*(H4-1)/(Assumptions!$B$21-1)</f>
        <v>0.16944444444444445</v>
      </c>
      <c r="I5" s="63">
        <f>Assumptions!$E$12+(Assumptions!$E$11-Assumptions!$E$12)*(I4-1)/(Assumptions!$B$21-1)</f>
        <v>0.13333333333333333</v>
      </c>
      <c r="J5" s="63">
        <f>Assumptions!$E$12+(Assumptions!$E$11-Assumptions!$E$12)*(J4-1)/(Assumptions!$B$21-1)</f>
        <v>0.09722222222222227</v>
      </c>
      <c r="K5" s="63">
        <f>Assumptions!$E$12+(Assumptions!$E$11-Assumptions!$E$12)*(K4-1)/(Assumptions!$B$21-1)</f>
        <v>0.061111111111111116</v>
      </c>
      <c r="L5" s="63">
        <f>Assumptions!$E$12+(Assumptions!$E$11-Assumptions!$E$12)*(L4-1)/(Assumptions!$B$21-1)</f>
        <v>0.025000000000000022</v>
      </c>
    </row>
    <row r="6">
      <c r="A6" s="14" t="inlineStr">
        <is>
          <t>Operating margin</t>
        </is>
      </c>
      <c r="B6" s="63">
        <f>IFERROR(B8/B7,0)</f>
        <v>-1.5307511897442903</v>
      </c>
      <c r="C6" s="63">
        <f>Assumptions!$B$18+(Assumptions!$E$13-Assumptions!$B$18)*C4/Assumptions!$B$21</f>
        <v>-0.8152</v>
      </c>
      <c r="D6" s="63">
        <f>Assumptions!$B$18+(Assumptions!$E$13-Assumptions!$B$18)*D4/Assumptions!$B$21</f>
        <v>-0.7032</v>
      </c>
      <c r="E6" s="63">
        <f>Assumptions!$B$18+(Assumptions!$E$13-Assumptions!$B$18)*E4/Assumptions!$B$21</f>
        <v>-0.5912</v>
      </c>
      <c r="F6" s="63">
        <f>Assumptions!$B$18+(Assumptions!$E$13-Assumptions!$B$18)*F4/Assumptions!$B$21</f>
        <v>-0.47919999999999996</v>
      </c>
      <c r="G6" s="63">
        <f>Assumptions!$B$18+(Assumptions!$E$13-Assumptions!$B$18)*G4/Assumptions!$B$21</f>
        <v>-0.36719999999999997</v>
      </c>
      <c r="H6" s="63">
        <f>Assumptions!$B$18+(Assumptions!$E$13-Assumptions!$B$18)*H4/Assumptions!$B$21</f>
        <v>-0.2552</v>
      </c>
      <c r="I6" s="63">
        <f>Assumptions!$B$18+(Assumptions!$E$13-Assumptions!$B$18)*I4/Assumptions!$B$21</f>
        <v>-0.1432</v>
      </c>
      <c r="J6" s="63">
        <f>Assumptions!$B$18+(Assumptions!$E$13-Assumptions!$B$18)*J4/Assumptions!$B$21</f>
        <v>-0.031199999999999894</v>
      </c>
      <c r="K6" s="63">
        <f>Assumptions!$B$18+(Assumptions!$E$13-Assumptions!$B$18)*K4/Assumptions!$B$21</f>
        <v>0.0808000000000002</v>
      </c>
      <c r="L6" s="63">
        <f>Assumptions!$B$18+(Assumptions!$E$13-Assumptions!$B$18)*L4/Assumptions!$B$21</f>
        <v>0.19280000000000008</v>
      </c>
    </row>
    <row r="7">
      <c r="A7" s="14" t="inlineStr">
        <is>
          <t>Revenue</t>
        </is>
      </c>
      <c r="B7" s="55">
        <f>'Yearly Model'!S2</f>
        <v>263.502</v>
      </c>
      <c r="C7" s="55">
        <f>'Yearly Model'!T2</f>
        <v>355.7277</v>
      </c>
      <c r="D7" s="55">
        <f>'Yearly Model'!U2</f>
        <v>467.38667250000003</v>
      </c>
      <c r="E7" s="55">
        <f>'Yearly Model'!V2</f>
        <v>597.21630375</v>
      </c>
      <c r="F7" s="55">
        <f>'Yearly Model'!W2</f>
        <v>741.54357715625</v>
      </c>
      <c r="G7" s="55">
        <f>'Yearly Model'!X2</f>
        <v>893.9719791272569</v>
      </c>
      <c r="H7" s="55">
        <f>'Yearly Model'!Y2</f>
        <v>1045.4505644793755</v>
      </c>
      <c r="I7" s="55">
        <f>'Yearly Model'!Z2</f>
        <v>1184.8439730766256</v>
      </c>
      <c r="J7" s="55">
        <f>'Yearly Model'!AA2</f>
        <v>1300.0371371257422</v>
      </c>
      <c r="K7" s="55">
        <f>'Yearly Model'!AB2</f>
        <v>1379.4838510612042</v>
      </c>
      <c r="L7" s="55">
        <f>'Yearly Model'!AC2</f>
        <v>1413.970947337734</v>
      </c>
    </row>
    <row r="8">
      <c r="A8" s="14" t="inlineStr">
        <is>
          <t>Operating income</t>
        </is>
      </c>
      <c r="B8" s="55">
        <f>'Yearly Model'!S8</f>
        <v>-403.356</v>
      </c>
      <c r="C8" s="55">
        <f>'Yearly Model'!T8</f>
        <v>-289.98922104</v>
      </c>
      <c r="D8" s="55">
        <f>'Yearly Model'!U8</f>
        <v>-328.666308102</v>
      </c>
      <c r="E8" s="55">
        <f>'Yearly Model'!V8</f>
        <v>-353.07427877699996</v>
      </c>
      <c r="F8" s="55">
        <f>'Yearly Model'!W8</f>
        <v>-355.347682173275</v>
      </c>
      <c r="G8" s="55">
        <f>'Yearly Model'!X8</f>
        <v>-328.26651073552875</v>
      </c>
      <c r="H8" s="55">
        <f>'Yearly Model'!Y8</f>
        <v>-266.79898405513654</v>
      </c>
      <c r="I8" s="55">
        <f>'Yearly Model'!Z8</f>
        <v>-169.6696569445728</v>
      </c>
      <c r="J8" s="55">
        <f>'Yearly Model'!AA8</f>
        <v>-40.56115867832301</v>
      </c>
      <c r="K8" s="55">
        <f>'Yearly Model'!AB8</f>
        <v>111.46229516574556</v>
      </c>
      <c r="L8" s="55">
        <f>'Yearly Model'!AC8</f>
        <v>272.6135986467152</v>
      </c>
    </row>
    <row r="9">
      <c r="A9" s="14" t="inlineStr">
        <is>
          <t>Tax on operating income</t>
        </is>
      </c>
      <c r="C9" s="52">
        <f>MAX(0,C8)*Assumptions!$E$14</f>
        <v>0.0</v>
      </c>
      <c r="D9" s="52">
        <f>MAX(0,D8)*Assumptions!$E$14</f>
        <v>0.0</v>
      </c>
      <c r="E9" s="52">
        <f>MAX(0,E8)*Assumptions!$E$14</f>
        <v>0.0</v>
      </c>
      <c r="F9" s="52">
        <f>MAX(0,F8)*Assumptions!$E$14</f>
        <v>0.0</v>
      </c>
      <c r="G9" s="52">
        <f>MAX(0,G8)*Assumptions!$E$14</f>
        <v>0.0</v>
      </c>
      <c r="H9" s="52">
        <f>MAX(0,H8)*Assumptions!$E$14</f>
        <v>0.0</v>
      </c>
      <c r="I9" s="52">
        <f>MAX(0,I8)*Assumptions!$E$14</f>
        <v>0.0</v>
      </c>
      <c r="J9" s="52">
        <f>MAX(0,J8)*Assumptions!$E$14</f>
        <v>0.0</v>
      </c>
      <c r="K9" s="52">
        <f>MAX(0,K8)*Assumptions!$E$14</f>
        <v>18.948590178176747</v>
      </c>
      <c r="L9" s="52">
        <f>MAX(0,L8)*Assumptions!$E$14</f>
        <v>46.34431176994159</v>
      </c>
    </row>
    <row r="10">
      <c r="A10" s="14" t="inlineStr">
        <is>
          <t>NOPAT</t>
        </is>
      </c>
      <c r="C10" s="52">
        <f>C8-C9</f>
        <v>-289.98922104</v>
      </c>
      <c r="D10" s="52">
        <f>D8-D9</f>
        <v>-328.666308102</v>
      </c>
      <c r="E10" s="52">
        <f>E8-E9</f>
        <v>-353.07427877699996</v>
      </c>
      <c r="F10" s="52">
        <f>F8-F9</f>
        <v>-355.347682173275</v>
      </c>
      <c r="G10" s="52">
        <f>G8-G9</f>
        <v>-328.26651073552875</v>
      </c>
      <c r="H10" s="52">
        <f>H8-H9</f>
        <v>-266.79898405513654</v>
      </c>
      <c r="I10" s="52">
        <f>I8-I9</f>
        <v>-169.6696569445728</v>
      </c>
      <c r="J10" s="52">
        <f>J8-J9</f>
        <v>-40.56115867832301</v>
      </c>
      <c r="K10" s="52">
        <f>K8-K9</f>
        <v>92.51370498756881</v>
      </c>
      <c r="L10" s="52">
        <f>L8-L9</f>
        <v>226.26928687677363</v>
      </c>
    </row>
    <row r="11">
      <c r="A11" s="14" t="inlineStr">
        <is>
          <t>Reinvestment</t>
        </is>
      </c>
      <c r="C11" s="52">
        <f>(C7-B7)*Assumptions!$E$15</f>
        <v>23.056425000000004</v>
      </c>
      <c r="D11" s="52">
        <f>(D7-C7)*Assumptions!$E$15</f>
        <v>27.914743125</v>
      </c>
      <c r="E11" s="52">
        <f>(E7-D7)*Assumptions!$E$15</f>
        <v>32.45740781249998</v>
      </c>
      <c r="F11" s="52">
        <f>(F7-E7)*Assumptions!$E$15</f>
        <v>36.081818351562504</v>
      </c>
      <c r="G11" s="52">
        <f>(G7-F7)*Assumptions!$E$15</f>
        <v>38.10710049275173</v>
      </c>
      <c r="H11" s="52">
        <f>(H7-G7)*Assumptions!$E$15</f>
        <v>37.86964633802967</v>
      </c>
      <c r="I11" s="52">
        <f>(I7-H7)*Assumptions!$E$15</f>
        <v>34.84835214931252</v>
      </c>
      <c r="J11" s="52">
        <f>(J7-I7)*Assumptions!$E$15</f>
        <v>28.79829101227915</v>
      </c>
      <c r="K11" s="52">
        <f>(K7-J7)*Assumptions!$E$15</f>
        <v>19.86167848386549</v>
      </c>
      <c r="L11" s="52">
        <f>(L7-K7)*Assumptions!$E$15</f>
        <v>8.62177406913247</v>
      </c>
    </row>
    <row r="12">
      <c r="A12" s="20" t="inlineStr">
        <is>
          <t>Free cash flow</t>
        </is>
      </c>
      <c r="C12" s="64">
        <f>C10-C11</f>
        <v>-313.04564604</v>
      </c>
      <c r="D12" s="64">
        <f>D10-D11</f>
        <v>-356.581051227</v>
      </c>
      <c r="E12" s="64">
        <f>E10-E11</f>
        <v>-385.53168658949994</v>
      </c>
      <c r="F12" s="64">
        <f>F10-F11</f>
        <v>-391.4295005248375</v>
      </c>
      <c r="G12" s="64">
        <f>G10-G11</f>
        <v>-366.3736112282805</v>
      </c>
      <c r="H12" s="64">
        <f>H10-H11</f>
        <v>-304.6686303931662</v>
      </c>
      <c r="I12" s="64">
        <f>I10-I11</f>
        <v>-204.51800909388533</v>
      </c>
      <c r="J12" s="64">
        <f>J10-J11</f>
        <v>-69.35944969060216</v>
      </c>
      <c r="K12" s="64">
        <f>K10-K11</f>
        <v>72.65202650370333</v>
      </c>
      <c r="L12" s="64">
        <f>L10-L11</f>
        <v>217.64751280764116</v>
      </c>
    </row>
    <row r="13">
      <c r="A13" s="14" t="inlineStr">
        <is>
          <t>Year fraction</t>
        </is>
      </c>
      <c r="C13" s="46">
        <f>Assumptions!$B$22</f>
        <v>0.5041</v>
      </c>
      <c r="D13" s="11" t="n">
        <v>1</v>
      </c>
      <c r="E13" s="11" t="n">
        <v>1</v>
      </c>
      <c r="F13" s="11" t="n">
        <v>1</v>
      </c>
      <c r="G13" s="11" t="n">
        <v>1</v>
      </c>
      <c r="H13" s="11" t="n">
        <v>1</v>
      </c>
      <c r="I13" s="11" t="n">
        <v>1</v>
      </c>
      <c r="J13" s="11" t="n">
        <v>1</v>
      </c>
      <c r="K13" s="11" t="n">
        <v>1</v>
      </c>
      <c r="L13" s="11" t="n">
        <v>1</v>
      </c>
    </row>
    <row r="14">
      <c r="A14" s="14" t="inlineStr">
        <is>
          <t>Discount time (mid-period)</t>
        </is>
      </c>
      <c r="C14" s="11">
        <f>C13/2</f>
        <v>0.25205</v>
      </c>
      <c r="D14" s="11">
        <f>C14+C13/2+D13/2</f>
        <v>1.0041</v>
      </c>
      <c r="E14" s="11">
        <f>D14+D13/2+E13/2</f>
        <v>2.0041</v>
      </c>
      <c r="F14" s="11">
        <f>E14+E13/2+F13/2</f>
        <v>3.0041</v>
      </c>
      <c r="G14" s="11">
        <f>F14+F13/2+G13/2</f>
        <v>4.0041</v>
      </c>
      <c r="H14" s="11">
        <f>G14+G13/2+H13/2</f>
        <v>5.0041</v>
      </c>
      <c r="I14" s="11">
        <f>H14+H13/2+I13/2</f>
        <v>6.0041</v>
      </c>
      <c r="J14" s="11">
        <f>I14+I13/2+J13/2</f>
        <v>7.0041</v>
      </c>
      <c r="K14" s="11">
        <f>J14+J13/2+K13/2</f>
        <v>8.004100000000001</v>
      </c>
      <c r="L14" s="11">
        <f>K14+K13/2+L13/2</f>
        <v>9.004100000000001</v>
      </c>
    </row>
    <row r="15">
      <c r="A15" s="14" t="inlineStr">
        <is>
          <t>Discount factor</t>
        </is>
      </c>
      <c r="C15" s="65">
        <f>1/(1+Assumptions!$E$10)^C14</f>
        <v>0.9773850037537266</v>
      </c>
      <c r="D15" s="65">
        <f>1/(1+Assumptions!$E$10)^D14</f>
        <v>0.9129022614872813</v>
      </c>
      <c r="E15" s="65">
        <f>1/(1+Assumptions!$E$10)^E14</f>
        <v>0.8337006954221746</v>
      </c>
      <c r="F15" s="65">
        <f>1/(1+Assumptions!$E$10)^F14</f>
        <v>0.7613704981024426</v>
      </c>
      <c r="G15" s="65">
        <f>1/(1+Assumptions!$E$10)^G14</f>
        <v>0.6953155233812262</v>
      </c>
      <c r="H15" s="65">
        <f>1/(1+Assumptions!$E$10)^H14</f>
        <v>0.6349913455536312</v>
      </c>
      <c r="I15" s="65">
        <f>1/(1+Assumptions!$E$10)^I14</f>
        <v>0.5799007721950971</v>
      </c>
      <c r="J15" s="65">
        <f>1/(1+Assumptions!$E$10)^J14</f>
        <v>0.5295897462968923</v>
      </c>
      <c r="K15" s="65">
        <f>1/(1+Assumptions!$E$10)^K14</f>
        <v>0.48364360392410255</v>
      </c>
      <c r="L15" s="65">
        <f>1/(1+Assumptions!$E$10)^L14</f>
        <v>0.44168365655169184</v>
      </c>
    </row>
    <row r="16">
      <c r="A16" s="20" t="inlineStr">
        <is>
          <t>PV of free cash flow</t>
        </is>
      </c>
      <c r="C16" s="64">
        <f>C12*C13*C15</f>
        <v>-154.23752105665915</v>
      </c>
      <c r="D16" s="64">
        <f>D12*D13*D15</f>
        <v>-325.5236480686404</v>
      </c>
      <c r="E16" s="64">
        <f>E12*E13*E15</f>
        <v>-321.41803521695</v>
      </c>
      <c r="F16" s="64">
        <f>F12*F13*F15</f>
        <v>-298.0228737865859</v>
      </c>
      <c r="G16" s="64">
        <f>G12*G13*G15</f>
        <v>-254.74525924426172</v>
      </c>
      <c r="H16" s="64">
        <f>H12*H13*H15</f>
        <v>-193.46194356133856</v>
      </c>
      <c r="I16" s="64">
        <f>I12*I13*I15</f>
        <v>-118.60015140134799</v>
      </c>
      <c r="J16" s="64">
        <f>J12*J13*J15</f>
        <v>-36.73205336493806</v>
      </c>
      <c r="K16" s="64">
        <f>K12*K13*K15</f>
        <v>35.13768793064049</v>
      </c>
      <c r="L16" s="64">
        <f>L12*L13*L15</f>
        <v>96.13134929626013</v>
      </c>
    </row>
    <row r="19">
      <c r="A19" s="14" t="inlineStr">
        <is>
          <t>PV of forecast free cash flow</t>
        </is>
      </c>
      <c r="B19" s="52">
        <f>SUM(C16:L16)</f>
        <v>-1571.472448473821</v>
      </c>
    </row>
    <row r="20">
      <c r="A20" s="14" t="inlineStr">
        <is>
          <t>Terminal free cash flow (year 11)</t>
        </is>
      </c>
      <c r="B20" s="52">
        <f>L10*(1+Assumptions!$E$11)-L7*Assumptions!$E$11*Assumptions!$E$15</f>
        <v>223.0887006278321</v>
      </c>
    </row>
    <row r="21">
      <c r="A21" s="14" t="inlineStr">
        <is>
          <t>Terminal value</t>
        </is>
      </c>
      <c r="B21" s="52">
        <f>B20/(Assumptions!$E$10-Assumptions!$E$11)</f>
        <v>3186.9814375404585</v>
      </c>
    </row>
    <row r="22">
      <c r="A22" s="14" t="inlineStr">
        <is>
          <t>PV of terminal value</t>
        </is>
      </c>
      <c r="B22" s="52">
        <f>B21/(1+Assumptions!$E$10)^(L14+0.5)</f>
        <v>1345.190538117217</v>
      </c>
    </row>
    <row r="23">
      <c r="A23" s="20" t="inlineStr">
        <is>
          <t>Enterprise value</t>
        </is>
      </c>
      <c r="B23" s="66">
        <f>B19+B22</f>
        <v>-226.28191035660393</v>
      </c>
    </row>
    <row r="24">
      <c r="A24" s="14" t="inlineStr">
        <is>
          <t>Cash &amp; investments</t>
        </is>
      </c>
      <c r="B24" s="55">
        <f>Main!C7</f>
        <v>297.674</v>
      </c>
    </row>
    <row r="25">
      <c r="A25" s="14" t="inlineStr">
        <is>
          <t>Debt</t>
        </is>
      </c>
      <c r="B25" s="55">
        <f>Main!C8</f>
        <v>0</v>
      </c>
    </row>
    <row r="26">
      <c r="A26" s="20" t="inlineStr">
        <is>
          <t>Equity value</t>
        </is>
      </c>
      <c r="B26" s="66">
        <f>B23+B24-B25</f>
        <v>71.39208964339605</v>
      </c>
    </row>
    <row r="27">
      <c r="A27" s="14" t="inlineStr">
        <is>
          <t>Shares (mm)</t>
        </is>
      </c>
      <c r="B27" s="55">
        <f>Main!C4</f>
        <v>452.971432</v>
      </c>
    </row>
    <row r="28">
      <c r="A28" s="20" t="inlineStr">
        <is>
          <t>NPV / share</t>
        </is>
      </c>
      <c r="B28" s="49">
        <f>B26/B27</f>
        <v>0.1576083713009876</v>
      </c>
    </row>
    <row r="29">
      <c r="A29" s="14" t="inlineStr">
        <is>
          <t>Price</t>
        </is>
      </c>
      <c r="B29" s="50">
        <f>Main!C3</f>
        <v>14.86</v>
      </c>
    </row>
    <row r="30">
      <c r="A30" s="14" t="inlineStr">
        <is>
          <t>Upside</t>
        </is>
      </c>
      <c r="B30" s="63">
        <f>B28/B29-1</f>
        <v>-0.9893937838962996</v>
      </c>
    </row>
    <row r="31">
      <c r="A31" s="14" t="inlineStr">
        <is>
          <t>Terminal value, % of EV</t>
        </is>
      </c>
      <c r="B31" s="63">
        <f>IFERROR(B22/B23,0)</f>
        <v>-5.944755088894619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2026-10-21T06:21:33Z</dcterms:modified>
  <cp:lastModifiedBy>Wang, Eric</cp:lastModifiedBy>
</cp:coreProperties>
</file>