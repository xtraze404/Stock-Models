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Iovance Biotherapeutics Inc</t>
        </is>
      </c>
      <c r="C2" s="10" t="n"/>
    </row>
    <row r="3">
      <c r="B3" t="inlineStr">
        <is>
          <t>Price</t>
        </is>
      </c>
      <c r="C3" s="11">
        <f>INDEX([1]Pharma!$F$1:$F$1000,MATCH("IOVA",[1]Pharma!$B$1:$B$1000,0))</f>
        <v>14.86</v>
      </c>
      <c r="F3" s="1" t="n"/>
    </row>
    <row r="4">
      <c r="B4" t="inlineStr">
        <is>
          <t>Shares</t>
        </is>
      </c>
      <c r="C4" s="51" t="n">
        <v>452.971432</v>
      </c>
      <c r="F4" s="1" t="n"/>
    </row>
    <row r="5">
      <c r="B5" t="inlineStr">
        <is>
          <t>Market Cap.</t>
        </is>
      </c>
      <c r="C5" s="13">
        <f>C3*C4</f>
        <v>6731.15547952</v>
      </c>
      <c r="F5" s="1" t="n"/>
    </row>
    <row r="6"/>
    <row r="7">
      <c r="B7" t="inlineStr">
        <is>
          <t>Cash</t>
        </is>
      </c>
      <c r="C7" s="51">
        <f>110.768+186.906</f>
        <v>297.674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6433.48147952</v>
      </c>
    </row>
    <row r="10"/>
    <row r="11">
      <c r="B11" s="14" t="inlineStr">
        <is>
          <t>NPV / Share</t>
        </is>
      </c>
      <c r="C11" s="11">
        <f>NPV!B28</f>
        <v>0.1576083713009876</v>
      </c>
    </row>
    <row r="12">
      <c r="B12" s="14" t="inlineStr">
        <is>
          <t>Upside</t>
        </is>
      </c>
      <c r="C12" s="15">
        <f>IFERROR(C11/C3-1,"")</f>
        <v>-0.9893937838962996</v>
      </c>
    </row>
    <row r="13">
      <c r="B13" s="14" t="inlineStr">
        <is>
          <t>Cash / Share</t>
        </is>
      </c>
      <c r="C13" s="11">
        <f>IFERROR((C7-C8)/C4,"")</f>
        <v>0.6571584408440133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0</v>
      </c>
      <c r="L2" s="52" t="n">
        <v>0</v>
      </c>
      <c r="M2" s="52" t="n">
        <v>0</v>
      </c>
      <c r="N2" s="52" t="n">
        <v>0</v>
      </c>
      <c r="O2" s="52" t="n">
        <v>0</v>
      </c>
      <c r="P2" s="52" t="n">
        <v>0</v>
      </c>
      <c r="Q2" s="52" t="n">
        <v>1.189</v>
      </c>
      <c r="R2" s="52" t="n">
        <v>164.07</v>
      </c>
      <c r="S2" s="52" t="n">
        <v>263.502</v>
      </c>
      <c r="T2" s="52">
        <f>S2*(1+NPV!C5)</f>
        <v>355.7277</v>
      </c>
      <c r="U2" s="52">
        <f>T2*(1+NPV!D5)</f>
        <v>467.38667250000003</v>
      </c>
      <c r="V2" s="52">
        <f>U2*(1+NPV!E5)</f>
        <v>597.21630375</v>
      </c>
      <c r="W2" s="52">
        <f>V2*(1+NPV!F5)</f>
        <v>741.54357715625</v>
      </c>
      <c r="X2" s="52">
        <f>W2*(1+NPV!G5)</f>
        <v>893.9719791272569</v>
      </c>
      <c r="Y2" s="52">
        <f>X2*(1+NPV!H5)</f>
        <v>1045.4505644793755</v>
      </c>
      <c r="Z2" s="52">
        <f>Y2*(1+NPV!I5)</f>
        <v>1184.8439730766256</v>
      </c>
      <c r="AA2" s="52">
        <f>Z2*(1+NPV!J5)</f>
        <v>1300.0371371257422</v>
      </c>
      <c r="AB2" s="52">
        <f>AA2*(1+NPV!K5)</f>
        <v>1379.4838510612042</v>
      </c>
      <c r="AC2" s="52">
        <f>AB2*(1+NPV!L5)</f>
        <v>1413.970947337734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1.033</v>
      </c>
      <c r="R3" s="52" t="n">
        <v>93.248</v>
      </c>
      <c r="S3" s="52" t="n">
        <v>173.184</v>
      </c>
      <c r="T3" s="52">
        <f>T2*(1-Assumptions!$B$19)</f>
        <v>233.78424444</v>
      </c>
      <c r="U3" s="52">
        <f>U2*(1-Assumptions!$B$19)</f>
        <v>307.16652116700004</v>
      </c>
      <c r="V3" s="52">
        <f>V2*(1-Assumptions!$B$19)</f>
        <v>392.49055482449995</v>
      </c>
      <c r="W3" s="52">
        <f>W2*(1-Assumptions!$B$19)</f>
        <v>487.34243890708746</v>
      </c>
      <c r="X3" s="52">
        <f>X2*(1-Assumptions!$B$19)</f>
        <v>587.5183846824332</v>
      </c>
      <c r="Y3" s="52">
        <f>Y2*(1-Assumptions!$B$19)</f>
        <v>687.0701109758456</v>
      </c>
      <c r="Z3" s="52">
        <f>Z2*(1-Assumptions!$B$19)</f>
        <v>778.6794591059584</v>
      </c>
      <c r="AA3" s="52">
        <f>AA2*(1-Assumptions!$B$19)</f>
        <v>854.3844065190378</v>
      </c>
      <c r="AB3" s="52">
        <f>AB2*(1-Assumptions!$B$19)</f>
        <v>906.5967869174234</v>
      </c>
      <c r="AC3" s="52">
        <f>AC2*(1-Assumptions!$B$19)</f>
        <v>929.2617065903588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0.0</v>
      </c>
      <c r="M4" s="52">
        <f>M2-M3</f>
        <v>0.0</v>
      </c>
      <c r="N4" s="52">
        <f>N2-N3</f>
        <v>0.0</v>
      </c>
      <c r="O4" s="52">
        <f>O2-O3</f>
        <v>0.0</v>
      </c>
      <c r="P4" s="52">
        <f>P2-P3</f>
        <v>0.0</v>
      </c>
      <c r="Q4" s="52">
        <f>Q2-Q3</f>
        <v>0.15600000000000014</v>
      </c>
      <c r="R4" s="52">
        <f>R2-R3</f>
        <v>70.82199999999999</v>
      </c>
      <c r="S4" s="52">
        <f>S2-S3</f>
        <v>90.31800000000001</v>
      </c>
      <c r="T4" s="52">
        <f>T2-T3</f>
        <v>121.94345556000002</v>
      </c>
      <c r="U4" s="52">
        <f>U2-U3</f>
        <v>160.220151333</v>
      </c>
      <c r="V4" s="52">
        <f>V2-V3</f>
        <v>204.7257489255</v>
      </c>
      <c r="W4" s="52">
        <f>W2-W3</f>
        <v>254.2011382491625</v>
      </c>
      <c r="X4" s="52">
        <f>X2-X3</f>
        <v>306.4535944448237</v>
      </c>
      <c r="Y4" s="52">
        <f>Y2-Y3</f>
        <v>358.3804535035299</v>
      </c>
      <c r="Z4" s="52">
        <f>Z2-Z3</f>
        <v>406.16451397066726</v>
      </c>
      <c r="AA4" s="52">
        <f>AA2-AA3</f>
        <v>445.6527306067044</v>
      </c>
      <c r="AB4" s="52">
        <f>AB2-AB3</f>
        <v>472.8870641437808</v>
      </c>
      <c r="AC4" s="52">
        <f>AC2-AC3</f>
        <v>484.70924074737525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0.171</v>
      </c>
      <c r="E5" s="52" t="n">
        <v>1.756</v>
      </c>
      <c r="F5" s="52" t="n">
        <v>1.656</v>
      </c>
      <c r="G5" s="52" t="n">
        <v>2.154</v>
      </c>
      <c r="H5" s="52" t="n">
        <v>3.849</v>
      </c>
      <c r="I5" s="52" t="n">
        <v>15.47</v>
      </c>
      <c r="J5" s="52" t="n">
        <v>26.941</v>
      </c>
      <c r="K5" s="52" t="n">
        <v>71.61499999999999</v>
      </c>
      <c r="L5" s="52" t="n">
        <v>99.828</v>
      </c>
      <c r="M5" s="52" t="n">
        <v>166.023</v>
      </c>
      <c r="N5" s="52" t="n">
        <v>201.727</v>
      </c>
      <c r="O5" s="52" t="n">
        <v>259.039</v>
      </c>
      <c r="P5" s="52" t="n">
        <v>294.781</v>
      </c>
      <c r="Q5" s="52" t="n">
        <v>333.194</v>
      </c>
      <c r="R5" s="52" t="n">
        <v>276.228</v>
      </c>
      <c r="S5" s="52" t="n">
        <v>300.27</v>
      </c>
      <c r="T5" s="52">
        <f>T7*Assumptions!$B$20</f>
        <v>250.53745390812</v>
      </c>
      <c r="U5" s="52">
        <f>U7*Assumptions!$B$20</f>
        <v>297.34074462836696</v>
      </c>
      <c r="V5" s="52">
        <f>V7*Assumptions!$B$20</f>
        <v>339.25397684866044</v>
      </c>
      <c r="W5" s="52">
        <f>W7*Assumptions!$B$20</f>
        <v>370.72759258092645</v>
      </c>
      <c r="X5" s="52">
        <f>X7*Assumptions!$B$20</f>
        <v>386.03676797069033</v>
      </c>
      <c r="Y5" s="52">
        <f>Y7*Assumptions!$B$20</f>
        <v>380.23413392318093</v>
      </c>
      <c r="Z5" s="52">
        <f>Z7*Assumptions!$B$20</f>
        <v>350.222342750649</v>
      </c>
      <c r="AA5" s="52">
        <f>AA7*Assumptions!$B$20</f>
        <v>295.71528746315363</v>
      </c>
      <c r="AB5" s="52">
        <f>AB7*Assumptions!$B$20</f>
        <v>219.818544492441</v>
      </c>
      <c r="AC5" s="52">
        <f>AC7*Assumptions!$B$20</f>
        <v>128.99656952562142</v>
      </c>
    </row>
    <row r="6">
      <c r="A6" s="18" t="inlineStr">
        <is>
          <t>SG&amp;A &amp; Other</t>
        </is>
      </c>
      <c r="B6" s="52" t="n">
        <v>0.059</v>
      </c>
      <c r="C6" s="52" t="n">
        <v>0.016</v>
      </c>
      <c r="D6" s="52" t="n">
        <v>0.644</v>
      </c>
      <c r="E6" s="52" t="n">
        <v>19.463</v>
      </c>
      <c r="F6" s="52" t="n">
        <v>6.477</v>
      </c>
      <c r="G6" s="52" t="n">
        <v>20.487</v>
      </c>
      <c r="H6" s="52" t="n">
        <v>8.192</v>
      </c>
      <c r="I6" s="52" t="n">
        <v>12.39</v>
      </c>
      <c r="J6" s="52" t="n">
        <v>26.698</v>
      </c>
      <c r="K6" s="52" t="n">
        <v>21.262</v>
      </c>
      <c r="L6" s="52" t="n">
        <v>28.43</v>
      </c>
      <c r="M6" s="52" t="n">
        <v>40.849</v>
      </c>
      <c r="N6" s="52" t="n">
        <v>60.21</v>
      </c>
      <c r="O6" s="52" t="n">
        <v>83.664</v>
      </c>
      <c r="P6" s="52" t="n">
        <v>104.097</v>
      </c>
      <c r="Q6" s="52" t="n">
        <v>127.521</v>
      </c>
      <c r="R6" s="52" t="n">
        <v>189.872</v>
      </c>
      <c r="S6" s="52" t="n">
        <v>193.404</v>
      </c>
      <c r="T6" s="52">
        <f>T7-T5</f>
        <v>161.39522269188004</v>
      </c>
      <c r="U6" s="52">
        <f>U7-U5</f>
        <v>191.54571480663304</v>
      </c>
      <c r="V6" s="52">
        <f>V7-V5</f>
        <v>218.54605085383952</v>
      </c>
      <c r="W6" s="52">
        <f>W7-W5</f>
        <v>238.82122784151107</v>
      </c>
      <c r="X6" s="52">
        <f>X7-X5</f>
        <v>248.6833372096621</v>
      </c>
      <c r="Y6" s="52">
        <f>Y7-Y5</f>
        <v>244.94530363548552</v>
      </c>
      <c r="Z6" s="52">
        <f>Z7-Z5</f>
        <v>225.6118281645911</v>
      </c>
      <c r="AA6" s="52">
        <f>AA7-AA5</f>
        <v>190.49860182187376</v>
      </c>
      <c r="AB6" s="52">
        <f>AB7-AB5</f>
        <v>141.60622448559423</v>
      </c>
      <c r="AC6" s="52">
        <f>AC7-AC5</f>
        <v>83.0990725750386</v>
      </c>
    </row>
    <row r="7">
      <c r="A7" s="2" t="inlineStr">
        <is>
          <t>Operating Expense</t>
        </is>
      </c>
      <c r="B7" s="52">
        <f>SUM(B5:B6)</f>
        <v>0.059</v>
      </c>
      <c r="C7" s="52">
        <f>SUM(C5:C6)</f>
        <v>0.016</v>
      </c>
      <c r="D7" s="52">
        <f>SUM(D5:D6)</f>
        <v>0.8150000000000001</v>
      </c>
      <c r="E7" s="52">
        <f>SUM(E5:E6)</f>
        <v>21.219</v>
      </c>
      <c r="F7" s="52">
        <f>SUM(F5:F6)</f>
        <v>8.133000000000001</v>
      </c>
      <c r="G7" s="52">
        <f>SUM(G5:G6)</f>
        <v>22.641</v>
      </c>
      <c r="H7" s="52">
        <f>SUM(H5:H6)</f>
        <v>12.041</v>
      </c>
      <c r="I7" s="52">
        <f>SUM(I5:I6)</f>
        <v>27.86</v>
      </c>
      <c r="J7" s="52">
        <f>SUM(J5:J6)</f>
        <v>53.638999999999996</v>
      </c>
      <c r="K7" s="52">
        <f>SUM(K5:K6)</f>
        <v>92.877</v>
      </c>
      <c r="L7" s="52">
        <f>SUM(L5:L6)</f>
        <v>128.258</v>
      </c>
      <c r="M7" s="52">
        <f>SUM(M5:M6)</f>
        <v>206.87199999999999</v>
      </c>
      <c r="N7" s="52">
        <f>SUM(N5:N6)</f>
        <v>261.937</v>
      </c>
      <c r="O7" s="52">
        <f>SUM(O5:O6)</f>
        <v>342.703</v>
      </c>
      <c r="P7" s="52">
        <f>SUM(P5:P6)</f>
        <v>398.878</v>
      </c>
      <c r="Q7" s="52">
        <f>SUM(Q5:Q6)</f>
        <v>460.71500000000003</v>
      </c>
      <c r="R7" s="52">
        <f>SUM(R5:R6)</f>
        <v>466.1</v>
      </c>
      <c r="S7" s="52">
        <f>SUM(S5:S6)</f>
        <v>493.674</v>
      </c>
      <c r="T7" s="52">
        <f>T4-T2*NPV!C6</f>
        <v>411.93267660000004</v>
      </c>
      <c r="U7" s="52">
        <f>U4-U2*NPV!D6</f>
        <v>488.886459435</v>
      </c>
      <c r="V7" s="52">
        <f>V4-V2*NPV!E6</f>
        <v>557.8000277025</v>
      </c>
      <c r="W7" s="52">
        <f>W4-W2*NPV!F6</f>
        <v>609.5488204224375</v>
      </c>
      <c r="X7" s="52">
        <f>X4-X2*NPV!G6</f>
        <v>634.7201051803524</v>
      </c>
      <c r="Y7" s="52">
        <f>Y4-Y2*NPV!H6</f>
        <v>625.1794375586665</v>
      </c>
      <c r="Z7" s="52">
        <f>Z4-Z2*NPV!I6</f>
        <v>575.8341709152401</v>
      </c>
      <c r="AA7" s="52">
        <f>AA4-AA2*NPV!J6</f>
        <v>486.2138892850274</v>
      </c>
      <c r="AB7" s="52">
        <f>AB4-AB2*NPV!K6</f>
        <v>361.4247689780352</v>
      </c>
      <c r="AC7" s="52">
        <f>AC4-AC2*NPV!L6</f>
        <v>212.09564210066003</v>
      </c>
    </row>
    <row r="8">
      <c r="A8" s="2" t="inlineStr">
        <is>
          <t>Operating Income</t>
        </is>
      </c>
      <c r="B8" s="52">
        <f>B4-B7</f>
        <v>-0.059</v>
      </c>
      <c r="C8" s="52">
        <f>C4-C7</f>
        <v>-0.016</v>
      </c>
      <c r="D8" s="52">
        <f>D4-D7</f>
        <v>-0.8150000000000001</v>
      </c>
      <c r="E8" s="52">
        <f>E4-E7</f>
        <v>-21.219</v>
      </c>
      <c r="F8" s="52">
        <f>F4-F7</f>
        <v>-8.133000000000001</v>
      </c>
      <c r="G8" s="52">
        <f>G4-G7</f>
        <v>-22.641</v>
      </c>
      <c r="H8" s="52">
        <f>H4-H7</f>
        <v>-12.041</v>
      </c>
      <c r="I8" s="52">
        <f>I4-I7</f>
        <v>-27.86</v>
      </c>
      <c r="J8" s="52">
        <f>J4-J7</f>
        <v>-53.638999999999996</v>
      </c>
      <c r="K8" s="52">
        <f>K4-K7</f>
        <v>-92.877</v>
      </c>
      <c r="L8" s="52">
        <f>L4-L7</f>
        <v>-128.258</v>
      </c>
      <c r="M8" s="52">
        <f>M4-M7</f>
        <v>-206.87199999999999</v>
      </c>
      <c r="N8" s="52">
        <f>N4-N7</f>
        <v>-261.937</v>
      </c>
      <c r="O8" s="52">
        <f>O4-O7</f>
        <v>-342.703</v>
      </c>
      <c r="P8" s="52">
        <f>P4-P7</f>
        <v>-398.878</v>
      </c>
      <c r="Q8" s="52">
        <f>Q4-Q7</f>
        <v>-460.559</v>
      </c>
      <c r="R8" s="52">
        <f>R4-R7</f>
        <v>-395.278</v>
      </c>
      <c r="S8" s="52">
        <f>S4-S7</f>
        <v>-403.356</v>
      </c>
      <c r="T8" s="52">
        <f>T4-T7</f>
        <v>-289.98922104</v>
      </c>
      <c r="U8" s="52">
        <f>U4-U7</f>
        <v>-328.666308102</v>
      </c>
      <c r="V8" s="52">
        <f>V4-V7</f>
        <v>-353.07427877699996</v>
      </c>
      <c r="W8" s="52">
        <f>W4-W7</f>
        <v>-355.347682173275</v>
      </c>
      <c r="X8" s="52">
        <f>X4-X7</f>
        <v>-328.26651073552875</v>
      </c>
      <c r="Y8" s="52">
        <f>Y4-Y7</f>
        <v>-266.79898405513654</v>
      </c>
      <c r="Z8" s="52">
        <f>Z4-Z7</f>
        <v>-169.6696569445728</v>
      </c>
      <c r="AA8" s="52">
        <f>AA4-AA7</f>
        <v>-40.56115867832301</v>
      </c>
      <c r="AB8" s="52">
        <f>AB4-AB7</f>
        <v>111.46229516574556</v>
      </c>
      <c r="AC8" s="52">
        <f>AC4-AC7</f>
        <v>272.6135986467152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-0.793</v>
      </c>
      <c r="E9" s="52" t="n">
        <v>-4.476</v>
      </c>
      <c r="F9" s="52" t="n">
        <v>4.825</v>
      </c>
      <c r="G9" s="52" t="n">
        <v>-2.741</v>
      </c>
      <c r="H9" s="52" t="n">
        <v>0.006</v>
      </c>
      <c r="I9" s="52" t="n">
        <v>0.2</v>
      </c>
      <c r="J9" s="52" t="n">
        <v>0.745</v>
      </c>
      <c r="K9" s="52" t="n">
        <v>0.8129999999999999</v>
      </c>
      <c r="L9" s="52" t="n">
        <v>4.678</v>
      </c>
      <c r="M9" s="52" t="n">
        <v>9.316000000000001</v>
      </c>
      <c r="N9" s="52" t="n">
        <v>2.356</v>
      </c>
      <c r="O9" s="52" t="n">
        <v>0.403</v>
      </c>
      <c r="P9" s="52" t="n">
        <v>2.978</v>
      </c>
      <c r="Q9" s="52" t="n">
        <v>13.08</v>
      </c>
      <c r="R9" s="52" t="n">
        <v>20.25</v>
      </c>
      <c r="S9" s="52" t="n">
        <v>10.285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-0.059</v>
      </c>
      <c r="C10" s="52">
        <f>C8+C9</f>
        <v>-0.016</v>
      </c>
      <c r="D10" s="52">
        <f>D8+D9</f>
        <v>-1.608</v>
      </c>
      <c r="E10" s="52">
        <f>E8+E9</f>
        <v>-25.695</v>
      </c>
      <c r="F10" s="52">
        <f>F8+F9</f>
        <v>-3.3080000000000007</v>
      </c>
      <c r="G10" s="52">
        <f>G8+G9</f>
        <v>-25.381999999999998</v>
      </c>
      <c r="H10" s="52">
        <f>H8+H9</f>
        <v>-12.035</v>
      </c>
      <c r="I10" s="52">
        <f>I8+I9</f>
        <v>-27.66</v>
      </c>
      <c r="J10" s="52">
        <f>J8+J9</f>
        <v>-52.894</v>
      </c>
      <c r="K10" s="52">
        <f>K8+K9</f>
        <v>-92.064</v>
      </c>
      <c r="L10" s="52">
        <f>L8+L9</f>
        <v>-123.58000000000001</v>
      </c>
      <c r="M10" s="52">
        <f>M8+M9</f>
        <v>-197.55599999999998</v>
      </c>
      <c r="N10" s="52">
        <f>N8+N9</f>
        <v>-259.581</v>
      </c>
      <c r="O10" s="52">
        <f>O8+O9</f>
        <v>-342.29999999999995</v>
      </c>
      <c r="P10" s="52">
        <f>P8+P9</f>
        <v>-395.9</v>
      </c>
      <c r="Q10" s="52">
        <f>Q8+Q9</f>
        <v>-447.47900000000004</v>
      </c>
      <c r="R10" s="52">
        <f>R8+R9</f>
        <v>-375.028</v>
      </c>
      <c r="S10" s="52">
        <f>S8+S9</f>
        <v>-393.07099999999997</v>
      </c>
      <c r="T10" s="52">
        <f>T8+T9</f>
        <v>-289.98922104</v>
      </c>
      <c r="U10" s="52">
        <f>U8+U9</f>
        <v>-328.666308102</v>
      </c>
      <c r="V10" s="52">
        <f>V8+V9</f>
        <v>-353.07427877699996</v>
      </c>
      <c r="W10" s="52">
        <f>W8+W9</f>
        <v>-355.347682173275</v>
      </c>
      <c r="X10" s="52">
        <f>X8+X9</f>
        <v>-328.26651073552875</v>
      </c>
      <c r="Y10" s="52">
        <f>Y8+Y9</f>
        <v>-266.79898405513654</v>
      </c>
      <c r="Z10" s="52">
        <f>Z8+Z9</f>
        <v>-169.6696569445728</v>
      </c>
      <c r="AA10" s="52">
        <f>AA8+AA9</f>
        <v>-40.56115867832301</v>
      </c>
      <c r="AB10" s="52">
        <f>AB8+AB9</f>
        <v>111.46229516574556</v>
      </c>
      <c r="AC10" s="52">
        <f>AC8+AC9</f>
        <v>272.6135986467152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-3.479</v>
      </c>
      <c r="R11" s="52" t="n">
        <v>-2.828</v>
      </c>
      <c r="S11" s="52" t="n">
        <v>-2.071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0.0</v>
      </c>
      <c r="AA11" s="52">
        <f>MAX(0,AA10)*Assumptions!$E$14</f>
        <v>0.0</v>
      </c>
      <c r="AB11" s="52">
        <f>MAX(0,AB10)*Assumptions!$E$14</f>
        <v>18.948590178176747</v>
      </c>
      <c r="AC11" s="52">
        <f>MAX(0,AC10)*Assumptions!$E$14</f>
        <v>46.34431176994159</v>
      </c>
    </row>
    <row r="12">
      <c r="A12" s="2" t="inlineStr">
        <is>
          <t>Net Income</t>
        </is>
      </c>
      <c r="B12" s="52" t="n">
        <v>-0.059</v>
      </c>
      <c r="C12" s="52" t="n">
        <v>-0.016</v>
      </c>
      <c r="D12" s="52" t="n">
        <v>-1.608</v>
      </c>
      <c r="E12" s="52" t="n">
        <v>-25.694</v>
      </c>
      <c r="F12" s="52" t="n">
        <v>-3.308</v>
      </c>
      <c r="G12" s="52" t="n">
        <v>-25.382</v>
      </c>
      <c r="H12" s="52" t="n">
        <v>-12.035</v>
      </c>
      <c r="I12" s="52" t="n">
        <v>-27.66</v>
      </c>
      <c r="J12" s="52" t="n">
        <v>-52.894</v>
      </c>
      <c r="K12" s="52" t="n">
        <v>-92.06399999999999</v>
      </c>
      <c r="L12" s="52" t="n">
        <v>-123.58</v>
      </c>
      <c r="M12" s="52" t="n">
        <v>-197.556</v>
      </c>
      <c r="N12" s="52" t="n">
        <v>-259.581</v>
      </c>
      <c r="O12" s="52" t="n">
        <v>-342.3</v>
      </c>
      <c r="P12" s="52" t="n">
        <v>-395.9</v>
      </c>
      <c r="Q12" s="52" t="n">
        <v>-444</v>
      </c>
      <c r="R12" s="52" t="n">
        <v>-372.2</v>
      </c>
      <c r="S12" s="52" t="n">
        <v>-391</v>
      </c>
      <c r="T12" s="52">
        <f>T10-T11</f>
        <v>-289.98922104</v>
      </c>
      <c r="U12" s="52">
        <f>U10-U11</f>
        <v>-328.666308102</v>
      </c>
      <c r="V12" s="52">
        <f>V10-V11</f>
        <v>-353.07427877699996</v>
      </c>
      <c r="W12" s="52">
        <f>W10-W11</f>
        <v>-355.347682173275</v>
      </c>
      <c r="X12" s="52">
        <f>X10-X11</f>
        <v>-328.26651073552875</v>
      </c>
      <c r="Y12" s="52">
        <f>Y10-Y11</f>
        <v>-266.79898405513654</v>
      </c>
      <c r="Z12" s="52">
        <f>Z10-Z11</f>
        <v>-169.6696569445728</v>
      </c>
      <c r="AA12" s="52">
        <f>AA10-AA11</f>
        <v>-40.56115867832301</v>
      </c>
      <c r="AB12" s="52">
        <f>AB10-AB11</f>
        <v>92.51370498756881</v>
      </c>
      <c r="AC12" s="52">
        <f>AC10-AC11</f>
        <v>226.26928687677363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-7.351645207439199</v>
      </c>
      <c r="F13" s="11">
        <f>IFERROR(F12/F14,0)</f>
        <v>-0.08998667065640216</v>
      </c>
      <c r="G13" s="11">
        <f>IFERROR(G12/G14,0)</f>
        <v>-0.6887363308278838</v>
      </c>
      <c r="H13" s="11">
        <f>IFERROR(H12/H14,0)</f>
        <v>-0.326337482035847</v>
      </c>
      <c r="I13" s="11">
        <f>IFERROR(I12/I14,0)</f>
        <v>-0.42197440082991344</v>
      </c>
      <c r="J13" s="11">
        <f>IFERROR(J12/J14,0)</f>
        <v>-0.6484014906345004</v>
      </c>
      <c r="K13" s="11">
        <f>IFERROR(K12/K14,0)</f>
        <v>-0.9560422443066762</v>
      </c>
      <c r="L13" s="11">
        <f>IFERROR(L12/L14,0)</f>
        <v>-0.8606988389828738</v>
      </c>
      <c r="M13" s="11">
        <f>IFERROR(M12/M14,0)</f>
        <v>-1.076482127288579</v>
      </c>
      <c r="N13" s="11">
        <f>IFERROR(N12/N14,0)</f>
        <v>-1.271633060960555</v>
      </c>
      <c r="O13" s="11">
        <f>IFERROR(O12/O14,0)</f>
        <v>-1.5117455073820703</v>
      </c>
      <c r="P13" s="11">
        <f>IFERROR(P12/P14,0)</f>
        <v>-1.6842078395003954</v>
      </c>
      <c r="Q13" s="11">
        <f>IFERROR(Q12/Q14,0)</f>
        <v>-1.8883090702629597</v>
      </c>
      <c r="R13" s="11">
        <f>IFERROR(R12/R14,0)</f>
        <v>-1.2839928659396915</v>
      </c>
      <c r="S13" s="11">
        <f>IFERROR(S12/S14,0)</f>
        <v>-1.0941806937273502</v>
      </c>
      <c r="T13" s="11">
        <f>IFERROR(T12/T14,0)</f>
        <v>-0.6401931789817598</v>
      </c>
      <c r="U13" s="11">
        <f>IFERROR(U12/U14,0)</f>
        <v>-0.725578446858874</v>
      </c>
      <c r="V13" s="11">
        <f>IFERROR(V12/V14,0)</f>
        <v>-0.7794625749753683</v>
      </c>
      <c r="W13" s="11">
        <f>IFERROR(W12/W14,0)</f>
        <v>-0.7844814420289424</v>
      </c>
      <c r="X13" s="11">
        <f>IFERROR(X12/X14,0)</f>
        <v>-0.7246958363050339</v>
      </c>
      <c r="Y13" s="11">
        <f>IFERROR(Y12/Y14,0)</f>
        <v>-0.5889973742430992</v>
      </c>
      <c r="Z13" s="11">
        <f>IFERROR(Z12/Z14,0)</f>
        <v>-0.37457032598155726</v>
      </c>
      <c r="AA13" s="11">
        <f>IFERROR(AA12/AA14,0)</f>
        <v>-0.08954462867389618</v>
      </c>
      <c r="AB13" s="11">
        <f>IFERROR(AB12/AB14,0)</f>
        <v>0.20423739435198823</v>
      </c>
      <c r="AC13" s="11">
        <f>IFERROR(AC12/AC14,0)</f>
        <v>0.49952220138415626</v>
      </c>
    </row>
    <row r="14">
      <c r="A14" s="2" t="inlineStr">
        <is>
          <t>Shares</t>
        </is>
      </c>
      <c r="B14" s="52" t="n"/>
      <c r="C14" s="52" t="n"/>
      <c r="D14" s="52" t="n"/>
      <c r="E14" s="52" t="n">
        <v>3.495</v>
      </c>
      <c r="F14" s="52" t="n">
        <v>36.761</v>
      </c>
      <c r="G14" s="52" t="n">
        <v>36.853</v>
      </c>
      <c r="H14" s="52" t="n">
        <v>36.879</v>
      </c>
      <c r="I14" s="52" t="n">
        <v>65.54900000000001</v>
      </c>
      <c r="J14" s="52" t="n">
        <v>81.57599999999999</v>
      </c>
      <c r="K14" s="52" t="n">
        <v>96.297</v>
      </c>
      <c r="L14" s="52" t="n">
        <v>143.581</v>
      </c>
      <c r="M14" s="52" t="n">
        <v>183.52</v>
      </c>
      <c r="N14" s="52" t="n">
        <v>204.132</v>
      </c>
      <c r="O14" s="52" t="n">
        <v>226.427</v>
      </c>
      <c r="P14" s="52" t="n">
        <v>235.066</v>
      </c>
      <c r="Q14" s="52" t="n">
        <v>235.131</v>
      </c>
      <c r="R14" s="52" t="n">
        <v>289.877</v>
      </c>
      <c r="S14" s="52" t="n">
        <v>357.345</v>
      </c>
      <c r="T14" s="52">
        <f>Main!$C$4</f>
        <v>452.971432</v>
      </c>
      <c r="U14" s="52">
        <f>Main!$C$4</f>
        <v>452.971432</v>
      </c>
      <c r="V14" s="52">
        <f>Main!$C$4</f>
        <v>452.971432</v>
      </c>
      <c r="W14" s="52">
        <f>Main!$C$4</f>
        <v>452.971432</v>
      </c>
      <c r="X14" s="52">
        <f>Main!$C$4</f>
        <v>452.971432</v>
      </c>
      <c r="Y14" s="52">
        <f>Main!$C$4</f>
        <v>452.971432</v>
      </c>
      <c r="Z14" s="52">
        <f>Main!$C$4</f>
        <v>452.971432</v>
      </c>
      <c r="AA14" s="52">
        <f>Main!$C$4</f>
        <v>452.971432</v>
      </c>
      <c r="AB14" s="52">
        <f>Main!$C$4</f>
        <v>452.971432</v>
      </c>
      <c r="AC14" s="52">
        <f>Main!$C$4</f>
        <v>452.971432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>136.98990748528175</v>
      </c>
      <c r="S16" s="15">
        <f>IFERROR(S2/R2-1,"")</f>
        <v>0.6060340098738344</v>
      </c>
      <c r="T16" s="15">
        <f>IFERROR(T2/S2-1,"")</f>
        <v>0.3500000000000001</v>
      </c>
      <c r="U16" s="15">
        <f>IFERROR(U2/T2-1,"")</f>
        <v>0.3138888888888889</v>
      </c>
      <c r="V16" s="15">
        <f>IFERROR(V2/U2-1,"")</f>
        <v>0.2777777777777777</v>
      </c>
      <c r="W16" s="15">
        <f>IFERROR(W2/V2-1,"")</f>
        <v>0.2416666666666667</v>
      </c>
      <c r="X16" s="15">
        <f>IFERROR(X2/W2-1,"")</f>
        <v>0.2055555555555555</v>
      </c>
      <c r="Y16" s="15">
        <f>IFERROR(Y2/X2-1,"")</f>
        <v>0.1694444444444445</v>
      </c>
      <c r="Z16" s="15">
        <f>IFERROR(Z2/Y2-1,"")</f>
        <v>0.1333333333333333</v>
      </c>
      <c r="AA16" s="15">
        <f>IFERROR(AA2/Z2-1,"")</f>
        <v>0.09722222222222232</v>
      </c>
      <c r="AB16" s="15">
        <f>IFERROR(AB2/AA2-1,"")</f>
        <v>0.061111111111111116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>0.13120269133725831</v>
      </c>
      <c r="R17" s="15">
        <f>IFERROR(R4/R2,"")</f>
        <v>0.43165721947949043</v>
      </c>
      <c r="S17" s="15">
        <f>IFERROR(S4/S2,"")</f>
        <v>0.342760206753649</v>
      </c>
      <c r="T17" s="15">
        <f>IFERROR(T4/T2,"")</f>
        <v>0.34280000000000005</v>
      </c>
      <c r="U17" s="15">
        <f>IFERROR(U4/U2,"")</f>
        <v>0.34279999999999994</v>
      </c>
      <c r="V17" s="15">
        <f>IFERROR(V4/V2,"")</f>
        <v>0.34280000000000005</v>
      </c>
      <c r="W17" s="15">
        <f>IFERROR(W4/W2,"")</f>
        <v>0.34280000000000005</v>
      </c>
      <c r="X17" s="15">
        <f>IFERROR(X4/X2,"")</f>
        <v>0.34280000000000005</v>
      </c>
      <c r="Y17" s="15">
        <f>IFERROR(Y4/Y2,"")</f>
        <v>0.3428</v>
      </c>
      <c r="Z17" s="15">
        <f>IFERROR(Z4/Z2,"")</f>
        <v>0.3428</v>
      </c>
      <c r="AA17" s="15">
        <f>IFERROR(AA4/AA2,"")</f>
        <v>0.34279999999999994</v>
      </c>
      <c r="AB17" s="15">
        <f>IFERROR(AB4/AB2,"")</f>
        <v>0.3428</v>
      </c>
      <c r="AC17" s="15">
        <f>IFERROR(AC4/AC2,"")</f>
        <v>0.3428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>-387.349873843566</v>
      </c>
      <c r="R18" s="15">
        <f>IFERROR(R8/R2,"")</f>
        <v>-2.4092033887974647</v>
      </c>
      <c r="S18" s="15">
        <f>IFERROR(S8/S2,"")</f>
        <v>-1.5307511897442903</v>
      </c>
      <c r="T18" s="15">
        <f>IFERROR(T8/T2,"")</f>
        <v>-0.8152</v>
      </c>
      <c r="U18" s="15">
        <f>IFERROR(U8/U2,"")</f>
        <v>-0.7031999999999999</v>
      </c>
      <c r="V18" s="15">
        <f>IFERROR(V8/V2,"")</f>
        <v>-0.5912</v>
      </c>
      <c r="W18" s="15">
        <f>IFERROR(W8/W2,"")</f>
        <v>-0.47920000000000007</v>
      </c>
      <c r="X18" s="15">
        <f>IFERROR(X8/X2,"")</f>
        <v>-0.3672</v>
      </c>
      <c r="Y18" s="15">
        <f>IFERROR(Y8/Y2,"")</f>
        <v>-0.2551999999999999</v>
      </c>
      <c r="Z18" s="15">
        <f>IFERROR(Z8/Z2,"")</f>
        <v>-0.14320000000000002</v>
      </c>
      <c r="AA18" s="15">
        <f>IFERROR(AA8/AA2,"")</f>
        <v>-0.031199999999999888</v>
      </c>
      <c r="AB18" s="15">
        <f>IFERROR(AB8/AB2,"")</f>
        <v>0.08080000000000019</v>
      </c>
      <c r="AC18" s="15">
        <f>IFERROR(AC8/AC2,"")</f>
        <v>0.19280000000000005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Iovance Biotherapeutics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0.1428</v>
      </c>
      <c r="C13" s="53" t="n">
        <v>0.1928</v>
      </c>
      <c r="D13" s="53" t="n">
        <v>0.2428</v>
      </c>
      <c r="E13" s="54">
        <f>CHOOSE($B$4,B13,C13,D13)</f>
        <v>0.1928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-0.9272</v>
      </c>
    </row>
    <row r="19">
      <c r="A19" s="14" t="inlineStr">
        <is>
          <t>Gross margin (forecast)</t>
        </is>
      </c>
      <c r="B19" s="53" t="n">
        <v>0.3428</v>
      </c>
    </row>
    <row r="20">
      <c r="A20" s="14" t="inlineStr">
        <is>
          <t>R&amp;D share of operating expense (forecast)</t>
        </is>
      </c>
      <c r="B20" s="53" t="n">
        <v>0.6082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263.502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-226.28191035660393</v>
      </c>
      <c r="C29" s="56">
        <f>NPV!B26</f>
        <v>71.39208964339605</v>
      </c>
      <c r="D29" s="35">
        <f>NPV!B28</f>
        <v>0.1576083713009876</v>
      </c>
      <c r="E29" s="57">
        <f>NPV!B30</f>
        <v>-0.9893937838962996</v>
      </c>
    </row>
    <row r="30">
      <c r="A30" s="58" t="n">
        <v>1</v>
      </c>
      <c r="B30" s="59">
        <f t="dataTable" ref="B30:E32" r1="B4"/>
        <v>-885.000292398492</v>
      </c>
      <c r="C30" s="59">
        <v>-587.326292398492</v>
      </c>
      <c r="D30" s="39">
        <v>-1.2966078010820161</v>
      </c>
      <c r="E30" s="60">
        <v>-1.0872548991306874</v>
      </c>
    </row>
    <row r="31">
      <c r="A31" s="58" t="n">
        <v>2</v>
      </c>
      <c r="B31" s="59">
        <v>-226.28191035660393</v>
      </c>
      <c r="C31" s="59">
        <v>71.39208964339605</v>
      </c>
      <c r="D31" s="39">
        <v>0.1576083713009876</v>
      </c>
      <c r="E31" s="60">
        <v>-0.9893937838962996</v>
      </c>
    </row>
    <row r="32">
      <c r="A32" s="58" t="n">
        <v>3</v>
      </c>
      <c r="B32" s="59">
        <v>1332.3823614696605</v>
      </c>
      <c r="C32" s="59">
        <v>1630.0563614696605</v>
      </c>
      <c r="D32" s="39">
        <v>3.598585355090695</v>
      </c>
      <c r="E32" s="60">
        <v>-0.7578340945430219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0.1576083713009876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1.0301822544153392</v>
      </c>
      <c r="C37" s="39">
        <v>1.4631601006775512</v>
      </c>
      <c r="D37" s="39">
        <v>1.986883586130325</v>
      </c>
      <c r="E37" s="39">
        <v>2.6316506457166</v>
      </c>
      <c r="F37" s="39">
        <v>3.4429087498515663</v>
      </c>
    </row>
    <row r="38">
      <c r="A38" s="62" t="n">
        <v>0.08500000000000001</v>
      </c>
      <c r="B38" s="39">
        <v>0.2542043245585697</v>
      </c>
      <c r="C38" s="39">
        <v>0.547109195845208</v>
      </c>
      <c r="D38" s="39">
        <v>0.8920960240995448</v>
      </c>
      <c r="E38" s="39">
        <v>1.3034068280925182</v>
      </c>
      <c r="F38" s="39">
        <v>1.8009808583973752</v>
      </c>
    </row>
    <row r="39">
      <c r="A39" s="62" t="n">
        <v>0.095</v>
      </c>
      <c r="B39" s="39">
        <v>-0.28764921433893403</v>
      </c>
      <c r="C39" s="39">
        <v>-0.08109603969187557</v>
      </c>
      <c r="D39" s="39">
        <v>0.1576083713009876</v>
      </c>
      <c r="E39" s="39">
        <v>0.4359135556914401</v>
      </c>
      <c r="F39" s="39">
        <v>0.7637525599380044</v>
      </c>
    </row>
    <row r="40">
      <c r="A40" s="62" t="n">
        <v>0.105</v>
      </c>
      <c r="B40" s="39">
        <v>-0.6762268787923473</v>
      </c>
      <c r="C40" s="39">
        <v>-0.526072966081543</v>
      </c>
      <c r="D40" s="39">
        <v>-0.354962388231484</v>
      </c>
      <c r="E40" s="39">
        <v>-0.15867940352921298</v>
      </c>
      <c r="F40" s="39">
        <v>0.06819649217600203</v>
      </c>
    </row>
    <row r="41">
      <c r="A41" s="62" t="n">
        <v>0.115</v>
      </c>
      <c r="B41" s="39">
        <v>-0.9598109765290904</v>
      </c>
      <c r="C41" s="39">
        <v>-0.8481465287895967</v>
      </c>
      <c r="D41" s="39">
        <v>-0.7222346403980692</v>
      </c>
      <c r="E41" s="39">
        <v>-0.5795408366824223</v>
      </c>
      <c r="F41" s="39">
        <v>-0.4168968074902269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Iovance Biotherapeutics Inc: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-1.5307511897442903</v>
      </c>
      <c r="C6" s="63">
        <f>Assumptions!$B$18+(Assumptions!$E$13-Assumptions!$B$18)*C4/Assumptions!$B$21</f>
        <v>-0.8152</v>
      </c>
      <c r="D6" s="63">
        <f>Assumptions!$B$18+(Assumptions!$E$13-Assumptions!$B$18)*D4/Assumptions!$B$21</f>
        <v>-0.7032</v>
      </c>
      <c r="E6" s="63">
        <f>Assumptions!$B$18+(Assumptions!$E$13-Assumptions!$B$18)*E4/Assumptions!$B$21</f>
        <v>-0.5912</v>
      </c>
      <c r="F6" s="63">
        <f>Assumptions!$B$18+(Assumptions!$E$13-Assumptions!$B$18)*F4/Assumptions!$B$21</f>
        <v>-0.47919999999999996</v>
      </c>
      <c r="G6" s="63">
        <f>Assumptions!$B$18+(Assumptions!$E$13-Assumptions!$B$18)*G4/Assumptions!$B$21</f>
        <v>-0.36719999999999997</v>
      </c>
      <c r="H6" s="63">
        <f>Assumptions!$B$18+(Assumptions!$E$13-Assumptions!$B$18)*H4/Assumptions!$B$21</f>
        <v>-0.2552</v>
      </c>
      <c r="I6" s="63">
        <f>Assumptions!$B$18+(Assumptions!$E$13-Assumptions!$B$18)*I4/Assumptions!$B$21</f>
        <v>-0.1432</v>
      </c>
      <c r="J6" s="63">
        <f>Assumptions!$B$18+(Assumptions!$E$13-Assumptions!$B$18)*J4/Assumptions!$B$21</f>
        <v>-0.031199999999999894</v>
      </c>
      <c r="K6" s="63">
        <f>Assumptions!$B$18+(Assumptions!$E$13-Assumptions!$B$18)*K4/Assumptions!$B$21</f>
        <v>0.0808000000000002</v>
      </c>
      <c r="L6" s="63">
        <f>Assumptions!$B$18+(Assumptions!$E$13-Assumptions!$B$18)*L4/Assumptions!$B$21</f>
        <v>0.19280000000000008</v>
      </c>
    </row>
    <row r="7">
      <c r="A7" s="14" t="inlineStr">
        <is>
          <t>Revenue</t>
        </is>
      </c>
      <c r="B7" s="55">
        <f>'Yearly Model'!S2</f>
        <v>263.502</v>
      </c>
      <c r="C7" s="55">
        <f>'Yearly Model'!T2</f>
        <v>355.7277</v>
      </c>
      <c r="D7" s="55">
        <f>'Yearly Model'!U2</f>
        <v>467.38667250000003</v>
      </c>
      <c r="E7" s="55">
        <f>'Yearly Model'!V2</f>
        <v>597.21630375</v>
      </c>
      <c r="F7" s="55">
        <f>'Yearly Model'!W2</f>
        <v>741.54357715625</v>
      </c>
      <c r="G7" s="55">
        <f>'Yearly Model'!X2</f>
        <v>893.9719791272569</v>
      </c>
      <c r="H7" s="55">
        <f>'Yearly Model'!Y2</f>
        <v>1045.4505644793755</v>
      </c>
      <c r="I7" s="55">
        <f>'Yearly Model'!Z2</f>
        <v>1184.8439730766256</v>
      </c>
      <c r="J7" s="55">
        <f>'Yearly Model'!AA2</f>
        <v>1300.0371371257422</v>
      </c>
      <c r="K7" s="55">
        <f>'Yearly Model'!AB2</f>
        <v>1379.4838510612042</v>
      </c>
      <c r="L7" s="55">
        <f>'Yearly Model'!AC2</f>
        <v>1413.970947337734</v>
      </c>
    </row>
    <row r="8">
      <c r="A8" s="14" t="inlineStr">
        <is>
          <t>Operating income</t>
        </is>
      </c>
      <c r="B8" s="55">
        <f>'Yearly Model'!S8</f>
        <v>-403.356</v>
      </c>
      <c r="C8" s="55">
        <f>'Yearly Model'!T8</f>
        <v>-289.98922104</v>
      </c>
      <c r="D8" s="55">
        <f>'Yearly Model'!U8</f>
        <v>-328.666308102</v>
      </c>
      <c r="E8" s="55">
        <f>'Yearly Model'!V8</f>
        <v>-353.07427877699996</v>
      </c>
      <c r="F8" s="55">
        <f>'Yearly Model'!W8</f>
        <v>-355.347682173275</v>
      </c>
      <c r="G8" s="55">
        <f>'Yearly Model'!X8</f>
        <v>-328.26651073552875</v>
      </c>
      <c r="H8" s="55">
        <f>'Yearly Model'!Y8</f>
        <v>-266.79898405513654</v>
      </c>
      <c r="I8" s="55">
        <f>'Yearly Model'!Z8</f>
        <v>-169.6696569445728</v>
      </c>
      <c r="J8" s="55">
        <f>'Yearly Model'!AA8</f>
        <v>-40.56115867832301</v>
      </c>
      <c r="K8" s="55">
        <f>'Yearly Model'!AB8</f>
        <v>111.46229516574556</v>
      </c>
      <c r="L8" s="55">
        <f>'Yearly Model'!AC8</f>
        <v>272.6135986467152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18.948590178176747</v>
      </c>
      <c r="L9" s="52">
        <f>MAX(0,L8)*Assumptions!$E$14</f>
        <v>46.34431176994159</v>
      </c>
    </row>
    <row r="10">
      <c r="A10" s="14" t="inlineStr">
        <is>
          <t>NOPAT</t>
        </is>
      </c>
      <c r="C10" s="52">
        <f>C8-C9</f>
        <v>-289.98922104</v>
      </c>
      <c r="D10" s="52">
        <f>D8-D9</f>
        <v>-328.666308102</v>
      </c>
      <c r="E10" s="52">
        <f>E8-E9</f>
        <v>-353.07427877699996</v>
      </c>
      <c r="F10" s="52">
        <f>F8-F9</f>
        <v>-355.347682173275</v>
      </c>
      <c r="G10" s="52">
        <f>G8-G9</f>
        <v>-328.26651073552875</v>
      </c>
      <c r="H10" s="52">
        <f>H8-H9</f>
        <v>-266.79898405513654</v>
      </c>
      <c r="I10" s="52">
        <f>I8-I9</f>
        <v>-169.6696569445728</v>
      </c>
      <c r="J10" s="52">
        <f>J8-J9</f>
        <v>-40.56115867832301</v>
      </c>
      <c r="K10" s="52">
        <f>K8-K9</f>
        <v>92.51370498756881</v>
      </c>
      <c r="L10" s="52">
        <f>L8-L9</f>
        <v>226.26928687677363</v>
      </c>
    </row>
    <row r="11">
      <c r="A11" s="14" t="inlineStr">
        <is>
          <t>Reinvestment</t>
        </is>
      </c>
      <c r="C11" s="52">
        <f>(C7-B7)*Assumptions!$E$15</f>
        <v>23.056425000000004</v>
      </c>
      <c r="D11" s="52">
        <f>(D7-C7)*Assumptions!$E$15</f>
        <v>27.914743125</v>
      </c>
      <c r="E11" s="52">
        <f>(E7-D7)*Assumptions!$E$15</f>
        <v>32.45740781249998</v>
      </c>
      <c r="F11" s="52">
        <f>(F7-E7)*Assumptions!$E$15</f>
        <v>36.081818351562504</v>
      </c>
      <c r="G11" s="52">
        <f>(G7-F7)*Assumptions!$E$15</f>
        <v>38.10710049275173</v>
      </c>
      <c r="H11" s="52">
        <f>(H7-G7)*Assumptions!$E$15</f>
        <v>37.86964633802967</v>
      </c>
      <c r="I11" s="52">
        <f>(I7-H7)*Assumptions!$E$15</f>
        <v>34.84835214931252</v>
      </c>
      <c r="J11" s="52">
        <f>(J7-I7)*Assumptions!$E$15</f>
        <v>28.79829101227915</v>
      </c>
      <c r="K11" s="52">
        <f>(K7-J7)*Assumptions!$E$15</f>
        <v>19.86167848386549</v>
      </c>
      <c r="L11" s="52">
        <f>(L7-K7)*Assumptions!$E$15</f>
        <v>8.62177406913247</v>
      </c>
    </row>
    <row r="12">
      <c r="A12" s="20" t="inlineStr">
        <is>
          <t>Free cash flow</t>
        </is>
      </c>
      <c r="C12" s="64">
        <f>C10-C11</f>
        <v>-313.04564604</v>
      </c>
      <c r="D12" s="64">
        <f>D10-D11</f>
        <v>-356.581051227</v>
      </c>
      <c r="E12" s="64">
        <f>E10-E11</f>
        <v>-385.53168658949994</v>
      </c>
      <c r="F12" s="64">
        <f>F10-F11</f>
        <v>-391.4295005248375</v>
      </c>
      <c r="G12" s="64">
        <f>G10-G11</f>
        <v>-366.3736112282805</v>
      </c>
      <c r="H12" s="64">
        <f>H10-H11</f>
        <v>-304.6686303931662</v>
      </c>
      <c r="I12" s="64">
        <f>I10-I11</f>
        <v>-204.51800909388533</v>
      </c>
      <c r="J12" s="64">
        <f>J10-J11</f>
        <v>-69.35944969060216</v>
      </c>
      <c r="K12" s="64">
        <f>K10-K11</f>
        <v>72.65202650370333</v>
      </c>
      <c r="L12" s="64">
        <f>L10-L11</f>
        <v>217.64751280764116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-154.23752105665915</v>
      </c>
      <c r="D16" s="64">
        <f>D12*D13*D15</f>
        <v>-325.5236480686404</v>
      </c>
      <c r="E16" s="64">
        <f>E12*E13*E15</f>
        <v>-321.41803521695</v>
      </c>
      <c r="F16" s="64">
        <f>F12*F13*F15</f>
        <v>-298.0228737865859</v>
      </c>
      <c r="G16" s="64">
        <f>G12*G13*G15</f>
        <v>-254.74525924426172</v>
      </c>
      <c r="H16" s="64">
        <f>H12*H13*H15</f>
        <v>-193.46194356133856</v>
      </c>
      <c r="I16" s="64">
        <f>I12*I13*I15</f>
        <v>-118.60015140134799</v>
      </c>
      <c r="J16" s="64">
        <f>J12*J13*J15</f>
        <v>-36.73205336493806</v>
      </c>
      <c r="K16" s="64">
        <f>K12*K13*K15</f>
        <v>35.13768793064049</v>
      </c>
      <c r="L16" s="64">
        <f>L12*L13*L15</f>
        <v>96.13134929626013</v>
      </c>
    </row>
    <row r="19">
      <c r="A19" s="14" t="inlineStr">
        <is>
          <t>PV of forecast free cash flow</t>
        </is>
      </c>
      <c r="B19" s="52">
        <f>SUM(C16:L16)</f>
        <v>-1571.472448473821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223.0887006278321</v>
      </c>
    </row>
    <row r="21">
      <c r="A21" s="14" t="inlineStr">
        <is>
          <t>Terminal value</t>
        </is>
      </c>
      <c r="B21" s="52">
        <f>B20/(Assumptions!$E$10-Assumptions!$E$11)</f>
        <v>3186.9814375404585</v>
      </c>
    </row>
    <row r="22">
      <c r="A22" s="14" t="inlineStr">
        <is>
          <t>PV of terminal value</t>
        </is>
      </c>
      <c r="B22" s="52">
        <f>B21/(1+Assumptions!$E$10)^(L14+0.5)</f>
        <v>1345.190538117217</v>
      </c>
    </row>
    <row r="23">
      <c r="A23" s="20" t="inlineStr">
        <is>
          <t>Enterprise value</t>
        </is>
      </c>
      <c r="B23" s="66">
        <f>B19+B22</f>
        <v>-226.28191035660393</v>
      </c>
    </row>
    <row r="24">
      <c r="A24" s="14" t="inlineStr">
        <is>
          <t>Cash &amp; investments</t>
        </is>
      </c>
      <c r="B24" s="55">
        <f>Main!C7</f>
        <v>297.674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71.39208964339605</v>
      </c>
    </row>
    <row r="27">
      <c r="A27" s="14" t="inlineStr">
        <is>
          <t>Shares (mm)</t>
        </is>
      </c>
      <c r="B27" s="55">
        <f>Main!C4</f>
        <v>452.971432</v>
      </c>
    </row>
    <row r="28">
      <c r="A28" s="20" t="inlineStr">
        <is>
          <t>NPV / share</t>
        </is>
      </c>
      <c r="B28" s="49">
        <f>B26/B27</f>
        <v>0.1576083713009876</v>
      </c>
    </row>
    <row r="29">
      <c r="A29" s="14" t="inlineStr">
        <is>
          <t>Price</t>
        </is>
      </c>
      <c r="B29" s="50">
        <f>Main!C3</f>
        <v>14.86</v>
      </c>
    </row>
    <row r="30">
      <c r="A30" s="14" t="inlineStr">
        <is>
          <t>Upside</t>
        </is>
      </c>
      <c r="B30" s="63">
        <f>B28/B29-1</f>
        <v>-0.9893937838962996</v>
      </c>
    </row>
    <row r="31">
      <c r="A31" s="14" t="inlineStr">
        <is>
          <t>Terminal value, % of EV</t>
        </is>
      </c>
      <c r="B31" s="63">
        <f>IFERROR(B22/B23,0)</f>
        <v>-5.944755088894619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2026-10-21T01:04:00Z</dcterms:modified>
  <cp:lastModifiedBy>Wang, Eric</cp:lastModifiedBy>
</cp:coreProperties>
</file>