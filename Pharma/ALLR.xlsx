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Allarity Therapeutics Inc</t>
        </is>
      </c>
      <c r="C2" s="10" t="n"/>
    </row>
    <row r="3">
      <c r="B3" t="inlineStr">
        <is>
          <t>Price</t>
        </is>
      </c>
      <c r="C3" s="11">
        <f>INDEX([1]Pharma!$F$1:$F$1000,MATCH("ALLR",[1]Pharma!$B$1:$B$1000,0))</f>
        <v>0.8758</v>
      </c>
      <c r="F3" s="1" t="n"/>
    </row>
    <row r="4">
      <c r="B4" t="inlineStr">
        <is>
          <t>Shares</t>
        </is>
      </c>
      <c r="C4" s="21" t="n">
        <v>15.910724</v>
      </c>
      <c r="F4" s="1" t="n"/>
    </row>
    <row r="5">
      <c r="B5" t="inlineStr">
        <is>
          <t>Market Cap.</t>
        </is>
      </c>
      <c r="C5" s="13">
        <f>C3*C4</f>
        <v>13.9346120792</v>
      </c>
      <c r="F5" s="1" t="n"/>
    </row>
    <row r="6"/>
    <row r="7">
      <c r="B7" t="inlineStr">
        <is>
          <t>Cash</t>
        </is>
      </c>
      <c r="C7" s="21" t="n">
        <v>16.982</v>
      </c>
    </row>
    <row r="8">
      <c r="B8" t="inlineStr">
        <is>
          <t>Debt</t>
        </is>
      </c>
      <c r="C8" s="21">
        <f>20.862+1.424</f>
        <v>22.285999999999998</v>
      </c>
    </row>
    <row r="9">
      <c r="B9" t="inlineStr">
        <is>
          <t>Enterprise V.</t>
        </is>
      </c>
      <c r="C9" s="13">
        <f>C5-C7+C8</f>
        <v>19.2386120792</v>
      </c>
    </row>
    <row r="10"/>
    <row r="11">
      <c r="B11" s="14" t="inlineStr">
        <is>
          <t>Net Cash / Share</t>
        </is>
      </c>
      <c r="C11" s="11">
        <f>(C7-C8)/C4</f>
        <v>-0.33336006582729977</v>
      </c>
    </row>
    <row r="12">
      <c r="B12" s="14" t="inlineStr">
        <is>
          <t>Upside</t>
        </is>
      </c>
      <c r="C12" s="15">
        <f>IFERROR(C11/C3-1,"")</f>
        <v>-1.3806349233013242</v>
      </c>
    </row>
    <row r="13">
      <c r="B13" s="14" t="inlineStr">
        <is>
          <t>Cash / Share</t>
        </is>
      </c>
      <c r="C13" s="11">
        <f>IFERROR((C7-C8)/C4,"")</f>
        <v>-0.33336006582729977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-13.71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19.2386120792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0.32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0.32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4.218</v>
      </c>
      <c r="C5" s="23" t="n">
        <v>14.196</v>
      </c>
      <c r="D5" s="23" t="n">
        <v>6.93</v>
      </c>
      <c r="E5" s="23" t="n">
        <v>7.103</v>
      </c>
      <c r="F5" s="23" t="n">
        <v>6.096</v>
      </c>
      <c r="G5" s="23" t="n">
        <v>6.601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4.101</v>
      </c>
      <c r="C6" s="23" t="n">
        <v>12.36</v>
      </c>
      <c r="D6" s="23" t="n">
        <v>27.533</v>
      </c>
      <c r="E6" s="23" t="n">
        <v>10.026</v>
      </c>
      <c r="F6" s="23" t="n">
        <v>21.145</v>
      </c>
      <c r="G6" s="23" t="n">
        <v>6.324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8.318999999999999</v>
      </c>
      <c r="C7" s="23">
        <f>SUM(C5:C6)</f>
        <v>26.555999999999997</v>
      </c>
      <c r="D7" s="23">
        <f>SUM(D5:D6)</f>
        <v>34.463</v>
      </c>
      <c r="E7" s="23">
        <f>SUM(E5:E6)</f>
        <v>17.128999999999998</v>
      </c>
      <c r="F7" s="23">
        <f>SUM(F5:F6)</f>
        <v>27.241</v>
      </c>
      <c r="G7" s="23">
        <f>SUM(G5:G6)</f>
        <v>12.925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-8.318999999999999</v>
      </c>
      <c r="C8" s="23">
        <f>C4-C7</f>
        <v>-26.555999999999997</v>
      </c>
      <c r="D8" s="23">
        <f>D4-D7</f>
        <v>-34.463</v>
      </c>
      <c r="E8" s="23">
        <f>E4-E7</f>
        <v>-17.128999999999998</v>
      </c>
      <c r="F8" s="23">
        <f>F4-F7</f>
        <v>-27.241</v>
      </c>
      <c r="G8" s="23">
        <f>G4-G7</f>
        <v>-12.605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1.9</v>
      </c>
      <c r="C9" s="23" t="n">
        <v>0.041</v>
      </c>
      <c r="D9" s="23" t="n">
        <v>16.884</v>
      </c>
      <c r="E9" s="23" t="n">
        <v>5.311</v>
      </c>
      <c r="F9" s="23" t="n">
        <v>2.345</v>
      </c>
      <c r="G9" s="23" t="n">
        <v>1.374</v>
      </c>
    </row>
    <row r="10">
      <c r="A10" s="2" t="inlineStr">
        <is>
          <t>Pretax</t>
        </is>
      </c>
      <c r="B10" s="23">
        <f>B8+B9</f>
        <v>-6.418999999999999</v>
      </c>
      <c r="C10" s="23">
        <f>C8+C9</f>
        <v>-26.514999999999997</v>
      </c>
      <c r="D10" s="23">
        <f>D8+D9</f>
        <v>-17.579</v>
      </c>
      <c r="E10" s="23">
        <f>E8+E9</f>
        <v>-11.817999999999998</v>
      </c>
      <c r="F10" s="23">
        <f>F8+F9</f>
        <v>-24.896</v>
      </c>
      <c r="G10" s="23">
        <f>G8+G9</f>
        <v>-11.231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0.198</v>
      </c>
      <c r="C11" s="23" t="n">
        <v>0.133</v>
      </c>
      <c r="D11" s="23" t="n">
        <v>-1.521</v>
      </c>
      <c r="E11" s="23" t="n">
        <v>0.083</v>
      </c>
      <c r="F11" s="23" t="n">
        <v>-0.381</v>
      </c>
      <c r="G11" s="23" t="n">
        <v>0</v>
      </c>
    </row>
    <row r="12">
      <c r="A12" s="2" t="inlineStr">
        <is>
          <t>Net Income</t>
        </is>
      </c>
      <c r="B12" s="23" t="n">
        <v>-6.617</v>
      </c>
      <c r="C12" s="23" t="n">
        <v>-26.648</v>
      </c>
      <c r="D12" s="23" t="n">
        <v>-16.058</v>
      </c>
      <c r="E12" s="23" t="n">
        <v>-11.901</v>
      </c>
      <c r="F12" s="23" t="n">
        <v>-24.515</v>
      </c>
      <c r="G12" s="23" t="n">
        <v>-11.231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-0.2251982438825171</v>
      </c>
      <c r="C13" s="11">
        <f>IFERROR(C12/C14,0)</f>
        <v>-0.46562177840680746</v>
      </c>
      <c r="D13" s="11">
        <f>IFERROR(D12/D14,0)</f>
        <v>-0.26219283206792393</v>
      </c>
      <c r="E13" s="11">
        <f>IFERROR(E12/E14,0)</f>
        <v>-0.6642295027069263</v>
      </c>
      <c r="F13" s="11">
        <f>IFERROR(F12/F14,0)</f>
        <v>-1.6950148655189106</v>
      </c>
      <c r="G13" s="11">
        <f>IFERROR(G12/G14,0)</f>
        <v>-0.7810696154113638</v>
      </c>
    </row>
    <row r="14">
      <c r="A14" s="2" t="inlineStr">
        <is>
          <t>Shares</t>
        </is>
      </c>
      <c r="B14" s="23" t="n">
        <v>29.383</v>
      </c>
      <c r="C14" s="23" t="n">
        <v>57.231</v>
      </c>
      <c r="D14" s="23" t="n">
        <v>61.245</v>
      </c>
      <c r="E14" s="23" t="n">
        <v>17.917</v>
      </c>
      <c r="F14" s="23" t="n">
        <v>14.463</v>
      </c>
      <c r="G14" s="23" t="n">
        <v>14.379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-39.390625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2026-10-21T01:06:31Z</dcterms:modified>
  <cp:lastModifiedBy>Wang, Eric</cp:lastModifiedBy>
</cp:coreProperties>
</file>