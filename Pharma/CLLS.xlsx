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Cellectis SA</t>
        </is>
      </c>
      <c r="C2" s="10" t="n"/>
    </row>
    <row r="3">
      <c r="B3" t="inlineStr">
        <is>
          <t>Price</t>
        </is>
      </c>
      <c r="C3" s="11">
        <f>INDEX([1]Pharma!$F$1:$F$1000,MATCH("CLLS",[1]Pharma!$B$1:$B$1000,0))</f>
        <v>0.99</v>
      </c>
      <c r="F3" s="1" t="n"/>
    </row>
    <row r="4">
      <c r="B4" t="inlineStr">
        <is>
          <t>Shares</t>
        </is>
      </c>
      <c r="C4" s="51" t="n">
        <v>100.339441</v>
      </c>
      <c r="F4" s="1" t="n"/>
    </row>
    <row r="5">
      <c r="B5" t="inlineStr">
        <is>
          <t>Market Cap.</t>
        </is>
      </c>
      <c r="C5" s="13">
        <f>C3*C4</f>
        <v>99.33604659</v>
      </c>
      <c r="F5" s="1" t="n"/>
    </row>
    <row r="6"/>
    <row r="7">
      <c r="B7" t="inlineStr">
        <is>
          <t>Cash</t>
        </is>
      </c>
      <c r="C7" s="51">
        <f>61.533+144.8</f>
        <v>206.33300000000003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-106.99695341000003</v>
      </c>
    </row>
    <row r="10"/>
    <row r="11">
      <c r="B11" s="14" t="inlineStr">
        <is>
          <t>NPV / Share</t>
        </is>
      </c>
      <c r="C11" s="11">
        <f>NPV!B28</f>
        <v>2.7035522217742165</v>
      </c>
    </row>
    <row r="12">
      <c r="B12" s="14" t="inlineStr">
        <is>
          <t>Upside</t>
        </is>
      </c>
      <c r="C12" s="15">
        <f>IFERROR(C11/C3-1,"")</f>
        <v>1.7308608300749664</v>
      </c>
    </row>
    <row r="13">
      <c r="B13" s="14" t="inlineStr">
        <is>
          <t>Cash / Share</t>
        </is>
      </c>
      <c r="C13" s="11">
        <f>IFERROR((C7-C8)/C4,"")</f>
        <v>2.0563499053178904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2014</v>
      </c>
      <c r="C1" s="16" t="n">
        <v>2015</v>
      </c>
      <c r="D1" s="16" t="n">
        <v>2016</v>
      </c>
      <c r="E1" s="16" t="n">
        <v>2017</v>
      </c>
      <c r="F1" s="16" t="n">
        <v>2018</v>
      </c>
      <c r="G1" s="16" t="n">
        <v>2019</v>
      </c>
      <c r="H1" s="16" t="n">
        <v>2020</v>
      </c>
      <c r="I1" s="16" t="n">
        <v>2021</v>
      </c>
      <c r="J1" s="16" t="n">
        <v>2022</v>
      </c>
      <c r="K1" s="16" t="n">
        <v>2023</v>
      </c>
      <c r="L1" s="16" t="n">
        <v>2024</v>
      </c>
      <c r="M1" s="16" t="n">
        <v>2025</v>
      </c>
      <c r="N1" s="16" t="n">
        <v>2026</v>
      </c>
      <c r="O1" s="16" t="n">
        <v>2027</v>
      </c>
      <c r="P1" s="16" t="n">
        <v>2028</v>
      </c>
      <c r="Q1" s="16" t="n">
        <v>2029</v>
      </c>
      <c r="R1" s="16" t="n">
        <v>2030</v>
      </c>
      <c r="S1" s="16" t="n">
        <v>2031</v>
      </c>
      <c r="T1" s="16" t="n">
        <v>2032</v>
      </c>
      <c r="U1" s="16" t="n">
        <v>2033</v>
      </c>
      <c r="V1" s="16" t="n">
        <v>2034</v>
      </c>
      <c r="W1" s="16" t="n">
        <v>2035</v>
      </c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35.152</v>
      </c>
      <c r="C2" s="52" t="n">
        <v>62.565</v>
      </c>
      <c r="D2" s="52" t="n">
        <v>56.444</v>
      </c>
      <c r="E2" s="52" t="n">
        <v>33.715</v>
      </c>
      <c r="F2" s="52" t="n">
        <v>21.432</v>
      </c>
      <c r="G2" s="52" t="n">
        <v>22.99</v>
      </c>
      <c r="H2" s="52" t="n">
        <v>59.564</v>
      </c>
      <c r="I2" s="52" t="n">
        <v>38.597</v>
      </c>
      <c r="J2" s="52" t="n">
        <v>25.725</v>
      </c>
      <c r="K2" s="52" t="n">
        <v>9.193</v>
      </c>
      <c r="L2" s="52" t="n">
        <v>49.217</v>
      </c>
      <c r="M2" s="52" t="n">
        <v>79.592</v>
      </c>
      <c r="N2" s="52">
        <f>M2*(1+NPV!C5)</f>
        <v>107.4492</v>
      </c>
      <c r="O2" s="52">
        <f>N2*(1+NPV!D5)</f>
        <v>141.17631</v>
      </c>
      <c r="P2" s="52">
        <f>O2*(1+NPV!E5)</f>
        <v>180.39195166666664</v>
      </c>
      <c r="Q2" s="52">
        <f>P2*(1+NPV!F5)</f>
        <v>223.9866733194444</v>
      </c>
      <c r="R2" s="52">
        <f>Q2*(1+NPV!G5)</f>
        <v>270.02837839066353</v>
      </c>
      <c r="S2" s="52">
        <f>R2*(1+NPV!H5)</f>
        <v>315.7831869513038</v>
      </c>
      <c r="T2" s="52">
        <f>S2*(1+NPV!I5)</f>
        <v>357.8876118781443</v>
      </c>
      <c r="U2" s="52">
        <f>T2*(1+NPV!J5)</f>
        <v>392.6822408107417</v>
      </c>
      <c r="V2" s="52">
        <f>U2*(1+NPV!K5)</f>
        <v>416.679488860287</v>
      </c>
      <c r="W2" s="52">
        <f>V2*(1+NPV!L5)</f>
        <v>427.09647608179415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2.62</v>
      </c>
      <c r="F3" s="52" t="n">
        <v>2.739</v>
      </c>
      <c r="G3" s="52" t="n">
        <v>11.392</v>
      </c>
      <c r="H3" s="52" t="n">
        <v>1.951</v>
      </c>
      <c r="I3" s="52" t="n">
        <v>1.844</v>
      </c>
      <c r="J3" s="52" t="n">
        <v>1.772</v>
      </c>
      <c r="K3" s="52" t="n">
        <v>0.737</v>
      </c>
      <c r="L3" s="52" t="n">
        <v>0</v>
      </c>
      <c r="M3" s="52" t="n">
        <v>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</row>
    <row r="4" customFormat="1" s="1">
      <c r="A4" s="5" t="inlineStr">
        <is>
          <t>Gross Margin</t>
        </is>
      </c>
      <c r="B4" s="52">
        <f>B2-B3</f>
        <v>35.152</v>
      </c>
      <c r="C4" s="52">
        <f>C2-C3</f>
        <v>62.565</v>
      </c>
      <c r="D4" s="52">
        <f>D2-D3</f>
        <v>56.444</v>
      </c>
      <c r="E4" s="52">
        <f>E2-E3</f>
        <v>31.095000000000002</v>
      </c>
      <c r="F4" s="52">
        <f>F2-F3</f>
        <v>18.692999999999998</v>
      </c>
      <c r="G4" s="52">
        <f>G2-G3</f>
        <v>11.597999999999999</v>
      </c>
      <c r="H4" s="52">
        <f>H2-H3</f>
        <v>57.613</v>
      </c>
      <c r="I4" s="52">
        <f>I2-I3</f>
        <v>36.753</v>
      </c>
      <c r="J4" s="52">
        <f>J2-J3</f>
        <v>23.953000000000003</v>
      </c>
      <c r="K4" s="52">
        <f>K2-K3</f>
        <v>8.456</v>
      </c>
      <c r="L4" s="52">
        <f>L2-L3</f>
        <v>49.217</v>
      </c>
      <c r="M4" s="52">
        <f>M2-M3</f>
        <v>79.592</v>
      </c>
      <c r="N4" s="52">
        <f>N2-N3</f>
        <v>107.4492</v>
      </c>
      <c r="O4" s="52">
        <f>O2-O3</f>
        <v>141.17631</v>
      </c>
      <c r="P4" s="52">
        <f>P2-P3</f>
        <v>180.39195166666664</v>
      </c>
      <c r="Q4" s="52">
        <f>Q2-Q3</f>
        <v>223.9866733194444</v>
      </c>
      <c r="R4" s="52">
        <f>R2-R3</f>
        <v>270.02837839066353</v>
      </c>
      <c r="S4" s="52">
        <f>S2-S3</f>
        <v>315.7831869513038</v>
      </c>
      <c r="T4" s="52">
        <f>T2-T3</f>
        <v>357.8876118781443</v>
      </c>
      <c r="U4" s="52">
        <f>U2-U3</f>
        <v>392.6822408107417</v>
      </c>
      <c r="V4" s="52">
        <f>V2-V3</f>
        <v>416.679488860287</v>
      </c>
      <c r="W4" s="52">
        <f>W2-W3</f>
        <v>427.09647608179415</v>
      </c>
    </row>
    <row r="5">
      <c r="A5" s="2" t="inlineStr">
        <is>
          <t>Research &amp; Dev.</t>
        </is>
      </c>
      <c r="B5" s="52" t="n">
        <v>0</v>
      </c>
      <c r="C5" s="52" t="n">
        <v>58.154</v>
      </c>
      <c r="D5" s="52" t="n">
        <v>78.458</v>
      </c>
      <c r="E5" s="52" t="n">
        <v>79.227</v>
      </c>
      <c r="F5" s="52" t="n">
        <v>76.56699999999999</v>
      </c>
      <c r="G5" s="52" t="n">
        <v>92.042</v>
      </c>
      <c r="H5" s="52" t="n">
        <v>77.048</v>
      </c>
      <c r="I5" s="52" t="n">
        <v>117.84</v>
      </c>
      <c r="J5" s="52" t="n">
        <v>97.501</v>
      </c>
      <c r="K5" s="52" t="n">
        <v>87.646</v>
      </c>
      <c r="L5" s="52" t="n">
        <v>90.536</v>
      </c>
      <c r="M5" s="52" t="n">
        <v>93.517</v>
      </c>
      <c r="N5" s="52">
        <f>N7*Assumptions!$B$20</f>
        <v>120.75712725744002</v>
      </c>
      <c r="O5" s="52">
        <f>O7*Assumptions!$B$20</f>
        <v>151.448072433504</v>
      </c>
      <c r="P5" s="52">
        <f>P7*Assumptions!$B$20</f>
        <v>184.29989075079263</v>
      </c>
      <c r="Q5" s="52">
        <f>Q7*Assumptions!$B$20</f>
        <v>217.39447673964514</v>
      </c>
      <c r="R5" s="52">
        <f>R7*Assumptions!$B$20</f>
        <v>248.28407319237692</v>
      </c>
      <c r="S5" s="52">
        <f>S7*Assumptions!$B$20</f>
        <v>274.2195512582236</v>
      </c>
      <c r="T5" s="52">
        <f>T7*Assumptions!$B$20</f>
        <v>292.495962141262</v>
      </c>
      <c r="U5" s="52">
        <f>U7*Assumptions!$B$20</f>
        <v>300.86904901388584</v>
      </c>
      <c r="V5" s="52">
        <f>V7*Assumptions!$B$20</f>
        <v>297.96533575064916</v>
      </c>
      <c r="W5" s="52">
        <f>W7*Assumptions!$B$20</f>
        <v>283.59206011831134</v>
      </c>
    </row>
    <row r="6">
      <c r="A6" s="18" t="inlineStr">
        <is>
          <t>SG&amp;A &amp; Other</t>
        </is>
      </c>
      <c r="B6" s="52" t="n">
        <v>42.122</v>
      </c>
      <c r="C6" s="52" t="n">
        <v>35.395</v>
      </c>
      <c r="D6" s="52" t="n">
        <v>45.288</v>
      </c>
      <c r="E6" s="52" t="n">
        <v>44.518</v>
      </c>
      <c r="F6" s="52" t="n">
        <v>47.217</v>
      </c>
      <c r="G6" s="52" t="n">
        <v>43.108</v>
      </c>
      <c r="H6" s="52" t="n">
        <v>22.876</v>
      </c>
      <c r="I6" s="52" t="n">
        <v>22.394</v>
      </c>
      <c r="J6" s="52" t="n">
        <v>16.118</v>
      </c>
      <c r="K6" s="52" t="n">
        <v>18.112</v>
      </c>
      <c r="L6" s="52" t="n">
        <v>18.235</v>
      </c>
      <c r="M6" s="52" t="n">
        <v>19.151</v>
      </c>
      <c r="N6" s="52">
        <f>N7-N5</f>
        <v>24.733387510560007</v>
      </c>
      <c r="O6" s="52">
        <f>O7-O5</f>
        <v>31.019484715296016</v>
      </c>
      <c r="P6" s="52">
        <f>P7-P5</f>
        <v>37.74817039474067</v>
      </c>
      <c r="Q6" s="52">
        <f>Q7-Q5</f>
        <v>44.526579573180356</v>
      </c>
      <c r="R6" s="52">
        <f>R7-R5</f>
        <v>50.85336438880012</v>
      </c>
      <c r="S6" s="52">
        <f>S7-S5</f>
        <v>56.16545025770847</v>
      </c>
      <c r="T6" s="52">
        <f>T7-T5</f>
        <v>59.908811522909104</v>
      </c>
      <c r="U6" s="52">
        <f>U7-U5</f>
        <v>61.62378112332601</v>
      </c>
      <c r="V6" s="52">
        <f>V7-V5</f>
        <v>61.02904467181975</v>
      </c>
      <c r="W6" s="52">
        <f>W7-W5</f>
        <v>58.085120747123995</v>
      </c>
    </row>
    <row r="7">
      <c r="A7" s="2" t="inlineStr">
        <is>
          <t>Operating Expense</t>
        </is>
      </c>
      <c r="B7" s="52">
        <f>SUM(B5:B6)</f>
        <v>42.122</v>
      </c>
      <c r="C7" s="52">
        <f>SUM(C5:C6)</f>
        <v>93.549</v>
      </c>
      <c r="D7" s="52">
        <f>SUM(D5:D6)</f>
        <v>123.746</v>
      </c>
      <c r="E7" s="52">
        <f>SUM(E5:E6)</f>
        <v>123.745</v>
      </c>
      <c r="F7" s="52">
        <f>SUM(F5:F6)</f>
        <v>123.78399999999999</v>
      </c>
      <c r="G7" s="52">
        <f>SUM(G5:G6)</f>
        <v>135.15</v>
      </c>
      <c r="H7" s="52">
        <f>SUM(H5:H6)</f>
        <v>99.924</v>
      </c>
      <c r="I7" s="52">
        <f>SUM(I5:I6)</f>
        <v>140.234</v>
      </c>
      <c r="J7" s="52">
        <f>SUM(J5:J6)</f>
        <v>113.619</v>
      </c>
      <c r="K7" s="52">
        <f>SUM(K5:K6)</f>
        <v>105.758</v>
      </c>
      <c r="L7" s="52">
        <f>SUM(L5:L6)</f>
        <v>108.771</v>
      </c>
      <c r="M7" s="52">
        <f>SUM(M5:M6)</f>
        <v>112.66799999999999</v>
      </c>
      <c r="N7" s="52">
        <f>N4-N2*NPV!C6</f>
        <v>145.49051476800003</v>
      </c>
      <c r="O7" s="52">
        <f>O4-O2*NPV!D6</f>
        <v>182.4675571488</v>
      </c>
      <c r="P7" s="52">
        <f>P4-P2*NPV!E6</f>
        <v>222.0480611455333</v>
      </c>
      <c r="Q7" s="52">
        <f>Q4-Q2*NPV!F6</f>
        <v>261.9210563128255</v>
      </c>
      <c r="R7" s="52">
        <f>R4-R2*NPV!G6</f>
        <v>299.13743758117704</v>
      </c>
      <c r="S7" s="52">
        <f>S4-S2*NPV!H6</f>
        <v>330.38500151593206</v>
      </c>
      <c r="T7" s="52">
        <f>T4-T2*NPV!I6</f>
        <v>352.4047736641711</v>
      </c>
      <c r="U7" s="52">
        <f>U4-U2*NPV!J6</f>
        <v>362.49283013721185</v>
      </c>
      <c r="V7" s="52">
        <f>V4-V2*NPV!K6</f>
        <v>358.9943804224689</v>
      </c>
      <c r="W7" s="52">
        <f>W4-W2*NPV!L6</f>
        <v>341.67718086543533</v>
      </c>
    </row>
    <row r="8">
      <c r="A8" s="2" t="inlineStr">
        <is>
          <t>Operating Income</t>
        </is>
      </c>
      <c r="B8" s="52">
        <f>B4-B7</f>
        <v>-6.969999999999999</v>
      </c>
      <c r="C8" s="52">
        <f>C4-C7</f>
        <v>-30.98400000000001</v>
      </c>
      <c r="D8" s="52">
        <f>D4-D7</f>
        <v>-67.30199999999999</v>
      </c>
      <c r="E8" s="52">
        <f>E4-E7</f>
        <v>-92.65</v>
      </c>
      <c r="F8" s="52">
        <f>F4-F7</f>
        <v>-105.091</v>
      </c>
      <c r="G8" s="52">
        <f>G4-G7</f>
        <v>-123.552</v>
      </c>
      <c r="H8" s="52">
        <f>H4-H7</f>
        <v>-42.31100000000001</v>
      </c>
      <c r="I8" s="52">
        <f>I4-I7</f>
        <v>-103.48100000000001</v>
      </c>
      <c r="J8" s="52">
        <f>J4-J7</f>
        <v>-89.666</v>
      </c>
      <c r="K8" s="52">
        <f>K4-K7</f>
        <v>-97.30199999999999</v>
      </c>
      <c r="L8" s="52">
        <f>L4-L7</f>
        <v>-59.554</v>
      </c>
      <c r="M8" s="52">
        <f>M4-M7</f>
        <v>-33.07599999999999</v>
      </c>
      <c r="N8" s="52">
        <f>N4-N7</f>
        <v>-38.04131476800002</v>
      </c>
      <c r="O8" s="52">
        <f>O4-O7</f>
        <v>-41.29124714880001</v>
      </c>
      <c r="P8" s="52">
        <f>P4-P7</f>
        <v>-41.656109478866654</v>
      </c>
      <c r="Q8" s="52">
        <f>Q4-Q7</f>
        <v>-37.93438299338109</v>
      </c>
      <c r="R8" s="52">
        <f>R4-R7</f>
        <v>-29.109059190513506</v>
      </c>
      <c r="S8" s="52">
        <f>S4-S7</f>
        <v>-14.601814564628285</v>
      </c>
      <c r="T8" s="52">
        <f>T4-T7</f>
        <v>5.482838213973196</v>
      </c>
      <c r="U8" s="52">
        <f>U4-U7</f>
        <v>30.189410673529835</v>
      </c>
      <c r="V8" s="52">
        <f>V4-V7</f>
        <v>57.68510843781809</v>
      </c>
      <c r="W8" s="52">
        <f>W4-W7</f>
        <v>85.41929521635882</v>
      </c>
    </row>
    <row r="9">
      <c r="A9" s="18" t="inlineStr">
        <is>
          <t>Interest &amp; Other</t>
        </is>
      </c>
      <c r="B9" s="52" t="n">
        <v>5.678</v>
      </c>
      <c r="C9" s="52" t="n">
        <v>8.188000000000001</v>
      </c>
      <c r="D9" s="52" t="n">
        <v>0.047</v>
      </c>
      <c r="E9" s="52" t="n">
        <v>-6.718</v>
      </c>
      <c r="F9" s="52" t="n">
        <v>26.398</v>
      </c>
      <c r="G9" s="52" t="n">
        <v>21.461</v>
      </c>
      <c r="H9" s="52" t="n">
        <v>-38.763</v>
      </c>
      <c r="I9" s="52" t="n">
        <v>-10.716</v>
      </c>
      <c r="J9" s="52" t="n">
        <v>-16.386</v>
      </c>
      <c r="K9" s="52" t="n">
        <v>-3.386</v>
      </c>
      <c r="L9" s="52" t="n">
        <v>22.793</v>
      </c>
      <c r="M9" s="52" t="n">
        <v>-34.94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</row>
    <row r="10">
      <c r="A10" s="2" t="inlineStr">
        <is>
          <t>Pretax</t>
        </is>
      </c>
      <c r="B10" s="52">
        <f>B8+B9</f>
        <v>-1.291999999999999</v>
      </c>
      <c r="C10" s="52">
        <f>C8+C9</f>
        <v>-22.796000000000006</v>
      </c>
      <c r="D10" s="52">
        <f>D8+D9</f>
        <v>-67.255</v>
      </c>
      <c r="E10" s="52">
        <f>E8+E9</f>
        <v>-99.36800000000001</v>
      </c>
      <c r="F10" s="52">
        <f>F8+F9</f>
        <v>-78.693</v>
      </c>
      <c r="G10" s="52">
        <f>G8+G9</f>
        <v>-102.09100000000001</v>
      </c>
      <c r="H10" s="52">
        <f>H8+H9</f>
        <v>-81.07400000000001</v>
      </c>
      <c r="I10" s="52">
        <f>I8+I9</f>
        <v>-114.197</v>
      </c>
      <c r="J10" s="52">
        <f>J8+J9</f>
        <v>-106.05199999999999</v>
      </c>
      <c r="K10" s="52">
        <f>K8+K9</f>
        <v>-100.68799999999999</v>
      </c>
      <c r="L10" s="52">
        <f>L8+L9</f>
        <v>-36.761</v>
      </c>
      <c r="M10" s="52">
        <f>M8+M9</f>
        <v>-68.01599999999999</v>
      </c>
      <c r="N10" s="52">
        <f>N8+N9</f>
        <v>-38.04131476800002</v>
      </c>
      <c r="O10" s="52">
        <f>O8+O9</f>
        <v>-41.29124714880001</v>
      </c>
      <c r="P10" s="52">
        <f>P8+P9</f>
        <v>-41.656109478866654</v>
      </c>
      <c r="Q10" s="52">
        <f>Q8+Q9</f>
        <v>-37.93438299338109</v>
      </c>
      <c r="R10" s="52">
        <f>R8+R9</f>
        <v>-29.109059190513506</v>
      </c>
      <c r="S10" s="52">
        <f>S8+S9</f>
        <v>-14.601814564628285</v>
      </c>
      <c r="T10" s="52">
        <f>T8+T9</f>
        <v>5.482838213973196</v>
      </c>
      <c r="U10" s="52">
        <f>U8+U9</f>
        <v>30.189410673529835</v>
      </c>
      <c r="V10" s="52">
        <f>V8+V9</f>
        <v>57.68510843781809</v>
      </c>
      <c r="W10" s="52">
        <f>W8+W9</f>
        <v>85.41929521635882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0.08699999999999999</v>
      </c>
      <c r="K11" s="52" t="n">
        <v>0.371</v>
      </c>
      <c r="L11" s="52" t="n">
        <v>0</v>
      </c>
      <c r="M11" s="52" t="n">
        <v>-0.423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0.9320824963754434</v>
      </c>
      <c r="U11" s="52">
        <f>MAX(0,U10)*Assumptions!$E$14</f>
        <v>5.132199814500073</v>
      </c>
      <c r="V11" s="52">
        <f>MAX(0,V10)*Assumptions!$E$14</f>
        <v>9.806468434429075</v>
      </c>
      <c r="W11" s="52">
        <f>MAX(0,W10)*Assumptions!$E$14</f>
        <v>14.521280186781</v>
      </c>
    </row>
    <row r="12">
      <c r="A12" s="2" t="inlineStr">
        <is>
          <t>Net Income</t>
        </is>
      </c>
      <c r="B12" s="52" t="n">
        <v>-1.292</v>
      </c>
      <c r="C12" s="52" t="n">
        <v>-22.796</v>
      </c>
      <c r="D12" s="52" t="n">
        <v>-67.255</v>
      </c>
      <c r="E12" s="52" t="n">
        <v>-99.36799999999999</v>
      </c>
      <c r="F12" s="52" t="n">
        <v>-78.693</v>
      </c>
      <c r="G12" s="52" t="n">
        <v>-102.091</v>
      </c>
      <c r="H12" s="52" t="n">
        <v>-81.074</v>
      </c>
      <c r="I12" s="52" t="n">
        <v>-114.197</v>
      </c>
      <c r="J12" s="52" t="n">
        <v>-106.139</v>
      </c>
      <c r="K12" s="52" t="n">
        <v>-101.059</v>
      </c>
      <c r="L12" s="52" t="n">
        <v>-36.761</v>
      </c>
      <c r="M12" s="52" t="n">
        <v>-67.593</v>
      </c>
      <c r="N12" s="52">
        <f>N10-N11</f>
        <v>-38.04131476800002</v>
      </c>
      <c r="O12" s="52">
        <f>O10-O11</f>
        <v>-41.29124714880001</v>
      </c>
      <c r="P12" s="52">
        <f>P10-P11</f>
        <v>-41.656109478866654</v>
      </c>
      <c r="Q12" s="52">
        <f>Q10-Q11</f>
        <v>-37.93438299338109</v>
      </c>
      <c r="R12" s="52">
        <f>R10-R11</f>
        <v>-29.109059190513506</v>
      </c>
      <c r="S12" s="52">
        <f>S10-S11</f>
        <v>-14.601814564628285</v>
      </c>
      <c r="T12" s="52">
        <f>T10-T11</f>
        <v>4.550755717597752</v>
      </c>
      <c r="U12" s="52">
        <f>U10-U11</f>
        <v>25.057210859029762</v>
      </c>
      <c r="V12" s="52">
        <f>V10-V11</f>
        <v>47.87864000338901</v>
      </c>
      <c r="W12" s="52">
        <f>W10-W11</f>
        <v>70.89801502957782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-0.6675256222547584</v>
      </c>
      <c r="D13" s="11">
        <f>IFERROR(D12/D14,0)</f>
        <v>-1.9065910701630049</v>
      </c>
      <c r="E13" s="11">
        <f>IFERROR(E12/E14,0)</f>
        <v>-2.7841192457482276</v>
      </c>
      <c r="F13" s="11">
        <f>IFERROR(F12/F14,0)</f>
        <v>-1.9299798891450433</v>
      </c>
      <c r="G13" s="11">
        <f>IFERROR(G12/G14,0)</f>
        <v>-2.405423872579049</v>
      </c>
      <c r="H13" s="11">
        <f>IFERROR(H12/H14,0)</f>
        <v>-1.9074888831376609</v>
      </c>
      <c r="I13" s="11">
        <f>IFERROR(I12/I14,0)</f>
        <v>-2.5479027219991077</v>
      </c>
      <c r="J13" s="11">
        <f>IFERROR(J12/J14,0)</f>
        <v>-2.3303181329176454</v>
      </c>
      <c r="K13" s="11">
        <f>IFERROR(K12/K14,0)</f>
        <v>-1.7725606440636346</v>
      </c>
      <c r="L13" s="11">
        <f>IFERROR(L12/L14,0)</f>
        <v>-0.4059028774595323</v>
      </c>
      <c r="M13" s="11">
        <f>IFERROR(M12/M14,0)</f>
        <v>-0.6740494021679515</v>
      </c>
      <c r="N13" s="11">
        <f>IFERROR(N12/N14,0)</f>
        <v>-0.379126237787193</v>
      </c>
      <c r="O13" s="11">
        <f>IFERROR(O12/O14,0)</f>
        <v>-0.41151561875653675</v>
      </c>
      <c r="P13" s="11">
        <f>IFERROR(P12/P14,0)</f>
        <v>-0.41515189903107647</v>
      </c>
      <c r="Q13" s="11">
        <f>IFERROR(Q12/Q14,0)</f>
        <v>-0.3780605374648349</v>
      </c>
      <c r="R13" s="11">
        <f>IFERROR(R12/R14,0)</f>
        <v>-0.29010585369429664</v>
      </c>
      <c r="S13" s="11">
        <f>IFERROR(S12/S14,0)</f>
        <v>-0.14552417692488726</v>
      </c>
      <c r="T13" s="11">
        <f>IFERROR(T12/T14,0)</f>
        <v>0.04535360843397317</v>
      </c>
      <c r="U13" s="11">
        <f>IFERROR(U12/U14,0)</f>
        <v>0.24972444144899875</v>
      </c>
      <c r="V13" s="11">
        <f>IFERROR(V12/V14,0)</f>
        <v>0.4771667006136601</v>
      </c>
      <c r="W13" s="11">
        <f>IFERROR(W12/W14,0)</f>
        <v>0.7065817222320167</v>
      </c>
    </row>
    <row r="14">
      <c r="A14" s="2" t="inlineStr">
        <is>
          <t>Shares</t>
        </is>
      </c>
      <c r="B14" s="52" t="n"/>
      <c r="C14" s="52" t="n">
        <v>34.15</v>
      </c>
      <c r="D14" s="52" t="n">
        <v>35.275</v>
      </c>
      <c r="E14" s="52" t="n">
        <v>35.691</v>
      </c>
      <c r="F14" s="52" t="n">
        <v>40.774</v>
      </c>
      <c r="G14" s="52" t="n">
        <v>42.442</v>
      </c>
      <c r="H14" s="52" t="n">
        <v>42.503</v>
      </c>
      <c r="I14" s="52" t="n">
        <v>44.82</v>
      </c>
      <c r="J14" s="52" t="n">
        <v>45.547</v>
      </c>
      <c r="K14" s="52" t="n">
        <v>57.013</v>
      </c>
      <c r="L14" s="52" t="n">
        <v>90.566</v>
      </c>
      <c r="M14" s="52" t="n">
        <v>100.279</v>
      </c>
      <c r="N14" s="52">
        <f>Main!$C$4</f>
        <v>100.339441</v>
      </c>
      <c r="O14" s="52">
        <f>Main!$C$4</f>
        <v>100.339441</v>
      </c>
      <c r="P14" s="52">
        <f>Main!$C$4</f>
        <v>100.339441</v>
      </c>
      <c r="Q14" s="52">
        <f>Main!$C$4</f>
        <v>100.339441</v>
      </c>
      <c r="R14" s="52">
        <f>Main!$C$4</f>
        <v>100.339441</v>
      </c>
      <c r="S14" s="52">
        <f>Main!$C$4</f>
        <v>100.339441</v>
      </c>
      <c r="T14" s="52">
        <f>Main!$C$4</f>
        <v>100.339441</v>
      </c>
      <c r="U14" s="52">
        <f>Main!$C$4</f>
        <v>100.339441</v>
      </c>
      <c r="V14" s="52">
        <f>Main!$C$4</f>
        <v>100.339441</v>
      </c>
      <c r="W14" s="52">
        <f>Main!$C$4</f>
        <v>100.339441</v>
      </c>
    </row>
    <row r="15"/>
    <row r="16" customFormat="1" s="4">
      <c r="A16" s="3" t="inlineStr">
        <is>
          <t>Revenue Change</t>
        </is>
      </c>
      <c r="C16" s="15">
        <f>IFERROR(C2/B2-1,"")</f>
        <v>0.7798418297678651</v>
      </c>
      <c r="D16" s="15">
        <f>IFERROR(D2/C2-1,"")</f>
        <v>-0.0978342523775273</v>
      </c>
      <c r="E16" s="15">
        <f>IFERROR(E2/D2-1,"")</f>
        <v>-0.4026823045850755</v>
      </c>
      <c r="F16" s="15">
        <f>IFERROR(F2/E2-1,"")</f>
        <v>-0.3643185525730388</v>
      </c>
      <c r="G16" s="15">
        <f>IFERROR(G2/F2-1,"")</f>
        <v>0.07269503546099298</v>
      </c>
      <c r="H16" s="15">
        <f>IFERROR(H2/G2-1,"")</f>
        <v>1.5908655937364071</v>
      </c>
      <c r="I16" s="15">
        <f>IFERROR(I2/H2-1,"")</f>
        <v>-0.35200792424954663</v>
      </c>
      <c r="J16" s="15">
        <f>IFERROR(J2/I2-1,"")</f>
        <v>-0.3334974220794362</v>
      </c>
      <c r="K16" s="15">
        <f>IFERROR(K2/J2-1,"")</f>
        <v>-0.6426433430515064</v>
      </c>
      <c r="L16" s="15">
        <f>IFERROR(L2/K2-1,"")</f>
        <v>4.353747416512564</v>
      </c>
      <c r="M16" s="15">
        <f>IFERROR(M2/L2-1,"")</f>
        <v>0.6171648007802182</v>
      </c>
      <c r="N16" s="15">
        <f>IFERROR(N2/M2-1,"")</f>
        <v>0.3500000000000001</v>
      </c>
      <c r="O16" s="15">
        <f>IFERROR(O2/N2-1,"")</f>
        <v>0.3138888888888889</v>
      </c>
      <c r="P16" s="15">
        <f>IFERROR(P2/O2-1,"")</f>
        <v>0.2777777777777777</v>
      </c>
      <c r="Q16" s="15">
        <f>IFERROR(Q2/P2-1,"")</f>
        <v>0.2416666666666667</v>
      </c>
      <c r="R16" s="15">
        <f>IFERROR(R2/Q2-1,"")</f>
        <v>0.2055555555555555</v>
      </c>
      <c r="S16" s="15">
        <f>IFERROR(S2/R2-1,"")</f>
        <v>0.1694444444444445</v>
      </c>
      <c r="T16" s="15">
        <f>IFERROR(T2/S2-1,"")</f>
        <v>0.1333333333333333</v>
      </c>
      <c r="U16" s="15">
        <f>IFERROR(U2/T2-1,"")</f>
        <v>0.09722222222222232</v>
      </c>
      <c r="V16" s="15">
        <f>IFERROR(V2/U2-1,"")</f>
        <v>0.061111111111111116</v>
      </c>
      <c r="W16" s="15">
        <f>IFERROR(W2/V2-1,"")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0.9222897819961441</v>
      </c>
      <c r="F17" s="15">
        <f>IFERROR(F4/F2,"")</f>
        <v>0.8722004479283314</v>
      </c>
      <c r="G17" s="15">
        <f>IFERROR(G4/G2,"")</f>
        <v>0.5044802087864289</v>
      </c>
      <c r="H17" s="15">
        <f>IFERROR(H4/H2,"")</f>
        <v>0.9672453159626621</v>
      </c>
      <c r="I17" s="15">
        <f>IFERROR(I4/I2,"")</f>
        <v>0.9522242661346737</v>
      </c>
      <c r="J17" s="15">
        <f>IFERROR(J4/J2,"")</f>
        <v>0.9311175898931001</v>
      </c>
      <c r="K17" s="15">
        <f>IFERROR(K4/K2,"")</f>
        <v>0.9198303056673556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</row>
    <row r="18">
      <c r="A18" s="14" t="inlineStr">
        <is>
          <t>Operating Margin</t>
        </is>
      </c>
      <c r="B18" s="15">
        <f>IFERROR(B8/B2,"")</f>
        <v>-0.19828174783796082</v>
      </c>
      <c r="C18" s="15">
        <f>IFERROR(C8/C2,"")</f>
        <v>-0.4952289618796453</v>
      </c>
      <c r="D18" s="15">
        <f>IFERROR(D8/D2,"")</f>
        <v>-1.1923676564382395</v>
      </c>
      <c r="E18" s="15">
        <f>IFERROR(E8/E2,"")</f>
        <v>-2.7480349992584903</v>
      </c>
      <c r="F18" s="15">
        <f>IFERROR(F8/F2,"")</f>
        <v>-4.90346211272863</v>
      </c>
      <c r="G18" s="15">
        <f>IFERROR(G8/G2,"")</f>
        <v>-5.374162679425838</v>
      </c>
      <c r="H18" s="15">
        <f>IFERROR(H8/H2,"")</f>
        <v>-0.7103451749378821</v>
      </c>
      <c r="I18" s="15">
        <f>IFERROR(I8/I2,"")</f>
        <v>-2.681063295074747</v>
      </c>
      <c r="J18" s="15">
        <f>IFERROR(J8/J2,"")</f>
        <v>-3.4855587949465496</v>
      </c>
      <c r="K18" s="15">
        <f>IFERROR(K8/K2,"")</f>
        <v>-10.584357663439572</v>
      </c>
      <c r="L18" s="15">
        <f>IFERROR(L8/L2,"")</f>
        <v>-1.2100290550013209</v>
      </c>
      <c r="M18" s="15">
        <f>IFERROR(M8/M2,"")</f>
        <v>-0.4155694039601969</v>
      </c>
      <c r="N18" s="15">
        <f>IFERROR(N8/N2,"")</f>
        <v>-0.3540400000000002</v>
      </c>
      <c r="O18" s="15">
        <f>IFERROR(O8/O2,"")</f>
        <v>-0.2924800000000001</v>
      </c>
      <c r="P18" s="15">
        <f>IFERROR(P8/P2,"")</f>
        <v>-0.23091999999999996</v>
      </c>
      <c r="Q18" s="15">
        <f>IFERROR(Q8/Q2,"")</f>
        <v>-0.16935999999999996</v>
      </c>
      <c r="R18" s="15">
        <f>IFERROR(R8/R2,"")</f>
        <v>-0.10779999999999991</v>
      </c>
      <c r="S18" s="15">
        <f>IFERROR(S8/S2,"")</f>
        <v>-0.046239999999999996</v>
      </c>
      <c r="T18" s="15">
        <f>IFERROR(T8/T2,"")</f>
        <v>0.01532000000000007</v>
      </c>
      <c r="U18" s="15">
        <f>IFERROR(U8/U2,"")</f>
        <v>0.07688000000000003</v>
      </c>
      <c r="V18" s="15">
        <f>IFERROR(V8/V2,"")</f>
        <v>0.1384399999999999</v>
      </c>
      <c r="W18" s="15">
        <f>IFERROR(W8/W2,"")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Cellectis SA: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-0.4156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0.83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Model'!M2</f>
        <v>79.592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64.93991864713288</v>
      </c>
      <c r="C29" s="56">
        <f>NPV!B26</f>
        <v>271.2729186471329</v>
      </c>
      <c r="D29" s="35">
        <f>NPV!B28</f>
        <v>2.7035522217742165</v>
      </c>
      <c r="E29" s="57">
        <f>NPV!B30</f>
        <v>1.7308608300749664</v>
      </c>
    </row>
    <row r="30">
      <c r="A30" s="58" t="n">
        <v>1</v>
      </c>
      <c r="B30" s="59">
        <f t="dataTable" ref="B30:E32" r1="B4"/>
        <v>-62.2649773729196</v>
      </c>
      <c r="C30" s="59">
        <v>144.06802262708044</v>
      </c>
      <c r="D30" s="39">
        <v>1.4358065102941968</v>
      </c>
      <c r="E30" s="60">
        <v>0.4503096063577745</v>
      </c>
    </row>
    <row r="31">
      <c r="A31" s="58" t="n">
        <v>2</v>
      </c>
      <c r="B31" s="59">
        <v>64.93991864713288</v>
      </c>
      <c r="C31" s="59">
        <v>271.2729186471329</v>
      </c>
      <c r="D31" s="39">
        <v>2.7035522217742165</v>
      </c>
      <c r="E31" s="60">
        <v>1.7308608300749664</v>
      </c>
    </row>
    <row r="32">
      <c r="A32" s="58" t="n">
        <v>3</v>
      </c>
      <c r="B32" s="59">
        <v>313.88945939233656</v>
      </c>
      <c r="C32" s="59">
        <v>520.2224593923365</v>
      </c>
      <c r="D32" s="39">
        <v>5.184625848098322</v>
      </c>
      <c r="E32" s="60">
        <v>4.236995806159921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2.7035522217742165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3.2904073764307724</v>
      </c>
      <c r="C37" s="39">
        <v>3.5076901349765808</v>
      </c>
      <c r="D37" s="39">
        <v>3.7534545419534964</v>
      </c>
      <c r="E37" s="39">
        <v>4.033412049156885</v>
      </c>
      <c r="F37" s="39">
        <v>4.354906122556359</v>
      </c>
    </row>
    <row r="38">
      <c r="A38" s="62" t="n">
        <v>0.115</v>
      </c>
      <c r="B38" s="39">
        <v>2.8099621549364646</v>
      </c>
      <c r="C38" s="39">
        <v>2.9738411539549316</v>
      </c>
      <c r="D38" s="39">
        <v>3.157034014849778</v>
      </c>
      <c r="E38" s="39">
        <v>3.3629615150665413</v>
      </c>
      <c r="F38" s="39">
        <v>3.595899765470706</v>
      </c>
    </row>
    <row r="39">
      <c r="A39" s="62" t="n">
        <v>0.125</v>
      </c>
      <c r="B39" s="39">
        <v>2.4377665398581416</v>
      </c>
      <c r="C39" s="39">
        <v>2.563885071767207</v>
      </c>
      <c r="D39" s="39">
        <v>2.7035522217742165</v>
      </c>
      <c r="E39" s="39">
        <v>2.858917646759395</v>
      </c>
      <c r="F39" s="39">
        <v>3.032608820231009</v>
      </c>
    </row>
    <row r="40">
      <c r="A40" s="62" t="n">
        <v>0.135</v>
      </c>
      <c r="B40" s="39">
        <v>2.145222977563296</v>
      </c>
      <c r="C40" s="39">
        <v>2.2438761995522465</v>
      </c>
      <c r="D40" s="39">
        <v>2.352300808954396</v>
      </c>
      <c r="E40" s="39">
        <v>2.4719015140292426</v>
      </c>
      <c r="F40" s="39">
        <v>2.6043640612199526</v>
      </c>
    </row>
    <row r="41">
      <c r="A41" s="62" t="n">
        <v>0.145</v>
      </c>
      <c r="B41" s="39">
        <v>1.9126634165772125</v>
      </c>
      <c r="C41" s="39">
        <v>1.9908690352041436</v>
      </c>
      <c r="D41" s="39">
        <v>2.076286394256982</v>
      </c>
      <c r="E41" s="39">
        <v>2.169863668096231</v>
      </c>
      <c r="F41" s="39">
        <v>2.2727215082588983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Cellectis SA: free-cash-flow DCF ($mm)</t>
        </is>
      </c>
    </row>
    <row r="3">
      <c r="A3" s="20" t="inlineStr">
        <is>
          <t>Fiscal year</t>
        </is>
      </c>
      <c r="B3" s="43">
        <f>'Yearly Model'!M1</f>
        <v>2025</v>
      </c>
      <c r="C3" s="43">
        <f>'Yearly Model'!N1</f>
        <v>2026</v>
      </c>
      <c r="D3" s="43">
        <f>'Yearly Model'!O1</f>
        <v>2027</v>
      </c>
      <c r="E3" s="43">
        <f>'Yearly Model'!P1</f>
        <v>2028</v>
      </c>
      <c r="F3" s="43">
        <f>'Yearly Model'!Q1</f>
        <v>2029</v>
      </c>
      <c r="G3" s="43">
        <f>'Yearly Model'!R1</f>
        <v>2030</v>
      </c>
      <c r="H3" s="43">
        <f>'Yearly Model'!S1</f>
        <v>2031</v>
      </c>
      <c r="I3" s="43">
        <f>'Yearly Model'!T1</f>
        <v>2032</v>
      </c>
      <c r="J3" s="43">
        <f>'Yearly Model'!U1</f>
        <v>2033</v>
      </c>
      <c r="K3" s="43">
        <f>'Yearly Model'!V1</f>
        <v>2034</v>
      </c>
      <c r="L3" s="43">
        <f>'Yearly Model'!W1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-0.4155694039601969</v>
      </c>
      <c r="C6" s="63">
        <f>Assumptions!$B$18+(Assumptions!$E$13-Assumptions!$B$18)*C4/Assumptions!$B$21</f>
        <v>-0.35404</v>
      </c>
      <c r="D6" s="63">
        <f>Assumptions!$B$18+(Assumptions!$E$13-Assumptions!$B$18)*D4/Assumptions!$B$21</f>
        <v>-0.29248</v>
      </c>
      <c r="E6" s="63">
        <f>Assumptions!$B$18+(Assumptions!$E$13-Assumptions!$B$18)*E4/Assumptions!$B$21</f>
        <v>-0.23092000000000001</v>
      </c>
      <c r="F6" s="63">
        <f>Assumptions!$B$18+(Assumptions!$E$13-Assumptions!$B$18)*F4/Assumptions!$B$21</f>
        <v>-0.16936</v>
      </c>
      <c r="G6" s="63">
        <f>Assumptions!$B$18+(Assumptions!$E$13-Assumptions!$B$18)*G4/Assumptions!$B$21</f>
        <v>-0.1078</v>
      </c>
      <c r="H6" s="63">
        <f>Assumptions!$B$18+(Assumptions!$E$13-Assumptions!$B$18)*H4/Assumptions!$B$21</f>
        <v>-0.04624</v>
      </c>
      <c r="I6" s="63">
        <f>Assumptions!$B$18+(Assumptions!$E$13-Assumptions!$B$18)*I4/Assumptions!$B$21</f>
        <v>0.015320000000000056</v>
      </c>
      <c r="J6" s="63">
        <f>Assumptions!$B$18+(Assumptions!$E$13-Assumptions!$B$18)*J4/Assumptions!$B$21</f>
        <v>0.07688</v>
      </c>
      <c r="K6" s="63">
        <f>Assumptions!$B$18+(Assumptions!$E$13-Assumptions!$B$18)*K4/Assumptions!$B$21</f>
        <v>0.13843999999999995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Model'!M2</f>
        <v>79.592</v>
      </c>
      <c r="C7" s="55">
        <f>'Yearly Model'!N2</f>
        <v>107.4492</v>
      </c>
      <c r="D7" s="55">
        <f>'Yearly Model'!O2</f>
        <v>141.17631</v>
      </c>
      <c r="E7" s="55">
        <f>'Yearly Model'!P2</f>
        <v>180.39195166666664</v>
      </c>
      <c r="F7" s="55">
        <f>'Yearly Model'!Q2</f>
        <v>223.9866733194444</v>
      </c>
      <c r="G7" s="55">
        <f>'Yearly Model'!R2</f>
        <v>270.02837839066353</v>
      </c>
      <c r="H7" s="55">
        <f>'Yearly Model'!S2</f>
        <v>315.7831869513038</v>
      </c>
      <c r="I7" s="55">
        <f>'Yearly Model'!T2</f>
        <v>357.8876118781443</v>
      </c>
      <c r="J7" s="55">
        <f>'Yearly Model'!U2</f>
        <v>392.6822408107417</v>
      </c>
      <c r="K7" s="55">
        <f>'Yearly Model'!V2</f>
        <v>416.679488860287</v>
      </c>
      <c r="L7" s="55">
        <f>'Yearly Model'!W2</f>
        <v>427.09647608179415</v>
      </c>
    </row>
    <row r="8">
      <c r="A8" s="14" t="inlineStr">
        <is>
          <t>Operating income</t>
        </is>
      </c>
      <c r="B8" s="55">
        <f>'Yearly Model'!M8</f>
        <v>-33.07599999999999</v>
      </c>
      <c r="C8" s="55">
        <f>'Yearly Model'!N8</f>
        <v>-38.04131476800002</v>
      </c>
      <c r="D8" s="55">
        <f>'Yearly Model'!O8</f>
        <v>-41.29124714880001</v>
      </c>
      <c r="E8" s="55">
        <f>'Yearly Model'!P8</f>
        <v>-41.656109478866654</v>
      </c>
      <c r="F8" s="55">
        <f>'Yearly Model'!Q8</f>
        <v>-37.93438299338109</v>
      </c>
      <c r="G8" s="55">
        <f>'Yearly Model'!R8</f>
        <v>-29.109059190513506</v>
      </c>
      <c r="H8" s="55">
        <f>'Yearly Model'!S8</f>
        <v>-14.601814564628285</v>
      </c>
      <c r="I8" s="55">
        <f>'Yearly Model'!T8</f>
        <v>5.482838213973196</v>
      </c>
      <c r="J8" s="55">
        <f>'Yearly Model'!U8</f>
        <v>30.189410673529835</v>
      </c>
      <c r="K8" s="55">
        <f>'Yearly Model'!V8</f>
        <v>57.68510843781809</v>
      </c>
      <c r="L8" s="55">
        <f>'Yearly Model'!W8</f>
        <v>85.41929521635882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0.9320824963754434</v>
      </c>
      <c r="J9" s="52">
        <f>MAX(0,J8)*Assumptions!$E$14</f>
        <v>5.132199814500073</v>
      </c>
      <c r="K9" s="52">
        <f>MAX(0,K8)*Assumptions!$E$14</f>
        <v>9.806468434429075</v>
      </c>
      <c r="L9" s="52">
        <f>MAX(0,L8)*Assumptions!$E$14</f>
        <v>14.521280186781</v>
      </c>
    </row>
    <row r="10">
      <c r="A10" s="14" t="inlineStr">
        <is>
          <t>NOPAT</t>
        </is>
      </c>
      <c r="C10" s="52">
        <f>C8-C9</f>
        <v>-38.04131476800002</v>
      </c>
      <c r="D10" s="52">
        <f>D8-D9</f>
        <v>-41.29124714880001</v>
      </c>
      <c r="E10" s="52">
        <f>E8-E9</f>
        <v>-41.656109478866654</v>
      </c>
      <c r="F10" s="52">
        <f>F8-F9</f>
        <v>-37.93438299338109</v>
      </c>
      <c r="G10" s="52">
        <f>G8-G9</f>
        <v>-29.109059190513506</v>
      </c>
      <c r="H10" s="52">
        <f>H8-H9</f>
        <v>-14.601814564628285</v>
      </c>
      <c r="I10" s="52">
        <f>I8-I9</f>
        <v>4.550755717597752</v>
      </c>
      <c r="J10" s="52">
        <f>J8-J9</f>
        <v>25.057210859029762</v>
      </c>
      <c r="K10" s="52">
        <f>K8-K9</f>
        <v>47.87864000338901</v>
      </c>
      <c r="L10" s="52">
        <f>L8-L9</f>
        <v>70.89801502957782</v>
      </c>
    </row>
    <row r="11">
      <c r="A11" s="14" t="inlineStr">
        <is>
          <t>Reinvestment</t>
        </is>
      </c>
      <c r="C11" s="52">
        <f>(C7-B7)*Assumptions!$E$15</f>
        <v>6.9643000000000015</v>
      </c>
      <c r="D11" s="52">
        <f>(D7-C7)*Assumptions!$E$15</f>
        <v>8.431777499999999</v>
      </c>
      <c r="E11" s="52">
        <f>(E7-D7)*Assumptions!$E$15</f>
        <v>9.80391041666666</v>
      </c>
      <c r="F11" s="52">
        <f>(F7-E7)*Assumptions!$E$15</f>
        <v>10.898680413194441</v>
      </c>
      <c r="G11" s="52">
        <f>(G7-F7)*Assumptions!$E$15</f>
        <v>11.510426267804782</v>
      </c>
      <c r="H11" s="52">
        <f>(H7-G7)*Assumptions!$E$15</f>
        <v>11.43870214016006</v>
      </c>
      <c r="I11" s="52">
        <f>(I7-H7)*Assumptions!$E$15</f>
        <v>10.52610623171013</v>
      </c>
      <c r="J11" s="52">
        <f>(J7-I7)*Assumptions!$E$15</f>
        <v>8.698657233149348</v>
      </c>
      <c r="K11" s="52">
        <f>(K7-J7)*Assumptions!$E$15</f>
        <v>5.999312012386326</v>
      </c>
      <c r="L11" s="52">
        <f>(L7-K7)*Assumptions!$E$15</f>
        <v>2.604246805376789</v>
      </c>
    </row>
    <row r="12">
      <c r="A12" s="20" t="inlineStr">
        <is>
          <t>Free cash flow</t>
        </is>
      </c>
      <c r="C12" s="64">
        <f>C10-C11</f>
        <v>-45.00561476800002</v>
      </c>
      <c r="D12" s="64">
        <f>D10-D11</f>
        <v>-49.723024648800006</v>
      </c>
      <c r="E12" s="64">
        <f>E10-E11</f>
        <v>-51.460019895533314</v>
      </c>
      <c r="F12" s="64">
        <f>F10-F11</f>
        <v>-48.83306340657553</v>
      </c>
      <c r="G12" s="64">
        <f>G10-G11</f>
        <v>-40.61948545831829</v>
      </c>
      <c r="H12" s="64">
        <f>H10-H11</f>
        <v>-26.040516704788345</v>
      </c>
      <c r="I12" s="64">
        <f>I10-I11</f>
        <v>-5.975350514112378</v>
      </c>
      <c r="J12" s="64">
        <f>J10-J11</f>
        <v>16.358553625880415</v>
      </c>
      <c r="K12" s="64">
        <f>K10-K11</f>
        <v>41.87932799100268</v>
      </c>
      <c r="L12" s="64">
        <f>L10-L11</f>
        <v>68.29376822420103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0.9428090415820635</v>
      </c>
      <c r="D15" s="65">
        <f>1/(1+Assumptions!$E$10)^D14</f>
        <v>0.8380524814062785</v>
      </c>
      <c r="E15" s="65">
        <f>1/(1+Assumptions!$E$10)^E14</f>
        <v>0.7449355390278032</v>
      </c>
      <c r="F15" s="65">
        <f>1/(1+Assumptions!$E$10)^F14</f>
        <v>0.6621649235802695</v>
      </c>
      <c r="G15" s="65">
        <f>1/(1+Assumptions!$E$10)^G14</f>
        <v>0.5885910431824618</v>
      </c>
      <c r="H15" s="65">
        <f>1/(1+Assumptions!$E$10)^H14</f>
        <v>0.5231920383844104</v>
      </c>
      <c r="I15" s="65">
        <f>1/(1+Assumptions!$E$10)^I14</f>
        <v>0.4650595896750315</v>
      </c>
      <c r="J15" s="65">
        <f>1/(1+Assumptions!$E$10)^J14</f>
        <v>0.41338630193336134</v>
      </c>
      <c r="K15" s="65">
        <f>1/(1+Assumptions!$E$10)^K14</f>
        <v>0.3674544906074323</v>
      </c>
      <c r="L15" s="65">
        <f>1/(1+Assumptions!$E$10)^L14</f>
        <v>0.3266262138732731</v>
      </c>
    </row>
    <row r="16">
      <c r="A16" s="20" t="inlineStr">
        <is>
          <t>PV of free cash flow</t>
        </is>
      </c>
      <c r="C16" s="64">
        <f>C12*C13*C15</f>
        <v>-42.431700525229665</v>
      </c>
      <c r="D16" s="64">
        <f>D12*D13*D15</f>
        <v>-41.670504189952396</v>
      </c>
      <c r="E16" s="64">
        <f>E12*E13*E15</f>
        <v>-38.33439765926059</v>
      </c>
      <c r="F16" s="64">
        <f>F12*F13*F15</f>
        <v>-32.33554169880554</v>
      </c>
      <c r="G16" s="64">
        <f>G12*G13*G15</f>
        <v>-23.9082653194464</v>
      </c>
      <c r="H16" s="64">
        <f>H12*H13*H15</f>
        <v>-13.624191015361504</v>
      </c>
      <c r="I16" s="64">
        <f>I12*I13*I15</f>
        <v>-2.7788940582575914</v>
      </c>
      <c r="J16" s="64">
        <f>J12*J13*J15</f>
        <v>6.762401988381284</v>
      </c>
      <c r="K16" s="64">
        <f>K12*K13*K15</f>
        <v>15.388747133915471</v>
      </c>
      <c r="L16" s="64">
        <f>L12*L13*L15</f>
        <v>22.30653494620963</v>
      </c>
    </row>
    <row r="19">
      <c r="A19" s="14" t="inlineStr">
        <is>
          <t>PV of forecast free cash flow</t>
        </is>
      </c>
      <c r="B19" s="52">
        <f>SUM(C16:L16)</f>
        <v>-150.6258103978073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70.00111242980604</v>
      </c>
    </row>
    <row r="21">
      <c r="A21" s="14" t="inlineStr">
        <is>
          <t>Terminal value</t>
        </is>
      </c>
      <c r="B21" s="52">
        <f>B20/(Assumptions!$E$10-Assumptions!$E$11)</f>
        <v>700.0111242980604</v>
      </c>
    </row>
    <row r="22">
      <c r="A22" s="14" t="inlineStr">
        <is>
          <t>PV of terminal value</t>
        </is>
      </c>
      <c r="B22" s="52">
        <f>B21/(1+Assumptions!$E$10)^(L14+0.5)</f>
        <v>215.56572904494018</v>
      </c>
    </row>
    <row r="23">
      <c r="A23" s="20" t="inlineStr">
        <is>
          <t>Enterprise value</t>
        </is>
      </c>
      <c r="B23" s="66">
        <f>B19+B22</f>
        <v>64.93991864713288</v>
      </c>
    </row>
    <row r="24">
      <c r="A24" s="14" t="inlineStr">
        <is>
          <t>Cash &amp; investments</t>
        </is>
      </c>
      <c r="B24" s="55">
        <f>Main!C7</f>
        <v>206.33300000000003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271.2729186471329</v>
      </c>
    </row>
    <row r="27">
      <c r="A27" s="14" t="inlineStr">
        <is>
          <t>Shares (mm)</t>
        </is>
      </c>
      <c r="B27" s="55">
        <f>Main!C4</f>
        <v>100.339441</v>
      </c>
    </row>
    <row r="28">
      <c r="A28" s="20" t="inlineStr">
        <is>
          <t>NPV / share</t>
        </is>
      </c>
      <c r="B28" s="49">
        <f>B26/B27</f>
        <v>2.7035522217742165</v>
      </c>
    </row>
    <row r="29">
      <c r="A29" s="14" t="inlineStr">
        <is>
          <t>Price</t>
        </is>
      </c>
      <c r="B29" s="50">
        <f>Main!C3</f>
        <v>0.99</v>
      </c>
    </row>
    <row r="30">
      <c r="A30" s="14" t="inlineStr">
        <is>
          <t>Upside</t>
        </is>
      </c>
      <c r="B30" s="63">
        <f>B28/B29-1</f>
        <v>1.7308608300749664</v>
      </c>
    </row>
    <row r="31">
      <c r="A31" s="14" t="inlineStr">
        <is>
          <t>Terminal value, % of EV</t>
        </is>
      </c>
      <c r="B31" s="63">
        <f>IFERROR(B22/B23,0)</f>
        <v>3.3194641067579695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2026-10-21T06:28:07Z</dcterms:modified>
  <cp:lastModifiedBy>Wang, Eric</cp:lastModifiedBy>
</cp:coreProperties>
</file>