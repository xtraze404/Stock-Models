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Dyne Therapeutics, Inc.</t>
        </is>
      </c>
      <c r="C2" s="10" t="n"/>
    </row>
    <row r="3">
      <c r="B3" t="inlineStr">
        <is>
          <t>Price</t>
        </is>
      </c>
      <c r="C3" s="11">
        <f>INDEX([1]Pharma!$F$1:$F$1000,MATCH("DYN",[1]Pharma!$B$1:$B$1000,0))</f>
        <v>16.27</v>
      </c>
      <c r="F3" s="1" t="n"/>
    </row>
    <row r="4">
      <c r="B4" t="inlineStr">
        <is>
          <t>Shares</t>
        </is>
      </c>
      <c r="C4" s="21" t="n">
        <v>186.746431</v>
      </c>
      <c r="F4" s="1" t="n"/>
    </row>
    <row r="5">
      <c r="B5" t="inlineStr">
        <is>
          <t>Market Cap.</t>
        </is>
      </c>
      <c r="C5" s="13">
        <f>C3*C4</f>
        <v>3038.36443237</v>
      </c>
      <c r="F5" s="1" t="n"/>
    </row>
    <row r="6"/>
    <row r="7">
      <c r="B7" t="inlineStr">
        <is>
          <t>Cash</t>
        </is>
      </c>
      <c r="C7" s="21">
        <f>676.114+222.361</f>
        <v>898.475</v>
      </c>
    </row>
    <row r="8">
      <c r="B8" t="inlineStr">
        <is>
          <t>Debt</t>
        </is>
      </c>
      <c r="C8" s="21" t="n">
        <v>199.328</v>
      </c>
    </row>
    <row r="9">
      <c r="B9" t="inlineStr">
        <is>
          <t>Enterprise V.</t>
        </is>
      </c>
      <c r="C9" s="13">
        <f>C5-C7+C8</f>
        <v>2339.21743237</v>
      </c>
    </row>
    <row r="10"/>
    <row r="11">
      <c r="B11" s="14" t="inlineStr">
        <is>
          <t>Net Cash / Share</t>
        </is>
      </c>
      <c r="C11" s="11">
        <f>(C7-C8)/C4</f>
        <v>3.743830584906868</v>
      </c>
    </row>
    <row r="12">
      <c r="B12" s="14" t="inlineStr">
        <is>
          <t>Upside</t>
        </is>
      </c>
      <c r="C12" s="15">
        <f>IFERROR(C11/C3-1,"")</f>
        <v>-0.7698936333800327</v>
      </c>
    </row>
    <row r="13">
      <c r="B13" s="14" t="inlineStr">
        <is>
          <t>Cash / Share</t>
        </is>
      </c>
      <c r="C13" s="11">
        <f>IFERROR((C7-C8)/C4,"")</f>
        <v>3.743830584906868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-477.819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1.4632046862933454</v>
      </c>
    </row>
    <row r="19">
      <c r="B19" s="14" t="inlineStr">
        <is>
          <t>Implied Pipeline Value</t>
        </is>
      </c>
      <c r="C19" s="13">
        <f>C9</f>
        <v>2339.21743237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11.04</v>
      </c>
      <c r="C5" s="23" t="n">
        <v>45.2</v>
      </c>
      <c r="D5" s="23" t="n">
        <v>121.308</v>
      </c>
      <c r="E5" s="23" t="n">
        <v>142.76</v>
      </c>
      <c r="F5" s="23" t="n">
        <v>210.762</v>
      </c>
      <c r="G5" s="23" t="n">
        <v>281.406</v>
      </c>
      <c r="H5" s="23" t="n">
        <v>398.333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2.786</v>
      </c>
      <c r="C6" s="23" t="n">
        <v>13.447</v>
      </c>
      <c r="D6" s="23" t="n">
        <v>28.717</v>
      </c>
      <c r="E6" s="23" t="n">
        <v>28.202</v>
      </c>
      <c r="F6" s="23" t="n">
        <v>31.4</v>
      </c>
      <c r="G6" s="23" t="n">
        <v>62.48</v>
      </c>
      <c r="H6" s="23" t="n">
        <v>69.851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13.825999999999999</v>
      </c>
      <c r="C7" s="23">
        <f>SUM(C5:C6)</f>
        <v>58.647000000000006</v>
      </c>
      <c r="D7" s="23">
        <f>SUM(D5:D6)</f>
        <v>150.025</v>
      </c>
      <c r="E7" s="23">
        <f>SUM(E5:E6)</f>
        <v>170.962</v>
      </c>
      <c r="F7" s="23">
        <f>SUM(F5:F6)</f>
        <v>242.162</v>
      </c>
      <c r="G7" s="23">
        <f>SUM(G5:G6)</f>
        <v>343.886</v>
      </c>
      <c r="H7" s="23">
        <f>SUM(H5:H6)</f>
        <v>468.184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-13.825999999999999</v>
      </c>
      <c r="C8" s="23">
        <f>C4-C7</f>
        <v>-58.647000000000006</v>
      </c>
      <c r="D8" s="23">
        <f>D4-D7</f>
        <v>-150.025</v>
      </c>
      <c r="E8" s="23">
        <f>E4-E7</f>
        <v>-170.962</v>
      </c>
      <c r="F8" s="23">
        <f>F4-F7</f>
        <v>-242.162</v>
      </c>
      <c r="G8" s="23">
        <f>G4-G7</f>
        <v>-343.886</v>
      </c>
      <c r="H8" s="23">
        <f>H4-H7</f>
        <v>-468.184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-1.033</v>
      </c>
      <c r="C9" s="23" t="n">
        <v>-0.79</v>
      </c>
      <c r="D9" s="23" t="n">
        <v>0.734</v>
      </c>
      <c r="E9" s="23" t="n">
        <v>170.962</v>
      </c>
      <c r="F9" s="23" t="n">
        <v>242.162</v>
      </c>
      <c r="G9" s="23" t="n">
        <v>343.886</v>
      </c>
      <c r="H9" s="23" t="n">
        <v>468.184</v>
      </c>
    </row>
    <row r="10">
      <c r="A10" s="2" t="inlineStr">
        <is>
          <t>Pretax</t>
        </is>
      </c>
      <c r="B10" s="23">
        <f>B8+B9</f>
        <v>-14.858999999999998</v>
      </c>
      <c r="C10" s="23">
        <f>C8+C9</f>
        <v>-59.437000000000005</v>
      </c>
      <c r="D10" s="23">
        <f>D8+D9</f>
        <v>-149.291</v>
      </c>
      <c r="E10" s="23">
        <f>E8+E9</f>
        <v>0.0</v>
      </c>
      <c r="F10" s="23">
        <f>F8+F9</f>
        <v>0.0</v>
      </c>
      <c r="G10" s="23">
        <f>G8+G9</f>
        <v>0.0</v>
      </c>
      <c r="H10" s="23">
        <f>H8+H9</f>
        <v>0.0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-14.859</v>
      </c>
      <c r="C12" s="23" t="n">
        <v>-59.437</v>
      </c>
      <c r="D12" s="23" t="n">
        <v>-149.291</v>
      </c>
      <c r="E12" s="23" t="n">
        <v>-0</v>
      </c>
      <c r="F12" s="23" t="n">
        <v>-0</v>
      </c>
      <c r="G12" s="23" t="n">
        <v>-0</v>
      </c>
      <c r="H12" s="23" t="n">
        <v>-0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-1.013781810738896</v>
      </c>
      <c r="C13" s="11">
        <f>IFERROR(C12/C14,0)</f>
        <v>-4.128716310086134</v>
      </c>
      <c r="D13" s="11">
        <f>IFERROR(D12/D14,0)</f>
        <v>-2.9333136850378225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</row>
    <row r="14">
      <c r="A14" s="2" t="inlineStr">
        <is>
          <t>Shares</t>
        </is>
      </c>
      <c r="B14" s="23" t="n">
        <v>14.657</v>
      </c>
      <c r="C14" s="23" t="n">
        <v>14.396</v>
      </c>
      <c r="D14" s="23" t="n">
        <v>50.895</v>
      </c>
      <c r="E14" s="23" t="n"/>
      <c r="F14" s="23" t="n"/>
      <c r="G14" s="23" t="n"/>
      <c r="H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2026-10-21T01:04:18Z</dcterms:modified>
  <cp:lastModifiedBy>Wang, Eric</cp:lastModifiedBy>
</cp:coreProperties>
</file>