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Moleculin Biotech Inc</t>
        </is>
      </c>
      <c r="C2" s="10" t="n"/>
    </row>
    <row r="3">
      <c r="B3" t="inlineStr">
        <is>
          <t>Price</t>
        </is>
      </c>
      <c r="C3" s="11">
        <f>INDEX([1]Pharma!$F$1:$F$1000,MATCH("MBRX",[1]Pharma!$B$1:$B$1000,0))</f>
        <v>6.19</v>
      </c>
      <c r="F3" s="1" t="n"/>
    </row>
    <row r="4">
      <c r="B4" t="inlineStr">
        <is>
          <t>Shares</t>
        </is>
      </c>
      <c r="C4" s="21">
        <f>(19.47738)/20</f>
        <v>0.973869</v>
      </c>
      <c r="F4" s="1" t="n"/>
    </row>
    <row r="5">
      <c r="B5" t="inlineStr">
        <is>
          <t>Market Cap.</t>
        </is>
      </c>
      <c r="C5" s="13">
        <f>C3*C4</f>
        <v>6.02824911</v>
      </c>
      <c r="F5" s="1" t="n"/>
    </row>
    <row r="6"/>
    <row r="7">
      <c r="B7" t="inlineStr">
        <is>
          <t>Cash</t>
        </is>
      </c>
      <c r="C7" s="21" t="n">
        <v>7.262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-1.2337508899999996</v>
      </c>
    </row>
    <row r="10"/>
    <row r="11">
      <c r="B11" s="14" t="inlineStr">
        <is>
          <t>Net Cash / Share</t>
        </is>
      </c>
      <c r="C11" s="11">
        <f>(C7-C8)/C4</f>
        <v>7.456855080098042</v>
      </c>
    </row>
    <row r="12">
      <c r="B12" s="14" t="inlineStr">
        <is>
          <t>Upside</t>
        </is>
      </c>
      <c r="C12" s="15">
        <f>IFERROR(C11/C3-1,"")</f>
        <v>0.2046615638284397</v>
      </c>
    </row>
    <row r="13">
      <c r="B13" s="14" t="inlineStr">
        <is>
          <t>Cash / Share</t>
        </is>
      </c>
      <c r="C13" s="11">
        <f>IFERROR((C7-C8)/C4,"")</f>
        <v>7.456855080098042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-25.357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0.28639034586110346</v>
      </c>
    </row>
    <row r="19">
      <c r="B19" s="14" t="inlineStr">
        <is>
          <t>Implied Pipeline Value</t>
        </is>
      </c>
      <c r="C19" s="13">
        <f>C9</f>
        <v>-1.2337508899999996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2016</v>
      </c>
      <c r="C1" s="17" t="n">
        <v>2017</v>
      </c>
      <c r="D1" s="17" t="n">
        <v>2018</v>
      </c>
      <c r="E1" s="17" t="n">
        <v>2019</v>
      </c>
      <c r="F1" s="17" t="n">
        <v>2020</v>
      </c>
      <c r="G1" s="17" t="n">
        <v>2021</v>
      </c>
      <c r="H1" s="17" t="n">
        <v>2022</v>
      </c>
      <c r="I1" s="17" t="n">
        <v>2023</v>
      </c>
      <c r="J1" s="17" t="n">
        <v>2024</v>
      </c>
      <c r="K1" s="17" t="n">
        <v>2025</v>
      </c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</v>
      </c>
      <c r="J2" s="23" t="n">
        <v>0</v>
      </c>
      <c r="K2" s="23" t="n">
        <v>0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23">
        <f>I2-I3</f>
        <v>0.0</v>
      </c>
      <c r="J4" s="23">
        <f>J2-J3</f>
        <v>0.0</v>
      </c>
      <c r="K4" s="23">
        <f>K2-K3</f>
        <v>0.0</v>
      </c>
    </row>
    <row r="5">
      <c r="A5" s="2" t="inlineStr">
        <is>
          <t>Research &amp; Dev.</t>
        </is>
      </c>
      <c r="B5" s="23" t="n">
        <v>1.496</v>
      </c>
      <c r="C5" s="23" t="n">
        <v>4.545</v>
      </c>
      <c r="D5" s="23" t="n">
        <v>9.728</v>
      </c>
      <c r="E5" s="23" t="n">
        <v>11.013</v>
      </c>
      <c r="F5" s="23" t="n">
        <v>12.757</v>
      </c>
      <c r="G5" s="23" t="n">
        <v>14.418</v>
      </c>
      <c r="H5" s="23" t="n">
        <v>18.968</v>
      </c>
      <c r="I5" s="23" t="n">
        <v>19.487</v>
      </c>
      <c r="J5" s="23" t="n">
        <v>17.729</v>
      </c>
      <c r="K5" s="23" t="n">
        <v>15.891</v>
      </c>
    </row>
    <row r="6">
      <c r="A6" s="19" t="inlineStr">
        <is>
          <t>SG&amp;A &amp; Other</t>
        </is>
      </c>
      <c r="B6" s="23" t="n">
        <v>2.387</v>
      </c>
      <c r="C6" s="23" t="n">
        <v>4.108</v>
      </c>
      <c r="D6" s="23" t="n">
        <v>5.297</v>
      </c>
      <c r="E6" s="23" t="n">
        <v>6.511</v>
      </c>
      <c r="F6" s="23" t="n">
        <v>6.985</v>
      </c>
      <c r="G6" s="23" t="n">
        <v>8.550000000000001</v>
      </c>
      <c r="H6" s="23" t="n">
        <v>11.672</v>
      </c>
      <c r="I6" s="23" t="n">
        <v>10.144</v>
      </c>
      <c r="J6" s="23" t="n">
        <v>8.912000000000001</v>
      </c>
      <c r="K6" s="23" t="n">
        <v>9.212</v>
      </c>
    </row>
    <row r="7">
      <c r="A7" s="2" t="inlineStr">
        <is>
          <t>Operating Expense</t>
        </is>
      </c>
      <c r="B7" s="23">
        <f>SUM(B5:B6)</f>
        <v>3.883</v>
      </c>
      <c r="C7" s="23">
        <f>SUM(C5:C6)</f>
        <v>8.652999999999999</v>
      </c>
      <c r="D7" s="23">
        <f>SUM(D5:D6)</f>
        <v>15.024999999999999</v>
      </c>
      <c r="E7" s="23">
        <f>SUM(E5:E6)</f>
        <v>17.524</v>
      </c>
      <c r="F7" s="23">
        <f>SUM(F5:F6)</f>
        <v>19.742</v>
      </c>
      <c r="G7" s="23">
        <f>SUM(G5:G6)</f>
        <v>22.968</v>
      </c>
      <c r="H7" s="23">
        <f>SUM(H5:H6)</f>
        <v>30.64</v>
      </c>
      <c r="I7" s="23">
        <f>SUM(I5:I6)</f>
        <v>29.631</v>
      </c>
      <c r="J7" s="23">
        <f>SUM(J5:J6)</f>
        <v>26.641</v>
      </c>
      <c r="K7" s="23">
        <f>SUM(K5:K6)</f>
        <v>25.103</v>
      </c>
    </row>
    <row r="8">
      <c r="A8" s="2" t="inlineStr">
        <is>
          <t>Operating Income</t>
        </is>
      </c>
      <c r="B8" s="23">
        <f>B4-B7</f>
        <v>-3.883</v>
      </c>
      <c r="C8" s="23">
        <f>C4-C7</f>
        <v>-8.652999999999999</v>
      </c>
      <c r="D8" s="23">
        <f>D4-D7</f>
        <v>-15.024999999999999</v>
      </c>
      <c r="E8" s="23">
        <f>E4-E7</f>
        <v>-17.524</v>
      </c>
      <c r="F8" s="23">
        <f>F4-F7</f>
        <v>-19.742</v>
      </c>
      <c r="G8" s="23">
        <f>G4-G7</f>
        <v>-22.968</v>
      </c>
      <c r="H8" s="23">
        <f>H4-H7</f>
        <v>-30.64</v>
      </c>
      <c r="I8" s="23">
        <f>I4-I7</f>
        <v>-29.631</v>
      </c>
      <c r="J8" s="23">
        <f>J4-J7</f>
        <v>-26.641</v>
      </c>
      <c r="K8" s="23">
        <f>K4-K7</f>
        <v>-25.103</v>
      </c>
    </row>
    <row r="9">
      <c r="A9" s="19" t="inlineStr">
        <is>
          <t>Interest &amp; Other</t>
        </is>
      </c>
      <c r="B9" s="23" t="n">
        <v>-0.043</v>
      </c>
      <c r="C9" s="23" t="n">
        <v>-1.152</v>
      </c>
      <c r="D9" s="23" t="n">
        <v>3.149</v>
      </c>
      <c r="E9" s="23" t="n">
        <v>4.09</v>
      </c>
      <c r="F9" s="23" t="n">
        <v>2.387</v>
      </c>
      <c r="G9" s="23" t="n">
        <v>7.074</v>
      </c>
      <c r="H9" s="23" t="n">
        <v>1.615</v>
      </c>
      <c r="I9" s="23" t="n">
        <v>59.4</v>
      </c>
      <c r="J9" s="23" t="n">
        <v>52.689</v>
      </c>
      <c r="K9" s="23" t="n">
        <v>58.663</v>
      </c>
    </row>
    <row r="10">
      <c r="A10" s="2" t="inlineStr">
        <is>
          <t>Pretax</t>
        </is>
      </c>
      <c r="B10" s="23">
        <f>B8+B9</f>
        <v>-3.926</v>
      </c>
      <c r="C10" s="23">
        <f>C8+C9</f>
        <v>-9.804999999999998</v>
      </c>
      <c r="D10" s="23">
        <f>D8+D9</f>
        <v>-11.875999999999998</v>
      </c>
      <c r="E10" s="23">
        <f>E8+E9</f>
        <v>-13.434000000000001</v>
      </c>
      <c r="F10" s="23">
        <f>F8+F9</f>
        <v>-17.355</v>
      </c>
      <c r="G10" s="23">
        <f>G8+G9</f>
        <v>-15.894</v>
      </c>
      <c r="H10" s="23">
        <f>H8+H9</f>
        <v>-29.025000000000002</v>
      </c>
      <c r="I10" s="23">
        <f>I8+I9</f>
        <v>29.769</v>
      </c>
      <c r="J10" s="23">
        <f>J8+J9</f>
        <v>26.048000000000002</v>
      </c>
      <c r="K10" s="23">
        <f>K8+K9</f>
        <v>33.559999999999995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-0.229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</row>
    <row r="12">
      <c r="A12" s="2" t="inlineStr">
        <is>
          <t>Net Income</t>
        </is>
      </c>
      <c r="B12" s="23" t="n">
        <v>-3.926</v>
      </c>
      <c r="C12" s="23" t="n">
        <v>-9.805</v>
      </c>
      <c r="D12" s="23" t="n">
        <v>-11.876</v>
      </c>
      <c r="E12" s="23" t="n">
        <v>-13.205</v>
      </c>
      <c r="F12" s="23" t="n">
        <v>-17.355</v>
      </c>
      <c r="G12" s="23" t="n">
        <v>-15.894</v>
      </c>
      <c r="H12" s="23" t="n">
        <v>-29.025</v>
      </c>
      <c r="I12" s="23" t="n">
        <v>29.769</v>
      </c>
      <c r="J12" s="23" t="n">
        <v>26.048</v>
      </c>
      <c r="K12" s="23" t="n">
        <v>33.56</v>
      </c>
    </row>
    <row r="13">
      <c r="A13" s="2" t="inlineStr">
        <is>
          <t>Earnings per Share</t>
        </is>
      </c>
      <c r="B13" s="11">
        <f>IFERROR(B12/B14,0)</f>
        <v>-5.5925925925925934</v>
      </c>
      <c r="C13" s="11">
        <f>IFERROR(C12/C14,0)</f>
        <v>-7.3944193061840116</v>
      </c>
      <c r="D13" s="11">
        <f>IFERROR(D12/D14,0)</f>
        <v>-6.419459459459459</v>
      </c>
      <c r="E13" s="11">
        <f>IFERROR(E12/E14,0)</f>
        <v>-27.22680412371134</v>
      </c>
      <c r="F13" s="11">
        <f>IFERROR(F12/F14,0)</f>
        <v>-24.687055476529164</v>
      </c>
      <c r="G13" s="11">
        <f>IFERROR(G12/G14,0)</f>
        <v>-8.278125000000001</v>
      </c>
      <c r="H13" s="11">
        <f>IFERROR(H12/H14,0)</f>
        <v>-15.220241216570528</v>
      </c>
      <c r="I13" s="11">
        <f>IFERROR(I12/I14,0)</f>
        <v>15.065283400809715</v>
      </c>
      <c r="J13" s="11">
        <f>IFERROR(J12/J14,0)</f>
        <v>188.75362318840578</v>
      </c>
      <c r="K13" s="11">
        <f>IFERROR(K12/K14,0)</f>
        <v>28.320675105485233</v>
      </c>
    </row>
    <row r="14">
      <c r="A14" s="2" t="inlineStr">
        <is>
          <t>Shares</t>
        </is>
      </c>
      <c r="B14" s="23" t="n">
        <v>0.702</v>
      </c>
      <c r="C14" s="23" t="n">
        <v>1.326</v>
      </c>
      <c r="D14" s="23" t="n">
        <v>1.85</v>
      </c>
      <c r="E14" s="23" t="n">
        <v>0.485</v>
      </c>
      <c r="F14" s="23" t="n">
        <v>0.703</v>
      </c>
      <c r="G14" s="23" t="n">
        <v>1.92</v>
      </c>
      <c r="H14" s="23" t="n">
        <v>1.907</v>
      </c>
      <c r="I14" s="23" t="n">
        <v>1.976</v>
      </c>
      <c r="J14" s="23" t="n">
        <v>0.138</v>
      </c>
      <c r="K14" s="23" t="n">
        <v>1.185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15">
        <f>IFERROR(J2/I2-1,"")</f>
        <v/>
      </c>
      <c r="K16" s="15">
        <f>IFERROR(K2/J2-1,"")</f>
        <v/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/>
      </c>
      <c r="J17" s="15">
        <f>IFERROR(J4/J2,"")</f>
        <v/>
      </c>
      <c r="K17" s="15">
        <f>IFERROR(K4/K2,"")</f>
        <v/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/>
      </c>
      <c r="J18" s="15">
        <f>IFERROR(J8/J2,"")</f>
        <v/>
      </c>
      <c r="K18" s="15">
        <f>IFERROR(K8/K2,"")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2026-10-21T01:06:45Z</dcterms:modified>
  <cp:lastModifiedBy>Wang, Eric</cp:lastModifiedBy>
</cp:coreProperties>
</file>