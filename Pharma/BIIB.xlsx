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Biogen Inc.</t>
        </is>
      </c>
      <c r="C2" s="10" t="n"/>
    </row>
    <row r="3">
      <c r="B3" t="inlineStr">
        <is>
          <t>Price</t>
        </is>
      </c>
      <c r="C3" s="11">
        <f>INDEX([1]Pharma!$F$1:$F$1000,MATCH("BIIB",[1]Pharma!$B$1:$B$1000,0))</f>
        <v>243.1</v>
      </c>
      <c r="F3" s="1" t="n"/>
    </row>
    <row r="4">
      <c r="B4" t="inlineStr">
        <is>
          <t>Shares</t>
        </is>
      </c>
      <c r="C4" s="51" t="n">
        <v>147.637117</v>
      </c>
      <c r="F4" s="1" t="n"/>
    </row>
    <row r="5">
      <c r="B5" t="inlineStr">
        <is>
          <t>Market Cap.</t>
        </is>
      </c>
      <c r="C5" s="13">
        <f>C3*C4</f>
        <v>35890.583142699994</v>
      </c>
      <c r="F5" s="1" t="n"/>
    </row>
    <row r="6"/>
    <row r="7">
      <c r="B7" t="inlineStr">
        <is>
          <t>Cash</t>
        </is>
      </c>
      <c r="C7" s="51">
        <f>3382.7+900</f>
        <v>4282.7</v>
      </c>
    </row>
    <row r="8">
      <c r="B8" t="inlineStr">
        <is>
          <t>Debt</t>
        </is>
      </c>
      <c r="C8" s="51" t="n">
        <v>6288.5</v>
      </c>
    </row>
    <row r="9">
      <c r="B9" t="inlineStr">
        <is>
          <t>Enterprise V.</t>
        </is>
      </c>
      <c r="C9" s="13">
        <f>C5-C7+C8</f>
        <v>37896.3831427</v>
      </c>
    </row>
    <row r="10"/>
    <row r="11">
      <c r="B11" s="14" t="inlineStr">
        <is>
          <t>NPV / Share</t>
        </is>
      </c>
      <c r="C11" s="11">
        <f>NPV!B28</f>
        <v>193.21229447287226</v>
      </c>
    </row>
    <row r="12">
      <c r="B12" s="14" t="inlineStr">
        <is>
          <t>Upside</t>
        </is>
      </c>
      <c r="C12" s="15">
        <f>IFERROR(C11/C3-1,"")</f>
        <v>-0.20521474918604576</v>
      </c>
    </row>
    <row r="13">
      <c r="B13" s="14" t="inlineStr">
        <is>
          <t>Cash / Share</t>
        </is>
      </c>
      <c r="C13" s="11">
        <f>IFERROR((C7-C8)/C4,"")</f>
        <v>-13.586014416686288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2007</v>
      </c>
      <c r="C1" s="16" t="n">
        <v>2008</v>
      </c>
      <c r="D1" s="16" t="n">
        <v>2009</v>
      </c>
      <c r="E1" s="16" t="n">
        <v>2010</v>
      </c>
      <c r="F1" s="16" t="n">
        <v>2011</v>
      </c>
      <c r="G1" s="16" t="n">
        <v>2012</v>
      </c>
      <c r="H1" s="16" t="n">
        <v>2013</v>
      </c>
      <c r="I1" s="16" t="n">
        <v>2014</v>
      </c>
      <c r="J1" s="16" t="n">
        <v>2015</v>
      </c>
      <c r="K1" s="16" t="n">
        <v>2016</v>
      </c>
      <c r="L1" s="16" t="n">
        <v>2017</v>
      </c>
      <c r="M1" s="16" t="n">
        <v>2018</v>
      </c>
      <c r="N1" s="16" t="n">
        <v>2019</v>
      </c>
      <c r="O1" s="16" t="n">
        <v>2020</v>
      </c>
      <c r="P1" s="16" t="n">
        <v>2021</v>
      </c>
      <c r="Q1" s="16" t="n">
        <v>2022</v>
      </c>
      <c r="R1" s="16" t="n">
        <v>2023</v>
      </c>
      <c r="S1" s="16" t="n">
        <v>2024</v>
      </c>
      <c r="T1" s="16" t="n">
        <v>2025</v>
      </c>
      <c r="U1" s="16" t="n">
        <v>2026</v>
      </c>
      <c r="V1" s="16" t="n">
        <v>2027</v>
      </c>
      <c r="W1" s="16" t="n">
        <v>2028</v>
      </c>
      <c r="X1" s="16" t="n">
        <v>2029</v>
      </c>
      <c r="Y1" s="16" t="n">
        <v>2030</v>
      </c>
      <c r="Z1" s="16" t="n">
        <v>2031</v>
      </c>
      <c r="AA1" s="16" t="n">
        <v>2032</v>
      </c>
      <c r="AB1" s="16" t="n">
        <v>2033</v>
      </c>
      <c r="AC1" s="16" t="n">
        <v>2034</v>
      </c>
      <c r="AD1" s="16" t="n">
        <v>2035</v>
      </c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3171.617</v>
      </c>
      <c r="C2" s="52" t="n">
        <v>4097.507</v>
      </c>
      <c r="D2" s="52" t="n">
        <v>4377.348</v>
      </c>
      <c r="E2" s="52" t="n">
        <v>4716.423</v>
      </c>
      <c r="F2" s="52" t="n">
        <v>5048.634</v>
      </c>
      <c r="G2" s="52" t="n">
        <v>5516.461</v>
      </c>
      <c r="H2" s="52" t="n">
        <v>6932.2</v>
      </c>
      <c r="I2" s="52" t="n">
        <v>9703.299999999999</v>
      </c>
      <c r="J2" s="52" t="n">
        <v>10763.8</v>
      </c>
      <c r="K2" s="52" t="n">
        <v>11448.8</v>
      </c>
      <c r="L2" s="52" t="n">
        <v>12273.9</v>
      </c>
      <c r="M2" s="52" t="n">
        <v>13452.9</v>
      </c>
      <c r="N2" s="52" t="n">
        <v>14377.9</v>
      </c>
      <c r="O2" s="52" t="n">
        <v>13444.6</v>
      </c>
      <c r="P2" s="52" t="n">
        <v>10981.7</v>
      </c>
      <c r="Q2" s="52" t="n">
        <v>10173.4</v>
      </c>
      <c r="R2" s="52" t="n">
        <v>9835.6</v>
      </c>
      <c r="S2" s="52" t="n">
        <v>9675.9</v>
      </c>
      <c r="T2" s="52" t="n">
        <v>9890.6</v>
      </c>
      <c r="U2" s="52">
        <f>T2*(1+NPV!C5)</f>
        <v>10081.488580000001</v>
      </c>
      <c r="V2" s="52">
        <f>U2*(1+NPV!D5)</f>
        <v>10282.446252361335</v>
      </c>
      <c r="W2" s="52">
        <f>V2*(1+NPV!E5)</f>
        <v>10493.921896951566</v>
      </c>
      <c r="X2" s="52">
        <f>W2*(1+NPV!F5)</f>
        <v>10716.39304116694</v>
      </c>
      <c r="Y2" s="52">
        <f>X2*(1+NPV!G5)</f>
        <v>10950.367622565753</v>
      </c>
      <c r="Z2" s="52">
        <f>Y2*(1+NPV!H5)</f>
        <v>11196.385881819397</v>
      </c>
      <c r="AA2" s="52">
        <f>Z2*(1+NPV!I5)</f>
        <v>11455.022395689424</v>
      </c>
      <c r="AB2" s="52">
        <f>AA2*(1+NPV!J5)</f>
        <v>11726.88826054712</v>
      </c>
      <c r="AC2" s="52">
        <f>AB2*(1+NPV!K5)</f>
        <v>12012.63343782912</v>
      </c>
      <c r="AD2" s="52">
        <f>AC2*(1+NPV!L5)</f>
        <v>12312.949273774846</v>
      </c>
    </row>
    <row r="3" customFormat="1" s="1">
      <c r="A3" s="5" t="inlineStr">
        <is>
          <t>Cost of Sales</t>
        </is>
      </c>
      <c r="B3" s="52" t="n">
        <v>335.192</v>
      </c>
      <c r="C3" s="52" t="n">
        <v>401.989</v>
      </c>
      <c r="D3" s="52" t="n">
        <v>382.104</v>
      </c>
      <c r="E3" s="52" t="n">
        <v>400.262</v>
      </c>
      <c r="F3" s="52" t="n">
        <v>466.78</v>
      </c>
      <c r="G3" s="52" t="n">
        <v>545.494</v>
      </c>
      <c r="H3" s="52" t="n">
        <v>857.7</v>
      </c>
      <c r="I3" s="52" t="n">
        <v>1171</v>
      </c>
      <c r="J3" s="52" t="n">
        <v>1240.4</v>
      </c>
      <c r="K3" s="52" t="n">
        <v>1478.7</v>
      </c>
      <c r="L3" s="52" t="n">
        <v>1630</v>
      </c>
      <c r="M3" s="52" t="n">
        <v>1816.3</v>
      </c>
      <c r="N3" s="52" t="n">
        <v>1955.4</v>
      </c>
      <c r="O3" s="52" t="n">
        <v>1805.2</v>
      </c>
      <c r="P3" s="52" t="n">
        <v>2109.7</v>
      </c>
      <c r="Q3" s="52" t="n">
        <v>2278.3</v>
      </c>
      <c r="R3" s="52" t="n">
        <v>2533.4</v>
      </c>
      <c r="S3" s="52" t="n">
        <v>2310.4</v>
      </c>
      <c r="T3" s="52" t="n">
        <v>2404.2</v>
      </c>
      <c r="U3" s="52">
        <f>U2*(1-Assumptions!$B$19)</f>
        <v>2450.809873798</v>
      </c>
      <c r="V3" s="52">
        <f>V2*(1-Assumptions!$B$19)</f>
        <v>2499.6626839490405</v>
      </c>
      <c r="W3" s="52">
        <f>W2*(1-Assumptions!$B$19)</f>
        <v>2551.0724131489255</v>
      </c>
      <c r="X3" s="52">
        <f>X2*(1-Assumptions!$B$19)</f>
        <v>2605.1551483076832</v>
      </c>
      <c r="Y3" s="52">
        <f>Y2*(1-Assumptions!$B$19)</f>
        <v>2662.0343690457344</v>
      </c>
      <c r="Z3" s="52">
        <f>Z2*(1-Assumptions!$B$19)</f>
        <v>2721.841407870295</v>
      </c>
      <c r="AA3" s="52">
        <f>AA2*(1-Assumptions!$B$19)</f>
        <v>2784.7159443920987</v>
      </c>
      <c r="AB3" s="52">
        <f>AB2*(1-Assumptions!$B$19)</f>
        <v>2850.806536139005</v>
      </c>
      <c r="AC3" s="52">
        <f>AC2*(1-Assumptions!$B$19)</f>
        <v>2920.271188736259</v>
      </c>
      <c r="AD3" s="52">
        <f>AD2*(1-Assumptions!$B$19)</f>
        <v>2993.277968454665</v>
      </c>
    </row>
    <row r="4" customFormat="1" s="1">
      <c r="A4" s="5" t="inlineStr">
        <is>
          <t>Gross Margin</t>
        </is>
      </c>
      <c r="B4" s="52">
        <f>B2-B3</f>
        <v>2836.425</v>
      </c>
      <c r="C4" s="52">
        <f>C2-C3</f>
        <v>3695.5179999999996</v>
      </c>
      <c r="D4" s="52">
        <f>D2-D3</f>
        <v>3995.244</v>
      </c>
      <c r="E4" s="52">
        <f>E2-E3</f>
        <v>4316.161</v>
      </c>
      <c r="F4" s="52">
        <f>F2-F3</f>
        <v>4581.854</v>
      </c>
      <c r="G4" s="52">
        <f>G2-G3</f>
        <v>4970.967000000001</v>
      </c>
      <c r="H4" s="52">
        <f>H2-H3</f>
        <v>6074.5</v>
      </c>
      <c r="I4" s="52">
        <f>I2-I3</f>
        <v>8532.3</v>
      </c>
      <c r="J4" s="52">
        <f>J2-J3</f>
        <v>9523.4</v>
      </c>
      <c r="K4" s="52">
        <f>K2-K3</f>
        <v>9970.099999999999</v>
      </c>
      <c r="L4" s="52">
        <f>L2-L3</f>
        <v>10643.9</v>
      </c>
      <c r="M4" s="52">
        <f>M2-M3</f>
        <v>11636.6</v>
      </c>
      <c r="N4" s="52">
        <f>N2-N3</f>
        <v>12422.5</v>
      </c>
      <c r="O4" s="52">
        <f>O2-O3</f>
        <v>11639.4</v>
      </c>
      <c r="P4" s="52">
        <f>P2-P3</f>
        <v>8872.0</v>
      </c>
      <c r="Q4" s="52">
        <f>Q2-Q3</f>
        <v>7895.099999999999</v>
      </c>
      <c r="R4" s="52">
        <f>R2-R3</f>
        <v>7302.200000000001</v>
      </c>
      <c r="S4" s="52">
        <f>S2-S3</f>
        <v>7365.5</v>
      </c>
      <c r="T4" s="52">
        <f>T2-T3</f>
        <v>7486.400000000001</v>
      </c>
      <c r="U4" s="52">
        <f>U2-U3</f>
        <v>7630.678706202001</v>
      </c>
      <c r="V4" s="52">
        <f>V2-V3</f>
        <v>7782.783568412295</v>
      </c>
      <c r="W4" s="52">
        <f>W2-W3</f>
        <v>7942.84948380264</v>
      </c>
      <c r="X4" s="52">
        <f>X2-X3</f>
        <v>8111.237892859257</v>
      </c>
      <c r="Y4" s="52">
        <f>Y2-Y3</f>
        <v>8288.333253520019</v>
      </c>
      <c r="Z4" s="52">
        <f>Z2-Z3</f>
        <v>8474.544473949101</v>
      </c>
      <c r="AA4" s="52">
        <f>AA2-AA3</f>
        <v>8670.306451297325</v>
      </c>
      <c r="AB4" s="52">
        <f>AB2-AB3</f>
        <v>8876.081724408115</v>
      </c>
      <c r="AC4" s="52">
        <f>AC2-AC3</f>
        <v>9092.362249092861</v>
      </c>
      <c r="AD4" s="52">
        <f>AD2-AD3</f>
        <v>9319.671305320182</v>
      </c>
    </row>
    <row r="5">
      <c r="A5" s="2" t="inlineStr">
        <is>
          <t>Research &amp; Dev.</t>
        </is>
      </c>
      <c r="B5" s="52" t="n">
        <v>925.164</v>
      </c>
      <c r="C5" s="52" t="n">
        <v>1072.058</v>
      </c>
      <c r="D5" s="52" t="n">
        <v>1283.068</v>
      </c>
      <c r="E5" s="52" t="n">
        <v>1248.604</v>
      </c>
      <c r="F5" s="52" t="n">
        <v>1219.602</v>
      </c>
      <c r="G5" s="52" t="n">
        <v>1334.919</v>
      </c>
      <c r="H5" s="52" t="n">
        <v>1444.1</v>
      </c>
      <c r="I5" s="52" t="n">
        <v>1893.4</v>
      </c>
      <c r="J5" s="52" t="n">
        <v>2012.8</v>
      </c>
      <c r="K5" s="52" t="n">
        <v>1973.3</v>
      </c>
      <c r="L5" s="52" t="n">
        <v>2253.6</v>
      </c>
      <c r="M5" s="52" t="n">
        <v>2597.2</v>
      </c>
      <c r="N5" s="52" t="n">
        <v>2280.6</v>
      </c>
      <c r="O5" s="52" t="n">
        <v>3990.9</v>
      </c>
      <c r="P5" s="52" t="n">
        <v>2501.2</v>
      </c>
      <c r="Q5" s="52" t="n">
        <v>2231.1</v>
      </c>
      <c r="R5" s="52" t="n">
        <v>2445.4</v>
      </c>
      <c r="S5" s="52" t="n">
        <v>1980.3</v>
      </c>
      <c r="T5" s="52" t="n">
        <v>1778.6</v>
      </c>
      <c r="U5" s="52">
        <f>U7*Assumptions!$B$20</f>
        <v>1365.6569022523902</v>
      </c>
      <c r="V5" s="52">
        <f>V7*Assumptions!$B$20</f>
        <v>1428.9275153313167</v>
      </c>
      <c r="W5" s="52">
        <f>W7*Assumptions!$B$20</f>
        <v>1495.1057079278755</v>
      </c>
      <c r="X5" s="52">
        <f>X7*Assumptions!$B$20</f>
        <v>1564.3718118678541</v>
      </c>
      <c r="Y5" s="52">
        <f>Y7*Assumptions!$B$20</f>
        <v>1636.917401366223</v>
      </c>
      <c r="Z5" s="52">
        <f>Z7*Assumptions!$B$20</f>
        <v>1712.946115696029</v>
      </c>
      <c r="AA5" s="52">
        <f>AA7*Assumptions!$B$20</f>
        <v>1792.6745435891094</v>
      </c>
      <c r="AB5" s="52">
        <f>AB7*Assumptions!$B$20</f>
        <v>1876.333174487653</v>
      </c>
      <c r="AC5" s="52">
        <f>AC7*Assumptions!$B$20</f>
        <v>1964.1674222039805</v>
      </c>
      <c r="AD5" s="52">
        <f>AD7*Assumptions!$B$20</f>
        <v>2056.438727024507</v>
      </c>
    </row>
    <row r="6">
      <c r="A6" s="18" t="inlineStr">
        <is>
          <t>SG&amp;A &amp; Other</t>
        </is>
      </c>
      <c r="B6" s="52" t="n">
        <v>1131.489</v>
      </c>
      <c r="C6" s="52" t="n">
        <v>1409.849</v>
      </c>
      <c r="D6" s="52" t="n">
        <v>1416.749</v>
      </c>
      <c r="E6" s="52" t="n">
        <v>1818.668</v>
      </c>
      <c r="F6" s="52" t="n">
        <v>1637.561</v>
      </c>
      <c r="G6" s="52" t="n">
        <v>1780.199</v>
      </c>
      <c r="H6" s="52" t="n">
        <v>2114.9</v>
      </c>
      <c r="I6" s="52" t="n">
        <v>2666.5</v>
      </c>
      <c r="J6" s="52" t="n">
        <v>2619.6</v>
      </c>
      <c r="K6" s="52" t="n">
        <v>2845.1</v>
      </c>
      <c r="L6" s="52" t="n">
        <v>3044.5</v>
      </c>
      <c r="M6" s="52" t="n">
        <v>3150.8</v>
      </c>
      <c r="N6" s="52" t="n">
        <v>3099.3</v>
      </c>
      <c r="O6" s="52" t="n">
        <v>3098.4</v>
      </c>
      <c r="P6" s="52" t="n">
        <v>3530.1</v>
      </c>
      <c r="Q6" s="52" t="n">
        <v>2072.2</v>
      </c>
      <c r="R6" s="52" t="n">
        <v>3560</v>
      </c>
      <c r="S6" s="52" t="n">
        <v>3479.2</v>
      </c>
      <c r="T6" s="52" t="n">
        <v>4151.3</v>
      </c>
      <c r="U6" s="52">
        <f>U7-U5</f>
        <v>3188.0506744478107</v>
      </c>
      <c r="V6" s="52">
        <f>V7-V5</f>
        <v>3335.752429087879</v>
      </c>
      <c r="W6" s="52">
        <f>W7-W5</f>
        <v>3490.241767656905</v>
      </c>
      <c r="X6" s="52">
        <f>X7-X5</f>
        <v>3651.9396648505654</v>
      </c>
      <c r="Y6" s="52">
        <f>Y7-Y5</f>
        <v>3821.293340101676</v>
      </c>
      <c r="Z6" s="52">
        <f>Z7-Z5</f>
        <v>3998.7781780553187</v>
      </c>
      <c r="AA6" s="52">
        <f>AA7-AA5</f>
        <v>4184.899793153503</v>
      </c>
      <c r="AB6" s="52">
        <f>AB7-AB5</f>
        <v>4380.196250279446</v>
      </c>
      <c r="AC6" s="52">
        <f>AC7-AC5</f>
        <v>4585.240454434834</v>
      </c>
      <c r="AD6" s="52">
        <f>AD7-AD5</f>
        <v>4800.642723540705</v>
      </c>
    </row>
    <row r="7">
      <c r="A7" s="2" t="inlineStr">
        <is>
          <t>Operating Expense</t>
        </is>
      </c>
      <c r="B7" s="52">
        <f>SUM(B5:B6)</f>
        <v>2056.6530000000002</v>
      </c>
      <c r="C7" s="52">
        <f>SUM(C5:C6)</f>
        <v>2481.907</v>
      </c>
      <c r="D7" s="52">
        <f>SUM(D5:D6)</f>
        <v>2699.817</v>
      </c>
      <c r="E7" s="52">
        <f>SUM(E5:E6)</f>
        <v>3067.272</v>
      </c>
      <c r="F7" s="52">
        <f>SUM(F5:F6)</f>
        <v>2857.163</v>
      </c>
      <c r="G7" s="52">
        <f>SUM(G5:G6)</f>
        <v>3115.1180000000004</v>
      </c>
      <c r="H7" s="52">
        <f>SUM(H5:H6)</f>
        <v>3559.0</v>
      </c>
      <c r="I7" s="52">
        <f>SUM(I5:I6)</f>
        <v>4559.9</v>
      </c>
      <c r="J7" s="52">
        <f>SUM(J5:J6)</f>
        <v>4632.4</v>
      </c>
      <c r="K7" s="52">
        <f>SUM(K5:K6)</f>
        <v>4818.4</v>
      </c>
      <c r="L7" s="52">
        <f>SUM(L5:L6)</f>
        <v>5298.1</v>
      </c>
      <c r="M7" s="52">
        <f>SUM(M5:M6)</f>
        <v>5748.0</v>
      </c>
      <c r="N7" s="52">
        <f>SUM(N5:N6)</f>
        <v>5379.9</v>
      </c>
      <c r="O7" s="52">
        <f>SUM(O5:O6)</f>
        <v>7089.3</v>
      </c>
      <c r="P7" s="52">
        <f>SUM(P5:P6)</f>
        <v>6031.299999999999</v>
      </c>
      <c r="Q7" s="52">
        <f>SUM(Q5:Q6)</f>
        <v>4303.299999999999</v>
      </c>
      <c r="R7" s="52">
        <f>SUM(R5:R6)</f>
        <v>6005.4</v>
      </c>
      <c r="S7" s="52">
        <f>SUM(S5:S6)</f>
        <v>5459.5</v>
      </c>
      <c r="T7" s="52">
        <f>SUM(T5:T6)</f>
        <v>5929.9</v>
      </c>
      <c r="U7" s="52">
        <f>U4-U2*NPV!C6</f>
        <v>4553.707576700201</v>
      </c>
      <c r="V7" s="52">
        <f>V4-V2*NPV!D6</f>
        <v>4764.679944419196</v>
      </c>
      <c r="W7" s="52">
        <f>W4-W2*NPV!E6</f>
        <v>4985.34747558478</v>
      </c>
      <c r="X7" s="52">
        <f>X4-X2*NPV!F6</f>
        <v>5216.31147671842</v>
      </c>
      <c r="Y7" s="52">
        <f>Y4-Y2*NPV!G6</f>
        <v>5458.210741467899</v>
      </c>
      <c r="Z7" s="52">
        <f>Z4-Z2*NPV!H6</f>
        <v>5711.724293751347</v>
      </c>
      <c r="AA7" s="52">
        <f>AA4-AA2*NPV!I6</f>
        <v>5977.574336742612</v>
      </c>
      <c r="AB7" s="52">
        <f>AB4-AB2*NPV!J6</f>
        <v>6256.529424767099</v>
      </c>
      <c r="AC7" s="52">
        <f>AC4-AC2*NPV!K6</f>
        <v>6549.407876638815</v>
      </c>
      <c r="AD7" s="52">
        <f>AD4-AD2*NPV!L6</f>
        <v>6857.081450565212</v>
      </c>
    </row>
    <row r="8">
      <c r="A8" s="2" t="inlineStr">
        <is>
          <t>Operating Income</t>
        </is>
      </c>
      <c r="B8" s="52">
        <f>B4-B7</f>
        <v>779.7719999999999</v>
      </c>
      <c r="C8" s="52">
        <f>C4-C7</f>
        <v>1213.6109999999994</v>
      </c>
      <c r="D8" s="52">
        <f>D4-D7</f>
        <v>1295.4270000000001</v>
      </c>
      <c r="E8" s="52">
        <f>E4-E7</f>
        <v>1248.8890000000001</v>
      </c>
      <c r="F8" s="52">
        <f>F4-F7</f>
        <v>1724.6910000000003</v>
      </c>
      <c r="G8" s="52">
        <f>G4-G7</f>
        <v>1855.8490000000002</v>
      </c>
      <c r="H8" s="52">
        <f>H4-H7</f>
        <v>2515.5</v>
      </c>
      <c r="I8" s="52">
        <f>I4-I7</f>
        <v>3972.3999999999996</v>
      </c>
      <c r="J8" s="52">
        <f>J4-J7</f>
        <v>4891.0</v>
      </c>
      <c r="K8" s="52">
        <f>K4-K7</f>
        <v>5151.699999999999</v>
      </c>
      <c r="L8" s="52">
        <f>L4-L7</f>
        <v>5345.799999999999</v>
      </c>
      <c r="M8" s="52">
        <f>M4-M7</f>
        <v>5888.6</v>
      </c>
      <c r="N8" s="52">
        <f>N4-N7</f>
        <v>7042.6</v>
      </c>
      <c r="O8" s="52">
        <f>O4-O7</f>
        <v>4550.099999999999</v>
      </c>
      <c r="P8" s="52">
        <f>P4-P7</f>
        <v>2840.7000000000007</v>
      </c>
      <c r="Q8" s="52">
        <f>Q4-Q7</f>
        <v>3591.8</v>
      </c>
      <c r="R8" s="52">
        <f>R4-R7</f>
        <v>1296.800000000001</v>
      </c>
      <c r="S8" s="52">
        <f>S4-S7</f>
        <v>1906.0</v>
      </c>
      <c r="T8" s="52">
        <f>T4-T7</f>
        <v>1556.500000000001</v>
      </c>
      <c r="U8" s="52">
        <f>U4-U7</f>
        <v>3076.9711295018005</v>
      </c>
      <c r="V8" s="52">
        <f>V4-V7</f>
        <v>3018.103623993099</v>
      </c>
      <c r="W8" s="52">
        <f>W4-W7</f>
        <v>2957.50200821786</v>
      </c>
      <c r="X8" s="52">
        <f>X4-X7</f>
        <v>2894.9264161408373</v>
      </c>
      <c r="Y8" s="52">
        <f>Y4-Y7</f>
        <v>2830.1225120521194</v>
      </c>
      <c r="Z8" s="52">
        <f>Z4-Z7</f>
        <v>2762.820180197754</v>
      </c>
      <c r="AA8" s="52">
        <f>AA4-AA7</f>
        <v>2692.732114554713</v>
      </c>
      <c r="AB8" s="52">
        <f>AB4-AB7</f>
        <v>2619.5522996410164</v>
      </c>
      <c r="AC8" s="52">
        <f>AC4-AC7</f>
        <v>2542.9543724540463</v>
      </c>
      <c r="AD8" s="52">
        <f>AD4-AD7</f>
        <v>2462.5898547549696</v>
      </c>
    </row>
    <row r="9">
      <c r="A9" s="18" t="inlineStr">
        <is>
          <t>Interest &amp; Other</t>
        </is>
      </c>
      <c r="B9" s="52" t="n">
        <v>130.823</v>
      </c>
      <c r="C9" s="52" t="n">
        <v>-64.66800000000001</v>
      </c>
      <c r="D9" s="52" t="n">
        <v>30.322</v>
      </c>
      <c r="E9" s="52" t="n">
        <v>87.717</v>
      </c>
      <c r="F9" s="52" t="n">
        <v>-45.735</v>
      </c>
      <c r="G9" s="52" t="n">
        <v>-5.262</v>
      </c>
      <c r="H9" s="52" t="n">
        <v>-52.2</v>
      </c>
      <c r="I9" s="52" t="n">
        <v>-47.7</v>
      </c>
      <c r="J9" s="52" t="n">
        <v>-182.4</v>
      </c>
      <c r="K9" s="52" t="n">
        <v>-211.6</v>
      </c>
      <c r="L9" s="52" t="n">
        <v>-348</v>
      </c>
      <c r="M9" s="52" t="n">
        <v>-32.3</v>
      </c>
      <c r="N9" s="52" t="n">
        <v>3.9</v>
      </c>
      <c r="O9" s="52" t="n">
        <v>442.8</v>
      </c>
      <c r="P9" s="52" t="n">
        <v>-1232.2</v>
      </c>
      <c r="Q9" s="52" t="n">
        <v>88</v>
      </c>
      <c r="R9" s="52" t="n">
        <v>-0.5</v>
      </c>
      <c r="S9" s="52" t="n">
        <v>-0.2</v>
      </c>
      <c r="T9" s="52" t="n">
        <v>0.1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  <c r="AC9" s="52" t="n">
        <v>0</v>
      </c>
      <c r="AD9" s="52" t="n">
        <v>0</v>
      </c>
    </row>
    <row r="10">
      <c r="A10" s="2" t="inlineStr">
        <is>
          <t>Pretax</t>
        </is>
      </c>
      <c r="B10" s="52">
        <f>B8+B9</f>
        <v>910.5949999999999</v>
      </c>
      <c r="C10" s="52">
        <f>C8+C9</f>
        <v>1148.9429999999993</v>
      </c>
      <c r="D10" s="52">
        <f>D8+D9</f>
        <v>1325.749</v>
      </c>
      <c r="E10" s="52">
        <f>E8+E9</f>
        <v>1336.6060000000002</v>
      </c>
      <c r="F10" s="52">
        <f>F8+F9</f>
        <v>1678.9560000000004</v>
      </c>
      <c r="G10" s="52">
        <f>G8+G9</f>
        <v>1850.5870000000002</v>
      </c>
      <c r="H10" s="52">
        <f>H8+H9</f>
        <v>2463.3</v>
      </c>
      <c r="I10" s="52">
        <f>I8+I9</f>
        <v>3924.7</v>
      </c>
      <c r="J10" s="52">
        <f>J8+J9</f>
        <v>4708.6</v>
      </c>
      <c r="K10" s="52">
        <f>K8+K9</f>
        <v>4940.0999999999985</v>
      </c>
      <c r="L10" s="52">
        <f>L8+L9</f>
        <v>4997.799999999999</v>
      </c>
      <c r="M10" s="52">
        <f>M8+M9</f>
        <v>5856.3</v>
      </c>
      <c r="N10" s="52">
        <f>N8+N9</f>
        <v>7046.5</v>
      </c>
      <c r="O10" s="52">
        <f>O8+O9</f>
        <v>4992.9</v>
      </c>
      <c r="P10" s="52">
        <f>P8+P9</f>
        <v>1608.5000000000007</v>
      </c>
      <c r="Q10" s="52">
        <f>Q8+Q9</f>
        <v>3679.8</v>
      </c>
      <c r="R10" s="52">
        <f>R8+R9</f>
        <v>1296.300000000001</v>
      </c>
      <c r="S10" s="52">
        <f>S8+S9</f>
        <v>1905.8</v>
      </c>
      <c r="T10" s="52">
        <f>T8+T9</f>
        <v>1556.6000000000008</v>
      </c>
      <c r="U10" s="52">
        <f>U8+U9</f>
        <v>3076.9711295018005</v>
      </c>
      <c r="V10" s="52">
        <f>V8+V9</f>
        <v>3018.103623993099</v>
      </c>
      <c r="W10" s="52">
        <f>W8+W9</f>
        <v>2957.50200821786</v>
      </c>
      <c r="X10" s="52">
        <f>X8+X9</f>
        <v>2894.9264161408373</v>
      </c>
      <c r="Y10" s="52">
        <f>Y8+Y9</f>
        <v>2830.1225120521194</v>
      </c>
      <c r="Z10" s="52">
        <f>Z8+Z9</f>
        <v>2762.820180197754</v>
      </c>
      <c r="AA10" s="52">
        <f>AA8+AA9</f>
        <v>2692.732114554713</v>
      </c>
      <c r="AB10" s="52">
        <f>AB8+AB9</f>
        <v>2619.5522996410164</v>
      </c>
      <c r="AC10" s="52">
        <f>AC8+AC9</f>
        <v>2542.9543724540463</v>
      </c>
      <c r="AD10" s="52">
        <f>AD8+AD9</f>
        <v>2462.5898547549696</v>
      </c>
    </row>
    <row r="11">
      <c r="A11" s="2" t="inlineStr">
        <is>
          <t>Taxes</t>
        </is>
      </c>
      <c r="B11" s="52" t="n">
        <v>272.423</v>
      </c>
      <c r="C11" s="52" t="n">
        <v>365.776</v>
      </c>
      <c r="D11" s="52" t="n">
        <v>355.617</v>
      </c>
      <c r="E11" s="52" t="n">
        <v>331.333</v>
      </c>
      <c r="F11" s="52" t="n">
        <v>444.528</v>
      </c>
      <c r="G11" s="52" t="n">
        <v>470.554</v>
      </c>
      <c r="H11" s="52" t="n">
        <v>601</v>
      </c>
      <c r="I11" s="52" t="n">
        <v>989.9</v>
      </c>
      <c r="J11" s="52" t="n">
        <v>1161.6</v>
      </c>
      <c r="K11" s="52" t="n">
        <v>1237.3</v>
      </c>
      <c r="L11" s="52" t="n">
        <v>2458.7</v>
      </c>
      <c r="M11" s="52" t="n">
        <v>1425.6</v>
      </c>
      <c r="N11" s="52" t="n">
        <v>1158</v>
      </c>
      <c r="O11" s="52" t="n">
        <v>992.3</v>
      </c>
      <c r="P11" s="52" t="n">
        <v>52.5</v>
      </c>
      <c r="Q11" s="52" t="n">
        <v>632.8</v>
      </c>
      <c r="R11" s="52" t="n">
        <v>135.3</v>
      </c>
      <c r="S11" s="52" t="n">
        <v>273.8</v>
      </c>
      <c r="T11" s="52" t="n">
        <v>263.6</v>
      </c>
      <c r="U11" s="52">
        <f>MAX(0,U10)*Assumptions!$E$14</f>
        <v>523.0850920153061</v>
      </c>
      <c r="V11" s="52">
        <f>MAX(0,V10)*Assumptions!$E$14</f>
        <v>513.0776160788268</v>
      </c>
      <c r="W11" s="52">
        <f>MAX(0,W10)*Assumptions!$E$14</f>
        <v>502.7753413970362</v>
      </c>
      <c r="X11" s="52">
        <f>MAX(0,X10)*Assumptions!$E$14</f>
        <v>492.1374907439424</v>
      </c>
      <c r="Y11" s="52">
        <f>MAX(0,Y10)*Assumptions!$E$14</f>
        <v>481.12082704886035</v>
      </c>
      <c r="Z11" s="52">
        <f>MAX(0,Z10)*Assumptions!$E$14</f>
        <v>469.6794306336182</v>
      </c>
      <c r="AA11" s="52">
        <f>MAX(0,AA10)*Assumptions!$E$14</f>
        <v>457.76445947430125</v>
      </c>
      <c r="AB11" s="52">
        <f>MAX(0,AB10)*Assumptions!$E$14</f>
        <v>445.3238909389728</v>
      </c>
      <c r="AC11" s="52">
        <f>MAX(0,AC10)*Assumptions!$E$14</f>
        <v>432.3022433171879</v>
      </c>
      <c r="AD11" s="52">
        <f>MAX(0,AD10)*Assumptions!$E$14</f>
        <v>418.6402753083449</v>
      </c>
    </row>
    <row r="12">
      <c r="A12" s="2" t="inlineStr">
        <is>
          <t>Net Income</t>
        </is>
      </c>
      <c r="B12" s="52" t="n">
        <v>638.172</v>
      </c>
      <c r="C12" s="52" t="n">
        <v>783.167</v>
      </c>
      <c r="D12" s="52" t="n">
        <v>970.1319999999999</v>
      </c>
      <c r="E12" s="52" t="n">
        <v>1005.273</v>
      </c>
      <c r="F12" s="52" t="n">
        <v>1234.428</v>
      </c>
      <c r="G12" s="52" t="n">
        <v>1380.033</v>
      </c>
      <c r="H12" s="52" t="n">
        <v>1862.3</v>
      </c>
      <c r="I12" s="52" t="n">
        <v>2934.8</v>
      </c>
      <c r="J12" s="52" t="n">
        <v>3547</v>
      </c>
      <c r="K12" s="52" t="n">
        <v>3702.8</v>
      </c>
      <c r="L12" s="52" t="n">
        <v>2539.1</v>
      </c>
      <c r="M12" s="52" t="n">
        <v>4430.7</v>
      </c>
      <c r="N12" s="52" t="n">
        <v>5888.5</v>
      </c>
      <c r="O12" s="52" t="n">
        <v>4000.6</v>
      </c>
      <c r="P12" s="52" t="n">
        <v>1556</v>
      </c>
      <c r="Q12" s="52" t="n">
        <v>3047</v>
      </c>
      <c r="R12" s="52" t="n">
        <v>1161</v>
      </c>
      <c r="S12" s="52" t="n">
        <v>1632</v>
      </c>
      <c r="T12" s="52" t="n">
        <v>1293</v>
      </c>
      <c r="U12" s="52">
        <f>U10-U11</f>
        <v>2553.8860374864944</v>
      </c>
      <c r="V12" s="52">
        <f>V10-V11</f>
        <v>2505.026007914272</v>
      </c>
      <c r="W12" s="52">
        <f>W10-W11</f>
        <v>2454.7266668208235</v>
      </c>
      <c r="X12" s="52">
        <f>X10-X11</f>
        <v>2402.788925396895</v>
      </c>
      <c r="Y12" s="52">
        <f>Y10-Y11</f>
        <v>2349.001685003259</v>
      </c>
      <c r="Z12" s="52">
        <f>Z10-Z11</f>
        <v>2293.1407495641356</v>
      </c>
      <c r="AA12" s="52">
        <f>AA10-AA11</f>
        <v>2234.9676550804115</v>
      </c>
      <c r="AB12" s="52">
        <f>AB10-AB11</f>
        <v>2174.2284087020435</v>
      </c>
      <c r="AC12" s="52">
        <f>AC10-AC11</f>
        <v>2110.6521291368585</v>
      </c>
      <c r="AD12" s="52">
        <f>AD10-AD11</f>
        <v>2043.9495794466247</v>
      </c>
    </row>
    <row r="13">
      <c r="A13" s="2" t="inlineStr">
        <is>
          <t>Earnings per Share</t>
        </is>
      </c>
      <c r="B13" s="11">
        <f>IFERROR(B12/B14,0)</f>
        <v>1.9932223717950721</v>
      </c>
      <c r="C13" s="11">
        <f>IFERROR(C12/C14,0)</f>
        <v>2.654947386976921</v>
      </c>
      <c r="D13" s="11">
        <f>IFERROR(D12/D14,0)</f>
        <v>3.351338280202849</v>
      </c>
      <c r="E13" s="11">
        <f>IFERROR(E12/E14,0)</f>
        <v>3.9443042841952862</v>
      </c>
      <c r="F13" s="11">
        <f>IFERROR(F12/F14,0)</f>
        <v>5.037803071423034</v>
      </c>
      <c r="G13" s="11">
        <f>IFERROR(G12/G14,0)</f>
        <v>5.756373571368982</v>
      </c>
      <c r="H13" s="11">
        <f>IFERROR(H12/H14,0)</f>
        <v>7.814939152328996</v>
      </c>
      <c r="I13" s="11">
        <f>IFERROR(I12/I14,0)</f>
        <v>12.372681281618888</v>
      </c>
      <c r="J13" s="11">
        <f>IFERROR(J12/J14,0)</f>
        <v>15.341695501730104</v>
      </c>
      <c r="K13" s="11">
        <f>IFERROR(K12/K14,0)</f>
        <v>16.923217550274224</v>
      </c>
      <c r="L13" s="11">
        <f>IFERROR(L12/L14,0)</f>
        <v>11.920657276995305</v>
      </c>
      <c r="M13" s="11">
        <f>IFERROR(M12/M14,0)</f>
        <v>21.5815879201169</v>
      </c>
      <c r="N13" s="11">
        <f>IFERROR(N12/N14,0)</f>
        <v>31.422091782283882</v>
      </c>
      <c r="O13" s="11">
        <f>IFERROR(O12/O14,0)</f>
        <v>24.802231866088032</v>
      </c>
      <c r="P13" s="11">
        <f>IFERROR(P12/P14,0)</f>
        <v>10.401069518716579</v>
      </c>
      <c r="Q13" s="11">
        <f>IFERROR(Q12/Q14,0)</f>
        <v>20.86986301369863</v>
      </c>
      <c r="R13" s="11">
        <f>IFERROR(R12/R14,0)</f>
        <v>7.973901098901099</v>
      </c>
      <c r="S13" s="11">
        <f>IFERROR(S12/S14,0)</f>
        <v>11.185743660041124</v>
      </c>
      <c r="T13" s="11">
        <f>IFERROR(T12/T14,0)</f>
        <v>8.789938817131203</v>
      </c>
      <c r="U13" s="11">
        <f>IFERROR(U12/U14,0)</f>
        <v>17.298400899324623</v>
      </c>
      <c r="V13" s="11">
        <f>IFERROR(V12/V14,0)</f>
        <v>16.96745411192412</v>
      </c>
      <c r="W13" s="11">
        <f>IFERROR(W12/W14,0)</f>
        <v>16.626758343031202</v>
      </c>
      <c r="X13" s="11">
        <f>IFERROR(X12/X14,0)</f>
        <v>16.274965091582594</v>
      </c>
      <c r="Y13" s="11">
        <f>IFERROR(Y12/Y14,0)</f>
        <v>15.910644509559605</v>
      </c>
      <c r="Z13" s="11">
        <f>IFERROR(Z12/Z14,0)</f>
        <v>15.532278035232398</v>
      </c>
      <c r="AA13" s="11">
        <f>IFERROR(AA12/AA14,0)</f>
        <v>15.138250465026431</v>
      </c>
      <c r="AB13" s="11">
        <f>IFERROR(AB12/AB14,0)</f>
        <v>14.726841412800303</v>
      </c>
      <c r="AC13" s="11">
        <f>IFERROR(AC12/AC14,0)</f>
        <v>14.29621610083905</v>
      </c>
      <c r="AD13" s="11">
        <f>IFERROR(AD12/AD14,0)</f>
        <v>13.844415421947211</v>
      </c>
    </row>
    <row r="14">
      <c r="A14" s="2" t="inlineStr">
        <is>
          <t>Shares</t>
        </is>
      </c>
      <c r="B14" s="52" t="n">
        <v>320.171</v>
      </c>
      <c r="C14" s="52" t="n">
        <v>294.984</v>
      </c>
      <c r="D14" s="52" t="n">
        <v>289.476</v>
      </c>
      <c r="E14" s="52" t="n">
        <v>254.867</v>
      </c>
      <c r="F14" s="52" t="n">
        <v>245.033</v>
      </c>
      <c r="G14" s="52" t="n">
        <v>239.74</v>
      </c>
      <c r="H14" s="52" t="n">
        <v>238.3</v>
      </c>
      <c r="I14" s="52" t="n">
        <v>237.2</v>
      </c>
      <c r="J14" s="52" t="n">
        <v>231.2</v>
      </c>
      <c r="K14" s="52" t="n">
        <v>218.8</v>
      </c>
      <c r="L14" s="52" t="n">
        <v>213</v>
      </c>
      <c r="M14" s="52" t="n">
        <v>205.3</v>
      </c>
      <c r="N14" s="52" t="n">
        <v>187.4</v>
      </c>
      <c r="O14" s="52" t="n">
        <v>161.3</v>
      </c>
      <c r="P14" s="52" t="n">
        <v>149.6</v>
      </c>
      <c r="Q14" s="52" t="n">
        <v>146</v>
      </c>
      <c r="R14" s="52" t="n">
        <v>145.6</v>
      </c>
      <c r="S14" s="52" t="n">
        <v>145.9</v>
      </c>
      <c r="T14" s="52" t="n">
        <v>147.1</v>
      </c>
      <c r="U14" s="52">
        <f>Main!$C$4</f>
        <v>147.637117</v>
      </c>
      <c r="V14" s="52">
        <f>Main!$C$4</f>
        <v>147.637117</v>
      </c>
      <c r="W14" s="52">
        <f>Main!$C$4</f>
        <v>147.637117</v>
      </c>
      <c r="X14" s="52">
        <f>Main!$C$4</f>
        <v>147.637117</v>
      </c>
      <c r="Y14" s="52">
        <f>Main!$C$4</f>
        <v>147.637117</v>
      </c>
      <c r="Z14" s="52">
        <f>Main!$C$4</f>
        <v>147.637117</v>
      </c>
      <c r="AA14" s="52">
        <f>Main!$C$4</f>
        <v>147.637117</v>
      </c>
      <c r="AB14" s="52">
        <f>Main!$C$4</f>
        <v>147.637117</v>
      </c>
      <c r="AC14" s="52">
        <f>Main!$C$4</f>
        <v>147.637117</v>
      </c>
      <c r="AD14" s="52">
        <f>Main!$C$4</f>
        <v>147.637117</v>
      </c>
    </row>
    <row r="15"/>
    <row r="16" customFormat="1" s="4">
      <c r="A16" s="3" t="inlineStr">
        <is>
          <t>Revenue Change</t>
        </is>
      </c>
      <c r="C16" s="15">
        <f>IFERROR(C2/B2-1,"")</f>
        <v>0.2919299524501222</v>
      </c>
      <c r="D16" s="15">
        <f>IFERROR(D2/C2-1,"")</f>
        <v>0.06829542939157895</v>
      </c>
      <c r="E16" s="15">
        <f>IFERROR(E2/D2-1,"")</f>
        <v>0.07746128477790659</v>
      </c>
      <c r="F16" s="15">
        <f>IFERROR(F2/E2-1,"")</f>
        <v>0.07043706639544434</v>
      </c>
      <c r="G16" s="15">
        <f>IFERROR(G2/F2-1,"")</f>
        <v>0.09266407507456487</v>
      </c>
      <c r="H16" s="15">
        <f>IFERROR(H2/G2-1,"")</f>
        <v>0.25663899373166954</v>
      </c>
      <c r="I16" s="15">
        <f>IFERROR(I2/H2-1,"")</f>
        <v>0.3997432272583017</v>
      </c>
      <c r="J16" s="15">
        <f>IFERROR(J2/I2-1,"")</f>
        <v>0.10929271484958725</v>
      </c>
      <c r="K16" s="15">
        <f>IFERROR(K2/J2-1,"")</f>
        <v>0.06363923521432957</v>
      </c>
      <c r="L16" s="15">
        <f>IFERROR(L2/K2-1,"")</f>
        <v>0.07206868842149405</v>
      </c>
      <c r="M16" s="15">
        <f>IFERROR(M2/L2-1,"")</f>
        <v>0.09605748784005086</v>
      </c>
      <c r="N16" s="15">
        <f>IFERROR(N2/M2-1,"")</f>
        <v>0.06875840896758323</v>
      </c>
      <c r="O16" s="15">
        <f>IFERROR(O2/N2-1,"")</f>
        <v>-0.06491212207624197</v>
      </c>
      <c r="P16" s="15">
        <f>IFERROR(P2/O2-1,"")</f>
        <v>-0.18318878955119522</v>
      </c>
      <c r="Q16" s="15">
        <f>IFERROR(Q2/P2-1,"")</f>
        <v>-0.07360426892011263</v>
      </c>
      <c r="R16" s="15">
        <f>IFERROR(R2/Q2-1,"")</f>
        <v>-0.03320423850433474</v>
      </c>
      <c r="S16" s="15">
        <f>IFERROR(S2/R2-1,"")</f>
        <v>-0.016236935214933634</v>
      </c>
      <c r="T16" s="15">
        <f>IFERROR(T2/S2-1,"")</f>
        <v>0.022189150363273846</v>
      </c>
      <c r="U16" s="15">
        <f>IFERROR(U2/T2-1,"")</f>
        <v>0.019300000000000095</v>
      </c>
      <c r="V16" s="15">
        <f>IFERROR(V2/U2-1,"")</f>
        <v>0.01993333333333336</v>
      </c>
      <c r="W16" s="15">
        <f>IFERROR(W2/V2-1,"")</f>
        <v>0.020566666666666622</v>
      </c>
      <c r="X16" s="15">
        <f>IFERROR(X2/W2-1,"")</f>
        <v>0.021200000000000108</v>
      </c>
      <c r="Y16" s="15">
        <f>IFERROR(Y2/X2-1,"")</f>
        <v>0.02183333333333337</v>
      </c>
      <c r="Z16" s="15">
        <f>IFERROR(Z2/Y2-1,"")</f>
        <v>0.022466666666666635</v>
      </c>
      <c r="AA16" s="15">
        <f>IFERROR(AA2/Z2-1,"")</f>
        <v>0.0230999999999999</v>
      </c>
      <c r="AB16" s="15">
        <f>IFERROR(AB2/AA2-1,"")</f>
        <v>0.023733333333333384</v>
      </c>
      <c r="AC16" s="15">
        <f>IFERROR(AC2/AB2-1,"")</f>
        <v>0.024366666666666648</v>
      </c>
      <c r="AD16" s="15">
        <f>IFERROR(AD2/AC2-1,"")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0.8943151080347974</v>
      </c>
      <c r="C17" s="15">
        <f>IFERROR(C4/C2,"")</f>
        <v>0.901894249356987</v>
      </c>
      <c r="D17" s="15">
        <f>IFERROR(D4/D2,"")</f>
        <v>0.9127087908021021</v>
      </c>
      <c r="E17" s="15">
        <f>IFERROR(E4/E2,"")</f>
        <v>0.9151344143644453</v>
      </c>
      <c r="F17" s="15">
        <f>IFERROR(F4/F2,"")</f>
        <v>0.9075433077541372</v>
      </c>
      <c r="G17" s="15">
        <f>IFERROR(G4/G2,"")</f>
        <v>0.9011152258667288</v>
      </c>
      <c r="H17" s="15">
        <f>IFERROR(H4/H2,"")</f>
        <v>0.8762730446322957</v>
      </c>
      <c r="I17" s="15">
        <f>IFERROR(I4/I2,"")</f>
        <v>0.8793194067997485</v>
      </c>
      <c r="J17" s="15">
        <f>IFERROR(J4/J2,"")</f>
        <v>0.8847618870659061</v>
      </c>
      <c r="K17" s="15">
        <f>IFERROR(K4/K2,"")</f>
        <v>0.8708423590245266</v>
      </c>
      <c r="L17" s="15">
        <f>IFERROR(L4/L2,"")</f>
        <v>0.8671978751660027</v>
      </c>
      <c r="M17" s="15">
        <f>IFERROR(M4/M2,"")</f>
        <v>0.8649882181537066</v>
      </c>
      <c r="N17" s="15">
        <f>IFERROR(N4/N2,"")</f>
        <v>0.8639996105133573</v>
      </c>
      <c r="O17" s="15">
        <f>IFERROR(O4/O2,"")</f>
        <v>0.8657304791514808</v>
      </c>
      <c r="P17" s="15">
        <f>IFERROR(P4/P2,"")</f>
        <v>0.8078894888769498</v>
      </c>
      <c r="Q17" s="15">
        <f>IFERROR(Q4/Q2,"")</f>
        <v>0.7760532368726286</v>
      </c>
      <c r="R17" s="15">
        <f>IFERROR(R4/R2,"")</f>
        <v>0.7424254748058076</v>
      </c>
      <c r="S17" s="15">
        <f>IFERROR(S4/S2,"")</f>
        <v>0.7612211783916741</v>
      </c>
      <c r="T17" s="15">
        <f>IFERROR(T4/T2,"")</f>
        <v>0.7569207125957981</v>
      </c>
      <c r="U17" s="15">
        <f>IFERROR(U4/U2,"")</f>
        <v>0.7569</v>
      </c>
      <c r="V17" s="15">
        <f>IFERROR(V4/V2,"")</f>
        <v>0.7569</v>
      </c>
      <c r="W17" s="15">
        <f>IFERROR(W4/W2,"")</f>
        <v>0.7569</v>
      </c>
      <c r="X17" s="15">
        <f>IFERROR(X4/X2,"")</f>
        <v>0.7569</v>
      </c>
      <c r="Y17" s="15">
        <f>IFERROR(Y4/Y2,"")</f>
        <v>0.7569</v>
      </c>
      <c r="Z17" s="15">
        <f>IFERROR(Z4/Z2,"")</f>
        <v>0.7569</v>
      </c>
      <c r="AA17" s="15">
        <f>IFERROR(AA4/AA2,"")</f>
        <v>0.7569</v>
      </c>
      <c r="AB17" s="15">
        <f>IFERROR(AB4/AB2,"")</f>
        <v>0.7569</v>
      </c>
      <c r="AC17" s="15">
        <f>IFERROR(AC4/AC2,"")</f>
        <v>0.7569</v>
      </c>
      <c r="AD17" s="15">
        <f>IFERROR(AD4/AD2,"")</f>
        <v>0.7569000000000001</v>
      </c>
    </row>
    <row r="18">
      <c r="A18" s="14" t="inlineStr">
        <is>
          <t>Operating Margin</t>
        </is>
      </c>
      <c r="B18" s="15">
        <f>IFERROR(B8/B2,"")</f>
        <v>0.2458594464590144</v>
      </c>
      <c r="C18" s="15">
        <f>IFERROR(C8/C2,"")</f>
        <v>0.2961827765028832</v>
      </c>
      <c r="D18" s="15">
        <f>IFERROR(D8/D2,"")</f>
        <v>0.29593877388775125</v>
      </c>
      <c r="E18" s="15">
        <f>IFERROR(E8/E2,"")</f>
        <v>0.26479579969820355</v>
      </c>
      <c r="F18" s="15">
        <f>IFERROR(F8/F2,"")</f>
        <v>0.34161537556495486</v>
      </c>
      <c r="G18" s="15">
        <f>IFERROR(G8/G2,"")</f>
        <v>0.33642021578689674</v>
      </c>
      <c r="H18" s="15">
        <f>IFERROR(H8/H2,"")</f>
        <v>0.3628718155852399</v>
      </c>
      <c r="I18" s="15">
        <f>IFERROR(I8/I2,"")</f>
        <v>0.40938649737718097</v>
      </c>
      <c r="J18" s="15">
        <f>IFERROR(J8/J2,"")</f>
        <v>0.4543934298296141</v>
      </c>
      <c r="K18" s="15">
        <f>IFERROR(K8/K2,"")</f>
        <v>0.4499772901963524</v>
      </c>
      <c r="L18" s="15">
        <f>IFERROR(L8/L2,"")</f>
        <v>0.43554208523778093</v>
      </c>
      <c r="M18" s="15">
        <f>IFERROR(M8/M2,"")</f>
        <v>0.43771974815838965</v>
      </c>
      <c r="N18" s="15">
        <f>IFERROR(N8/N2,"")</f>
        <v>0.48982118390029145</v>
      </c>
      <c r="O18" s="15">
        <f>IFERROR(O8/O2,"")</f>
        <v>0.33843327432575154</v>
      </c>
      <c r="P18" s="15">
        <f>IFERROR(P8/P2,"")</f>
        <v>0.2586757970077493</v>
      </c>
      <c r="Q18" s="15">
        <f>IFERROR(Q8/Q2,"")</f>
        <v>0.35305797471838324</v>
      </c>
      <c r="R18" s="15">
        <f>IFERROR(R8/R2,"")</f>
        <v>0.1318475741185084</v>
      </c>
      <c r="S18" s="15">
        <f>IFERROR(S8/S2,"")</f>
        <v>0.1969842598621317</v>
      </c>
      <c r="T18" s="15">
        <f>IFERROR(T8/T2,"")</f>
        <v>0.15737164580510796</v>
      </c>
      <c r="U18" s="15">
        <f>IFERROR(U8/U2,"")</f>
        <v>0.30521000000000004</v>
      </c>
      <c r="V18" s="15">
        <f>IFERROR(V8/V2,"")</f>
        <v>0.29352</v>
      </c>
      <c r="W18" s="15">
        <f>IFERROR(W8/W2,"")</f>
        <v>0.28183</v>
      </c>
      <c r="X18" s="15">
        <f>IFERROR(X8/X2,"")</f>
        <v>0.27014</v>
      </c>
      <c r="Y18" s="15">
        <f>IFERROR(Y8/Y2,"")</f>
        <v>0.25845000000000007</v>
      </c>
      <c r="Z18" s="15">
        <f>IFERROR(Z8/Z2,"")</f>
        <v>0.24675999999999995</v>
      </c>
      <c r="AA18" s="15">
        <f>IFERROR(AA8/AA2,"")</f>
        <v>0.23507</v>
      </c>
      <c r="AB18" s="15">
        <f>IFERROR(AB8/AB2,"")</f>
        <v>0.22338000000000005</v>
      </c>
      <c r="AC18" s="15">
        <f>IFERROR(AC8/AC2,"")</f>
        <v>0.21169</v>
      </c>
      <c r="AD18" s="15">
        <f>IFERROR(AD8/AD2,"")</f>
        <v>0.20000000000000004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A</t>
        </is>
      </c>
      <c r="T19" s="19" t="inlineStr">
        <is>
          <t>A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  <c r="AC19" s="19" t="inlineStr">
        <is>
          <t>E</t>
        </is>
      </c>
      <c r="AD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Biogen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0.095</v>
      </c>
      <c r="C10" s="53" t="n">
        <v>0.08500000000000001</v>
      </c>
      <c r="D10" s="53" t="n">
        <v>0.075</v>
      </c>
      <c r="E10" s="54">
        <f>IF(ISNUMBER($B$6),$B$6,CHOOSE($B$4,B10,C10,D10))</f>
        <v>0.085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-0.0307</v>
      </c>
      <c r="C12" s="53" t="n">
        <v>0.0193</v>
      </c>
      <c r="D12" s="53" t="n">
        <v>0.0693</v>
      </c>
      <c r="E12" s="54">
        <f>CHOOSE($B$4,B12,C12,D12)</f>
        <v>0.0193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0.3169</v>
      </c>
    </row>
    <row r="19">
      <c r="A19" s="14" t="inlineStr">
        <is>
          <t>Gross margin (forecast)</t>
        </is>
      </c>
      <c r="B19" s="53" t="n">
        <v>0.7569</v>
      </c>
    </row>
    <row r="20">
      <c r="A20" s="14" t="inlineStr">
        <is>
          <t>R&amp;D share of operating expense (forecast)</t>
        </is>
      </c>
      <c r="B20" s="53" t="n">
        <v>0.2999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0.7534</v>
      </c>
    </row>
    <row r="23">
      <c r="A23" s="14" t="inlineStr">
        <is>
          <t>Balance sheet date</t>
        </is>
      </c>
      <c r="B23" s="31" t="n">
        <v>46112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Model'!T2</f>
        <v>9890.6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30531.106124929895</v>
      </c>
      <c r="C29" s="56">
        <f>NPV!B26</f>
        <v>28525.30612492989</v>
      </c>
      <c r="D29" s="35">
        <f>NPV!B28</f>
        <v>193.21229447287226</v>
      </c>
      <c r="E29" s="57">
        <f>NPV!B30</f>
        <v>-0.20521474918604576</v>
      </c>
    </row>
    <row r="30">
      <c r="A30" s="58" t="n">
        <v>1</v>
      </c>
      <c r="B30" s="59">
        <f t="dataTable" ref="B30:E32" r1="B4"/>
        <v>18013.578349759933</v>
      </c>
      <c r="C30" s="59">
        <v>16007.778349759934</v>
      </c>
      <c r="D30" s="39">
        <v>108.42651682069852</v>
      </c>
      <c r="E30" s="60">
        <v>-0.553983888026744</v>
      </c>
    </row>
    <row r="31">
      <c r="A31" s="58" t="n">
        <v>2</v>
      </c>
      <c r="B31" s="59">
        <v>30531.106124929895</v>
      </c>
      <c r="C31" s="59">
        <v>28525.30612492989</v>
      </c>
      <c r="D31" s="39">
        <v>193.21229447287226</v>
      </c>
      <c r="E31" s="60">
        <v>-0.20521474918604576</v>
      </c>
    </row>
    <row r="32">
      <c r="A32" s="58" t="n">
        <v>3</v>
      </c>
      <c r="B32" s="59">
        <v>56739.57094042851</v>
      </c>
      <c r="C32" s="59">
        <v>54733.770940428505</v>
      </c>
      <c r="D32" s="39">
        <v>370.7317783808289</v>
      </c>
      <c r="E32" s="60">
        <v>0.5250175992629738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193.21229447287226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0.065</v>
      </c>
      <c r="B37" s="39">
        <f t="dataTable" ref="B37:F41" dt2D="1" r1="B7" r2="B6"/>
        <v>239.22614558609794</v>
      </c>
      <c r="C37" s="39">
        <v>258.95900868401327</v>
      </c>
      <c r="D37" s="39">
        <v>283.5737248809494</v>
      </c>
      <c r="E37" s="39">
        <v>315.1619409941193</v>
      </c>
      <c r="F37" s="39">
        <v>357.20972864941393</v>
      </c>
    </row>
    <row r="38">
      <c r="A38" s="62" t="n">
        <v>0.075</v>
      </c>
      <c r="B38" s="39">
        <v>201.15075144665036</v>
      </c>
      <c r="C38" s="39">
        <v>214.02605793494658</v>
      </c>
      <c r="D38" s="39">
        <v>229.43744610594027</v>
      </c>
      <c r="E38" s="39">
        <v>248.2298546676726</v>
      </c>
      <c r="F38" s="39">
        <v>271.6706871869682</v>
      </c>
    </row>
    <row r="39">
      <c r="A39" s="62" t="n">
        <v>0.08500000000000001</v>
      </c>
      <c r="B39" s="39">
        <v>173.85305147872526</v>
      </c>
      <c r="C39" s="39">
        <v>182.80231391423982</v>
      </c>
      <c r="D39" s="39">
        <v>193.21229447287226</v>
      </c>
      <c r="E39" s="39">
        <v>205.4810456931465</v>
      </c>
      <c r="F39" s="39">
        <v>220.1658377612291</v>
      </c>
    </row>
    <row r="40">
      <c r="A40" s="62" t="n">
        <v>0.095</v>
      </c>
      <c r="B40" s="39">
        <v>153.29346216238054</v>
      </c>
      <c r="C40" s="39">
        <v>159.80662717979308</v>
      </c>
      <c r="D40" s="39">
        <v>167.22516119736673</v>
      </c>
      <c r="E40" s="39">
        <v>175.75773629464126</v>
      </c>
      <c r="F40" s="39">
        <v>185.68257928170726</v>
      </c>
    </row>
    <row r="41">
      <c r="A41" s="62" t="n">
        <v>0.105</v>
      </c>
      <c r="B41" s="39">
        <v>137.22804039323532</v>
      </c>
      <c r="C41" s="39">
        <v>142.13748440783283</v>
      </c>
      <c r="D41" s="39">
        <v>147.63976527137655</v>
      </c>
      <c r="E41" s="39">
        <v>153.85323859572702</v>
      </c>
      <c r="F41" s="39">
        <v>160.930073769567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Biogen Inc.: free-cash-flow DCF ($mm)</t>
        </is>
      </c>
    </row>
    <row r="3">
      <c r="A3" s="20" t="inlineStr">
        <is>
          <t>Fiscal year</t>
        </is>
      </c>
      <c r="B3" s="43">
        <f>'Yearly Model'!T1</f>
        <v>2025</v>
      </c>
      <c r="C3" s="43">
        <f>'Yearly Model'!U1</f>
        <v>2026</v>
      </c>
      <c r="D3" s="43">
        <f>'Yearly Model'!V1</f>
        <v>2027</v>
      </c>
      <c r="E3" s="43">
        <f>'Yearly Model'!W1</f>
        <v>2028</v>
      </c>
      <c r="F3" s="43">
        <f>'Yearly Model'!X1</f>
        <v>2029</v>
      </c>
      <c r="G3" s="43">
        <f>'Yearly Model'!Y1</f>
        <v>2030</v>
      </c>
      <c r="H3" s="43">
        <f>'Yearly Model'!Z1</f>
        <v>2031</v>
      </c>
      <c r="I3" s="43">
        <f>'Yearly Model'!AA1</f>
        <v>2032</v>
      </c>
      <c r="J3" s="43">
        <f>'Yearly Model'!AB1</f>
        <v>2033</v>
      </c>
      <c r="K3" s="43">
        <f>'Yearly Model'!AC1</f>
        <v>2034</v>
      </c>
      <c r="L3" s="43">
        <f>'Yearly Model'!AD1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0.0193</v>
      </c>
      <c r="D5" s="63">
        <f>Assumptions!$E$12+(Assumptions!$E$11-Assumptions!$E$12)*(D4-1)/(Assumptions!$B$21-1)</f>
        <v>0.019933333333333334</v>
      </c>
      <c r="E5" s="63">
        <f>Assumptions!$E$12+(Assumptions!$E$11-Assumptions!$E$12)*(E4-1)/(Assumptions!$B$21-1)</f>
        <v>0.020566666666666667</v>
      </c>
      <c r="F5" s="63">
        <f>Assumptions!$E$12+(Assumptions!$E$11-Assumptions!$E$12)*(F4-1)/(Assumptions!$B$21-1)</f>
        <v>0.0212</v>
      </c>
      <c r="G5" s="63">
        <f>Assumptions!$E$12+(Assumptions!$E$11-Assumptions!$E$12)*(G4-1)/(Assumptions!$B$21-1)</f>
        <v>0.021833333333333337</v>
      </c>
      <c r="H5" s="63">
        <f>Assumptions!$E$12+(Assumptions!$E$11-Assumptions!$E$12)*(H4-1)/(Assumptions!$B$21-1)</f>
        <v>0.02246666666666667</v>
      </c>
      <c r="I5" s="63">
        <f>Assumptions!$E$12+(Assumptions!$E$11-Assumptions!$E$12)*(I4-1)/(Assumptions!$B$21-1)</f>
        <v>0.023100000000000002</v>
      </c>
      <c r="J5" s="63">
        <f>Assumptions!$E$12+(Assumptions!$E$11-Assumptions!$E$12)*(J4-1)/(Assumptions!$B$21-1)</f>
        <v>0.023733333333333335</v>
      </c>
      <c r="K5" s="63">
        <f>Assumptions!$E$12+(Assumptions!$E$11-Assumptions!$E$12)*(K4-1)/(Assumptions!$B$21-1)</f>
        <v>0.02436666666666667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0.15737164580510796</v>
      </c>
      <c r="C6" s="63">
        <f>Assumptions!$B$18+(Assumptions!$E$13-Assumptions!$B$18)*C4/Assumptions!$B$21</f>
        <v>0.30521000000000004</v>
      </c>
      <c r="D6" s="63">
        <f>Assumptions!$B$18+(Assumptions!$E$13-Assumptions!$B$18)*D4/Assumptions!$B$21</f>
        <v>0.29352</v>
      </c>
      <c r="E6" s="63">
        <f>Assumptions!$B$18+(Assumptions!$E$13-Assumptions!$B$18)*E4/Assumptions!$B$21</f>
        <v>0.28183</v>
      </c>
      <c r="F6" s="63">
        <f>Assumptions!$B$18+(Assumptions!$E$13-Assumptions!$B$18)*F4/Assumptions!$B$21</f>
        <v>0.27014</v>
      </c>
      <c r="G6" s="63">
        <f>Assumptions!$B$18+(Assumptions!$E$13-Assumptions!$B$18)*G4/Assumptions!$B$21</f>
        <v>0.25845</v>
      </c>
      <c r="H6" s="63">
        <f>Assumptions!$B$18+(Assumptions!$E$13-Assumptions!$B$18)*H4/Assumptions!$B$21</f>
        <v>0.24676</v>
      </c>
      <c r="I6" s="63">
        <f>Assumptions!$B$18+(Assumptions!$E$13-Assumptions!$B$18)*I4/Assumptions!$B$21</f>
        <v>0.23507</v>
      </c>
      <c r="J6" s="63">
        <f>Assumptions!$B$18+(Assumptions!$E$13-Assumptions!$B$18)*J4/Assumptions!$B$21</f>
        <v>0.22338000000000002</v>
      </c>
      <c r="K6" s="63">
        <f>Assumptions!$B$18+(Assumptions!$E$13-Assumptions!$B$18)*K4/Assumptions!$B$21</f>
        <v>0.21169000000000002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Model'!T2</f>
        <v>9890.6</v>
      </c>
      <c r="C7" s="55">
        <f>'Yearly Model'!U2</f>
        <v>10081.488580000001</v>
      </c>
      <c r="D7" s="55">
        <f>'Yearly Model'!V2</f>
        <v>10282.446252361335</v>
      </c>
      <c r="E7" s="55">
        <f>'Yearly Model'!W2</f>
        <v>10493.921896951566</v>
      </c>
      <c r="F7" s="55">
        <f>'Yearly Model'!X2</f>
        <v>10716.39304116694</v>
      </c>
      <c r="G7" s="55">
        <f>'Yearly Model'!Y2</f>
        <v>10950.367622565753</v>
      </c>
      <c r="H7" s="55">
        <f>'Yearly Model'!Z2</f>
        <v>11196.385881819397</v>
      </c>
      <c r="I7" s="55">
        <f>'Yearly Model'!AA2</f>
        <v>11455.022395689424</v>
      </c>
      <c r="J7" s="55">
        <f>'Yearly Model'!AB2</f>
        <v>11726.88826054712</v>
      </c>
      <c r="K7" s="55">
        <f>'Yearly Model'!AC2</f>
        <v>12012.63343782912</v>
      </c>
      <c r="L7" s="55">
        <f>'Yearly Model'!AD2</f>
        <v>12312.949273774846</v>
      </c>
    </row>
    <row r="8">
      <c r="A8" s="14" t="inlineStr">
        <is>
          <t>Operating income</t>
        </is>
      </c>
      <c r="B8" s="55">
        <f>'Yearly Model'!T8</f>
        <v>1556.500000000001</v>
      </c>
      <c r="C8" s="55">
        <f>'Yearly Model'!U8</f>
        <v>3076.9711295018005</v>
      </c>
      <c r="D8" s="55">
        <f>'Yearly Model'!V8</f>
        <v>3018.103623993099</v>
      </c>
      <c r="E8" s="55">
        <f>'Yearly Model'!W8</f>
        <v>2957.50200821786</v>
      </c>
      <c r="F8" s="55">
        <f>'Yearly Model'!X8</f>
        <v>2894.9264161408373</v>
      </c>
      <c r="G8" s="55">
        <f>'Yearly Model'!Y8</f>
        <v>2830.1225120521194</v>
      </c>
      <c r="H8" s="55">
        <f>'Yearly Model'!Z8</f>
        <v>2762.820180197754</v>
      </c>
      <c r="I8" s="55">
        <f>'Yearly Model'!AA8</f>
        <v>2692.732114554713</v>
      </c>
      <c r="J8" s="55">
        <f>'Yearly Model'!AB8</f>
        <v>2619.5522996410164</v>
      </c>
      <c r="K8" s="55">
        <f>'Yearly Model'!AC8</f>
        <v>2542.9543724540463</v>
      </c>
      <c r="L8" s="55">
        <f>'Yearly Model'!AD8</f>
        <v>2462.5898547549696</v>
      </c>
    </row>
    <row r="9">
      <c r="A9" s="14" t="inlineStr">
        <is>
          <t>Tax on operating income</t>
        </is>
      </c>
      <c r="C9" s="52">
        <f>MAX(0,C8)*Assumptions!$E$14</f>
        <v>523.0850920153061</v>
      </c>
      <c r="D9" s="52">
        <f>MAX(0,D8)*Assumptions!$E$14</f>
        <v>513.0776160788268</v>
      </c>
      <c r="E9" s="52">
        <f>MAX(0,E8)*Assumptions!$E$14</f>
        <v>502.7753413970362</v>
      </c>
      <c r="F9" s="52">
        <f>MAX(0,F8)*Assumptions!$E$14</f>
        <v>492.1374907439424</v>
      </c>
      <c r="G9" s="52">
        <f>MAX(0,G8)*Assumptions!$E$14</f>
        <v>481.12082704886035</v>
      </c>
      <c r="H9" s="52">
        <f>MAX(0,H8)*Assumptions!$E$14</f>
        <v>469.6794306336182</v>
      </c>
      <c r="I9" s="52">
        <f>MAX(0,I8)*Assumptions!$E$14</f>
        <v>457.76445947430125</v>
      </c>
      <c r="J9" s="52">
        <f>MAX(0,J8)*Assumptions!$E$14</f>
        <v>445.3238909389728</v>
      </c>
      <c r="K9" s="52">
        <f>MAX(0,K8)*Assumptions!$E$14</f>
        <v>432.3022433171879</v>
      </c>
      <c r="L9" s="52">
        <f>MAX(0,L8)*Assumptions!$E$14</f>
        <v>418.6402753083449</v>
      </c>
    </row>
    <row r="10">
      <c r="A10" s="14" t="inlineStr">
        <is>
          <t>NOPAT</t>
        </is>
      </c>
      <c r="C10" s="52">
        <f>C8-C9</f>
        <v>2553.8860374864944</v>
      </c>
      <c r="D10" s="52">
        <f>D8-D9</f>
        <v>2505.026007914272</v>
      </c>
      <c r="E10" s="52">
        <f>E8-E9</f>
        <v>2454.7266668208235</v>
      </c>
      <c r="F10" s="52">
        <f>F8-F9</f>
        <v>2402.788925396895</v>
      </c>
      <c r="G10" s="52">
        <f>G8-G9</f>
        <v>2349.001685003259</v>
      </c>
      <c r="H10" s="52">
        <f>H8-H9</f>
        <v>2293.1407495641356</v>
      </c>
      <c r="I10" s="52">
        <f>I8-I9</f>
        <v>2234.9676550804115</v>
      </c>
      <c r="J10" s="52">
        <f>J8-J9</f>
        <v>2174.2284087020435</v>
      </c>
      <c r="K10" s="52">
        <f>K8-K9</f>
        <v>2110.6521291368585</v>
      </c>
      <c r="L10" s="52">
        <f>L8-L9</f>
        <v>2043.9495794466247</v>
      </c>
    </row>
    <row r="11">
      <c r="A11" s="14" t="inlineStr">
        <is>
          <t>Reinvestment</t>
        </is>
      </c>
      <c r="C11" s="52">
        <f>(C7-B7)*Assumptions!$E$15</f>
        <v>47.72214500000018</v>
      </c>
      <c r="D11" s="52">
        <f>(D7-C7)*Assumptions!$E$15</f>
        <v>50.2394180903334</v>
      </c>
      <c r="E11" s="52">
        <f>(E7-D7)*Assumptions!$E$15</f>
        <v>52.86891114755781</v>
      </c>
      <c r="F11" s="52">
        <f>(F7-E7)*Assumptions!$E$15</f>
        <v>55.6177860538437</v>
      </c>
      <c r="G11" s="52">
        <f>(G7-F7)*Assumptions!$E$15</f>
        <v>58.493645349703</v>
      </c>
      <c r="H11" s="52">
        <f>(H7-G7)*Assumptions!$E$15</f>
        <v>61.50456481341098</v>
      </c>
      <c r="I11" s="52">
        <f>(I7-H7)*Assumptions!$E$15</f>
        <v>64.65912846750689</v>
      </c>
      <c r="J11" s="52">
        <f>(J7-I7)*Assumptions!$E$15</f>
        <v>67.96646621442414</v>
      </c>
      <c r="K11" s="52">
        <f>(K7-J7)*Assumptions!$E$15</f>
        <v>71.43629432049966</v>
      </c>
      <c r="L11" s="52">
        <f>(L7-K7)*Assumptions!$E$15</f>
        <v>75.07895898643164</v>
      </c>
    </row>
    <row r="12">
      <c r="A12" s="20" t="inlineStr">
        <is>
          <t>Free cash flow</t>
        </is>
      </c>
      <c r="C12" s="64">
        <f>C10-C11</f>
        <v>2506.163892486494</v>
      </c>
      <c r="D12" s="64">
        <f>D10-D11</f>
        <v>2454.786589823939</v>
      </c>
      <c r="E12" s="64">
        <f>E10-E11</f>
        <v>2401.8577556732657</v>
      </c>
      <c r="F12" s="64">
        <f>F10-F11</f>
        <v>2347.1711393430514</v>
      </c>
      <c r="G12" s="64">
        <f>G10-G11</f>
        <v>2290.508039653556</v>
      </c>
      <c r="H12" s="64">
        <f>H10-H11</f>
        <v>2231.6361847507246</v>
      </c>
      <c r="I12" s="64">
        <f>I10-I11</f>
        <v>2170.3085266129046</v>
      </c>
      <c r="J12" s="64">
        <f>J10-J11</f>
        <v>2106.2619424876193</v>
      </c>
      <c r="K12" s="64">
        <f>K10-K11</f>
        <v>2039.215834816359</v>
      </c>
      <c r="L12" s="64">
        <f>L10-L11</f>
        <v>1968.870620460193</v>
      </c>
    </row>
    <row r="13">
      <c r="A13" s="14" t="inlineStr">
        <is>
          <t>Year fraction</t>
        </is>
      </c>
      <c r="C13" s="46">
        <f>Assumptions!$B$22</f>
        <v>0.7534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0.3767</v>
      </c>
      <c r="D14" s="11">
        <f>C14+C13/2+D13/2</f>
        <v>1.2534</v>
      </c>
      <c r="E14" s="11">
        <f>D14+D13/2+E13/2</f>
        <v>2.2534</v>
      </c>
      <c r="F14" s="11">
        <f>E14+E13/2+F13/2</f>
        <v>3.2534</v>
      </c>
      <c r="G14" s="11">
        <f>F14+F13/2+G13/2</f>
        <v>4.2534</v>
      </c>
      <c r="H14" s="11">
        <f>G14+G13/2+H13/2</f>
        <v>5.2534</v>
      </c>
      <c r="I14" s="11">
        <f>H14+H13/2+I13/2</f>
        <v>6.2534</v>
      </c>
      <c r="J14" s="11">
        <f>I14+I13/2+J13/2</f>
        <v>7.2534</v>
      </c>
      <c r="K14" s="11">
        <f>J14+J13/2+K13/2</f>
        <v>8.2534</v>
      </c>
      <c r="L14" s="11">
        <f>K14+K13/2+L13/2</f>
        <v>9.2534</v>
      </c>
    </row>
    <row r="15">
      <c r="A15" s="14" t="inlineStr">
        <is>
          <t>Discount factor</t>
        </is>
      </c>
      <c r="C15" s="65">
        <f>1/(1+Assumptions!$E$10)^C14</f>
        <v>0.9697362214651498</v>
      </c>
      <c r="D15" s="65">
        <f>1/(1+Assumptions!$E$10)^D14</f>
        <v>0.9028016957691598</v>
      </c>
      <c r="E15" s="65">
        <f>1/(1+Assumptions!$E$10)^E14</f>
        <v>0.8320752956397786</v>
      </c>
      <c r="F15" s="65">
        <f>1/(1+Assumptions!$E$10)^F14</f>
        <v>0.7668896734007176</v>
      </c>
      <c r="G15" s="65">
        <f>1/(1+Assumptions!$E$10)^G14</f>
        <v>0.7068107588946707</v>
      </c>
      <c r="H15" s="65">
        <f>1/(1+Assumptions!$E$10)^H14</f>
        <v>0.6514384874605259</v>
      </c>
      <c r="I15" s="65">
        <f>1/(1+Assumptions!$E$10)^I14</f>
        <v>0.6004041359083189</v>
      </c>
      <c r="J15" s="65">
        <f>1/(1+Assumptions!$E$10)^J14</f>
        <v>0.5533678671966072</v>
      </c>
      <c r="K15" s="65">
        <f>1/(1+Assumptions!$E$10)^K14</f>
        <v>0.5100164674623109</v>
      </c>
      <c r="L15" s="65">
        <f>1/(1+Assumptions!$E$10)^L14</f>
        <v>0.4700612603339271</v>
      </c>
    </row>
    <row r="16">
      <c r="A16" s="20" t="inlineStr">
        <is>
          <t>PV of free cash flow</t>
        </is>
      </c>
      <c r="C16" s="64">
        <f>C12*C13*C15</f>
        <v>1831.001508475989</v>
      </c>
      <c r="D16" s="64">
        <f>D12*D13*D15</f>
        <v>2216.185496044445</v>
      </c>
      <c r="E16" s="64">
        <f>E12*E13*E15</f>
        <v>1998.5265021365276</v>
      </c>
      <c r="F16" s="64">
        <f>F12*F13*F15</f>
        <v>1800.0213084663828</v>
      </c>
      <c r="G16" s="64">
        <f>G12*G13*G15</f>
        <v>1618.9557257618744</v>
      </c>
      <c r="H16" s="64">
        <f>H12*H13*H15</f>
        <v>1453.7737007561907</v>
      </c>
      <c r="I16" s="64">
        <f>I12*I13*I15</f>
        <v>1303.0622155754777</v>
      </c>
      <c r="J16" s="64">
        <f>J12*J13*J15</f>
        <v>1165.537678871757</v>
      </c>
      <c r="K16" s="64">
        <f>K12*K13*K15</f>
        <v>1040.0336564662466</v>
      </c>
      <c r="L16" s="64">
        <f>L12*L13*L15</f>
        <v>925.4898052879594</v>
      </c>
    </row>
    <row r="19">
      <c r="A19" s="14" t="inlineStr">
        <is>
          <t>PV of forecast free cash flow</t>
        </is>
      </c>
      <c r="B19" s="52">
        <f>SUM(C16:L16)</f>
        <v>15352.58759784285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2018.0923859716972</v>
      </c>
    </row>
    <row r="21">
      <c r="A21" s="14" t="inlineStr">
        <is>
          <t>Terminal value</t>
        </is>
      </c>
      <c r="B21" s="52">
        <f>B20/(Assumptions!$E$10-Assumptions!$E$11)</f>
        <v>33634.87309952828</v>
      </c>
    </row>
    <row r="22">
      <c r="A22" s="14" t="inlineStr">
        <is>
          <t>PV of terminal value</t>
        </is>
      </c>
      <c r="B22" s="52">
        <f>B21/(1+Assumptions!$E$10)^(L14+0.5)</f>
        <v>15178.518527087044</v>
      </c>
    </row>
    <row r="23">
      <c r="A23" s="20" t="inlineStr">
        <is>
          <t>Enterprise value</t>
        </is>
      </c>
      <c r="B23" s="66">
        <f>B19+B22</f>
        <v>30531.106124929895</v>
      </c>
    </row>
    <row r="24">
      <c r="A24" s="14" t="inlineStr">
        <is>
          <t>Cash &amp; investments</t>
        </is>
      </c>
      <c r="B24" s="55">
        <f>Main!C7</f>
        <v>4282.7</v>
      </c>
    </row>
    <row r="25">
      <c r="A25" s="14" t="inlineStr">
        <is>
          <t>Debt</t>
        </is>
      </c>
      <c r="B25" s="55">
        <f>Main!C8</f>
        <v>6288.5</v>
      </c>
    </row>
    <row r="26">
      <c r="A26" s="20" t="inlineStr">
        <is>
          <t>Equity value</t>
        </is>
      </c>
      <c r="B26" s="66">
        <f>B23+B24-B25</f>
        <v>28525.30612492989</v>
      </c>
    </row>
    <row r="27">
      <c r="A27" s="14" t="inlineStr">
        <is>
          <t>Shares (mm)</t>
        </is>
      </c>
      <c r="B27" s="55">
        <f>Main!C4</f>
        <v>147.637117</v>
      </c>
    </row>
    <row r="28">
      <c r="A28" s="20" t="inlineStr">
        <is>
          <t>NPV / share</t>
        </is>
      </c>
      <c r="B28" s="49">
        <f>B26/B27</f>
        <v>193.21229447287226</v>
      </c>
    </row>
    <row r="29">
      <c r="A29" s="14" t="inlineStr">
        <is>
          <t>Price</t>
        </is>
      </c>
      <c r="B29" s="50">
        <f>Main!C3</f>
        <v>243.1</v>
      </c>
    </row>
    <row r="30">
      <c r="A30" s="14" t="inlineStr">
        <is>
          <t>Upside</t>
        </is>
      </c>
      <c r="B30" s="63">
        <f>B28/B29-1</f>
        <v>-0.20521474918604576</v>
      </c>
    </row>
    <row r="31">
      <c r="A31" s="14" t="inlineStr">
        <is>
          <t>Terminal value, % of EV</t>
        </is>
      </c>
      <c r="B31" s="63">
        <f>IFERROR(B22/B23,0)</f>
        <v>0.4971493160116189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2026-10-21T06:21:09Z</dcterms:modified>
  <cp:lastModifiedBy>Wang, Eric</cp:lastModifiedBy>
</cp:coreProperties>
</file>