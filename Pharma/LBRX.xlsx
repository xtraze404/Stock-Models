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LB Pharmaceuticals Inc</t>
        </is>
      </c>
      <c r="C2" s="10" t="n"/>
    </row>
    <row r="3">
      <c r="B3" t="inlineStr">
        <is>
          <t>Price</t>
        </is>
      </c>
      <c r="C3" s="11">
        <f>INDEX([1]Pharma!$F$1:$F$1000,MATCH("LBRX",[1]Pharma!$B$1:$B$1000,0))</f>
        <v>41</v>
      </c>
      <c r="F3" s="1" t="n"/>
    </row>
    <row r="4">
      <c r="B4" t="inlineStr">
        <is>
          <t>Shares</t>
        </is>
      </c>
      <c r="C4" s="21" t="n">
        <v>32.259175</v>
      </c>
      <c r="F4" s="1" t="n"/>
    </row>
    <row r="5">
      <c r="B5" t="inlineStr">
        <is>
          <t>Market Cap.</t>
        </is>
      </c>
      <c r="C5" s="13">
        <f>C3*C4</f>
        <v>1322.6261749999999</v>
      </c>
      <c r="F5" s="1" t="n"/>
    </row>
    <row r="6"/>
    <row r="7">
      <c r="B7" t="inlineStr">
        <is>
          <t>Cash</t>
        </is>
      </c>
      <c r="C7" s="21">
        <f>283.111+44.679</f>
        <v>327.78999999999996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994.8361749999999</v>
      </c>
    </row>
    <row r="10"/>
    <row r="11">
      <c r="B11" s="14" t="inlineStr">
        <is>
          <t>rNPV / Share</t>
        </is>
      </c>
      <c r="C11" s="11">
        <f>NPV!B27</f>
        <v>58.26443973577495</v>
      </c>
    </row>
    <row r="12">
      <c r="B12" s="14" t="inlineStr">
        <is>
          <t>Upside</t>
        </is>
      </c>
      <c r="C12" s="15">
        <f>IFERROR(C11/C3-1,"")</f>
        <v>0.4210838959945109</v>
      </c>
    </row>
    <row r="13">
      <c r="B13" s="14" t="inlineStr">
        <is>
          <t>Cash / Share</t>
        </is>
      </c>
      <c r="C13" s="11">
        <f>IFERROR((C7-C8)/C4,"")</f>
        <v>10.16114020274852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-82.395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3.978275380787669</v>
      </c>
    </row>
    <row r="19">
      <c r="B19" s="14" t="inlineStr">
        <is>
          <t>Implied Pipeline Value</t>
        </is>
      </c>
      <c r="C19" s="13">
        <f>C9</f>
        <v>994.8361749999999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2024</v>
      </c>
      <c r="C1" s="17" t="n">
        <v>2025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23" t="n">
        <v>51.171</v>
      </c>
      <c r="C5" s="23" t="n">
        <v>16.744</v>
      </c>
      <c r="D5" s="1" t="n"/>
      <c r="I5" s="1" t="n"/>
      <c r="J5" s="1" t="n"/>
      <c r="K5" s="1" t="n"/>
    </row>
    <row r="6">
      <c r="A6" s="19" t="inlineStr">
        <is>
          <t>SG&amp;A &amp; Other</t>
        </is>
      </c>
      <c r="B6" s="23" t="n">
        <v>13.659</v>
      </c>
      <c r="C6" s="23" t="n">
        <v>13.66</v>
      </c>
      <c r="D6" s="1" t="n"/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64.83</v>
      </c>
      <c r="C7" s="23">
        <f>SUM(C5:C6)</f>
        <v>30.404</v>
      </c>
      <c r="D7" s="1" t="n"/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-64.83</v>
      </c>
      <c r="C8" s="23">
        <f>C4-C7</f>
        <v>-30.404</v>
      </c>
      <c r="D8" s="1" t="n"/>
      <c r="I8" s="1" t="n"/>
      <c r="J8" s="1" t="n"/>
      <c r="K8" s="1" t="n"/>
    </row>
    <row r="9">
      <c r="A9" s="19" t="inlineStr">
        <is>
          <t>Interest &amp; Other</t>
        </is>
      </c>
      <c r="B9" s="23" t="n">
        <v>1.729</v>
      </c>
      <c r="C9" s="23" t="n">
        <v>5.2</v>
      </c>
    </row>
    <row r="10">
      <c r="A10" s="2" t="inlineStr">
        <is>
          <t>Pretax</t>
        </is>
      </c>
      <c r="B10" s="23">
        <f>B8+B9</f>
        <v>-63.101</v>
      </c>
      <c r="C10" s="23">
        <f>C8+C9</f>
        <v>-25.204</v>
      </c>
      <c r="D10" s="1" t="n"/>
      <c r="I10" s="1" t="n"/>
      <c r="J10" s="1" t="n"/>
      <c r="K10" s="1" t="n"/>
    </row>
    <row r="11">
      <c r="A11" s="2" t="inlineStr">
        <is>
          <t>Taxes</t>
        </is>
      </c>
      <c r="B11" s="23" t="n">
        <v>0.001</v>
      </c>
      <c r="C11" s="23" t="n">
        <v>0.001</v>
      </c>
    </row>
    <row r="12">
      <c r="A12" s="2" t="inlineStr">
        <is>
          <t>Net Income</t>
        </is>
      </c>
      <c r="B12" s="23" t="n">
        <v>-63.102</v>
      </c>
      <c r="C12" s="23" t="n">
        <v>-25.205</v>
      </c>
      <c r="D12" s="1" t="n"/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-176.26256983240222</v>
      </c>
      <c r="C13" s="11">
        <f>IFERROR(C12/C14,0)</f>
        <v>-3.133001864512119</v>
      </c>
    </row>
    <row r="14">
      <c r="A14" s="2" t="inlineStr">
        <is>
          <t>Shares</t>
        </is>
      </c>
      <c r="B14" s="23" t="n">
        <v>0.358</v>
      </c>
      <c r="C14" s="23" t="n">
        <v>8.045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LB Pharmaceuticals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0.6081577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95.13500000000001</v>
      </c>
    </row>
    <row r="19">
      <c r="A19" s="14" t="inlineStr">
        <is>
          <t>Years of full burn (until the first launch, max 4)</t>
        </is>
      </c>
      <c r="B19" s="39">
        <f>MIN(4,MAX(1,MIN(Pipeline!I4:I5)-2026))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88.3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1551.7727577133178</v>
      </c>
      <c r="C29" s="42">
        <f>NPV!B25</f>
        <v>1879.5627577133178</v>
      </c>
      <c r="D29" s="43">
        <f>NPV!B27</f>
        <v>58.26443973577495</v>
      </c>
      <c r="E29" s="44">
        <f>NPV!B29</f>
        <v>0.4210838959945109</v>
      </c>
    </row>
    <row r="30">
      <c r="A30" s="45" t="n">
        <v>1</v>
      </c>
      <c r="B30" s="46">
        <f t="dataTable" ref="B30:E32" r1="B4"/>
        <v>506.57308176955905</v>
      </c>
      <c r="C30" s="46">
        <v>834.363081769559</v>
      </c>
      <c r="D30" s="47">
        <v>25.864365154085903</v>
      </c>
      <c r="E30" s="48">
        <v>-0.3691618255100999</v>
      </c>
    </row>
    <row r="31">
      <c r="A31" s="45" t="n">
        <v>2</v>
      </c>
      <c r="B31" s="46">
        <v>1551.7727577133178</v>
      </c>
      <c r="C31" s="46">
        <v>1879.5627577133178</v>
      </c>
      <c r="D31" s="47">
        <v>58.26443973577495</v>
      </c>
      <c r="E31" s="48">
        <v>0.4210838959945109</v>
      </c>
    </row>
    <row r="32">
      <c r="A32" s="45" t="n">
        <v>3</v>
      </c>
      <c r="B32" s="46">
        <v>3172.951106126289</v>
      </c>
      <c r="C32" s="46">
        <v>3500.7411061262887</v>
      </c>
      <c r="D32" s="47">
        <v>108.51923851512908</v>
      </c>
      <c r="E32" s="48">
        <v>1.6468106954909532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58.26443973577495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20.08772103279421</v>
      </c>
      <c r="C37" s="47">
        <v>28.503948672229907</v>
      </c>
      <c r="D37" s="47">
        <v>36.88326821716683</v>
      </c>
      <c r="E37" s="47">
        <v>53.61243877912262</v>
      </c>
      <c r="F37" s="47">
        <v>70.28828810421858</v>
      </c>
    </row>
    <row r="38">
      <c r="A38" s="50" t="n">
        <v>0.8</v>
      </c>
      <c r="B38" s="47">
        <v>25.227797185652665</v>
      </c>
      <c r="C38" s="47">
        <v>36.41472886020578</v>
      </c>
      <c r="D38" s="47">
        <v>47.567509234842966</v>
      </c>
      <c r="E38" s="47">
        <v>69.82367839508936</v>
      </c>
      <c r="F38" s="47">
        <v>92.057878546495</v>
      </c>
    </row>
    <row r="39">
      <c r="A39" s="50" t="n">
        <v>1</v>
      </c>
      <c r="B39" s="47">
        <v>30.38333507827773</v>
      </c>
      <c r="C39" s="47">
        <v>44.33343596949993</v>
      </c>
      <c r="D39" s="47">
        <v>58.26443973577495</v>
      </c>
      <c r="E39" s="47">
        <v>86.05718992503199</v>
      </c>
      <c r="F39" s="47">
        <v>113.84994011428903</v>
      </c>
    </row>
    <row r="40">
      <c r="A40" s="50" t="n">
        <v>1.2</v>
      </c>
      <c r="B40" s="47">
        <v>35.54563370211566</v>
      </c>
      <c r="C40" s="47">
        <v>52.27480426407142</v>
      </c>
      <c r="D40" s="47">
        <v>68.96187235338382</v>
      </c>
      <c r="E40" s="47">
        <v>102.31317258049228</v>
      </c>
      <c r="F40" s="47">
        <v>135.6430118622881</v>
      </c>
    </row>
    <row r="41">
      <c r="A41" s="50" t="n">
        <v>1.4</v>
      </c>
      <c r="B41" s="47">
        <v>40.72146808830521</v>
      </c>
      <c r="C41" s="47">
        <v>60.22685096403042</v>
      </c>
      <c r="D41" s="47">
        <v>79.68177609651036</v>
      </c>
      <c r="E41" s="47">
        <v>118.5916263614702</v>
      </c>
      <c r="F41" s="47">
        <v>157.4483469998507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LB Pharmaceuticals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Schizophrenia / psychosis</t>
        </is>
      </c>
      <c r="C4" s="14" t="inlineStr">
        <is>
          <t>LB-102, LB-102 (50 mg tablet)</t>
        </is>
      </c>
      <c r="D4" s="14" t="inlineStr">
        <is>
          <t>Phase 3</t>
        </is>
      </c>
      <c r="E4" s="14" t="inlineStr">
        <is>
          <t>Psychiatry / chronic</t>
        </is>
      </c>
      <c r="F4" s="14" t="inlineStr">
        <is>
          <t>Owned</t>
        </is>
      </c>
      <c r="G4" s="40" t="n">
        <v>2500</v>
      </c>
      <c r="H4" s="27" t="n">
        <v>0.551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1975.9584596557638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137.75</v>
      </c>
      <c r="Q4" s="23">
        <f>IF(Q$3&lt;$I4,0,$G4*Assumptions!$E$11*INDEX(Assumptions!$B$24:$G$24,MIN(6,Q$3-$I4+1))*IF(Q$3&gt;$J4,(1-Assumptions!$B$26)^(Q$3-$J4),1)*IF($H4&gt;=1,1,MIN(0.97,$H4*Assumptions!$E$12)))</f>
        <v>344.375</v>
      </c>
      <c r="R4" s="23">
        <f>IF(R$3&lt;$I4,0,$G4*Assumptions!$E$11*INDEX(Assumptions!$B$24:$G$24,MIN(6,R$3-$I4+1))*IF(R$3&gt;$J4,(1-Assumptions!$B$26)^(R$3-$J4),1)*IF($H4&gt;=1,1,MIN(0.97,$H4*Assumptions!$E$12)))</f>
        <v>619.875</v>
      </c>
      <c r="S4" s="23">
        <f>IF(S$3&lt;$I4,0,$G4*Assumptions!$E$11*INDEX(Assumptions!$B$24:$G$24,MIN(6,S$3-$I4+1))*IF(S$3&gt;$J4,(1-Assumptions!$B$26)^(S$3-$J4),1)*IF($H4&gt;=1,1,MIN(0.97,$H4*Assumptions!$E$12)))</f>
        <v>895.3750000000001</v>
      </c>
      <c r="T4" s="23">
        <f>IF(T$3&lt;$I4,0,$G4*Assumptions!$E$11*INDEX(Assumptions!$B$24:$G$24,MIN(6,T$3-$I4+1))*IF(T$3&gt;$J4,(1-Assumptions!$B$26)^(T$3-$J4),1)*IF($H4&gt;=1,1,MIN(0.97,$H4*Assumptions!$E$12)))</f>
        <v>1170.875</v>
      </c>
      <c r="U4" s="23">
        <f>IF(U$3&lt;$I4,0,$G4*Assumptions!$E$11*INDEX(Assumptions!$B$24:$G$24,MIN(6,U$3-$I4+1))*IF(U$3&gt;$J4,(1-Assumptions!$B$26)^(U$3-$J4),1)*IF($H4&gt;=1,1,MIN(0.97,$H4*Assumptions!$E$12)))</f>
        <v>1377.5</v>
      </c>
      <c r="V4" s="23">
        <f>IF(V$3&lt;$I4,0,$G4*Assumptions!$E$11*INDEX(Assumptions!$B$24:$G$24,MIN(6,V$3-$I4+1))*IF(V$3&gt;$J4,(1-Assumptions!$B$26)^(V$3-$J4),1)*IF($H4&gt;=1,1,MIN(0.97,$H4*Assumptions!$E$12)))</f>
        <v>1377.5</v>
      </c>
      <c r="W4" s="23">
        <f>IF(W$3&lt;$I4,0,$G4*Assumptions!$E$11*INDEX(Assumptions!$B$24:$G$24,MIN(6,W$3-$I4+1))*IF(W$3&gt;$J4,(1-Assumptions!$B$26)^(W$3-$J4),1)*IF($H4&gt;=1,1,MIN(0.97,$H4*Assumptions!$E$12)))</f>
        <v>1377.5</v>
      </c>
      <c r="X4" s="23">
        <f>IF(X$3&lt;$I4,0,$G4*Assumptions!$E$11*INDEX(Assumptions!$B$24:$G$24,MIN(6,X$3-$I4+1))*IF(X$3&gt;$J4,(1-Assumptions!$B$26)^(X$3-$J4),1)*IF($H4&gt;=1,1,MIN(0.97,$H4*Assumptions!$E$12)))</f>
        <v>1377.5</v>
      </c>
      <c r="Y4" s="23">
        <f>IF(Y$3&lt;$I4,0,$G4*Assumptions!$E$11*INDEX(Assumptions!$B$24:$G$24,MIN(6,Y$3-$I4+1))*IF(Y$3&gt;$J4,(1-Assumptions!$B$26)^(Y$3-$J4),1)*IF($H4&gt;=1,1,MIN(0.97,$H4*Assumptions!$E$12)))</f>
        <v>1377.5</v>
      </c>
      <c r="Z4" s="23">
        <f>IF(Z$3&lt;$I4,0,$G4*Assumptions!$E$11*INDEX(Assumptions!$B$24:$G$24,MIN(6,Z$3-$I4+1))*IF(Z$3&gt;$J4,(1-Assumptions!$B$26)^(Z$3-$J4),1)*IF($H4&gt;=1,1,MIN(0.97,$H4*Assumptions!$E$12)))</f>
        <v>1377.5</v>
      </c>
      <c r="AA4" s="23">
        <f>IF(AA$3&lt;$I4,0,$G4*Assumptions!$E$11*INDEX(Assumptions!$B$24:$G$24,MIN(6,AA$3-$I4+1))*IF(AA$3&gt;$J4,(1-Assumptions!$B$26)^(AA$3-$J4),1)*IF($H4&gt;=1,1,MIN(0.97,$H4*Assumptions!$E$12)))</f>
        <v>1377.5</v>
      </c>
      <c r="AB4" s="23">
        <f>IF(AB$3&lt;$I4,0,$G4*Assumptions!$E$11*INDEX(Assumptions!$B$24:$G$24,MIN(6,AB$3-$I4+1))*IF(AB$3&gt;$J4,(1-Assumptions!$B$26)^(AB$3-$J4),1)*IF($H4&gt;=1,1,MIN(0.97,$H4*Assumptions!$E$12)))</f>
        <v>1377.5</v>
      </c>
      <c r="AC4" s="23">
        <f>IF(AC$3&lt;$I4,0,$G4*Assumptions!$E$11*INDEX(Assumptions!$B$24:$G$24,MIN(6,AC$3-$I4+1))*IF(AC$3&gt;$J4,(1-Assumptions!$B$26)^(AC$3-$J4),1)*IF($H4&gt;=1,1,MIN(0.97,$H4*Assumptions!$E$12)))</f>
        <v>688.75</v>
      </c>
      <c r="AD4" s="23">
        <f>IF(AD$3&lt;$I4,0,$G4*Assumptions!$E$11*INDEX(Assumptions!$B$24:$G$24,MIN(6,AD$3-$I4+1))*IF(AD$3&gt;$J4,(1-Assumptions!$B$26)^(AD$3-$J4),1)*IF($H4&gt;=1,1,MIN(0.97,$H4*Assumptions!$E$12)))</f>
        <v>344.375</v>
      </c>
      <c r="AE4" s="23">
        <f>IF(AE$3&lt;$I4,0,$G4*Assumptions!$E$11*INDEX(Assumptions!$B$24:$G$24,MIN(6,AE$3-$I4+1))*IF(AE$3&gt;$J4,(1-Assumptions!$B$26)^(AE$3-$J4),1)*IF($H4&gt;=1,1,MIN(0.97,$H4*Assumptions!$E$12)))</f>
        <v>172.1875</v>
      </c>
      <c r="AF4" s="23">
        <f>IF(AF$3&lt;$I4,0,$G4*Assumptions!$E$11*INDEX(Assumptions!$B$24:$G$24,MIN(6,AF$3-$I4+1))*IF(AF$3&gt;$J4,(1-Assumptions!$B$26)^(AF$3-$J4),1)*IF($H4&gt;=1,1,MIN(0.97,$H4*Assumptions!$E$12)))</f>
        <v>86.09375</v>
      </c>
      <c r="AG4" s="35">
        <f>IF(F4="Owned",1-IF(H4&gt;=1,1,MIN(0.97,H4*Assumptions!$E$12)),1)</f>
        <v>0.44899999999999995</v>
      </c>
    </row>
    <row r="5">
      <c r="A5" s="39" t="n">
        <v>2</v>
      </c>
      <c r="B5" s="14" t="inlineStr">
        <is>
          <t>Depression / mood</t>
        </is>
      </c>
      <c r="C5" s="14" t="inlineStr">
        <is>
          <t>LB-102</t>
        </is>
      </c>
      <c r="D5" s="14" t="inlineStr">
        <is>
          <t>Phase 2</t>
        </is>
      </c>
      <c r="E5" s="14" t="inlineStr">
        <is>
          <t>Psychiatry / chronic</t>
        </is>
      </c>
      <c r="F5" s="14" t="inlineStr">
        <is>
          <t>Owned</t>
        </is>
      </c>
      <c r="G5" s="40" t="n">
        <v>2000</v>
      </c>
      <c r="H5" s="27" t="n">
        <v>0.1273</v>
      </c>
      <c r="I5" s="26" t="n">
        <v>2031</v>
      </c>
      <c r="J5" s="39">
        <f>I5+Assumptions!$B$25</f>
        <v>2043.0</v>
      </c>
      <c r="K5" s="53">
        <f>Assumptions!$E$13</f>
        <v>0.4</v>
      </c>
      <c r="L5" s="23">
        <f>K5*SUMPRODUCT(M5:AF5,NPV!$C$15:$V$15)</f>
        <v>289.2365443486514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25.46</v>
      </c>
      <c r="S5" s="23">
        <f>IF(S$3&lt;$I5,0,$G5*Assumptions!$E$11*INDEX(Assumptions!$B$24:$G$24,MIN(6,S$3-$I5+1))*IF(S$3&gt;$J5,(1-Assumptions!$B$26)^(S$3-$J5),1)*IF($H5&gt;=1,1,MIN(0.97,$H5*Assumptions!$E$12)))</f>
        <v>63.65</v>
      </c>
      <c r="T5" s="23">
        <f>IF(T$3&lt;$I5,0,$G5*Assumptions!$E$11*INDEX(Assumptions!$B$24:$G$24,MIN(6,T$3-$I5+1))*IF(T$3&gt;$J5,(1-Assumptions!$B$26)^(T$3-$J5),1)*IF($H5&gt;=1,1,MIN(0.97,$H5*Assumptions!$E$12)))</f>
        <v>114.57</v>
      </c>
      <c r="U5" s="23">
        <f>IF(U$3&lt;$I5,0,$G5*Assumptions!$E$11*INDEX(Assumptions!$B$24:$G$24,MIN(6,U$3-$I5+1))*IF(U$3&gt;$J5,(1-Assumptions!$B$26)^(U$3-$J5),1)*IF($H5&gt;=1,1,MIN(0.97,$H5*Assumptions!$E$12)))</f>
        <v>165.49</v>
      </c>
      <c r="V5" s="23">
        <f>IF(V$3&lt;$I5,0,$G5*Assumptions!$E$11*INDEX(Assumptions!$B$24:$G$24,MIN(6,V$3-$I5+1))*IF(V$3&gt;$J5,(1-Assumptions!$B$26)^(V$3-$J5),1)*IF($H5&gt;=1,1,MIN(0.97,$H5*Assumptions!$E$12)))</f>
        <v>216.41</v>
      </c>
      <c r="W5" s="23">
        <f>IF(W$3&lt;$I5,0,$G5*Assumptions!$E$11*INDEX(Assumptions!$B$24:$G$24,MIN(6,W$3-$I5+1))*IF(W$3&gt;$J5,(1-Assumptions!$B$26)^(W$3-$J5),1)*IF($H5&gt;=1,1,MIN(0.97,$H5*Assumptions!$E$12)))</f>
        <v>254.6</v>
      </c>
      <c r="X5" s="23">
        <f>IF(X$3&lt;$I5,0,$G5*Assumptions!$E$11*INDEX(Assumptions!$B$24:$G$24,MIN(6,X$3-$I5+1))*IF(X$3&gt;$J5,(1-Assumptions!$B$26)^(X$3-$J5),1)*IF($H5&gt;=1,1,MIN(0.97,$H5*Assumptions!$E$12)))</f>
        <v>254.6</v>
      </c>
      <c r="Y5" s="23">
        <f>IF(Y$3&lt;$I5,0,$G5*Assumptions!$E$11*INDEX(Assumptions!$B$24:$G$24,MIN(6,Y$3-$I5+1))*IF(Y$3&gt;$J5,(1-Assumptions!$B$26)^(Y$3-$J5),1)*IF($H5&gt;=1,1,MIN(0.97,$H5*Assumptions!$E$12)))</f>
        <v>254.6</v>
      </c>
      <c r="Z5" s="23">
        <f>IF(Z$3&lt;$I5,0,$G5*Assumptions!$E$11*INDEX(Assumptions!$B$24:$G$24,MIN(6,Z$3-$I5+1))*IF(Z$3&gt;$J5,(1-Assumptions!$B$26)^(Z$3-$J5),1)*IF($H5&gt;=1,1,MIN(0.97,$H5*Assumptions!$E$12)))</f>
        <v>254.6</v>
      </c>
      <c r="AA5" s="23">
        <f>IF(AA$3&lt;$I5,0,$G5*Assumptions!$E$11*INDEX(Assumptions!$B$24:$G$24,MIN(6,AA$3-$I5+1))*IF(AA$3&gt;$J5,(1-Assumptions!$B$26)^(AA$3-$J5),1)*IF($H5&gt;=1,1,MIN(0.97,$H5*Assumptions!$E$12)))</f>
        <v>254.6</v>
      </c>
      <c r="AB5" s="23">
        <f>IF(AB$3&lt;$I5,0,$G5*Assumptions!$E$11*INDEX(Assumptions!$B$24:$G$24,MIN(6,AB$3-$I5+1))*IF(AB$3&gt;$J5,(1-Assumptions!$B$26)^(AB$3-$J5),1)*IF($H5&gt;=1,1,MIN(0.97,$H5*Assumptions!$E$12)))</f>
        <v>254.6</v>
      </c>
      <c r="AC5" s="23">
        <f>IF(AC$3&lt;$I5,0,$G5*Assumptions!$E$11*INDEX(Assumptions!$B$24:$G$24,MIN(6,AC$3-$I5+1))*IF(AC$3&gt;$J5,(1-Assumptions!$B$26)^(AC$3-$J5),1)*IF($H5&gt;=1,1,MIN(0.97,$H5*Assumptions!$E$12)))</f>
        <v>254.6</v>
      </c>
      <c r="AD5" s="23">
        <f>IF(AD$3&lt;$I5,0,$G5*Assumptions!$E$11*INDEX(Assumptions!$B$24:$G$24,MIN(6,AD$3-$I5+1))*IF(AD$3&gt;$J5,(1-Assumptions!$B$26)^(AD$3-$J5),1)*IF($H5&gt;=1,1,MIN(0.97,$H5*Assumptions!$E$12)))</f>
        <v>254.6</v>
      </c>
      <c r="AE5" s="23">
        <f>IF(AE$3&lt;$I5,0,$G5*Assumptions!$E$11*INDEX(Assumptions!$B$24:$G$24,MIN(6,AE$3-$I5+1))*IF(AE$3&gt;$J5,(1-Assumptions!$B$26)^(AE$3-$J5),1)*IF($H5&gt;=1,1,MIN(0.97,$H5*Assumptions!$E$12)))</f>
        <v>127.3</v>
      </c>
      <c r="AF5" s="23">
        <f>IF(AF$3&lt;$I5,0,$G5*Assumptions!$E$11*INDEX(Assumptions!$B$24:$G$24,MIN(6,AF$3-$I5+1))*IF(AF$3&gt;$J5,(1-Assumptions!$B$26)^(AF$3-$J5),1)*IF($H5&gt;=1,1,MIN(0.97,$H5*Assumptions!$E$12)))</f>
        <v>63.65</v>
      </c>
      <c r="AG5" s="35">
        <f>IF(F5="Owned",1-IF(H5&gt;=1,1,MIN(0.97,H5*Assumptions!$E$12)),1)</f>
        <v>0.8727</v>
      </c>
    </row>
    <row r="6">
      <c r="B6" s="24" t="inlineStr">
        <is>
          <t>Risked revenue</t>
        </is>
      </c>
      <c r="L6" s="54">
        <f>SUM(L4:L5)</f>
        <v>2265.1950040044153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137.75</v>
      </c>
      <c r="Q6" s="54">
        <f>SUM(Q4:Q5)</f>
        <v>344.375</v>
      </c>
      <c r="R6" s="54">
        <f>SUM(R4:R5)</f>
        <v>645.335</v>
      </c>
      <c r="S6" s="54">
        <f>SUM(S4:S5)</f>
        <v>959.0250000000001</v>
      </c>
      <c r="T6" s="54">
        <f>SUM(T4:T5)</f>
        <v>1285.445</v>
      </c>
      <c r="U6" s="54">
        <f>SUM(U4:U5)</f>
        <v>1542.99</v>
      </c>
      <c r="V6" s="54">
        <f>SUM(V4:V5)</f>
        <v>1593.91</v>
      </c>
      <c r="W6" s="54">
        <f>SUM(W4:W5)</f>
        <v>1632.1</v>
      </c>
      <c r="X6" s="54">
        <f>SUM(X4:X5)</f>
        <v>1632.1</v>
      </c>
      <c r="Y6" s="54">
        <f>SUM(Y4:Y5)</f>
        <v>1632.1</v>
      </c>
      <c r="Z6" s="54">
        <f>SUM(Z4:Z5)</f>
        <v>1632.1</v>
      </c>
      <c r="AA6" s="54">
        <f>SUM(AA4:AA5)</f>
        <v>1632.1</v>
      </c>
      <c r="AB6" s="54">
        <f>SUM(AB4:AB5)</f>
        <v>1632.1</v>
      </c>
      <c r="AC6" s="54">
        <f>SUM(AC4:AC5)</f>
        <v>943.35</v>
      </c>
      <c r="AD6" s="54">
        <f>SUM(AD4:AD5)</f>
        <v>598.975</v>
      </c>
      <c r="AE6" s="54">
        <f>SUM(AE4:AE5)</f>
        <v>299.4875</v>
      </c>
      <c r="AF6" s="54">
        <f>SUM(AF4:AF5)</f>
        <v>149.74375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55.1</v>
      </c>
      <c r="Q7" s="55">
        <f>SUMPRODUCT(Q4:Q5,$K$4:$K$5)</f>
        <v>137.75</v>
      </c>
      <c r="R7" s="55">
        <f>SUMPRODUCT(R4:R5,$K$4:$K$5)</f>
        <v>258.134</v>
      </c>
      <c r="S7" s="55">
        <f>SUMPRODUCT(S4:S5,$K$4:$K$5)</f>
        <v>383.61000000000007</v>
      </c>
      <c r="T7" s="55">
        <f>SUMPRODUCT(T4:T5,$K$4:$K$5)</f>
        <v>514.178</v>
      </c>
      <c r="U7" s="55">
        <f>SUMPRODUCT(U4:U5,$K$4:$K$5)</f>
        <v>617.196</v>
      </c>
      <c r="V7" s="55">
        <f>SUMPRODUCT(V4:V5,$K$4:$K$5)</f>
        <v>637.564</v>
      </c>
      <c r="W7" s="55">
        <f>SUMPRODUCT(W4:W5,$K$4:$K$5)</f>
        <v>652.84</v>
      </c>
      <c r="X7" s="55">
        <f>SUMPRODUCT(X4:X5,$K$4:$K$5)</f>
        <v>652.84</v>
      </c>
      <c r="Y7" s="55">
        <f>SUMPRODUCT(Y4:Y5,$K$4:$K$5)</f>
        <v>652.84</v>
      </c>
      <c r="Z7" s="55">
        <f>SUMPRODUCT(Z4:Z5,$K$4:$K$5)</f>
        <v>652.84</v>
      </c>
      <c r="AA7" s="55">
        <f>SUMPRODUCT(AA4:AA5,$K$4:$K$5)</f>
        <v>652.84</v>
      </c>
      <c r="AB7" s="55">
        <f>SUMPRODUCT(AB4:AB5,$K$4:$K$5)</f>
        <v>652.84</v>
      </c>
      <c r="AC7" s="55">
        <f>SUMPRODUCT(AC4:AC5,$K$4:$K$5)</f>
        <v>377.34000000000003</v>
      </c>
      <c r="AD7" s="55">
        <f>SUMPRODUCT(AD4:AD5,$K$4:$K$5)</f>
        <v>239.59</v>
      </c>
      <c r="AE7" s="55">
        <f>SUMPRODUCT(AE4:AE5,$K$4:$K$5)</f>
        <v>119.795</v>
      </c>
      <c r="AF7" s="55">
        <f>SUMPRODUCT(AF4:AF5,$K$4:$K$5)</f>
        <v>59.8975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LB Pharmaceuticals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137.75</v>
      </c>
      <c r="G4" s="57">
        <f>Pipeline!Q6</f>
        <v>344.375</v>
      </c>
      <c r="H4" s="57">
        <f>Pipeline!R6</f>
        <v>645.335</v>
      </c>
      <c r="I4" s="57">
        <f>Pipeline!S6</f>
        <v>959.0250000000001</v>
      </c>
      <c r="J4" s="57">
        <f>Pipeline!T6</f>
        <v>1285.445</v>
      </c>
      <c r="K4" s="57">
        <f>Pipeline!U6</f>
        <v>1542.99</v>
      </c>
      <c r="L4" s="57">
        <f>Pipeline!V6</f>
        <v>1593.91</v>
      </c>
      <c r="M4" s="57">
        <f>Pipeline!W6</f>
        <v>1632.1</v>
      </c>
      <c r="N4" s="57">
        <f>Pipeline!X6</f>
        <v>1632.1</v>
      </c>
      <c r="O4" s="57">
        <f>Pipeline!Y6</f>
        <v>1632.1</v>
      </c>
      <c r="P4" s="57">
        <f>Pipeline!Z6</f>
        <v>1632.1</v>
      </c>
      <c r="Q4" s="57">
        <f>Pipeline!AA6</f>
        <v>1632.1</v>
      </c>
      <c r="R4" s="57">
        <f>Pipeline!AB6</f>
        <v>1632.1</v>
      </c>
      <c r="S4" s="57">
        <f>Pipeline!AC6</f>
        <v>943.35</v>
      </c>
      <c r="T4" s="57">
        <f>Pipeline!AD6</f>
        <v>598.975</v>
      </c>
      <c r="U4" s="57">
        <f>Pipeline!AE6</f>
        <v>299.4875</v>
      </c>
      <c r="V4" s="57">
        <f>Pipeline!AF6</f>
        <v>149.74375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55.1</v>
      </c>
      <c r="G5" s="57">
        <f>Pipeline!Q7</f>
        <v>137.75</v>
      </c>
      <c r="H5" s="57">
        <f>Pipeline!R7</f>
        <v>258.134</v>
      </c>
      <c r="I5" s="57">
        <f>Pipeline!S7</f>
        <v>383.61000000000007</v>
      </c>
      <c r="J5" s="57">
        <f>Pipeline!T7</f>
        <v>514.178</v>
      </c>
      <c r="K5" s="57">
        <f>Pipeline!U7</f>
        <v>617.196</v>
      </c>
      <c r="L5" s="57">
        <f>Pipeline!V7</f>
        <v>637.564</v>
      </c>
      <c r="M5" s="57">
        <f>Pipeline!W7</f>
        <v>652.84</v>
      </c>
      <c r="N5" s="57">
        <f>Pipeline!X7</f>
        <v>652.84</v>
      </c>
      <c r="O5" s="57">
        <f>Pipeline!Y7</f>
        <v>652.84</v>
      </c>
      <c r="P5" s="57">
        <f>Pipeline!Z7</f>
        <v>652.84</v>
      </c>
      <c r="Q5" s="57">
        <f>Pipeline!AA7</f>
        <v>652.84</v>
      </c>
      <c r="R5" s="57">
        <f>Pipeline!AB7</f>
        <v>652.84</v>
      </c>
      <c r="S5" s="57">
        <f>Pipeline!AC7</f>
        <v>377.34000000000003</v>
      </c>
      <c r="T5" s="57">
        <f>Pipeline!AD7</f>
        <v>239.59</v>
      </c>
      <c r="U5" s="57">
        <f>Pipeline!AE7</f>
        <v>119.795</v>
      </c>
      <c r="V5" s="57">
        <f>Pipeline!AF7</f>
        <v>59.8975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-95.135</v>
      </c>
      <c r="D6" s="23">
        <f>-IF(D3-2026&lt;Assumptions!$B$19,Assumptions!$B$18,Assumptions!$B$18*Assumptions!$B$20*Assumptions!$B$16)</f>
        <v>-95.135</v>
      </c>
      <c r="E6" s="23">
        <f>-IF(E3-2026&lt;Assumptions!$B$19,Assumptions!$B$18,Assumptions!$B$18*Assumptions!$B$20*Assumptions!$B$16)</f>
        <v>-95.135</v>
      </c>
      <c r="F6" s="23">
        <f>-IF(F3-2026&lt;Assumptions!$B$19,Assumptions!$B$18,Assumptions!$B$18*Assumptions!$B$20*Assumptions!$B$16)</f>
        <v>-17.35712483685</v>
      </c>
      <c r="G6" s="23">
        <f>-IF(G3-2026&lt;Assumptions!$B$19,Assumptions!$B$18,Assumptions!$B$18*Assumptions!$B$20*Assumptions!$B$16)</f>
        <v>-17.35712483685</v>
      </c>
      <c r="H6" s="23">
        <f>-IF(H3-2026&lt;Assumptions!$B$19,Assumptions!$B$18,Assumptions!$B$18*Assumptions!$B$20*Assumptions!$B$16)</f>
        <v>-17.35712483685</v>
      </c>
      <c r="I6" s="23">
        <f>-IF(I3-2026&lt;Assumptions!$B$19,Assumptions!$B$18,Assumptions!$B$18*Assumptions!$B$20*Assumptions!$B$16)</f>
        <v>-17.35712483685</v>
      </c>
      <c r="J6" s="23">
        <f>-IF(J3-2026&lt;Assumptions!$B$19,Assumptions!$B$18,Assumptions!$B$18*Assumptions!$B$20*Assumptions!$B$16)</f>
        <v>-17.35712483685</v>
      </c>
      <c r="K6" s="23">
        <f>-IF(K3-2026&lt;Assumptions!$B$19,Assumptions!$B$18,Assumptions!$B$18*Assumptions!$B$20*Assumptions!$B$16)</f>
        <v>-17.35712483685</v>
      </c>
      <c r="L6" s="23">
        <f>-IF(L3-2026&lt;Assumptions!$B$19,Assumptions!$B$18,Assumptions!$B$18*Assumptions!$B$20*Assumptions!$B$16)</f>
        <v>-17.35712483685</v>
      </c>
      <c r="M6" s="23">
        <f>-IF(M3-2026&lt;Assumptions!$B$19,Assumptions!$B$18,Assumptions!$B$18*Assumptions!$B$20*Assumptions!$B$16)</f>
        <v>-17.35712483685</v>
      </c>
      <c r="N6" s="23">
        <f>-IF(N3-2026&lt;Assumptions!$B$19,Assumptions!$B$18,Assumptions!$B$18*Assumptions!$B$20*Assumptions!$B$16)</f>
        <v>-17.35712483685</v>
      </c>
      <c r="O6" s="23">
        <f>-IF(O3-2026&lt;Assumptions!$B$19,Assumptions!$B$18,Assumptions!$B$18*Assumptions!$B$20*Assumptions!$B$16)</f>
        <v>-17.35712483685</v>
      </c>
      <c r="P6" s="23">
        <f>-IF(P3-2026&lt;Assumptions!$B$19,Assumptions!$B$18,Assumptions!$B$18*Assumptions!$B$20*Assumptions!$B$16)</f>
        <v>-17.35712483685</v>
      </c>
      <c r="Q6" s="23">
        <f>-IF(Q3-2026&lt;Assumptions!$B$19,Assumptions!$B$18,Assumptions!$B$18*Assumptions!$B$20*Assumptions!$B$16)</f>
        <v>-17.35712483685</v>
      </c>
      <c r="R6" s="23">
        <f>-IF(R3-2026&lt;Assumptions!$B$19,Assumptions!$B$18,Assumptions!$B$18*Assumptions!$B$20*Assumptions!$B$16)</f>
        <v>-17.35712483685</v>
      </c>
      <c r="S6" s="23">
        <f>-IF(S3-2026&lt;Assumptions!$B$19,Assumptions!$B$18,Assumptions!$B$18*Assumptions!$B$20*Assumptions!$B$16)</f>
        <v>-17.35712483685</v>
      </c>
      <c r="T6" s="23">
        <f>-IF(T3-2026&lt;Assumptions!$B$19,Assumptions!$B$18,Assumptions!$B$18*Assumptions!$B$20*Assumptions!$B$16)</f>
        <v>-17.35712483685</v>
      </c>
      <c r="U6" s="23">
        <f>-IF(U3-2026&lt;Assumptions!$B$19,Assumptions!$B$18,Assumptions!$B$18*Assumptions!$B$20*Assumptions!$B$16)</f>
        <v>-17.35712483685</v>
      </c>
      <c r="V6" s="23">
        <f>-IF(V3-2026&lt;Assumptions!$B$19,Assumptions!$B$18,Assumptions!$B$18*Assumptions!$B$20*Assumptions!$B$16)</f>
        <v>-17.35712483685</v>
      </c>
    </row>
    <row r="7">
      <c r="A7" s="14" t="inlineStr">
        <is>
          <t>Pre-tax cash flow</t>
        </is>
      </c>
      <c r="C7" s="23">
        <f>C5+C6</f>
        <v>-95.135</v>
      </c>
      <c r="D7" s="23">
        <f>D5+D6</f>
        <v>-95.135</v>
      </c>
      <c r="E7" s="23">
        <f>E5+E6</f>
        <v>-95.135</v>
      </c>
      <c r="F7" s="23">
        <f>F5+F6</f>
        <v>37.74287516315</v>
      </c>
      <c r="G7" s="23">
        <f>G5+G6</f>
        <v>120.39287516315</v>
      </c>
      <c r="H7" s="23">
        <f>H5+H6</f>
        <v>240.77687516315</v>
      </c>
      <c r="I7" s="23">
        <f>I5+I6</f>
        <v>366.25287516315007</v>
      </c>
      <c r="J7" s="23">
        <f>J5+J6</f>
        <v>496.82087516315</v>
      </c>
      <c r="K7" s="23">
        <f>K5+K6</f>
        <v>599.8388751631501</v>
      </c>
      <c r="L7" s="23">
        <f>L5+L6</f>
        <v>620.20687516315</v>
      </c>
      <c r="M7" s="23">
        <f>M5+M6</f>
        <v>635.4828751631501</v>
      </c>
      <c r="N7" s="23">
        <f>N5+N6</f>
        <v>635.4828751631501</v>
      </c>
      <c r="O7" s="23">
        <f>O5+O6</f>
        <v>635.4828751631501</v>
      </c>
      <c r="P7" s="23">
        <f>P5+P6</f>
        <v>635.4828751631501</v>
      </c>
      <c r="Q7" s="23">
        <f>Q5+Q6</f>
        <v>635.4828751631501</v>
      </c>
      <c r="R7" s="23">
        <f>R5+R6</f>
        <v>635.4828751631501</v>
      </c>
      <c r="S7" s="23">
        <f>S5+S6</f>
        <v>359.98287516315</v>
      </c>
      <c r="T7" s="23">
        <f>T5+T6</f>
        <v>222.23287516315</v>
      </c>
      <c r="U7" s="23">
        <f>U5+U6</f>
        <v>102.43787516315</v>
      </c>
      <c r="V7" s="23">
        <f>V5+V6</f>
        <v>42.54037516315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37.74287516315</v>
      </c>
      <c r="G8" s="23">
        <f>MIN(F17,MAX(0,G7))</f>
        <v>120.39287516315</v>
      </c>
      <c r="H8" s="23">
        <f>MIN(G17,MAX(0,H7))</f>
        <v>215.56924967369997</v>
      </c>
      <c r="I8" s="23">
        <f>MIN(H17,MAX(0,I7))</f>
        <v>0.0</v>
      </c>
      <c r="J8" s="23">
        <f>MIN(I17,MAX(0,J7))</f>
        <v>0.0</v>
      </c>
      <c r="K8" s="23">
        <f>MIN(J17,MAX(0,K7))</f>
        <v>0.0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25.207625489450038</v>
      </c>
      <c r="I9" s="23">
        <f>MAX(0,I7)-I8</f>
        <v>366.25287516315007</v>
      </c>
      <c r="J9" s="23">
        <f>MAX(0,J7)-J8</f>
        <v>496.82087516315</v>
      </c>
      <c r="K9" s="23">
        <f>MAX(0,K7)-K8</f>
        <v>599.8388751631501</v>
      </c>
      <c r="L9" s="23">
        <f>MAX(0,L7)-L8</f>
        <v>620.20687516315</v>
      </c>
      <c r="M9" s="23">
        <f>MAX(0,M7)-M8</f>
        <v>635.4828751631501</v>
      </c>
      <c r="N9" s="23">
        <f>MAX(0,N7)-N8</f>
        <v>635.4828751631501</v>
      </c>
      <c r="O9" s="23">
        <f>MAX(0,O7)-O8</f>
        <v>635.4828751631501</v>
      </c>
      <c r="P9" s="23">
        <f>MAX(0,P7)-P8</f>
        <v>635.4828751631501</v>
      </c>
      <c r="Q9" s="23">
        <f>MAX(0,Q7)-Q8</f>
        <v>635.4828751631501</v>
      </c>
      <c r="R9" s="23">
        <f>MAX(0,R7)-R8</f>
        <v>635.4828751631501</v>
      </c>
      <c r="S9" s="23">
        <f>MAX(0,S7)-S8</f>
        <v>359.98287516315</v>
      </c>
      <c r="T9" s="23">
        <f>MAX(0,T7)-T8</f>
        <v>222.23287516315</v>
      </c>
      <c r="U9" s="23">
        <f>MAX(0,U7)-U8</f>
        <v>102.43787516315</v>
      </c>
      <c r="V9" s="23">
        <f>MAX(0,V7)-V8</f>
        <v>42.54037516315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5.293601352784508</v>
      </c>
      <c r="I10" s="23">
        <f>I9*Assumptions!$E$15</f>
        <v>76.91310378426151</v>
      </c>
      <c r="J10" s="23">
        <f>J9*Assumptions!$E$15</f>
        <v>104.3323837842615</v>
      </c>
      <c r="K10" s="23">
        <f>K9*Assumptions!$E$15</f>
        <v>125.96616378426151</v>
      </c>
      <c r="L10" s="23">
        <f>L9*Assumptions!$E$15</f>
        <v>130.2434437842615</v>
      </c>
      <c r="M10" s="23">
        <f>M9*Assumptions!$E$15</f>
        <v>133.45140378426152</v>
      </c>
      <c r="N10" s="23">
        <f>N9*Assumptions!$E$15</f>
        <v>133.45140378426152</v>
      </c>
      <c r="O10" s="23">
        <f>O9*Assumptions!$E$15</f>
        <v>133.45140378426152</v>
      </c>
      <c r="P10" s="23">
        <f>P9*Assumptions!$E$15</f>
        <v>133.45140378426152</v>
      </c>
      <c r="Q10" s="23">
        <f>Q9*Assumptions!$E$15</f>
        <v>133.45140378426152</v>
      </c>
      <c r="R10" s="23">
        <f>R9*Assumptions!$E$15</f>
        <v>133.45140378426152</v>
      </c>
      <c r="S10" s="23">
        <f>S9*Assumptions!$E$15</f>
        <v>75.5964037842615</v>
      </c>
      <c r="T10" s="23">
        <f>T9*Assumptions!$E$15</f>
        <v>46.668903784261495</v>
      </c>
      <c r="U10" s="23">
        <f>U9*Assumptions!$E$15</f>
        <v>21.511953784261497</v>
      </c>
      <c r="V10" s="23">
        <f>V9*Assumptions!$E$15</f>
        <v>8.933478784261501</v>
      </c>
    </row>
    <row r="11">
      <c r="A11" s="24" t="inlineStr">
        <is>
          <t>Free cash flow</t>
        </is>
      </c>
      <c r="C11" s="55">
        <f>C7-C10</f>
        <v>-95.135</v>
      </c>
      <c r="D11" s="55">
        <f>D7-D10</f>
        <v>-95.135</v>
      </c>
      <c r="E11" s="55">
        <f>E7-E10</f>
        <v>-95.135</v>
      </c>
      <c r="F11" s="55">
        <f>F7-F10</f>
        <v>37.74287516315</v>
      </c>
      <c r="G11" s="55">
        <f>G7-G10</f>
        <v>120.39287516315</v>
      </c>
      <c r="H11" s="55">
        <f>H7-H10</f>
        <v>235.4832738103655</v>
      </c>
      <c r="I11" s="55">
        <f>I7-I10</f>
        <v>289.33977137888854</v>
      </c>
      <c r="J11" s="55">
        <f>J7-J10</f>
        <v>392.4884913788885</v>
      </c>
      <c r="K11" s="55">
        <f>K7-K10</f>
        <v>473.87271137888854</v>
      </c>
      <c r="L11" s="55">
        <f>L7-L10</f>
        <v>489.9634313788885</v>
      </c>
      <c r="M11" s="55">
        <f>M7-M10</f>
        <v>502.03147137888857</v>
      </c>
      <c r="N11" s="55">
        <f>N7-N10</f>
        <v>502.03147137888857</v>
      </c>
      <c r="O11" s="55">
        <f>O7-O10</f>
        <v>502.03147137888857</v>
      </c>
      <c r="P11" s="55">
        <f>P7-P10</f>
        <v>502.03147137888857</v>
      </c>
      <c r="Q11" s="55">
        <f>Q7-Q10</f>
        <v>502.03147137888857</v>
      </c>
      <c r="R11" s="55">
        <f>R7-R10</f>
        <v>502.03147137888857</v>
      </c>
      <c r="S11" s="55">
        <f>S7-S10</f>
        <v>284.38647137888853</v>
      </c>
      <c r="T11" s="55">
        <f>T7-T10</f>
        <v>175.5639713788885</v>
      </c>
      <c r="U11" s="55">
        <f>U7-U10</f>
        <v>80.9259213788885</v>
      </c>
      <c r="V11" s="55">
        <f>V7-V10</f>
        <v>33.6068963788885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-46.607050243509796</v>
      </c>
      <c r="D16" s="55">
        <f>D11*D15</f>
        <v>-84.90250537299538</v>
      </c>
      <c r="E16" s="55">
        <f>E11*E15</f>
        <v>-75.80580836874586</v>
      </c>
      <c r="F16" s="55">
        <f>F11*F15</f>
        <v>26.85215334884306</v>
      </c>
      <c r="G16" s="55">
        <f>G11*G15</f>
        <v>76.47630588778722</v>
      </c>
      <c r="H16" s="55">
        <f>H11*H15</f>
        <v>133.55746205743947</v>
      </c>
      <c r="I16" s="55">
        <f>I11*I15</f>
        <v>146.52043658509507</v>
      </c>
      <c r="J16" s="55">
        <f>J11*J15</f>
        <v>177.45938586505233</v>
      </c>
      <c r="K16" s="55">
        <f>K11*K15</f>
        <v>191.300332427012</v>
      </c>
      <c r="L16" s="55">
        <f>L11*L15</f>
        <v>176.60364769973566</v>
      </c>
      <c r="M16" s="55">
        <f>M11*M15</f>
        <v>161.56560919262031</v>
      </c>
      <c r="N16" s="55">
        <f>N11*N15</f>
        <v>144.2550082076967</v>
      </c>
      <c r="O16" s="55">
        <f>O11*O15</f>
        <v>128.79911447115774</v>
      </c>
      <c r="P16" s="55">
        <f>P11*P15</f>
        <v>114.99920934924798</v>
      </c>
      <c r="Q16" s="55">
        <f>Q11*Q15</f>
        <v>102.67786549039998</v>
      </c>
      <c r="R16" s="55">
        <f>R11*R15</f>
        <v>91.67666561642855</v>
      </c>
      <c r="S16" s="55">
        <f>S11*S15</f>
        <v>46.3680440100371</v>
      </c>
      <c r="T16" s="55">
        <f>T11*T15</f>
        <v>25.558020670159493</v>
      </c>
      <c r="U16" s="55">
        <f>U11*U15</f>
        <v>10.51868502845811</v>
      </c>
      <c r="V16" s="55">
        <f>V11*V15</f>
        <v>3.900175791398181</v>
      </c>
    </row>
    <row r="17">
      <c r="A17" s="14" t="inlineStr">
        <is>
          <t>Tax-loss carryforward, end of year</t>
        </is>
      </c>
      <c r="C17" s="23">
        <f>Assumptions!$B$21-C8+MAX(0,-C7)</f>
        <v>183.435</v>
      </c>
      <c r="D17" s="23">
        <f>C17-D8+MAX(0,-D7)</f>
        <v>278.57</v>
      </c>
      <c r="E17" s="23">
        <f>D17-E8+MAX(0,-E7)</f>
        <v>373.705</v>
      </c>
      <c r="F17" s="23">
        <f>E17-F8+MAX(0,-F7)</f>
        <v>335.96212483684997</v>
      </c>
      <c r="G17" s="23">
        <f>F17-G8+MAX(0,-G7)</f>
        <v>215.56924967369997</v>
      </c>
      <c r="H17" s="23">
        <f>G17-H8+MAX(0,-H7)</f>
        <v>0.0</v>
      </c>
      <c r="I17" s="23">
        <f>H17-I8+MAX(0,-I7)</f>
        <v>0.0</v>
      </c>
      <c r="J17" s="23">
        <f>I17-J8+MAX(0,-J7)</f>
        <v>0.0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2265.195004004415</v>
      </c>
    </row>
    <row r="20">
      <c r="A20" s="14" t="inlineStr">
        <is>
          <t>PV of corporate burn</t>
        </is>
      </c>
      <c r="B20" s="23">
        <f>SUMPRODUCT(C6:V6,C15:V15)</f>
        <v>-305.7838821169287</v>
      </c>
    </row>
    <row r="21">
      <c r="A21" s="14" t="inlineStr">
        <is>
          <t>PV of taxes</t>
        </is>
      </c>
      <c r="B21" s="23">
        <f>-SUMPRODUCT(C10:V10,C15:V15)</f>
        <v>-407.63836417416843</v>
      </c>
    </row>
    <row r="22">
      <c r="A22" s="24" t="inlineStr">
        <is>
          <t>Pipeline rNPV (operations)</t>
        </is>
      </c>
      <c r="B22" s="54">
        <f>SUM(C16:V16)</f>
        <v>1551.7727577133178</v>
      </c>
    </row>
    <row r="23">
      <c r="A23" s="14" t="inlineStr">
        <is>
          <t>Cash &amp; investments</t>
        </is>
      </c>
      <c r="B23" s="57">
        <f>Main!C7</f>
        <v>327.78999999999996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1879.5627577133178</v>
      </c>
    </row>
    <row r="26">
      <c r="A26" s="14" t="inlineStr">
        <is>
          <t>Shares (mm)</t>
        </is>
      </c>
      <c r="B26" s="57">
        <f>Main!C4</f>
        <v>32.259175</v>
      </c>
    </row>
    <row r="27">
      <c r="A27" s="24" t="inlineStr">
        <is>
          <t>rNPV / share</t>
        </is>
      </c>
      <c r="B27" s="60">
        <f>B25/B26</f>
        <v>58.26443973577495</v>
      </c>
    </row>
    <row r="28">
      <c r="A28" s="14" t="inlineStr">
        <is>
          <t>Price</t>
        </is>
      </c>
      <c r="B28" s="61">
        <f>Main!C3</f>
        <v>41</v>
      </c>
    </row>
    <row r="29">
      <c r="A29" s="14" t="inlineStr">
        <is>
          <t>Upside</t>
        </is>
      </c>
      <c r="B29" s="62">
        <f>B27/B28-1</f>
        <v>0.4210838959945109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2026-10-21T06:23:33Z</dcterms:modified>
  <cp:lastModifiedBy>Wang, Eric</cp:lastModifiedBy>
</cp:coreProperties>
</file>