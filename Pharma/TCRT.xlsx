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Alaunos Therapeutics Inc</t>
        </is>
      </c>
      <c r="C2" s="10" t="n"/>
    </row>
    <row r="3">
      <c r="B3" t="inlineStr">
        <is>
          <t>Price</t>
        </is>
      </c>
      <c r="C3" s="11">
        <f>INDEX([1]Pharma!$F$1:$F$1000,MATCH("TCRT",[1]Pharma!$B$1:$B$1000,0))</f>
        <v>2.97</v>
      </c>
      <c r="F3" s="1" t="n"/>
    </row>
    <row r="4">
      <c r="B4" t="inlineStr">
        <is>
          <t>Shares</t>
        </is>
      </c>
      <c r="C4" s="21" t="n">
        <v>2.54048</v>
      </c>
      <c r="F4" s="1" t="n"/>
    </row>
    <row r="5">
      <c r="B5" t="inlineStr">
        <is>
          <t>Market Cap.</t>
        </is>
      </c>
      <c r="C5" s="13">
        <f>C3*C4</f>
        <v>7.545225600000001</v>
      </c>
      <c r="F5" s="1" t="n"/>
    </row>
    <row r="6"/>
    <row r="7">
      <c r="B7" t="inlineStr">
        <is>
          <t>Cash</t>
        </is>
      </c>
      <c r="C7" s="21" t="n">
        <v>0.124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7.421225600000001</v>
      </c>
    </row>
    <row r="10"/>
    <row r="11">
      <c r="B11" s="14" t="inlineStr">
        <is>
          <t>Net Cash / Share</t>
        </is>
      </c>
      <c r="C11" s="11">
        <f>(C7-C8)/C4</f>
        <v>0.04880967376243859</v>
      </c>
    </row>
    <row r="12">
      <c r="B12" s="14" t="inlineStr">
        <is>
          <t>Upside</t>
        </is>
      </c>
      <c r="C12" s="15">
        <f>IFERROR(C11/C3-1,"")</f>
        <v>-0.9835657664099533</v>
      </c>
    </row>
    <row r="13">
      <c r="B13" s="14" t="inlineStr">
        <is>
          <t>Cash / Share</t>
        </is>
      </c>
      <c r="C13" s="11">
        <f>IFERROR((C7-C8)/C4,"")</f>
        <v>0.04880967376243859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-2.727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0.04547121378804547</v>
      </c>
    </row>
    <row r="19">
      <c r="B19" s="14" t="inlineStr">
        <is>
          <t>Implied Pipeline Value</t>
        </is>
      </c>
      <c r="C19" s="13">
        <f>C9</f>
        <v>7.421225600000001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2004</v>
      </c>
      <c r="C1" s="17" t="n">
        <v>2005</v>
      </c>
      <c r="D1" s="17" t="n">
        <v>2006</v>
      </c>
      <c r="E1" s="17" t="n">
        <v>2007</v>
      </c>
      <c r="F1" s="17" t="n">
        <v>2008</v>
      </c>
      <c r="G1" s="17" t="n">
        <v>2009</v>
      </c>
      <c r="H1" s="17" t="n">
        <v>2010</v>
      </c>
      <c r="I1" s="17" t="n">
        <v>2011</v>
      </c>
      <c r="J1" s="17" t="n">
        <v>2012</v>
      </c>
      <c r="K1" s="17" t="n">
        <v>2013</v>
      </c>
      <c r="L1" s="17" t="n">
        <v>2014</v>
      </c>
      <c r="M1" s="17" t="n">
        <v>2015</v>
      </c>
      <c r="N1" s="17" t="n">
        <v>2016</v>
      </c>
      <c r="O1" s="17" t="n">
        <v>2017</v>
      </c>
      <c r="P1" s="17" t="n">
        <v>2018</v>
      </c>
      <c r="Q1" s="17" t="n">
        <v>2019</v>
      </c>
      <c r="R1" s="17" t="n">
        <v>2020</v>
      </c>
      <c r="S1" s="17" t="n">
        <v>2021</v>
      </c>
      <c r="T1" s="17" t="n">
        <v>2022</v>
      </c>
      <c r="U1" s="17" t="n">
        <v>2023</v>
      </c>
      <c r="V1" s="17" t="n">
        <v>2024</v>
      </c>
      <c r="W1" s="17" t="n">
        <v>2025</v>
      </c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0.667</v>
      </c>
      <c r="J2" s="23" t="n">
        <v>0.8</v>
      </c>
      <c r="K2" s="23" t="n">
        <v>0</v>
      </c>
      <c r="L2" s="23" t="n">
        <v>0</v>
      </c>
      <c r="M2" s="23" t="n">
        <v>0</v>
      </c>
      <c r="N2" s="23" t="n">
        <v>6.861</v>
      </c>
      <c r="O2" s="23" t="n">
        <v>15.9</v>
      </c>
      <c r="P2" s="23" t="n">
        <v>0.146</v>
      </c>
      <c r="Q2" s="23" t="n">
        <v>0</v>
      </c>
      <c r="R2" s="23" t="n">
        <v>0</v>
      </c>
      <c r="S2" s="23" t="n">
        <v>0.398</v>
      </c>
      <c r="T2" s="23" t="n">
        <v>2.922</v>
      </c>
      <c r="U2" s="23" t="n">
        <v>0.005</v>
      </c>
      <c r="V2" s="23" t="n">
        <v>0.01</v>
      </c>
      <c r="W2" s="23" t="n">
        <v>0.005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0.667</v>
      </c>
      <c r="J4" s="23">
        <f>J2-J3</f>
        <v>0.8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6.861</v>
      </c>
      <c r="O4" s="23">
        <f>O2-O3</f>
        <v>15.9</v>
      </c>
      <c r="P4" s="23">
        <f>P2-P3</f>
        <v>0.146</v>
      </c>
      <c r="Q4" s="23">
        <f>Q2-Q3</f>
        <v>0.0</v>
      </c>
      <c r="R4" s="23">
        <f>R2-R3</f>
        <v>0.0</v>
      </c>
      <c r="S4" s="23">
        <f>S2-S3</f>
        <v>0.398</v>
      </c>
      <c r="T4" s="23">
        <f>T2-T3</f>
        <v>2.922</v>
      </c>
      <c r="U4" s="23">
        <f>U2-U3</f>
        <v>0.005</v>
      </c>
      <c r="V4" s="23">
        <f>V2-V3</f>
        <v>0.01</v>
      </c>
      <c r="W4" s="23">
        <f>W2-W3</f>
        <v>0.005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4.556</v>
      </c>
      <c r="H5" s="23" t="n">
        <v>12.91</v>
      </c>
      <c r="I5" s="23" t="n">
        <v>57.083</v>
      </c>
      <c r="J5" s="23" t="n">
        <v>83.446</v>
      </c>
      <c r="K5" s="23" t="n">
        <v>42.852</v>
      </c>
      <c r="L5" s="23" t="n">
        <v>32.706</v>
      </c>
      <c r="M5" s="23" t="n">
        <v>106.785</v>
      </c>
      <c r="N5" s="23" t="n">
        <v>157.791</v>
      </c>
      <c r="O5" s="23" t="n">
        <v>45.084</v>
      </c>
      <c r="P5" s="23" t="n">
        <v>34.134</v>
      </c>
      <c r="Q5" s="23" t="n">
        <v>38.331</v>
      </c>
      <c r="R5" s="23" t="n">
        <v>52.696</v>
      </c>
      <c r="S5" s="23" t="n">
        <v>49.643</v>
      </c>
      <c r="T5" s="23" t="n">
        <v>25.018</v>
      </c>
      <c r="U5" s="23" t="n">
        <v>16.279</v>
      </c>
      <c r="V5" s="23" t="n">
        <v>0.362</v>
      </c>
      <c r="W5" s="23" t="n">
        <v>1.363</v>
      </c>
    </row>
    <row r="6">
      <c r="A6" s="19" t="inlineStr">
        <is>
          <t>SG&amp;A &amp; Other</t>
        </is>
      </c>
      <c r="B6" s="23" t="n">
        <v>0.251</v>
      </c>
      <c r="C6" s="23" t="n">
        <v>0.045</v>
      </c>
      <c r="D6" s="23" t="n">
        <v>17.857</v>
      </c>
      <c r="E6" s="23" t="n">
        <v>26.608</v>
      </c>
      <c r="F6" s="23" t="n">
        <v>25.231</v>
      </c>
      <c r="G6" s="23" t="n">
        <v>7.567</v>
      </c>
      <c r="H6" s="23" t="n">
        <v>11.636</v>
      </c>
      <c r="I6" s="23" t="n">
        <v>14.984</v>
      </c>
      <c r="J6" s="23" t="n">
        <v>19.523</v>
      </c>
      <c r="K6" s="23" t="n">
        <v>14.861</v>
      </c>
      <c r="L6" s="23" t="n">
        <v>10.793</v>
      </c>
      <c r="M6" s="23" t="n">
        <v>13.315</v>
      </c>
      <c r="N6" s="23" t="n">
        <v>14.377</v>
      </c>
      <c r="O6" s="23" t="n">
        <v>24.309</v>
      </c>
      <c r="P6" s="23" t="n">
        <v>19.918</v>
      </c>
      <c r="Q6" s="23" t="n">
        <v>19.527</v>
      </c>
      <c r="R6" s="23" t="n">
        <v>27.665</v>
      </c>
      <c r="S6" s="23" t="n">
        <v>28.304</v>
      </c>
      <c r="T6" s="23" t="n">
        <v>13.009</v>
      </c>
      <c r="U6" s="23" t="n">
        <v>17.993</v>
      </c>
      <c r="V6" s="23" t="n">
        <v>4.46</v>
      </c>
      <c r="W6" s="23" t="n">
        <v>2.867</v>
      </c>
    </row>
    <row r="7">
      <c r="A7" s="2" t="inlineStr">
        <is>
          <t>Operating Expense</t>
        </is>
      </c>
      <c r="B7" s="23">
        <f>SUM(B5:B6)</f>
        <v>0.251</v>
      </c>
      <c r="C7" s="23">
        <f>SUM(C5:C6)</f>
        <v>0.045</v>
      </c>
      <c r="D7" s="23">
        <f>SUM(D5:D6)</f>
        <v>17.857</v>
      </c>
      <c r="E7" s="23">
        <f>SUM(E5:E6)</f>
        <v>26.608</v>
      </c>
      <c r="F7" s="23">
        <f>SUM(F5:F6)</f>
        <v>25.231</v>
      </c>
      <c r="G7" s="23">
        <f>SUM(G5:G6)</f>
        <v>12.123000000000001</v>
      </c>
      <c r="H7" s="23">
        <f>SUM(H5:H6)</f>
        <v>24.546</v>
      </c>
      <c r="I7" s="23">
        <f>SUM(I5:I6)</f>
        <v>72.067</v>
      </c>
      <c r="J7" s="23">
        <f>SUM(J5:J6)</f>
        <v>102.969</v>
      </c>
      <c r="K7" s="23">
        <f>SUM(K5:K6)</f>
        <v>57.712999999999994</v>
      </c>
      <c r="L7" s="23">
        <f>SUM(L5:L6)</f>
        <v>43.499</v>
      </c>
      <c r="M7" s="23">
        <f>SUM(M5:M6)</f>
        <v>120.1</v>
      </c>
      <c r="N7" s="23">
        <f>SUM(N5:N6)</f>
        <v>172.168</v>
      </c>
      <c r="O7" s="23">
        <f>SUM(O5:O6)</f>
        <v>69.393</v>
      </c>
      <c r="P7" s="23">
        <f>SUM(P5:P6)</f>
        <v>54.052</v>
      </c>
      <c r="Q7" s="23">
        <f>SUM(Q5:Q6)</f>
        <v>57.858000000000004</v>
      </c>
      <c r="R7" s="23">
        <f>SUM(R5:R6)</f>
        <v>80.36099999999999</v>
      </c>
      <c r="S7" s="23">
        <f>SUM(S5:S6)</f>
        <v>77.947</v>
      </c>
      <c r="T7" s="23">
        <f>SUM(T5:T6)</f>
        <v>38.027</v>
      </c>
      <c r="U7" s="23">
        <f>SUM(U5:U6)</f>
        <v>34.272</v>
      </c>
      <c r="V7" s="23">
        <f>SUM(V5:V6)</f>
        <v>4.822</v>
      </c>
      <c r="W7" s="23">
        <f>SUM(W5:W6)</f>
        <v>4.23</v>
      </c>
    </row>
    <row r="8">
      <c r="A8" s="2" t="inlineStr">
        <is>
          <t>Operating Income</t>
        </is>
      </c>
      <c r="B8" s="23">
        <f>B4-B7</f>
        <v>-0.251</v>
      </c>
      <c r="C8" s="23">
        <f>C4-C7</f>
        <v>-0.045</v>
      </c>
      <c r="D8" s="23">
        <f>D4-D7</f>
        <v>-17.857</v>
      </c>
      <c r="E8" s="23">
        <f>E4-E7</f>
        <v>-26.608</v>
      </c>
      <c r="F8" s="23">
        <f>F4-F7</f>
        <v>-25.231</v>
      </c>
      <c r="G8" s="23">
        <f>G4-G7</f>
        <v>-12.123000000000001</v>
      </c>
      <c r="H8" s="23">
        <f>H4-H7</f>
        <v>-24.546</v>
      </c>
      <c r="I8" s="23">
        <f>I4-I7</f>
        <v>-71.39999999999999</v>
      </c>
      <c r="J8" s="23">
        <f>J4-J7</f>
        <v>-102.169</v>
      </c>
      <c r="K8" s="23">
        <f>K4-K7</f>
        <v>-57.712999999999994</v>
      </c>
      <c r="L8" s="23">
        <f>L4-L7</f>
        <v>-43.499</v>
      </c>
      <c r="M8" s="23">
        <f>M4-M7</f>
        <v>-120.1</v>
      </c>
      <c r="N8" s="23">
        <f>N4-N7</f>
        <v>-165.30700000000002</v>
      </c>
      <c r="O8" s="23">
        <f>O4-O7</f>
        <v>-53.493</v>
      </c>
      <c r="P8" s="23">
        <f>P4-P7</f>
        <v>-53.906</v>
      </c>
      <c r="Q8" s="23">
        <f>Q4-Q7</f>
        <v>-57.858000000000004</v>
      </c>
      <c r="R8" s="23">
        <f>R4-R7</f>
        <v>-80.36099999999999</v>
      </c>
      <c r="S8" s="23">
        <f>S4-S7</f>
        <v>-77.549</v>
      </c>
      <c r="T8" s="23">
        <f>T4-T7</f>
        <v>-35.105000000000004</v>
      </c>
      <c r="U8" s="23">
        <f>U4-U7</f>
        <v>-34.266999999999996</v>
      </c>
      <c r="V8" s="23">
        <f>V4-V7</f>
        <v>-4.812</v>
      </c>
      <c r="W8" s="23">
        <f>W4-W7</f>
        <v>-4.2250000000000005</v>
      </c>
    </row>
    <row r="9">
      <c r="A9" s="19" t="inlineStr">
        <is>
          <t>Interest &amp; Other</t>
        </is>
      </c>
      <c r="B9" s="23" t="n">
        <v>-5.436</v>
      </c>
      <c r="C9" s="23" t="n">
        <v>-9.472</v>
      </c>
      <c r="D9" s="23" t="n">
        <v>0</v>
      </c>
      <c r="E9" s="23" t="n">
        <v>0</v>
      </c>
      <c r="F9" s="23" t="n">
        <v>0</v>
      </c>
      <c r="G9" s="23" t="n">
        <v>4.474</v>
      </c>
      <c r="H9" s="23" t="n">
        <v>-8.124000000000001</v>
      </c>
      <c r="I9" s="23" t="n">
        <v>7.622</v>
      </c>
      <c r="J9" s="23" t="n">
        <v>6.037</v>
      </c>
      <c r="K9" s="23" t="n">
        <v>0.606</v>
      </c>
      <c r="L9" s="23" t="n">
        <v>11.718</v>
      </c>
      <c r="M9" s="23" t="n">
        <v>0.012</v>
      </c>
      <c r="N9" s="23" t="n">
        <v>0.01</v>
      </c>
      <c r="O9" s="23" t="n">
        <v>-0.83</v>
      </c>
      <c r="P9" s="23" t="n">
        <v>0.789</v>
      </c>
      <c r="Q9" s="23" t="n">
        <v>-59.938</v>
      </c>
      <c r="R9" s="23" t="n">
        <v>0.385</v>
      </c>
      <c r="S9" s="23" t="n">
        <v>-1.202</v>
      </c>
      <c r="T9" s="23" t="n">
        <v>-2.625</v>
      </c>
      <c r="U9" s="23" t="n">
        <v>29.588</v>
      </c>
      <c r="V9" s="23" t="n">
        <v>0.133</v>
      </c>
      <c r="W9" s="23" t="n">
        <v>0.049</v>
      </c>
    </row>
    <row r="10">
      <c r="A10" s="2" t="inlineStr">
        <is>
          <t>Pretax</t>
        </is>
      </c>
      <c r="B10" s="23">
        <f>B8+B9</f>
        <v>-5.687</v>
      </c>
      <c r="C10" s="23">
        <f>C8+C9</f>
        <v>-9.517</v>
      </c>
      <c r="D10" s="23">
        <f>D8+D9</f>
        <v>-17.857</v>
      </c>
      <c r="E10" s="23">
        <f>E8+E9</f>
        <v>-26.608</v>
      </c>
      <c r="F10" s="23">
        <f>F8+F9</f>
        <v>-25.231</v>
      </c>
      <c r="G10" s="23">
        <f>G8+G9</f>
        <v>-7.649000000000001</v>
      </c>
      <c r="H10" s="23">
        <f>H8+H9</f>
        <v>-32.67</v>
      </c>
      <c r="I10" s="23">
        <f>I8+I9</f>
        <v>-63.77799999999999</v>
      </c>
      <c r="J10" s="23">
        <f>J8+J9</f>
        <v>-96.13199999999999</v>
      </c>
      <c r="K10" s="23">
        <f>K8+K9</f>
        <v>-57.10699999999999</v>
      </c>
      <c r="L10" s="23">
        <f>L8+L9</f>
        <v>-31.781000000000002</v>
      </c>
      <c r="M10" s="23">
        <f>M8+M9</f>
        <v>-120.088</v>
      </c>
      <c r="N10" s="23">
        <f>N8+N9</f>
        <v>-165.29700000000003</v>
      </c>
      <c r="O10" s="23">
        <f>O8+O9</f>
        <v>-54.323</v>
      </c>
      <c r="P10" s="23">
        <f>P8+P9</f>
        <v>-53.117</v>
      </c>
      <c r="Q10" s="23">
        <f>Q8+Q9</f>
        <v>-117.796</v>
      </c>
      <c r="R10" s="23">
        <f>R8+R9</f>
        <v>-79.97599999999998</v>
      </c>
      <c r="S10" s="23">
        <f>S8+S9</f>
        <v>-78.751</v>
      </c>
      <c r="T10" s="23">
        <f>T8+T9</f>
        <v>-37.730000000000004</v>
      </c>
      <c r="U10" s="23">
        <f>U8+U9</f>
        <v>-4.678999999999995</v>
      </c>
      <c r="V10" s="23">
        <f>V8+V9</f>
        <v>-4.679</v>
      </c>
      <c r="W10" s="23">
        <f>W8+W9</f>
        <v>-4.176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</row>
    <row r="12">
      <c r="A12" s="2" t="inlineStr">
        <is>
          <t>Net Income</t>
        </is>
      </c>
      <c r="B12" s="23" t="n">
        <v>-5.687</v>
      </c>
      <c r="C12" s="23" t="n">
        <v>-9.516999999999999</v>
      </c>
      <c r="D12" s="23" t="n">
        <v>-17.857</v>
      </c>
      <c r="E12" s="23" t="n">
        <v>-26.608</v>
      </c>
      <c r="F12" s="23" t="n">
        <v>-25.231</v>
      </c>
      <c r="G12" s="23" t="n">
        <v>-7.649</v>
      </c>
      <c r="H12" s="23" t="n">
        <v>-32.67</v>
      </c>
      <c r="I12" s="23" t="n">
        <v>-63.778</v>
      </c>
      <c r="J12" s="23" t="n">
        <v>-96.13200000000001</v>
      </c>
      <c r="K12" s="23" t="n">
        <v>-57.107</v>
      </c>
      <c r="L12" s="23" t="n">
        <v>-31.781</v>
      </c>
      <c r="M12" s="23" t="n">
        <v>-120.088</v>
      </c>
      <c r="N12" s="23" t="n">
        <v>-165.297</v>
      </c>
      <c r="O12" s="23" t="n">
        <v>-54.323</v>
      </c>
      <c r="P12" s="23" t="n">
        <v>-53.117</v>
      </c>
      <c r="Q12" s="23" t="n">
        <v>-117.796</v>
      </c>
      <c r="R12" s="23" t="n">
        <v>-79.976</v>
      </c>
      <c r="S12" s="23" t="n">
        <v>-78.751</v>
      </c>
      <c r="T12" s="23" t="n">
        <v>-37.73</v>
      </c>
      <c r="U12" s="23" t="n">
        <v>-4.679</v>
      </c>
      <c r="V12" s="23" t="n">
        <v>-4.679</v>
      </c>
      <c r="W12" s="23" t="n">
        <v>-4.176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-95.80645161290322</v>
      </c>
      <c r="I13" s="11">
        <f>IFERROR(I12/I14,0)</f>
        <v>-130.42535787321063</v>
      </c>
      <c r="J13" s="11">
        <f>IFERROR(J12/J14,0)</f>
        <v>-165.1752577319588</v>
      </c>
      <c r="K13" s="11">
        <f>IFERROR(K12/K14,0)</f>
        <v>-89.64992150706436</v>
      </c>
      <c r="L13" s="11">
        <f>IFERROR(L12/L14,0)</f>
        <v>-42.43124165554072</v>
      </c>
      <c r="M13" s="11">
        <f>IFERROR(M12/M14,0)</f>
        <v>-129.2658772874058</v>
      </c>
      <c r="N13" s="11">
        <f>IFERROR(N12/N14,0)</f>
        <v>-171.11490683229815</v>
      </c>
      <c r="O13" s="11">
        <f>IFERROR(O12/O14,0)</f>
        <v>-53.57297830374753</v>
      </c>
      <c r="P13" s="11">
        <f>IFERROR(P12/P14,0)</f>
        <v>-49.87511737089202</v>
      </c>
      <c r="Q13" s="11">
        <f>IFERROR(Q12/Q14,0)</f>
        <v>-94.69131832797429</v>
      </c>
      <c r="R13" s="11">
        <f>IFERROR(R12/R14,0)</f>
        <v>-51.49774629748873</v>
      </c>
      <c r="S13" s="11">
        <f>IFERROR(S12/S14,0)</f>
        <v>-49.591309823677584</v>
      </c>
      <c r="T13" s="11">
        <f>IFERROR(T12/T14,0)</f>
        <v>-23.463930348258703</v>
      </c>
      <c r="U13" s="11">
        <f>IFERROR(U12/U14,0)</f>
        <v>-2.924375</v>
      </c>
      <c r="V13" s="11">
        <f>IFERROR(V12/V14,0)</f>
        <v>-2.922548407245472</v>
      </c>
      <c r="W13" s="11">
        <f>IFERROR(W12/W14,0)</f>
        <v>-2.1437371663244353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>
        <v>0.341</v>
      </c>
      <c r="I14" s="23" t="n">
        <v>0.489</v>
      </c>
      <c r="J14" s="23" t="n">
        <v>0.582</v>
      </c>
      <c r="K14" s="23" t="n">
        <v>0.637</v>
      </c>
      <c r="L14" s="23" t="n">
        <v>0.749</v>
      </c>
      <c r="M14" s="23" t="n">
        <v>0.929</v>
      </c>
      <c r="N14" s="23" t="n">
        <v>0.966</v>
      </c>
      <c r="O14" s="23" t="n">
        <v>1.014</v>
      </c>
      <c r="P14" s="23" t="n">
        <v>1.065</v>
      </c>
      <c r="Q14" s="23" t="n">
        <v>1.244</v>
      </c>
      <c r="R14" s="23" t="n">
        <v>1.553</v>
      </c>
      <c r="S14" s="23" t="n">
        <v>1.588</v>
      </c>
      <c r="T14" s="23" t="n">
        <v>1.608</v>
      </c>
      <c r="U14" s="23" t="n">
        <v>1.6</v>
      </c>
      <c r="V14" s="23" t="n">
        <v>1.601</v>
      </c>
      <c r="W14" s="23" t="n">
        <v>1.948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0.199400299850075</v>
      </c>
      <c r="K16" s="15">
        <f>IFERROR(K2/J2-1,"")</f>
        <v>-1.0</v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>1.3174464363795368</v>
      </c>
      <c r="P16" s="15">
        <f>IFERROR(P2/O2-1,"")</f>
        <v>-0.990817610062893</v>
      </c>
      <c r="Q16" s="15">
        <f>IFERROR(Q2/P2-1,"")</f>
        <v>-1.0</v>
      </c>
      <c r="R16" s="15">
        <f>IFERROR(R2/Q2-1,"")</f>
        <v/>
      </c>
      <c r="S16" s="15">
        <f>IFERROR(S2/R2-1,"")</f>
        <v/>
      </c>
      <c r="T16" s="15">
        <f>IFERROR(T2/S2-1,"")</f>
        <v>6.341708542713568</v>
      </c>
      <c r="U16" s="15">
        <f>IFERROR(U2/T2-1,"")</f>
        <v>-0.9982888432580425</v>
      </c>
      <c r="V16" s="15">
        <f>IFERROR(V2/U2-1,"")</f>
        <v>1.0</v>
      </c>
      <c r="W16" s="15">
        <f>IFERROR(W2/V2-1,"")</f>
        <v>-0.5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/>
      </c>
      <c r="R17" s="15">
        <f>IFERROR(R4/R2,"")</f>
        <v/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-107.04647676161918</v>
      </c>
      <c r="J18" s="15">
        <f>IFERROR(J8/J2,"")</f>
        <v>-127.71124999999999</v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>-24.093718116892585</v>
      </c>
      <c r="O18" s="15">
        <f>IFERROR(O8/O2,"")</f>
        <v>-3.3643396226415097</v>
      </c>
      <c r="P18" s="15">
        <f>IFERROR(P8/P2,"")</f>
        <v>-369.2191780821918</v>
      </c>
      <c r="Q18" s="15">
        <f>IFERROR(Q8/Q2,"")</f>
        <v/>
      </c>
      <c r="R18" s="15">
        <f>IFERROR(R8/R2,"")</f>
        <v/>
      </c>
      <c r="S18" s="15">
        <f>IFERROR(S8/S2,"")</f>
        <v>-194.84673366834173</v>
      </c>
      <c r="T18" s="15">
        <f>IFERROR(T8/T2,"")</f>
        <v>-12.014031485284052</v>
      </c>
      <c r="U18" s="15">
        <f>IFERROR(U8/U2,"")</f>
        <v>-6853.399999999999</v>
      </c>
      <c r="V18" s="15">
        <f>IFERROR(V8/V2,"")</f>
        <v>-481.20000000000005</v>
      </c>
      <c r="W18" s="15">
        <f>IFERROR(W8/W2,"")</f>
        <v>-845.0000000000001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2026-10-21T01:06:42Z</dcterms:modified>
  <cp:lastModifiedBy>Wang, Eric</cp:lastModifiedBy>
</cp:coreProperties>
</file>