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Tango Therapeutics, Inc.</t>
        </is>
      </c>
      <c r="C2" s="10" t="n"/>
    </row>
    <row r="3">
      <c r="B3" t="inlineStr">
        <is>
          <t>Price</t>
        </is>
      </c>
      <c r="C3" s="11">
        <f>INDEX([1]Pharma!$F$1:$F$1000,MATCH("TNGX",[1]Pharma!$B$1:$B$1000,0))</f>
        <v>25.255</v>
      </c>
      <c r="F3" s="1" t="n"/>
    </row>
    <row r="4">
      <c r="B4" t="inlineStr">
        <is>
          <t>Shares</t>
        </is>
      </c>
      <c r="C4" s="51" t="n">
        <v>168.610367</v>
      </c>
      <c r="F4" s="1" t="n"/>
    </row>
    <row r="5">
      <c r="B5" t="inlineStr">
        <is>
          <t>Market Cap.</t>
        </is>
      </c>
      <c r="C5" s="13">
        <f>C3*C4</f>
        <v>4258.254818585</v>
      </c>
      <c r="F5" s="1" t="n"/>
    </row>
    <row r="6"/>
    <row r="7">
      <c r="B7" t="inlineStr">
        <is>
          <t>Cash</t>
        </is>
      </c>
      <c r="C7" s="51">
        <f>345.558+668.432</f>
        <v>1013.99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3244.2648185850003</v>
      </c>
    </row>
    <row r="10"/>
    <row r="11">
      <c r="B11" s="14" t="inlineStr">
        <is>
          <t>NPV / Share</t>
        </is>
      </c>
      <c r="C11" s="11">
        <f>NPV!B28</f>
        <v>3.7852885847835798</v>
      </c>
    </row>
    <row r="12">
      <c r="B12" s="14" t="inlineStr">
        <is>
          <t>Upside</t>
        </is>
      </c>
      <c r="C12" s="15">
        <f>IFERROR(C11/C3-1,"")</f>
        <v>-0.8501172605510362</v>
      </c>
    </row>
    <row r="13">
      <c r="B13" s="14" t="inlineStr">
        <is>
          <t>Cash / Share</t>
        </is>
      </c>
      <c r="C13" s="11">
        <f>IFERROR((C7-C8)/C4,"")</f>
        <v>6.013805782179455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2020</v>
      </c>
      <c r="C1" s="16" t="n">
        <v>2021</v>
      </c>
      <c r="D1" s="16" t="n">
        <v>2022</v>
      </c>
      <c r="E1" s="16" t="n">
        <v>2023</v>
      </c>
      <c r="F1" s="16" t="n">
        <v>2024</v>
      </c>
      <c r="G1" s="16" t="n">
        <v>2025</v>
      </c>
      <c r="H1" s="16" t="n">
        <v>2026</v>
      </c>
      <c r="I1" s="16" t="n">
        <v>2027</v>
      </c>
      <c r="J1" s="16" t="n">
        <v>2028</v>
      </c>
      <c r="K1" s="16" t="n">
        <v>2029</v>
      </c>
      <c r="L1" s="16" t="n">
        <v>2030</v>
      </c>
      <c r="M1" s="16" t="n">
        <v>2031</v>
      </c>
      <c r="N1" s="16" t="n">
        <v>2032</v>
      </c>
      <c r="O1" s="16" t="n">
        <v>2033</v>
      </c>
      <c r="P1" s="16" t="n">
        <v>2034</v>
      </c>
      <c r="Q1" s="16" t="n">
        <v>2035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7.656</v>
      </c>
      <c r="C2" s="52" t="n">
        <v>37.042</v>
      </c>
      <c r="D2" s="52" t="n">
        <v>24.86</v>
      </c>
      <c r="E2" s="52" t="n">
        <v>36.527</v>
      </c>
      <c r="F2" s="52" t="n">
        <v>42.069</v>
      </c>
      <c r="G2" s="52" t="n">
        <v>62.384</v>
      </c>
      <c r="H2" s="52">
        <f>G2*(1+NPV!C5)</f>
        <v>82.17844319999999</v>
      </c>
      <c r="I2" s="52">
        <f>H2*(1+NPV!D5)</f>
        <v>105.58469001098666</v>
      </c>
      <c r="J2" s="52">
        <f>I2*(1+NPV!E5)</f>
        <v>132.22839995364797</v>
      </c>
      <c r="K2" s="52">
        <f>J2*(1+NPV!F5)</f>
        <v>161.30101749012337</v>
      </c>
      <c r="L2" s="52">
        <f>K2*(1+NPV!G5)</f>
        <v>191.52703593424482</v>
      </c>
      <c r="M2" s="52">
        <f>L2*(1+NPV!H5)</f>
        <v>221.19670187863642</v>
      </c>
      <c r="N2" s="52">
        <f>M2*(1+NPV!I5)</f>
        <v>248.27855141197747</v>
      </c>
      <c r="O2" s="52">
        <f>N2*(1+NPV!J5)</f>
        <v>270.61258643677047</v>
      </c>
      <c r="P2" s="52">
        <f>O2*(1+NPV!K5)</f>
        <v>286.16679654385285</v>
      </c>
      <c r="Q2" s="52">
        <f>P2*(1+NPV!L5)</f>
        <v>293.3209664574492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>
        <f>H2*(1-Assumptions!$B$19)</f>
        <v>0.0</v>
      </c>
      <c r="I3" s="52">
        <f>I2*(1-Assumptions!$B$19)</f>
        <v>0.0</v>
      </c>
      <c r="J3" s="52">
        <f>J2*(1-Assumptions!$B$19)</f>
        <v>0.0</v>
      </c>
      <c r="K3" s="52">
        <f>K2*(1-Assumptions!$B$19)</f>
        <v>0.0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</row>
    <row r="4" customFormat="1" s="1">
      <c r="A4" s="5" t="inlineStr">
        <is>
          <t>Gross Margin</t>
        </is>
      </c>
      <c r="B4" s="52">
        <f>B2-B3</f>
        <v>7.656</v>
      </c>
      <c r="C4" s="52">
        <f>C2-C3</f>
        <v>37.042</v>
      </c>
      <c r="D4" s="52">
        <f>D2-D3</f>
        <v>24.86</v>
      </c>
      <c r="E4" s="52">
        <f>E2-E3</f>
        <v>36.527</v>
      </c>
      <c r="F4" s="52">
        <f>F2-F3</f>
        <v>42.069</v>
      </c>
      <c r="G4" s="52">
        <f>G2-G3</f>
        <v>62.384</v>
      </c>
      <c r="H4" s="52">
        <f>H2-H3</f>
        <v>82.17844319999999</v>
      </c>
      <c r="I4" s="52">
        <f>I2-I3</f>
        <v>105.58469001098666</v>
      </c>
      <c r="J4" s="52">
        <f>J2-J3</f>
        <v>132.22839995364797</v>
      </c>
      <c r="K4" s="52">
        <f>K2-K3</f>
        <v>161.30101749012337</v>
      </c>
      <c r="L4" s="52">
        <f>L2-L3</f>
        <v>191.52703593424482</v>
      </c>
      <c r="M4" s="52">
        <f>M2-M3</f>
        <v>221.19670187863642</v>
      </c>
      <c r="N4" s="52">
        <f>N2-N3</f>
        <v>248.27855141197747</v>
      </c>
      <c r="O4" s="52">
        <f>O2-O3</f>
        <v>270.61258643677047</v>
      </c>
      <c r="P4" s="52">
        <f>P2-P3</f>
        <v>286.16679654385285</v>
      </c>
      <c r="Q4" s="52">
        <f>Q2-Q3</f>
        <v>293.3209664574492</v>
      </c>
    </row>
    <row r="5">
      <c r="A5" s="2" t="inlineStr">
        <is>
          <t>Research &amp; Dev.</t>
        </is>
      </c>
      <c r="B5" s="52" t="n">
        <v>49.991</v>
      </c>
      <c r="C5" s="52" t="n">
        <v>77.636</v>
      </c>
      <c r="D5" s="52" t="n">
        <v>105.906</v>
      </c>
      <c r="E5" s="52" t="n">
        <v>115.198</v>
      </c>
      <c r="F5" s="52" t="n">
        <v>143.918</v>
      </c>
      <c r="G5" s="52" t="n">
        <v>132.165</v>
      </c>
      <c r="H5" s="52">
        <f>H7*Assumptions!$B$20</f>
        <v>145.713062991216</v>
      </c>
      <c r="I5" s="52">
        <f>I7*Assumptions!$B$20</f>
        <v>173.55589005245943</v>
      </c>
      <c r="J5" s="52">
        <f>J7*Assumptions!$B$20</f>
        <v>200.24536660580495</v>
      </c>
      <c r="K5" s="52">
        <f>K7*Assumptions!$B$20</f>
        <v>223.40513524417068</v>
      </c>
      <c r="L5" s="52">
        <f>L7*Assumptions!$B$20</f>
        <v>240.49092267083452</v>
      </c>
      <c r="M5" s="52">
        <f>M7*Assumptions!$B$20</f>
        <v>249.12942139187064</v>
      </c>
      <c r="N5" s="52">
        <f>N7*Assumptions!$B$20</f>
        <v>247.51137068811448</v>
      </c>
      <c r="O5" s="52">
        <f>O7*Assumptions!$B$20</f>
        <v>234.7672432373559</v>
      </c>
      <c r="P5" s="52">
        <f>P7*Assumptions!$B$20</f>
        <v>211.23974420477592</v>
      </c>
      <c r="Q5" s="52">
        <f>Q7*Assumptions!$B$20</f>
        <v>178.57380437929507</v>
      </c>
    </row>
    <row r="6">
      <c r="A6" s="18" t="inlineStr">
        <is>
          <t>SG&amp;A &amp; Other</t>
        </is>
      </c>
      <c r="B6" s="52" t="n">
        <v>9.865</v>
      </c>
      <c r="C6" s="52" t="n">
        <v>17.596</v>
      </c>
      <c r="D6" s="52" t="n">
        <v>30.025</v>
      </c>
      <c r="E6" s="52" t="n">
        <v>35.502</v>
      </c>
      <c r="F6" s="52" t="n">
        <v>43.746</v>
      </c>
      <c r="G6" s="52" t="n">
        <v>41.508</v>
      </c>
      <c r="H6" s="52">
        <f>H7-H5</f>
        <v>45.76270966478398</v>
      </c>
      <c r="I6" s="52">
        <f>I7-I5</f>
        <v>54.507040371271756</v>
      </c>
      <c r="J6" s="52">
        <f>J7-J5</f>
        <v>62.88914930195452</v>
      </c>
      <c r="K6" s="52">
        <f>K7-K5</f>
        <v>70.16271658785385</v>
      </c>
      <c r="L6" s="52">
        <f>L7-L5</f>
        <v>75.52868662066945</v>
      </c>
      <c r="M6" s="52">
        <f>M7-M5</f>
        <v>78.24169738851126</v>
      </c>
      <c r="N6" s="52">
        <f>N7-N5</f>
        <v>77.73353166157602</v>
      </c>
      <c r="O6" s="52">
        <f>O7-O5</f>
        <v>73.73110530056249</v>
      </c>
      <c r="P6" s="52">
        <f>P7-P5</f>
        <v>66.34204844276141</v>
      </c>
      <c r="Q6" s="52">
        <f>Q7-Q5</f>
        <v>56.08296878666428</v>
      </c>
    </row>
    <row r="7">
      <c r="A7" s="2" t="inlineStr">
        <is>
          <t>Operating Expense</t>
        </is>
      </c>
      <c r="B7" s="52">
        <f>SUM(B5:B6)</f>
        <v>59.856</v>
      </c>
      <c r="C7" s="52">
        <f>SUM(C5:C6)</f>
        <v>95.232</v>
      </c>
      <c r="D7" s="52">
        <f>SUM(D5:D6)</f>
        <v>135.931</v>
      </c>
      <c r="E7" s="52">
        <f>SUM(E5:E6)</f>
        <v>150.7</v>
      </c>
      <c r="F7" s="52">
        <f>SUM(F5:F6)</f>
        <v>187.66400000000002</v>
      </c>
      <c r="G7" s="52">
        <f>SUM(G5:G6)</f>
        <v>173.673</v>
      </c>
      <c r="H7" s="52">
        <f>H4-H2*NPV!C6</f>
        <v>191.47577265599998</v>
      </c>
      <c r="I7" s="52">
        <f>I4-I2*NPV!D6</f>
        <v>228.0629304237312</v>
      </c>
      <c r="J7" s="52">
        <f>J4-J2*NPV!E6</f>
        <v>263.13451590775946</v>
      </c>
      <c r="K7" s="52">
        <f>K4-K2*NPV!F6</f>
        <v>293.56785183202453</v>
      </c>
      <c r="L7" s="52">
        <f>L4-L2*NPV!G6</f>
        <v>316.01960929150397</v>
      </c>
      <c r="M7" s="52">
        <f>M4-M2*NPV!H6</f>
        <v>327.3711187803819</v>
      </c>
      <c r="N7" s="52">
        <f>N4-N2*NPV!I6</f>
        <v>325.2449023496905</v>
      </c>
      <c r="O7" s="52">
        <f>O4-O2*NPV!J6</f>
        <v>308.4983485379184</v>
      </c>
      <c r="P7" s="52">
        <f>P4-P2*NPV!K6</f>
        <v>277.5817926475373</v>
      </c>
      <c r="Q7" s="52">
        <f>Q4-Q2*NPV!L6</f>
        <v>234.65677316595935</v>
      </c>
    </row>
    <row r="8">
      <c r="A8" s="2" t="inlineStr">
        <is>
          <t>Operating Income</t>
        </is>
      </c>
      <c r="B8" s="52">
        <f>B4-B7</f>
        <v>-52.2</v>
      </c>
      <c r="C8" s="52">
        <f>C4-C7</f>
        <v>-58.19</v>
      </c>
      <c r="D8" s="52">
        <f>D4-D7</f>
        <v>-111.07100000000001</v>
      </c>
      <c r="E8" s="52">
        <f>E4-E7</f>
        <v>-114.17299999999999</v>
      </c>
      <c r="F8" s="52">
        <f>F4-F7</f>
        <v>-145.59500000000003</v>
      </c>
      <c r="G8" s="52">
        <f>G4-G7</f>
        <v>-111.289</v>
      </c>
      <c r="H8" s="52">
        <f>H4-H7</f>
        <v>-109.29732945599999</v>
      </c>
      <c r="I8" s="52">
        <f>I4-I7</f>
        <v>-122.47824041274453</v>
      </c>
      <c r="J8" s="52">
        <f>J4-J7</f>
        <v>-130.9061159541115</v>
      </c>
      <c r="K8" s="52">
        <f>K4-K7</f>
        <v>-132.26683434190116</v>
      </c>
      <c r="L8" s="52">
        <f>L4-L7</f>
        <v>-124.49257335725915</v>
      </c>
      <c r="M8" s="52">
        <f>M4-M7</f>
        <v>-106.17441690174547</v>
      </c>
      <c r="N8" s="52">
        <f>N4-N7</f>
        <v>-76.96635093771303</v>
      </c>
      <c r="O8" s="52">
        <f>O4-O7</f>
        <v>-37.88576210114792</v>
      </c>
      <c r="P8" s="52">
        <f>P4-P7</f>
        <v>8.585003896315527</v>
      </c>
      <c r="Q8" s="52">
        <f>Q4-Q7</f>
        <v>58.66419329148982</v>
      </c>
    </row>
    <row r="9">
      <c r="A9" s="18" t="inlineStr">
        <is>
          <t>Interest &amp; Other</t>
        </is>
      </c>
      <c r="B9" s="52" t="n">
        <v>0.228</v>
      </c>
      <c r="C9" s="52" t="n">
        <v>0.247</v>
      </c>
      <c r="D9" s="52" t="n">
        <v>2.949</v>
      </c>
      <c r="E9" s="52" t="n">
        <v>12.607</v>
      </c>
      <c r="F9" s="52" t="n">
        <v>15.503</v>
      </c>
      <c r="G9" s="52" t="n">
        <v>9.693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</row>
    <row r="10">
      <c r="A10" s="2" t="inlineStr">
        <is>
          <t>Pretax</t>
        </is>
      </c>
      <c r="B10" s="52">
        <f>B8+B9</f>
        <v>-51.972</v>
      </c>
      <c r="C10" s="52">
        <f>C8+C9</f>
        <v>-57.943</v>
      </c>
      <c r="D10" s="52">
        <f>D8+D9</f>
        <v>-108.12200000000001</v>
      </c>
      <c r="E10" s="52">
        <f>E8+E9</f>
        <v>-101.56599999999999</v>
      </c>
      <c r="F10" s="52">
        <f>F8+F9</f>
        <v>-130.09200000000004</v>
      </c>
      <c r="G10" s="52">
        <f>G8+G9</f>
        <v>-101.596</v>
      </c>
      <c r="H10" s="52">
        <f>H8+H9</f>
        <v>-109.29732945599999</v>
      </c>
      <c r="I10" s="52">
        <f>I8+I9</f>
        <v>-122.47824041274453</v>
      </c>
      <c r="J10" s="52">
        <f>J8+J9</f>
        <v>-130.9061159541115</v>
      </c>
      <c r="K10" s="52">
        <f>K8+K9</f>
        <v>-132.26683434190116</v>
      </c>
      <c r="L10" s="52">
        <f>L8+L9</f>
        <v>-124.49257335725915</v>
      </c>
      <c r="M10" s="52">
        <f>M8+M9</f>
        <v>-106.17441690174547</v>
      </c>
      <c r="N10" s="52">
        <f>N8+N9</f>
        <v>-76.96635093771303</v>
      </c>
      <c r="O10" s="52">
        <f>O8+O9</f>
        <v>-37.88576210114792</v>
      </c>
      <c r="P10" s="52">
        <f>P8+P9</f>
        <v>8.585003896315527</v>
      </c>
      <c r="Q10" s="52">
        <f>Q8+Q9</f>
        <v>58.66419329148982</v>
      </c>
    </row>
    <row r="11">
      <c r="A11" s="2" t="inlineStr">
        <is>
          <t>Taxes</t>
        </is>
      </c>
      <c r="B11" s="52" t="n">
        <v>0</v>
      </c>
      <c r="C11" s="52" t="n">
        <v>0.292</v>
      </c>
      <c r="D11" s="52" t="n">
        <v>0.054</v>
      </c>
      <c r="E11" s="52" t="n">
        <v>0.134</v>
      </c>
      <c r="F11" s="52" t="n">
        <v>0.208</v>
      </c>
      <c r="G11" s="52" t="n">
        <v>0.004</v>
      </c>
      <c r="H11" s="52">
        <f>MAX(0,H10)*Assumptions!$E$14</f>
        <v>0.0</v>
      </c>
      <c r="I11" s="52">
        <f>MAX(0,I10)*Assumptions!$E$14</f>
        <v>0.0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1.4594506623736396</v>
      </c>
      <c r="Q11" s="52">
        <f>MAX(0,Q10)*Assumptions!$E$14</f>
        <v>9.97291285955327</v>
      </c>
    </row>
    <row r="12">
      <c r="A12" s="2" t="inlineStr">
        <is>
          <t>Net Income</t>
        </is>
      </c>
      <c r="B12" s="52" t="n">
        <v>-51.972</v>
      </c>
      <c r="C12" s="52" t="n">
        <v>-58.235</v>
      </c>
      <c r="D12" s="52" t="n">
        <v>-108.176</v>
      </c>
      <c r="E12" s="52" t="n">
        <v>-101.7</v>
      </c>
      <c r="F12" s="52" t="n">
        <v>-130.3</v>
      </c>
      <c r="G12" s="52" t="n">
        <v>-101.6</v>
      </c>
      <c r="H12" s="52">
        <f>H10-H11</f>
        <v>-109.29732945599999</v>
      </c>
      <c r="I12" s="52">
        <f>I10-I11</f>
        <v>-122.47824041274453</v>
      </c>
      <c r="J12" s="52">
        <f>J10-J11</f>
        <v>-130.9061159541115</v>
      </c>
      <c r="K12" s="52">
        <f>K10-K11</f>
        <v>-132.26683434190116</v>
      </c>
      <c r="L12" s="52">
        <f>L10-L11</f>
        <v>-124.49257335725915</v>
      </c>
      <c r="M12" s="52">
        <f>M10-M11</f>
        <v>-106.17441690174547</v>
      </c>
      <c r="N12" s="52">
        <f>N10-N11</f>
        <v>-76.96635093771303</v>
      </c>
      <c r="O12" s="52">
        <f>O10-O11</f>
        <v>-37.88576210114792</v>
      </c>
      <c r="P12" s="52">
        <f>P10-P11</f>
        <v>7.125553233941887</v>
      </c>
      <c r="Q12" s="52">
        <f>Q10-Q11</f>
        <v>48.691280431936555</v>
      </c>
    </row>
    <row r="13">
      <c r="A13" s="2" t="inlineStr">
        <is>
          <t>Earnings per Share</t>
        </is>
      </c>
      <c r="B13" s="11">
        <f>IFERROR(B12/B14,0)</f>
        <v>-1.6275836151822625</v>
      </c>
      <c r="C13" s="11">
        <f>IFERROR(C12/C14,0)</f>
        <v>-0.9376408836220778</v>
      </c>
      <c r="D13" s="11">
        <f>IFERROR(D12/D14,0)</f>
        <v>-1.2317923024368027</v>
      </c>
      <c r="E13" s="11">
        <f>IFERROR(E12/E14,0)</f>
        <v>-1.075371145793681</v>
      </c>
      <c r="F13" s="11">
        <f>IFERROR(F12/F14,0)</f>
        <v>-1.1929284883774158</v>
      </c>
      <c r="G13" s="11">
        <f>IFERROR(G12/G14,0)</f>
        <v>-0.8746104712222165</v>
      </c>
      <c r="H13" s="11">
        <f>IFERROR(H12/H14,0)</f>
        <v>-0.6482242545382751</v>
      </c>
      <c r="I13" s="11">
        <f>IFERROR(I12/I14,0)</f>
        <v>-0.7263980417808149</v>
      </c>
      <c r="J13" s="11">
        <f>IFERROR(J12/J14,0)</f>
        <v>-0.7763823677230446</v>
      </c>
      <c r="K13" s="11">
        <f>IFERROR(K12/K14,0)</f>
        <v>-0.7844525618160902</v>
      </c>
      <c r="L13" s="11">
        <f>IFERROR(L12/L14,0)</f>
        <v>-0.7383447149323811</v>
      </c>
      <c r="M13" s="11">
        <f>IFERROR(M12/M14,0)</f>
        <v>-0.6297027803856537</v>
      </c>
      <c r="N13" s="11">
        <f>IFERROR(N12/N14,0)</f>
        <v>-0.45647460655674293</v>
      </c>
      <c r="O13" s="11">
        <f>IFERROR(O12/O14,0)</f>
        <v>-0.2246941441100589</v>
      </c>
      <c r="P13" s="11">
        <f>IFERROR(P12/P14,0)</f>
        <v>0.042260469274358954</v>
      </c>
      <c r="Q13" s="11">
        <f>IFERROR(Q12/Q14,0)</f>
        <v>0.2887798733747881</v>
      </c>
    </row>
    <row r="14">
      <c r="A14" s="2" t="inlineStr">
        <is>
          <t>Shares</t>
        </is>
      </c>
      <c r="B14" s="52" t="n">
        <v>31.932</v>
      </c>
      <c r="C14" s="52" t="n">
        <v>62.108</v>
      </c>
      <c r="D14" s="52" t="n">
        <v>87.81999999999999</v>
      </c>
      <c r="E14" s="52" t="n">
        <v>94.572</v>
      </c>
      <c r="F14" s="52" t="n">
        <v>109.227</v>
      </c>
      <c r="G14" s="52" t="n">
        <v>116.166</v>
      </c>
      <c r="H14" s="52">
        <f>Main!$C$4</f>
        <v>168.610367</v>
      </c>
      <c r="I14" s="52">
        <f>Main!$C$4</f>
        <v>168.610367</v>
      </c>
      <c r="J14" s="52">
        <f>Main!$C$4</f>
        <v>168.610367</v>
      </c>
      <c r="K14" s="52">
        <f>Main!$C$4</f>
        <v>168.610367</v>
      </c>
      <c r="L14" s="52">
        <f>Main!$C$4</f>
        <v>168.610367</v>
      </c>
      <c r="M14" s="52">
        <f>Main!$C$4</f>
        <v>168.610367</v>
      </c>
      <c r="N14" s="52">
        <f>Main!$C$4</f>
        <v>168.610367</v>
      </c>
      <c r="O14" s="52">
        <f>Main!$C$4</f>
        <v>168.610367</v>
      </c>
      <c r="P14" s="52">
        <f>Main!$C$4</f>
        <v>168.610367</v>
      </c>
      <c r="Q14" s="52">
        <f>Main!$C$4</f>
        <v>168.610367</v>
      </c>
    </row>
    <row r="15"/>
    <row r="16" customFormat="1" s="4">
      <c r="A16" s="3" t="inlineStr">
        <is>
          <t>Revenue Change</t>
        </is>
      </c>
      <c r="C16" s="15">
        <f>IFERROR(C2/B2-1,"")</f>
        <v>3.838296760710554</v>
      </c>
      <c r="D16" s="15">
        <f>IFERROR(D2/C2-1,"")</f>
        <v>-0.3288699314291885</v>
      </c>
      <c r="E16" s="15">
        <f>IFERROR(E2/D2-1,"")</f>
        <v>0.46930812550281575</v>
      </c>
      <c r="F16" s="15">
        <f>IFERROR(F2/E2-1,"")</f>
        <v>0.15172338270320584</v>
      </c>
      <c r="G16" s="15">
        <f>IFERROR(G2/F2-1,"")</f>
        <v>0.48289714516627447</v>
      </c>
      <c r="H16" s="15">
        <f>IFERROR(H2/G2-1,"")</f>
        <v>0.3172999999999999</v>
      </c>
      <c r="I16" s="15">
        <f>IFERROR(I2/H2-1,"")</f>
        <v>0.2848222222222223</v>
      </c>
      <c r="J16" s="15">
        <f>IFERROR(J2/I2-1,"")</f>
        <v>0.25234444444444426</v>
      </c>
      <c r="K16" s="15">
        <f>IFERROR(K2/J2-1,"")</f>
        <v>0.21986666666666665</v>
      </c>
      <c r="L16" s="15">
        <f>IFERROR(L2/K2-1,"")</f>
        <v>0.18738888888888883</v>
      </c>
      <c r="M16" s="15">
        <f>IFERROR(M2/L2-1,"")</f>
        <v>0.15491111111111122</v>
      </c>
      <c r="N16" s="15">
        <f>IFERROR(N2/M2-1,"")</f>
        <v>0.1224333333333334</v>
      </c>
      <c r="O16" s="15">
        <f>IFERROR(O2/N2-1,"")</f>
        <v>0.08995555555555557</v>
      </c>
      <c r="P16" s="15">
        <f>IFERROR(P2/O2-1,"")</f>
        <v>0.05747777777777774</v>
      </c>
      <c r="Q16" s="15">
        <f>IFERROR(Q2/P2-1,"")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</row>
    <row r="18">
      <c r="A18" s="14" t="inlineStr">
        <is>
          <t>Operating Margin</t>
        </is>
      </c>
      <c r="B18" s="15">
        <f>IFERROR(B8/B2,"")</f>
        <v>-6.818181818181819</v>
      </c>
      <c r="C18" s="15">
        <f>IFERROR(C8/C2,"")</f>
        <v>-1.5709194967874303</v>
      </c>
      <c r="D18" s="15">
        <f>IFERROR(D8/D2,"")</f>
        <v>-4.467860016090105</v>
      </c>
      <c r="E18" s="15">
        <f>IFERROR(E8/E2,"")</f>
        <v>-3.1257152243545865</v>
      </c>
      <c r="F18" s="15">
        <f>IFERROR(F8/F2,"")</f>
        <v>-3.4608619173262976</v>
      </c>
      <c r="G18" s="15">
        <f>IFERROR(G8/G2,"")</f>
        <v>-1.7839349833290588</v>
      </c>
      <c r="H18" s="15">
        <f>IFERROR(H8/H2,"")</f>
        <v>-1.33</v>
      </c>
      <c r="I18" s="15">
        <f>IFERROR(I8/I2,"")</f>
        <v>-1.16</v>
      </c>
      <c r="J18" s="15">
        <f>IFERROR(J8/J2,"")</f>
        <v>-0.9900000000000001</v>
      </c>
      <c r="K18" s="15">
        <f>IFERROR(K8/K2,"")</f>
        <v>-0.82</v>
      </c>
      <c r="L18" s="15">
        <f>IFERROR(L8/L2,"")</f>
        <v>-0.65</v>
      </c>
      <c r="M18" s="15">
        <f>IFERROR(M8/M2,"")</f>
        <v>-0.48</v>
      </c>
      <c r="N18" s="15">
        <f>IFERROR(N8/N2,"")</f>
        <v>-0.31000000000000005</v>
      </c>
      <c r="O18" s="15">
        <f>IFERROR(O8/O2,"")</f>
        <v>-0.14000000000000018</v>
      </c>
      <c r="P18" s="15">
        <f>IFERROR(P8/P2,"")</f>
        <v>0.029999999999999794</v>
      </c>
      <c r="Q18" s="15">
        <f>IFERROR(Q8/Q2,"")</f>
        <v>0.19999999999999996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E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Tango Therapeutics,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0.2673</v>
      </c>
      <c r="C12" s="53" t="n">
        <v>0.3173</v>
      </c>
      <c r="D12" s="53" t="n">
        <v>0.3673</v>
      </c>
      <c r="E12" s="54">
        <f>CHOOSE($B$4,B12,C12,D12)</f>
        <v>0.3173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0.761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Model'!G2</f>
        <v>62.384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-375.7511025187301</v>
      </c>
      <c r="C29" s="56">
        <f>NPV!B26</f>
        <v>638.23889748127</v>
      </c>
      <c r="D29" s="35">
        <f>NPV!B28</f>
        <v>3.7852885847835798</v>
      </c>
      <c r="E29" s="57">
        <f>NPV!B30</f>
        <v>-0.8501172605510362</v>
      </c>
    </row>
    <row r="30">
      <c r="A30" s="58" t="n">
        <v>1</v>
      </c>
      <c r="B30" s="59">
        <f t="dataTable" ref="B30:E32" r1="B4"/>
        <v>-430.18942829009154</v>
      </c>
      <c r="C30" s="59">
        <v>583.8005717099085</v>
      </c>
      <c r="D30" s="39">
        <v>3.462423942828548</v>
      </c>
      <c r="E30" s="60">
        <v>-0.8629014475221324</v>
      </c>
    </row>
    <row r="31">
      <c r="A31" s="58" t="n">
        <v>2</v>
      </c>
      <c r="B31" s="59">
        <v>-375.7511025187301</v>
      </c>
      <c r="C31" s="59">
        <v>638.23889748127</v>
      </c>
      <c r="D31" s="39">
        <v>3.7852885847835798</v>
      </c>
      <c r="E31" s="60">
        <v>-0.8501172605510362</v>
      </c>
    </row>
    <row r="32">
      <c r="A32" s="58" t="n">
        <v>3</v>
      </c>
      <c r="B32" s="59">
        <v>-206.0358714367377</v>
      </c>
      <c r="C32" s="59">
        <v>807.9541285632623</v>
      </c>
      <c r="D32" s="39">
        <v>4.791841349608487</v>
      </c>
      <c r="E32" s="60">
        <v>-0.8102616769111666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3.7852885847835798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4.003416504325415</v>
      </c>
      <c r="C37" s="39">
        <v>4.13914462461407</v>
      </c>
      <c r="D37" s="39">
        <v>4.298476314824884</v>
      </c>
      <c r="E37" s="39">
        <v>4.487343625385155</v>
      </c>
      <c r="F37" s="39">
        <v>4.713836059865848</v>
      </c>
    </row>
    <row r="38">
      <c r="A38" s="62" t="n">
        <v>0.1</v>
      </c>
      <c r="B38" s="39">
        <v>3.7848570056865998</v>
      </c>
      <c r="C38" s="39">
        <v>3.8806210846068567</v>
      </c>
      <c r="D38" s="39">
        <v>3.9913850123954626</v>
      </c>
      <c r="E38" s="39">
        <v>4.120388098148716</v>
      </c>
      <c r="F38" s="39">
        <v>4.271866633462225</v>
      </c>
    </row>
    <row r="39">
      <c r="A39" s="62" t="n">
        <v>0.11</v>
      </c>
      <c r="B39" s="39">
        <v>3.6370593153128947</v>
      </c>
      <c r="C39" s="39">
        <v>3.7061764678266345</v>
      </c>
      <c r="D39" s="39">
        <v>3.7852885847835798</v>
      </c>
      <c r="E39" s="39">
        <v>3.8762903060792824</v>
      </c>
      <c r="F39" s="39">
        <v>3.981581729431955</v>
      </c>
    </row>
    <row r="40">
      <c r="A40" s="62" t="n">
        <v>0.12</v>
      </c>
      <c r="B40" s="39">
        <v>3.5380942208361454</v>
      </c>
      <c r="C40" s="39">
        <v>3.588755775110683</v>
      </c>
      <c r="D40" s="39">
        <v>3.64632966474904</v>
      </c>
      <c r="E40" s="39">
        <v>3.7119851372874457</v>
      </c>
      <c r="F40" s="39">
        <v>3.7871667394640163</v>
      </c>
    </row>
    <row r="41">
      <c r="A41" s="62" t="n">
        <v>0.13</v>
      </c>
      <c r="B41" s="39">
        <v>3.4737961563991924</v>
      </c>
      <c r="C41" s="39">
        <v>3.511287173545844</v>
      </c>
      <c r="D41" s="39">
        <v>3.5537036963107678</v>
      </c>
      <c r="E41" s="39">
        <v>3.6017990989663424</v>
      </c>
      <c r="F41" s="39">
        <v>3.656485513542137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Tango Therapeutics, Inc.: free-cash-flow DCF ($mm)</t>
        </is>
      </c>
    </row>
    <row r="3">
      <c r="A3" s="20" t="inlineStr">
        <is>
          <t>Fiscal year</t>
        </is>
      </c>
      <c r="B3" s="43">
        <f>'Yearly Model'!G1</f>
        <v>2025</v>
      </c>
      <c r="C3" s="43">
        <f>'Yearly Model'!H1</f>
        <v>2026</v>
      </c>
      <c r="D3" s="43">
        <f>'Yearly Model'!I1</f>
        <v>2027</v>
      </c>
      <c r="E3" s="43">
        <f>'Yearly Model'!J1</f>
        <v>2028</v>
      </c>
      <c r="F3" s="43">
        <f>'Yearly Model'!K1</f>
        <v>2029</v>
      </c>
      <c r="G3" s="43">
        <f>'Yearly Model'!L1</f>
        <v>2030</v>
      </c>
      <c r="H3" s="43">
        <f>'Yearly Model'!M1</f>
        <v>2031</v>
      </c>
      <c r="I3" s="43">
        <f>'Yearly Model'!N1</f>
        <v>2032</v>
      </c>
      <c r="J3" s="43">
        <f>'Yearly Model'!O1</f>
        <v>2033</v>
      </c>
      <c r="K3" s="43">
        <f>'Yearly Model'!P1</f>
        <v>2034</v>
      </c>
      <c r="L3" s="43">
        <f>'Yearly Model'!Q1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0.3173</v>
      </c>
      <c r="D5" s="63">
        <f>Assumptions!$E$12+(Assumptions!$E$11-Assumptions!$E$12)*(D4-1)/(Assumptions!$B$21-1)</f>
        <v>0.28482222222222225</v>
      </c>
      <c r="E5" s="63">
        <f>Assumptions!$E$12+(Assumptions!$E$11-Assumptions!$E$12)*(E4-1)/(Assumptions!$B$21-1)</f>
        <v>0.2523444444444445</v>
      </c>
      <c r="F5" s="63">
        <f>Assumptions!$E$12+(Assumptions!$E$11-Assumptions!$E$12)*(F4-1)/(Assumptions!$B$21-1)</f>
        <v>0.2198666666666667</v>
      </c>
      <c r="G5" s="63">
        <f>Assumptions!$E$12+(Assumptions!$E$11-Assumptions!$E$12)*(G4-1)/(Assumptions!$B$21-1)</f>
        <v>0.1873888888888889</v>
      </c>
      <c r="H5" s="63">
        <f>Assumptions!$E$12+(Assumptions!$E$11-Assumptions!$E$12)*(H4-1)/(Assumptions!$B$21-1)</f>
        <v>0.15491111111111114</v>
      </c>
      <c r="I5" s="63">
        <f>Assumptions!$E$12+(Assumptions!$E$11-Assumptions!$E$12)*(I4-1)/(Assumptions!$B$21-1)</f>
        <v>0.12243333333333337</v>
      </c>
      <c r="J5" s="63">
        <f>Assumptions!$E$12+(Assumptions!$E$11-Assumptions!$E$12)*(J4-1)/(Assumptions!$B$21-1)</f>
        <v>0.08995555555555557</v>
      </c>
      <c r="K5" s="63">
        <f>Assumptions!$E$12+(Assumptions!$E$11-Assumptions!$E$12)*(K4-1)/(Assumptions!$B$21-1)</f>
        <v>0.057477777777777794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-1.7839349833290588</v>
      </c>
      <c r="C6" s="63">
        <f>Assumptions!$B$18+(Assumptions!$E$13-Assumptions!$B$18)*C4/Assumptions!$B$21</f>
        <v>-1.33</v>
      </c>
      <c r="D6" s="63">
        <f>Assumptions!$B$18+(Assumptions!$E$13-Assumptions!$B$18)*D4/Assumptions!$B$21</f>
        <v>-1.1600000000000001</v>
      </c>
      <c r="E6" s="63">
        <f>Assumptions!$B$18+(Assumptions!$E$13-Assumptions!$B$18)*E4/Assumptions!$B$21</f>
        <v>-0.99</v>
      </c>
      <c r="F6" s="63">
        <f>Assumptions!$B$18+(Assumptions!$E$13-Assumptions!$B$18)*F4/Assumptions!$B$21</f>
        <v>-0.8200000000000001</v>
      </c>
      <c r="G6" s="63">
        <f>Assumptions!$B$18+(Assumptions!$E$13-Assumptions!$B$18)*G4/Assumptions!$B$21</f>
        <v>-0.65</v>
      </c>
      <c r="H6" s="63">
        <f>Assumptions!$B$18+(Assumptions!$E$13-Assumptions!$B$18)*H4/Assumptions!$B$21</f>
        <v>-0.48</v>
      </c>
      <c r="I6" s="63">
        <f>Assumptions!$B$18+(Assumptions!$E$13-Assumptions!$B$18)*I4/Assumptions!$B$21</f>
        <v>-0.31000000000000005</v>
      </c>
      <c r="J6" s="63">
        <f>Assumptions!$B$18+(Assumptions!$E$13-Assumptions!$B$18)*J4/Assumptions!$B$21</f>
        <v>-0.14000000000000012</v>
      </c>
      <c r="K6" s="63">
        <f>Assumptions!$B$18+(Assumptions!$E$13-Assumptions!$B$18)*K4/Assumptions!$B$21</f>
        <v>0.029999999999999805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Model'!G2</f>
        <v>62.384</v>
      </c>
      <c r="C7" s="55">
        <f>'Yearly Model'!H2</f>
        <v>82.17844319999999</v>
      </c>
      <c r="D7" s="55">
        <f>'Yearly Model'!I2</f>
        <v>105.58469001098666</v>
      </c>
      <c r="E7" s="55">
        <f>'Yearly Model'!J2</f>
        <v>132.22839995364797</v>
      </c>
      <c r="F7" s="55">
        <f>'Yearly Model'!K2</f>
        <v>161.30101749012337</v>
      </c>
      <c r="G7" s="55">
        <f>'Yearly Model'!L2</f>
        <v>191.52703593424482</v>
      </c>
      <c r="H7" s="55">
        <f>'Yearly Model'!M2</f>
        <v>221.19670187863642</v>
      </c>
      <c r="I7" s="55">
        <f>'Yearly Model'!N2</f>
        <v>248.27855141197747</v>
      </c>
      <c r="J7" s="55">
        <f>'Yearly Model'!O2</f>
        <v>270.61258643677047</v>
      </c>
      <c r="K7" s="55">
        <f>'Yearly Model'!P2</f>
        <v>286.16679654385285</v>
      </c>
      <c r="L7" s="55">
        <f>'Yearly Model'!Q2</f>
        <v>293.3209664574492</v>
      </c>
    </row>
    <row r="8">
      <c r="A8" s="14" t="inlineStr">
        <is>
          <t>Operating income</t>
        </is>
      </c>
      <c r="B8" s="55">
        <f>'Yearly Model'!G8</f>
        <v>-111.289</v>
      </c>
      <c r="C8" s="55">
        <f>'Yearly Model'!H8</f>
        <v>-109.29732945599999</v>
      </c>
      <c r="D8" s="55">
        <f>'Yearly Model'!I8</f>
        <v>-122.47824041274453</v>
      </c>
      <c r="E8" s="55">
        <f>'Yearly Model'!J8</f>
        <v>-130.9061159541115</v>
      </c>
      <c r="F8" s="55">
        <f>'Yearly Model'!K8</f>
        <v>-132.26683434190116</v>
      </c>
      <c r="G8" s="55">
        <f>'Yearly Model'!L8</f>
        <v>-124.49257335725915</v>
      </c>
      <c r="H8" s="55">
        <f>'Yearly Model'!M8</f>
        <v>-106.17441690174547</v>
      </c>
      <c r="I8" s="55">
        <f>'Yearly Model'!N8</f>
        <v>-76.96635093771303</v>
      </c>
      <c r="J8" s="55">
        <f>'Yearly Model'!O8</f>
        <v>-37.88576210114792</v>
      </c>
      <c r="K8" s="55">
        <f>'Yearly Model'!P8</f>
        <v>8.585003896315527</v>
      </c>
      <c r="L8" s="55">
        <f>'Yearly Model'!Q8</f>
        <v>58.66419329148982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1.4594506623736396</v>
      </c>
      <c r="L9" s="52">
        <f>MAX(0,L8)*Assumptions!$E$14</f>
        <v>9.97291285955327</v>
      </c>
    </row>
    <row r="10">
      <c r="A10" s="14" t="inlineStr">
        <is>
          <t>NOPAT</t>
        </is>
      </c>
      <c r="C10" s="52">
        <f>C8-C9</f>
        <v>-109.29732945599999</v>
      </c>
      <c r="D10" s="52">
        <f>D8-D9</f>
        <v>-122.47824041274453</v>
      </c>
      <c r="E10" s="52">
        <f>E8-E9</f>
        <v>-130.9061159541115</v>
      </c>
      <c r="F10" s="52">
        <f>F8-F9</f>
        <v>-132.26683434190116</v>
      </c>
      <c r="G10" s="52">
        <f>G8-G9</f>
        <v>-124.49257335725915</v>
      </c>
      <c r="H10" s="52">
        <f>H8-H9</f>
        <v>-106.17441690174547</v>
      </c>
      <c r="I10" s="52">
        <f>I8-I9</f>
        <v>-76.96635093771303</v>
      </c>
      <c r="J10" s="52">
        <f>J8-J9</f>
        <v>-37.88576210114792</v>
      </c>
      <c r="K10" s="52">
        <f>K8-K9</f>
        <v>7.125553233941887</v>
      </c>
      <c r="L10" s="52">
        <f>L8-L9</f>
        <v>48.691280431936555</v>
      </c>
    </row>
    <row r="11">
      <c r="A11" s="14" t="inlineStr">
        <is>
          <t>Reinvestment</t>
        </is>
      </c>
      <c r="C11" s="52">
        <f>(C7-B7)*Assumptions!$E$15</f>
        <v>4.948610799999997</v>
      </c>
      <c r="D11" s="52">
        <f>(D7-C7)*Assumptions!$E$15</f>
        <v>5.851561702746668</v>
      </c>
      <c r="E11" s="52">
        <f>(E7-D7)*Assumptions!$E$15</f>
        <v>6.660927485665326</v>
      </c>
      <c r="F11" s="52">
        <f>(F7-E7)*Assumptions!$E$15</f>
        <v>7.268154384118851</v>
      </c>
      <c r="G11" s="52">
        <f>(G7-F7)*Assumptions!$E$15</f>
        <v>7.556504611030363</v>
      </c>
      <c r="H11" s="52">
        <f>(H7-G7)*Assumptions!$E$15</f>
        <v>7.417416486097899</v>
      </c>
      <c r="I11" s="52">
        <f>(I7-H7)*Assumptions!$E$15</f>
        <v>6.770462383335264</v>
      </c>
      <c r="J11" s="52">
        <f>(J7-I7)*Assumptions!$E$15</f>
        <v>5.583508756198249</v>
      </c>
      <c r="K11" s="52">
        <f>(K7-J7)*Assumptions!$E$15</f>
        <v>3.888552526770596</v>
      </c>
      <c r="L11" s="52">
        <f>(L7-K7)*Assumptions!$E$15</f>
        <v>1.78854247839908</v>
      </c>
    </row>
    <row r="12">
      <c r="A12" s="20" t="inlineStr">
        <is>
          <t>Free cash flow</t>
        </is>
      </c>
      <c r="C12" s="64">
        <f>C10-C11</f>
        <v>-114.24594025599998</v>
      </c>
      <c r="D12" s="64">
        <f>D10-D11</f>
        <v>-128.3298021154912</v>
      </c>
      <c r="E12" s="64">
        <f>E10-E11</f>
        <v>-137.56704343977682</v>
      </c>
      <c r="F12" s="64">
        <f>F10-F11</f>
        <v>-139.53498872602</v>
      </c>
      <c r="G12" s="64">
        <f>G10-G11</f>
        <v>-132.0490779682895</v>
      </c>
      <c r="H12" s="64">
        <f>H10-H11</f>
        <v>-113.59183338784337</v>
      </c>
      <c r="I12" s="64">
        <f>I10-I11</f>
        <v>-83.73681332104829</v>
      </c>
      <c r="J12" s="64">
        <f>J10-J11</f>
        <v>-43.46927085734617</v>
      </c>
      <c r="K12" s="64">
        <f>K10-K11</f>
        <v>3.2370007071712914</v>
      </c>
      <c r="L12" s="64">
        <f>L10-L11</f>
        <v>46.902737953537475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-56.096248325412965</v>
      </c>
      <c r="D16" s="64">
        <f>D12*D13*D15</f>
        <v>-115.56297712659462</v>
      </c>
      <c r="E16" s="64">
        <f>E12*E13*E15</f>
        <v>-111.60473531840216</v>
      </c>
      <c r="F16" s="64">
        <f>F12*F13*F15</f>
        <v>-101.9831356670648</v>
      </c>
      <c r="G16" s="64">
        <f>G12*G13*G15</f>
        <v>-86.94760700501364</v>
      </c>
      <c r="H16" s="64">
        <f>H12*H13*H15</f>
        <v>-67.3823869012172</v>
      </c>
      <c r="I16" s="64">
        <f>I12*I13*I15</f>
        <v>-44.749968348157765</v>
      </c>
      <c r="J16" s="64">
        <f>J12*J13*J15</f>
        <v>-20.928383253467615</v>
      </c>
      <c r="K16" s="64">
        <f>K12*K13*K15</f>
        <v>1.404019500500223</v>
      </c>
      <c r="L16" s="64">
        <f>L12*L13*L15</f>
        <v>18.327598495766676</v>
      </c>
    </row>
    <row r="19">
      <c r="A19" s="14" t="inlineStr">
        <is>
          <t>PV of forecast free cash flow</t>
        </is>
      </c>
      <c r="B19" s="52">
        <f>SUM(C16:L16)</f>
        <v>-585.5238239490639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48.0753064023759</v>
      </c>
    </row>
    <row r="21">
      <c r="A21" s="14" t="inlineStr">
        <is>
          <t>Terminal value</t>
        </is>
      </c>
      <c r="B21" s="52">
        <f>B20/(Assumptions!$E$10-Assumptions!$E$11)</f>
        <v>565.5918400279518</v>
      </c>
    </row>
    <row r="22">
      <c r="A22" s="14" t="inlineStr">
        <is>
          <t>PV of terminal value</t>
        </is>
      </c>
      <c r="B22" s="52">
        <f>B21/(1+Assumptions!$E$10)^(L14+0.5)</f>
        <v>209.77272143033377</v>
      </c>
    </row>
    <row r="23">
      <c r="A23" s="20" t="inlineStr">
        <is>
          <t>Enterprise value</t>
        </is>
      </c>
      <c r="B23" s="66">
        <f>B19+B22</f>
        <v>-375.7511025187301</v>
      </c>
    </row>
    <row r="24">
      <c r="A24" s="14" t="inlineStr">
        <is>
          <t>Cash &amp; investments</t>
        </is>
      </c>
      <c r="B24" s="55">
        <f>Main!C7</f>
        <v>1013.99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638.23889748127</v>
      </c>
    </row>
    <row r="27">
      <c r="A27" s="14" t="inlineStr">
        <is>
          <t>Shares (mm)</t>
        </is>
      </c>
      <c r="B27" s="55">
        <f>Main!C4</f>
        <v>168.610367</v>
      </c>
    </row>
    <row r="28">
      <c r="A28" s="20" t="inlineStr">
        <is>
          <t>NPV / share</t>
        </is>
      </c>
      <c r="B28" s="49">
        <f>B26/B27</f>
        <v>3.7852885847835798</v>
      </c>
    </row>
    <row r="29">
      <c r="A29" s="14" t="inlineStr">
        <is>
          <t>Price</t>
        </is>
      </c>
      <c r="B29" s="50">
        <f>Main!C3</f>
        <v>25.255</v>
      </c>
    </row>
    <row r="30">
      <c r="A30" s="14" t="inlineStr">
        <is>
          <t>Upside</t>
        </is>
      </c>
      <c r="B30" s="63">
        <f>B28/B29-1</f>
        <v>-0.8501172605510362</v>
      </c>
    </row>
    <row r="31">
      <c r="A31" s="14" t="inlineStr">
        <is>
          <t>Terminal value, % of EV</t>
        </is>
      </c>
      <c r="B31" s="63">
        <f>IFERROR(B22/B23,0)</f>
        <v>-0.5582757309937028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2026-10-21T01:04:10Z</dcterms:modified>
  <cp:lastModifiedBy>Wang, Eric</cp:lastModifiedBy>
</cp:coreProperties>
</file>