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Marker Therapeutics Inc</t>
        </is>
      </c>
      <c r="C2" s="10" t="n"/>
    </row>
    <row r="3">
      <c r="B3" t="inlineStr">
        <is>
          <t>Price</t>
        </is>
      </c>
      <c r="C3" s="11">
        <f>INDEX([1]Pharma!$F$1:$F$1000,MATCH("MRKR",[1]Pharma!$B$1:$B$1000,0))</f>
        <v>1.16</v>
      </c>
      <c r="F3" s="1" t="n"/>
    </row>
    <row r="4">
      <c r="B4" t="inlineStr">
        <is>
          <t>Shares</t>
        </is>
      </c>
      <c r="C4" s="21" t="n">
        <v>16.673127</v>
      </c>
      <c r="F4" s="1" t="n"/>
    </row>
    <row r="5">
      <c r="B5" t="inlineStr">
        <is>
          <t>Market Cap.</t>
        </is>
      </c>
      <c r="C5" s="13">
        <f>C3*C4</f>
        <v>19.34082732</v>
      </c>
      <c r="F5" s="1" t="n"/>
    </row>
    <row r="6"/>
    <row r="7">
      <c r="B7" t="inlineStr">
        <is>
          <t>Cash</t>
        </is>
      </c>
      <c r="C7" s="21" t="n">
        <v>11.331023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8.009804319999999</v>
      </c>
    </row>
    <row r="10"/>
    <row r="11">
      <c r="B11" s="14" t="inlineStr">
        <is>
          <t>rNPV / Share</t>
        </is>
      </c>
      <c r="C11" s="11">
        <f>NPV!B27</f>
        <v>12.694798667798478</v>
      </c>
    </row>
    <row r="12">
      <c r="B12" s="14" t="inlineStr">
        <is>
          <t>Upside</t>
        </is>
      </c>
      <c r="C12" s="15">
        <f>IFERROR(C11/C3-1,"")</f>
        <v>9.943791954998689</v>
      </c>
    </row>
    <row r="13">
      <c r="B13" s="14" t="inlineStr">
        <is>
          <t>Cash / Share</t>
        </is>
      </c>
      <c r="C13" s="11">
        <f>IFERROR((C7-C8)/C4,"")</f>
        <v>0.6795979542409771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-9.756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1.161441471914719</v>
      </c>
    </row>
    <row r="19">
      <c r="B19" s="14" t="inlineStr">
        <is>
          <t>Implied Pipeline Value</t>
        </is>
      </c>
      <c r="C19" s="13">
        <f>C9</f>
        <v>8.009804319999999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2000</v>
      </c>
      <c r="C1" s="17" t="n">
        <v>2001</v>
      </c>
      <c r="D1" s="17" t="n">
        <v>2002</v>
      </c>
      <c r="E1" s="17" t="n">
        <v>2003</v>
      </c>
      <c r="F1" s="17" t="n">
        <v>2004</v>
      </c>
      <c r="G1" s="17" t="n">
        <v>2005</v>
      </c>
      <c r="H1" s="17" t="n">
        <v>2006</v>
      </c>
      <c r="I1" s="17" t="n">
        <v>2007</v>
      </c>
      <c r="J1" s="17" t="n">
        <v>2008</v>
      </c>
      <c r="K1" s="17" t="n">
        <v>2009</v>
      </c>
      <c r="L1" s="17" t="n">
        <v>2010</v>
      </c>
      <c r="M1" s="17" t="n">
        <v>2011</v>
      </c>
      <c r="N1" s="17" t="n">
        <v>2012</v>
      </c>
      <c r="O1" s="17" t="n">
        <v>2013</v>
      </c>
      <c r="P1" s="17" t="n">
        <v>2014</v>
      </c>
      <c r="Q1" s="17" t="n">
        <v>2015</v>
      </c>
      <c r="R1" s="17" t="n">
        <v>2016</v>
      </c>
      <c r="S1" s="17" t="n">
        <v>2017</v>
      </c>
      <c r="T1" s="17" t="n">
        <v>2018</v>
      </c>
      <c r="U1" s="17" t="n">
        <v>2019</v>
      </c>
      <c r="V1" s="17" t="n">
        <v>2020</v>
      </c>
      <c r="W1" s="17" t="n">
        <v>2021</v>
      </c>
      <c r="X1" s="17" t="n">
        <v>2022</v>
      </c>
      <c r="Y1" s="17" t="n">
        <v>2023</v>
      </c>
      <c r="Z1" s="17" t="n">
        <v>2024</v>
      </c>
      <c r="AA1" s="17" t="n">
        <v>2025</v>
      </c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0.183</v>
      </c>
      <c r="T2" s="23" t="n">
        <v>0.206</v>
      </c>
      <c r="U2" s="23" t="n">
        <v>0.213</v>
      </c>
      <c r="V2" s="23" t="n">
        <v>0.5</v>
      </c>
      <c r="W2" s="23" t="n">
        <v>1.242</v>
      </c>
      <c r="X2" s="23" t="n">
        <v>3.514</v>
      </c>
      <c r="Y2" s="23" t="n">
        <v>3.311</v>
      </c>
      <c r="Z2" s="23" t="n">
        <v>6.591</v>
      </c>
      <c r="AA2" s="23" t="n">
        <v>3.547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0.183</v>
      </c>
      <c r="T4" s="23">
        <f>T2-T3</f>
        <v>0.206</v>
      </c>
      <c r="U4" s="23">
        <f>U2-U3</f>
        <v>0.213</v>
      </c>
      <c r="V4" s="23">
        <f>V2-V3</f>
        <v>0.5</v>
      </c>
      <c r="W4" s="23">
        <f>W2-W3</f>
        <v>1.242</v>
      </c>
      <c r="X4" s="23">
        <f>X2-X3</f>
        <v>3.514</v>
      </c>
      <c r="Y4" s="23">
        <f>Y2-Y3</f>
        <v>3.311</v>
      </c>
      <c r="Z4" s="23">
        <f>Z2-Z3</f>
        <v>6.591</v>
      </c>
      <c r="AA4" s="23">
        <f>AA2-AA3</f>
        <v>3.547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0.29</v>
      </c>
      <c r="M5" s="23" t="n">
        <v>0.204</v>
      </c>
      <c r="N5" s="23" t="n">
        <v>1.057</v>
      </c>
      <c r="O5" s="23" t="n">
        <v>0.698</v>
      </c>
      <c r="P5" s="23" t="n">
        <v>0.189</v>
      </c>
      <c r="Q5" s="23" t="n">
        <v>1.711</v>
      </c>
      <c r="R5" s="23" t="n">
        <v>3.8</v>
      </c>
      <c r="S5" s="23" t="n">
        <v>5.251</v>
      </c>
      <c r="T5" s="23" t="n">
        <v>7.953</v>
      </c>
      <c r="U5" s="23" t="n">
        <v>12.765</v>
      </c>
      <c r="V5" s="23" t="n">
        <v>18.881</v>
      </c>
      <c r="W5" s="23" t="n">
        <v>27.795</v>
      </c>
      <c r="X5" s="23" t="n">
        <v>11.968</v>
      </c>
      <c r="Y5" s="23" t="n">
        <v>10.417</v>
      </c>
      <c r="Z5" s="23" t="n">
        <v>13.468</v>
      </c>
      <c r="AA5" s="23" t="n">
        <v>11.799</v>
      </c>
    </row>
    <row r="6">
      <c r="A6" s="19" t="inlineStr">
        <is>
          <t>SG&amp;A &amp; Other</t>
        </is>
      </c>
      <c r="B6" s="23" t="n">
        <v>0.9350000000000001</v>
      </c>
      <c r="C6" s="23" t="n">
        <v>0.672</v>
      </c>
      <c r="D6" s="23" t="n">
        <v>2.285</v>
      </c>
      <c r="E6" s="23" t="n">
        <v>5.779</v>
      </c>
      <c r="F6" s="23" t="n">
        <v>2.683</v>
      </c>
      <c r="G6" s="23" t="n">
        <v>0.986</v>
      </c>
      <c r="H6" s="23" t="n">
        <v>1.304</v>
      </c>
      <c r="I6" s="23" t="n">
        <v>3.891</v>
      </c>
      <c r="J6" s="23" t="n">
        <v>2.196</v>
      </c>
      <c r="K6" s="23" t="n">
        <v>17.349</v>
      </c>
      <c r="L6" s="23" t="n">
        <v>5.182</v>
      </c>
      <c r="M6" s="23" t="n">
        <v>3.112</v>
      </c>
      <c r="N6" s="23" t="n">
        <v>1.012</v>
      </c>
      <c r="O6" s="23" t="n">
        <v>1.967</v>
      </c>
      <c r="P6" s="23" t="n">
        <v>3.182</v>
      </c>
      <c r="Q6" s="23" t="n">
        <v>4.448</v>
      </c>
      <c r="R6" s="23" t="n">
        <v>4.692</v>
      </c>
      <c r="S6" s="23" t="n">
        <v>6.412</v>
      </c>
      <c r="T6" s="23" t="n">
        <v>140.425</v>
      </c>
      <c r="U6" s="23" t="n">
        <v>9.977</v>
      </c>
      <c r="V6" s="23" t="n">
        <v>10.505</v>
      </c>
      <c r="W6" s="23" t="n">
        <v>12.925</v>
      </c>
      <c r="X6" s="23" t="n">
        <v>11.336</v>
      </c>
      <c r="Y6" s="23" t="n">
        <v>7.476</v>
      </c>
      <c r="Z6" s="23" t="n">
        <v>4.242</v>
      </c>
      <c r="AA6" s="23" t="n">
        <v>4.638</v>
      </c>
    </row>
    <row r="7">
      <c r="A7" s="2" t="inlineStr">
        <is>
          <t>Operating Expense</t>
        </is>
      </c>
      <c r="B7" s="23">
        <f>SUM(B5:B6)</f>
        <v>0.935</v>
      </c>
      <c r="C7" s="23">
        <f>SUM(C5:C6)</f>
        <v>0.672</v>
      </c>
      <c r="D7" s="23">
        <f>SUM(D5:D6)</f>
        <v>2.285</v>
      </c>
      <c r="E7" s="23">
        <f>SUM(E5:E6)</f>
        <v>5.779</v>
      </c>
      <c r="F7" s="23">
        <f>SUM(F5:F6)</f>
        <v>2.683</v>
      </c>
      <c r="G7" s="23">
        <f>SUM(G5:G6)</f>
        <v>0.986</v>
      </c>
      <c r="H7" s="23">
        <f>SUM(H5:H6)</f>
        <v>1.304</v>
      </c>
      <c r="I7" s="23">
        <f>SUM(I5:I6)</f>
        <v>3.891</v>
      </c>
      <c r="J7" s="23">
        <f>SUM(J5:J6)</f>
        <v>2.196</v>
      </c>
      <c r="K7" s="23">
        <f>SUM(K5:K6)</f>
        <v>17.349</v>
      </c>
      <c r="L7" s="23">
        <f>SUM(L5:L6)</f>
        <v>5.472</v>
      </c>
      <c r="M7" s="23">
        <f>SUM(M5:M6)</f>
        <v>3.3160000000000003</v>
      </c>
      <c r="N7" s="23">
        <f>SUM(N5:N6)</f>
        <v>2.069</v>
      </c>
      <c r="O7" s="23">
        <f>SUM(O5:O6)</f>
        <v>2.665</v>
      </c>
      <c r="P7" s="23">
        <f>SUM(P5:P6)</f>
        <v>3.371</v>
      </c>
      <c r="Q7" s="23">
        <f>SUM(Q5:Q6)</f>
        <v>6.159000000000001</v>
      </c>
      <c r="R7" s="23">
        <f>SUM(R5:R6)</f>
        <v>8.492</v>
      </c>
      <c r="S7" s="23">
        <f>SUM(S5:S6)</f>
        <v>11.663</v>
      </c>
      <c r="T7" s="23">
        <f>SUM(T5:T6)</f>
        <v>148.37800000000001</v>
      </c>
      <c r="U7" s="23">
        <f>SUM(U5:U6)</f>
        <v>22.742</v>
      </c>
      <c r="V7" s="23">
        <f>SUM(V5:V6)</f>
        <v>29.386000000000003</v>
      </c>
      <c r="W7" s="23">
        <f>SUM(W5:W6)</f>
        <v>40.72</v>
      </c>
      <c r="X7" s="23">
        <f>SUM(X5:X6)</f>
        <v>23.304000000000002</v>
      </c>
      <c r="Y7" s="23">
        <f>SUM(Y5:Y6)</f>
        <v>17.893</v>
      </c>
      <c r="Z7" s="23">
        <f>SUM(Z5:Z6)</f>
        <v>17.71</v>
      </c>
      <c r="AA7" s="23">
        <f>SUM(AA5:AA6)</f>
        <v>16.436999999999998</v>
      </c>
    </row>
    <row r="8">
      <c r="A8" s="2" t="inlineStr">
        <is>
          <t>Operating Income</t>
        </is>
      </c>
      <c r="B8" s="23">
        <f>B4-B7</f>
        <v>-0.935</v>
      </c>
      <c r="C8" s="23">
        <f>C4-C7</f>
        <v>-0.672</v>
      </c>
      <c r="D8" s="23">
        <f>D4-D7</f>
        <v>-2.285</v>
      </c>
      <c r="E8" s="23">
        <f>E4-E7</f>
        <v>-5.779</v>
      </c>
      <c r="F8" s="23">
        <f>F4-F7</f>
        <v>-2.683</v>
      </c>
      <c r="G8" s="23">
        <f>G4-G7</f>
        <v>-0.986</v>
      </c>
      <c r="H8" s="23">
        <f>H4-H7</f>
        <v>-1.304</v>
      </c>
      <c r="I8" s="23">
        <f>I4-I7</f>
        <v>-3.891</v>
      </c>
      <c r="J8" s="23">
        <f>J4-J7</f>
        <v>-2.196</v>
      </c>
      <c r="K8" s="23">
        <f>K4-K7</f>
        <v>-17.349</v>
      </c>
      <c r="L8" s="23">
        <f>L4-L7</f>
        <v>-5.472</v>
      </c>
      <c r="M8" s="23">
        <f>M4-M7</f>
        <v>-3.3160000000000003</v>
      </c>
      <c r="N8" s="23">
        <f>N4-N7</f>
        <v>-2.069</v>
      </c>
      <c r="O8" s="23">
        <f>O4-O7</f>
        <v>-2.665</v>
      </c>
      <c r="P8" s="23">
        <f>P4-P7</f>
        <v>-3.371</v>
      </c>
      <c r="Q8" s="23">
        <f>Q4-Q7</f>
        <v>-6.159000000000001</v>
      </c>
      <c r="R8" s="23">
        <f>R4-R7</f>
        <v>-8.492</v>
      </c>
      <c r="S8" s="23">
        <f>S4-S7</f>
        <v>-11.48</v>
      </c>
      <c r="T8" s="23">
        <f>T4-T7</f>
        <v>-148.17200000000003</v>
      </c>
      <c r="U8" s="23">
        <f>U4-U7</f>
        <v>-22.529</v>
      </c>
      <c r="V8" s="23">
        <f>V4-V7</f>
        <v>-28.886000000000003</v>
      </c>
      <c r="W8" s="23">
        <f>W4-W7</f>
        <v>-39.478</v>
      </c>
      <c r="X8" s="23">
        <f>X4-X7</f>
        <v>-19.790000000000003</v>
      </c>
      <c r="Y8" s="23">
        <f>Y4-Y7</f>
        <v>-14.582</v>
      </c>
      <c r="Z8" s="23">
        <f>Z4-Z7</f>
        <v>-11.119</v>
      </c>
      <c r="AA8" s="23">
        <f>AA4-AA7</f>
        <v>-12.889999999999997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1.94</v>
      </c>
      <c r="M9" s="23" t="n">
        <v>1.287</v>
      </c>
      <c r="N9" s="23" t="n">
        <v>-3.788</v>
      </c>
      <c r="O9" s="23" t="n">
        <v>-2.868</v>
      </c>
      <c r="P9" s="23" t="n">
        <v>-27.512</v>
      </c>
      <c r="Q9" s="23" t="n">
        <v>-27.907</v>
      </c>
      <c r="R9" s="23" t="n">
        <v>6.037</v>
      </c>
      <c r="S9" s="23" t="n">
        <v>0.498</v>
      </c>
      <c r="T9" s="23" t="n">
        <v>0.214</v>
      </c>
      <c r="U9" s="23" t="n">
        <v>1.101</v>
      </c>
      <c r="V9" s="23" t="n">
        <v>0.18</v>
      </c>
      <c r="W9" s="23" t="n">
        <v>-2.401</v>
      </c>
      <c r="X9" s="23" t="n">
        <v>-10.14</v>
      </c>
      <c r="Y9" s="23" t="n">
        <v>6.348</v>
      </c>
      <c r="Z9" s="23" t="n">
        <v>0.437</v>
      </c>
      <c r="AA9" s="23" t="n">
        <v>0.712</v>
      </c>
    </row>
    <row r="10">
      <c r="A10" s="2" t="inlineStr">
        <is>
          <t>Pretax</t>
        </is>
      </c>
      <c r="B10" s="23">
        <f>B8+B9</f>
        <v>-0.935</v>
      </c>
      <c r="C10" s="23">
        <f>C8+C9</f>
        <v>-0.672</v>
      </c>
      <c r="D10" s="23">
        <f>D8+D9</f>
        <v>-2.285</v>
      </c>
      <c r="E10" s="23">
        <f>E8+E9</f>
        <v>-5.779</v>
      </c>
      <c r="F10" s="23">
        <f>F8+F9</f>
        <v>-2.683</v>
      </c>
      <c r="G10" s="23">
        <f>G8+G9</f>
        <v>-0.986</v>
      </c>
      <c r="H10" s="23">
        <f>H8+H9</f>
        <v>-1.304</v>
      </c>
      <c r="I10" s="23">
        <f>I8+I9</f>
        <v>-3.891</v>
      </c>
      <c r="J10" s="23">
        <f>J8+J9</f>
        <v>-2.196</v>
      </c>
      <c r="K10" s="23">
        <f>K8+K9</f>
        <v>-17.349</v>
      </c>
      <c r="L10" s="23">
        <f>L8+L9</f>
        <v>-3.5320000000000005</v>
      </c>
      <c r="M10" s="23">
        <f>M8+M9</f>
        <v>-2.0290000000000004</v>
      </c>
      <c r="N10" s="23">
        <f>N8+N9</f>
        <v>-5.856999999999999</v>
      </c>
      <c r="O10" s="23">
        <f>O8+O9</f>
        <v>-5.5329999999999995</v>
      </c>
      <c r="P10" s="23">
        <f>P8+P9</f>
        <v>-30.883</v>
      </c>
      <c r="Q10" s="23">
        <f>Q8+Q9</f>
        <v>-34.066</v>
      </c>
      <c r="R10" s="23">
        <f>R8+R9</f>
        <v>-2.455000000000001</v>
      </c>
      <c r="S10" s="23">
        <f>S8+S9</f>
        <v>-10.982000000000001</v>
      </c>
      <c r="T10" s="23">
        <f>T8+T9</f>
        <v>-147.95800000000003</v>
      </c>
      <c r="U10" s="23">
        <f>U8+U9</f>
        <v>-21.428</v>
      </c>
      <c r="V10" s="23">
        <f>V8+V9</f>
        <v>-28.706000000000003</v>
      </c>
      <c r="W10" s="23">
        <f>W8+W9</f>
        <v>-41.879000000000005</v>
      </c>
      <c r="X10" s="23">
        <f>X8+X9</f>
        <v>-29.930000000000003</v>
      </c>
      <c r="Y10" s="23">
        <f>Y8+Y9</f>
        <v>-8.234000000000002</v>
      </c>
      <c r="Z10" s="23">
        <f>Z8+Z9</f>
        <v>-10.682</v>
      </c>
      <c r="AA10" s="23">
        <f>AA8+AA9</f>
        <v>-12.177999999999997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0.004</v>
      </c>
      <c r="Z11" s="23" t="n">
        <v>0.05</v>
      </c>
      <c r="AA11" s="23" t="n">
        <v>-0.015</v>
      </c>
    </row>
    <row r="12">
      <c r="A12" s="2" t="inlineStr">
        <is>
          <t>Net Income</t>
        </is>
      </c>
      <c r="B12" s="23" t="n">
        <v>-0.9350000000000001</v>
      </c>
      <c r="C12" s="23" t="n">
        <v>-0.672</v>
      </c>
      <c r="D12" s="23" t="n">
        <v>-2.285</v>
      </c>
      <c r="E12" s="23" t="n">
        <v>-5.779</v>
      </c>
      <c r="F12" s="23" t="n">
        <v>-2.683</v>
      </c>
      <c r="G12" s="23" t="n">
        <v>-0.986</v>
      </c>
      <c r="H12" s="23" t="n">
        <v>-1.304</v>
      </c>
      <c r="I12" s="23" t="n">
        <v>-3.891</v>
      </c>
      <c r="J12" s="23" t="n">
        <v>-2.196</v>
      </c>
      <c r="K12" s="23" t="n">
        <v>-17.349</v>
      </c>
      <c r="L12" s="23" t="n">
        <v>-3.533</v>
      </c>
      <c r="M12" s="23" t="n">
        <v>-2.029</v>
      </c>
      <c r="N12" s="23" t="n">
        <v>-5.858</v>
      </c>
      <c r="O12" s="23" t="n">
        <v>-5.533</v>
      </c>
      <c r="P12" s="23" t="n">
        <v>-30.883</v>
      </c>
      <c r="Q12" s="23" t="n">
        <v>-34.066</v>
      </c>
      <c r="R12" s="23" t="n">
        <v>-2.455</v>
      </c>
      <c r="S12" s="23" t="n">
        <v>-10.982</v>
      </c>
      <c r="T12" s="23" t="n">
        <v>-147.958</v>
      </c>
      <c r="U12" s="23" t="n">
        <v>-21.428</v>
      </c>
      <c r="V12" s="23" t="n">
        <v>-28.706</v>
      </c>
      <c r="W12" s="23" t="n">
        <v>-41.879</v>
      </c>
      <c r="X12" s="23" t="n">
        <v>-29.931</v>
      </c>
      <c r="Y12" s="23" t="n">
        <v>-8.237</v>
      </c>
      <c r="Z12" s="23" t="n">
        <v>-10.731</v>
      </c>
      <c r="AA12" s="23" t="n">
        <v>-12.164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0</v>
      </c>
      <c r="M13" s="11">
        <f>IFERROR(M12/M14,0)</f>
        <v>0</v>
      </c>
      <c r="N13" s="11">
        <f>IFERROR(N12/N14,0)</f>
        <v>0</v>
      </c>
      <c r="O13" s="11">
        <f>IFERROR(O12/O14,0)</f>
        <v>-1.2176496478873242</v>
      </c>
      <c r="P13" s="11">
        <f>IFERROR(P12/P14,0)</f>
        <v>-0.4992321494964517</v>
      </c>
      <c r="Q13" s="11">
        <f>IFERROR(Q12/Q14,0)</f>
        <v>-2.325482968120691</v>
      </c>
      <c r="R13" s="11">
        <f>IFERROR(R12/R14,0)</f>
        <v>-0.16540897453173425</v>
      </c>
      <c r="S13" s="11">
        <f>IFERROR(S12/S14,0)</f>
        <v>-0.5808430739937589</v>
      </c>
      <c r="T13" s="11">
        <f>IFERROR(T12/T14,0)</f>
        <v>-7.749738110203227</v>
      </c>
      <c r="U13" s="11">
        <f>IFERROR(U12/U14,0)</f>
        <v>-0.4700359743792226</v>
      </c>
      <c r="V13" s="11">
        <f>IFERROR(V12/V14,0)</f>
        <v>-0.6102465986394557</v>
      </c>
      <c r="W13" s="11">
        <f>IFERROR(W12/W14,0)</f>
        <v>-5.473663573389099</v>
      </c>
      <c r="X13" s="11">
        <f>IFERROR(X12/X14,0)</f>
        <v>-3.584121662076398</v>
      </c>
      <c r="Y13" s="11">
        <f>IFERROR(Y12/Y14,0)</f>
        <v>-0.9350664093540698</v>
      </c>
      <c r="Z13" s="11">
        <f>IFERROR(Z12/Z14,0)</f>
        <v>-1.1949888641425388</v>
      </c>
      <c r="AA13" s="11">
        <f>IFERROR(AA12/AA14,0)</f>
        <v>-0.7945133899412149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>
        <v>4.544</v>
      </c>
      <c r="P14" s="23" t="n">
        <v>61.861</v>
      </c>
      <c r="Q14" s="23" t="n">
        <v>14.649</v>
      </c>
      <c r="R14" s="23" t="n">
        <v>14.842</v>
      </c>
      <c r="S14" s="23" t="n">
        <v>18.907</v>
      </c>
      <c r="T14" s="23" t="n">
        <v>19.092</v>
      </c>
      <c r="U14" s="23" t="n">
        <v>45.588</v>
      </c>
      <c r="V14" s="23" t="n">
        <v>47.04</v>
      </c>
      <c r="W14" s="23" t="n">
        <v>7.651</v>
      </c>
      <c r="X14" s="23" t="n">
        <v>8.351000000000001</v>
      </c>
      <c r="Y14" s="23" t="n">
        <v>8.808999999999999</v>
      </c>
      <c r="Z14" s="23" t="n">
        <v>8.98</v>
      </c>
      <c r="AA14" s="23" t="n">
        <v>15.31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>0.12568306010928953</v>
      </c>
      <c r="U16" s="15">
        <f>IFERROR(U2/T2-1,"")</f>
        <v>0.03398058252427183</v>
      </c>
      <c r="V16" s="15">
        <f>IFERROR(V2/U2-1,"")</f>
        <v>1.347417840375587</v>
      </c>
      <c r="W16" s="15">
        <f>IFERROR(W2/V2-1,"")</f>
        <v>1.484</v>
      </c>
      <c r="X16" s="15">
        <f>IFERROR(X2/W2-1,"")</f>
        <v>1.829307568438003</v>
      </c>
      <c r="Y16" s="15">
        <f>IFERROR(Y2/X2-1,"")</f>
        <v>-0.05776892430278879</v>
      </c>
      <c r="Z16" s="15">
        <f>IFERROR(Z2/Y2-1,"")</f>
        <v>0.9906372697070371</v>
      </c>
      <c r="AA16" s="15">
        <f>IFERROR(AA2/Z2-1,"")</f>
        <v>-0.4618419056288878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  <c r="AA17" s="15">
        <f>IFERROR(AA4/AA2,"")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>-62.732240437158474</v>
      </c>
      <c r="T18" s="15">
        <f>IFERROR(T8/T2,"")</f>
        <v>-719.2815533980585</v>
      </c>
      <c r="U18" s="15">
        <f>IFERROR(U8/U2,"")</f>
        <v>-105.7699530516432</v>
      </c>
      <c r="V18" s="15">
        <f>IFERROR(V8/V2,"")</f>
        <v>-57.772000000000006</v>
      </c>
      <c r="W18" s="15">
        <f>IFERROR(W8/W2,"")</f>
        <v>-31.785829307568438</v>
      </c>
      <c r="X18" s="15">
        <f>IFERROR(X8/X2,"")</f>
        <v>-5.6317586795674455</v>
      </c>
      <c r="Y18" s="15">
        <f>IFERROR(Y8/Y2,"")</f>
        <v>-4.4041075203865905</v>
      </c>
      <c r="Z18" s="15">
        <f>IFERROR(Z8/Z2,"")</f>
        <v>-1.6869974207252314</v>
      </c>
      <c r="AA18" s="15">
        <f>IFERROR(AA8/AA2,"")</f>
        <v>-3.634056949534817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  <c r="Z19" s="20" t="inlineStr">
        <is>
          <t>A</t>
        </is>
      </c>
      <c r="AA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Marker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0.14991449318299988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9.503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434.5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200.33096742763487</v>
      </c>
      <c r="C29" s="42">
        <f>NPV!B25</f>
        <v>211.66199042763486</v>
      </c>
      <c r="D29" s="43">
        <f>NPV!B27</f>
        <v>12.694798667798478</v>
      </c>
      <c r="E29" s="44">
        <f>NPV!B29</f>
        <v>9.943791954998689</v>
      </c>
    </row>
    <row r="30">
      <c r="A30" s="45" t="n">
        <v>1</v>
      </c>
      <c r="B30" s="46">
        <f t="dataTable" ref="B30:E32" r1="B4"/>
        <v>66.88524621047408</v>
      </c>
      <c r="C30" s="46">
        <v>78.21626921047408</v>
      </c>
      <c r="D30" s="47">
        <v>4.691157766055166</v>
      </c>
      <c r="E30" s="48">
        <v>3.044101522461351</v>
      </c>
    </row>
    <row r="31">
      <c r="A31" s="45" t="n">
        <v>2</v>
      </c>
      <c r="B31" s="46">
        <v>200.33096742763487</v>
      </c>
      <c r="C31" s="46">
        <v>211.66199042763486</v>
      </c>
      <c r="D31" s="47">
        <v>12.694798667798478</v>
      </c>
      <c r="E31" s="48">
        <v>9.943791954998689</v>
      </c>
    </row>
    <row r="32">
      <c r="A32" s="45" t="n">
        <v>3</v>
      </c>
      <c r="B32" s="46">
        <v>417.1006244106407</v>
      </c>
      <c r="C32" s="46">
        <v>428.4316474106407</v>
      </c>
      <c r="D32" s="47">
        <v>25.695938584924154</v>
      </c>
      <c r="E32" s="48">
        <v>21.151671193900135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12.694798667798478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3.5209723078472663</v>
      </c>
      <c r="C37" s="47">
        <v>5.714175468085967</v>
      </c>
      <c r="D37" s="47">
        <v>7.680510417561614</v>
      </c>
      <c r="E37" s="47">
        <v>11.488188745082066</v>
      </c>
      <c r="F37" s="47">
        <v>15.219140740658181</v>
      </c>
    </row>
    <row r="38">
      <c r="A38" s="50" t="n">
        <v>0.8</v>
      </c>
      <c r="B38" s="47">
        <v>5.018378592173399</v>
      </c>
      <c r="C38" s="47">
        <v>7.658271857461721</v>
      </c>
      <c r="D38" s="47">
        <v>10.21011444565789</v>
      </c>
      <c r="E38" s="47">
        <v>15.19766179944055</v>
      </c>
      <c r="F38" s="47">
        <v>20.114092605032962</v>
      </c>
    </row>
    <row r="39">
      <c r="A39" s="50" t="n">
        <v>1</v>
      </c>
      <c r="B39" s="47">
        <v>6.333144304444241</v>
      </c>
      <c r="C39" s="47">
        <v>9.5561686314542</v>
      </c>
      <c r="D39" s="47">
        <v>12.694798667798478</v>
      </c>
      <c r="E39" s="47">
        <v>18.86565651854225</v>
      </c>
      <c r="F39" s="47">
        <v>24.981799559367097</v>
      </c>
    </row>
    <row r="40">
      <c r="A40" s="50" t="n">
        <v>1.2</v>
      </c>
      <c r="B40" s="47">
        <v>7.6152416404251815</v>
      </c>
      <c r="C40" s="47">
        <v>11.424390774906687</v>
      </c>
      <c r="D40" s="47">
        <v>15.156101397231135</v>
      </c>
      <c r="E40" s="47">
        <v>22.527069142960755</v>
      </c>
      <c r="F40" s="47">
        <v>29.831105672809095</v>
      </c>
    </row>
    <row r="41">
      <c r="A41" s="50" t="n">
        <v>1.4</v>
      </c>
      <c r="B41" s="47">
        <v>8.877910121295583</v>
      </c>
      <c r="C41" s="47">
        <v>13.274620847578653</v>
      </c>
      <c r="D41" s="47">
        <v>17.597829191294778</v>
      </c>
      <c r="E41" s="47">
        <v>26.15948201814954</v>
      </c>
      <c r="F41" s="47">
        <v>34.68085796963927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Marker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Pancreatic cancer</t>
        </is>
      </c>
      <c r="C4" s="14" t="inlineStr">
        <is>
          <t>MT-601 dose 200 million cells, MT-601 dose 400 million cells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2500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115.36967143945586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13.174999999999999</v>
      </c>
      <c r="U4" s="23">
        <f>IF(U$3&lt;$I4,0,$G4*Assumptions!$E$11*INDEX(Assumptions!$B$24:$G$24,MIN(6,U$3-$I4+1))*IF(U$3&gt;$J4,(1-Assumptions!$B$26)^(U$3-$J4),1)*IF($H4&gt;=1,1,MIN(0.97,$H4*Assumptions!$E$12)))</f>
        <v>32.9375</v>
      </c>
      <c r="V4" s="23">
        <f>IF(V$3&lt;$I4,0,$G4*Assumptions!$E$11*INDEX(Assumptions!$B$24:$G$24,MIN(6,V$3-$I4+1))*IF(V$3&gt;$J4,(1-Assumptions!$B$26)^(V$3-$J4),1)*IF($H4&gt;=1,1,MIN(0.97,$H4*Assumptions!$E$12)))</f>
        <v>59.287499999999994</v>
      </c>
      <c r="W4" s="23">
        <f>IF(W$3&lt;$I4,0,$G4*Assumptions!$E$11*INDEX(Assumptions!$B$24:$G$24,MIN(6,W$3-$I4+1))*IF(W$3&gt;$J4,(1-Assumptions!$B$26)^(W$3-$J4),1)*IF($H4&gt;=1,1,MIN(0.97,$H4*Assumptions!$E$12)))</f>
        <v>85.63749999999999</v>
      </c>
      <c r="X4" s="23">
        <f>IF(X$3&lt;$I4,0,$G4*Assumptions!$E$11*INDEX(Assumptions!$B$24:$G$24,MIN(6,X$3-$I4+1))*IF(X$3&gt;$J4,(1-Assumptions!$B$26)^(X$3-$J4),1)*IF($H4&gt;=1,1,MIN(0.97,$H4*Assumptions!$E$12)))</f>
        <v>111.9875</v>
      </c>
      <c r="Y4" s="23">
        <f>IF(Y$3&lt;$I4,0,$G4*Assumptions!$E$11*INDEX(Assumptions!$B$24:$G$24,MIN(6,Y$3-$I4+1))*IF(Y$3&gt;$J4,(1-Assumptions!$B$26)^(Y$3-$J4),1)*IF($H4&gt;=1,1,MIN(0.97,$H4*Assumptions!$E$12)))</f>
        <v>131.75</v>
      </c>
      <c r="Z4" s="23">
        <f>IF(Z$3&lt;$I4,0,$G4*Assumptions!$E$11*INDEX(Assumptions!$B$24:$G$24,MIN(6,Z$3-$I4+1))*IF(Z$3&gt;$J4,(1-Assumptions!$B$26)^(Z$3-$J4),1)*IF($H4&gt;=1,1,MIN(0.97,$H4*Assumptions!$E$12)))</f>
        <v>131.75</v>
      </c>
      <c r="AA4" s="23">
        <f>IF(AA$3&lt;$I4,0,$G4*Assumptions!$E$11*INDEX(Assumptions!$B$24:$G$24,MIN(6,AA$3-$I4+1))*IF(AA$3&gt;$J4,(1-Assumptions!$B$26)^(AA$3-$J4),1)*IF($H4&gt;=1,1,MIN(0.97,$H4*Assumptions!$E$12)))</f>
        <v>131.75</v>
      </c>
      <c r="AB4" s="23">
        <f>IF(AB$3&lt;$I4,0,$G4*Assumptions!$E$11*INDEX(Assumptions!$B$24:$G$24,MIN(6,AB$3-$I4+1))*IF(AB$3&gt;$J4,(1-Assumptions!$B$26)^(AB$3-$J4),1)*IF($H4&gt;=1,1,MIN(0.97,$H4*Assumptions!$E$12)))</f>
        <v>131.75</v>
      </c>
      <c r="AC4" s="23">
        <f>IF(AC$3&lt;$I4,0,$G4*Assumptions!$E$11*INDEX(Assumptions!$B$24:$G$24,MIN(6,AC$3-$I4+1))*IF(AC$3&gt;$J4,(1-Assumptions!$B$26)^(AC$3-$J4),1)*IF($H4&gt;=1,1,MIN(0.97,$H4*Assumptions!$E$12)))</f>
        <v>131.75</v>
      </c>
      <c r="AD4" s="23">
        <f>IF(AD$3&lt;$I4,0,$G4*Assumptions!$E$11*INDEX(Assumptions!$B$24:$G$24,MIN(6,AD$3-$I4+1))*IF(AD$3&gt;$J4,(1-Assumptions!$B$26)^(AD$3-$J4),1)*IF($H4&gt;=1,1,MIN(0.97,$H4*Assumptions!$E$12)))</f>
        <v>131.75</v>
      </c>
      <c r="AE4" s="23">
        <f>IF(AE$3&lt;$I4,0,$G4*Assumptions!$E$11*INDEX(Assumptions!$B$24:$G$24,MIN(6,AE$3-$I4+1))*IF(AE$3&gt;$J4,(1-Assumptions!$B$26)^(AE$3-$J4),1)*IF($H4&gt;=1,1,MIN(0.97,$H4*Assumptions!$E$12)))</f>
        <v>131.75</v>
      </c>
      <c r="AF4" s="23">
        <f>IF(AF$3&lt;$I4,0,$G4*Assumptions!$E$11*INDEX(Assumptions!$B$24:$G$24,MIN(6,AF$3-$I4+1))*IF(AF$3&gt;$J4,(1-Assumptions!$B$26)^(AF$3-$J4),1)*IF($H4&gt;=1,1,MIN(0.97,$H4*Assumptions!$E$12)))</f>
        <v>131.75</v>
      </c>
      <c r="AG4" s="35">
        <f>IF(F4="Owned",1-IF(H4&gt;=1,1,MIN(0.97,H4*Assumptions!$E$12)),1)</f>
        <v>0.9473</v>
      </c>
    </row>
    <row r="5">
      <c r="A5" s="39" t="n">
        <v>2</v>
      </c>
      <c r="B5" s="14" t="inlineStr">
        <is>
          <t>Lymphoma</t>
        </is>
      </c>
      <c r="C5" s="14" t="inlineStr">
        <is>
          <t>MT-601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A6" s="39" t="n">
        <v>3</v>
      </c>
      <c r="B6" s="14" t="inlineStr">
        <is>
          <t>Leukemia</t>
        </is>
      </c>
      <c r="C6" s="14" t="inlineStr">
        <is>
          <t>MT-401-OTS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1500</v>
      </c>
      <c r="H6" s="27" t="n">
        <v>0.0527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69.22180286367352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7.904999999999999</v>
      </c>
      <c r="U6" s="23">
        <f>IF(U$3&lt;$I6,0,$G6*Assumptions!$E$11*INDEX(Assumptions!$B$24:$G$24,MIN(6,U$3-$I6+1))*IF(U$3&gt;$J6,(1-Assumptions!$B$26)^(U$3-$J6),1)*IF($H6&gt;=1,1,MIN(0.97,$H6*Assumptions!$E$12)))</f>
        <v>19.7625</v>
      </c>
      <c r="V6" s="23">
        <f>IF(V$3&lt;$I6,0,$G6*Assumptions!$E$11*INDEX(Assumptions!$B$24:$G$24,MIN(6,V$3-$I6+1))*IF(V$3&gt;$J6,(1-Assumptions!$B$26)^(V$3-$J6),1)*IF($H6&gt;=1,1,MIN(0.97,$H6*Assumptions!$E$12)))</f>
        <v>35.5725</v>
      </c>
      <c r="W6" s="23">
        <f>IF(W$3&lt;$I6,0,$G6*Assumptions!$E$11*INDEX(Assumptions!$B$24:$G$24,MIN(6,W$3-$I6+1))*IF(W$3&gt;$J6,(1-Assumptions!$B$26)^(W$3-$J6),1)*IF($H6&gt;=1,1,MIN(0.97,$H6*Assumptions!$E$12)))</f>
        <v>51.3825</v>
      </c>
      <c r="X6" s="23">
        <f>IF(X$3&lt;$I6,0,$G6*Assumptions!$E$11*INDEX(Assumptions!$B$24:$G$24,MIN(6,X$3-$I6+1))*IF(X$3&gt;$J6,(1-Assumptions!$B$26)^(X$3-$J6),1)*IF($H6&gt;=1,1,MIN(0.97,$H6*Assumptions!$E$12)))</f>
        <v>67.1925</v>
      </c>
      <c r="Y6" s="23">
        <f>IF(Y$3&lt;$I6,0,$G6*Assumptions!$E$11*INDEX(Assumptions!$B$24:$G$24,MIN(6,Y$3-$I6+1))*IF(Y$3&gt;$J6,(1-Assumptions!$B$26)^(Y$3-$J6),1)*IF($H6&gt;=1,1,MIN(0.97,$H6*Assumptions!$E$12)))</f>
        <v>79.05</v>
      </c>
      <c r="Z6" s="23">
        <f>IF(Z$3&lt;$I6,0,$G6*Assumptions!$E$11*INDEX(Assumptions!$B$24:$G$24,MIN(6,Z$3-$I6+1))*IF(Z$3&gt;$J6,(1-Assumptions!$B$26)^(Z$3-$J6),1)*IF($H6&gt;=1,1,MIN(0.97,$H6*Assumptions!$E$12)))</f>
        <v>79.05</v>
      </c>
      <c r="AA6" s="23">
        <f>IF(AA$3&lt;$I6,0,$G6*Assumptions!$E$11*INDEX(Assumptions!$B$24:$G$24,MIN(6,AA$3-$I6+1))*IF(AA$3&gt;$J6,(1-Assumptions!$B$26)^(AA$3-$J6),1)*IF($H6&gt;=1,1,MIN(0.97,$H6*Assumptions!$E$12)))</f>
        <v>79.05</v>
      </c>
      <c r="AB6" s="23">
        <f>IF(AB$3&lt;$I6,0,$G6*Assumptions!$E$11*INDEX(Assumptions!$B$24:$G$24,MIN(6,AB$3-$I6+1))*IF(AB$3&gt;$J6,(1-Assumptions!$B$26)^(AB$3-$J6),1)*IF($H6&gt;=1,1,MIN(0.97,$H6*Assumptions!$E$12)))</f>
        <v>79.05</v>
      </c>
      <c r="AC6" s="23">
        <f>IF(AC$3&lt;$I6,0,$G6*Assumptions!$E$11*INDEX(Assumptions!$B$24:$G$24,MIN(6,AC$3-$I6+1))*IF(AC$3&gt;$J6,(1-Assumptions!$B$26)^(AC$3-$J6),1)*IF($H6&gt;=1,1,MIN(0.97,$H6*Assumptions!$E$12)))</f>
        <v>79.05</v>
      </c>
      <c r="AD6" s="23">
        <f>IF(AD$3&lt;$I6,0,$G6*Assumptions!$E$11*INDEX(Assumptions!$B$24:$G$24,MIN(6,AD$3-$I6+1))*IF(AD$3&gt;$J6,(1-Assumptions!$B$26)^(AD$3-$J6),1)*IF($H6&gt;=1,1,MIN(0.97,$H6*Assumptions!$E$12)))</f>
        <v>79.05</v>
      </c>
      <c r="AE6" s="23">
        <f>IF(AE$3&lt;$I6,0,$G6*Assumptions!$E$11*INDEX(Assumptions!$B$24:$G$24,MIN(6,AE$3-$I6+1))*IF(AE$3&gt;$J6,(1-Assumptions!$B$26)^(AE$3-$J6),1)*IF($H6&gt;=1,1,MIN(0.97,$H6*Assumptions!$E$12)))</f>
        <v>79.05</v>
      </c>
      <c r="AF6" s="23">
        <f>IF(AF$3&lt;$I6,0,$G6*Assumptions!$E$11*INDEX(Assumptions!$B$24:$G$24,MIN(6,AF$3-$I6+1))*IF(AF$3&gt;$J6,(1-Assumptions!$B$26)^(AF$3-$J6),1)*IF($H6&gt;=1,1,MIN(0.97,$H6*Assumptions!$E$12)))</f>
        <v>79.05</v>
      </c>
      <c r="AG6" s="35">
        <f>IF(F6="Owned",1-IF(H6&gt;=1,1,MIN(0.97,H6*Assumptions!$E$12)),1)</f>
        <v>0.9473</v>
      </c>
    </row>
    <row r="7">
      <c r="B7" s="24" t="inlineStr">
        <is>
          <t>Risked revenue</t>
        </is>
      </c>
      <c r="L7" s="54">
        <f>SUM(L4:L6)</f>
        <v>253.8132771668029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0.0</v>
      </c>
      <c r="S7" s="54">
        <f>SUM(S4:S6)</f>
        <v>0.0</v>
      </c>
      <c r="T7" s="54">
        <f>SUM(T4:T6)</f>
        <v>28.985</v>
      </c>
      <c r="U7" s="54">
        <f>SUM(U4:U6)</f>
        <v>72.4625</v>
      </c>
      <c r="V7" s="54">
        <f>SUM(V4:V6)</f>
        <v>130.43249999999998</v>
      </c>
      <c r="W7" s="54">
        <f>SUM(W4:W6)</f>
        <v>188.40249999999997</v>
      </c>
      <c r="X7" s="54">
        <f>SUM(X4:X6)</f>
        <v>246.3725</v>
      </c>
      <c r="Y7" s="54">
        <f>SUM(Y4:Y6)</f>
        <v>289.85</v>
      </c>
      <c r="Z7" s="54">
        <f>SUM(Z4:Z6)</f>
        <v>289.85</v>
      </c>
      <c r="AA7" s="54">
        <f>SUM(AA4:AA6)</f>
        <v>289.85</v>
      </c>
      <c r="AB7" s="54">
        <f>SUM(AB4:AB6)</f>
        <v>289.85</v>
      </c>
      <c r="AC7" s="54">
        <f>SUM(AC4:AC6)</f>
        <v>289.85</v>
      </c>
      <c r="AD7" s="54">
        <f>SUM(AD4:AD6)</f>
        <v>289.85</v>
      </c>
      <c r="AE7" s="54">
        <f>SUM(AE4:AE6)</f>
        <v>289.85</v>
      </c>
      <c r="AF7" s="54">
        <f>SUM(AF4:AF6)</f>
        <v>289.85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0.0</v>
      </c>
      <c r="S8" s="55">
        <f>SUMPRODUCT(S4:S6,$K$4:$K$6)</f>
        <v>0.0</v>
      </c>
      <c r="T8" s="55">
        <f>SUMPRODUCT(T4:T6,$K$4:$K$6)</f>
        <v>11.593999999999998</v>
      </c>
      <c r="U8" s="55">
        <f>SUMPRODUCT(U4:U6,$K$4:$K$6)</f>
        <v>28.985000000000003</v>
      </c>
      <c r="V8" s="55">
        <f>SUMPRODUCT(V4:V6,$K$4:$K$6)</f>
        <v>52.173</v>
      </c>
      <c r="W8" s="55">
        <f>SUMPRODUCT(W4:W6,$K$4:$K$6)</f>
        <v>75.36099999999999</v>
      </c>
      <c r="X8" s="55">
        <f>SUMPRODUCT(X4:X6,$K$4:$K$6)</f>
        <v>98.54899999999999</v>
      </c>
      <c r="Y8" s="55">
        <f>SUMPRODUCT(Y4:Y6,$K$4:$K$6)</f>
        <v>115.94000000000001</v>
      </c>
      <c r="Z8" s="55">
        <f>SUMPRODUCT(Z4:Z6,$K$4:$K$6)</f>
        <v>115.94000000000001</v>
      </c>
      <c r="AA8" s="55">
        <f>SUMPRODUCT(AA4:AA6,$K$4:$K$6)</f>
        <v>115.94000000000001</v>
      </c>
      <c r="AB8" s="55">
        <f>SUMPRODUCT(AB4:AB6,$K$4:$K$6)</f>
        <v>115.94000000000001</v>
      </c>
      <c r="AC8" s="55">
        <f>SUMPRODUCT(AC4:AC6,$K$4:$K$6)</f>
        <v>115.94000000000001</v>
      </c>
      <c r="AD8" s="55">
        <f>SUMPRODUCT(AD4:AD6,$K$4:$K$6)</f>
        <v>115.94000000000001</v>
      </c>
      <c r="AE8" s="55">
        <f>SUMPRODUCT(AE4:AE6,$K$4:$K$6)</f>
        <v>115.94000000000001</v>
      </c>
      <c r="AF8" s="55">
        <f>SUMPRODUCT(AF4:AF6,$K$4:$K$6)</f>
        <v>115.94000000000001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Marker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0.0</v>
      </c>
      <c r="I4" s="57">
        <f>Pipeline!S7</f>
        <v>0.0</v>
      </c>
      <c r="J4" s="57">
        <f>Pipeline!T7</f>
        <v>28.985</v>
      </c>
      <c r="K4" s="57">
        <f>Pipeline!U7</f>
        <v>72.4625</v>
      </c>
      <c r="L4" s="57">
        <f>Pipeline!V7</f>
        <v>130.43249999999998</v>
      </c>
      <c r="M4" s="57">
        <f>Pipeline!W7</f>
        <v>188.40249999999997</v>
      </c>
      <c r="N4" s="57">
        <f>Pipeline!X7</f>
        <v>246.3725</v>
      </c>
      <c r="O4" s="57">
        <f>Pipeline!Y7</f>
        <v>289.85</v>
      </c>
      <c r="P4" s="57">
        <f>Pipeline!Z7</f>
        <v>289.85</v>
      </c>
      <c r="Q4" s="57">
        <f>Pipeline!AA7</f>
        <v>289.85</v>
      </c>
      <c r="R4" s="57">
        <f>Pipeline!AB7</f>
        <v>289.85</v>
      </c>
      <c r="S4" s="57">
        <f>Pipeline!AC7</f>
        <v>289.85</v>
      </c>
      <c r="T4" s="57">
        <f>Pipeline!AD7</f>
        <v>289.85</v>
      </c>
      <c r="U4" s="57">
        <f>Pipeline!AE7</f>
        <v>289.85</v>
      </c>
      <c r="V4" s="57">
        <f>Pipeline!AF7</f>
        <v>289.85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0.0</v>
      </c>
      <c r="I5" s="57">
        <f>Pipeline!S8</f>
        <v>0.0</v>
      </c>
      <c r="J5" s="57">
        <f>Pipeline!T8</f>
        <v>11.593999999999998</v>
      </c>
      <c r="K5" s="57">
        <f>Pipeline!U8</f>
        <v>28.985000000000003</v>
      </c>
      <c r="L5" s="57">
        <f>Pipeline!V8</f>
        <v>52.173</v>
      </c>
      <c r="M5" s="57">
        <f>Pipeline!W8</f>
        <v>75.36099999999999</v>
      </c>
      <c r="N5" s="57">
        <f>Pipeline!X8</f>
        <v>98.54899999999999</v>
      </c>
      <c r="O5" s="57">
        <f>Pipeline!Y8</f>
        <v>115.94000000000001</v>
      </c>
      <c r="P5" s="57">
        <f>Pipeline!Z8</f>
        <v>115.94000000000001</v>
      </c>
      <c r="Q5" s="57">
        <f>Pipeline!AA8</f>
        <v>115.94000000000001</v>
      </c>
      <c r="R5" s="57">
        <f>Pipeline!AB8</f>
        <v>115.94000000000001</v>
      </c>
      <c r="S5" s="57">
        <f>Pipeline!AC8</f>
        <v>115.94000000000001</v>
      </c>
      <c r="T5" s="57">
        <f>Pipeline!AD8</f>
        <v>115.94000000000001</v>
      </c>
      <c r="U5" s="57">
        <f>Pipeline!AE8</f>
        <v>115.94000000000001</v>
      </c>
      <c r="V5" s="57">
        <f>Pipeline!AF8</f>
        <v>115.94000000000001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-9.503</v>
      </c>
      <c r="D6" s="23">
        <f>-IF(D3-2026&lt;Assumptions!$B$19,Assumptions!$B$18,Assumptions!$B$18*Assumptions!$B$20*Assumptions!$B$16)</f>
        <v>-9.503</v>
      </c>
      <c r="E6" s="23">
        <f>-IF(E3-2026&lt;Assumptions!$B$19,Assumptions!$B$18,Assumptions!$B$18*Assumptions!$B$20*Assumptions!$B$16)</f>
        <v>-9.503</v>
      </c>
      <c r="F6" s="23">
        <f>-IF(F3-2026&lt;Assumptions!$B$19,Assumptions!$B$18,Assumptions!$B$18*Assumptions!$B$20*Assumptions!$B$16)</f>
        <v>-9.503</v>
      </c>
      <c r="G6" s="23">
        <f>-IF(G3-2026&lt;Assumptions!$B$19,Assumptions!$B$18,Assumptions!$B$18*Assumptions!$B$20*Assumptions!$B$16)</f>
        <v>-0.4273912286154143</v>
      </c>
      <c r="H6" s="23">
        <f>-IF(H3-2026&lt;Assumptions!$B$19,Assumptions!$B$18,Assumptions!$B$18*Assumptions!$B$20*Assumptions!$B$16)</f>
        <v>-0.4273912286154143</v>
      </c>
      <c r="I6" s="23">
        <f>-IF(I3-2026&lt;Assumptions!$B$19,Assumptions!$B$18,Assumptions!$B$18*Assumptions!$B$20*Assumptions!$B$16)</f>
        <v>-0.4273912286154143</v>
      </c>
      <c r="J6" s="23">
        <f>-IF(J3-2026&lt;Assumptions!$B$19,Assumptions!$B$18,Assumptions!$B$18*Assumptions!$B$20*Assumptions!$B$16)</f>
        <v>-0.4273912286154143</v>
      </c>
      <c r="K6" s="23">
        <f>-IF(K3-2026&lt;Assumptions!$B$19,Assumptions!$B$18,Assumptions!$B$18*Assumptions!$B$20*Assumptions!$B$16)</f>
        <v>-0.4273912286154143</v>
      </c>
      <c r="L6" s="23">
        <f>-IF(L3-2026&lt;Assumptions!$B$19,Assumptions!$B$18,Assumptions!$B$18*Assumptions!$B$20*Assumptions!$B$16)</f>
        <v>-0.4273912286154143</v>
      </c>
      <c r="M6" s="23">
        <f>-IF(M3-2026&lt;Assumptions!$B$19,Assumptions!$B$18,Assumptions!$B$18*Assumptions!$B$20*Assumptions!$B$16)</f>
        <v>-0.4273912286154143</v>
      </c>
      <c r="N6" s="23">
        <f>-IF(N3-2026&lt;Assumptions!$B$19,Assumptions!$B$18,Assumptions!$B$18*Assumptions!$B$20*Assumptions!$B$16)</f>
        <v>-0.4273912286154143</v>
      </c>
      <c r="O6" s="23">
        <f>-IF(O3-2026&lt;Assumptions!$B$19,Assumptions!$B$18,Assumptions!$B$18*Assumptions!$B$20*Assumptions!$B$16)</f>
        <v>-0.4273912286154143</v>
      </c>
      <c r="P6" s="23">
        <f>-IF(P3-2026&lt;Assumptions!$B$19,Assumptions!$B$18,Assumptions!$B$18*Assumptions!$B$20*Assumptions!$B$16)</f>
        <v>-0.4273912286154143</v>
      </c>
      <c r="Q6" s="23">
        <f>-IF(Q3-2026&lt;Assumptions!$B$19,Assumptions!$B$18,Assumptions!$B$18*Assumptions!$B$20*Assumptions!$B$16)</f>
        <v>-0.4273912286154143</v>
      </c>
      <c r="R6" s="23">
        <f>-IF(R3-2026&lt;Assumptions!$B$19,Assumptions!$B$18,Assumptions!$B$18*Assumptions!$B$20*Assumptions!$B$16)</f>
        <v>-0.4273912286154143</v>
      </c>
      <c r="S6" s="23">
        <f>-IF(S3-2026&lt;Assumptions!$B$19,Assumptions!$B$18,Assumptions!$B$18*Assumptions!$B$20*Assumptions!$B$16)</f>
        <v>-0.4273912286154143</v>
      </c>
      <c r="T6" s="23">
        <f>-IF(T3-2026&lt;Assumptions!$B$19,Assumptions!$B$18,Assumptions!$B$18*Assumptions!$B$20*Assumptions!$B$16)</f>
        <v>-0.4273912286154143</v>
      </c>
      <c r="U6" s="23">
        <f>-IF(U3-2026&lt;Assumptions!$B$19,Assumptions!$B$18,Assumptions!$B$18*Assumptions!$B$20*Assumptions!$B$16)</f>
        <v>-0.4273912286154143</v>
      </c>
      <c r="V6" s="23">
        <f>-IF(V3-2026&lt;Assumptions!$B$19,Assumptions!$B$18,Assumptions!$B$18*Assumptions!$B$20*Assumptions!$B$16)</f>
        <v>-0.4273912286154143</v>
      </c>
    </row>
    <row r="7">
      <c r="A7" s="14" t="inlineStr">
        <is>
          <t>Pre-tax cash flow</t>
        </is>
      </c>
      <c r="C7" s="23">
        <f>C5+C6</f>
        <v>-9.503</v>
      </c>
      <c r="D7" s="23">
        <f>D5+D6</f>
        <v>-9.503</v>
      </c>
      <c r="E7" s="23">
        <f>E5+E6</f>
        <v>-9.503</v>
      </c>
      <c r="F7" s="23">
        <f>F5+F6</f>
        <v>-9.503</v>
      </c>
      <c r="G7" s="23">
        <f>G5+G6</f>
        <v>-0.4273912286154143</v>
      </c>
      <c r="H7" s="23">
        <f>H5+H6</f>
        <v>-0.4273912286154143</v>
      </c>
      <c r="I7" s="23">
        <f>I5+I6</f>
        <v>-0.4273912286154143</v>
      </c>
      <c r="J7" s="23">
        <f>J5+J6</f>
        <v>11.166608771384583</v>
      </c>
      <c r="K7" s="23">
        <f>K5+K6</f>
        <v>28.55760877138459</v>
      </c>
      <c r="L7" s="23">
        <f>L5+L6</f>
        <v>51.74560877138459</v>
      </c>
      <c r="M7" s="23">
        <f>M5+M6</f>
        <v>74.93360877138457</v>
      </c>
      <c r="N7" s="23">
        <f>N5+N6</f>
        <v>98.12160877138457</v>
      </c>
      <c r="O7" s="23">
        <f>O5+O6</f>
        <v>115.51260877138459</v>
      </c>
      <c r="P7" s="23">
        <f>P5+P6</f>
        <v>115.51260877138459</v>
      </c>
      <c r="Q7" s="23">
        <f>Q5+Q6</f>
        <v>115.51260877138459</v>
      </c>
      <c r="R7" s="23">
        <f>R5+R6</f>
        <v>115.51260877138459</v>
      </c>
      <c r="S7" s="23">
        <f>S5+S6</f>
        <v>115.51260877138459</v>
      </c>
      <c r="T7" s="23">
        <f>T5+T6</f>
        <v>115.51260877138459</v>
      </c>
      <c r="U7" s="23">
        <f>U5+U6</f>
        <v>115.51260877138459</v>
      </c>
      <c r="V7" s="23">
        <f>V5+V6</f>
        <v>115.51260877138459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11.166608771384583</v>
      </c>
      <c r="K8" s="23">
        <f>MIN(J17,MAX(0,K7))</f>
        <v>28.55760877138459</v>
      </c>
      <c r="L8" s="23">
        <f>MIN(K17,MAX(0,L7))</f>
        <v>51.74560877138459</v>
      </c>
      <c r="M8" s="23">
        <f>MIN(L17,MAX(0,M7))</f>
        <v>74.93360877138457</v>
      </c>
      <c r="N8" s="23">
        <f>MIN(M17,MAX(0,N7))</f>
        <v>98.12160877138457</v>
      </c>
      <c r="O8" s="23">
        <f>MIN(N17,MAX(0,O7))</f>
        <v>115.51260877138459</v>
      </c>
      <c r="P8" s="23">
        <f>MIN(O17,MAX(0,P7))</f>
        <v>93.75652105753873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21.756087713845858</v>
      </c>
      <c r="Q9" s="23">
        <f>MAX(0,Q7)-Q8</f>
        <v>115.51260877138459</v>
      </c>
      <c r="R9" s="23">
        <f>MAX(0,R7)-R8</f>
        <v>115.51260877138459</v>
      </c>
      <c r="S9" s="23">
        <f>MAX(0,S7)-S8</f>
        <v>115.51260877138459</v>
      </c>
      <c r="T9" s="23">
        <f>MAX(0,T7)-T8</f>
        <v>115.51260877138459</v>
      </c>
      <c r="U9" s="23">
        <f>MAX(0,U7)-U8</f>
        <v>115.51260877138459</v>
      </c>
      <c r="V9" s="23">
        <f>MAX(0,V7)-V8</f>
        <v>115.51260877138459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4.56877841990763</v>
      </c>
      <c r="Q10" s="23">
        <f>Q9*Assumptions!$E$15</f>
        <v>24.257647841990764</v>
      </c>
      <c r="R10" s="23">
        <f>R9*Assumptions!$E$15</f>
        <v>24.257647841990764</v>
      </c>
      <c r="S10" s="23">
        <f>S9*Assumptions!$E$15</f>
        <v>24.257647841990764</v>
      </c>
      <c r="T10" s="23">
        <f>T9*Assumptions!$E$15</f>
        <v>24.257647841990764</v>
      </c>
      <c r="U10" s="23">
        <f>U9*Assumptions!$E$15</f>
        <v>24.257647841990764</v>
      </c>
      <c r="V10" s="23">
        <f>V9*Assumptions!$E$15</f>
        <v>24.257647841990764</v>
      </c>
    </row>
    <row r="11">
      <c r="A11" s="24" t="inlineStr">
        <is>
          <t>Free cash flow</t>
        </is>
      </c>
      <c r="C11" s="55">
        <f>C7-C10</f>
        <v>-9.503</v>
      </c>
      <c r="D11" s="55">
        <f>D7-D10</f>
        <v>-9.503</v>
      </c>
      <c r="E11" s="55">
        <f>E7-E10</f>
        <v>-9.503</v>
      </c>
      <c r="F11" s="55">
        <f>F7-F10</f>
        <v>-9.503</v>
      </c>
      <c r="G11" s="55">
        <f>G7-G10</f>
        <v>-0.4273912286154143</v>
      </c>
      <c r="H11" s="55">
        <f>H7-H10</f>
        <v>-0.4273912286154143</v>
      </c>
      <c r="I11" s="55">
        <f>I7-I10</f>
        <v>-0.4273912286154143</v>
      </c>
      <c r="J11" s="55">
        <f>J7-J10</f>
        <v>11.166608771384583</v>
      </c>
      <c r="K11" s="55">
        <f>K7-K10</f>
        <v>28.55760877138459</v>
      </c>
      <c r="L11" s="55">
        <f>L7-L10</f>
        <v>51.74560877138459</v>
      </c>
      <c r="M11" s="55">
        <f>M7-M10</f>
        <v>74.93360877138457</v>
      </c>
      <c r="N11" s="55">
        <f>N7-N10</f>
        <v>98.12160877138457</v>
      </c>
      <c r="O11" s="55">
        <f>O7-O10</f>
        <v>115.51260877138459</v>
      </c>
      <c r="P11" s="55">
        <f>P7-P10</f>
        <v>110.94383035147696</v>
      </c>
      <c r="Q11" s="55">
        <f>Q7-Q10</f>
        <v>91.25496092939383</v>
      </c>
      <c r="R11" s="55">
        <f>R7-R10</f>
        <v>91.25496092939383</v>
      </c>
      <c r="S11" s="55">
        <f>S7-S10</f>
        <v>91.25496092939383</v>
      </c>
      <c r="T11" s="55">
        <f>T7-T10</f>
        <v>91.25496092939383</v>
      </c>
      <c r="U11" s="55">
        <f>U7-U10</f>
        <v>91.25496092939383</v>
      </c>
      <c r="V11" s="55">
        <f>V7-V10</f>
        <v>91.25496092939383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-4.655561028686326</v>
      </c>
      <c r="D16" s="55">
        <f>D11*D15</f>
        <v>-8.480879892359017</v>
      </c>
      <c r="E16" s="55">
        <f>E11*E15</f>
        <v>-7.572214189606263</v>
      </c>
      <c r="F16" s="55">
        <f>F11*F15</f>
        <v>-6.760905526434164</v>
      </c>
      <c r="G16" s="55">
        <f>G11*G15</f>
        <v>-0.27148867646076436</v>
      </c>
      <c r="H16" s="55">
        <f>H11*H15</f>
        <v>-0.2424006039828253</v>
      </c>
      <c r="I16" s="55">
        <f>I11*I15</f>
        <v>-0.21642911069895115</v>
      </c>
      <c r="J16" s="55">
        <f>J11*J15</f>
        <v>5.048860229769794</v>
      </c>
      <c r="K16" s="55">
        <f>K11*K15</f>
        <v>11.528581241552814</v>
      </c>
      <c r="L16" s="55">
        <f>L11*L15</f>
        <v>18.651316968190603</v>
      </c>
      <c r="M16" s="55">
        <f>M11*M15</f>
        <v>24.115408774867767</v>
      </c>
      <c r="N16" s="55">
        <f>N11*N15</f>
        <v>28.194514259816007</v>
      </c>
      <c r="O16" s="55">
        <f>O11*O15</f>
        <v>29.635436358488963</v>
      </c>
      <c r="P16" s="55">
        <f>P11*P15</f>
        <v>25.413651334555496</v>
      </c>
      <c r="Q16" s="55">
        <f>Q11*Q15</f>
        <v>18.66389885459684</v>
      </c>
      <c r="R16" s="55">
        <f>R11*R15</f>
        <v>16.664195405890037</v>
      </c>
      <c r="S16" s="55">
        <f>S11*S15</f>
        <v>14.878745898116101</v>
      </c>
      <c r="T16" s="55">
        <f>T11*T15</f>
        <v>13.284594551889375</v>
      </c>
      <c r="U16" s="55">
        <f>U11*U15</f>
        <v>11.861245135615514</v>
      </c>
      <c r="V16" s="55">
        <f>V11*V15</f>
        <v>10.590397442513849</v>
      </c>
    </row>
    <row r="17">
      <c r="A17" s="14" t="inlineStr">
        <is>
          <t>Tax-loss carryforward, end of year</t>
        </is>
      </c>
      <c r="C17" s="23">
        <f>Assumptions!$B$21-C8+MAX(0,-C7)</f>
        <v>444.003</v>
      </c>
      <c r="D17" s="23">
        <f>C17-D8+MAX(0,-D7)</f>
        <v>453.506</v>
      </c>
      <c r="E17" s="23">
        <f>D17-E8+MAX(0,-E7)</f>
        <v>463.00899999999996</v>
      </c>
      <c r="F17" s="23">
        <f>E17-F8+MAX(0,-F7)</f>
        <v>472.51199999999994</v>
      </c>
      <c r="G17" s="23">
        <f>F17-G8+MAX(0,-G7)</f>
        <v>472.93939122861536</v>
      </c>
      <c r="H17" s="23">
        <f>G17-H8+MAX(0,-H7)</f>
        <v>473.3667824572308</v>
      </c>
      <c r="I17" s="23">
        <f>H17-I8+MAX(0,-I7)</f>
        <v>473.7941736858462</v>
      </c>
      <c r="J17" s="23">
        <f>I17-J8+MAX(0,-J7)</f>
        <v>462.62756491446163</v>
      </c>
      <c r="K17" s="23">
        <f>J17-K8+MAX(0,-K7)</f>
        <v>434.06995614307704</v>
      </c>
      <c r="L17" s="23">
        <f>K17-L8+MAX(0,-L7)</f>
        <v>382.32434737169245</v>
      </c>
      <c r="M17" s="23">
        <f>L17-M8+MAX(0,-M7)</f>
        <v>307.3907386003079</v>
      </c>
      <c r="N17" s="23">
        <f>M17-N8+MAX(0,-N7)</f>
        <v>209.26912982892333</v>
      </c>
      <c r="O17" s="23">
        <f>N17-O8+MAX(0,-O7)</f>
        <v>93.75652105753873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253.8132771668029</v>
      </c>
    </row>
    <row r="20">
      <c r="A20" s="14" t="inlineStr">
        <is>
          <t>PV of corporate burn</t>
        </is>
      </c>
      <c r="B20" s="23">
        <f>SUMPRODUCT(C6:V6,C15:V15)</f>
        <v>-29.590121899345007</v>
      </c>
    </row>
    <row r="21">
      <c r="A21" s="14" t="inlineStr">
        <is>
          <t>PV of taxes</t>
        </is>
      </c>
      <c r="B21" s="23">
        <f>-SUMPRODUCT(C10:V10,C15:V15)</f>
        <v>-23.892187839823013</v>
      </c>
    </row>
    <row r="22">
      <c r="A22" s="24" t="inlineStr">
        <is>
          <t>Pipeline rNPV (operations)</t>
        </is>
      </c>
      <c r="B22" s="54">
        <f>SUM(C16:V16)</f>
        <v>200.33096742763487</v>
      </c>
    </row>
    <row r="23">
      <c r="A23" s="14" t="inlineStr">
        <is>
          <t>Cash &amp; investments</t>
        </is>
      </c>
      <c r="B23" s="57">
        <f>Main!C7</f>
        <v>11.331023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211.66199042763486</v>
      </c>
    </row>
    <row r="26">
      <c r="A26" s="14" t="inlineStr">
        <is>
          <t>Shares (mm)</t>
        </is>
      </c>
      <c r="B26" s="57">
        <f>Main!C4</f>
        <v>16.673127</v>
      </c>
    </row>
    <row r="27">
      <c r="A27" s="24" t="inlineStr">
        <is>
          <t>rNPV / share</t>
        </is>
      </c>
      <c r="B27" s="60">
        <f>B25/B26</f>
        <v>12.694798667798478</v>
      </c>
    </row>
    <row r="28">
      <c r="A28" s="14" t="inlineStr">
        <is>
          <t>Price</t>
        </is>
      </c>
      <c r="B28" s="61">
        <f>Main!C3</f>
        <v>1.16</v>
      </c>
    </row>
    <row r="29">
      <c r="A29" s="14" t="inlineStr">
        <is>
          <t>Upside</t>
        </is>
      </c>
      <c r="B29" s="62">
        <f>B27/B28-1</f>
        <v>9.943791954998689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2026-10-21T06:30:14Z</dcterms:modified>
  <cp:lastModifiedBy>Wang, Eric</cp:lastModifiedBy>
</cp:coreProperties>
</file>