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</sheets>
  <externalReferences>
    <externalReference r:id="rId4"/>
  </externalReference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0.0%"/>
    <numFmt numFmtId="166" formatCode="0.0"/>
    <numFmt numFmtId="167" formatCode="#,##0.0;(#,##0.0);&quot;-&quot;"/>
  </numFmts>
  <fonts count="4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166" fontId="2" fillId="0" borderId="0" pivotButton="0" quotePrefix="0" xfId="0"/>
    <xf numFmtId="0" fontId="3" fillId="0" borderId="1" pivotButton="0" quotePrefix="0" xfId="0"/>
    <xf numFmtId="167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164" fontId="2" fillId="0" borderId="0" pivotButton="0" quotePrefix="0" xfId="0"/>
    <xf numFmtId="166" fontId="2" fillId="0" borderId="0" pivotButton="0" quotePrefix="0" xfId="0"/>
    <xf numFmtId="167" fontId="2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externalLink" Target="/xl/externalLinks/externalLink1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Marker Therapeutics Inc</t>
        </is>
      </c>
      <c r="C2" s="10" t="n"/>
    </row>
    <row r="3">
      <c r="B3" t="inlineStr">
        <is>
          <t>Price</t>
        </is>
      </c>
      <c r="C3" s="11">
        <f>INDEX([1]Pharma!$F$1:$F$1000,MATCH("MRKR",[1]Pharma!$B$1:$B$1000,0))</f>
        <v>1.16</v>
      </c>
      <c r="F3" s="1" t="n"/>
    </row>
    <row r="4">
      <c r="B4" t="inlineStr">
        <is>
          <t>Shares</t>
        </is>
      </c>
      <c r="C4" s="21" t="n">
        <v>16.673127</v>
      </c>
      <c r="F4" s="1" t="n"/>
    </row>
    <row r="5">
      <c r="B5" t="inlineStr">
        <is>
          <t>Market Cap.</t>
        </is>
      </c>
      <c r="C5" s="13">
        <f>C3*C4</f>
        <v>19.34082732</v>
      </c>
      <c r="F5" s="1" t="n"/>
    </row>
    <row r="6"/>
    <row r="7">
      <c r="B7" t="inlineStr">
        <is>
          <t>Cash</t>
        </is>
      </c>
      <c r="C7" s="21" t="n">
        <v>11.331023</v>
      </c>
    </row>
    <row r="8">
      <c r="B8" t="inlineStr">
        <is>
          <t>Debt</t>
        </is>
      </c>
      <c r="C8" s="21" t="n">
        <v>0</v>
      </c>
    </row>
    <row r="9">
      <c r="B9" t="inlineStr">
        <is>
          <t>Enterprise V.</t>
        </is>
      </c>
      <c r="C9" s="13">
        <f>C5-C7+C8</f>
        <v>8.009804319999999</v>
      </c>
    </row>
    <row r="10"/>
    <row r="11">
      <c r="B11" s="14" t="inlineStr">
        <is>
          <t>Net Cash / Share</t>
        </is>
      </c>
      <c r="C11" s="11">
        <f>(C7-C8)/C4</f>
        <v>0.6795979542409771</v>
      </c>
    </row>
    <row r="12">
      <c r="B12" s="14" t="inlineStr">
        <is>
          <t>Upside</t>
        </is>
      </c>
      <c r="C12" s="15">
        <f>IFERROR(C11/C3-1,"")</f>
        <v>-0.41413969461984723</v>
      </c>
    </row>
    <row r="13">
      <c r="B13" s="14" t="inlineStr">
        <is>
          <t>Cash / Share</t>
        </is>
      </c>
      <c r="C13" s="11">
        <f>IFERROR((C7-C8)/C4,"")</f>
        <v>0.6795979542409771</v>
      </c>
    </row>
    <row r="14">
      <c r="B14" s="14" t="inlineStr">
        <is>
          <t>Scenario</t>
        </is>
      </c>
      <c r="C14" s="14" t="inlineStr">
        <is>
          <t>pre-revenue</t>
        </is>
      </c>
    </row>
    <row r="15">
      <c r="B15" s="14" t="inlineStr">
        <is>
          <t>Model</t>
        </is>
      </c>
      <c r="C15" s="14" t="inlineStr">
        <is>
          <t>Net cash</t>
        </is>
      </c>
    </row>
    <row r="16"/>
    <row r="17">
      <c r="B17" s="14" t="inlineStr">
        <is>
          <t>TTM Operating Cash Flow</t>
        </is>
      </c>
      <c r="C17" s="21" t="n">
        <v>-9.756</v>
      </c>
    </row>
    <row r="18">
      <c r="B18" s="14" t="inlineStr">
        <is>
          <t>Runway (years)</t>
        </is>
      </c>
      <c r="C18" s="22">
        <f>IF(AND(ISNUMBER(C17),C17&lt;0),IF(C7&gt;C8,(C7-C8)/-C17,"net debt"),"n/a")</f>
        <v>1.161441471914719</v>
      </c>
    </row>
    <row r="19">
      <c r="B19" s="14" t="inlineStr">
        <is>
          <t>Implied Pipeline Value</t>
        </is>
      </c>
      <c r="C19" s="13">
        <f>C9</f>
        <v>8.009804319999999</v>
      </c>
    </row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7" t="n">
        <v>2000</v>
      </c>
      <c r="C1" s="17" t="n">
        <v>2001</v>
      </c>
      <c r="D1" s="17" t="n">
        <v>2002</v>
      </c>
      <c r="E1" s="17" t="n">
        <v>2003</v>
      </c>
      <c r="F1" s="17" t="n">
        <v>2004</v>
      </c>
      <c r="G1" s="17" t="n">
        <v>2005</v>
      </c>
      <c r="H1" s="17" t="n">
        <v>2006</v>
      </c>
      <c r="I1" s="17" t="n">
        <v>2007</v>
      </c>
      <c r="J1" s="17" t="n">
        <v>2008</v>
      </c>
      <c r="K1" s="17" t="n">
        <v>2009</v>
      </c>
      <c r="L1" s="17" t="n">
        <v>2010</v>
      </c>
      <c r="M1" s="17" t="n">
        <v>2011</v>
      </c>
      <c r="N1" s="17" t="n">
        <v>2012</v>
      </c>
      <c r="O1" s="17" t="n">
        <v>2013</v>
      </c>
      <c r="P1" s="17" t="n">
        <v>2014</v>
      </c>
      <c r="Q1" s="17" t="n">
        <v>2015</v>
      </c>
      <c r="R1" s="17" t="n">
        <v>2016</v>
      </c>
      <c r="S1" s="17" t="n">
        <v>2017</v>
      </c>
      <c r="T1" s="17" t="n">
        <v>2018</v>
      </c>
      <c r="U1" s="17" t="n">
        <v>2019</v>
      </c>
      <c r="V1" s="17" t="n">
        <v>2020</v>
      </c>
      <c r="W1" s="17" t="n">
        <v>2021</v>
      </c>
      <c r="X1" s="17" t="n">
        <v>2022</v>
      </c>
      <c r="Y1" s="17" t="n">
        <v>2023</v>
      </c>
      <c r="Z1" s="17" t="n">
        <v>2024</v>
      </c>
      <c r="AA1" s="17" t="n">
        <v>2025</v>
      </c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23" t="n">
        <v>0</v>
      </c>
      <c r="C2" s="23" t="n">
        <v>0</v>
      </c>
      <c r="D2" s="23" t="n">
        <v>0</v>
      </c>
      <c r="E2" s="23" t="n">
        <v>0</v>
      </c>
      <c r="F2" s="23" t="n">
        <v>0</v>
      </c>
      <c r="G2" s="23" t="n">
        <v>0</v>
      </c>
      <c r="H2" s="23" t="n">
        <v>0</v>
      </c>
      <c r="I2" s="23" t="n">
        <v>0</v>
      </c>
      <c r="J2" s="23" t="n">
        <v>0</v>
      </c>
      <c r="K2" s="23" t="n">
        <v>0</v>
      </c>
      <c r="L2" s="23" t="n">
        <v>0</v>
      </c>
      <c r="M2" s="23" t="n">
        <v>0</v>
      </c>
      <c r="N2" s="23" t="n">
        <v>0</v>
      </c>
      <c r="O2" s="23" t="n">
        <v>0</v>
      </c>
      <c r="P2" s="23" t="n">
        <v>0</v>
      </c>
      <c r="Q2" s="23" t="n">
        <v>0</v>
      </c>
      <c r="R2" s="23" t="n">
        <v>0</v>
      </c>
      <c r="S2" s="23" t="n">
        <v>0.183</v>
      </c>
      <c r="T2" s="23" t="n">
        <v>0.206</v>
      </c>
      <c r="U2" s="23" t="n">
        <v>0.213</v>
      </c>
      <c r="V2" s="23" t="n">
        <v>0.5</v>
      </c>
      <c r="W2" s="23" t="n">
        <v>1.242</v>
      </c>
      <c r="X2" s="23" t="n">
        <v>3.514</v>
      </c>
      <c r="Y2" s="23" t="n">
        <v>3.311</v>
      </c>
      <c r="Z2" s="23" t="n">
        <v>6.591</v>
      </c>
      <c r="AA2" s="23" t="n">
        <v>3.547</v>
      </c>
    </row>
    <row r="3" customFormat="1" s="1">
      <c r="A3" s="5" t="inlineStr">
        <is>
          <t>Cost of Sales</t>
        </is>
      </c>
      <c r="B3" s="23" t="n">
        <v>0</v>
      </c>
      <c r="C3" s="23" t="n">
        <v>0</v>
      </c>
      <c r="D3" s="23" t="n">
        <v>0</v>
      </c>
      <c r="E3" s="23" t="n">
        <v>0</v>
      </c>
      <c r="F3" s="23" t="n">
        <v>0</v>
      </c>
      <c r="G3" s="23" t="n">
        <v>0</v>
      </c>
      <c r="H3" s="23" t="n">
        <v>0</v>
      </c>
      <c r="I3" s="23" t="n">
        <v>0</v>
      </c>
      <c r="J3" s="23" t="n">
        <v>0</v>
      </c>
      <c r="K3" s="23" t="n">
        <v>0</v>
      </c>
      <c r="L3" s="23" t="n">
        <v>0</v>
      </c>
      <c r="M3" s="23" t="n">
        <v>0</v>
      </c>
      <c r="N3" s="23" t="n">
        <v>0</v>
      </c>
      <c r="O3" s="23" t="n">
        <v>0</v>
      </c>
      <c r="P3" s="23" t="n">
        <v>0</v>
      </c>
      <c r="Q3" s="23" t="n">
        <v>0</v>
      </c>
      <c r="R3" s="23" t="n">
        <v>0</v>
      </c>
      <c r="S3" s="23" t="n">
        <v>0</v>
      </c>
      <c r="T3" s="23" t="n">
        <v>0</v>
      </c>
      <c r="U3" s="23" t="n">
        <v>0</v>
      </c>
      <c r="V3" s="23" t="n">
        <v>0</v>
      </c>
      <c r="W3" s="23" t="n">
        <v>0</v>
      </c>
      <c r="X3" s="23" t="n">
        <v>0</v>
      </c>
      <c r="Y3" s="23" t="n">
        <v>0</v>
      </c>
      <c r="Z3" s="23" t="n">
        <v>0</v>
      </c>
      <c r="AA3" s="23" t="n">
        <v>0</v>
      </c>
    </row>
    <row r="4" customFormat="1" s="1">
      <c r="A4" s="5" t="inlineStr">
        <is>
          <t>Gross Margin</t>
        </is>
      </c>
      <c r="B4" s="23">
        <f>B2-B3</f>
        <v>0.0</v>
      </c>
      <c r="C4" s="23">
        <f>C2-C3</f>
        <v>0.0</v>
      </c>
      <c r="D4" s="23">
        <f>D2-D3</f>
        <v>0.0</v>
      </c>
      <c r="E4" s="23">
        <f>E2-E3</f>
        <v>0.0</v>
      </c>
      <c r="F4" s="23">
        <f>F2-F3</f>
        <v>0.0</v>
      </c>
      <c r="G4" s="23">
        <f>G2-G3</f>
        <v>0.0</v>
      </c>
      <c r="H4" s="23">
        <f>H2-H3</f>
        <v>0.0</v>
      </c>
      <c r="I4" s="23">
        <f>I2-I3</f>
        <v>0.0</v>
      </c>
      <c r="J4" s="23">
        <f>J2-J3</f>
        <v>0.0</v>
      </c>
      <c r="K4" s="23">
        <f>K2-K3</f>
        <v>0.0</v>
      </c>
      <c r="L4" s="23">
        <f>L2-L3</f>
        <v>0.0</v>
      </c>
      <c r="M4" s="23">
        <f>M2-M3</f>
        <v>0.0</v>
      </c>
      <c r="N4" s="23">
        <f>N2-N3</f>
        <v>0.0</v>
      </c>
      <c r="O4" s="23">
        <f>O2-O3</f>
        <v>0.0</v>
      </c>
      <c r="P4" s="23">
        <f>P2-P3</f>
        <v>0.0</v>
      </c>
      <c r="Q4" s="23">
        <f>Q2-Q3</f>
        <v>0.0</v>
      </c>
      <c r="R4" s="23">
        <f>R2-R3</f>
        <v>0.0</v>
      </c>
      <c r="S4" s="23">
        <f>S2-S3</f>
        <v>0.183</v>
      </c>
      <c r="T4" s="23">
        <f>T2-T3</f>
        <v>0.206</v>
      </c>
      <c r="U4" s="23">
        <f>U2-U3</f>
        <v>0.213</v>
      </c>
      <c r="V4" s="23">
        <f>V2-V3</f>
        <v>0.5</v>
      </c>
      <c r="W4" s="23">
        <f>W2-W3</f>
        <v>1.242</v>
      </c>
      <c r="X4" s="23">
        <f>X2-X3</f>
        <v>3.514</v>
      </c>
      <c r="Y4" s="23">
        <f>Y2-Y3</f>
        <v>3.311</v>
      </c>
      <c r="Z4" s="23">
        <f>Z2-Z3</f>
        <v>6.591</v>
      </c>
      <c r="AA4" s="23">
        <f>AA2-AA3</f>
        <v>3.547</v>
      </c>
    </row>
    <row r="5">
      <c r="A5" s="2" t="inlineStr">
        <is>
          <t>Research &amp; Dev.</t>
        </is>
      </c>
      <c r="B5" s="23" t="n">
        <v>0</v>
      </c>
      <c r="C5" s="23" t="n">
        <v>0</v>
      </c>
      <c r="D5" s="23" t="n">
        <v>0</v>
      </c>
      <c r="E5" s="23" t="n">
        <v>0</v>
      </c>
      <c r="F5" s="23" t="n">
        <v>0</v>
      </c>
      <c r="G5" s="23" t="n">
        <v>0</v>
      </c>
      <c r="H5" s="23" t="n">
        <v>0</v>
      </c>
      <c r="I5" s="23" t="n">
        <v>0</v>
      </c>
      <c r="J5" s="23" t="n">
        <v>0</v>
      </c>
      <c r="K5" s="23" t="n">
        <v>0</v>
      </c>
      <c r="L5" s="23" t="n">
        <v>0.29</v>
      </c>
      <c r="M5" s="23" t="n">
        <v>0.204</v>
      </c>
      <c r="N5" s="23" t="n">
        <v>1.057</v>
      </c>
      <c r="O5" s="23" t="n">
        <v>0.698</v>
      </c>
      <c r="P5" s="23" t="n">
        <v>0.189</v>
      </c>
      <c r="Q5" s="23" t="n">
        <v>1.711</v>
      </c>
      <c r="R5" s="23" t="n">
        <v>3.8</v>
      </c>
      <c r="S5" s="23" t="n">
        <v>5.251</v>
      </c>
      <c r="T5" s="23" t="n">
        <v>7.953</v>
      </c>
      <c r="U5" s="23" t="n">
        <v>12.765</v>
      </c>
      <c r="V5" s="23" t="n">
        <v>18.881</v>
      </c>
      <c r="W5" s="23" t="n">
        <v>27.795</v>
      </c>
      <c r="X5" s="23" t="n">
        <v>11.968</v>
      </c>
      <c r="Y5" s="23" t="n">
        <v>10.417</v>
      </c>
      <c r="Z5" s="23" t="n">
        <v>13.468</v>
      </c>
      <c r="AA5" s="23" t="n">
        <v>11.799</v>
      </c>
    </row>
    <row r="6">
      <c r="A6" s="19" t="inlineStr">
        <is>
          <t>SG&amp;A &amp; Other</t>
        </is>
      </c>
      <c r="B6" s="23" t="n">
        <v>0.9350000000000001</v>
      </c>
      <c r="C6" s="23" t="n">
        <v>0.672</v>
      </c>
      <c r="D6" s="23" t="n">
        <v>2.285</v>
      </c>
      <c r="E6" s="23" t="n">
        <v>5.779</v>
      </c>
      <c r="F6" s="23" t="n">
        <v>2.683</v>
      </c>
      <c r="G6" s="23" t="n">
        <v>0.986</v>
      </c>
      <c r="H6" s="23" t="n">
        <v>1.304</v>
      </c>
      <c r="I6" s="23" t="n">
        <v>3.891</v>
      </c>
      <c r="J6" s="23" t="n">
        <v>2.196</v>
      </c>
      <c r="K6" s="23" t="n">
        <v>17.349</v>
      </c>
      <c r="L6" s="23" t="n">
        <v>5.182</v>
      </c>
      <c r="M6" s="23" t="n">
        <v>3.112</v>
      </c>
      <c r="N6" s="23" t="n">
        <v>1.012</v>
      </c>
      <c r="O6" s="23" t="n">
        <v>1.967</v>
      </c>
      <c r="P6" s="23" t="n">
        <v>3.182</v>
      </c>
      <c r="Q6" s="23" t="n">
        <v>4.448</v>
      </c>
      <c r="R6" s="23" t="n">
        <v>4.692</v>
      </c>
      <c r="S6" s="23" t="n">
        <v>6.412</v>
      </c>
      <c r="T6" s="23" t="n">
        <v>140.425</v>
      </c>
      <c r="U6" s="23" t="n">
        <v>9.977</v>
      </c>
      <c r="V6" s="23" t="n">
        <v>10.505</v>
      </c>
      <c r="W6" s="23" t="n">
        <v>12.925</v>
      </c>
      <c r="X6" s="23" t="n">
        <v>11.336</v>
      </c>
      <c r="Y6" s="23" t="n">
        <v>7.476</v>
      </c>
      <c r="Z6" s="23" t="n">
        <v>4.242</v>
      </c>
      <c r="AA6" s="23" t="n">
        <v>4.638</v>
      </c>
    </row>
    <row r="7">
      <c r="A7" s="2" t="inlineStr">
        <is>
          <t>Operating Expense</t>
        </is>
      </c>
      <c r="B7" s="23">
        <f>SUM(B5:B6)</f>
        <v>0.935</v>
      </c>
      <c r="C7" s="23">
        <f>SUM(C5:C6)</f>
        <v>0.672</v>
      </c>
      <c r="D7" s="23">
        <f>SUM(D5:D6)</f>
        <v>2.285</v>
      </c>
      <c r="E7" s="23">
        <f>SUM(E5:E6)</f>
        <v>5.779</v>
      </c>
      <c r="F7" s="23">
        <f>SUM(F5:F6)</f>
        <v>2.683</v>
      </c>
      <c r="G7" s="23">
        <f>SUM(G5:G6)</f>
        <v>0.986</v>
      </c>
      <c r="H7" s="23">
        <f>SUM(H5:H6)</f>
        <v>1.304</v>
      </c>
      <c r="I7" s="23">
        <f>SUM(I5:I6)</f>
        <v>3.891</v>
      </c>
      <c r="J7" s="23">
        <f>SUM(J5:J6)</f>
        <v>2.196</v>
      </c>
      <c r="K7" s="23">
        <f>SUM(K5:K6)</f>
        <v>17.349</v>
      </c>
      <c r="L7" s="23">
        <f>SUM(L5:L6)</f>
        <v>5.472</v>
      </c>
      <c r="M7" s="23">
        <f>SUM(M5:M6)</f>
        <v>3.3160000000000003</v>
      </c>
      <c r="N7" s="23">
        <f>SUM(N5:N6)</f>
        <v>2.069</v>
      </c>
      <c r="O7" s="23">
        <f>SUM(O5:O6)</f>
        <v>2.665</v>
      </c>
      <c r="P7" s="23">
        <f>SUM(P5:P6)</f>
        <v>3.371</v>
      </c>
      <c r="Q7" s="23">
        <f>SUM(Q5:Q6)</f>
        <v>6.159000000000001</v>
      </c>
      <c r="R7" s="23">
        <f>SUM(R5:R6)</f>
        <v>8.492</v>
      </c>
      <c r="S7" s="23">
        <f>SUM(S5:S6)</f>
        <v>11.663</v>
      </c>
      <c r="T7" s="23">
        <f>SUM(T5:T6)</f>
        <v>148.37800000000001</v>
      </c>
      <c r="U7" s="23">
        <f>SUM(U5:U6)</f>
        <v>22.742</v>
      </c>
      <c r="V7" s="23">
        <f>SUM(V5:V6)</f>
        <v>29.386000000000003</v>
      </c>
      <c r="W7" s="23">
        <f>SUM(W5:W6)</f>
        <v>40.72</v>
      </c>
      <c r="X7" s="23">
        <f>SUM(X5:X6)</f>
        <v>23.304000000000002</v>
      </c>
      <c r="Y7" s="23">
        <f>SUM(Y5:Y6)</f>
        <v>17.893</v>
      </c>
      <c r="Z7" s="23">
        <f>SUM(Z5:Z6)</f>
        <v>17.71</v>
      </c>
      <c r="AA7" s="23">
        <f>SUM(AA5:AA6)</f>
        <v>16.436999999999998</v>
      </c>
    </row>
    <row r="8">
      <c r="A8" s="2" t="inlineStr">
        <is>
          <t>Operating Income</t>
        </is>
      </c>
      <c r="B8" s="23">
        <f>B4-B7</f>
        <v>-0.935</v>
      </c>
      <c r="C8" s="23">
        <f>C4-C7</f>
        <v>-0.672</v>
      </c>
      <c r="D8" s="23">
        <f>D4-D7</f>
        <v>-2.285</v>
      </c>
      <c r="E8" s="23">
        <f>E4-E7</f>
        <v>-5.779</v>
      </c>
      <c r="F8" s="23">
        <f>F4-F7</f>
        <v>-2.683</v>
      </c>
      <c r="G8" s="23">
        <f>G4-G7</f>
        <v>-0.986</v>
      </c>
      <c r="H8" s="23">
        <f>H4-H7</f>
        <v>-1.304</v>
      </c>
      <c r="I8" s="23">
        <f>I4-I7</f>
        <v>-3.891</v>
      </c>
      <c r="J8" s="23">
        <f>J4-J7</f>
        <v>-2.196</v>
      </c>
      <c r="K8" s="23">
        <f>K4-K7</f>
        <v>-17.349</v>
      </c>
      <c r="L8" s="23">
        <f>L4-L7</f>
        <v>-5.472</v>
      </c>
      <c r="M8" s="23">
        <f>M4-M7</f>
        <v>-3.3160000000000003</v>
      </c>
      <c r="N8" s="23">
        <f>N4-N7</f>
        <v>-2.069</v>
      </c>
      <c r="O8" s="23">
        <f>O4-O7</f>
        <v>-2.665</v>
      </c>
      <c r="P8" s="23">
        <f>P4-P7</f>
        <v>-3.371</v>
      </c>
      <c r="Q8" s="23">
        <f>Q4-Q7</f>
        <v>-6.159000000000001</v>
      </c>
      <c r="R8" s="23">
        <f>R4-R7</f>
        <v>-8.492</v>
      </c>
      <c r="S8" s="23">
        <f>S4-S7</f>
        <v>-11.48</v>
      </c>
      <c r="T8" s="23">
        <f>T4-T7</f>
        <v>-148.17200000000003</v>
      </c>
      <c r="U8" s="23">
        <f>U4-U7</f>
        <v>-22.529</v>
      </c>
      <c r="V8" s="23">
        <f>V4-V7</f>
        <v>-28.886000000000003</v>
      </c>
      <c r="W8" s="23">
        <f>W4-W7</f>
        <v>-39.478</v>
      </c>
      <c r="X8" s="23">
        <f>X4-X7</f>
        <v>-19.790000000000003</v>
      </c>
      <c r="Y8" s="23">
        <f>Y4-Y7</f>
        <v>-14.582</v>
      </c>
      <c r="Z8" s="23">
        <f>Z4-Z7</f>
        <v>-11.119</v>
      </c>
      <c r="AA8" s="23">
        <f>AA4-AA7</f>
        <v>-12.889999999999997</v>
      </c>
    </row>
    <row r="9">
      <c r="A9" s="19" t="inlineStr">
        <is>
          <t>Interest &amp; Other</t>
        </is>
      </c>
      <c r="B9" s="23" t="n">
        <v>0</v>
      </c>
      <c r="C9" s="23" t="n">
        <v>0</v>
      </c>
      <c r="D9" s="23" t="n">
        <v>0</v>
      </c>
      <c r="E9" s="23" t="n">
        <v>0</v>
      </c>
      <c r="F9" s="23" t="n">
        <v>0</v>
      </c>
      <c r="G9" s="23" t="n">
        <v>0</v>
      </c>
      <c r="H9" s="23" t="n">
        <v>0</v>
      </c>
      <c r="I9" s="23" t="n">
        <v>0</v>
      </c>
      <c r="J9" s="23" t="n">
        <v>0</v>
      </c>
      <c r="K9" s="23" t="n">
        <v>0</v>
      </c>
      <c r="L9" s="23" t="n">
        <v>1.94</v>
      </c>
      <c r="M9" s="23" t="n">
        <v>1.287</v>
      </c>
      <c r="N9" s="23" t="n">
        <v>-3.788</v>
      </c>
      <c r="O9" s="23" t="n">
        <v>-2.868</v>
      </c>
      <c r="P9" s="23" t="n">
        <v>-27.512</v>
      </c>
      <c r="Q9" s="23" t="n">
        <v>-27.907</v>
      </c>
      <c r="R9" s="23" t="n">
        <v>6.037</v>
      </c>
      <c r="S9" s="23" t="n">
        <v>0.498</v>
      </c>
      <c r="T9" s="23" t="n">
        <v>0.214</v>
      </c>
      <c r="U9" s="23" t="n">
        <v>1.101</v>
      </c>
      <c r="V9" s="23" t="n">
        <v>0.18</v>
      </c>
      <c r="W9" s="23" t="n">
        <v>-2.401</v>
      </c>
      <c r="X9" s="23" t="n">
        <v>-10.14</v>
      </c>
      <c r="Y9" s="23" t="n">
        <v>6.348</v>
      </c>
      <c r="Z9" s="23" t="n">
        <v>0.437</v>
      </c>
      <c r="AA9" s="23" t="n">
        <v>0.712</v>
      </c>
    </row>
    <row r="10">
      <c r="A10" s="2" t="inlineStr">
        <is>
          <t>Pretax</t>
        </is>
      </c>
      <c r="B10" s="23">
        <f>B8+B9</f>
        <v>-0.935</v>
      </c>
      <c r="C10" s="23">
        <f>C8+C9</f>
        <v>-0.672</v>
      </c>
      <c r="D10" s="23">
        <f>D8+D9</f>
        <v>-2.285</v>
      </c>
      <c r="E10" s="23">
        <f>E8+E9</f>
        <v>-5.779</v>
      </c>
      <c r="F10" s="23">
        <f>F8+F9</f>
        <v>-2.683</v>
      </c>
      <c r="G10" s="23">
        <f>G8+G9</f>
        <v>-0.986</v>
      </c>
      <c r="H10" s="23">
        <f>H8+H9</f>
        <v>-1.304</v>
      </c>
      <c r="I10" s="23">
        <f>I8+I9</f>
        <v>-3.891</v>
      </c>
      <c r="J10" s="23">
        <f>J8+J9</f>
        <v>-2.196</v>
      </c>
      <c r="K10" s="23">
        <f>K8+K9</f>
        <v>-17.349</v>
      </c>
      <c r="L10" s="23">
        <f>L8+L9</f>
        <v>-3.5320000000000005</v>
      </c>
      <c r="M10" s="23">
        <f>M8+M9</f>
        <v>-2.0290000000000004</v>
      </c>
      <c r="N10" s="23">
        <f>N8+N9</f>
        <v>-5.856999999999999</v>
      </c>
      <c r="O10" s="23">
        <f>O8+O9</f>
        <v>-5.5329999999999995</v>
      </c>
      <c r="P10" s="23">
        <f>P8+P9</f>
        <v>-30.883</v>
      </c>
      <c r="Q10" s="23">
        <f>Q8+Q9</f>
        <v>-34.066</v>
      </c>
      <c r="R10" s="23">
        <f>R8+R9</f>
        <v>-2.455000000000001</v>
      </c>
      <c r="S10" s="23">
        <f>S8+S9</f>
        <v>-10.982000000000001</v>
      </c>
      <c r="T10" s="23">
        <f>T8+T9</f>
        <v>-147.95800000000003</v>
      </c>
      <c r="U10" s="23">
        <f>U8+U9</f>
        <v>-21.428</v>
      </c>
      <c r="V10" s="23">
        <f>V8+V9</f>
        <v>-28.706000000000003</v>
      </c>
      <c r="W10" s="23">
        <f>W8+W9</f>
        <v>-41.879000000000005</v>
      </c>
      <c r="X10" s="23">
        <f>X8+X9</f>
        <v>-29.930000000000003</v>
      </c>
      <c r="Y10" s="23">
        <f>Y8+Y9</f>
        <v>-8.234000000000002</v>
      </c>
      <c r="Z10" s="23">
        <f>Z8+Z9</f>
        <v>-10.682</v>
      </c>
      <c r="AA10" s="23">
        <f>AA8+AA9</f>
        <v>-12.177999999999997</v>
      </c>
    </row>
    <row r="11">
      <c r="A11" s="2" t="inlineStr">
        <is>
          <t>Taxes</t>
        </is>
      </c>
      <c r="B11" s="23" t="n">
        <v>0</v>
      </c>
      <c r="C11" s="23" t="n">
        <v>0</v>
      </c>
      <c r="D11" s="23" t="n">
        <v>0</v>
      </c>
      <c r="E11" s="23" t="n">
        <v>0</v>
      </c>
      <c r="F11" s="23" t="n">
        <v>0</v>
      </c>
      <c r="G11" s="23" t="n">
        <v>0</v>
      </c>
      <c r="H11" s="23" t="n">
        <v>0</v>
      </c>
      <c r="I11" s="23" t="n">
        <v>0</v>
      </c>
      <c r="J11" s="23" t="n">
        <v>0</v>
      </c>
      <c r="K11" s="23" t="n">
        <v>0</v>
      </c>
      <c r="L11" s="23" t="n">
        <v>0</v>
      </c>
      <c r="M11" s="23" t="n">
        <v>0</v>
      </c>
      <c r="N11" s="23" t="n">
        <v>0</v>
      </c>
      <c r="O11" s="23" t="n">
        <v>0</v>
      </c>
      <c r="P11" s="23" t="n">
        <v>0</v>
      </c>
      <c r="Q11" s="23" t="n">
        <v>0</v>
      </c>
      <c r="R11" s="23" t="n">
        <v>0</v>
      </c>
      <c r="S11" s="23" t="n">
        <v>0</v>
      </c>
      <c r="T11" s="23" t="n">
        <v>0</v>
      </c>
      <c r="U11" s="23" t="n">
        <v>0</v>
      </c>
      <c r="V11" s="23" t="n">
        <v>0</v>
      </c>
      <c r="W11" s="23" t="n">
        <v>0</v>
      </c>
      <c r="X11" s="23" t="n">
        <v>0</v>
      </c>
      <c r="Y11" s="23" t="n">
        <v>0.004</v>
      </c>
      <c r="Z11" s="23" t="n">
        <v>0.05</v>
      </c>
      <c r="AA11" s="23" t="n">
        <v>-0.015</v>
      </c>
    </row>
    <row r="12">
      <c r="A12" s="2" t="inlineStr">
        <is>
          <t>Net Income</t>
        </is>
      </c>
      <c r="B12" s="23" t="n">
        <v>-0.9350000000000001</v>
      </c>
      <c r="C12" s="23" t="n">
        <v>-0.672</v>
      </c>
      <c r="D12" s="23" t="n">
        <v>-2.285</v>
      </c>
      <c r="E12" s="23" t="n">
        <v>-5.779</v>
      </c>
      <c r="F12" s="23" t="n">
        <v>-2.683</v>
      </c>
      <c r="G12" s="23" t="n">
        <v>-0.986</v>
      </c>
      <c r="H12" s="23" t="n">
        <v>-1.304</v>
      </c>
      <c r="I12" s="23" t="n">
        <v>-3.891</v>
      </c>
      <c r="J12" s="23" t="n">
        <v>-2.196</v>
      </c>
      <c r="K12" s="23" t="n">
        <v>-17.349</v>
      </c>
      <c r="L12" s="23" t="n">
        <v>-3.533</v>
      </c>
      <c r="M12" s="23" t="n">
        <v>-2.029</v>
      </c>
      <c r="N12" s="23" t="n">
        <v>-5.858</v>
      </c>
      <c r="O12" s="23" t="n">
        <v>-5.533</v>
      </c>
      <c r="P12" s="23" t="n">
        <v>-30.883</v>
      </c>
      <c r="Q12" s="23" t="n">
        <v>-34.066</v>
      </c>
      <c r="R12" s="23" t="n">
        <v>-2.455</v>
      </c>
      <c r="S12" s="23" t="n">
        <v>-10.982</v>
      </c>
      <c r="T12" s="23" t="n">
        <v>-147.958</v>
      </c>
      <c r="U12" s="23" t="n">
        <v>-21.428</v>
      </c>
      <c r="V12" s="23" t="n">
        <v>-28.706</v>
      </c>
      <c r="W12" s="23" t="n">
        <v>-41.879</v>
      </c>
      <c r="X12" s="23" t="n">
        <v>-29.931</v>
      </c>
      <c r="Y12" s="23" t="n">
        <v>-8.237</v>
      </c>
      <c r="Z12" s="23" t="n">
        <v>-10.731</v>
      </c>
      <c r="AA12" s="23" t="n">
        <v>-12.164</v>
      </c>
    </row>
    <row r="13">
      <c r="A13" s="2" t="inlineStr">
        <is>
          <t>Earnings per Share</t>
        </is>
      </c>
      <c r="B13" s="11">
        <f>IFERROR(B12/B14,0)</f>
        <v>0</v>
      </c>
      <c r="C13" s="11">
        <f>IFERROR(C12/C14,0)</f>
        <v>0</v>
      </c>
      <c r="D13" s="11">
        <f>IFERROR(D12/D14,0)</f>
        <v>0</v>
      </c>
      <c r="E13" s="11">
        <f>IFERROR(E12/E14,0)</f>
        <v>0</v>
      </c>
      <c r="F13" s="11">
        <f>IFERROR(F12/F14,0)</f>
        <v>0</v>
      </c>
      <c r="G13" s="11">
        <f>IFERROR(G12/G14,0)</f>
        <v>0</v>
      </c>
      <c r="H13" s="11">
        <f>IFERROR(H12/H14,0)</f>
        <v>0</v>
      </c>
      <c r="I13" s="11">
        <f>IFERROR(I12/I14,0)</f>
        <v>0</v>
      </c>
      <c r="J13" s="11">
        <f>IFERROR(J12/J14,0)</f>
        <v>0</v>
      </c>
      <c r="K13" s="11">
        <f>IFERROR(K12/K14,0)</f>
        <v>0</v>
      </c>
      <c r="L13" s="11">
        <f>IFERROR(L12/L14,0)</f>
        <v>0</v>
      </c>
      <c r="M13" s="11">
        <f>IFERROR(M12/M14,0)</f>
        <v>0</v>
      </c>
      <c r="N13" s="11">
        <f>IFERROR(N12/N14,0)</f>
        <v>0</v>
      </c>
      <c r="O13" s="11">
        <f>IFERROR(O12/O14,0)</f>
        <v>-1.2176496478873242</v>
      </c>
      <c r="P13" s="11">
        <f>IFERROR(P12/P14,0)</f>
        <v>-0.4992321494964517</v>
      </c>
      <c r="Q13" s="11">
        <f>IFERROR(Q12/Q14,0)</f>
        <v>-2.325482968120691</v>
      </c>
      <c r="R13" s="11">
        <f>IFERROR(R12/R14,0)</f>
        <v>-0.16540897453173425</v>
      </c>
      <c r="S13" s="11">
        <f>IFERROR(S12/S14,0)</f>
        <v>-0.5808430739937589</v>
      </c>
      <c r="T13" s="11">
        <f>IFERROR(T12/T14,0)</f>
        <v>-7.749738110203227</v>
      </c>
      <c r="U13" s="11">
        <f>IFERROR(U12/U14,0)</f>
        <v>-0.4700359743792226</v>
      </c>
      <c r="V13" s="11">
        <f>IFERROR(V12/V14,0)</f>
        <v>-0.6102465986394557</v>
      </c>
      <c r="W13" s="11">
        <f>IFERROR(W12/W14,0)</f>
        <v>-5.473663573389099</v>
      </c>
      <c r="X13" s="11">
        <f>IFERROR(X12/X14,0)</f>
        <v>-3.584121662076398</v>
      </c>
      <c r="Y13" s="11">
        <f>IFERROR(Y12/Y14,0)</f>
        <v>-0.9350664093540698</v>
      </c>
      <c r="Z13" s="11">
        <f>IFERROR(Z12/Z14,0)</f>
        <v>-1.1949888641425388</v>
      </c>
      <c r="AA13" s="11">
        <f>IFERROR(AA12/AA14,0)</f>
        <v>-0.7945133899412149</v>
      </c>
    </row>
    <row r="14">
      <c r="A14" s="2" t="inlineStr">
        <is>
          <t>Shares</t>
        </is>
      </c>
      <c r="B14" s="23" t="n"/>
      <c r="C14" s="23" t="n"/>
      <c r="D14" s="23" t="n"/>
      <c r="E14" s="23" t="n"/>
      <c r="F14" s="23" t="n"/>
      <c r="G14" s="23" t="n"/>
      <c r="H14" s="23" t="n"/>
      <c r="I14" s="23" t="n"/>
      <c r="J14" s="23" t="n"/>
      <c r="K14" s="23" t="n"/>
      <c r="L14" s="23" t="n"/>
      <c r="M14" s="23" t="n"/>
      <c r="N14" s="23" t="n"/>
      <c r="O14" s="23" t="n">
        <v>4.544</v>
      </c>
      <c r="P14" s="23" t="n">
        <v>61.861</v>
      </c>
      <c r="Q14" s="23" t="n">
        <v>14.649</v>
      </c>
      <c r="R14" s="23" t="n">
        <v>14.842</v>
      </c>
      <c r="S14" s="23" t="n">
        <v>18.907</v>
      </c>
      <c r="T14" s="23" t="n">
        <v>19.092</v>
      </c>
      <c r="U14" s="23" t="n">
        <v>45.588</v>
      </c>
      <c r="V14" s="23" t="n">
        <v>47.04</v>
      </c>
      <c r="W14" s="23" t="n">
        <v>7.651</v>
      </c>
      <c r="X14" s="23" t="n">
        <v>8.351000000000001</v>
      </c>
      <c r="Y14" s="23" t="n">
        <v>8.808999999999999</v>
      </c>
      <c r="Z14" s="23" t="n">
        <v>8.98</v>
      </c>
      <c r="AA14" s="23" t="n">
        <v>15.31</v>
      </c>
    </row>
    <row r="15"/>
    <row r="16" customFormat="1" s="4">
      <c r="A16" s="3" t="inlineStr">
        <is>
          <t>Revenue Change</t>
        </is>
      </c>
      <c r="C16" s="15">
        <f>IFERROR(C2/B2-1,"")</f>
        <v/>
      </c>
      <c r="D16" s="15">
        <f>IFERROR(D2/C2-1,"")</f>
        <v/>
      </c>
      <c r="E16" s="15">
        <f>IFERROR(E2/D2-1,"")</f>
        <v/>
      </c>
      <c r="F16" s="15">
        <f>IFERROR(F2/E2-1,"")</f>
        <v/>
      </c>
      <c r="G16" s="15">
        <f>IFERROR(G2/F2-1,"")</f>
        <v/>
      </c>
      <c r="H16" s="15">
        <f>IFERROR(H2/G2-1,"")</f>
        <v/>
      </c>
      <c r="I16" s="15">
        <f>IFERROR(I2/H2-1,"")</f>
        <v/>
      </c>
      <c r="J16" s="15">
        <f>IFERROR(J2/I2-1,"")</f>
        <v/>
      </c>
      <c r="K16" s="15">
        <f>IFERROR(K2/J2-1,"")</f>
        <v/>
      </c>
      <c r="L16" s="15">
        <f>IFERROR(L2/K2-1,"")</f>
        <v/>
      </c>
      <c r="M16" s="15">
        <f>IFERROR(M2/L2-1,"")</f>
        <v/>
      </c>
      <c r="N16" s="15">
        <f>IFERROR(N2/M2-1,"")</f>
        <v/>
      </c>
      <c r="O16" s="15">
        <f>IFERROR(O2/N2-1,"")</f>
        <v/>
      </c>
      <c r="P16" s="15">
        <f>IFERROR(P2/O2-1,"")</f>
        <v/>
      </c>
      <c r="Q16" s="15">
        <f>IFERROR(Q2/P2-1,"")</f>
        <v/>
      </c>
      <c r="R16" s="15">
        <f>IFERROR(R2/Q2-1,"")</f>
        <v/>
      </c>
      <c r="S16" s="15">
        <f>IFERROR(S2/R2-1,"")</f>
        <v/>
      </c>
      <c r="T16" s="15">
        <f>IFERROR(T2/S2-1,"")</f>
        <v>0.12568306010928953</v>
      </c>
      <c r="U16" s="15">
        <f>IFERROR(U2/T2-1,"")</f>
        <v>0.03398058252427183</v>
      </c>
      <c r="V16" s="15">
        <f>IFERROR(V2/U2-1,"")</f>
        <v>1.347417840375587</v>
      </c>
      <c r="W16" s="15">
        <f>IFERROR(W2/V2-1,"")</f>
        <v>1.484</v>
      </c>
      <c r="X16" s="15">
        <f>IFERROR(X2/W2-1,"")</f>
        <v>1.829307568438003</v>
      </c>
      <c r="Y16" s="15">
        <f>IFERROR(Y2/X2-1,"")</f>
        <v>-0.05776892430278879</v>
      </c>
      <c r="Z16" s="15">
        <f>IFERROR(Z2/Y2-1,"")</f>
        <v>0.9906372697070371</v>
      </c>
      <c r="AA16" s="15">
        <f>IFERROR(AA2/Z2-1,"")</f>
        <v>-0.4618419056288878</v>
      </c>
    </row>
    <row r="17" customFormat="1" s="4">
      <c r="A17" s="3" t="inlineStr">
        <is>
          <t>Gross Margin</t>
        </is>
      </c>
      <c r="B17" s="15">
        <f>IFERROR(B4/B2,"")</f>
        <v/>
      </c>
      <c r="C17" s="15">
        <f>IFERROR(C4/C2,"")</f>
        <v/>
      </c>
      <c r="D17" s="15">
        <f>IFERROR(D4/D2,"")</f>
        <v/>
      </c>
      <c r="E17" s="15">
        <f>IFERROR(E4/E2,"")</f>
        <v/>
      </c>
      <c r="F17" s="15">
        <f>IFERROR(F4/F2,"")</f>
        <v/>
      </c>
      <c r="G17" s="15">
        <f>IFERROR(G4/G2,"")</f>
        <v/>
      </c>
      <c r="H17" s="15">
        <f>IFERROR(H4/H2,"")</f>
        <v/>
      </c>
      <c r="I17" s="15">
        <f>IFERROR(I4/I2,"")</f>
        <v/>
      </c>
      <c r="J17" s="15">
        <f>IFERROR(J4/J2,"")</f>
        <v/>
      </c>
      <c r="K17" s="15">
        <f>IFERROR(K4/K2,"")</f>
        <v/>
      </c>
      <c r="L17" s="15">
        <f>IFERROR(L4/L2,"")</f>
        <v/>
      </c>
      <c r="M17" s="15">
        <f>IFERROR(M4/M2,"")</f>
        <v/>
      </c>
      <c r="N17" s="15">
        <f>IFERROR(N4/N2,"")</f>
        <v/>
      </c>
      <c r="O17" s="15">
        <f>IFERROR(O4/O2,"")</f>
        <v/>
      </c>
      <c r="P17" s="15">
        <f>IFERROR(P4/P2,"")</f>
        <v/>
      </c>
      <c r="Q17" s="15">
        <f>IFERROR(Q4/Q2,"")</f>
        <v/>
      </c>
      <c r="R17" s="15">
        <f>IFERROR(R4/R2,"")</f>
        <v/>
      </c>
      <c r="S17" s="15">
        <f>IFERROR(S4/S2,"")</f>
        <v>1.0</v>
      </c>
      <c r="T17" s="15">
        <f>IFERROR(T4/T2,"")</f>
        <v>1.0</v>
      </c>
      <c r="U17" s="15">
        <f>IFERROR(U4/U2,"")</f>
        <v>1.0</v>
      </c>
      <c r="V17" s="15">
        <f>IFERROR(V4/V2,"")</f>
        <v>1.0</v>
      </c>
      <c r="W17" s="15">
        <f>IFERROR(W4/W2,"")</f>
        <v>1.0</v>
      </c>
      <c r="X17" s="15">
        <f>IFERROR(X4/X2,"")</f>
        <v>1.0</v>
      </c>
      <c r="Y17" s="15">
        <f>IFERROR(Y4/Y2,"")</f>
        <v>1.0</v>
      </c>
      <c r="Z17" s="15">
        <f>IFERROR(Z4/Z2,"")</f>
        <v>1.0</v>
      </c>
      <c r="AA17" s="15">
        <f>IFERROR(AA4/AA2,"")</f>
        <v>1.0</v>
      </c>
    </row>
    <row r="18">
      <c r="A18" s="14" t="inlineStr">
        <is>
          <t>Operating Margin</t>
        </is>
      </c>
      <c r="B18" s="15">
        <f>IFERROR(B8/B2,"")</f>
        <v/>
      </c>
      <c r="C18" s="15">
        <f>IFERROR(C8/C2,"")</f>
        <v/>
      </c>
      <c r="D18" s="15">
        <f>IFERROR(D8/D2,"")</f>
        <v/>
      </c>
      <c r="E18" s="15">
        <f>IFERROR(E8/E2,"")</f>
        <v/>
      </c>
      <c r="F18" s="15">
        <f>IFERROR(F8/F2,"")</f>
        <v/>
      </c>
      <c r="G18" s="15">
        <f>IFERROR(G8/G2,"")</f>
        <v/>
      </c>
      <c r="H18" s="15">
        <f>IFERROR(H8/H2,"")</f>
        <v/>
      </c>
      <c r="I18" s="15">
        <f>IFERROR(I8/I2,"")</f>
        <v/>
      </c>
      <c r="J18" s="15">
        <f>IFERROR(J8/J2,"")</f>
        <v/>
      </c>
      <c r="K18" s="15">
        <f>IFERROR(K8/K2,"")</f>
        <v/>
      </c>
      <c r="L18" s="15">
        <f>IFERROR(L8/L2,"")</f>
        <v/>
      </c>
      <c r="M18" s="15">
        <f>IFERROR(M8/M2,"")</f>
        <v/>
      </c>
      <c r="N18" s="15">
        <f>IFERROR(N8/N2,"")</f>
        <v/>
      </c>
      <c r="O18" s="15">
        <f>IFERROR(O8/O2,"")</f>
        <v/>
      </c>
      <c r="P18" s="15">
        <f>IFERROR(P8/P2,"")</f>
        <v/>
      </c>
      <c r="Q18" s="15">
        <f>IFERROR(Q8/Q2,"")</f>
        <v/>
      </c>
      <c r="R18" s="15">
        <f>IFERROR(R8/R2,"")</f>
        <v/>
      </c>
      <c r="S18" s="15">
        <f>IFERROR(S8/S2,"")</f>
        <v>-62.732240437158474</v>
      </c>
      <c r="T18" s="15">
        <f>IFERROR(T8/T2,"")</f>
        <v>-719.2815533980585</v>
      </c>
      <c r="U18" s="15">
        <f>IFERROR(U8/U2,"")</f>
        <v>-105.7699530516432</v>
      </c>
      <c r="V18" s="15">
        <f>IFERROR(V8/V2,"")</f>
        <v>-57.772000000000006</v>
      </c>
      <c r="W18" s="15">
        <f>IFERROR(W8/W2,"")</f>
        <v>-31.785829307568438</v>
      </c>
      <c r="X18" s="15">
        <f>IFERROR(X8/X2,"")</f>
        <v>-5.6317586795674455</v>
      </c>
      <c r="Y18" s="15">
        <f>IFERROR(Y8/Y2,"")</f>
        <v>-4.4041075203865905</v>
      </c>
      <c r="Z18" s="15">
        <f>IFERROR(Z8/Z2,"")</f>
        <v>-1.6869974207252314</v>
      </c>
      <c r="AA18" s="15">
        <f>IFERROR(AA8/AA2,"")</f>
        <v>-3.634056949534817</v>
      </c>
    </row>
    <row r="19">
      <c r="A19" s="14" t="inlineStr">
        <is>
          <t>Actual / Estimate</t>
        </is>
      </c>
      <c r="B19" s="20" t="inlineStr">
        <is>
          <t>A</t>
        </is>
      </c>
      <c r="C19" s="20" t="inlineStr">
        <is>
          <t>A</t>
        </is>
      </c>
      <c r="D19" s="20" t="inlineStr">
        <is>
          <t>A</t>
        </is>
      </c>
      <c r="E19" s="20" t="inlineStr">
        <is>
          <t>A</t>
        </is>
      </c>
      <c r="F19" s="20" t="inlineStr">
        <is>
          <t>A</t>
        </is>
      </c>
      <c r="G19" s="20" t="inlineStr">
        <is>
          <t>A</t>
        </is>
      </c>
      <c r="H19" s="20" t="inlineStr">
        <is>
          <t>A</t>
        </is>
      </c>
      <c r="I19" s="20" t="inlineStr">
        <is>
          <t>A</t>
        </is>
      </c>
      <c r="J19" s="20" t="inlineStr">
        <is>
          <t>A</t>
        </is>
      </c>
      <c r="K19" s="20" t="inlineStr">
        <is>
          <t>A</t>
        </is>
      </c>
      <c r="L19" s="20" t="inlineStr">
        <is>
          <t>A</t>
        </is>
      </c>
      <c r="M19" s="20" t="inlineStr">
        <is>
          <t>A</t>
        </is>
      </c>
      <c r="N19" s="20" t="inlineStr">
        <is>
          <t>A</t>
        </is>
      </c>
      <c r="O19" s="20" t="inlineStr">
        <is>
          <t>A</t>
        </is>
      </c>
      <c r="P19" s="20" t="inlineStr">
        <is>
          <t>A</t>
        </is>
      </c>
      <c r="Q19" s="20" t="inlineStr">
        <is>
          <t>A</t>
        </is>
      </c>
      <c r="R19" s="20" t="inlineStr">
        <is>
          <t>A</t>
        </is>
      </c>
      <c r="S19" s="20" t="inlineStr">
        <is>
          <t>A</t>
        </is>
      </c>
      <c r="T19" s="20" t="inlineStr">
        <is>
          <t>A</t>
        </is>
      </c>
      <c r="U19" s="20" t="inlineStr">
        <is>
          <t>A</t>
        </is>
      </c>
      <c r="V19" s="20" t="inlineStr">
        <is>
          <t>A</t>
        </is>
      </c>
      <c r="W19" s="20" t="inlineStr">
        <is>
          <t>A</t>
        </is>
      </c>
      <c r="X19" s="20" t="inlineStr">
        <is>
          <t>A</t>
        </is>
      </c>
      <c r="Y19" s="20" t="inlineStr">
        <is>
          <t>A</t>
        </is>
      </c>
      <c r="Z19" s="20" t="inlineStr">
        <is>
          <t>A</t>
        </is>
      </c>
      <c r="AA19" s="20" t="inlineStr">
        <is>
          <t>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2026-10-21T01:06:29Z</dcterms:modified>
  <cp:lastModifiedBy>Wang, Eric</cp:lastModifiedBy>
</cp:coreProperties>
</file>