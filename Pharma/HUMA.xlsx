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Humacyte Inc</t>
        </is>
      </c>
      <c r="C2" s="10" t="n"/>
    </row>
    <row r="3">
      <c r="B3" t="inlineStr">
        <is>
          <t>Price</t>
        </is>
      </c>
      <c r="C3" s="11">
        <f>INDEX([1]Pharma!$F$1:$F$1000,MATCH("HUMA",[1]Pharma!$B$1:$B$1000,0))</f>
        <v>0.406</v>
      </c>
      <c r="F3" s="1" t="n"/>
    </row>
    <row r="4">
      <c r="B4" t="inlineStr">
        <is>
          <t>Shares</t>
        </is>
      </c>
      <c r="C4" s="21" t="n">
        <v>277.798105</v>
      </c>
      <c r="F4" s="1" t="n"/>
    </row>
    <row r="5">
      <c r="B5" t="inlineStr">
        <is>
          <t>Market Cap.</t>
        </is>
      </c>
      <c r="C5" s="13">
        <f>C3*C4</f>
        <v>112.78603063000001</v>
      </c>
      <c r="F5" s="1" t="n"/>
    </row>
    <row r="6"/>
    <row r="7">
      <c r="B7" t="inlineStr">
        <is>
          <t>Cash</t>
        </is>
      </c>
      <c r="C7" s="21" t="n">
        <v>79.90300000000001</v>
      </c>
    </row>
    <row r="8">
      <c r="B8" t="inlineStr">
        <is>
          <t>Debt</t>
        </is>
      </c>
      <c r="C8" s="21" t="n">
        <v>36.324</v>
      </c>
    </row>
    <row r="9">
      <c r="B9" t="inlineStr">
        <is>
          <t>Enterprise V.</t>
        </is>
      </c>
      <c r="C9" s="13">
        <f>C5-C7+C8</f>
        <v>69.20703063</v>
      </c>
    </row>
    <row r="10"/>
    <row r="11">
      <c r="B11" s="14" t="inlineStr">
        <is>
          <t>Net Cash / Share</t>
        </is>
      </c>
      <c r="C11" s="11">
        <f>(C7-C8)/C4</f>
        <v>0.1568729203534344</v>
      </c>
    </row>
    <row r="12">
      <c r="B12" s="14" t="inlineStr">
        <is>
          <t>Upside</t>
        </is>
      </c>
      <c r="C12" s="15">
        <f>IFERROR(C11/C3-1,"")</f>
        <v>-0.6136134966664177</v>
      </c>
    </row>
    <row r="13">
      <c r="B13" s="14" t="inlineStr">
        <is>
          <t>Cash / Share</t>
        </is>
      </c>
      <c r="C13" s="11">
        <f>IFERROR((C7-C8)/C4,"")</f>
        <v>0.1568729203534344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-97.193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0.44837591184550335</v>
      </c>
    </row>
    <row r="19">
      <c r="B19" s="14" t="inlineStr">
        <is>
          <t>Implied Pipeline Value</t>
        </is>
      </c>
      <c r="C19" s="13">
        <f>C9</f>
        <v>69.20703063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2.038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9.702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-7.664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54.078</v>
      </c>
      <c r="C5" s="23" t="n">
        <v>61.341</v>
      </c>
      <c r="D5" s="23" t="n">
        <v>63.26</v>
      </c>
      <c r="E5" s="23" t="n">
        <v>76.55</v>
      </c>
      <c r="F5" s="23" t="n">
        <v>88.599</v>
      </c>
      <c r="G5" s="23" t="n">
        <v>69.30200000000001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10.522</v>
      </c>
      <c r="C6" s="23" t="n">
        <v>19.867</v>
      </c>
      <c r="D6" s="23" t="n">
        <v>21.318</v>
      </c>
      <c r="E6" s="23" t="n">
        <v>23.497</v>
      </c>
      <c r="F6" s="23" t="n">
        <v>25.799</v>
      </c>
      <c r="G6" s="23" t="n">
        <v>31.171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64.60000000000001</v>
      </c>
      <c r="C7" s="23">
        <f>SUM(C5:C6)</f>
        <v>81.208</v>
      </c>
      <c r="D7" s="23">
        <f>SUM(D5:D6)</f>
        <v>84.578</v>
      </c>
      <c r="E7" s="23">
        <f>SUM(E5:E6)</f>
        <v>100.047</v>
      </c>
      <c r="F7" s="23">
        <f>SUM(F5:F6)</f>
        <v>114.398</v>
      </c>
      <c r="G7" s="23">
        <f>SUM(G5:G6)</f>
        <v>100.47300000000001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-64.60000000000001</v>
      </c>
      <c r="C8" s="23">
        <f>C4-C7</f>
        <v>-81.208</v>
      </c>
      <c r="D8" s="23">
        <f>D4-D7</f>
        <v>-84.578</v>
      </c>
      <c r="E8" s="23">
        <f>E4-E7</f>
        <v>-100.047</v>
      </c>
      <c r="F8" s="23">
        <f>F4-F7</f>
        <v>-114.398</v>
      </c>
      <c r="G8" s="23">
        <f>G4-G7</f>
        <v>-108.13700000000001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-1.924</v>
      </c>
      <c r="C9" s="23" t="n">
        <v>54.731</v>
      </c>
      <c r="D9" s="23" t="n">
        <v>72.613</v>
      </c>
      <c r="E9" s="23" t="n">
        <v>-10.729</v>
      </c>
      <c r="F9" s="23" t="n">
        <v>-34.303</v>
      </c>
      <c r="G9" s="23" t="n">
        <v>67.304</v>
      </c>
    </row>
    <row r="10">
      <c r="A10" s="2" t="inlineStr">
        <is>
          <t>Pretax</t>
        </is>
      </c>
      <c r="B10" s="23">
        <f>B8+B9</f>
        <v>-66.52400000000002</v>
      </c>
      <c r="C10" s="23">
        <f>C8+C9</f>
        <v>-26.476999999999997</v>
      </c>
      <c r="D10" s="23">
        <f>D8+D9</f>
        <v>-11.965000000000003</v>
      </c>
      <c r="E10" s="23">
        <f>E8+E9</f>
        <v>-110.776</v>
      </c>
      <c r="F10" s="23">
        <f>F8+F9</f>
        <v>-148.701</v>
      </c>
      <c r="G10" s="23">
        <f>G8+G9</f>
        <v>-40.83300000000001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-66.524</v>
      </c>
      <c r="C12" s="23" t="n">
        <v>-26.477</v>
      </c>
      <c r="D12" s="23" t="n">
        <v>-11.965</v>
      </c>
      <c r="E12" s="23" t="n">
        <v>-110.776</v>
      </c>
      <c r="F12" s="23" t="n">
        <v>-148.701</v>
      </c>
      <c r="G12" s="23" t="n">
        <v>-40.833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-1.6482656095143706</v>
      </c>
      <c r="C13" s="11">
        <f>IFERROR(C12/C14,0)</f>
        <v>-0.6624218163622717</v>
      </c>
      <c r="D13" s="11">
        <f>IFERROR(D12/D14,0)</f>
        <v>-0.11610755839341685</v>
      </c>
      <c r="E13" s="11">
        <f>IFERROR(E12/E14,0)</f>
        <v>-1.0711274415006768</v>
      </c>
      <c r="F13" s="11">
        <f>IFERROR(F12/F14,0)</f>
        <v>-1.255083179297597</v>
      </c>
      <c r="G13" s="11">
        <f>IFERROR(G12/G14,0)</f>
        <v>-0.2581752655538695</v>
      </c>
    </row>
    <row r="14">
      <c r="A14" s="2" t="inlineStr">
        <is>
          <t>Shares</t>
        </is>
      </c>
      <c r="B14" s="23" t="n">
        <v>40.36</v>
      </c>
      <c r="C14" s="23" t="n">
        <v>39.97</v>
      </c>
      <c r="D14" s="23" t="n">
        <v>103.051</v>
      </c>
      <c r="E14" s="23" t="n">
        <v>103.42</v>
      </c>
      <c r="F14" s="23" t="n">
        <v>118.479</v>
      </c>
      <c r="G14" s="23" t="n">
        <v>158.16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-3.7605495583905793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-53.06035328753681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2026-10-21T01:05:52Z</dcterms:modified>
  <cp:lastModifiedBy>Wang, Eric</cp:lastModifiedBy>
</cp:coreProperties>
</file>