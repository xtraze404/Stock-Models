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  <sheet name="Options" sheetId="7" state="visible" r:id="rId7"/>
  </sheets>
  <externalReferences>
    <externalReference r:id="rId8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0.0%;(0.0%);&quot;-&quot;"/>
    <numFmt numFmtId="165" formatCode="#,##0;(#,##0);&quot;-&quot;"/>
    <numFmt numFmtId="166" formatCode="yyyy-mm-dd"/>
    <numFmt numFmtId="167" formatCode="0%;(0%);&quot;-&quot;"/>
    <numFmt numFmtId="168" formatCode="0.0"/>
    <numFmt numFmtId="169" formatCode="#,##0.0;(#,##0.0);&quot;-&quot;"/>
    <numFmt numFmtId="170" formatCode="0.0%"/>
    <numFmt numFmtId="171" formatCode="0.000"/>
    <numFmt numFmtId="172" formatCode="$#,##0.00;($#,##0.00);&quot;-&quot;"/>
    <numFmt numFmtId="173" formatCode="0.000000"/>
    <numFmt numFmtId="174" formatCode="0.00x"/>
    <numFmt numFmtId="175" formatCode="$#,##0;($#,##0);&quot;-&quot;"/>
    <numFmt numFmtId="176" formatCode="#,##0.0"/>
  </numFmts>
  <fonts count="12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b val="1"/>
      <color rgb="00000000"/>
      <sz val="14"/>
    </font>
    <font>
      <name val="Aptos Narrow"/>
      <b val="1"/>
      <color rgb="00000000"/>
      <sz val="12"/>
    </font>
    <font>
      <name val="Aptos Narrow"/>
      <color rgb="000000FF"/>
      <sz val="12"/>
    </font>
    <font>
      <name val="Aptos Narrow"/>
      <i val="1"/>
      <color rgb="00000000"/>
      <sz val="12"/>
    </font>
    <font>
      <name val="Aptos Narrow"/>
      <color rgb="00000000"/>
      <sz val="12"/>
    </font>
    <font>
      <name val="Aptos Narrow"/>
      <b val="1"/>
      <color rgb="000000FF"/>
      <sz val="12"/>
    </font>
    <font>
      <name val="Aptos Narrow"/>
      <b val="1"/>
      <color rgb="00008000"/>
      <sz val="12"/>
    </font>
    <font>
      <name val="Aptos Narrow"/>
      <color rgb="00008000"/>
      <sz val="12"/>
    </font>
    <font>
      <name val="Aptos Narrow"/>
      <b val="1"/>
      <color rgb="00000000"/>
      <sz val="13"/>
    </font>
    <font>
      <name val="Aptos Narrow"/>
      <i val="1"/>
      <color rgb="00008000"/>
      <sz val="12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9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6" fillId="0" borderId="0" pivotButton="0" quotePrefix="0" xfId="0"/>
    <xf numFmtId="176" fontId="6" fillId="0" borderId="0" pivotButton="0" quotePrefix="0" xfId="0"/>
    <xf numFmtId="0" fontId="6" fillId="0" borderId="0" pivotButton="0" quotePrefix="0" xfId="0"/>
    <xf numFmtId="170" fontId="6" fillId="0" borderId="0" pivotButton="0" quotePrefix="0" xfId="0"/>
    <xf numFmtId="166" fontId="6" fillId="0" borderId="0" pivotButton="0" quotePrefix="0" xfId="0"/>
    <xf numFmtId="9" fontId="6" fillId="0" borderId="0" pivotButton="0" quotePrefix="0" xfId="0"/>
    <xf numFmtId="0" fontId="3" fillId="0" borderId="1" pivotButton="0" quotePrefix="0" xfId="0"/>
    <xf numFmtId="169" fontId="6" fillId="0" borderId="0" pivotButton="0" quotePrefix="0" xfId="0"/>
    <xf numFmtId="0" fontId="6" fillId="0" borderId="2" pivotButton="0" quotePrefix="0" xfId="0"/>
    <xf numFmtId="0" fontId="6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3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164" fontId="4" fillId="2" borderId="0" pivotButton="0" quotePrefix="0" xfId="0"/>
    <xf numFmtId="165" fontId="4" fillId="2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pivotButton="0" quotePrefix="0" xfId="0"/>
    <xf numFmtId="0" fontId="0" fillId="4" borderId="0" pivotButton="0" quotePrefix="0" xfId="0"/>
    <xf numFmtId="166" fontId="7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4" fillId="2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" fontId="3" fillId="0" borderId="0" applyAlignment="1" pivotButton="0" quotePrefix="0" xfId="0">
      <alignment horizontal="center"/>
    </xf>
    <xf numFmtId="1" fontId="4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7" fontId="4" fillId="0" borderId="0" applyAlignment="1" pivotButton="0" quotePrefix="0" xfId="0">
      <alignment horizontal="center"/>
    </xf>
    <xf numFmtId="165" fontId="4" fillId="2" borderId="0" applyAlignment="1" pivotButton="0" quotePrefix="0" xfId="0">
      <alignment horizontal="center"/>
    </xf>
    <xf numFmtId="168" fontId="4" fillId="0" borderId="0" applyAlignment="1" pivotButton="0" quotePrefix="0" xfId="0">
      <alignment horizontal="center"/>
    </xf>
    <xf numFmtId="0" fontId="10" fillId="0" borderId="0" pivotButton="0" quotePrefix="0" xfId="0"/>
    <xf numFmtId="165" fontId="11" fillId="0" borderId="0" pivotButton="0" quotePrefix="0" xfId="0"/>
    <xf numFmtId="172" fontId="11" fillId="0" borderId="0" pivotButton="0" quotePrefix="0" xfId="0"/>
    <xf numFmtId="164" fontId="11" fillId="0" borderId="0" pivotButton="0" quotePrefix="0" xfId="0"/>
    <xf numFmtId="167" fontId="5" fillId="0" borderId="0" pivotButton="0" quotePrefix="0" xfId="0"/>
    <xf numFmtId="164" fontId="5" fillId="0" borderId="0" pivotButton="0" quotePrefix="0" xfId="0"/>
    <xf numFmtId="0" fontId="6" fillId="0" borderId="0" applyAlignment="1" pivotButton="0" quotePrefix="0" xfId="0">
      <alignment horizontal="center"/>
    </xf>
    <xf numFmtId="165" fontId="6" fillId="0" borderId="0" pivotButton="0" quotePrefix="0" xfId="0"/>
    <xf numFmtId="172" fontId="6" fillId="0" borderId="0" pivotButton="0" quotePrefix="0" xfId="0"/>
    <xf numFmtId="164" fontId="6" fillId="0" borderId="0" pivotButton="0" quotePrefix="0" xfId="0"/>
    <xf numFmtId="167" fontId="6" fillId="0" borderId="0" pivotButton="0" quotePrefix="0" xfId="0"/>
    <xf numFmtId="165" fontId="3" fillId="0" borderId="0" pivotButton="0" quotePrefix="0" xfId="0"/>
    <xf numFmtId="172" fontId="3" fillId="0" borderId="0" pivotButton="0" quotePrefix="0" xfId="0"/>
    <xf numFmtId="164" fontId="3" fillId="0" borderId="0" pivotButton="0" quotePrefix="0" xfId="0"/>
    <xf numFmtId="167" fontId="3" fillId="0" borderId="0" pivotButton="0" quotePrefix="0" xfId="0"/>
    <xf numFmtId="167" fontId="5" fillId="0" borderId="0" applyAlignment="1" pivotButton="0" quotePrefix="0" xfId="0">
      <alignment horizontal="center"/>
    </xf>
    <xf numFmtId="167" fontId="6" fillId="0" borderId="0" applyAlignment="1" pivotButton="0" quotePrefix="0" xfId="0">
      <alignment horizontal="center"/>
    </xf>
    <xf numFmtId="167" fontId="3" fillId="0" borderId="0" applyAlignment="1" pivotButton="0" quotePrefix="0" xfId="0">
      <alignment horizontal="center"/>
    </xf>
    <xf numFmtId="1" fontId="6" fillId="0" borderId="0" pivotButton="0" quotePrefix="0" xfId="0"/>
    <xf numFmtId="165" fontId="3" fillId="0" borderId="6" pivotButton="0" quotePrefix="0" xfId="0"/>
    <xf numFmtId="0" fontId="8" fillId="0" borderId="0" pivotButton="0" quotePrefix="0" xfId="0"/>
    <xf numFmtId="166" fontId="9" fillId="0" borderId="0" pivotButton="0" quotePrefix="0" xfId="0"/>
    <xf numFmtId="164" fontId="9" fillId="0" borderId="0" pivotButton="0" quotePrefix="0" xfId="0"/>
    <xf numFmtId="0" fontId="6" fillId="3" borderId="0" pivotButton="0" quotePrefix="0" xfId="0"/>
    <xf numFmtId="0" fontId="3" fillId="3" borderId="0" applyAlignment="1" pivotButton="0" quotePrefix="0" xfId="0">
      <alignment horizontal="right"/>
    </xf>
    <xf numFmtId="165" fontId="9" fillId="0" borderId="0" pivotButton="0" quotePrefix="0" xfId="0"/>
    <xf numFmtId="166" fontId="6" fillId="0" borderId="0" applyAlignment="1" pivotButton="0" quotePrefix="0" xfId="0">
      <alignment horizontal="right"/>
    </xf>
    <xf numFmtId="171" fontId="6" fillId="0" borderId="0" pivotButton="0" quotePrefix="0" xfId="0"/>
    <xf numFmtId="169" fontId="9" fillId="0" borderId="0" pivotButton="0" quotePrefix="0" xfId="0"/>
    <xf numFmtId="169" fontId="4" fillId="0" borderId="0" pivotButton="0" quotePrefix="0" xfId="0"/>
    <xf numFmtId="171" fontId="4" fillId="0" borderId="0" pivotButton="0" quotePrefix="0" xfId="0"/>
    <xf numFmtId="172" fontId="4" fillId="0" borderId="0" pivotButton="0" quotePrefix="0" xfId="0"/>
    <xf numFmtId="1" fontId="6" fillId="0" borderId="0" applyAlignment="1" pivotButton="0" quotePrefix="0" xfId="0">
      <alignment horizontal="center"/>
    </xf>
    <xf numFmtId="172" fontId="3" fillId="2" borderId="0" pivotButton="0" quotePrefix="0" xfId="0"/>
    <xf numFmtId="172" fontId="9" fillId="0" borderId="0" pivotButton="0" quotePrefix="0" xfId="0"/>
    <xf numFmtId="0" fontId="3" fillId="4" borderId="0" applyAlignment="1" pivotButton="0" quotePrefix="0" xfId="0">
      <alignment horizontal="right"/>
    </xf>
    <xf numFmtId="172" fontId="3" fillId="0" borderId="6" pivotButton="0" quotePrefix="0" xfId="0"/>
    <xf numFmtId="173" fontId="5" fillId="0" borderId="0" pivotButton="0" quotePrefix="0" xfId="0"/>
    <xf numFmtId="166" fontId="4" fillId="0" borderId="0" pivotButton="0" quotePrefix="0" xfId="0"/>
    <xf numFmtId="164" fontId="4" fillId="0" borderId="0" pivotButton="0" quotePrefix="0" xfId="0"/>
    <xf numFmtId="1" fontId="4" fillId="0" borderId="0" pivotButton="0" quotePrefix="0" xfId="0"/>
    <xf numFmtId="174" fontId="3" fillId="0" borderId="0" pivotButton="0" quotePrefix="0" xfId="0"/>
    <xf numFmtId="2" fontId="4" fillId="0" borderId="0" applyAlignment="1" pivotButton="0" quotePrefix="0" xfId="0">
      <alignment horizontal="center"/>
    </xf>
    <xf numFmtId="3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175" fontId="6" fillId="0" borderId="0" pivotButton="0" quotePrefix="0" xfId="0"/>
    <xf numFmtId="175" fontId="6" fillId="0" borderId="0" applyAlignment="1" pivotButton="0" quotePrefix="0" xfId="0">
      <alignment horizontal="right"/>
    </xf>
    <xf numFmtId="172" fontId="6" fillId="0" borderId="0" applyAlignment="1" pivotButton="0" quotePrefix="0" xfId="0">
      <alignment horizontal="right"/>
    </xf>
    <xf numFmtId="175" fontId="3" fillId="0" borderId="0" pivotButton="0" quotePrefix="0" xfId="0"/>
    <xf numFmtId="172" fontId="6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externalLink" Target="/xl/externalLinks/externalLink1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P/L at expiry per contract (Dec 18, 2026)</a:t>
            </a:r>
          </a:p>
        </rich>
      </tx>
    </title>
    <plotArea>
      <scatterChart>
        <ser>
          <idx val="0"/>
          <order val="0"/>
          <tx>
            <strRef>
              <f>'Options'!B64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'Options'!$A$65:$A$95</f>
            </numRef>
          </xVal>
          <yVal>
            <numRef>
              <f>'Options'!$B$65:$B$95</f>
            </numRef>
          </yVal>
        </ser>
        <ser>
          <idx val="1"/>
          <order val="1"/>
          <tx>
            <strRef>
              <f>'Options'!C64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'Options'!$A$65:$A$95</f>
            </numRef>
          </xVal>
          <yVal>
            <numRef>
              <f>'Options'!$C$65:$C$95</f>
            </numRef>
          </yVal>
        </ser>
        <ser>
          <idx val="2"/>
          <order val="2"/>
          <tx>
            <strRef>
              <f>'Options'!D64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'Options'!$A$65:$A$95</f>
            </numRef>
          </xVal>
          <yVal>
            <numRef>
              <f>'Options'!$D$65:$D$95</f>
            </numRef>
          </yVal>
        </ser>
        <ser>
          <idx val="3"/>
          <order val="3"/>
          <tx>
            <strRef>
              <f>'Options'!E64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'Options'!$A$65:$A$95</f>
            </numRef>
          </xVal>
          <yVal>
            <numRef>
              <f>'Options'!$E$65:$E$95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BBIO price at expiry ($)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P/L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1">
          <cell r="F1" t="str">
            <v>Close 2026-10-16</v>
          </cell>
        </row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SNY</v>
          </cell>
          <cell r="F15">
            <v>50.645</v>
          </cell>
        </row>
        <row r="16">
          <cell r="B16" t="str">
            <v>MRNA</v>
          </cell>
          <cell r="F16">
            <v>41.4</v>
          </cell>
        </row>
        <row r="17">
          <cell r="B17" t="str">
            <v>REGN</v>
          </cell>
          <cell r="F17">
            <v>242.08</v>
          </cell>
        </row>
        <row r="18">
          <cell r="B18" t="str">
            <v>NTRA</v>
          </cell>
          <cell r="F18">
            <v>807.48</v>
          </cell>
        </row>
        <row r="19">
          <cell r="B19" t="str">
            <v>ARGX</v>
          </cell>
          <cell r="F19">
            <v>20.08</v>
          </cell>
        </row>
        <row r="20">
          <cell r="B20" t="str">
            <v>TEVA</v>
          </cell>
          <cell r="F20">
            <v>405.92</v>
          </cell>
        </row>
        <row r="21">
          <cell r="B21" t="str">
            <v>HLN</v>
          </cell>
          <cell r="F21">
            <v>869.72</v>
          </cell>
        </row>
        <row r="22">
          <cell r="B22" t="str">
            <v>RVMD</v>
          </cell>
          <cell r="F22">
            <v>40.855</v>
          </cell>
        </row>
        <row r="23">
          <cell r="B23" t="str">
            <v>ONC</v>
          </cell>
          <cell r="F23">
            <v>10.17</v>
          </cell>
        </row>
        <row r="24">
          <cell r="B24" t="str">
            <v>BIIB</v>
          </cell>
          <cell r="F24">
            <v>384.5</v>
          </cell>
        </row>
        <row r="25">
          <cell r="B25" t="str">
            <v>RPRX</v>
          </cell>
          <cell r="F25">
            <v>196.55</v>
          </cell>
        </row>
        <row r="26">
          <cell r="B26" t="str">
            <v>ALNY</v>
          </cell>
          <cell r="F26">
            <v>62.25</v>
          </cell>
        </row>
        <row r="27">
          <cell r="B27" t="str">
            <v>ZTS</v>
          </cell>
          <cell r="F27">
            <v>243.1</v>
          </cell>
        </row>
        <row r="28">
          <cell r="B28" t="str">
            <v>ROIV</v>
          </cell>
          <cell r="F28">
            <v>80.04</v>
          </cell>
        </row>
        <row r="29">
          <cell r="B29" t="str">
            <v>BNTX</v>
          </cell>
          <cell r="F29">
            <v>230.71</v>
          </cell>
        </row>
        <row r="30">
          <cell r="B30" t="str">
            <v>GMAB</v>
          </cell>
          <cell r="F30">
            <v>34.92</v>
          </cell>
        </row>
        <row r="31">
          <cell r="B31" t="str">
            <v>UTHR</v>
          </cell>
          <cell r="F31">
            <v>39.07</v>
          </cell>
        </row>
        <row r="32">
          <cell r="B32" t="str">
            <v>INCY</v>
          </cell>
          <cell r="F32">
            <v>553.88</v>
          </cell>
        </row>
        <row r="33">
          <cell r="B33" t="str">
            <v>INSM</v>
          </cell>
          <cell r="F33">
            <v>116.615</v>
          </cell>
        </row>
        <row r="34">
          <cell r="B34" t="str">
            <v>VTRS</v>
          </cell>
          <cell r="F34">
            <v>91.17</v>
          </cell>
        </row>
        <row r="35">
          <cell r="B35" t="str">
            <v>EXEL</v>
          </cell>
          <cell r="F35">
            <v>18.65</v>
          </cell>
        </row>
        <row r="36">
          <cell r="B36" t="str">
            <v>NBIX</v>
          </cell>
          <cell r="F36">
            <v>95.67</v>
          </cell>
        </row>
        <row r="37">
          <cell r="B37" t="str">
            <v>JAZZ</v>
          </cell>
          <cell r="F37">
            <v>64.39</v>
          </cell>
        </row>
        <row r="38">
          <cell r="B38" t="str">
            <v>SMMT</v>
          </cell>
          <cell r="F38">
            <v>234.33</v>
          </cell>
        </row>
        <row r="39">
          <cell r="B39" t="str">
            <v>CORT</v>
          </cell>
          <cell r="F39">
            <v>124.37</v>
          </cell>
        </row>
        <row r="40">
          <cell r="B40" t="str">
            <v>BBIO</v>
          </cell>
          <cell r="F40">
            <v>142.0</v>
          </cell>
        </row>
        <row r="41">
          <cell r="B41" t="str">
            <v>HALO</v>
          </cell>
          <cell r="F41">
            <v>213.76</v>
          </cell>
        </row>
        <row r="42">
          <cell r="B42" t="str">
            <v>KNSA</v>
          </cell>
          <cell r="F42">
            <v>16.09</v>
          </cell>
        </row>
        <row r="43">
          <cell r="B43" t="str">
            <v>ELAN</v>
          </cell>
          <cell r="F43">
            <v>67.55</v>
          </cell>
        </row>
        <row r="44">
          <cell r="B44" t="str">
            <v>IBRX</v>
          </cell>
          <cell r="F44">
            <v>83.17</v>
          </cell>
        </row>
        <row r="45">
          <cell r="B45" t="str">
            <v>MDGL</v>
          </cell>
          <cell r="F45">
            <v>116.45</v>
          </cell>
        </row>
        <row r="46">
          <cell r="B46" t="str">
            <v>PCVX</v>
          </cell>
          <cell r="F46">
            <v>22.7</v>
          </cell>
        </row>
        <row r="47">
          <cell r="B47" t="str">
            <v>BMRN</v>
          </cell>
          <cell r="F47">
            <v>13.26</v>
          </cell>
        </row>
        <row r="48">
          <cell r="B48" t="str">
            <v>RDY</v>
          </cell>
          <cell r="F48">
            <v>56.44</v>
          </cell>
        </row>
        <row r="49">
          <cell r="B49" t="str">
            <v>TWST</v>
          </cell>
          <cell r="F49">
            <v>467.54</v>
          </cell>
        </row>
        <row r="50">
          <cell r="B50" t="str">
            <v>KRYS</v>
          </cell>
          <cell r="F50">
            <v>8.77</v>
          </cell>
        </row>
        <row r="51">
          <cell r="B51" t="str">
            <v>KYMR</v>
          </cell>
          <cell r="F51">
            <v>66.23</v>
          </cell>
        </row>
        <row r="52">
          <cell r="B52" t="str">
            <v>PTGX</v>
          </cell>
          <cell r="F52">
            <v>325.42</v>
          </cell>
        </row>
        <row r="53">
          <cell r="B53" t="str">
            <v>ARWR</v>
          </cell>
          <cell r="F53">
            <v>113.46</v>
          </cell>
        </row>
        <row r="54">
          <cell r="B54" t="str">
            <v>AXSM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TGTX</v>
          </cell>
          <cell r="F56">
            <v>159.58</v>
          </cell>
        </row>
        <row r="57">
          <cell r="B57" t="str">
            <v>CAI</v>
          </cell>
          <cell r="F57">
            <v>137.99</v>
          </cell>
        </row>
        <row r="58">
          <cell r="B58" t="str">
            <v>SYRE</v>
          </cell>
          <cell r="F58">
            <v>142.7</v>
          </cell>
        </row>
        <row r="59">
          <cell r="B59" t="str">
            <v>IONS</v>
          </cell>
          <cell r="F59">
            <v>54.53</v>
          </cell>
        </row>
        <row r="60">
          <cell r="B60" t="str">
            <v>PRAX</v>
          </cell>
          <cell r="F60">
            <v>58.92</v>
          </cell>
        </row>
        <row r="61">
          <cell r="B61" t="str">
            <v>ABVX</v>
          </cell>
          <cell r="F61">
            <v>45.4</v>
          </cell>
        </row>
        <row r="62">
          <cell r="B62" t="str">
            <v>ALKS</v>
          </cell>
          <cell r="F62">
            <v>264.49</v>
          </cell>
        </row>
        <row r="63">
          <cell r="B63" t="str">
            <v>IOVA</v>
          </cell>
          <cell r="F63">
            <v>91.4</v>
          </cell>
        </row>
        <row r="64">
          <cell r="B64" t="str">
            <v>AMRX</v>
          </cell>
          <cell r="F64">
            <v>92.59</v>
          </cell>
        </row>
        <row r="65">
          <cell r="B65" t="str">
            <v>IMVT</v>
          </cell>
          <cell r="F65">
            <v>44.11</v>
          </cell>
        </row>
        <row r="66">
          <cell r="B66" t="str">
            <v>GRAL</v>
          </cell>
          <cell r="F66">
            <v>14.86</v>
          </cell>
        </row>
        <row r="67">
          <cell r="B67" t="str">
            <v>KOD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BLTE</v>
          </cell>
          <cell r="F69">
            <v>306.4</v>
          </cell>
        </row>
        <row r="70">
          <cell r="B70" t="str">
            <v>LGND</v>
          </cell>
          <cell r="F70">
            <v>154.45</v>
          </cell>
        </row>
        <row r="71">
          <cell r="B71" t="str">
            <v>BLRX</v>
          </cell>
          <cell r="F71">
            <v>31.24</v>
          </cell>
        </row>
        <row r="72">
          <cell r="B72" t="str">
            <v>CGON</v>
          </cell>
          <cell r="F72">
            <v>28.59</v>
          </cell>
        </row>
        <row r="73">
          <cell r="B73" t="str">
            <v>ERAS</v>
          </cell>
          <cell r="F73">
            <v>92.97</v>
          </cell>
        </row>
        <row r="74">
          <cell r="B74" t="str">
            <v>MIRM</v>
          </cell>
          <cell r="F74">
            <v>61.93</v>
          </cell>
        </row>
        <row r="75">
          <cell r="B75" t="str">
            <v>MANE</v>
          </cell>
          <cell r="F75">
            <v>124.67</v>
          </cell>
        </row>
        <row r="76">
          <cell r="B76" t="str">
            <v>ORKA</v>
          </cell>
          <cell r="F76">
            <v>2.2145</v>
          </cell>
        </row>
        <row r="77">
          <cell r="B77" t="str">
            <v>PTCT</v>
          </cell>
          <cell r="F77">
            <v>85.07</v>
          </cell>
        </row>
        <row r="78">
          <cell r="B78" t="str">
            <v>COGT</v>
          </cell>
          <cell r="F78">
            <v>62.92</v>
          </cell>
        </row>
        <row r="79">
          <cell r="B79" t="str">
            <v>CRSP</v>
          </cell>
          <cell r="F79">
            <v>41.36</v>
          </cell>
        </row>
        <row r="80">
          <cell r="B80" t="str">
            <v>SRRK</v>
          </cell>
          <cell r="F80">
            <v>79.09</v>
          </cell>
        </row>
        <row r="81">
          <cell r="B81" t="str">
            <v>DFTX</v>
          </cell>
          <cell r="F81">
            <v>49.88</v>
          </cell>
        </row>
        <row r="82">
          <cell r="B82" t="str">
            <v>TVTX</v>
          </cell>
          <cell r="F82">
            <v>10.45</v>
          </cell>
        </row>
        <row r="83">
          <cell r="B83" t="str">
            <v>DNTH</v>
          </cell>
          <cell r="F83">
            <v>14.62</v>
          </cell>
        </row>
        <row r="84">
          <cell r="B84" t="str">
            <v>GOSS</v>
          </cell>
          <cell r="F84">
            <v>52.3</v>
          </cell>
        </row>
        <row r="85">
          <cell r="B85" t="str">
            <v>EWTX</v>
          </cell>
          <cell r="F85">
            <v>127.23</v>
          </cell>
        </row>
        <row r="86">
          <cell r="B86" t="str">
            <v>INDV</v>
          </cell>
          <cell r="F86">
            <v>35.09</v>
          </cell>
        </row>
        <row r="87">
          <cell r="B87" t="str">
            <v>TNGX</v>
          </cell>
          <cell r="F87">
            <v>9.58</v>
          </cell>
        </row>
        <row r="88">
          <cell r="B88" t="str">
            <v>RLAY</v>
          </cell>
          <cell r="F88">
            <v>39.75</v>
          </cell>
        </row>
        <row r="89">
          <cell r="B89" t="str">
            <v>RGC</v>
          </cell>
          <cell r="F89">
            <v>78.75</v>
          </cell>
        </row>
        <row r="90">
          <cell r="B90" t="str">
            <v>VCYT</v>
          </cell>
          <cell r="F90">
            <v>34.77</v>
          </cell>
        </row>
        <row r="91">
          <cell r="B91" t="str">
            <v>OGN</v>
          </cell>
          <cell r="F91">
            <v>25.255</v>
          </cell>
        </row>
        <row r="92">
          <cell r="B92" t="str">
            <v>XENE</v>
          </cell>
          <cell r="F92">
            <v>32.82</v>
          </cell>
        </row>
        <row r="93">
          <cell r="B93" t="str">
            <v>IDYA</v>
          </cell>
          <cell r="F93">
            <v>11.16</v>
          </cell>
        </row>
        <row r="94">
          <cell r="B94" t="str">
            <v>LEGN</v>
          </cell>
          <cell r="F94">
            <v>13.755</v>
          </cell>
        </row>
        <row r="95">
          <cell r="B95" t="str">
            <v>ACAD</v>
          </cell>
          <cell r="F95">
            <v>18.45</v>
          </cell>
        </row>
        <row r="96">
          <cell r="B96" t="str">
            <v>PBLS</v>
          </cell>
          <cell r="F96">
            <v>44.79</v>
          </cell>
        </row>
        <row r="97">
          <cell r="B97" t="str">
            <v>ARQT</v>
          </cell>
          <cell r="F97">
            <v>19.01</v>
          </cell>
        </row>
        <row r="98">
          <cell r="B98" t="str">
            <v>VKTX</v>
          </cell>
          <cell r="F98">
            <v>69.2</v>
          </cell>
        </row>
        <row r="99">
          <cell r="B99" t="str">
            <v>CELC</v>
          </cell>
          <cell r="F99">
            <v>20.44</v>
          </cell>
        </row>
        <row r="100">
          <cell r="B100" t="str">
            <v>CDNA</v>
          </cell>
          <cell r="F100">
            <v>36.27</v>
          </cell>
        </row>
        <row r="101">
          <cell r="B101" t="str">
            <v>TARS</v>
          </cell>
          <cell r="F101">
            <v>35.36</v>
          </cell>
        </row>
        <row r="102">
          <cell r="B102" t="str">
            <v>AMLX</v>
          </cell>
          <cell r="F102">
            <v>36.35</v>
          </cell>
        </row>
        <row r="103">
          <cell r="B103" t="str">
            <v>DNLI</v>
          </cell>
          <cell r="F103">
            <v>71.225</v>
          </cell>
        </row>
        <row r="104">
          <cell r="B104" t="str">
            <v>RCUS</v>
          </cell>
          <cell r="F104">
            <v>26.71</v>
          </cell>
        </row>
        <row r="105">
          <cell r="B105" t="str">
            <v>DYN</v>
          </cell>
          <cell r="F105">
            <v>28.77</v>
          </cell>
        </row>
        <row r="106">
          <cell r="B106" t="str">
            <v>ELVN</v>
          </cell>
          <cell r="F106">
            <v>23.75</v>
          </cell>
        </row>
        <row r="107">
          <cell r="B107" t="str">
            <v>ZLAB</v>
          </cell>
          <cell r="F107">
            <v>18.93</v>
          </cell>
        </row>
        <row r="108">
          <cell r="B108" t="str">
            <v>PGEN</v>
          </cell>
          <cell r="F108">
            <v>27.08</v>
          </cell>
        </row>
        <row r="109">
          <cell r="B109" t="str">
            <v>BEAM</v>
          </cell>
          <cell r="F109">
            <v>60.0</v>
          </cell>
        </row>
        <row r="110">
          <cell r="B110" t="str">
            <v>NAMS</v>
          </cell>
          <cell r="F110">
            <v>41.25</v>
          </cell>
        </row>
        <row r="111">
          <cell r="B111" t="str">
            <v>MBX</v>
          </cell>
          <cell r="F111">
            <v>16.27</v>
          </cell>
        </row>
        <row r="112">
          <cell r="B112" t="str">
            <v>SUPN</v>
          </cell>
          <cell r="F112">
            <v>25.08</v>
          </cell>
        </row>
        <row r="113">
          <cell r="B113" t="str">
            <v>HCM</v>
          </cell>
          <cell r="F113">
            <v>26.1</v>
          </cell>
        </row>
        <row r="114">
          <cell r="B114" t="str">
            <v>LQDA</v>
          </cell>
          <cell r="F114">
            <v>14.74</v>
          </cell>
        </row>
        <row r="115">
          <cell r="B115" t="str">
            <v>IRON</v>
          </cell>
          <cell r="F115">
            <v>24.93</v>
          </cell>
        </row>
        <row r="116">
          <cell r="B116" t="str">
            <v>SLS</v>
          </cell>
          <cell r="F116">
            <v>11.23</v>
          </cell>
        </row>
        <row r="117">
          <cell r="B117" t="str">
            <v>CLDX</v>
          </cell>
          <cell r="F117">
            <v>53.5</v>
          </cell>
        </row>
        <row r="118">
          <cell r="B118" t="str">
            <v>HRMY</v>
          </cell>
          <cell r="F118">
            <v>21.5</v>
          </cell>
        </row>
        <row r="119">
          <cell r="B119" t="str">
            <v>RXRX</v>
          </cell>
          <cell r="F119">
            <v>49.35</v>
          </cell>
        </row>
        <row r="120">
          <cell r="B120" t="str">
            <v>ADMA</v>
          </cell>
          <cell r="F120">
            <v>6.415</v>
          </cell>
        </row>
        <row r="121">
          <cell r="B121" t="str">
            <v>NRIX</v>
          </cell>
          <cell r="F121">
            <v>16.17</v>
          </cell>
        </row>
        <row r="122">
          <cell r="B122" t="str">
            <v>PBH</v>
          </cell>
          <cell r="F122">
            <v>6.83</v>
          </cell>
        </row>
        <row r="123">
          <cell r="B123" t="str">
            <v>BHC</v>
          </cell>
          <cell r="F123">
            <v>38.7</v>
          </cell>
        </row>
        <row r="124">
          <cell r="B124" t="str">
            <v>IMNM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PURR</v>
          </cell>
          <cell r="F126">
            <v>79.48</v>
          </cell>
        </row>
        <row r="127">
          <cell r="B127" t="str">
            <v>BCRX</v>
          </cell>
          <cell r="F127">
            <v>30.29</v>
          </cell>
        </row>
        <row r="128">
          <cell r="B128" t="str">
            <v>BGM</v>
          </cell>
          <cell r="F128">
            <v>22.43</v>
          </cell>
        </row>
        <row r="129">
          <cell r="B129" t="str">
            <v>VERA</v>
          </cell>
          <cell r="F129">
            <v>40.58</v>
          </cell>
        </row>
        <row r="130">
          <cell r="B130" t="str">
            <v>VRDN</v>
          </cell>
          <cell r="F130">
            <v>11.98</v>
          </cell>
        </row>
        <row r="131">
          <cell r="B131" t="str">
            <v>NVAX</v>
          </cell>
          <cell r="F131">
            <v>30.06</v>
          </cell>
        </row>
        <row r="132">
          <cell r="B132" t="str">
            <v>PRGO</v>
          </cell>
          <cell r="F132">
            <v>7.94</v>
          </cell>
        </row>
        <row r="133">
          <cell r="B133" t="str">
            <v>MLYS</v>
          </cell>
          <cell r="F133">
            <v>30.75</v>
          </cell>
        </row>
        <row r="134">
          <cell r="B134" t="str">
            <v>VCEL</v>
          </cell>
          <cell r="F134">
            <v>10.78</v>
          </cell>
        </row>
        <row r="135">
          <cell r="B135" t="str">
            <v>TRLV</v>
          </cell>
          <cell r="F135">
            <v>11.13</v>
          </cell>
        </row>
        <row r="136">
          <cell r="B136" t="str">
            <v>PHVS</v>
          </cell>
          <cell r="F136">
            <v>17.92</v>
          </cell>
        </row>
        <row r="137">
          <cell r="B137" t="str">
            <v>PVLA</v>
          </cell>
          <cell r="F137">
            <v>36.64</v>
          </cell>
        </row>
        <row r="138">
          <cell r="B138" t="str">
            <v>VIR</v>
          </cell>
          <cell r="F138">
            <v>8.97</v>
          </cell>
        </row>
        <row r="139">
          <cell r="B139" t="str">
            <v>LKFT</v>
          </cell>
          <cell r="F139">
            <v>11.43</v>
          </cell>
        </row>
        <row r="140">
          <cell r="B140" t="str">
            <v>XERS</v>
          </cell>
          <cell r="F140">
            <v>3.66</v>
          </cell>
        </row>
        <row r="141">
          <cell r="B141" t="str">
            <v>AGIO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TRVI</v>
          </cell>
          <cell r="F143">
            <v>21.58</v>
          </cell>
        </row>
        <row r="144">
          <cell r="B144" t="str">
            <v>MESO</v>
          </cell>
          <cell r="F144">
            <v>9.15</v>
          </cell>
        </row>
        <row r="145">
          <cell r="B145" t="str">
            <v>GENB</v>
          </cell>
          <cell r="F145">
            <v>26.91</v>
          </cell>
        </row>
        <row r="146">
          <cell r="B146" t="str">
            <v>NTLA</v>
          </cell>
          <cell r="F146">
            <v>39.35</v>
          </cell>
        </row>
        <row r="147">
          <cell r="B147" t="str">
            <v>XNCR</v>
          </cell>
          <cell r="F147">
            <v>123.92</v>
          </cell>
        </row>
        <row r="148">
          <cell r="B148" t="str">
            <v>ZYME</v>
          </cell>
          <cell r="F148">
            <v>12.41</v>
          </cell>
        </row>
        <row r="149">
          <cell r="B149" t="str">
            <v>BHVN</v>
          </cell>
          <cell r="F149">
            <v>24.94</v>
          </cell>
        </row>
        <row r="150">
          <cell r="B150" t="str">
            <v>GPCR</v>
          </cell>
          <cell r="F150">
            <v>12.83</v>
          </cell>
        </row>
        <row r="151">
          <cell r="B151" t="str">
            <v>ALVO</v>
          </cell>
          <cell r="F151">
            <v>35.01</v>
          </cell>
        </row>
        <row r="152">
          <cell r="B152" t="str">
            <v>BRVE</v>
          </cell>
          <cell r="F152">
            <v>10.74</v>
          </cell>
        </row>
        <row r="153">
          <cell r="B153" t="str">
            <v>URGN</v>
          </cell>
          <cell r="F153">
            <v>20.27</v>
          </cell>
        </row>
        <row r="154">
          <cell r="B154" t="str">
            <v>SEPN</v>
          </cell>
          <cell r="F154">
            <v>72.67</v>
          </cell>
        </row>
        <row r="155">
          <cell r="B155" t="str">
            <v>ZBIO</v>
          </cell>
          <cell r="F155">
            <v>11.82</v>
          </cell>
        </row>
        <row r="156">
          <cell r="B156" t="str">
            <v>NUVB</v>
          </cell>
          <cell r="F156">
            <v>28.18</v>
          </cell>
        </row>
        <row r="157">
          <cell r="B157" t="str">
            <v>ABSI</v>
          </cell>
          <cell r="F157">
            <v>11.84</v>
          </cell>
        </row>
        <row r="158">
          <cell r="B158" t="str">
            <v>ANIP</v>
          </cell>
          <cell r="F158">
            <v>38.8</v>
          </cell>
        </row>
        <row r="159">
          <cell r="B159" t="str">
            <v>CMPS</v>
          </cell>
          <cell r="F159">
            <v>5.03</v>
          </cell>
        </row>
        <row r="160">
          <cell r="B160" t="str">
            <v>OCUL</v>
          </cell>
          <cell r="F160">
            <v>26.61</v>
          </cell>
        </row>
        <row r="161">
          <cell r="B161" t="str">
            <v>STOK</v>
          </cell>
          <cell r="F161">
            <v>4.765</v>
          </cell>
        </row>
        <row r="162">
          <cell r="B162" t="str">
            <v>ETON</v>
          </cell>
          <cell r="F162">
            <v>12.9</v>
          </cell>
        </row>
        <row r="163">
          <cell r="B163" t="str">
            <v>PAHC</v>
          </cell>
          <cell r="F163">
            <v>32.45</v>
          </cell>
        </row>
        <row r="164">
          <cell r="B164" t="str">
            <v>INVA</v>
          </cell>
          <cell r="F164">
            <v>32.6</v>
          </cell>
        </row>
        <row r="165">
          <cell r="B165" t="str">
            <v>RARE</v>
          </cell>
          <cell r="F165">
            <v>6.65</v>
          </cell>
        </row>
        <row r="166">
          <cell r="B166" t="str">
            <v>SNDX</v>
          </cell>
          <cell r="F166">
            <v>22.88</v>
          </cell>
        </row>
        <row r="167">
          <cell r="B167" t="str">
            <v>IMCR</v>
          </cell>
          <cell r="F167">
            <v>21.28</v>
          </cell>
        </row>
        <row r="168">
          <cell r="B168" t="str">
            <v>MAZE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COAG</v>
          </cell>
          <cell r="F170">
            <v>36.38</v>
          </cell>
        </row>
        <row r="171">
          <cell r="B171" t="str">
            <v>RAPP</v>
          </cell>
          <cell r="F171">
            <v>50.19</v>
          </cell>
        </row>
        <row r="172">
          <cell r="B172" t="str">
            <v>TSHA</v>
          </cell>
          <cell r="F172">
            <v>15.89</v>
          </cell>
        </row>
        <row r="173">
          <cell r="B173" t="str">
            <v>PCRX</v>
          </cell>
          <cell r="F173">
            <v>16.02</v>
          </cell>
        </row>
        <row r="174">
          <cell r="B174" t="str">
            <v>OMER</v>
          </cell>
          <cell r="F174">
            <v>9.07</v>
          </cell>
        </row>
        <row r="175">
          <cell r="B175" t="str">
            <v>QURE</v>
          </cell>
          <cell r="F175">
            <v>34.17</v>
          </cell>
        </row>
        <row r="176">
          <cell r="B176" t="str">
            <v>NKTR</v>
          </cell>
          <cell r="F176">
            <v>45.43</v>
          </cell>
        </row>
        <row r="177">
          <cell r="B177" t="str">
            <v>INBX</v>
          </cell>
          <cell r="F177">
            <v>22.715</v>
          </cell>
        </row>
        <row r="178">
          <cell r="B178" t="str">
            <v>ANAB</v>
          </cell>
          <cell r="F178">
            <v>29.37</v>
          </cell>
        </row>
        <row r="179">
          <cell r="B179" t="str">
            <v>KARD</v>
          </cell>
          <cell r="F179">
            <v>95.3</v>
          </cell>
        </row>
        <row r="180">
          <cell r="B180" t="str">
            <v>GHRS</v>
          </cell>
          <cell r="F180">
            <v>13.78</v>
          </cell>
        </row>
        <row r="181">
          <cell r="B181" t="str">
            <v>DMRA</v>
          </cell>
          <cell r="F181">
            <v>41.25</v>
          </cell>
        </row>
        <row r="182">
          <cell r="B182" t="str">
            <v>REPL</v>
          </cell>
          <cell r="F182">
            <v>39.22</v>
          </cell>
        </row>
        <row r="183">
          <cell r="B183" t="str">
            <v>ORIC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TYRA</v>
          </cell>
          <cell r="F186">
            <v>4.11</v>
          </cell>
        </row>
        <row r="187">
          <cell r="B187" t="str">
            <v>VOR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NBTX</v>
          </cell>
          <cell r="F189">
            <v>13.25</v>
          </cell>
        </row>
        <row r="190">
          <cell r="B190" t="str">
            <v>AVLN</v>
          </cell>
          <cell r="F190">
            <v>19.03</v>
          </cell>
        </row>
        <row r="191">
          <cell r="B191" t="str">
            <v>TRAX</v>
          </cell>
          <cell r="F191">
            <v>20.67</v>
          </cell>
        </row>
        <row r="192">
          <cell r="B192" t="str">
            <v>AMPH</v>
          </cell>
          <cell r="F192">
            <v>4.76</v>
          </cell>
        </row>
        <row r="193">
          <cell r="B193" t="str">
            <v>JANX</v>
          </cell>
          <cell r="F193">
            <v>19.165</v>
          </cell>
        </row>
        <row r="194">
          <cell r="B194" t="str">
            <v>HROW</v>
          </cell>
          <cell r="F194">
            <v>20.47</v>
          </cell>
        </row>
        <row r="195">
          <cell r="B195" t="str">
            <v>LTGO</v>
          </cell>
          <cell r="F195">
            <v>25.94</v>
          </cell>
        </row>
        <row r="196">
          <cell r="B196" t="str">
            <v>MNKD</v>
          </cell>
          <cell r="F196">
            <v>24.63</v>
          </cell>
        </row>
        <row r="197">
          <cell r="B197" t="str">
            <v>MGTX</v>
          </cell>
          <cell r="F197">
            <v>24.14</v>
          </cell>
        </row>
        <row r="198">
          <cell r="B198" t="str">
            <v>SVRA</v>
          </cell>
          <cell r="F198">
            <v>11.42</v>
          </cell>
        </row>
        <row r="199">
          <cell r="B199" t="str">
            <v>CGEM</v>
          </cell>
          <cell r="F199">
            <v>28.07</v>
          </cell>
        </row>
        <row r="200">
          <cell r="B200" t="str">
            <v>IMTX</v>
          </cell>
          <cell r="F200">
            <v>16.74</v>
          </cell>
        </row>
        <row r="201">
          <cell r="B201" t="str">
            <v>SPTX</v>
          </cell>
          <cell r="F201">
            <v>3.1</v>
          </cell>
        </row>
        <row r="202">
          <cell r="B202" t="str">
            <v>AKTS</v>
          </cell>
          <cell r="F202">
            <v>19.28</v>
          </cell>
        </row>
        <row r="203">
          <cell r="B203" t="str">
            <v>ANRO</v>
          </cell>
          <cell r="F203">
            <v>6.2</v>
          </cell>
        </row>
        <row r="204">
          <cell r="B204" t="str">
            <v>KURA</v>
          </cell>
          <cell r="F204">
            <v>15.25</v>
          </cell>
        </row>
        <row r="205">
          <cell r="B205" t="str">
            <v>ALMS</v>
          </cell>
          <cell r="F205">
            <v>7.51</v>
          </cell>
        </row>
        <row r="206">
          <cell r="B206" t="str">
            <v>MLTX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JBIO</v>
          </cell>
          <cell r="F208">
            <v>24.415</v>
          </cell>
        </row>
        <row r="209">
          <cell r="B209" t="str">
            <v>ODTX</v>
          </cell>
          <cell r="F209">
            <v>14.86</v>
          </cell>
        </row>
        <row r="210">
          <cell r="B210" t="str">
            <v>CRVS</v>
          </cell>
          <cell r="F210">
            <v>18.99</v>
          </cell>
        </row>
        <row r="211">
          <cell r="B211" t="str">
            <v>GLUE</v>
          </cell>
          <cell r="F211">
            <v>4.33</v>
          </cell>
        </row>
        <row r="212">
          <cell r="B212" t="str">
            <v>SANA</v>
          </cell>
          <cell r="F212">
            <v>14.83</v>
          </cell>
        </row>
        <row r="213">
          <cell r="B213" t="str">
            <v>ABUS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ANNX</v>
          </cell>
          <cell r="F216">
            <v>3.21</v>
          </cell>
        </row>
        <row r="217">
          <cell r="B217" t="str">
            <v>GRML</v>
          </cell>
          <cell r="F217">
            <v>10.32</v>
          </cell>
        </row>
        <row r="218">
          <cell r="B218" t="str">
            <v>ARDX</v>
          </cell>
          <cell r="F218">
            <v>9.98</v>
          </cell>
        </row>
        <row r="219">
          <cell r="B219" t="str">
            <v>OBX</v>
          </cell>
          <cell r="F219">
            <v>16.08</v>
          </cell>
        </row>
        <row r="220">
          <cell r="B220" t="str">
            <v>GERN</v>
          </cell>
          <cell r="F220">
            <v>10.23</v>
          </cell>
        </row>
        <row r="221">
          <cell r="B221" t="str">
            <v>GYRE</v>
          </cell>
          <cell r="F221">
            <v>6.7</v>
          </cell>
        </row>
        <row r="222">
          <cell r="B222" t="str">
            <v>APMD</v>
          </cell>
          <cell r="F222">
            <v>9.34</v>
          </cell>
        </row>
        <row r="223">
          <cell r="B223" t="str">
            <v>ACHV</v>
          </cell>
          <cell r="F223">
            <v>18.51</v>
          </cell>
        </row>
        <row r="224">
          <cell r="B224" t="str">
            <v>CADL</v>
          </cell>
          <cell r="F224">
            <v>23.33</v>
          </cell>
        </row>
        <row r="225">
          <cell r="B225" t="str">
            <v>VSTM</v>
          </cell>
          <cell r="F225">
            <v>13.25</v>
          </cell>
        </row>
        <row r="226">
          <cell r="B226" t="str">
            <v>LXRX</v>
          </cell>
          <cell r="F226">
            <v>1.24</v>
          </cell>
        </row>
        <row r="227">
          <cell r="B227" t="str">
            <v>ATTO</v>
          </cell>
          <cell r="F227">
            <v>2.36</v>
          </cell>
        </row>
        <row r="228">
          <cell r="B228" t="str">
            <v>SLDB</v>
          </cell>
          <cell r="F228">
            <v>13.1</v>
          </cell>
        </row>
        <row r="229">
          <cell r="B229" t="str">
            <v>FDMT</v>
          </cell>
          <cell r="F229">
            <v>3.83</v>
          </cell>
        </row>
        <row r="230">
          <cell r="B230" t="str">
            <v>AVTX</v>
          </cell>
          <cell r="F230">
            <v>6.17</v>
          </cell>
        </row>
        <row r="231">
          <cell r="B231" t="str">
            <v>DSGN</v>
          </cell>
          <cell r="F231">
            <v>1.55</v>
          </cell>
        </row>
        <row r="232">
          <cell r="B232" t="str">
            <v>PRME</v>
          </cell>
          <cell r="F232">
            <v>14.04</v>
          </cell>
        </row>
        <row r="233">
          <cell r="B233" t="str">
            <v>COLL</v>
          </cell>
          <cell r="F233">
            <v>9.75</v>
          </cell>
        </row>
        <row r="234">
          <cell r="B234" t="str">
            <v>NVCT</v>
          </cell>
          <cell r="F234">
            <v>6.51</v>
          </cell>
        </row>
        <row r="235">
          <cell r="B235" t="str">
            <v>PHAR</v>
          </cell>
          <cell r="F235">
            <v>4.23</v>
          </cell>
        </row>
        <row r="236">
          <cell r="B236" t="str">
            <v>OLMA</v>
          </cell>
          <cell r="F236">
            <v>11.1</v>
          </cell>
        </row>
        <row r="237">
          <cell r="B237" t="str">
            <v>WVE</v>
          </cell>
          <cell r="F237">
            <v>12.36</v>
          </cell>
        </row>
        <row r="238">
          <cell r="B238" t="str">
            <v>MDXG</v>
          </cell>
          <cell r="F238">
            <v>6.56</v>
          </cell>
        </row>
        <row r="239">
          <cell r="B239" t="str">
            <v>AURA</v>
          </cell>
          <cell r="F239">
            <v>3.92</v>
          </cell>
        </row>
        <row r="240">
          <cell r="B240" t="str">
            <v>IMMX</v>
          </cell>
          <cell r="F240">
            <v>8.64</v>
          </cell>
        </row>
        <row r="241">
          <cell r="B241" t="str">
            <v>ZVRA</v>
          </cell>
          <cell r="F241">
            <v>10.8</v>
          </cell>
        </row>
        <row r="242">
          <cell r="B242" t="str">
            <v>FTH</v>
          </cell>
          <cell r="F242">
            <v>3.63</v>
          </cell>
        </row>
        <row r="243">
          <cell r="B243" t="str">
            <v>NNNN</v>
          </cell>
          <cell r="F243">
            <v>8.91</v>
          </cell>
        </row>
        <row r="244">
          <cell r="B244" t="str">
            <v>CLYM</v>
          </cell>
          <cell r="F244">
            <v>20.59</v>
          </cell>
        </row>
        <row r="245">
          <cell r="B245" t="str">
            <v>IRWD</v>
          </cell>
          <cell r="F245">
            <v>3.385</v>
          </cell>
        </row>
        <row r="246">
          <cell r="B246" t="str">
            <v>IVA</v>
          </cell>
          <cell r="F246">
            <v>10.47</v>
          </cell>
        </row>
        <row r="247">
          <cell r="B247" t="str">
            <v>AQST</v>
          </cell>
          <cell r="F247">
            <v>6.4</v>
          </cell>
        </row>
        <row r="248">
          <cell r="B248" t="str">
            <v>STTK</v>
          </cell>
          <cell r="F248">
            <v>7.25</v>
          </cell>
        </row>
        <row r="249">
          <cell r="B249" t="str">
            <v>PHAT</v>
          </cell>
          <cell r="F249">
            <v>3.26</v>
          </cell>
        </row>
        <row r="250">
          <cell r="B250" t="str">
            <v>DBVT</v>
          </cell>
          <cell r="F250">
            <v>7.57</v>
          </cell>
        </row>
        <row r="251">
          <cell r="B251" t="str">
            <v>CRMD</v>
          </cell>
          <cell r="F251">
            <v>7.31</v>
          </cell>
        </row>
        <row r="252">
          <cell r="B252" t="str">
            <v>ACRS</v>
          </cell>
          <cell r="F252">
            <v>5.84</v>
          </cell>
        </row>
        <row r="253">
          <cell r="B253" t="str">
            <v>CTMX</v>
          </cell>
          <cell r="F253">
            <v>9.48</v>
          </cell>
        </row>
        <row r="254">
          <cell r="B254" t="str">
            <v>BLSM</v>
          </cell>
          <cell r="F254">
            <v>5.69</v>
          </cell>
        </row>
        <row r="255">
          <cell r="B255" t="str">
            <v>SGMT</v>
          </cell>
          <cell r="F255">
            <v>4.05</v>
          </cell>
        </row>
        <row r="256">
          <cell r="B256" t="str">
            <v>CBIO</v>
          </cell>
          <cell r="F256">
            <v>9.74</v>
          </cell>
        </row>
        <row r="257">
          <cell r="B257" t="str">
            <v>RGNX</v>
          </cell>
          <cell r="F257">
            <v>10.76</v>
          </cell>
        </row>
        <row r="258">
          <cell r="B258" t="str">
            <v>PBYI</v>
          </cell>
          <cell r="F258">
            <v>2.51</v>
          </cell>
        </row>
        <row r="259">
          <cell r="B259" t="str">
            <v>IMMP</v>
          </cell>
          <cell r="F259">
            <v>20.79</v>
          </cell>
        </row>
        <row r="260">
          <cell r="B260" t="str">
            <v>MNPR</v>
          </cell>
          <cell r="F260">
            <v>3.48</v>
          </cell>
        </row>
        <row r="261">
          <cell r="B261" t="str">
            <v>NGNE</v>
          </cell>
          <cell r="F261">
            <v>14.4</v>
          </cell>
        </row>
        <row r="262">
          <cell r="B262" t="str">
            <v>PROK</v>
          </cell>
          <cell r="F262">
            <v>7.37</v>
          </cell>
        </row>
        <row r="263">
          <cell r="B263" t="str">
            <v>TLRY</v>
          </cell>
          <cell r="F263">
            <v>3.26</v>
          </cell>
        </row>
        <row r="264">
          <cell r="B264" t="str">
            <v>EOLS</v>
          </cell>
          <cell r="F264">
            <v>25.4</v>
          </cell>
        </row>
        <row r="265">
          <cell r="B265" t="str">
            <v>ALT</v>
          </cell>
          <cell r="F265">
            <v>74.23</v>
          </cell>
        </row>
        <row r="266">
          <cell r="B266" t="str">
            <v>ALLO</v>
          </cell>
          <cell r="F266">
            <v>3.02</v>
          </cell>
        </row>
        <row r="267">
          <cell r="B267" t="str">
            <v>VALN</v>
          </cell>
          <cell r="F267">
            <v>7.4</v>
          </cell>
        </row>
        <row r="268">
          <cell r="B268" t="str">
            <v>OCS</v>
          </cell>
          <cell r="F268">
            <v>7.66</v>
          </cell>
        </row>
        <row r="269">
          <cell r="B269" t="str">
            <v>ARVN</v>
          </cell>
          <cell r="F269">
            <v>1.33</v>
          </cell>
        </row>
        <row r="270">
          <cell r="B270" t="str">
            <v>AUTL</v>
          </cell>
          <cell r="F270">
            <v>3.73</v>
          </cell>
        </row>
        <row r="271">
          <cell r="B271" t="str">
            <v>OVID</v>
          </cell>
          <cell r="F271">
            <v>3.03</v>
          </cell>
        </row>
        <row r="272">
          <cell r="B272" t="str">
            <v>ASMB</v>
          </cell>
          <cell r="F272">
            <v>7.85</v>
          </cell>
        </row>
        <row r="273">
          <cell r="B273" t="str">
            <v>YDES</v>
          </cell>
          <cell r="F273">
            <v>19.61</v>
          </cell>
        </row>
        <row r="274">
          <cell r="B274" t="str">
            <v>RZLT</v>
          </cell>
          <cell r="F274">
            <v>13.07</v>
          </cell>
        </row>
        <row r="275">
          <cell r="B275" t="str">
            <v>KMDA</v>
          </cell>
          <cell r="F275">
            <v>7.49</v>
          </cell>
        </row>
        <row r="276">
          <cell r="B276" t="str">
            <v>SLN</v>
          </cell>
          <cell r="F276">
            <v>8.5</v>
          </cell>
        </row>
        <row r="277">
          <cell r="B277" t="str">
            <v>ENTX</v>
          </cell>
          <cell r="F277">
            <v>2.3</v>
          </cell>
        </row>
        <row r="278">
          <cell r="B278" t="str">
            <v>IBO</v>
          </cell>
          <cell r="F278">
            <v>1.66</v>
          </cell>
        </row>
        <row r="279">
          <cell r="B279" t="str">
            <v>TECX</v>
          </cell>
          <cell r="F279">
            <v>2.36</v>
          </cell>
        </row>
        <row r="280">
          <cell r="B280" t="str">
            <v>CAPR</v>
          </cell>
          <cell r="F280">
            <v>5.84</v>
          </cell>
        </row>
        <row r="281">
          <cell r="B281" t="str">
            <v>PRTA</v>
          </cell>
          <cell r="F281">
            <v>21.19</v>
          </cell>
        </row>
        <row r="282">
          <cell r="B282" t="str">
            <v>DMAC</v>
          </cell>
          <cell r="F282">
            <v>8.18</v>
          </cell>
        </row>
        <row r="283">
          <cell r="B283" t="str">
            <v>EDIT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AVIR</v>
          </cell>
          <cell r="F285">
            <v>21.825</v>
          </cell>
        </row>
        <row r="286">
          <cell r="B286" t="str">
            <v>MYGN</v>
          </cell>
          <cell r="F286">
            <v>13.8</v>
          </cell>
        </row>
        <row r="287">
          <cell r="B287" t="str">
            <v>RCEL</v>
          </cell>
          <cell r="F287">
            <v>1.44</v>
          </cell>
        </row>
        <row r="288">
          <cell r="B288" t="str">
            <v>EIKN</v>
          </cell>
          <cell r="F288">
            <v>19.81</v>
          </cell>
        </row>
        <row r="289">
          <cell r="B289" t="str">
            <v>MPLT</v>
          </cell>
          <cell r="F289">
            <v>6.755</v>
          </cell>
        </row>
        <row r="290">
          <cell r="B290" t="str">
            <v>SCTX</v>
          </cell>
          <cell r="F290">
            <v>5.54</v>
          </cell>
        </row>
        <row r="291">
          <cell r="B291" t="str">
            <v>GALT</v>
          </cell>
          <cell r="F291">
            <v>2.58</v>
          </cell>
        </row>
        <row r="292">
          <cell r="B292" t="str">
            <v>KYTX</v>
          </cell>
          <cell r="F292">
            <v>4.0</v>
          </cell>
        </row>
        <row r="293">
          <cell r="B293" t="str">
            <v>ARCT</v>
          </cell>
          <cell r="F293">
            <v>6.04</v>
          </cell>
        </row>
        <row r="294">
          <cell r="B294" t="str">
            <v>CCCC</v>
          </cell>
          <cell r="F294">
            <v>3.43</v>
          </cell>
        </row>
        <row r="295">
          <cell r="B295" t="str">
            <v>EPRX</v>
          </cell>
          <cell r="F295">
            <v>8.24</v>
          </cell>
        </row>
        <row r="296">
          <cell r="B296" t="str">
            <v>IRD</v>
          </cell>
          <cell r="F296">
            <v>4.465</v>
          </cell>
        </row>
        <row r="297">
          <cell r="B297" t="str">
            <v>ZURA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ENTA</v>
          </cell>
          <cell r="F299">
            <v>3.7</v>
          </cell>
        </row>
        <row r="300">
          <cell r="B300" t="str">
            <v>EBS</v>
          </cell>
          <cell r="F300">
            <v>10.47</v>
          </cell>
        </row>
        <row r="301">
          <cell r="B301" t="str">
            <v>RLMD</v>
          </cell>
          <cell r="F301">
            <v>7.59</v>
          </cell>
        </row>
        <row r="302">
          <cell r="B302" t="str">
            <v>TTRX</v>
          </cell>
          <cell r="F302">
            <v>3.36</v>
          </cell>
        </row>
        <row r="303">
          <cell r="B303" t="str">
            <v>CGC</v>
          </cell>
          <cell r="F303">
            <v>3.16</v>
          </cell>
        </row>
        <row r="304">
          <cell r="B304" t="str">
            <v>SRZN</v>
          </cell>
          <cell r="F304">
            <v>1.28</v>
          </cell>
        </row>
        <row r="305">
          <cell r="B305" t="str">
            <v>AGEN</v>
          </cell>
          <cell r="F305">
            <v>6.29</v>
          </cell>
        </row>
        <row r="306">
          <cell r="B306" t="str">
            <v>ARTV</v>
          </cell>
          <cell r="F306">
            <v>11.67</v>
          </cell>
        </row>
        <row r="307">
          <cell r="B307" t="str">
            <v>INDP</v>
          </cell>
          <cell r="F307">
            <v>4.01</v>
          </cell>
        </row>
        <row r="308">
          <cell r="B308" t="str">
            <v>CABA</v>
          </cell>
          <cell r="F308">
            <v>7.31</v>
          </cell>
        </row>
        <row r="309">
          <cell r="B309" t="str">
            <v>OCGN</v>
          </cell>
          <cell r="F309">
            <v>0.72</v>
          </cell>
        </row>
        <row r="310">
          <cell r="B310" t="str">
            <v>SNDL</v>
          </cell>
          <cell r="F310">
            <v>6.56</v>
          </cell>
        </row>
        <row r="311">
          <cell r="B311" t="str">
            <v>CYPH</v>
          </cell>
          <cell r="F311">
            <v>9.04</v>
          </cell>
        </row>
        <row r="312">
          <cell r="B312" t="str">
            <v>PRLD</v>
          </cell>
          <cell r="F312">
            <v>10.98</v>
          </cell>
        </row>
        <row r="313">
          <cell r="B313" t="str">
            <v>BNTC</v>
          </cell>
          <cell r="F313">
            <v>3.2</v>
          </cell>
        </row>
        <row r="314">
          <cell r="B314" t="str">
            <v>CTNM</v>
          </cell>
          <cell r="F314">
            <v>3.72</v>
          </cell>
        </row>
        <row r="315">
          <cell r="B315" t="str">
            <v>CATX</v>
          </cell>
          <cell r="F315">
            <v>2.81</v>
          </cell>
        </row>
        <row r="316">
          <cell r="B316" t="str">
            <v>GTBP</v>
          </cell>
          <cell r="F316">
            <v>25.14</v>
          </cell>
        </row>
        <row r="317">
          <cell r="B317" t="str">
            <v>EYPT</v>
          </cell>
          <cell r="F317">
            <v>6.42</v>
          </cell>
        </row>
        <row r="318">
          <cell r="B318" t="str">
            <v>BIOA</v>
          </cell>
          <cell r="F318">
            <v>1.43</v>
          </cell>
        </row>
        <row r="319">
          <cell r="B319" t="str">
            <v>XFOR</v>
          </cell>
          <cell r="F319">
            <v>20.44</v>
          </cell>
        </row>
        <row r="320">
          <cell r="B320" t="str">
            <v>FULC</v>
          </cell>
          <cell r="F320">
            <v>2.3</v>
          </cell>
        </row>
        <row r="321">
          <cell r="B321" t="str">
            <v>ABEO</v>
          </cell>
          <cell r="F321">
            <v>0.8125</v>
          </cell>
        </row>
        <row r="322">
          <cell r="B322" t="str">
            <v>RCKT</v>
          </cell>
          <cell r="F322">
            <v>3.02</v>
          </cell>
        </row>
        <row r="323">
          <cell r="B323" t="str">
            <v>LRMR</v>
          </cell>
          <cell r="F323">
            <v>3.53</v>
          </cell>
        </row>
        <row r="324">
          <cell r="B324" t="str">
            <v>VNDA</v>
          </cell>
          <cell r="F324">
            <v>2.34</v>
          </cell>
        </row>
        <row r="325">
          <cell r="B325" t="str">
            <v>IKT</v>
          </cell>
          <cell r="F325">
            <v>0.4052</v>
          </cell>
        </row>
        <row r="326">
          <cell r="B326" t="str">
            <v>BCYC</v>
          </cell>
          <cell r="F326">
            <v>4.43</v>
          </cell>
        </row>
        <row r="327">
          <cell r="B327" t="str">
            <v>SABS</v>
          </cell>
          <cell r="F327">
            <v>4.6</v>
          </cell>
        </row>
        <row r="328">
          <cell r="B328" t="str">
            <v>PALI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BBOT</v>
          </cell>
          <cell r="F330">
            <v>4.17</v>
          </cell>
        </row>
        <row r="331">
          <cell r="B331" t="str">
            <v>LXEO</v>
          </cell>
          <cell r="F331">
            <v>2.49</v>
          </cell>
        </row>
        <row r="332">
          <cell r="B332" t="str">
            <v>ANIK</v>
          </cell>
          <cell r="F332">
            <v>3.6</v>
          </cell>
        </row>
        <row r="333">
          <cell r="B333" t="str">
            <v>FATE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UPB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HELP</v>
          </cell>
          <cell r="F337">
            <v>1.71</v>
          </cell>
        </row>
        <row r="338">
          <cell r="B338" t="str">
            <v>ACIU</v>
          </cell>
          <cell r="F338">
            <v>2.88</v>
          </cell>
        </row>
        <row r="339">
          <cell r="B339" t="str">
            <v>AMRN</v>
          </cell>
          <cell r="F339">
            <v>10.94</v>
          </cell>
        </row>
        <row r="340">
          <cell r="B340" t="str">
            <v>LIMN</v>
          </cell>
          <cell r="F340">
            <v>3.15</v>
          </cell>
        </row>
        <row r="341">
          <cell r="B341" t="str">
            <v>ACB</v>
          </cell>
          <cell r="F341">
            <v>3.02</v>
          </cell>
        </row>
        <row r="342">
          <cell r="B342" t="str">
            <v>LCTX</v>
          </cell>
          <cell r="F342">
            <v>2.72</v>
          </cell>
        </row>
        <row r="343">
          <cell r="B343" t="str">
            <v>TLSI</v>
          </cell>
          <cell r="F343">
            <v>3.97</v>
          </cell>
        </row>
        <row r="344">
          <cell r="B344" t="str">
            <v>QTTB</v>
          </cell>
          <cell r="F344">
            <v>2.65</v>
          </cell>
        </row>
        <row r="345">
          <cell r="B345" t="str">
            <v>GLSI</v>
          </cell>
          <cell r="F345">
            <v>8.62</v>
          </cell>
        </row>
        <row r="346">
          <cell r="B346" t="str">
            <v>MGNX</v>
          </cell>
          <cell r="F346">
            <v>3.66</v>
          </cell>
        </row>
        <row r="347">
          <cell r="B347" t="str">
            <v>KROS</v>
          </cell>
          <cell r="F347">
            <v>5.28</v>
          </cell>
        </row>
        <row r="348">
          <cell r="B348" t="str">
            <v>STRO</v>
          </cell>
          <cell r="F348">
            <v>11.4</v>
          </cell>
        </row>
        <row r="349">
          <cell r="B349" t="str">
            <v>CAMP</v>
          </cell>
          <cell r="F349">
            <v>2.06</v>
          </cell>
        </row>
        <row r="350">
          <cell r="B350" t="str">
            <v>SIGA</v>
          </cell>
          <cell r="F350">
            <v>16.24</v>
          </cell>
        </row>
        <row r="351">
          <cell r="B351" t="str">
            <v>ALEC</v>
          </cell>
          <cell r="F351">
            <v>2.635</v>
          </cell>
        </row>
        <row r="352">
          <cell r="B352" t="str">
            <v>HITI</v>
          </cell>
          <cell r="F352">
            <v>3.49</v>
          </cell>
        </row>
        <row r="353">
          <cell r="B353" t="str">
            <v>EVMN</v>
          </cell>
          <cell r="F353">
            <v>2.44</v>
          </cell>
        </row>
        <row r="354">
          <cell r="B354" t="str">
            <v>PLX</v>
          </cell>
          <cell r="F354">
            <v>1.97</v>
          </cell>
        </row>
        <row r="355">
          <cell r="B355" t="str">
            <v>AKBA</v>
          </cell>
          <cell r="F355">
            <v>2.72</v>
          </cell>
        </row>
        <row r="356">
          <cell r="B356" t="str">
            <v>SION</v>
          </cell>
          <cell r="F356">
            <v>3.19</v>
          </cell>
        </row>
        <row r="357">
          <cell r="B357" t="str">
            <v>ADCT</v>
          </cell>
          <cell r="F357">
            <v>9.7</v>
          </cell>
        </row>
        <row r="358">
          <cell r="B358" t="str">
            <v>TRDA</v>
          </cell>
          <cell r="F358">
            <v>6.395</v>
          </cell>
        </row>
        <row r="359">
          <cell r="B359" t="str">
            <v>RNAC</v>
          </cell>
          <cell r="F359">
            <v>3.16</v>
          </cell>
        </row>
        <row r="360">
          <cell r="B360" t="str">
            <v>LYEL</v>
          </cell>
          <cell r="F360">
            <v>2.14</v>
          </cell>
        </row>
        <row r="361">
          <cell r="B361" t="str">
            <v>IVVD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ELDN</v>
          </cell>
          <cell r="F363">
            <v>4.99</v>
          </cell>
        </row>
        <row r="364">
          <cell r="B364" t="str">
            <v>CGEN</v>
          </cell>
          <cell r="F364">
            <v>0.6181</v>
          </cell>
        </row>
        <row r="365">
          <cell r="B365" t="str">
            <v>CUE</v>
          </cell>
          <cell r="F365">
            <v>2.255</v>
          </cell>
        </row>
        <row r="366">
          <cell r="B366" t="str">
            <v>WHWK</v>
          </cell>
          <cell r="F366">
            <v>0.6366</v>
          </cell>
        </row>
        <row r="367">
          <cell r="B367" t="str">
            <v>SLGL</v>
          </cell>
          <cell r="F367">
            <v>11.54</v>
          </cell>
        </row>
        <row r="368">
          <cell r="B368" t="str">
            <v>ACOG</v>
          </cell>
          <cell r="F368">
            <v>2.875</v>
          </cell>
        </row>
        <row r="369">
          <cell r="B369" t="str">
            <v>ZNTL</v>
          </cell>
          <cell r="F369">
            <v>1.53</v>
          </cell>
        </row>
        <row r="370">
          <cell r="B370" t="str">
            <v>DTIL</v>
          </cell>
          <cell r="F370">
            <v>65.81</v>
          </cell>
        </row>
        <row r="371">
          <cell r="B371" t="str">
            <v>PEPG</v>
          </cell>
          <cell r="F371">
            <v>8.58</v>
          </cell>
        </row>
        <row r="372">
          <cell r="B372" t="str">
            <v>ORMP</v>
          </cell>
          <cell r="F372">
            <v>4.15</v>
          </cell>
        </row>
        <row r="373">
          <cell r="B373" t="str">
            <v>CMPX</v>
          </cell>
          <cell r="F373">
            <v>4.15</v>
          </cell>
        </row>
        <row r="374">
          <cell r="B374" t="str">
            <v>DERM</v>
          </cell>
          <cell r="F374">
            <v>3.19</v>
          </cell>
        </row>
        <row r="375">
          <cell r="B375" t="str">
            <v>ALXO</v>
          </cell>
          <cell r="F375">
            <v>8.46</v>
          </cell>
        </row>
        <row r="376">
          <cell r="B376" t="str">
            <v>PRQR</v>
          </cell>
          <cell r="F376">
            <v>6.56</v>
          </cell>
        </row>
        <row r="377">
          <cell r="B377" t="str">
            <v>PYXS</v>
          </cell>
          <cell r="F377">
            <v>0.8333</v>
          </cell>
        </row>
        <row r="378">
          <cell r="B378" t="str">
            <v>CNTN</v>
          </cell>
          <cell r="F378">
            <v>1.0</v>
          </cell>
        </row>
        <row r="379">
          <cell r="B379" t="str">
            <v>CURX</v>
          </cell>
          <cell r="F379">
            <v>1.38</v>
          </cell>
        </row>
        <row r="380">
          <cell r="B380" t="str">
            <v>ANTX</v>
          </cell>
          <cell r="F380">
            <v>2.39</v>
          </cell>
        </row>
        <row r="381">
          <cell r="B381" t="str">
            <v>ORGO</v>
          </cell>
          <cell r="F381">
            <v>12.1</v>
          </cell>
        </row>
        <row r="382">
          <cell r="B382" t="str">
            <v>CHRS</v>
          </cell>
          <cell r="F382">
            <v>31.03</v>
          </cell>
        </row>
        <row r="383">
          <cell r="B383" t="str">
            <v>TARA</v>
          </cell>
          <cell r="F383">
            <v>2.82</v>
          </cell>
        </row>
        <row r="384">
          <cell r="B384" t="str">
            <v>NKTX</v>
          </cell>
          <cell r="F384">
            <v>1.86</v>
          </cell>
        </row>
        <row r="385">
          <cell r="B385" t="str">
            <v>NBP</v>
          </cell>
          <cell r="F385">
            <v>1.84</v>
          </cell>
        </row>
        <row r="386">
          <cell r="B386" t="str">
            <v>MDWD</v>
          </cell>
          <cell r="F386">
            <v>1.73</v>
          </cell>
        </row>
        <row r="387">
          <cell r="B387" t="str">
            <v>MENS</v>
          </cell>
          <cell r="F387">
            <v>1.14</v>
          </cell>
        </row>
        <row r="388">
          <cell r="B388" t="str">
            <v>KRSA</v>
          </cell>
          <cell r="F388">
            <v>1.425</v>
          </cell>
        </row>
        <row r="389">
          <cell r="B389" t="str">
            <v>MOLN</v>
          </cell>
          <cell r="F389">
            <v>4.92</v>
          </cell>
        </row>
        <row r="390">
          <cell r="B390" t="str">
            <v>ABOS</v>
          </cell>
          <cell r="F390">
            <v>3.7</v>
          </cell>
        </row>
        <row r="391">
          <cell r="B391" t="str">
            <v>NERV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VYGR</v>
          </cell>
          <cell r="F393">
            <v>2.56</v>
          </cell>
        </row>
        <row r="394">
          <cell r="B394" t="str">
            <v>KRRO</v>
          </cell>
          <cell r="F394">
            <v>7.98</v>
          </cell>
        </row>
        <row r="395">
          <cell r="B395" t="str">
            <v>OTLK</v>
          </cell>
          <cell r="F395">
            <v>1.74</v>
          </cell>
        </row>
        <row r="396">
          <cell r="B396" t="str">
            <v>RNA</v>
          </cell>
          <cell r="F396">
            <v>1.02</v>
          </cell>
        </row>
        <row r="397">
          <cell r="B397" t="str">
            <v>FRNM</v>
          </cell>
          <cell r="F397">
            <v>3.56</v>
          </cell>
        </row>
        <row r="398">
          <cell r="B398" t="str">
            <v>AVXL</v>
          </cell>
          <cell r="F398">
            <v>1.54</v>
          </cell>
        </row>
        <row r="399">
          <cell r="B399" t="str">
            <v>NGEN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TNYA</v>
          </cell>
          <cell r="F401">
            <v>9.44</v>
          </cell>
        </row>
        <row r="402">
          <cell r="B402" t="str">
            <v>SPRB</v>
          </cell>
          <cell r="F402">
            <v>2.015</v>
          </cell>
        </row>
        <row r="403">
          <cell r="B403" t="str">
            <v>CLLS</v>
          </cell>
          <cell r="F403">
            <v>1.36</v>
          </cell>
        </row>
        <row r="404">
          <cell r="B404" t="str">
            <v>TNXP</v>
          </cell>
          <cell r="F404">
            <v>17.04</v>
          </cell>
        </row>
        <row r="405">
          <cell r="B405" t="str">
            <v>HURA</v>
          </cell>
          <cell r="F405">
            <v>0.406</v>
          </cell>
        </row>
        <row r="406">
          <cell r="B406" t="str">
            <v>NRXP</v>
          </cell>
          <cell r="F406">
            <v>0.52</v>
          </cell>
        </row>
        <row r="407">
          <cell r="B407" t="str">
            <v>CRDL</v>
          </cell>
          <cell r="F407">
            <v>2.19</v>
          </cell>
        </row>
        <row r="408">
          <cell r="B408" t="str">
            <v>VTVT</v>
          </cell>
          <cell r="F408">
            <v>41.23</v>
          </cell>
        </row>
        <row r="409">
          <cell r="B409" t="str">
            <v>NRSN</v>
          </cell>
          <cell r="F409">
            <v>2.62</v>
          </cell>
        </row>
        <row r="410">
          <cell r="B410" t="str">
            <v>INO</v>
          </cell>
          <cell r="F410">
            <v>2.53</v>
          </cell>
        </row>
        <row r="411">
          <cell r="B411" t="str">
            <v>FHTX</v>
          </cell>
          <cell r="F411">
            <v>1.76</v>
          </cell>
        </row>
        <row r="412">
          <cell r="B412" t="str">
            <v>CBUS</v>
          </cell>
          <cell r="F412">
            <v>1.67</v>
          </cell>
        </row>
        <row r="413">
          <cell r="B413" t="str">
            <v>COYA</v>
          </cell>
          <cell r="F413">
            <v>1.15</v>
          </cell>
        </row>
        <row r="414">
          <cell r="B414" t="str">
            <v>ENGN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MSLE</v>
          </cell>
          <cell r="F416">
            <v>5.15</v>
          </cell>
        </row>
        <row r="417">
          <cell r="B417" t="str">
            <v>IFRX</v>
          </cell>
          <cell r="F417">
            <v>7.96</v>
          </cell>
        </row>
        <row r="418">
          <cell r="B418" t="str">
            <v>LENZ</v>
          </cell>
          <cell r="F418">
            <v>7.0</v>
          </cell>
        </row>
        <row r="419">
          <cell r="B419" t="str">
            <v>UNCY</v>
          </cell>
          <cell r="F419">
            <v>27.845</v>
          </cell>
        </row>
        <row r="420">
          <cell r="B420" t="str">
            <v>QUCY</v>
          </cell>
          <cell r="F420">
            <v>14.06</v>
          </cell>
        </row>
        <row r="421">
          <cell r="B421" t="str">
            <v>HUMA</v>
          </cell>
          <cell r="F421">
            <v>0.99</v>
          </cell>
        </row>
        <row r="422">
          <cell r="B422" t="str">
            <v>IMUX</v>
          </cell>
          <cell r="F422">
            <v>1.54</v>
          </cell>
        </row>
        <row r="423">
          <cell r="B423" t="str">
            <v>RANI</v>
          </cell>
          <cell r="F423">
            <v>5.78</v>
          </cell>
        </row>
        <row r="424">
          <cell r="B424" t="str">
            <v>IMDX</v>
          </cell>
          <cell r="F424">
            <v>3.19</v>
          </cell>
        </row>
        <row r="425">
          <cell r="B425" t="str">
            <v>CNXU</v>
          </cell>
          <cell r="F425">
            <v>1.01</v>
          </cell>
        </row>
        <row r="426">
          <cell r="B426" t="str">
            <v>CPIX</v>
          </cell>
          <cell r="F426">
            <v>4.21</v>
          </cell>
        </row>
        <row r="427">
          <cell r="B427" t="str">
            <v>BDTX</v>
          </cell>
          <cell r="F427">
            <v>1.39</v>
          </cell>
        </row>
        <row r="428">
          <cell r="B428" t="str">
            <v>AARD</v>
          </cell>
          <cell r="F428">
            <v>3.03</v>
          </cell>
        </row>
        <row r="429">
          <cell r="B429" t="str">
            <v>CRBP</v>
          </cell>
          <cell r="F429">
            <v>2.39</v>
          </cell>
        </row>
        <row r="430">
          <cell r="B430" t="str">
            <v>BMEA</v>
          </cell>
          <cell r="F430">
            <v>2.07</v>
          </cell>
        </row>
        <row r="431">
          <cell r="B431" t="str">
            <v>ANIX</v>
          </cell>
          <cell r="F431">
            <v>10.45</v>
          </cell>
        </row>
        <row r="432">
          <cell r="B432" t="str">
            <v>PLYX</v>
          </cell>
          <cell r="F432">
            <v>2.5</v>
          </cell>
        </row>
        <row r="433">
          <cell r="B433" t="str">
            <v>OKUR</v>
          </cell>
          <cell r="F433">
            <v>9.16</v>
          </cell>
        </row>
        <row r="434">
          <cell r="B434" t="str">
            <v>MIST</v>
          </cell>
          <cell r="F434">
            <v>7.41</v>
          </cell>
        </row>
        <row r="435">
          <cell r="B435" t="str">
            <v>ATRA</v>
          </cell>
          <cell r="F435">
            <v>1.91</v>
          </cell>
        </row>
        <row r="436">
          <cell r="B436" t="str">
            <v>ALP</v>
          </cell>
          <cell r="F436">
            <v>3.8</v>
          </cell>
        </row>
        <row r="437">
          <cell r="B437" t="str">
            <v>PYPD</v>
          </cell>
          <cell r="F437">
            <v>2.68</v>
          </cell>
        </row>
        <row r="438">
          <cell r="B438" t="str">
            <v>RLYB</v>
          </cell>
          <cell r="F438">
            <v>1.07</v>
          </cell>
        </row>
        <row r="439">
          <cell r="B439" t="str">
            <v>EQ</v>
          </cell>
          <cell r="F439">
            <v>0.41</v>
          </cell>
        </row>
        <row r="440">
          <cell r="B440" t="str">
            <v>NMRA</v>
          </cell>
          <cell r="F440">
            <v>0.6528</v>
          </cell>
        </row>
        <row r="441">
          <cell r="B441" t="str">
            <v>ICCC</v>
          </cell>
          <cell r="F441">
            <v>16.38</v>
          </cell>
        </row>
        <row r="442">
          <cell r="B442" t="str">
            <v>PMN</v>
          </cell>
          <cell r="F442">
            <v>0.465</v>
          </cell>
        </row>
        <row r="443">
          <cell r="B443" t="str">
            <v>CRDF</v>
          </cell>
          <cell r="F443">
            <v>0.7185</v>
          </cell>
        </row>
        <row r="444">
          <cell r="B444" t="str">
            <v>CGTX</v>
          </cell>
          <cell r="F444">
            <v>4.42</v>
          </cell>
        </row>
        <row r="445">
          <cell r="B445" t="str">
            <v>RFL</v>
          </cell>
          <cell r="F445">
            <v>2.99</v>
          </cell>
        </row>
        <row r="446">
          <cell r="B446" t="str">
            <v>LEXX</v>
          </cell>
          <cell r="F446">
            <v>2.36</v>
          </cell>
        </row>
        <row r="447">
          <cell r="B447" t="str">
            <v>ZYBT</v>
          </cell>
          <cell r="F447">
            <v>3.9</v>
          </cell>
        </row>
        <row r="448">
          <cell r="B448" t="str">
            <v>ACRV</v>
          </cell>
          <cell r="F448">
            <v>3.38</v>
          </cell>
        </row>
        <row r="449">
          <cell r="B449" t="str">
            <v>PMVP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LGVN</v>
          </cell>
          <cell r="F451">
            <v>1.38</v>
          </cell>
        </row>
        <row r="452">
          <cell r="B452" t="str">
            <v>PTHS</v>
          </cell>
          <cell r="F452">
            <v>1.37</v>
          </cell>
        </row>
        <row r="453">
          <cell r="B453" t="str">
            <v>CTOR</v>
          </cell>
          <cell r="F453">
            <v>8.09</v>
          </cell>
        </row>
        <row r="454">
          <cell r="B454" t="str">
            <v>SDEV</v>
          </cell>
          <cell r="F454">
            <v>1.01</v>
          </cell>
        </row>
        <row r="455">
          <cell r="B455" t="str">
            <v>PDSB</v>
          </cell>
          <cell r="F455">
            <v>1.31</v>
          </cell>
        </row>
        <row r="456">
          <cell r="B456" t="str">
            <v>HRTX</v>
          </cell>
          <cell r="F456">
            <v>0.671</v>
          </cell>
        </row>
        <row r="457">
          <cell r="B457" t="str">
            <v>TELO</v>
          </cell>
          <cell r="F457">
            <v>2.65</v>
          </cell>
        </row>
        <row r="458">
          <cell r="B458" t="str">
            <v>MNOV</v>
          </cell>
          <cell r="F458">
            <v>1.795</v>
          </cell>
        </row>
        <row r="459">
          <cell r="B459" t="str">
            <v>OSTX</v>
          </cell>
          <cell r="F459">
            <v>0.9315</v>
          </cell>
        </row>
        <row r="460">
          <cell r="B460" t="str">
            <v>OKYO</v>
          </cell>
          <cell r="F460">
            <v>2.77</v>
          </cell>
        </row>
        <row r="461">
          <cell r="B461" t="str">
            <v>MAIA</v>
          </cell>
          <cell r="F461">
            <v>1.36</v>
          </cell>
        </row>
        <row r="462">
          <cell r="B462" t="str">
            <v>NMAD</v>
          </cell>
          <cell r="F462">
            <v>0.7338</v>
          </cell>
        </row>
        <row r="463">
          <cell r="B463" t="str">
            <v>NTHI</v>
          </cell>
          <cell r="F463">
            <v>0.3545</v>
          </cell>
        </row>
        <row r="464">
          <cell r="B464" t="str">
            <v>GANX</v>
          </cell>
          <cell r="F464">
            <v>1.12</v>
          </cell>
        </row>
        <row r="465">
          <cell r="B465" t="str">
            <v>FBIO</v>
          </cell>
          <cell r="F465">
            <v>1.49</v>
          </cell>
        </row>
        <row r="466">
          <cell r="B466" t="str">
            <v>CING</v>
          </cell>
          <cell r="F466">
            <v>1.22</v>
          </cell>
        </row>
        <row r="467">
          <cell r="B467" t="str">
            <v>ONCY</v>
          </cell>
          <cell r="F467">
            <v>1.27</v>
          </cell>
        </row>
        <row r="468">
          <cell r="B468" t="str">
            <v>VRCA</v>
          </cell>
          <cell r="F468">
            <v>1.39</v>
          </cell>
        </row>
        <row r="469">
          <cell r="B469" t="str">
            <v>TENX</v>
          </cell>
          <cell r="F469">
            <v>2.02</v>
          </cell>
        </row>
        <row r="470">
          <cell r="B470" t="str">
            <v>SPRO</v>
          </cell>
          <cell r="F470">
            <v>0.4986</v>
          </cell>
        </row>
        <row r="471">
          <cell r="B471" t="str">
            <v>XBIT</v>
          </cell>
          <cell r="F471">
            <v>4.53</v>
          </cell>
        </row>
        <row r="472">
          <cell r="B472" t="str">
            <v>RNTX</v>
          </cell>
          <cell r="F472">
            <v>0.9605</v>
          </cell>
        </row>
        <row r="473">
          <cell r="B473" t="str">
            <v>PLRX</v>
          </cell>
          <cell r="F473">
            <v>3.72</v>
          </cell>
        </row>
        <row r="474">
          <cell r="B474" t="str">
            <v>ENLV</v>
          </cell>
          <cell r="F474">
            <v>1.94</v>
          </cell>
        </row>
        <row r="475">
          <cell r="B475" t="str">
            <v>SKYE</v>
          </cell>
          <cell r="F475">
            <v>3.47</v>
          </cell>
        </row>
        <row r="476">
          <cell r="B476" t="str">
            <v>XLO</v>
          </cell>
          <cell r="F476">
            <v>0.7356</v>
          </cell>
        </row>
        <row r="477">
          <cell r="B477" t="str">
            <v>RNXT</v>
          </cell>
          <cell r="F477">
            <v>1.19</v>
          </cell>
        </row>
        <row r="478">
          <cell r="B478" t="str">
            <v>BOLD</v>
          </cell>
          <cell r="F478">
            <v>0.8752</v>
          </cell>
        </row>
        <row r="479">
          <cell r="B479" t="str">
            <v>ATHE</v>
          </cell>
          <cell r="F479">
            <v>0.33</v>
          </cell>
        </row>
        <row r="480">
          <cell r="B480" t="str">
            <v>KLRS</v>
          </cell>
          <cell r="F480">
            <v>8.54</v>
          </cell>
        </row>
        <row r="481">
          <cell r="B481" t="str">
            <v>TLPH</v>
          </cell>
          <cell r="F481">
            <v>0.9124</v>
          </cell>
        </row>
        <row r="482">
          <cell r="B482" t="str">
            <v>IBIO</v>
          </cell>
          <cell r="F482">
            <v>1.07</v>
          </cell>
        </row>
        <row r="483">
          <cell r="B483" t="str">
            <v>MREO</v>
          </cell>
          <cell r="F483">
            <v>1.62</v>
          </cell>
        </row>
        <row r="484">
          <cell r="B484" t="str">
            <v>ALDX</v>
          </cell>
          <cell r="F484">
            <v>0.5951</v>
          </cell>
        </row>
        <row r="485">
          <cell r="B485" t="str">
            <v>CNTB</v>
          </cell>
          <cell r="F485">
            <v>1.2</v>
          </cell>
        </row>
        <row r="486">
          <cell r="B486" t="str">
            <v>INKT</v>
          </cell>
          <cell r="F486">
            <v>20.21</v>
          </cell>
        </row>
        <row r="487">
          <cell r="B487" t="str">
            <v>LONA</v>
          </cell>
          <cell r="F487">
            <v>2.43</v>
          </cell>
        </row>
        <row r="488">
          <cell r="B488" t="str">
            <v>HYPD</v>
          </cell>
          <cell r="F488">
            <v>2.07</v>
          </cell>
        </row>
        <row r="489">
          <cell r="B489" t="str">
            <v>YARW</v>
          </cell>
          <cell r="F489">
            <v>1.63</v>
          </cell>
        </row>
        <row r="490">
          <cell r="B490" t="str">
            <v>ACET</v>
          </cell>
          <cell r="F490">
            <v>9.86</v>
          </cell>
        </row>
        <row r="491">
          <cell r="B491" t="str">
            <v>INMB</v>
          </cell>
          <cell r="F491">
            <v>0.519</v>
          </cell>
        </row>
        <row r="492">
          <cell r="B492" t="str">
            <v>ANVS</v>
          </cell>
          <cell r="F492">
            <v>5.27</v>
          </cell>
        </row>
        <row r="493">
          <cell r="B493" t="str">
            <v>SER</v>
          </cell>
          <cell r="F493">
            <v>2.37</v>
          </cell>
        </row>
        <row r="494">
          <cell r="B494" t="str">
            <v>CELU</v>
          </cell>
          <cell r="F494">
            <v>0.821</v>
          </cell>
        </row>
        <row r="495">
          <cell r="B495" t="str">
            <v>ELTX</v>
          </cell>
          <cell r="F495">
            <v>2.975</v>
          </cell>
        </row>
        <row r="496">
          <cell r="B496" t="str">
            <v>CLNN</v>
          </cell>
          <cell r="F496">
            <v>0.2237</v>
          </cell>
        </row>
        <row r="497">
          <cell r="B497" t="str">
            <v>CRBU</v>
          </cell>
          <cell r="F497">
            <v>0.2951</v>
          </cell>
        </row>
        <row r="498">
          <cell r="B498" t="str">
            <v>EXOZ</v>
          </cell>
          <cell r="F498">
            <v>1.05</v>
          </cell>
        </row>
        <row r="499">
          <cell r="B499" t="str">
            <v>CRVO</v>
          </cell>
          <cell r="F499">
            <v>3.88</v>
          </cell>
        </row>
        <row r="500">
          <cell r="B500" t="str">
            <v>BRTX</v>
          </cell>
          <cell r="F500">
            <v>1.57</v>
          </cell>
        </row>
        <row r="501">
          <cell r="B501" t="str">
            <v>IMA</v>
          </cell>
          <cell r="F501">
            <v>22.0481</v>
          </cell>
        </row>
        <row r="502">
          <cell r="B502" t="str">
            <v>HOWL</v>
          </cell>
          <cell r="F502">
            <v>6.43</v>
          </cell>
        </row>
        <row r="503">
          <cell r="B503" t="str">
            <v>DWTX</v>
          </cell>
          <cell r="F503">
            <v>1.6</v>
          </cell>
        </row>
        <row r="504">
          <cell r="B504" t="str">
            <v>VBIO</v>
          </cell>
          <cell r="F504">
            <v>4.13</v>
          </cell>
        </row>
        <row r="505">
          <cell r="B505" t="str">
            <v>TIL</v>
          </cell>
          <cell r="F505">
            <v>1.66</v>
          </cell>
        </row>
        <row r="506">
          <cell r="B506" t="str">
            <v>CLGN</v>
          </cell>
          <cell r="F506">
            <v>0.8935</v>
          </cell>
        </row>
        <row r="507">
          <cell r="B507" t="str">
            <v>LNAI</v>
          </cell>
          <cell r="F507">
            <v>1.5</v>
          </cell>
        </row>
        <row r="508">
          <cell r="B508" t="str">
            <v>TVGN</v>
          </cell>
          <cell r="F508">
            <v>4.52</v>
          </cell>
        </row>
        <row r="509">
          <cell r="B509" t="str">
            <v>BSEM</v>
          </cell>
          <cell r="F509">
            <v>0.9932</v>
          </cell>
        </row>
        <row r="510">
          <cell r="B510" t="str">
            <v>GRCE</v>
          </cell>
          <cell r="F510">
            <v>0.6651</v>
          </cell>
        </row>
        <row r="511">
          <cell r="B511" t="str">
            <v>CALC</v>
          </cell>
          <cell r="F511">
            <v>1.15</v>
          </cell>
        </row>
        <row r="512">
          <cell r="B512" t="str">
            <v>MTNB</v>
          </cell>
          <cell r="F512">
            <v>1.26</v>
          </cell>
        </row>
        <row r="513">
          <cell r="B513" t="str">
            <v>VERU</v>
          </cell>
          <cell r="F513">
            <v>5.94</v>
          </cell>
        </row>
        <row r="514">
          <cell r="B514" t="str">
            <v>BTMD</v>
          </cell>
          <cell r="F514">
            <v>3.73</v>
          </cell>
        </row>
        <row r="515">
          <cell r="B515" t="str">
            <v>SCYX</v>
          </cell>
          <cell r="F515">
            <v>1.98</v>
          </cell>
        </row>
        <row r="516">
          <cell r="B516" t="str">
            <v>FLNA</v>
          </cell>
          <cell r="F516">
            <v>2.38</v>
          </cell>
        </row>
        <row r="517">
          <cell r="B517" t="str">
            <v>IXHL</v>
          </cell>
          <cell r="F517">
            <v>1.07</v>
          </cell>
        </row>
        <row r="518">
          <cell r="B518" t="str">
            <v>LITS</v>
          </cell>
          <cell r="F518">
            <v>1.56</v>
          </cell>
        </row>
        <row r="519">
          <cell r="B519" t="str">
            <v>BIAF</v>
          </cell>
          <cell r="F519">
            <v>4.12</v>
          </cell>
        </row>
        <row r="520">
          <cell r="B520" t="str">
            <v>MGX</v>
          </cell>
          <cell r="F520">
            <v>1.64</v>
          </cell>
        </row>
        <row r="521">
          <cell r="B521" t="str">
            <v>CPHI</v>
          </cell>
          <cell r="F521">
            <v>3.8</v>
          </cell>
        </row>
        <row r="522">
          <cell r="B522" t="str">
            <v>ELUT</v>
          </cell>
          <cell r="F522">
            <v>1.7</v>
          </cell>
        </row>
        <row r="523">
          <cell r="B523" t="str">
            <v>FFR</v>
          </cell>
          <cell r="F523">
            <v>1.065</v>
          </cell>
        </row>
        <row r="524">
          <cell r="B524" t="str">
            <v>GRDX</v>
          </cell>
          <cell r="F524">
            <v>2.78</v>
          </cell>
        </row>
        <row r="525">
          <cell r="B525" t="str">
            <v>ATNM</v>
          </cell>
          <cell r="F525">
            <v>1.5</v>
          </cell>
        </row>
        <row r="526">
          <cell r="B526" t="str">
            <v>CVM</v>
          </cell>
          <cell r="F526">
            <v>0.8105</v>
          </cell>
        </row>
        <row r="527">
          <cell r="B527" t="str">
            <v>BCTX</v>
          </cell>
          <cell r="F527">
            <v>1.19</v>
          </cell>
        </row>
        <row r="528">
          <cell r="B528" t="str">
            <v>EDSA</v>
          </cell>
          <cell r="F528">
            <v>0.6885</v>
          </cell>
        </row>
        <row r="529">
          <cell r="B529" t="str">
            <v>ALGS</v>
          </cell>
          <cell r="F529">
            <v>2.29</v>
          </cell>
        </row>
        <row r="530">
          <cell r="B530" t="str">
            <v>NNVC</v>
          </cell>
          <cell r="F530">
            <v>1.395</v>
          </cell>
        </row>
        <row r="531">
          <cell r="B531" t="str">
            <v>NXTC</v>
          </cell>
          <cell r="F531">
            <v>40.27</v>
          </cell>
        </row>
        <row r="532">
          <cell r="B532" t="str">
            <v>QNCX</v>
          </cell>
          <cell r="F532">
            <v>3.66</v>
          </cell>
        </row>
        <row r="533">
          <cell r="B533" t="str">
            <v>NSRX</v>
          </cell>
          <cell r="F533">
            <v>1.56</v>
          </cell>
        </row>
        <row r="534">
          <cell r="B534" t="str">
            <v>RNAZ</v>
          </cell>
          <cell r="F534">
            <v>5.03</v>
          </cell>
        </row>
        <row r="535">
          <cell r="B535" t="str">
            <v>MIRA</v>
          </cell>
          <cell r="F535">
            <v>4.63</v>
          </cell>
        </row>
        <row r="536">
          <cell r="B536" t="str">
            <v>MDXH</v>
          </cell>
          <cell r="F536">
            <v>0.8313</v>
          </cell>
        </row>
        <row r="537">
          <cell r="B537" t="str">
            <v>IGC</v>
          </cell>
          <cell r="F537">
            <v>3.46</v>
          </cell>
        </row>
        <row r="538">
          <cell r="B538" t="str">
            <v>CNTX</v>
          </cell>
          <cell r="F538">
            <v>0.7243</v>
          </cell>
        </row>
        <row r="539">
          <cell r="B539" t="str">
            <v>MCRB</v>
          </cell>
          <cell r="F539">
            <v>2.54</v>
          </cell>
        </row>
        <row r="540">
          <cell r="B540" t="str">
            <v>ABVC</v>
          </cell>
          <cell r="F540">
            <v>1.66</v>
          </cell>
        </row>
        <row r="541">
          <cell r="B541" t="str">
            <v>EVAX</v>
          </cell>
          <cell r="F541">
            <v>5.44</v>
          </cell>
        </row>
        <row r="542">
          <cell r="B542" t="str">
            <v>SHPH</v>
          </cell>
          <cell r="F542">
            <v>3.24</v>
          </cell>
        </row>
        <row r="543">
          <cell r="B543" t="str">
            <v>BYSI</v>
          </cell>
          <cell r="F543">
            <v>0.6501</v>
          </cell>
        </row>
        <row r="544">
          <cell r="B544" t="str">
            <v>SCLX</v>
          </cell>
          <cell r="F544">
            <v>4.91</v>
          </cell>
        </row>
        <row r="545">
          <cell r="B545" t="str">
            <v>JAGX</v>
          </cell>
          <cell r="F545">
            <v>0.245</v>
          </cell>
        </row>
        <row r="546">
          <cell r="B546" t="str">
            <v>KYNB</v>
          </cell>
          <cell r="F546">
            <v>1.19</v>
          </cell>
        </row>
        <row r="547">
          <cell r="B547" t="str">
            <v>ATOS</v>
          </cell>
          <cell r="F547">
            <v>2.31</v>
          </cell>
        </row>
        <row r="548">
          <cell r="B548" t="str">
            <v>ATYR</v>
          </cell>
          <cell r="F548">
            <v>2.82</v>
          </cell>
        </row>
        <row r="549">
          <cell r="B549" t="str">
            <v>TXMD</v>
          </cell>
          <cell r="F549">
            <v>0.515</v>
          </cell>
        </row>
        <row r="550">
          <cell r="B550" t="str">
            <v>AYTU</v>
          </cell>
          <cell r="F550">
            <v>0.93</v>
          </cell>
        </row>
        <row r="551">
          <cell r="B551" t="str">
            <v>COCP</v>
          </cell>
          <cell r="F551">
            <v>2.53</v>
          </cell>
        </row>
        <row r="552">
          <cell r="B552" t="str">
            <v>KAPA</v>
          </cell>
          <cell r="F552">
            <v>1.08</v>
          </cell>
        </row>
        <row r="553">
          <cell r="B553" t="str">
            <v>JSPR</v>
          </cell>
          <cell r="F553">
            <v>4.05</v>
          </cell>
        </row>
        <row r="554">
          <cell r="B554" t="str">
            <v>GNTA</v>
          </cell>
          <cell r="F554">
            <v>0.5227</v>
          </cell>
        </row>
        <row r="555">
          <cell r="B555" t="str">
            <v>NEUP</v>
          </cell>
          <cell r="F555">
            <v>0.2438</v>
          </cell>
        </row>
        <row r="556">
          <cell r="B556" t="str">
            <v>ESLA</v>
          </cell>
          <cell r="F556">
            <v>1.88</v>
          </cell>
        </row>
        <row r="557">
          <cell r="B557" t="str">
            <v>AKTX</v>
          </cell>
          <cell r="F557">
            <v>5.28</v>
          </cell>
        </row>
        <row r="558">
          <cell r="B558" t="str">
            <v>MRKR</v>
          </cell>
          <cell r="F558">
            <v>2.01</v>
          </cell>
        </row>
        <row r="559">
          <cell r="B559" t="str">
            <v>DYAI</v>
          </cell>
          <cell r="F559">
            <v>0.9429</v>
          </cell>
        </row>
        <row r="560">
          <cell r="B560" t="str">
            <v>RKTO</v>
          </cell>
          <cell r="F560">
            <v>0.4</v>
          </cell>
        </row>
        <row r="561">
          <cell r="B561" t="str">
            <v>TCRX</v>
          </cell>
          <cell r="F561">
            <v>2.63</v>
          </cell>
        </row>
        <row r="562">
          <cell r="B562" t="str">
            <v>ALLR</v>
          </cell>
          <cell r="F562">
            <v>1.94</v>
          </cell>
        </row>
        <row r="563">
          <cell r="B563" t="str">
            <v>BCDA</v>
          </cell>
          <cell r="F563">
            <v>3.39</v>
          </cell>
        </row>
        <row r="564">
          <cell r="B564" t="str">
            <v>KTTA</v>
          </cell>
          <cell r="F564">
            <v>1.16</v>
          </cell>
        </row>
        <row r="565">
          <cell r="B565" t="str">
            <v>PTN</v>
          </cell>
          <cell r="F565">
            <v>0.1733</v>
          </cell>
        </row>
        <row r="566">
          <cell r="B566" t="str">
            <v>ARTL</v>
          </cell>
          <cell r="F566">
            <v>9.29</v>
          </cell>
        </row>
        <row r="567">
          <cell r="B567" t="str">
            <v>HIND</v>
          </cell>
          <cell r="F567">
            <v>0.4999</v>
          </cell>
        </row>
        <row r="568">
          <cell r="B568" t="str">
            <v>ACTU</v>
          </cell>
          <cell r="F568">
            <v>0.5837</v>
          </cell>
        </row>
        <row r="569">
          <cell r="B569" t="str">
            <v>CNSY</v>
          </cell>
          <cell r="F569">
            <v>0.615</v>
          </cell>
        </row>
        <row r="570">
          <cell r="B570" t="str">
            <v>NCEL</v>
          </cell>
          <cell r="F570">
            <v>0.224</v>
          </cell>
        </row>
        <row r="571">
          <cell r="B571" t="str">
            <v>KZIA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BFRI</v>
          </cell>
          <cell r="F573">
            <v>0.6161</v>
          </cell>
        </row>
        <row r="574">
          <cell r="B574" t="str">
            <v>LPCN</v>
          </cell>
          <cell r="F574">
            <v>0.8758</v>
          </cell>
        </row>
        <row r="575">
          <cell r="B575" t="str">
            <v>AEON</v>
          </cell>
          <cell r="F575">
            <v>0.41</v>
          </cell>
        </row>
        <row r="576">
          <cell r="B576" t="str">
            <v>TVRD</v>
          </cell>
          <cell r="F576">
            <v>1.04</v>
          </cell>
        </row>
        <row r="577">
          <cell r="B577" t="str">
            <v>KPTI</v>
          </cell>
          <cell r="F577">
            <v>1.62</v>
          </cell>
        </row>
        <row r="578">
          <cell r="B578" t="str">
            <v>CTXR</v>
          </cell>
          <cell r="F578">
            <v>2.61</v>
          </cell>
        </row>
        <row r="579">
          <cell r="B579" t="str">
            <v>CLRB</v>
          </cell>
          <cell r="F579">
            <v>0.992</v>
          </cell>
        </row>
        <row r="580">
          <cell r="B580" t="str">
            <v>INAB</v>
          </cell>
          <cell r="F580">
            <v>0.5311</v>
          </cell>
        </row>
        <row r="581">
          <cell r="B581" t="str">
            <v>TPST</v>
          </cell>
          <cell r="F581">
            <v>1.84</v>
          </cell>
        </row>
        <row r="582">
          <cell r="B582" t="str">
            <v>PASG</v>
          </cell>
          <cell r="F582">
            <v>1.68</v>
          </cell>
        </row>
        <row r="583">
          <cell r="B583" t="str">
            <v>INTS</v>
          </cell>
          <cell r="F583">
            <v>0.4175</v>
          </cell>
        </row>
        <row r="584">
          <cell r="B584" t="str">
            <v>DARE</v>
          </cell>
          <cell r="F584">
            <v>2.62</v>
          </cell>
        </row>
        <row r="585">
          <cell r="B585" t="str">
            <v>PLUR</v>
          </cell>
          <cell r="F585">
            <v>0.804</v>
          </cell>
        </row>
        <row r="586">
          <cell r="B586" t="str">
            <v>ASBP</v>
          </cell>
          <cell r="F586">
            <v>0.2315</v>
          </cell>
        </row>
        <row r="587">
          <cell r="B587" t="str">
            <v>QNTM</v>
          </cell>
          <cell r="F587">
            <v>8.72</v>
          </cell>
        </row>
        <row r="588">
          <cell r="B588" t="str">
            <v>PBM</v>
          </cell>
          <cell r="F588">
            <v>7.88</v>
          </cell>
        </row>
        <row r="589">
          <cell r="B589" t="str">
            <v>PHIO</v>
          </cell>
          <cell r="F589">
            <v>0.4986</v>
          </cell>
        </row>
        <row r="590">
          <cell r="B590" t="str">
            <v>KPRX</v>
          </cell>
          <cell r="F590">
            <v>5.52</v>
          </cell>
        </row>
        <row r="591">
          <cell r="B591" t="str">
            <v>GDTC</v>
          </cell>
          <cell r="F591">
            <v>3.6</v>
          </cell>
        </row>
        <row r="592">
          <cell r="B592" t="str">
            <v>BIVI</v>
          </cell>
          <cell r="F592">
            <v>0.689</v>
          </cell>
        </row>
        <row r="593">
          <cell r="B593" t="str">
            <v>VTGN</v>
          </cell>
          <cell r="F593">
            <v>0.9</v>
          </cell>
        </row>
        <row r="594">
          <cell r="B594" t="str">
            <v>LTRN</v>
          </cell>
          <cell r="F594">
            <v>1.14</v>
          </cell>
        </row>
        <row r="595">
          <cell r="B595" t="str">
            <v>ENSC</v>
          </cell>
          <cell r="F595">
            <v>3.28</v>
          </cell>
        </row>
        <row r="596">
          <cell r="B596" t="str">
            <v>ADIL</v>
          </cell>
          <cell r="F596">
            <v>1.23</v>
          </cell>
        </row>
        <row r="597">
          <cell r="B597" t="str">
            <v>TOVX</v>
          </cell>
          <cell r="F597">
            <v>2.33</v>
          </cell>
        </row>
        <row r="598">
          <cell r="B598" t="str">
            <v>CMMB</v>
          </cell>
          <cell r="F598">
            <v>0.1944</v>
          </cell>
        </row>
        <row r="599">
          <cell r="B599" t="str">
            <v>SNTI</v>
          </cell>
          <cell r="F599">
            <v>2.43</v>
          </cell>
        </row>
        <row r="600">
          <cell r="B600" t="str">
            <v>LSTA</v>
          </cell>
          <cell r="F600">
            <v>0.8715</v>
          </cell>
        </row>
        <row r="601">
          <cell r="B601" t="str">
            <v>IMCC</v>
          </cell>
          <cell r="F601">
            <v>0.8921</v>
          </cell>
        </row>
        <row r="602">
          <cell r="B602" t="str">
            <v>MTVA</v>
          </cell>
          <cell r="F602">
            <v>0.5762</v>
          </cell>
        </row>
        <row r="603">
          <cell r="B603" t="str">
            <v>IMRN</v>
          </cell>
          <cell r="F603">
            <v>4.24</v>
          </cell>
        </row>
        <row r="604">
          <cell r="B604" t="str">
            <v>MBRX</v>
          </cell>
          <cell r="F604">
            <v>0.2047</v>
          </cell>
        </row>
        <row r="605">
          <cell r="B605" t="str">
            <v>RGNT</v>
          </cell>
          <cell r="F605">
            <v>1.04</v>
          </cell>
        </row>
        <row r="606">
          <cell r="B606" t="str">
            <v>BOLT</v>
          </cell>
          <cell r="F606">
            <v>1.18</v>
          </cell>
        </row>
        <row r="607">
          <cell r="B607" t="str">
            <v>SNGX</v>
          </cell>
          <cell r="F607">
            <v>3.82</v>
          </cell>
        </row>
        <row r="608">
          <cell r="B608" t="str">
            <v>AZTR</v>
          </cell>
          <cell r="F608">
            <v>1.29</v>
          </cell>
        </row>
        <row r="609">
          <cell r="B609" t="str">
            <v>CNSP</v>
          </cell>
          <cell r="F609">
            <v>0.1978</v>
          </cell>
        </row>
        <row r="610">
          <cell r="B610" t="str">
            <v>HLSQ</v>
          </cell>
          <cell r="F610">
            <v>0.3586</v>
          </cell>
        </row>
        <row r="611">
          <cell r="B611" t="str">
            <v>APRE</v>
          </cell>
          <cell r="F611">
            <v>0.6564</v>
          </cell>
        </row>
        <row r="612">
          <cell r="B612" t="str">
            <v>APUS</v>
          </cell>
          <cell r="F612">
            <v>1.37</v>
          </cell>
        </row>
        <row r="613">
          <cell r="B613" t="str">
            <v>FBLG</v>
          </cell>
          <cell r="F613">
            <v>1.4</v>
          </cell>
        </row>
        <row r="614">
          <cell r="B614" t="str">
            <v>INM</v>
          </cell>
          <cell r="F614">
            <v>4.31</v>
          </cell>
        </row>
        <row r="615">
          <cell r="B615" t="str">
            <v>XCUR</v>
          </cell>
          <cell r="F615">
            <v>1.47</v>
          </cell>
        </row>
        <row r="616">
          <cell r="B616" t="str">
            <v>TRAW</v>
          </cell>
          <cell r="F616">
            <v>0.9564</v>
          </cell>
        </row>
        <row r="617">
          <cell r="B617" t="str">
            <v>ACXP</v>
          </cell>
          <cell r="F617">
            <v>0.3546</v>
          </cell>
        </row>
        <row r="618">
          <cell r="B618" t="str">
            <v>ENVB</v>
          </cell>
          <cell r="F618">
            <v>0.5612</v>
          </cell>
        </row>
        <row r="619">
          <cell r="B619" t="str">
            <v>ALZN</v>
          </cell>
          <cell r="F619">
            <v>1.34</v>
          </cell>
        </row>
        <row r="620">
          <cell r="B620" t="str">
            <v>IMNN</v>
          </cell>
          <cell r="F620">
            <v>0.9987</v>
          </cell>
        </row>
        <row r="621">
          <cell r="B621" t="str">
            <v>SNOA</v>
          </cell>
          <cell r="F621">
            <v>4.99</v>
          </cell>
        </row>
        <row r="622">
          <cell r="B622" t="str">
            <v>MDCX</v>
          </cell>
          <cell r="F622">
            <v>0.2277</v>
          </cell>
        </row>
        <row r="623">
          <cell r="B623" t="str">
            <v>KALA</v>
          </cell>
          <cell r="F623">
            <v>2.97</v>
          </cell>
        </row>
        <row r="624">
          <cell r="B624" t="str">
            <v>BGMS</v>
          </cell>
          <cell r="F624">
            <v>0.9199</v>
          </cell>
        </row>
        <row r="625">
          <cell r="B625" t="str">
            <v>GELS</v>
          </cell>
          <cell r="F625">
            <v>1.3</v>
          </cell>
        </row>
        <row r="626">
          <cell r="B626" t="str">
            <v>CDIO</v>
          </cell>
          <cell r="F626">
            <v>0.3767</v>
          </cell>
        </row>
        <row r="627">
          <cell r="B627" t="str">
            <v>CELZ</v>
          </cell>
          <cell r="F627">
            <v>1.44</v>
          </cell>
        </row>
        <row r="628">
          <cell r="B628" t="str">
            <v>AIM</v>
          </cell>
          <cell r="F628">
            <v>0.94</v>
          </cell>
        </row>
        <row r="629">
          <cell r="B629" t="str">
            <v>AQB</v>
          </cell>
          <cell r="F629">
            <v>3.41</v>
          </cell>
        </row>
        <row r="630">
          <cell r="B630" t="str">
            <v>PULM</v>
          </cell>
          <cell r="F630">
            <v>0.2323</v>
          </cell>
        </row>
        <row r="631">
          <cell r="B631" t="str">
            <v>QCLS</v>
          </cell>
          <cell r="F631">
            <v>1.14</v>
          </cell>
        </row>
        <row r="632">
          <cell r="B632" t="str">
            <v>XBIO</v>
          </cell>
          <cell r="F632">
            <v>1.005</v>
          </cell>
        </row>
        <row r="633">
          <cell r="B633" t="str">
            <v>NCNA</v>
          </cell>
          <cell r="F633">
            <v>1.15</v>
          </cell>
        </row>
        <row r="634">
          <cell r="B634" t="str">
            <v>YCBD</v>
          </cell>
          <cell r="F634">
            <v>6.19</v>
          </cell>
        </row>
        <row r="635">
          <cell r="B635" t="str">
            <v>PMCB</v>
          </cell>
          <cell r="F635">
            <v>1.15</v>
          </cell>
        </row>
        <row r="636">
          <cell r="B636" t="str">
            <v>PCSA</v>
          </cell>
          <cell r="F636">
            <v>1.43</v>
          </cell>
        </row>
        <row r="637">
          <cell r="B637" t="str">
            <v>DRMA</v>
          </cell>
          <cell r="F637">
            <v>0.1679</v>
          </cell>
        </row>
        <row r="638">
          <cell r="B638" t="str">
            <v>SCNI</v>
          </cell>
          <cell r="F638">
            <v>1.72</v>
          </cell>
        </row>
        <row r="639">
          <cell r="B639" t="str">
            <v>ERNA</v>
          </cell>
          <cell r="F639">
            <v>0.7547</v>
          </cell>
        </row>
        <row r="640">
          <cell r="B640" t="str">
            <v>GRI</v>
          </cell>
          <cell r="F640">
            <v>0.448</v>
          </cell>
        </row>
        <row r="641">
          <cell r="B641" t="str">
            <v>SNES</v>
          </cell>
          <cell r="F641">
            <v>1.79</v>
          </cell>
        </row>
        <row r="642">
          <cell r="B642" t="str">
            <v>EOCN</v>
          </cell>
          <cell r="F642">
            <v>2.0</v>
          </cell>
        </row>
        <row r="643">
          <cell r="B643" t="str">
            <v>AKAN</v>
          </cell>
          <cell r="F643">
            <v>0.5</v>
          </cell>
        </row>
        <row r="644">
          <cell r="B644" t="str">
            <v>SXTP</v>
          </cell>
          <cell r="F644">
            <v>0.0715</v>
          </cell>
        </row>
        <row r="645">
          <cell r="B645" t="str">
            <v>EVGN</v>
          </cell>
          <cell r="F645">
            <v>1.0056</v>
          </cell>
        </row>
        <row r="646">
          <cell r="B646" t="str">
            <v>CVKD</v>
          </cell>
          <cell r="F646">
            <v>0.3873</v>
          </cell>
        </row>
        <row r="647">
          <cell r="B647" t="str">
            <v>APVO</v>
          </cell>
          <cell r="F647">
            <v>1.04</v>
          </cell>
        </row>
        <row r="648">
          <cell r="B648" t="str">
            <v>PPCB</v>
          </cell>
          <cell r="F648">
            <v>0.3422</v>
          </cell>
        </row>
        <row r="649">
          <cell r="B649" t="str">
            <v>MBIO</v>
          </cell>
          <cell r="F649">
            <v>0.1897</v>
          </cell>
        </row>
        <row r="650">
          <cell r="B650" t="str">
            <v>REVB</v>
          </cell>
          <cell r="F650">
            <v>2.24</v>
          </cell>
        </row>
        <row r="651">
          <cell r="B651" t="str">
            <v>HCWB</v>
          </cell>
          <cell r="F651">
            <v>0.6893</v>
          </cell>
        </row>
        <row r="652">
          <cell r="B652" t="str">
            <v>RDHL</v>
          </cell>
          <cell r="F652">
            <v>0.8699</v>
          </cell>
        </row>
        <row r="653">
          <cell r="B653" t="str">
            <v>VIVS</v>
          </cell>
          <cell r="F653">
            <v>0.3716</v>
          </cell>
        </row>
        <row r="654">
          <cell r="B654" t="str">
            <v>CLDI</v>
          </cell>
          <cell r="F654">
            <v>1.615</v>
          </cell>
        </row>
        <row r="655">
          <cell r="B655" t="str">
            <v>CANF</v>
          </cell>
          <cell r="F655">
            <v>0.9222</v>
          </cell>
        </row>
        <row r="656">
          <cell r="B656" t="str">
            <v>ONCO</v>
          </cell>
          <cell r="F656">
            <v>1.46</v>
          </cell>
        </row>
        <row r="657">
          <cell r="B657" t="str">
            <v>UPC</v>
          </cell>
          <cell r="F657">
            <v>3.07</v>
          </cell>
        </row>
        <row r="658">
          <cell r="B658" t="str">
            <v>SILO</v>
          </cell>
          <cell r="F658">
            <v>0.3795</v>
          </cell>
        </row>
        <row r="659">
          <cell r="B659" t="str">
            <v>GNPX</v>
          </cell>
          <cell r="F659">
            <v>0.6813</v>
          </cell>
        </row>
        <row r="660">
          <cell r="B660" t="str">
            <v>JUNS</v>
          </cell>
          <cell r="F660">
            <v>0.5073</v>
          </cell>
        </row>
        <row r="661">
          <cell r="B661" t="str">
            <v>GOVX</v>
          </cell>
          <cell r="F661">
            <v>1.89</v>
          </cell>
        </row>
        <row r="662">
          <cell r="B662" t="str">
            <v>OGEN</v>
          </cell>
          <cell r="F662">
            <v>1.08</v>
          </cell>
        </row>
        <row r="663">
          <cell r="B663" t="str">
            <v>TCRT</v>
          </cell>
          <cell r="F663">
            <v>3.54</v>
          </cell>
        </row>
        <row r="664">
          <cell r="B664" t="str">
            <v>LABT</v>
          </cell>
          <cell r="F664">
            <v>0.1713</v>
          </cell>
        </row>
        <row r="665">
          <cell r="B665" t="str">
            <v>SPRC</v>
          </cell>
          <cell r="F665">
            <v>1.23</v>
          </cell>
        </row>
        <row r="666">
          <cell r="B666" t="str">
            <v>CRIS</v>
          </cell>
          <cell r="F666">
            <v>0.77</v>
          </cell>
        </row>
        <row r="667">
          <cell r="B667" t="str">
            <v>SBFM</v>
          </cell>
          <cell r="F667">
            <v>2.8</v>
          </cell>
        </row>
        <row r="668">
          <cell r="B668" t="str">
            <v>BBLG</v>
          </cell>
          <cell r="F668">
            <v>0.321</v>
          </cell>
        </row>
        <row r="669">
          <cell r="B669" t="str">
            <v>PPBT</v>
          </cell>
          <cell r="F669">
            <v>0.434</v>
          </cell>
        </row>
        <row r="670">
          <cell r="B670" t="str">
            <v>SLXN</v>
          </cell>
          <cell r="F670">
            <v>3.75</v>
          </cell>
        </row>
        <row r="671">
          <cell r="B671" t="str">
            <v>CMND</v>
          </cell>
          <cell r="F671">
            <v>0.4064</v>
          </cell>
        </row>
        <row r="672">
          <cell r="B672" t="str">
            <v>BDRX</v>
          </cell>
          <cell r="F672">
            <v>1.2</v>
          </cell>
        </row>
        <row r="673">
          <cell r="B673" t="str">
            <v>DCOY</v>
          </cell>
          <cell r="F673">
            <v>0.2271</v>
          </cell>
        </row>
        <row r="674">
          <cell r="B674" t="str">
            <v>PRFX</v>
          </cell>
          <cell r="F674">
            <v>2.13</v>
          </cell>
        </row>
        <row r="675">
          <cell r="B675" t="str">
            <v>SXTC</v>
          </cell>
          <cell r="F675">
            <v>0.5775</v>
          </cell>
        </row>
        <row r="676">
          <cell r="B676" t="str">
            <v>AAPG</v>
          </cell>
          <cell r="F676">
            <v>0.43</v>
          </cell>
        </row>
        <row r="677">
          <cell r="B677" t="str">
            <v>ADAG</v>
          </cell>
          <cell r="F677">
            <v>1.085</v>
          </cell>
        </row>
        <row r="678">
          <cell r="B678" t="str">
            <v>ADRX</v>
          </cell>
          <cell r="F678">
            <v>0.3855</v>
          </cell>
        </row>
        <row r="679">
          <cell r="B679" t="str">
            <v>ADXN</v>
          </cell>
          <cell r="F679">
            <v>6.12</v>
          </cell>
        </row>
        <row r="680">
          <cell r="B680" t="str">
            <v>AGMB</v>
          </cell>
          <cell r="F680">
            <v>0.2418</v>
          </cell>
        </row>
        <row r="681">
          <cell r="B681" t="str">
            <v>ALPS</v>
          </cell>
          <cell r="F681">
            <v>0.3996</v>
          </cell>
        </row>
        <row r="682">
          <cell r="B682" t="str">
            <v>ANL</v>
          </cell>
          <cell r="F682">
            <v>0.153</v>
          </cell>
        </row>
        <row r="683">
          <cell r="B683" t="str">
            <v>APLM</v>
          </cell>
          <cell r="F683">
            <v>1.135</v>
          </cell>
        </row>
        <row r="684">
          <cell r="B684" t="str">
            <v>ASND</v>
          </cell>
          <cell r="F684">
            <v>0.7246</v>
          </cell>
        </row>
        <row r="685">
          <cell r="B685" t="str">
            <v>BNR</v>
          </cell>
          <cell r="F685">
            <v>1.33</v>
          </cell>
        </row>
        <row r="686">
          <cell r="B686" t="str">
            <v>CUVL</v>
          </cell>
          <cell r="F686">
            <v>0.0653</v>
          </cell>
        </row>
        <row r="687">
          <cell r="B687" t="str">
            <v>DRUG</v>
          </cell>
          <cell r="F687">
            <v>17.68</v>
          </cell>
        </row>
        <row r="688">
          <cell r="B688" t="str">
            <v>ETRA</v>
          </cell>
          <cell r="F688">
            <v>3.05</v>
          </cell>
        </row>
        <row r="689">
          <cell r="B689" t="str">
            <v>GRFS</v>
          </cell>
          <cell r="F689">
            <v>8.73</v>
          </cell>
        </row>
        <row r="690">
          <cell r="B690" t="str">
            <v>GSK</v>
          </cell>
          <cell r="F690">
            <v>10.64</v>
          </cell>
        </row>
        <row r="691">
          <cell r="B691" t="str">
            <v>INCR</v>
          </cell>
          <cell r="F691">
            <v>12.66</v>
          </cell>
        </row>
        <row r="692">
          <cell r="B692" t="str">
            <v>NIKI</v>
          </cell>
          <cell r="F692">
            <v>5.19</v>
          </cell>
        </row>
        <row r="693">
          <cell r="B693" t="str">
            <v>OGI</v>
          </cell>
          <cell r="F693">
            <v>55.2</v>
          </cell>
        </row>
        <row r="694">
          <cell r="B694" t="str">
            <v>OPTH</v>
          </cell>
          <cell r="F694">
            <v>8.81</v>
          </cell>
        </row>
        <row r="695">
          <cell r="B695" t="str">
            <v>QNRX</v>
          </cell>
          <cell r="F695">
            <v>7.64</v>
          </cell>
        </row>
        <row r="696">
          <cell r="B696" t="str">
            <v>RADX</v>
          </cell>
          <cell r="F696">
            <v>2.03</v>
          </cell>
        </row>
        <row r="697">
          <cell r="B697" t="str">
            <v>SERA</v>
          </cell>
          <cell r="F697">
            <v>0.937</v>
          </cell>
        </row>
        <row r="698">
          <cell r="B698" t="str">
            <v>SLBT</v>
          </cell>
          <cell r="F698">
            <v>3.36</v>
          </cell>
        </row>
        <row r="699">
          <cell r="B699" t="str">
            <v>TAK</v>
          </cell>
          <cell r="F699">
            <v>4.04</v>
          </cell>
        </row>
        <row r="700">
          <cell r="B700" t="str">
            <v>TLSA</v>
          </cell>
          <cell r="F700">
            <v>0.99</v>
          </cell>
        </row>
        <row r="701">
          <cell r="B701" t="str">
            <v>TLX</v>
          </cell>
          <cell r="F701">
            <v>2.03</v>
          </cell>
        </row>
        <row r="702">
          <cell r="B702" t="str">
            <v>VCRE</v>
          </cell>
          <cell r="F702">
            <v>1.5</v>
          </cell>
        </row>
        <row r="703">
          <cell r="B703" t="str">
            <v>VRXA</v>
          </cell>
          <cell r="F703">
            <v>9.0</v>
          </cell>
        </row>
        <row r="704">
          <cell r="B704" t="str">
            <v>XRTX</v>
          </cell>
          <cell r="F704">
            <v>1.01</v>
          </cell>
        </row>
        <row r="705">
          <cell r="B705" t="str">
            <v>XTLB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BridgeBio Pharma, Inc.</t>
        </is>
      </c>
      <c r="C2" s="10" t="n"/>
    </row>
    <row r="3">
      <c r="B3" t="inlineStr">
        <is>
          <t>Price</t>
        </is>
      </c>
      <c r="C3" s="11">
        <f>INDEX([1]Pharma!$F$1:$F$1000,MATCH("BBIO",[1]Pharma!$B$1:$B$1000,0))</f>
        <v>67.55</v>
      </c>
      <c r="F3" s="1" t="n"/>
    </row>
    <row r="4">
      <c r="B4" t="inlineStr">
        <is>
          <t>Shares</t>
        </is>
      </c>
      <c r="C4" s="12">
        <f>195.487474</f>
        <v>195.487474</v>
      </c>
      <c r="F4" s="1" t="n"/>
    </row>
    <row r="5">
      <c r="B5" t="inlineStr">
        <is>
          <t>Market Cap.</t>
        </is>
      </c>
      <c r="C5" s="1">
        <f>C3*C4</f>
        <v>13205.178868699999</v>
      </c>
      <c r="F5" s="1" t="n"/>
    </row>
    <row r="6"/>
    <row r="7">
      <c r="B7" t="inlineStr">
        <is>
          <t>Cash</t>
        </is>
      </c>
      <c r="C7" s="12">
        <f>677.911+42.249+1000</f>
        <v>1720.1599999999999</v>
      </c>
    </row>
    <row r="8">
      <c r="B8" t="inlineStr">
        <is>
          <t>Debt</t>
        </is>
      </c>
      <c r="C8" s="12">
        <f>550+747.5+575+632.5+1000</f>
        <v>3505.0</v>
      </c>
    </row>
    <row r="9">
      <c r="B9" t="inlineStr">
        <is>
          <t>Enterprise V.</t>
        </is>
      </c>
      <c r="C9" s="1">
        <f>C5-C7+C8</f>
        <v>14990.018868699999</v>
      </c>
    </row>
    <row r="11">
      <c r="B11" s="13" t="inlineStr">
        <is>
          <t>rNPV / Share</t>
        </is>
      </c>
      <c r="C11" s="11">
        <f>NPV!C43</f>
        <v>54.634523514083696</v>
      </c>
    </row>
    <row r="12">
      <c r="B12" s="13" t="inlineStr">
        <is>
          <t>Upside</t>
        </is>
      </c>
      <c r="C12" s="14">
        <f>C11/C3-1</f>
        <v>-0.19119876367011546</v>
      </c>
    </row>
    <row r="13">
      <c r="B13" s="13" t="inlineStr">
        <is>
          <t>Cash / Share</t>
        </is>
      </c>
      <c r="C13" s="11">
        <f>(C7-C8)/C4</f>
        <v>-9.130201354998327</v>
      </c>
    </row>
    <row r="14">
      <c r="B14" s="13" t="inlineStr">
        <is>
          <t>Scenario</t>
        </is>
      </c>
      <c r="C14" s="13" t="str">
        <f>Assumptions!$C$4</f>
        <v>Base</v>
      </c>
    </row>
    <row r="16">
      <c r="B16" s="13" t="inlineStr">
        <is>
          <t>PDUFA Date</t>
        </is>
      </c>
      <c r="C16" s="15">
        <f>Assumptions!$B$30</f>
        <v>46353</v>
      </c>
    </row>
    <row r="17">
      <c r="B17" s="13" t="inlineStr">
        <is>
          <t>P(Approval)</t>
        </is>
      </c>
      <c r="C17" s="16">
        <f>Assumptions!$B$32</f>
        <v>0.88</v>
      </c>
    </row>
    <row r="18">
      <c r="B18" s="13" t="inlineStr">
        <is>
          <t>If Approved</t>
        </is>
      </c>
      <c r="C18" s="11">
        <f>Assumptions!$D$168</f>
        <v>55.02036983093543</v>
      </c>
    </row>
    <row r="19">
      <c r="B19" s="13" t="inlineStr">
        <is>
          <t>If CRL</t>
        </is>
      </c>
      <c r="C19" s="11">
        <f>Assumptions!$D$167</f>
        <v>51.79058285073864</v>
      </c>
    </row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</cols>
  <sheetData>
    <row r="1" customFormat="1" s="6">
      <c r="A1" s="7" t="n"/>
      <c r="B1" s="17" t="n">
        <v>2021</v>
      </c>
      <c r="C1" s="17" t="n">
        <v>2022</v>
      </c>
      <c r="D1" s="17" t="n">
        <v>2023</v>
      </c>
      <c r="E1" s="17" t="n">
        <v>2024</v>
      </c>
      <c r="F1" s="17" t="n">
        <v>2025</v>
      </c>
      <c r="G1" s="17" t="n">
        <v>2026</v>
      </c>
      <c r="H1" s="17" t="n">
        <v>2027</v>
      </c>
      <c r="I1" s="17" t="n">
        <v>2028</v>
      </c>
      <c r="J1" s="17" t="n">
        <v>2029</v>
      </c>
      <c r="K1" s="17" t="n">
        <v>2030</v>
      </c>
      <c r="L1" s="17" t="n">
        <v>2031</v>
      </c>
      <c r="M1" s="17" t="n">
        <v>2032</v>
      </c>
      <c r="N1" s="17" t="n">
        <v>2033</v>
      </c>
      <c r="O1" s="17" t="n">
        <v>2034</v>
      </c>
      <c r="P1" s="17" t="n">
        <v>2035</v>
      </c>
      <c r="Q1" s="17" t="n">
        <v>2036</v>
      </c>
      <c r="R1" s="17" t="n">
        <v>2037</v>
      </c>
      <c r="S1" s="17" t="n">
        <v>2038</v>
      </c>
      <c r="T1" s="17" t="n">
        <v>2039</v>
      </c>
      <c r="U1" s="17" t="n">
        <v>2040</v>
      </c>
      <c r="V1" s="17" t="n">
        <v>2041</v>
      </c>
      <c r="W1" s="17" t="n">
        <v>2042</v>
      </c>
      <c r="X1" s="17" t="n">
        <v>2043</v>
      </c>
      <c r="Y1" s="17" t="n">
        <v>2044</v>
      </c>
      <c r="Z1" s="17" t="n">
        <v>2045</v>
      </c>
      <c r="AA1" s="17" t="n">
        <v>2046</v>
      </c>
      <c r="AB1" s="17" t="n">
        <v>2047</v>
      </c>
      <c r="AC1" s="17" t="n">
        <v>2048</v>
      </c>
      <c r="AD1" s="17" t="n">
        <v>2049</v>
      </c>
      <c r="AE1" s="17" t="n">
        <v>2050</v>
      </c>
    </row>
    <row r="2" customFormat="1" s="1">
      <c r="A2" s="5" t="inlineStr">
        <is>
          <t>Revenue</t>
        </is>
      </c>
      <c r="B2" s="18" t="n">
        <v>69.71599999999999</v>
      </c>
      <c r="C2" s="18" t="n">
        <v>77.648</v>
      </c>
      <c r="D2" s="18" t="n">
        <v>9.303000000000001</v>
      </c>
      <c r="E2" s="18" t="n">
        <v>221.902</v>
      </c>
      <c r="F2" s="18" t="n">
        <v>502.076</v>
      </c>
      <c r="G2" s="18">
        <f>SUM('Quarterly Model'!F2:I2)</f>
        <v>1027.19</v>
      </c>
      <c r="H2" s="18">
        <f>Pipeline!C75</f>
        <v>1910.676</v>
      </c>
      <c r="I2" s="18">
        <f>Pipeline!D75</f>
        <v>2676.932</v>
      </c>
      <c r="J2" s="18">
        <f>Pipeline!E75</f>
        <v>3752.158</v>
      </c>
      <c r="K2" s="18">
        <f>Pipeline!F75</f>
        <v>4849.674</v>
      </c>
      <c r="L2" s="18">
        <f>Pipeline!G75</f>
        <v>5904.91</v>
      </c>
      <c r="M2" s="18">
        <f>Pipeline!H75</f>
        <v>6373.68</v>
      </c>
      <c r="N2" s="18">
        <f>Pipeline!I75</f>
        <v>6625.0199999999995</v>
      </c>
      <c r="O2" s="18">
        <f>Pipeline!J75</f>
        <v>6736.650000000001</v>
      </c>
      <c r="P2" s="18">
        <f>Pipeline!K75</f>
        <v>6802.8</v>
      </c>
      <c r="Q2" s="18">
        <f>Pipeline!L75</f>
        <v>6802.8</v>
      </c>
      <c r="R2" s="18">
        <f>Pipeline!M75</f>
        <v>6802.8</v>
      </c>
      <c r="S2" s="18">
        <f>Pipeline!N75</f>
        <v>4852.8</v>
      </c>
      <c r="T2" s="18">
        <f>Pipeline!O75</f>
        <v>4072.8</v>
      </c>
      <c r="U2" s="18">
        <f>Pipeline!P75</f>
        <v>3760.8</v>
      </c>
      <c r="V2" s="18">
        <f>Pipeline!Q75</f>
        <v>3167.52</v>
      </c>
      <c r="W2" s="18">
        <f>Pipeline!R75</f>
        <v>1267.0079999999998</v>
      </c>
      <c r="X2" s="18">
        <f>Pipeline!S75</f>
        <v>506.8032</v>
      </c>
      <c r="Y2" s="18">
        <f>Pipeline!T75</f>
        <v>202.72128</v>
      </c>
      <c r="Z2" s="18">
        <f>Pipeline!U75</f>
        <v>81.08851200000002</v>
      </c>
      <c r="AA2" s="18">
        <f>Pipeline!V75</f>
        <v>32.43540480000001</v>
      </c>
      <c r="AB2" s="18">
        <f>Pipeline!W75</f>
        <v>12.974161920000004</v>
      </c>
      <c r="AC2" s="18">
        <f>Pipeline!X75</f>
        <v>5.189664768000002</v>
      </c>
      <c r="AD2" s="18">
        <f>Pipeline!Y75</f>
        <v>2.0758659072000007</v>
      </c>
      <c r="AE2" s="18">
        <f>Pipeline!Z75</f>
        <v>0.8303463628800003</v>
      </c>
    </row>
    <row r="3" customFormat="1" s="1">
      <c r="A3" s="5" t="inlineStr">
        <is>
          <t>Cost of Sales</t>
        </is>
      </c>
      <c r="B3" s="18" t="n">
        <v>3.114</v>
      </c>
      <c r="C3" s="18" t="n">
        <v>3.434</v>
      </c>
      <c r="D3" s="18" t="n">
        <v>2.446</v>
      </c>
      <c r="E3" s="18" t="n">
        <v>3.878</v>
      </c>
      <c r="F3" s="18" t="n">
        <v>20.962</v>
      </c>
      <c r="G3" s="18">
        <f>SUM('Quarterly Model'!F3:I3)</f>
        <v>61.503</v>
      </c>
      <c r="H3" s="18">
        <f>Pipeline!C76</f>
        <v>198.45732</v>
      </c>
      <c r="I3" s="18">
        <f>Pipeline!D76</f>
        <v>292.21474000000006</v>
      </c>
      <c r="J3" s="18">
        <f>Pipeline!E76</f>
        <v>401.48426000000006</v>
      </c>
      <c r="K3" s="18">
        <f>Pipeline!F76</f>
        <v>515.24598</v>
      </c>
      <c r="L3" s="18">
        <f>Pipeline!G76</f>
        <v>623.8604</v>
      </c>
      <c r="M3" s="18">
        <f>Pipeline!H76</f>
        <v>666.7143</v>
      </c>
      <c r="N3" s="18">
        <f>Pipeline!I76</f>
        <v>690.5736</v>
      </c>
      <c r="O3" s="18">
        <f>Pipeline!J76</f>
        <v>700.395</v>
      </c>
      <c r="P3" s="18">
        <f>Pipeline!K76</f>
        <v>706.254</v>
      </c>
      <c r="Q3" s="18">
        <f>Pipeline!L76</f>
        <v>706.254</v>
      </c>
      <c r="R3" s="18">
        <f>Pipeline!M76</f>
        <v>706.254</v>
      </c>
      <c r="S3" s="18">
        <f>Pipeline!N76</f>
        <v>478.25399999999996</v>
      </c>
      <c r="T3" s="18">
        <f>Pipeline!O76</f>
        <v>387.054</v>
      </c>
      <c r="U3" s="18">
        <f>Pipeline!P76</f>
        <v>350.574</v>
      </c>
      <c r="V3" s="18">
        <f>Pipeline!Q76</f>
        <v>298.5036</v>
      </c>
      <c r="W3" s="18">
        <f>Pipeline!R76</f>
        <v>119.40143999999998</v>
      </c>
      <c r="X3" s="18">
        <f>Pipeline!S76</f>
        <v>47.76057600000001</v>
      </c>
      <c r="Y3" s="18">
        <f>Pipeline!T76</f>
        <v>19.104230400000002</v>
      </c>
      <c r="Z3" s="18">
        <f>Pipeline!U76</f>
        <v>7.641692160000002</v>
      </c>
      <c r="AA3" s="18">
        <f>Pipeline!V76</f>
        <v>3.056676864000001</v>
      </c>
      <c r="AB3" s="18">
        <f>Pipeline!W76</f>
        <v>1.2226707456000003</v>
      </c>
      <c r="AC3" s="18">
        <f>Pipeline!X76</f>
        <v>0.48906829824000014</v>
      </c>
      <c r="AD3" s="18">
        <f>Pipeline!Y76</f>
        <v>0.19562731929600008</v>
      </c>
      <c r="AE3" s="18">
        <f>Pipeline!Z76</f>
        <v>0.07825092771840003</v>
      </c>
    </row>
    <row r="4" customFormat="1" s="1">
      <c r="A4" s="5" t="inlineStr">
        <is>
          <t>Gross Margin</t>
        </is>
      </c>
      <c r="B4" s="18">
        <f>B2-B3</f>
        <v>66.60199999999999</v>
      </c>
      <c r="C4" s="18">
        <f>C2-C3</f>
        <v>74.214</v>
      </c>
      <c r="D4" s="18">
        <f>D2-D3</f>
        <v>6.857000000000001</v>
      </c>
      <c r="E4" s="18">
        <f>E2-E3</f>
        <v>218.024</v>
      </c>
      <c r="F4" s="18">
        <f>F2-F3</f>
        <v>481.11400000000003</v>
      </c>
      <c r="G4" s="18">
        <f>G2-G3</f>
        <v>965.687</v>
      </c>
      <c r="H4" s="18">
        <f>H2-H3</f>
        <v>1712.21868</v>
      </c>
      <c r="I4" s="18">
        <f>I2-I3</f>
        <v>2384.71726</v>
      </c>
      <c r="J4" s="18">
        <f>J2-J3</f>
        <v>3350.6737399999997</v>
      </c>
      <c r="K4" s="18">
        <f>K2-K3</f>
        <v>4334.42802</v>
      </c>
      <c r="L4" s="18">
        <f>L2-L3</f>
        <v>5281.0496</v>
      </c>
      <c r="M4" s="18">
        <f>M2-M3</f>
        <v>5706.965700000001</v>
      </c>
      <c r="N4" s="18">
        <f>N2-N3</f>
        <v>5934.4464</v>
      </c>
      <c r="O4" s="18">
        <f>O2-O3</f>
        <v>6036.255000000001</v>
      </c>
      <c r="P4" s="18">
        <f>P2-P3</f>
        <v>6096.546</v>
      </c>
      <c r="Q4" s="18">
        <f>Q2-Q3</f>
        <v>6096.546</v>
      </c>
      <c r="R4" s="18">
        <f>R2-R3</f>
        <v>6096.546</v>
      </c>
      <c r="S4" s="18">
        <f>S2-S3</f>
        <v>4374.546</v>
      </c>
      <c r="T4" s="18">
        <f>T2-T3</f>
        <v>3685.746</v>
      </c>
      <c r="U4" s="18">
        <f>U2-U3</f>
        <v>3410.226</v>
      </c>
      <c r="V4" s="18">
        <f>V2-V3</f>
        <v>2869.0164</v>
      </c>
      <c r="W4" s="18">
        <f>W2-W3</f>
        <v>1147.6065599999997</v>
      </c>
      <c r="X4" s="18">
        <f>X2-X3</f>
        <v>459.042624</v>
      </c>
      <c r="Y4" s="18">
        <f>Y2-Y3</f>
        <v>183.6170496</v>
      </c>
      <c r="Z4" s="18">
        <f>Z2-Z3</f>
        <v>73.44681984000002</v>
      </c>
      <c r="AA4" s="18">
        <f>AA2-AA3</f>
        <v>29.378727936000008</v>
      </c>
      <c r="AB4" s="18">
        <f>AB2-AB3</f>
        <v>11.751491174400003</v>
      </c>
      <c r="AC4" s="18">
        <f>AC2-AC3</f>
        <v>4.700596469760002</v>
      </c>
      <c r="AD4" s="18">
        <f>AD2-AD3</f>
        <v>1.8802385879040007</v>
      </c>
      <c r="AE4" s="18">
        <f>AE2-AE3</f>
        <v>0.7520954351616003</v>
      </c>
    </row>
    <row r="5">
      <c r="A5" s="2" t="inlineStr">
        <is>
          <t>Research &amp; Dev.</t>
        </is>
      </c>
      <c r="B5" s="18" t="n">
        <v>451.024</v>
      </c>
      <c r="C5" s="18" t="n">
        <v>399.462</v>
      </c>
      <c r="D5" s="18" t="n">
        <v>455.711</v>
      </c>
      <c r="E5" s="18" t="n">
        <v>506.461</v>
      </c>
      <c r="F5" s="18" t="n">
        <v>451.953</v>
      </c>
      <c r="G5" s="18">
        <f>SUM('Quarterly Model'!F5:I5)</f>
        <v>581.0840000000001</v>
      </c>
      <c r="H5" s="18">
        <f>Pipeline!C79</f>
        <v>485.0</v>
      </c>
      <c r="I5" s="18">
        <f>Pipeline!D79</f>
        <v>424.90000000000003</v>
      </c>
      <c r="J5" s="18">
        <f>Pipeline!E79</f>
        <v>455.25895999999995</v>
      </c>
      <c r="K5" s="18">
        <f>Pipeline!F79</f>
        <v>581.96088</v>
      </c>
      <c r="L5" s="18">
        <f>Pipeline!G79</f>
        <v>708.5892</v>
      </c>
      <c r="M5" s="18">
        <f>Pipeline!H79</f>
        <v>764.8416</v>
      </c>
      <c r="N5" s="18">
        <f>Pipeline!I79</f>
        <v>795.0024</v>
      </c>
      <c r="O5" s="18">
        <f>Pipeline!J79</f>
        <v>808.398</v>
      </c>
      <c r="P5" s="18">
        <f>Pipeline!K79</f>
        <v>816.336</v>
      </c>
      <c r="Q5" s="18">
        <f>Pipeline!L79</f>
        <v>816.336</v>
      </c>
      <c r="R5" s="18">
        <f>Pipeline!M79</f>
        <v>816.336</v>
      </c>
      <c r="S5" s="18">
        <f>Pipeline!N79</f>
        <v>582.336</v>
      </c>
      <c r="T5" s="18">
        <f>Pipeline!O79</f>
        <v>488.736</v>
      </c>
      <c r="U5" s="18">
        <f>Pipeline!P79</f>
        <v>451.296</v>
      </c>
      <c r="V5" s="18">
        <f>Pipeline!Q79</f>
        <v>380.1024</v>
      </c>
      <c r="W5" s="18">
        <f>Pipeline!R79</f>
        <v>152.04095999999998</v>
      </c>
      <c r="X5" s="18">
        <f>Pipeline!S79</f>
        <v>60.816384</v>
      </c>
      <c r="Y5" s="18">
        <f>Pipeline!T79</f>
        <v>24.3265536</v>
      </c>
      <c r="Z5" s="18">
        <f>Pipeline!U79</f>
        <v>9.730621440000002</v>
      </c>
      <c r="AA5" s="18">
        <f>Pipeline!V79</f>
        <v>3.892248576000001</v>
      </c>
      <c r="AB5" s="18">
        <f>Pipeline!W79</f>
        <v>1.5568994304000003</v>
      </c>
      <c r="AC5" s="18">
        <f>Pipeline!X79</f>
        <v>0.6227597721600002</v>
      </c>
      <c r="AD5" s="18">
        <f>Pipeline!Y79</f>
        <v>0.24910390886400008</v>
      </c>
      <c r="AE5" s="18">
        <f>Pipeline!Z79</f>
        <v>0.09964156354560003</v>
      </c>
    </row>
    <row r="6">
      <c r="A6" s="2" t="inlineStr">
        <is>
          <t>General &amp; Admin</t>
        </is>
      </c>
      <c r="B6" s="18" t="n">
        <v>192.21</v>
      </c>
      <c r="C6" s="18" t="n">
        <v>186.954</v>
      </c>
      <c r="D6" s="18" t="n">
        <v>158.516</v>
      </c>
      <c r="E6" s="18" t="n">
        <v>304.536</v>
      </c>
      <c r="F6" s="18" t="n">
        <v>552.572</v>
      </c>
      <c r="G6" s="18">
        <f>SUM('Quarterly Model'!F6:I6)</f>
        <v>740.1569999999999</v>
      </c>
      <c r="H6" s="18">
        <f>Pipeline!C82</f>
        <v>1002.5628</v>
      </c>
      <c r="I6" s="18">
        <f>Pipeline!D82</f>
        <v>1205.0914200000002</v>
      </c>
      <c r="J6" s="18">
        <f>Pipeline!E82</f>
        <v>1479.2695400000002</v>
      </c>
      <c r="K6" s="18">
        <f>Pipeline!F82</f>
        <v>1702.59868</v>
      </c>
      <c r="L6" s="18">
        <f>Pipeline!G82</f>
        <v>1962.8173000000002</v>
      </c>
      <c r="M6" s="18">
        <f>Pipeline!H82</f>
        <v>2024.1071000000002</v>
      </c>
      <c r="N6" s="18">
        <f>Pipeline!I82</f>
        <v>2082.8269999999998</v>
      </c>
      <c r="O6" s="18">
        <f>Pipeline!J82</f>
        <v>2080.6730000000002</v>
      </c>
      <c r="P6" s="18">
        <f>Pipeline!K82</f>
        <v>2100.896</v>
      </c>
      <c r="Q6" s="18">
        <f>Pipeline!L82</f>
        <v>2100.896</v>
      </c>
      <c r="R6" s="18">
        <f>Pipeline!M82</f>
        <v>2100.896</v>
      </c>
      <c r="S6" s="18">
        <f>Pipeline!N82</f>
        <v>1514.3960000000002</v>
      </c>
      <c r="T6" s="18">
        <f>Pipeline!O82</f>
        <v>1279.796</v>
      </c>
      <c r="U6" s="18">
        <f>Pipeline!P82</f>
        <v>1185.9560000000001</v>
      </c>
      <c r="V6" s="18">
        <f>Pipeline!Q82</f>
        <v>998.5064</v>
      </c>
      <c r="W6" s="18">
        <f>Pipeline!R82</f>
        <v>399.40256</v>
      </c>
      <c r="X6" s="18">
        <f>Pipeline!S82</f>
        <v>159.76102400000002</v>
      </c>
      <c r="Y6" s="18">
        <f>Pipeline!T82</f>
        <v>63.9044096</v>
      </c>
      <c r="Z6" s="18">
        <f>Pipeline!U82</f>
        <v>25.561763840000005</v>
      </c>
      <c r="AA6" s="18">
        <f>Pipeline!V82</f>
        <v>10.224705536000004</v>
      </c>
      <c r="AB6" s="18">
        <f>Pipeline!W82</f>
        <v>4.089882214400001</v>
      </c>
      <c r="AC6" s="18">
        <f>Pipeline!X82</f>
        <v>1.6359528857600005</v>
      </c>
      <c r="AD6" s="18">
        <f>Pipeline!Y82</f>
        <v>0.6543811543040002</v>
      </c>
      <c r="AE6" s="18">
        <f>Pipeline!Z82</f>
        <v>0.2617524617216001</v>
      </c>
    </row>
    <row r="7">
      <c r="A7" s="2" t="inlineStr">
        <is>
          <t>Operating Expense</t>
        </is>
      </c>
      <c r="B7" s="18">
        <f>SUM(B5:B6)</f>
        <v>643.234</v>
      </c>
      <c r="C7" s="18">
        <f>SUM(C5:C6)</f>
        <v>586.4159999999999</v>
      </c>
      <c r="D7" s="18">
        <f>SUM(D5:D6)</f>
        <v>614.227</v>
      </c>
      <c r="E7" s="18">
        <f>SUM(E5:E6)</f>
        <v>810.9970000000001</v>
      </c>
      <c r="F7" s="18">
        <f>SUM(F5:F6)</f>
        <v>1004.525</v>
      </c>
      <c r="G7" s="18">
        <f>SUM(G5:G6)</f>
        <v>1321.241</v>
      </c>
      <c r="H7" s="18">
        <f>SUM(H5:H6)</f>
        <v>1487.5628000000002</v>
      </c>
      <c r="I7" s="18">
        <f>SUM(I5:I6)</f>
        <v>1629.9914200000003</v>
      </c>
      <c r="J7" s="18">
        <f>SUM(J5:J6)</f>
        <v>1934.5285000000001</v>
      </c>
      <c r="K7" s="18">
        <f>SUM(K5:K6)</f>
        <v>2284.55956</v>
      </c>
      <c r="L7" s="18">
        <f>SUM(L5:L6)</f>
        <v>2671.4065</v>
      </c>
      <c r="M7" s="18">
        <f>SUM(M5:M6)</f>
        <v>2788.9487</v>
      </c>
      <c r="N7" s="18">
        <f>SUM(N5:N6)</f>
        <v>2877.8293999999996</v>
      </c>
      <c r="O7" s="18">
        <f>SUM(O5:O6)</f>
        <v>2889.0710000000004</v>
      </c>
      <c r="P7" s="18">
        <f>SUM(P5:P6)</f>
        <v>2917.232</v>
      </c>
      <c r="Q7" s="18">
        <f>SUM(Q5:Q6)</f>
        <v>2917.232</v>
      </c>
      <c r="R7" s="18">
        <f>SUM(R5:R6)</f>
        <v>2917.232</v>
      </c>
      <c r="S7" s="18">
        <f>SUM(S5:S6)</f>
        <v>2096.732</v>
      </c>
      <c r="T7" s="18">
        <f>SUM(T5:T6)</f>
        <v>1768.5320000000002</v>
      </c>
      <c r="U7" s="18">
        <f>SUM(U5:U6)</f>
        <v>1637.2520000000002</v>
      </c>
      <c r="V7" s="18">
        <f>SUM(V5:V6)</f>
        <v>1378.6088</v>
      </c>
      <c r="W7" s="18">
        <f>SUM(W5:W6)</f>
        <v>551.44352</v>
      </c>
      <c r="X7" s="18">
        <f>SUM(X5:X6)</f>
        <v>220.57740800000002</v>
      </c>
      <c r="Y7" s="18">
        <f>SUM(Y5:Y6)</f>
        <v>88.2309632</v>
      </c>
      <c r="Z7" s="18">
        <f>SUM(Z5:Z6)</f>
        <v>35.292385280000005</v>
      </c>
      <c r="AA7" s="18">
        <f>SUM(AA5:AA6)</f>
        <v>14.116954112000005</v>
      </c>
      <c r="AB7" s="18">
        <f>SUM(AB5:AB6)</f>
        <v>5.646781644800002</v>
      </c>
      <c r="AC7" s="18">
        <f>SUM(AC5:AC6)</f>
        <v>2.2587126579200008</v>
      </c>
      <c r="AD7" s="18">
        <f>SUM(AD5:AD6)</f>
        <v>0.9034850631680003</v>
      </c>
      <c r="AE7" s="18">
        <f>SUM(AE5:AE6)</f>
        <v>0.3613940252672001</v>
      </c>
    </row>
    <row r="8">
      <c r="A8" s="2" t="inlineStr">
        <is>
          <t>Operating Income</t>
        </is>
      </c>
      <c r="B8" s="18">
        <f>B4-B7</f>
        <v>-576.6320000000001</v>
      </c>
      <c r="C8" s="18">
        <f>C4-C7</f>
        <v>-512.202</v>
      </c>
      <c r="D8" s="18">
        <f>D4-D7</f>
        <v>-607.37</v>
      </c>
      <c r="E8" s="18">
        <f>E4-E7</f>
        <v>-592.9730000000001</v>
      </c>
      <c r="F8" s="18">
        <f>F4-F7</f>
        <v>-523.411</v>
      </c>
      <c r="G8" s="18">
        <f>G4-G7</f>
        <v>-355.554</v>
      </c>
      <c r="H8" s="18">
        <f>H4-H7</f>
        <v>224.6558799999998</v>
      </c>
      <c r="I8" s="18">
        <f>I4-I7</f>
        <v>754.7258399999996</v>
      </c>
      <c r="J8" s="18">
        <f>J4-J7</f>
        <v>1416.1452399999996</v>
      </c>
      <c r="K8" s="18">
        <f>K4-K7</f>
        <v>2049.86846</v>
      </c>
      <c r="L8" s="18">
        <f>L4-L7</f>
        <v>2609.6431000000002</v>
      </c>
      <c r="M8" s="18">
        <f>M4-M7</f>
        <v>2918.0170000000007</v>
      </c>
      <c r="N8" s="18">
        <f>N4-N7</f>
        <v>3056.617</v>
      </c>
      <c r="O8" s="18">
        <f>O4-O7</f>
        <v>3147.1840000000007</v>
      </c>
      <c r="P8" s="18">
        <f>P4-P7</f>
        <v>3179.3140000000003</v>
      </c>
      <c r="Q8" s="18">
        <f>Q4-Q7</f>
        <v>3179.3140000000003</v>
      </c>
      <c r="R8" s="18">
        <f>R4-R7</f>
        <v>3179.3140000000003</v>
      </c>
      <c r="S8" s="18">
        <f>S4-S7</f>
        <v>2277.8140000000003</v>
      </c>
      <c r="T8" s="18">
        <f>T4-T7</f>
        <v>1917.214</v>
      </c>
      <c r="U8" s="18">
        <f>U4-U7</f>
        <v>1772.974</v>
      </c>
      <c r="V8" s="18">
        <f>V4-V7</f>
        <v>1490.4076</v>
      </c>
      <c r="W8" s="18">
        <f>W4-W7</f>
        <v>596.1630399999997</v>
      </c>
      <c r="X8" s="18">
        <f>X4-X7</f>
        <v>238.46521599999997</v>
      </c>
      <c r="Y8" s="18">
        <f>Y4-Y7</f>
        <v>95.3860864</v>
      </c>
      <c r="Z8" s="18">
        <f>Z4-Z7</f>
        <v>38.15443456000001</v>
      </c>
      <c r="AA8" s="18">
        <f>AA4-AA7</f>
        <v>15.261773824000002</v>
      </c>
      <c r="AB8" s="18">
        <f>AB4-AB7</f>
        <v>6.104709529600002</v>
      </c>
      <c r="AC8" s="18">
        <f>AC4-AC7</f>
        <v>2.441883811840001</v>
      </c>
      <c r="AD8" s="18">
        <f>AD4-AD7</f>
        <v>0.9767535247360004</v>
      </c>
      <c r="AE8" s="18">
        <f>AE4-AE7</f>
        <v>0.39070140989440016</v>
      </c>
    </row>
    <row r="9">
      <c r="A9" s="19" t="inlineStr">
        <is>
          <t>Interest &amp; Other</t>
        </is>
      </c>
      <c r="B9" s="18" t="n">
        <v>-9.821999999999999</v>
      </c>
      <c r="C9" s="18" t="n">
        <v>27.577</v>
      </c>
      <c r="D9" s="18" t="n">
        <v>-45.881</v>
      </c>
      <c r="E9" s="18" t="n">
        <v>50.779</v>
      </c>
      <c r="F9" s="18" t="n">
        <v>-209.092</v>
      </c>
      <c r="G9" s="18">
        <f>SUM('Quarterly Model'!F9:I9)</f>
        <v>-189.411</v>
      </c>
      <c r="H9" s="18">
        <f>Assumptions!$B$16*MAX(0,G20)-Assumptions!$B$17*Main!$C$8</f>
        <v>-31.463425</v>
      </c>
      <c r="I9" s="18">
        <f>Assumptions!$B$16*MAX(0,H20)-Assumptions!$B$17*Main!$C$8</f>
        <v>-24.218707937500007</v>
      </c>
      <c r="J9" s="18">
        <f>Assumptions!$B$16*MAX(0,I20)-Assumptions!$B$17*Main!$C$8</f>
        <v>3.1753095148437325</v>
      </c>
      <c r="K9" s="18">
        <f>Assumptions!$B$16*MAX(0,J20)-Assumptions!$B$17*Main!$C$8</f>
        <v>56.39983012165035</v>
      </c>
      <c r="L9" s="18">
        <f>Assumptions!$B$16*MAX(0,K20)-Assumptions!$B$17*Main!$C$8</f>
        <v>128.26334401595764</v>
      </c>
      <c r="M9" s="18">
        <f>Assumptions!$B$16*MAX(0,L20)-Assumptions!$B$17*Main!$C$8</f>
        <v>209.37382241993038</v>
      </c>
      <c r="N9" s="18">
        <f>Assumptions!$B$16*MAX(0,M20)-Assumptions!$B$17*Main!$C$8</f>
        <v>302.0227755341208</v>
      </c>
      <c r="O9" s="18">
        <f>Assumptions!$B$16*MAX(0,N20)-Assumptions!$B$17*Main!$C$8</f>
        <v>401.52247888431907</v>
      </c>
      <c r="P9" s="18">
        <f>Assumptions!$B$16*MAX(0,O20)-Assumptions!$B$17*Main!$C$8</f>
        <v>506.6529083212671</v>
      </c>
      <c r="Q9" s="18">
        <f>Assumptions!$B$16*MAX(0,P20)-Assumptions!$B$17*Main!$C$8</f>
        <v>615.8496779802847</v>
      </c>
      <c r="R9" s="18">
        <f>Assumptions!$B$16*MAX(0,Q20)-Assumptions!$B$17*Main!$C$8</f>
        <v>728.2814019404507</v>
      </c>
      <c r="S9" s="18">
        <f>Assumptions!$B$16*MAX(0,R20)-Assumptions!$B$17*Main!$C$8</f>
        <v>844.0439157229366</v>
      </c>
      <c r="T9" s="18">
        <f>Assumptions!$B$16*MAX(0,S20)-Assumptions!$B$17*Main!$C$8</f>
        <v>936.5289564762286</v>
      </c>
      <c r="U9" s="18">
        <f>Assumptions!$B$16*MAX(0,T20)-Assumptions!$B$17*Main!$C$8</f>
        <v>1021.071091561837</v>
      </c>
      <c r="V9" s="18">
        <f>Assumptions!$B$16*MAX(0,U20)-Assumptions!$B$17*Main!$C$8</f>
        <v>1103.8446773993564</v>
      </c>
      <c r="W9" s="18">
        <f>Assumptions!$B$16*MAX(0,V20)-Assumptions!$B$17*Main!$C$8</f>
        <v>1180.6994011173122</v>
      </c>
      <c r="X9" s="18">
        <f>Assumptions!$B$16*MAX(0,W20)-Assumptions!$B$17*Main!$C$8</f>
        <v>1233.3389509354126</v>
      </c>
      <c r="Y9" s="18">
        <f>Assumptions!$B$16*MAX(0,X20)-Assumptions!$B$17*Main!$C$8</f>
        <v>1276.941149380874</v>
      </c>
      <c r="Z9" s="18">
        <f>Assumptions!$B$16*MAX(0,Y20)-Assumptions!$B$17*Main!$C$8</f>
        <v>1317.5963437408825</v>
      </c>
      <c r="AA9" s="18">
        <f>Assumptions!$B$16*MAX(0,Z20)-Assumptions!$B$17*Main!$C$8</f>
        <v>1357.7604605480462</v>
      </c>
      <c r="AB9" s="18">
        <f>Assumptions!$B$16*MAX(0,AA20)-Assumptions!$B$17*Main!$C$8</f>
        <v>1398.436244241318</v>
      </c>
      <c r="AC9" s="18">
        <f>Assumptions!$B$16*MAX(0,AB20)-Assumptions!$B$17*Main!$C$8</f>
        <v>1440.0457699967812</v>
      </c>
      <c r="AD9" s="18">
        <f>Assumptions!$B$16*MAX(0,AC20)-Assumptions!$B$17*Main!$C$8</f>
        <v>1482.7794667408618</v>
      </c>
      <c r="AE9" s="18">
        <f>Assumptions!$B$16*MAX(0,AD20)-Assumptions!$B$17*Main!$C$8</f>
        <v>1526.7357447662303</v>
      </c>
    </row>
    <row r="10">
      <c r="A10" s="2" t="inlineStr">
        <is>
          <t>Pretax</t>
        </is>
      </c>
      <c r="B10" s="18">
        <f>B8+B9</f>
        <v>-586.4540000000001</v>
      </c>
      <c r="C10" s="18">
        <f>C8+C9</f>
        <v>-484.625</v>
      </c>
      <c r="D10" s="18">
        <f>D8+D9</f>
        <v>-653.251</v>
      </c>
      <c r="E10" s="18">
        <f>E8+E9</f>
        <v>-542.1940000000001</v>
      </c>
      <c r="F10" s="18">
        <f>F8+F9</f>
        <v>-732.5029999999999</v>
      </c>
      <c r="G10" s="18">
        <f>G8+G9</f>
        <v>-544.9649999999999</v>
      </c>
      <c r="H10" s="18">
        <f>H8+H9</f>
        <v>193.1924549999998</v>
      </c>
      <c r="I10" s="18">
        <f>I8+I9</f>
        <v>730.5071320624996</v>
      </c>
      <c r="J10" s="18">
        <f>J8+J9</f>
        <v>1419.3205495148434</v>
      </c>
      <c r="K10" s="18">
        <f>K8+K9</f>
        <v>2106.2682901216504</v>
      </c>
      <c r="L10" s="18">
        <f>L8+L9</f>
        <v>2737.9064440159577</v>
      </c>
      <c r="M10" s="18">
        <f>M8+M9</f>
        <v>3127.3908224199313</v>
      </c>
      <c r="N10" s="18">
        <f>N8+N9</f>
        <v>3358.639775534121</v>
      </c>
      <c r="O10" s="18">
        <f>O8+O9</f>
        <v>3548.70647888432</v>
      </c>
      <c r="P10" s="18">
        <f>P8+P9</f>
        <v>3685.9669083212675</v>
      </c>
      <c r="Q10" s="18">
        <f>Q8+Q9</f>
        <v>3795.163677980285</v>
      </c>
      <c r="R10" s="18">
        <f>R8+R9</f>
        <v>3907.5954019404508</v>
      </c>
      <c r="S10" s="18">
        <f>S8+S9</f>
        <v>3121.857915722937</v>
      </c>
      <c r="T10" s="18">
        <f>T8+T9</f>
        <v>2853.7429564762288</v>
      </c>
      <c r="U10" s="18">
        <f>U8+U9</f>
        <v>2794.0450915618367</v>
      </c>
      <c r="V10" s="18">
        <f>V8+V9</f>
        <v>2594.2522773993564</v>
      </c>
      <c r="W10" s="18">
        <f>W8+W9</f>
        <v>1776.8624411173118</v>
      </c>
      <c r="X10" s="18">
        <f>X8+X9</f>
        <v>1471.8041669354127</v>
      </c>
      <c r="Y10" s="18">
        <f>Y8+Y9</f>
        <v>1372.3272357808742</v>
      </c>
      <c r="Z10" s="18">
        <f>Z8+Z9</f>
        <v>1355.7507783008825</v>
      </c>
      <c r="AA10" s="18">
        <f>AA8+AA9</f>
        <v>1373.0222343720463</v>
      </c>
      <c r="AB10" s="18">
        <f>AB8+AB9</f>
        <v>1404.5409537709181</v>
      </c>
      <c r="AC10" s="18">
        <f>AC8+AC9</f>
        <v>1442.4876538086212</v>
      </c>
      <c r="AD10" s="18">
        <f>AD8+AD9</f>
        <v>1483.756220265598</v>
      </c>
      <c r="AE10" s="18">
        <f>AE8+AE9</f>
        <v>1527.1264461761245</v>
      </c>
    </row>
    <row r="11">
      <c r="A11" s="2" t="inlineStr">
        <is>
          <t>Taxes</t>
        </is>
      </c>
      <c r="B11" s="18" t="n">
        <v>0</v>
      </c>
      <c r="C11" s="18" t="n">
        <v>0</v>
      </c>
      <c r="D11" s="18" t="n">
        <v>0</v>
      </c>
      <c r="E11" s="18" t="n">
        <v>1.153</v>
      </c>
      <c r="F11" s="18" t="n">
        <v>0.435</v>
      </c>
      <c r="G11" s="18">
        <f>SUM('Quarterly Model'!F11:I11)</f>
        <v>0.0</v>
      </c>
      <c r="H11" s="18">
        <f>MAX(0,H10-G21)*Assumptions!$B$15</f>
        <v>0.0</v>
      </c>
      <c r="I11" s="18">
        <f>MAX(0,I10-H21)*Assumptions!$B$15</f>
        <v>0.0</v>
      </c>
      <c r="J11" s="18">
        <f>MAX(0,J10-I21)*Assumptions!$B$15</f>
        <v>0.0</v>
      </c>
      <c r="K11" s="18">
        <f>MAX(0,K10-J21)*Assumptions!$B$15</f>
        <v>189.90791960678857</v>
      </c>
      <c r="L11" s="18">
        <f>MAX(0,L10-K21)*Assumptions!$B$15</f>
        <v>574.960353243351</v>
      </c>
      <c r="M11" s="18">
        <f>MAX(0,M10-L21)*Assumptions!$B$15</f>
        <v>656.7520727081856</v>
      </c>
      <c r="N11" s="18">
        <f>MAX(0,N10-M21)*Assumptions!$B$15</f>
        <v>705.3143528621654</v>
      </c>
      <c r="O11" s="18">
        <f>MAX(0,O10-N21)*Assumptions!$B$15</f>
        <v>745.2283605657071</v>
      </c>
      <c r="P11" s="18">
        <f>MAX(0,P10-O21)*Assumptions!$B$15</f>
        <v>774.0530507474662</v>
      </c>
      <c r="Q11" s="18">
        <f>MAX(0,Q10-P21)*Assumptions!$B$15</f>
        <v>796.9843723758597</v>
      </c>
      <c r="R11" s="18">
        <f>MAX(0,R10-Q21)*Assumptions!$B$15</f>
        <v>820.5950344074946</v>
      </c>
      <c r="S11" s="18">
        <f>MAX(0,S10-R21)*Assumptions!$B$15</f>
        <v>655.5901623018167</v>
      </c>
      <c r="T11" s="18">
        <f>MAX(0,T10-S21)*Assumptions!$B$15</f>
        <v>599.286020860008</v>
      </c>
      <c r="U11" s="18">
        <f>MAX(0,U10-T21)*Assumptions!$B$15</f>
        <v>586.7494692279856</v>
      </c>
      <c r="V11" s="18">
        <f>MAX(0,V10-U21)*Assumptions!$B$15</f>
        <v>544.7929782538648</v>
      </c>
      <c r="W11" s="18">
        <f>MAX(0,W10-V21)*Assumptions!$B$15</f>
        <v>373.1411126346355</v>
      </c>
      <c r="X11" s="18">
        <f>MAX(0,X10-W21)*Assumptions!$B$15</f>
        <v>309.07887505643663</v>
      </c>
      <c r="Y11" s="18">
        <f>MAX(0,Y10-X21)*Assumptions!$B$15</f>
        <v>288.1887195139836</v>
      </c>
      <c r="Z11" s="18">
        <f>MAX(0,Z10-Y21)*Assumptions!$B$15</f>
        <v>284.7076634431853</v>
      </c>
      <c r="AA11" s="18">
        <f>MAX(0,AA10-Z21)*Assumptions!$B$15</f>
        <v>288.3346692181297</v>
      </c>
      <c r="AB11" s="18">
        <f>MAX(0,AB10-AA21)*Assumptions!$B$15</f>
        <v>294.95360029189277</v>
      </c>
      <c r="AC11" s="18">
        <f>MAX(0,AC10-AB21)*Assumptions!$B$15</f>
        <v>302.92240729981046</v>
      </c>
      <c r="AD11" s="18">
        <f>MAX(0,AD10-AC21)*Assumptions!$B$15</f>
        <v>311.5888062557755</v>
      </c>
      <c r="AE11" s="18">
        <f>MAX(0,AE10-AD21)*Assumptions!$B$15</f>
        <v>320.69655369698614</v>
      </c>
    </row>
    <row r="12">
      <c r="A12" s="2" t="inlineStr">
        <is>
          <t>Net Income</t>
        </is>
      </c>
      <c r="B12" s="18" t="n">
        <v>-586.454</v>
      </c>
      <c r="C12" s="18" t="n">
        <v>-484.625</v>
      </c>
      <c r="D12" s="18" t="n">
        <v>-653.251</v>
      </c>
      <c r="E12" s="18" t="n">
        <v>-543.347</v>
      </c>
      <c r="F12" s="18" t="n">
        <v>-732.938</v>
      </c>
      <c r="G12" s="18">
        <f>G10-G11</f>
        <v>-544.9649999999999</v>
      </c>
      <c r="H12" s="18">
        <f>H10-H11</f>
        <v>193.1924549999998</v>
      </c>
      <c r="I12" s="18">
        <f>I10-I11</f>
        <v>730.5071320624996</v>
      </c>
      <c r="J12" s="18">
        <f>J10-J11</f>
        <v>1419.3205495148434</v>
      </c>
      <c r="K12" s="18">
        <f>K10-K11</f>
        <v>1916.3603705148619</v>
      </c>
      <c r="L12" s="18">
        <f>L10-L11</f>
        <v>2162.9460907726066</v>
      </c>
      <c r="M12" s="18">
        <f>M10-M11</f>
        <v>2470.6387497117457</v>
      </c>
      <c r="N12" s="18">
        <f>N10-N11</f>
        <v>2653.3254226719555</v>
      </c>
      <c r="O12" s="18">
        <f>O10-O11</f>
        <v>2803.478118318613</v>
      </c>
      <c r="P12" s="18">
        <f>P10-P11</f>
        <v>2911.9138575738016</v>
      </c>
      <c r="Q12" s="18">
        <f>Q10-Q11</f>
        <v>2998.1793056044253</v>
      </c>
      <c r="R12" s="18">
        <f>R10-R11</f>
        <v>3087.0003675329563</v>
      </c>
      <c r="S12" s="18">
        <f>S10-S11</f>
        <v>2466.2677534211202</v>
      </c>
      <c r="T12" s="18">
        <f>T10-T11</f>
        <v>2254.456935616221</v>
      </c>
      <c r="U12" s="18">
        <f>U10-U11</f>
        <v>2207.295622333851</v>
      </c>
      <c r="V12" s="18">
        <f>V10-V11</f>
        <v>2049.4592991454915</v>
      </c>
      <c r="W12" s="18">
        <f>W10-W11</f>
        <v>1403.7213284826764</v>
      </c>
      <c r="X12" s="18">
        <f>X10-X11</f>
        <v>1162.7252918789761</v>
      </c>
      <c r="Y12" s="18">
        <f>Y10-Y11</f>
        <v>1084.1385162668905</v>
      </c>
      <c r="Z12" s="18">
        <f>Z10-Z11</f>
        <v>1071.0431148576972</v>
      </c>
      <c r="AA12" s="18">
        <f>AA10-AA11</f>
        <v>1084.6875651539167</v>
      </c>
      <c r="AB12" s="18">
        <f>AB10-AB11</f>
        <v>1109.5873534790253</v>
      </c>
      <c r="AC12" s="18">
        <f>AC10-AC11</f>
        <v>1139.5652465088108</v>
      </c>
      <c r="AD12" s="18">
        <f>AD10-AD11</f>
        <v>1172.1674140098223</v>
      </c>
      <c r="AE12" s="18">
        <f>AE10-AE11</f>
        <v>1206.4298924791383</v>
      </c>
    </row>
    <row r="13">
      <c r="A13" s="2" t="inlineStr">
        <is>
          <t>Earnings per Share</t>
        </is>
      </c>
      <c r="B13" s="11">
        <f>IFERROR(B12/B14,0)</f>
        <v>-4.062525544310286</v>
      </c>
      <c r="C13" s="11">
        <f>IFERROR(C12/C14,0)</f>
        <v>-3.2861947610749085</v>
      </c>
      <c r="D13" s="11">
        <f>IFERROR(D12/D14,0)</f>
        <v>-4.012795469064819</v>
      </c>
      <c r="E13" s="11">
        <f>IFERROR(E12/E14,0)</f>
        <v>-2.920027300672843</v>
      </c>
      <c r="F13" s="11">
        <f>IFERROR(F12/F14,0)</f>
        <v>-3.826812929769693</v>
      </c>
      <c r="G13" s="11">
        <f>IFERROR(G12/G14,0)</f>
        <v>-2.7851371448722073</v>
      </c>
      <c r="H13" s="11">
        <f>IFERROR(H12/H14,0)</f>
        <v>0.9882600201790924</v>
      </c>
      <c r="I13" s="11">
        <f>IFERROR(I12/I14,0)</f>
        <v>3.73684879708712</v>
      </c>
      <c r="J13" s="11">
        <f>IFERROR(J12/J14,0)</f>
        <v>7.2604168465282</v>
      </c>
      <c r="K13" s="11">
        <f>IFERROR(K12/K14,0)</f>
        <v>9.802982929304523</v>
      </c>
      <c r="L13" s="11">
        <f>IFERROR(L12/L14,0)</f>
        <v>11.064371780529562</v>
      </c>
      <c r="M13" s="11">
        <f>IFERROR(M12/M14,0)</f>
        <v>12.638348121024602</v>
      </c>
      <c r="N13" s="11">
        <f>IFERROR(N12/N14,0)</f>
        <v>13.572866682353038</v>
      </c>
      <c r="O13" s="11">
        <f>IFERROR(O12/O14,0)</f>
        <v>14.340960374364512</v>
      </c>
      <c r="P13" s="11">
        <f>IFERROR(P12/P14,0)</f>
        <v>14.895654427320503</v>
      </c>
      <c r="Q13" s="11">
        <f>IFERROR(Q12/Q14,0)</f>
        <v>15.336938189729873</v>
      </c>
      <c r="R13" s="11">
        <f>IFERROR(R12/R14,0)</f>
        <v>15.791294983600618</v>
      </c>
      <c r="S13" s="11">
        <f>IFERROR(S12/S14,0)</f>
        <v>12.615988651125138</v>
      </c>
      <c r="T13" s="11">
        <f>IFERROR(T12/T14,0)</f>
        <v>11.53248793636886</v>
      </c>
      <c r="U13" s="11">
        <f>IFERROR(U12/U14,0)</f>
        <v>11.29123814006544</v>
      </c>
      <c r="V13" s="11">
        <f>IFERROR(V12/V14,0)</f>
        <v>10.48383948705323</v>
      </c>
      <c r="W13" s="11">
        <f>IFERROR(W12/W14,0)</f>
        <v>7.180620321907052</v>
      </c>
      <c r="X13" s="11">
        <f>IFERROR(X12/X14,0)</f>
        <v>5.9478250349635</v>
      </c>
      <c r="Y13" s="11">
        <f>IFERROR(Y12/Y14,0)</f>
        <v>5.5458208860322715</v>
      </c>
      <c r="Z13" s="11">
        <f>IFERROR(Z12/Z14,0)</f>
        <v>5.478832443544169</v>
      </c>
      <c r="AA13" s="11">
        <f>IFERROR(AA12/AA14,0)</f>
        <v>5.548629500189443</v>
      </c>
      <c r="AB13" s="11">
        <f>IFERROR(AB12/AB14,0)</f>
        <v>5.676002307334665</v>
      </c>
      <c r="AC13" s="11">
        <f>IFERROR(AC12/AC14,0)</f>
        <v>5.829351738970297</v>
      </c>
      <c r="AD13" s="11">
        <f>IFERROR(AD12/AD14,0)</f>
        <v>5.996125429549632</v>
      </c>
      <c r="AE13" s="11">
        <f>IFERROR(AE12/AE14,0)</f>
        <v>6.171392303524973</v>
      </c>
    </row>
    <row r="14">
      <c r="A14" s="2" t="inlineStr">
        <is>
          <t>Shares</t>
        </is>
      </c>
      <c r="B14" s="18" t="n">
        <v>144.357</v>
      </c>
      <c r="C14" s="18" t="n">
        <v>147.473</v>
      </c>
      <c r="D14" s="18" t="n">
        <v>162.792</v>
      </c>
      <c r="E14" s="18" t="n">
        <v>186.076</v>
      </c>
      <c r="F14" s="18" t="n">
        <v>191.527</v>
      </c>
      <c r="G14" s="18">
        <f>AVERAGE('Quarterly Model'!F14:I14)</f>
        <v>195.66899999999998</v>
      </c>
      <c r="H14" s="18">
        <f>Main!$C$4*(1+Assumptions!$B$26)^(H1-2026)</f>
        <v>195.487474</v>
      </c>
      <c r="I14" s="18">
        <f>Main!$C$4*(1+Assumptions!$B$26)^(I1-2026)</f>
        <v>195.487474</v>
      </c>
      <c r="J14" s="18">
        <f>Main!$C$4*(1+Assumptions!$B$26)^(J1-2026)</f>
        <v>195.487474</v>
      </c>
      <c r="K14" s="18">
        <f>Main!$C$4*(1+Assumptions!$B$26)^(K1-2026)</f>
        <v>195.487474</v>
      </c>
      <c r="L14" s="18">
        <f>Main!$C$4*(1+Assumptions!$B$26)^(L1-2026)</f>
        <v>195.487474</v>
      </c>
      <c r="M14" s="18">
        <f>Main!$C$4*(1+Assumptions!$B$26)^(M1-2026)</f>
        <v>195.487474</v>
      </c>
      <c r="N14" s="18">
        <f>Main!$C$4*(1+Assumptions!$B$26)^(N1-2026)</f>
        <v>195.487474</v>
      </c>
      <c r="O14" s="18">
        <f>Main!$C$4*(1+Assumptions!$B$26)^(O1-2026)</f>
        <v>195.487474</v>
      </c>
      <c r="P14" s="18">
        <f>Main!$C$4*(1+Assumptions!$B$26)^(P1-2026)</f>
        <v>195.487474</v>
      </c>
      <c r="Q14" s="18">
        <f>Main!$C$4*(1+Assumptions!$B$26)^(Q1-2026)</f>
        <v>195.487474</v>
      </c>
      <c r="R14" s="18">
        <f>Main!$C$4*(1+Assumptions!$B$26)^(R1-2026)</f>
        <v>195.487474</v>
      </c>
      <c r="S14" s="18">
        <f>Main!$C$4*(1+Assumptions!$B$26)^(S1-2026)</f>
        <v>195.487474</v>
      </c>
      <c r="T14" s="18">
        <f>Main!$C$4*(1+Assumptions!$B$26)^(T1-2026)</f>
        <v>195.487474</v>
      </c>
      <c r="U14" s="18">
        <f>Main!$C$4*(1+Assumptions!$B$26)^(U1-2026)</f>
        <v>195.487474</v>
      </c>
      <c r="V14" s="18">
        <f>Main!$C$4*(1+Assumptions!$B$26)^(V1-2026)</f>
        <v>195.487474</v>
      </c>
      <c r="W14" s="18">
        <f>Main!$C$4*(1+Assumptions!$B$26)^(W1-2026)</f>
        <v>195.487474</v>
      </c>
      <c r="X14" s="18">
        <f>Main!$C$4*(1+Assumptions!$B$26)^(X1-2026)</f>
        <v>195.487474</v>
      </c>
      <c r="Y14" s="18">
        <f>Main!$C$4*(1+Assumptions!$B$26)^(Y1-2026)</f>
        <v>195.487474</v>
      </c>
      <c r="Z14" s="18">
        <f>Main!$C$4*(1+Assumptions!$B$26)^(Z1-2026)</f>
        <v>195.487474</v>
      </c>
      <c r="AA14" s="18">
        <f>Main!$C$4*(1+Assumptions!$B$26)^(AA1-2026)</f>
        <v>195.487474</v>
      </c>
      <c r="AB14" s="18">
        <f>Main!$C$4*(1+Assumptions!$B$26)^(AB1-2026)</f>
        <v>195.487474</v>
      </c>
      <c r="AC14" s="18">
        <f>Main!$C$4*(1+Assumptions!$B$26)^(AC1-2026)</f>
        <v>195.487474</v>
      </c>
      <c r="AD14" s="18">
        <f>Main!$C$4*(1+Assumptions!$B$26)^(AD1-2026)</f>
        <v>195.487474</v>
      </c>
      <c r="AE14" s="18">
        <f>Main!$C$4*(1+Assumptions!$B$26)^(AE1-2026)</f>
        <v>195.487474</v>
      </c>
    </row>
    <row r="15"/>
    <row r="16" customFormat="1" s="4">
      <c r="A16" s="3" t="inlineStr">
        <is>
          <t>Revenue Change</t>
        </is>
      </c>
      <c r="B16" s="4" t="n"/>
      <c r="C16" s="14">
        <f>IFERROR(C2/B2-1,"")</f>
        <v>0.11377589075678474</v>
      </c>
      <c r="D16" s="14">
        <f>IFERROR(D2/C2-1,"")</f>
        <v>-0.8801900886049866</v>
      </c>
      <c r="E16" s="14">
        <f>IFERROR(E2/D2-1,"")</f>
        <v>22.85273567666344</v>
      </c>
      <c r="F16" s="14">
        <f>IFERROR(F2/E2-1,"")</f>
        <v>1.2626024100729154</v>
      </c>
      <c r="G16" s="14">
        <f>IFERROR(G2/F2-1,"")</f>
        <v>1.0458854834726217</v>
      </c>
      <c r="H16" s="14">
        <f>IFERROR(H2/G2-1,"")</f>
        <v>0.8600998841499623</v>
      </c>
      <c r="I16" s="14">
        <f>IFERROR(I2/H2-1,"")</f>
        <v>0.4010392133464804</v>
      </c>
      <c r="J16" s="14">
        <f>IFERROR(J2/I2-1,"")</f>
        <v>0.40166354617898414</v>
      </c>
      <c r="K16" s="14">
        <f>IFERROR(K2/J2-1,"")</f>
        <v>0.2925026078326127</v>
      </c>
      <c r="L16" s="14">
        <f>IFERROR(L2/K2-1,"")</f>
        <v>0.21758905856352406</v>
      </c>
      <c r="M16" s="14">
        <f>IFERROR(M2/L2-1,"")</f>
        <v>0.07938647667788334</v>
      </c>
      <c r="N16" s="14">
        <f>IFERROR(N2/M2-1,"")</f>
        <v>0.03943404752042756</v>
      </c>
      <c r="O16" s="14">
        <f>IFERROR(O2/N2-1,"")</f>
        <v>0.016849760453553575</v>
      </c>
      <c r="P16" s="14">
        <f>IFERROR(P2/O2-1,"")</f>
        <v>0.009819420631916431</v>
      </c>
      <c r="Q16" s="14">
        <f>IFERROR(Q2/P2-1,"")</f>
        <v>0.0</v>
      </c>
      <c r="R16" s="14">
        <f>IFERROR(R2/Q2-1,"")</f>
        <v>0.0</v>
      </c>
      <c r="S16" s="14">
        <f>IFERROR(S2/R2-1,"")</f>
        <v>-0.2866466748985712</v>
      </c>
      <c r="T16" s="14">
        <f>IFERROR(T2/S2-1,"")</f>
        <v>-0.16073194856577644</v>
      </c>
      <c r="U16" s="14">
        <f>IFERROR(U2/T2-1,"")</f>
        <v>-0.07660577489687681</v>
      </c>
      <c r="V16" s="14">
        <f>IFERROR(V2/U2-1,"")</f>
        <v>-0.15775366943203584</v>
      </c>
      <c r="W16" s="14">
        <f>IFERROR(W2/V2-1,"")</f>
        <v>-0.6000000000000001</v>
      </c>
      <c r="X16" s="14">
        <f>IFERROR(X2/W2-1,"")</f>
        <v>-0.5999999999999999</v>
      </c>
      <c r="Y16" s="14">
        <f>IFERROR(Y2/X2-1,"")</f>
        <v>-0.6</v>
      </c>
      <c r="Z16" s="14">
        <f>IFERROR(Z2/Y2-1,"")</f>
        <v>-0.5999999999999999</v>
      </c>
      <c r="AA16" s="14">
        <f>IFERROR(AA2/Z2-1,"")</f>
        <v>-0.6000000000000001</v>
      </c>
      <c r="AB16" s="14">
        <f>IFERROR(AB2/AA2-1,"")</f>
        <v>-0.6</v>
      </c>
      <c r="AC16" s="14">
        <f>IFERROR(AC2/AB2-1,"")</f>
        <v>-0.6</v>
      </c>
      <c r="AD16" s="14">
        <f>IFERROR(AD2/AC2-1,"")</f>
        <v>-0.6</v>
      </c>
      <c r="AE16" s="14">
        <f>IFERROR(AE2/AD2-1,"")</f>
        <v>-0.6</v>
      </c>
    </row>
    <row r="17" customFormat="1" s="4">
      <c r="A17" s="3" t="inlineStr">
        <is>
          <t>Gross Margin</t>
        </is>
      </c>
      <c r="B17" s="14">
        <f>IFERROR(B4/B2,"")</f>
        <v>0.9553330655803545</v>
      </c>
      <c r="C17" s="14">
        <f>IFERROR(C4/C2,"")</f>
        <v>0.9557747784875336</v>
      </c>
      <c r="D17" s="14">
        <f>IFERROR(D4/D2,"")</f>
        <v>0.7370740621304956</v>
      </c>
      <c r="E17" s="14">
        <f>IFERROR(E4/E2,"")</f>
        <v>0.9825238168200378</v>
      </c>
      <c r="F17" s="14">
        <f>IFERROR(F4/F2,"")</f>
        <v>0.9582493487041802</v>
      </c>
      <c r="G17" s="14">
        <f>IFERROR(G4/G2,"")</f>
        <v>0.9401250012169121</v>
      </c>
      <c r="H17" s="14">
        <f>IFERROR(H4/H2,"")</f>
        <v>0.8961324054941812</v>
      </c>
      <c r="I17" s="14">
        <f>IFERROR(I4/I2,"")</f>
        <v>0.8908396851320841</v>
      </c>
      <c r="J17" s="14">
        <f>IFERROR(J4/J2,"")</f>
        <v>0.8929991061144014</v>
      </c>
      <c r="K17" s="14">
        <f>IFERROR(K4/K2,"")</f>
        <v>0.8937565741532318</v>
      </c>
      <c r="L17" s="14">
        <f>IFERROR(L4/L2,"")</f>
        <v>0.894348872379088</v>
      </c>
      <c r="M17" s="14">
        <f>IFERROR(M4/M2,"")</f>
        <v>0.8953957054637196</v>
      </c>
      <c r="N17" s="14">
        <f>IFERROR(N4/N2,"")</f>
        <v>0.8957627901500675</v>
      </c>
      <c r="O17" s="14">
        <f>IFERROR(O4/O2,"")</f>
        <v>0.8960321524793481</v>
      </c>
      <c r="P17" s="14">
        <f>IFERROR(P4/P2,"")</f>
        <v>0.896181866290351</v>
      </c>
      <c r="Q17" s="14">
        <f>IFERROR(Q4/Q2,"")</f>
        <v>0.896181866290351</v>
      </c>
      <c r="R17" s="14">
        <f>IFERROR(R4/R2,"")</f>
        <v>0.896181866290351</v>
      </c>
      <c r="S17" s="14">
        <f>IFERROR(S4/S2,"")</f>
        <v>0.9014478239366963</v>
      </c>
      <c r="T17" s="14">
        <f>IFERROR(T4/T2,"")</f>
        <v>0.9049661166764879</v>
      </c>
      <c r="U17" s="14">
        <f>IFERROR(U4/U2,"")</f>
        <v>0.9067820676451819</v>
      </c>
      <c r="V17" s="14">
        <f>IFERROR(V4/V2,"")</f>
        <v>0.9057611001666919</v>
      </c>
      <c r="W17" s="14">
        <f>IFERROR(W4/W2,"")</f>
        <v>0.9057611001666919</v>
      </c>
      <c r="X17" s="14">
        <f>IFERROR(X4/X2,"")</f>
        <v>0.9057611001666919</v>
      </c>
      <c r="Y17" s="14">
        <f>IFERROR(Y4/Y2,"")</f>
        <v>0.9057611001666919</v>
      </c>
      <c r="Z17" s="14">
        <f>IFERROR(Z4/Z2,"")</f>
        <v>0.9057611001666919</v>
      </c>
      <c r="AA17" s="14">
        <f>IFERROR(AA4/AA2,"")</f>
        <v>0.905761100166692</v>
      </c>
      <c r="AB17" s="14">
        <f>IFERROR(AB4/AB2,"")</f>
        <v>0.905761100166692</v>
      </c>
      <c r="AC17" s="14">
        <f>IFERROR(AC4/AC2,"")</f>
        <v>0.9057611001666919</v>
      </c>
      <c r="AD17" s="14">
        <f>IFERROR(AD4/AD2,"")</f>
        <v>0.9057611001666919</v>
      </c>
      <c r="AE17" s="14">
        <f>IFERROR(AE4/AE2,"")</f>
        <v>0.9057611001666919</v>
      </c>
    </row>
    <row r="19">
      <c r="A19" s="13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A+E</t>
        </is>
      </c>
      <c r="H19" s="20" t="inlineStr">
        <is>
          <t>E</t>
        </is>
      </c>
      <c r="I19" s="20" t="inlineStr">
        <is>
          <t>E</t>
        </is>
      </c>
      <c r="J19" s="20" t="inlineStr">
        <is>
          <t>E</t>
        </is>
      </c>
      <c r="K19" s="20" t="inlineStr">
        <is>
          <t>E</t>
        </is>
      </c>
      <c r="L19" s="20" t="inlineStr">
        <is>
          <t>E</t>
        </is>
      </c>
      <c r="M19" s="20" t="inlineStr">
        <is>
          <t>E</t>
        </is>
      </c>
      <c r="N19" s="20" t="inlineStr">
        <is>
          <t>E</t>
        </is>
      </c>
      <c r="O19" s="20" t="inlineStr">
        <is>
          <t>E</t>
        </is>
      </c>
      <c r="P19" s="20" t="inlineStr">
        <is>
          <t>E</t>
        </is>
      </c>
      <c r="Q19" s="20" t="inlineStr">
        <is>
          <t>E</t>
        </is>
      </c>
      <c r="R19" s="20" t="inlineStr">
        <is>
          <t>E</t>
        </is>
      </c>
      <c r="S19" s="20" t="inlineStr">
        <is>
          <t>E</t>
        </is>
      </c>
      <c r="T19" s="20" t="inlineStr">
        <is>
          <t>E</t>
        </is>
      </c>
      <c r="U19" s="20" t="inlineStr">
        <is>
          <t>E</t>
        </is>
      </c>
      <c r="V19" s="20" t="inlineStr">
        <is>
          <t>E</t>
        </is>
      </c>
      <c r="W19" s="20" t="inlineStr">
        <is>
          <t>E</t>
        </is>
      </c>
      <c r="X19" s="20" t="inlineStr">
        <is>
          <t>E</t>
        </is>
      </c>
      <c r="Y19" s="20" t="inlineStr">
        <is>
          <t>E</t>
        </is>
      </c>
      <c r="Z19" s="20" t="inlineStr">
        <is>
          <t>E</t>
        </is>
      </c>
      <c r="AA19" s="20" t="inlineStr">
        <is>
          <t>E</t>
        </is>
      </c>
      <c r="AB19" s="20" t="inlineStr">
        <is>
          <t>E</t>
        </is>
      </c>
      <c r="AC19" s="20" t="inlineStr">
        <is>
          <t>E</t>
        </is>
      </c>
      <c r="AD19" s="20" t="inlineStr">
        <is>
          <t>E</t>
        </is>
      </c>
      <c r="AE19" s="20" t="inlineStr">
        <is>
          <t>E</t>
        </is>
      </c>
    </row>
    <row r="20">
      <c r="A20" s="13" t="inlineStr">
        <is>
          <t>Cash &amp; Investments</t>
        </is>
      </c>
      <c r="G20" s="18">
        <f>'Quarterly Model'!I20</f>
        <v>1497.642</v>
      </c>
      <c r="H20" s="18">
        <f>G20+H12</f>
        <v>1690.834455</v>
      </c>
      <c r="I20" s="18">
        <f>H20+I12</f>
        <v>2421.3415870624995</v>
      </c>
      <c r="J20" s="18">
        <f>I20+J12</f>
        <v>3840.6621365773426</v>
      </c>
      <c r="K20" s="18">
        <f>J20+K12</f>
        <v>5757.022507092204</v>
      </c>
      <c r="L20" s="18">
        <f>K20+L12</f>
        <v>7919.96859786481</v>
      </c>
      <c r="M20" s="18">
        <f>L20+M12</f>
        <v>10390.607347576555</v>
      </c>
      <c r="N20" s="18">
        <f>M20+N12</f>
        <v>13043.93277024851</v>
      </c>
      <c r="O20" s="18">
        <f>N20+O12</f>
        <v>15847.410888567123</v>
      </c>
      <c r="P20" s="18">
        <f>O20+P12</f>
        <v>18759.324746140926</v>
      </c>
      <c r="Q20" s="18">
        <f>P20+Q12</f>
        <v>21757.504051745353</v>
      </c>
      <c r="R20" s="18">
        <f>Q20+R12</f>
        <v>24844.50441927831</v>
      </c>
      <c r="S20" s="18">
        <f>R20+S12</f>
        <v>27310.77217269943</v>
      </c>
      <c r="T20" s="18">
        <f>S20+T12</f>
        <v>29565.229108315652</v>
      </c>
      <c r="U20" s="18">
        <f>T20+U12</f>
        <v>31772.524730649504</v>
      </c>
      <c r="V20" s="18">
        <f>U20+V12</f>
        <v>33821.98402979499</v>
      </c>
      <c r="W20" s="18">
        <f>V20+W12</f>
        <v>35225.70535827767</v>
      </c>
      <c r="X20" s="18">
        <f>W20+X12</f>
        <v>36388.430650156646</v>
      </c>
      <c r="Y20" s="18">
        <f>X20+Y12</f>
        <v>37472.569166423535</v>
      </c>
      <c r="Z20" s="18">
        <f>Y20+Z12</f>
        <v>38543.61228128123</v>
      </c>
      <c r="AA20" s="18">
        <f>Z20+AA12</f>
        <v>39628.29984643515</v>
      </c>
      <c r="AB20" s="18">
        <f>AA20+AB12</f>
        <v>40737.88719991417</v>
      </c>
      <c r="AC20" s="18">
        <f>AB20+AC12</f>
        <v>41877.45244642298</v>
      </c>
      <c r="AD20" s="18">
        <f>AC20+AD12</f>
        <v>43049.61986043281</v>
      </c>
      <c r="AE20" s="18">
        <f>AD20+AE12</f>
        <v>44256.049752911946</v>
      </c>
    </row>
    <row r="21">
      <c r="A21" s="13" t="inlineStr">
        <is>
          <t>Tax-Loss Pool</t>
        </is>
      </c>
      <c r="F21" s="18">
        <f>Assumptions!$B$18</f>
        <v>3000</v>
      </c>
      <c r="G21" s="18">
        <f>F21-MIN(F21,MAX(0,G10))+MAX(0,-G10)</f>
        <v>3544.965</v>
      </c>
      <c r="H21" s="18">
        <f>G21-MIN(G21,MAX(0,H10))+MAX(0,-H10)</f>
        <v>3351.7725450000003</v>
      </c>
      <c r="I21" s="18">
        <f>H21-MIN(H21,MAX(0,I10))+MAX(0,-I10)</f>
        <v>2621.2654129375005</v>
      </c>
      <c r="J21" s="18">
        <f>I21-MIN(I21,MAX(0,J10))+MAX(0,-J10)</f>
        <v>1201.9448634226571</v>
      </c>
      <c r="K21" s="18">
        <f>J21-MIN(J21,MAX(0,K10))+MAX(0,-K10)</f>
        <v>0.0</v>
      </c>
      <c r="L21" s="18">
        <f>K21-MIN(K21,MAX(0,L10))+MAX(0,-L10)</f>
        <v>0.0</v>
      </c>
      <c r="M21" s="18">
        <f>L21-MIN(L21,MAX(0,M10))+MAX(0,-M10)</f>
        <v>0.0</v>
      </c>
      <c r="N21" s="18">
        <f>M21-MIN(M21,MAX(0,N10))+MAX(0,-N10)</f>
        <v>0.0</v>
      </c>
      <c r="O21" s="18">
        <f>N21-MIN(N21,MAX(0,O10))+MAX(0,-O10)</f>
        <v>0.0</v>
      </c>
      <c r="P21" s="18">
        <f>O21-MIN(O21,MAX(0,P10))+MAX(0,-P10)</f>
        <v>0.0</v>
      </c>
      <c r="Q21" s="18">
        <f>P21-MIN(P21,MAX(0,Q10))+MAX(0,-Q10)</f>
        <v>0.0</v>
      </c>
      <c r="R21" s="18">
        <f>Q21-MIN(Q21,MAX(0,R10))+MAX(0,-R10)</f>
        <v>0.0</v>
      </c>
      <c r="S21" s="18">
        <f>R21-MIN(R21,MAX(0,S10))+MAX(0,-S10)</f>
        <v>0.0</v>
      </c>
      <c r="T21" s="18">
        <f>S21-MIN(S21,MAX(0,T10))+MAX(0,-T10)</f>
        <v>0.0</v>
      </c>
      <c r="U21" s="18">
        <f>T21-MIN(T21,MAX(0,U10))+MAX(0,-U10)</f>
        <v>0.0</v>
      </c>
      <c r="V21" s="18">
        <f>U21-MIN(U21,MAX(0,V10))+MAX(0,-V10)</f>
        <v>0.0</v>
      </c>
      <c r="W21" s="18">
        <f>V21-MIN(V21,MAX(0,W10))+MAX(0,-W10)</f>
        <v>0.0</v>
      </c>
      <c r="X21" s="18">
        <f>W21-MIN(W21,MAX(0,X10))+MAX(0,-X10)</f>
        <v>0.0</v>
      </c>
      <c r="Y21" s="18">
        <f>X21-MIN(X21,MAX(0,Y10))+MAX(0,-Y10)</f>
        <v>0.0</v>
      </c>
      <c r="Z21" s="18">
        <f>Y21-MIN(Y21,MAX(0,Z10))+MAX(0,-Z10)</f>
        <v>0.0</v>
      </c>
      <c r="AA21" s="18">
        <f>Z21-MIN(Z21,MAX(0,AA10))+MAX(0,-AA10)</f>
        <v>0.0</v>
      </c>
      <c r="AB21" s="18">
        <f>AA21-MIN(AA21,MAX(0,AB10))+MAX(0,-AB10)</f>
        <v>0.0</v>
      </c>
      <c r="AC21" s="18">
        <f>AB21-MIN(AB21,MAX(0,AC10))+MAX(0,-AC10)</f>
        <v>0.0</v>
      </c>
      <c r="AD21" s="18">
        <f>AC21-MIN(AC21,MAX(0,AD10))+MAX(0,-AD10)</f>
        <v>0.0</v>
      </c>
      <c r="AE21" s="18">
        <f>AD21-MIN(AD21,MAX(0,AE10))+MAX(0,-AE10)</f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10" defaultRowHeight="16"/>
  <cols>
    <col width="26" customWidth="1" style="9" min="1" max="1"/>
    <col width="10" customWidth="1" style="9" min="2" max="2"/>
    <col width="10" customWidth="1" style="9" min="3" max="3"/>
    <col width="10" customWidth="1" style="9" min="4" max="4"/>
    <col width="10" customWidth="1" style="9" min="5" max="5"/>
    <col width="10" customWidth="1" style="9" min="6" max="6"/>
    <col width="10" customWidth="1" style="9" min="7" max="7"/>
    <col width="10" customWidth="1" style="9" min="8" max="8"/>
    <col width="10" customWidth="1" style="9" min="9" max="9"/>
  </cols>
  <sheetData>
    <row r="1">
      <c r="B1" s="21" t="inlineStr">
        <is>
          <t>Q1 2025</t>
        </is>
      </c>
      <c r="C1" s="21" t="inlineStr">
        <is>
          <t>Q2 2025</t>
        </is>
      </c>
      <c r="D1" s="21" t="inlineStr">
        <is>
          <t>Q3 2025</t>
        </is>
      </c>
      <c r="E1" s="21" t="inlineStr">
        <is>
          <t>Q4 2025</t>
        </is>
      </c>
      <c r="F1" s="21" t="inlineStr">
        <is>
          <t>Q1 2026</t>
        </is>
      </c>
      <c r="G1" s="21" t="inlineStr">
        <is>
          <t>Q2 2026</t>
        </is>
      </c>
      <c r="H1" s="21" t="inlineStr">
        <is>
          <t>Q3 2026</t>
        </is>
      </c>
      <c r="I1" s="21" t="inlineStr">
        <is>
          <t>Q4 2026</t>
        </is>
      </c>
    </row>
    <row r="2">
      <c r="A2" s="13" t="inlineStr">
        <is>
          <t>Revenue</t>
        </is>
      </c>
      <c r="B2" s="18">
        <f>SUM(B24:B26)</f>
        <v>116.63</v>
      </c>
      <c r="C2" s="18">
        <f>SUM(C24:C26)</f>
        <v>110.56</v>
      </c>
      <c r="D2" s="18">
        <f>SUM(D24:D26)</f>
        <v>120.7</v>
      </c>
      <c r="E2" s="18">
        <f>SUM(E24:E26)</f>
        <v>154.17999999999998</v>
      </c>
      <c r="F2" s="18">
        <f>SUM(F24:F26)</f>
        <v>194.51999999999998</v>
      </c>
      <c r="G2" s="18">
        <f>SUM(G24:G26)</f>
        <v>243.67000000000002</v>
      </c>
      <c r="H2" s="18">
        <f>SUM(H24:H26)</f>
        <v>278.0</v>
      </c>
      <c r="I2" s="18">
        <f>SUM(I24:I26)</f>
        <v>311.0</v>
      </c>
    </row>
    <row r="3">
      <c r="A3" s="13" t="inlineStr">
        <is>
          <t>Cost of Sales</t>
        </is>
      </c>
      <c r="B3" s="18" t="n">
        <v>2.639</v>
      </c>
      <c r="C3" s="18" t="n">
        <v>3.653</v>
      </c>
      <c r="D3" s="18" t="n">
        <v>6.563</v>
      </c>
      <c r="E3" s="18" t="n">
        <v>8.106999999999999</v>
      </c>
      <c r="F3" s="18" t="n">
        <v>9.939</v>
      </c>
      <c r="G3" s="18" t="n">
        <v>15.046</v>
      </c>
      <c r="H3" s="18">
        <f>H2*0.062</f>
        <v>17.236</v>
      </c>
      <c r="I3" s="18">
        <f>I2*0.062</f>
        <v>19.282</v>
      </c>
    </row>
    <row r="4">
      <c r="A4" s="13" t="inlineStr">
        <is>
          <t>Gross Margin</t>
        </is>
      </c>
      <c r="B4" s="18">
        <f>B2-B3</f>
        <v>113.991</v>
      </c>
      <c r="C4" s="18">
        <f>C2-C3</f>
        <v>106.907</v>
      </c>
      <c r="D4" s="18">
        <f>D2-D3</f>
        <v>114.137</v>
      </c>
      <c r="E4" s="18">
        <f>E2-E3</f>
        <v>146.07299999999998</v>
      </c>
      <c r="F4" s="18">
        <f>F2-F3</f>
        <v>184.581</v>
      </c>
      <c r="G4" s="18">
        <f>G2-G3</f>
        <v>228.62400000000002</v>
      </c>
      <c r="H4" s="18">
        <f>H2-H3</f>
        <v>260.764</v>
      </c>
      <c r="I4" s="18">
        <f>I2-I3</f>
        <v>291.718</v>
      </c>
    </row>
    <row r="5">
      <c r="A5" s="13" t="inlineStr">
        <is>
          <t>Research &amp; Dev.</t>
        </is>
      </c>
      <c r="B5" s="18" t="n">
        <v>111.431</v>
      </c>
      <c r="C5" s="18" t="n">
        <v>111.231</v>
      </c>
      <c r="D5" s="18" t="n">
        <v>112.874</v>
      </c>
      <c r="E5" s="18" t="n">
        <v>116.417</v>
      </c>
      <c r="F5" s="18" t="n">
        <v>126.636</v>
      </c>
      <c r="G5" s="18" t="n">
        <v>149.448</v>
      </c>
      <c r="H5" s="18" t="n">
        <v>150</v>
      </c>
      <c r="I5" s="18" t="n">
        <v>155</v>
      </c>
    </row>
    <row r="6">
      <c r="A6" s="13" t="inlineStr">
        <is>
          <t>General &amp; Admin</t>
        </is>
      </c>
      <c r="B6" s="18" t="n">
        <v>106.935</v>
      </c>
      <c r="C6" s="18" t="n">
        <v>129.959</v>
      </c>
      <c r="D6" s="18" t="n">
        <v>146.462</v>
      </c>
      <c r="E6" s="18" t="n">
        <v>169.216</v>
      </c>
      <c r="F6" s="18" t="n">
        <v>163.896</v>
      </c>
      <c r="G6" s="18" t="n">
        <v>186.261</v>
      </c>
      <c r="H6" s="18" t="n">
        <v>190</v>
      </c>
      <c r="I6" s="18" t="n">
        <v>200</v>
      </c>
    </row>
    <row r="7">
      <c r="A7" s="13" t="inlineStr">
        <is>
          <t>Operating Expense</t>
        </is>
      </c>
      <c r="B7" s="18">
        <f>SUM(B5:B6)</f>
        <v>218.36599999999999</v>
      </c>
      <c r="C7" s="18">
        <f>SUM(C5:C6)</f>
        <v>241.19</v>
      </c>
      <c r="D7" s="18">
        <f>SUM(D5:D6)</f>
        <v>259.336</v>
      </c>
      <c r="E7" s="18">
        <f>SUM(E5:E6)</f>
        <v>285.63300000000004</v>
      </c>
      <c r="F7" s="18">
        <f>SUM(F5:F6)</f>
        <v>290.532</v>
      </c>
      <c r="G7" s="18">
        <f>SUM(G5:G6)</f>
        <v>335.709</v>
      </c>
      <c r="H7" s="18">
        <f>SUM(H5:H6)</f>
        <v>340.0</v>
      </c>
      <c r="I7" s="18">
        <f>SUM(I5:I6)</f>
        <v>355.0</v>
      </c>
    </row>
    <row r="8">
      <c r="A8" s="13" t="inlineStr">
        <is>
          <t>Operating Income</t>
        </is>
      </c>
      <c r="B8" s="18">
        <f>B4-B7</f>
        <v>-104.37499999999999</v>
      </c>
      <c r="C8" s="18">
        <f>C4-C7</f>
        <v>-134.28300000000002</v>
      </c>
      <c r="D8" s="18">
        <f>D4-D7</f>
        <v>-145.199</v>
      </c>
      <c r="E8" s="18">
        <f>E4-E7</f>
        <v>-139.56000000000006</v>
      </c>
      <c r="F8" s="18">
        <f>F4-F7</f>
        <v>-105.951</v>
      </c>
      <c r="G8" s="18">
        <f>G4-G7</f>
        <v>-107.08499999999998</v>
      </c>
      <c r="H8" s="18">
        <f>H4-H7</f>
        <v>-79.23599999999999</v>
      </c>
      <c r="I8" s="18">
        <f>I4-I7</f>
        <v>-63.28199999999998</v>
      </c>
    </row>
    <row r="9">
      <c r="A9" s="13" t="inlineStr">
        <is>
          <t>Interest &amp; Other</t>
        </is>
      </c>
      <c r="B9" s="18" t="n">
        <v>-65.236</v>
      </c>
      <c r="C9" s="18" t="n">
        <v>-47.38</v>
      </c>
      <c r="D9" s="18" t="n">
        <v>-41.283</v>
      </c>
      <c r="E9" s="18" t="n">
        <v>-55.193</v>
      </c>
      <c r="F9" s="18" t="n">
        <v>-60.599</v>
      </c>
      <c r="G9" s="18" t="n">
        <v>-48.812</v>
      </c>
      <c r="H9" s="18" t="n">
        <v>-40</v>
      </c>
      <c r="I9" s="18" t="n">
        <v>-40</v>
      </c>
    </row>
    <row r="10">
      <c r="A10" s="13" t="inlineStr">
        <is>
          <t>Pretax</t>
        </is>
      </c>
      <c r="B10" s="18">
        <f>B8+B9</f>
        <v>-169.611</v>
      </c>
      <c r="C10" s="18">
        <f>C8+C9</f>
        <v>-181.663</v>
      </c>
      <c r="D10" s="18">
        <f>D8+D9</f>
        <v>-186.48200000000003</v>
      </c>
      <c r="E10" s="18">
        <f>E8+E9</f>
        <v>-194.75300000000004</v>
      </c>
      <c r="F10" s="18">
        <f>F8+F9</f>
        <v>-166.54999999999998</v>
      </c>
      <c r="G10" s="18">
        <f>G8+G9</f>
        <v>-155.897</v>
      </c>
      <c r="H10" s="18">
        <f>H8+H9</f>
        <v>-119.23599999999999</v>
      </c>
      <c r="I10" s="18">
        <f>I8+I9</f>
        <v>-103.28199999999998</v>
      </c>
    </row>
    <row r="11">
      <c r="A11" s="13" t="inlineStr">
        <is>
          <t>Taxes</t>
        </is>
      </c>
      <c r="B11" s="18" t="n">
        <v>0</v>
      </c>
      <c r="C11" s="18" t="n">
        <v>2.1</v>
      </c>
      <c r="D11" s="18" t="n">
        <v>-1.545</v>
      </c>
      <c r="E11" s="18" t="n">
        <v>-0.12</v>
      </c>
      <c r="F11" s="18" t="n">
        <v>0</v>
      </c>
      <c r="G11" s="18" t="n">
        <v>0</v>
      </c>
      <c r="H11" s="18" t="n">
        <v>0</v>
      </c>
      <c r="I11" s="18" t="n">
        <v>0</v>
      </c>
    </row>
    <row r="12">
      <c r="A12" s="13" t="inlineStr">
        <is>
          <t>Net Income</t>
        </is>
      </c>
      <c r="B12" s="18">
        <f>B10-B11</f>
        <v>-169.611</v>
      </c>
      <c r="C12" s="18">
        <f>C10-C11</f>
        <v>-183.763</v>
      </c>
      <c r="D12" s="18">
        <f>D10-D11</f>
        <v>-184.93700000000004</v>
      </c>
      <c r="E12" s="18">
        <f>E10-E11</f>
        <v>-194.63300000000004</v>
      </c>
      <c r="F12" s="18">
        <f>F10-F11</f>
        <v>-166.54999999999998</v>
      </c>
      <c r="G12" s="18">
        <f>G10-G11</f>
        <v>-155.897</v>
      </c>
      <c r="H12" s="18">
        <f>H10-H11</f>
        <v>-119.23599999999999</v>
      </c>
      <c r="I12" s="18">
        <f>I10-I11</f>
        <v>-103.28199999999998</v>
      </c>
    </row>
    <row r="13">
      <c r="A13" s="13" t="inlineStr">
        <is>
          <t>Earnings per Share</t>
        </is>
      </c>
      <c r="B13" s="11">
        <f>IFERROR(B12/B14,0)</f>
        <v>-0.8920087301795997</v>
      </c>
      <c r="C13" s="11">
        <f>IFERROR(C12/C14,0)</f>
        <v>-0.9645490953563199</v>
      </c>
      <c r="D13" s="11">
        <f>IFERROR(D12/D14,0)</f>
        <v>-0.9639465426834991</v>
      </c>
      <c r="E13" s="11">
        <f>IFERROR(E12/E14,0)</f>
        <v>-1.005372095065421</v>
      </c>
      <c r="F13" s="11">
        <f>IFERROR(F12/F14,0)</f>
        <v>-0.8550233584886288</v>
      </c>
      <c r="G13" s="11">
        <f>IFERROR(G12/G14,0)</f>
        <v>-0.796262245512958</v>
      </c>
      <c r="H13" s="11">
        <f>IFERROR(H12/H14,0)</f>
        <v>-0.6086574783052577</v>
      </c>
      <c r="I13" s="11">
        <f>IFERROR(I12/I14,0)</f>
        <v>-0.5264118246687054</v>
      </c>
    </row>
    <row r="14">
      <c r="A14" s="13" t="inlineStr">
        <is>
          <t>Shares</t>
        </is>
      </c>
      <c r="B14" s="18" t="n">
        <v>190.145</v>
      </c>
      <c r="C14" s="18" t="n">
        <v>190.517</v>
      </c>
      <c r="D14" s="18" t="n">
        <v>191.854</v>
      </c>
      <c r="E14" s="18" t="n">
        <v>193.593</v>
      </c>
      <c r="F14" s="18" t="n">
        <v>194.79</v>
      </c>
      <c r="G14" s="18" t="n">
        <v>195.786</v>
      </c>
      <c r="H14" s="18" t="n">
        <v>195.9</v>
      </c>
      <c r="I14" s="18" t="n">
        <v>196.2</v>
      </c>
    </row>
    <row r="16">
      <c r="A16" s="13" t="inlineStr">
        <is>
          <t>Revenue Change (YoY)</t>
        </is>
      </c>
      <c r="F16" s="14">
        <f>IFERROR(F2/B2-1,"")</f>
        <v>0.6678384635171053</v>
      </c>
      <c r="G16" s="14">
        <f>IFERROR(G2/C2-1,"")</f>
        <v>1.2039616497829235</v>
      </c>
      <c r="H16" s="14">
        <f>IFERROR(H2/D2-1,"")</f>
        <v>1.303231151615576</v>
      </c>
      <c r="I16" s="14">
        <f>IFERROR(I2/E2-1,"")</f>
        <v>1.0171228434297577</v>
      </c>
    </row>
    <row r="17">
      <c r="A17" s="13" t="inlineStr">
        <is>
          <t>Gross Margin</t>
        </is>
      </c>
      <c r="B17" s="14">
        <f>IFERROR(B4/B2,"")</f>
        <v>0.9773728886221384</v>
      </c>
      <c r="C17" s="14">
        <f>IFERROR(C4/C2,"")</f>
        <v>0.9669591172214181</v>
      </c>
      <c r="D17" s="14">
        <f>IFERROR(D4/D2,"")</f>
        <v>0.9456255178127589</v>
      </c>
      <c r="E17" s="14">
        <f>IFERROR(E4/E2,"")</f>
        <v>0.9474186016344532</v>
      </c>
      <c r="F17" s="14">
        <f>IFERROR(F4/F2,"")</f>
        <v>0.9489049969154844</v>
      </c>
      <c r="G17" s="14">
        <f>IFERROR(G4/G2,"")</f>
        <v>0.9382525546846144</v>
      </c>
      <c r="H17" s="14">
        <f>IFERROR(H4/H2,"")</f>
        <v>0.9380000000000001</v>
      </c>
      <c r="I17" s="14">
        <f>IFERROR(I4/I2,"")</f>
        <v>0.9380000000000001</v>
      </c>
    </row>
    <row r="19">
      <c r="A19" s="13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E</t>
        </is>
      </c>
      <c r="I19" s="20" t="inlineStr">
        <is>
          <t>E</t>
        </is>
      </c>
    </row>
    <row r="20">
      <c r="A20" s="13" t="inlineStr">
        <is>
          <t>Cash &amp; Investments</t>
        </is>
      </c>
      <c r="G20" s="18" t="n">
        <v>720.16</v>
      </c>
      <c r="H20" s="18">
        <f>G20+H12+H21</f>
        <v>1600.924</v>
      </c>
      <c r="I20" s="18">
        <f>H20+I12+I21</f>
        <v>1497.642</v>
      </c>
    </row>
    <row r="21">
      <c r="A21" s="13" t="inlineStr">
        <is>
          <t>Other Cash Flows (est.)</t>
        </is>
      </c>
      <c r="H21" s="18" t="n">
        <v>1000</v>
      </c>
      <c r="I21" s="18" t="n">
        <v>0</v>
      </c>
    </row>
    <row r="23">
      <c r="A23" s="22" t="inlineStr">
        <is>
          <t>Revenue by Product</t>
        </is>
      </c>
    </row>
    <row r="24">
      <c r="A24" s="13" t="inlineStr">
        <is>
          <t>Attruby (U.S.)</t>
        </is>
      </c>
      <c r="B24" s="18" t="n">
        <v>36.74</v>
      </c>
      <c r="C24" s="18" t="n">
        <v>71.5</v>
      </c>
      <c r="D24" s="18" t="n">
        <v>110.03</v>
      </c>
      <c r="E24" s="18" t="n">
        <v>144.1</v>
      </c>
      <c r="F24" s="18" t="n">
        <v>180.6</v>
      </c>
      <c r="G24" s="18" t="n">
        <v>222.44</v>
      </c>
      <c r="H24" s="18" t="n">
        <v>255</v>
      </c>
      <c r="I24" s="18" t="n">
        <v>285</v>
      </c>
    </row>
    <row r="25">
      <c r="A25" s="13" t="inlineStr">
        <is>
          <t>Royalties</t>
        </is>
      </c>
      <c r="B25" s="18" t="n">
        <v>0.2</v>
      </c>
      <c r="C25" s="18" t="n">
        <v>1.62</v>
      </c>
      <c r="D25" s="18" t="n">
        <v>4.27</v>
      </c>
      <c r="E25" s="18" t="n">
        <v>5.29</v>
      </c>
      <c r="F25" s="18" t="n">
        <v>9.5</v>
      </c>
      <c r="G25" s="18" t="n">
        <v>15.43</v>
      </c>
      <c r="H25" s="18" t="n">
        <v>18</v>
      </c>
      <c r="I25" s="18" t="n">
        <v>21</v>
      </c>
    </row>
    <row r="26">
      <c r="A26" s="13" t="inlineStr">
        <is>
          <t>License &amp; services</t>
        </is>
      </c>
      <c r="B26" s="18" t="n">
        <v>79.69</v>
      </c>
      <c r="C26" s="18" t="n">
        <v>37.44</v>
      </c>
      <c r="D26" s="18" t="n">
        <v>6.4</v>
      </c>
      <c r="E26" s="18" t="n">
        <v>4.79</v>
      </c>
      <c r="F26" s="18" t="n">
        <v>4.42</v>
      </c>
      <c r="G26" s="18" t="n">
        <v>5.8</v>
      </c>
      <c r="H26" s="18" t="n">
        <v>5</v>
      </c>
      <c r="I26" s="18" t="n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0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style="9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3" t="inlineStr">
        <is>
          <t>BBIO — rNPV assumptions ($mm unless noted)</t>
        </is>
      </c>
    </row>
    <row r="4">
      <c r="A4" s="22" t="inlineStr">
        <is>
          <t>Scenario (1 = Bear, 2 = Base, 3 = Bull)</t>
        </is>
      </c>
      <c r="B4" s="24" t="n">
        <v>2</v>
      </c>
      <c r="C4" s="22" t="str">
        <f>CHOOSE($B$4,"Bear","Base","Bull")</f>
        <v>Base</v>
      </c>
    </row>
    <row r="5">
      <c r="A5" s="25" t="inlineStr">
        <is>
          <t>Overrides (blank = scenario value; the sensitivity tables drive these)</t>
        </is>
      </c>
    </row>
    <row r="6">
      <c r="A6" s="13" t="inlineStr">
        <is>
          <t>Discount rate override</t>
        </is>
      </c>
      <c r="B6" s="26" t="n"/>
    </row>
    <row r="7">
      <c r="A7" s="13" t="inlineStr">
        <is>
          <t>PDUFA approval probability override</t>
        </is>
      </c>
      <c r="B7" s="26" t="n"/>
    </row>
    <row r="8">
      <c r="A8" s="13" t="inlineStr">
        <is>
          <t>PDUFA program peak sales override ($mm)</t>
        </is>
      </c>
      <c r="B8" s="27" t="n"/>
    </row>
    <row r="10">
      <c r="A10" s="28" t="inlineStr">
        <is>
          <t>Parameter</t>
        </is>
      </c>
      <c r="B10" s="29" t="inlineStr">
        <is>
          <t>Active</t>
        </is>
      </c>
      <c r="C10" s="29" t="inlineStr">
        <is>
          <t>Bear</t>
        </is>
      </c>
      <c r="D10" s="29" t="inlineStr">
        <is>
          <t>Base</t>
        </is>
      </c>
      <c r="E10" s="29" t="inlineStr">
        <is>
          <t>Bull</t>
        </is>
      </c>
    </row>
    <row r="12">
      <c r="A12" s="30" t="inlineStr">
        <is>
          <t>Valuation &amp; corporate</t>
        </is>
      </c>
      <c r="B12" s="31" t="n"/>
      <c r="C12" s="31" t="n"/>
      <c r="D12" s="31" t="n"/>
      <c r="E12" s="31" t="n"/>
    </row>
    <row r="13">
      <c r="A13" s="13" t="inlineStr">
        <is>
          <t>Valuation date</t>
        </is>
      </c>
      <c r="B13" s="32">
        <f>DATE(2026,10,16)</f>
        <v>46311</v>
      </c>
    </row>
    <row r="14">
      <c r="A14" s="13" t="inlineStr">
        <is>
          <t>Discount rate (cost of equity)</t>
        </is>
      </c>
      <c r="B14" s="33">
        <f>IF(ISNUMBER($B$6),$B$6,CHOOSE($B$4,C14,D14,E14))</f>
        <v>0.095</v>
      </c>
      <c r="C14" s="34" t="n">
        <v>0.11</v>
      </c>
      <c r="D14" s="34" t="n">
        <v>0.095</v>
      </c>
      <c r="E14" s="34" t="n">
        <v>0.08500000000000001</v>
      </c>
    </row>
    <row r="15">
      <c r="A15" s="13" t="inlineStr">
        <is>
          <t>Tax rate</t>
        </is>
      </c>
      <c r="B15" s="33">
        <f>CHOOSE($B$4,C15,D15,E15)</f>
        <v>0.21</v>
      </c>
      <c r="C15" s="35" t="n">
        <v>0.21</v>
      </c>
      <c r="D15" s="35" t="n">
        <v>0.21</v>
      </c>
      <c r="E15" s="35" t="n">
        <v>0.21</v>
      </c>
    </row>
    <row r="16">
      <c r="A16" s="13" t="inlineStr">
        <is>
          <t>Interest yield on cash</t>
        </is>
      </c>
      <c r="B16" s="33">
        <f>CHOOSE($B$4,C16,D16,E16)</f>
        <v>0.0375</v>
      </c>
      <c r="C16" s="35" t="n">
        <v>0.0375</v>
      </c>
      <c r="D16" s="35" t="n">
        <v>0.0375</v>
      </c>
      <c r="E16" s="35" t="n">
        <v>0.0375</v>
      </c>
    </row>
    <row r="17">
      <c r="A17" s="13" t="inlineStr">
        <is>
          <t>Average cash cost of debt (P&amp;L display only)</t>
        </is>
      </c>
      <c r="B17" s="33">
        <f>CHOOSE($B$4,C17,D17,E17)</f>
        <v>0.025</v>
      </c>
      <c r="C17" s="35" t="n">
        <v>0.025</v>
      </c>
      <c r="D17" s="35" t="n">
        <v>0.025</v>
      </c>
      <c r="E17" s="35" t="n">
        <v>0.025</v>
      </c>
    </row>
    <row r="18">
      <c r="A18" s="13" t="inlineStr">
        <is>
          <t>Tax-loss pool at 12/31/2025</t>
        </is>
      </c>
      <c r="B18" s="36">
        <f>CHOOSE($B$4,C18,D18,E18)</f>
        <v>3000</v>
      </c>
      <c r="C18" s="37" t="n">
        <v>3000</v>
      </c>
      <c r="D18" s="37" t="n">
        <v>3000</v>
      </c>
      <c r="E18" s="37" t="n">
        <v>3000</v>
      </c>
    </row>
    <row r="19">
      <c r="A19" s="13" t="inlineStr">
        <is>
          <t>Corporate G&amp;A, 2027</t>
        </is>
      </c>
      <c r="B19" s="36">
        <f>CHOOSE($B$4,C19,D19,E19)</f>
        <v>170</v>
      </c>
      <c r="C19" s="37" t="n">
        <v>170</v>
      </c>
      <c r="D19" s="37" t="n">
        <v>170</v>
      </c>
      <c r="E19" s="37" t="n">
        <v>170</v>
      </c>
    </row>
    <row r="20">
      <c r="A20" s="13" t="inlineStr">
        <is>
          <t>Platform / unallocated R&amp;D, 2027</t>
        </is>
      </c>
      <c r="B20" s="36">
        <f>CHOOSE($B$4,C20,D20,E20)</f>
        <v>330</v>
      </c>
      <c r="C20" s="37" t="n">
        <v>330</v>
      </c>
      <c r="D20" s="37" t="n">
        <v>330</v>
      </c>
      <c r="E20" s="37" t="n">
        <v>330</v>
      </c>
    </row>
    <row r="21">
      <c r="A21" s="13" t="inlineStr">
        <is>
          <t>Cost inflation</t>
        </is>
      </c>
      <c r="B21" s="33">
        <f>CHOOSE($B$4,C21,D21,E21)</f>
        <v>0.03</v>
      </c>
      <c r="C21" s="35" t="n">
        <v>0.03</v>
      </c>
      <c r="D21" s="35" t="n">
        <v>0.03</v>
      </c>
      <c r="E21" s="35" t="n">
        <v>0.03</v>
      </c>
    </row>
    <row r="22">
      <c r="A22" s="13" t="inlineStr">
        <is>
          <t>Corporate G&amp;A floor, % of revenue</t>
        </is>
      </c>
      <c r="B22" s="33">
        <f>CHOOSE($B$4,C22,D22,E22)</f>
        <v>0.07</v>
      </c>
      <c r="C22" s="35" t="n">
        <v>0.07000000000000001</v>
      </c>
      <c r="D22" s="35" t="n">
        <v>0.07000000000000001</v>
      </c>
      <c r="E22" s="35" t="n">
        <v>0.07000000000000001</v>
      </c>
    </row>
    <row r="23">
      <c r="A23" s="13" t="inlineStr">
        <is>
          <t>Platform R&amp;D floor, % of revenue</t>
        </is>
      </c>
      <c r="B23" s="33">
        <f>CHOOSE($B$4,C23,D23,E23)</f>
        <v>0.12</v>
      </c>
      <c r="C23" s="35" t="n">
        <v>0.12</v>
      </c>
      <c r="D23" s="35" t="n">
        <v>0.12</v>
      </c>
      <c r="E23" s="35" t="n">
        <v>0.12</v>
      </c>
    </row>
    <row r="24">
      <c r="A24" s="13" t="inlineStr">
        <is>
          <t>Corporate cost cut after a CRL (2027+)</t>
        </is>
      </c>
      <c r="B24" s="33">
        <f>CHOOSE($B$4,C24,D24,E24)</f>
        <v>0</v>
      </c>
      <c r="C24" s="35" t="n">
        <v>0</v>
      </c>
      <c r="D24" s="35" t="n">
        <v>0</v>
      </c>
      <c r="E24" s="35" t="n">
        <v>0</v>
      </c>
    </row>
    <row r="25">
      <c r="A25" s="13" t="inlineStr">
        <is>
          <t>Last year of base-level corporate costs (then % of revenue only)</t>
        </is>
      </c>
      <c r="B25" s="38">
        <f>CHOOSE($B$4,C25,D25,E25)</f>
        <v>2038</v>
      </c>
      <c r="C25" s="39" t="n">
        <v>2038</v>
      </c>
      <c r="D25" s="39" t="n">
        <v>2038</v>
      </c>
      <c r="E25" s="39" t="n">
        <v>2038</v>
      </c>
    </row>
    <row r="26">
      <c r="A26" s="13" t="inlineStr">
        <is>
          <t>Annual share count growth (EPS display only)</t>
        </is>
      </c>
      <c r="B26" s="33">
        <f>CHOOSE($B$4,C26,D26,E26)</f>
        <v>0</v>
      </c>
      <c r="C26" s="35" t="n">
        <v>0</v>
      </c>
      <c r="D26" s="35" t="n">
        <v>0</v>
      </c>
      <c r="E26" s="35" t="n">
        <v>0</v>
      </c>
    </row>
    <row r="27">
      <c r="A27" s="13" t="inlineStr">
        <is>
          <t>Wind-down cost for liquidation value</t>
        </is>
      </c>
      <c r="B27" s="36">
        <f>CHOOSE($B$4,C27,D27,E27)</f>
        <v>150</v>
      </c>
      <c r="C27" s="37" t="n">
        <v>150</v>
      </c>
      <c r="D27" s="37" t="n">
        <v>150</v>
      </c>
      <c r="E27" s="37" t="n">
        <v>150</v>
      </c>
    </row>
    <row r="29">
      <c r="A29" s="30" t="inlineStr">
        <is>
          <t>PDUFA event</t>
        </is>
      </c>
      <c r="B29" s="31" t="n"/>
      <c r="C29" s="31" t="n"/>
      <c r="D29" s="31" t="n"/>
      <c r="E29" s="31" t="n"/>
    </row>
    <row r="30">
      <c r="A30" s="13" t="inlineStr">
        <is>
          <t>PDUFA target action date</t>
        </is>
      </c>
      <c r="B30" s="32">
        <f>DATE(2026,11,27)</f>
        <v>46353</v>
      </c>
    </row>
    <row r="31">
      <c r="A31" s="13" t="inlineStr">
        <is>
          <t>Application</t>
        </is>
      </c>
      <c r="B31" s="25" t="inlineStr">
        <is>
          <t>BBP-418 NDA, LGMD2I/R9 (priority; PRV-eligible)</t>
        </is>
      </c>
    </row>
    <row r="32">
      <c r="A32" s="13" t="inlineStr">
        <is>
          <t>Probability of approval at this PDUFA</t>
        </is>
      </c>
      <c r="B32" s="33">
        <f>IF(ISNUMBER($B$7),$B$7,CHOOSE($B$4,C32,D32,E32))</f>
        <v>0.88</v>
      </c>
      <c r="C32" s="34" t="n">
        <v>0.82</v>
      </c>
      <c r="D32" s="34" t="n">
        <v>0.88</v>
      </c>
      <c r="E32" s="34" t="n">
        <v>0.93</v>
      </c>
    </row>
    <row r="33">
      <c r="A33" s="13" t="inlineStr">
        <is>
          <t>Probability of approval later, after a CRL</t>
        </is>
      </c>
      <c r="B33" s="33">
        <f>CHOOSE($B$4,C33,D33,E33)</f>
        <v>0.8</v>
      </c>
      <c r="C33" s="35" t="n">
        <v>0.75</v>
      </c>
      <c r="D33" s="35" t="n">
        <v>0.8</v>
      </c>
      <c r="E33" s="35" t="n">
        <v>0.85</v>
      </c>
    </row>
    <row r="34">
      <c r="A34" s="13" t="inlineStr">
        <is>
          <t>Launch delay after a CRL (years)</t>
        </is>
      </c>
      <c r="B34" s="38">
        <f>CHOOSE($B$4,C34,D34,E34)</f>
        <v>2</v>
      </c>
      <c r="C34" s="39" t="n">
        <v>2</v>
      </c>
      <c r="D34" s="39" t="n">
        <v>2</v>
      </c>
      <c r="E34" s="39" t="n">
        <v>1</v>
      </c>
    </row>
    <row r="35">
      <c r="A35" s="13" t="inlineStr">
        <is>
          <t>Probability of approval, scenario value (before override)</t>
        </is>
      </c>
      <c r="B35" s="40">
        <f>CHOOSE($B$4,C32,D32,E32)</f>
        <v>0.88</v>
      </c>
    </row>
    <row r="36">
      <c r="A36" s="13" t="inlineStr">
        <is>
          <t>Read-through: relative cut to other programs' PoS after a CRL</t>
        </is>
      </c>
      <c r="B36" s="33">
        <f>CHOOSE($B$4,C36,D36,E36)</f>
        <v>0</v>
      </c>
      <c r="C36" s="35" t="n">
        <v>0</v>
      </c>
      <c r="D36" s="35" t="n">
        <v>0</v>
      </c>
      <c r="E36" s="35" t="n">
        <v>0</v>
      </c>
    </row>
    <row r="37">
      <c r="A37" s="13" t="inlineStr">
        <is>
          <t>Read-through multiplier on other programs' PoS (1 = none)</t>
        </is>
      </c>
      <c r="B37" s="41">
        <f>1+$B$36*($B$32-$B$35)/$B$35</f>
        <v>1.0</v>
      </c>
    </row>
    <row r="38">
      <c r="A38" s="13" t="inlineStr">
        <is>
          <t>Expected corporate cost multiplier (2027+)</t>
        </is>
      </c>
      <c r="B38" s="41">
        <f>$B$32+(1-$B$32)*(1-$B$24)</f>
        <v>1.0</v>
      </c>
    </row>
    <row r="40">
      <c r="A40" s="30" t="inlineStr">
        <is>
          <t>Commercial curves (by year since launch)</t>
        </is>
      </c>
      <c r="B40" s="31" t="n"/>
      <c r="C40" s="31" t="n"/>
      <c r="D40" s="31" t="n"/>
      <c r="E40" s="31" t="n"/>
      <c r="F40" s="31" t="n"/>
      <c r="G40" s="31" t="n"/>
      <c r="H40" s="31" t="n"/>
    </row>
    <row r="41">
      <c r="A41" s="22" t="inlineStr">
        <is>
          <t>Year since launch</t>
        </is>
      </c>
      <c r="B41" s="42" t="n">
        <v>1</v>
      </c>
      <c r="C41" s="42" t="n">
        <v>2</v>
      </c>
      <c r="D41" s="42" t="n">
        <v>3</v>
      </c>
      <c r="E41" s="42" t="n">
        <v>4</v>
      </c>
      <c r="F41" s="42" t="n">
        <v>5</v>
      </c>
      <c r="G41" s="42" t="n">
        <v>6</v>
      </c>
      <c r="H41" s="42" t="n">
        <v>7</v>
      </c>
    </row>
    <row r="42">
      <c r="A42" s="13" t="inlineStr">
        <is>
          <t>Ramp 1 — standard launch, % of peak</t>
        </is>
      </c>
      <c r="B42" s="43" t="n">
        <v>0.1</v>
      </c>
      <c r="C42" s="43" t="n">
        <v>0.25</v>
      </c>
      <c r="D42" s="43" t="n">
        <v>0.45</v>
      </c>
      <c r="E42" s="43" t="n">
        <v>0.65</v>
      </c>
      <c r="F42" s="43" t="n">
        <v>0.82</v>
      </c>
      <c r="G42" s="43" t="n">
        <v>0.93</v>
      </c>
      <c r="H42" s="43" t="n">
        <v>1</v>
      </c>
    </row>
    <row r="43">
      <c r="A43" s="13" t="inlineStr">
        <is>
          <t>Ramp 2 — orphan-disease launch, % of peak</t>
        </is>
      </c>
      <c r="B43" s="43" t="n">
        <v>0.15</v>
      </c>
      <c r="C43" s="43" t="n">
        <v>0.35</v>
      </c>
      <c r="D43" s="43" t="n">
        <v>0.55</v>
      </c>
      <c r="E43" s="43" t="n">
        <v>0.75</v>
      </c>
      <c r="F43" s="43" t="n">
        <v>0.9</v>
      </c>
      <c r="G43" s="43" t="n">
        <v>1</v>
      </c>
      <c r="H43" s="43" t="n">
        <v>1</v>
      </c>
    </row>
    <row r="44">
      <c r="A44" s="13" t="inlineStr">
        <is>
          <t>Commercial SG&amp;A, % of sales (years 1–5; floor = program maturity %)</t>
        </is>
      </c>
      <c r="B44" s="43" t="n">
        <v>0.9</v>
      </c>
      <c r="C44" s="43" t="n">
        <v>0.55</v>
      </c>
      <c r="D44" s="43" t="n">
        <v>0.4</v>
      </c>
      <c r="E44" s="43" t="n">
        <v>0.32</v>
      </c>
      <c r="F44" s="43" t="n">
        <v>0.28</v>
      </c>
    </row>
    <row r="46">
      <c r="A46" s="30" t="inlineStr">
        <is>
          <t>Attruby (acoramidis) — ATTR-CM, U.S.  (marketed)</t>
        </is>
      </c>
      <c r="B46" s="31" t="n"/>
      <c r="C46" s="31" t="n"/>
      <c r="D46" s="31" t="n"/>
      <c r="E46" s="31" t="n"/>
    </row>
    <row r="47">
      <c r="A47" s="13" t="inlineStr">
        <is>
          <t>Launch year (first commercial year)</t>
        </is>
      </c>
      <c r="B47" s="39" t="n">
        <v>2025</v>
      </c>
    </row>
    <row r="48">
      <c r="A48" s="13" t="inlineStr">
        <is>
          <t>Peak net sales, unrisked</t>
        </is>
      </c>
      <c r="B48" s="36">
        <f>CHOOSE($B$4,C48,D48,E48)</f>
        <v>3000</v>
      </c>
      <c r="C48" s="44" t="n">
        <v>2000</v>
      </c>
      <c r="D48" s="44" t="n">
        <v>3000</v>
      </c>
      <c r="E48" s="44" t="n">
        <v>4000</v>
      </c>
    </row>
    <row r="49">
      <c r="A49" s="13" t="inlineStr">
        <is>
          <t>Year peak is reached</t>
        </is>
      </c>
      <c r="B49" s="38">
        <f>CHOOSE($B$4,C49,D49,E49)</f>
        <v>2031</v>
      </c>
      <c r="C49" s="39" t="n">
        <v>2031</v>
      </c>
      <c r="D49" s="39" t="n">
        <v>2031</v>
      </c>
      <c r="E49" s="39" t="n">
        <v>2031</v>
      </c>
    </row>
    <row r="50">
      <c r="A50" s="13" t="inlineStr">
        <is>
          <t>Path to peak (1 = straight line, &gt;1 = slower start)</t>
        </is>
      </c>
      <c r="B50" s="45" t="n">
        <v>1</v>
      </c>
    </row>
    <row r="51">
      <c r="A51" s="13" t="inlineStr">
        <is>
          <t>Company revenue, % of product net sales</t>
        </is>
      </c>
      <c r="B51" s="35" t="n">
        <v>1</v>
      </c>
    </row>
    <row r="52">
      <c r="A52" s="13" t="inlineStr">
        <is>
          <t>Cost of goods, % of product sales</t>
        </is>
      </c>
      <c r="B52" s="35" t="n">
        <v>0.05</v>
      </c>
    </row>
    <row r="53">
      <c r="A53" s="13" t="inlineStr">
        <is>
          <t>Royalties owed, % of product sales</t>
        </is>
      </c>
      <c r="B53" s="35" t="n">
        <v>0.06</v>
      </c>
    </row>
    <row r="54">
      <c r="A54" s="13" t="inlineStr">
        <is>
          <t>Commercial SG&amp;A at maturity, % of sales</t>
        </is>
      </c>
      <c r="B54" s="35" t="n">
        <v>0.25</v>
      </c>
    </row>
    <row r="55">
      <c r="A55" s="13" t="inlineStr">
        <is>
          <t>Loss of exclusivity (year)</t>
        </is>
      </c>
      <c r="B55" s="38">
        <f>CHOOSE($B$4,C55,D55,E55)</f>
        <v>2037</v>
      </c>
      <c r="C55" s="39" t="n">
        <v>2036</v>
      </c>
      <c r="D55" s="39" t="n">
        <v>2037</v>
      </c>
      <c r="E55" s="39" t="n">
        <v>2038</v>
      </c>
    </row>
    <row r="56">
      <c r="A56" s="13" t="inlineStr">
        <is>
          <t>Post-LOE annual sales erosion</t>
        </is>
      </c>
      <c r="B56" s="35" t="n">
        <v>0.6</v>
      </c>
    </row>
    <row r="57">
      <c r="A57" s="13" t="inlineStr">
        <is>
          <t>2026E net sales (Quarterly Model)</t>
        </is>
      </c>
      <c r="B57" s="36">
        <f>SUM('Quarterly Model'!F24:I24)</f>
        <v>943.04</v>
      </c>
    </row>
    <row r="59">
      <c r="A59" s="30" t="inlineStr">
        <is>
          <t>Acoramidis — ex-U.S. royalties (Bayer, Alexion)  (marketed)</t>
        </is>
      </c>
      <c r="B59" s="31" t="n"/>
      <c r="C59" s="31" t="n"/>
      <c r="D59" s="31" t="n"/>
      <c r="E59" s="31" t="n"/>
    </row>
    <row r="60">
      <c r="A60" s="13" t="inlineStr">
        <is>
          <t>Launch year (first commercial year)</t>
        </is>
      </c>
      <c r="B60" s="39" t="n">
        <v>2025</v>
      </c>
    </row>
    <row r="61">
      <c r="A61" s="13" t="inlineStr">
        <is>
          <t>Peak net sales, unrisked</t>
        </is>
      </c>
      <c r="B61" s="36">
        <f>CHOOSE($B$4,C61,D61,E61)</f>
        <v>250</v>
      </c>
      <c r="C61" s="44" t="n">
        <v>150</v>
      </c>
      <c r="D61" s="44" t="n">
        <v>250</v>
      </c>
      <c r="E61" s="44" t="n">
        <v>350</v>
      </c>
    </row>
    <row r="62">
      <c r="A62" s="13" t="inlineStr">
        <is>
          <t>Year peak is reached</t>
        </is>
      </c>
      <c r="B62" s="38">
        <f>CHOOSE($B$4,C62,D62,E62)</f>
        <v>2031</v>
      </c>
      <c r="C62" s="39" t="n">
        <v>2031</v>
      </c>
      <c r="D62" s="39" t="n">
        <v>2031</v>
      </c>
      <c r="E62" s="39" t="n">
        <v>2031</v>
      </c>
    </row>
    <row r="63">
      <c r="A63" s="13" t="inlineStr">
        <is>
          <t>Path to peak (1 = straight line, &gt;1 = slower start)</t>
        </is>
      </c>
      <c r="B63" s="45" t="n">
        <v>1</v>
      </c>
    </row>
    <row r="64">
      <c r="A64" s="13" t="inlineStr">
        <is>
          <t>Company revenue, % of product net sales</t>
        </is>
      </c>
      <c r="B64" s="35" t="n">
        <v>1</v>
      </c>
    </row>
    <row r="65">
      <c r="A65" s="13" t="inlineStr">
        <is>
          <t>Cost of goods, % of product sales</t>
        </is>
      </c>
      <c r="B65" s="35" t="n">
        <v>0.2</v>
      </c>
    </row>
    <row r="66">
      <c r="A66" s="13" t="inlineStr">
        <is>
          <t>Royalties owed, % of product sales</t>
        </is>
      </c>
      <c r="B66" s="35" t="n">
        <v>0</v>
      </c>
    </row>
    <row r="67">
      <c r="A67" s="13" t="inlineStr">
        <is>
          <t>Commercial SG&amp;A at maturity, % of sales</t>
        </is>
      </c>
      <c r="B67" s="35" t="n">
        <v>0</v>
      </c>
    </row>
    <row r="68">
      <c r="A68" s="13" t="inlineStr">
        <is>
          <t>Loss of exclusivity (year)</t>
        </is>
      </c>
      <c r="B68" s="38">
        <f>CHOOSE($B$4,C68,D68,E68)</f>
        <v>2037</v>
      </c>
      <c r="C68" s="39" t="n">
        <v>2036</v>
      </c>
      <c r="D68" s="39" t="n">
        <v>2037</v>
      </c>
      <c r="E68" s="39" t="n">
        <v>2038</v>
      </c>
    </row>
    <row r="69">
      <c r="A69" s="13" t="inlineStr">
        <is>
          <t>Post-LOE annual sales erosion</t>
        </is>
      </c>
      <c r="B69" s="35" t="n">
        <v>0.6</v>
      </c>
    </row>
    <row r="70">
      <c r="A70" s="13" t="inlineStr">
        <is>
          <t>2026E net sales (Quarterly Model)</t>
        </is>
      </c>
      <c r="B70" s="36">
        <f>SUM('Quarterly Model'!F25:I25)</f>
        <v>63.93</v>
      </c>
    </row>
    <row r="72">
      <c r="A72" s="30" t="inlineStr">
        <is>
          <t>BBP-418 — LGMD2I/R9  (PDUFA)</t>
        </is>
      </c>
      <c r="B72" s="31" t="n"/>
      <c r="C72" s="31" t="n"/>
      <c r="D72" s="31" t="n"/>
      <c r="E72" s="31" t="n"/>
    </row>
    <row r="73">
      <c r="A73" s="13" t="inlineStr">
        <is>
          <t>Launch year (first full year of sales)</t>
        </is>
      </c>
      <c r="B73" s="38">
        <f>CHOOSE($B$4,C73,D73,E73)</f>
        <v>2027</v>
      </c>
      <c r="C73" s="39" t="n">
        <v>2027</v>
      </c>
      <c r="D73" s="39" t="n">
        <v>2027</v>
      </c>
      <c r="E73" s="39" t="n">
        <v>2027</v>
      </c>
    </row>
    <row r="74">
      <c r="A74" s="13" t="inlineStr">
        <is>
          <t>Peak net sales, unrisked</t>
        </is>
      </c>
      <c r="B74" s="36">
        <f>IF(ISNUMBER($B$8),$B$8,CHOOSE($B$4,C74,D74,E74))</f>
        <v>800</v>
      </c>
      <c r="C74" s="44" t="n">
        <v>500</v>
      </c>
      <c r="D74" s="44" t="n">
        <v>800</v>
      </c>
      <c r="E74" s="44" t="n">
        <v>1200</v>
      </c>
    </row>
    <row r="75">
      <c r="A75" s="13" t="inlineStr">
        <is>
          <t>Probability of approval (PDUFA event above)</t>
        </is>
      </c>
      <c r="B75" s="33">
        <f>$B$32</f>
        <v>0.88</v>
      </c>
    </row>
    <row r="76">
      <c r="A76" s="13" t="inlineStr">
        <is>
          <t>Company revenue, % of product net sales</t>
        </is>
      </c>
      <c r="B76" s="35" t="n">
        <v>1</v>
      </c>
    </row>
    <row r="77">
      <c r="A77" s="13" t="inlineStr">
        <is>
          <t>Cost of goods, % of product sales</t>
        </is>
      </c>
      <c r="B77" s="35" t="n">
        <v>0.05</v>
      </c>
    </row>
    <row r="78">
      <c r="A78" s="13" t="inlineStr">
        <is>
          <t>Royalties owed, % of product sales</t>
        </is>
      </c>
      <c r="B78" s="35" t="n">
        <v>0.03</v>
      </c>
    </row>
    <row r="79">
      <c r="A79" s="13" t="inlineStr">
        <is>
          <t>Commercial SG&amp;A at maturity, % of sales</t>
        </is>
      </c>
      <c r="B79" s="35" t="n">
        <v>0.25</v>
      </c>
    </row>
    <row r="80">
      <c r="A80" s="13" t="inlineStr">
        <is>
          <t>Pre-launch commercial spend, year before launch</t>
        </is>
      </c>
      <c r="B80" s="37" t="n">
        <v>30</v>
      </c>
    </row>
    <row r="81">
      <c r="A81" s="13" t="inlineStr">
        <is>
          <t>Launch ramp (1 = standard, 2 = orphan)</t>
        </is>
      </c>
      <c r="B81" s="39" t="n">
        <v>2</v>
      </c>
    </row>
    <row r="82">
      <c r="A82" s="13" t="inlineStr">
        <is>
          <t>Loss of exclusivity (year)</t>
        </is>
      </c>
      <c r="B82" s="38">
        <f>CHOOSE($B$4,C82,D82,E82)</f>
        <v>2040</v>
      </c>
      <c r="C82" s="39" t="n">
        <v>2040</v>
      </c>
      <c r="D82" s="39" t="n">
        <v>2040</v>
      </c>
      <c r="E82" s="39" t="n">
        <v>2040</v>
      </c>
    </row>
    <row r="83">
      <c r="A83" s="13" t="inlineStr">
        <is>
          <t>Post-LOE annual sales erosion</t>
        </is>
      </c>
      <c r="B83" s="35" t="n">
        <v>0.6</v>
      </c>
    </row>
    <row r="84">
      <c r="A84" s="25" t="inlineStr">
        <is>
          <t>Development spend, unrisked ($mm) by year</t>
        </is>
      </c>
      <c r="B84" s="42" t="n">
        <v>2027</v>
      </c>
      <c r="C84" s="42" t="n">
        <v>2028</v>
      </c>
      <c r="D84" s="42" t="n">
        <v>2029</v>
      </c>
      <c r="E84" s="42" t="n">
        <v>2030</v>
      </c>
      <c r="F84" s="42" t="n">
        <v>2031</v>
      </c>
      <c r="G84" s="42" t="n">
        <v>2032</v>
      </c>
      <c r="H84" s="42" t="n">
        <v>2033</v>
      </c>
      <c r="I84" s="42" t="n">
        <v>2034</v>
      </c>
    </row>
    <row r="85">
      <c r="A85" s="13" t="inlineStr">
        <is>
          <t xml:space="preserve">  Cost</t>
        </is>
      </c>
      <c r="B85" s="37" t="n">
        <v>20</v>
      </c>
      <c r="C85" s="37" t="n">
        <v>15</v>
      </c>
      <c r="D85" s="37" t="n">
        <v>0</v>
      </c>
      <c r="E85" s="37" t="n">
        <v>0</v>
      </c>
      <c r="F85" s="37" t="n">
        <v>0</v>
      </c>
      <c r="G85" s="37" t="n">
        <v>0</v>
      </c>
      <c r="H85" s="37" t="n">
        <v>0</v>
      </c>
      <c r="I85" s="37" t="n">
        <v>0</v>
      </c>
    </row>
    <row r="86">
      <c r="A86" s="13" t="inlineStr">
        <is>
          <t xml:space="preserve">  Probability the cost is incurred</t>
        </is>
      </c>
      <c r="B86" s="43" t="n">
        <v>1</v>
      </c>
      <c r="C86" s="43" t="n">
        <v>1</v>
      </c>
      <c r="D86" s="43" t="n">
        <v>1</v>
      </c>
      <c r="E86" s="43" t="n">
        <v>1</v>
      </c>
      <c r="F86" s="43" t="n">
        <v>1</v>
      </c>
      <c r="G86" s="43" t="n">
        <v>1</v>
      </c>
      <c r="H86" s="43" t="n">
        <v>1</v>
      </c>
      <c r="I86" s="43" t="n">
        <v>1</v>
      </c>
    </row>
    <row r="87">
      <c r="A87" s="25" t="inlineStr">
        <is>
          <t>Milestones / PRV received, by year relative to launch (on-time path)</t>
        </is>
      </c>
      <c r="B87" s="42" t="n">
        <v>0</v>
      </c>
      <c r="C87" s="42" t="n">
        <v>1</v>
      </c>
      <c r="D87" s="42" t="n">
        <v>2</v>
      </c>
      <c r="E87" s="42" t="n">
        <v>3</v>
      </c>
      <c r="F87" s="42" t="n">
        <v>4</v>
      </c>
      <c r="G87" s="42" t="n">
        <v>5</v>
      </c>
      <c r="H87" s="42" t="n">
        <v>6</v>
      </c>
      <c r="I87" s="42" t="n">
        <v>7</v>
      </c>
      <c r="J87" s="42" t="n">
        <v>8</v>
      </c>
      <c r="K87" s="42" t="n">
        <v>9</v>
      </c>
    </row>
    <row r="88">
      <c r="A88" s="13" t="inlineStr">
        <is>
          <t xml:space="preserve">  Amount ($mm, unrisked)</t>
        </is>
      </c>
      <c r="B88" s="37" t="n">
        <v>150</v>
      </c>
      <c r="C88" s="37" t="n">
        <v>0</v>
      </c>
      <c r="D88" s="37" t="n">
        <v>0</v>
      </c>
      <c r="E88" s="37" t="n">
        <v>0</v>
      </c>
      <c r="F88" s="37" t="n">
        <v>0</v>
      </c>
      <c r="G88" s="37" t="n">
        <v>0</v>
      </c>
      <c r="H88" s="37" t="n">
        <v>0</v>
      </c>
      <c r="I88" s="37" t="n">
        <v>0</v>
      </c>
      <c r="J88" s="37" t="n">
        <v>0</v>
      </c>
      <c r="K88" s="37" t="n">
        <v>0</v>
      </c>
    </row>
    <row r="90">
      <c r="A90" s="30" t="inlineStr">
        <is>
          <t>Encaleret — ADH1 (PDUFA May 8, 2027)  (pipeline)</t>
        </is>
      </c>
      <c r="B90" s="31" t="n"/>
      <c r="C90" s="31" t="n"/>
      <c r="D90" s="31" t="n"/>
      <c r="E90" s="31" t="n"/>
    </row>
    <row r="91">
      <c r="A91" s="13" t="inlineStr">
        <is>
          <t>Launch year (first full year of sales)</t>
        </is>
      </c>
      <c r="B91" s="38">
        <f>CHOOSE($B$4,C91,D91,E91)</f>
        <v>2027</v>
      </c>
      <c r="C91" s="39" t="n">
        <v>2027</v>
      </c>
      <c r="D91" s="39" t="n">
        <v>2027</v>
      </c>
      <c r="E91" s="39" t="n">
        <v>2027</v>
      </c>
    </row>
    <row r="92">
      <c r="A92" s="13" t="inlineStr">
        <is>
          <t>Peak net sales, unrisked</t>
        </is>
      </c>
      <c r="B92" s="36">
        <f>CHOOSE($B$4,C92,D92,E92)</f>
        <v>800</v>
      </c>
      <c r="C92" s="44" t="n">
        <v>500</v>
      </c>
      <c r="D92" s="44" t="n">
        <v>800</v>
      </c>
      <c r="E92" s="44" t="n">
        <v>1200</v>
      </c>
    </row>
    <row r="93">
      <c r="A93" s="13" t="inlineStr">
        <is>
          <t>Probability of reaching market</t>
        </is>
      </c>
      <c r="B93" s="33">
        <f>CHOOSE($B$4,C93,D93,E93)</f>
        <v>0.87</v>
      </c>
      <c r="C93" s="34" t="n">
        <v>0.8</v>
      </c>
      <c r="D93" s="34" t="n">
        <v>0.87</v>
      </c>
      <c r="E93" s="34" t="n">
        <v>0.92</v>
      </c>
    </row>
    <row r="94">
      <c r="A94" s="13" t="inlineStr">
        <is>
          <t>Company revenue, % of product net sales</t>
        </is>
      </c>
      <c r="B94" s="35" t="n">
        <v>1</v>
      </c>
    </row>
    <row r="95">
      <c r="A95" s="13" t="inlineStr">
        <is>
          <t>Cost of goods, % of product sales</t>
        </is>
      </c>
      <c r="B95" s="35" t="n">
        <v>0.05</v>
      </c>
    </row>
    <row r="96">
      <c r="A96" s="13" t="inlineStr">
        <is>
          <t>Royalties owed, % of product sales</t>
        </is>
      </c>
      <c r="B96" s="35" t="n">
        <v>0.03</v>
      </c>
    </row>
    <row r="97">
      <c r="A97" s="13" t="inlineStr">
        <is>
          <t>Commercial SG&amp;A at maturity, % of sales</t>
        </is>
      </c>
      <c r="B97" s="35" t="n">
        <v>0.25</v>
      </c>
    </row>
    <row r="98">
      <c r="A98" s="13" t="inlineStr">
        <is>
          <t>Pre-launch commercial spend, year before launch</t>
        </is>
      </c>
      <c r="B98" s="37" t="n">
        <v>25</v>
      </c>
    </row>
    <row r="99">
      <c r="A99" s="13" t="inlineStr">
        <is>
          <t>Launch ramp (1 = standard, 2 = orphan)</t>
        </is>
      </c>
      <c r="B99" s="39" t="n">
        <v>2</v>
      </c>
    </row>
    <row r="100">
      <c r="A100" s="13" t="inlineStr">
        <is>
          <t>Loss of exclusivity (year)</t>
        </is>
      </c>
      <c r="B100" s="38">
        <f>CHOOSE($B$4,C100,D100,E100)</f>
        <v>2041</v>
      </c>
      <c r="C100" s="39" t="n">
        <v>2041</v>
      </c>
      <c r="D100" s="39" t="n">
        <v>2041</v>
      </c>
      <c r="E100" s="39" t="n">
        <v>2041</v>
      </c>
    </row>
    <row r="101">
      <c r="A101" s="13" t="inlineStr">
        <is>
          <t>Post-LOE annual sales erosion</t>
        </is>
      </c>
      <c r="B101" s="35" t="n">
        <v>0.6</v>
      </c>
    </row>
    <row r="102">
      <c r="A102" s="25" t="inlineStr">
        <is>
          <t>Development spend, unrisked ($mm) by year</t>
        </is>
      </c>
      <c r="B102" s="42" t="n">
        <v>2027</v>
      </c>
      <c r="C102" s="42" t="n">
        <v>2028</v>
      </c>
      <c r="D102" s="42" t="n">
        <v>2029</v>
      </c>
      <c r="E102" s="42" t="n">
        <v>2030</v>
      </c>
      <c r="F102" s="42" t="n">
        <v>2031</v>
      </c>
      <c r="G102" s="42" t="n">
        <v>2032</v>
      </c>
      <c r="H102" s="42" t="n">
        <v>2033</v>
      </c>
      <c r="I102" s="42" t="n">
        <v>2034</v>
      </c>
    </row>
    <row r="103">
      <c r="A103" s="13" t="inlineStr">
        <is>
          <t xml:space="preserve">  Cost</t>
        </is>
      </c>
      <c r="B103" s="37" t="n">
        <v>10</v>
      </c>
      <c r="C103" s="37" t="n">
        <v>0</v>
      </c>
      <c r="D103" s="37" t="n">
        <v>0</v>
      </c>
      <c r="E103" s="37" t="n">
        <v>0</v>
      </c>
      <c r="F103" s="37" t="n">
        <v>0</v>
      </c>
      <c r="G103" s="37" t="n">
        <v>0</v>
      </c>
      <c r="H103" s="37" t="n">
        <v>0</v>
      </c>
      <c r="I103" s="37" t="n">
        <v>0</v>
      </c>
    </row>
    <row r="104">
      <c r="A104" s="13" t="inlineStr">
        <is>
          <t xml:space="preserve">  Probability the cost is incurred</t>
        </is>
      </c>
      <c r="B104" s="43" t="n">
        <v>1</v>
      </c>
      <c r="C104" s="43" t="n">
        <v>1</v>
      </c>
      <c r="D104" s="43" t="n">
        <v>1</v>
      </c>
      <c r="E104" s="43" t="n">
        <v>1</v>
      </c>
      <c r="F104" s="43" t="n">
        <v>1</v>
      </c>
      <c r="G104" s="43" t="n">
        <v>1</v>
      </c>
      <c r="H104" s="43" t="n">
        <v>1</v>
      </c>
      <c r="I104" s="43" t="n">
        <v>1</v>
      </c>
    </row>
    <row r="106">
      <c r="A106" s="30" t="inlineStr">
        <is>
          <t>Infigratinib — achondroplasia (PDUFA Feb 4, 2027)  (pipeline)</t>
        </is>
      </c>
      <c r="B106" s="31" t="n"/>
      <c r="C106" s="31" t="n"/>
      <c r="D106" s="31" t="n"/>
      <c r="E106" s="31" t="n"/>
    </row>
    <row r="107">
      <c r="A107" s="13" t="inlineStr">
        <is>
          <t>Launch year (first full year of sales)</t>
        </is>
      </c>
      <c r="B107" s="38">
        <f>CHOOSE($B$4,C107,D107,E107)</f>
        <v>2027</v>
      </c>
      <c r="C107" s="39" t="n">
        <v>2027</v>
      </c>
      <c r="D107" s="39" t="n">
        <v>2027</v>
      </c>
      <c r="E107" s="39" t="n">
        <v>2027</v>
      </c>
    </row>
    <row r="108">
      <c r="A108" s="13" t="inlineStr">
        <is>
          <t>Peak net sales, unrisked</t>
        </is>
      </c>
      <c r="B108" s="36">
        <f>CHOOSE($B$4,C108,D108,E108)</f>
        <v>1300</v>
      </c>
      <c r="C108" s="44" t="n">
        <v>800</v>
      </c>
      <c r="D108" s="44" t="n">
        <v>1300</v>
      </c>
      <c r="E108" s="44" t="n">
        <v>2000</v>
      </c>
    </row>
    <row r="109">
      <c r="A109" s="13" t="inlineStr">
        <is>
          <t>Probability of reaching market</t>
        </is>
      </c>
      <c r="B109" s="33">
        <f>CHOOSE($B$4,C109,D109,E109)</f>
        <v>0.87</v>
      </c>
      <c r="C109" s="34" t="n">
        <v>0.8</v>
      </c>
      <c r="D109" s="34" t="n">
        <v>0.87</v>
      </c>
      <c r="E109" s="34" t="n">
        <v>0.92</v>
      </c>
    </row>
    <row r="110">
      <c r="A110" s="13" t="inlineStr">
        <is>
          <t>Company revenue, % of product net sales</t>
        </is>
      </c>
      <c r="B110" s="35" t="n">
        <v>1</v>
      </c>
    </row>
    <row r="111">
      <c r="A111" s="13" t="inlineStr">
        <is>
          <t>Cost of goods, % of product sales</t>
        </is>
      </c>
      <c r="B111" s="35" t="n">
        <v>0.05</v>
      </c>
    </row>
    <row r="112">
      <c r="A112" s="13" t="inlineStr">
        <is>
          <t>Royalties owed, % of product sales</t>
        </is>
      </c>
      <c r="B112" s="35" t="n">
        <v>0.06</v>
      </c>
    </row>
    <row r="113">
      <c r="A113" s="13" t="inlineStr">
        <is>
          <t>Commercial SG&amp;A at maturity, % of sales</t>
        </is>
      </c>
      <c r="B113" s="35" t="n">
        <v>0.25</v>
      </c>
    </row>
    <row r="114">
      <c r="A114" s="13" t="inlineStr">
        <is>
          <t>Pre-launch commercial spend, year before launch</t>
        </is>
      </c>
      <c r="B114" s="37" t="n">
        <v>30</v>
      </c>
    </row>
    <row r="115">
      <c r="A115" s="13" t="inlineStr">
        <is>
          <t>Launch ramp (1 = standard, 2 = orphan)</t>
        </is>
      </c>
      <c r="B115" s="39" t="n">
        <v>1</v>
      </c>
    </row>
    <row r="116">
      <c r="A116" s="13" t="inlineStr">
        <is>
          <t>Loss of exclusivity (year)</t>
        </is>
      </c>
      <c r="B116" s="38">
        <f>CHOOSE($B$4,C116,D116,E116)</f>
        <v>2041</v>
      </c>
      <c r="C116" s="39" t="n">
        <v>2041</v>
      </c>
      <c r="D116" s="39" t="n">
        <v>2041</v>
      </c>
      <c r="E116" s="39" t="n">
        <v>2041</v>
      </c>
    </row>
    <row r="117">
      <c r="A117" s="13" t="inlineStr">
        <is>
          <t>Post-LOE annual sales erosion</t>
        </is>
      </c>
      <c r="B117" s="35" t="n">
        <v>0.6</v>
      </c>
    </row>
    <row r="118">
      <c r="A118" s="25" t="inlineStr">
        <is>
          <t>Development spend, unrisked ($mm) by year</t>
        </is>
      </c>
      <c r="B118" s="42" t="n">
        <v>2027</v>
      </c>
      <c r="C118" s="42" t="n">
        <v>2028</v>
      </c>
      <c r="D118" s="42" t="n">
        <v>2029</v>
      </c>
      <c r="E118" s="42" t="n">
        <v>2030</v>
      </c>
      <c r="F118" s="42" t="n">
        <v>2031</v>
      </c>
      <c r="G118" s="42" t="n">
        <v>2032</v>
      </c>
      <c r="H118" s="42" t="n">
        <v>2033</v>
      </c>
      <c r="I118" s="42" t="n">
        <v>2034</v>
      </c>
    </row>
    <row r="119">
      <c r="A119" s="13" t="inlineStr">
        <is>
          <t xml:space="preserve">  Cost</t>
        </is>
      </c>
      <c r="B119" s="37" t="n">
        <v>15</v>
      </c>
      <c r="C119" s="37" t="n">
        <v>0</v>
      </c>
      <c r="D119" s="37" t="n">
        <v>0</v>
      </c>
      <c r="E119" s="37" t="n">
        <v>0</v>
      </c>
      <c r="F119" s="37" t="n">
        <v>0</v>
      </c>
      <c r="G119" s="37" t="n">
        <v>0</v>
      </c>
      <c r="H119" s="37" t="n">
        <v>0</v>
      </c>
      <c r="I119" s="37" t="n">
        <v>0</v>
      </c>
    </row>
    <row r="120">
      <c r="A120" s="13" t="inlineStr">
        <is>
          <t xml:space="preserve">  Probability the cost is incurred</t>
        </is>
      </c>
      <c r="B120" s="43" t="n">
        <v>1</v>
      </c>
      <c r="C120" s="43" t="n">
        <v>1</v>
      </c>
      <c r="D120" s="43" t="n">
        <v>1</v>
      </c>
      <c r="E120" s="43" t="n">
        <v>1</v>
      </c>
      <c r="F120" s="43" t="n">
        <v>1</v>
      </c>
      <c r="G120" s="43" t="n">
        <v>1</v>
      </c>
      <c r="H120" s="43" t="n">
        <v>1</v>
      </c>
      <c r="I120" s="43" t="n">
        <v>1</v>
      </c>
    </row>
    <row r="122">
      <c r="A122" s="30" t="inlineStr">
        <is>
          <t>Encaleret — chronic hypoparathyroidism (Phase 3)  (pipeline)</t>
        </is>
      </c>
      <c r="B122" s="31" t="n"/>
      <c r="C122" s="31" t="n"/>
      <c r="D122" s="31" t="n"/>
      <c r="E122" s="31" t="n"/>
    </row>
    <row r="123">
      <c r="A123" s="13" t="inlineStr">
        <is>
          <t>Launch year (first full year of sales)</t>
        </is>
      </c>
      <c r="B123" s="38">
        <f>CHOOSE($B$4,C123,D123,E123)</f>
        <v>2029</v>
      </c>
      <c r="C123" s="39" t="n">
        <v>2029</v>
      </c>
      <c r="D123" s="39" t="n">
        <v>2029</v>
      </c>
      <c r="E123" s="39" t="n">
        <v>2029</v>
      </c>
    </row>
    <row r="124">
      <c r="A124" s="13" t="inlineStr">
        <is>
          <t>Peak net sales, unrisked</t>
        </is>
      </c>
      <c r="B124" s="36">
        <f>CHOOSE($B$4,C124,D124,E124)</f>
        <v>1500</v>
      </c>
      <c r="C124" s="44" t="n">
        <v>800</v>
      </c>
      <c r="D124" s="44" t="n">
        <v>1500</v>
      </c>
      <c r="E124" s="44" t="n">
        <v>2500</v>
      </c>
    </row>
    <row r="125">
      <c r="A125" s="13" t="inlineStr">
        <is>
          <t>Probability of reaching market</t>
        </is>
      </c>
      <c r="B125" s="33">
        <f>CHOOSE($B$4,C125,D125,E125)</f>
        <v>0.45</v>
      </c>
      <c r="C125" s="34" t="n">
        <v>0.35</v>
      </c>
      <c r="D125" s="34" t="n">
        <v>0.45</v>
      </c>
      <c r="E125" s="34" t="n">
        <v>0.55</v>
      </c>
    </row>
    <row r="126">
      <c r="A126" s="13" t="inlineStr">
        <is>
          <t>Company revenue, % of product net sales</t>
        </is>
      </c>
      <c r="B126" s="35" t="n">
        <v>1</v>
      </c>
    </row>
    <row r="127">
      <c r="A127" s="13" t="inlineStr">
        <is>
          <t>Cost of goods, % of product sales</t>
        </is>
      </c>
      <c r="B127" s="35" t="n">
        <v>0.05</v>
      </c>
    </row>
    <row r="128">
      <c r="A128" s="13" t="inlineStr">
        <is>
          <t>Royalties owed, % of product sales</t>
        </is>
      </c>
      <c r="B128" s="35" t="n">
        <v>0.03</v>
      </c>
    </row>
    <row r="129">
      <c r="A129" s="13" t="inlineStr">
        <is>
          <t>Commercial SG&amp;A at maturity, % of sales</t>
        </is>
      </c>
      <c r="B129" s="35" t="n">
        <v>0.25</v>
      </c>
    </row>
    <row r="130">
      <c r="A130" s="13" t="inlineStr">
        <is>
          <t>Pre-launch commercial spend, year before launch</t>
        </is>
      </c>
      <c r="B130" s="37" t="n">
        <v>40</v>
      </c>
    </row>
    <row r="131">
      <c r="A131" s="13" t="inlineStr">
        <is>
          <t>Launch ramp (1 = standard, 2 = orphan)</t>
        </is>
      </c>
      <c r="B131" s="39" t="n">
        <v>1</v>
      </c>
    </row>
    <row r="132">
      <c r="A132" s="13" t="inlineStr">
        <is>
          <t>Loss of exclusivity (year)</t>
        </is>
      </c>
      <c r="B132" s="38">
        <f>CHOOSE($B$4,C132,D132,E132)</f>
        <v>2041</v>
      </c>
      <c r="C132" s="39" t="n">
        <v>2041</v>
      </c>
      <c r="D132" s="39" t="n">
        <v>2041</v>
      </c>
      <c r="E132" s="39" t="n">
        <v>2041</v>
      </c>
    </row>
    <row r="133">
      <c r="A133" s="13" t="inlineStr">
        <is>
          <t>Post-LOE annual sales erosion</t>
        </is>
      </c>
      <c r="B133" s="35" t="n">
        <v>0.6</v>
      </c>
    </row>
    <row r="134">
      <c r="A134" s="25" t="inlineStr">
        <is>
          <t>Development spend, unrisked ($mm) by year</t>
        </is>
      </c>
      <c r="B134" s="42" t="n">
        <v>2027</v>
      </c>
      <c r="C134" s="42" t="n">
        <v>2028</v>
      </c>
      <c r="D134" s="42" t="n">
        <v>2029</v>
      </c>
      <c r="E134" s="42" t="n">
        <v>2030</v>
      </c>
      <c r="F134" s="42" t="n">
        <v>2031</v>
      </c>
      <c r="G134" s="42" t="n">
        <v>2032</v>
      </c>
      <c r="H134" s="42" t="n">
        <v>2033</v>
      </c>
      <c r="I134" s="42" t="n">
        <v>2034</v>
      </c>
    </row>
    <row r="135">
      <c r="A135" s="13" t="inlineStr">
        <is>
          <t xml:space="preserve">  Cost</t>
        </is>
      </c>
      <c r="B135" s="37" t="n">
        <v>70</v>
      </c>
      <c r="C135" s="37" t="n">
        <v>50</v>
      </c>
      <c r="D135" s="37" t="n">
        <v>10</v>
      </c>
      <c r="E135" s="37" t="n">
        <v>0</v>
      </c>
      <c r="F135" s="37" t="n">
        <v>0</v>
      </c>
      <c r="G135" s="37" t="n">
        <v>0</v>
      </c>
      <c r="H135" s="37" t="n">
        <v>0</v>
      </c>
      <c r="I135" s="37" t="n">
        <v>0</v>
      </c>
    </row>
    <row r="136">
      <c r="A136" s="13" t="inlineStr">
        <is>
          <t xml:space="preserve">  Probability the cost is incurred</t>
        </is>
      </c>
      <c r="B136" s="43" t="n">
        <v>1</v>
      </c>
      <c r="C136" s="43" t="n">
        <v>1</v>
      </c>
      <c r="D136" s="43" t="n">
        <v>0.5</v>
      </c>
      <c r="E136" s="43" t="n">
        <v>1</v>
      </c>
      <c r="F136" s="43" t="n">
        <v>1</v>
      </c>
      <c r="G136" s="43" t="n">
        <v>1</v>
      </c>
      <c r="H136" s="43" t="n">
        <v>1</v>
      </c>
      <c r="I136" s="43" t="n">
        <v>1</v>
      </c>
    </row>
    <row r="138">
      <c r="A138" s="30" t="inlineStr">
        <is>
          <t>Infigratinib — hypochondroplasia (Phase 3)  (pipeline)</t>
        </is>
      </c>
      <c r="B138" s="31" t="n"/>
      <c r="C138" s="31" t="n"/>
      <c r="D138" s="31" t="n"/>
      <c r="E138" s="31" t="n"/>
    </row>
    <row r="139">
      <c r="A139" s="13" t="inlineStr">
        <is>
          <t>Launch year (first full year of sales)</t>
        </is>
      </c>
      <c r="B139" s="38">
        <f>CHOOSE($B$4,C139,D139,E139)</f>
        <v>2029</v>
      </c>
      <c r="C139" s="39" t="n">
        <v>2029</v>
      </c>
      <c r="D139" s="39" t="n">
        <v>2029</v>
      </c>
      <c r="E139" s="39" t="n">
        <v>2029</v>
      </c>
    </row>
    <row r="140">
      <c r="A140" s="13" t="inlineStr">
        <is>
          <t>Peak net sales, unrisked</t>
        </is>
      </c>
      <c r="B140" s="36">
        <f>CHOOSE($B$4,C140,D140,E140)</f>
        <v>600</v>
      </c>
      <c r="C140" s="44" t="n">
        <v>300</v>
      </c>
      <c r="D140" s="44" t="n">
        <v>600</v>
      </c>
      <c r="E140" s="44" t="n">
        <v>1000</v>
      </c>
    </row>
    <row r="141">
      <c r="A141" s="13" t="inlineStr">
        <is>
          <t>Probability of reaching market</t>
        </is>
      </c>
      <c r="B141" s="33">
        <f>CHOOSE($B$4,C141,D141,E141)</f>
        <v>0.45</v>
      </c>
      <c r="C141" s="34" t="n">
        <v>0.35</v>
      </c>
      <c r="D141" s="34" t="n">
        <v>0.45</v>
      </c>
      <c r="E141" s="34" t="n">
        <v>0.55</v>
      </c>
    </row>
    <row r="142">
      <c r="A142" s="13" t="inlineStr">
        <is>
          <t>Company revenue, % of product net sales</t>
        </is>
      </c>
      <c r="B142" s="35" t="n">
        <v>1</v>
      </c>
    </row>
    <row r="143">
      <c r="A143" s="13" t="inlineStr">
        <is>
          <t>Cost of goods, % of product sales</t>
        </is>
      </c>
      <c r="B143" s="35" t="n">
        <v>0.05</v>
      </c>
    </row>
    <row r="144">
      <c r="A144" s="13" t="inlineStr">
        <is>
          <t>Royalties owed, % of product sales</t>
        </is>
      </c>
      <c r="B144" s="35" t="n">
        <v>0.06</v>
      </c>
    </row>
    <row r="145">
      <c r="A145" s="13" t="inlineStr">
        <is>
          <t>Commercial SG&amp;A at maturity, % of sales</t>
        </is>
      </c>
      <c r="B145" s="35" t="n">
        <v>0.2</v>
      </c>
    </row>
    <row r="146">
      <c r="A146" s="13" t="inlineStr">
        <is>
          <t>Pre-launch commercial spend, year before launch</t>
        </is>
      </c>
      <c r="B146" s="37" t="n">
        <v>15</v>
      </c>
    </row>
    <row r="147">
      <c r="A147" s="13" t="inlineStr">
        <is>
          <t>Launch ramp (1 = standard, 2 = orphan)</t>
        </is>
      </c>
      <c r="B147" s="39" t="n">
        <v>1</v>
      </c>
    </row>
    <row r="148">
      <c r="A148" s="13" t="inlineStr">
        <is>
          <t>Loss of exclusivity (year)</t>
        </is>
      </c>
      <c r="B148" s="38">
        <f>CHOOSE($B$4,C148,D148,E148)</f>
        <v>2041</v>
      </c>
      <c r="C148" s="39" t="n">
        <v>2041</v>
      </c>
      <c r="D148" s="39" t="n">
        <v>2041</v>
      </c>
      <c r="E148" s="39" t="n">
        <v>2041</v>
      </c>
    </row>
    <row r="149">
      <c r="A149" s="13" t="inlineStr">
        <is>
          <t>Post-LOE annual sales erosion</t>
        </is>
      </c>
      <c r="B149" s="35" t="n">
        <v>0.6</v>
      </c>
    </row>
    <row r="150">
      <c r="A150" s="25" t="inlineStr">
        <is>
          <t>Development spend, unrisked ($mm) by year</t>
        </is>
      </c>
      <c r="B150" s="42" t="n">
        <v>2027</v>
      </c>
      <c r="C150" s="42" t="n">
        <v>2028</v>
      </c>
      <c r="D150" s="42" t="n">
        <v>2029</v>
      </c>
      <c r="E150" s="42" t="n">
        <v>2030</v>
      </c>
      <c r="F150" s="42" t="n">
        <v>2031</v>
      </c>
      <c r="G150" s="42" t="n">
        <v>2032</v>
      </c>
      <c r="H150" s="42" t="n">
        <v>2033</v>
      </c>
      <c r="I150" s="42" t="n">
        <v>2034</v>
      </c>
    </row>
    <row r="151">
      <c r="A151" s="13" t="inlineStr">
        <is>
          <t xml:space="preserve">  Cost</t>
        </is>
      </c>
      <c r="B151" s="37" t="n">
        <v>40</v>
      </c>
      <c r="C151" s="37" t="n">
        <v>20</v>
      </c>
      <c r="D151" s="37" t="n">
        <v>0</v>
      </c>
      <c r="E151" s="37" t="n">
        <v>0</v>
      </c>
      <c r="F151" s="37" t="n">
        <v>0</v>
      </c>
      <c r="G151" s="37" t="n">
        <v>0</v>
      </c>
      <c r="H151" s="37" t="n">
        <v>0</v>
      </c>
      <c r="I151" s="37" t="n">
        <v>0</v>
      </c>
    </row>
    <row r="152">
      <c r="A152" s="13" t="inlineStr">
        <is>
          <t xml:space="preserve">  Probability the cost is incurred</t>
        </is>
      </c>
      <c r="B152" s="43" t="n">
        <v>1</v>
      </c>
      <c r="C152" s="43" t="n">
        <v>1</v>
      </c>
      <c r="D152" s="43" t="n">
        <v>1</v>
      </c>
      <c r="E152" s="43" t="n">
        <v>1</v>
      </c>
      <c r="F152" s="43" t="n">
        <v>1</v>
      </c>
      <c r="G152" s="43" t="n">
        <v>1</v>
      </c>
      <c r="H152" s="43" t="n">
        <v>1</v>
      </c>
      <c r="I152" s="43" t="n">
        <v>1</v>
      </c>
    </row>
    <row r="155">
      <c r="A155" s="46" t="inlineStr">
        <is>
          <t>Sensitivity tables (Excel data tables)</t>
        </is>
      </c>
    </row>
    <row r="157">
      <c r="A157" s="30" t="inlineStr">
        <is>
          <t>Scenario summary</t>
        </is>
      </c>
    </row>
    <row r="158">
      <c r="A158" s="13" t="inlineStr">
        <is>
          <t>Scenario</t>
        </is>
      </c>
      <c r="B158" s="42" t="inlineStr">
        <is>
          <t>Case</t>
        </is>
      </c>
      <c r="C158" s="42" t="inlineStr">
        <is>
          <t>Equity value</t>
        </is>
      </c>
      <c r="D158" s="42" t="inlineStr">
        <is>
          <t>rNPV / share</t>
        </is>
      </c>
      <c r="E158" s="42" t="inlineStr">
        <is>
          <t>Upside</t>
        </is>
      </c>
      <c r="F158" s="42" t="inlineStr">
        <is>
          <t>BBP-418 PV / share</t>
        </is>
      </c>
      <c r="G158" s="42" t="inlineStr">
        <is>
          <t>P(approval)</t>
        </is>
      </c>
      <c r="H158" s="42" t="inlineStr">
        <is>
          <t>Discount rate</t>
        </is>
      </c>
    </row>
    <row r="159">
      <c r="A159" s="25" t="inlineStr">
        <is>
          <t>Live (active scenario)</t>
        </is>
      </c>
      <c r="C159" s="47">
        <f>NPV!C31</f>
        <v>12889.231789501273</v>
      </c>
      <c r="D159" s="48">
        <f>NPV!C43</f>
        <v>54.634523514083696</v>
      </c>
      <c r="E159" s="49">
        <f>NPV!C45</f>
        <v>-0.19119876367011546</v>
      </c>
      <c r="F159" s="48">
        <f>NPV!C54</f>
        <v>12.414086461338243</v>
      </c>
      <c r="G159" s="50">
        <f>$B$32</f>
        <v>0.88</v>
      </c>
      <c r="H159" s="51">
        <f>$B$14</f>
        <v>0.095</v>
      </c>
    </row>
    <row r="160">
      <c r="A160" s="22" t="inlineStr">
        <is>
          <t>Bear</t>
        </is>
      </c>
      <c r="B160" s="52" t="n">
        <v>1</v>
      </c>
      <c r="C160" s="53">
        <f t="dataTable" ref="C160:H162" r1="B4"/>
        <v>5321.146383231713</v>
      </c>
      <c r="D160" s="54">
        <v>25.78014619668973</v>
      </c>
      <c r="E160" s="55">
        <v>-0.6183546084871987</v>
      </c>
      <c r="F160" s="54">
        <v>7.908280829197534</v>
      </c>
      <c r="G160" s="56">
        <v>0.82</v>
      </c>
      <c r="H160" s="55">
        <v>0.11</v>
      </c>
    </row>
    <row r="161">
      <c r="A161" s="22" t="inlineStr">
        <is>
          <t>Base</t>
        </is>
      </c>
      <c r="B161" s="52" t="n">
        <v>2</v>
      </c>
      <c r="C161" s="57">
        <v>12889.231789501273</v>
      </c>
      <c r="D161" s="58">
        <v>54.634523514083696</v>
      </c>
      <c r="E161" s="59">
        <v>-0.19119876367011546</v>
      </c>
      <c r="F161" s="58">
        <v>12.414086461338243</v>
      </c>
      <c r="G161" s="60">
        <v>0.88</v>
      </c>
      <c r="H161" s="59">
        <v>0.095</v>
      </c>
    </row>
    <row r="162">
      <c r="A162" s="22" t="inlineStr">
        <is>
          <t>Bull</t>
        </is>
      </c>
      <c r="B162" s="52" t="n">
        <v>3</v>
      </c>
      <c r="C162" s="53">
        <v>22436.68452957939</v>
      </c>
      <c r="D162" s="54">
        <v>91.42547274628627</v>
      </c>
      <c r="E162" s="55">
        <v>0.3534488933573099</v>
      </c>
      <c r="F162" s="54">
        <v>19.589693336231353</v>
      </c>
      <c r="G162" s="56">
        <v>0.93</v>
      </c>
      <c r="H162" s="55">
        <v>0.085</v>
      </c>
    </row>
    <row r="164">
      <c r="A164" s="30" t="inlineStr">
        <is>
          <t>PDUFA outcome (BBP-418): value if the FDA approves vs. issues a CRL</t>
        </is>
      </c>
    </row>
    <row r="165">
      <c r="A165" s="13" t="inlineStr">
        <is>
          <t>Outcome</t>
        </is>
      </c>
      <c r="B165" s="42" t="inlineStr">
        <is>
          <t>P(approval)</t>
        </is>
      </c>
      <c r="C165" s="42" t="inlineStr">
        <is>
          <t>Equity value</t>
        </is>
      </c>
      <c r="D165" s="42" t="inlineStr">
        <is>
          <t>rNPV / share</t>
        </is>
      </c>
      <c r="E165" s="42" t="inlineStr">
        <is>
          <t>Upside</t>
        </is>
      </c>
      <c r="F165" s="42" t="inlineStr">
        <is>
          <t>BBP-418 PV / share</t>
        </is>
      </c>
    </row>
    <row r="166">
      <c r="A166" s="25" t="inlineStr">
        <is>
          <t>Live (probability-weighted)</t>
        </is>
      </c>
      <c r="B166" s="61">
        <f>$B$32</f>
        <v>0.88</v>
      </c>
      <c r="C166" s="47">
        <f>NPV!C31</f>
        <v>12889.231789501273</v>
      </c>
      <c r="D166" s="48">
        <f>NPV!C43</f>
        <v>54.634523514083696</v>
      </c>
      <c r="E166" s="49">
        <f>NPV!C45</f>
        <v>-0.19119876367011546</v>
      </c>
      <c r="F166" s="48">
        <f>NPV!C54</f>
        <v>12.414086461338243</v>
      </c>
    </row>
    <row r="167">
      <c r="A167" s="22" t="inlineStr">
        <is>
          <t>Complete response letter (CRL)</t>
        </is>
      </c>
      <c r="B167" s="62" t="n">
        <v>0</v>
      </c>
      <c r="C167" s="57">
        <f t="dataTable" ref="C167:F168" r1="B7"/>
        <v>12205.49244667114</v>
      </c>
      <c r="D167" s="58">
        <v>51.79058285073864</v>
      </c>
      <c r="E167" s="59">
        <v>-0.2333000318173406</v>
      </c>
      <c r="F167" s="58">
        <v>7.721520558314469</v>
      </c>
    </row>
    <row r="168">
      <c r="A168" s="22" t="inlineStr">
        <is>
          <t>Approved on time</t>
        </is>
      </c>
      <c r="B168" s="62" t="n">
        <v>1</v>
      </c>
      <c r="C168" s="57">
        <v>12981.994751148324</v>
      </c>
      <c r="D168" s="58">
        <v>55.02036983093543</v>
      </c>
      <c r="E168" s="59">
        <v>-0.1854867530579507</v>
      </c>
      <c r="F168" s="58">
        <v>13.053340364117723</v>
      </c>
    </row>
    <row r="170">
      <c r="A170" s="30" t="inlineStr">
        <is>
          <t>rNPV / share: BBP-418 peak sales × probability of approval</t>
        </is>
      </c>
    </row>
    <row r="171">
      <c r="C171" s="25" t="inlineStr">
        <is>
          <t>Probability of approval →</t>
        </is>
      </c>
    </row>
    <row r="172">
      <c r="A172" s="25" t="inlineStr">
        <is>
          <t>Peak sales ($mm) ↓</t>
        </is>
      </c>
      <c r="B172" s="48">
        <f>NPV!C43</f>
        <v>54.634523514083696</v>
      </c>
      <c r="C172" s="63" t="n">
        <v>0</v>
      </c>
      <c r="D172" s="63" t="n">
        <v>0.25</v>
      </c>
      <c r="E172" s="63" t="n">
        <v>0.5</v>
      </c>
      <c r="F172" s="63" t="n">
        <v>0.75</v>
      </c>
      <c r="G172" s="63" t="n">
        <v>1</v>
      </c>
    </row>
    <row r="173">
      <c r="B173" s="57" t="n">
        <v>325</v>
      </c>
      <c r="C173" s="54">
        <f t="dataTable" ref="C173:G179" dt2D="1" r1="B7" r2="B8"/>
        <v>49.394915860103715</v>
      </c>
      <c r="D173" s="54">
        <v>49.77160683312768</v>
      </c>
      <c r="E173" s="54">
        <v>50.14830033185516</v>
      </c>
      <c r="F173" s="54">
        <v>50.52205518377672</v>
      </c>
      <c r="G173" s="54">
        <v>50.892951733091735</v>
      </c>
    </row>
    <row r="174">
      <c r="B174" s="57" t="n">
        <v>475</v>
      </c>
      <c r="C174" s="54">
        <v>50.151431690586605</v>
      </c>
      <c r="D174" s="54">
        <v>50.667510644900425</v>
      </c>
      <c r="E174" s="54">
        <v>51.18109923202142</v>
      </c>
      <c r="F174" s="54">
        <v>51.68870731908214</v>
      </c>
      <c r="G174" s="54">
        <v>52.19631948169415</v>
      </c>
    </row>
    <row r="175">
      <c r="B175" s="57" t="n">
        <v>650</v>
      </c>
      <c r="C175" s="54">
        <v>51.03404603564599</v>
      </c>
      <c r="D175" s="54">
        <v>51.71274878941712</v>
      </c>
      <c r="E175" s="54">
        <v>52.38271567273962</v>
      </c>
      <c r="F175" s="54">
        <v>53.0498285952243</v>
      </c>
      <c r="G175" s="54">
        <v>53.71694800889575</v>
      </c>
    </row>
    <row r="176">
      <c r="B176" s="57" t="n">
        <v>800</v>
      </c>
      <c r="C176" s="54">
        <v>51.79058285073864</v>
      </c>
      <c r="D176" s="54">
        <v>52.60868097832738</v>
      </c>
      <c r="E176" s="54">
        <v>53.41269012441587</v>
      </c>
      <c r="F176" s="54">
        <v>54.21652557416023</v>
      </c>
      <c r="G176" s="54">
        <v>55.02036983093543</v>
      </c>
    </row>
    <row r="177">
      <c r="B177" s="57" t="n">
        <v>1000</v>
      </c>
      <c r="C177" s="54">
        <v>52.79931253254197</v>
      </c>
      <c r="D177" s="54">
        <v>53.79988824321177</v>
      </c>
      <c r="E177" s="54">
        <v>54.78601280851804</v>
      </c>
      <c r="F177" s="54">
        <v>55.772150205024</v>
      </c>
      <c r="G177" s="54">
        <v>56.758299739423634</v>
      </c>
    </row>
    <row r="178">
      <c r="B178" s="57" t="n">
        <v>1200</v>
      </c>
      <c r="C178" s="54">
        <v>53.80805728000032</v>
      </c>
      <c r="D178" s="54">
        <v>54.990932396156154</v>
      </c>
      <c r="E178" s="54">
        <v>56.15936038656495</v>
      </c>
      <c r="F178" s="54">
        <v>57.32780505619855</v>
      </c>
      <c r="G178" s="54">
        <v>58.489958074065406</v>
      </c>
    </row>
    <row r="179">
      <c r="B179" s="57" t="n">
        <v>1600</v>
      </c>
      <c r="C179" s="54">
        <v>55.825588583260206</v>
      </c>
      <c r="D179" s="54">
        <v>57.373075021338174</v>
      </c>
      <c r="E179" s="54">
        <v>58.90612301436498</v>
      </c>
      <c r="F179" s="54">
        <v>60.43288834362163</v>
      </c>
      <c r="G179" s="54">
        <v>61.91701251001949</v>
      </c>
    </row>
    <row r="181">
      <c r="A181" s="30" t="inlineStr">
        <is>
          <t>rNPV / share: discount rate × scenario</t>
        </is>
      </c>
    </row>
    <row r="182">
      <c r="C182" s="25" t="inlineStr">
        <is>
          <t>Scenario →</t>
        </is>
      </c>
    </row>
    <row r="183">
      <c r="A183" s="25" t="inlineStr">
        <is>
          <t>Discount rate ↓</t>
        </is>
      </c>
      <c r="B183" s="48">
        <f>NPV!C43</f>
        <v>54.634523514083696</v>
      </c>
      <c r="C183" s="38" t="n">
        <v>1</v>
      </c>
      <c r="D183" s="38" t="n">
        <v>2</v>
      </c>
      <c r="E183" s="38" t="n">
        <v>3</v>
      </c>
      <c r="F183" s="25" t="inlineStr">
        <is>
          <t>1 = Bear, 2 = Base, 3 = Bull</t>
        </is>
      </c>
    </row>
    <row r="184">
      <c r="B184" s="59" t="n">
        <v>0.065</v>
      </c>
      <c r="C184" s="54">
        <f t="dataTable" ref="C184:E190" dt2D="1" r1="B4" r2="B6"/>
        <v>36.84953201437013</v>
      </c>
      <c r="D184" s="54">
        <v>67.55150951539754</v>
      </c>
      <c r="E184" s="54">
        <v>105.65503294301556</v>
      </c>
    </row>
    <row r="185">
      <c r="B185" s="59" t="n">
        <v>0.075</v>
      </c>
      <c r="C185" s="54">
        <v>33.99035208409976</v>
      </c>
      <c r="D185" s="54">
        <v>62.83405625893076</v>
      </c>
      <c r="E185" s="54">
        <v>98.4190968928523</v>
      </c>
    </row>
    <row r="186">
      <c r="B186" s="59" t="n">
        <v>0.08500000000000001</v>
      </c>
      <c r="C186" s="54">
        <v>31.380156408640488</v>
      </c>
      <c r="D186" s="54">
        <v>58.54377358022625</v>
      </c>
      <c r="E186" s="54">
        <v>91.42547274628627</v>
      </c>
    </row>
    <row r="187">
      <c r="B187" s="59" t="n">
        <v>0.095</v>
      </c>
      <c r="C187" s="54">
        <v>28.992812023271938</v>
      </c>
      <c r="D187" s="54">
        <v>54.634523514083696</v>
      </c>
      <c r="E187" s="54">
        <v>85.32888212343512</v>
      </c>
    </row>
    <row r="188">
      <c r="B188" s="59" t="n">
        <v>0.105</v>
      </c>
      <c r="C188" s="54">
        <v>26.805345637337663</v>
      </c>
      <c r="D188" s="54">
        <v>51.06582550742227</v>
      </c>
      <c r="E188" s="54">
        <v>79.22478592450905</v>
      </c>
    </row>
    <row r="189">
      <c r="B189" s="59" t="n">
        <v>0.115</v>
      </c>
      <c r="C189" s="54">
        <v>24.797521032325854</v>
      </c>
      <c r="D189" s="54">
        <v>47.80209073106916</v>
      </c>
      <c r="E189" s="54">
        <v>74.00375634950855</v>
      </c>
    </row>
    <row r="190">
      <c r="B190" s="59" t="n">
        <v>0.125</v>
      </c>
      <c r="C190" s="54">
        <v>22.873779076289445</v>
      </c>
      <c r="D190" s="54">
        <v>44.55621927882572</v>
      </c>
      <c r="E190" s="54">
        <v>69.23477855394022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8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style="9" min="1" max="1"/>
    <col width="2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</cols>
  <sheetData>
    <row r="1">
      <c r="A1" s="23" t="inlineStr">
        <is>
          <t>BBIO — risk-adjusted program build ($mm)</t>
        </is>
      </c>
    </row>
    <row r="2">
      <c r="A2" s="22" t="inlineStr">
        <is>
          <t>Year</t>
        </is>
      </c>
      <c r="C2" s="22" t="n">
        <v>2027</v>
      </c>
      <c r="D2" s="22" t="n">
        <v>2028</v>
      </c>
      <c r="E2" s="22" t="n">
        <v>2029</v>
      </c>
      <c r="F2" s="22" t="n">
        <v>2030</v>
      </c>
      <c r="G2" s="22" t="n">
        <v>2031</v>
      </c>
      <c r="H2" s="22" t="n">
        <v>2032</v>
      </c>
      <c r="I2" s="22" t="n">
        <v>2033</v>
      </c>
      <c r="J2" s="22" t="n">
        <v>2034</v>
      </c>
      <c r="K2" s="22" t="n">
        <v>2035</v>
      </c>
      <c r="L2" s="22" t="n">
        <v>2036</v>
      </c>
      <c r="M2" s="22" t="n">
        <v>2037</v>
      </c>
      <c r="N2" s="22" t="n">
        <v>2038</v>
      </c>
      <c r="O2" s="22" t="n">
        <v>2039</v>
      </c>
      <c r="P2" s="22" t="n">
        <v>2040</v>
      </c>
      <c r="Q2" s="22" t="n">
        <v>2041</v>
      </c>
      <c r="R2" s="22" t="n">
        <v>2042</v>
      </c>
      <c r="S2" s="22" t="n">
        <v>2043</v>
      </c>
      <c r="T2" s="22" t="n">
        <v>2044</v>
      </c>
      <c r="U2" s="22" t="n">
        <v>2045</v>
      </c>
      <c r="V2" s="22" t="n">
        <v>2046</v>
      </c>
      <c r="W2" s="22" t="n">
        <v>2047</v>
      </c>
      <c r="X2" s="22" t="n">
        <v>2048</v>
      </c>
      <c r="Y2" s="22" t="n">
        <v>2049</v>
      </c>
      <c r="Z2" s="22" t="n">
        <v>2050</v>
      </c>
    </row>
    <row r="4">
      <c r="A4" s="30" t="inlineStr">
        <is>
          <t>Attruby (acoramidis) — ATTR-CM, U.S.</t>
        </is>
      </c>
    </row>
    <row r="5">
      <c r="A5" s="13" t="inlineStr">
        <is>
          <t>Years since launch</t>
        </is>
      </c>
      <c r="C5" s="64">
        <f>C$2-Assumptions!$B$47+1</f>
        <v>3.0</v>
      </c>
      <c r="D5" s="64">
        <f>D$2-Assumptions!$B$47+1</f>
        <v>4.0</v>
      </c>
      <c r="E5" s="64">
        <f>E$2-Assumptions!$B$47+1</f>
        <v>5.0</v>
      </c>
      <c r="F5" s="64">
        <f>F$2-Assumptions!$B$47+1</f>
        <v>6.0</v>
      </c>
      <c r="G5" s="64">
        <f>G$2-Assumptions!$B$47+1</f>
        <v>7.0</v>
      </c>
      <c r="H5" s="64">
        <f>H$2-Assumptions!$B$47+1</f>
        <v>8.0</v>
      </c>
      <c r="I5" s="64">
        <f>I$2-Assumptions!$B$47+1</f>
        <v>9.0</v>
      </c>
      <c r="J5" s="64">
        <f>J$2-Assumptions!$B$47+1</f>
        <v>10.0</v>
      </c>
      <c r="K5" s="64">
        <f>K$2-Assumptions!$B$47+1</f>
        <v>11.0</v>
      </c>
      <c r="L5" s="64">
        <f>L$2-Assumptions!$B$47+1</f>
        <v>12.0</v>
      </c>
      <c r="M5" s="64">
        <f>M$2-Assumptions!$B$47+1</f>
        <v>13.0</v>
      </c>
      <c r="N5" s="64">
        <f>N$2-Assumptions!$B$47+1</f>
        <v>14.0</v>
      </c>
      <c r="O5" s="64">
        <f>O$2-Assumptions!$B$47+1</f>
        <v>15.0</v>
      </c>
      <c r="P5" s="64">
        <f>P$2-Assumptions!$B$47+1</f>
        <v>16.0</v>
      </c>
      <c r="Q5" s="64">
        <f>Q$2-Assumptions!$B$47+1</f>
        <v>17.0</v>
      </c>
      <c r="R5" s="64">
        <f>R$2-Assumptions!$B$47+1</f>
        <v>18.0</v>
      </c>
      <c r="S5" s="64">
        <f>S$2-Assumptions!$B$47+1</f>
        <v>19.0</v>
      </c>
      <c r="T5" s="64">
        <f>T$2-Assumptions!$B$47+1</f>
        <v>20.0</v>
      </c>
      <c r="U5" s="64">
        <f>U$2-Assumptions!$B$47+1</f>
        <v>21.0</v>
      </c>
      <c r="V5" s="64">
        <f>V$2-Assumptions!$B$47+1</f>
        <v>22.0</v>
      </c>
      <c r="W5" s="64">
        <f>W$2-Assumptions!$B$47+1</f>
        <v>23.0</v>
      </c>
      <c r="X5" s="64">
        <f>X$2-Assumptions!$B$47+1</f>
        <v>24.0</v>
      </c>
      <c r="Y5" s="64">
        <f>Y$2-Assumptions!$B$47+1</f>
        <v>25.0</v>
      </c>
      <c r="Z5" s="64">
        <f>Z$2-Assumptions!$B$47+1</f>
        <v>26.0</v>
      </c>
    </row>
    <row r="6">
      <c r="A6" s="13" t="inlineStr">
        <is>
          <t>Net sales</t>
        </is>
      </c>
      <c r="C6" s="53">
        <f>IF(C$2&gt;Assumptions!$B$55,Assumptions!$B$57*(1-Assumptions!$B$56),IF(C$2&lt;Assumptions!$B$49,Assumptions!$B$57+(Assumptions!$B$48-Assumptions!$B$57)*((C$2-2026)/(Assumptions!$B$49-2026))^Assumptions!$B$50,Assumptions!$B$48))</f>
        <v>1354.432</v>
      </c>
      <c r="D6" s="53">
        <f>IF(D$2&gt;Assumptions!$B$55,C6*(1-Assumptions!$B$56),IF(D$2&lt;Assumptions!$B$49,Assumptions!$B$57+(Assumptions!$B$48-Assumptions!$B$57)*((D$2-2026)/(Assumptions!$B$49-2026))^Assumptions!$B$50,Assumptions!$B$48))</f>
        <v>1765.824</v>
      </c>
      <c r="E6" s="53">
        <f>IF(E$2&gt;Assumptions!$B$55,D6*(1-Assumptions!$B$56),IF(E$2&lt;Assumptions!$B$49,Assumptions!$B$57+(Assumptions!$B$48-Assumptions!$B$57)*((E$2-2026)/(Assumptions!$B$49-2026))^Assumptions!$B$50,Assumptions!$B$48))</f>
        <v>2177.216</v>
      </c>
      <c r="F6" s="53">
        <f>IF(F$2&gt;Assumptions!$B$55,E6*(1-Assumptions!$B$56),IF(F$2&lt;Assumptions!$B$49,Assumptions!$B$57+(Assumptions!$B$48-Assumptions!$B$57)*((F$2-2026)/(Assumptions!$B$49-2026))^Assumptions!$B$50,Assumptions!$B$48))</f>
        <v>2588.608</v>
      </c>
      <c r="G6" s="53">
        <f>IF(G$2&gt;Assumptions!$B$55,F6*(1-Assumptions!$B$56),IF(G$2&lt;Assumptions!$B$49,Assumptions!$B$57+(Assumptions!$B$48-Assumptions!$B$57)*((G$2-2026)/(Assumptions!$B$49-2026))^Assumptions!$B$50,Assumptions!$B$48))</f>
        <v>3000</v>
      </c>
      <c r="H6" s="53">
        <f>IF(H$2&gt;Assumptions!$B$55,G6*(1-Assumptions!$B$56),IF(H$2&lt;Assumptions!$B$49,Assumptions!$B$57+(Assumptions!$B$48-Assumptions!$B$57)*((H$2-2026)/(Assumptions!$B$49-2026))^Assumptions!$B$50,Assumptions!$B$48))</f>
        <v>3000</v>
      </c>
      <c r="I6" s="53">
        <f>IF(I$2&gt;Assumptions!$B$55,H6*(1-Assumptions!$B$56),IF(I$2&lt;Assumptions!$B$49,Assumptions!$B$57+(Assumptions!$B$48-Assumptions!$B$57)*((I$2-2026)/(Assumptions!$B$49-2026))^Assumptions!$B$50,Assumptions!$B$48))</f>
        <v>3000</v>
      </c>
      <c r="J6" s="53">
        <f>IF(J$2&gt;Assumptions!$B$55,I6*(1-Assumptions!$B$56),IF(J$2&lt;Assumptions!$B$49,Assumptions!$B$57+(Assumptions!$B$48-Assumptions!$B$57)*((J$2-2026)/(Assumptions!$B$49-2026))^Assumptions!$B$50,Assumptions!$B$48))</f>
        <v>3000</v>
      </c>
      <c r="K6" s="53">
        <f>IF(K$2&gt;Assumptions!$B$55,J6*(1-Assumptions!$B$56),IF(K$2&lt;Assumptions!$B$49,Assumptions!$B$57+(Assumptions!$B$48-Assumptions!$B$57)*((K$2-2026)/(Assumptions!$B$49-2026))^Assumptions!$B$50,Assumptions!$B$48))</f>
        <v>3000</v>
      </c>
      <c r="L6" s="53">
        <f>IF(L$2&gt;Assumptions!$B$55,K6*(1-Assumptions!$B$56),IF(L$2&lt;Assumptions!$B$49,Assumptions!$B$57+(Assumptions!$B$48-Assumptions!$B$57)*((L$2-2026)/(Assumptions!$B$49-2026))^Assumptions!$B$50,Assumptions!$B$48))</f>
        <v>3000</v>
      </c>
      <c r="M6" s="53">
        <f>IF(M$2&gt;Assumptions!$B$55,L6*(1-Assumptions!$B$56),IF(M$2&lt;Assumptions!$B$49,Assumptions!$B$57+(Assumptions!$B$48-Assumptions!$B$57)*((M$2-2026)/(Assumptions!$B$49-2026))^Assumptions!$B$50,Assumptions!$B$48))</f>
        <v>3000</v>
      </c>
      <c r="N6" s="53">
        <f>IF(N$2&gt;Assumptions!$B$55,M6*(1-Assumptions!$B$56),IF(N$2&lt;Assumptions!$B$49,Assumptions!$B$57+(Assumptions!$B$48-Assumptions!$B$57)*((N$2-2026)/(Assumptions!$B$49-2026))^Assumptions!$B$50,Assumptions!$B$48))</f>
        <v>1200.0</v>
      </c>
      <c r="O6" s="53">
        <f>IF(O$2&gt;Assumptions!$B$55,N6*(1-Assumptions!$B$56),IF(O$2&lt;Assumptions!$B$49,Assumptions!$B$57+(Assumptions!$B$48-Assumptions!$B$57)*((O$2-2026)/(Assumptions!$B$49-2026))^Assumptions!$B$50,Assumptions!$B$48))</f>
        <v>480.0</v>
      </c>
      <c r="P6" s="53">
        <f>IF(P$2&gt;Assumptions!$B$55,O6*(1-Assumptions!$B$56),IF(P$2&lt;Assumptions!$B$49,Assumptions!$B$57+(Assumptions!$B$48-Assumptions!$B$57)*((P$2-2026)/(Assumptions!$B$49-2026))^Assumptions!$B$50,Assumptions!$B$48))</f>
        <v>192.0</v>
      </c>
      <c r="Q6" s="53">
        <f>IF(Q$2&gt;Assumptions!$B$55,P6*(1-Assumptions!$B$56),IF(Q$2&lt;Assumptions!$B$49,Assumptions!$B$57+(Assumptions!$B$48-Assumptions!$B$57)*((Q$2-2026)/(Assumptions!$B$49-2026))^Assumptions!$B$50,Assumptions!$B$48))</f>
        <v>76.80000000000001</v>
      </c>
      <c r="R6" s="53">
        <f>IF(R$2&gt;Assumptions!$B$55,Q6*(1-Assumptions!$B$56),IF(R$2&lt;Assumptions!$B$49,Assumptions!$B$57+(Assumptions!$B$48-Assumptions!$B$57)*((R$2-2026)/(Assumptions!$B$49-2026))^Assumptions!$B$50,Assumptions!$B$48))</f>
        <v>30.720000000000006</v>
      </c>
      <c r="S6" s="53">
        <f>IF(S$2&gt;Assumptions!$B$55,R6*(1-Assumptions!$B$56),IF(S$2&lt;Assumptions!$B$49,Assumptions!$B$57+(Assumptions!$B$48-Assumptions!$B$57)*((S$2-2026)/(Assumptions!$B$49-2026))^Assumptions!$B$50,Assumptions!$B$48))</f>
        <v>12.288000000000004</v>
      </c>
      <c r="T6" s="53">
        <f>IF(T$2&gt;Assumptions!$B$55,S6*(1-Assumptions!$B$56),IF(T$2&lt;Assumptions!$B$49,Assumptions!$B$57+(Assumptions!$B$48-Assumptions!$B$57)*((T$2-2026)/(Assumptions!$B$49-2026))^Assumptions!$B$50,Assumptions!$B$48))</f>
        <v>4.915200000000002</v>
      </c>
      <c r="U6" s="53">
        <f>IF(U$2&gt;Assumptions!$B$55,T6*(1-Assumptions!$B$56),IF(U$2&lt;Assumptions!$B$49,Assumptions!$B$57+(Assumptions!$B$48-Assumptions!$B$57)*((U$2-2026)/(Assumptions!$B$49-2026))^Assumptions!$B$50,Assumptions!$B$48))</f>
        <v>1.966080000000001</v>
      </c>
      <c r="V6" s="53">
        <f>IF(V$2&gt;Assumptions!$B$55,U6*(1-Assumptions!$B$56),IF(V$2&lt;Assumptions!$B$49,Assumptions!$B$57+(Assumptions!$B$48-Assumptions!$B$57)*((V$2-2026)/(Assumptions!$B$49-2026))^Assumptions!$B$50,Assumptions!$B$48))</f>
        <v>0.7864320000000005</v>
      </c>
      <c r="W6" s="53">
        <f>IF(W$2&gt;Assumptions!$B$55,V6*(1-Assumptions!$B$56),IF(W$2&lt;Assumptions!$B$49,Assumptions!$B$57+(Assumptions!$B$48-Assumptions!$B$57)*((W$2-2026)/(Assumptions!$B$49-2026))^Assumptions!$B$50,Assumptions!$B$48))</f>
        <v>0.3145728000000002</v>
      </c>
      <c r="X6" s="53">
        <f>IF(X$2&gt;Assumptions!$B$55,W6*(1-Assumptions!$B$56),IF(X$2&lt;Assumptions!$B$49,Assumptions!$B$57+(Assumptions!$B$48-Assumptions!$B$57)*((X$2-2026)/(Assumptions!$B$49-2026))^Assumptions!$B$50,Assumptions!$B$48))</f>
        <v>0.1258291200000001</v>
      </c>
      <c r="Y6" s="53">
        <f>IF(Y$2&gt;Assumptions!$B$55,X6*(1-Assumptions!$B$56),IF(Y$2&lt;Assumptions!$B$49,Assumptions!$B$57+(Assumptions!$B$48-Assumptions!$B$57)*((Y$2-2026)/(Assumptions!$B$49-2026))^Assumptions!$B$50,Assumptions!$B$48))</f>
        <v>0.05033164800000004</v>
      </c>
      <c r="Z6" s="53">
        <f>IF(Z$2&gt;Assumptions!$B$55,Y6*(1-Assumptions!$B$56),IF(Z$2&lt;Assumptions!$B$49,Assumptions!$B$57+(Assumptions!$B$48-Assumptions!$B$57)*((Z$2-2026)/(Assumptions!$B$49-2026))^Assumptions!$B$50,Assumptions!$B$48))</f>
        <v>0.020132659200000017</v>
      </c>
    </row>
    <row r="7">
      <c r="A7" s="13" t="inlineStr">
        <is>
          <t>Company revenue</t>
        </is>
      </c>
      <c r="C7" s="53">
        <f>C6*Assumptions!$B$51</f>
        <v>1354.432</v>
      </c>
      <c r="D7" s="53">
        <f>D6*Assumptions!$B$51</f>
        <v>1765.824</v>
      </c>
      <c r="E7" s="53">
        <f>E6*Assumptions!$B$51</f>
        <v>2177.216</v>
      </c>
      <c r="F7" s="53">
        <f>F6*Assumptions!$B$51</f>
        <v>2588.608</v>
      </c>
      <c r="G7" s="53">
        <f>G6*Assumptions!$B$51</f>
        <v>3000.0</v>
      </c>
      <c r="H7" s="53">
        <f>H6*Assumptions!$B$51</f>
        <v>3000.0</v>
      </c>
      <c r="I7" s="53">
        <f>I6*Assumptions!$B$51</f>
        <v>3000.0</v>
      </c>
      <c r="J7" s="53">
        <f>J6*Assumptions!$B$51</f>
        <v>3000.0</v>
      </c>
      <c r="K7" s="53">
        <f>K6*Assumptions!$B$51</f>
        <v>3000.0</v>
      </c>
      <c r="L7" s="53">
        <f>L6*Assumptions!$B$51</f>
        <v>3000.0</v>
      </c>
      <c r="M7" s="53">
        <f>M6*Assumptions!$B$51</f>
        <v>3000.0</v>
      </c>
      <c r="N7" s="53">
        <f>N6*Assumptions!$B$51</f>
        <v>1200.0</v>
      </c>
      <c r="O7" s="53">
        <f>O6*Assumptions!$B$51</f>
        <v>480.0</v>
      </c>
      <c r="P7" s="53">
        <f>P6*Assumptions!$B$51</f>
        <v>192.0</v>
      </c>
      <c r="Q7" s="53">
        <f>Q6*Assumptions!$B$51</f>
        <v>76.80000000000001</v>
      </c>
      <c r="R7" s="53">
        <f>R6*Assumptions!$B$51</f>
        <v>30.720000000000006</v>
      </c>
      <c r="S7" s="53">
        <f>S6*Assumptions!$B$51</f>
        <v>12.288000000000004</v>
      </c>
      <c r="T7" s="53">
        <f>T6*Assumptions!$B$51</f>
        <v>4.915200000000002</v>
      </c>
      <c r="U7" s="53">
        <f>U6*Assumptions!$B$51</f>
        <v>1.966080000000001</v>
      </c>
      <c r="V7" s="53">
        <f>V6*Assumptions!$B$51</f>
        <v>0.7864320000000005</v>
      </c>
      <c r="W7" s="53">
        <f>W6*Assumptions!$B$51</f>
        <v>0.3145728000000002</v>
      </c>
      <c r="X7" s="53">
        <f>X6*Assumptions!$B$51</f>
        <v>0.1258291200000001</v>
      </c>
      <c r="Y7" s="53">
        <f>Y6*Assumptions!$B$51</f>
        <v>0.05033164800000004</v>
      </c>
      <c r="Z7" s="53">
        <f>Z6*Assumptions!$B$51</f>
        <v>0.020132659200000017</v>
      </c>
    </row>
    <row r="8">
      <c r="A8" s="13" t="inlineStr">
        <is>
          <t>COGS + royalties</t>
        </is>
      </c>
      <c r="C8" s="53">
        <f>C6*(Assumptions!$B$52+Assumptions!$B$53)</f>
        <v>148.98752</v>
      </c>
      <c r="D8" s="53">
        <f>D6*(Assumptions!$B$52+Assumptions!$B$53)</f>
        <v>194.24064</v>
      </c>
      <c r="E8" s="53">
        <f>E6*(Assumptions!$B$52+Assumptions!$B$53)</f>
        <v>239.49375999999998</v>
      </c>
      <c r="F8" s="53">
        <f>F6*(Assumptions!$B$52+Assumptions!$B$53)</f>
        <v>284.74688000000003</v>
      </c>
      <c r="G8" s="53">
        <f>G6*(Assumptions!$B$52+Assumptions!$B$53)</f>
        <v>330.0</v>
      </c>
      <c r="H8" s="53">
        <f>H6*(Assumptions!$B$52+Assumptions!$B$53)</f>
        <v>330.0</v>
      </c>
      <c r="I8" s="53">
        <f>I6*(Assumptions!$B$52+Assumptions!$B$53)</f>
        <v>330.0</v>
      </c>
      <c r="J8" s="53">
        <f>J6*(Assumptions!$B$52+Assumptions!$B$53)</f>
        <v>330.0</v>
      </c>
      <c r="K8" s="53">
        <f>K6*(Assumptions!$B$52+Assumptions!$B$53)</f>
        <v>330.0</v>
      </c>
      <c r="L8" s="53">
        <f>L6*(Assumptions!$B$52+Assumptions!$B$53)</f>
        <v>330.0</v>
      </c>
      <c r="M8" s="53">
        <f>M6*(Assumptions!$B$52+Assumptions!$B$53)</f>
        <v>330.0</v>
      </c>
      <c r="N8" s="53">
        <f>N6*(Assumptions!$B$52+Assumptions!$B$53)</f>
        <v>132.0</v>
      </c>
      <c r="O8" s="53">
        <f>O6*(Assumptions!$B$52+Assumptions!$B$53)</f>
        <v>52.8</v>
      </c>
      <c r="P8" s="53">
        <f>P6*(Assumptions!$B$52+Assumptions!$B$53)</f>
        <v>21.12</v>
      </c>
      <c r="Q8" s="53">
        <f>Q6*(Assumptions!$B$52+Assumptions!$B$53)</f>
        <v>8.448000000000002</v>
      </c>
      <c r="R8" s="53">
        <f>R6*(Assumptions!$B$52+Assumptions!$B$53)</f>
        <v>3.379200000000001</v>
      </c>
      <c r="S8" s="53">
        <f>S6*(Assumptions!$B$52+Assumptions!$B$53)</f>
        <v>1.3516800000000004</v>
      </c>
      <c r="T8" s="53">
        <f>T6*(Assumptions!$B$52+Assumptions!$B$53)</f>
        <v>0.5406720000000003</v>
      </c>
      <c r="U8" s="53">
        <f>U6*(Assumptions!$B$52+Assumptions!$B$53)</f>
        <v>0.2162688000000001</v>
      </c>
      <c r="V8" s="53">
        <f>V6*(Assumptions!$B$52+Assumptions!$B$53)</f>
        <v>0.08650752000000005</v>
      </c>
      <c r="W8" s="53">
        <f>W6*(Assumptions!$B$52+Assumptions!$B$53)</f>
        <v>0.034603008000000025</v>
      </c>
      <c r="X8" s="53">
        <f>X6*(Assumptions!$B$52+Assumptions!$B$53)</f>
        <v>0.013841203200000011</v>
      </c>
      <c r="Y8" s="53">
        <f>Y6*(Assumptions!$B$52+Assumptions!$B$53)</f>
        <v>0.005536481280000004</v>
      </c>
      <c r="Z8" s="53">
        <f>Z6*(Assumptions!$B$52+Assumptions!$B$53)</f>
        <v>0.002214592512000002</v>
      </c>
    </row>
    <row r="9">
      <c r="A9" s="13" t="inlineStr">
        <is>
          <t>Commercial SG&amp;A</t>
        </is>
      </c>
      <c r="C9" s="53">
        <f>IF(Assumptions!$B$54=0,0,IF(FALSE,0,IF(C5&gt;=1,C6*IF(OR(Assumptions!$B$51&lt;1,C5&gt;5),Assumptions!$B$54,MAX(Assumptions!$B$54,INDEX(Assumptions!$B$44:$F$44,C5))),0)))</f>
        <v>541.7728000000001</v>
      </c>
      <c r="D9" s="53">
        <f>IF(Assumptions!$B$54=0,0,IF(FALSE,0,IF(D5&gt;=1,D6*IF(OR(Assumptions!$B$51&lt;1,D5&gt;5),Assumptions!$B$54,MAX(Assumptions!$B$54,INDEX(Assumptions!$B$44:$F$44,D5))),0)))</f>
        <v>565.0636800000001</v>
      </c>
      <c r="E9" s="53">
        <f>IF(Assumptions!$B$54=0,0,IF(FALSE,0,IF(E5&gt;=1,E6*IF(OR(Assumptions!$B$51&lt;1,E5&gt;5),Assumptions!$B$54,MAX(Assumptions!$B$54,INDEX(Assumptions!$B$44:$F$44,E5))),0)))</f>
        <v>609.62048</v>
      </c>
      <c r="F9" s="53">
        <f>IF(Assumptions!$B$54=0,0,IF(FALSE,0,IF(F5&gt;=1,F6*IF(OR(Assumptions!$B$51&lt;1,F5&gt;5),Assumptions!$B$54,MAX(Assumptions!$B$54,INDEX(Assumptions!$B$44:$F$44,F5))),0)))</f>
        <v>647.152</v>
      </c>
      <c r="G9" s="53">
        <f>IF(Assumptions!$B$54=0,0,IF(FALSE,0,IF(G5&gt;=1,G6*IF(OR(Assumptions!$B$51&lt;1,G5&gt;5),Assumptions!$B$54,MAX(Assumptions!$B$54,INDEX(Assumptions!$B$44:$F$44,G5))),0)))</f>
        <v>750.0</v>
      </c>
      <c r="H9" s="53">
        <f>IF(Assumptions!$B$54=0,0,IF(FALSE,0,IF(H5&gt;=1,H6*IF(OR(Assumptions!$B$51&lt;1,H5&gt;5),Assumptions!$B$54,MAX(Assumptions!$B$54,INDEX(Assumptions!$B$44:$F$44,H5))),0)))</f>
        <v>750.0</v>
      </c>
      <c r="I9" s="53">
        <f>IF(Assumptions!$B$54=0,0,IF(FALSE,0,IF(I5&gt;=1,I6*IF(OR(Assumptions!$B$51&lt;1,I5&gt;5),Assumptions!$B$54,MAX(Assumptions!$B$54,INDEX(Assumptions!$B$44:$F$44,I5))),0)))</f>
        <v>750.0</v>
      </c>
      <c r="J9" s="53">
        <f>IF(Assumptions!$B$54=0,0,IF(FALSE,0,IF(J5&gt;=1,J6*IF(OR(Assumptions!$B$51&lt;1,J5&gt;5),Assumptions!$B$54,MAX(Assumptions!$B$54,INDEX(Assumptions!$B$44:$F$44,J5))),0)))</f>
        <v>750.0</v>
      </c>
      <c r="K9" s="53">
        <f>IF(Assumptions!$B$54=0,0,IF(FALSE,0,IF(K5&gt;=1,K6*IF(OR(Assumptions!$B$51&lt;1,K5&gt;5),Assumptions!$B$54,MAX(Assumptions!$B$54,INDEX(Assumptions!$B$44:$F$44,K5))),0)))</f>
        <v>750.0</v>
      </c>
      <c r="L9" s="53">
        <f>IF(Assumptions!$B$54=0,0,IF(FALSE,0,IF(L5&gt;=1,L6*IF(OR(Assumptions!$B$51&lt;1,L5&gt;5),Assumptions!$B$54,MAX(Assumptions!$B$54,INDEX(Assumptions!$B$44:$F$44,L5))),0)))</f>
        <v>750.0</v>
      </c>
      <c r="M9" s="53">
        <f>IF(Assumptions!$B$54=0,0,IF(FALSE,0,IF(M5&gt;=1,M6*IF(OR(Assumptions!$B$51&lt;1,M5&gt;5),Assumptions!$B$54,MAX(Assumptions!$B$54,INDEX(Assumptions!$B$44:$F$44,M5))),0)))</f>
        <v>750.0</v>
      </c>
      <c r="N9" s="53">
        <f>IF(Assumptions!$B$54=0,0,IF(FALSE,0,IF(N5&gt;=1,N6*IF(OR(Assumptions!$B$51&lt;1,N5&gt;5),Assumptions!$B$54,MAX(Assumptions!$B$54,INDEX(Assumptions!$B$44:$F$44,N5))),0)))</f>
        <v>300.0</v>
      </c>
      <c r="O9" s="53">
        <f>IF(Assumptions!$B$54=0,0,IF(FALSE,0,IF(O5&gt;=1,O6*IF(OR(Assumptions!$B$51&lt;1,O5&gt;5),Assumptions!$B$54,MAX(Assumptions!$B$54,INDEX(Assumptions!$B$44:$F$44,O5))),0)))</f>
        <v>120.0</v>
      </c>
      <c r="P9" s="53">
        <f>IF(Assumptions!$B$54=0,0,IF(FALSE,0,IF(P5&gt;=1,P6*IF(OR(Assumptions!$B$51&lt;1,P5&gt;5),Assumptions!$B$54,MAX(Assumptions!$B$54,INDEX(Assumptions!$B$44:$F$44,P5))),0)))</f>
        <v>48.0</v>
      </c>
      <c r="Q9" s="53">
        <f>IF(Assumptions!$B$54=0,0,IF(FALSE,0,IF(Q5&gt;=1,Q6*IF(OR(Assumptions!$B$51&lt;1,Q5&gt;5),Assumptions!$B$54,MAX(Assumptions!$B$54,INDEX(Assumptions!$B$44:$F$44,Q5))),0)))</f>
        <v>19.200000000000003</v>
      </c>
      <c r="R9" s="53">
        <f>IF(Assumptions!$B$54=0,0,IF(FALSE,0,IF(R5&gt;=1,R6*IF(OR(Assumptions!$B$51&lt;1,R5&gt;5),Assumptions!$B$54,MAX(Assumptions!$B$54,INDEX(Assumptions!$B$44:$F$44,R5))),0)))</f>
        <v>7.6800000000000015</v>
      </c>
      <c r="S9" s="53">
        <f>IF(Assumptions!$B$54=0,0,IF(FALSE,0,IF(S5&gt;=1,S6*IF(OR(Assumptions!$B$51&lt;1,S5&gt;5),Assumptions!$B$54,MAX(Assumptions!$B$54,INDEX(Assumptions!$B$44:$F$44,S5))),0)))</f>
        <v>3.072000000000001</v>
      </c>
      <c r="T9" s="53">
        <f>IF(Assumptions!$B$54=0,0,IF(FALSE,0,IF(T5&gt;=1,T6*IF(OR(Assumptions!$B$51&lt;1,T5&gt;5),Assumptions!$B$54,MAX(Assumptions!$B$54,INDEX(Assumptions!$B$44:$F$44,T5))),0)))</f>
        <v>1.2288000000000006</v>
      </c>
      <c r="U9" s="53">
        <f>IF(Assumptions!$B$54=0,0,IF(FALSE,0,IF(U5&gt;=1,U6*IF(OR(Assumptions!$B$51&lt;1,U5&gt;5),Assumptions!$B$54,MAX(Assumptions!$B$54,INDEX(Assumptions!$B$44:$F$44,U5))),0)))</f>
        <v>0.49152000000000023</v>
      </c>
      <c r="V9" s="53">
        <f>IF(Assumptions!$B$54=0,0,IF(FALSE,0,IF(V5&gt;=1,V6*IF(OR(Assumptions!$B$51&lt;1,V5&gt;5),Assumptions!$B$54,MAX(Assumptions!$B$54,INDEX(Assumptions!$B$44:$F$44,V5))),0)))</f>
        <v>0.19660800000000012</v>
      </c>
      <c r="W9" s="53">
        <f>IF(Assumptions!$B$54=0,0,IF(FALSE,0,IF(W5&gt;=1,W6*IF(OR(Assumptions!$B$51&lt;1,W5&gt;5),Assumptions!$B$54,MAX(Assumptions!$B$54,INDEX(Assumptions!$B$44:$F$44,W5))),0)))</f>
        <v>0.07864320000000005</v>
      </c>
      <c r="X9" s="53">
        <f>IF(Assumptions!$B$54=0,0,IF(FALSE,0,IF(X5&gt;=1,X6*IF(OR(Assumptions!$B$51&lt;1,X5&gt;5),Assumptions!$B$54,MAX(Assumptions!$B$54,INDEX(Assumptions!$B$44:$F$44,X5))),0)))</f>
        <v>0.031457280000000025</v>
      </c>
      <c r="Y9" s="53">
        <f>IF(Assumptions!$B$54=0,0,IF(FALSE,0,IF(Y5&gt;=1,Y6*IF(OR(Assumptions!$B$51&lt;1,Y5&gt;5),Assumptions!$B$54,MAX(Assumptions!$B$54,INDEX(Assumptions!$B$44:$F$44,Y5))),0)))</f>
        <v>0.01258291200000001</v>
      </c>
      <c r="Z9" s="53">
        <f>IF(Assumptions!$B$54=0,0,IF(FALSE,0,IF(Z5&gt;=1,Z6*IF(OR(Assumptions!$B$51&lt;1,Z5&gt;5),Assumptions!$B$54,MAX(Assumptions!$B$54,INDEX(Assumptions!$B$44:$F$44,Z5))),0)))</f>
        <v>0.005033164800000004</v>
      </c>
    </row>
    <row r="10">
      <c r="A10" s="13" t="inlineStr">
        <is>
          <t>Development R&amp;D</t>
        </is>
      </c>
      <c r="C10" s="53">
        <f>0</f>
        <v>0</v>
      </c>
      <c r="D10" s="53">
        <f>0</f>
        <v>0</v>
      </c>
      <c r="E10" s="53">
        <f>0</f>
        <v>0</v>
      </c>
      <c r="F10" s="53">
        <f>0</f>
        <v>0</v>
      </c>
      <c r="G10" s="53">
        <f>0</f>
        <v>0</v>
      </c>
      <c r="H10" s="53">
        <f>0</f>
        <v>0</v>
      </c>
      <c r="I10" s="53">
        <f>0</f>
        <v>0</v>
      </c>
      <c r="J10" s="53">
        <f>0</f>
        <v>0</v>
      </c>
      <c r="K10" s="53">
        <f>0</f>
        <v>0</v>
      </c>
      <c r="L10" s="53">
        <f>0</f>
        <v>0</v>
      </c>
      <c r="M10" s="53">
        <f>0</f>
        <v>0</v>
      </c>
      <c r="N10" s="53">
        <f>0</f>
        <v>0</v>
      </c>
      <c r="O10" s="53">
        <f>0</f>
        <v>0</v>
      </c>
      <c r="P10" s="53">
        <f>0</f>
        <v>0</v>
      </c>
      <c r="Q10" s="53">
        <f>0</f>
        <v>0</v>
      </c>
      <c r="R10" s="53">
        <f>0</f>
        <v>0</v>
      </c>
      <c r="S10" s="53">
        <f>0</f>
        <v>0</v>
      </c>
      <c r="T10" s="53">
        <f>0</f>
        <v>0</v>
      </c>
      <c r="U10" s="53">
        <f>0</f>
        <v>0</v>
      </c>
      <c r="V10" s="53">
        <f>0</f>
        <v>0</v>
      </c>
      <c r="W10" s="53">
        <f>0</f>
        <v>0</v>
      </c>
      <c r="X10" s="53">
        <f>0</f>
        <v>0</v>
      </c>
      <c r="Y10" s="53">
        <f>0</f>
        <v>0</v>
      </c>
      <c r="Z10" s="53">
        <f>0</f>
        <v>0</v>
      </c>
    </row>
    <row r="11">
      <c r="A11" s="22" t="inlineStr">
        <is>
          <t>Program contribution (pre-tax)</t>
        </is>
      </c>
      <c r="C11" s="57">
        <f>C7-C8-C9-C10</f>
        <v>663.67168</v>
      </c>
      <c r="D11" s="57">
        <f>D7-D8-D9-D10</f>
        <v>1006.51968</v>
      </c>
      <c r="E11" s="57">
        <f>E7-E8-E9-E10</f>
        <v>1328.1017599999998</v>
      </c>
      <c r="F11" s="57">
        <f>F7-F8-F9-F10</f>
        <v>1656.70912</v>
      </c>
      <c r="G11" s="57">
        <f>G7-G8-G9-G10</f>
        <v>1920.0</v>
      </c>
      <c r="H11" s="57">
        <f>H7-H8-H9-H10</f>
        <v>1920.0</v>
      </c>
      <c r="I11" s="57">
        <f>I7-I8-I9-I10</f>
        <v>1920.0</v>
      </c>
      <c r="J11" s="57">
        <f>J7-J8-J9-J10</f>
        <v>1920.0</v>
      </c>
      <c r="K11" s="57">
        <f>K7-K8-K9-K10</f>
        <v>1920.0</v>
      </c>
      <c r="L11" s="57">
        <f>L7-L8-L9-L10</f>
        <v>1920.0</v>
      </c>
      <c r="M11" s="57">
        <f>M7-M8-M9-M10</f>
        <v>1920.0</v>
      </c>
      <c r="N11" s="57">
        <f>N7-N8-N9-N10</f>
        <v>768.0</v>
      </c>
      <c r="O11" s="57">
        <f>O7-O8-O9-O10</f>
        <v>307.2</v>
      </c>
      <c r="P11" s="57">
        <f>P7-P8-P9-P10</f>
        <v>122.88</v>
      </c>
      <c r="Q11" s="57">
        <f>Q7-Q8-Q9-Q10</f>
        <v>49.152</v>
      </c>
      <c r="R11" s="57">
        <f>R7-R8-R9-R10</f>
        <v>19.660800000000002</v>
      </c>
      <c r="S11" s="57">
        <f>S7-S8-S9-S10</f>
        <v>7.864320000000003</v>
      </c>
      <c r="T11" s="57">
        <f>T7-T8-T9-T10</f>
        <v>3.145728000000001</v>
      </c>
      <c r="U11" s="57">
        <f>U7-U8-U9-U10</f>
        <v>1.2582912000000006</v>
      </c>
      <c r="V11" s="57">
        <f>V7-V8-V9-V10</f>
        <v>0.5033164800000003</v>
      </c>
      <c r="W11" s="57">
        <f>W7-W8-W9-W10</f>
        <v>0.2013265920000001</v>
      </c>
      <c r="X11" s="57">
        <f>X7-X8-X9-X10</f>
        <v>0.08053063680000005</v>
      </c>
      <c r="Y11" s="57">
        <f>Y7-Y8-Y9-Y10</f>
        <v>0.03221225472000003</v>
      </c>
      <c r="Z11" s="57">
        <f>Z7-Z8-Z9-Z10</f>
        <v>0.012884901888000011</v>
      </c>
    </row>
    <row r="13">
      <c r="A13" s="30" t="inlineStr">
        <is>
          <t>Acoramidis — ex-U.S. royalties (Bayer, Alexion)</t>
        </is>
      </c>
    </row>
    <row r="14">
      <c r="A14" s="13" t="inlineStr">
        <is>
          <t>Years since launch</t>
        </is>
      </c>
      <c r="C14" s="64">
        <f>C$2-Assumptions!$B$60+1</f>
        <v>3.0</v>
      </c>
      <c r="D14" s="64">
        <f>D$2-Assumptions!$B$60+1</f>
        <v>4.0</v>
      </c>
      <c r="E14" s="64">
        <f>E$2-Assumptions!$B$60+1</f>
        <v>5.0</v>
      </c>
      <c r="F14" s="64">
        <f>F$2-Assumptions!$B$60+1</f>
        <v>6.0</v>
      </c>
      <c r="G14" s="64">
        <f>G$2-Assumptions!$B$60+1</f>
        <v>7.0</v>
      </c>
      <c r="H14" s="64">
        <f>H$2-Assumptions!$B$60+1</f>
        <v>8.0</v>
      </c>
      <c r="I14" s="64">
        <f>I$2-Assumptions!$B$60+1</f>
        <v>9.0</v>
      </c>
      <c r="J14" s="64">
        <f>J$2-Assumptions!$B$60+1</f>
        <v>10.0</v>
      </c>
      <c r="K14" s="64">
        <f>K$2-Assumptions!$B$60+1</f>
        <v>11.0</v>
      </c>
      <c r="L14" s="64">
        <f>L$2-Assumptions!$B$60+1</f>
        <v>12.0</v>
      </c>
      <c r="M14" s="64">
        <f>M$2-Assumptions!$B$60+1</f>
        <v>13.0</v>
      </c>
      <c r="N14" s="64">
        <f>N$2-Assumptions!$B$60+1</f>
        <v>14.0</v>
      </c>
      <c r="O14" s="64">
        <f>O$2-Assumptions!$B$60+1</f>
        <v>15.0</v>
      </c>
      <c r="P14" s="64">
        <f>P$2-Assumptions!$B$60+1</f>
        <v>16.0</v>
      </c>
      <c r="Q14" s="64">
        <f>Q$2-Assumptions!$B$60+1</f>
        <v>17.0</v>
      </c>
      <c r="R14" s="64">
        <f>R$2-Assumptions!$B$60+1</f>
        <v>18.0</v>
      </c>
      <c r="S14" s="64">
        <f>S$2-Assumptions!$B$60+1</f>
        <v>19.0</v>
      </c>
      <c r="T14" s="64">
        <f>T$2-Assumptions!$B$60+1</f>
        <v>20.0</v>
      </c>
      <c r="U14" s="64">
        <f>U$2-Assumptions!$B$60+1</f>
        <v>21.0</v>
      </c>
      <c r="V14" s="64">
        <f>V$2-Assumptions!$B$60+1</f>
        <v>22.0</v>
      </c>
      <c r="W14" s="64">
        <f>W$2-Assumptions!$B$60+1</f>
        <v>23.0</v>
      </c>
      <c r="X14" s="64">
        <f>X$2-Assumptions!$B$60+1</f>
        <v>24.0</v>
      </c>
      <c r="Y14" s="64">
        <f>Y$2-Assumptions!$B$60+1</f>
        <v>25.0</v>
      </c>
      <c r="Z14" s="64">
        <f>Z$2-Assumptions!$B$60+1</f>
        <v>26.0</v>
      </c>
    </row>
    <row r="15">
      <c r="A15" s="13" t="inlineStr">
        <is>
          <t>Net sales</t>
        </is>
      </c>
      <c r="C15" s="53">
        <f>IF(C$2&gt;Assumptions!$B$68,Assumptions!$B$70*(1-Assumptions!$B$69),IF(C$2&lt;Assumptions!$B$62,Assumptions!$B$70+(Assumptions!$B$61-Assumptions!$B$70)*((C$2-2026)/(Assumptions!$B$62-2026))^Assumptions!$B$63,Assumptions!$B$61))</f>
        <v>101.144</v>
      </c>
      <c r="D15" s="53">
        <f>IF(D$2&gt;Assumptions!$B$68,C15*(1-Assumptions!$B$69),IF(D$2&lt;Assumptions!$B$62,Assumptions!$B$70+(Assumptions!$B$61-Assumptions!$B$70)*((D$2-2026)/(Assumptions!$B$62-2026))^Assumptions!$B$63,Assumptions!$B$61))</f>
        <v>138.358</v>
      </c>
      <c r="E15" s="53">
        <f>IF(E$2&gt;Assumptions!$B$68,D15*(1-Assumptions!$B$69),IF(E$2&lt;Assumptions!$B$62,Assumptions!$B$70+(Assumptions!$B$61-Assumptions!$B$70)*((E$2-2026)/(Assumptions!$B$62-2026))^Assumptions!$B$63,Assumptions!$B$61))</f>
        <v>175.572</v>
      </c>
      <c r="F15" s="53">
        <f>IF(F$2&gt;Assumptions!$B$68,E15*(1-Assumptions!$B$69),IF(F$2&lt;Assumptions!$B$62,Assumptions!$B$70+(Assumptions!$B$61-Assumptions!$B$70)*((F$2-2026)/(Assumptions!$B$62-2026))^Assumptions!$B$63,Assumptions!$B$61))</f>
        <v>212.786</v>
      </c>
      <c r="G15" s="53">
        <f>IF(G$2&gt;Assumptions!$B$68,F15*(1-Assumptions!$B$69),IF(G$2&lt;Assumptions!$B$62,Assumptions!$B$70+(Assumptions!$B$61-Assumptions!$B$70)*((G$2-2026)/(Assumptions!$B$62-2026))^Assumptions!$B$63,Assumptions!$B$61))</f>
        <v>250</v>
      </c>
      <c r="H15" s="53">
        <f>IF(H$2&gt;Assumptions!$B$68,G15*(1-Assumptions!$B$69),IF(H$2&lt;Assumptions!$B$62,Assumptions!$B$70+(Assumptions!$B$61-Assumptions!$B$70)*((H$2-2026)/(Assumptions!$B$62-2026))^Assumptions!$B$63,Assumptions!$B$61))</f>
        <v>250</v>
      </c>
      <c r="I15" s="53">
        <f>IF(I$2&gt;Assumptions!$B$68,H15*(1-Assumptions!$B$69),IF(I$2&lt;Assumptions!$B$62,Assumptions!$B$70+(Assumptions!$B$61-Assumptions!$B$70)*((I$2-2026)/(Assumptions!$B$62-2026))^Assumptions!$B$63,Assumptions!$B$61))</f>
        <v>250</v>
      </c>
      <c r="J15" s="53">
        <f>IF(J$2&gt;Assumptions!$B$68,I15*(1-Assumptions!$B$69),IF(J$2&lt;Assumptions!$B$62,Assumptions!$B$70+(Assumptions!$B$61-Assumptions!$B$70)*((J$2-2026)/(Assumptions!$B$62-2026))^Assumptions!$B$63,Assumptions!$B$61))</f>
        <v>250</v>
      </c>
      <c r="K15" s="53">
        <f>IF(K$2&gt;Assumptions!$B$68,J15*(1-Assumptions!$B$69),IF(K$2&lt;Assumptions!$B$62,Assumptions!$B$70+(Assumptions!$B$61-Assumptions!$B$70)*((K$2-2026)/(Assumptions!$B$62-2026))^Assumptions!$B$63,Assumptions!$B$61))</f>
        <v>250</v>
      </c>
      <c r="L15" s="53">
        <f>IF(L$2&gt;Assumptions!$B$68,K15*(1-Assumptions!$B$69),IF(L$2&lt;Assumptions!$B$62,Assumptions!$B$70+(Assumptions!$B$61-Assumptions!$B$70)*((L$2-2026)/(Assumptions!$B$62-2026))^Assumptions!$B$63,Assumptions!$B$61))</f>
        <v>250</v>
      </c>
      <c r="M15" s="53">
        <f>IF(M$2&gt;Assumptions!$B$68,L15*(1-Assumptions!$B$69),IF(M$2&lt;Assumptions!$B$62,Assumptions!$B$70+(Assumptions!$B$61-Assumptions!$B$70)*((M$2-2026)/(Assumptions!$B$62-2026))^Assumptions!$B$63,Assumptions!$B$61))</f>
        <v>250</v>
      </c>
      <c r="N15" s="53">
        <f>IF(N$2&gt;Assumptions!$B$68,M15*(1-Assumptions!$B$69),IF(N$2&lt;Assumptions!$B$62,Assumptions!$B$70+(Assumptions!$B$61-Assumptions!$B$70)*((N$2-2026)/(Assumptions!$B$62-2026))^Assumptions!$B$63,Assumptions!$B$61))</f>
        <v>100.0</v>
      </c>
      <c r="O15" s="53">
        <f>IF(O$2&gt;Assumptions!$B$68,N15*(1-Assumptions!$B$69),IF(O$2&lt;Assumptions!$B$62,Assumptions!$B$70+(Assumptions!$B$61-Assumptions!$B$70)*((O$2-2026)/(Assumptions!$B$62-2026))^Assumptions!$B$63,Assumptions!$B$61))</f>
        <v>40.0</v>
      </c>
      <c r="P15" s="53">
        <f>IF(P$2&gt;Assumptions!$B$68,O15*(1-Assumptions!$B$69),IF(P$2&lt;Assumptions!$B$62,Assumptions!$B$70+(Assumptions!$B$61-Assumptions!$B$70)*((P$2-2026)/(Assumptions!$B$62-2026))^Assumptions!$B$63,Assumptions!$B$61))</f>
        <v>16.0</v>
      </c>
      <c r="Q15" s="53">
        <f>IF(Q$2&gt;Assumptions!$B$68,P15*(1-Assumptions!$B$69),IF(Q$2&lt;Assumptions!$B$62,Assumptions!$B$70+(Assumptions!$B$61-Assumptions!$B$70)*((Q$2-2026)/(Assumptions!$B$62-2026))^Assumptions!$B$63,Assumptions!$B$61))</f>
        <v>6.4</v>
      </c>
      <c r="R15" s="53">
        <f>IF(R$2&gt;Assumptions!$B$68,Q15*(1-Assumptions!$B$69),IF(R$2&lt;Assumptions!$B$62,Assumptions!$B$70+(Assumptions!$B$61-Assumptions!$B$70)*((R$2-2026)/(Assumptions!$B$62-2026))^Assumptions!$B$63,Assumptions!$B$61))</f>
        <v>2.5600000000000005</v>
      </c>
      <c r="S15" s="53">
        <f>IF(S$2&gt;Assumptions!$B$68,R15*(1-Assumptions!$B$69),IF(S$2&lt;Assumptions!$B$62,Assumptions!$B$70+(Assumptions!$B$61-Assumptions!$B$70)*((S$2-2026)/(Assumptions!$B$62-2026))^Assumptions!$B$63,Assumptions!$B$61))</f>
        <v>1.0240000000000002</v>
      </c>
      <c r="T15" s="53">
        <f>IF(T$2&gt;Assumptions!$B$68,S15*(1-Assumptions!$B$69),IF(T$2&lt;Assumptions!$B$62,Assumptions!$B$70+(Assumptions!$B$61-Assumptions!$B$70)*((T$2-2026)/(Assumptions!$B$62-2026))^Assumptions!$B$63,Assumptions!$B$61))</f>
        <v>0.40960000000000013</v>
      </c>
      <c r="U15" s="53">
        <f>IF(U$2&gt;Assumptions!$B$68,T15*(1-Assumptions!$B$69),IF(U$2&lt;Assumptions!$B$62,Assumptions!$B$70+(Assumptions!$B$61-Assumptions!$B$70)*((U$2-2026)/(Assumptions!$B$62-2026))^Assumptions!$B$63,Assumptions!$B$61))</f>
        <v>0.16384000000000007</v>
      </c>
      <c r="V15" s="53">
        <f>IF(V$2&gt;Assumptions!$B$68,U15*(1-Assumptions!$B$69),IF(V$2&lt;Assumptions!$B$62,Assumptions!$B$70+(Assumptions!$B$61-Assumptions!$B$70)*((V$2-2026)/(Assumptions!$B$62-2026))^Assumptions!$B$63,Assumptions!$B$61))</f>
        <v>0.06553600000000002</v>
      </c>
      <c r="W15" s="53">
        <f>IF(W$2&gt;Assumptions!$B$68,V15*(1-Assumptions!$B$69),IF(W$2&lt;Assumptions!$B$62,Assumptions!$B$70+(Assumptions!$B$61-Assumptions!$B$70)*((W$2-2026)/(Assumptions!$B$62-2026))^Assumptions!$B$63,Assumptions!$B$61))</f>
        <v>0.026214400000000013</v>
      </c>
      <c r="X15" s="53">
        <f>IF(X$2&gt;Assumptions!$B$68,W15*(1-Assumptions!$B$69),IF(X$2&lt;Assumptions!$B$62,Assumptions!$B$70+(Assumptions!$B$61-Assumptions!$B$70)*((X$2-2026)/(Assumptions!$B$62-2026))^Assumptions!$B$63,Assumptions!$B$61))</f>
        <v>0.010485760000000005</v>
      </c>
      <c r="Y15" s="53">
        <f>IF(Y$2&gt;Assumptions!$B$68,X15*(1-Assumptions!$B$69),IF(Y$2&lt;Assumptions!$B$62,Assumptions!$B$70+(Assumptions!$B$61-Assumptions!$B$70)*((Y$2-2026)/(Assumptions!$B$62-2026))^Assumptions!$B$63,Assumptions!$B$61))</f>
        <v>0.004194304000000002</v>
      </c>
      <c r="Z15" s="53">
        <f>IF(Z$2&gt;Assumptions!$B$68,Y15*(1-Assumptions!$B$69),IF(Z$2&lt;Assumptions!$B$62,Assumptions!$B$70+(Assumptions!$B$61-Assumptions!$B$70)*((Z$2-2026)/(Assumptions!$B$62-2026))^Assumptions!$B$63,Assumptions!$B$61))</f>
        <v>0.001677721600000001</v>
      </c>
    </row>
    <row r="16">
      <c r="A16" s="13" t="inlineStr">
        <is>
          <t>Company revenue</t>
        </is>
      </c>
      <c r="C16" s="53">
        <f>C15*Assumptions!$B$64</f>
        <v>101.144</v>
      </c>
      <c r="D16" s="53">
        <f>D15*Assumptions!$B$64</f>
        <v>138.358</v>
      </c>
      <c r="E16" s="53">
        <f>E15*Assumptions!$B$64</f>
        <v>175.572</v>
      </c>
      <c r="F16" s="53">
        <f>F15*Assumptions!$B$64</f>
        <v>212.786</v>
      </c>
      <c r="G16" s="53">
        <f>G15*Assumptions!$B$64</f>
        <v>250.0</v>
      </c>
      <c r="H16" s="53">
        <f>H15*Assumptions!$B$64</f>
        <v>250.0</v>
      </c>
      <c r="I16" s="53">
        <f>I15*Assumptions!$B$64</f>
        <v>250.0</v>
      </c>
      <c r="J16" s="53">
        <f>J15*Assumptions!$B$64</f>
        <v>250.0</v>
      </c>
      <c r="K16" s="53">
        <f>K15*Assumptions!$B$64</f>
        <v>250.0</v>
      </c>
      <c r="L16" s="53">
        <f>L15*Assumptions!$B$64</f>
        <v>250.0</v>
      </c>
      <c r="M16" s="53">
        <f>M15*Assumptions!$B$64</f>
        <v>250.0</v>
      </c>
      <c r="N16" s="53">
        <f>N15*Assumptions!$B$64</f>
        <v>100.0</v>
      </c>
      <c r="O16" s="53">
        <f>O15*Assumptions!$B$64</f>
        <v>40.0</v>
      </c>
      <c r="P16" s="53">
        <f>P15*Assumptions!$B$64</f>
        <v>16.0</v>
      </c>
      <c r="Q16" s="53">
        <f>Q15*Assumptions!$B$64</f>
        <v>6.4</v>
      </c>
      <c r="R16" s="53">
        <f>R15*Assumptions!$B$64</f>
        <v>2.5600000000000005</v>
      </c>
      <c r="S16" s="53">
        <f>S15*Assumptions!$B$64</f>
        <v>1.0240000000000002</v>
      </c>
      <c r="T16" s="53">
        <f>T15*Assumptions!$B$64</f>
        <v>0.40960000000000013</v>
      </c>
      <c r="U16" s="53">
        <f>U15*Assumptions!$B$64</f>
        <v>0.16384000000000007</v>
      </c>
      <c r="V16" s="53">
        <f>V15*Assumptions!$B$64</f>
        <v>0.06553600000000002</v>
      </c>
      <c r="W16" s="53">
        <f>W15*Assumptions!$B$64</f>
        <v>0.026214400000000013</v>
      </c>
      <c r="X16" s="53">
        <f>X15*Assumptions!$B$64</f>
        <v>0.010485760000000005</v>
      </c>
      <c r="Y16" s="53">
        <f>Y15*Assumptions!$B$64</f>
        <v>0.004194304000000002</v>
      </c>
      <c r="Z16" s="53">
        <f>Z15*Assumptions!$B$64</f>
        <v>0.001677721600000001</v>
      </c>
    </row>
    <row r="17">
      <c r="A17" s="13" t="inlineStr">
        <is>
          <t>COGS + royalties</t>
        </is>
      </c>
      <c r="C17" s="53">
        <f>C15*(Assumptions!$B$65+Assumptions!$B$66)</f>
        <v>20.228800000000003</v>
      </c>
      <c r="D17" s="53">
        <f>D15*(Assumptions!$B$65+Assumptions!$B$66)</f>
        <v>27.6716</v>
      </c>
      <c r="E17" s="53">
        <f>E15*(Assumptions!$B$65+Assumptions!$B$66)</f>
        <v>35.1144</v>
      </c>
      <c r="F17" s="53">
        <f>F15*(Assumptions!$B$65+Assumptions!$B$66)</f>
        <v>42.5572</v>
      </c>
      <c r="G17" s="53">
        <f>G15*(Assumptions!$B$65+Assumptions!$B$66)</f>
        <v>50.0</v>
      </c>
      <c r="H17" s="53">
        <f>H15*(Assumptions!$B$65+Assumptions!$B$66)</f>
        <v>50.0</v>
      </c>
      <c r="I17" s="53">
        <f>I15*(Assumptions!$B$65+Assumptions!$B$66)</f>
        <v>50.0</v>
      </c>
      <c r="J17" s="53">
        <f>J15*(Assumptions!$B$65+Assumptions!$B$66)</f>
        <v>50.0</v>
      </c>
      <c r="K17" s="53">
        <f>K15*(Assumptions!$B$65+Assumptions!$B$66)</f>
        <v>50.0</v>
      </c>
      <c r="L17" s="53">
        <f>L15*(Assumptions!$B$65+Assumptions!$B$66)</f>
        <v>50.0</v>
      </c>
      <c r="M17" s="53">
        <f>M15*(Assumptions!$B$65+Assumptions!$B$66)</f>
        <v>50.0</v>
      </c>
      <c r="N17" s="53">
        <f>N15*(Assumptions!$B$65+Assumptions!$B$66)</f>
        <v>20.0</v>
      </c>
      <c r="O17" s="53">
        <f>O15*(Assumptions!$B$65+Assumptions!$B$66)</f>
        <v>8.0</v>
      </c>
      <c r="P17" s="53">
        <f>P15*(Assumptions!$B$65+Assumptions!$B$66)</f>
        <v>3.2</v>
      </c>
      <c r="Q17" s="53">
        <f>Q15*(Assumptions!$B$65+Assumptions!$B$66)</f>
        <v>1.2800000000000002</v>
      </c>
      <c r="R17" s="53">
        <f>R15*(Assumptions!$B$65+Assumptions!$B$66)</f>
        <v>0.5120000000000001</v>
      </c>
      <c r="S17" s="53">
        <f>S15*(Assumptions!$B$65+Assumptions!$B$66)</f>
        <v>0.20480000000000007</v>
      </c>
      <c r="T17" s="53">
        <f>T15*(Assumptions!$B$65+Assumptions!$B$66)</f>
        <v>0.08192000000000003</v>
      </c>
      <c r="U17" s="53">
        <f>U15*(Assumptions!$B$65+Assumptions!$B$66)</f>
        <v>0.03276800000000001</v>
      </c>
      <c r="V17" s="53">
        <f>V15*(Assumptions!$B$65+Assumptions!$B$66)</f>
        <v>0.013107200000000006</v>
      </c>
      <c r="W17" s="53">
        <f>W15*(Assumptions!$B$65+Assumptions!$B$66)</f>
        <v>0.005242880000000003</v>
      </c>
      <c r="X17" s="53">
        <f>X15*(Assumptions!$B$65+Assumptions!$B$66)</f>
        <v>0.002097152000000001</v>
      </c>
      <c r="Y17" s="53">
        <f>Y15*(Assumptions!$B$65+Assumptions!$B$66)</f>
        <v>0.0008388608000000005</v>
      </c>
      <c r="Z17" s="53">
        <f>Z15*(Assumptions!$B$65+Assumptions!$B$66)</f>
        <v>0.0003355443200000002</v>
      </c>
    </row>
    <row r="18">
      <c r="A18" s="13" t="inlineStr">
        <is>
          <t>Commercial SG&amp;A</t>
        </is>
      </c>
      <c r="C18" s="53">
        <f>IF(Assumptions!$B$67=0,0,IF(FALSE,0,IF(C14&gt;=1,C15*IF(OR(Assumptions!$B$64&lt;1,C14&gt;5),Assumptions!$B$67,MAX(Assumptions!$B$67,INDEX(Assumptions!$B$44:$F$44,C14))),0)))</f>
        <v>0</v>
      </c>
      <c r="D18" s="53">
        <f>IF(Assumptions!$B$67=0,0,IF(FALSE,0,IF(D14&gt;=1,D15*IF(OR(Assumptions!$B$64&lt;1,D14&gt;5),Assumptions!$B$67,MAX(Assumptions!$B$67,INDEX(Assumptions!$B$44:$F$44,D14))),0)))</f>
        <v>0</v>
      </c>
      <c r="E18" s="53">
        <f>IF(Assumptions!$B$67=0,0,IF(FALSE,0,IF(E14&gt;=1,E15*IF(OR(Assumptions!$B$64&lt;1,E14&gt;5),Assumptions!$B$67,MAX(Assumptions!$B$67,INDEX(Assumptions!$B$44:$F$44,E14))),0)))</f>
        <v>0</v>
      </c>
      <c r="F18" s="53">
        <f>IF(Assumptions!$B$67=0,0,IF(FALSE,0,IF(F14&gt;=1,F15*IF(OR(Assumptions!$B$64&lt;1,F14&gt;5),Assumptions!$B$67,MAX(Assumptions!$B$67,INDEX(Assumptions!$B$44:$F$44,F14))),0)))</f>
        <v>0</v>
      </c>
      <c r="G18" s="53">
        <f>IF(Assumptions!$B$67=0,0,IF(FALSE,0,IF(G14&gt;=1,G15*IF(OR(Assumptions!$B$64&lt;1,G14&gt;5),Assumptions!$B$67,MAX(Assumptions!$B$67,INDEX(Assumptions!$B$44:$F$44,G14))),0)))</f>
        <v>0</v>
      </c>
      <c r="H18" s="53">
        <f>IF(Assumptions!$B$67=0,0,IF(FALSE,0,IF(H14&gt;=1,H15*IF(OR(Assumptions!$B$64&lt;1,H14&gt;5),Assumptions!$B$67,MAX(Assumptions!$B$67,INDEX(Assumptions!$B$44:$F$44,H14))),0)))</f>
        <v>0</v>
      </c>
      <c r="I18" s="53">
        <f>IF(Assumptions!$B$67=0,0,IF(FALSE,0,IF(I14&gt;=1,I15*IF(OR(Assumptions!$B$64&lt;1,I14&gt;5),Assumptions!$B$67,MAX(Assumptions!$B$67,INDEX(Assumptions!$B$44:$F$44,I14))),0)))</f>
        <v>0</v>
      </c>
      <c r="J18" s="53">
        <f>IF(Assumptions!$B$67=0,0,IF(FALSE,0,IF(J14&gt;=1,J15*IF(OR(Assumptions!$B$64&lt;1,J14&gt;5),Assumptions!$B$67,MAX(Assumptions!$B$67,INDEX(Assumptions!$B$44:$F$44,J14))),0)))</f>
        <v>0</v>
      </c>
      <c r="K18" s="53">
        <f>IF(Assumptions!$B$67=0,0,IF(FALSE,0,IF(K14&gt;=1,K15*IF(OR(Assumptions!$B$64&lt;1,K14&gt;5),Assumptions!$B$67,MAX(Assumptions!$B$67,INDEX(Assumptions!$B$44:$F$44,K14))),0)))</f>
        <v>0</v>
      </c>
      <c r="L18" s="53">
        <f>IF(Assumptions!$B$67=0,0,IF(FALSE,0,IF(L14&gt;=1,L15*IF(OR(Assumptions!$B$64&lt;1,L14&gt;5),Assumptions!$B$67,MAX(Assumptions!$B$67,INDEX(Assumptions!$B$44:$F$44,L14))),0)))</f>
        <v>0</v>
      </c>
      <c r="M18" s="53">
        <f>IF(Assumptions!$B$67=0,0,IF(FALSE,0,IF(M14&gt;=1,M15*IF(OR(Assumptions!$B$64&lt;1,M14&gt;5),Assumptions!$B$67,MAX(Assumptions!$B$67,INDEX(Assumptions!$B$44:$F$44,M14))),0)))</f>
        <v>0</v>
      </c>
      <c r="N18" s="53">
        <f>IF(Assumptions!$B$67=0,0,IF(FALSE,0,IF(N14&gt;=1,N15*IF(OR(Assumptions!$B$64&lt;1,N14&gt;5),Assumptions!$B$67,MAX(Assumptions!$B$67,INDEX(Assumptions!$B$44:$F$44,N14))),0)))</f>
        <v>0</v>
      </c>
      <c r="O18" s="53">
        <f>IF(Assumptions!$B$67=0,0,IF(FALSE,0,IF(O14&gt;=1,O15*IF(OR(Assumptions!$B$64&lt;1,O14&gt;5),Assumptions!$B$67,MAX(Assumptions!$B$67,INDEX(Assumptions!$B$44:$F$44,O14))),0)))</f>
        <v>0</v>
      </c>
      <c r="P18" s="53">
        <f>IF(Assumptions!$B$67=0,0,IF(FALSE,0,IF(P14&gt;=1,P15*IF(OR(Assumptions!$B$64&lt;1,P14&gt;5),Assumptions!$B$67,MAX(Assumptions!$B$67,INDEX(Assumptions!$B$44:$F$44,P14))),0)))</f>
        <v>0</v>
      </c>
      <c r="Q18" s="53">
        <f>IF(Assumptions!$B$67=0,0,IF(FALSE,0,IF(Q14&gt;=1,Q15*IF(OR(Assumptions!$B$64&lt;1,Q14&gt;5),Assumptions!$B$67,MAX(Assumptions!$B$67,INDEX(Assumptions!$B$44:$F$44,Q14))),0)))</f>
        <v>0</v>
      </c>
      <c r="R18" s="53">
        <f>IF(Assumptions!$B$67=0,0,IF(FALSE,0,IF(R14&gt;=1,R15*IF(OR(Assumptions!$B$64&lt;1,R14&gt;5),Assumptions!$B$67,MAX(Assumptions!$B$67,INDEX(Assumptions!$B$44:$F$44,R14))),0)))</f>
        <v>0</v>
      </c>
      <c r="S18" s="53">
        <f>IF(Assumptions!$B$67=0,0,IF(FALSE,0,IF(S14&gt;=1,S15*IF(OR(Assumptions!$B$64&lt;1,S14&gt;5),Assumptions!$B$67,MAX(Assumptions!$B$67,INDEX(Assumptions!$B$44:$F$44,S14))),0)))</f>
        <v>0</v>
      </c>
      <c r="T18" s="53">
        <f>IF(Assumptions!$B$67=0,0,IF(FALSE,0,IF(T14&gt;=1,T15*IF(OR(Assumptions!$B$64&lt;1,T14&gt;5),Assumptions!$B$67,MAX(Assumptions!$B$67,INDEX(Assumptions!$B$44:$F$44,T14))),0)))</f>
        <v>0</v>
      </c>
      <c r="U18" s="53">
        <f>IF(Assumptions!$B$67=0,0,IF(FALSE,0,IF(U14&gt;=1,U15*IF(OR(Assumptions!$B$64&lt;1,U14&gt;5),Assumptions!$B$67,MAX(Assumptions!$B$67,INDEX(Assumptions!$B$44:$F$44,U14))),0)))</f>
        <v>0</v>
      </c>
      <c r="V18" s="53">
        <f>IF(Assumptions!$B$67=0,0,IF(FALSE,0,IF(V14&gt;=1,V15*IF(OR(Assumptions!$B$64&lt;1,V14&gt;5),Assumptions!$B$67,MAX(Assumptions!$B$67,INDEX(Assumptions!$B$44:$F$44,V14))),0)))</f>
        <v>0</v>
      </c>
      <c r="W18" s="53">
        <f>IF(Assumptions!$B$67=0,0,IF(FALSE,0,IF(W14&gt;=1,W15*IF(OR(Assumptions!$B$64&lt;1,W14&gt;5),Assumptions!$B$67,MAX(Assumptions!$B$67,INDEX(Assumptions!$B$44:$F$44,W14))),0)))</f>
        <v>0</v>
      </c>
      <c r="X18" s="53">
        <f>IF(Assumptions!$B$67=0,0,IF(FALSE,0,IF(X14&gt;=1,X15*IF(OR(Assumptions!$B$64&lt;1,X14&gt;5),Assumptions!$B$67,MAX(Assumptions!$B$67,INDEX(Assumptions!$B$44:$F$44,X14))),0)))</f>
        <v>0</v>
      </c>
      <c r="Y18" s="53">
        <f>IF(Assumptions!$B$67=0,0,IF(FALSE,0,IF(Y14&gt;=1,Y15*IF(OR(Assumptions!$B$64&lt;1,Y14&gt;5),Assumptions!$B$67,MAX(Assumptions!$B$67,INDEX(Assumptions!$B$44:$F$44,Y14))),0)))</f>
        <v>0</v>
      </c>
      <c r="Z18" s="53">
        <f>IF(Assumptions!$B$67=0,0,IF(FALSE,0,IF(Z14&gt;=1,Z15*IF(OR(Assumptions!$B$64&lt;1,Z14&gt;5),Assumptions!$B$67,MAX(Assumptions!$B$67,INDEX(Assumptions!$B$44:$F$44,Z14))),0)))</f>
        <v>0</v>
      </c>
    </row>
    <row r="19">
      <c r="A19" s="13" t="inlineStr">
        <is>
          <t>Development R&amp;D</t>
        </is>
      </c>
      <c r="C19" s="53">
        <f>0</f>
        <v>0</v>
      </c>
      <c r="D19" s="53">
        <f>0</f>
        <v>0</v>
      </c>
      <c r="E19" s="53">
        <f>0</f>
        <v>0</v>
      </c>
      <c r="F19" s="53">
        <f>0</f>
        <v>0</v>
      </c>
      <c r="G19" s="53">
        <f>0</f>
        <v>0</v>
      </c>
      <c r="H19" s="53">
        <f>0</f>
        <v>0</v>
      </c>
      <c r="I19" s="53">
        <f>0</f>
        <v>0</v>
      </c>
      <c r="J19" s="53">
        <f>0</f>
        <v>0</v>
      </c>
      <c r="K19" s="53">
        <f>0</f>
        <v>0</v>
      </c>
      <c r="L19" s="53">
        <f>0</f>
        <v>0</v>
      </c>
      <c r="M19" s="53">
        <f>0</f>
        <v>0</v>
      </c>
      <c r="N19" s="53">
        <f>0</f>
        <v>0</v>
      </c>
      <c r="O19" s="53">
        <f>0</f>
        <v>0</v>
      </c>
      <c r="P19" s="53">
        <f>0</f>
        <v>0</v>
      </c>
      <c r="Q19" s="53">
        <f>0</f>
        <v>0</v>
      </c>
      <c r="R19" s="53">
        <f>0</f>
        <v>0</v>
      </c>
      <c r="S19" s="53">
        <f>0</f>
        <v>0</v>
      </c>
      <c r="T19" s="53">
        <f>0</f>
        <v>0</v>
      </c>
      <c r="U19" s="53">
        <f>0</f>
        <v>0</v>
      </c>
      <c r="V19" s="53">
        <f>0</f>
        <v>0</v>
      </c>
      <c r="W19" s="53">
        <f>0</f>
        <v>0</v>
      </c>
      <c r="X19" s="53">
        <f>0</f>
        <v>0</v>
      </c>
      <c r="Y19" s="53">
        <f>0</f>
        <v>0</v>
      </c>
      <c r="Z19" s="53">
        <f>0</f>
        <v>0</v>
      </c>
    </row>
    <row r="20">
      <c r="A20" s="22" t="inlineStr">
        <is>
          <t>Program contribution (pre-tax)</t>
        </is>
      </c>
      <c r="C20" s="57">
        <f>C16-C17-C18-C19</f>
        <v>80.9152</v>
      </c>
      <c r="D20" s="57">
        <f>D16-D17-D18-D19</f>
        <v>110.6864</v>
      </c>
      <c r="E20" s="57">
        <f>E16-E17-E18-E19</f>
        <v>140.4576</v>
      </c>
      <c r="F20" s="57">
        <f>F16-F17-F18-F19</f>
        <v>170.2288</v>
      </c>
      <c r="G20" s="57">
        <f>G16-G17-G18-G19</f>
        <v>200.0</v>
      </c>
      <c r="H20" s="57">
        <f>H16-H17-H18-H19</f>
        <v>200.0</v>
      </c>
      <c r="I20" s="57">
        <f>I16-I17-I18-I19</f>
        <v>200.0</v>
      </c>
      <c r="J20" s="57">
        <f>J16-J17-J18-J19</f>
        <v>200.0</v>
      </c>
      <c r="K20" s="57">
        <f>K16-K17-K18-K19</f>
        <v>200.0</v>
      </c>
      <c r="L20" s="57">
        <f>L16-L17-L18-L19</f>
        <v>200.0</v>
      </c>
      <c r="M20" s="57">
        <f>M16-M17-M18-M19</f>
        <v>200.0</v>
      </c>
      <c r="N20" s="57">
        <f>N16-N17-N18-N19</f>
        <v>80.0</v>
      </c>
      <c r="O20" s="57">
        <f>O16-O17-O18-O19</f>
        <v>32.0</v>
      </c>
      <c r="P20" s="57">
        <f>P16-P17-P18-P19</f>
        <v>12.8</v>
      </c>
      <c r="Q20" s="57">
        <f>Q16-Q17-Q18-Q19</f>
        <v>5.12</v>
      </c>
      <c r="R20" s="57">
        <f>R16-R17-R18-R19</f>
        <v>2.0480000000000005</v>
      </c>
      <c r="S20" s="57">
        <f>S16-S17-S18-S19</f>
        <v>0.8192000000000002</v>
      </c>
      <c r="T20" s="57">
        <f>T16-T17-T18-T19</f>
        <v>0.3276800000000001</v>
      </c>
      <c r="U20" s="57">
        <f>U16-U17-U18-U19</f>
        <v>0.13107200000000005</v>
      </c>
      <c r="V20" s="57">
        <f>V16-V17-V18-V19</f>
        <v>0.05242880000000002</v>
      </c>
      <c r="W20" s="57">
        <f>W16-W17-W18-W19</f>
        <v>0.02097152000000001</v>
      </c>
      <c r="X20" s="57">
        <f>X16-X17-X18-X19</f>
        <v>0.008388608000000004</v>
      </c>
      <c r="Y20" s="57">
        <f>Y16-Y17-Y18-Y19</f>
        <v>0.0033554432000000014</v>
      </c>
      <c r="Z20" s="57">
        <f>Z16-Z17-Z18-Z19</f>
        <v>0.0013421772800000008</v>
      </c>
    </row>
    <row r="22">
      <c r="A22" s="30" t="inlineStr">
        <is>
          <t>BBP-418 — LGMD2I/R9</t>
        </is>
      </c>
    </row>
    <row r="23">
      <c r="A23" s="13" t="inlineStr">
        <is>
          <t>Years since launch (approved on time)</t>
        </is>
      </c>
      <c r="C23" s="64">
        <f>C$2-Assumptions!$B$73+1</f>
        <v>1.0</v>
      </c>
      <c r="D23" s="64">
        <f>D$2-Assumptions!$B$73+1</f>
        <v>2.0</v>
      </c>
      <c r="E23" s="64">
        <f>E$2-Assumptions!$B$73+1</f>
        <v>3.0</v>
      </c>
      <c r="F23" s="64">
        <f>F$2-Assumptions!$B$73+1</f>
        <v>4.0</v>
      </c>
      <c r="G23" s="64">
        <f>G$2-Assumptions!$B$73+1</f>
        <v>5.0</v>
      </c>
      <c r="H23" s="64">
        <f>H$2-Assumptions!$B$73+1</f>
        <v>6.0</v>
      </c>
      <c r="I23" s="64">
        <f>I$2-Assumptions!$B$73+1</f>
        <v>7.0</v>
      </c>
      <c r="J23" s="64">
        <f>J$2-Assumptions!$B$73+1</f>
        <v>8.0</v>
      </c>
      <c r="K23" s="64">
        <f>K$2-Assumptions!$B$73+1</f>
        <v>9.0</v>
      </c>
      <c r="L23" s="64">
        <f>L$2-Assumptions!$B$73+1</f>
        <v>10.0</v>
      </c>
      <c r="M23" s="64">
        <f>M$2-Assumptions!$B$73+1</f>
        <v>11.0</v>
      </c>
      <c r="N23" s="64">
        <f>N$2-Assumptions!$B$73+1</f>
        <v>12.0</v>
      </c>
      <c r="O23" s="64">
        <f>O$2-Assumptions!$B$73+1</f>
        <v>13.0</v>
      </c>
      <c r="P23" s="64">
        <f>P$2-Assumptions!$B$73+1</f>
        <v>14.0</v>
      </c>
      <c r="Q23" s="64">
        <f>Q$2-Assumptions!$B$73+1</f>
        <v>15.0</v>
      </c>
      <c r="R23" s="64">
        <f>R$2-Assumptions!$B$73+1</f>
        <v>16.0</v>
      </c>
      <c r="S23" s="64">
        <f>S$2-Assumptions!$B$73+1</f>
        <v>17.0</v>
      </c>
      <c r="T23" s="64">
        <f>T$2-Assumptions!$B$73+1</f>
        <v>18.0</v>
      </c>
      <c r="U23" s="64">
        <f>U$2-Assumptions!$B$73+1</f>
        <v>19.0</v>
      </c>
      <c r="V23" s="64">
        <f>V$2-Assumptions!$B$73+1</f>
        <v>20.0</v>
      </c>
      <c r="W23" s="64">
        <f>W$2-Assumptions!$B$73+1</f>
        <v>21.0</v>
      </c>
      <c r="X23" s="64">
        <f>X$2-Assumptions!$B$73+1</f>
        <v>22.0</v>
      </c>
      <c r="Y23" s="64">
        <f>Y$2-Assumptions!$B$73+1</f>
        <v>23.0</v>
      </c>
      <c r="Z23" s="64">
        <f>Z$2-Assumptions!$B$73+1</f>
        <v>24.0</v>
      </c>
    </row>
    <row r="24">
      <c r="A24" s="13" t="inlineStr">
        <is>
          <t>Net sales, unrisked (approved on time)</t>
        </is>
      </c>
      <c r="C24" s="53">
        <f>IF(C$2&gt;Assumptions!$B$82,0*(1-Assumptions!$B$83),IF(C23&gt;=1,Assumptions!$B$74*CHOOSE(Assumptions!$B$81,INDEX(Assumptions!$B$42:$H$42,MIN(C23,7)),INDEX(Assumptions!$B$43:$H$43,MIN(C23,7))),0))</f>
        <v>120.0</v>
      </c>
      <c r="D24" s="53">
        <f>IF(D$2&gt;Assumptions!$B$82,C24*(1-Assumptions!$B$83),IF(D23&gt;=1,Assumptions!$B$74*CHOOSE(Assumptions!$B$81,INDEX(Assumptions!$B$42:$H$42,MIN(D23,7)),INDEX(Assumptions!$B$43:$H$43,MIN(D23,7))),0))</f>
        <v>280.0</v>
      </c>
      <c r="E24" s="53">
        <f>IF(E$2&gt;Assumptions!$B$82,D24*(1-Assumptions!$B$83),IF(E23&gt;=1,Assumptions!$B$74*CHOOSE(Assumptions!$B$81,INDEX(Assumptions!$B$42:$H$42,MIN(E23,7)),INDEX(Assumptions!$B$43:$H$43,MIN(E23,7))),0))</f>
        <v>440.00000000000006</v>
      </c>
      <c r="F24" s="53">
        <f>IF(F$2&gt;Assumptions!$B$82,E24*(1-Assumptions!$B$83),IF(F23&gt;=1,Assumptions!$B$74*CHOOSE(Assumptions!$B$81,INDEX(Assumptions!$B$42:$H$42,MIN(F23,7)),INDEX(Assumptions!$B$43:$H$43,MIN(F23,7))),0))</f>
        <v>600.0</v>
      </c>
      <c r="G24" s="53">
        <f>IF(G$2&gt;Assumptions!$B$82,F24*(1-Assumptions!$B$83),IF(G23&gt;=1,Assumptions!$B$74*CHOOSE(Assumptions!$B$81,INDEX(Assumptions!$B$42:$H$42,MIN(G23,7)),INDEX(Assumptions!$B$43:$H$43,MIN(G23,7))),0))</f>
        <v>720.0</v>
      </c>
      <c r="H24" s="53">
        <f>IF(H$2&gt;Assumptions!$B$82,G24*(1-Assumptions!$B$83),IF(H23&gt;=1,Assumptions!$B$74*CHOOSE(Assumptions!$B$81,INDEX(Assumptions!$B$42:$H$42,MIN(H23,7)),INDEX(Assumptions!$B$43:$H$43,MIN(H23,7))),0))</f>
        <v>800.0</v>
      </c>
      <c r="I24" s="53">
        <f>IF(I$2&gt;Assumptions!$B$82,H24*(1-Assumptions!$B$83),IF(I23&gt;=1,Assumptions!$B$74*CHOOSE(Assumptions!$B$81,INDEX(Assumptions!$B$42:$H$42,MIN(I23,7)),INDEX(Assumptions!$B$43:$H$43,MIN(I23,7))),0))</f>
        <v>800.0</v>
      </c>
      <c r="J24" s="53">
        <f>IF(J$2&gt;Assumptions!$B$82,I24*(1-Assumptions!$B$83),IF(J23&gt;=1,Assumptions!$B$74*CHOOSE(Assumptions!$B$81,INDEX(Assumptions!$B$42:$H$42,MIN(J23,7)),INDEX(Assumptions!$B$43:$H$43,MIN(J23,7))),0))</f>
        <v>800.0</v>
      </c>
      <c r="K24" s="53">
        <f>IF(K$2&gt;Assumptions!$B$82,J24*(1-Assumptions!$B$83),IF(K23&gt;=1,Assumptions!$B$74*CHOOSE(Assumptions!$B$81,INDEX(Assumptions!$B$42:$H$42,MIN(K23,7)),INDEX(Assumptions!$B$43:$H$43,MIN(K23,7))),0))</f>
        <v>800.0</v>
      </c>
      <c r="L24" s="53">
        <f>IF(L$2&gt;Assumptions!$B$82,K24*(1-Assumptions!$B$83),IF(L23&gt;=1,Assumptions!$B$74*CHOOSE(Assumptions!$B$81,INDEX(Assumptions!$B$42:$H$42,MIN(L23,7)),INDEX(Assumptions!$B$43:$H$43,MIN(L23,7))),0))</f>
        <v>800.0</v>
      </c>
      <c r="M24" s="53">
        <f>IF(M$2&gt;Assumptions!$B$82,L24*(1-Assumptions!$B$83),IF(M23&gt;=1,Assumptions!$B$74*CHOOSE(Assumptions!$B$81,INDEX(Assumptions!$B$42:$H$42,MIN(M23,7)),INDEX(Assumptions!$B$43:$H$43,MIN(M23,7))),0))</f>
        <v>800.0</v>
      </c>
      <c r="N24" s="53">
        <f>IF(N$2&gt;Assumptions!$B$82,M24*(1-Assumptions!$B$83),IF(N23&gt;=1,Assumptions!$B$74*CHOOSE(Assumptions!$B$81,INDEX(Assumptions!$B$42:$H$42,MIN(N23,7)),INDEX(Assumptions!$B$43:$H$43,MIN(N23,7))),0))</f>
        <v>800.0</v>
      </c>
      <c r="O24" s="53">
        <f>IF(O$2&gt;Assumptions!$B$82,N24*(1-Assumptions!$B$83),IF(O23&gt;=1,Assumptions!$B$74*CHOOSE(Assumptions!$B$81,INDEX(Assumptions!$B$42:$H$42,MIN(O23,7)),INDEX(Assumptions!$B$43:$H$43,MIN(O23,7))),0))</f>
        <v>800.0</v>
      </c>
      <c r="P24" s="53">
        <f>IF(P$2&gt;Assumptions!$B$82,O24*(1-Assumptions!$B$83),IF(P23&gt;=1,Assumptions!$B$74*CHOOSE(Assumptions!$B$81,INDEX(Assumptions!$B$42:$H$42,MIN(P23,7)),INDEX(Assumptions!$B$43:$H$43,MIN(P23,7))),0))</f>
        <v>800.0</v>
      </c>
      <c r="Q24" s="53">
        <f>IF(Q$2&gt;Assumptions!$B$82,P24*(1-Assumptions!$B$83),IF(Q23&gt;=1,Assumptions!$B$74*CHOOSE(Assumptions!$B$81,INDEX(Assumptions!$B$42:$H$42,MIN(Q23,7)),INDEX(Assumptions!$B$43:$H$43,MIN(Q23,7))),0))</f>
        <v>320.0</v>
      </c>
      <c r="R24" s="53">
        <f>IF(R$2&gt;Assumptions!$B$82,Q24*(1-Assumptions!$B$83),IF(R23&gt;=1,Assumptions!$B$74*CHOOSE(Assumptions!$B$81,INDEX(Assumptions!$B$42:$H$42,MIN(R23,7)),INDEX(Assumptions!$B$43:$H$43,MIN(R23,7))),0))</f>
        <v>128.0</v>
      </c>
      <c r="S24" s="53">
        <f>IF(S$2&gt;Assumptions!$B$82,R24*(1-Assumptions!$B$83),IF(S23&gt;=1,Assumptions!$B$74*CHOOSE(Assumptions!$B$81,INDEX(Assumptions!$B$42:$H$42,MIN(S23,7)),INDEX(Assumptions!$B$43:$H$43,MIN(S23,7))),0))</f>
        <v>51.2</v>
      </c>
      <c r="T24" s="53">
        <f>IF(T$2&gt;Assumptions!$B$82,S24*(1-Assumptions!$B$83),IF(T23&gt;=1,Assumptions!$B$74*CHOOSE(Assumptions!$B$81,INDEX(Assumptions!$B$42:$H$42,MIN(T23,7)),INDEX(Assumptions!$B$43:$H$43,MIN(T23,7))),0))</f>
        <v>20.480000000000004</v>
      </c>
      <c r="U24" s="53">
        <f>IF(U$2&gt;Assumptions!$B$82,T24*(1-Assumptions!$B$83),IF(U23&gt;=1,Assumptions!$B$74*CHOOSE(Assumptions!$B$81,INDEX(Assumptions!$B$42:$H$42,MIN(U23,7)),INDEX(Assumptions!$B$43:$H$43,MIN(U23,7))),0))</f>
        <v>8.192000000000002</v>
      </c>
      <c r="V24" s="53">
        <f>IF(V$2&gt;Assumptions!$B$82,U24*(1-Assumptions!$B$83),IF(V23&gt;=1,Assumptions!$B$74*CHOOSE(Assumptions!$B$81,INDEX(Assumptions!$B$42:$H$42,MIN(V23,7)),INDEX(Assumptions!$B$43:$H$43,MIN(V23,7))),0))</f>
        <v>3.276800000000001</v>
      </c>
      <c r="W24" s="53">
        <f>IF(W$2&gt;Assumptions!$B$82,V24*(1-Assumptions!$B$83),IF(W23&gt;=1,Assumptions!$B$74*CHOOSE(Assumptions!$B$81,INDEX(Assumptions!$B$42:$H$42,MIN(W23,7)),INDEX(Assumptions!$B$43:$H$43,MIN(W23,7))),0))</f>
        <v>1.3107200000000006</v>
      </c>
      <c r="X24" s="53">
        <f>IF(X$2&gt;Assumptions!$B$82,W24*(1-Assumptions!$B$83),IF(X23&gt;=1,Assumptions!$B$74*CHOOSE(Assumptions!$B$81,INDEX(Assumptions!$B$42:$H$42,MIN(X23,7)),INDEX(Assumptions!$B$43:$H$43,MIN(X23,7))),0))</f>
        <v>0.5242880000000002</v>
      </c>
      <c r="Y24" s="53">
        <f>IF(Y$2&gt;Assumptions!$B$82,X24*(1-Assumptions!$B$83),IF(Y23&gt;=1,Assumptions!$B$74*CHOOSE(Assumptions!$B$81,INDEX(Assumptions!$B$42:$H$42,MIN(Y23,7)),INDEX(Assumptions!$B$43:$H$43,MIN(Y23,7))),0))</f>
        <v>0.2097152000000001</v>
      </c>
      <c r="Z24" s="53">
        <f>IF(Z$2&gt;Assumptions!$B$82,Y24*(1-Assumptions!$B$83),IF(Z23&gt;=1,Assumptions!$B$74*CHOOSE(Assumptions!$B$81,INDEX(Assumptions!$B$42:$H$42,MIN(Z23,7)),INDEX(Assumptions!$B$43:$H$43,MIN(Z23,7))),0))</f>
        <v>0.08388608000000004</v>
      </c>
    </row>
    <row r="25">
      <c r="A25" s="13" t="inlineStr">
        <is>
          <t>Years since launch (approved after a CRL)</t>
        </is>
      </c>
      <c r="C25" s="64">
        <f>C$2-(Assumptions!$B$73+Assumptions!$B$34)+1</f>
        <v>-1.0</v>
      </c>
      <c r="D25" s="64">
        <f>D$2-(Assumptions!$B$73+Assumptions!$B$34)+1</f>
        <v>0.0</v>
      </c>
      <c r="E25" s="64">
        <f>E$2-(Assumptions!$B$73+Assumptions!$B$34)+1</f>
        <v>1.0</v>
      </c>
      <c r="F25" s="64">
        <f>F$2-(Assumptions!$B$73+Assumptions!$B$34)+1</f>
        <v>2.0</v>
      </c>
      <c r="G25" s="64">
        <f>G$2-(Assumptions!$B$73+Assumptions!$B$34)+1</f>
        <v>3.0</v>
      </c>
      <c r="H25" s="64">
        <f>H$2-(Assumptions!$B$73+Assumptions!$B$34)+1</f>
        <v>4.0</v>
      </c>
      <c r="I25" s="64">
        <f>I$2-(Assumptions!$B$73+Assumptions!$B$34)+1</f>
        <v>5.0</v>
      </c>
      <c r="J25" s="64">
        <f>J$2-(Assumptions!$B$73+Assumptions!$B$34)+1</f>
        <v>6.0</v>
      </c>
      <c r="K25" s="64">
        <f>K$2-(Assumptions!$B$73+Assumptions!$B$34)+1</f>
        <v>7.0</v>
      </c>
      <c r="L25" s="64">
        <f>L$2-(Assumptions!$B$73+Assumptions!$B$34)+1</f>
        <v>8.0</v>
      </c>
      <c r="M25" s="64">
        <f>M$2-(Assumptions!$B$73+Assumptions!$B$34)+1</f>
        <v>9.0</v>
      </c>
      <c r="N25" s="64">
        <f>N$2-(Assumptions!$B$73+Assumptions!$B$34)+1</f>
        <v>10.0</v>
      </c>
      <c r="O25" s="64">
        <f>O$2-(Assumptions!$B$73+Assumptions!$B$34)+1</f>
        <v>11.0</v>
      </c>
      <c r="P25" s="64">
        <f>P$2-(Assumptions!$B$73+Assumptions!$B$34)+1</f>
        <v>12.0</v>
      </c>
      <c r="Q25" s="64">
        <f>Q$2-(Assumptions!$B$73+Assumptions!$B$34)+1</f>
        <v>13.0</v>
      </c>
      <c r="R25" s="64">
        <f>R$2-(Assumptions!$B$73+Assumptions!$B$34)+1</f>
        <v>14.0</v>
      </c>
      <c r="S25" s="64">
        <f>S$2-(Assumptions!$B$73+Assumptions!$B$34)+1</f>
        <v>15.0</v>
      </c>
      <c r="T25" s="64">
        <f>T$2-(Assumptions!$B$73+Assumptions!$B$34)+1</f>
        <v>16.0</v>
      </c>
      <c r="U25" s="64">
        <f>U$2-(Assumptions!$B$73+Assumptions!$B$34)+1</f>
        <v>17.0</v>
      </c>
      <c r="V25" s="64">
        <f>V$2-(Assumptions!$B$73+Assumptions!$B$34)+1</f>
        <v>18.0</v>
      </c>
      <c r="W25" s="64">
        <f>W$2-(Assumptions!$B$73+Assumptions!$B$34)+1</f>
        <v>19.0</v>
      </c>
      <c r="X25" s="64">
        <f>X$2-(Assumptions!$B$73+Assumptions!$B$34)+1</f>
        <v>20.0</v>
      </c>
      <c r="Y25" s="64">
        <f>Y$2-(Assumptions!$B$73+Assumptions!$B$34)+1</f>
        <v>21.0</v>
      </c>
      <c r="Z25" s="64">
        <f>Z$2-(Assumptions!$B$73+Assumptions!$B$34)+1</f>
        <v>22.0</v>
      </c>
    </row>
    <row r="26">
      <c r="A26" s="13" t="inlineStr">
        <is>
          <t>Net sales, unrisked (approved after a CRL)</t>
        </is>
      </c>
      <c r="C26" s="53">
        <f>IF(C$2&gt;Assumptions!$B$82,0*(1-Assumptions!$B$83),IF(C25&gt;=1,Assumptions!$B$74*CHOOSE(Assumptions!$B$81,INDEX(Assumptions!$B$42:$H$42,MIN(C25,7)),INDEX(Assumptions!$B$43:$H$43,MIN(C25,7))),0))</f>
        <v>0</v>
      </c>
      <c r="D26" s="53">
        <f>IF(D$2&gt;Assumptions!$B$82,C26*(1-Assumptions!$B$83),IF(D25&gt;=1,Assumptions!$B$74*CHOOSE(Assumptions!$B$81,INDEX(Assumptions!$B$42:$H$42,MIN(D25,7)),INDEX(Assumptions!$B$43:$H$43,MIN(D25,7))),0))</f>
        <v>0</v>
      </c>
      <c r="E26" s="53">
        <f>IF(E$2&gt;Assumptions!$B$82,D26*(1-Assumptions!$B$83),IF(E25&gt;=1,Assumptions!$B$74*CHOOSE(Assumptions!$B$81,INDEX(Assumptions!$B$42:$H$42,MIN(E25,7)),INDEX(Assumptions!$B$43:$H$43,MIN(E25,7))),0))</f>
        <v>120.0</v>
      </c>
      <c r="F26" s="53">
        <f>IF(F$2&gt;Assumptions!$B$82,E26*(1-Assumptions!$B$83),IF(F25&gt;=1,Assumptions!$B$74*CHOOSE(Assumptions!$B$81,INDEX(Assumptions!$B$42:$H$42,MIN(F25,7)),INDEX(Assumptions!$B$43:$H$43,MIN(F25,7))),0))</f>
        <v>280.0</v>
      </c>
      <c r="G26" s="53">
        <f>IF(G$2&gt;Assumptions!$B$82,F26*(1-Assumptions!$B$83),IF(G25&gt;=1,Assumptions!$B$74*CHOOSE(Assumptions!$B$81,INDEX(Assumptions!$B$42:$H$42,MIN(G25,7)),INDEX(Assumptions!$B$43:$H$43,MIN(G25,7))),0))</f>
        <v>440.00000000000006</v>
      </c>
      <c r="H26" s="53">
        <f>IF(H$2&gt;Assumptions!$B$82,G26*(1-Assumptions!$B$83),IF(H25&gt;=1,Assumptions!$B$74*CHOOSE(Assumptions!$B$81,INDEX(Assumptions!$B$42:$H$42,MIN(H25,7)),INDEX(Assumptions!$B$43:$H$43,MIN(H25,7))),0))</f>
        <v>600.0</v>
      </c>
      <c r="I26" s="53">
        <f>IF(I$2&gt;Assumptions!$B$82,H26*(1-Assumptions!$B$83),IF(I25&gt;=1,Assumptions!$B$74*CHOOSE(Assumptions!$B$81,INDEX(Assumptions!$B$42:$H$42,MIN(I25,7)),INDEX(Assumptions!$B$43:$H$43,MIN(I25,7))),0))</f>
        <v>720.0</v>
      </c>
      <c r="J26" s="53">
        <f>IF(J$2&gt;Assumptions!$B$82,I26*(1-Assumptions!$B$83),IF(J25&gt;=1,Assumptions!$B$74*CHOOSE(Assumptions!$B$81,INDEX(Assumptions!$B$42:$H$42,MIN(J25,7)),INDEX(Assumptions!$B$43:$H$43,MIN(J25,7))),0))</f>
        <v>800.0</v>
      </c>
      <c r="K26" s="53">
        <f>IF(K$2&gt;Assumptions!$B$82,J26*(1-Assumptions!$B$83),IF(K25&gt;=1,Assumptions!$B$74*CHOOSE(Assumptions!$B$81,INDEX(Assumptions!$B$42:$H$42,MIN(K25,7)),INDEX(Assumptions!$B$43:$H$43,MIN(K25,7))),0))</f>
        <v>800.0</v>
      </c>
      <c r="L26" s="53">
        <f>IF(L$2&gt;Assumptions!$B$82,K26*(1-Assumptions!$B$83),IF(L25&gt;=1,Assumptions!$B$74*CHOOSE(Assumptions!$B$81,INDEX(Assumptions!$B$42:$H$42,MIN(L25,7)),INDEX(Assumptions!$B$43:$H$43,MIN(L25,7))),0))</f>
        <v>800.0</v>
      </c>
      <c r="M26" s="53">
        <f>IF(M$2&gt;Assumptions!$B$82,L26*(1-Assumptions!$B$83),IF(M25&gt;=1,Assumptions!$B$74*CHOOSE(Assumptions!$B$81,INDEX(Assumptions!$B$42:$H$42,MIN(M25,7)),INDEX(Assumptions!$B$43:$H$43,MIN(M25,7))),0))</f>
        <v>800.0</v>
      </c>
      <c r="N26" s="53">
        <f>IF(N$2&gt;Assumptions!$B$82,M26*(1-Assumptions!$B$83),IF(N25&gt;=1,Assumptions!$B$74*CHOOSE(Assumptions!$B$81,INDEX(Assumptions!$B$42:$H$42,MIN(N25,7)),INDEX(Assumptions!$B$43:$H$43,MIN(N25,7))),0))</f>
        <v>800.0</v>
      </c>
      <c r="O26" s="53">
        <f>IF(O$2&gt;Assumptions!$B$82,N26*(1-Assumptions!$B$83),IF(O25&gt;=1,Assumptions!$B$74*CHOOSE(Assumptions!$B$81,INDEX(Assumptions!$B$42:$H$42,MIN(O25,7)),INDEX(Assumptions!$B$43:$H$43,MIN(O25,7))),0))</f>
        <v>800.0</v>
      </c>
      <c r="P26" s="53">
        <f>IF(P$2&gt;Assumptions!$B$82,O26*(1-Assumptions!$B$83),IF(P25&gt;=1,Assumptions!$B$74*CHOOSE(Assumptions!$B$81,INDEX(Assumptions!$B$42:$H$42,MIN(P25,7)),INDEX(Assumptions!$B$43:$H$43,MIN(P25,7))),0))</f>
        <v>800.0</v>
      </c>
      <c r="Q26" s="53">
        <f>IF(Q$2&gt;Assumptions!$B$82,P26*(1-Assumptions!$B$83),IF(Q25&gt;=1,Assumptions!$B$74*CHOOSE(Assumptions!$B$81,INDEX(Assumptions!$B$42:$H$42,MIN(Q25,7)),INDEX(Assumptions!$B$43:$H$43,MIN(Q25,7))),0))</f>
        <v>320.0</v>
      </c>
      <c r="R26" s="53">
        <f>IF(R$2&gt;Assumptions!$B$82,Q26*(1-Assumptions!$B$83),IF(R25&gt;=1,Assumptions!$B$74*CHOOSE(Assumptions!$B$81,INDEX(Assumptions!$B$42:$H$42,MIN(R25,7)),INDEX(Assumptions!$B$43:$H$43,MIN(R25,7))),0))</f>
        <v>128.0</v>
      </c>
      <c r="S26" s="53">
        <f>IF(S$2&gt;Assumptions!$B$82,R26*(1-Assumptions!$B$83),IF(S25&gt;=1,Assumptions!$B$74*CHOOSE(Assumptions!$B$81,INDEX(Assumptions!$B$42:$H$42,MIN(S25,7)),INDEX(Assumptions!$B$43:$H$43,MIN(S25,7))),0))</f>
        <v>51.2</v>
      </c>
      <c r="T26" s="53">
        <f>IF(T$2&gt;Assumptions!$B$82,S26*(1-Assumptions!$B$83),IF(T25&gt;=1,Assumptions!$B$74*CHOOSE(Assumptions!$B$81,INDEX(Assumptions!$B$42:$H$42,MIN(T25,7)),INDEX(Assumptions!$B$43:$H$43,MIN(T25,7))),0))</f>
        <v>20.480000000000004</v>
      </c>
      <c r="U26" s="53">
        <f>IF(U$2&gt;Assumptions!$B$82,T26*(1-Assumptions!$B$83),IF(U25&gt;=1,Assumptions!$B$74*CHOOSE(Assumptions!$B$81,INDEX(Assumptions!$B$42:$H$42,MIN(U25,7)),INDEX(Assumptions!$B$43:$H$43,MIN(U25,7))),0))</f>
        <v>8.192000000000002</v>
      </c>
      <c r="V26" s="53">
        <f>IF(V$2&gt;Assumptions!$B$82,U26*(1-Assumptions!$B$83),IF(V25&gt;=1,Assumptions!$B$74*CHOOSE(Assumptions!$B$81,INDEX(Assumptions!$B$42:$H$42,MIN(V25,7)),INDEX(Assumptions!$B$43:$H$43,MIN(V25,7))),0))</f>
        <v>3.276800000000001</v>
      </c>
      <c r="W26" s="53">
        <f>IF(W$2&gt;Assumptions!$B$82,V26*(1-Assumptions!$B$83),IF(W25&gt;=1,Assumptions!$B$74*CHOOSE(Assumptions!$B$81,INDEX(Assumptions!$B$42:$H$42,MIN(W25,7)),INDEX(Assumptions!$B$43:$H$43,MIN(W25,7))),0))</f>
        <v>1.3107200000000006</v>
      </c>
      <c r="X26" s="53">
        <f>IF(X$2&gt;Assumptions!$B$82,W26*(1-Assumptions!$B$83),IF(X25&gt;=1,Assumptions!$B$74*CHOOSE(Assumptions!$B$81,INDEX(Assumptions!$B$42:$H$42,MIN(X25,7)),INDEX(Assumptions!$B$43:$H$43,MIN(X25,7))),0))</f>
        <v>0.5242880000000002</v>
      </c>
      <c r="Y26" s="53">
        <f>IF(Y$2&gt;Assumptions!$B$82,X26*(1-Assumptions!$B$83),IF(Y25&gt;=1,Assumptions!$B$74*CHOOSE(Assumptions!$B$81,INDEX(Assumptions!$B$42:$H$42,MIN(Y25,7)),INDEX(Assumptions!$B$43:$H$43,MIN(Y25,7))),0))</f>
        <v>0.2097152000000001</v>
      </c>
      <c r="Z26" s="53">
        <f>IF(Z$2&gt;Assumptions!$B$82,Y26*(1-Assumptions!$B$83),IF(Z25&gt;=1,Assumptions!$B$74*CHOOSE(Assumptions!$B$81,INDEX(Assumptions!$B$42:$H$42,MIN(Z25,7)),INDEX(Assumptions!$B$43:$H$43,MIN(Z25,7))),0))</f>
        <v>0.08388608000000004</v>
      </c>
    </row>
    <row r="27">
      <c r="A27" s="13" t="inlineStr">
        <is>
          <t>Product net sales, risk-adjusted</t>
        </is>
      </c>
      <c r="C27" s="53">
        <f>Assumptions!$B$32*C24+(1-Assumptions!$B$32)*Assumptions!$B$33*C26</f>
        <v>105.6</v>
      </c>
      <c r="D27" s="53">
        <f>Assumptions!$B$32*D24+(1-Assumptions!$B$32)*Assumptions!$B$33*D26</f>
        <v>246.4</v>
      </c>
      <c r="E27" s="53">
        <f>Assumptions!$B$32*E24+(1-Assumptions!$B$32)*Assumptions!$B$33*E26</f>
        <v>398.72</v>
      </c>
      <c r="F27" s="53">
        <f>Assumptions!$B$32*F24+(1-Assumptions!$B$32)*Assumptions!$B$33*F26</f>
        <v>554.88</v>
      </c>
      <c r="G27" s="53">
        <f>Assumptions!$B$32*G24+(1-Assumptions!$B$32)*Assumptions!$B$33*G26</f>
        <v>675.84</v>
      </c>
      <c r="H27" s="53">
        <f>Assumptions!$B$32*H24+(1-Assumptions!$B$32)*Assumptions!$B$33*H26</f>
        <v>761.6</v>
      </c>
      <c r="I27" s="53">
        <f>Assumptions!$B$32*I24+(1-Assumptions!$B$32)*Assumptions!$B$33*I26</f>
        <v>773.12</v>
      </c>
      <c r="J27" s="53">
        <f>Assumptions!$B$32*J24+(1-Assumptions!$B$32)*Assumptions!$B$33*J26</f>
        <v>780.8</v>
      </c>
      <c r="K27" s="53">
        <f>Assumptions!$B$32*K24+(1-Assumptions!$B$32)*Assumptions!$B$33*K26</f>
        <v>780.8</v>
      </c>
      <c r="L27" s="53">
        <f>Assumptions!$B$32*L24+(1-Assumptions!$B$32)*Assumptions!$B$33*L26</f>
        <v>780.8</v>
      </c>
      <c r="M27" s="53">
        <f>Assumptions!$B$32*M24+(1-Assumptions!$B$32)*Assumptions!$B$33*M26</f>
        <v>780.8</v>
      </c>
      <c r="N27" s="53">
        <f>Assumptions!$B$32*N24+(1-Assumptions!$B$32)*Assumptions!$B$33*N26</f>
        <v>780.8</v>
      </c>
      <c r="O27" s="53">
        <f>Assumptions!$B$32*O24+(1-Assumptions!$B$32)*Assumptions!$B$33*O26</f>
        <v>780.8</v>
      </c>
      <c r="P27" s="53">
        <f>Assumptions!$B$32*P24+(1-Assumptions!$B$32)*Assumptions!$B$33*P26</f>
        <v>780.8</v>
      </c>
      <c r="Q27" s="53">
        <f>Assumptions!$B$32*Q24+(1-Assumptions!$B$32)*Assumptions!$B$33*Q26</f>
        <v>312.32000000000005</v>
      </c>
      <c r="R27" s="53">
        <f>Assumptions!$B$32*R24+(1-Assumptions!$B$32)*Assumptions!$B$33*R26</f>
        <v>124.928</v>
      </c>
      <c r="S27" s="53">
        <f>Assumptions!$B$32*S24+(1-Assumptions!$B$32)*Assumptions!$B$33*S26</f>
        <v>49.9712</v>
      </c>
      <c r="T27" s="53">
        <f>Assumptions!$B$32*T24+(1-Assumptions!$B$32)*Assumptions!$B$33*T26</f>
        <v>19.988480000000006</v>
      </c>
      <c r="U27" s="53">
        <f>Assumptions!$B$32*U24+(1-Assumptions!$B$32)*Assumptions!$B$33*U26</f>
        <v>7.9953920000000025</v>
      </c>
      <c r="V27" s="53">
        <f>Assumptions!$B$32*V24+(1-Assumptions!$B$32)*Assumptions!$B$33*V26</f>
        <v>3.198156800000001</v>
      </c>
      <c r="W27" s="53">
        <f>Assumptions!$B$32*W24+(1-Assumptions!$B$32)*Assumptions!$B$33*W26</f>
        <v>1.2792627200000006</v>
      </c>
      <c r="X27" s="53">
        <f>Assumptions!$B$32*X24+(1-Assumptions!$B$32)*Assumptions!$B$33*X26</f>
        <v>0.5117050880000003</v>
      </c>
      <c r="Y27" s="53">
        <f>Assumptions!$B$32*Y24+(1-Assumptions!$B$32)*Assumptions!$B$33*Y26</f>
        <v>0.2046820352000001</v>
      </c>
      <c r="Z27" s="53">
        <f>Assumptions!$B$32*Z24+(1-Assumptions!$B$32)*Assumptions!$B$33*Z26</f>
        <v>0.08187281408000004</v>
      </c>
    </row>
    <row r="28">
      <c r="A28" s="13" t="inlineStr">
        <is>
          <t>Company revenue, risk-adjusted (incl. milestones)</t>
        </is>
      </c>
      <c r="C28" s="53">
        <f>C27*Assumptions!$B$76+Assumptions!$B$32*IFERROR(INDEX(Assumptions!$B$88:$K$88,MATCH(C$2-Assumptions!$B$73,Assumptions!$B$87:$K$87,0)),0)+(1-Assumptions!$B$32)*Assumptions!$B$33*IFERROR(INDEX(Assumptions!$B$88:$K$88,MATCH(C$2-Assumptions!$B$73-Assumptions!$B$34,Assumptions!$B$87:$K$87,0)),0)</f>
        <v>237.6</v>
      </c>
      <c r="D28" s="53">
        <f>D27*Assumptions!$B$76+Assumptions!$B$32*IFERROR(INDEX(Assumptions!$B$88:$K$88,MATCH(D$2-Assumptions!$B$73,Assumptions!$B$87:$K$87,0)),0)+(1-Assumptions!$B$32)*Assumptions!$B$33*IFERROR(INDEX(Assumptions!$B$88:$K$88,MATCH(D$2-Assumptions!$B$73-Assumptions!$B$34,Assumptions!$B$87:$K$87,0)),0)</f>
        <v>246.4</v>
      </c>
      <c r="E28" s="53">
        <f>E27*Assumptions!$B$76+Assumptions!$B$32*IFERROR(INDEX(Assumptions!$B$88:$K$88,MATCH(E$2-Assumptions!$B$73,Assumptions!$B$87:$K$87,0)),0)+(1-Assumptions!$B$32)*Assumptions!$B$33*IFERROR(INDEX(Assumptions!$B$88:$K$88,MATCH(E$2-Assumptions!$B$73-Assumptions!$B$34,Assumptions!$B$87:$K$87,0)),0)</f>
        <v>413.12</v>
      </c>
      <c r="F28" s="53">
        <f>F27*Assumptions!$B$76+Assumptions!$B$32*IFERROR(INDEX(Assumptions!$B$88:$K$88,MATCH(F$2-Assumptions!$B$73,Assumptions!$B$87:$K$87,0)),0)+(1-Assumptions!$B$32)*Assumptions!$B$33*IFERROR(INDEX(Assumptions!$B$88:$K$88,MATCH(F$2-Assumptions!$B$73-Assumptions!$B$34,Assumptions!$B$87:$K$87,0)),0)</f>
        <v>554.88</v>
      </c>
      <c r="G28" s="53">
        <f>G27*Assumptions!$B$76+Assumptions!$B$32*IFERROR(INDEX(Assumptions!$B$88:$K$88,MATCH(G$2-Assumptions!$B$73,Assumptions!$B$87:$K$87,0)),0)+(1-Assumptions!$B$32)*Assumptions!$B$33*IFERROR(INDEX(Assumptions!$B$88:$K$88,MATCH(G$2-Assumptions!$B$73-Assumptions!$B$34,Assumptions!$B$87:$K$87,0)),0)</f>
        <v>675.84</v>
      </c>
      <c r="H28" s="53">
        <f>H27*Assumptions!$B$76+Assumptions!$B$32*IFERROR(INDEX(Assumptions!$B$88:$K$88,MATCH(H$2-Assumptions!$B$73,Assumptions!$B$87:$K$87,0)),0)+(1-Assumptions!$B$32)*Assumptions!$B$33*IFERROR(INDEX(Assumptions!$B$88:$K$88,MATCH(H$2-Assumptions!$B$73-Assumptions!$B$34,Assumptions!$B$87:$K$87,0)),0)</f>
        <v>761.6</v>
      </c>
      <c r="I28" s="53">
        <f>I27*Assumptions!$B$76+Assumptions!$B$32*IFERROR(INDEX(Assumptions!$B$88:$K$88,MATCH(I$2-Assumptions!$B$73,Assumptions!$B$87:$K$87,0)),0)+(1-Assumptions!$B$32)*Assumptions!$B$33*IFERROR(INDEX(Assumptions!$B$88:$K$88,MATCH(I$2-Assumptions!$B$73-Assumptions!$B$34,Assumptions!$B$87:$K$87,0)),0)</f>
        <v>773.12</v>
      </c>
      <c r="J28" s="53">
        <f>J27*Assumptions!$B$76+Assumptions!$B$32*IFERROR(INDEX(Assumptions!$B$88:$K$88,MATCH(J$2-Assumptions!$B$73,Assumptions!$B$87:$K$87,0)),0)+(1-Assumptions!$B$32)*Assumptions!$B$33*IFERROR(INDEX(Assumptions!$B$88:$K$88,MATCH(J$2-Assumptions!$B$73-Assumptions!$B$34,Assumptions!$B$87:$K$87,0)),0)</f>
        <v>780.8</v>
      </c>
      <c r="K28" s="53">
        <f>K27*Assumptions!$B$76+Assumptions!$B$32*IFERROR(INDEX(Assumptions!$B$88:$K$88,MATCH(K$2-Assumptions!$B$73,Assumptions!$B$87:$K$87,0)),0)+(1-Assumptions!$B$32)*Assumptions!$B$33*IFERROR(INDEX(Assumptions!$B$88:$K$88,MATCH(K$2-Assumptions!$B$73-Assumptions!$B$34,Assumptions!$B$87:$K$87,0)),0)</f>
        <v>780.8</v>
      </c>
      <c r="L28" s="53">
        <f>L27*Assumptions!$B$76+Assumptions!$B$32*IFERROR(INDEX(Assumptions!$B$88:$K$88,MATCH(L$2-Assumptions!$B$73,Assumptions!$B$87:$K$87,0)),0)+(1-Assumptions!$B$32)*Assumptions!$B$33*IFERROR(INDEX(Assumptions!$B$88:$K$88,MATCH(L$2-Assumptions!$B$73-Assumptions!$B$34,Assumptions!$B$87:$K$87,0)),0)</f>
        <v>780.8</v>
      </c>
      <c r="M28" s="53">
        <f>M27*Assumptions!$B$76+Assumptions!$B$32*IFERROR(INDEX(Assumptions!$B$88:$K$88,MATCH(M$2-Assumptions!$B$73,Assumptions!$B$87:$K$87,0)),0)+(1-Assumptions!$B$32)*Assumptions!$B$33*IFERROR(INDEX(Assumptions!$B$88:$K$88,MATCH(M$2-Assumptions!$B$73-Assumptions!$B$34,Assumptions!$B$87:$K$87,0)),0)</f>
        <v>780.8</v>
      </c>
      <c r="N28" s="53">
        <f>N27*Assumptions!$B$76+Assumptions!$B$32*IFERROR(INDEX(Assumptions!$B$88:$K$88,MATCH(N$2-Assumptions!$B$73,Assumptions!$B$87:$K$87,0)),0)+(1-Assumptions!$B$32)*Assumptions!$B$33*IFERROR(INDEX(Assumptions!$B$88:$K$88,MATCH(N$2-Assumptions!$B$73-Assumptions!$B$34,Assumptions!$B$87:$K$87,0)),0)</f>
        <v>780.8</v>
      </c>
      <c r="O28" s="53">
        <f>O27*Assumptions!$B$76+Assumptions!$B$32*IFERROR(INDEX(Assumptions!$B$88:$K$88,MATCH(O$2-Assumptions!$B$73,Assumptions!$B$87:$K$87,0)),0)+(1-Assumptions!$B$32)*Assumptions!$B$33*IFERROR(INDEX(Assumptions!$B$88:$K$88,MATCH(O$2-Assumptions!$B$73-Assumptions!$B$34,Assumptions!$B$87:$K$87,0)),0)</f>
        <v>780.8</v>
      </c>
      <c r="P28" s="53">
        <f>P27*Assumptions!$B$76+Assumptions!$B$32*IFERROR(INDEX(Assumptions!$B$88:$K$88,MATCH(P$2-Assumptions!$B$73,Assumptions!$B$87:$K$87,0)),0)+(1-Assumptions!$B$32)*Assumptions!$B$33*IFERROR(INDEX(Assumptions!$B$88:$K$88,MATCH(P$2-Assumptions!$B$73-Assumptions!$B$34,Assumptions!$B$87:$K$87,0)),0)</f>
        <v>780.8</v>
      </c>
      <c r="Q28" s="53">
        <f>Q27*Assumptions!$B$76+Assumptions!$B$32*IFERROR(INDEX(Assumptions!$B$88:$K$88,MATCH(Q$2-Assumptions!$B$73,Assumptions!$B$87:$K$87,0)),0)+(1-Assumptions!$B$32)*Assumptions!$B$33*IFERROR(INDEX(Assumptions!$B$88:$K$88,MATCH(Q$2-Assumptions!$B$73-Assumptions!$B$34,Assumptions!$B$87:$K$87,0)),0)</f>
        <v>312.32000000000005</v>
      </c>
      <c r="R28" s="53">
        <f>R27*Assumptions!$B$76+Assumptions!$B$32*IFERROR(INDEX(Assumptions!$B$88:$K$88,MATCH(R$2-Assumptions!$B$73,Assumptions!$B$87:$K$87,0)),0)+(1-Assumptions!$B$32)*Assumptions!$B$33*IFERROR(INDEX(Assumptions!$B$88:$K$88,MATCH(R$2-Assumptions!$B$73-Assumptions!$B$34,Assumptions!$B$87:$K$87,0)),0)</f>
        <v>124.928</v>
      </c>
      <c r="S28" s="53">
        <f>S27*Assumptions!$B$76+Assumptions!$B$32*IFERROR(INDEX(Assumptions!$B$88:$K$88,MATCH(S$2-Assumptions!$B$73,Assumptions!$B$87:$K$87,0)),0)+(1-Assumptions!$B$32)*Assumptions!$B$33*IFERROR(INDEX(Assumptions!$B$88:$K$88,MATCH(S$2-Assumptions!$B$73-Assumptions!$B$34,Assumptions!$B$87:$K$87,0)),0)</f>
        <v>49.9712</v>
      </c>
      <c r="T28" s="53">
        <f>T27*Assumptions!$B$76+Assumptions!$B$32*IFERROR(INDEX(Assumptions!$B$88:$K$88,MATCH(T$2-Assumptions!$B$73,Assumptions!$B$87:$K$87,0)),0)+(1-Assumptions!$B$32)*Assumptions!$B$33*IFERROR(INDEX(Assumptions!$B$88:$K$88,MATCH(T$2-Assumptions!$B$73-Assumptions!$B$34,Assumptions!$B$87:$K$87,0)),0)</f>
        <v>19.988480000000006</v>
      </c>
      <c r="U28" s="53">
        <f>U27*Assumptions!$B$76+Assumptions!$B$32*IFERROR(INDEX(Assumptions!$B$88:$K$88,MATCH(U$2-Assumptions!$B$73,Assumptions!$B$87:$K$87,0)),0)+(1-Assumptions!$B$32)*Assumptions!$B$33*IFERROR(INDEX(Assumptions!$B$88:$K$88,MATCH(U$2-Assumptions!$B$73-Assumptions!$B$34,Assumptions!$B$87:$K$87,0)),0)</f>
        <v>7.9953920000000025</v>
      </c>
      <c r="V28" s="53">
        <f>V27*Assumptions!$B$76+Assumptions!$B$32*IFERROR(INDEX(Assumptions!$B$88:$K$88,MATCH(V$2-Assumptions!$B$73,Assumptions!$B$87:$K$87,0)),0)+(1-Assumptions!$B$32)*Assumptions!$B$33*IFERROR(INDEX(Assumptions!$B$88:$K$88,MATCH(V$2-Assumptions!$B$73-Assumptions!$B$34,Assumptions!$B$87:$K$87,0)),0)</f>
        <v>3.198156800000001</v>
      </c>
      <c r="W28" s="53">
        <f>W27*Assumptions!$B$76+Assumptions!$B$32*IFERROR(INDEX(Assumptions!$B$88:$K$88,MATCH(W$2-Assumptions!$B$73,Assumptions!$B$87:$K$87,0)),0)+(1-Assumptions!$B$32)*Assumptions!$B$33*IFERROR(INDEX(Assumptions!$B$88:$K$88,MATCH(W$2-Assumptions!$B$73-Assumptions!$B$34,Assumptions!$B$87:$K$87,0)),0)</f>
        <v>1.2792627200000006</v>
      </c>
      <c r="X28" s="53">
        <f>X27*Assumptions!$B$76+Assumptions!$B$32*IFERROR(INDEX(Assumptions!$B$88:$K$88,MATCH(X$2-Assumptions!$B$73,Assumptions!$B$87:$K$87,0)),0)+(1-Assumptions!$B$32)*Assumptions!$B$33*IFERROR(INDEX(Assumptions!$B$88:$K$88,MATCH(X$2-Assumptions!$B$73-Assumptions!$B$34,Assumptions!$B$87:$K$87,0)),0)</f>
        <v>0.5117050880000003</v>
      </c>
      <c r="Y28" s="53">
        <f>Y27*Assumptions!$B$76+Assumptions!$B$32*IFERROR(INDEX(Assumptions!$B$88:$K$88,MATCH(Y$2-Assumptions!$B$73,Assumptions!$B$87:$K$87,0)),0)+(1-Assumptions!$B$32)*Assumptions!$B$33*IFERROR(INDEX(Assumptions!$B$88:$K$88,MATCH(Y$2-Assumptions!$B$73-Assumptions!$B$34,Assumptions!$B$87:$K$87,0)),0)</f>
        <v>0.2046820352000001</v>
      </c>
      <c r="Z28" s="53">
        <f>Z27*Assumptions!$B$76+Assumptions!$B$32*IFERROR(INDEX(Assumptions!$B$88:$K$88,MATCH(Z$2-Assumptions!$B$73,Assumptions!$B$87:$K$87,0)),0)+(1-Assumptions!$B$32)*Assumptions!$B$33*IFERROR(INDEX(Assumptions!$B$88:$K$88,MATCH(Z$2-Assumptions!$B$73-Assumptions!$B$34,Assumptions!$B$87:$K$87,0)),0)</f>
        <v>0.08187281408000004</v>
      </c>
    </row>
    <row r="29">
      <c r="A29" s="13" t="inlineStr">
        <is>
          <t>COGS + royalties, risk-adjusted</t>
        </is>
      </c>
      <c r="C29" s="53">
        <f>C27*(Assumptions!$B$77+Assumptions!$B$78)</f>
        <v>8.448</v>
      </c>
      <c r="D29" s="53">
        <f>D27*(Assumptions!$B$77+Assumptions!$B$78)</f>
        <v>19.712</v>
      </c>
      <c r="E29" s="53">
        <f>E27*(Assumptions!$B$77+Assumptions!$B$78)</f>
        <v>31.897600000000004</v>
      </c>
      <c r="F29" s="53">
        <f>F27*(Assumptions!$B$77+Assumptions!$B$78)</f>
        <v>44.3904</v>
      </c>
      <c r="G29" s="53">
        <f>G27*(Assumptions!$B$77+Assumptions!$B$78)</f>
        <v>54.06720000000001</v>
      </c>
      <c r="H29" s="53">
        <f>H27*(Assumptions!$B$77+Assumptions!$B$78)</f>
        <v>60.928000000000004</v>
      </c>
      <c r="I29" s="53">
        <f>I27*(Assumptions!$B$77+Assumptions!$B$78)</f>
        <v>61.8496</v>
      </c>
      <c r="J29" s="53">
        <f>J27*(Assumptions!$B$77+Assumptions!$B$78)</f>
        <v>62.464</v>
      </c>
      <c r="K29" s="53">
        <f>K27*(Assumptions!$B$77+Assumptions!$B$78)</f>
        <v>62.464</v>
      </c>
      <c r="L29" s="53">
        <f>L27*(Assumptions!$B$77+Assumptions!$B$78)</f>
        <v>62.464</v>
      </c>
      <c r="M29" s="53">
        <f>M27*(Assumptions!$B$77+Assumptions!$B$78)</f>
        <v>62.464</v>
      </c>
      <c r="N29" s="53">
        <f>N27*(Assumptions!$B$77+Assumptions!$B$78)</f>
        <v>62.464</v>
      </c>
      <c r="O29" s="53">
        <f>O27*(Assumptions!$B$77+Assumptions!$B$78)</f>
        <v>62.464</v>
      </c>
      <c r="P29" s="53">
        <f>P27*(Assumptions!$B$77+Assumptions!$B$78)</f>
        <v>62.464</v>
      </c>
      <c r="Q29" s="53">
        <f>Q27*(Assumptions!$B$77+Assumptions!$B$78)</f>
        <v>24.985600000000005</v>
      </c>
      <c r="R29" s="53">
        <f>R27*(Assumptions!$B$77+Assumptions!$B$78)</f>
        <v>9.99424</v>
      </c>
      <c r="S29" s="53">
        <f>S27*(Assumptions!$B$77+Assumptions!$B$78)</f>
        <v>3.9976960000000004</v>
      </c>
      <c r="T29" s="53">
        <f>T27*(Assumptions!$B$77+Assumptions!$B$78)</f>
        <v>1.5990784000000005</v>
      </c>
      <c r="U29" s="53">
        <f>U27*(Assumptions!$B$77+Assumptions!$B$78)</f>
        <v>0.6396313600000002</v>
      </c>
      <c r="V29" s="53">
        <f>V27*(Assumptions!$B$77+Assumptions!$B$78)</f>
        <v>0.25585254400000007</v>
      </c>
      <c r="W29" s="53">
        <f>W27*(Assumptions!$B$77+Assumptions!$B$78)</f>
        <v>0.10234101760000006</v>
      </c>
      <c r="X29" s="53">
        <f>X27*(Assumptions!$B$77+Assumptions!$B$78)</f>
        <v>0.04093640704000002</v>
      </c>
      <c r="Y29" s="53">
        <f>Y27*(Assumptions!$B$77+Assumptions!$B$78)</f>
        <v>0.01637456281600001</v>
      </c>
      <c r="Z29" s="53">
        <f>Z27*(Assumptions!$B$77+Assumptions!$B$78)</f>
        <v>0.006549825126400003</v>
      </c>
    </row>
    <row r="30">
      <c r="A30" s="13" t="inlineStr">
        <is>
          <t>Commercial SG&amp;A, risk-adjusted</t>
        </is>
      </c>
      <c r="C30" s="53">
        <f>Assumptions!$B$32*IF(Assumptions!$B$79=0,0,IF(C23=0,Assumptions!$B$80,IF(C23&gt;=1,C24*IF(OR(Assumptions!$B$76&lt;1,C23&gt;5),Assumptions!$B$79,MAX(Assumptions!$B$79,INDEX(Assumptions!$B$44:$F$44,C23))),0)))+(1-Assumptions!$B$32)*Assumptions!$B$33*IF(Assumptions!$B$79=0,0,IF(C25=0,Assumptions!$B$80,IF(C25&gt;=1,C26*IF(OR(Assumptions!$B$76&lt;1,C25&gt;5),Assumptions!$B$79,MAX(Assumptions!$B$79,INDEX(Assumptions!$B$44:$F$44,C25))),0)))</f>
        <v>95.04</v>
      </c>
      <c r="D30" s="53">
        <f>Assumptions!$B$32*IF(Assumptions!$B$79=0,0,IF(D23=0,Assumptions!$B$80,IF(D23&gt;=1,D24*IF(OR(Assumptions!$B$76&lt;1,D23&gt;5),Assumptions!$B$79,MAX(Assumptions!$B$79,INDEX(Assumptions!$B$44:$F$44,D23))),0)))+(1-Assumptions!$B$32)*Assumptions!$B$33*IF(Assumptions!$B$79=0,0,IF(D25=0,Assumptions!$B$80,IF(D25&gt;=1,D26*IF(OR(Assumptions!$B$76&lt;1,D25&gt;5),Assumptions!$B$79,MAX(Assumptions!$B$79,INDEX(Assumptions!$B$44:$F$44,D25))),0)))</f>
        <v>138.4</v>
      </c>
      <c r="E30" s="53">
        <f>Assumptions!$B$32*IF(Assumptions!$B$79=0,0,IF(E23=0,Assumptions!$B$80,IF(E23&gt;=1,E24*IF(OR(Assumptions!$B$76&lt;1,E23&gt;5),Assumptions!$B$79,MAX(Assumptions!$B$79,INDEX(Assumptions!$B$44:$F$44,E23))),0)))+(1-Assumptions!$B$32)*Assumptions!$B$33*IF(Assumptions!$B$79=0,0,IF(E25=0,Assumptions!$B$80,IF(E25&gt;=1,E26*IF(OR(Assumptions!$B$76&lt;1,E25&gt;5),Assumptions!$B$79,MAX(Assumptions!$B$79,INDEX(Assumptions!$B$44:$F$44,E25))),0)))</f>
        <v>165.24800000000002</v>
      </c>
      <c r="F30" s="53">
        <f>Assumptions!$B$32*IF(Assumptions!$B$79=0,0,IF(F23=0,Assumptions!$B$80,IF(F23&gt;=1,F24*IF(OR(Assumptions!$B$76&lt;1,F23&gt;5),Assumptions!$B$79,MAX(Assumptions!$B$79,INDEX(Assumptions!$B$44:$F$44,F23))),0)))+(1-Assumptions!$B$32)*Assumptions!$B$33*IF(Assumptions!$B$79=0,0,IF(F25=0,Assumptions!$B$80,IF(F25&gt;=1,F26*IF(OR(Assumptions!$B$76&lt;1,F25&gt;5),Assumptions!$B$79,MAX(Assumptions!$B$79,INDEX(Assumptions!$B$44:$F$44,F25))),0)))</f>
        <v>183.744</v>
      </c>
      <c r="G30" s="53">
        <f>Assumptions!$B$32*IF(Assumptions!$B$79=0,0,IF(G23=0,Assumptions!$B$80,IF(G23&gt;=1,G24*IF(OR(Assumptions!$B$76&lt;1,G23&gt;5),Assumptions!$B$79,MAX(Assumptions!$B$79,INDEX(Assumptions!$B$44:$F$44,G23))),0)))+(1-Assumptions!$B$32)*Assumptions!$B$33*IF(Assumptions!$B$79=0,0,IF(G25=0,Assumptions!$B$80,IF(G25&gt;=1,G26*IF(OR(Assumptions!$B$76&lt;1,G25&gt;5),Assumptions!$B$79,MAX(Assumptions!$B$79,INDEX(Assumptions!$B$44:$F$44,G25))),0)))</f>
        <v>194.30400000000003</v>
      </c>
      <c r="H30" s="53">
        <f>Assumptions!$B$32*IF(Assumptions!$B$79=0,0,IF(H23=0,Assumptions!$B$80,IF(H23&gt;=1,H24*IF(OR(Assumptions!$B$76&lt;1,H23&gt;5),Assumptions!$B$79,MAX(Assumptions!$B$79,INDEX(Assumptions!$B$44:$F$44,H23))),0)))+(1-Assumptions!$B$32)*Assumptions!$B$33*IF(Assumptions!$B$79=0,0,IF(H25=0,Assumptions!$B$80,IF(H25&gt;=1,H26*IF(OR(Assumptions!$B$76&lt;1,H25&gt;5),Assumptions!$B$79,MAX(Assumptions!$B$79,INDEX(Assumptions!$B$44:$F$44,H25))),0)))</f>
        <v>194.43200000000002</v>
      </c>
      <c r="I30" s="53">
        <f>Assumptions!$B$32*IF(Assumptions!$B$79=0,0,IF(I23=0,Assumptions!$B$80,IF(I23&gt;=1,I24*IF(OR(Assumptions!$B$76&lt;1,I23&gt;5),Assumptions!$B$79,MAX(Assumptions!$B$79,INDEX(Assumptions!$B$44:$F$44,I23))),0)))+(1-Assumptions!$B$32)*Assumptions!$B$33*IF(Assumptions!$B$79=0,0,IF(I25=0,Assumptions!$B$80,IF(I25&gt;=1,I26*IF(OR(Assumptions!$B$76&lt;1,I25&gt;5),Assumptions!$B$79,MAX(Assumptions!$B$79,INDEX(Assumptions!$B$44:$F$44,I25))),0)))</f>
        <v>195.3536</v>
      </c>
      <c r="J30" s="53">
        <f>Assumptions!$B$32*IF(Assumptions!$B$79=0,0,IF(J23=0,Assumptions!$B$80,IF(J23&gt;=1,J24*IF(OR(Assumptions!$B$76&lt;1,J23&gt;5),Assumptions!$B$79,MAX(Assumptions!$B$79,INDEX(Assumptions!$B$44:$F$44,J23))),0)))+(1-Assumptions!$B$32)*Assumptions!$B$33*IF(Assumptions!$B$79=0,0,IF(J25=0,Assumptions!$B$80,IF(J25&gt;=1,J26*IF(OR(Assumptions!$B$76&lt;1,J25&gt;5),Assumptions!$B$79,MAX(Assumptions!$B$79,INDEX(Assumptions!$B$44:$F$44,J25))),0)))</f>
        <v>195.2</v>
      </c>
      <c r="K30" s="53">
        <f>Assumptions!$B$32*IF(Assumptions!$B$79=0,0,IF(K23=0,Assumptions!$B$80,IF(K23&gt;=1,K24*IF(OR(Assumptions!$B$76&lt;1,K23&gt;5),Assumptions!$B$79,MAX(Assumptions!$B$79,INDEX(Assumptions!$B$44:$F$44,K23))),0)))+(1-Assumptions!$B$32)*Assumptions!$B$33*IF(Assumptions!$B$79=0,0,IF(K25=0,Assumptions!$B$80,IF(K25&gt;=1,K26*IF(OR(Assumptions!$B$76&lt;1,K25&gt;5),Assumptions!$B$79,MAX(Assumptions!$B$79,INDEX(Assumptions!$B$44:$F$44,K25))),0)))</f>
        <v>195.2</v>
      </c>
      <c r="L30" s="53">
        <f>Assumptions!$B$32*IF(Assumptions!$B$79=0,0,IF(L23=0,Assumptions!$B$80,IF(L23&gt;=1,L24*IF(OR(Assumptions!$B$76&lt;1,L23&gt;5),Assumptions!$B$79,MAX(Assumptions!$B$79,INDEX(Assumptions!$B$44:$F$44,L23))),0)))+(1-Assumptions!$B$32)*Assumptions!$B$33*IF(Assumptions!$B$79=0,0,IF(L25=0,Assumptions!$B$80,IF(L25&gt;=1,L26*IF(OR(Assumptions!$B$76&lt;1,L25&gt;5),Assumptions!$B$79,MAX(Assumptions!$B$79,INDEX(Assumptions!$B$44:$F$44,L25))),0)))</f>
        <v>195.2</v>
      </c>
      <c r="M30" s="53">
        <f>Assumptions!$B$32*IF(Assumptions!$B$79=0,0,IF(M23=0,Assumptions!$B$80,IF(M23&gt;=1,M24*IF(OR(Assumptions!$B$76&lt;1,M23&gt;5),Assumptions!$B$79,MAX(Assumptions!$B$79,INDEX(Assumptions!$B$44:$F$44,M23))),0)))+(1-Assumptions!$B$32)*Assumptions!$B$33*IF(Assumptions!$B$79=0,0,IF(M25=0,Assumptions!$B$80,IF(M25&gt;=1,M26*IF(OR(Assumptions!$B$76&lt;1,M25&gt;5),Assumptions!$B$79,MAX(Assumptions!$B$79,INDEX(Assumptions!$B$44:$F$44,M25))),0)))</f>
        <v>195.2</v>
      </c>
      <c r="N30" s="53">
        <f>Assumptions!$B$32*IF(Assumptions!$B$79=0,0,IF(N23=0,Assumptions!$B$80,IF(N23&gt;=1,N24*IF(OR(Assumptions!$B$76&lt;1,N23&gt;5),Assumptions!$B$79,MAX(Assumptions!$B$79,INDEX(Assumptions!$B$44:$F$44,N23))),0)))+(1-Assumptions!$B$32)*Assumptions!$B$33*IF(Assumptions!$B$79=0,0,IF(N25=0,Assumptions!$B$80,IF(N25&gt;=1,N26*IF(OR(Assumptions!$B$76&lt;1,N25&gt;5),Assumptions!$B$79,MAX(Assumptions!$B$79,INDEX(Assumptions!$B$44:$F$44,N25))),0)))</f>
        <v>195.2</v>
      </c>
      <c r="O30" s="53">
        <f>Assumptions!$B$32*IF(Assumptions!$B$79=0,0,IF(O23=0,Assumptions!$B$80,IF(O23&gt;=1,O24*IF(OR(Assumptions!$B$76&lt;1,O23&gt;5),Assumptions!$B$79,MAX(Assumptions!$B$79,INDEX(Assumptions!$B$44:$F$44,O23))),0)))+(1-Assumptions!$B$32)*Assumptions!$B$33*IF(Assumptions!$B$79=0,0,IF(O25=0,Assumptions!$B$80,IF(O25&gt;=1,O26*IF(OR(Assumptions!$B$76&lt;1,O25&gt;5),Assumptions!$B$79,MAX(Assumptions!$B$79,INDEX(Assumptions!$B$44:$F$44,O25))),0)))</f>
        <v>195.2</v>
      </c>
      <c r="P30" s="53">
        <f>Assumptions!$B$32*IF(Assumptions!$B$79=0,0,IF(P23=0,Assumptions!$B$80,IF(P23&gt;=1,P24*IF(OR(Assumptions!$B$76&lt;1,P23&gt;5),Assumptions!$B$79,MAX(Assumptions!$B$79,INDEX(Assumptions!$B$44:$F$44,P23))),0)))+(1-Assumptions!$B$32)*Assumptions!$B$33*IF(Assumptions!$B$79=0,0,IF(P25=0,Assumptions!$B$80,IF(P25&gt;=1,P26*IF(OR(Assumptions!$B$76&lt;1,P25&gt;5),Assumptions!$B$79,MAX(Assumptions!$B$79,INDEX(Assumptions!$B$44:$F$44,P25))),0)))</f>
        <v>195.2</v>
      </c>
      <c r="Q30" s="53">
        <f>Assumptions!$B$32*IF(Assumptions!$B$79=0,0,IF(Q23=0,Assumptions!$B$80,IF(Q23&gt;=1,Q24*IF(OR(Assumptions!$B$76&lt;1,Q23&gt;5),Assumptions!$B$79,MAX(Assumptions!$B$79,INDEX(Assumptions!$B$44:$F$44,Q23))),0)))+(1-Assumptions!$B$32)*Assumptions!$B$33*IF(Assumptions!$B$79=0,0,IF(Q25=0,Assumptions!$B$80,IF(Q25&gt;=1,Q26*IF(OR(Assumptions!$B$76&lt;1,Q25&gt;5),Assumptions!$B$79,MAX(Assumptions!$B$79,INDEX(Assumptions!$B$44:$F$44,Q25))),0)))</f>
        <v>78.08000000000001</v>
      </c>
      <c r="R30" s="53">
        <f>Assumptions!$B$32*IF(Assumptions!$B$79=0,0,IF(R23=0,Assumptions!$B$80,IF(R23&gt;=1,R24*IF(OR(Assumptions!$B$76&lt;1,R23&gt;5),Assumptions!$B$79,MAX(Assumptions!$B$79,INDEX(Assumptions!$B$44:$F$44,R23))),0)))+(1-Assumptions!$B$32)*Assumptions!$B$33*IF(Assumptions!$B$79=0,0,IF(R25=0,Assumptions!$B$80,IF(R25&gt;=1,R26*IF(OR(Assumptions!$B$76&lt;1,R25&gt;5),Assumptions!$B$79,MAX(Assumptions!$B$79,INDEX(Assumptions!$B$44:$F$44,R25))),0)))</f>
        <v>31.232</v>
      </c>
      <c r="S30" s="53">
        <f>Assumptions!$B$32*IF(Assumptions!$B$79=0,0,IF(S23=0,Assumptions!$B$80,IF(S23&gt;=1,S24*IF(OR(Assumptions!$B$76&lt;1,S23&gt;5),Assumptions!$B$79,MAX(Assumptions!$B$79,INDEX(Assumptions!$B$44:$F$44,S23))),0)))+(1-Assumptions!$B$32)*Assumptions!$B$33*IF(Assumptions!$B$79=0,0,IF(S25=0,Assumptions!$B$80,IF(S25&gt;=1,S26*IF(OR(Assumptions!$B$76&lt;1,S25&gt;5),Assumptions!$B$79,MAX(Assumptions!$B$79,INDEX(Assumptions!$B$44:$F$44,S25))),0)))</f>
        <v>12.4928</v>
      </c>
      <c r="T30" s="53">
        <f>Assumptions!$B$32*IF(Assumptions!$B$79=0,0,IF(T23=0,Assumptions!$B$80,IF(T23&gt;=1,T24*IF(OR(Assumptions!$B$76&lt;1,T23&gt;5),Assumptions!$B$79,MAX(Assumptions!$B$79,INDEX(Assumptions!$B$44:$F$44,T23))),0)))+(1-Assumptions!$B$32)*Assumptions!$B$33*IF(Assumptions!$B$79=0,0,IF(T25=0,Assumptions!$B$80,IF(T25&gt;=1,T26*IF(OR(Assumptions!$B$76&lt;1,T25&gt;5),Assumptions!$B$79,MAX(Assumptions!$B$79,INDEX(Assumptions!$B$44:$F$44,T25))),0)))</f>
        <v>4.997120000000002</v>
      </c>
      <c r="U30" s="53">
        <f>Assumptions!$B$32*IF(Assumptions!$B$79=0,0,IF(U23=0,Assumptions!$B$80,IF(U23&gt;=1,U24*IF(OR(Assumptions!$B$76&lt;1,U23&gt;5),Assumptions!$B$79,MAX(Assumptions!$B$79,INDEX(Assumptions!$B$44:$F$44,U23))),0)))+(1-Assumptions!$B$32)*Assumptions!$B$33*IF(Assumptions!$B$79=0,0,IF(U25=0,Assumptions!$B$80,IF(U25&gt;=1,U26*IF(OR(Assumptions!$B$76&lt;1,U25&gt;5),Assumptions!$B$79,MAX(Assumptions!$B$79,INDEX(Assumptions!$B$44:$F$44,U25))),0)))</f>
        <v>1.9988480000000006</v>
      </c>
      <c r="V30" s="53">
        <f>Assumptions!$B$32*IF(Assumptions!$B$79=0,0,IF(V23=0,Assumptions!$B$80,IF(V23&gt;=1,V24*IF(OR(Assumptions!$B$76&lt;1,V23&gt;5),Assumptions!$B$79,MAX(Assumptions!$B$79,INDEX(Assumptions!$B$44:$F$44,V23))),0)))+(1-Assumptions!$B$32)*Assumptions!$B$33*IF(Assumptions!$B$79=0,0,IF(V25=0,Assumptions!$B$80,IF(V25&gt;=1,V26*IF(OR(Assumptions!$B$76&lt;1,V25&gt;5),Assumptions!$B$79,MAX(Assumptions!$B$79,INDEX(Assumptions!$B$44:$F$44,V25))),0)))</f>
        <v>0.7995392000000002</v>
      </c>
      <c r="W30" s="53">
        <f>Assumptions!$B$32*IF(Assumptions!$B$79=0,0,IF(W23=0,Assumptions!$B$80,IF(W23&gt;=1,W24*IF(OR(Assumptions!$B$76&lt;1,W23&gt;5),Assumptions!$B$79,MAX(Assumptions!$B$79,INDEX(Assumptions!$B$44:$F$44,W23))),0)))+(1-Assumptions!$B$32)*Assumptions!$B$33*IF(Assumptions!$B$79=0,0,IF(W25=0,Assumptions!$B$80,IF(W25&gt;=1,W26*IF(OR(Assumptions!$B$76&lt;1,W25&gt;5),Assumptions!$B$79,MAX(Assumptions!$B$79,INDEX(Assumptions!$B$44:$F$44,W25))),0)))</f>
        <v>0.31981568000000016</v>
      </c>
      <c r="X30" s="53">
        <f>Assumptions!$B$32*IF(Assumptions!$B$79=0,0,IF(X23=0,Assumptions!$B$80,IF(X23&gt;=1,X24*IF(OR(Assumptions!$B$76&lt;1,X23&gt;5),Assumptions!$B$79,MAX(Assumptions!$B$79,INDEX(Assumptions!$B$44:$F$44,X23))),0)))+(1-Assumptions!$B$32)*Assumptions!$B$33*IF(Assumptions!$B$79=0,0,IF(X25=0,Assumptions!$B$80,IF(X25&gt;=1,X26*IF(OR(Assumptions!$B$76&lt;1,X25&gt;5),Assumptions!$B$79,MAX(Assumptions!$B$79,INDEX(Assumptions!$B$44:$F$44,X25))),0)))</f>
        <v>0.12792627200000006</v>
      </c>
      <c r="Y30" s="53">
        <f>Assumptions!$B$32*IF(Assumptions!$B$79=0,0,IF(Y23=0,Assumptions!$B$80,IF(Y23&gt;=1,Y24*IF(OR(Assumptions!$B$76&lt;1,Y23&gt;5),Assumptions!$B$79,MAX(Assumptions!$B$79,INDEX(Assumptions!$B$44:$F$44,Y23))),0)))+(1-Assumptions!$B$32)*Assumptions!$B$33*IF(Assumptions!$B$79=0,0,IF(Y25=0,Assumptions!$B$80,IF(Y25&gt;=1,Y26*IF(OR(Assumptions!$B$76&lt;1,Y25&gt;5),Assumptions!$B$79,MAX(Assumptions!$B$79,INDEX(Assumptions!$B$44:$F$44,Y25))),0)))</f>
        <v>0.05117050880000003</v>
      </c>
      <c r="Z30" s="53">
        <f>Assumptions!$B$32*IF(Assumptions!$B$79=0,0,IF(Z23=0,Assumptions!$B$80,IF(Z23&gt;=1,Z24*IF(OR(Assumptions!$B$76&lt;1,Z23&gt;5),Assumptions!$B$79,MAX(Assumptions!$B$79,INDEX(Assumptions!$B$44:$F$44,Z23))),0)))+(1-Assumptions!$B$32)*Assumptions!$B$33*IF(Assumptions!$B$79=0,0,IF(Z25=0,Assumptions!$B$80,IF(Z25&gt;=1,Z26*IF(OR(Assumptions!$B$76&lt;1,Z25&gt;5),Assumptions!$B$79,MAX(Assumptions!$B$79,INDEX(Assumptions!$B$44:$F$44,Z25))),0)))</f>
        <v>0.02046820352000001</v>
      </c>
    </row>
    <row r="31">
      <c r="A31" s="13" t="inlineStr">
        <is>
          <t>Development R&amp;D, risk-adjusted</t>
        </is>
      </c>
      <c r="C31" s="53">
        <f>IFERROR(INDEX(Assumptions!$B$85:$I$85,MATCH(C$2,Assumptions!$B$84:$I$84,0))*INDEX(Assumptions!$B$86:$I$86,MATCH(C$2,Assumptions!$B$84:$I$84,0)),0)</f>
        <v>20.0</v>
      </c>
      <c r="D31" s="53">
        <f>IFERROR(INDEX(Assumptions!$B$85:$I$85,MATCH(D$2,Assumptions!$B$84:$I$84,0))*INDEX(Assumptions!$B$86:$I$86,MATCH(D$2,Assumptions!$B$84:$I$84,0)),0)</f>
        <v>15.0</v>
      </c>
      <c r="E31" s="53">
        <f>IFERROR(INDEX(Assumptions!$B$85:$I$85,MATCH(E$2,Assumptions!$B$84:$I$84,0))*INDEX(Assumptions!$B$86:$I$86,MATCH(E$2,Assumptions!$B$84:$I$84,0)),0)</f>
        <v>0.0</v>
      </c>
      <c r="F31" s="53">
        <f>IFERROR(INDEX(Assumptions!$B$85:$I$85,MATCH(F$2,Assumptions!$B$84:$I$84,0))*INDEX(Assumptions!$B$86:$I$86,MATCH(F$2,Assumptions!$B$84:$I$84,0)),0)</f>
        <v>0.0</v>
      </c>
      <c r="G31" s="53">
        <f>IFERROR(INDEX(Assumptions!$B$85:$I$85,MATCH(G$2,Assumptions!$B$84:$I$84,0))*INDEX(Assumptions!$B$86:$I$86,MATCH(G$2,Assumptions!$B$84:$I$84,0)),0)</f>
        <v>0.0</v>
      </c>
      <c r="H31" s="53">
        <f>IFERROR(INDEX(Assumptions!$B$85:$I$85,MATCH(H$2,Assumptions!$B$84:$I$84,0))*INDEX(Assumptions!$B$86:$I$86,MATCH(H$2,Assumptions!$B$84:$I$84,0)),0)</f>
        <v>0.0</v>
      </c>
      <c r="I31" s="53">
        <f>IFERROR(INDEX(Assumptions!$B$85:$I$85,MATCH(I$2,Assumptions!$B$84:$I$84,0))*INDEX(Assumptions!$B$86:$I$86,MATCH(I$2,Assumptions!$B$84:$I$84,0)),0)</f>
        <v>0.0</v>
      </c>
      <c r="J31" s="53">
        <f>IFERROR(INDEX(Assumptions!$B$85:$I$85,MATCH(J$2,Assumptions!$B$84:$I$84,0))*INDEX(Assumptions!$B$86:$I$86,MATCH(J$2,Assumptions!$B$84:$I$84,0)),0)</f>
        <v>0.0</v>
      </c>
      <c r="K31" s="53">
        <f>IFERROR(INDEX(Assumptions!$B$85:$I$85,MATCH(K$2,Assumptions!$B$84:$I$84,0))*INDEX(Assumptions!$B$86:$I$86,MATCH(K$2,Assumptions!$B$84:$I$84,0)),0)</f>
        <v>0</v>
      </c>
      <c r="L31" s="53">
        <f>IFERROR(INDEX(Assumptions!$B$85:$I$85,MATCH(L$2,Assumptions!$B$84:$I$84,0))*INDEX(Assumptions!$B$86:$I$86,MATCH(L$2,Assumptions!$B$84:$I$84,0)),0)</f>
        <v>0</v>
      </c>
      <c r="M31" s="53">
        <f>IFERROR(INDEX(Assumptions!$B$85:$I$85,MATCH(M$2,Assumptions!$B$84:$I$84,0))*INDEX(Assumptions!$B$86:$I$86,MATCH(M$2,Assumptions!$B$84:$I$84,0)),0)</f>
        <v>0</v>
      </c>
      <c r="N31" s="53">
        <f>IFERROR(INDEX(Assumptions!$B$85:$I$85,MATCH(N$2,Assumptions!$B$84:$I$84,0))*INDEX(Assumptions!$B$86:$I$86,MATCH(N$2,Assumptions!$B$84:$I$84,0)),0)</f>
        <v>0</v>
      </c>
      <c r="O31" s="53">
        <f>IFERROR(INDEX(Assumptions!$B$85:$I$85,MATCH(O$2,Assumptions!$B$84:$I$84,0))*INDEX(Assumptions!$B$86:$I$86,MATCH(O$2,Assumptions!$B$84:$I$84,0)),0)</f>
        <v>0</v>
      </c>
      <c r="P31" s="53">
        <f>IFERROR(INDEX(Assumptions!$B$85:$I$85,MATCH(P$2,Assumptions!$B$84:$I$84,0))*INDEX(Assumptions!$B$86:$I$86,MATCH(P$2,Assumptions!$B$84:$I$84,0)),0)</f>
        <v>0</v>
      </c>
      <c r="Q31" s="53">
        <f>IFERROR(INDEX(Assumptions!$B$85:$I$85,MATCH(Q$2,Assumptions!$B$84:$I$84,0))*INDEX(Assumptions!$B$86:$I$86,MATCH(Q$2,Assumptions!$B$84:$I$84,0)),0)</f>
        <v>0</v>
      </c>
      <c r="R31" s="53">
        <f>IFERROR(INDEX(Assumptions!$B$85:$I$85,MATCH(R$2,Assumptions!$B$84:$I$84,0))*INDEX(Assumptions!$B$86:$I$86,MATCH(R$2,Assumptions!$B$84:$I$84,0)),0)</f>
        <v>0</v>
      </c>
      <c r="S31" s="53">
        <f>IFERROR(INDEX(Assumptions!$B$85:$I$85,MATCH(S$2,Assumptions!$B$84:$I$84,0))*INDEX(Assumptions!$B$86:$I$86,MATCH(S$2,Assumptions!$B$84:$I$84,0)),0)</f>
        <v>0</v>
      </c>
      <c r="T31" s="53">
        <f>IFERROR(INDEX(Assumptions!$B$85:$I$85,MATCH(T$2,Assumptions!$B$84:$I$84,0))*INDEX(Assumptions!$B$86:$I$86,MATCH(T$2,Assumptions!$B$84:$I$84,0)),0)</f>
        <v>0</v>
      </c>
      <c r="U31" s="53">
        <f>IFERROR(INDEX(Assumptions!$B$85:$I$85,MATCH(U$2,Assumptions!$B$84:$I$84,0))*INDEX(Assumptions!$B$86:$I$86,MATCH(U$2,Assumptions!$B$84:$I$84,0)),0)</f>
        <v>0</v>
      </c>
      <c r="V31" s="53">
        <f>IFERROR(INDEX(Assumptions!$B$85:$I$85,MATCH(V$2,Assumptions!$B$84:$I$84,0))*INDEX(Assumptions!$B$86:$I$86,MATCH(V$2,Assumptions!$B$84:$I$84,0)),0)</f>
        <v>0</v>
      </c>
      <c r="W31" s="53">
        <f>IFERROR(INDEX(Assumptions!$B$85:$I$85,MATCH(W$2,Assumptions!$B$84:$I$84,0))*INDEX(Assumptions!$B$86:$I$86,MATCH(W$2,Assumptions!$B$84:$I$84,0)),0)</f>
        <v>0</v>
      </c>
      <c r="X31" s="53">
        <f>IFERROR(INDEX(Assumptions!$B$85:$I$85,MATCH(X$2,Assumptions!$B$84:$I$84,0))*INDEX(Assumptions!$B$86:$I$86,MATCH(X$2,Assumptions!$B$84:$I$84,0)),0)</f>
        <v>0</v>
      </c>
      <c r="Y31" s="53">
        <f>IFERROR(INDEX(Assumptions!$B$85:$I$85,MATCH(Y$2,Assumptions!$B$84:$I$84,0))*INDEX(Assumptions!$B$86:$I$86,MATCH(Y$2,Assumptions!$B$84:$I$84,0)),0)</f>
        <v>0</v>
      </c>
      <c r="Z31" s="53">
        <f>IFERROR(INDEX(Assumptions!$B$85:$I$85,MATCH(Z$2,Assumptions!$B$84:$I$84,0))*INDEX(Assumptions!$B$86:$I$86,MATCH(Z$2,Assumptions!$B$84:$I$84,0)),0)</f>
        <v>0</v>
      </c>
    </row>
    <row r="32">
      <c r="A32" s="22" t="inlineStr">
        <is>
          <t>Program contribution (pre-tax)</t>
        </is>
      </c>
      <c r="C32" s="57">
        <f>C28-C29-C30-C31</f>
        <v>114.11199999999997</v>
      </c>
      <c r="D32" s="57">
        <f>D28-D29-D30-D31</f>
        <v>73.28800000000001</v>
      </c>
      <c r="E32" s="57">
        <f>E28-E29-E30-E31</f>
        <v>215.97439999999997</v>
      </c>
      <c r="F32" s="57">
        <f>F28-F29-F30-F31</f>
        <v>326.74559999999997</v>
      </c>
      <c r="G32" s="57">
        <f>G28-G29-G30-G31</f>
        <v>427.46880000000004</v>
      </c>
      <c r="H32" s="57">
        <f>H28-H29-H30-H31</f>
        <v>506.24</v>
      </c>
      <c r="I32" s="57">
        <f>I28-I29-I30-I31</f>
        <v>515.9168</v>
      </c>
      <c r="J32" s="57">
        <f>J28-J29-J30-J31</f>
        <v>523.136</v>
      </c>
      <c r="K32" s="57">
        <f>K28-K29-K30-K31</f>
        <v>523.136</v>
      </c>
      <c r="L32" s="57">
        <f>L28-L29-L30-L31</f>
        <v>523.136</v>
      </c>
      <c r="M32" s="57">
        <f>M28-M29-M30-M31</f>
        <v>523.136</v>
      </c>
      <c r="N32" s="57">
        <f>N28-N29-N30-N31</f>
        <v>523.136</v>
      </c>
      <c r="O32" s="57">
        <f>O28-O29-O30-O31</f>
        <v>523.136</v>
      </c>
      <c r="P32" s="57">
        <f>P28-P29-P30-P31</f>
        <v>523.136</v>
      </c>
      <c r="Q32" s="57">
        <f>Q28-Q29-Q30-Q31</f>
        <v>209.25440000000006</v>
      </c>
      <c r="R32" s="57">
        <f>R28-R29-R30-R31</f>
        <v>83.70176</v>
      </c>
      <c r="S32" s="57">
        <f>S28-S29-S30-S31</f>
        <v>33.480704</v>
      </c>
      <c r="T32" s="57">
        <f>T28-T29-T30-T31</f>
        <v>13.392281600000004</v>
      </c>
      <c r="U32" s="57">
        <f>U28-U29-U30-U31</f>
        <v>5.356912640000002</v>
      </c>
      <c r="V32" s="57">
        <f>V28-V29-V30-V31</f>
        <v>2.1427650560000004</v>
      </c>
      <c r="W32" s="57">
        <f>W28-W29-W30-W31</f>
        <v>0.8571060224000003</v>
      </c>
      <c r="X32" s="57">
        <f>X28-X29-X30-X31</f>
        <v>0.3428424089600002</v>
      </c>
      <c r="Y32" s="57">
        <f>Y28-Y29-Y30-Y31</f>
        <v>0.13713696358400007</v>
      </c>
      <c r="Z32" s="57">
        <f>Z28-Z29-Z30-Z31</f>
        <v>0.054854785433600034</v>
      </c>
    </row>
    <row r="34">
      <c r="A34" s="30" t="inlineStr">
        <is>
          <t>Encaleret — ADH1 (PDUFA May 8, 2027)</t>
        </is>
      </c>
    </row>
    <row r="35">
      <c r="A35" s="13" t="inlineStr">
        <is>
          <t>Years since launch</t>
        </is>
      </c>
      <c r="C35" s="64">
        <f>C$2-Assumptions!$B$91+1</f>
        <v>1.0</v>
      </c>
      <c r="D35" s="64">
        <f>D$2-Assumptions!$B$91+1</f>
        <v>2.0</v>
      </c>
      <c r="E35" s="64">
        <f>E$2-Assumptions!$B$91+1</f>
        <v>3.0</v>
      </c>
      <c r="F35" s="64">
        <f>F$2-Assumptions!$B$91+1</f>
        <v>4.0</v>
      </c>
      <c r="G35" s="64">
        <f>G$2-Assumptions!$B$91+1</f>
        <v>5.0</v>
      </c>
      <c r="H35" s="64">
        <f>H$2-Assumptions!$B$91+1</f>
        <v>6.0</v>
      </c>
      <c r="I35" s="64">
        <f>I$2-Assumptions!$B$91+1</f>
        <v>7.0</v>
      </c>
      <c r="J35" s="64">
        <f>J$2-Assumptions!$B$91+1</f>
        <v>8.0</v>
      </c>
      <c r="K35" s="64">
        <f>K$2-Assumptions!$B$91+1</f>
        <v>9.0</v>
      </c>
      <c r="L35" s="64">
        <f>L$2-Assumptions!$B$91+1</f>
        <v>10.0</v>
      </c>
      <c r="M35" s="64">
        <f>M$2-Assumptions!$B$91+1</f>
        <v>11.0</v>
      </c>
      <c r="N35" s="64">
        <f>N$2-Assumptions!$B$91+1</f>
        <v>12.0</v>
      </c>
      <c r="O35" s="64">
        <f>O$2-Assumptions!$B$91+1</f>
        <v>13.0</v>
      </c>
      <c r="P35" s="64">
        <f>P$2-Assumptions!$B$91+1</f>
        <v>14.0</v>
      </c>
      <c r="Q35" s="64">
        <f>Q$2-Assumptions!$B$91+1</f>
        <v>15.0</v>
      </c>
      <c r="R35" s="64">
        <f>R$2-Assumptions!$B$91+1</f>
        <v>16.0</v>
      </c>
      <c r="S35" s="64">
        <f>S$2-Assumptions!$B$91+1</f>
        <v>17.0</v>
      </c>
      <c r="T35" s="64">
        <f>T$2-Assumptions!$B$91+1</f>
        <v>18.0</v>
      </c>
      <c r="U35" s="64">
        <f>U$2-Assumptions!$B$91+1</f>
        <v>19.0</v>
      </c>
      <c r="V35" s="64">
        <f>V$2-Assumptions!$B$91+1</f>
        <v>20.0</v>
      </c>
      <c r="W35" s="64">
        <f>W$2-Assumptions!$B$91+1</f>
        <v>21.0</v>
      </c>
      <c r="X35" s="64">
        <f>X$2-Assumptions!$B$91+1</f>
        <v>22.0</v>
      </c>
      <c r="Y35" s="64">
        <f>Y$2-Assumptions!$B$91+1</f>
        <v>23.0</v>
      </c>
      <c r="Z35" s="64">
        <f>Z$2-Assumptions!$B$91+1</f>
        <v>24.0</v>
      </c>
    </row>
    <row r="36">
      <c r="A36" s="13" t="inlineStr">
        <is>
          <t>Net sales, unrisked</t>
        </is>
      </c>
      <c r="C36" s="53">
        <f>IF(C$2&gt;Assumptions!$B$100,0*(1-Assumptions!$B$101),IF(C35&gt;=1,Assumptions!$B$92*CHOOSE(Assumptions!$B$99,INDEX(Assumptions!$B$42:$H$42,MIN(C35,7)),INDEX(Assumptions!$B$43:$H$43,MIN(C35,7))),0))</f>
        <v>120.0</v>
      </c>
      <c r="D36" s="53">
        <f>IF(D$2&gt;Assumptions!$B$100,C36*(1-Assumptions!$B$101),IF(D35&gt;=1,Assumptions!$B$92*CHOOSE(Assumptions!$B$99,INDEX(Assumptions!$B$42:$H$42,MIN(D35,7)),INDEX(Assumptions!$B$43:$H$43,MIN(D35,7))),0))</f>
        <v>280.0</v>
      </c>
      <c r="E36" s="53">
        <f>IF(E$2&gt;Assumptions!$B$100,D36*(1-Assumptions!$B$101),IF(E35&gt;=1,Assumptions!$B$92*CHOOSE(Assumptions!$B$99,INDEX(Assumptions!$B$42:$H$42,MIN(E35,7)),INDEX(Assumptions!$B$43:$H$43,MIN(E35,7))),0))</f>
        <v>440.00000000000006</v>
      </c>
      <c r="F36" s="53">
        <f>IF(F$2&gt;Assumptions!$B$100,E36*(1-Assumptions!$B$101),IF(F35&gt;=1,Assumptions!$B$92*CHOOSE(Assumptions!$B$99,INDEX(Assumptions!$B$42:$H$42,MIN(F35,7)),INDEX(Assumptions!$B$43:$H$43,MIN(F35,7))),0))</f>
        <v>600.0</v>
      </c>
      <c r="G36" s="53">
        <f>IF(G$2&gt;Assumptions!$B$100,F36*(1-Assumptions!$B$101),IF(G35&gt;=1,Assumptions!$B$92*CHOOSE(Assumptions!$B$99,INDEX(Assumptions!$B$42:$H$42,MIN(G35,7)),INDEX(Assumptions!$B$43:$H$43,MIN(G35,7))),0))</f>
        <v>720.0</v>
      </c>
      <c r="H36" s="53">
        <f>IF(H$2&gt;Assumptions!$B$100,G36*(1-Assumptions!$B$101),IF(H35&gt;=1,Assumptions!$B$92*CHOOSE(Assumptions!$B$99,INDEX(Assumptions!$B$42:$H$42,MIN(H35,7)),INDEX(Assumptions!$B$43:$H$43,MIN(H35,7))),0))</f>
        <v>800.0</v>
      </c>
      <c r="I36" s="53">
        <f>IF(I$2&gt;Assumptions!$B$100,H36*(1-Assumptions!$B$101),IF(I35&gt;=1,Assumptions!$B$92*CHOOSE(Assumptions!$B$99,INDEX(Assumptions!$B$42:$H$42,MIN(I35,7)),INDEX(Assumptions!$B$43:$H$43,MIN(I35,7))),0))</f>
        <v>800.0</v>
      </c>
      <c r="J36" s="53">
        <f>IF(J$2&gt;Assumptions!$B$100,I36*(1-Assumptions!$B$101),IF(J35&gt;=1,Assumptions!$B$92*CHOOSE(Assumptions!$B$99,INDEX(Assumptions!$B$42:$H$42,MIN(J35,7)),INDEX(Assumptions!$B$43:$H$43,MIN(J35,7))),0))</f>
        <v>800.0</v>
      </c>
      <c r="K36" s="53">
        <f>IF(K$2&gt;Assumptions!$B$100,J36*(1-Assumptions!$B$101),IF(K35&gt;=1,Assumptions!$B$92*CHOOSE(Assumptions!$B$99,INDEX(Assumptions!$B$42:$H$42,MIN(K35,7)),INDEX(Assumptions!$B$43:$H$43,MIN(K35,7))),0))</f>
        <v>800.0</v>
      </c>
      <c r="L36" s="53">
        <f>IF(L$2&gt;Assumptions!$B$100,K36*(1-Assumptions!$B$101),IF(L35&gt;=1,Assumptions!$B$92*CHOOSE(Assumptions!$B$99,INDEX(Assumptions!$B$42:$H$42,MIN(L35,7)),INDEX(Assumptions!$B$43:$H$43,MIN(L35,7))),0))</f>
        <v>800.0</v>
      </c>
      <c r="M36" s="53">
        <f>IF(M$2&gt;Assumptions!$B$100,L36*(1-Assumptions!$B$101),IF(M35&gt;=1,Assumptions!$B$92*CHOOSE(Assumptions!$B$99,INDEX(Assumptions!$B$42:$H$42,MIN(M35,7)),INDEX(Assumptions!$B$43:$H$43,MIN(M35,7))),0))</f>
        <v>800.0</v>
      </c>
      <c r="N36" s="53">
        <f>IF(N$2&gt;Assumptions!$B$100,M36*(1-Assumptions!$B$101),IF(N35&gt;=1,Assumptions!$B$92*CHOOSE(Assumptions!$B$99,INDEX(Assumptions!$B$42:$H$42,MIN(N35,7)),INDEX(Assumptions!$B$43:$H$43,MIN(N35,7))),0))</f>
        <v>800.0</v>
      </c>
      <c r="O36" s="53">
        <f>IF(O$2&gt;Assumptions!$B$100,N36*(1-Assumptions!$B$101),IF(O35&gt;=1,Assumptions!$B$92*CHOOSE(Assumptions!$B$99,INDEX(Assumptions!$B$42:$H$42,MIN(O35,7)),INDEX(Assumptions!$B$43:$H$43,MIN(O35,7))),0))</f>
        <v>800.0</v>
      </c>
      <c r="P36" s="53">
        <f>IF(P$2&gt;Assumptions!$B$100,O36*(1-Assumptions!$B$101),IF(P35&gt;=1,Assumptions!$B$92*CHOOSE(Assumptions!$B$99,INDEX(Assumptions!$B$42:$H$42,MIN(P35,7)),INDEX(Assumptions!$B$43:$H$43,MIN(P35,7))),0))</f>
        <v>800.0</v>
      </c>
      <c r="Q36" s="53">
        <f>IF(Q$2&gt;Assumptions!$B$100,P36*(1-Assumptions!$B$101),IF(Q35&gt;=1,Assumptions!$B$92*CHOOSE(Assumptions!$B$99,INDEX(Assumptions!$B$42:$H$42,MIN(Q35,7)),INDEX(Assumptions!$B$43:$H$43,MIN(Q35,7))),0))</f>
        <v>800.0</v>
      </c>
      <c r="R36" s="53">
        <f>IF(R$2&gt;Assumptions!$B$100,Q36*(1-Assumptions!$B$101),IF(R35&gt;=1,Assumptions!$B$92*CHOOSE(Assumptions!$B$99,INDEX(Assumptions!$B$42:$H$42,MIN(R35,7)),INDEX(Assumptions!$B$43:$H$43,MIN(R35,7))),0))</f>
        <v>320.0</v>
      </c>
      <c r="S36" s="53">
        <f>IF(S$2&gt;Assumptions!$B$100,R36*(1-Assumptions!$B$101),IF(S35&gt;=1,Assumptions!$B$92*CHOOSE(Assumptions!$B$99,INDEX(Assumptions!$B$42:$H$42,MIN(S35,7)),INDEX(Assumptions!$B$43:$H$43,MIN(S35,7))),0))</f>
        <v>128.0</v>
      </c>
      <c r="T36" s="53">
        <f>IF(T$2&gt;Assumptions!$B$100,S36*(1-Assumptions!$B$101),IF(T35&gt;=1,Assumptions!$B$92*CHOOSE(Assumptions!$B$99,INDEX(Assumptions!$B$42:$H$42,MIN(T35,7)),INDEX(Assumptions!$B$43:$H$43,MIN(T35,7))),0))</f>
        <v>51.2</v>
      </c>
      <c r="U36" s="53">
        <f>IF(U$2&gt;Assumptions!$B$100,T36*(1-Assumptions!$B$101),IF(U35&gt;=1,Assumptions!$B$92*CHOOSE(Assumptions!$B$99,INDEX(Assumptions!$B$42:$H$42,MIN(U35,7)),INDEX(Assumptions!$B$43:$H$43,MIN(U35,7))),0))</f>
        <v>20.480000000000004</v>
      </c>
      <c r="V36" s="53">
        <f>IF(V$2&gt;Assumptions!$B$100,U36*(1-Assumptions!$B$101),IF(V35&gt;=1,Assumptions!$B$92*CHOOSE(Assumptions!$B$99,INDEX(Assumptions!$B$42:$H$42,MIN(V35,7)),INDEX(Assumptions!$B$43:$H$43,MIN(V35,7))),0))</f>
        <v>8.192000000000002</v>
      </c>
      <c r="W36" s="53">
        <f>IF(W$2&gt;Assumptions!$B$100,V36*(1-Assumptions!$B$101),IF(W35&gt;=1,Assumptions!$B$92*CHOOSE(Assumptions!$B$99,INDEX(Assumptions!$B$42:$H$42,MIN(W35,7)),INDEX(Assumptions!$B$43:$H$43,MIN(W35,7))),0))</f>
        <v>3.276800000000001</v>
      </c>
      <c r="X36" s="53">
        <f>IF(X$2&gt;Assumptions!$B$100,W36*(1-Assumptions!$B$101),IF(X35&gt;=1,Assumptions!$B$92*CHOOSE(Assumptions!$B$99,INDEX(Assumptions!$B$42:$H$42,MIN(X35,7)),INDEX(Assumptions!$B$43:$H$43,MIN(X35,7))),0))</f>
        <v>1.3107200000000006</v>
      </c>
      <c r="Y36" s="53">
        <f>IF(Y$2&gt;Assumptions!$B$100,X36*(1-Assumptions!$B$101),IF(Y35&gt;=1,Assumptions!$B$92*CHOOSE(Assumptions!$B$99,INDEX(Assumptions!$B$42:$H$42,MIN(Y35,7)),INDEX(Assumptions!$B$43:$H$43,MIN(Y35,7))),0))</f>
        <v>0.5242880000000002</v>
      </c>
      <c r="Z36" s="53">
        <f>IF(Z$2&gt;Assumptions!$B$100,Y36*(1-Assumptions!$B$101),IF(Z35&gt;=1,Assumptions!$B$92*CHOOSE(Assumptions!$B$99,INDEX(Assumptions!$B$42:$H$42,MIN(Z35,7)),INDEX(Assumptions!$B$43:$H$43,MIN(Z35,7))),0))</f>
        <v>0.2097152000000001</v>
      </c>
    </row>
    <row r="37">
      <c r="A37" s="13" t="inlineStr">
        <is>
          <t>Product net sales, risk-adjusted</t>
        </is>
      </c>
      <c r="C37" s="53">
        <f>C36*MIN(1,Assumptions!$B$93*Assumptions!$B$37)</f>
        <v>104.4</v>
      </c>
      <c r="D37" s="53">
        <f>D36*MIN(1,Assumptions!$B$93*Assumptions!$B$37)</f>
        <v>243.6</v>
      </c>
      <c r="E37" s="53">
        <f>E36*MIN(1,Assumptions!$B$93*Assumptions!$B$37)</f>
        <v>382.80000000000007</v>
      </c>
      <c r="F37" s="53">
        <f>F36*MIN(1,Assumptions!$B$93*Assumptions!$B$37)</f>
        <v>522.0</v>
      </c>
      <c r="G37" s="53">
        <f>G36*MIN(1,Assumptions!$B$93*Assumptions!$B$37)</f>
        <v>626.4</v>
      </c>
      <c r="H37" s="53">
        <f>H36*MIN(1,Assumptions!$B$93*Assumptions!$B$37)</f>
        <v>696.0</v>
      </c>
      <c r="I37" s="53">
        <f>I36*MIN(1,Assumptions!$B$93*Assumptions!$B$37)</f>
        <v>696.0</v>
      </c>
      <c r="J37" s="53">
        <f>J36*MIN(1,Assumptions!$B$93*Assumptions!$B$37)</f>
        <v>696.0</v>
      </c>
      <c r="K37" s="53">
        <f>K36*MIN(1,Assumptions!$B$93*Assumptions!$B$37)</f>
        <v>696.0</v>
      </c>
      <c r="L37" s="53">
        <f>L36*MIN(1,Assumptions!$B$93*Assumptions!$B$37)</f>
        <v>696.0</v>
      </c>
      <c r="M37" s="53">
        <f>M36*MIN(1,Assumptions!$B$93*Assumptions!$B$37)</f>
        <v>696.0</v>
      </c>
      <c r="N37" s="53">
        <f>N36*MIN(1,Assumptions!$B$93*Assumptions!$B$37)</f>
        <v>696.0</v>
      </c>
      <c r="O37" s="53">
        <f>O36*MIN(1,Assumptions!$B$93*Assumptions!$B$37)</f>
        <v>696.0</v>
      </c>
      <c r="P37" s="53">
        <f>P36*MIN(1,Assumptions!$B$93*Assumptions!$B$37)</f>
        <v>696.0</v>
      </c>
      <c r="Q37" s="53">
        <f>Q36*MIN(1,Assumptions!$B$93*Assumptions!$B$37)</f>
        <v>696.0</v>
      </c>
      <c r="R37" s="53">
        <f>R36*MIN(1,Assumptions!$B$93*Assumptions!$B$37)</f>
        <v>278.4</v>
      </c>
      <c r="S37" s="53">
        <f>S36*MIN(1,Assumptions!$B$93*Assumptions!$B$37)</f>
        <v>111.36</v>
      </c>
      <c r="T37" s="53">
        <f>T36*MIN(1,Assumptions!$B$93*Assumptions!$B$37)</f>
        <v>44.544000000000004</v>
      </c>
      <c r="U37" s="53">
        <f>U36*MIN(1,Assumptions!$B$93*Assumptions!$B$37)</f>
        <v>17.817600000000002</v>
      </c>
      <c r="V37" s="53">
        <f>V36*MIN(1,Assumptions!$B$93*Assumptions!$B$37)</f>
        <v>7.127040000000002</v>
      </c>
      <c r="W37" s="53">
        <f>W36*MIN(1,Assumptions!$B$93*Assumptions!$B$37)</f>
        <v>2.850816000000001</v>
      </c>
      <c r="X37" s="53">
        <f>X36*MIN(1,Assumptions!$B$93*Assumptions!$B$37)</f>
        <v>1.1403264000000004</v>
      </c>
      <c r="Y37" s="53">
        <f>Y36*MIN(1,Assumptions!$B$93*Assumptions!$B$37)</f>
        <v>0.4561305600000002</v>
      </c>
      <c r="Z37" s="53">
        <f>Z36*MIN(1,Assumptions!$B$93*Assumptions!$B$37)</f>
        <v>0.18245222400000008</v>
      </c>
    </row>
    <row r="38">
      <c r="A38" s="13" t="inlineStr">
        <is>
          <t>Company revenue, risk-adjusted (incl. milestones)</t>
        </is>
      </c>
      <c r="C38" s="53">
        <f>C37*Assumptions!$B$94</f>
        <v>104.4</v>
      </c>
      <c r="D38" s="53">
        <f>D37*Assumptions!$B$94</f>
        <v>243.6</v>
      </c>
      <c r="E38" s="53">
        <f>E37*Assumptions!$B$94</f>
        <v>382.80000000000007</v>
      </c>
      <c r="F38" s="53">
        <f>F37*Assumptions!$B$94</f>
        <v>522.0</v>
      </c>
      <c r="G38" s="53">
        <f>G37*Assumptions!$B$94</f>
        <v>626.4</v>
      </c>
      <c r="H38" s="53">
        <f>H37*Assumptions!$B$94</f>
        <v>696.0</v>
      </c>
      <c r="I38" s="53">
        <f>I37*Assumptions!$B$94</f>
        <v>696.0</v>
      </c>
      <c r="J38" s="53">
        <f>J37*Assumptions!$B$94</f>
        <v>696.0</v>
      </c>
      <c r="K38" s="53">
        <f>K37*Assumptions!$B$94</f>
        <v>696.0</v>
      </c>
      <c r="L38" s="53">
        <f>L37*Assumptions!$B$94</f>
        <v>696.0</v>
      </c>
      <c r="M38" s="53">
        <f>M37*Assumptions!$B$94</f>
        <v>696.0</v>
      </c>
      <c r="N38" s="53">
        <f>N37*Assumptions!$B$94</f>
        <v>696.0</v>
      </c>
      <c r="O38" s="53">
        <f>O37*Assumptions!$B$94</f>
        <v>696.0</v>
      </c>
      <c r="P38" s="53">
        <f>P37*Assumptions!$B$94</f>
        <v>696.0</v>
      </c>
      <c r="Q38" s="53">
        <f>Q37*Assumptions!$B$94</f>
        <v>696.0</v>
      </c>
      <c r="R38" s="53">
        <f>R37*Assumptions!$B$94</f>
        <v>278.4</v>
      </c>
      <c r="S38" s="53">
        <f>S37*Assumptions!$B$94</f>
        <v>111.36</v>
      </c>
      <c r="T38" s="53">
        <f>T37*Assumptions!$B$94</f>
        <v>44.544000000000004</v>
      </c>
      <c r="U38" s="53">
        <f>U37*Assumptions!$B$94</f>
        <v>17.817600000000002</v>
      </c>
      <c r="V38" s="53">
        <f>V37*Assumptions!$B$94</f>
        <v>7.127040000000002</v>
      </c>
      <c r="W38" s="53">
        <f>W37*Assumptions!$B$94</f>
        <v>2.850816000000001</v>
      </c>
      <c r="X38" s="53">
        <f>X37*Assumptions!$B$94</f>
        <v>1.1403264000000004</v>
      </c>
      <c r="Y38" s="53">
        <f>Y37*Assumptions!$B$94</f>
        <v>0.4561305600000002</v>
      </c>
      <c r="Z38" s="53">
        <f>Z37*Assumptions!$B$94</f>
        <v>0.18245222400000008</v>
      </c>
    </row>
    <row r="39">
      <c r="A39" s="13" t="inlineStr">
        <is>
          <t>COGS + royalties, risk-adjusted</t>
        </is>
      </c>
      <c r="C39" s="53">
        <f>C37*(Assumptions!$B$95+Assumptions!$B$96)</f>
        <v>8.352</v>
      </c>
      <c r="D39" s="53">
        <f>D37*(Assumptions!$B$95+Assumptions!$B$96)</f>
        <v>19.488</v>
      </c>
      <c r="E39" s="53">
        <f>E37*(Assumptions!$B$95+Assumptions!$B$96)</f>
        <v>30.624000000000006</v>
      </c>
      <c r="F39" s="53">
        <f>F37*(Assumptions!$B$95+Assumptions!$B$96)</f>
        <v>41.76</v>
      </c>
      <c r="G39" s="53">
        <f>G37*(Assumptions!$B$95+Assumptions!$B$96)</f>
        <v>50.112</v>
      </c>
      <c r="H39" s="53">
        <f>H37*(Assumptions!$B$95+Assumptions!$B$96)</f>
        <v>55.68</v>
      </c>
      <c r="I39" s="53">
        <f>I37*(Assumptions!$B$95+Assumptions!$B$96)</f>
        <v>55.68</v>
      </c>
      <c r="J39" s="53">
        <f>J37*(Assumptions!$B$95+Assumptions!$B$96)</f>
        <v>55.68</v>
      </c>
      <c r="K39" s="53">
        <f>K37*(Assumptions!$B$95+Assumptions!$B$96)</f>
        <v>55.68</v>
      </c>
      <c r="L39" s="53">
        <f>L37*(Assumptions!$B$95+Assumptions!$B$96)</f>
        <v>55.68</v>
      </c>
      <c r="M39" s="53">
        <f>M37*(Assumptions!$B$95+Assumptions!$B$96)</f>
        <v>55.68</v>
      </c>
      <c r="N39" s="53">
        <f>N37*(Assumptions!$B$95+Assumptions!$B$96)</f>
        <v>55.68</v>
      </c>
      <c r="O39" s="53">
        <f>O37*(Assumptions!$B$95+Assumptions!$B$96)</f>
        <v>55.68</v>
      </c>
      <c r="P39" s="53">
        <f>P37*(Assumptions!$B$95+Assumptions!$B$96)</f>
        <v>55.68</v>
      </c>
      <c r="Q39" s="53">
        <f>Q37*(Assumptions!$B$95+Assumptions!$B$96)</f>
        <v>55.68</v>
      </c>
      <c r="R39" s="53">
        <f>R37*(Assumptions!$B$95+Assumptions!$B$96)</f>
        <v>22.272</v>
      </c>
      <c r="S39" s="53">
        <f>S37*(Assumptions!$B$95+Assumptions!$B$96)</f>
        <v>8.9088</v>
      </c>
      <c r="T39" s="53">
        <f>T37*(Assumptions!$B$95+Assumptions!$B$96)</f>
        <v>3.5635200000000005</v>
      </c>
      <c r="U39" s="53">
        <f>U37*(Assumptions!$B$95+Assumptions!$B$96)</f>
        <v>1.4254080000000002</v>
      </c>
      <c r="V39" s="53">
        <f>V37*(Assumptions!$B$95+Assumptions!$B$96)</f>
        <v>0.5701632000000002</v>
      </c>
      <c r="W39" s="53">
        <f>W37*(Assumptions!$B$95+Assumptions!$B$96)</f>
        <v>0.22806528000000006</v>
      </c>
      <c r="X39" s="53">
        <f>X37*(Assumptions!$B$95+Assumptions!$B$96)</f>
        <v>0.09122611200000004</v>
      </c>
      <c r="Y39" s="53">
        <f>Y37*(Assumptions!$B$95+Assumptions!$B$96)</f>
        <v>0.036490444800000015</v>
      </c>
      <c r="Z39" s="53">
        <f>Z37*(Assumptions!$B$95+Assumptions!$B$96)</f>
        <v>0.014596177920000007</v>
      </c>
    </row>
    <row r="40">
      <c r="A40" s="13" t="inlineStr">
        <is>
          <t>Commercial SG&amp;A, risk-adjusted</t>
        </is>
      </c>
      <c r="C40" s="53">
        <f>MIN(1,Assumptions!$B$93*Assumptions!$B$37)*IF(Assumptions!$B$97=0,0,IF(C35=0,Assumptions!$B$98,IF(C35&gt;=1,C36*IF(OR(Assumptions!$B$94&lt;1,C35&gt;5),Assumptions!$B$97,MAX(Assumptions!$B$97,INDEX(Assumptions!$B$44:$F$44,C35))),0)))</f>
        <v>93.96</v>
      </c>
      <c r="D40" s="53">
        <f>MIN(1,Assumptions!$B$93*Assumptions!$B$37)*IF(Assumptions!$B$97=0,0,IF(D35=0,Assumptions!$B$98,IF(D35&gt;=1,D36*IF(OR(Assumptions!$B$94&lt;1,D35&gt;5),Assumptions!$B$97,MAX(Assumptions!$B$97,INDEX(Assumptions!$B$44:$F$44,D35))),0)))</f>
        <v>133.98</v>
      </c>
      <c r="E40" s="53">
        <f>MIN(1,Assumptions!$B$93*Assumptions!$B$37)*IF(Assumptions!$B$97=0,0,IF(E35=0,Assumptions!$B$98,IF(E35&gt;=1,E36*IF(OR(Assumptions!$B$94&lt;1,E35&gt;5),Assumptions!$B$97,MAX(Assumptions!$B$97,INDEX(Assumptions!$B$44:$F$44,E35))),0)))</f>
        <v>153.12000000000003</v>
      </c>
      <c r="F40" s="53">
        <f>MIN(1,Assumptions!$B$93*Assumptions!$B$37)*IF(Assumptions!$B$97=0,0,IF(F35=0,Assumptions!$B$98,IF(F35&gt;=1,F36*IF(OR(Assumptions!$B$94&lt;1,F35&gt;5),Assumptions!$B$97,MAX(Assumptions!$B$97,INDEX(Assumptions!$B$44:$F$44,F35))),0)))</f>
        <v>167.04</v>
      </c>
      <c r="G40" s="53">
        <f>MIN(1,Assumptions!$B$93*Assumptions!$B$37)*IF(Assumptions!$B$97=0,0,IF(G35=0,Assumptions!$B$98,IF(G35&gt;=1,G36*IF(OR(Assumptions!$B$94&lt;1,G35&gt;5),Assumptions!$B$97,MAX(Assumptions!$B$97,INDEX(Assumptions!$B$44:$F$44,G35))),0)))</f>
        <v>175.39200000000002</v>
      </c>
      <c r="H40" s="53">
        <f>MIN(1,Assumptions!$B$93*Assumptions!$B$37)*IF(Assumptions!$B$97=0,0,IF(H35=0,Assumptions!$B$98,IF(H35&gt;=1,H36*IF(OR(Assumptions!$B$94&lt;1,H35&gt;5),Assumptions!$B$97,MAX(Assumptions!$B$97,INDEX(Assumptions!$B$44:$F$44,H35))),0)))</f>
        <v>174.0</v>
      </c>
      <c r="I40" s="53">
        <f>MIN(1,Assumptions!$B$93*Assumptions!$B$37)*IF(Assumptions!$B$97=0,0,IF(I35=0,Assumptions!$B$98,IF(I35&gt;=1,I36*IF(OR(Assumptions!$B$94&lt;1,I35&gt;5),Assumptions!$B$97,MAX(Assumptions!$B$97,INDEX(Assumptions!$B$44:$F$44,I35))),0)))</f>
        <v>174.0</v>
      </c>
      <c r="J40" s="53">
        <f>MIN(1,Assumptions!$B$93*Assumptions!$B$37)*IF(Assumptions!$B$97=0,0,IF(J35=0,Assumptions!$B$98,IF(J35&gt;=1,J36*IF(OR(Assumptions!$B$94&lt;1,J35&gt;5),Assumptions!$B$97,MAX(Assumptions!$B$97,INDEX(Assumptions!$B$44:$F$44,J35))),0)))</f>
        <v>174.0</v>
      </c>
      <c r="K40" s="53">
        <f>MIN(1,Assumptions!$B$93*Assumptions!$B$37)*IF(Assumptions!$B$97=0,0,IF(K35=0,Assumptions!$B$98,IF(K35&gt;=1,K36*IF(OR(Assumptions!$B$94&lt;1,K35&gt;5),Assumptions!$B$97,MAX(Assumptions!$B$97,INDEX(Assumptions!$B$44:$F$44,K35))),0)))</f>
        <v>174.0</v>
      </c>
      <c r="L40" s="53">
        <f>MIN(1,Assumptions!$B$93*Assumptions!$B$37)*IF(Assumptions!$B$97=0,0,IF(L35=0,Assumptions!$B$98,IF(L35&gt;=1,L36*IF(OR(Assumptions!$B$94&lt;1,L35&gt;5),Assumptions!$B$97,MAX(Assumptions!$B$97,INDEX(Assumptions!$B$44:$F$44,L35))),0)))</f>
        <v>174.0</v>
      </c>
      <c r="M40" s="53">
        <f>MIN(1,Assumptions!$B$93*Assumptions!$B$37)*IF(Assumptions!$B$97=0,0,IF(M35=0,Assumptions!$B$98,IF(M35&gt;=1,M36*IF(OR(Assumptions!$B$94&lt;1,M35&gt;5),Assumptions!$B$97,MAX(Assumptions!$B$97,INDEX(Assumptions!$B$44:$F$44,M35))),0)))</f>
        <v>174.0</v>
      </c>
      <c r="N40" s="53">
        <f>MIN(1,Assumptions!$B$93*Assumptions!$B$37)*IF(Assumptions!$B$97=0,0,IF(N35=0,Assumptions!$B$98,IF(N35&gt;=1,N36*IF(OR(Assumptions!$B$94&lt;1,N35&gt;5),Assumptions!$B$97,MAX(Assumptions!$B$97,INDEX(Assumptions!$B$44:$F$44,N35))),0)))</f>
        <v>174.0</v>
      </c>
      <c r="O40" s="53">
        <f>MIN(1,Assumptions!$B$93*Assumptions!$B$37)*IF(Assumptions!$B$97=0,0,IF(O35=0,Assumptions!$B$98,IF(O35&gt;=1,O36*IF(OR(Assumptions!$B$94&lt;1,O35&gt;5),Assumptions!$B$97,MAX(Assumptions!$B$97,INDEX(Assumptions!$B$44:$F$44,O35))),0)))</f>
        <v>174.0</v>
      </c>
      <c r="P40" s="53">
        <f>MIN(1,Assumptions!$B$93*Assumptions!$B$37)*IF(Assumptions!$B$97=0,0,IF(P35=0,Assumptions!$B$98,IF(P35&gt;=1,P36*IF(OR(Assumptions!$B$94&lt;1,P35&gt;5),Assumptions!$B$97,MAX(Assumptions!$B$97,INDEX(Assumptions!$B$44:$F$44,P35))),0)))</f>
        <v>174.0</v>
      </c>
      <c r="Q40" s="53">
        <f>MIN(1,Assumptions!$B$93*Assumptions!$B$37)*IF(Assumptions!$B$97=0,0,IF(Q35=0,Assumptions!$B$98,IF(Q35&gt;=1,Q36*IF(OR(Assumptions!$B$94&lt;1,Q35&gt;5),Assumptions!$B$97,MAX(Assumptions!$B$97,INDEX(Assumptions!$B$44:$F$44,Q35))),0)))</f>
        <v>174.0</v>
      </c>
      <c r="R40" s="53">
        <f>MIN(1,Assumptions!$B$93*Assumptions!$B$37)*IF(Assumptions!$B$97=0,0,IF(R35=0,Assumptions!$B$98,IF(R35&gt;=1,R36*IF(OR(Assumptions!$B$94&lt;1,R35&gt;5),Assumptions!$B$97,MAX(Assumptions!$B$97,INDEX(Assumptions!$B$44:$F$44,R35))),0)))</f>
        <v>69.6</v>
      </c>
      <c r="S40" s="53">
        <f>MIN(1,Assumptions!$B$93*Assumptions!$B$37)*IF(Assumptions!$B$97=0,0,IF(S35=0,Assumptions!$B$98,IF(S35&gt;=1,S36*IF(OR(Assumptions!$B$94&lt;1,S35&gt;5),Assumptions!$B$97,MAX(Assumptions!$B$97,INDEX(Assumptions!$B$44:$F$44,S35))),0)))</f>
        <v>27.84</v>
      </c>
      <c r="T40" s="53">
        <f>MIN(1,Assumptions!$B$93*Assumptions!$B$37)*IF(Assumptions!$B$97=0,0,IF(T35=0,Assumptions!$B$98,IF(T35&gt;=1,T36*IF(OR(Assumptions!$B$94&lt;1,T35&gt;5),Assumptions!$B$97,MAX(Assumptions!$B$97,INDEX(Assumptions!$B$44:$F$44,T35))),0)))</f>
        <v>11.136000000000001</v>
      </c>
      <c r="U40" s="53">
        <f>MIN(1,Assumptions!$B$93*Assumptions!$B$37)*IF(Assumptions!$B$97=0,0,IF(U35=0,Assumptions!$B$98,IF(U35&gt;=1,U36*IF(OR(Assumptions!$B$94&lt;1,U35&gt;5),Assumptions!$B$97,MAX(Assumptions!$B$97,INDEX(Assumptions!$B$44:$F$44,U35))),0)))</f>
        <v>4.454400000000001</v>
      </c>
      <c r="V40" s="53">
        <f>MIN(1,Assumptions!$B$93*Assumptions!$B$37)*IF(Assumptions!$B$97=0,0,IF(V35=0,Assumptions!$B$98,IF(V35&gt;=1,V36*IF(OR(Assumptions!$B$94&lt;1,V35&gt;5),Assumptions!$B$97,MAX(Assumptions!$B$97,INDEX(Assumptions!$B$44:$F$44,V35))),0)))</f>
        <v>1.7817600000000005</v>
      </c>
      <c r="W40" s="53">
        <f>MIN(1,Assumptions!$B$93*Assumptions!$B$37)*IF(Assumptions!$B$97=0,0,IF(W35=0,Assumptions!$B$98,IF(W35&gt;=1,W36*IF(OR(Assumptions!$B$94&lt;1,W35&gt;5),Assumptions!$B$97,MAX(Assumptions!$B$97,INDEX(Assumptions!$B$44:$F$44,W35))),0)))</f>
        <v>0.7127040000000002</v>
      </c>
      <c r="X40" s="53">
        <f>MIN(1,Assumptions!$B$93*Assumptions!$B$37)*IF(Assumptions!$B$97=0,0,IF(X35=0,Assumptions!$B$98,IF(X35&gt;=1,X36*IF(OR(Assumptions!$B$94&lt;1,X35&gt;5),Assumptions!$B$97,MAX(Assumptions!$B$97,INDEX(Assumptions!$B$44:$F$44,X35))),0)))</f>
        <v>0.2850816000000001</v>
      </c>
      <c r="Y40" s="53">
        <f>MIN(1,Assumptions!$B$93*Assumptions!$B$37)*IF(Assumptions!$B$97=0,0,IF(Y35=0,Assumptions!$B$98,IF(Y35&gt;=1,Y36*IF(OR(Assumptions!$B$94&lt;1,Y35&gt;5),Assumptions!$B$97,MAX(Assumptions!$B$97,INDEX(Assumptions!$B$44:$F$44,Y35))),0)))</f>
        <v>0.11403264000000005</v>
      </c>
      <c r="Z40" s="53">
        <f>MIN(1,Assumptions!$B$93*Assumptions!$B$37)*IF(Assumptions!$B$97=0,0,IF(Z35=0,Assumptions!$B$98,IF(Z35&gt;=1,Z36*IF(OR(Assumptions!$B$94&lt;1,Z35&gt;5),Assumptions!$B$97,MAX(Assumptions!$B$97,INDEX(Assumptions!$B$44:$F$44,Z35))),0)))</f>
        <v>0.04561305600000002</v>
      </c>
    </row>
    <row r="41">
      <c r="A41" s="13" t="inlineStr">
        <is>
          <t>Development R&amp;D, risk-adjusted</t>
        </is>
      </c>
      <c r="C41" s="53">
        <f>IFERROR(INDEX(Assumptions!$B$103:$I$103,MATCH(C$2,Assumptions!$B$102:$I$102,0))*INDEX(Assumptions!$B$104:$I$104,MATCH(C$2,Assumptions!$B$102:$I$102,0)),0)</f>
        <v>10.0</v>
      </c>
      <c r="D41" s="53">
        <f>IFERROR(INDEX(Assumptions!$B$103:$I$103,MATCH(D$2,Assumptions!$B$102:$I$102,0))*INDEX(Assumptions!$B$104:$I$104,MATCH(D$2,Assumptions!$B$102:$I$102,0)),0)</f>
        <v>0.0</v>
      </c>
      <c r="E41" s="53">
        <f>IFERROR(INDEX(Assumptions!$B$103:$I$103,MATCH(E$2,Assumptions!$B$102:$I$102,0))*INDEX(Assumptions!$B$104:$I$104,MATCH(E$2,Assumptions!$B$102:$I$102,0)),0)</f>
        <v>0.0</v>
      </c>
      <c r="F41" s="53">
        <f>IFERROR(INDEX(Assumptions!$B$103:$I$103,MATCH(F$2,Assumptions!$B$102:$I$102,0))*INDEX(Assumptions!$B$104:$I$104,MATCH(F$2,Assumptions!$B$102:$I$102,0)),0)</f>
        <v>0.0</v>
      </c>
      <c r="G41" s="53">
        <f>IFERROR(INDEX(Assumptions!$B$103:$I$103,MATCH(G$2,Assumptions!$B$102:$I$102,0))*INDEX(Assumptions!$B$104:$I$104,MATCH(G$2,Assumptions!$B$102:$I$102,0)),0)</f>
        <v>0.0</v>
      </c>
      <c r="H41" s="53">
        <f>IFERROR(INDEX(Assumptions!$B$103:$I$103,MATCH(H$2,Assumptions!$B$102:$I$102,0))*INDEX(Assumptions!$B$104:$I$104,MATCH(H$2,Assumptions!$B$102:$I$102,0)),0)</f>
        <v>0.0</v>
      </c>
      <c r="I41" s="53">
        <f>IFERROR(INDEX(Assumptions!$B$103:$I$103,MATCH(I$2,Assumptions!$B$102:$I$102,0))*INDEX(Assumptions!$B$104:$I$104,MATCH(I$2,Assumptions!$B$102:$I$102,0)),0)</f>
        <v>0.0</v>
      </c>
      <c r="J41" s="53">
        <f>IFERROR(INDEX(Assumptions!$B$103:$I$103,MATCH(J$2,Assumptions!$B$102:$I$102,0))*INDEX(Assumptions!$B$104:$I$104,MATCH(J$2,Assumptions!$B$102:$I$102,0)),0)</f>
        <v>0.0</v>
      </c>
      <c r="K41" s="53">
        <f>IFERROR(INDEX(Assumptions!$B$103:$I$103,MATCH(K$2,Assumptions!$B$102:$I$102,0))*INDEX(Assumptions!$B$104:$I$104,MATCH(K$2,Assumptions!$B$102:$I$102,0)),0)</f>
        <v>0</v>
      </c>
      <c r="L41" s="53">
        <f>IFERROR(INDEX(Assumptions!$B$103:$I$103,MATCH(L$2,Assumptions!$B$102:$I$102,0))*INDEX(Assumptions!$B$104:$I$104,MATCH(L$2,Assumptions!$B$102:$I$102,0)),0)</f>
        <v>0</v>
      </c>
      <c r="M41" s="53">
        <f>IFERROR(INDEX(Assumptions!$B$103:$I$103,MATCH(M$2,Assumptions!$B$102:$I$102,0))*INDEX(Assumptions!$B$104:$I$104,MATCH(M$2,Assumptions!$B$102:$I$102,0)),0)</f>
        <v>0</v>
      </c>
      <c r="N41" s="53">
        <f>IFERROR(INDEX(Assumptions!$B$103:$I$103,MATCH(N$2,Assumptions!$B$102:$I$102,0))*INDEX(Assumptions!$B$104:$I$104,MATCH(N$2,Assumptions!$B$102:$I$102,0)),0)</f>
        <v>0</v>
      </c>
      <c r="O41" s="53">
        <f>IFERROR(INDEX(Assumptions!$B$103:$I$103,MATCH(O$2,Assumptions!$B$102:$I$102,0))*INDEX(Assumptions!$B$104:$I$104,MATCH(O$2,Assumptions!$B$102:$I$102,0)),0)</f>
        <v>0</v>
      </c>
      <c r="P41" s="53">
        <f>IFERROR(INDEX(Assumptions!$B$103:$I$103,MATCH(P$2,Assumptions!$B$102:$I$102,0))*INDEX(Assumptions!$B$104:$I$104,MATCH(P$2,Assumptions!$B$102:$I$102,0)),0)</f>
        <v>0</v>
      </c>
      <c r="Q41" s="53">
        <f>IFERROR(INDEX(Assumptions!$B$103:$I$103,MATCH(Q$2,Assumptions!$B$102:$I$102,0))*INDEX(Assumptions!$B$104:$I$104,MATCH(Q$2,Assumptions!$B$102:$I$102,0)),0)</f>
        <v>0</v>
      </c>
      <c r="R41" s="53">
        <f>IFERROR(INDEX(Assumptions!$B$103:$I$103,MATCH(R$2,Assumptions!$B$102:$I$102,0))*INDEX(Assumptions!$B$104:$I$104,MATCH(R$2,Assumptions!$B$102:$I$102,0)),0)</f>
        <v>0</v>
      </c>
      <c r="S41" s="53">
        <f>IFERROR(INDEX(Assumptions!$B$103:$I$103,MATCH(S$2,Assumptions!$B$102:$I$102,0))*INDEX(Assumptions!$B$104:$I$104,MATCH(S$2,Assumptions!$B$102:$I$102,0)),0)</f>
        <v>0</v>
      </c>
      <c r="T41" s="53">
        <f>IFERROR(INDEX(Assumptions!$B$103:$I$103,MATCH(T$2,Assumptions!$B$102:$I$102,0))*INDEX(Assumptions!$B$104:$I$104,MATCH(T$2,Assumptions!$B$102:$I$102,0)),0)</f>
        <v>0</v>
      </c>
      <c r="U41" s="53">
        <f>IFERROR(INDEX(Assumptions!$B$103:$I$103,MATCH(U$2,Assumptions!$B$102:$I$102,0))*INDEX(Assumptions!$B$104:$I$104,MATCH(U$2,Assumptions!$B$102:$I$102,0)),0)</f>
        <v>0</v>
      </c>
      <c r="V41" s="53">
        <f>IFERROR(INDEX(Assumptions!$B$103:$I$103,MATCH(V$2,Assumptions!$B$102:$I$102,0))*INDEX(Assumptions!$B$104:$I$104,MATCH(V$2,Assumptions!$B$102:$I$102,0)),0)</f>
        <v>0</v>
      </c>
      <c r="W41" s="53">
        <f>IFERROR(INDEX(Assumptions!$B$103:$I$103,MATCH(W$2,Assumptions!$B$102:$I$102,0))*INDEX(Assumptions!$B$104:$I$104,MATCH(W$2,Assumptions!$B$102:$I$102,0)),0)</f>
        <v>0</v>
      </c>
      <c r="X41" s="53">
        <f>IFERROR(INDEX(Assumptions!$B$103:$I$103,MATCH(X$2,Assumptions!$B$102:$I$102,0))*INDEX(Assumptions!$B$104:$I$104,MATCH(X$2,Assumptions!$B$102:$I$102,0)),0)</f>
        <v>0</v>
      </c>
      <c r="Y41" s="53">
        <f>IFERROR(INDEX(Assumptions!$B$103:$I$103,MATCH(Y$2,Assumptions!$B$102:$I$102,0))*INDEX(Assumptions!$B$104:$I$104,MATCH(Y$2,Assumptions!$B$102:$I$102,0)),0)</f>
        <v>0</v>
      </c>
      <c r="Z41" s="53">
        <f>IFERROR(INDEX(Assumptions!$B$103:$I$103,MATCH(Z$2,Assumptions!$B$102:$I$102,0))*INDEX(Assumptions!$B$104:$I$104,MATCH(Z$2,Assumptions!$B$102:$I$102,0)),0)</f>
        <v>0</v>
      </c>
    </row>
    <row r="42">
      <c r="A42" s="22" t="inlineStr">
        <is>
          <t>Program contribution (pre-tax)</t>
        </is>
      </c>
      <c r="C42" s="57">
        <f>C38-C39-C40-C41</f>
        <v>-7.911999999999992</v>
      </c>
      <c r="D42" s="57">
        <f>D38-D39-D40-D41</f>
        <v>90.132</v>
      </c>
      <c r="E42" s="57">
        <f>E38-E39-E40-E41</f>
        <v>199.056</v>
      </c>
      <c r="F42" s="57">
        <f>F38-F39-F40-F41</f>
        <v>313.20000000000005</v>
      </c>
      <c r="G42" s="57">
        <f>G38-G39-G40-G41</f>
        <v>400.89599999999996</v>
      </c>
      <c r="H42" s="57">
        <f>H38-H39-H40-H41</f>
        <v>466.32000000000005</v>
      </c>
      <c r="I42" s="57">
        <f>I38-I39-I40-I41</f>
        <v>466.32000000000005</v>
      </c>
      <c r="J42" s="57">
        <f>J38-J39-J40-J41</f>
        <v>466.32000000000005</v>
      </c>
      <c r="K42" s="57">
        <f>K38-K39-K40-K41</f>
        <v>466.32000000000005</v>
      </c>
      <c r="L42" s="57">
        <f>L38-L39-L40-L41</f>
        <v>466.32000000000005</v>
      </c>
      <c r="M42" s="57">
        <f>M38-M39-M40-M41</f>
        <v>466.32000000000005</v>
      </c>
      <c r="N42" s="57">
        <f>N38-N39-N40-N41</f>
        <v>466.32000000000005</v>
      </c>
      <c r="O42" s="57">
        <f>O38-O39-O40-O41</f>
        <v>466.32000000000005</v>
      </c>
      <c r="P42" s="57">
        <f>P38-P39-P40-P41</f>
        <v>466.32000000000005</v>
      </c>
      <c r="Q42" s="57">
        <f>Q38-Q39-Q40-Q41</f>
        <v>466.32000000000005</v>
      </c>
      <c r="R42" s="57">
        <f>R38-R39-R40-R41</f>
        <v>186.528</v>
      </c>
      <c r="S42" s="57">
        <f>S38-S39-S40-S41</f>
        <v>74.6112</v>
      </c>
      <c r="T42" s="57">
        <f>T38-T39-T40-T41</f>
        <v>29.844479999999997</v>
      </c>
      <c r="U42" s="57">
        <f>U38-U39-U40-U41</f>
        <v>11.937792000000002</v>
      </c>
      <c r="V42" s="57">
        <f>V38-V39-V40-V41</f>
        <v>4.775116800000001</v>
      </c>
      <c r="W42" s="57">
        <f>W38-W39-W40-W41</f>
        <v>1.9100467200000006</v>
      </c>
      <c r="X42" s="57">
        <f>X38-X39-X40-X41</f>
        <v>0.7640186880000004</v>
      </c>
      <c r="Y42" s="57">
        <f>Y38-Y39-Y40-Y41</f>
        <v>0.3056074752000001</v>
      </c>
      <c r="Z42" s="57">
        <f>Z38-Z39-Z40-Z41</f>
        <v>0.12224299008000006</v>
      </c>
    </row>
    <row r="44">
      <c r="A44" s="30" t="inlineStr">
        <is>
          <t>Infigratinib — achondroplasia (PDUFA Feb 4, 2027)</t>
        </is>
      </c>
    </row>
    <row r="45">
      <c r="A45" s="13" t="inlineStr">
        <is>
          <t>Years since launch</t>
        </is>
      </c>
      <c r="C45" s="64">
        <f>C$2-Assumptions!$B$107+1</f>
        <v>1.0</v>
      </c>
      <c r="D45" s="64">
        <f>D$2-Assumptions!$B$107+1</f>
        <v>2.0</v>
      </c>
      <c r="E45" s="64">
        <f>E$2-Assumptions!$B$107+1</f>
        <v>3.0</v>
      </c>
      <c r="F45" s="64">
        <f>F$2-Assumptions!$B$107+1</f>
        <v>4.0</v>
      </c>
      <c r="G45" s="64">
        <f>G$2-Assumptions!$B$107+1</f>
        <v>5.0</v>
      </c>
      <c r="H45" s="64">
        <f>H$2-Assumptions!$B$107+1</f>
        <v>6.0</v>
      </c>
      <c r="I45" s="64">
        <f>I$2-Assumptions!$B$107+1</f>
        <v>7.0</v>
      </c>
      <c r="J45" s="64">
        <f>J$2-Assumptions!$B$107+1</f>
        <v>8.0</v>
      </c>
      <c r="K45" s="64">
        <f>K$2-Assumptions!$B$107+1</f>
        <v>9.0</v>
      </c>
      <c r="L45" s="64">
        <f>L$2-Assumptions!$B$107+1</f>
        <v>10.0</v>
      </c>
      <c r="M45" s="64">
        <f>M$2-Assumptions!$B$107+1</f>
        <v>11.0</v>
      </c>
      <c r="N45" s="64">
        <f>N$2-Assumptions!$B$107+1</f>
        <v>12.0</v>
      </c>
      <c r="O45" s="64">
        <f>O$2-Assumptions!$B$107+1</f>
        <v>13.0</v>
      </c>
      <c r="P45" s="64">
        <f>P$2-Assumptions!$B$107+1</f>
        <v>14.0</v>
      </c>
      <c r="Q45" s="64">
        <f>Q$2-Assumptions!$B$107+1</f>
        <v>15.0</v>
      </c>
      <c r="R45" s="64">
        <f>R$2-Assumptions!$B$107+1</f>
        <v>16.0</v>
      </c>
      <c r="S45" s="64">
        <f>S$2-Assumptions!$B$107+1</f>
        <v>17.0</v>
      </c>
      <c r="T45" s="64">
        <f>T$2-Assumptions!$B$107+1</f>
        <v>18.0</v>
      </c>
      <c r="U45" s="64">
        <f>U$2-Assumptions!$B$107+1</f>
        <v>19.0</v>
      </c>
      <c r="V45" s="64">
        <f>V$2-Assumptions!$B$107+1</f>
        <v>20.0</v>
      </c>
      <c r="W45" s="64">
        <f>W$2-Assumptions!$B$107+1</f>
        <v>21.0</v>
      </c>
      <c r="X45" s="64">
        <f>X$2-Assumptions!$B$107+1</f>
        <v>22.0</v>
      </c>
      <c r="Y45" s="64">
        <f>Y$2-Assumptions!$B$107+1</f>
        <v>23.0</v>
      </c>
      <c r="Z45" s="64">
        <f>Z$2-Assumptions!$B$107+1</f>
        <v>24.0</v>
      </c>
    </row>
    <row r="46">
      <c r="A46" s="13" t="inlineStr">
        <is>
          <t>Net sales, unrisked</t>
        </is>
      </c>
      <c r="C46" s="53">
        <f>IF(C$2&gt;Assumptions!$B$116,0*(1-Assumptions!$B$117),IF(C45&gt;=1,Assumptions!$B$108*CHOOSE(Assumptions!$B$115,INDEX(Assumptions!$B$42:$H$42,MIN(C45,7)),INDEX(Assumptions!$B$43:$H$43,MIN(C45,7))),0))</f>
        <v>130.0</v>
      </c>
      <c r="D46" s="53">
        <f>IF(D$2&gt;Assumptions!$B$116,C46*(1-Assumptions!$B$117),IF(D45&gt;=1,Assumptions!$B$108*CHOOSE(Assumptions!$B$115,INDEX(Assumptions!$B$42:$H$42,MIN(D45,7)),INDEX(Assumptions!$B$43:$H$43,MIN(D45,7))),0))</f>
        <v>325.0</v>
      </c>
      <c r="E46" s="53">
        <f>IF(E$2&gt;Assumptions!$B$116,D46*(1-Assumptions!$B$117),IF(E45&gt;=1,Assumptions!$B$108*CHOOSE(Assumptions!$B$115,INDEX(Assumptions!$B$42:$H$42,MIN(E45,7)),INDEX(Assumptions!$B$43:$H$43,MIN(E45,7))),0))</f>
        <v>585.0</v>
      </c>
      <c r="F46" s="53">
        <f>IF(F$2&gt;Assumptions!$B$116,E46*(1-Assumptions!$B$117),IF(F45&gt;=1,Assumptions!$B$108*CHOOSE(Assumptions!$B$115,INDEX(Assumptions!$B$42:$H$42,MIN(F45,7)),INDEX(Assumptions!$B$43:$H$43,MIN(F45,7))),0))</f>
        <v>845.0</v>
      </c>
      <c r="G46" s="53">
        <f>IF(G$2&gt;Assumptions!$B$116,F46*(1-Assumptions!$B$117),IF(G45&gt;=1,Assumptions!$B$108*CHOOSE(Assumptions!$B$115,INDEX(Assumptions!$B$42:$H$42,MIN(G45,7)),INDEX(Assumptions!$B$43:$H$43,MIN(G45,7))),0))</f>
        <v>1066.0</v>
      </c>
      <c r="H46" s="53">
        <f>IF(H$2&gt;Assumptions!$B$116,G46*(1-Assumptions!$B$117),IF(H45&gt;=1,Assumptions!$B$108*CHOOSE(Assumptions!$B$115,INDEX(Assumptions!$B$42:$H$42,MIN(H45,7)),INDEX(Assumptions!$B$43:$H$43,MIN(H45,7))),0))</f>
        <v>1209.0</v>
      </c>
      <c r="I46" s="53">
        <f>IF(I$2&gt;Assumptions!$B$116,H46*(1-Assumptions!$B$117),IF(I45&gt;=1,Assumptions!$B$108*CHOOSE(Assumptions!$B$115,INDEX(Assumptions!$B$42:$H$42,MIN(I45,7)),INDEX(Assumptions!$B$43:$H$43,MIN(I45,7))),0))</f>
        <v>1300.0</v>
      </c>
      <c r="J46" s="53">
        <f>IF(J$2&gt;Assumptions!$B$116,I46*(1-Assumptions!$B$117),IF(J45&gt;=1,Assumptions!$B$108*CHOOSE(Assumptions!$B$115,INDEX(Assumptions!$B$42:$H$42,MIN(J45,7)),INDEX(Assumptions!$B$43:$H$43,MIN(J45,7))),0))</f>
        <v>1300.0</v>
      </c>
      <c r="K46" s="53">
        <f>IF(K$2&gt;Assumptions!$B$116,J46*(1-Assumptions!$B$117),IF(K45&gt;=1,Assumptions!$B$108*CHOOSE(Assumptions!$B$115,INDEX(Assumptions!$B$42:$H$42,MIN(K45,7)),INDEX(Assumptions!$B$43:$H$43,MIN(K45,7))),0))</f>
        <v>1300.0</v>
      </c>
      <c r="L46" s="53">
        <f>IF(L$2&gt;Assumptions!$B$116,K46*(1-Assumptions!$B$117),IF(L45&gt;=1,Assumptions!$B$108*CHOOSE(Assumptions!$B$115,INDEX(Assumptions!$B$42:$H$42,MIN(L45,7)),INDEX(Assumptions!$B$43:$H$43,MIN(L45,7))),0))</f>
        <v>1300.0</v>
      </c>
      <c r="M46" s="53">
        <f>IF(M$2&gt;Assumptions!$B$116,L46*(1-Assumptions!$B$117),IF(M45&gt;=1,Assumptions!$B$108*CHOOSE(Assumptions!$B$115,INDEX(Assumptions!$B$42:$H$42,MIN(M45,7)),INDEX(Assumptions!$B$43:$H$43,MIN(M45,7))),0))</f>
        <v>1300.0</v>
      </c>
      <c r="N46" s="53">
        <f>IF(N$2&gt;Assumptions!$B$116,M46*(1-Assumptions!$B$117),IF(N45&gt;=1,Assumptions!$B$108*CHOOSE(Assumptions!$B$115,INDEX(Assumptions!$B$42:$H$42,MIN(N45,7)),INDEX(Assumptions!$B$43:$H$43,MIN(N45,7))),0))</f>
        <v>1300.0</v>
      </c>
      <c r="O46" s="53">
        <f>IF(O$2&gt;Assumptions!$B$116,N46*(1-Assumptions!$B$117),IF(O45&gt;=1,Assumptions!$B$108*CHOOSE(Assumptions!$B$115,INDEX(Assumptions!$B$42:$H$42,MIN(O45,7)),INDEX(Assumptions!$B$43:$H$43,MIN(O45,7))),0))</f>
        <v>1300.0</v>
      </c>
      <c r="P46" s="53">
        <f>IF(P$2&gt;Assumptions!$B$116,O46*(1-Assumptions!$B$117),IF(P45&gt;=1,Assumptions!$B$108*CHOOSE(Assumptions!$B$115,INDEX(Assumptions!$B$42:$H$42,MIN(P45,7)),INDEX(Assumptions!$B$43:$H$43,MIN(P45,7))),0))</f>
        <v>1300.0</v>
      </c>
      <c r="Q46" s="53">
        <f>IF(Q$2&gt;Assumptions!$B$116,P46*(1-Assumptions!$B$117),IF(Q45&gt;=1,Assumptions!$B$108*CHOOSE(Assumptions!$B$115,INDEX(Assumptions!$B$42:$H$42,MIN(Q45,7)),INDEX(Assumptions!$B$43:$H$43,MIN(Q45,7))),0))</f>
        <v>1300.0</v>
      </c>
      <c r="R46" s="53">
        <f>IF(R$2&gt;Assumptions!$B$116,Q46*(1-Assumptions!$B$117),IF(R45&gt;=1,Assumptions!$B$108*CHOOSE(Assumptions!$B$115,INDEX(Assumptions!$B$42:$H$42,MIN(R45,7)),INDEX(Assumptions!$B$43:$H$43,MIN(R45,7))),0))</f>
        <v>520.0</v>
      </c>
      <c r="S46" s="53">
        <f>IF(S$2&gt;Assumptions!$B$116,R46*(1-Assumptions!$B$117),IF(S45&gt;=1,Assumptions!$B$108*CHOOSE(Assumptions!$B$115,INDEX(Assumptions!$B$42:$H$42,MIN(S45,7)),INDEX(Assumptions!$B$43:$H$43,MIN(S45,7))),0))</f>
        <v>208.0</v>
      </c>
      <c r="T46" s="53">
        <f>IF(T$2&gt;Assumptions!$B$116,S46*(1-Assumptions!$B$117),IF(T45&gt;=1,Assumptions!$B$108*CHOOSE(Assumptions!$B$115,INDEX(Assumptions!$B$42:$H$42,MIN(T45,7)),INDEX(Assumptions!$B$43:$H$43,MIN(T45,7))),0))</f>
        <v>83.2</v>
      </c>
      <c r="U46" s="53">
        <f>IF(U$2&gt;Assumptions!$B$116,T46*(1-Assumptions!$B$117),IF(U45&gt;=1,Assumptions!$B$108*CHOOSE(Assumptions!$B$115,INDEX(Assumptions!$B$42:$H$42,MIN(U45,7)),INDEX(Assumptions!$B$43:$H$43,MIN(U45,7))),0))</f>
        <v>33.28</v>
      </c>
      <c r="V46" s="53">
        <f>IF(V$2&gt;Assumptions!$B$116,U46*(1-Assumptions!$B$117),IF(V45&gt;=1,Assumptions!$B$108*CHOOSE(Assumptions!$B$115,INDEX(Assumptions!$B$42:$H$42,MIN(V45,7)),INDEX(Assumptions!$B$43:$H$43,MIN(V45,7))),0))</f>
        <v>13.312000000000001</v>
      </c>
      <c r="W46" s="53">
        <f>IF(W$2&gt;Assumptions!$B$116,V46*(1-Assumptions!$B$117),IF(W45&gt;=1,Assumptions!$B$108*CHOOSE(Assumptions!$B$115,INDEX(Assumptions!$B$42:$H$42,MIN(W45,7)),INDEX(Assumptions!$B$43:$H$43,MIN(W45,7))),0))</f>
        <v>5.324800000000001</v>
      </c>
      <c r="X46" s="53">
        <f>IF(X$2&gt;Assumptions!$B$116,W46*(1-Assumptions!$B$117),IF(X45&gt;=1,Assumptions!$B$108*CHOOSE(Assumptions!$B$115,INDEX(Assumptions!$B$42:$H$42,MIN(X45,7)),INDEX(Assumptions!$B$43:$H$43,MIN(X45,7))),0))</f>
        <v>2.1299200000000003</v>
      </c>
      <c r="Y46" s="53">
        <f>IF(Y$2&gt;Assumptions!$B$116,X46*(1-Assumptions!$B$117),IF(Y45&gt;=1,Assumptions!$B$108*CHOOSE(Assumptions!$B$115,INDEX(Assumptions!$B$42:$H$42,MIN(Y45,7)),INDEX(Assumptions!$B$43:$H$43,MIN(Y45,7))),0))</f>
        <v>0.8519680000000002</v>
      </c>
      <c r="Z46" s="53">
        <f>IF(Z$2&gt;Assumptions!$B$116,Y46*(1-Assumptions!$B$117),IF(Z45&gt;=1,Assumptions!$B$108*CHOOSE(Assumptions!$B$115,INDEX(Assumptions!$B$42:$H$42,MIN(Z45,7)),INDEX(Assumptions!$B$43:$H$43,MIN(Z45,7))),0))</f>
        <v>0.34078720000000007</v>
      </c>
    </row>
    <row r="47">
      <c r="A47" s="13" t="inlineStr">
        <is>
          <t>Product net sales, risk-adjusted</t>
        </is>
      </c>
      <c r="C47" s="53">
        <f>C46*MIN(1,Assumptions!$B$109*Assumptions!$B$37)</f>
        <v>113.1</v>
      </c>
      <c r="D47" s="53">
        <f>D46*MIN(1,Assumptions!$B$109*Assumptions!$B$37)</f>
        <v>282.75</v>
      </c>
      <c r="E47" s="53">
        <f>E46*MIN(1,Assumptions!$B$109*Assumptions!$B$37)</f>
        <v>508.95</v>
      </c>
      <c r="F47" s="53">
        <f>F46*MIN(1,Assumptions!$B$109*Assumptions!$B$37)</f>
        <v>735.15</v>
      </c>
      <c r="G47" s="53">
        <f>G46*MIN(1,Assumptions!$B$109*Assumptions!$B$37)</f>
        <v>927.42</v>
      </c>
      <c r="H47" s="53">
        <f>H46*MIN(1,Assumptions!$B$109*Assumptions!$B$37)</f>
        <v>1051.83</v>
      </c>
      <c r="I47" s="53">
        <f>I46*MIN(1,Assumptions!$B$109*Assumptions!$B$37)</f>
        <v>1131.0</v>
      </c>
      <c r="J47" s="53">
        <f>J46*MIN(1,Assumptions!$B$109*Assumptions!$B$37)</f>
        <v>1131.0</v>
      </c>
      <c r="K47" s="53">
        <f>K46*MIN(1,Assumptions!$B$109*Assumptions!$B$37)</f>
        <v>1131.0</v>
      </c>
      <c r="L47" s="53">
        <f>L46*MIN(1,Assumptions!$B$109*Assumptions!$B$37)</f>
        <v>1131.0</v>
      </c>
      <c r="M47" s="53">
        <f>M46*MIN(1,Assumptions!$B$109*Assumptions!$B$37)</f>
        <v>1131.0</v>
      </c>
      <c r="N47" s="53">
        <f>N46*MIN(1,Assumptions!$B$109*Assumptions!$B$37)</f>
        <v>1131.0</v>
      </c>
      <c r="O47" s="53">
        <f>O46*MIN(1,Assumptions!$B$109*Assumptions!$B$37)</f>
        <v>1131.0</v>
      </c>
      <c r="P47" s="53">
        <f>P46*MIN(1,Assumptions!$B$109*Assumptions!$B$37)</f>
        <v>1131.0</v>
      </c>
      <c r="Q47" s="53">
        <f>Q46*MIN(1,Assumptions!$B$109*Assumptions!$B$37)</f>
        <v>1131.0</v>
      </c>
      <c r="R47" s="53">
        <f>R46*MIN(1,Assumptions!$B$109*Assumptions!$B$37)</f>
        <v>452.4</v>
      </c>
      <c r="S47" s="53">
        <f>S46*MIN(1,Assumptions!$B$109*Assumptions!$B$37)</f>
        <v>180.96</v>
      </c>
      <c r="T47" s="53">
        <f>T46*MIN(1,Assumptions!$B$109*Assumptions!$B$37)</f>
        <v>72.384</v>
      </c>
      <c r="U47" s="53">
        <f>U46*MIN(1,Assumptions!$B$109*Assumptions!$B$37)</f>
        <v>28.9536</v>
      </c>
      <c r="V47" s="53">
        <f>V46*MIN(1,Assumptions!$B$109*Assumptions!$B$37)</f>
        <v>11.58144</v>
      </c>
      <c r="W47" s="53">
        <f>W46*MIN(1,Assumptions!$B$109*Assumptions!$B$37)</f>
        <v>4.632576</v>
      </c>
      <c r="X47" s="53">
        <f>X46*MIN(1,Assumptions!$B$109*Assumptions!$B$37)</f>
        <v>1.8530304000000002</v>
      </c>
      <c r="Y47" s="53">
        <f>Y46*MIN(1,Assumptions!$B$109*Assumptions!$B$37)</f>
        <v>0.7412121600000001</v>
      </c>
      <c r="Z47" s="53">
        <f>Z46*MIN(1,Assumptions!$B$109*Assumptions!$B$37)</f>
        <v>0.29648486400000007</v>
      </c>
    </row>
    <row r="48">
      <c r="A48" s="13" t="inlineStr">
        <is>
          <t>Company revenue, risk-adjusted (incl. milestones)</t>
        </is>
      </c>
      <c r="C48" s="53">
        <f>C47*Assumptions!$B$110</f>
        <v>113.1</v>
      </c>
      <c r="D48" s="53">
        <f>D47*Assumptions!$B$110</f>
        <v>282.75</v>
      </c>
      <c r="E48" s="53">
        <f>E47*Assumptions!$B$110</f>
        <v>508.95</v>
      </c>
      <c r="F48" s="53">
        <f>F47*Assumptions!$B$110</f>
        <v>735.15</v>
      </c>
      <c r="G48" s="53">
        <f>G47*Assumptions!$B$110</f>
        <v>927.42</v>
      </c>
      <c r="H48" s="53">
        <f>H47*Assumptions!$B$110</f>
        <v>1051.83</v>
      </c>
      <c r="I48" s="53">
        <f>I47*Assumptions!$B$110</f>
        <v>1131.0</v>
      </c>
      <c r="J48" s="53">
        <f>J47*Assumptions!$B$110</f>
        <v>1131.0</v>
      </c>
      <c r="K48" s="53">
        <f>K47*Assumptions!$B$110</f>
        <v>1131.0</v>
      </c>
      <c r="L48" s="53">
        <f>L47*Assumptions!$B$110</f>
        <v>1131.0</v>
      </c>
      <c r="M48" s="53">
        <f>M47*Assumptions!$B$110</f>
        <v>1131.0</v>
      </c>
      <c r="N48" s="53">
        <f>N47*Assumptions!$B$110</f>
        <v>1131.0</v>
      </c>
      <c r="O48" s="53">
        <f>O47*Assumptions!$B$110</f>
        <v>1131.0</v>
      </c>
      <c r="P48" s="53">
        <f>P47*Assumptions!$B$110</f>
        <v>1131.0</v>
      </c>
      <c r="Q48" s="53">
        <f>Q47*Assumptions!$B$110</f>
        <v>1131.0</v>
      </c>
      <c r="R48" s="53">
        <f>R47*Assumptions!$B$110</f>
        <v>452.4</v>
      </c>
      <c r="S48" s="53">
        <f>S47*Assumptions!$B$110</f>
        <v>180.96</v>
      </c>
      <c r="T48" s="53">
        <f>T47*Assumptions!$B$110</f>
        <v>72.384</v>
      </c>
      <c r="U48" s="53">
        <f>U47*Assumptions!$B$110</f>
        <v>28.9536</v>
      </c>
      <c r="V48" s="53">
        <f>V47*Assumptions!$B$110</f>
        <v>11.58144</v>
      </c>
      <c r="W48" s="53">
        <f>W47*Assumptions!$B$110</f>
        <v>4.632576</v>
      </c>
      <c r="X48" s="53">
        <f>X47*Assumptions!$B$110</f>
        <v>1.8530304000000002</v>
      </c>
      <c r="Y48" s="53">
        <f>Y47*Assumptions!$B$110</f>
        <v>0.7412121600000001</v>
      </c>
      <c r="Z48" s="53">
        <f>Z47*Assumptions!$B$110</f>
        <v>0.29648486400000007</v>
      </c>
    </row>
    <row r="49">
      <c r="A49" s="13" t="inlineStr">
        <is>
          <t>COGS + royalties, risk-adjusted</t>
        </is>
      </c>
      <c r="C49" s="53">
        <f>C47*(Assumptions!$B$111+Assumptions!$B$112)</f>
        <v>12.440999999999999</v>
      </c>
      <c r="D49" s="53">
        <f>D47*(Assumptions!$B$111+Assumptions!$B$112)</f>
        <v>31.1025</v>
      </c>
      <c r="E49" s="53">
        <f>E47*(Assumptions!$B$111+Assumptions!$B$112)</f>
        <v>55.9845</v>
      </c>
      <c r="F49" s="53">
        <f>F47*(Assumptions!$B$111+Assumptions!$B$112)</f>
        <v>80.8665</v>
      </c>
      <c r="G49" s="53">
        <f>G47*(Assumptions!$B$111+Assumptions!$B$112)</f>
        <v>102.0162</v>
      </c>
      <c r="H49" s="53">
        <f>H47*(Assumptions!$B$111+Assumptions!$B$112)</f>
        <v>115.70129999999999</v>
      </c>
      <c r="I49" s="53">
        <f>I47*(Assumptions!$B$111+Assumptions!$B$112)</f>
        <v>124.41</v>
      </c>
      <c r="J49" s="53">
        <f>J47*(Assumptions!$B$111+Assumptions!$B$112)</f>
        <v>124.41</v>
      </c>
      <c r="K49" s="53">
        <f>K47*(Assumptions!$B$111+Assumptions!$B$112)</f>
        <v>124.41</v>
      </c>
      <c r="L49" s="53">
        <f>L47*(Assumptions!$B$111+Assumptions!$B$112)</f>
        <v>124.41</v>
      </c>
      <c r="M49" s="53">
        <f>M47*(Assumptions!$B$111+Assumptions!$B$112)</f>
        <v>124.41</v>
      </c>
      <c r="N49" s="53">
        <f>N47*(Assumptions!$B$111+Assumptions!$B$112)</f>
        <v>124.41</v>
      </c>
      <c r="O49" s="53">
        <f>O47*(Assumptions!$B$111+Assumptions!$B$112)</f>
        <v>124.41</v>
      </c>
      <c r="P49" s="53">
        <f>P47*(Assumptions!$B$111+Assumptions!$B$112)</f>
        <v>124.41</v>
      </c>
      <c r="Q49" s="53">
        <f>Q47*(Assumptions!$B$111+Assumptions!$B$112)</f>
        <v>124.41</v>
      </c>
      <c r="R49" s="53">
        <f>R47*(Assumptions!$B$111+Assumptions!$B$112)</f>
        <v>49.763999999999996</v>
      </c>
      <c r="S49" s="53">
        <f>S47*(Assumptions!$B$111+Assumptions!$B$112)</f>
        <v>19.9056</v>
      </c>
      <c r="T49" s="53">
        <f>T47*(Assumptions!$B$111+Assumptions!$B$112)</f>
        <v>7.96224</v>
      </c>
      <c r="U49" s="53">
        <f>U47*(Assumptions!$B$111+Assumptions!$B$112)</f>
        <v>3.184896</v>
      </c>
      <c r="V49" s="53">
        <f>V47*(Assumptions!$B$111+Assumptions!$B$112)</f>
        <v>1.2739584000000002</v>
      </c>
      <c r="W49" s="53">
        <f>W47*(Assumptions!$B$111+Assumptions!$B$112)</f>
        <v>0.50958336</v>
      </c>
      <c r="X49" s="53">
        <f>X47*(Assumptions!$B$111+Assumptions!$B$112)</f>
        <v>0.20383334400000003</v>
      </c>
      <c r="Y49" s="53">
        <f>Y47*(Assumptions!$B$111+Assumptions!$B$112)</f>
        <v>0.08153333760000002</v>
      </c>
      <c r="Z49" s="53">
        <f>Z47*(Assumptions!$B$111+Assumptions!$B$112)</f>
        <v>0.03261333504000001</v>
      </c>
    </row>
    <row r="50">
      <c r="A50" s="13" t="inlineStr">
        <is>
          <t>Commercial SG&amp;A, risk-adjusted</t>
        </is>
      </c>
      <c r="C50" s="53">
        <f>MIN(1,Assumptions!$B$109*Assumptions!$B$37)*IF(Assumptions!$B$113=0,0,IF(C45=0,Assumptions!$B$114,IF(C45&gt;=1,C46*IF(OR(Assumptions!$B$110&lt;1,C45&gt;5),Assumptions!$B$113,MAX(Assumptions!$B$113,INDEX(Assumptions!$B$44:$F$44,C45))),0)))</f>
        <v>101.79</v>
      </c>
      <c r="D50" s="53">
        <f>MIN(1,Assumptions!$B$109*Assumptions!$B$37)*IF(Assumptions!$B$113=0,0,IF(D45=0,Assumptions!$B$114,IF(D45&gt;=1,D46*IF(OR(Assumptions!$B$110&lt;1,D45&gt;5),Assumptions!$B$113,MAX(Assumptions!$B$113,INDEX(Assumptions!$B$44:$F$44,D45))),0)))</f>
        <v>155.51250000000002</v>
      </c>
      <c r="E50" s="53">
        <f>MIN(1,Assumptions!$B$109*Assumptions!$B$37)*IF(Assumptions!$B$113=0,0,IF(E45=0,Assumptions!$B$114,IF(E45&gt;=1,E46*IF(OR(Assumptions!$B$110&lt;1,E45&gt;5),Assumptions!$B$113,MAX(Assumptions!$B$113,INDEX(Assumptions!$B$44:$F$44,E45))),0)))</f>
        <v>203.58</v>
      </c>
      <c r="F50" s="53">
        <f>MIN(1,Assumptions!$B$109*Assumptions!$B$37)*IF(Assumptions!$B$113=0,0,IF(F45=0,Assumptions!$B$114,IF(F45&gt;=1,F46*IF(OR(Assumptions!$B$110&lt;1,F45&gt;5),Assumptions!$B$113,MAX(Assumptions!$B$113,INDEX(Assumptions!$B$44:$F$44,F45))),0)))</f>
        <v>235.248</v>
      </c>
      <c r="G50" s="53">
        <f>MIN(1,Assumptions!$B$109*Assumptions!$B$37)*IF(Assumptions!$B$113=0,0,IF(G45=0,Assumptions!$B$114,IF(G45&gt;=1,G46*IF(OR(Assumptions!$B$110&lt;1,G45&gt;5),Assumptions!$B$113,MAX(Assumptions!$B$113,INDEX(Assumptions!$B$44:$F$44,G45))),0)))</f>
        <v>259.67760000000004</v>
      </c>
      <c r="H50" s="53">
        <f>MIN(1,Assumptions!$B$109*Assumptions!$B$37)*IF(Assumptions!$B$113=0,0,IF(H45=0,Assumptions!$B$114,IF(H45&gt;=1,H46*IF(OR(Assumptions!$B$110&lt;1,H45&gt;5),Assumptions!$B$113,MAX(Assumptions!$B$113,INDEX(Assumptions!$B$44:$F$44,H45))),0)))</f>
        <v>262.9575</v>
      </c>
      <c r="I50" s="53">
        <f>MIN(1,Assumptions!$B$109*Assumptions!$B$37)*IF(Assumptions!$B$113=0,0,IF(I45=0,Assumptions!$B$114,IF(I45&gt;=1,I46*IF(OR(Assumptions!$B$110&lt;1,I45&gt;5),Assumptions!$B$113,MAX(Assumptions!$B$113,INDEX(Assumptions!$B$44:$F$44,I45))),0)))</f>
        <v>282.75</v>
      </c>
      <c r="J50" s="53">
        <f>MIN(1,Assumptions!$B$109*Assumptions!$B$37)*IF(Assumptions!$B$113=0,0,IF(J45=0,Assumptions!$B$114,IF(J45&gt;=1,J46*IF(OR(Assumptions!$B$110&lt;1,J45&gt;5),Assumptions!$B$113,MAX(Assumptions!$B$113,INDEX(Assumptions!$B$44:$F$44,J45))),0)))</f>
        <v>282.75</v>
      </c>
      <c r="K50" s="53">
        <f>MIN(1,Assumptions!$B$109*Assumptions!$B$37)*IF(Assumptions!$B$113=0,0,IF(K45=0,Assumptions!$B$114,IF(K45&gt;=1,K46*IF(OR(Assumptions!$B$110&lt;1,K45&gt;5),Assumptions!$B$113,MAX(Assumptions!$B$113,INDEX(Assumptions!$B$44:$F$44,K45))),0)))</f>
        <v>282.75</v>
      </c>
      <c r="L50" s="53">
        <f>MIN(1,Assumptions!$B$109*Assumptions!$B$37)*IF(Assumptions!$B$113=0,0,IF(L45=0,Assumptions!$B$114,IF(L45&gt;=1,L46*IF(OR(Assumptions!$B$110&lt;1,L45&gt;5),Assumptions!$B$113,MAX(Assumptions!$B$113,INDEX(Assumptions!$B$44:$F$44,L45))),0)))</f>
        <v>282.75</v>
      </c>
      <c r="M50" s="53">
        <f>MIN(1,Assumptions!$B$109*Assumptions!$B$37)*IF(Assumptions!$B$113=0,0,IF(M45=0,Assumptions!$B$114,IF(M45&gt;=1,M46*IF(OR(Assumptions!$B$110&lt;1,M45&gt;5),Assumptions!$B$113,MAX(Assumptions!$B$113,INDEX(Assumptions!$B$44:$F$44,M45))),0)))</f>
        <v>282.75</v>
      </c>
      <c r="N50" s="53">
        <f>MIN(1,Assumptions!$B$109*Assumptions!$B$37)*IF(Assumptions!$B$113=0,0,IF(N45=0,Assumptions!$B$114,IF(N45&gt;=1,N46*IF(OR(Assumptions!$B$110&lt;1,N45&gt;5),Assumptions!$B$113,MAX(Assumptions!$B$113,INDEX(Assumptions!$B$44:$F$44,N45))),0)))</f>
        <v>282.75</v>
      </c>
      <c r="O50" s="53">
        <f>MIN(1,Assumptions!$B$109*Assumptions!$B$37)*IF(Assumptions!$B$113=0,0,IF(O45=0,Assumptions!$B$114,IF(O45&gt;=1,O46*IF(OR(Assumptions!$B$110&lt;1,O45&gt;5),Assumptions!$B$113,MAX(Assumptions!$B$113,INDEX(Assumptions!$B$44:$F$44,O45))),0)))</f>
        <v>282.75</v>
      </c>
      <c r="P50" s="53">
        <f>MIN(1,Assumptions!$B$109*Assumptions!$B$37)*IF(Assumptions!$B$113=0,0,IF(P45=0,Assumptions!$B$114,IF(P45&gt;=1,P46*IF(OR(Assumptions!$B$110&lt;1,P45&gt;5),Assumptions!$B$113,MAX(Assumptions!$B$113,INDEX(Assumptions!$B$44:$F$44,P45))),0)))</f>
        <v>282.75</v>
      </c>
      <c r="Q50" s="53">
        <f>MIN(1,Assumptions!$B$109*Assumptions!$B$37)*IF(Assumptions!$B$113=0,0,IF(Q45=0,Assumptions!$B$114,IF(Q45&gt;=1,Q46*IF(OR(Assumptions!$B$110&lt;1,Q45&gt;5),Assumptions!$B$113,MAX(Assumptions!$B$113,INDEX(Assumptions!$B$44:$F$44,Q45))),0)))</f>
        <v>282.75</v>
      </c>
      <c r="R50" s="53">
        <f>MIN(1,Assumptions!$B$109*Assumptions!$B$37)*IF(Assumptions!$B$113=0,0,IF(R45=0,Assumptions!$B$114,IF(R45&gt;=1,R46*IF(OR(Assumptions!$B$110&lt;1,R45&gt;5),Assumptions!$B$113,MAX(Assumptions!$B$113,INDEX(Assumptions!$B$44:$F$44,R45))),0)))</f>
        <v>113.1</v>
      </c>
      <c r="S50" s="53">
        <f>MIN(1,Assumptions!$B$109*Assumptions!$B$37)*IF(Assumptions!$B$113=0,0,IF(S45=0,Assumptions!$B$114,IF(S45&gt;=1,S46*IF(OR(Assumptions!$B$110&lt;1,S45&gt;5),Assumptions!$B$113,MAX(Assumptions!$B$113,INDEX(Assumptions!$B$44:$F$44,S45))),0)))</f>
        <v>45.24</v>
      </c>
      <c r="T50" s="53">
        <f>MIN(1,Assumptions!$B$109*Assumptions!$B$37)*IF(Assumptions!$B$113=0,0,IF(T45=0,Assumptions!$B$114,IF(T45&gt;=1,T46*IF(OR(Assumptions!$B$110&lt;1,T45&gt;5),Assumptions!$B$113,MAX(Assumptions!$B$113,INDEX(Assumptions!$B$44:$F$44,T45))),0)))</f>
        <v>18.096</v>
      </c>
      <c r="U50" s="53">
        <f>MIN(1,Assumptions!$B$109*Assumptions!$B$37)*IF(Assumptions!$B$113=0,0,IF(U45=0,Assumptions!$B$114,IF(U45&gt;=1,U46*IF(OR(Assumptions!$B$110&lt;1,U45&gt;5),Assumptions!$B$113,MAX(Assumptions!$B$113,INDEX(Assumptions!$B$44:$F$44,U45))),0)))</f>
        <v>7.2384</v>
      </c>
      <c r="V50" s="53">
        <f>MIN(1,Assumptions!$B$109*Assumptions!$B$37)*IF(Assumptions!$B$113=0,0,IF(V45=0,Assumptions!$B$114,IF(V45&gt;=1,V46*IF(OR(Assumptions!$B$110&lt;1,V45&gt;5),Assumptions!$B$113,MAX(Assumptions!$B$113,INDEX(Assumptions!$B$44:$F$44,V45))),0)))</f>
        <v>2.89536</v>
      </c>
      <c r="W50" s="53">
        <f>MIN(1,Assumptions!$B$109*Assumptions!$B$37)*IF(Assumptions!$B$113=0,0,IF(W45=0,Assumptions!$B$114,IF(W45&gt;=1,W46*IF(OR(Assumptions!$B$110&lt;1,W45&gt;5),Assumptions!$B$113,MAX(Assumptions!$B$113,INDEX(Assumptions!$B$44:$F$44,W45))),0)))</f>
        <v>1.158144</v>
      </c>
      <c r="X50" s="53">
        <f>MIN(1,Assumptions!$B$109*Assumptions!$B$37)*IF(Assumptions!$B$113=0,0,IF(X45=0,Assumptions!$B$114,IF(X45&gt;=1,X46*IF(OR(Assumptions!$B$110&lt;1,X45&gt;5),Assumptions!$B$113,MAX(Assumptions!$B$113,INDEX(Assumptions!$B$44:$F$44,X45))),0)))</f>
        <v>0.46325760000000005</v>
      </c>
      <c r="Y50" s="53">
        <f>MIN(1,Assumptions!$B$109*Assumptions!$B$37)*IF(Assumptions!$B$113=0,0,IF(Y45=0,Assumptions!$B$114,IF(Y45&gt;=1,Y46*IF(OR(Assumptions!$B$110&lt;1,Y45&gt;5),Assumptions!$B$113,MAX(Assumptions!$B$113,INDEX(Assumptions!$B$44:$F$44,Y45))),0)))</f>
        <v>0.18530304000000003</v>
      </c>
      <c r="Z50" s="53">
        <f>MIN(1,Assumptions!$B$109*Assumptions!$B$37)*IF(Assumptions!$B$113=0,0,IF(Z45=0,Assumptions!$B$114,IF(Z45&gt;=1,Z46*IF(OR(Assumptions!$B$110&lt;1,Z45&gt;5),Assumptions!$B$113,MAX(Assumptions!$B$113,INDEX(Assumptions!$B$44:$F$44,Z45))),0)))</f>
        <v>0.07412121600000002</v>
      </c>
    </row>
    <row r="51">
      <c r="A51" s="13" t="inlineStr">
        <is>
          <t>Development R&amp;D, risk-adjusted</t>
        </is>
      </c>
      <c r="C51" s="53">
        <f>IFERROR(INDEX(Assumptions!$B$119:$I$119,MATCH(C$2,Assumptions!$B$118:$I$118,0))*INDEX(Assumptions!$B$120:$I$120,MATCH(C$2,Assumptions!$B$118:$I$118,0)),0)</f>
        <v>15.0</v>
      </c>
      <c r="D51" s="53">
        <f>IFERROR(INDEX(Assumptions!$B$119:$I$119,MATCH(D$2,Assumptions!$B$118:$I$118,0))*INDEX(Assumptions!$B$120:$I$120,MATCH(D$2,Assumptions!$B$118:$I$118,0)),0)</f>
        <v>0.0</v>
      </c>
      <c r="E51" s="53">
        <f>IFERROR(INDEX(Assumptions!$B$119:$I$119,MATCH(E$2,Assumptions!$B$118:$I$118,0))*INDEX(Assumptions!$B$120:$I$120,MATCH(E$2,Assumptions!$B$118:$I$118,0)),0)</f>
        <v>0.0</v>
      </c>
      <c r="F51" s="53">
        <f>IFERROR(INDEX(Assumptions!$B$119:$I$119,MATCH(F$2,Assumptions!$B$118:$I$118,0))*INDEX(Assumptions!$B$120:$I$120,MATCH(F$2,Assumptions!$B$118:$I$118,0)),0)</f>
        <v>0.0</v>
      </c>
      <c r="G51" s="53">
        <f>IFERROR(INDEX(Assumptions!$B$119:$I$119,MATCH(G$2,Assumptions!$B$118:$I$118,0))*INDEX(Assumptions!$B$120:$I$120,MATCH(G$2,Assumptions!$B$118:$I$118,0)),0)</f>
        <v>0.0</v>
      </c>
      <c r="H51" s="53">
        <f>IFERROR(INDEX(Assumptions!$B$119:$I$119,MATCH(H$2,Assumptions!$B$118:$I$118,0))*INDEX(Assumptions!$B$120:$I$120,MATCH(H$2,Assumptions!$B$118:$I$118,0)),0)</f>
        <v>0.0</v>
      </c>
      <c r="I51" s="53">
        <f>IFERROR(INDEX(Assumptions!$B$119:$I$119,MATCH(I$2,Assumptions!$B$118:$I$118,0))*INDEX(Assumptions!$B$120:$I$120,MATCH(I$2,Assumptions!$B$118:$I$118,0)),0)</f>
        <v>0.0</v>
      </c>
      <c r="J51" s="53">
        <f>IFERROR(INDEX(Assumptions!$B$119:$I$119,MATCH(J$2,Assumptions!$B$118:$I$118,0))*INDEX(Assumptions!$B$120:$I$120,MATCH(J$2,Assumptions!$B$118:$I$118,0)),0)</f>
        <v>0.0</v>
      </c>
      <c r="K51" s="53">
        <f>IFERROR(INDEX(Assumptions!$B$119:$I$119,MATCH(K$2,Assumptions!$B$118:$I$118,0))*INDEX(Assumptions!$B$120:$I$120,MATCH(K$2,Assumptions!$B$118:$I$118,0)),0)</f>
        <v>0</v>
      </c>
      <c r="L51" s="53">
        <f>IFERROR(INDEX(Assumptions!$B$119:$I$119,MATCH(L$2,Assumptions!$B$118:$I$118,0))*INDEX(Assumptions!$B$120:$I$120,MATCH(L$2,Assumptions!$B$118:$I$118,0)),0)</f>
        <v>0</v>
      </c>
      <c r="M51" s="53">
        <f>IFERROR(INDEX(Assumptions!$B$119:$I$119,MATCH(M$2,Assumptions!$B$118:$I$118,0))*INDEX(Assumptions!$B$120:$I$120,MATCH(M$2,Assumptions!$B$118:$I$118,0)),0)</f>
        <v>0</v>
      </c>
      <c r="N51" s="53">
        <f>IFERROR(INDEX(Assumptions!$B$119:$I$119,MATCH(N$2,Assumptions!$B$118:$I$118,0))*INDEX(Assumptions!$B$120:$I$120,MATCH(N$2,Assumptions!$B$118:$I$118,0)),0)</f>
        <v>0</v>
      </c>
      <c r="O51" s="53">
        <f>IFERROR(INDEX(Assumptions!$B$119:$I$119,MATCH(O$2,Assumptions!$B$118:$I$118,0))*INDEX(Assumptions!$B$120:$I$120,MATCH(O$2,Assumptions!$B$118:$I$118,0)),0)</f>
        <v>0</v>
      </c>
      <c r="P51" s="53">
        <f>IFERROR(INDEX(Assumptions!$B$119:$I$119,MATCH(P$2,Assumptions!$B$118:$I$118,0))*INDEX(Assumptions!$B$120:$I$120,MATCH(P$2,Assumptions!$B$118:$I$118,0)),0)</f>
        <v>0</v>
      </c>
      <c r="Q51" s="53">
        <f>IFERROR(INDEX(Assumptions!$B$119:$I$119,MATCH(Q$2,Assumptions!$B$118:$I$118,0))*INDEX(Assumptions!$B$120:$I$120,MATCH(Q$2,Assumptions!$B$118:$I$118,0)),0)</f>
        <v>0</v>
      </c>
      <c r="R51" s="53">
        <f>IFERROR(INDEX(Assumptions!$B$119:$I$119,MATCH(R$2,Assumptions!$B$118:$I$118,0))*INDEX(Assumptions!$B$120:$I$120,MATCH(R$2,Assumptions!$B$118:$I$118,0)),0)</f>
        <v>0</v>
      </c>
      <c r="S51" s="53">
        <f>IFERROR(INDEX(Assumptions!$B$119:$I$119,MATCH(S$2,Assumptions!$B$118:$I$118,0))*INDEX(Assumptions!$B$120:$I$120,MATCH(S$2,Assumptions!$B$118:$I$118,0)),0)</f>
        <v>0</v>
      </c>
      <c r="T51" s="53">
        <f>IFERROR(INDEX(Assumptions!$B$119:$I$119,MATCH(T$2,Assumptions!$B$118:$I$118,0))*INDEX(Assumptions!$B$120:$I$120,MATCH(T$2,Assumptions!$B$118:$I$118,0)),0)</f>
        <v>0</v>
      </c>
      <c r="U51" s="53">
        <f>IFERROR(INDEX(Assumptions!$B$119:$I$119,MATCH(U$2,Assumptions!$B$118:$I$118,0))*INDEX(Assumptions!$B$120:$I$120,MATCH(U$2,Assumptions!$B$118:$I$118,0)),0)</f>
        <v>0</v>
      </c>
      <c r="V51" s="53">
        <f>IFERROR(INDEX(Assumptions!$B$119:$I$119,MATCH(V$2,Assumptions!$B$118:$I$118,0))*INDEX(Assumptions!$B$120:$I$120,MATCH(V$2,Assumptions!$B$118:$I$118,0)),0)</f>
        <v>0</v>
      </c>
      <c r="W51" s="53">
        <f>IFERROR(INDEX(Assumptions!$B$119:$I$119,MATCH(W$2,Assumptions!$B$118:$I$118,0))*INDEX(Assumptions!$B$120:$I$120,MATCH(W$2,Assumptions!$B$118:$I$118,0)),0)</f>
        <v>0</v>
      </c>
      <c r="X51" s="53">
        <f>IFERROR(INDEX(Assumptions!$B$119:$I$119,MATCH(X$2,Assumptions!$B$118:$I$118,0))*INDEX(Assumptions!$B$120:$I$120,MATCH(X$2,Assumptions!$B$118:$I$118,0)),0)</f>
        <v>0</v>
      </c>
      <c r="Y51" s="53">
        <f>IFERROR(INDEX(Assumptions!$B$119:$I$119,MATCH(Y$2,Assumptions!$B$118:$I$118,0))*INDEX(Assumptions!$B$120:$I$120,MATCH(Y$2,Assumptions!$B$118:$I$118,0)),0)</f>
        <v>0</v>
      </c>
      <c r="Z51" s="53">
        <f>IFERROR(INDEX(Assumptions!$B$119:$I$119,MATCH(Z$2,Assumptions!$B$118:$I$118,0))*INDEX(Assumptions!$B$120:$I$120,MATCH(Z$2,Assumptions!$B$118:$I$118,0)),0)</f>
        <v>0</v>
      </c>
    </row>
    <row r="52">
      <c r="A52" s="22" t="inlineStr">
        <is>
          <t>Program contribution (pre-tax)</t>
        </is>
      </c>
      <c r="C52" s="57">
        <f>C48-C49-C50-C51</f>
        <v>-16.131000000000014</v>
      </c>
      <c r="D52" s="57">
        <f>D48-D49-D50-D51</f>
        <v>96.13499999999999</v>
      </c>
      <c r="E52" s="57">
        <f>E48-E49-E50-E51</f>
        <v>249.3855</v>
      </c>
      <c r="F52" s="57">
        <f>F48-F49-F50-F51</f>
        <v>419.0355</v>
      </c>
      <c r="G52" s="57">
        <f>G48-G49-G50-G51</f>
        <v>565.7261999999998</v>
      </c>
      <c r="H52" s="57">
        <f>H48-H49-H50-H51</f>
        <v>673.1712</v>
      </c>
      <c r="I52" s="57">
        <f>I48-I49-I50-I51</f>
        <v>723.84</v>
      </c>
      <c r="J52" s="57">
        <f>J48-J49-J50-J51</f>
        <v>723.84</v>
      </c>
      <c r="K52" s="57">
        <f>K48-K49-K50-K51</f>
        <v>723.84</v>
      </c>
      <c r="L52" s="57">
        <f>L48-L49-L50-L51</f>
        <v>723.84</v>
      </c>
      <c r="M52" s="57">
        <f>M48-M49-M50-M51</f>
        <v>723.84</v>
      </c>
      <c r="N52" s="57">
        <f>N48-N49-N50-N51</f>
        <v>723.84</v>
      </c>
      <c r="O52" s="57">
        <f>O48-O49-O50-O51</f>
        <v>723.84</v>
      </c>
      <c r="P52" s="57">
        <f>P48-P49-P50-P51</f>
        <v>723.84</v>
      </c>
      <c r="Q52" s="57">
        <f>Q48-Q49-Q50-Q51</f>
        <v>723.84</v>
      </c>
      <c r="R52" s="57">
        <f>R48-R49-R50-R51</f>
        <v>289.53599999999994</v>
      </c>
      <c r="S52" s="57">
        <f>S48-S49-S50-S51</f>
        <v>115.8144</v>
      </c>
      <c r="T52" s="57">
        <f>T48-T49-T50-T51</f>
        <v>46.32576</v>
      </c>
      <c r="U52" s="57">
        <f>U48-U49-U50-U51</f>
        <v>18.530304</v>
      </c>
      <c r="V52" s="57">
        <f>V48-V49-V50-V51</f>
        <v>7.412121600000001</v>
      </c>
      <c r="W52" s="57">
        <f>W48-W49-W50-W51</f>
        <v>2.9648486400000005</v>
      </c>
      <c r="X52" s="57">
        <f>X48-X49-X50-X51</f>
        <v>1.1859394560000003</v>
      </c>
      <c r="Y52" s="57">
        <f>Y48-Y49-Y50-Y51</f>
        <v>0.47437578240000006</v>
      </c>
      <c r="Z52" s="57">
        <f>Z48-Z49-Z50-Z51</f>
        <v>0.18975031296000003</v>
      </c>
    </row>
    <row r="54">
      <c r="A54" s="30" t="inlineStr">
        <is>
          <t>Encaleret — chronic hypoparathyroidism (Phase 3)</t>
        </is>
      </c>
    </row>
    <row r="55">
      <c r="A55" s="13" t="inlineStr">
        <is>
          <t>Years since launch</t>
        </is>
      </c>
      <c r="C55" s="64">
        <f>C$2-Assumptions!$B$123+1</f>
        <v>-1.0</v>
      </c>
      <c r="D55" s="64">
        <f>D$2-Assumptions!$B$123+1</f>
        <v>0.0</v>
      </c>
      <c r="E55" s="64">
        <f>E$2-Assumptions!$B$123+1</f>
        <v>1.0</v>
      </c>
      <c r="F55" s="64">
        <f>F$2-Assumptions!$B$123+1</f>
        <v>2.0</v>
      </c>
      <c r="G55" s="64">
        <f>G$2-Assumptions!$B$123+1</f>
        <v>3.0</v>
      </c>
      <c r="H55" s="64">
        <f>H$2-Assumptions!$B$123+1</f>
        <v>4.0</v>
      </c>
      <c r="I55" s="64">
        <f>I$2-Assumptions!$B$123+1</f>
        <v>5.0</v>
      </c>
      <c r="J55" s="64">
        <f>J$2-Assumptions!$B$123+1</f>
        <v>6.0</v>
      </c>
      <c r="K55" s="64">
        <f>K$2-Assumptions!$B$123+1</f>
        <v>7.0</v>
      </c>
      <c r="L55" s="64">
        <f>L$2-Assumptions!$B$123+1</f>
        <v>8.0</v>
      </c>
      <c r="M55" s="64">
        <f>M$2-Assumptions!$B$123+1</f>
        <v>9.0</v>
      </c>
      <c r="N55" s="64">
        <f>N$2-Assumptions!$B$123+1</f>
        <v>10.0</v>
      </c>
      <c r="O55" s="64">
        <f>O$2-Assumptions!$B$123+1</f>
        <v>11.0</v>
      </c>
      <c r="P55" s="64">
        <f>P$2-Assumptions!$B$123+1</f>
        <v>12.0</v>
      </c>
      <c r="Q55" s="64">
        <f>Q$2-Assumptions!$B$123+1</f>
        <v>13.0</v>
      </c>
      <c r="R55" s="64">
        <f>R$2-Assumptions!$B$123+1</f>
        <v>14.0</v>
      </c>
      <c r="S55" s="64">
        <f>S$2-Assumptions!$B$123+1</f>
        <v>15.0</v>
      </c>
      <c r="T55" s="64">
        <f>T$2-Assumptions!$B$123+1</f>
        <v>16.0</v>
      </c>
      <c r="U55" s="64">
        <f>U$2-Assumptions!$B$123+1</f>
        <v>17.0</v>
      </c>
      <c r="V55" s="64">
        <f>V$2-Assumptions!$B$123+1</f>
        <v>18.0</v>
      </c>
      <c r="W55" s="64">
        <f>W$2-Assumptions!$B$123+1</f>
        <v>19.0</v>
      </c>
      <c r="X55" s="64">
        <f>X$2-Assumptions!$B$123+1</f>
        <v>20.0</v>
      </c>
      <c r="Y55" s="64">
        <f>Y$2-Assumptions!$B$123+1</f>
        <v>21.0</v>
      </c>
      <c r="Z55" s="64">
        <f>Z$2-Assumptions!$B$123+1</f>
        <v>22.0</v>
      </c>
    </row>
    <row r="56">
      <c r="A56" s="13" t="inlineStr">
        <is>
          <t>Net sales, unrisked</t>
        </is>
      </c>
      <c r="C56" s="53">
        <f>IF(C$2&gt;Assumptions!$B$132,0*(1-Assumptions!$B$133),IF(C55&gt;=1,Assumptions!$B$124*CHOOSE(Assumptions!$B$131,INDEX(Assumptions!$B$42:$H$42,MIN(C55,7)),INDEX(Assumptions!$B$43:$H$43,MIN(C55,7))),0))</f>
        <v>0</v>
      </c>
      <c r="D56" s="53">
        <f>IF(D$2&gt;Assumptions!$B$132,C56*(1-Assumptions!$B$133),IF(D55&gt;=1,Assumptions!$B$124*CHOOSE(Assumptions!$B$131,INDEX(Assumptions!$B$42:$H$42,MIN(D55,7)),INDEX(Assumptions!$B$43:$H$43,MIN(D55,7))),0))</f>
        <v>0</v>
      </c>
      <c r="E56" s="53">
        <f>IF(E$2&gt;Assumptions!$B$132,D56*(1-Assumptions!$B$133),IF(E55&gt;=1,Assumptions!$B$124*CHOOSE(Assumptions!$B$131,INDEX(Assumptions!$B$42:$H$42,MIN(E55,7)),INDEX(Assumptions!$B$43:$H$43,MIN(E55,7))),0))</f>
        <v>150.0</v>
      </c>
      <c r="F56" s="53">
        <f>IF(F$2&gt;Assumptions!$B$132,E56*(1-Assumptions!$B$133),IF(F55&gt;=1,Assumptions!$B$124*CHOOSE(Assumptions!$B$131,INDEX(Assumptions!$B$42:$H$42,MIN(F55,7)),INDEX(Assumptions!$B$43:$H$43,MIN(F55,7))),0))</f>
        <v>375.0</v>
      </c>
      <c r="G56" s="53">
        <f>IF(G$2&gt;Assumptions!$B$132,F56*(1-Assumptions!$B$133),IF(G55&gt;=1,Assumptions!$B$124*CHOOSE(Assumptions!$B$131,INDEX(Assumptions!$B$42:$H$42,MIN(G55,7)),INDEX(Assumptions!$B$43:$H$43,MIN(G55,7))),0))</f>
        <v>675.0</v>
      </c>
      <c r="H56" s="53">
        <f>IF(H$2&gt;Assumptions!$B$132,G56*(1-Assumptions!$B$133),IF(H55&gt;=1,Assumptions!$B$124*CHOOSE(Assumptions!$B$131,INDEX(Assumptions!$B$42:$H$42,MIN(H55,7)),INDEX(Assumptions!$B$43:$H$43,MIN(H55,7))),0))</f>
        <v>975.0</v>
      </c>
      <c r="I56" s="53">
        <f>IF(I$2&gt;Assumptions!$B$132,H56*(1-Assumptions!$B$133),IF(I55&gt;=1,Assumptions!$B$124*CHOOSE(Assumptions!$B$131,INDEX(Assumptions!$B$42:$H$42,MIN(I55,7)),INDEX(Assumptions!$B$43:$H$43,MIN(I55,7))),0))</f>
        <v>1230.0</v>
      </c>
      <c r="J56" s="53">
        <f>IF(J$2&gt;Assumptions!$B$132,I56*(1-Assumptions!$B$133),IF(J55&gt;=1,Assumptions!$B$124*CHOOSE(Assumptions!$B$131,INDEX(Assumptions!$B$42:$H$42,MIN(J55,7)),INDEX(Assumptions!$B$43:$H$43,MIN(J55,7))),0))</f>
        <v>1395.0</v>
      </c>
      <c r="K56" s="53">
        <f>IF(K$2&gt;Assumptions!$B$132,J56*(1-Assumptions!$B$133),IF(K55&gt;=1,Assumptions!$B$124*CHOOSE(Assumptions!$B$131,INDEX(Assumptions!$B$42:$H$42,MIN(K55,7)),INDEX(Assumptions!$B$43:$H$43,MIN(K55,7))),0))</f>
        <v>1500.0</v>
      </c>
      <c r="L56" s="53">
        <f>IF(L$2&gt;Assumptions!$B$132,K56*(1-Assumptions!$B$133),IF(L55&gt;=1,Assumptions!$B$124*CHOOSE(Assumptions!$B$131,INDEX(Assumptions!$B$42:$H$42,MIN(L55,7)),INDEX(Assumptions!$B$43:$H$43,MIN(L55,7))),0))</f>
        <v>1500.0</v>
      </c>
      <c r="M56" s="53">
        <f>IF(M$2&gt;Assumptions!$B$132,L56*(1-Assumptions!$B$133),IF(M55&gt;=1,Assumptions!$B$124*CHOOSE(Assumptions!$B$131,INDEX(Assumptions!$B$42:$H$42,MIN(M55,7)),INDEX(Assumptions!$B$43:$H$43,MIN(M55,7))),0))</f>
        <v>1500.0</v>
      </c>
      <c r="N56" s="53">
        <f>IF(N$2&gt;Assumptions!$B$132,M56*(1-Assumptions!$B$133),IF(N55&gt;=1,Assumptions!$B$124*CHOOSE(Assumptions!$B$131,INDEX(Assumptions!$B$42:$H$42,MIN(N55,7)),INDEX(Assumptions!$B$43:$H$43,MIN(N55,7))),0))</f>
        <v>1500.0</v>
      </c>
      <c r="O56" s="53">
        <f>IF(O$2&gt;Assumptions!$B$132,N56*(1-Assumptions!$B$133),IF(O55&gt;=1,Assumptions!$B$124*CHOOSE(Assumptions!$B$131,INDEX(Assumptions!$B$42:$H$42,MIN(O55,7)),INDEX(Assumptions!$B$43:$H$43,MIN(O55,7))),0))</f>
        <v>1500.0</v>
      </c>
      <c r="P56" s="53">
        <f>IF(P$2&gt;Assumptions!$B$132,O56*(1-Assumptions!$B$133),IF(P55&gt;=1,Assumptions!$B$124*CHOOSE(Assumptions!$B$131,INDEX(Assumptions!$B$42:$H$42,MIN(P55,7)),INDEX(Assumptions!$B$43:$H$43,MIN(P55,7))),0))</f>
        <v>1500.0</v>
      </c>
      <c r="Q56" s="53">
        <f>IF(Q$2&gt;Assumptions!$B$132,P56*(1-Assumptions!$B$133),IF(Q55&gt;=1,Assumptions!$B$124*CHOOSE(Assumptions!$B$131,INDEX(Assumptions!$B$42:$H$42,MIN(Q55,7)),INDEX(Assumptions!$B$43:$H$43,MIN(Q55,7))),0))</f>
        <v>1500.0</v>
      </c>
      <c r="R56" s="53">
        <f>IF(R$2&gt;Assumptions!$B$132,Q56*(1-Assumptions!$B$133),IF(R55&gt;=1,Assumptions!$B$124*CHOOSE(Assumptions!$B$131,INDEX(Assumptions!$B$42:$H$42,MIN(R55,7)),INDEX(Assumptions!$B$43:$H$43,MIN(R55,7))),0))</f>
        <v>600.0</v>
      </c>
      <c r="S56" s="53">
        <f>IF(S$2&gt;Assumptions!$B$132,R56*(1-Assumptions!$B$133),IF(S55&gt;=1,Assumptions!$B$124*CHOOSE(Assumptions!$B$131,INDEX(Assumptions!$B$42:$H$42,MIN(S55,7)),INDEX(Assumptions!$B$43:$H$43,MIN(S55,7))),0))</f>
        <v>240.0</v>
      </c>
      <c r="T56" s="53">
        <f>IF(T$2&gt;Assumptions!$B$132,S56*(1-Assumptions!$B$133),IF(T55&gt;=1,Assumptions!$B$124*CHOOSE(Assumptions!$B$131,INDEX(Assumptions!$B$42:$H$42,MIN(T55,7)),INDEX(Assumptions!$B$43:$H$43,MIN(T55,7))),0))</f>
        <v>96.0</v>
      </c>
      <c r="U56" s="53">
        <f>IF(U$2&gt;Assumptions!$B$132,T56*(1-Assumptions!$B$133),IF(U55&gt;=1,Assumptions!$B$124*CHOOSE(Assumptions!$B$131,INDEX(Assumptions!$B$42:$H$42,MIN(U55,7)),INDEX(Assumptions!$B$43:$H$43,MIN(U55,7))),0))</f>
        <v>38.400000000000006</v>
      </c>
      <c r="V56" s="53">
        <f>IF(V$2&gt;Assumptions!$B$132,U56*(1-Assumptions!$B$133),IF(V55&gt;=1,Assumptions!$B$124*CHOOSE(Assumptions!$B$131,INDEX(Assumptions!$B$42:$H$42,MIN(V55,7)),INDEX(Assumptions!$B$43:$H$43,MIN(V55,7))),0))</f>
        <v>15.360000000000003</v>
      </c>
      <c r="W56" s="53">
        <f>IF(W$2&gt;Assumptions!$B$132,V56*(1-Assumptions!$B$133),IF(W55&gt;=1,Assumptions!$B$124*CHOOSE(Assumptions!$B$131,INDEX(Assumptions!$B$42:$H$42,MIN(W55,7)),INDEX(Assumptions!$B$43:$H$43,MIN(W55,7))),0))</f>
        <v>6.144000000000002</v>
      </c>
      <c r="X56" s="53">
        <f>IF(X$2&gt;Assumptions!$B$132,W56*(1-Assumptions!$B$133),IF(X55&gt;=1,Assumptions!$B$124*CHOOSE(Assumptions!$B$131,INDEX(Assumptions!$B$42:$H$42,MIN(X55,7)),INDEX(Assumptions!$B$43:$H$43,MIN(X55,7))),0))</f>
        <v>2.457600000000001</v>
      </c>
      <c r="Y56" s="53">
        <f>IF(Y$2&gt;Assumptions!$B$132,X56*(1-Assumptions!$B$133),IF(Y55&gt;=1,Assumptions!$B$124*CHOOSE(Assumptions!$B$131,INDEX(Assumptions!$B$42:$H$42,MIN(Y55,7)),INDEX(Assumptions!$B$43:$H$43,MIN(Y55,7))),0))</f>
        <v>0.9830400000000005</v>
      </c>
      <c r="Z56" s="53">
        <f>IF(Z$2&gt;Assumptions!$B$132,Y56*(1-Assumptions!$B$133),IF(Z55&gt;=1,Assumptions!$B$124*CHOOSE(Assumptions!$B$131,INDEX(Assumptions!$B$42:$H$42,MIN(Z55,7)),INDEX(Assumptions!$B$43:$H$43,MIN(Z55,7))),0))</f>
        <v>0.39321600000000023</v>
      </c>
    </row>
    <row r="57">
      <c r="A57" s="13" t="inlineStr">
        <is>
          <t>Product net sales, risk-adjusted</t>
        </is>
      </c>
      <c r="C57" s="53">
        <f>C56*MIN(1,Assumptions!$B$125*Assumptions!$B$37)</f>
        <v>0.0</v>
      </c>
      <c r="D57" s="53">
        <f>D56*MIN(1,Assumptions!$B$125*Assumptions!$B$37)</f>
        <v>0.0</v>
      </c>
      <c r="E57" s="53">
        <f>E56*MIN(1,Assumptions!$B$125*Assumptions!$B$37)</f>
        <v>67.5</v>
      </c>
      <c r="F57" s="53">
        <f>F56*MIN(1,Assumptions!$B$125*Assumptions!$B$37)</f>
        <v>168.75</v>
      </c>
      <c r="G57" s="53">
        <f>G56*MIN(1,Assumptions!$B$125*Assumptions!$B$37)</f>
        <v>303.75</v>
      </c>
      <c r="H57" s="53">
        <f>H56*MIN(1,Assumptions!$B$125*Assumptions!$B$37)</f>
        <v>438.75</v>
      </c>
      <c r="I57" s="53">
        <f>I56*MIN(1,Assumptions!$B$125*Assumptions!$B$37)</f>
        <v>553.5</v>
      </c>
      <c r="J57" s="53">
        <f>J56*MIN(1,Assumptions!$B$125*Assumptions!$B$37)</f>
        <v>627.75</v>
      </c>
      <c r="K57" s="53">
        <f>K56*MIN(1,Assumptions!$B$125*Assumptions!$B$37)</f>
        <v>675.0</v>
      </c>
      <c r="L57" s="53">
        <f>L56*MIN(1,Assumptions!$B$125*Assumptions!$B$37)</f>
        <v>675.0</v>
      </c>
      <c r="M57" s="53">
        <f>M56*MIN(1,Assumptions!$B$125*Assumptions!$B$37)</f>
        <v>675.0</v>
      </c>
      <c r="N57" s="53">
        <f>N56*MIN(1,Assumptions!$B$125*Assumptions!$B$37)</f>
        <v>675.0</v>
      </c>
      <c r="O57" s="53">
        <f>O56*MIN(1,Assumptions!$B$125*Assumptions!$B$37)</f>
        <v>675.0</v>
      </c>
      <c r="P57" s="53">
        <f>P56*MIN(1,Assumptions!$B$125*Assumptions!$B$37)</f>
        <v>675.0</v>
      </c>
      <c r="Q57" s="53">
        <f>Q56*MIN(1,Assumptions!$B$125*Assumptions!$B$37)</f>
        <v>675.0</v>
      </c>
      <c r="R57" s="53">
        <f>R56*MIN(1,Assumptions!$B$125*Assumptions!$B$37)</f>
        <v>270.0</v>
      </c>
      <c r="S57" s="53">
        <f>S56*MIN(1,Assumptions!$B$125*Assumptions!$B$37)</f>
        <v>108.0</v>
      </c>
      <c r="T57" s="53">
        <f>T56*MIN(1,Assumptions!$B$125*Assumptions!$B$37)</f>
        <v>43.2</v>
      </c>
      <c r="U57" s="53">
        <f>U56*MIN(1,Assumptions!$B$125*Assumptions!$B$37)</f>
        <v>17.280000000000005</v>
      </c>
      <c r="V57" s="53">
        <f>V56*MIN(1,Assumptions!$B$125*Assumptions!$B$37)</f>
        <v>6.912000000000002</v>
      </c>
      <c r="W57" s="53">
        <f>W56*MIN(1,Assumptions!$B$125*Assumptions!$B$37)</f>
        <v>2.764800000000001</v>
      </c>
      <c r="X57" s="53">
        <f>X56*MIN(1,Assumptions!$B$125*Assumptions!$B$37)</f>
        <v>1.1059200000000005</v>
      </c>
      <c r="Y57" s="53">
        <f>Y56*MIN(1,Assumptions!$B$125*Assumptions!$B$37)</f>
        <v>0.4423680000000002</v>
      </c>
      <c r="Z57" s="53">
        <f>Z56*MIN(1,Assumptions!$B$125*Assumptions!$B$37)</f>
        <v>0.1769472000000001</v>
      </c>
    </row>
    <row r="58">
      <c r="A58" s="13" t="inlineStr">
        <is>
          <t>Company revenue, risk-adjusted (incl. milestones)</t>
        </is>
      </c>
      <c r="C58" s="53">
        <f>C57*Assumptions!$B$126</f>
        <v>0.0</v>
      </c>
      <c r="D58" s="53">
        <f>D57*Assumptions!$B$126</f>
        <v>0.0</v>
      </c>
      <c r="E58" s="53">
        <f>E57*Assumptions!$B$126</f>
        <v>67.5</v>
      </c>
      <c r="F58" s="53">
        <f>F57*Assumptions!$B$126</f>
        <v>168.75</v>
      </c>
      <c r="G58" s="53">
        <f>G57*Assumptions!$B$126</f>
        <v>303.75</v>
      </c>
      <c r="H58" s="53">
        <f>H57*Assumptions!$B$126</f>
        <v>438.75</v>
      </c>
      <c r="I58" s="53">
        <f>I57*Assumptions!$B$126</f>
        <v>553.5</v>
      </c>
      <c r="J58" s="53">
        <f>J57*Assumptions!$B$126</f>
        <v>627.75</v>
      </c>
      <c r="K58" s="53">
        <f>K57*Assumptions!$B$126</f>
        <v>675.0</v>
      </c>
      <c r="L58" s="53">
        <f>L57*Assumptions!$B$126</f>
        <v>675.0</v>
      </c>
      <c r="M58" s="53">
        <f>M57*Assumptions!$B$126</f>
        <v>675.0</v>
      </c>
      <c r="N58" s="53">
        <f>N57*Assumptions!$B$126</f>
        <v>675.0</v>
      </c>
      <c r="O58" s="53">
        <f>O57*Assumptions!$B$126</f>
        <v>675.0</v>
      </c>
      <c r="P58" s="53">
        <f>P57*Assumptions!$B$126</f>
        <v>675.0</v>
      </c>
      <c r="Q58" s="53">
        <f>Q57*Assumptions!$B$126</f>
        <v>675.0</v>
      </c>
      <c r="R58" s="53">
        <f>R57*Assumptions!$B$126</f>
        <v>270.0</v>
      </c>
      <c r="S58" s="53">
        <f>S57*Assumptions!$B$126</f>
        <v>108.0</v>
      </c>
      <c r="T58" s="53">
        <f>T57*Assumptions!$B$126</f>
        <v>43.2</v>
      </c>
      <c r="U58" s="53">
        <f>U57*Assumptions!$B$126</f>
        <v>17.280000000000005</v>
      </c>
      <c r="V58" s="53">
        <f>V57*Assumptions!$B$126</f>
        <v>6.912000000000002</v>
      </c>
      <c r="W58" s="53">
        <f>W57*Assumptions!$B$126</f>
        <v>2.764800000000001</v>
      </c>
      <c r="X58" s="53">
        <f>X57*Assumptions!$B$126</f>
        <v>1.1059200000000005</v>
      </c>
      <c r="Y58" s="53">
        <f>Y57*Assumptions!$B$126</f>
        <v>0.4423680000000002</v>
      </c>
      <c r="Z58" s="53">
        <f>Z57*Assumptions!$B$126</f>
        <v>0.1769472000000001</v>
      </c>
    </row>
    <row r="59">
      <c r="A59" s="13" t="inlineStr">
        <is>
          <t>COGS + royalties, risk-adjusted</t>
        </is>
      </c>
      <c r="C59" s="53">
        <f>C57*(Assumptions!$B$127+Assumptions!$B$128)</f>
        <v>0.0</v>
      </c>
      <c r="D59" s="53">
        <f>D57*(Assumptions!$B$127+Assumptions!$B$128)</f>
        <v>0.0</v>
      </c>
      <c r="E59" s="53">
        <f>E57*(Assumptions!$B$127+Assumptions!$B$128)</f>
        <v>5.4</v>
      </c>
      <c r="F59" s="53">
        <f>F57*(Assumptions!$B$127+Assumptions!$B$128)</f>
        <v>13.5</v>
      </c>
      <c r="G59" s="53">
        <f>G57*(Assumptions!$B$127+Assumptions!$B$128)</f>
        <v>24.3</v>
      </c>
      <c r="H59" s="53">
        <f>H57*(Assumptions!$B$127+Assumptions!$B$128)</f>
        <v>35.1</v>
      </c>
      <c r="I59" s="53">
        <f>I57*(Assumptions!$B$127+Assumptions!$B$128)</f>
        <v>44.28</v>
      </c>
      <c r="J59" s="53">
        <f>J57*(Assumptions!$B$127+Assumptions!$B$128)</f>
        <v>50.22</v>
      </c>
      <c r="K59" s="53">
        <f>K57*(Assumptions!$B$127+Assumptions!$B$128)</f>
        <v>54.0</v>
      </c>
      <c r="L59" s="53">
        <f>L57*(Assumptions!$B$127+Assumptions!$B$128)</f>
        <v>54.0</v>
      </c>
      <c r="M59" s="53">
        <f>M57*(Assumptions!$B$127+Assumptions!$B$128)</f>
        <v>54.0</v>
      </c>
      <c r="N59" s="53">
        <f>N57*(Assumptions!$B$127+Assumptions!$B$128)</f>
        <v>54.0</v>
      </c>
      <c r="O59" s="53">
        <f>O57*(Assumptions!$B$127+Assumptions!$B$128)</f>
        <v>54.0</v>
      </c>
      <c r="P59" s="53">
        <f>P57*(Assumptions!$B$127+Assumptions!$B$128)</f>
        <v>54.0</v>
      </c>
      <c r="Q59" s="53">
        <f>Q57*(Assumptions!$B$127+Assumptions!$B$128)</f>
        <v>54.0</v>
      </c>
      <c r="R59" s="53">
        <f>R57*(Assumptions!$B$127+Assumptions!$B$128)</f>
        <v>21.6</v>
      </c>
      <c r="S59" s="53">
        <f>S57*(Assumptions!$B$127+Assumptions!$B$128)</f>
        <v>8.64</v>
      </c>
      <c r="T59" s="53">
        <f>T57*(Assumptions!$B$127+Assumptions!$B$128)</f>
        <v>3.4560000000000004</v>
      </c>
      <c r="U59" s="53">
        <f>U57*(Assumptions!$B$127+Assumptions!$B$128)</f>
        <v>1.3824000000000003</v>
      </c>
      <c r="V59" s="53">
        <f>V57*(Assumptions!$B$127+Assumptions!$B$128)</f>
        <v>0.5529600000000001</v>
      </c>
      <c r="W59" s="53">
        <f>W57*(Assumptions!$B$127+Assumptions!$B$128)</f>
        <v>0.22118400000000007</v>
      </c>
      <c r="X59" s="53">
        <f>X57*(Assumptions!$B$127+Assumptions!$B$128)</f>
        <v>0.08847360000000004</v>
      </c>
      <c r="Y59" s="53">
        <f>Y57*(Assumptions!$B$127+Assumptions!$B$128)</f>
        <v>0.035389440000000015</v>
      </c>
      <c r="Z59" s="53">
        <f>Z57*(Assumptions!$B$127+Assumptions!$B$128)</f>
        <v>0.014155776000000009</v>
      </c>
    </row>
    <row r="60">
      <c r="A60" s="13" t="inlineStr">
        <is>
          <t>Commercial SG&amp;A, risk-adjusted</t>
        </is>
      </c>
      <c r="C60" s="53">
        <f>MIN(1,Assumptions!$B$125*Assumptions!$B$37)*IF(Assumptions!$B$129=0,0,IF(C55=0,Assumptions!$B$130,IF(C55&gt;=1,C56*IF(OR(Assumptions!$B$126&lt;1,C55&gt;5),Assumptions!$B$129,MAX(Assumptions!$B$129,INDEX(Assumptions!$B$44:$F$44,C55))),0)))</f>
        <v>0.0</v>
      </c>
      <c r="D60" s="53">
        <f>MIN(1,Assumptions!$B$125*Assumptions!$B$37)*IF(Assumptions!$B$129=0,0,IF(D55=0,Assumptions!$B$130,IF(D55&gt;=1,D56*IF(OR(Assumptions!$B$126&lt;1,D55&gt;5),Assumptions!$B$129,MAX(Assumptions!$B$129,INDEX(Assumptions!$B$44:$F$44,D55))),0)))</f>
        <v>18.0</v>
      </c>
      <c r="E60" s="53">
        <f>MIN(1,Assumptions!$B$125*Assumptions!$B$37)*IF(Assumptions!$B$129=0,0,IF(E55=0,Assumptions!$B$130,IF(E55&gt;=1,E56*IF(OR(Assumptions!$B$126&lt;1,E55&gt;5),Assumptions!$B$129,MAX(Assumptions!$B$129,INDEX(Assumptions!$B$44:$F$44,E55))),0)))</f>
        <v>60.75</v>
      </c>
      <c r="F60" s="53">
        <f>MIN(1,Assumptions!$B$125*Assumptions!$B$37)*IF(Assumptions!$B$129=0,0,IF(F55=0,Assumptions!$B$130,IF(F55&gt;=1,F56*IF(OR(Assumptions!$B$126&lt;1,F55&gt;5),Assumptions!$B$129,MAX(Assumptions!$B$129,INDEX(Assumptions!$B$44:$F$44,F55))),0)))</f>
        <v>92.81250000000001</v>
      </c>
      <c r="G60" s="53">
        <f>MIN(1,Assumptions!$B$125*Assumptions!$B$37)*IF(Assumptions!$B$129=0,0,IF(G55=0,Assumptions!$B$130,IF(G55&gt;=1,G56*IF(OR(Assumptions!$B$126&lt;1,G55&gt;5),Assumptions!$B$129,MAX(Assumptions!$B$129,INDEX(Assumptions!$B$44:$F$44,G55))),0)))</f>
        <v>121.5</v>
      </c>
      <c r="H60" s="53">
        <f>MIN(1,Assumptions!$B$125*Assumptions!$B$37)*IF(Assumptions!$B$129=0,0,IF(H55=0,Assumptions!$B$130,IF(H55&gt;=1,H56*IF(OR(Assumptions!$B$126&lt;1,H55&gt;5),Assumptions!$B$129,MAX(Assumptions!$B$129,INDEX(Assumptions!$B$44:$F$44,H55))),0)))</f>
        <v>140.4</v>
      </c>
      <c r="I60" s="53">
        <f>MIN(1,Assumptions!$B$125*Assumptions!$B$37)*IF(Assumptions!$B$129=0,0,IF(I55=0,Assumptions!$B$130,IF(I55&gt;=1,I56*IF(OR(Assumptions!$B$126&lt;1,I55&gt;5),Assumptions!$B$129,MAX(Assumptions!$B$129,INDEX(Assumptions!$B$44:$F$44,I55))),0)))</f>
        <v>154.98000000000002</v>
      </c>
      <c r="J60" s="53">
        <f>MIN(1,Assumptions!$B$125*Assumptions!$B$37)*IF(Assumptions!$B$129=0,0,IF(J55=0,Assumptions!$B$130,IF(J55&gt;=1,J56*IF(OR(Assumptions!$B$126&lt;1,J55&gt;5),Assumptions!$B$129,MAX(Assumptions!$B$129,INDEX(Assumptions!$B$44:$F$44,J55))),0)))</f>
        <v>156.9375</v>
      </c>
      <c r="K60" s="53">
        <f>MIN(1,Assumptions!$B$125*Assumptions!$B$37)*IF(Assumptions!$B$129=0,0,IF(K55=0,Assumptions!$B$130,IF(K55&gt;=1,K56*IF(OR(Assumptions!$B$126&lt;1,K55&gt;5),Assumptions!$B$129,MAX(Assumptions!$B$129,INDEX(Assumptions!$B$44:$F$44,K55))),0)))</f>
        <v>168.75</v>
      </c>
      <c r="L60" s="53">
        <f>MIN(1,Assumptions!$B$125*Assumptions!$B$37)*IF(Assumptions!$B$129=0,0,IF(L55=0,Assumptions!$B$130,IF(L55&gt;=1,L56*IF(OR(Assumptions!$B$126&lt;1,L55&gt;5),Assumptions!$B$129,MAX(Assumptions!$B$129,INDEX(Assumptions!$B$44:$F$44,L55))),0)))</f>
        <v>168.75</v>
      </c>
      <c r="M60" s="53">
        <f>MIN(1,Assumptions!$B$125*Assumptions!$B$37)*IF(Assumptions!$B$129=0,0,IF(M55=0,Assumptions!$B$130,IF(M55&gt;=1,M56*IF(OR(Assumptions!$B$126&lt;1,M55&gt;5),Assumptions!$B$129,MAX(Assumptions!$B$129,INDEX(Assumptions!$B$44:$F$44,M55))),0)))</f>
        <v>168.75</v>
      </c>
      <c r="N60" s="53">
        <f>MIN(1,Assumptions!$B$125*Assumptions!$B$37)*IF(Assumptions!$B$129=0,0,IF(N55=0,Assumptions!$B$130,IF(N55&gt;=1,N56*IF(OR(Assumptions!$B$126&lt;1,N55&gt;5),Assumptions!$B$129,MAX(Assumptions!$B$129,INDEX(Assumptions!$B$44:$F$44,N55))),0)))</f>
        <v>168.75</v>
      </c>
      <c r="O60" s="53">
        <f>MIN(1,Assumptions!$B$125*Assumptions!$B$37)*IF(Assumptions!$B$129=0,0,IF(O55=0,Assumptions!$B$130,IF(O55&gt;=1,O56*IF(OR(Assumptions!$B$126&lt;1,O55&gt;5),Assumptions!$B$129,MAX(Assumptions!$B$129,INDEX(Assumptions!$B$44:$F$44,O55))),0)))</f>
        <v>168.75</v>
      </c>
      <c r="P60" s="53">
        <f>MIN(1,Assumptions!$B$125*Assumptions!$B$37)*IF(Assumptions!$B$129=0,0,IF(P55=0,Assumptions!$B$130,IF(P55&gt;=1,P56*IF(OR(Assumptions!$B$126&lt;1,P55&gt;5),Assumptions!$B$129,MAX(Assumptions!$B$129,INDEX(Assumptions!$B$44:$F$44,P55))),0)))</f>
        <v>168.75</v>
      </c>
      <c r="Q60" s="53">
        <f>MIN(1,Assumptions!$B$125*Assumptions!$B$37)*IF(Assumptions!$B$129=0,0,IF(Q55=0,Assumptions!$B$130,IF(Q55&gt;=1,Q56*IF(OR(Assumptions!$B$126&lt;1,Q55&gt;5),Assumptions!$B$129,MAX(Assumptions!$B$129,INDEX(Assumptions!$B$44:$F$44,Q55))),0)))</f>
        <v>168.75</v>
      </c>
      <c r="R60" s="53">
        <f>MIN(1,Assumptions!$B$125*Assumptions!$B$37)*IF(Assumptions!$B$129=0,0,IF(R55=0,Assumptions!$B$130,IF(R55&gt;=1,R56*IF(OR(Assumptions!$B$126&lt;1,R55&gt;5),Assumptions!$B$129,MAX(Assumptions!$B$129,INDEX(Assumptions!$B$44:$F$44,R55))),0)))</f>
        <v>67.5</v>
      </c>
      <c r="S60" s="53">
        <f>MIN(1,Assumptions!$B$125*Assumptions!$B$37)*IF(Assumptions!$B$129=0,0,IF(S55=0,Assumptions!$B$130,IF(S55&gt;=1,S56*IF(OR(Assumptions!$B$126&lt;1,S55&gt;5),Assumptions!$B$129,MAX(Assumptions!$B$129,INDEX(Assumptions!$B$44:$F$44,S55))),0)))</f>
        <v>27.0</v>
      </c>
      <c r="T60" s="53">
        <f>MIN(1,Assumptions!$B$125*Assumptions!$B$37)*IF(Assumptions!$B$129=0,0,IF(T55=0,Assumptions!$B$130,IF(T55&gt;=1,T56*IF(OR(Assumptions!$B$126&lt;1,T55&gt;5),Assumptions!$B$129,MAX(Assumptions!$B$129,INDEX(Assumptions!$B$44:$F$44,T55))),0)))</f>
        <v>10.8</v>
      </c>
      <c r="U60" s="53">
        <f>MIN(1,Assumptions!$B$125*Assumptions!$B$37)*IF(Assumptions!$B$129=0,0,IF(U55=0,Assumptions!$B$130,IF(U55&gt;=1,U56*IF(OR(Assumptions!$B$126&lt;1,U55&gt;5),Assumptions!$B$129,MAX(Assumptions!$B$129,INDEX(Assumptions!$B$44:$F$44,U55))),0)))</f>
        <v>4.320000000000001</v>
      </c>
      <c r="V60" s="53">
        <f>MIN(1,Assumptions!$B$125*Assumptions!$B$37)*IF(Assumptions!$B$129=0,0,IF(V55=0,Assumptions!$B$130,IF(V55&gt;=1,V56*IF(OR(Assumptions!$B$126&lt;1,V55&gt;5),Assumptions!$B$129,MAX(Assumptions!$B$129,INDEX(Assumptions!$B$44:$F$44,V55))),0)))</f>
        <v>1.7280000000000004</v>
      </c>
      <c r="W60" s="53">
        <f>MIN(1,Assumptions!$B$125*Assumptions!$B$37)*IF(Assumptions!$B$129=0,0,IF(W55=0,Assumptions!$B$130,IF(W55&gt;=1,W56*IF(OR(Assumptions!$B$126&lt;1,W55&gt;5),Assumptions!$B$129,MAX(Assumptions!$B$129,INDEX(Assumptions!$B$44:$F$44,W55))),0)))</f>
        <v>0.6912000000000003</v>
      </c>
      <c r="X60" s="53">
        <f>MIN(1,Assumptions!$B$125*Assumptions!$B$37)*IF(Assumptions!$B$129=0,0,IF(X55=0,Assumptions!$B$130,IF(X55&gt;=1,X56*IF(OR(Assumptions!$B$126&lt;1,X55&gt;5),Assumptions!$B$129,MAX(Assumptions!$B$129,INDEX(Assumptions!$B$44:$F$44,X55))),0)))</f>
        <v>0.2764800000000001</v>
      </c>
      <c r="Y60" s="53">
        <f>MIN(1,Assumptions!$B$125*Assumptions!$B$37)*IF(Assumptions!$B$129=0,0,IF(Y55=0,Assumptions!$B$130,IF(Y55&gt;=1,Y56*IF(OR(Assumptions!$B$126&lt;1,Y55&gt;5),Assumptions!$B$129,MAX(Assumptions!$B$129,INDEX(Assumptions!$B$44:$F$44,Y55))),0)))</f>
        <v>0.11059200000000005</v>
      </c>
      <c r="Z60" s="53">
        <f>MIN(1,Assumptions!$B$125*Assumptions!$B$37)*IF(Assumptions!$B$129=0,0,IF(Z55=0,Assumptions!$B$130,IF(Z55&gt;=1,Z56*IF(OR(Assumptions!$B$126&lt;1,Z55&gt;5),Assumptions!$B$129,MAX(Assumptions!$B$129,INDEX(Assumptions!$B$44:$F$44,Z55))),0)))</f>
        <v>0.04423680000000003</v>
      </c>
    </row>
    <row r="61">
      <c r="A61" s="13" t="inlineStr">
        <is>
          <t>Development R&amp;D, risk-adjusted</t>
        </is>
      </c>
      <c r="C61" s="53">
        <f>IFERROR(INDEX(Assumptions!$B$135:$I$135,MATCH(C$2,Assumptions!$B$134:$I$134,0))*INDEX(Assumptions!$B$136:$I$136,MATCH(C$2,Assumptions!$B$134:$I$134,0)),0)</f>
        <v>70.0</v>
      </c>
      <c r="D61" s="53">
        <f>IFERROR(INDEX(Assumptions!$B$135:$I$135,MATCH(D$2,Assumptions!$B$134:$I$134,0))*INDEX(Assumptions!$B$136:$I$136,MATCH(D$2,Assumptions!$B$134:$I$134,0)),0)</f>
        <v>50.0</v>
      </c>
      <c r="E61" s="53">
        <f>IFERROR(INDEX(Assumptions!$B$135:$I$135,MATCH(E$2,Assumptions!$B$134:$I$134,0))*INDEX(Assumptions!$B$136:$I$136,MATCH(E$2,Assumptions!$B$134:$I$134,0)),0)</f>
        <v>5.0</v>
      </c>
      <c r="F61" s="53">
        <f>IFERROR(INDEX(Assumptions!$B$135:$I$135,MATCH(F$2,Assumptions!$B$134:$I$134,0))*INDEX(Assumptions!$B$136:$I$136,MATCH(F$2,Assumptions!$B$134:$I$134,0)),0)</f>
        <v>0.0</v>
      </c>
      <c r="G61" s="53">
        <f>IFERROR(INDEX(Assumptions!$B$135:$I$135,MATCH(G$2,Assumptions!$B$134:$I$134,0))*INDEX(Assumptions!$B$136:$I$136,MATCH(G$2,Assumptions!$B$134:$I$134,0)),0)</f>
        <v>0.0</v>
      </c>
      <c r="H61" s="53">
        <f>IFERROR(INDEX(Assumptions!$B$135:$I$135,MATCH(H$2,Assumptions!$B$134:$I$134,0))*INDEX(Assumptions!$B$136:$I$136,MATCH(H$2,Assumptions!$B$134:$I$134,0)),0)</f>
        <v>0.0</v>
      </c>
      <c r="I61" s="53">
        <f>IFERROR(INDEX(Assumptions!$B$135:$I$135,MATCH(I$2,Assumptions!$B$134:$I$134,0))*INDEX(Assumptions!$B$136:$I$136,MATCH(I$2,Assumptions!$B$134:$I$134,0)),0)</f>
        <v>0.0</v>
      </c>
      <c r="J61" s="53">
        <f>IFERROR(INDEX(Assumptions!$B$135:$I$135,MATCH(J$2,Assumptions!$B$134:$I$134,0))*INDEX(Assumptions!$B$136:$I$136,MATCH(J$2,Assumptions!$B$134:$I$134,0)),0)</f>
        <v>0.0</v>
      </c>
      <c r="K61" s="53">
        <f>IFERROR(INDEX(Assumptions!$B$135:$I$135,MATCH(K$2,Assumptions!$B$134:$I$134,0))*INDEX(Assumptions!$B$136:$I$136,MATCH(K$2,Assumptions!$B$134:$I$134,0)),0)</f>
        <v>0</v>
      </c>
      <c r="L61" s="53">
        <f>IFERROR(INDEX(Assumptions!$B$135:$I$135,MATCH(L$2,Assumptions!$B$134:$I$134,0))*INDEX(Assumptions!$B$136:$I$136,MATCH(L$2,Assumptions!$B$134:$I$134,0)),0)</f>
        <v>0</v>
      </c>
      <c r="M61" s="53">
        <f>IFERROR(INDEX(Assumptions!$B$135:$I$135,MATCH(M$2,Assumptions!$B$134:$I$134,0))*INDEX(Assumptions!$B$136:$I$136,MATCH(M$2,Assumptions!$B$134:$I$134,0)),0)</f>
        <v>0</v>
      </c>
      <c r="N61" s="53">
        <f>IFERROR(INDEX(Assumptions!$B$135:$I$135,MATCH(N$2,Assumptions!$B$134:$I$134,0))*INDEX(Assumptions!$B$136:$I$136,MATCH(N$2,Assumptions!$B$134:$I$134,0)),0)</f>
        <v>0</v>
      </c>
      <c r="O61" s="53">
        <f>IFERROR(INDEX(Assumptions!$B$135:$I$135,MATCH(O$2,Assumptions!$B$134:$I$134,0))*INDEX(Assumptions!$B$136:$I$136,MATCH(O$2,Assumptions!$B$134:$I$134,0)),0)</f>
        <v>0</v>
      </c>
      <c r="P61" s="53">
        <f>IFERROR(INDEX(Assumptions!$B$135:$I$135,MATCH(P$2,Assumptions!$B$134:$I$134,0))*INDEX(Assumptions!$B$136:$I$136,MATCH(P$2,Assumptions!$B$134:$I$134,0)),0)</f>
        <v>0</v>
      </c>
      <c r="Q61" s="53">
        <f>IFERROR(INDEX(Assumptions!$B$135:$I$135,MATCH(Q$2,Assumptions!$B$134:$I$134,0))*INDEX(Assumptions!$B$136:$I$136,MATCH(Q$2,Assumptions!$B$134:$I$134,0)),0)</f>
        <v>0</v>
      </c>
      <c r="R61" s="53">
        <f>IFERROR(INDEX(Assumptions!$B$135:$I$135,MATCH(R$2,Assumptions!$B$134:$I$134,0))*INDEX(Assumptions!$B$136:$I$136,MATCH(R$2,Assumptions!$B$134:$I$134,0)),0)</f>
        <v>0</v>
      </c>
      <c r="S61" s="53">
        <f>IFERROR(INDEX(Assumptions!$B$135:$I$135,MATCH(S$2,Assumptions!$B$134:$I$134,0))*INDEX(Assumptions!$B$136:$I$136,MATCH(S$2,Assumptions!$B$134:$I$134,0)),0)</f>
        <v>0</v>
      </c>
      <c r="T61" s="53">
        <f>IFERROR(INDEX(Assumptions!$B$135:$I$135,MATCH(T$2,Assumptions!$B$134:$I$134,0))*INDEX(Assumptions!$B$136:$I$136,MATCH(T$2,Assumptions!$B$134:$I$134,0)),0)</f>
        <v>0</v>
      </c>
      <c r="U61" s="53">
        <f>IFERROR(INDEX(Assumptions!$B$135:$I$135,MATCH(U$2,Assumptions!$B$134:$I$134,0))*INDEX(Assumptions!$B$136:$I$136,MATCH(U$2,Assumptions!$B$134:$I$134,0)),0)</f>
        <v>0</v>
      </c>
      <c r="V61" s="53">
        <f>IFERROR(INDEX(Assumptions!$B$135:$I$135,MATCH(V$2,Assumptions!$B$134:$I$134,0))*INDEX(Assumptions!$B$136:$I$136,MATCH(V$2,Assumptions!$B$134:$I$134,0)),0)</f>
        <v>0</v>
      </c>
      <c r="W61" s="53">
        <f>IFERROR(INDEX(Assumptions!$B$135:$I$135,MATCH(W$2,Assumptions!$B$134:$I$134,0))*INDEX(Assumptions!$B$136:$I$136,MATCH(W$2,Assumptions!$B$134:$I$134,0)),0)</f>
        <v>0</v>
      </c>
      <c r="X61" s="53">
        <f>IFERROR(INDEX(Assumptions!$B$135:$I$135,MATCH(X$2,Assumptions!$B$134:$I$134,0))*INDEX(Assumptions!$B$136:$I$136,MATCH(X$2,Assumptions!$B$134:$I$134,0)),0)</f>
        <v>0</v>
      </c>
      <c r="Y61" s="53">
        <f>IFERROR(INDEX(Assumptions!$B$135:$I$135,MATCH(Y$2,Assumptions!$B$134:$I$134,0))*INDEX(Assumptions!$B$136:$I$136,MATCH(Y$2,Assumptions!$B$134:$I$134,0)),0)</f>
        <v>0</v>
      </c>
      <c r="Z61" s="53">
        <f>IFERROR(INDEX(Assumptions!$B$135:$I$135,MATCH(Z$2,Assumptions!$B$134:$I$134,0))*INDEX(Assumptions!$B$136:$I$136,MATCH(Z$2,Assumptions!$B$134:$I$134,0)),0)</f>
        <v>0</v>
      </c>
    </row>
    <row r="62">
      <c r="A62" s="22" t="inlineStr">
        <is>
          <t>Program contribution (pre-tax)</t>
        </is>
      </c>
      <c r="C62" s="57">
        <f>C58-C59-C60-C61</f>
        <v>-70.0</v>
      </c>
      <c r="D62" s="57">
        <f>D58-D59-D60-D61</f>
        <v>-68.0</v>
      </c>
      <c r="E62" s="57">
        <f>E58-E59-E60-E61</f>
        <v>-3.6499999999999986</v>
      </c>
      <c r="F62" s="57">
        <f>F58-F59-F60-F61</f>
        <v>62.437499999999986</v>
      </c>
      <c r="G62" s="57">
        <f>G58-G59-G60-G61</f>
        <v>157.95</v>
      </c>
      <c r="H62" s="57">
        <f>H58-H59-H60-H61</f>
        <v>263.25</v>
      </c>
      <c r="I62" s="57">
        <f>I58-I59-I60-I61</f>
        <v>354.24</v>
      </c>
      <c r="J62" s="57">
        <f>J58-J59-J60-J61</f>
        <v>420.5925</v>
      </c>
      <c r="K62" s="57">
        <f>K58-K59-K60-K61</f>
        <v>452.25</v>
      </c>
      <c r="L62" s="57">
        <f>L58-L59-L60-L61</f>
        <v>452.25</v>
      </c>
      <c r="M62" s="57">
        <f>M58-M59-M60-M61</f>
        <v>452.25</v>
      </c>
      <c r="N62" s="57">
        <f>N58-N59-N60-N61</f>
        <v>452.25</v>
      </c>
      <c r="O62" s="57">
        <f>O58-O59-O60-O61</f>
        <v>452.25</v>
      </c>
      <c r="P62" s="57">
        <f>P58-P59-P60-P61</f>
        <v>452.25</v>
      </c>
      <c r="Q62" s="57">
        <f>Q58-Q59-Q60-Q61</f>
        <v>452.25</v>
      </c>
      <c r="R62" s="57">
        <f>R58-R59-R60-R61</f>
        <v>180.9</v>
      </c>
      <c r="S62" s="57">
        <f>S58-S59-S60-S61</f>
        <v>72.36</v>
      </c>
      <c r="T62" s="57">
        <f>T58-T59-T60-T61</f>
        <v>28.944</v>
      </c>
      <c r="U62" s="57">
        <f>U58-U59-U60-U61</f>
        <v>11.577600000000004</v>
      </c>
      <c r="V62" s="57">
        <f>V58-V59-V60-V61</f>
        <v>4.631040000000001</v>
      </c>
      <c r="W62" s="57">
        <f>W58-W59-W60-W61</f>
        <v>1.8524160000000007</v>
      </c>
      <c r="X62" s="57">
        <f>X58-X59-X60-X61</f>
        <v>0.7409664000000002</v>
      </c>
      <c r="Y62" s="57">
        <f>Y58-Y59-Y60-Y61</f>
        <v>0.2963865600000002</v>
      </c>
      <c r="Z62" s="57">
        <f>Z58-Z59-Z60-Z61</f>
        <v>0.11855462400000008</v>
      </c>
    </row>
    <row r="64">
      <c r="A64" s="30" t="inlineStr">
        <is>
          <t>Infigratinib — hypochondroplasia (Phase 3)</t>
        </is>
      </c>
    </row>
    <row r="65">
      <c r="A65" s="13" t="inlineStr">
        <is>
          <t>Years since launch</t>
        </is>
      </c>
      <c r="C65" s="64">
        <f>C$2-Assumptions!$B$139+1</f>
        <v>-1.0</v>
      </c>
      <c r="D65" s="64">
        <f>D$2-Assumptions!$B$139+1</f>
        <v>0.0</v>
      </c>
      <c r="E65" s="64">
        <f>E$2-Assumptions!$B$139+1</f>
        <v>1.0</v>
      </c>
      <c r="F65" s="64">
        <f>F$2-Assumptions!$B$139+1</f>
        <v>2.0</v>
      </c>
      <c r="G65" s="64">
        <f>G$2-Assumptions!$B$139+1</f>
        <v>3.0</v>
      </c>
      <c r="H65" s="64">
        <f>H$2-Assumptions!$B$139+1</f>
        <v>4.0</v>
      </c>
      <c r="I65" s="64">
        <f>I$2-Assumptions!$B$139+1</f>
        <v>5.0</v>
      </c>
      <c r="J65" s="64">
        <f>J$2-Assumptions!$B$139+1</f>
        <v>6.0</v>
      </c>
      <c r="K65" s="64">
        <f>K$2-Assumptions!$B$139+1</f>
        <v>7.0</v>
      </c>
      <c r="L65" s="64">
        <f>L$2-Assumptions!$B$139+1</f>
        <v>8.0</v>
      </c>
      <c r="M65" s="64">
        <f>M$2-Assumptions!$B$139+1</f>
        <v>9.0</v>
      </c>
      <c r="N65" s="64">
        <f>N$2-Assumptions!$B$139+1</f>
        <v>10.0</v>
      </c>
      <c r="O65" s="64">
        <f>O$2-Assumptions!$B$139+1</f>
        <v>11.0</v>
      </c>
      <c r="P65" s="64">
        <f>P$2-Assumptions!$B$139+1</f>
        <v>12.0</v>
      </c>
      <c r="Q65" s="64">
        <f>Q$2-Assumptions!$B$139+1</f>
        <v>13.0</v>
      </c>
      <c r="R65" s="64">
        <f>R$2-Assumptions!$B$139+1</f>
        <v>14.0</v>
      </c>
      <c r="S65" s="64">
        <f>S$2-Assumptions!$B$139+1</f>
        <v>15.0</v>
      </c>
      <c r="T65" s="64">
        <f>T$2-Assumptions!$B$139+1</f>
        <v>16.0</v>
      </c>
      <c r="U65" s="64">
        <f>U$2-Assumptions!$B$139+1</f>
        <v>17.0</v>
      </c>
      <c r="V65" s="64">
        <f>V$2-Assumptions!$B$139+1</f>
        <v>18.0</v>
      </c>
      <c r="W65" s="64">
        <f>W$2-Assumptions!$B$139+1</f>
        <v>19.0</v>
      </c>
      <c r="X65" s="64">
        <f>X$2-Assumptions!$B$139+1</f>
        <v>20.0</v>
      </c>
      <c r="Y65" s="64">
        <f>Y$2-Assumptions!$B$139+1</f>
        <v>21.0</v>
      </c>
      <c r="Z65" s="64">
        <f>Z$2-Assumptions!$B$139+1</f>
        <v>22.0</v>
      </c>
    </row>
    <row r="66">
      <c r="A66" s="13" t="inlineStr">
        <is>
          <t>Net sales, unrisked</t>
        </is>
      </c>
      <c r="C66" s="53">
        <f>IF(C$2&gt;Assumptions!$B$148,0*(1-Assumptions!$B$149),IF(C65&gt;=1,Assumptions!$B$140*CHOOSE(Assumptions!$B$147,INDEX(Assumptions!$B$42:$H$42,MIN(C65,7)),INDEX(Assumptions!$B$43:$H$43,MIN(C65,7))),0))</f>
        <v>0</v>
      </c>
      <c r="D66" s="53">
        <f>IF(D$2&gt;Assumptions!$B$148,C66*(1-Assumptions!$B$149),IF(D65&gt;=1,Assumptions!$B$140*CHOOSE(Assumptions!$B$147,INDEX(Assumptions!$B$42:$H$42,MIN(D65,7)),INDEX(Assumptions!$B$43:$H$43,MIN(D65,7))),0))</f>
        <v>0</v>
      </c>
      <c r="E66" s="53">
        <f>IF(E$2&gt;Assumptions!$B$148,D66*(1-Assumptions!$B$149),IF(E65&gt;=1,Assumptions!$B$140*CHOOSE(Assumptions!$B$147,INDEX(Assumptions!$B$42:$H$42,MIN(E65,7)),INDEX(Assumptions!$B$43:$H$43,MIN(E65,7))),0))</f>
        <v>60.0</v>
      </c>
      <c r="F66" s="53">
        <f>IF(F$2&gt;Assumptions!$B$148,E66*(1-Assumptions!$B$149),IF(F65&gt;=1,Assumptions!$B$140*CHOOSE(Assumptions!$B$147,INDEX(Assumptions!$B$42:$H$42,MIN(F65,7)),INDEX(Assumptions!$B$43:$H$43,MIN(F65,7))),0))</f>
        <v>150.0</v>
      </c>
      <c r="G66" s="53">
        <f>IF(G$2&gt;Assumptions!$B$148,F66*(1-Assumptions!$B$149),IF(G65&gt;=1,Assumptions!$B$140*CHOOSE(Assumptions!$B$147,INDEX(Assumptions!$B$42:$H$42,MIN(G65,7)),INDEX(Assumptions!$B$43:$H$43,MIN(G65,7))),0))</f>
        <v>270.0</v>
      </c>
      <c r="H66" s="53">
        <f>IF(H$2&gt;Assumptions!$B$148,G66*(1-Assumptions!$B$149),IF(H65&gt;=1,Assumptions!$B$140*CHOOSE(Assumptions!$B$147,INDEX(Assumptions!$B$42:$H$42,MIN(H65,7)),INDEX(Assumptions!$B$43:$H$43,MIN(H65,7))),0))</f>
        <v>390.0</v>
      </c>
      <c r="I66" s="53">
        <f>IF(I$2&gt;Assumptions!$B$148,H66*(1-Assumptions!$B$149),IF(I65&gt;=1,Assumptions!$B$140*CHOOSE(Assumptions!$B$147,INDEX(Assumptions!$B$42:$H$42,MIN(I65,7)),INDEX(Assumptions!$B$43:$H$43,MIN(I65,7))),0))</f>
        <v>491.99999999999994</v>
      </c>
      <c r="J66" s="53">
        <f>IF(J$2&gt;Assumptions!$B$148,I66*(1-Assumptions!$B$149),IF(J65&gt;=1,Assumptions!$B$140*CHOOSE(Assumptions!$B$147,INDEX(Assumptions!$B$42:$H$42,MIN(J65,7)),INDEX(Assumptions!$B$43:$H$43,MIN(J65,7))),0))</f>
        <v>558.0</v>
      </c>
      <c r="K66" s="53">
        <f>IF(K$2&gt;Assumptions!$B$148,J66*(1-Assumptions!$B$149),IF(K65&gt;=1,Assumptions!$B$140*CHOOSE(Assumptions!$B$147,INDEX(Assumptions!$B$42:$H$42,MIN(K65,7)),INDEX(Assumptions!$B$43:$H$43,MIN(K65,7))),0))</f>
        <v>600.0</v>
      </c>
      <c r="L66" s="53">
        <f>IF(L$2&gt;Assumptions!$B$148,K66*(1-Assumptions!$B$149),IF(L65&gt;=1,Assumptions!$B$140*CHOOSE(Assumptions!$B$147,INDEX(Assumptions!$B$42:$H$42,MIN(L65,7)),INDEX(Assumptions!$B$43:$H$43,MIN(L65,7))),0))</f>
        <v>600.0</v>
      </c>
      <c r="M66" s="53">
        <f>IF(M$2&gt;Assumptions!$B$148,L66*(1-Assumptions!$B$149),IF(M65&gt;=1,Assumptions!$B$140*CHOOSE(Assumptions!$B$147,INDEX(Assumptions!$B$42:$H$42,MIN(M65,7)),INDEX(Assumptions!$B$43:$H$43,MIN(M65,7))),0))</f>
        <v>600.0</v>
      </c>
      <c r="N66" s="53">
        <f>IF(N$2&gt;Assumptions!$B$148,M66*(1-Assumptions!$B$149),IF(N65&gt;=1,Assumptions!$B$140*CHOOSE(Assumptions!$B$147,INDEX(Assumptions!$B$42:$H$42,MIN(N65,7)),INDEX(Assumptions!$B$43:$H$43,MIN(N65,7))),0))</f>
        <v>600.0</v>
      </c>
      <c r="O66" s="53">
        <f>IF(O$2&gt;Assumptions!$B$148,N66*(1-Assumptions!$B$149),IF(O65&gt;=1,Assumptions!$B$140*CHOOSE(Assumptions!$B$147,INDEX(Assumptions!$B$42:$H$42,MIN(O65,7)),INDEX(Assumptions!$B$43:$H$43,MIN(O65,7))),0))</f>
        <v>600.0</v>
      </c>
      <c r="P66" s="53">
        <f>IF(P$2&gt;Assumptions!$B$148,O66*(1-Assumptions!$B$149),IF(P65&gt;=1,Assumptions!$B$140*CHOOSE(Assumptions!$B$147,INDEX(Assumptions!$B$42:$H$42,MIN(P65,7)),INDEX(Assumptions!$B$43:$H$43,MIN(P65,7))),0))</f>
        <v>600.0</v>
      </c>
      <c r="Q66" s="53">
        <f>IF(Q$2&gt;Assumptions!$B$148,P66*(1-Assumptions!$B$149),IF(Q65&gt;=1,Assumptions!$B$140*CHOOSE(Assumptions!$B$147,INDEX(Assumptions!$B$42:$H$42,MIN(Q65,7)),INDEX(Assumptions!$B$43:$H$43,MIN(Q65,7))),0))</f>
        <v>600.0</v>
      </c>
      <c r="R66" s="53">
        <f>IF(R$2&gt;Assumptions!$B$148,Q66*(1-Assumptions!$B$149),IF(R65&gt;=1,Assumptions!$B$140*CHOOSE(Assumptions!$B$147,INDEX(Assumptions!$B$42:$H$42,MIN(R65,7)),INDEX(Assumptions!$B$43:$H$43,MIN(R65,7))),0))</f>
        <v>240.0</v>
      </c>
      <c r="S66" s="53">
        <f>IF(S$2&gt;Assumptions!$B$148,R66*(1-Assumptions!$B$149),IF(S65&gt;=1,Assumptions!$B$140*CHOOSE(Assumptions!$B$147,INDEX(Assumptions!$B$42:$H$42,MIN(S65,7)),INDEX(Assumptions!$B$43:$H$43,MIN(S65,7))),0))</f>
        <v>96.0</v>
      </c>
      <c r="T66" s="53">
        <f>IF(T$2&gt;Assumptions!$B$148,S66*(1-Assumptions!$B$149),IF(T65&gt;=1,Assumptions!$B$140*CHOOSE(Assumptions!$B$147,INDEX(Assumptions!$B$42:$H$42,MIN(T65,7)),INDEX(Assumptions!$B$43:$H$43,MIN(T65,7))),0))</f>
        <v>38.400000000000006</v>
      </c>
      <c r="U66" s="53">
        <f>IF(U$2&gt;Assumptions!$B$148,T66*(1-Assumptions!$B$149),IF(U65&gt;=1,Assumptions!$B$140*CHOOSE(Assumptions!$B$147,INDEX(Assumptions!$B$42:$H$42,MIN(U65,7)),INDEX(Assumptions!$B$43:$H$43,MIN(U65,7))),0))</f>
        <v>15.360000000000003</v>
      </c>
      <c r="V66" s="53">
        <f>IF(V$2&gt;Assumptions!$B$148,U66*(1-Assumptions!$B$149),IF(V65&gt;=1,Assumptions!$B$140*CHOOSE(Assumptions!$B$147,INDEX(Assumptions!$B$42:$H$42,MIN(V65,7)),INDEX(Assumptions!$B$43:$H$43,MIN(V65,7))),0))</f>
        <v>6.144000000000002</v>
      </c>
      <c r="W66" s="53">
        <f>IF(W$2&gt;Assumptions!$B$148,V66*(1-Assumptions!$B$149),IF(W65&gt;=1,Assumptions!$B$140*CHOOSE(Assumptions!$B$147,INDEX(Assumptions!$B$42:$H$42,MIN(W65,7)),INDEX(Assumptions!$B$43:$H$43,MIN(W65,7))),0))</f>
        <v>2.457600000000001</v>
      </c>
      <c r="X66" s="53">
        <f>IF(X$2&gt;Assumptions!$B$148,W66*(1-Assumptions!$B$149),IF(X65&gt;=1,Assumptions!$B$140*CHOOSE(Assumptions!$B$147,INDEX(Assumptions!$B$42:$H$42,MIN(X65,7)),INDEX(Assumptions!$B$43:$H$43,MIN(X65,7))),0))</f>
        <v>0.9830400000000005</v>
      </c>
      <c r="Y66" s="53">
        <f>IF(Y$2&gt;Assumptions!$B$148,X66*(1-Assumptions!$B$149),IF(Y65&gt;=1,Assumptions!$B$140*CHOOSE(Assumptions!$B$147,INDEX(Assumptions!$B$42:$H$42,MIN(Y65,7)),INDEX(Assumptions!$B$43:$H$43,MIN(Y65,7))),0))</f>
        <v>0.39321600000000023</v>
      </c>
      <c r="Z66" s="53">
        <f>IF(Z$2&gt;Assumptions!$B$148,Y66*(1-Assumptions!$B$149),IF(Z65&gt;=1,Assumptions!$B$140*CHOOSE(Assumptions!$B$147,INDEX(Assumptions!$B$42:$H$42,MIN(Z65,7)),INDEX(Assumptions!$B$43:$H$43,MIN(Z65,7))),0))</f>
        <v>0.1572864000000001</v>
      </c>
    </row>
    <row r="67">
      <c r="A67" s="13" t="inlineStr">
        <is>
          <t>Product net sales, risk-adjusted</t>
        </is>
      </c>
      <c r="C67" s="53">
        <f>C66*MIN(1,Assumptions!$B$141*Assumptions!$B$37)</f>
        <v>0.0</v>
      </c>
      <c r="D67" s="53">
        <f>D66*MIN(1,Assumptions!$B$141*Assumptions!$B$37)</f>
        <v>0.0</v>
      </c>
      <c r="E67" s="53">
        <f>E66*MIN(1,Assumptions!$B$141*Assumptions!$B$37)</f>
        <v>27.0</v>
      </c>
      <c r="F67" s="53">
        <f>F66*MIN(1,Assumptions!$B$141*Assumptions!$B$37)</f>
        <v>67.5</v>
      </c>
      <c r="G67" s="53">
        <f>G66*MIN(1,Assumptions!$B$141*Assumptions!$B$37)</f>
        <v>121.5</v>
      </c>
      <c r="H67" s="53">
        <f>H66*MIN(1,Assumptions!$B$141*Assumptions!$B$37)</f>
        <v>175.5</v>
      </c>
      <c r="I67" s="53">
        <f>I66*MIN(1,Assumptions!$B$141*Assumptions!$B$37)</f>
        <v>221.39999999999998</v>
      </c>
      <c r="J67" s="53">
        <f>J66*MIN(1,Assumptions!$B$141*Assumptions!$B$37)</f>
        <v>251.1</v>
      </c>
      <c r="K67" s="53">
        <f>K66*MIN(1,Assumptions!$B$141*Assumptions!$B$37)</f>
        <v>270.0</v>
      </c>
      <c r="L67" s="53">
        <f>L66*MIN(1,Assumptions!$B$141*Assumptions!$B$37)</f>
        <v>270.0</v>
      </c>
      <c r="M67" s="53">
        <f>M66*MIN(1,Assumptions!$B$141*Assumptions!$B$37)</f>
        <v>270.0</v>
      </c>
      <c r="N67" s="53">
        <f>N66*MIN(1,Assumptions!$B$141*Assumptions!$B$37)</f>
        <v>270.0</v>
      </c>
      <c r="O67" s="53">
        <f>O66*MIN(1,Assumptions!$B$141*Assumptions!$B$37)</f>
        <v>270.0</v>
      </c>
      <c r="P67" s="53">
        <f>P66*MIN(1,Assumptions!$B$141*Assumptions!$B$37)</f>
        <v>270.0</v>
      </c>
      <c r="Q67" s="53">
        <f>Q66*MIN(1,Assumptions!$B$141*Assumptions!$B$37)</f>
        <v>270.0</v>
      </c>
      <c r="R67" s="53">
        <f>R66*MIN(1,Assumptions!$B$141*Assumptions!$B$37)</f>
        <v>108.0</v>
      </c>
      <c r="S67" s="53">
        <f>S66*MIN(1,Assumptions!$B$141*Assumptions!$B$37)</f>
        <v>43.2</v>
      </c>
      <c r="T67" s="53">
        <f>T66*MIN(1,Assumptions!$B$141*Assumptions!$B$37)</f>
        <v>17.280000000000005</v>
      </c>
      <c r="U67" s="53">
        <f>U66*MIN(1,Assumptions!$B$141*Assumptions!$B$37)</f>
        <v>6.912000000000002</v>
      </c>
      <c r="V67" s="53">
        <f>V66*MIN(1,Assumptions!$B$141*Assumptions!$B$37)</f>
        <v>2.764800000000001</v>
      </c>
      <c r="W67" s="53">
        <f>W66*MIN(1,Assumptions!$B$141*Assumptions!$B$37)</f>
        <v>1.1059200000000005</v>
      </c>
      <c r="X67" s="53">
        <f>X66*MIN(1,Assumptions!$B$141*Assumptions!$B$37)</f>
        <v>0.4423680000000002</v>
      </c>
      <c r="Y67" s="53">
        <f>Y66*MIN(1,Assumptions!$B$141*Assumptions!$B$37)</f>
        <v>0.1769472000000001</v>
      </c>
      <c r="Z67" s="53">
        <f>Z66*MIN(1,Assumptions!$B$141*Assumptions!$B$37)</f>
        <v>0.07077888000000004</v>
      </c>
    </row>
    <row r="68">
      <c r="A68" s="13" t="inlineStr">
        <is>
          <t>Company revenue, risk-adjusted (incl. milestones)</t>
        </is>
      </c>
      <c r="C68" s="53">
        <f>C67*Assumptions!$B$142</f>
        <v>0.0</v>
      </c>
      <c r="D68" s="53">
        <f>D67*Assumptions!$B$142</f>
        <v>0.0</v>
      </c>
      <c r="E68" s="53">
        <f>E67*Assumptions!$B$142</f>
        <v>27.0</v>
      </c>
      <c r="F68" s="53">
        <f>F67*Assumptions!$B$142</f>
        <v>67.5</v>
      </c>
      <c r="G68" s="53">
        <f>G67*Assumptions!$B$142</f>
        <v>121.5</v>
      </c>
      <c r="H68" s="53">
        <f>H67*Assumptions!$B$142</f>
        <v>175.5</v>
      </c>
      <c r="I68" s="53">
        <f>I67*Assumptions!$B$142</f>
        <v>221.39999999999998</v>
      </c>
      <c r="J68" s="53">
        <f>J67*Assumptions!$B$142</f>
        <v>251.1</v>
      </c>
      <c r="K68" s="53">
        <f>K67*Assumptions!$B$142</f>
        <v>270.0</v>
      </c>
      <c r="L68" s="53">
        <f>L67*Assumptions!$B$142</f>
        <v>270.0</v>
      </c>
      <c r="M68" s="53">
        <f>M67*Assumptions!$B$142</f>
        <v>270.0</v>
      </c>
      <c r="N68" s="53">
        <f>N67*Assumptions!$B$142</f>
        <v>270.0</v>
      </c>
      <c r="O68" s="53">
        <f>O67*Assumptions!$B$142</f>
        <v>270.0</v>
      </c>
      <c r="P68" s="53">
        <f>P67*Assumptions!$B$142</f>
        <v>270.0</v>
      </c>
      <c r="Q68" s="53">
        <f>Q67*Assumptions!$B$142</f>
        <v>270.0</v>
      </c>
      <c r="R68" s="53">
        <f>R67*Assumptions!$B$142</f>
        <v>108.0</v>
      </c>
      <c r="S68" s="53">
        <f>S67*Assumptions!$B$142</f>
        <v>43.2</v>
      </c>
      <c r="T68" s="53">
        <f>T67*Assumptions!$B$142</f>
        <v>17.280000000000005</v>
      </c>
      <c r="U68" s="53">
        <f>U67*Assumptions!$B$142</f>
        <v>6.912000000000002</v>
      </c>
      <c r="V68" s="53">
        <f>V67*Assumptions!$B$142</f>
        <v>2.764800000000001</v>
      </c>
      <c r="W68" s="53">
        <f>W67*Assumptions!$B$142</f>
        <v>1.1059200000000005</v>
      </c>
      <c r="X68" s="53">
        <f>X67*Assumptions!$B$142</f>
        <v>0.4423680000000002</v>
      </c>
      <c r="Y68" s="53">
        <f>Y67*Assumptions!$B$142</f>
        <v>0.1769472000000001</v>
      </c>
      <c r="Z68" s="53">
        <f>Z67*Assumptions!$B$142</f>
        <v>0.07077888000000004</v>
      </c>
    </row>
    <row r="69">
      <c r="A69" s="13" t="inlineStr">
        <is>
          <t>COGS + royalties, risk-adjusted</t>
        </is>
      </c>
      <c r="C69" s="53">
        <f>C67*(Assumptions!$B$143+Assumptions!$B$144)</f>
        <v>0.0</v>
      </c>
      <c r="D69" s="53">
        <f>D67*(Assumptions!$B$143+Assumptions!$B$144)</f>
        <v>0.0</v>
      </c>
      <c r="E69" s="53">
        <f>E67*(Assumptions!$B$143+Assumptions!$B$144)</f>
        <v>2.97</v>
      </c>
      <c r="F69" s="53">
        <f>F67*(Assumptions!$B$143+Assumptions!$B$144)</f>
        <v>7.425</v>
      </c>
      <c r="G69" s="53">
        <f>G67*(Assumptions!$B$143+Assumptions!$B$144)</f>
        <v>13.365</v>
      </c>
      <c r="H69" s="53">
        <f>H67*(Assumptions!$B$143+Assumptions!$B$144)</f>
        <v>19.305</v>
      </c>
      <c r="I69" s="53">
        <f>I67*(Assumptions!$B$143+Assumptions!$B$144)</f>
        <v>24.354</v>
      </c>
      <c r="J69" s="53">
        <f>J67*(Assumptions!$B$143+Assumptions!$B$144)</f>
        <v>27.621</v>
      </c>
      <c r="K69" s="53">
        <f>K67*(Assumptions!$B$143+Assumptions!$B$144)</f>
        <v>29.7</v>
      </c>
      <c r="L69" s="53">
        <f>L67*(Assumptions!$B$143+Assumptions!$B$144)</f>
        <v>29.7</v>
      </c>
      <c r="M69" s="53">
        <f>M67*(Assumptions!$B$143+Assumptions!$B$144)</f>
        <v>29.7</v>
      </c>
      <c r="N69" s="53">
        <f>N67*(Assumptions!$B$143+Assumptions!$B$144)</f>
        <v>29.7</v>
      </c>
      <c r="O69" s="53">
        <f>O67*(Assumptions!$B$143+Assumptions!$B$144)</f>
        <v>29.7</v>
      </c>
      <c r="P69" s="53">
        <f>P67*(Assumptions!$B$143+Assumptions!$B$144)</f>
        <v>29.7</v>
      </c>
      <c r="Q69" s="53">
        <f>Q67*(Assumptions!$B$143+Assumptions!$B$144)</f>
        <v>29.7</v>
      </c>
      <c r="R69" s="53">
        <f>R67*(Assumptions!$B$143+Assumptions!$B$144)</f>
        <v>11.88</v>
      </c>
      <c r="S69" s="53">
        <f>S67*(Assumptions!$B$143+Assumptions!$B$144)</f>
        <v>4.752000000000001</v>
      </c>
      <c r="T69" s="53">
        <f>T67*(Assumptions!$B$143+Assumptions!$B$144)</f>
        <v>1.9008000000000005</v>
      </c>
      <c r="U69" s="53">
        <f>U67*(Assumptions!$B$143+Assumptions!$B$144)</f>
        <v>0.7603200000000002</v>
      </c>
      <c r="V69" s="53">
        <f>V67*(Assumptions!$B$143+Assumptions!$B$144)</f>
        <v>0.3041280000000001</v>
      </c>
      <c r="W69" s="53">
        <f>W67*(Assumptions!$B$143+Assumptions!$B$144)</f>
        <v>0.12165120000000006</v>
      </c>
      <c r="X69" s="53">
        <f>X67*(Assumptions!$B$143+Assumptions!$B$144)</f>
        <v>0.04866048000000002</v>
      </c>
      <c r="Y69" s="53">
        <f>Y67*(Assumptions!$B$143+Assumptions!$B$144)</f>
        <v>0.019464192000000012</v>
      </c>
      <c r="Z69" s="53">
        <f>Z67*(Assumptions!$B$143+Assumptions!$B$144)</f>
        <v>0.007785676800000005</v>
      </c>
    </row>
    <row r="70">
      <c r="A70" s="13" t="inlineStr">
        <is>
          <t>Commercial SG&amp;A, risk-adjusted</t>
        </is>
      </c>
      <c r="C70" s="53">
        <f>MIN(1,Assumptions!$B$141*Assumptions!$B$37)*IF(Assumptions!$B$145=0,0,IF(C65=0,Assumptions!$B$146,IF(C65&gt;=1,C66*IF(OR(Assumptions!$B$142&lt;1,C65&gt;5),Assumptions!$B$145,MAX(Assumptions!$B$145,INDEX(Assumptions!$B$44:$F$44,C65))),0)))</f>
        <v>0.0</v>
      </c>
      <c r="D70" s="53">
        <f>MIN(1,Assumptions!$B$141*Assumptions!$B$37)*IF(Assumptions!$B$145=0,0,IF(D65=0,Assumptions!$B$146,IF(D65&gt;=1,D66*IF(OR(Assumptions!$B$142&lt;1,D65&gt;5),Assumptions!$B$145,MAX(Assumptions!$B$145,INDEX(Assumptions!$B$44:$F$44,D65))),0)))</f>
        <v>6.75</v>
      </c>
      <c r="E70" s="53">
        <f>MIN(1,Assumptions!$B$141*Assumptions!$B$37)*IF(Assumptions!$B$145=0,0,IF(E65=0,Assumptions!$B$146,IF(E65&gt;=1,E66*IF(OR(Assumptions!$B$142&lt;1,E65&gt;5),Assumptions!$B$145,MAX(Assumptions!$B$145,INDEX(Assumptions!$B$44:$F$44,E65))),0)))</f>
        <v>24.3</v>
      </c>
      <c r="F70" s="53">
        <f>MIN(1,Assumptions!$B$141*Assumptions!$B$37)*IF(Assumptions!$B$145=0,0,IF(F65=0,Assumptions!$B$146,IF(F65&gt;=1,F66*IF(OR(Assumptions!$B$142&lt;1,F65&gt;5),Assumptions!$B$145,MAX(Assumptions!$B$145,INDEX(Assumptions!$B$44:$F$44,F65))),0)))</f>
        <v>37.125</v>
      </c>
      <c r="G70" s="53">
        <f>MIN(1,Assumptions!$B$141*Assumptions!$B$37)*IF(Assumptions!$B$145=0,0,IF(G65=0,Assumptions!$B$146,IF(G65&gt;=1,G66*IF(OR(Assumptions!$B$142&lt;1,G65&gt;5),Assumptions!$B$145,MAX(Assumptions!$B$145,INDEX(Assumptions!$B$44:$F$44,G65))),0)))</f>
        <v>48.6</v>
      </c>
      <c r="H70" s="53">
        <f>MIN(1,Assumptions!$B$141*Assumptions!$B$37)*IF(Assumptions!$B$145=0,0,IF(H65=0,Assumptions!$B$146,IF(H65&gt;=1,H66*IF(OR(Assumptions!$B$142&lt;1,H65&gt;5),Assumptions!$B$145,MAX(Assumptions!$B$145,INDEX(Assumptions!$B$44:$F$44,H65))),0)))</f>
        <v>56.16</v>
      </c>
      <c r="I70" s="53">
        <f>MIN(1,Assumptions!$B$141*Assumptions!$B$37)*IF(Assumptions!$B$145=0,0,IF(I65=0,Assumptions!$B$146,IF(I65&gt;=1,I66*IF(OR(Assumptions!$B$142&lt;1,I65&gt;5),Assumptions!$B$145,MAX(Assumptions!$B$145,INDEX(Assumptions!$B$44:$F$44,I65))),0)))</f>
        <v>61.992</v>
      </c>
      <c r="J70" s="53">
        <f>MIN(1,Assumptions!$B$141*Assumptions!$B$37)*IF(Assumptions!$B$145=0,0,IF(J65=0,Assumptions!$B$146,IF(J65&gt;=1,J66*IF(OR(Assumptions!$B$142&lt;1,J65&gt;5),Assumptions!$B$145,MAX(Assumptions!$B$145,INDEX(Assumptions!$B$44:$F$44,J65))),0)))</f>
        <v>50.220000000000006</v>
      </c>
      <c r="K70" s="53">
        <f>MIN(1,Assumptions!$B$141*Assumptions!$B$37)*IF(Assumptions!$B$145=0,0,IF(K65=0,Assumptions!$B$146,IF(K65&gt;=1,K66*IF(OR(Assumptions!$B$142&lt;1,K65&gt;5),Assumptions!$B$145,MAX(Assumptions!$B$145,INDEX(Assumptions!$B$44:$F$44,K65))),0)))</f>
        <v>54.0</v>
      </c>
      <c r="L70" s="53">
        <f>MIN(1,Assumptions!$B$141*Assumptions!$B$37)*IF(Assumptions!$B$145=0,0,IF(L65=0,Assumptions!$B$146,IF(L65&gt;=1,L66*IF(OR(Assumptions!$B$142&lt;1,L65&gt;5),Assumptions!$B$145,MAX(Assumptions!$B$145,INDEX(Assumptions!$B$44:$F$44,L65))),0)))</f>
        <v>54.0</v>
      </c>
      <c r="M70" s="53">
        <f>MIN(1,Assumptions!$B$141*Assumptions!$B$37)*IF(Assumptions!$B$145=0,0,IF(M65=0,Assumptions!$B$146,IF(M65&gt;=1,M66*IF(OR(Assumptions!$B$142&lt;1,M65&gt;5),Assumptions!$B$145,MAX(Assumptions!$B$145,INDEX(Assumptions!$B$44:$F$44,M65))),0)))</f>
        <v>54.0</v>
      </c>
      <c r="N70" s="53">
        <f>MIN(1,Assumptions!$B$141*Assumptions!$B$37)*IF(Assumptions!$B$145=0,0,IF(N65=0,Assumptions!$B$146,IF(N65&gt;=1,N66*IF(OR(Assumptions!$B$142&lt;1,N65&gt;5),Assumptions!$B$145,MAX(Assumptions!$B$145,INDEX(Assumptions!$B$44:$F$44,N65))),0)))</f>
        <v>54.0</v>
      </c>
      <c r="O70" s="53">
        <f>MIN(1,Assumptions!$B$141*Assumptions!$B$37)*IF(Assumptions!$B$145=0,0,IF(O65=0,Assumptions!$B$146,IF(O65&gt;=1,O66*IF(OR(Assumptions!$B$142&lt;1,O65&gt;5),Assumptions!$B$145,MAX(Assumptions!$B$145,INDEX(Assumptions!$B$44:$F$44,O65))),0)))</f>
        <v>54.0</v>
      </c>
      <c r="P70" s="53">
        <f>MIN(1,Assumptions!$B$141*Assumptions!$B$37)*IF(Assumptions!$B$145=0,0,IF(P65=0,Assumptions!$B$146,IF(P65&gt;=1,P66*IF(OR(Assumptions!$B$142&lt;1,P65&gt;5),Assumptions!$B$145,MAX(Assumptions!$B$145,INDEX(Assumptions!$B$44:$F$44,P65))),0)))</f>
        <v>54.0</v>
      </c>
      <c r="Q70" s="53">
        <f>MIN(1,Assumptions!$B$141*Assumptions!$B$37)*IF(Assumptions!$B$145=0,0,IF(Q65=0,Assumptions!$B$146,IF(Q65&gt;=1,Q66*IF(OR(Assumptions!$B$142&lt;1,Q65&gt;5),Assumptions!$B$145,MAX(Assumptions!$B$145,INDEX(Assumptions!$B$44:$F$44,Q65))),0)))</f>
        <v>54.0</v>
      </c>
      <c r="R70" s="53">
        <f>MIN(1,Assumptions!$B$141*Assumptions!$B$37)*IF(Assumptions!$B$145=0,0,IF(R65=0,Assumptions!$B$146,IF(R65&gt;=1,R66*IF(OR(Assumptions!$B$142&lt;1,R65&gt;5),Assumptions!$B$145,MAX(Assumptions!$B$145,INDEX(Assumptions!$B$44:$F$44,R65))),0)))</f>
        <v>21.6</v>
      </c>
      <c r="S70" s="53">
        <f>MIN(1,Assumptions!$B$141*Assumptions!$B$37)*IF(Assumptions!$B$145=0,0,IF(S65=0,Assumptions!$B$146,IF(S65&gt;=1,S66*IF(OR(Assumptions!$B$142&lt;1,S65&gt;5),Assumptions!$B$145,MAX(Assumptions!$B$145,INDEX(Assumptions!$B$44:$F$44,S65))),0)))</f>
        <v>8.640000000000002</v>
      </c>
      <c r="T70" s="53">
        <f>MIN(1,Assumptions!$B$141*Assumptions!$B$37)*IF(Assumptions!$B$145=0,0,IF(T65=0,Assumptions!$B$146,IF(T65&gt;=1,T66*IF(OR(Assumptions!$B$142&lt;1,T65&gt;5),Assumptions!$B$145,MAX(Assumptions!$B$145,INDEX(Assumptions!$B$44:$F$44,T65))),0)))</f>
        <v>3.456000000000001</v>
      </c>
      <c r="U70" s="53">
        <f>MIN(1,Assumptions!$B$141*Assumptions!$B$37)*IF(Assumptions!$B$145=0,0,IF(U65=0,Assumptions!$B$146,IF(U65&gt;=1,U66*IF(OR(Assumptions!$B$142&lt;1,U65&gt;5),Assumptions!$B$145,MAX(Assumptions!$B$145,INDEX(Assumptions!$B$44:$F$44,U65))),0)))</f>
        <v>1.3824000000000005</v>
      </c>
      <c r="V70" s="53">
        <f>MIN(1,Assumptions!$B$141*Assumptions!$B$37)*IF(Assumptions!$B$145=0,0,IF(V65=0,Assumptions!$B$146,IF(V65&gt;=1,V66*IF(OR(Assumptions!$B$142&lt;1,V65&gt;5),Assumptions!$B$145,MAX(Assumptions!$B$145,INDEX(Assumptions!$B$44:$F$44,V65))),0)))</f>
        <v>0.5529600000000002</v>
      </c>
      <c r="W70" s="53">
        <f>MIN(1,Assumptions!$B$141*Assumptions!$B$37)*IF(Assumptions!$B$145=0,0,IF(W65=0,Assumptions!$B$146,IF(W65&gt;=1,W66*IF(OR(Assumptions!$B$142&lt;1,W65&gt;5),Assumptions!$B$145,MAX(Assumptions!$B$145,INDEX(Assumptions!$B$44:$F$44,W65))),0)))</f>
        <v>0.2211840000000001</v>
      </c>
      <c r="X70" s="53">
        <f>MIN(1,Assumptions!$B$141*Assumptions!$B$37)*IF(Assumptions!$B$145=0,0,IF(X65=0,Assumptions!$B$146,IF(X65&gt;=1,X66*IF(OR(Assumptions!$B$142&lt;1,X65&gt;5),Assumptions!$B$145,MAX(Assumptions!$B$145,INDEX(Assumptions!$B$44:$F$44,X65))),0)))</f>
        <v>0.08847360000000005</v>
      </c>
      <c r="Y70" s="53">
        <f>MIN(1,Assumptions!$B$141*Assumptions!$B$37)*IF(Assumptions!$B$145=0,0,IF(Y65=0,Assumptions!$B$146,IF(Y65&gt;=1,Y66*IF(OR(Assumptions!$B$142&lt;1,Y65&gt;5),Assumptions!$B$145,MAX(Assumptions!$B$145,INDEX(Assumptions!$B$44:$F$44,Y65))),0)))</f>
        <v>0.03538944000000002</v>
      </c>
      <c r="Z70" s="53">
        <f>MIN(1,Assumptions!$B$141*Assumptions!$B$37)*IF(Assumptions!$B$145=0,0,IF(Z65=0,Assumptions!$B$146,IF(Z65&gt;=1,Z66*IF(OR(Assumptions!$B$142&lt;1,Z65&gt;5),Assumptions!$B$145,MAX(Assumptions!$B$145,INDEX(Assumptions!$B$44:$F$44,Z65))),0)))</f>
        <v>0.014155776000000012</v>
      </c>
    </row>
    <row r="71">
      <c r="A71" s="13" t="inlineStr">
        <is>
          <t>Development R&amp;D, risk-adjusted</t>
        </is>
      </c>
      <c r="C71" s="53">
        <f>IFERROR(INDEX(Assumptions!$B$151:$I$151,MATCH(C$2,Assumptions!$B$150:$I$150,0))*INDEX(Assumptions!$B$152:$I$152,MATCH(C$2,Assumptions!$B$150:$I$150,0)),0)</f>
        <v>40.0</v>
      </c>
      <c r="D71" s="53">
        <f>IFERROR(INDEX(Assumptions!$B$151:$I$151,MATCH(D$2,Assumptions!$B$150:$I$150,0))*INDEX(Assumptions!$B$152:$I$152,MATCH(D$2,Assumptions!$B$150:$I$150,0)),0)</f>
        <v>20.0</v>
      </c>
      <c r="E71" s="53">
        <f>IFERROR(INDEX(Assumptions!$B$151:$I$151,MATCH(E$2,Assumptions!$B$150:$I$150,0))*INDEX(Assumptions!$B$152:$I$152,MATCH(E$2,Assumptions!$B$150:$I$150,0)),0)</f>
        <v>0.0</v>
      </c>
      <c r="F71" s="53">
        <f>IFERROR(INDEX(Assumptions!$B$151:$I$151,MATCH(F$2,Assumptions!$B$150:$I$150,0))*INDEX(Assumptions!$B$152:$I$152,MATCH(F$2,Assumptions!$B$150:$I$150,0)),0)</f>
        <v>0.0</v>
      </c>
      <c r="G71" s="53">
        <f>IFERROR(INDEX(Assumptions!$B$151:$I$151,MATCH(G$2,Assumptions!$B$150:$I$150,0))*INDEX(Assumptions!$B$152:$I$152,MATCH(G$2,Assumptions!$B$150:$I$150,0)),0)</f>
        <v>0.0</v>
      </c>
      <c r="H71" s="53">
        <f>IFERROR(INDEX(Assumptions!$B$151:$I$151,MATCH(H$2,Assumptions!$B$150:$I$150,0))*INDEX(Assumptions!$B$152:$I$152,MATCH(H$2,Assumptions!$B$150:$I$150,0)),0)</f>
        <v>0.0</v>
      </c>
      <c r="I71" s="53">
        <f>IFERROR(INDEX(Assumptions!$B$151:$I$151,MATCH(I$2,Assumptions!$B$150:$I$150,0))*INDEX(Assumptions!$B$152:$I$152,MATCH(I$2,Assumptions!$B$150:$I$150,0)),0)</f>
        <v>0.0</v>
      </c>
      <c r="J71" s="53">
        <f>IFERROR(INDEX(Assumptions!$B$151:$I$151,MATCH(J$2,Assumptions!$B$150:$I$150,0))*INDEX(Assumptions!$B$152:$I$152,MATCH(J$2,Assumptions!$B$150:$I$150,0)),0)</f>
        <v>0.0</v>
      </c>
      <c r="K71" s="53">
        <f>IFERROR(INDEX(Assumptions!$B$151:$I$151,MATCH(K$2,Assumptions!$B$150:$I$150,0))*INDEX(Assumptions!$B$152:$I$152,MATCH(K$2,Assumptions!$B$150:$I$150,0)),0)</f>
        <v>0</v>
      </c>
      <c r="L71" s="53">
        <f>IFERROR(INDEX(Assumptions!$B$151:$I$151,MATCH(L$2,Assumptions!$B$150:$I$150,0))*INDEX(Assumptions!$B$152:$I$152,MATCH(L$2,Assumptions!$B$150:$I$150,0)),0)</f>
        <v>0</v>
      </c>
      <c r="M71" s="53">
        <f>IFERROR(INDEX(Assumptions!$B$151:$I$151,MATCH(M$2,Assumptions!$B$150:$I$150,0))*INDEX(Assumptions!$B$152:$I$152,MATCH(M$2,Assumptions!$B$150:$I$150,0)),0)</f>
        <v>0</v>
      </c>
      <c r="N71" s="53">
        <f>IFERROR(INDEX(Assumptions!$B$151:$I$151,MATCH(N$2,Assumptions!$B$150:$I$150,0))*INDEX(Assumptions!$B$152:$I$152,MATCH(N$2,Assumptions!$B$150:$I$150,0)),0)</f>
        <v>0</v>
      </c>
      <c r="O71" s="53">
        <f>IFERROR(INDEX(Assumptions!$B$151:$I$151,MATCH(O$2,Assumptions!$B$150:$I$150,0))*INDEX(Assumptions!$B$152:$I$152,MATCH(O$2,Assumptions!$B$150:$I$150,0)),0)</f>
        <v>0</v>
      </c>
      <c r="P71" s="53">
        <f>IFERROR(INDEX(Assumptions!$B$151:$I$151,MATCH(P$2,Assumptions!$B$150:$I$150,0))*INDEX(Assumptions!$B$152:$I$152,MATCH(P$2,Assumptions!$B$150:$I$150,0)),0)</f>
        <v>0</v>
      </c>
      <c r="Q71" s="53">
        <f>IFERROR(INDEX(Assumptions!$B$151:$I$151,MATCH(Q$2,Assumptions!$B$150:$I$150,0))*INDEX(Assumptions!$B$152:$I$152,MATCH(Q$2,Assumptions!$B$150:$I$150,0)),0)</f>
        <v>0</v>
      </c>
      <c r="R71" s="53">
        <f>IFERROR(INDEX(Assumptions!$B$151:$I$151,MATCH(R$2,Assumptions!$B$150:$I$150,0))*INDEX(Assumptions!$B$152:$I$152,MATCH(R$2,Assumptions!$B$150:$I$150,0)),0)</f>
        <v>0</v>
      </c>
      <c r="S71" s="53">
        <f>IFERROR(INDEX(Assumptions!$B$151:$I$151,MATCH(S$2,Assumptions!$B$150:$I$150,0))*INDEX(Assumptions!$B$152:$I$152,MATCH(S$2,Assumptions!$B$150:$I$150,0)),0)</f>
        <v>0</v>
      </c>
      <c r="T71" s="53">
        <f>IFERROR(INDEX(Assumptions!$B$151:$I$151,MATCH(T$2,Assumptions!$B$150:$I$150,0))*INDEX(Assumptions!$B$152:$I$152,MATCH(T$2,Assumptions!$B$150:$I$150,0)),0)</f>
        <v>0</v>
      </c>
      <c r="U71" s="53">
        <f>IFERROR(INDEX(Assumptions!$B$151:$I$151,MATCH(U$2,Assumptions!$B$150:$I$150,0))*INDEX(Assumptions!$B$152:$I$152,MATCH(U$2,Assumptions!$B$150:$I$150,0)),0)</f>
        <v>0</v>
      </c>
      <c r="V71" s="53">
        <f>IFERROR(INDEX(Assumptions!$B$151:$I$151,MATCH(V$2,Assumptions!$B$150:$I$150,0))*INDEX(Assumptions!$B$152:$I$152,MATCH(V$2,Assumptions!$B$150:$I$150,0)),0)</f>
        <v>0</v>
      </c>
      <c r="W71" s="53">
        <f>IFERROR(INDEX(Assumptions!$B$151:$I$151,MATCH(W$2,Assumptions!$B$150:$I$150,0))*INDEX(Assumptions!$B$152:$I$152,MATCH(W$2,Assumptions!$B$150:$I$150,0)),0)</f>
        <v>0</v>
      </c>
      <c r="X71" s="53">
        <f>IFERROR(INDEX(Assumptions!$B$151:$I$151,MATCH(X$2,Assumptions!$B$150:$I$150,0))*INDEX(Assumptions!$B$152:$I$152,MATCH(X$2,Assumptions!$B$150:$I$150,0)),0)</f>
        <v>0</v>
      </c>
      <c r="Y71" s="53">
        <f>IFERROR(INDEX(Assumptions!$B$151:$I$151,MATCH(Y$2,Assumptions!$B$150:$I$150,0))*INDEX(Assumptions!$B$152:$I$152,MATCH(Y$2,Assumptions!$B$150:$I$150,0)),0)</f>
        <v>0</v>
      </c>
      <c r="Z71" s="53">
        <f>IFERROR(INDEX(Assumptions!$B$151:$I$151,MATCH(Z$2,Assumptions!$B$150:$I$150,0))*INDEX(Assumptions!$B$152:$I$152,MATCH(Z$2,Assumptions!$B$150:$I$150,0)),0)</f>
        <v>0</v>
      </c>
    </row>
    <row r="72">
      <c r="A72" s="22" t="inlineStr">
        <is>
          <t>Program contribution (pre-tax)</t>
        </is>
      </c>
      <c r="C72" s="57">
        <f>C68-C69-C70-C71</f>
        <v>-40.0</v>
      </c>
      <c r="D72" s="57">
        <f>D68-D69-D70-D71</f>
        <v>-26.75</v>
      </c>
      <c r="E72" s="57">
        <f>E68-E69-E70-E71</f>
        <v>-0.2699999999999996</v>
      </c>
      <c r="F72" s="57">
        <f>F68-F69-F70-F71</f>
        <v>22.950000000000003</v>
      </c>
      <c r="G72" s="57">
        <f>G68-G69-G70-G71</f>
        <v>59.535000000000004</v>
      </c>
      <c r="H72" s="57">
        <f>H68-H69-H70-H71</f>
        <v>100.035</v>
      </c>
      <c r="I72" s="57">
        <f>I68-I69-I70-I71</f>
        <v>135.054</v>
      </c>
      <c r="J72" s="57">
        <f>J68-J69-J70-J71</f>
        <v>173.259</v>
      </c>
      <c r="K72" s="57">
        <f>K68-K69-K70-K71</f>
        <v>186.3</v>
      </c>
      <c r="L72" s="57">
        <f>L68-L69-L70-L71</f>
        <v>186.3</v>
      </c>
      <c r="M72" s="57">
        <f>M68-M69-M70-M71</f>
        <v>186.3</v>
      </c>
      <c r="N72" s="57">
        <f>N68-N69-N70-N71</f>
        <v>186.3</v>
      </c>
      <c r="O72" s="57">
        <f>O68-O69-O70-O71</f>
        <v>186.3</v>
      </c>
      <c r="P72" s="57">
        <f>P68-P69-P70-P71</f>
        <v>186.3</v>
      </c>
      <c r="Q72" s="57">
        <f>Q68-Q69-Q70-Q71</f>
        <v>186.3</v>
      </c>
      <c r="R72" s="57">
        <f>R68-R69-R70-R71</f>
        <v>74.52000000000001</v>
      </c>
      <c r="S72" s="57">
        <f>S68-S69-S70-S71</f>
        <v>29.808</v>
      </c>
      <c r="T72" s="57">
        <f>T68-T69-T70-T71</f>
        <v>11.923200000000003</v>
      </c>
      <c r="U72" s="57">
        <f>U68-U69-U70-U71</f>
        <v>4.769280000000001</v>
      </c>
      <c r="V72" s="57">
        <f>V68-V69-V70-V71</f>
        <v>1.907712000000001</v>
      </c>
      <c r="W72" s="57">
        <f>W68-W69-W70-W71</f>
        <v>0.7630848000000003</v>
      </c>
      <c r="X72" s="57">
        <f>X68-X69-X70-X71</f>
        <v>0.30523392000000016</v>
      </c>
      <c r="Y72" s="57">
        <f>Y68-Y69-Y70-Y71</f>
        <v>0.12209356800000007</v>
      </c>
      <c r="Z72" s="57">
        <f>Z68-Z69-Z70-Z71</f>
        <v>0.04883742720000003</v>
      </c>
    </row>
    <row r="74">
      <c r="A74" s="30" t="inlineStr">
        <is>
          <t>Company totals (risk-adjusted)</t>
        </is>
      </c>
    </row>
    <row r="75">
      <c r="A75" s="22" t="inlineStr">
        <is>
          <t>Revenue</t>
        </is>
      </c>
      <c r="C75" s="57">
        <f>C7+C16+C28+C38+C48+C58+C68</f>
        <v>1910.676</v>
      </c>
      <c r="D75" s="57">
        <f>D7+D16+D28+D38+D48+D58+D68</f>
        <v>2676.932</v>
      </c>
      <c r="E75" s="57">
        <f>E7+E16+E28+E38+E48+E58+E68</f>
        <v>3752.158</v>
      </c>
      <c r="F75" s="57">
        <f>F7+F16+F28+F38+F48+F58+F68</f>
        <v>4849.674</v>
      </c>
      <c r="G75" s="57">
        <f>G7+G16+G28+G38+G48+G58+G68</f>
        <v>5904.91</v>
      </c>
      <c r="H75" s="57">
        <f>H7+H16+H28+H38+H48+H58+H68</f>
        <v>6373.68</v>
      </c>
      <c r="I75" s="57">
        <f>I7+I16+I28+I38+I48+I58+I68</f>
        <v>6625.0199999999995</v>
      </c>
      <c r="J75" s="57">
        <f>J7+J16+J28+J38+J48+J58+J68</f>
        <v>6736.650000000001</v>
      </c>
      <c r="K75" s="57">
        <f>K7+K16+K28+K38+K48+K58+K68</f>
        <v>6802.8</v>
      </c>
      <c r="L75" s="57">
        <f>L7+L16+L28+L38+L48+L58+L68</f>
        <v>6802.8</v>
      </c>
      <c r="M75" s="57">
        <f>M7+M16+M28+M38+M48+M58+M68</f>
        <v>6802.8</v>
      </c>
      <c r="N75" s="57">
        <f>N7+N16+N28+N38+N48+N58+N68</f>
        <v>4852.8</v>
      </c>
      <c r="O75" s="57">
        <f>O7+O16+O28+O38+O48+O58+O68</f>
        <v>4072.8</v>
      </c>
      <c r="P75" s="57">
        <f>P7+P16+P28+P38+P48+P58+P68</f>
        <v>3760.8</v>
      </c>
      <c r="Q75" s="57">
        <f>Q7+Q16+Q28+Q38+Q48+Q58+Q68</f>
        <v>3167.52</v>
      </c>
      <c r="R75" s="57">
        <f>R7+R16+R28+R38+R48+R58+R68</f>
        <v>1267.0079999999998</v>
      </c>
      <c r="S75" s="57">
        <f>S7+S16+S28+S38+S48+S58+S68</f>
        <v>506.8032</v>
      </c>
      <c r="T75" s="57">
        <f>T7+T16+T28+T38+T48+T58+T68</f>
        <v>202.72128</v>
      </c>
      <c r="U75" s="57">
        <f>U7+U16+U28+U38+U48+U58+U68</f>
        <v>81.08851200000002</v>
      </c>
      <c r="V75" s="57">
        <f>V7+V16+V28+V38+V48+V58+V68</f>
        <v>32.43540480000001</v>
      </c>
      <c r="W75" s="57">
        <f>W7+W16+W28+W38+W48+W58+W68</f>
        <v>12.974161920000004</v>
      </c>
      <c r="X75" s="57">
        <f>X7+X16+X28+X38+X48+X58+X68</f>
        <v>5.189664768000002</v>
      </c>
      <c r="Y75" s="57">
        <f>Y7+Y16+Y28+Y38+Y48+Y58+Y68</f>
        <v>2.0758659072000007</v>
      </c>
      <c r="Z75" s="57">
        <f>Z7+Z16+Z28+Z38+Z48+Z58+Z68</f>
        <v>0.8303463628800003</v>
      </c>
    </row>
    <row r="76">
      <c r="A76" s="13" t="inlineStr">
        <is>
          <t>Cost of sales (COGS + royalties)</t>
        </is>
      </c>
      <c r="C76" s="53">
        <f>C8+C17+C29+C39+C49+C59+C69</f>
        <v>198.45732</v>
      </c>
      <c r="D76" s="53">
        <f>D8+D17+D29+D39+D49+D59+D69</f>
        <v>292.21474000000006</v>
      </c>
      <c r="E76" s="53">
        <f>E8+E17+E29+E39+E49+E59+E69</f>
        <v>401.48426000000006</v>
      </c>
      <c r="F76" s="53">
        <f>F8+F17+F29+F39+F49+F59+F69</f>
        <v>515.24598</v>
      </c>
      <c r="G76" s="53">
        <f>G8+G17+G29+G39+G49+G59+G69</f>
        <v>623.8604</v>
      </c>
      <c r="H76" s="53">
        <f>H8+H17+H29+H39+H49+H59+H69</f>
        <v>666.7143</v>
      </c>
      <c r="I76" s="53">
        <f>I8+I17+I29+I39+I49+I59+I69</f>
        <v>690.5736</v>
      </c>
      <c r="J76" s="53">
        <f>J8+J17+J29+J39+J49+J59+J69</f>
        <v>700.395</v>
      </c>
      <c r="K76" s="53">
        <f>K8+K17+K29+K39+K49+K59+K69</f>
        <v>706.254</v>
      </c>
      <c r="L76" s="53">
        <f>L8+L17+L29+L39+L49+L59+L69</f>
        <v>706.254</v>
      </c>
      <c r="M76" s="53">
        <f>M8+M17+M29+M39+M49+M59+M69</f>
        <v>706.254</v>
      </c>
      <c r="N76" s="53">
        <f>N8+N17+N29+N39+N49+N59+N69</f>
        <v>478.25399999999996</v>
      </c>
      <c r="O76" s="53">
        <f>O8+O17+O29+O39+O49+O59+O69</f>
        <v>387.054</v>
      </c>
      <c r="P76" s="53">
        <f>P8+P17+P29+P39+P49+P59+P69</f>
        <v>350.574</v>
      </c>
      <c r="Q76" s="53">
        <f>Q8+Q17+Q29+Q39+Q49+Q59+Q69</f>
        <v>298.5036</v>
      </c>
      <c r="R76" s="53">
        <f>R8+R17+R29+R39+R49+R59+R69</f>
        <v>119.40143999999998</v>
      </c>
      <c r="S76" s="53">
        <f>S8+S17+S29+S39+S49+S59+S69</f>
        <v>47.76057600000001</v>
      </c>
      <c r="T76" s="53">
        <f>T8+T17+T29+T39+T49+T59+T69</f>
        <v>19.104230400000002</v>
      </c>
      <c r="U76" s="53">
        <f>U8+U17+U29+U39+U49+U59+U69</f>
        <v>7.641692160000002</v>
      </c>
      <c r="V76" s="53">
        <f>V8+V17+V29+V39+V49+V59+V69</f>
        <v>3.056676864000001</v>
      </c>
      <c r="W76" s="53">
        <f>W8+W17+W29+W39+W49+W59+W69</f>
        <v>1.2226707456000003</v>
      </c>
      <c r="X76" s="53">
        <f>X8+X17+X29+X39+X49+X59+X69</f>
        <v>0.48906829824000014</v>
      </c>
      <c r="Y76" s="53">
        <f>Y8+Y17+Y29+Y39+Y49+Y59+Y69</f>
        <v>0.19562731929600008</v>
      </c>
      <c r="Z76" s="53">
        <f>Z8+Z17+Z29+Z39+Z49+Z59+Z69</f>
        <v>0.07825092771840003</v>
      </c>
    </row>
    <row r="77">
      <c r="A77" s="13" t="inlineStr">
        <is>
          <t>Program development R&amp;D</t>
        </is>
      </c>
      <c r="C77" s="53">
        <f>C10+C19+C31+C41+C51+C61+C71</f>
        <v>155.0</v>
      </c>
      <c r="D77" s="53">
        <f>D10+D19+D31+D41+D51+D61+D71</f>
        <v>85.0</v>
      </c>
      <c r="E77" s="53">
        <f>E10+E19+E31+E41+E51+E61+E71</f>
        <v>5.0</v>
      </c>
      <c r="F77" s="53">
        <f>F10+F19+F31+F41+F51+F61+F71</f>
        <v>0.0</v>
      </c>
      <c r="G77" s="53">
        <f>G10+G19+G31+G41+G51+G61+G71</f>
        <v>0.0</v>
      </c>
      <c r="H77" s="53">
        <f>H10+H19+H31+H41+H51+H61+H71</f>
        <v>0.0</v>
      </c>
      <c r="I77" s="53">
        <f>I10+I19+I31+I41+I51+I61+I71</f>
        <v>0.0</v>
      </c>
      <c r="J77" s="53">
        <f>J10+J19+J31+J41+J51+J61+J71</f>
        <v>0.0</v>
      </c>
      <c r="K77" s="53">
        <f>K10+K19+K31+K41+K51+K61+K71</f>
        <v>0.0</v>
      </c>
      <c r="L77" s="53">
        <f>L10+L19+L31+L41+L51+L61+L71</f>
        <v>0.0</v>
      </c>
      <c r="M77" s="53">
        <f>M10+M19+M31+M41+M51+M61+M71</f>
        <v>0.0</v>
      </c>
      <c r="N77" s="53">
        <f>N10+N19+N31+N41+N51+N61+N71</f>
        <v>0.0</v>
      </c>
      <c r="O77" s="53">
        <f>O10+O19+O31+O41+O51+O61+O71</f>
        <v>0.0</v>
      </c>
      <c r="P77" s="53">
        <f>P10+P19+P31+P41+P51+P61+P71</f>
        <v>0.0</v>
      </c>
      <c r="Q77" s="53">
        <f>Q10+Q19+Q31+Q41+Q51+Q61+Q71</f>
        <v>0.0</v>
      </c>
      <c r="R77" s="53">
        <f>R10+R19+R31+R41+R51+R61+R71</f>
        <v>0.0</v>
      </c>
      <c r="S77" s="53">
        <f>S10+S19+S31+S41+S51+S61+S71</f>
        <v>0.0</v>
      </c>
      <c r="T77" s="53">
        <f>T10+T19+T31+T41+T51+T61+T71</f>
        <v>0.0</v>
      </c>
      <c r="U77" s="53">
        <f>U10+U19+U31+U41+U51+U61+U71</f>
        <v>0.0</v>
      </c>
      <c r="V77" s="53">
        <f>V10+V19+V31+V41+V51+V61+V71</f>
        <v>0.0</v>
      </c>
      <c r="W77" s="53">
        <f>W10+W19+W31+W41+W51+W61+W71</f>
        <v>0.0</v>
      </c>
      <c r="X77" s="53">
        <f>X10+X19+X31+X41+X51+X61+X71</f>
        <v>0.0</v>
      </c>
      <c r="Y77" s="53">
        <f>Y10+Y19+Y31+Y41+Y51+Y61+Y71</f>
        <v>0.0</v>
      </c>
      <c r="Z77" s="53">
        <f>Z10+Z19+Z31+Z41+Z51+Z61+Z71</f>
        <v>0.0</v>
      </c>
    </row>
    <row r="78">
      <c r="A78" s="13" t="inlineStr">
        <is>
          <t>Platform / unallocated R&amp;D</t>
        </is>
      </c>
      <c r="C78" s="53">
        <f>IF(C$2&gt;Assumptions!$B$25,Assumptions!$B$23*C75,MAX(Assumptions!$B$20*(1+Assumptions!$B$21)^(C$2-2027)*Assumptions!$B$38,Assumptions!$B$23*C75))</f>
        <v>330.0</v>
      </c>
      <c r="D78" s="53">
        <f>IF(D$2&gt;Assumptions!$B$25,Assumptions!$B$23*D75,MAX(Assumptions!$B$20*(1+Assumptions!$B$21)^(D$2-2027)*Assumptions!$B$38,Assumptions!$B$23*D75))</f>
        <v>339.90000000000003</v>
      </c>
      <c r="E78" s="53">
        <f>IF(E$2&gt;Assumptions!$B$25,Assumptions!$B$23*E75,MAX(Assumptions!$B$20*(1+Assumptions!$B$21)^(E$2-2027)*Assumptions!$B$38,Assumptions!$B$23*E75))</f>
        <v>450.25895999999995</v>
      </c>
      <c r="F78" s="53">
        <f>IF(F$2&gt;Assumptions!$B$25,Assumptions!$B$23*F75,MAX(Assumptions!$B$20*(1+Assumptions!$B$21)^(F$2-2027)*Assumptions!$B$38,Assumptions!$B$23*F75))</f>
        <v>581.96088</v>
      </c>
      <c r="G78" s="53">
        <f>IF(G$2&gt;Assumptions!$B$25,Assumptions!$B$23*G75,MAX(Assumptions!$B$20*(1+Assumptions!$B$21)^(G$2-2027)*Assumptions!$B$38,Assumptions!$B$23*G75))</f>
        <v>708.5892</v>
      </c>
      <c r="H78" s="53">
        <f>IF(H$2&gt;Assumptions!$B$25,Assumptions!$B$23*H75,MAX(Assumptions!$B$20*(1+Assumptions!$B$21)^(H$2-2027)*Assumptions!$B$38,Assumptions!$B$23*H75))</f>
        <v>764.8416</v>
      </c>
      <c r="I78" s="53">
        <f>IF(I$2&gt;Assumptions!$B$25,Assumptions!$B$23*I75,MAX(Assumptions!$B$20*(1+Assumptions!$B$21)^(I$2-2027)*Assumptions!$B$38,Assumptions!$B$23*I75))</f>
        <v>795.0024</v>
      </c>
      <c r="J78" s="53">
        <f>IF(J$2&gt;Assumptions!$B$25,Assumptions!$B$23*J75,MAX(Assumptions!$B$20*(1+Assumptions!$B$21)^(J$2-2027)*Assumptions!$B$38,Assumptions!$B$23*J75))</f>
        <v>808.398</v>
      </c>
      <c r="K78" s="53">
        <f>IF(K$2&gt;Assumptions!$B$25,Assumptions!$B$23*K75,MAX(Assumptions!$B$20*(1+Assumptions!$B$21)^(K$2-2027)*Assumptions!$B$38,Assumptions!$B$23*K75))</f>
        <v>816.336</v>
      </c>
      <c r="L78" s="53">
        <f>IF(L$2&gt;Assumptions!$B$25,Assumptions!$B$23*L75,MAX(Assumptions!$B$20*(1+Assumptions!$B$21)^(L$2-2027)*Assumptions!$B$38,Assumptions!$B$23*L75))</f>
        <v>816.336</v>
      </c>
      <c r="M78" s="53">
        <f>IF(M$2&gt;Assumptions!$B$25,Assumptions!$B$23*M75,MAX(Assumptions!$B$20*(1+Assumptions!$B$21)^(M$2-2027)*Assumptions!$B$38,Assumptions!$B$23*M75))</f>
        <v>816.336</v>
      </c>
      <c r="N78" s="53">
        <f>IF(N$2&gt;Assumptions!$B$25,Assumptions!$B$23*N75,MAX(Assumptions!$B$20*(1+Assumptions!$B$21)^(N$2-2027)*Assumptions!$B$38,Assumptions!$B$23*N75))</f>
        <v>582.336</v>
      </c>
      <c r="O78" s="53">
        <f>IF(O$2&gt;Assumptions!$B$25,Assumptions!$B$23*O75,MAX(Assumptions!$B$20*(1+Assumptions!$B$21)^(O$2-2027)*Assumptions!$B$38,Assumptions!$B$23*O75))</f>
        <v>488.736</v>
      </c>
      <c r="P78" s="53">
        <f>IF(P$2&gt;Assumptions!$B$25,Assumptions!$B$23*P75,MAX(Assumptions!$B$20*(1+Assumptions!$B$21)^(P$2-2027)*Assumptions!$B$38,Assumptions!$B$23*P75))</f>
        <v>451.296</v>
      </c>
      <c r="Q78" s="53">
        <f>IF(Q$2&gt;Assumptions!$B$25,Assumptions!$B$23*Q75,MAX(Assumptions!$B$20*(1+Assumptions!$B$21)^(Q$2-2027)*Assumptions!$B$38,Assumptions!$B$23*Q75))</f>
        <v>380.1024</v>
      </c>
      <c r="R78" s="53">
        <f>IF(R$2&gt;Assumptions!$B$25,Assumptions!$B$23*R75,MAX(Assumptions!$B$20*(1+Assumptions!$B$21)^(R$2-2027)*Assumptions!$B$38,Assumptions!$B$23*R75))</f>
        <v>152.04095999999998</v>
      </c>
      <c r="S78" s="53">
        <f>IF(S$2&gt;Assumptions!$B$25,Assumptions!$B$23*S75,MAX(Assumptions!$B$20*(1+Assumptions!$B$21)^(S$2-2027)*Assumptions!$B$38,Assumptions!$B$23*S75))</f>
        <v>60.816384</v>
      </c>
      <c r="T78" s="53">
        <f>IF(T$2&gt;Assumptions!$B$25,Assumptions!$B$23*T75,MAX(Assumptions!$B$20*(1+Assumptions!$B$21)^(T$2-2027)*Assumptions!$B$38,Assumptions!$B$23*T75))</f>
        <v>24.3265536</v>
      </c>
      <c r="U78" s="53">
        <f>IF(U$2&gt;Assumptions!$B$25,Assumptions!$B$23*U75,MAX(Assumptions!$B$20*(1+Assumptions!$B$21)^(U$2-2027)*Assumptions!$B$38,Assumptions!$B$23*U75))</f>
        <v>9.730621440000002</v>
      </c>
      <c r="V78" s="53">
        <f>IF(V$2&gt;Assumptions!$B$25,Assumptions!$B$23*V75,MAX(Assumptions!$B$20*(1+Assumptions!$B$21)^(V$2-2027)*Assumptions!$B$38,Assumptions!$B$23*V75))</f>
        <v>3.892248576000001</v>
      </c>
      <c r="W78" s="53">
        <f>IF(W$2&gt;Assumptions!$B$25,Assumptions!$B$23*W75,MAX(Assumptions!$B$20*(1+Assumptions!$B$21)^(W$2-2027)*Assumptions!$B$38,Assumptions!$B$23*W75))</f>
        <v>1.5568994304000003</v>
      </c>
      <c r="X78" s="53">
        <f>IF(X$2&gt;Assumptions!$B$25,Assumptions!$B$23*X75,MAX(Assumptions!$B$20*(1+Assumptions!$B$21)^(X$2-2027)*Assumptions!$B$38,Assumptions!$B$23*X75))</f>
        <v>0.6227597721600002</v>
      </c>
      <c r="Y78" s="53">
        <f>IF(Y$2&gt;Assumptions!$B$25,Assumptions!$B$23*Y75,MAX(Assumptions!$B$20*(1+Assumptions!$B$21)^(Y$2-2027)*Assumptions!$B$38,Assumptions!$B$23*Y75))</f>
        <v>0.24910390886400008</v>
      </c>
      <c r="Z78" s="53">
        <f>IF(Z$2&gt;Assumptions!$B$25,Assumptions!$B$23*Z75,MAX(Assumptions!$B$20*(1+Assumptions!$B$21)^(Z$2-2027)*Assumptions!$B$38,Assumptions!$B$23*Z75))</f>
        <v>0.09964156354560003</v>
      </c>
    </row>
    <row r="79">
      <c r="A79" s="13" t="inlineStr">
        <is>
          <t>Total R&amp;D</t>
        </is>
      </c>
      <c r="C79" s="53">
        <f>C77+C78</f>
        <v>485.0</v>
      </c>
      <c r="D79" s="53">
        <f>D77+D78</f>
        <v>424.90000000000003</v>
      </c>
      <c r="E79" s="53">
        <f>E77+E78</f>
        <v>455.25895999999995</v>
      </c>
      <c r="F79" s="53">
        <f>F77+F78</f>
        <v>581.96088</v>
      </c>
      <c r="G79" s="53">
        <f>G77+G78</f>
        <v>708.5892</v>
      </c>
      <c r="H79" s="53">
        <f>H77+H78</f>
        <v>764.8416</v>
      </c>
      <c r="I79" s="53">
        <f>I77+I78</f>
        <v>795.0024</v>
      </c>
      <c r="J79" s="53">
        <f>J77+J78</f>
        <v>808.398</v>
      </c>
      <c r="K79" s="53">
        <f>K77+K78</f>
        <v>816.336</v>
      </c>
      <c r="L79" s="53">
        <f>L77+L78</f>
        <v>816.336</v>
      </c>
      <c r="M79" s="53">
        <f>M77+M78</f>
        <v>816.336</v>
      </c>
      <c r="N79" s="53">
        <f>N77+N78</f>
        <v>582.336</v>
      </c>
      <c r="O79" s="53">
        <f>O77+O78</f>
        <v>488.736</v>
      </c>
      <c r="P79" s="53">
        <f>P77+P78</f>
        <v>451.296</v>
      </c>
      <c r="Q79" s="53">
        <f>Q77+Q78</f>
        <v>380.1024</v>
      </c>
      <c r="R79" s="53">
        <f>R77+R78</f>
        <v>152.04095999999998</v>
      </c>
      <c r="S79" s="53">
        <f>S77+S78</f>
        <v>60.816384</v>
      </c>
      <c r="T79" s="53">
        <f>T77+T78</f>
        <v>24.3265536</v>
      </c>
      <c r="U79" s="53">
        <f>U77+U78</f>
        <v>9.730621440000002</v>
      </c>
      <c r="V79" s="53">
        <f>V77+V78</f>
        <v>3.892248576000001</v>
      </c>
      <c r="W79" s="53">
        <f>W77+W78</f>
        <v>1.5568994304000003</v>
      </c>
      <c r="X79" s="53">
        <f>X77+X78</f>
        <v>0.6227597721600002</v>
      </c>
      <c r="Y79" s="53">
        <f>Y77+Y78</f>
        <v>0.24910390886400008</v>
      </c>
      <c r="Z79" s="53">
        <f>Z77+Z78</f>
        <v>0.09964156354560003</v>
      </c>
    </row>
    <row r="80">
      <c r="A80" s="13" t="inlineStr">
        <is>
          <t>Commercial SG&amp;A</t>
        </is>
      </c>
      <c r="C80" s="53">
        <f>C9+C18+C30+C40+C50+C60+C70</f>
        <v>832.5628</v>
      </c>
      <c r="D80" s="53">
        <f>D9+D18+D30+D40+D50+D60+D70</f>
        <v>1017.7061800000001</v>
      </c>
      <c r="E80" s="53">
        <f>E9+E18+E30+E40+E50+E60+E70</f>
        <v>1216.61848</v>
      </c>
      <c r="F80" s="53">
        <f>F9+F18+F30+F40+F50+F60+F70</f>
        <v>1363.1215</v>
      </c>
      <c r="G80" s="53">
        <f>G9+G18+G30+G40+G50+G60+G70</f>
        <v>1549.4736</v>
      </c>
      <c r="H80" s="53">
        <f>H9+H18+H30+H40+H50+H60+H70</f>
        <v>1577.9495000000002</v>
      </c>
      <c r="I80" s="53">
        <f>I9+I18+I30+I40+I50+I60+I70</f>
        <v>1619.0756</v>
      </c>
      <c r="J80" s="53">
        <f>J9+J18+J30+J40+J50+J60+J70</f>
        <v>1609.1075</v>
      </c>
      <c r="K80" s="53">
        <f>K9+K18+K30+K40+K50+K60+K70</f>
        <v>1624.7</v>
      </c>
      <c r="L80" s="53">
        <f>L9+L18+L30+L40+L50+L60+L70</f>
        <v>1624.7</v>
      </c>
      <c r="M80" s="53">
        <f>M9+M18+M30+M40+M50+M60+M70</f>
        <v>1624.7</v>
      </c>
      <c r="N80" s="53">
        <f>N9+N18+N30+N40+N50+N60+N70</f>
        <v>1174.7</v>
      </c>
      <c r="O80" s="53">
        <f>O9+O18+O30+O40+O50+O60+O70</f>
        <v>994.7</v>
      </c>
      <c r="P80" s="53">
        <f>P9+P18+P30+P40+P50+P60+P70</f>
        <v>922.7</v>
      </c>
      <c r="Q80" s="53">
        <f>Q9+Q18+Q30+Q40+Q50+Q60+Q70</f>
        <v>776.78</v>
      </c>
      <c r="R80" s="53">
        <f>R9+R18+R30+R40+R50+R60+R70</f>
        <v>310.712</v>
      </c>
      <c r="S80" s="53">
        <f>S9+S18+S30+S40+S50+S60+S70</f>
        <v>124.2848</v>
      </c>
      <c r="T80" s="53">
        <f>T9+T18+T30+T40+T50+T60+T70</f>
        <v>49.71392</v>
      </c>
      <c r="U80" s="53">
        <f>U9+U18+U30+U40+U50+U60+U70</f>
        <v>19.885568000000003</v>
      </c>
      <c r="V80" s="53">
        <f>V9+V18+V30+V40+V50+V60+V70</f>
        <v>7.954227200000003</v>
      </c>
      <c r="W80" s="53">
        <f>W9+W18+W30+W40+W50+W60+W70</f>
        <v>3.1816908800000006</v>
      </c>
      <c r="X80" s="53">
        <f>X9+X18+X30+X40+X50+X60+X70</f>
        <v>1.2726763520000004</v>
      </c>
      <c r="Y80" s="53">
        <f>Y9+Y18+Y30+Y40+Y50+Y60+Y70</f>
        <v>0.5090705408000001</v>
      </c>
      <c r="Z80" s="53">
        <f>Z9+Z18+Z30+Z40+Z50+Z60+Z70</f>
        <v>0.20362821632000008</v>
      </c>
    </row>
    <row r="81">
      <c r="A81" s="13" t="inlineStr">
        <is>
          <t>Corporate G&amp;A</t>
        </is>
      </c>
      <c r="C81" s="53">
        <f>IF(C$2&gt;Assumptions!$B$25,Assumptions!$B$22*C75,MAX(Assumptions!$B$19*(1+Assumptions!$B$21)^(C$2-2027)*Assumptions!$B$38,Assumptions!$B$22*C75))</f>
        <v>170.0</v>
      </c>
      <c r="D81" s="53">
        <f>IF(D$2&gt;Assumptions!$B$25,Assumptions!$B$22*D75,MAX(Assumptions!$B$19*(1+Assumptions!$B$21)^(D$2-2027)*Assumptions!$B$38,Assumptions!$B$22*D75))</f>
        <v>187.38524</v>
      </c>
      <c r="E81" s="53">
        <f>IF(E$2&gt;Assumptions!$B$25,Assumptions!$B$22*E75,MAX(Assumptions!$B$19*(1+Assumptions!$B$21)^(E$2-2027)*Assumptions!$B$38,Assumptions!$B$22*E75))</f>
        <v>262.65106000000003</v>
      </c>
      <c r="F81" s="53">
        <f>IF(F$2&gt;Assumptions!$B$25,Assumptions!$B$22*F75,MAX(Assumptions!$B$19*(1+Assumptions!$B$21)^(F$2-2027)*Assumptions!$B$38,Assumptions!$B$22*F75))</f>
        <v>339.47718000000003</v>
      </c>
      <c r="G81" s="53">
        <f>IF(G$2&gt;Assumptions!$B$25,Assumptions!$B$22*G75,MAX(Assumptions!$B$19*(1+Assumptions!$B$21)^(G$2-2027)*Assumptions!$B$38,Assumptions!$B$22*G75))</f>
        <v>413.3437</v>
      </c>
      <c r="H81" s="53">
        <f>IF(H$2&gt;Assumptions!$B$25,Assumptions!$B$22*H75,MAX(Assumptions!$B$19*(1+Assumptions!$B$21)^(H$2-2027)*Assumptions!$B$38,Assumptions!$B$22*H75))</f>
        <v>446.15760000000006</v>
      </c>
      <c r="I81" s="53">
        <f>IF(I$2&gt;Assumptions!$B$25,Assumptions!$B$22*I75,MAX(Assumptions!$B$19*(1+Assumptions!$B$21)^(I$2-2027)*Assumptions!$B$38,Assumptions!$B$22*I75))</f>
        <v>463.7514</v>
      </c>
      <c r="J81" s="53">
        <f>IF(J$2&gt;Assumptions!$B$25,Assumptions!$B$22*J75,MAX(Assumptions!$B$19*(1+Assumptions!$B$21)^(J$2-2027)*Assumptions!$B$38,Assumptions!$B$22*J75))</f>
        <v>471.5655000000001</v>
      </c>
      <c r="K81" s="53">
        <f>IF(K$2&gt;Assumptions!$B$25,Assumptions!$B$22*K75,MAX(Assumptions!$B$19*(1+Assumptions!$B$21)^(K$2-2027)*Assumptions!$B$38,Assumptions!$B$22*K75))</f>
        <v>476.1960000000001</v>
      </c>
      <c r="L81" s="53">
        <f>IF(L$2&gt;Assumptions!$B$25,Assumptions!$B$22*L75,MAX(Assumptions!$B$19*(1+Assumptions!$B$21)^(L$2-2027)*Assumptions!$B$38,Assumptions!$B$22*L75))</f>
        <v>476.1960000000001</v>
      </c>
      <c r="M81" s="53">
        <f>IF(M$2&gt;Assumptions!$B$25,Assumptions!$B$22*M75,MAX(Assumptions!$B$19*(1+Assumptions!$B$21)^(M$2-2027)*Assumptions!$B$38,Assumptions!$B$22*M75))</f>
        <v>476.1960000000001</v>
      </c>
      <c r="N81" s="53">
        <f>IF(N$2&gt;Assumptions!$B$25,Assumptions!$B$22*N75,MAX(Assumptions!$B$19*(1+Assumptions!$B$21)^(N$2-2027)*Assumptions!$B$38,Assumptions!$B$22*N75))</f>
        <v>339.696</v>
      </c>
      <c r="O81" s="53">
        <f>IF(O$2&gt;Assumptions!$B$25,Assumptions!$B$22*O75,MAX(Assumptions!$B$19*(1+Assumptions!$B$21)^(O$2-2027)*Assumptions!$B$38,Assumptions!$B$22*O75))</f>
        <v>285.09600000000006</v>
      </c>
      <c r="P81" s="53">
        <f>IF(P$2&gt;Assumptions!$B$25,Assumptions!$B$22*P75,MAX(Assumptions!$B$19*(1+Assumptions!$B$21)^(P$2-2027)*Assumptions!$B$38,Assumptions!$B$22*P75))</f>
        <v>263.25600000000003</v>
      </c>
      <c r="Q81" s="53">
        <f>IF(Q$2&gt;Assumptions!$B$25,Assumptions!$B$22*Q75,MAX(Assumptions!$B$19*(1+Assumptions!$B$21)^(Q$2-2027)*Assumptions!$B$38,Assumptions!$B$22*Q75))</f>
        <v>221.7264</v>
      </c>
      <c r="R81" s="53">
        <f>IF(R$2&gt;Assumptions!$B$25,Assumptions!$B$22*R75,MAX(Assumptions!$B$19*(1+Assumptions!$B$21)^(R$2-2027)*Assumptions!$B$38,Assumptions!$B$22*R75))</f>
        <v>88.69055999999999</v>
      </c>
      <c r="S81" s="53">
        <f>IF(S$2&gt;Assumptions!$B$25,Assumptions!$B$22*S75,MAX(Assumptions!$B$19*(1+Assumptions!$B$21)^(S$2-2027)*Assumptions!$B$38,Assumptions!$B$22*S75))</f>
        <v>35.476224</v>
      </c>
      <c r="T81" s="53">
        <f>IF(T$2&gt;Assumptions!$B$25,Assumptions!$B$22*T75,MAX(Assumptions!$B$19*(1+Assumptions!$B$21)^(T$2-2027)*Assumptions!$B$38,Assumptions!$B$22*T75))</f>
        <v>14.190489600000001</v>
      </c>
      <c r="U81" s="53">
        <f>IF(U$2&gt;Assumptions!$B$25,Assumptions!$B$22*U75,MAX(Assumptions!$B$19*(1+Assumptions!$B$21)^(U$2-2027)*Assumptions!$B$38,Assumptions!$B$22*U75))</f>
        <v>5.676195840000002</v>
      </c>
      <c r="V81" s="53">
        <f>IF(V$2&gt;Assumptions!$B$25,Assumptions!$B$22*V75,MAX(Assumptions!$B$19*(1+Assumptions!$B$21)^(V$2-2027)*Assumptions!$B$38,Assumptions!$B$22*V75))</f>
        <v>2.270478336000001</v>
      </c>
      <c r="W81" s="53">
        <f>IF(W$2&gt;Assumptions!$B$25,Assumptions!$B$22*W75,MAX(Assumptions!$B$19*(1+Assumptions!$B$21)^(W$2-2027)*Assumptions!$B$38,Assumptions!$B$22*W75))</f>
        <v>0.9081913344000003</v>
      </c>
      <c r="X81" s="53">
        <f>IF(X$2&gt;Assumptions!$B$25,Assumptions!$B$22*X75,MAX(Assumptions!$B$19*(1+Assumptions!$B$21)^(X$2-2027)*Assumptions!$B$38,Assumptions!$B$22*X75))</f>
        <v>0.3632765337600002</v>
      </c>
      <c r="Y81" s="53">
        <f>IF(Y$2&gt;Assumptions!$B$25,Assumptions!$B$22*Y75,MAX(Assumptions!$B$19*(1+Assumptions!$B$21)^(Y$2-2027)*Assumptions!$B$38,Assumptions!$B$22*Y75))</f>
        <v>0.14531061350400007</v>
      </c>
      <c r="Z81" s="53">
        <f>IF(Z$2&gt;Assumptions!$B$25,Assumptions!$B$22*Z75,MAX(Assumptions!$B$19*(1+Assumptions!$B$21)^(Z$2-2027)*Assumptions!$B$38,Assumptions!$B$22*Z75))</f>
        <v>0.05812424540160003</v>
      </c>
    </row>
    <row r="82">
      <c r="A82" s="13" t="inlineStr">
        <is>
          <t>Total G&amp;A incl. SG&amp;A</t>
        </is>
      </c>
      <c r="C82" s="53">
        <f>C80+C81</f>
        <v>1002.5628</v>
      </c>
      <c r="D82" s="53">
        <f>D80+D81</f>
        <v>1205.0914200000002</v>
      </c>
      <c r="E82" s="53">
        <f>E80+E81</f>
        <v>1479.2695400000002</v>
      </c>
      <c r="F82" s="53">
        <f>F80+F81</f>
        <v>1702.59868</v>
      </c>
      <c r="G82" s="53">
        <f>G80+G81</f>
        <v>1962.8173000000002</v>
      </c>
      <c r="H82" s="53">
        <f>H80+H81</f>
        <v>2024.1071000000002</v>
      </c>
      <c r="I82" s="53">
        <f>I80+I81</f>
        <v>2082.8269999999998</v>
      </c>
      <c r="J82" s="53">
        <f>J80+J81</f>
        <v>2080.6730000000002</v>
      </c>
      <c r="K82" s="53">
        <f>K80+K81</f>
        <v>2100.896</v>
      </c>
      <c r="L82" s="53">
        <f>L80+L81</f>
        <v>2100.896</v>
      </c>
      <c r="M82" s="53">
        <f>M80+M81</f>
        <v>2100.896</v>
      </c>
      <c r="N82" s="53">
        <f>N80+N81</f>
        <v>1514.3960000000002</v>
      </c>
      <c r="O82" s="53">
        <f>O80+O81</f>
        <v>1279.796</v>
      </c>
      <c r="P82" s="53">
        <f>P80+P81</f>
        <v>1185.9560000000001</v>
      </c>
      <c r="Q82" s="53">
        <f>Q80+Q81</f>
        <v>998.5064</v>
      </c>
      <c r="R82" s="53">
        <f>R80+R81</f>
        <v>399.40256</v>
      </c>
      <c r="S82" s="53">
        <f>S80+S81</f>
        <v>159.76102400000002</v>
      </c>
      <c r="T82" s="53">
        <f>T80+T81</f>
        <v>63.9044096</v>
      </c>
      <c r="U82" s="53">
        <f>U80+U81</f>
        <v>25.561763840000005</v>
      </c>
      <c r="V82" s="53">
        <f>V80+V81</f>
        <v>10.224705536000004</v>
      </c>
      <c r="W82" s="53">
        <f>W80+W81</f>
        <v>4.089882214400001</v>
      </c>
      <c r="X82" s="53">
        <f>X80+X81</f>
        <v>1.6359528857600005</v>
      </c>
      <c r="Y82" s="53">
        <f>Y80+Y81</f>
        <v>0.6543811543040002</v>
      </c>
      <c r="Z82" s="53">
        <f>Z80+Z81</f>
        <v>0.2617524617216001</v>
      </c>
    </row>
    <row r="83">
      <c r="A83" s="22" t="inlineStr">
        <is>
          <t>Operating income (EBIT)</t>
        </is>
      </c>
      <c r="C83" s="65">
        <f>C75-C76-C79-C82</f>
        <v>224.6558799999999</v>
      </c>
      <c r="D83" s="65">
        <f>D75-D76-D79-D82</f>
        <v>754.7258399999996</v>
      </c>
      <c r="E83" s="65">
        <f>E75-E76-E79-E82</f>
        <v>1416.1452399999994</v>
      </c>
      <c r="F83" s="65">
        <f>F75-F76-F79-F82</f>
        <v>2049.86846</v>
      </c>
      <c r="G83" s="65">
        <f>G75-G76-G79-G82</f>
        <v>2609.6431</v>
      </c>
      <c r="H83" s="65">
        <f>H75-H76-H79-H82</f>
        <v>2918.0170000000007</v>
      </c>
      <c r="I83" s="65">
        <f>I75-I76-I79-I82</f>
        <v>3056.6169999999997</v>
      </c>
      <c r="J83" s="65">
        <f>J75-J76-J79-J82</f>
        <v>3147.1840000000007</v>
      </c>
      <c r="K83" s="65">
        <f>K75-K76-K79-K82</f>
        <v>3179.314</v>
      </c>
      <c r="L83" s="65">
        <f>L75-L76-L79-L82</f>
        <v>3179.314</v>
      </c>
      <c r="M83" s="65">
        <f>M75-M76-M79-M82</f>
        <v>3179.314</v>
      </c>
      <c r="N83" s="65">
        <f>N75-N76-N79-N82</f>
        <v>2277.814</v>
      </c>
      <c r="O83" s="65">
        <f>O75-O76-O79-O82</f>
        <v>1917.2140000000002</v>
      </c>
      <c r="P83" s="65">
        <f>P75-P76-P79-P82</f>
        <v>1772.9740000000002</v>
      </c>
      <c r="Q83" s="65">
        <f>Q75-Q76-Q79-Q82</f>
        <v>1490.4075999999998</v>
      </c>
      <c r="R83" s="65">
        <f>R75-R76-R79-R82</f>
        <v>596.1630399999997</v>
      </c>
      <c r="S83" s="65">
        <f>S75-S76-S79-S82</f>
        <v>238.46521599999994</v>
      </c>
      <c r="T83" s="65">
        <f>T75-T76-T79-T82</f>
        <v>95.38608639999998</v>
      </c>
      <c r="U83" s="65">
        <f>U75-U76-U79-U82</f>
        <v>38.15443456000001</v>
      </c>
      <c r="V83" s="65">
        <f>V75-V76-V79-V82</f>
        <v>15.261773824000004</v>
      </c>
      <c r="W83" s="65">
        <f>W75-W76-W79-W82</f>
        <v>6.104709529600003</v>
      </c>
      <c r="X83" s="65">
        <f>X75-X76-X79-X82</f>
        <v>2.441883811840001</v>
      </c>
      <c r="Y83" s="65">
        <f>Y75-Y76-Y79-Y82</f>
        <v>0.9767535247360003</v>
      </c>
      <c r="Z83" s="65">
        <f>Z75-Z76-Z79-Z82</f>
        <v>0.3907014098944001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65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style="9" min="1" max="1"/>
    <col width="12" customWidth="1" style="9" min="2" max="2"/>
    <col width="12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</cols>
  <sheetData>
    <row r="1">
      <c r="A1" s="23" t="inlineStr">
        <is>
          <t>BBIO — risk-adjusted NPV (rNPV), $mm except per share</t>
        </is>
      </c>
    </row>
    <row r="3">
      <c r="A3" s="13" t="inlineStr">
        <is>
          <t>Scenario</t>
        </is>
      </c>
      <c r="B3" s="66" t="str">
        <f>Assumptions!$C$4</f>
        <v>Base</v>
      </c>
    </row>
    <row r="4">
      <c r="A4" s="13" t="inlineStr">
        <is>
          <t>Valuation date</t>
        </is>
      </c>
      <c r="B4" s="67">
        <f>Assumptions!$B$13</f>
        <v>46311</v>
      </c>
    </row>
    <row r="5">
      <c r="A5" s="13" t="inlineStr">
        <is>
          <t>Discount rate</t>
        </is>
      </c>
      <c r="B5" s="68">
        <f>Assumptions!$B$14</f>
        <v>0.095</v>
      </c>
    </row>
    <row r="7">
      <c r="A7" s="28" t="inlineStr">
        <is>
          <t>Period</t>
        </is>
      </c>
      <c r="B7" s="69" t="inlineStr"/>
      <c r="C7" s="70" t="inlineStr">
        <is>
          <t>2H 2026</t>
        </is>
      </c>
      <c r="D7" s="28" t="n">
        <v>2027</v>
      </c>
      <c r="E7" s="28" t="n">
        <v>2028</v>
      </c>
      <c r="F7" s="28" t="n">
        <v>2029</v>
      </c>
      <c r="G7" s="28" t="n">
        <v>2030</v>
      </c>
      <c r="H7" s="28" t="n">
        <v>2031</v>
      </c>
      <c r="I7" s="28" t="n">
        <v>2032</v>
      </c>
      <c r="J7" s="28" t="n">
        <v>2033</v>
      </c>
      <c r="K7" s="28" t="n">
        <v>2034</v>
      </c>
      <c r="L7" s="28" t="n">
        <v>2035</v>
      </c>
      <c r="M7" s="28" t="n">
        <v>2036</v>
      </c>
      <c r="N7" s="28" t="n">
        <v>2037</v>
      </c>
      <c r="O7" s="28" t="n">
        <v>2038</v>
      </c>
      <c r="P7" s="28" t="n">
        <v>2039</v>
      </c>
      <c r="Q7" s="28" t="n">
        <v>2040</v>
      </c>
      <c r="R7" s="28" t="n">
        <v>2041</v>
      </c>
      <c r="S7" s="28" t="n">
        <v>2042</v>
      </c>
      <c r="T7" s="28" t="n">
        <v>2043</v>
      </c>
      <c r="U7" s="28" t="n">
        <v>2044</v>
      </c>
      <c r="V7" s="28" t="n">
        <v>2045</v>
      </c>
      <c r="W7" s="28" t="n">
        <v>2046</v>
      </c>
      <c r="X7" s="28" t="n">
        <v>2047</v>
      </c>
      <c r="Y7" s="28" t="n">
        <v>2048</v>
      </c>
      <c r="Z7" s="28" t="n">
        <v>2049</v>
      </c>
      <c r="AA7" s="28" t="n">
        <v>2050</v>
      </c>
    </row>
    <row r="8">
      <c r="A8" s="13" t="inlineStr">
        <is>
          <t>Revenue, risk-adjusted</t>
        </is>
      </c>
      <c r="C8" s="53">
        <f>SUM('Quarterly Model'!H2:I2)</f>
        <v>589.0</v>
      </c>
      <c r="D8" s="71">
        <f>'Yearly Model'!H2</f>
        <v>1910.676</v>
      </c>
      <c r="E8" s="71">
        <f>'Yearly Model'!I2</f>
        <v>2676.932</v>
      </c>
      <c r="F8" s="71">
        <f>'Yearly Model'!J2</f>
        <v>3752.158</v>
      </c>
      <c r="G8" s="71">
        <f>'Yearly Model'!K2</f>
        <v>4849.674</v>
      </c>
      <c r="H8" s="71">
        <f>'Yearly Model'!L2</f>
        <v>5904.91</v>
      </c>
      <c r="I8" s="71">
        <f>'Yearly Model'!M2</f>
        <v>6373.68</v>
      </c>
      <c r="J8" s="71">
        <f>'Yearly Model'!N2</f>
        <v>6625.0199999999995</v>
      </c>
      <c r="K8" s="71">
        <f>'Yearly Model'!O2</f>
        <v>6736.650000000001</v>
      </c>
      <c r="L8" s="71">
        <f>'Yearly Model'!P2</f>
        <v>6802.8</v>
      </c>
      <c r="M8" s="71">
        <f>'Yearly Model'!Q2</f>
        <v>6802.8</v>
      </c>
      <c r="N8" s="71">
        <f>'Yearly Model'!R2</f>
        <v>6802.8</v>
      </c>
      <c r="O8" s="71">
        <f>'Yearly Model'!S2</f>
        <v>4852.8</v>
      </c>
      <c r="P8" s="71">
        <f>'Yearly Model'!T2</f>
        <v>4072.8</v>
      </c>
      <c r="Q8" s="71">
        <f>'Yearly Model'!U2</f>
        <v>3760.8</v>
      </c>
      <c r="R8" s="71">
        <f>'Yearly Model'!V2</f>
        <v>3167.52</v>
      </c>
      <c r="S8" s="71">
        <f>'Yearly Model'!W2</f>
        <v>1267.0079999999998</v>
      </c>
      <c r="T8" s="71">
        <f>'Yearly Model'!X2</f>
        <v>506.8032</v>
      </c>
      <c r="U8" s="71">
        <f>'Yearly Model'!Y2</f>
        <v>202.72128</v>
      </c>
      <c r="V8" s="71">
        <f>'Yearly Model'!Z2</f>
        <v>81.08851200000002</v>
      </c>
      <c r="W8" s="71">
        <f>'Yearly Model'!AA2</f>
        <v>32.43540480000001</v>
      </c>
      <c r="X8" s="71">
        <f>'Yearly Model'!AB2</f>
        <v>12.974161920000004</v>
      </c>
      <c r="Y8" s="71">
        <f>'Yearly Model'!AC2</f>
        <v>5.189664768000002</v>
      </c>
      <c r="Z8" s="71">
        <f>'Yearly Model'!AD2</f>
        <v>2.0758659072000007</v>
      </c>
      <c r="AA8" s="71">
        <f>'Yearly Model'!AE2</f>
        <v>0.8303463628800003</v>
      </c>
    </row>
    <row r="9">
      <c r="A9" s="13" t="inlineStr">
        <is>
          <t>Operating income (EBIT)</t>
        </is>
      </c>
      <c r="C9" s="53">
        <f>SUM('Quarterly Model'!H8:I8)</f>
        <v>-142.51799999999997</v>
      </c>
      <c r="D9" s="71">
        <f>'Yearly Model'!H8</f>
        <v>224.6558799999998</v>
      </c>
      <c r="E9" s="71">
        <f>'Yearly Model'!I8</f>
        <v>754.7258399999996</v>
      </c>
      <c r="F9" s="71">
        <f>'Yearly Model'!J8</f>
        <v>1416.1452399999996</v>
      </c>
      <c r="G9" s="71">
        <f>'Yearly Model'!K8</f>
        <v>2049.86846</v>
      </c>
      <c r="H9" s="71">
        <f>'Yearly Model'!L8</f>
        <v>2609.6431000000002</v>
      </c>
      <c r="I9" s="71">
        <f>'Yearly Model'!M8</f>
        <v>2918.0170000000007</v>
      </c>
      <c r="J9" s="71">
        <f>'Yearly Model'!N8</f>
        <v>3056.617</v>
      </c>
      <c r="K9" s="71">
        <f>'Yearly Model'!O8</f>
        <v>3147.1840000000007</v>
      </c>
      <c r="L9" s="71">
        <f>'Yearly Model'!P8</f>
        <v>3179.3140000000003</v>
      </c>
      <c r="M9" s="71">
        <f>'Yearly Model'!Q8</f>
        <v>3179.3140000000003</v>
      </c>
      <c r="N9" s="71">
        <f>'Yearly Model'!R8</f>
        <v>3179.3140000000003</v>
      </c>
      <c r="O9" s="71">
        <f>'Yearly Model'!S8</f>
        <v>2277.8140000000003</v>
      </c>
      <c r="P9" s="71">
        <f>'Yearly Model'!T8</f>
        <v>1917.214</v>
      </c>
      <c r="Q9" s="71">
        <f>'Yearly Model'!U8</f>
        <v>1772.974</v>
      </c>
      <c r="R9" s="71">
        <f>'Yearly Model'!V8</f>
        <v>1490.4076</v>
      </c>
      <c r="S9" s="71">
        <f>'Yearly Model'!W8</f>
        <v>596.1630399999997</v>
      </c>
      <c r="T9" s="71">
        <f>'Yearly Model'!X8</f>
        <v>238.46521599999997</v>
      </c>
      <c r="U9" s="71">
        <f>'Yearly Model'!Y8</f>
        <v>95.3860864</v>
      </c>
      <c r="V9" s="71">
        <f>'Yearly Model'!Z8</f>
        <v>38.15443456000001</v>
      </c>
      <c r="W9" s="71">
        <f>'Yearly Model'!AA8</f>
        <v>15.261773824000002</v>
      </c>
      <c r="X9" s="71">
        <f>'Yearly Model'!AB8</f>
        <v>6.104709529600002</v>
      </c>
      <c r="Y9" s="71">
        <f>'Yearly Model'!AC8</f>
        <v>2.441883811840001</v>
      </c>
      <c r="Z9" s="71">
        <f>'Yearly Model'!AD8</f>
        <v>0.9767535247360004</v>
      </c>
      <c r="AA9" s="71">
        <f>'Yearly Model'!AE8</f>
        <v>0.39070140989440016</v>
      </c>
    </row>
    <row r="10">
      <c r="A10" s="13" t="inlineStr">
        <is>
          <t>Taxes on EBIT (after tax-loss pool)</t>
        </is>
      </c>
      <c r="C10" s="53" t="n">
        <v>0</v>
      </c>
      <c r="D10" s="53">
        <f>IF(D9&gt;0,MAX(0,D9-'Yearly Model'!G21)*Assumptions!$B$15,0)</f>
        <v>0.0</v>
      </c>
      <c r="E10" s="53">
        <f>IF(E9&gt;0,MAX(0,E9-'Yearly Model'!H21)*Assumptions!$B$15,0)</f>
        <v>0.0</v>
      </c>
      <c r="F10" s="53">
        <f>IF(F9&gt;0,MAX(0,F9-'Yearly Model'!I21)*Assumptions!$B$15,0)</f>
        <v>0.0</v>
      </c>
      <c r="G10" s="53">
        <f>IF(G9&gt;0,MAX(0,G9-'Yearly Model'!J21)*Assumptions!$B$15,0)</f>
        <v>178.06395528124202</v>
      </c>
      <c r="H10" s="53">
        <f>IF(H9&gt;0,MAX(0,H9-'Yearly Model'!K21)*Assumptions!$B$15,0)</f>
        <v>548.0250510000001</v>
      </c>
      <c r="I10" s="53">
        <f>IF(I9&gt;0,MAX(0,I9-'Yearly Model'!L21)*Assumptions!$B$15,0)</f>
        <v>612.7835700000002</v>
      </c>
      <c r="J10" s="53">
        <f>IF(J9&gt;0,MAX(0,J9-'Yearly Model'!M21)*Assumptions!$B$15,0)</f>
        <v>641.88957</v>
      </c>
      <c r="K10" s="53">
        <f>IF(K9&gt;0,MAX(0,K9-'Yearly Model'!N21)*Assumptions!$B$15,0)</f>
        <v>660.9086400000001</v>
      </c>
      <c r="L10" s="53">
        <f>IF(L9&gt;0,MAX(0,L9-'Yearly Model'!O21)*Assumptions!$B$15,0)</f>
        <v>667.65594</v>
      </c>
      <c r="M10" s="53">
        <f>IF(M9&gt;0,MAX(0,M9-'Yearly Model'!P21)*Assumptions!$B$15,0)</f>
        <v>667.65594</v>
      </c>
      <c r="N10" s="53">
        <f>IF(N9&gt;0,MAX(0,N9-'Yearly Model'!Q21)*Assumptions!$B$15,0)</f>
        <v>667.65594</v>
      </c>
      <c r="O10" s="53">
        <f>IF(O9&gt;0,MAX(0,O9-'Yearly Model'!R21)*Assumptions!$B$15,0)</f>
        <v>478.34094000000005</v>
      </c>
      <c r="P10" s="53">
        <f>IF(P9&gt;0,MAX(0,P9-'Yearly Model'!S21)*Assumptions!$B$15,0)</f>
        <v>402.61494</v>
      </c>
      <c r="Q10" s="53">
        <f>IF(Q9&gt;0,MAX(0,Q9-'Yearly Model'!T21)*Assumptions!$B$15,0)</f>
        <v>372.32453999999996</v>
      </c>
      <c r="R10" s="53">
        <f>IF(R9&gt;0,MAX(0,R9-'Yearly Model'!U21)*Assumptions!$B$15,0)</f>
        <v>312.985596</v>
      </c>
      <c r="S10" s="53">
        <f>IF(S9&gt;0,MAX(0,S9-'Yearly Model'!V21)*Assumptions!$B$15,0)</f>
        <v>125.19423839999993</v>
      </c>
      <c r="T10" s="53">
        <f>IF(T9&gt;0,MAX(0,T9-'Yearly Model'!W21)*Assumptions!$B$15,0)</f>
        <v>50.07769535999999</v>
      </c>
      <c r="U10" s="53">
        <f>IF(U9&gt;0,MAX(0,U9-'Yearly Model'!X21)*Assumptions!$B$15,0)</f>
        <v>20.031078144</v>
      </c>
      <c r="V10" s="53">
        <f>IF(V9&gt;0,MAX(0,V9-'Yearly Model'!Y21)*Assumptions!$B$15,0)</f>
        <v>8.012431257600003</v>
      </c>
      <c r="W10" s="53">
        <f>IF(W9&gt;0,MAX(0,W9-'Yearly Model'!Z21)*Assumptions!$B$15,0)</f>
        <v>3.2049725030400005</v>
      </c>
      <c r="X10" s="53">
        <f>IF(X9&gt;0,MAX(0,X9-'Yearly Model'!AA21)*Assumptions!$B$15,0)</f>
        <v>1.2819890012160002</v>
      </c>
      <c r="Y10" s="53">
        <f>IF(Y9&gt;0,MAX(0,Y9-'Yearly Model'!AB21)*Assumptions!$B$15,0)</f>
        <v>0.5127956004864002</v>
      </c>
      <c r="Z10" s="53">
        <f>IF(Z9&gt;0,MAX(0,Z9-'Yearly Model'!AC21)*Assumptions!$B$15,0)</f>
        <v>0.20511824019456007</v>
      </c>
      <c r="AA10" s="53">
        <f>IF(AA9&gt;0,MAX(0,AA9-'Yearly Model'!AD21)*Assumptions!$B$15,0)</f>
        <v>0.08204729607782403</v>
      </c>
    </row>
    <row r="11">
      <c r="A11" s="22" t="inlineStr">
        <is>
          <t>Unlevered free cash flow</t>
        </is>
      </c>
      <c r="C11" s="57">
        <f>C9-C10</f>
        <v>-142.51799999999997</v>
      </c>
      <c r="D11" s="57">
        <f>D9-D10</f>
        <v>224.6558799999998</v>
      </c>
      <c r="E11" s="57">
        <f>E9-E10</f>
        <v>754.7258399999996</v>
      </c>
      <c r="F11" s="57">
        <f>F9-F10</f>
        <v>1416.1452399999996</v>
      </c>
      <c r="G11" s="57">
        <f>G9-G10</f>
        <v>1871.8045047187582</v>
      </c>
      <c r="H11" s="57">
        <f>H9-H10</f>
        <v>2061.618049</v>
      </c>
      <c r="I11" s="57">
        <f>I9-I10</f>
        <v>2305.2334300000007</v>
      </c>
      <c r="J11" s="57">
        <f>J9-J10</f>
        <v>2414.72743</v>
      </c>
      <c r="K11" s="57">
        <f>K9-K10</f>
        <v>2486.2753600000005</v>
      </c>
      <c r="L11" s="57">
        <f>L9-L10</f>
        <v>2511.65806</v>
      </c>
      <c r="M11" s="57">
        <f>M9-M10</f>
        <v>2511.65806</v>
      </c>
      <c r="N11" s="57">
        <f>N9-N10</f>
        <v>2511.65806</v>
      </c>
      <c r="O11" s="57">
        <f>O9-O10</f>
        <v>1799.4730600000003</v>
      </c>
      <c r="P11" s="57">
        <f>P9-P10</f>
        <v>1514.59906</v>
      </c>
      <c r="Q11" s="57">
        <f>Q9-Q10</f>
        <v>1400.64946</v>
      </c>
      <c r="R11" s="57">
        <f>R9-R10</f>
        <v>1177.422004</v>
      </c>
      <c r="S11" s="57">
        <f>S9-S10</f>
        <v>470.9688015999998</v>
      </c>
      <c r="T11" s="57">
        <f>T9-T10</f>
        <v>188.38752064</v>
      </c>
      <c r="U11" s="57">
        <f>U9-U10</f>
        <v>75.35500825599999</v>
      </c>
      <c r="V11" s="57">
        <f>V9-V10</f>
        <v>30.14200330240001</v>
      </c>
      <c r="W11" s="57">
        <f>W9-W10</f>
        <v>12.056801320960002</v>
      </c>
      <c r="X11" s="57">
        <f>X9-X10</f>
        <v>4.822720528384002</v>
      </c>
      <c r="Y11" s="57">
        <f>Y9-Y10</f>
        <v>1.9290882113536005</v>
      </c>
      <c r="Z11" s="57">
        <f>Z9-Z10</f>
        <v>0.7716352845414404</v>
      </c>
      <c r="AA11" s="57">
        <f>AA9-AA10</f>
        <v>0.30865411381657615</v>
      </c>
    </row>
    <row r="12">
      <c r="A12" s="13" t="inlineStr">
        <is>
          <t>Cash-flow date (mid-period)</t>
        </is>
      </c>
      <c r="C12" s="72">
        <f>DATE(2026,10,1)</f>
        <v>46296</v>
      </c>
      <c r="D12" s="72">
        <f>DATE(D7,7,1)</f>
        <v>46569</v>
      </c>
      <c r="E12" s="72">
        <f>DATE(E7,7,1)</f>
        <v>46935</v>
      </c>
      <c r="F12" s="72">
        <f>DATE(F7,7,1)</f>
        <v>47300</v>
      </c>
      <c r="G12" s="72">
        <f>DATE(G7,7,1)</f>
        <v>47665</v>
      </c>
      <c r="H12" s="72">
        <f>DATE(H7,7,1)</f>
        <v>48030</v>
      </c>
      <c r="I12" s="72">
        <f>DATE(I7,7,1)</f>
        <v>48396</v>
      </c>
      <c r="J12" s="72">
        <f>DATE(J7,7,1)</f>
        <v>48761</v>
      </c>
      <c r="K12" s="72">
        <f>DATE(K7,7,1)</f>
        <v>49126</v>
      </c>
      <c r="L12" s="72">
        <f>DATE(L7,7,1)</f>
        <v>49491</v>
      </c>
      <c r="M12" s="72">
        <f>DATE(M7,7,1)</f>
        <v>49857</v>
      </c>
      <c r="N12" s="72">
        <f>DATE(N7,7,1)</f>
        <v>50222</v>
      </c>
      <c r="O12" s="72">
        <f>DATE(O7,7,1)</f>
        <v>50587</v>
      </c>
      <c r="P12" s="72">
        <f>DATE(P7,7,1)</f>
        <v>50952</v>
      </c>
      <c r="Q12" s="72">
        <f>DATE(Q7,7,1)</f>
        <v>51318</v>
      </c>
      <c r="R12" s="72">
        <f>DATE(R7,7,1)</f>
        <v>51683</v>
      </c>
      <c r="S12" s="72">
        <f>DATE(S7,7,1)</f>
        <v>52048</v>
      </c>
      <c r="T12" s="72">
        <f>DATE(T7,7,1)</f>
        <v>52413</v>
      </c>
      <c r="U12" s="72">
        <f>DATE(U7,7,1)</f>
        <v>52779</v>
      </c>
      <c r="V12" s="72">
        <f>DATE(V7,7,1)</f>
        <v>53144</v>
      </c>
      <c r="W12" s="72">
        <f>DATE(W7,7,1)</f>
        <v>53509</v>
      </c>
      <c r="X12" s="72">
        <f>DATE(X7,7,1)</f>
        <v>53874</v>
      </c>
      <c r="Y12" s="72">
        <f>DATE(Y7,7,1)</f>
        <v>54240</v>
      </c>
      <c r="Z12" s="72">
        <f>DATE(Z7,7,1)</f>
        <v>54605</v>
      </c>
      <c r="AA12" s="72">
        <f>DATE(AA7,7,1)</f>
        <v>54970</v>
      </c>
    </row>
    <row r="13">
      <c r="A13" s="13" t="inlineStr">
        <is>
          <t>Years from valuation date</t>
        </is>
      </c>
      <c r="C13" s="11">
        <f>MAX(0,(C12-$B$4)/365.25)</f>
        <v>0</v>
      </c>
      <c r="D13" s="11">
        <f>MAX(0,(D12-$B$4)/365.25)</f>
        <v>0.7063655030800822</v>
      </c>
      <c r="E13" s="11">
        <f>MAX(0,(E12-$B$4)/365.25)</f>
        <v>1.7084188911704312</v>
      </c>
      <c r="F13" s="11">
        <f>MAX(0,(F12-$B$4)/365.25)</f>
        <v>2.707734428473648</v>
      </c>
      <c r="G13" s="11">
        <f>MAX(0,(G12-$B$4)/365.25)</f>
        <v>3.707049965776865</v>
      </c>
      <c r="H13" s="11">
        <f>MAX(0,(H12-$B$4)/365.25)</f>
        <v>4.706365503080082</v>
      </c>
      <c r="I13" s="11">
        <f>MAX(0,(I12-$B$4)/365.25)</f>
        <v>5.708418891170431</v>
      </c>
      <c r="J13" s="11">
        <f>MAX(0,(J12-$B$4)/365.25)</f>
        <v>6.707734428473648</v>
      </c>
      <c r="K13" s="11">
        <f>MAX(0,(K12-$B$4)/365.25)</f>
        <v>7.707049965776865</v>
      </c>
      <c r="L13" s="11">
        <f>MAX(0,(L12-$B$4)/365.25)</f>
        <v>8.706365503080082</v>
      </c>
      <c r="M13" s="11">
        <f>MAX(0,(M12-$B$4)/365.25)</f>
        <v>9.708418891170432</v>
      </c>
      <c r="N13" s="11">
        <f>MAX(0,(N12-$B$4)/365.25)</f>
        <v>10.707734428473648</v>
      </c>
      <c r="O13" s="11">
        <f>MAX(0,(O12-$B$4)/365.25)</f>
        <v>11.707049965776864</v>
      </c>
      <c r="P13" s="11">
        <f>MAX(0,(P12-$B$4)/365.25)</f>
        <v>12.706365503080082</v>
      </c>
      <c r="Q13" s="11">
        <f>MAX(0,(Q12-$B$4)/365.25)</f>
        <v>13.708418891170432</v>
      </c>
      <c r="R13" s="11">
        <f>MAX(0,(R12-$B$4)/365.25)</f>
        <v>14.707734428473648</v>
      </c>
      <c r="S13" s="11">
        <f>MAX(0,(S12-$B$4)/365.25)</f>
        <v>15.707049965776864</v>
      </c>
      <c r="T13" s="11">
        <f>MAX(0,(T12-$B$4)/365.25)</f>
        <v>16.706365503080082</v>
      </c>
      <c r="U13" s="11">
        <f>MAX(0,(U12-$B$4)/365.25)</f>
        <v>17.70841889117043</v>
      </c>
      <c r="V13" s="11">
        <f>MAX(0,(V12-$B$4)/365.25)</f>
        <v>18.70773442847365</v>
      </c>
      <c r="W13" s="11">
        <f>MAX(0,(W12-$B$4)/365.25)</f>
        <v>19.707049965776864</v>
      </c>
      <c r="X13" s="11">
        <f>MAX(0,(X12-$B$4)/365.25)</f>
        <v>20.706365503080082</v>
      </c>
      <c r="Y13" s="11">
        <f>MAX(0,(Y12-$B$4)/365.25)</f>
        <v>21.70841889117043</v>
      </c>
      <c r="Z13" s="11">
        <f>MAX(0,(Z12-$B$4)/365.25)</f>
        <v>22.70773442847365</v>
      </c>
      <c r="AA13" s="11">
        <f>MAX(0,(AA12-$B$4)/365.25)</f>
        <v>23.707049965776864</v>
      </c>
    </row>
    <row r="14">
      <c r="A14" s="13" t="inlineStr">
        <is>
          <t>Discount factor</t>
        </is>
      </c>
      <c r="C14" s="73">
        <f>1/(1+$B$5)^C13</f>
        <v>1.0</v>
      </c>
      <c r="D14" s="73">
        <f>1/(1+$B$5)^D13</f>
        <v>0.9379058093709697</v>
      </c>
      <c r="E14" s="73">
        <f>1/(1+$B$5)^E13</f>
        <v>0.8563753819391269</v>
      </c>
      <c r="F14" s="73">
        <f>1/(1+$B$5)^F13</f>
        <v>0.7821265569835633</v>
      </c>
      <c r="G14" s="73">
        <f>1/(1+$B$5)^G13</f>
        <v>0.7143151987319102</v>
      </c>
      <c r="H14" s="73">
        <f>1/(1+$B$5)^H13</f>
        <v>0.6523831707074121</v>
      </c>
      <c r="I14" s="73">
        <f>1/(1+$B$5)^I13</f>
        <v>0.5956727012490891</v>
      </c>
      <c r="J14" s="73">
        <f>1/(1+$B$5)^J13</f>
        <v>0.5440271272886325</v>
      </c>
      <c r="K14" s="73">
        <f>1/(1+$B$5)^K13</f>
        <v>0.49685928968257304</v>
      </c>
      <c r="L14" s="73">
        <f>1/(1+$B$5)^L13</f>
        <v>0.4537809630454239</v>
      </c>
      <c r="M14" s="73">
        <f>1/(1+$B$5)^M13</f>
        <v>0.4143346183188254</v>
      </c>
      <c r="N14" s="73">
        <f>1/(1+$B$5)^N13</f>
        <v>0.3784112846997239</v>
      </c>
      <c r="O14" s="73">
        <f>1/(1+$B$5)^O13</f>
        <v>0.3456025493817381</v>
      </c>
      <c r="P14" s="73">
        <f>1/(1+$B$5)^P13</f>
        <v>0.3156383727666457</v>
      </c>
      <c r="Q14" s="73">
        <f>1/(1+$B$5)^Q13</f>
        <v>0.2882005094029299</v>
      </c>
      <c r="R14" s="73">
        <f>1/(1+$B$5)^R13</f>
        <v>0.26321316200124634</v>
      </c>
      <c r="S14" s="73">
        <f>1/(1+$B$5)^S13</f>
        <v>0.24039224911234675</v>
      </c>
      <c r="T14" s="73">
        <f>1/(1+$B$5)^T13</f>
        <v>0.2195499381334848</v>
      </c>
      <c r="U14" s="73">
        <f>1/(1+$B$5)^U13</f>
        <v>0.2004648657095676</v>
      </c>
      <c r="V14" s="73">
        <f>1/(1+$B$5)^V13</f>
        <v>0.1830843091946113</v>
      </c>
      <c r="W14" s="73">
        <f>1/(1+$B$5)^W13</f>
        <v>0.1672106688352633</v>
      </c>
      <c r="X14" s="73">
        <f>1/(1+$B$5)^X13</f>
        <v>0.1527132931015752</v>
      </c>
      <c r="Y14" s="73">
        <f>1/(1+$B$5)^Y13</f>
        <v>0.1394382073342249</v>
      </c>
      <c r="Z14" s="73">
        <f>1/(1+$B$5)^Z13</f>
        <v>0.12734873901598173</v>
      </c>
      <c r="AA14" s="73">
        <f>1/(1+$B$5)^AA13</f>
        <v>0.11630744283801489</v>
      </c>
    </row>
    <row r="15">
      <c r="A15" s="22" t="inlineStr">
        <is>
          <t>PV of free cash flow</t>
        </is>
      </c>
      <c r="C15" s="57">
        <f>C11*C14</f>
        <v>-142.51799999999997</v>
      </c>
      <c r="D15" s="57">
        <f>D11*D14</f>
        <v>210.70605496134726</v>
      </c>
      <c r="E15" s="57">
        <f>E11*E14</f>
        <v>646.328629489328</v>
      </c>
      <c r="F15" s="57">
        <f>F11*F14</f>
        <v>1107.6048007498616</v>
      </c>
      <c r="G15" s="57">
        <f>G11*G14</f>
        <v>1337.0584067754644</v>
      </c>
      <c r="H15" s="57">
        <f>H11*H14</f>
        <v>1344.964919594249</v>
      </c>
      <c r="I15" s="57">
        <f>I11*I14</f>
        <v>1373.1646242578033</v>
      </c>
      <c r="J15" s="57">
        <f>J11*J14</f>
        <v>1313.6772269279622</v>
      </c>
      <c r="K15" s="57">
        <f>K11*K14</f>
        <v>1235.3290093248838</v>
      </c>
      <c r="L15" s="57">
        <f>L11*L14</f>
        <v>1139.7426133076012</v>
      </c>
      <c r="M15" s="57">
        <f>M11*M14</f>
        <v>1040.6668836375015</v>
      </c>
      <c r="N15" s="57">
        <f>N11*N14</f>
        <v>950.4397532110163</v>
      </c>
      <c r="O15" s="57">
        <f>O11*O14</f>
        <v>621.9024770797575</v>
      </c>
      <c r="P15" s="57">
        <f>P11*P14</f>
        <v>478.0655826922912</v>
      </c>
      <c r="Q15" s="57">
        <f>Q11*Q14</f>
        <v>403.6678878669387</v>
      </c>
      <c r="R15" s="57">
        <f>R11*R14</f>
        <v>309.9129686826841</v>
      </c>
      <c r="S15" s="57">
        <f>S11*S14</f>
        <v>113.21724947837056</v>
      </c>
      <c r="T15" s="57">
        <f>T11*T14</f>
        <v>41.36046850163259</v>
      </c>
      <c r="U15" s="57">
        <f>U11*U14</f>
        <v>15.106031610582395</v>
      </c>
      <c r="V15" s="57">
        <f>V11*V14</f>
        <v>5.518527852361598</v>
      </c>
      <c r="W15" s="57">
        <f>W11*W14</f>
        <v>2.016025812891608</v>
      </c>
      <c r="X15" s="57">
        <f>X11*X14</f>
        <v>0.7364935335980897</v>
      </c>
      <c r="Y15" s="57">
        <f>Y11*Y14</f>
        <v>0.26898860198073243</v>
      </c>
      <c r="Z15" s="57">
        <f>Z11*Z14</f>
        <v>0.0982667804665907</v>
      </c>
      <c r="AA15" s="57">
        <f>AA11*AA14</f>
        <v>0.03589877069943957</v>
      </c>
    </row>
    <row r="17">
      <c r="A17" s="30" t="inlineStr">
        <is>
          <t>Valuation summary</t>
        </is>
      </c>
      <c r="B17" s="31" t="n"/>
      <c r="C17" s="31" t="n"/>
    </row>
    <row r="18">
      <c r="A18" s="13" t="inlineStr">
        <is>
          <t>PV of risk-adjusted free cash flows</t>
        </is>
      </c>
      <c r="C18" s="53">
        <f>SUM(C15:AA15)</f>
        <v>13549.071789501273</v>
      </c>
    </row>
    <row r="19">
      <c r="A19" s="13" t="inlineStr">
        <is>
          <t>Cash &amp; investments (Main; incl. post-quarter financing)</t>
        </is>
      </c>
      <c r="C19" s="71">
        <f>Main!C7</f>
        <v>1720.1599999999999</v>
      </c>
    </row>
    <row r="20">
      <c r="A20" s="13" t="inlineStr">
        <is>
          <t>Debt, convertibles &amp; preferred at face (Main)</t>
        </is>
      </c>
      <c r="C20" s="71">
        <f>Main!C8</f>
        <v>3505.0</v>
      </c>
    </row>
    <row r="21">
      <c r="A21" s="13" t="inlineStr">
        <is>
          <t>Equity value, all claims treated as debt</t>
        </is>
      </c>
      <c r="C21" s="53">
        <f>C18+C19-C20</f>
        <v>11764.231789501273</v>
      </c>
    </row>
    <row r="22">
      <c r="A22" s="13" t="inlineStr">
        <is>
          <t>Basic shares incl. pre-funded / as-converted (Main)</t>
        </is>
      </c>
      <c r="C22" s="74">
        <f>Main!C4</f>
        <v>195.487474</v>
      </c>
    </row>
    <row r="23">
      <c r="A23" s="13" t="inlineStr">
        <is>
          <t>Value / share before conversions</t>
        </is>
      </c>
      <c r="C23" s="54">
        <f>C21/C22</f>
        <v>60.178954430099566</v>
      </c>
    </row>
    <row r="25">
      <c r="A25" s="28" t="inlineStr">
        <is>
          <t>Convertible instruments (converted if value / share before conversions &gt; conversion price)</t>
        </is>
      </c>
      <c r="B25" s="29" t="inlineStr">
        <is>
          <t>Face ($mm)</t>
        </is>
      </c>
      <c r="C25" s="29" t="inlineStr">
        <is>
          <t>Shares (mm)</t>
        </is>
      </c>
      <c r="D25" s="29" t="inlineStr">
        <is>
          <t>Conv. price</t>
        </is>
      </c>
      <c r="E25" s="29" t="inlineStr">
        <is>
          <t>Converted?</t>
        </is>
      </c>
    </row>
    <row r="26">
      <c r="A26" s="13" t="inlineStr">
        <is>
          <t>2027 notes</t>
        </is>
      </c>
      <c r="B26" s="75" t="n">
        <v>550</v>
      </c>
      <c r="C26" s="76" t="n">
        <v>12.878305</v>
      </c>
      <c r="D26" s="77" t="n">
        <v>42.71</v>
      </c>
      <c r="E26" s="78">
        <f>IF(AND(C26&gt;0,$C$23&gt;D26),1,0)</f>
        <v>1</v>
      </c>
    </row>
    <row r="27">
      <c r="A27" s="13" t="inlineStr">
        <is>
          <t>2029 notes</t>
        </is>
      </c>
      <c r="B27" s="75" t="n">
        <v>747.5</v>
      </c>
      <c r="C27" s="76" t="n">
        <v>7.702988</v>
      </c>
      <c r="D27" s="77" t="n">
        <v>97.04000000000001</v>
      </c>
      <c r="E27" s="78">
        <f>IF(AND(C27&gt;0,$C$23&gt;D27),1,0)</f>
        <v>0</v>
      </c>
    </row>
    <row r="28">
      <c r="A28" s="13" t="inlineStr">
        <is>
          <t>2031 notes</t>
        </is>
      </c>
      <c r="B28" s="75" t="n">
        <v>575</v>
      </c>
      <c r="C28" s="76" t="n">
        <v>11.544448</v>
      </c>
      <c r="D28" s="77" t="n">
        <v>49.81</v>
      </c>
      <c r="E28" s="78">
        <f>IF(AND(C28&gt;0,$C$23&gt;D28),1,0)</f>
        <v>1</v>
      </c>
    </row>
    <row r="29">
      <c r="A29" s="13" t="inlineStr">
        <is>
          <t>2033 notes</t>
        </is>
      </c>
      <c r="B29" s="75" t="n">
        <v>632.5</v>
      </c>
      <c r="C29" s="76" t="n">
        <v>5.720014</v>
      </c>
      <c r="D29" s="77" t="n">
        <v>110.58</v>
      </c>
      <c r="E29" s="78">
        <f>IF(AND(C29&gt;0,$C$23&gt;D29),1,0)</f>
        <v>0</v>
      </c>
    </row>
    <row r="30">
      <c r="A30" s="13" t="inlineStr">
        <is>
          <t>Series A preferred (7% PIK)</t>
        </is>
      </c>
      <c r="B30" s="75" t="n">
        <v>1000</v>
      </c>
      <c r="C30" s="76" t="n">
        <v>7.257421</v>
      </c>
      <c r="D30" s="77" t="n">
        <v>137.79</v>
      </c>
      <c r="E30" s="78">
        <f>IF(AND(C30&gt;0,$C$23&gt;D30),1,0)</f>
        <v>0</v>
      </c>
    </row>
    <row r="31">
      <c r="A31" s="22" t="inlineStr">
        <is>
          <t>Equity value (rNPV) after conversions</t>
        </is>
      </c>
      <c r="C31" s="57">
        <f>C21+SUMPRODUCT(B26:B30,E26:E30)</f>
        <v>12889.231789501273</v>
      </c>
    </row>
    <row r="32">
      <c r="A32" s="13" t="inlineStr">
        <is>
          <t>Shares after conversions (mm)</t>
        </is>
      </c>
      <c r="C32" s="18">
        <f>C22+SUMPRODUCT(C26:C30,E26:E30)</f>
        <v>219.910227</v>
      </c>
    </row>
    <row r="33">
      <c r="A33" s="13" t="inlineStr">
        <is>
          <t>Value / share before options &amp; warrants</t>
        </is>
      </c>
      <c r="C33" s="54">
        <f>C31/C32</f>
        <v>58.6113341127208</v>
      </c>
    </row>
    <row r="35">
      <c r="A35" s="28" t="inlineStr">
        <is>
          <t>Options, warrants &amp; RSUs (treasury-stock method)</t>
        </is>
      </c>
      <c r="B35" s="29" t="inlineStr">
        <is>
          <t>Count (mm)</t>
        </is>
      </c>
      <c r="C35" s="29" t="inlineStr">
        <is>
          <t>Strike</t>
        </is>
      </c>
      <c r="D35" s="29" t="inlineStr">
        <is>
          <t>Dilution (mm)</t>
        </is>
      </c>
    </row>
    <row r="36">
      <c r="A36" s="13" t="inlineStr">
        <is>
          <t>Options</t>
        </is>
      </c>
      <c r="B36" s="76" t="n">
        <v>10.041746</v>
      </c>
      <c r="C36" s="77" t="n">
        <v>25.76</v>
      </c>
      <c r="D36" s="73">
        <f>IF(AND(B36&gt;0,$C$33&gt;C36),B36*(1-C36/$C$33),0)</f>
        <v>5.628344038145355</v>
      </c>
    </row>
    <row r="37">
      <c r="A37" s="13" t="inlineStr">
        <is>
          <t>RSUs / PSUs</t>
        </is>
      </c>
      <c r="B37" s="76" t="n">
        <v>9.476000000000001</v>
      </c>
      <c r="C37" s="77" t="n">
        <v>0</v>
      </c>
      <c r="D37" s="73">
        <f>IF(AND(B37&gt;0,$C$33&gt;C37),B37*(1-C37/$C$33),0)</f>
        <v>9.476</v>
      </c>
    </row>
    <row r="38">
      <c r="A38" s="13" t="inlineStr">
        <is>
          <t>Milestone awards</t>
        </is>
      </c>
      <c r="B38" s="76" t="n">
        <v>0.902775</v>
      </c>
      <c r="C38" s="77" t="n">
        <v>0</v>
      </c>
      <c r="D38" s="73">
        <f>IF(AND(B38&gt;0,$C$33&gt;C38),B38*(1-C38/$C$33),0)</f>
        <v>0.902775</v>
      </c>
    </row>
    <row r="39">
      <c r="A39" s="13" t="inlineStr">
        <is>
          <t>—</t>
        </is>
      </c>
      <c r="B39" s="64" t="n">
        <v>0</v>
      </c>
      <c r="C39" s="64" t="n">
        <v>0</v>
      </c>
      <c r="D39" s="73">
        <f>IF(AND(B39&gt;0,$C$33&gt;C39),B39*(1-C39/$C$33),0)</f>
        <v>0</v>
      </c>
    </row>
    <row r="40">
      <c r="A40" s="13" t="inlineStr">
        <is>
          <t>—</t>
        </is>
      </c>
      <c r="B40" s="64" t="n">
        <v>0</v>
      </c>
      <c r="C40" s="64" t="n">
        <v>0</v>
      </c>
      <c r="D40" s="73">
        <f>IF(AND(B40&gt;0,$C$33&gt;C40),B40*(1-C40/$C$33),0)</f>
        <v>0</v>
      </c>
    </row>
    <row r="41">
      <c r="A41" s="13" t="inlineStr">
        <is>
          <t>—</t>
        </is>
      </c>
      <c r="B41" s="64" t="n">
        <v>0</v>
      </c>
      <c r="C41" s="64" t="n">
        <v>0</v>
      </c>
      <c r="D41" s="73">
        <f>IF(AND(B41&gt;0,$C$33&gt;C41),B41*(1-C41/$C$33),0)</f>
        <v>0</v>
      </c>
    </row>
    <row r="42">
      <c r="A42" s="13" t="inlineStr">
        <is>
          <t>Diluted shares (mm)</t>
        </is>
      </c>
      <c r="C42" s="18">
        <f>C32+SUM(D36:D41)</f>
        <v>235.91734603814535</v>
      </c>
    </row>
    <row r="43">
      <c r="A43" s="22" t="inlineStr">
        <is>
          <t>rNPV / share, diluted</t>
        </is>
      </c>
      <c r="C43" s="79">
        <f>C31/C42</f>
        <v>54.634523514083696</v>
      </c>
    </row>
    <row r="44">
      <c r="A44" s="13" t="inlineStr">
        <is>
          <t>Current price (Main)</t>
        </is>
      </c>
      <c r="C44" s="80">
        <f>Main!C3</f>
        <v>67.55</v>
      </c>
    </row>
    <row r="45">
      <c r="A45" s="22" t="inlineStr">
        <is>
          <t>Upside / (downside) to rNPV</t>
        </is>
      </c>
      <c r="C45" s="59">
        <f>C43/C44-1</f>
        <v>-0.19119876367011546</v>
      </c>
    </row>
    <row r="46">
      <c r="A46" s="13" t="inlineStr">
        <is>
          <t>Net cash / share</t>
        </is>
      </c>
      <c r="C46" s="54">
        <f>(C19-C20)/C22</f>
        <v>-9.130201354998327</v>
      </c>
    </row>
    <row r="47">
      <c r="A47" s="13" t="inlineStr">
        <is>
          <t>Est. cash &amp; investments at 12/31/2026</t>
        </is>
      </c>
      <c r="C47" s="71">
        <f>'Quarterly Model'!I20</f>
        <v>1497.642</v>
      </c>
    </row>
    <row r="48">
      <c r="A48" s="13" t="inlineStr">
        <is>
          <t>Liquidation value / share (12/31/2026E cash − debt − wind-down)</t>
        </is>
      </c>
      <c r="C48" s="54">
        <f>MAX(0,C47-C20-Assumptions!$B$27)/C22</f>
        <v>0.0</v>
      </c>
    </row>
    <row r="49">
      <c r="A49" s="13" t="inlineStr">
        <is>
          <t>Market-implied value of pipeline (market cap − net cash)</t>
        </is>
      </c>
      <c r="C49" s="53">
        <f>Main!C5-(C19-C20)</f>
        <v>14990.018868699999</v>
      </c>
    </row>
    <row r="51">
      <c r="A51" s="30" t="inlineStr">
        <is>
          <t>Sum of the parts (PV)</t>
        </is>
      </c>
      <c r="B51" s="81" t="inlineStr">
        <is>
          <t>$mm</t>
        </is>
      </c>
      <c r="C51" s="81" t="inlineStr">
        <is>
          <t>$ / share</t>
        </is>
      </c>
    </row>
    <row r="52">
      <c r="A52" s="13" t="inlineStr">
        <is>
          <t>Attruby (acoramidis) — ATTR-CM, U.S.</t>
        </is>
      </c>
      <c r="B52" s="53">
        <f>SUMPRODUCT(Pipeline!C11:Z11,$D$14:$AA$14)</f>
        <v>10912.861167496605</v>
      </c>
      <c r="C52" s="54">
        <f>B52/$C$42</f>
        <v>46.25713772539689</v>
      </c>
    </row>
    <row r="53">
      <c r="A53" s="13" t="inlineStr">
        <is>
          <t>Acoramidis — ex-U.S. royalties (Bayer, Alexion)</t>
        </is>
      </c>
      <c r="B53" s="53">
        <f>SUMPRODUCT(Pipeline!C20:Z20,$D$14:$AA$14)</f>
        <v>1152.787249784157</v>
      </c>
      <c r="C53" s="54">
        <f>B53/$C$42</f>
        <v>4.886403094742187</v>
      </c>
    </row>
    <row r="54">
      <c r="A54" s="13" t="inlineStr">
        <is>
          <t>BBP-418 — LGMD2I/R9</t>
        </is>
      </c>
      <c r="B54" s="53">
        <f>SUMPRODUCT(Pipeline!C32:Z32,$D$14:$AA$14)</f>
        <v>2928.69833144699</v>
      </c>
      <c r="C54" s="54">
        <f>B54/$C$42</f>
        <v>12.414086461338243</v>
      </c>
    </row>
    <row r="55">
      <c r="A55" s="13" t="inlineStr">
        <is>
          <t>Encaleret — ADH1 (PDUFA May 8, 2027)</t>
        </is>
      </c>
      <c r="B55" s="53">
        <f>SUMPRODUCT(Pipeline!C42:Z42,$D$14:$AA$14)</f>
        <v>2691.2791409461206</v>
      </c>
      <c r="C55" s="54">
        <f>B55/$C$42</f>
        <v>11.4077204840672</v>
      </c>
    </row>
    <row r="56">
      <c r="A56" s="13" t="inlineStr">
        <is>
          <t>Infigratinib — achondroplasia (PDUFA Feb 4, 2027)</t>
        </is>
      </c>
      <c r="B56" s="53">
        <f>SUMPRODUCT(Pipeline!C52:Z52,$D$14:$AA$14)</f>
        <v>3974.7703818422033</v>
      </c>
      <c r="C56" s="54">
        <f>B56/$C$42</f>
        <v>16.848148084878527</v>
      </c>
    </row>
    <row r="57">
      <c r="A57" s="13" t="inlineStr">
        <is>
          <t>Encaleret — chronic hypoparathyroidism (Phase 3)</t>
        </is>
      </c>
      <c r="B57" s="53">
        <f>SUMPRODUCT(Pipeline!C62:Z62,$D$14:$AA$14)</f>
        <v>1760.0770200238746</v>
      </c>
      <c r="C57" s="54">
        <f>B57/$C$42</f>
        <v>7.460566378782884</v>
      </c>
    </row>
    <row r="58">
      <c r="A58" s="13" t="inlineStr">
        <is>
          <t>Infigratinib — hypochondroplasia (Phase 3)</t>
        </is>
      </c>
      <c r="B58" s="53">
        <f>SUMPRODUCT(Pipeline!C72:Z72,$D$14:$AA$14)</f>
        <v>700.1107766445613</v>
      </c>
      <c r="C58" s="54">
        <f>B58/$C$42</f>
        <v>2.9676104296771832</v>
      </c>
    </row>
    <row r="59">
      <c r="A59" s="13" t="inlineStr">
        <is>
          <t>Corporate G&amp;A + platform R&amp;D (2027+)</t>
        </is>
      </c>
      <c r="B59" s="53">
        <f>-SUMPRODUCT(Pipeline!C78:Z78,$D$14:$AA$14)-SUMPRODUCT(Pipeline!C81:Z81,$D$14:$AA$14)</f>
        <v>-7539.93049100319</v>
      </c>
      <c r="C59" s="54">
        <f>B59/$C$42</f>
        <v>-31.960051338421135</v>
      </c>
    </row>
    <row r="60">
      <c r="A60" s="13" t="inlineStr">
        <is>
          <t>2H 2026 operating result</t>
        </is>
      </c>
      <c r="B60" s="53">
        <f>C11*C14</f>
        <v>-142.51799999999997</v>
      </c>
      <c r="C60" s="54">
        <f>B60/$C$42</f>
        <v>-0.6041014041288694</v>
      </c>
    </row>
    <row r="61">
      <c r="A61" s="13" t="inlineStr">
        <is>
          <t>Taxes</t>
        </is>
      </c>
      <c r="B61" s="53">
        <f>-SUMPRODUCT(D10:AA10,D14:AA14)</f>
        <v>-2889.0637876800483</v>
      </c>
      <c r="C61" s="54">
        <f>B61/$C$42</f>
        <v>-12.246084640223602</v>
      </c>
    </row>
    <row r="62">
      <c r="A62" s="13" t="inlineStr">
        <is>
          <t>Net cash (cash − all claims at face)</t>
        </is>
      </c>
      <c r="B62" s="53">
        <f>C19-C20</f>
        <v>-1784.8400000000001</v>
      </c>
      <c r="C62" s="54">
        <f>B62/$C$42</f>
        <v>-7.565531021663029</v>
      </c>
    </row>
    <row r="63">
      <c r="A63" s="13" t="inlineStr">
        <is>
          <t>Add back converted claims</t>
        </is>
      </c>
      <c r="B63" s="53">
        <f>SUMPRODUCT(B26:B30,E26:E30)</f>
        <v>1125.0</v>
      </c>
      <c r="C63" s="54">
        <f>B63/$C$42</f>
        <v>4.7686192596372265</v>
      </c>
    </row>
    <row r="64">
      <c r="A64" s="22" t="inlineStr">
        <is>
          <t>Equity value</t>
        </is>
      </c>
      <c r="B64" s="65">
        <f>SUM(B52:B63)</f>
        <v>12889.231789501273</v>
      </c>
      <c r="C64" s="82">
        <f>B64/$C$42</f>
        <v>54.634523514083696</v>
      </c>
    </row>
    <row r="65">
      <c r="A65" s="25" t="inlineStr">
        <is>
          <t>Check vs. equity value above (should be 0)</t>
        </is>
      </c>
      <c r="B65" s="83">
        <f>ROUND(B64-C31,6)</f>
        <v>0.0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3" customWidth="1" style="9" min="11" max="11"/>
    <col width="13" customWidth="1" style="9" min="12" max="12"/>
  </cols>
  <sheetData>
    <row r="1">
      <c r="A1" s="23" t="inlineStr">
        <is>
          <t>BBIO — PDUFA options analysis (per contract = 100 shares)</t>
        </is>
      </c>
    </row>
    <row r="3">
      <c r="A3" s="30" t="inlineStr">
        <is>
          <t>Inputs</t>
        </is>
      </c>
      <c r="B3" s="31" t="n"/>
    </row>
    <row r="4">
      <c r="A4" s="13" t="inlineStr">
        <is>
          <t>Spot price (close 10/16/2026)</t>
        </is>
      </c>
      <c r="B4" s="77" t="n">
        <v>66.39</v>
      </c>
    </row>
    <row r="5">
      <c r="A5" s="13" t="inlineStr">
        <is>
          <t>Pricing date</t>
        </is>
      </c>
      <c r="B5" s="84">
        <f>DATE(2026,10,16)</f>
        <v>46311</v>
      </c>
    </row>
    <row r="6">
      <c r="A6" s="13" t="inlineStr">
        <is>
          <t>PDUFA date</t>
        </is>
      </c>
      <c r="B6" s="67">
        <f>Assumptions!$B$30</f>
        <v>46353</v>
      </c>
    </row>
    <row r="7">
      <c r="A7" s="13" t="inlineStr">
        <is>
          <t>Expiry (first monthly after the PDUFA date)</t>
        </is>
      </c>
      <c r="B7" s="84">
        <f>DATE(2026,12,18)</f>
        <v>46374</v>
      </c>
    </row>
    <row r="8">
      <c r="A8" s="13" t="inlineStr">
        <is>
          <t>Years to expiry (T)</t>
        </is>
      </c>
      <c r="B8" s="73">
        <f>(B7-B5)/365</f>
        <v>0.1726027397260274</v>
      </c>
    </row>
    <row r="9">
      <c r="A9" s="13" t="inlineStr">
        <is>
          <t>Risk-free rate</t>
        </is>
      </c>
      <c r="B9" s="85" t="n">
        <v>0.04</v>
      </c>
    </row>
    <row r="10">
      <c r="A10" s="13" t="inlineStr">
        <is>
          <t>Reference IV for wide quotes (theo prices)</t>
        </is>
      </c>
      <c r="B10" s="85" t="n">
        <v>0.533</v>
      </c>
    </row>
    <row r="11">
      <c r="A11" s="13" t="inlineStr">
        <is>
          <t>Contract multiplier</t>
        </is>
      </c>
      <c r="B11" s="86" t="n">
        <v>100</v>
      </c>
    </row>
    <row r="13">
      <c r="A13" s="30" t="inlineStr">
        <is>
          <t>Event model (two outcomes at the PDUFA)</t>
        </is>
      </c>
      <c r="B13" s="31" t="n"/>
      <c r="C13" s="31" t="n"/>
    </row>
    <row r="14">
      <c r="A14" s="13" t="inlineStr">
        <is>
          <t>Model value / share, probability-weighted</t>
        </is>
      </c>
      <c r="B14" s="80">
        <f>NPV!C43</f>
        <v>54.634523514083696</v>
      </c>
    </row>
    <row r="15">
      <c r="A15" s="13" t="inlineStr">
        <is>
          <t>Model value / share if approved</t>
        </is>
      </c>
      <c r="B15" s="80">
        <f>Assumptions!$D$168</f>
        <v>55.02036983093543</v>
      </c>
    </row>
    <row r="16">
      <c r="A16" s="13" t="inlineStr">
        <is>
          <t>Model value / share if CRL</t>
        </is>
      </c>
      <c r="B16" s="80">
        <f>Assumptions!$D$167</f>
        <v>51.79058285073864</v>
      </c>
    </row>
    <row r="17">
      <c r="A17" s="13" t="inlineStr">
        <is>
          <t>Model probability of approval</t>
        </is>
      </c>
      <c r="B17" s="68">
        <f>Assumptions!$B$32</f>
        <v>0.88</v>
      </c>
    </row>
    <row r="18">
      <c r="A18" s="13" t="inlineStr">
        <is>
          <t>Event-move scale (share of model jump priced at expiry)</t>
        </is>
      </c>
      <c r="B18" s="26" t="n">
        <v>1</v>
      </c>
    </row>
    <row r="19">
      <c r="A19" s="13" t="inlineStr">
        <is>
          <t>Floor after a CRL, % of est. 12/31/2026 net cash / share</t>
        </is>
      </c>
      <c r="B19" s="26" t="n">
        <v>0.5</v>
      </c>
    </row>
    <row r="20">
      <c r="A20" s="13" t="inlineStr">
        <is>
          <t>Floor price after a CRL</t>
        </is>
      </c>
      <c r="B20" s="54">
        <f>MAX(0,B19*(NPV!C47-NPV!C20)/NPV!C22)</f>
        <v>0</v>
      </c>
    </row>
    <row r="21">
      <c r="A21" s="22" t="inlineStr">
        <is>
          <t>Price if approved (center of outcome)</t>
        </is>
      </c>
      <c r="B21" s="58">
        <f>IF(B14&gt;0,B4*(1+B18*(B15/B14-1)),B4+B18*(B15-B14))</f>
        <v>66.85886721670013</v>
      </c>
    </row>
    <row r="22">
      <c r="A22" s="22" t="inlineStr">
        <is>
          <t>Price if CRL (center of outcome)</t>
        </is>
      </c>
      <c r="B22" s="58">
        <f>MAX(B20,IF(B14&gt;0,B4*(1+B18*(B16/B14-1)),B4+B18*(B16-B14)))</f>
        <v>62.93414080154269</v>
      </c>
    </row>
    <row r="23">
      <c r="A23" s="13" t="inlineStr">
        <is>
          <t>Model expected price after the decision</t>
        </is>
      </c>
      <c r="B23" s="54">
        <f>B17*B21+(1-B17)*B22</f>
        <v>66.38790004688124</v>
      </c>
    </row>
    <row r="24">
      <c r="A24" s="13" t="inlineStr">
        <is>
          <t>Non-event volatility (6-month realized, 3 largest days removed)</t>
        </is>
      </c>
      <c r="B24" s="26" t="n">
        <v>0.321</v>
      </c>
    </row>
    <row r="25">
      <c r="A25" s="13" t="inlineStr">
        <is>
          <t>Model fair ATM straddle, % of spot (jump + non-event volatility)</t>
        </is>
      </c>
      <c r="B25" s="59">
        <f>(B17*((B21*NORMSDIST(((LN(B21/67.5)+$B$24^2*$B$8/2)/($B$24*SQRT($B$8))))-67.5*NORMSDIST((((LN(B21/67.5)+$B$24^2*$B$8/2)/($B$24*SQRT($B$8)))-$B$24*SQRT($B$8))))+(67.5*NORMSDIST(-(((LN(B21/67.5)+$B$24^2*$B$8/2)/($B$24*SQRT($B$8)))-$B$24*SQRT($B$8)))-B21*NORMSDIST(-((LN(B21/67.5)+$B$24^2*$B$8/2)/($B$24*SQRT($B$8))))))+(1-B17)*((B22*NORMSDIST(((LN(B22/67.5)+$B$24^2*$B$8/2)/($B$24*SQRT($B$8))))-67.5*NORMSDIST((((LN(B22/67.5)+$B$24^2*$B$8/2)/($B$24*SQRT($B$8)))-$B$24*SQRT($B$8))))+(67.5*NORMSDIST(-(((LN(B22/67.5)+$B$24^2*$B$8/2)/($B$24*SQRT($B$8)))-$B$24*SQRT($B$8)))-B22*NORMSDIST(-((LN(B22/67.5)+$B$24^2*$B$8/2)/($B$24*SQRT($B$8)))))))/B4</f>
        <v>0.10914356019020825</v>
      </c>
    </row>
    <row r="26">
      <c r="A26" s="13" t="inlineStr">
        <is>
          <t>Market ATM straddle, % of spot</t>
        </is>
      </c>
      <c r="B26" s="59">
        <f>($G$43+$G$44)/B4</f>
        <v>0.17734694087182704</v>
      </c>
    </row>
    <row r="27">
      <c r="A27" s="22" t="inlineStr">
        <is>
          <t>Options richness (market straddle ÷ model straddle)</t>
        </is>
      </c>
      <c r="B27" s="87">
        <f>B26/B25</f>
        <v>1.6248960594904398</v>
      </c>
    </row>
    <row r="28">
      <c r="A28" s="30" t="inlineStr">
        <is>
          <t>Market snapshot — 12/18/2026 expiry (Cboe delayed quotes, 10/16/2026 close)</t>
        </is>
      </c>
    </row>
    <row r="29">
      <c r="A29" s="29" t="inlineStr">
        <is>
          <t>Strike</t>
        </is>
      </c>
      <c r="B29" s="29" t="inlineStr">
        <is>
          <t>Call bid</t>
        </is>
      </c>
      <c r="C29" s="29" t="inlineStr">
        <is>
          <t>Call ask</t>
        </is>
      </c>
      <c r="D29" s="29" t="inlineStr">
        <is>
          <t>Call mid</t>
        </is>
      </c>
      <c r="E29" s="29" t="inlineStr">
        <is>
          <t>Call IV</t>
        </is>
      </c>
      <c r="F29" s="29" t="inlineStr">
        <is>
          <t>Put bid</t>
        </is>
      </c>
      <c r="G29" s="29" t="inlineStr">
        <is>
          <t>Put ask</t>
        </is>
      </c>
      <c r="H29" s="29" t="inlineStr">
        <is>
          <t>Put mid</t>
        </is>
      </c>
      <c r="I29" s="29" t="inlineStr">
        <is>
          <t>Put IV</t>
        </is>
      </c>
      <c r="J29" s="29" t="inlineStr">
        <is>
          <t>Call OI</t>
        </is>
      </c>
      <c r="K29" s="29" t="inlineStr">
        <is>
          <t>Put OI</t>
        </is>
      </c>
    </row>
    <row r="30">
      <c r="A30" s="88" t="n">
        <v>55</v>
      </c>
      <c r="B30" s="77" t="n">
        <v>11.5</v>
      </c>
      <c r="C30" s="77" t="n">
        <v>15.1</v>
      </c>
      <c r="D30" s="54">
        <f>(B30+C30)/2</f>
        <v>13.3</v>
      </c>
      <c r="E30" s="85" t="n">
        <v>0.5629</v>
      </c>
      <c r="F30" s="77" t="n">
        <v>0</v>
      </c>
      <c r="G30" s="77" t="n">
        <v>3.7</v>
      </c>
      <c r="H30" s="54">
        <f>(F30+G30)/2</f>
        <v>1.85</v>
      </c>
      <c r="I30" s="85" t="n">
        <v>0.5975</v>
      </c>
      <c r="J30" s="89" t="n">
        <v>0</v>
      </c>
      <c r="K30" s="89" t="n">
        <v>0</v>
      </c>
    </row>
    <row r="31">
      <c r="A31" s="88" t="n">
        <v>57.5</v>
      </c>
      <c r="B31" s="77" t="n">
        <v>9.699999999999999</v>
      </c>
      <c r="C31" s="77" t="n">
        <v>13.5</v>
      </c>
      <c r="D31" s="54">
        <f>(B31+C31)/2</f>
        <v>11.6</v>
      </c>
      <c r="E31" s="85" t="n">
        <v>0.5766</v>
      </c>
      <c r="F31" s="77" t="n">
        <v>0.2</v>
      </c>
      <c r="G31" s="77" t="n">
        <v>4</v>
      </c>
      <c r="H31" s="54">
        <f>(F31+G31)/2</f>
        <v>2.1</v>
      </c>
      <c r="I31" s="85" t="n">
        <v>0.5419</v>
      </c>
      <c r="J31" s="89" t="n">
        <v>0</v>
      </c>
      <c r="K31" s="89" t="n">
        <v>0</v>
      </c>
    </row>
    <row r="32">
      <c r="A32" s="88" t="n">
        <v>60</v>
      </c>
      <c r="B32" s="77" t="n">
        <v>8.6</v>
      </c>
      <c r="C32" s="77" t="n">
        <v>10.8</v>
      </c>
      <c r="D32" s="54">
        <f>(B32+C32)/2</f>
        <v>9.7</v>
      </c>
      <c r="E32" s="85" t="n">
        <v>0.5485</v>
      </c>
      <c r="F32" s="77" t="n">
        <v>1</v>
      </c>
      <c r="G32" s="77" t="n">
        <v>4.9</v>
      </c>
      <c r="H32" s="54">
        <f>(F32+G32)/2</f>
        <v>2.95</v>
      </c>
      <c r="I32" s="85" t="n">
        <v>0.5463</v>
      </c>
      <c r="J32" s="89" t="n">
        <v>3</v>
      </c>
      <c r="K32" s="89" t="n">
        <v>0</v>
      </c>
    </row>
    <row r="33">
      <c r="A33" s="88" t="n">
        <v>62.5</v>
      </c>
      <c r="B33" s="77" t="n">
        <v>6.5</v>
      </c>
      <c r="C33" s="77" t="n">
        <v>9.6</v>
      </c>
      <c r="D33" s="54">
        <f>(B33+C33)/2</f>
        <v>8.05</v>
      </c>
      <c r="E33" s="85" t="n">
        <v>0.5337</v>
      </c>
      <c r="F33" s="77" t="n">
        <v>3.2</v>
      </c>
      <c r="G33" s="77" t="n">
        <v>4.4</v>
      </c>
      <c r="H33" s="54">
        <f>(F33+G33)/2</f>
        <v>3.8000000000000003</v>
      </c>
      <c r="I33" s="85" t="n">
        <v>0.533</v>
      </c>
      <c r="J33" s="89" t="n">
        <v>0</v>
      </c>
      <c r="K33" s="89" t="n">
        <v>0</v>
      </c>
    </row>
    <row r="34">
      <c r="A34" s="88" t="n">
        <v>65</v>
      </c>
      <c r="B34" s="77" t="n">
        <v>5</v>
      </c>
      <c r="C34" s="77" t="n">
        <v>8.199999999999999</v>
      </c>
      <c r="D34" s="54">
        <f>(B34+C34)/2</f>
        <v>6.6</v>
      </c>
      <c r="E34" s="85" t="n">
        <v>0.5233</v>
      </c>
      <c r="F34" s="77" t="n">
        <v>3.2</v>
      </c>
      <c r="G34" s="77" t="n">
        <v>6.7</v>
      </c>
      <c r="H34" s="54">
        <f>(F34+G34)/2</f>
        <v>4.95</v>
      </c>
      <c r="I34" s="85" t="n">
        <v>0.5331</v>
      </c>
      <c r="J34" s="89" t="n">
        <v>2</v>
      </c>
      <c r="K34" s="89" t="n">
        <v>0</v>
      </c>
    </row>
    <row r="35">
      <c r="A35" s="88" t="n">
        <v>67.5</v>
      </c>
      <c r="B35" s="77" t="n">
        <v>3.2</v>
      </c>
      <c r="C35" s="77" t="n">
        <v>7.4</v>
      </c>
      <c r="D35" s="54">
        <f>(B35+C35)/2</f>
        <v>5.300000000000001</v>
      </c>
      <c r="E35" s="85" t="n">
        <v>0.5114</v>
      </c>
      <c r="F35" s="77" t="n">
        <v>4</v>
      </c>
      <c r="G35" s="77" t="n">
        <v>8</v>
      </c>
      <c r="H35" s="54">
        <f>(F35+G35)/2</f>
        <v>6.0</v>
      </c>
      <c r="I35" s="85" t="n">
        <v>0.5082</v>
      </c>
      <c r="J35" s="89" t="n">
        <v>0</v>
      </c>
      <c r="K35" s="89" t="n">
        <v>0</v>
      </c>
    </row>
    <row r="36">
      <c r="A36" s="88" t="n">
        <v>70</v>
      </c>
      <c r="B36" s="77" t="n">
        <v>2.25</v>
      </c>
      <c r="C36" s="77" t="n">
        <v>6.4</v>
      </c>
      <c r="D36" s="54">
        <f>(B36+C36)/2</f>
        <v>4.325</v>
      </c>
      <c r="E36" s="85" t="n">
        <v>0.5141</v>
      </c>
      <c r="F36" s="77" t="n">
        <v>5.5</v>
      </c>
      <c r="G36" s="77" t="n">
        <v>9.4</v>
      </c>
      <c r="H36" s="54">
        <f>(F36+G36)/2</f>
        <v>7.45</v>
      </c>
      <c r="I36" s="85" t="n">
        <v>0.5044999999999999</v>
      </c>
      <c r="J36" s="89" t="n">
        <v>0</v>
      </c>
      <c r="K36" s="89" t="n">
        <v>0</v>
      </c>
    </row>
    <row r="37">
      <c r="A37" s="88" t="n">
        <v>72.5</v>
      </c>
      <c r="B37" s="77" t="n">
        <v>1.4</v>
      </c>
      <c r="C37" s="77" t="n">
        <v>5.2</v>
      </c>
      <c r="D37" s="54">
        <f>(B37+C37)/2</f>
        <v>3.3</v>
      </c>
      <c r="E37" s="85" t="n">
        <v>0.4973</v>
      </c>
      <c r="F37" s="77" t="n">
        <v>7.4</v>
      </c>
      <c r="G37" s="77" t="n">
        <v>11.1</v>
      </c>
      <c r="H37" s="54">
        <f>(F37+G37)/2</f>
        <v>9.25</v>
      </c>
      <c r="I37" s="85" t="n">
        <v>0.5185999999999999</v>
      </c>
      <c r="J37" s="89" t="n">
        <v>0</v>
      </c>
      <c r="K37" s="89" t="n">
        <v>0</v>
      </c>
    </row>
    <row r="38">
      <c r="A38" s="88" t="n">
        <v>75</v>
      </c>
      <c r="B38" s="77" t="n">
        <v>2.15</v>
      </c>
      <c r="C38" s="77" t="n">
        <v>4.4</v>
      </c>
      <c r="D38" s="54">
        <f>(B38+C38)/2</f>
        <v>3.2750000000000004</v>
      </c>
      <c r="E38" s="85" t="n">
        <v>0.5639</v>
      </c>
      <c r="F38" s="77" t="n">
        <v>9.4</v>
      </c>
      <c r="G38" s="77" t="n">
        <v>12.7</v>
      </c>
      <c r="H38" s="54">
        <f>(F38+G38)/2</f>
        <v>11.05</v>
      </c>
      <c r="I38" s="85" t="n">
        <v>0.5196</v>
      </c>
      <c r="J38" s="89" t="n">
        <v>300</v>
      </c>
      <c r="K38" s="89" t="n">
        <v>300</v>
      </c>
    </row>
    <row r="39">
      <c r="A39" s="88" t="n">
        <v>80</v>
      </c>
      <c r="B39" s="77" t="n">
        <v>0</v>
      </c>
      <c r="C39" s="77" t="n">
        <v>3.4</v>
      </c>
      <c r="D39" s="54">
        <f>(B39+C39)/2</f>
        <v>1.7</v>
      </c>
      <c r="E39" s="85" t="n">
        <v>0.5121</v>
      </c>
      <c r="F39" s="77" t="n">
        <v>13.4</v>
      </c>
      <c r="G39" s="77" t="n">
        <v>16.5</v>
      </c>
      <c r="H39" s="54">
        <f>(F39+G39)/2</f>
        <v>14.95</v>
      </c>
      <c r="I39" s="85" t="n">
        <v>0.514</v>
      </c>
      <c r="J39" s="89" t="n">
        <v>0</v>
      </c>
      <c r="K39" s="89" t="n">
        <v>0</v>
      </c>
    </row>
    <row r="41">
      <c r="A41" s="30" t="inlineStr">
        <is>
          <t>Legs (premium = mid when the market is tight, else Black-Scholes at the reference IV)</t>
        </is>
      </c>
    </row>
    <row r="42">
      <c r="A42" s="29" t="inlineStr">
        <is>
          <t>Leg</t>
        </is>
      </c>
      <c r="B42" s="29" t="inlineStr">
        <is>
          <t>Type</t>
        </is>
      </c>
      <c r="C42" s="29" t="inlineStr">
        <is>
          <t>Strike</t>
        </is>
      </c>
      <c r="D42" s="29" t="inlineStr">
        <is>
          <t>Mid</t>
        </is>
      </c>
      <c r="E42" s="29" t="inlineStr">
        <is>
          <t>Spread % of mid</t>
        </is>
      </c>
      <c r="F42" s="29" t="inlineStr">
        <is>
          <t>BS value</t>
        </is>
      </c>
      <c r="G42" s="29" t="inlineStr">
        <is>
          <t>Premium used</t>
        </is>
      </c>
      <c r="H42" s="29" t="inlineStr">
        <is>
          <t>Source</t>
        </is>
      </c>
      <c r="I42" s="29" t="inlineStr">
        <is>
          <t>d1</t>
        </is>
      </c>
      <c r="J42" s="29" t="inlineStr">
        <is>
          <t>Delta</t>
        </is>
      </c>
      <c r="K42" s="29" t="inlineStr">
        <is>
          <t>E[payoff] if approved</t>
        </is>
      </c>
      <c r="L42" s="29" t="inlineStr">
        <is>
          <t>E[payoff] if CRL</t>
        </is>
      </c>
    </row>
    <row r="43">
      <c r="A43" s="13" t="inlineStr">
        <is>
          <t>Dec-26 $67.50 call</t>
        </is>
      </c>
      <c r="B43" s="90" t="inlineStr">
        <is>
          <t>C</t>
        </is>
      </c>
      <c r="C43" s="11">
        <f>A35</f>
        <v>67.5</v>
      </c>
      <c r="D43" s="54">
        <f>(B35+C35)/2</f>
        <v>5.300000000000001</v>
      </c>
      <c r="E43" s="56">
        <f>IF(B35&gt;0,(C35-B35)/D43,9.99)</f>
        <v>0.7924528301886792</v>
      </c>
      <c r="F43" s="54">
        <f>IF(B43="C",$B$4*NORMSDIST((LN($B$4/C43)+($B$9+$B$10^2/2)*$B$8)/($B$10*SQRT($B$8)))-C43*EXP(-$B$9*$B$8)*NORMSDIST((LN($B$4/C43)+($B$9+$B$10^2/2)*$B$8)/($B$10*SQRT($B$8))-$B$10*SQRT($B$8)),C43*EXP(-$B$9*$B$8)*NORMSDIST(-((LN($B$4/C43)+($B$9+$B$10^2/2)*$B$8)/($B$10*SQRT($B$8))-$B$10*SQRT($B$8)))-$B$4*NORMSDIST(-(LN($B$4/C43)+($B$9+$B$10^2/2)*$B$8)/($B$10*SQRT($B$8))))</f>
        <v>5.564242872790949</v>
      </c>
      <c r="G43" s="58">
        <f>IF(AND(B35&gt;0,E43&lt;=0.6),D43,F43)</f>
        <v>5.564242872790949</v>
      </c>
      <c r="H43" s="52" t="str">
        <f>IF(AND(B35&gt;0,E43&lt;=0.6),"market","theo")</f>
        <v>theo</v>
      </c>
      <c r="I43" s="73">
        <f>(LN($B$4/C43)+($B$9+$B$10^2/2)*$B$8)/($B$10*SQRT($B$8))</f>
        <v>0.06701768373469358</v>
      </c>
      <c r="J43" s="11">
        <f>IF(B43="C",NORMSDIST(I43),NORMSDIST(I43)-1)</f>
        <v>0.5267161873676292</v>
      </c>
      <c r="K43" s="54">
        <f>IF(B43="C",($B$21*NORMSDIST(((LN($B$21/C43)+$B$24^2*$B$8/2)/($B$24*SQRT($B$8))))-C43*NORMSDIST((((LN($B$21/C43)+$B$24^2*$B$8/2)/($B$24*SQRT($B$8)))-$B$24*SQRT($B$8)))),(C43*NORMSDIST(-(((LN($B$21/C43)+$B$24^2*$B$8/2)/($B$24*SQRT($B$8)))-$B$24*SQRT($B$8)))-$B$21*NORMSDIST(-((LN($B$21/C43)+$B$24^2*$B$8/2)/($B$24*SQRT($B$8))))))</f>
        <v>3.26008506983586</v>
      </c>
      <c r="L43" s="54">
        <f>IF(B43="C",($B$22*NORMSDIST(((LN($B$22/C43)+$B$24^2*$B$8/2)/($B$24*SQRT($B$8))))-C43*NORMSDIST((((LN($B$22/C43)+$B$24^2*$B$8/2)/($B$24*SQRT($B$8)))-$B$24*SQRT($B$8)))),(C43*NORMSDIST(-(((LN($B$22/C43)+$B$24^2*$B$8/2)/($B$24*SQRT($B$8)))-$B$24*SQRT($B$8)))-$B$22*NORMSDIST(-((LN($B$22/C43)+$B$24^2*$B$8/2)/($B$24*SQRT($B$8))))))</f>
        <v>1.6507970208252232</v>
      </c>
    </row>
    <row r="44">
      <c r="A44" s="13" t="inlineStr">
        <is>
          <t>Dec-26 $67.50 put</t>
        </is>
      </c>
      <c r="B44" s="90" t="inlineStr">
        <is>
          <t>P</t>
        </is>
      </c>
      <c r="C44" s="11">
        <f>A35</f>
        <v>67.5</v>
      </c>
      <c r="D44" s="54">
        <f>(F35+G35)/2</f>
        <v>6.0</v>
      </c>
      <c r="E44" s="56">
        <f>IF(F35&gt;0,(G35-F35)/D44,9.99)</f>
        <v>0.6666666666666666</v>
      </c>
      <c r="F44" s="54">
        <f>IF(B44="C",$B$4*NORMSDIST((LN($B$4/C44)+($B$9+$B$10^2/2)*$B$8)/($B$10*SQRT($B$8)))-C44*EXP(-$B$9*$B$8)*NORMSDIST((LN($B$4/C44)+($B$9+$B$10^2/2)*$B$8)/($B$10*SQRT($B$8))-$B$10*SQRT($B$8)),C44*EXP(-$B$9*$B$8)*NORMSDIST(-((LN($B$4/C44)+($B$9+$B$10^2/2)*$B$8)/($B$10*SQRT($B$8))-$B$10*SQRT($B$8)))-$B$4*NORMSDIST(-(LN($B$4/C44)+($B$9+$B$10^2/2)*$B$8)/($B$10*SQRT($B$8))))</f>
        <v>6.2098205316896475</v>
      </c>
      <c r="G44" s="58">
        <f>IF(AND(F35&gt;0,E44&lt;=0.6),D44,F44)</f>
        <v>6.2098205316896475</v>
      </c>
      <c r="H44" s="52" t="str">
        <f>IF(AND(F35&gt;0,E44&lt;=0.6),"market","theo")</f>
        <v>theo</v>
      </c>
      <c r="I44" s="73">
        <f>(LN($B$4/C44)+($B$9+$B$10^2/2)*$B$8)/($B$10*SQRT($B$8))</f>
        <v>0.06701768373469358</v>
      </c>
      <c r="J44" s="11">
        <f>IF(B44="C",NORMSDIST(I44),NORMSDIST(I44)-1)</f>
        <v>-0.47328381263237085</v>
      </c>
      <c r="K44" s="54">
        <f>IF(B44="C",($B$21*NORMSDIST(((LN($B$21/C44)+$B$24^2*$B$8/2)/($B$24*SQRT($B$8))))-C44*NORMSDIST((((LN($B$21/C44)+$B$24^2*$B$8/2)/($B$24*SQRT($B$8)))-$B$24*SQRT($B$8)))),(C44*NORMSDIST(-(((LN($B$21/C44)+$B$24^2*$B$8/2)/($B$24*SQRT($B$8)))-$B$24*SQRT($B$8)))-$B$21*NORMSDIST(-((LN($B$21/C44)+$B$24^2*$B$8/2)/($B$24*SQRT($B$8))))))</f>
        <v>3.9012178531357264</v>
      </c>
      <c r="L44" s="54">
        <f>IF(B44="C",($B$22*NORMSDIST(((LN($B$22/C44)+$B$24^2*$B$8/2)/($B$24*SQRT($B$8))))-C44*NORMSDIST((((LN($B$22/C44)+$B$24^2*$B$8/2)/($B$24*SQRT($B$8)))-$B$24*SQRT($B$8)))),(C44*NORMSDIST(-(((LN($B$22/C44)+$B$24^2*$B$8/2)/($B$24*SQRT($B$8)))-$B$24*SQRT($B$8)))-$B$22*NORMSDIST(-((LN($B$22/C44)+$B$24^2*$B$8/2)/($B$24*SQRT($B$8))))))</f>
        <v>6.216656219282527</v>
      </c>
    </row>
    <row r="45">
      <c r="A45" s="13" t="inlineStr">
        <is>
          <t>Dec-26 $80 call</t>
        </is>
      </c>
      <c r="B45" s="90" t="inlineStr">
        <is>
          <t>C</t>
        </is>
      </c>
      <c r="C45" s="11">
        <f>A39</f>
        <v>80</v>
      </c>
      <c r="D45" s="54">
        <f>(B39+C39)/2</f>
        <v>1.7</v>
      </c>
      <c r="E45" s="56">
        <f>IF(B39&gt;0,(C39-B39)/D45,9.99)</f>
        <v>9.99</v>
      </c>
      <c r="F45" s="54">
        <f>IF(B45="C",$B$4*NORMSDIST((LN($B$4/C45)+($B$9+$B$10^2/2)*$B$8)/($B$10*SQRT($B$8)))-C45*EXP(-$B$9*$B$8)*NORMSDIST((LN($B$4/C45)+($B$9+$B$10^2/2)*$B$8)/($B$10*SQRT($B$8))-$B$10*SQRT($B$8)),C45*EXP(-$B$9*$B$8)*NORMSDIST(-((LN($B$4/C45)+($B$9+$B$10^2/2)*$B$8)/($B$10*SQRT($B$8))-$B$10*SQRT($B$8)))-$B$4*NORMSDIST(-(LN($B$4/C45)+($B$9+$B$10^2/2)*$B$8)/($B$10*SQRT($B$8))))</f>
        <v>1.8892855907556712</v>
      </c>
      <c r="G45" s="58">
        <f>IF(AND(B39&gt;0,E45&lt;=0.6),D45,F45)</f>
        <v>1.8892855907556712</v>
      </c>
      <c r="H45" s="52" t="str">
        <f>IF(AND(B39&gt;0,E45&lt;=0.6),"market","theo")</f>
        <v>theo</v>
      </c>
      <c r="I45" s="73">
        <f>(LN($B$4/C45)+($B$9+$B$10^2/2)*$B$8)/($B$10*SQRT($B$8))</f>
        <v>-0.7002375599225075</v>
      </c>
      <c r="J45" s="11">
        <f>IF(B45="C",NORMSDIST(I45),NORMSDIST(I45)-1)</f>
        <v>0.2418894793709023</v>
      </c>
      <c r="K45" s="54">
        <f>IF(B45="C",($B$21*NORMSDIST(((LN($B$21/C45)+$B$24^2*$B$8/2)/($B$24*SQRT($B$8))))-C45*NORMSDIST((((LN($B$21/C45)+$B$24^2*$B$8/2)/($B$24*SQRT($B$8)))-$B$24*SQRT($B$8)))),(C45*NORMSDIST(-(((LN($B$21/C45)+$B$24^2*$B$8/2)/($B$24*SQRT($B$8)))-$B$24*SQRT($B$8)))-$B$21*NORMSDIST(-((LN($B$21/C45)+$B$24^2*$B$8/2)/($B$24*SQRT($B$8))))))</f>
        <v>0.4021271750161768</v>
      </c>
      <c r="L45" s="54">
        <f>IF(B45="C",($B$22*NORMSDIST(((LN($B$22/C45)+$B$24^2*$B$8/2)/($B$24*SQRT($B$8))))-C45*NORMSDIST((((LN($B$22/C45)+$B$24^2*$B$8/2)/($B$24*SQRT($B$8)))-$B$24*SQRT($B$8)))),(C45*NORMSDIST(-(((LN($B$22/C45)+$B$24^2*$B$8/2)/($B$24*SQRT($B$8)))-$B$24*SQRT($B$8)))-$B$22*NORMSDIST(-((LN($B$22/C45)+$B$24^2*$B$8/2)/($B$24*SQRT($B$8))))))</f>
        <v>0.13514238808746937</v>
      </c>
    </row>
    <row r="46">
      <c r="A46" s="13" t="inlineStr">
        <is>
          <t>Dec-26 $55 put</t>
        </is>
      </c>
      <c r="B46" s="90" t="inlineStr">
        <is>
          <t>P</t>
        </is>
      </c>
      <c r="C46" s="11">
        <f>A30</f>
        <v>55</v>
      </c>
      <c r="D46" s="54">
        <f>(F30+G30)/2</f>
        <v>1.85</v>
      </c>
      <c r="E46" s="56">
        <f>IF(F30&gt;0,(G30-F30)/D46,9.99)</f>
        <v>9.99</v>
      </c>
      <c r="F46" s="54">
        <f>IF(B46="C",$B$4*NORMSDIST((LN($B$4/C46)+($B$9+$B$10^2/2)*$B$8)/($B$10*SQRT($B$8)))-C46*EXP(-$B$9*$B$8)*NORMSDIST((LN($B$4/C46)+($B$9+$B$10^2/2)*$B$8)/($B$10*SQRT($B$8))-$B$10*SQRT($B$8)),C46*EXP(-$B$9*$B$8)*NORMSDIST(-((LN($B$4/C46)+($B$9+$B$10^2/2)*$B$8)/($B$10*SQRT($B$8))-$B$10*SQRT($B$8)))-$B$4*NORMSDIST(-(LN($B$4/C46)+($B$9+$B$10^2/2)*$B$8)/($B$10*SQRT($B$8))))</f>
        <v>1.380985503241094</v>
      </c>
      <c r="G46" s="58">
        <f>IF(AND(F30&gt;0,E46&lt;=0.6),D46,F46)</f>
        <v>1.380985503241094</v>
      </c>
      <c r="H46" s="52" t="str">
        <f>IF(AND(F30&gt;0,E46&lt;=0.6),"market","theo")</f>
        <v>theo</v>
      </c>
      <c r="I46" s="73">
        <f>(LN($B$4/C46)+($B$9+$B$10^2/2)*$B$8)/($B$10*SQRT($B$8))</f>
        <v>0.9918586359737289</v>
      </c>
      <c r="J46" s="11">
        <f>IF(B46="C",NORMSDIST(I46),NORMSDIST(I46)-1)</f>
        <v>-0.16063324472331453</v>
      </c>
      <c r="K46" s="54">
        <f>IF(B46="C",($B$21*NORMSDIST(((LN($B$21/C46)+$B$24^2*$B$8/2)/($B$24*SQRT($B$8))))-C46*NORMSDIST((((LN($B$21/C46)+$B$24^2*$B$8/2)/($B$24*SQRT($B$8)))-$B$24*SQRT($B$8)))),(C46*NORMSDIST(-(((LN($B$21/C46)+$B$24^2*$B$8/2)/($B$24*SQRT($B$8)))-$B$24*SQRT($B$8)))-$B$21*NORMSDIST(-((LN($B$21/C46)+$B$24^2*$B$8/2)/($B$24*SQRT($B$8))))))</f>
        <v>0.25669181935554874</v>
      </c>
      <c r="L46" s="54">
        <f>IF(B46="C",($B$22*NORMSDIST(((LN($B$22/C46)+$B$24^2*$B$8/2)/($B$24*SQRT($B$8))))-C46*NORMSDIST((((LN($B$22/C46)+$B$24^2*$B$8/2)/($B$24*SQRT($B$8)))-$B$24*SQRT($B$8)))),(C46*NORMSDIST(-(((LN($B$22/C46)+$B$24^2*$B$8/2)/($B$24*SQRT($B$8)))-$B$24*SQRT($B$8)))-$B$22*NORMSDIST(-((LN($B$22/C46)+$B$24^2*$B$8/2)/($B$24*SQRT($B$8))))))</f>
        <v>0.6398800950757799</v>
      </c>
    </row>
    <row r="48">
      <c r="A48" s="30" t="inlineStr">
        <is>
          <t>Strategies (+ = credit received, − = debit paid; per share unless noted)</t>
        </is>
      </c>
    </row>
    <row r="49">
      <c r="A49" s="29" t="inlineStr">
        <is>
          <t>Metric</t>
        </is>
      </c>
      <c r="B49" s="29" t="inlineStr">
        <is>
          <t>Long straddle</t>
        </is>
      </c>
      <c r="C49" s="29" t="inlineStr">
        <is>
          <t>Bull call spread</t>
        </is>
      </c>
      <c r="D49" s="29" t="inlineStr">
        <is>
          <t>Bear put spread</t>
        </is>
      </c>
      <c r="E49" s="29" t="inlineStr">
        <is>
          <t>Iron butterfly</t>
        </is>
      </c>
    </row>
    <row r="50" ht="50" customHeight="1" s="9">
      <c r="A50" s="13" t="inlineStr">
        <is>
          <t>Structure</t>
        </is>
      </c>
      <c r="B50" s="91" t="inlineStr">
        <is>
          <t>Buy $67.50 call + $67.50 put</t>
        </is>
      </c>
      <c r="C50" s="91" t="inlineStr">
        <is>
          <t>Buy $67.50 / sell $80 call</t>
        </is>
      </c>
      <c r="D50" s="91" t="inlineStr">
        <is>
          <t>Buy $67.50 / sell $55 put</t>
        </is>
      </c>
      <c r="E50" s="91" t="inlineStr">
        <is>
          <t>Sell $67.50 straddle, buy $55 put + $80 call</t>
        </is>
      </c>
    </row>
    <row r="51">
      <c r="A51" s="13" t="inlineStr">
        <is>
          <t>Net premium</t>
        </is>
      </c>
      <c r="B51" s="54">
        <f>-$G$43-$G$44</f>
        <v>-11.774063404480597</v>
      </c>
      <c r="C51" s="54">
        <f>-$G$43+$G$45</f>
        <v>-3.674957282035278</v>
      </c>
      <c r="D51" s="54">
        <f>-$G$44+$G$46</f>
        <v>-4.8288350284485535</v>
      </c>
      <c r="E51" s="54">
        <f>$G$43+$G$44-$G$45-$G$46</f>
        <v>8.503792310483831</v>
      </c>
    </row>
    <row r="52">
      <c r="A52" s="13" t="inlineStr">
        <is>
          <t>Net premium / contract</t>
        </is>
      </c>
      <c r="B52" s="92">
        <f>B51*$B$11</f>
        <v>-1177.4063404480596</v>
      </c>
      <c r="C52" s="92">
        <f>C51*$B$11</f>
        <v>-367.4957282035278</v>
      </c>
      <c r="D52" s="92">
        <f>D51*$B$11</f>
        <v>-482.88350284485534</v>
      </c>
      <c r="E52" s="92">
        <f>E51*$B$11</f>
        <v>850.3792310483832</v>
      </c>
    </row>
    <row r="53">
      <c r="A53" s="13" t="inlineStr">
        <is>
          <t>Max profit / contract</t>
        </is>
      </c>
      <c r="B53" s="93" t="str">
        <f>"Unlimited"</f>
        <v>Unlimited</v>
      </c>
      <c r="C53" s="93">
        <f>(80.0-67.5+C51)*$B$11</f>
        <v>882.5042717964723</v>
      </c>
      <c r="D53" s="93">
        <f>(67.5-55.0+D51)*$B$11</f>
        <v>767.1164971551447</v>
      </c>
      <c r="E53" s="93">
        <f>E51*$B$11</f>
        <v>850.3792310483832</v>
      </c>
    </row>
    <row r="54">
      <c r="A54" s="13" t="inlineStr">
        <is>
          <t>Max loss / contract</t>
        </is>
      </c>
      <c r="B54" s="92">
        <f>B51*$B$11</f>
        <v>-1177.4063404480596</v>
      </c>
      <c r="C54" s="92">
        <f>C51*$B$11</f>
        <v>-367.4957282035278</v>
      </c>
      <c r="D54" s="92">
        <f>D51*$B$11</f>
        <v>-482.88350284485534</v>
      </c>
      <c r="E54" s="92">
        <f>-(MAX(80.0-67.5,67.5-55.0)-E51)*$B$11</f>
        <v>-399.62076895161687</v>
      </c>
    </row>
    <row r="55">
      <c r="A55" s="13" t="inlineStr">
        <is>
          <t>Breakeven (low)</t>
        </is>
      </c>
      <c r="B55" s="94">
        <f>67.5+B51</f>
        <v>55.7259365955194</v>
      </c>
      <c r="C55" s="94" t="str">
        <f>"—"</f>
        <v>—</v>
      </c>
      <c r="D55" s="94">
        <f>67.5+D51</f>
        <v>62.67116497155145</v>
      </c>
      <c r="E55" s="94">
        <f>67.5-E51</f>
        <v>58.99620768951617</v>
      </c>
    </row>
    <row r="56">
      <c r="A56" s="13" t="inlineStr">
        <is>
          <t>Breakeven (high)</t>
        </is>
      </c>
      <c r="B56" s="94">
        <f>67.5-B51</f>
        <v>79.2740634044806</v>
      </c>
      <c r="C56" s="94">
        <f>67.5-C51</f>
        <v>71.17495728203528</v>
      </c>
      <c r="D56" s="94" t="str">
        <f>"—"</f>
        <v>—</v>
      </c>
      <c r="E56" s="94">
        <f>67.5+E51</f>
        <v>76.00379231048383</v>
      </c>
    </row>
    <row r="57">
      <c r="A57" s="13" t="inlineStr">
        <is>
          <t>Prob. of profit (market-implied, lognormal)</t>
        </is>
      </c>
      <c r="B57" s="55">
        <f>(1-NORMSDIST((LN($B$4/B55)+($B$9-IF((($E$35+$I$35)/2)&gt;0,(($E$35+$I$35)/2),$B$10)^2/2)*$B$8)/(IF((($E$35+$I$35)/2)&gt;0,(($E$35+$I$35)/2),$B$10)*SQRT($B$8))))+NORMSDIST((LN($B$4/B56)+($B$9-IF((($E$35+$I$35)/2)&gt;0,(($E$35+$I$35)/2),$B$10)^2/2)*$B$8)/(IF((($E$35+$I$35)/2)&gt;0,(($E$35+$I$35)/2),$B$10)*SQRT($B$8)))</f>
        <v>0.40681701835177425</v>
      </c>
      <c r="C57" s="55">
        <f>NORMSDIST((LN($B$4/C56)+($B$9-IF((($E$35+$I$35)/2)&gt;0,(($E$35+$I$35)/2),$B$10)^2/2)*$B$8)/(IF((($E$35+$I$35)/2)&gt;0,(($E$35+$I$35)/2),$B$10)*SQRT($B$8)))</f>
        <v>0.34388247350401935</v>
      </c>
      <c r="D57" s="55">
        <f>1-NORMSDIST((LN($B$4/D55)+($B$9-IF((($E$35+$I$35)/2)&gt;0,(($E$35+$I$35)/2),$B$10)^2/2)*$B$8)/(IF((($E$35+$I$35)/2)&gt;0,(($E$35+$I$35)/2),$B$10)*SQRT($B$8)))</f>
        <v>0.42118356612521124</v>
      </c>
      <c r="E57" s="55">
        <f>MAX(0,NORMSDIST((LN($B$4/E55)+($B$9-IF((($E$35+$I$35)/2)&gt;0,(($E$35+$I$35)/2),$B$10)^2/2)*$B$8)/(IF((($E$35+$I$35)/2)&gt;0,(($E$35+$I$35)/2),$B$10)*SQRT($B$8)))-NORMSDIST((LN($B$4/E56)+($B$9-IF((($E$35+$I$35)/2)&gt;0,(($E$35+$I$35)/2),$B$10)^2/2)*$B$8)/(IF((($E$35+$I$35)/2)&gt;0,(($E$35+$I$35)/2),$B$10)*SQRT($B$8))))</f>
        <v>0.44758060366466</v>
      </c>
    </row>
    <row r="58">
      <c r="A58" s="13" t="inlineStr">
        <is>
          <t>Expected P/L if approved</t>
        </is>
      </c>
      <c r="B58" s="92">
        <f>((1)*$K$43+(1)*$K$44+B51)*$B$11</f>
        <v>-461.27604815090103</v>
      </c>
      <c r="C58" s="92">
        <f>((1)*$K$43+(-1)*$K$45+C51)*$B$11</f>
        <v>-81.69993872155948</v>
      </c>
      <c r="D58" s="92">
        <f>((1)*$K$44+(-1)*$K$46+D51)*$B$11</f>
        <v>-118.43089946683759</v>
      </c>
      <c r="E58" s="92">
        <f>((-1)*$K$43+(-1)*$K$44+(1)*$K$45+(1)*$K$46+E51)*$B$11</f>
        <v>200.13083818839706</v>
      </c>
    </row>
    <row r="59">
      <c r="A59" s="13" t="inlineStr">
        <is>
          <t>Expected P/L if CRL</t>
        </is>
      </c>
      <c r="B59" s="92">
        <f>((1)*$L$43+(1)*$L$44+B51)*$B$11</f>
        <v>-390.6610164372847</v>
      </c>
      <c r="C59" s="92">
        <f>((1)*$L$43+(-1)*$L$45+C51)*$B$11</f>
        <v>-215.9302649297524</v>
      </c>
      <c r="D59" s="92">
        <f>((1)*$L$44+(-1)*$L$46+D51)*$B$11</f>
        <v>74.79410957581933</v>
      </c>
      <c r="E59" s="92">
        <f>((-1)*$L$43+(-1)*$L$44+(1)*$L$45+(1)*$L$46+E51)*$B$11</f>
        <v>141.1361553539331</v>
      </c>
    </row>
    <row r="60">
      <c r="A60" s="22" t="inlineStr">
        <is>
          <t>Model expected P/L</t>
        </is>
      </c>
      <c r="B60" s="95">
        <f>$B$17*B58+(1-$B$17)*B59</f>
        <v>-452.80224434526707</v>
      </c>
      <c r="C60" s="95">
        <f>$B$17*C58+(1-$B$17)*C59</f>
        <v>-97.80757786654263</v>
      </c>
      <c r="D60" s="95">
        <f>$B$17*D58+(1-$B$17)*D59</f>
        <v>-95.24389838171875</v>
      </c>
      <c r="E60" s="95">
        <f>$B$17*E58+(1-$B$17)*E59</f>
        <v>193.0514762482614</v>
      </c>
    </row>
    <row r="61">
      <c r="A61" s="13" t="inlineStr">
        <is>
          <t>Expected P/L ÷ max loss</t>
        </is>
      </c>
      <c r="B61" s="55">
        <f>B60/-B54</f>
        <v>-0.3845760200110304</v>
      </c>
      <c r="C61" s="55">
        <f>C60/-C54</f>
        <v>-0.2661461626905619</v>
      </c>
      <c r="D61" s="55">
        <f>D60/-D54</f>
        <v>-0.19723990946180547</v>
      </c>
      <c r="E61" s="55">
        <f>E60/-E54</f>
        <v>0.48308669430450607</v>
      </c>
    </row>
    <row r="63">
      <c r="A63" s="30" t="inlineStr">
        <is>
          <t>Payoff at expiry per contract ($)</t>
        </is>
      </c>
    </row>
    <row r="64">
      <c r="A64" s="29" t="inlineStr">
        <is>
          <t>Price at expiry</t>
        </is>
      </c>
      <c r="B64" s="29" t="inlineStr">
        <is>
          <t>Long straddle</t>
        </is>
      </c>
      <c r="C64" s="29" t="inlineStr">
        <is>
          <t>Bull call spread</t>
        </is>
      </c>
      <c r="D64" s="29" t="inlineStr">
        <is>
          <t>Bear put spread</t>
        </is>
      </c>
      <c r="E64" s="29" t="inlineStr">
        <is>
          <t>Iron butterfly</t>
        </is>
      </c>
    </row>
    <row r="65">
      <c r="A65" s="96" t="n">
        <v>31.1</v>
      </c>
      <c r="B65" s="53">
        <f>(MAX($A65-67.5,0)+MAX(67.5-$A65,0)-$G$43-$G$44)*$B$11</f>
        <v>2462.59365955194</v>
      </c>
      <c r="C65" s="53">
        <f>(MAX($A65-67.5,0)-MAX($A65-80.0,0)-$G$43+$G$45)*$B$11</f>
        <v>-367.4957282035278</v>
      </c>
      <c r="D65" s="53">
        <f>(MAX(67.5-$A65,0)-MAX(55.0-$A65,0)-$G$44+$G$46)*$B$11</f>
        <v>767.1164971551447</v>
      </c>
      <c r="E65" s="53">
        <f>($G$43+$G$44-$G$45-$G$46-MAX($A65-67.5,0)-MAX(67.5-$A65,0)+MAX($A65-80.0,0)+MAX(55.0-$A65,0))*$B$11</f>
        <v>-399.62076895161687</v>
      </c>
    </row>
    <row r="66">
      <c r="A66" s="96" t="n">
        <v>33.4</v>
      </c>
      <c r="B66" s="53">
        <f>(MAX($A66-67.5,0)+MAX(67.5-$A66,0)-$G$43-$G$44)*$B$11</f>
        <v>2232.5936595519406</v>
      </c>
      <c r="C66" s="53">
        <f>(MAX($A66-67.5,0)-MAX($A66-80.0,0)-$G$43+$G$45)*$B$11</f>
        <v>-367.4957282035278</v>
      </c>
      <c r="D66" s="53">
        <f>(MAX(67.5-$A66,0)-MAX(55.0-$A66,0)-$G$44+$G$46)*$B$11</f>
        <v>767.1164971551447</v>
      </c>
      <c r="E66" s="53">
        <f>($G$43+$G$44-$G$45-$G$46-MAX($A66-67.5,0)-MAX(67.5-$A66,0)+MAX($A66-80.0,0)+MAX(55.0-$A66,0))*$B$11</f>
        <v>-399.62076895161687</v>
      </c>
    </row>
    <row r="67">
      <c r="A67" s="96" t="n">
        <v>35.8</v>
      </c>
      <c r="B67" s="53">
        <f>(MAX($A67-67.5,0)+MAX(67.5-$A67,0)-$G$43-$G$44)*$B$11</f>
        <v>1992.5936595519406</v>
      </c>
      <c r="C67" s="53">
        <f>(MAX($A67-67.5,0)-MAX($A67-80.0,0)-$G$43+$G$45)*$B$11</f>
        <v>-367.4957282035278</v>
      </c>
      <c r="D67" s="53">
        <f>(MAX(67.5-$A67,0)-MAX(55.0-$A67,0)-$G$44+$G$46)*$B$11</f>
        <v>767.1164971551447</v>
      </c>
      <c r="E67" s="53">
        <f>($G$43+$G$44-$G$45-$G$46-MAX($A67-67.5,0)-MAX(67.5-$A67,0)+MAX($A67-80.0,0)+MAX(55.0-$A67,0))*$B$11</f>
        <v>-399.62076895161687</v>
      </c>
    </row>
    <row r="68">
      <c r="A68" s="96" t="n">
        <v>38.1</v>
      </c>
      <c r="B68" s="53">
        <f>(MAX($A68-67.5,0)+MAX(67.5-$A68,0)-$G$43-$G$44)*$B$11</f>
        <v>1762.5936595519402</v>
      </c>
      <c r="C68" s="53">
        <f>(MAX($A68-67.5,0)-MAX($A68-80.0,0)-$G$43+$G$45)*$B$11</f>
        <v>-367.4957282035278</v>
      </c>
      <c r="D68" s="53">
        <f>(MAX(67.5-$A68,0)-MAX(55.0-$A68,0)-$G$44+$G$46)*$B$11</f>
        <v>767.1164971551447</v>
      </c>
      <c r="E68" s="53">
        <f>($G$43+$G$44-$G$45-$G$46-MAX($A68-67.5,0)-MAX(67.5-$A68,0)+MAX($A68-80.0,0)+MAX(55.0-$A68,0))*$B$11</f>
        <v>-399.62076895161687</v>
      </c>
    </row>
    <row r="69">
      <c r="A69" s="96" t="n">
        <v>40.5</v>
      </c>
      <c r="B69" s="53">
        <f>(MAX($A69-67.5,0)+MAX(67.5-$A69,0)-$G$43-$G$44)*$B$11</f>
        <v>1522.5936595519404</v>
      </c>
      <c r="C69" s="53">
        <f>(MAX($A69-67.5,0)-MAX($A69-80.0,0)-$G$43+$G$45)*$B$11</f>
        <v>-367.4957282035278</v>
      </c>
      <c r="D69" s="53">
        <f>(MAX(67.5-$A69,0)-MAX(55.0-$A69,0)-$G$44+$G$46)*$B$11</f>
        <v>767.1164971551447</v>
      </c>
      <c r="E69" s="53">
        <f>($G$43+$G$44-$G$45-$G$46-MAX($A69-67.5,0)-MAX(67.5-$A69,0)+MAX($A69-80.0,0)+MAX(55.0-$A69,0))*$B$11</f>
        <v>-399.62076895161687</v>
      </c>
    </row>
    <row r="70">
      <c r="A70" s="96" t="n">
        <v>42.8</v>
      </c>
      <c r="B70" s="53">
        <f>(MAX($A70-67.5,0)+MAX(67.5-$A70,0)-$G$43-$G$44)*$B$11</f>
        <v>1292.5936595519406</v>
      </c>
      <c r="C70" s="53">
        <f>(MAX($A70-67.5,0)-MAX($A70-80.0,0)-$G$43+$G$45)*$B$11</f>
        <v>-367.4957282035278</v>
      </c>
      <c r="D70" s="53">
        <f>(MAX(67.5-$A70,0)-MAX(55.0-$A70,0)-$G$44+$G$46)*$B$11</f>
        <v>767.1164971551447</v>
      </c>
      <c r="E70" s="53">
        <f>($G$43+$G$44-$G$45-$G$46-MAX($A70-67.5,0)-MAX(67.5-$A70,0)+MAX($A70-80.0,0)+MAX(55.0-$A70,0))*$B$11</f>
        <v>-399.62076895161687</v>
      </c>
    </row>
    <row r="71">
      <c r="A71" s="96" t="n">
        <v>45.2</v>
      </c>
      <c r="B71" s="53">
        <f>(MAX($A71-67.5,0)+MAX(67.5-$A71,0)-$G$43-$G$44)*$B$11</f>
        <v>1052.5936595519402</v>
      </c>
      <c r="C71" s="53">
        <f>(MAX($A71-67.5,0)-MAX($A71-80.0,0)-$G$43+$G$45)*$B$11</f>
        <v>-367.4957282035278</v>
      </c>
      <c r="D71" s="53">
        <f>(MAX(67.5-$A71,0)-MAX(55.0-$A71,0)-$G$44+$G$46)*$B$11</f>
        <v>767.1164971551447</v>
      </c>
      <c r="E71" s="53">
        <f>($G$43+$G$44-$G$45-$G$46-MAX($A71-67.5,0)-MAX(67.5-$A71,0)+MAX($A71-80.0,0)+MAX(55.0-$A71,0))*$B$11</f>
        <v>-399.62076895161687</v>
      </c>
    </row>
    <row r="72">
      <c r="A72" s="96" t="n">
        <v>47.6</v>
      </c>
      <c r="B72" s="53">
        <f>(MAX($A72-67.5,0)+MAX(67.5-$A72,0)-$G$43-$G$44)*$B$11</f>
        <v>812.5936595519402</v>
      </c>
      <c r="C72" s="53">
        <f>(MAX($A72-67.5,0)-MAX($A72-80.0,0)-$G$43+$G$45)*$B$11</f>
        <v>-367.4957282035278</v>
      </c>
      <c r="D72" s="53">
        <f>(MAX(67.5-$A72,0)-MAX(55.0-$A72,0)-$G$44+$G$46)*$B$11</f>
        <v>767.1164971551447</v>
      </c>
      <c r="E72" s="53">
        <f>($G$43+$G$44-$G$45-$G$46-MAX($A72-67.5,0)-MAX(67.5-$A72,0)+MAX($A72-80.0,0)+MAX(55.0-$A72,0))*$B$11</f>
        <v>-399.62076895161687</v>
      </c>
    </row>
    <row r="73">
      <c r="A73" s="96" t="n">
        <v>49.9</v>
      </c>
      <c r="B73" s="53">
        <f>(MAX($A73-67.5,0)+MAX(67.5-$A73,0)-$G$43-$G$44)*$B$11</f>
        <v>582.5936595519405</v>
      </c>
      <c r="C73" s="53">
        <f>(MAX($A73-67.5,0)-MAX($A73-80.0,0)-$G$43+$G$45)*$B$11</f>
        <v>-367.4957282035278</v>
      </c>
      <c r="D73" s="53">
        <f>(MAX(67.5-$A73,0)-MAX(55.0-$A73,0)-$G$44+$G$46)*$B$11</f>
        <v>767.1164971551447</v>
      </c>
      <c r="E73" s="53">
        <f>($G$43+$G$44-$G$45-$G$46-MAX($A73-67.5,0)-MAX(67.5-$A73,0)+MAX($A73-80.0,0)+MAX(55.0-$A73,0))*$B$11</f>
        <v>-399.62076895161687</v>
      </c>
    </row>
    <row r="74">
      <c r="A74" s="96" t="n">
        <v>52.3</v>
      </c>
      <c r="B74" s="53">
        <f>(MAX($A74-67.5,0)+MAX(67.5-$A74,0)-$G$43-$G$44)*$B$11</f>
        <v>342.5936595519406</v>
      </c>
      <c r="C74" s="53">
        <f>(MAX($A74-67.5,0)-MAX($A74-80.0,0)-$G$43+$G$45)*$B$11</f>
        <v>-367.4957282035278</v>
      </c>
      <c r="D74" s="53">
        <f>(MAX(67.5-$A74,0)-MAX(55.0-$A74,0)-$G$44+$G$46)*$B$11</f>
        <v>767.1164971551447</v>
      </c>
      <c r="E74" s="53">
        <f>($G$43+$G$44-$G$45-$G$46-MAX($A74-67.5,0)-MAX(67.5-$A74,0)+MAX($A74-80.0,0)+MAX(55.0-$A74,0))*$B$11</f>
        <v>-399.62076895161687</v>
      </c>
    </row>
    <row r="75">
      <c r="A75" s="96" t="n">
        <v>54.6</v>
      </c>
      <c r="B75" s="53">
        <f>(MAX($A75-67.5,0)+MAX(67.5-$A75,0)-$G$43-$G$44)*$B$11</f>
        <v>112.5936595519402</v>
      </c>
      <c r="C75" s="53">
        <f>(MAX($A75-67.5,0)-MAX($A75-80.0,0)-$G$43+$G$45)*$B$11</f>
        <v>-367.4957282035278</v>
      </c>
      <c r="D75" s="53">
        <f>(MAX(67.5-$A75,0)-MAX(55.0-$A75,0)-$G$44+$G$46)*$B$11</f>
        <v>767.1164971551447</v>
      </c>
      <c r="E75" s="53">
        <f>($G$43+$G$44-$G$45-$G$46-MAX($A75-67.5,0)-MAX(67.5-$A75,0)+MAX($A75-80.0,0)+MAX(55.0-$A75,0))*$B$11</f>
        <v>-399.62076895161687</v>
      </c>
    </row>
    <row r="76">
      <c r="A76" s="96" t="n">
        <v>57</v>
      </c>
      <c r="B76" s="53">
        <f>(MAX($A76-67.5,0)+MAX(67.5-$A76,0)-$G$43-$G$44)*$B$11</f>
        <v>-127.40634044805965</v>
      </c>
      <c r="C76" s="53">
        <f>(MAX($A76-67.5,0)-MAX($A76-80.0,0)-$G$43+$G$45)*$B$11</f>
        <v>-367.4957282035278</v>
      </c>
      <c r="D76" s="53">
        <f>(MAX(67.5-$A76,0)-MAX(55.0-$A76,0)-$G$44+$G$46)*$B$11</f>
        <v>567.1164971551447</v>
      </c>
      <c r="E76" s="53">
        <f>($G$43+$G$44-$G$45-$G$46-MAX($A76-67.5,0)-MAX(67.5-$A76,0)+MAX($A76-80.0,0)+MAX(55.0-$A76,0))*$B$11</f>
        <v>-199.62076895161687</v>
      </c>
    </row>
    <row r="77">
      <c r="A77" s="96" t="n">
        <v>59.3</v>
      </c>
      <c r="B77" s="53">
        <f>(MAX($A77-67.5,0)+MAX(67.5-$A77,0)-$G$43-$G$44)*$B$11</f>
        <v>-357.4063404480594</v>
      </c>
      <c r="C77" s="53">
        <f>(MAX($A77-67.5,0)-MAX($A77-80.0,0)-$G$43+$G$45)*$B$11</f>
        <v>-367.4957282035278</v>
      </c>
      <c r="D77" s="53">
        <f>(MAX(67.5-$A77,0)-MAX(55.0-$A77,0)-$G$44+$G$46)*$B$11</f>
        <v>337.11649715514494</v>
      </c>
      <c r="E77" s="53">
        <f>($G$43+$G$44-$G$45-$G$46-MAX($A77-67.5,0)-MAX(67.5-$A77,0)+MAX($A77-80.0,0)+MAX(55.0-$A77,0))*$B$11</f>
        <v>30.37923104838285</v>
      </c>
    </row>
    <row r="78">
      <c r="A78" s="96" t="n">
        <v>61.7</v>
      </c>
      <c r="B78" s="53">
        <f>(MAX($A78-67.5,0)+MAX(67.5-$A78,0)-$G$43-$G$44)*$B$11</f>
        <v>-597.40634044806</v>
      </c>
      <c r="C78" s="53">
        <f>(MAX($A78-67.5,0)-MAX($A78-80.0,0)-$G$43+$G$45)*$B$11</f>
        <v>-367.4957282035278</v>
      </c>
      <c r="D78" s="53">
        <f>(MAX(67.5-$A78,0)-MAX(55.0-$A78,0)-$G$44+$G$46)*$B$11</f>
        <v>97.11649715514437</v>
      </c>
      <c r="E78" s="53">
        <f>($G$43+$G$44-$G$45-$G$46-MAX($A78-67.5,0)-MAX(67.5-$A78,0)+MAX($A78-80.0,0)+MAX(55.0-$A78,0))*$B$11</f>
        <v>270.3792310483834</v>
      </c>
    </row>
    <row r="79">
      <c r="A79" s="96" t="n">
        <v>64</v>
      </c>
      <c r="B79" s="53">
        <f>(MAX($A79-67.5,0)+MAX(67.5-$A79,0)-$G$43-$G$44)*$B$11</f>
        <v>-827.4063404480596</v>
      </c>
      <c r="C79" s="53">
        <f>(MAX($A79-67.5,0)-MAX($A79-80.0,0)-$G$43+$G$45)*$B$11</f>
        <v>-367.4957282035278</v>
      </c>
      <c r="D79" s="53">
        <f>(MAX(67.5-$A79,0)-MAX(55.0-$A79,0)-$G$44+$G$46)*$B$11</f>
        <v>-132.88350284485534</v>
      </c>
      <c r="E79" s="53">
        <f>($G$43+$G$44-$G$45-$G$46-MAX($A79-67.5,0)-MAX(67.5-$A79,0)+MAX($A79-80.0,0)+MAX(55.0-$A79,0))*$B$11</f>
        <v>500.37923104838313</v>
      </c>
    </row>
    <row r="80">
      <c r="A80" s="96" t="n">
        <v>66.40000000000001</v>
      </c>
      <c r="B80" s="53">
        <f>(MAX($A80-67.5,0)+MAX(67.5-$A80,0)-$G$43-$G$44)*$B$11</f>
        <v>-1067.4063404480603</v>
      </c>
      <c r="C80" s="53">
        <f>(MAX($A80-67.5,0)-MAX($A80-80.0,0)-$G$43+$G$45)*$B$11</f>
        <v>-367.4957282035278</v>
      </c>
      <c r="D80" s="53">
        <f>(MAX(67.5-$A80,0)-MAX(55.0-$A80,0)-$G$44+$G$46)*$B$11</f>
        <v>-372.8835028448559</v>
      </c>
      <c r="E80" s="53">
        <f>($G$43+$G$44-$G$45-$G$46-MAX($A80-67.5,0)-MAX(67.5-$A80,0)+MAX($A80-80.0,0)+MAX(55.0-$A80,0))*$B$11</f>
        <v>740.3792310483836</v>
      </c>
    </row>
    <row r="81">
      <c r="A81" s="96" t="n">
        <v>68.7</v>
      </c>
      <c r="B81" s="53">
        <f>(MAX($A81-67.5,0)+MAX(67.5-$A81,0)-$G$43-$G$44)*$B$11</f>
        <v>-1057.4063404480594</v>
      </c>
      <c r="C81" s="53">
        <f>(MAX($A81-67.5,0)-MAX($A81-80.0,0)-$G$43+$G$45)*$B$11</f>
        <v>-247.4957282035275</v>
      </c>
      <c r="D81" s="53">
        <f>(MAX(67.5-$A81,0)-MAX(55.0-$A81,0)-$G$44+$G$46)*$B$11</f>
        <v>-482.88350284485534</v>
      </c>
      <c r="E81" s="53">
        <f>($G$43+$G$44-$G$45-$G$46-MAX($A81-67.5,0)-MAX(67.5-$A81,0)+MAX($A81-80.0,0)+MAX(55.0-$A81,0))*$B$11</f>
        <v>730.3792310483828</v>
      </c>
    </row>
    <row r="82">
      <c r="A82" s="96" t="n">
        <v>71.09999999999999</v>
      </c>
      <c r="B82" s="53">
        <f>(MAX($A82-67.5,0)+MAX(67.5-$A82,0)-$G$43-$G$44)*$B$11</f>
        <v>-817.4063404480602</v>
      </c>
      <c r="C82" s="53">
        <f>(MAX($A82-67.5,0)-MAX($A82-80.0,0)-$G$43+$G$45)*$B$11</f>
        <v>-7.495728203528351</v>
      </c>
      <c r="D82" s="53">
        <f>(MAX(67.5-$A82,0)-MAX(55.0-$A82,0)-$G$44+$G$46)*$B$11</f>
        <v>-482.88350284485534</v>
      </c>
      <c r="E82" s="53">
        <f>($G$43+$G$44-$G$45-$G$46-MAX($A82-67.5,0)-MAX(67.5-$A82,0)+MAX($A82-80.0,0)+MAX(55.0-$A82,0))*$B$11</f>
        <v>490.3792310483837</v>
      </c>
    </row>
    <row r="83">
      <c r="A83" s="96" t="n">
        <v>73.5</v>
      </c>
      <c r="B83" s="53">
        <f>(MAX($A83-67.5,0)+MAX(67.5-$A83,0)-$G$43-$G$44)*$B$11</f>
        <v>-577.4063404480596</v>
      </c>
      <c r="C83" s="53">
        <f>(MAX($A83-67.5,0)-MAX($A83-80.0,0)-$G$43+$G$45)*$B$11</f>
        <v>232.5042717964722</v>
      </c>
      <c r="D83" s="53">
        <f>(MAX(67.5-$A83,0)-MAX(55.0-$A83,0)-$G$44+$G$46)*$B$11</f>
        <v>-482.88350284485534</v>
      </c>
      <c r="E83" s="53">
        <f>($G$43+$G$44-$G$45-$G$46-MAX($A83-67.5,0)-MAX(67.5-$A83,0)+MAX($A83-80.0,0)+MAX(55.0-$A83,0))*$B$11</f>
        <v>250.37923104838313</v>
      </c>
    </row>
    <row r="84">
      <c r="A84" s="96" t="n">
        <v>75.8</v>
      </c>
      <c r="B84" s="53">
        <f>(MAX($A84-67.5,0)+MAX(67.5-$A84,0)-$G$43-$G$44)*$B$11</f>
        <v>-347.40634044805995</v>
      </c>
      <c r="C84" s="53">
        <f>(MAX($A84-67.5,0)-MAX($A84-80.0,0)-$G$43+$G$45)*$B$11</f>
        <v>462.5042717964719</v>
      </c>
      <c r="D84" s="53">
        <f>(MAX(67.5-$A84,0)-MAX(55.0-$A84,0)-$G$44+$G$46)*$B$11</f>
        <v>-482.88350284485534</v>
      </c>
      <c r="E84" s="53">
        <f>($G$43+$G$44-$G$45-$G$46-MAX($A84-67.5,0)-MAX(67.5-$A84,0)+MAX($A84-80.0,0)+MAX(55.0-$A84,0))*$B$11</f>
        <v>20.379231048383417</v>
      </c>
    </row>
    <row r="85">
      <c r="A85" s="96" t="n">
        <v>78.2</v>
      </c>
      <c r="B85" s="53">
        <f>(MAX($A85-67.5,0)+MAX(67.5-$A85,0)-$G$43-$G$44)*$B$11</f>
        <v>-107.40634044805937</v>
      </c>
      <c r="C85" s="53">
        <f>(MAX($A85-67.5,0)-MAX($A85-80.0,0)-$G$43+$G$45)*$B$11</f>
        <v>702.5042717964725</v>
      </c>
      <c r="D85" s="53">
        <f>(MAX(67.5-$A85,0)-MAX(55.0-$A85,0)-$G$44+$G$46)*$B$11</f>
        <v>-482.88350284485534</v>
      </c>
      <c r="E85" s="53">
        <f>($G$43+$G$44-$G$45-$G$46-MAX($A85-67.5,0)-MAX(67.5-$A85,0)+MAX($A85-80.0,0)+MAX(55.0-$A85,0))*$B$11</f>
        <v>-219.62076895161715</v>
      </c>
    </row>
    <row r="86">
      <c r="A86" s="96" t="n">
        <v>80.5</v>
      </c>
      <c r="B86" s="53">
        <f>(MAX($A86-67.5,0)+MAX(67.5-$A86,0)-$G$43-$G$44)*$B$11</f>
        <v>122.59365955194035</v>
      </c>
      <c r="C86" s="53">
        <f>(MAX($A86-67.5,0)-MAX($A86-80.0,0)-$G$43+$G$45)*$B$11</f>
        <v>882.5042717964723</v>
      </c>
      <c r="D86" s="53">
        <f>(MAX(67.5-$A86,0)-MAX(55.0-$A86,0)-$G$44+$G$46)*$B$11</f>
        <v>-482.88350284485534</v>
      </c>
      <c r="E86" s="53">
        <f>($G$43+$G$44-$G$45-$G$46-MAX($A86-67.5,0)-MAX(67.5-$A86,0)+MAX($A86-80.0,0)+MAX(55.0-$A86,0))*$B$11</f>
        <v>-399.62076895161687</v>
      </c>
    </row>
    <row r="87">
      <c r="A87" s="96" t="n">
        <v>82.90000000000001</v>
      </c>
      <c r="B87" s="53">
        <f>(MAX($A87-67.5,0)+MAX(67.5-$A87,0)-$G$43-$G$44)*$B$11</f>
        <v>362.5936595519409</v>
      </c>
      <c r="C87" s="53">
        <f>(MAX($A87-67.5,0)-MAX($A87-80.0,0)-$G$43+$G$45)*$B$11</f>
        <v>882.5042717964723</v>
      </c>
      <c r="D87" s="53">
        <f>(MAX(67.5-$A87,0)-MAX(55.0-$A87,0)-$G$44+$G$46)*$B$11</f>
        <v>-482.88350284485534</v>
      </c>
      <c r="E87" s="53">
        <f>($G$43+$G$44-$G$45-$G$46-MAX($A87-67.5,0)-MAX(67.5-$A87,0)+MAX($A87-80.0,0)+MAX(55.0-$A87,0))*$B$11</f>
        <v>-399.62076895161687</v>
      </c>
    </row>
    <row r="88">
      <c r="A88" s="96" t="n">
        <v>85.2</v>
      </c>
      <c r="B88" s="53">
        <f>(MAX($A88-67.5,0)+MAX(67.5-$A88,0)-$G$43-$G$44)*$B$11</f>
        <v>592.5936595519406</v>
      </c>
      <c r="C88" s="53">
        <f>(MAX($A88-67.5,0)-MAX($A88-80.0,0)-$G$43+$G$45)*$B$11</f>
        <v>882.5042717964723</v>
      </c>
      <c r="D88" s="53">
        <f>(MAX(67.5-$A88,0)-MAX(55.0-$A88,0)-$G$44+$G$46)*$B$11</f>
        <v>-482.88350284485534</v>
      </c>
      <c r="E88" s="53">
        <f>($G$43+$G$44-$G$45-$G$46-MAX($A88-67.5,0)-MAX(67.5-$A88,0)+MAX($A88-80.0,0)+MAX(55.0-$A88,0))*$B$11</f>
        <v>-399.62076895161687</v>
      </c>
    </row>
    <row r="89">
      <c r="A89" s="96" t="n">
        <v>87.59999999999999</v>
      </c>
      <c r="B89" s="53">
        <f>(MAX($A89-67.5,0)+MAX(67.5-$A89,0)-$G$43-$G$44)*$B$11</f>
        <v>832.5936595519398</v>
      </c>
      <c r="C89" s="53">
        <f>(MAX($A89-67.5,0)-MAX($A89-80.0,0)-$G$43+$G$45)*$B$11</f>
        <v>882.5042717964723</v>
      </c>
      <c r="D89" s="53">
        <f>(MAX(67.5-$A89,0)-MAX(55.0-$A89,0)-$G$44+$G$46)*$B$11</f>
        <v>-482.88350284485534</v>
      </c>
      <c r="E89" s="53">
        <f>($G$43+$G$44-$G$45-$G$46-MAX($A89-67.5,0)-MAX(67.5-$A89,0)+MAX($A89-80.0,0)+MAX(55.0-$A89,0))*$B$11</f>
        <v>-399.62076895161687</v>
      </c>
    </row>
    <row r="90">
      <c r="A90" s="96" t="n">
        <v>89.90000000000001</v>
      </c>
      <c r="B90" s="53">
        <f>(MAX($A90-67.5,0)+MAX(67.5-$A90,0)-$G$43-$G$44)*$B$11</f>
        <v>1062.5936595519408</v>
      </c>
      <c r="C90" s="53">
        <f>(MAX($A90-67.5,0)-MAX($A90-80.0,0)-$G$43+$G$45)*$B$11</f>
        <v>882.5042717964723</v>
      </c>
      <c r="D90" s="53">
        <f>(MAX(67.5-$A90,0)-MAX(55.0-$A90,0)-$G$44+$G$46)*$B$11</f>
        <v>-482.88350284485534</v>
      </c>
      <c r="E90" s="53">
        <f>($G$43+$G$44-$G$45-$G$46-MAX($A90-67.5,0)-MAX(67.5-$A90,0)+MAX($A90-80.0,0)+MAX(55.0-$A90,0))*$B$11</f>
        <v>-399.62076895161687</v>
      </c>
    </row>
    <row r="91">
      <c r="A91" s="96" t="n">
        <v>92.3</v>
      </c>
      <c r="B91" s="53">
        <f>(MAX($A91-67.5,0)+MAX(67.5-$A91,0)-$G$43-$G$44)*$B$11</f>
        <v>1302.5936595519402</v>
      </c>
      <c r="C91" s="53">
        <f>(MAX($A91-67.5,0)-MAX($A91-80.0,0)-$G$43+$G$45)*$B$11</f>
        <v>882.5042717964723</v>
      </c>
      <c r="D91" s="53">
        <f>(MAX(67.5-$A91,0)-MAX(55.0-$A91,0)-$G$44+$G$46)*$B$11</f>
        <v>-482.88350284485534</v>
      </c>
      <c r="E91" s="53">
        <f>($G$43+$G$44-$G$45-$G$46-MAX($A91-67.5,0)-MAX(67.5-$A91,0)+MAX($A91-80.0,0)+MAX(55.0-$A91,0))*$B$11</f>
        <v>-399.62076895161687</v>
      </c>
    </row>
    <row r="92">
      <c r="A92" s="96" t="n">
        <v>94.59999999999999</v>
      </c>
      <c r="B92" s="53">
        <f>(MAX($A92-67.5,0)+MAX(67.5-$A92,0)-$G$43-$G$44)*$B$11</f>
        <v>1532.5936595519397</v>
      </c>
      <c r="C92" s="53">
        <f>(MAX($A92-67.5,0)-MAX($A92-80.0,0)-$G$43+$G$45)*$B$11</f>
        <v>882.5042717964723</v>
      </c>
      <c r="D92" s="53">
        <f>(MAX(67.5-$A92,0)-MAX(55.0-$A92,0)-$G$44+$G$46)*$B$11</f>
        <v>-482.88350284485534</v>
      </c>
      <c r="E92" s="53">
        <f>($G$43+$G$44-$G$45-$G$46-MAX($A92-67.5,0)-MAX(67.5-$A92,0)+MAX($A92-80.0,0)+MAX(55.0-$A92,0))*$B$11</f>
        <v>-399.62076895161687</v>
      </c>
    </row>
    <row r="93">
      <c r="A93" s="96" t="n">
        <v>97</v>
      </c>
      <c r="B93" s="53">
        <f>(MAX($A93-67.5,0)+MAX(67.5-$A93,0)-$G$43-$G$44)*$B$11</f>
        <v>1772.5936595519404</v>
      </c>
      <c r="C93" s="53">
        <f>(MAX($A93-67.5,0)-MAX($A93-80.0,0)-$G$43+$G$45)*$B$11</f>
        <v>882.5042717964723</v>
      </c>
      <c r="D93" s="53">
        <f>(MAX(67.5-$A93,0)-MAX(55.0-$A93,0)-$G$44+$G$46)*$B$11</f>
        <v>-482.88350284485534</v>
      </c>
      <c r="E93" s="53">
        <f>($G$43+$G$44-$G$45-$G$46-MAX($A93-67.5,0)-MAX(67.5-$A93,0)+MAX($A93-80.0,0)+MAX(55.0-$A93,0))*$B$11</f>
        <v>-399.62076895161687</v>
      </c>
    </row>
    <row r="94">
      <c r="A94" s="96" t="n">
        <v>99.40000000000001</v>
      </c>
      <c r="B94" s="53">
        <f>(MAX($A94-67.5,0)+MAX(67.5-$A94,0)-$G$43-$G$44)*$B$11</f>
        <v>2012.5936595519408</v>
      </c>
      <c r="C94" s="53">
        <f>(MAX($A94-67.5,0)-MAX($A94-80.0,0)-$G$43+$G$45)*$B$11</f>
        <v>882.5042717964723</v>
      </c>
      <c r="D94" s="53">
        <f>(MAX(67.5-$A94,0)-MAX(55.0-$A94,0)-$G$44+$G$46)*$B$11</f>
        <v>-482.88350284485534</v>
      </c>
      <c r="E94" s="53">
        <f>($G$43+$G$44-$G$45-$G$46-MAX($A94-67.5,0)-MAX(67.5-$A94,0)+MAX($A94-80.0,0)+MAX(55.0-$A94,0))*$B$11</f>
        <v>-399.62076895161687</v>
      </c>
    </row>
    <row r="95">
      <c r="A95" s="96" t="n">
        <v>101.7</v>
      </c>
      <c r="B95" s="53">
        <f>(MAX($A95-67.5,0)+MAX(67.5-$A95,0)-$G$43-$G$44)*$B$11</f>
        <v>2242.5936595519406</v>
      </c>
      <c r="C95" s="53">
        <f>(MAX($A95-67.5,0)-MAX($A95-80.0,0)-$G$43+$G$45)*$B$11</f>
        <v>882.5042717964723</v>
      </c>
      <c r="D95" s="53">
        <f>(MAX(67.5-$A95,0)-MAX(55.0-$A95,0)-$G$44+$G$46)*$B$11</f>
        <v>-482.88350284485534</v>
      </c>
      <c r="E95" s="53">
        <f>($G$43+$G$44-$G$45-$G$46-MAX($A95-67.5,0)-MAX(67.5-$A95,0)+MAX($A95-80.0,0)+MAX(55.0-$A95,0))*$B$11</f>
        <v>-399.62076895161687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2026-10-19T00:51:33Z</dcterms:modified>
  <cp:lastModifiedBy>Wang, Eric</cp:lastModifiedBy>
</cp:coreProperties>
</file>