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Biohaven Ltd.</t>
        </is>
      </c>
      <c r="C2" s="10" t="n"/>
    </row>
    <row r="3">
      <c r="B3" t="inlineStr">
        <is>
          <t>Price</t>
        </is>
      </c>
      <c r="C3" s="11">
        <f>INDEX([1]Pharma!$F$1:$F$1000,MATCH("BHVN",[1]Pharma!$B$1:$B$1000,0))</f>
        <v>11.82</v>
      </c>
      <c r="F3" s="1" t="n"/>
    </row>
    <row r="4">
      <c r="B4" t="inlineStr">
        <is>
          <t>Shares</t>
        </is>
      </c>
      <c r="C4" s="21" t="n">
        <v>151.043781</v>
      </c>
      <c r="F4" s="1" t="n"/>
    </row>
    <row r="5">
      <c r="B5" t="inlineStr">
        <is>
          <t>Market Cap.</t>
        </is>
      </c>
      <c r="C5" s="13">
        <f>C3*C4</f>
        <v>1785.3374914199999</v>
      </c>
      <c r="F5" s="1" t="n"/>
    </row>
    <row r="6"/>
    <row r="7">
      <c r="B7" t="inlineStr">
        <is>
          <t>Cash</t>
        </is>
      </c>
      <c r="C7" s="21">
        <f>238.033+29.833</f>
        <v>267.866</v>
      </c>
    </row>
    <row r="8">
      <c r="B8" t="inlineStr">
        <is>
          <t>Debt</t>
        </is>
      </c>
      <c r="C8" s="21" t="n">
        <v>259.48</v>
      </c>
    </row>
    <row r="9">
      <c r="B9" t="inlineStr">
        <is>
          <t>Enterprise V.</t>
        </is>
      </c>
      <c r="C9" s="13">
        <f>C5-C7+C8</f>
        <v>1776.95149142</v>
      </c>
    </row>
    <row r="10"/>
    <row r="11">
      <c r="B11" s="14" t="inlineStr">
        <is>
          <t>Net Cash / Share</t>
        </is>
      </c>
      <c r="C11" s="11">
        <f>(C7-C8)/C4</f>
        <v>0.05552032625560378</v>
      </c>
    </row>
    <row r="12">
      <c r="B12" s="14" t="inlineStr">
        <is>
          <t>Upside</t>
        </is>
      </c>
      <c r="C12" s="15">
        <f>IFERROR(C11/C3-1,"")</f>
        <v>-0.9953028488785445</v>
      </c>
    </row>
    <row r="13">
      <c r="B13" s="14" t="inlineStr">
        <is>
          <t>Cash / Share</t>
        </is>
      </c>
      <c r="C13" s="11">
        <f>IFERROR((C7-C8)/C4,"")</f>
        <v>0.05552032625560378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-511.395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0.016398283127523672</v>
      </c>
    </row>
    <row r="19">
      <c r="B19" s="14" t="inlineStr">
        <is>
          <t>Implied Pipeline Value</t>
        </is>
      </c>
      <c r="C19" s="13">
        <f>C9</f>
        <v>1776.95149142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98.45999999999999</v>
      </c>
      <c r="C5" s="23" t="n">
        <v>181.486</v>
      </c>
      <c r="D5" s="23" t="n">
        <v>437.072</v>
      </c>
      <c r="E5" s="23" t="n">
        <v>373.281</v>
      </c>
      <c r="F5" s="23" t="n">
        <v>795.871</v>
      </c>
      <c r="G5" s="23" t="n">
        <v>635.0650000000001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16.046</v>
      </c>
      <c r="C6" s="23" t="n">
        <v>37.414</v>
      </c>
      <c r="D6" s="23" t="n">
        <v>130.86</v>
      </c>
      <c r="E6" s="23" t="n">
        <v>62.77</v>
      </c>
      <c r="F6" s="23" t="n">
        <v>89.23999999999999</v>
      </c>
      <c r="G6" s="23" t="n">
        <v>110.313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114.506</v>
      </c>
      <c r="C7" s="23">
        <f>SUM(C5:C6)</f>
        <v>218.89999999999998</v>
      </c>
      <c r="D7" s="23">
        <f>SUM(D5:D6)</f>
        <v>567.932</v>
      </c>
      <c r="E7" s="23">
        <f>SUM(E5:E6)</f>
        <v>436.051</v>
      </c>
      <c r="F7" s="23">
        <f>SUM(F5:F6)</f>
        <v>885.111</v>
      </c>
      <c r="G7" s="23">
        <f>SUM(G5:G6)</f>
        <v>745.378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-114.506</v>
      </c>
      <c r="C8" s="23">
        <f>C4-C7</f>
        <v>-218.89999999999998</v>
      </c>
      <c r="D8" s="23">
        <f>D4-D7</f>
        <v>-567.932</v>
      </c>
      <c r="E8" s="23">
        <f>E4-E7</f>
        <v>-436.051</v>
      </c>
      <c r="F8" s="23">
        <f>F4-F7</f>
        <v>-885.111</v>
      </c>
      <c r="G8" s="23">
        <f>G4-G7</f>
        <v>-745.378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-4.162</v>
      </c>
      <c r="C9" s="23" t="n">
        <v>6.47</v>
      </c>
      <c r="D9" s="23" t="n">
        <v>-1.909</v>
      </c>
      <c r="E9" s="23" t="n">
        <v>26.5</v>
      </c>
      <c r="F9" s="23" t="n">
        <v>39.424</v>
      </c>
      <c r="G9" s="23" t="n">
        <v>7.998</v>
      </c>
    </row>
    <row r="10">
      <c r="A10" s="2" t="inlineStr">
        <is>
          <t>Pretax</t>
        </is>
      </c>
      <c r="B10" s="23">
        <f>B8+B9</f>
        <v>-118.668</v>
      </c>
      <c r="C10" s="23">
        <f>C8+C9</f>
        <v>-212.42999999999998</v>
      </c>
      <c r="D10" s="23">
        <f>D8+D9</f>
        <v>-569.841</v>
      </c>
      <c r="E10" s="23">
        <f>E8+E9</f>
        <v>-409.551</v>
      </c>
      <c r="F10" s="23">
        <f>F8+F9</f>
        <v>-845.687</v>
      </c>
      <c r="G10" s="23">
        <f>G8+G9</f>
        <v>-737.38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1.366</v>
      </c>
      <c r="D11" s="23" t="n">
        <v>0.438</v>
      </c>
      <c r="E11" s="23" t="n">
        <v>-1.383</v>
      </c>
      <c r="F11" s="23" t="n">
        <v>0.735</v>
      </c>
      <c r="G11" s="23" t="n">
        <v>1.442</v>
      </c>
    </row>
    <row r="12">
      <c r="A12" s="2" t="inlineStr">
        <is>
          <t>Net Income</t>
        </is>
      </c>
      <c r="B12" s="23" t="n">
        <v>-118.668</v>
      </c>
      <c r="C12" s="23" t="n">
        <v>-213.796</v>
      </c>
      <c r="D12" s="23" t="n">
        <v>-570.279</v>
      </c>
      <c r="E12" s="23" t="n">
        <v>-408.168</v>
      </c>
      <c r="F12" s="23" t="n">
        <v>-846.422</v>
      </c>
      <c r="G12" s="23" t="n">
        <v>-738.822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-3.013713937423812</v>
      </c>
      <c r="C13" s="11">
        <f>IFERROR(C12/C14,0)</f>
        <v>-5.429601787891102</v>
      </c>
      <c r="D13" s="11">
        <f>IFERROR(D12/D14,0)</f>
        <v>-12.746228291723476</v>
      </c>
      <c r="E13" s="11">
        <f>IFERROR(E12/E14,0)</f>
        <v>-5.732616114942206</v>
      </c>
      <c r="F13" s="11">
        <f>IFERROR(F12/F14,0)</f>
        <v>-9.27748427121468</v>
      </c>
      <c r="G13" s="11">
        <f>IFERROR(G12/G14,0)</f>
        <v>-6.864780487804878</v>
      </c>
    </row>
    <row r="14">
      <c r="A14" s="2" t="inlineStr">
        <is>
          <t>Shares</t>
        </is>
      </c>
      <c r="B14" s="23" t="n">
        <v>39.376</v>
      </c>
      <c r="C14" s="23" t="n">
        <v>39.376</v>
      </c>
      <c r="D14" s="23" t="n">
        <v>44.741</v>
      </c>
      <c r="E14" s="23" t="n">
        <v>71.20099999999999</v>
      </c>
      <c r="F14" s="23" t="n">
        <v>91.23399999999999</v>
      </c>
      <c r="G14" s="23" t="n">
        <v>107.625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2026-10-21T01:04:35Z</dcterms:modified>
  <cp:lastModifiedBy>Wang, Eric</cp:lastModifiedBy>
</cp:coreProperties>
</file>