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Biohaven Ltd.</t>
        </is>
      </c>
      <c r="C2" s="10" t="n"/>
    </row>
    <row r="3">
      <c r="B3" t="inlineStr">
        <is>
          <t>Price</t>
        </is>
      </c>
      <c r="C3" s="11">
        <f>INDEX([1]Pharma!$F$1:$F$1000,MATCH("BHVN",[1]Pharma!$B$1:$B$1000,0))</f>
        <v>11.82</v>
      </c>
      <c r="F3" s="1" t="n"/>
    </row>
    <row r="4">
      <c r="B4" t="inlineStr">
        <is>
          <t>Shares</t>
        </is>
      </c>
      <c r="C4" s="21" t="n">
        <v>151.043781</v>
      </c>
      <c r="F4" s="1" t="n"/>
    </row>
    <row r="5">
      <c r="B5" t="inlineStr">
        <is>
          <t>Market Cap.</t>
        </is>
      </c>
      <c r="C5" s="13">
        <f>C3*C4</f>
        <v>1785.3374914199999</v>
      </c>
      <c r="F5" s="1" t="n"/>
    </row>
    <row r="6"/>
    <row r="7">
      <c r="B7" t="inlineStr">
        <is>
          <t>Cash</t>
        </is>
      </c>
      <c r="C7" s="21">
        <f>238.033+29.833</f>
        <v>267.866</v>
      </c>
    </row>
    <row r="8">
      <c r="B8" t="inlineStr">
        <is>
          <t>Debt</t>
        </is>
      </c>
      <c r="C8" s="21" t="n">
        <v>259.48</v>
      </c>
    </row>
    <row r="9">
      <c r="B9" t="inlineStr">
        <is>
          <t>Enterprise V.</t>
        </is>
      </c>
      <c r="C9" s="13">
        <f>C5-C7+C8</f>
        <v>1776.95149142</v>
      </c>
    </row>
    <row r="10"/>
    <row r="11">
      <c r="B11" s="14" t="inlineStr">
        <is>
          <t>rNPV / Share</t>
        </is>
      </c>
      <c r="C11" s="11">
        <f>NPV!B27</f>
        <v>11.020127029402353</v>
      </c>
    </row>
    <row r="12">
      <c r="B12" s="14" t="inlineStr">
        <is>
          <t>Upside</t>
        </is>
      </c>
      <c r="C12" s="15">
        <f>IFERROR(C11/C3-1,"")</f>
        <v>-0.06767114810470787</v>
      </c>
    </row>
    <row r="13">
      <c r="B13" s="14" t="inlineStr">
        <is>
          <t>Cash / Share</t>
        </is>
      </c>
      <c r="C13" s="11">
        <f>IFERROR((C7-C8)/C4,"")</f>
        <v>0.05552032625560378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-511.395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0.016398283127523672</v>
      </c>
    </row>
    <row r="19">
      <c r="B19" s="14" t="inlineStr">
        <is>
          <t>Implied Pipeline Value</t>
        </is>
      </c>
      <c r="C19" s="13">
        <f>C9</f>
        <v>1776.95149142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98.45999999999999</v>
      </c>
      <c r="C5" s="23" t="n">
        <v>181.486</v>
      </c>
      <c r="D5" s="23" t="n">
        <v>437.072</v>
      </c>
      <c r="E5" s="23" t="n">
        <v>373.281</v>
      </c>
      <c r="F5" s="23" t="n">
        <v>795.871</v>
      </c>
      <c r="G5" s="23" t="n">
        <v>635.0650000000001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16.046</v>
      </c>
      <c r="C6" s="23" t="n">
        <v>37.414</v>
      </c>
      <c r="D6" s="23" t="n">
        <v>130.86</v>
      </c>
      <c r="E6" s="23" t="n">
        <v>62.77</v>
      </c>
      <c r="F6" s="23" t="n">
        <v>89.23999999999999</v>
      </c>
      <c r="G6" s="23" t="n">
        <v>110.313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114.506</v>
      </c>
      <c r="C7" s="23">
        <f>SUM(C5:C6)</f>
        <v>218.89999999999998</v>
      </c>
      <c r="D7" s="23">
        <f>SUM(D5:D6)</f>
        <v>567.932</v>
      </c>
      <c r="E7" s="23">
        <f>SUM(E5:E6)</f>
        <v>436.051</v>
      </c>
      <c r="F7" s="23">
        <f>SUM(F5:F6)</f>
        <v>885.111</v>
      </c>
      <c r="G7" s="23">
        <f>SUM(G5:G6)</f>
        <v>745.378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-114.506</v>
      </c>
      <c r="C8" s="23">
        <f>C4-C7</f>
        <v>-218.89999999999998</v>
      </c>
      <c r="D8" s="23">
        <f>D4-D7</f>
        <v>-567.932</v>
      </c>
      <c r="E8" s="23">
        <f>E4-E7</f>
        <v>-436.051</v>
      </c>
      <c r="F8" s="23">
        <f>F4-F7</f>
        <v>-885.111</v>
      </c>
      <c r="G8" s="23">
        <f>G4-G7</f>
        <v>-745.378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-4.162</v>
      </c>
      <c r="C9" s="23" t="n">
        <v>6.47</v>
      </c>
      <c r="D9" s="23" t="n">
        <v>-1.909</v>
      </c>
      <c r="E9" s="23" t="n">
        <v>26.5</v>
      </c>
      <c r="F9" s="23" t="n">
        <v>39.424</v>
      </c>
      <c r="G9" s="23" t="n">
        <v>7.998</v>
      </c>
    </row>
    <row r="10">
      <c r="A10" s="2" t="inlineStr">
        <is>
          <t>Pretax</t>
        </is>
      </c>
      <c r="B10" s="23">
        <f>B8+B9</f>
        <v>-118.668</v>
      </c>
      <c r="C10" s="23">
        <f>C8+C9</f>
        <v>-212.42999999999998</v>
      </c>
      <c r="D10" s="23">
        <f>D8+D9</f>
        <v>-569.841</v>
      </c>
      <c r="E10" s="23">
        <f>E8+E9</f>
        <v>-409.551</v>
      </c>
      <c r="F10" s="23">
        <f>F8+F9</f>
        <v>-845.687</v>
      </c>
      <c r="G10" s="23">
        <f>G8+G9</f>
        <v>-737.38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1.366</v>
      </c>
      <c r="D11" s="23" t="n">
        <v>0.438</v>
      </c>
      <c r="E11" s="23" t="n">
        <v>-1.383</v>
      </c>
      <c r="F11" s="23" t="n">
        <v>0.735</v>
      </c>
      <c r="G11" s="23" t="n">
        <v>1.442</v>
      </c>
    </row>
    <row r="12">
      <c r="A12" s="2" t="inlineStr">
        <is>
          <t>Net Income</t>
        </is>
      </c>
      <c r="B12" s="23" t="n">
        <v>-118.668</v>
      </c>
      <c r="C12" s="23" t="n">
        <v>-213.796</v>
      </c>
      <c r="D12" s="23" t="n">
        <v>-570.279</v>
      </c>
      <c r="E12" s="23" t="n">
        <v>-408.168</v>
      </c>
      <c r="F12" s="23" t="n">
        <v>-846.422</v>
      </c>
      <c r="G12" s="23" t="n">
        <v>-738.822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-3.013713937423812</v>
      </c>
      <c r="C13" s="11">
        <f>IFERROR(C12/C14,0)</f>
        <v>-5.429601787891102</v>
      </c>
      <c r="D13" s="11">
        <f>IFERROR(D12/D14,0)</f>
        <v>-12.746228291723476</v>
      </c>
      <c r="E13" s="11">
        <f>IFERROR(E12/E14,0)</f>
        <v>-5.732616114942206</v>
      </c>
      <c r="F13" s="11">
        <f>IFERROR(F12/F14,0)</f>
        <v>-9.27748427121468</v>
      </c>
      <c r="G13" s="11">
        <f>IFERROR(G12/G14,0)</f>
        <v>-6.864780487804878</v>
      </c>
    </row>
    <row r="14">
      <c r="A14" s="2" t="inlineStr">
        <is>
          <t>Shares</t>
        </is>
      </c>
      <c r="B14" s="23" t="n">
        <v>39.376</v>
      </c>
      <c r="C14" s="23" t="n">
        <v>39.376</v>
      </c>
      <c r="D14" s="23" t="n">
        <v>44.741</v>
      </c>
      <c r="E14" s="23" t="n">
        <v>71.20099999999999</v>
      </c>
      <c r="F14" s="23" t="n">
        <v>91.23399999999999</v>
      </c>
      <c r="G14" s="23" t="n">
        <v>107.625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Biohaven Ltd.: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1-PRODUCT(Pipeline!AG4:AG11)</f>
        <v>0.9415873822448133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567.443</v>
      </c>
    </row>
    <row r="19">
      <c r="A19" s="14" t="inlineStr">
        <is>
          <t>Years of full burn (until the first launch, max 4)</t>
        </is>
      </c>
      <c r="B19" s="39">
        <f>MIN(4,MAX(1,MIN(Pipeline!I4:I11)-2026))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2896.2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1656.1356536212295</v>
      </c>
      <c r="C29" s="42">
        <f>NPV!B25</f>
        <v>1664.5216536212295</v>
      </c>
      <c r="D29" s="43">
        <f>NPV!B27</f>
        <v>11.020127029402353</v>
      </c>
      <c r="E29" s="44">
        <f>NPV!B29</f>
        <v>-0.06767114810470787</v>
      </c>
    </row>
    <row r="30">
      <c r="A30" s="45" t="n">
        <v>1</v>
      </c>
      <c r="B30" s="46">
        <f t="dataTable" ref="B30:E32" r1="B4"/>
        <v>-298.61021917230397</v>
      </c>
      <c r="C30" s="46">
        <v>-290.224219172304</v>
      </c>
      <c r="D30" s="47">
        <v>-1.9214575883286715</v>
      </c>
      <c r="E30" s="48">
        <v>-1.1625598636487877</v>
      </c>
    </row>
    <row r="31">
      <c r="A31" s="45" t="n">
        <v>2</v>
      </c>
      <c r="B31" s="46">
        <v>1656.1356536212295</v>
      </c>
      <c r="C31" s="46">
        <v>1664.5216536212295</v>
      </c>
      <c r="D31" s="47">
        <v>11.020127029402353</v>
      </c>
      <c r="E31" s="48">
        <v>-0.06767114810470787</v>
      </c>
    </row>
    <row r="32">
      <c r="A32" s="45" t="n">
        <v>3</v>
      </c>
      <c r="B32" s="46">
        <v>4663.28325278005</v>
      </c>
      <c r="C32" s="46">
        <v>4671.66925278005</v>
      </c>
      <c r="D32" s="47">
        <v>30.929239336110435</v>
      </c>
      <c r="E32" s="48">
        <v>1.6166869150685645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11.020127029402353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-4.932829292861347</v>
      </c>
      <c r="C37" s="47">
        <v>-0.8510082423760322</v>
      </c>
      <c r="D37" s="47">
        <v>2.8101580350937385</v>
      </c>
      <c r="E37" s="47">
        <v>9.67444122711432</v>
      </c>
      <c r="F37" s="47">
        <v>16.3638307874066</v>
      </c>
    </row>
    <row r="38">
      <c r="A38" s="50" t="n">
        <v>0.8</v>
      </c>
      <c r="B38" s="47">
        <v>-2.872201585929916</v>
      </c>
      <c r="C38" s="47">
        <v>2.2248169668241173</v>
      </c>
      <c r="D38" s="47">
        <v>6.844264592612416</v>
      </c>
      <c r="E38" s="47">
        <v>15.808131146418733</v>
      </c>
      <c r="F38" s="47">
        <v>24.623724719059084</v>
      </c>
    </row>
    <row r="39">
      <c r="A39" s="50" t="n">
        <v>1</v>
      </c>
      <c r="B39" s="47">
        <v>-0.5454795301818458</v>
      </c>
      <c r="C39" s="47">
        <v>5.361187061553347</v>
      </c>
      <c r="D39" s="47">
        <v>11.020127029402353</v>
      </c>
      <c r="E39" s="47">
        <v>22.100395056821803</v>
      </c>
      <c r="F39" s="47">
        <v>33.054710572711606</v>
      </c>
    </row>
    <row r="40">
      <c r="A40" s="50" t="n">
        <v>1.2</v>
      </c>
      <c r="B40" s="47">
        <v>1.6761704890058686</v>
      </c>
      <c r="C40" s="47">
        <v>8.589427990884172</v>
      </c>
      <c r="D40" s="47">
        <v>15.29296263534162</v>
      </c>
      <c r="E40" s="47">
        <v>28.505528477851858</v>
      </c>
      <c r="F40" s="47">
        <v>41.585926217172755</v>
      </c>
    </row>
    <row r="41">
      <c r="A41" s="50" t="n">
        <v>1.4</v>
      </c>
      <c r="B41" s="47">
        <v>3.924941688627954</v>
      </c>
      <c r="C41" s="47">
        <v>11.865813337951963</v>
      </c>
      <c r="D41" s="47">
        <v>19.635213701820394</v>
      </c>
      <c r="E41" s="47">
        <v>34.965632629455364</v>
      </c>
      <c r="F41" s="47">
        <v>50.20857865675596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Biohaven Ltd.: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Obesity</t>
        </is>
      </c>
      <c r="C4" s="14" t="inlineStr">
        <is>
          <t>Taldefgrobep Alfa</t>
        </is>
      </c>
      <c r="D4" s="14" t="inlineStr">
        <is>
          <t>Phase 2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6000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867.709633045954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76.38</v>
      </c>
      <c r="S4" s="23">
        <f>IF(S$3&lt;$I4,0,$G4*Assumptions!$E$11*INDEX(Assumptions!$B$24:$G$24,MIN(6,S$3-$I4+1))*IF(S$3&gt;$J4,(1-Assumptions!$B$26)^(S$3-$J4),1)*IF($H4&gt;=1,1,MIN(0.97,$H4*Assumptions!$E$12)))</f>
        <v>190.95</v>
      </c>
      <c r="T4" s="23">
        <f>IF(T$3&lt;$I4,0,$G4*Assumptions!$E$11*INDEX(Assumptions!$B$24:$G$24,MIN(6,T$3-$I4+1))*IF(T$3&gt;$J4,(1-Assumptions!$B$26)^(T$3-$J4),1)*IF($H4&gt;=1,1,MIN(0.97,$H4*Assumptions!$E$12)))</f>
        <v>343.71</v>
      </c>
      <c r="U4" s="23">
        <f>IF(U$3&lt;$I4,0,$G4*Assumptions!$E$11*INDEX(Assumptions!$B$24:$G$24,MIN(6,U$3-$I4+1))*IF(U$3&gt;$J4,(1-Assumptions!$B$26)^(U$3-$J4),1)*IF($H4&gt;=1,1,MIN(0.97,$H4*Assumptions!$E$12)))</f>
        <v>496.46999999999997</v>
      </c>
      <c r="V4" s="23">
        <f>IF(V$3&lt;$I4,0,$G4*Assumptions!$E$11*INDEX(Assumptions!$B$24:$G$24,MIN(6,V$3-$I4+1))*IF(V$3&gt;$J4,(1-Assumptions!$B$26)^(V$3-$J4),1)*IF($H4&gt;=1,1,MIN(0.97,$H4*Assumptions!$E$12)))</f>
        <v>649.23</v>
      </c>
      <c r="W4" s="23">
        <f>IF(W$3&lt;$I4,0,$G4*Assumptions!$E$11*INDEX(Assumptions!$B$24:$G$24,MIN(6,W$3-$I4+1))*IF(W$3&gt;$J4,(1-Assumptions!$B$26)^(W$3-$J4),1)*IF($H4&gt;=1,1,MIN(0.97,$H4*Assumptions!$E$12)))</f>
        <v>763.8</v>
      </c>
      <c r="X4" s="23">
        <f>IF(X$3&lt;$I4,0,$G4*Assumptions!$E$11*INDEX(Assumptions!$B$24:$G$24,MIN(6,X$3-$I4+1))*IF(X$3&gt;$J4,(1-Assumptions!$B$26)^(X$3-$J4),1)*IF($H4&gt;=1,1,MIN(0.97,$H4*Assumptions!$E$12)))</f>
        <v>763.8</v>
      </c>
      <c r="Y4" s="23">
        <f>IF(Y$3&lt;$I4,0,$G4*Assumptions!$E$11*INDEX(Assumptions!$B$24:$G$24,MIN(6,Y$3-$I4+1))*IF(Y$3&gt;$J4,(1-Assumptions!$B$26)^(Y$3-$J4),1)*IF($H4&gt;=1,1,MIN(0.97,$H4*Assumptions!$E$12)))</f>
        <v>763.8</v>
      </c>
      <c r="Z4" s="23">
        <f>IF(Z$3&lt;$I4,0,$G4*Assumptions!$E$11*INDEX(Assumptions!$B$24:$G$24,MIN(6,Z$3-$I4+1))*IF(Z$3&gt;$J4,(1-Assumptions!$B$26)^(Z$3-$J4),1)*IF($H4&gt;=1,1,MIN(0.97,$H4*Assumptions!$E$12)))</f>
        <v>763.8</v>
      </c>
      <c r="AA4" s="23">
        <f>IF(AA$3&lt;$I4,0,$G4*Assumptions!$E$11*INDEX(Assumptions!$B$24:$G$24,MIN(6,AA$3-$I4+1))*IF(AA$3&gt;$J4,(1-Assumptions!$B$26)^(AA$3-$J4),1)*IF($H4&gt;=1,1,MIN(0.97,$H4*Assumptions!$E$12)))</f>
        <v>763.8</v>
      </c>
      <c r="AB4" s="23">
        <f>IF(AB$3&lt;$I4,0,$G4*Assumptions!$E$11*INDEX(Assumptions!$B$24:$G$24,MIN(6,AB$3-$I4+1))*IF(AB$3&gt;$J4,(1-Assumptions!$B$26)^(AB$3-$J4),1)*IF($H4&gt;=1,1,MIN(0.97,$H4*Assumptions!$E$12)))</f>
        <v>763.8</v>
      </c>
      <c r="AC4" s="23">
        <f>IF(AC$3&lt;$I4,0,$G4*Assumptions!$E$11*INDEX(Assumptions!$B$24:$G$24,MIN(6,AC$3-$I4+1))*IF(AC$3&gt;$J4,(1-Assumptions!$B$26)^(AC$3-$J4),1)*IF($H4&gt;=1,1,MIN(0.97,$H4*Assumptions!$E$12)))</f>
        <v>763.8</v>
      </c>
      <c r="AD4" s="23">
        <f>IF(AD$3&lt;$I4,0,$G4*Assumptions!$E$11*INDEX(Assumptions!$B$24:$G$24,MIN(6,AD$3-$I4+1))*IF(AD$3&gt;$J4,(1-Assumptions!$B$26)^(AD$3-$J4),1)*IF($H4&gt;=1,1,MIN(0.97,$H4*Assumptions!$E$12)))</f>
        <v>763.8</v>
      </c>
      <c r="AE4" s="23">
        <f>IF(AE$3&lt;$I4,0,$G4*Assumptions!$E$11*INDEX(Assumptions!$B$24:$G$24,MIN(6,AE$3-$I4+1))*IF(AE$3&gt;$J4,(1-Assumptions!$B$26)^(AE$3-$J4),1)*IF($H4&gt;=1,1,MIN(0.97,$H4*Assumptions!$E$12)))</f>
        <v>381.9</v>
      </c>
      <c r="AF4" s="23">
        <f>IF(AF$3&lt;$I4,0,$G4*Assumptions!$E$11*INDEX(Assumptions!$B$24:$G$24,MIN(6,AF$3-$I4+1))*IF(AF$3&gt;$J4,(1-Assumptions!$B$26)^(AF$3-$J4),1)*IF($H4&gt;=1,1,MIN(0.97,$H4*Assumptions!$E$12)))</f>
        <v>190.95</v>
      </c>
      <c r="AG4" s="35">
        <f>IF(F4="Owned",1-IF(H4&gt;=1,1,MIN(0.97,H4*Assumptions!$E$12)),1)</f>
        <v>0.8727</v>
      </c>
    </row>
    <row r="5">
      <c r="A5" s="39" t="n">
        <v>2</v>
      </c>
      <c r="B5" s="14" t="inlineStr">
        <is>
          <t>Muscular dystrophy / SMA</t>
        </is>
      </c>
      <c r="C5" s="14" t="inlineStr">
        <is>
          <t>taldefgrobep alfa, troriluzole</t>
        </is>
      </c>
      <c r="D5" s="14" t="inlineStr">
        <is>
          <t>Phase 3</t>
        </is>
      </c>
      <c r="E5" s="14" t="inlineStr">
        <is>
          <t>Neurology / rare</t>
        </is>
      </c>
      <c r="F5" s="14" t="inlineStr">
        <is>
          <t>Owned</t>
        </is>
      </c>
      <c r="G5" s="40" t="n">
        <v>1000</v>
      </c>
      <c r="H5" s="27" t="n">
        <v>0.5653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810.8960560750661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56.53</v>
      </c>
      <c r="Q5" s="23">
        <f>IF(Q$3&lt;$I5,0,$G5*Assumptions!$E$11*INDEX(Assumptions!$B$24:$G$24,MIN(6,Q$3-$I5+1))*IF(Q$3&gt;$J5,(1-Assumptions!$B$26)^(Q$3-$J5),1)*IF($H5&gt;=1,1,MIN(0.97,$H5*Assumptions!$E$12)))</f>
        <v>141.32500000000002</v>
      </c>
      <c r="R5" s="23">
        <f>IF(R$3&lt;$I5,0,$G5*Assumptions!$E$11*INDEX(Assumptions!$B$24:$G$24,MIN(6,R$3-$I5+1))*IF(R$3&gt;$J5,(1-Assumptions!$B$26)^(R$3-$J5),1)*IF($H5&gt;=1,1,MIN(0.97,$H5*Assumptions!$E$12)))</f>
        <v>254.38500000000002</v>
      </c>
      <c r="S5" s="23">
        <f>IF(S$3&lt;$I5,0,$G5*Assumptions!$E$11*INDEX(Assumptions!$B$24:$G$24,MIN(6,S$3-$I5+1))*IF(S$3&gt;$J5,(1-Assumptions!$B$26)^(S$3-$J5),1)*IF($H5&gt;=1,1,MIN(0.97,$H5*Assumptions!$E$12)))</f>
        <v>367.445</v>
      </c>
      <c r="T5" s="23">
        <f>IF(T$3&lt;$I5,0,$G5*Assumptions!$E$11*INDEX(Assumptions!$B$24:$G$24,MIN(6,T$3-$I5+1))*IF(T$3&gt;$J5,(1-Assumptions!$B$26)^(T$3-$J5),1)*IF($H5&gt;=1,1,MIN(0.97,$H5*Assumptions!$E$12)))</f>
        <v>480.505</v>
      </c>
      <c r="U5" s="23">
        <f>IF(U$3&lt;$I5,0,$G5*Assumptions!$E$11*INDEX(Assumptions!$B$24:$G$24,MIN(6,U$3-$I5+1))*IF(U$3&gt;$J5,(1-Assumptions!$B$26)^(U$3-$J5),1)*IF($H5&gt;=1,1,MIN(0.97,$H5*Assumptions!$E$12)))</f>
        <v>565.3000000000001</v>
      </c>
      <c r="V5" s="23">
        <f>IF(V$3&lt;$I5,0,$G5*Assumptions!$E$11*INDEX(Assumptions!$B$24:$G$24,MIN(6,V$3-$I5+1))*IF(V$3&gt;$J5,(1-Assumptions!$B$26)^(V$3-$J5),1)*IF($H5&gt;=1,1,MIN(0.97,$H5*Assumptions!$E$12)))</f>
        <v>565.3000000000001</v>
      </c>
      <c r="W5" s="23">
        <f>IF(W$3&lt;$I5,0,$G5*Assumptions!$E$11*INDEX(Assumptions!$B$24:$G$24,MIN(6,W$3-$I5+1))*IF(W$3&gt;$J5,(1-Assumptions!$B$26)^(W$3-$J5),1)*IF($H5&gt;=1,1,MIN(0.97,$H5*Assumptions!$E$12)))</f>
        <v>565.3000000000001</v>
      </c>
      <c r="X5" s="23">
        <f>IF(X$3&lt;$I5,0,$G5*Assumptions!$E$11*INDEX(Assumptions!$B$24:$G$24,MIN(6,X$3-$I5+1))*IF(X$3&gt;$J5,(1-Assumptions!$B$26)^(X$3-$J5),1)*IF($H5&gt;=1,1,MIN(0.97,$H5*Assumptions!$E$12)))</f>
        <v>565.3000000000001</v>
      </c>
      <c r="Y5" s="23">
        <f>IF(Y$3&lt;$I5,0,$G5*Assumptions!$E$11*INDEX(Assumptions!$B$24:$G$24,MIN(6,Y$3-$I5+1))*IF(Y$3&gt;$J5,(1-Assumptions!$B$26)^(Y$3-$J5),1)*IF($H5&gt;=1,1,MIN(0.97,$H5*Assumptions!$E$12)))</f>
        <v>565.3000000000001</v>
      </c>
      <c r="Z5" s="23">
        <f>IF(Z$3&lt;$I5,0,$G5*Assumptions!$E$11*INDEX(Assumptions!$B$24:$G$24,MIN(6,Z$3-$I5+1))*IF(Z$3&gt;$J5,(1-Assumptions!$B$26)^(Z$3-$J5),1)*IF($H5&gt;=1,1,MIN(0.97,$H5*Assumptions!$E$12)))</f>
        <v>565.3000000000001</v>
      </c>
      <c r="AA5" s="23">
        <f>IF(AA$3&lt;$I5,0,$G5*Assumptions!$E$11*INDEX(Assumptions!$B$24:$G$24,MIN(6,AA$3-$I5+1))*IF(AA$3&gt;$J5,(1-Assumptions!$B$26)^(AA$3-$J5),1)*IF($H5&gt;=1,1,MIN(0.97,$H5*Assumptions!$E$12)))</f>
        <v>565.3000000000001</v>
      </c>
      <c r="AB5" s="23">
        <f>IF(AB$3&lt;$I5,0,$G5*Assumptions!$E$11*INDEX(Assumptions!$B$24:$G$24,MIN(6,AB$3-$I5+1))*IF(AB$3&gt;$J5,(1-Assumptions!$B$26)^(AB$3-$J5),1)*IF($H5&gt;=1,1,MIN(0.97,$H5*Assumptions!$E$12)))</f>
        <v>565.3000000000001</v>
      </c>
      <c r="AC5" s="23">
        <f>IF(AC$3&lt;$I5,0,$G5*Assumptions!$E$11*INDEX(Assumptions!$B$24:$G$24,MIN(6,AC$3-$I5+1))*IF(AC$3&gt;$J5,(1-Assumptions!$B$26)^(AC$3-$J5),1)*IF($H5&gt;=1,1,MIN(0.97,$H5*Assumptions!$E$12)))</f>
        <v>282.65000000000003</v>
      </c>
      <c r="AD5" s="23">
        <f>IF(AD$3&lt;$I5,0,$G5*Assumptions!$E$11*INDEX(Assumptions!$B$24:$G$24,MIN(6,AD$3-$I5+1))*IF(AD$3&gt;$J5,(1-Assumptions!$B$26)^(AD$3-$J5),1)*IF($H5&gt;=1,1,MIN(0.97,$H5*Assumptions!$E$12)))</f>
        <v>141.32500000000002</v>
      </c>
      <c r="AE5" s="23">
        <f>IF(AE$3&lt;$I5,0,$G5*Assumptions!$E$11*INDEX(Assumptions!$B$24:$G$24,MIN(6,AE$3-$I5+1))*IF(AE$3&gt;$J5,(1-Assumptions!$B$26)^(AE$3-$J5),1)*IF($H5&gt;=1,1,MIN(0.97,$H5*Assumptions!$E$12)))</f>
        <v>70.66250000000001</v>
      </c>
      <c r="AF5" s="23">
        <f>IF(AF$3&lt;$I5,0,$G5*Assumptions!$E$11*INDEX(Assumptions!$B$24:$G$24,MIN(6,AF$3-$I5+1))*IF(AF$3&gt;$J5,(1-Assumptions!$B$26)^(AF$3-$J5),1)*IF($H5&gt;=1,1,MIN(0.97,$H5*Assumptions!$E$12)))</f>
        <v>35.331250000000004</v>
      </c>
      <c r="AG5" s="35">
        <f>IF(F5="Owned",1-IF(H5&gt;=1,1,MIN(0.97,H5*Assumptions!$E$12)),1)</f>
        <v>0.4347</v>
      </c>
    </row>
    <row r="6">
      <c r="A6" s="39" t="n">
        <v>3</v>
      </c>
      <c r="B6" s="14" t="inlineStr">
        <is>
          <t>Depression / mood</t>
        </is>
      </c>
      <c r="C6" s="14" t="inlineStr">
        <is>
          <t>BHV-7000</t>
        </is>
      </c>
      <c r="D6" s="14" t="inlineStr">
        <is>
          <t>Phase 2/3</t>
        </is>
      </c>
      <c r="E6" s="14" t="inlineStr">
        <is>
          <t>Psychiatry / chronic</t>
        </is>
      </c>
      <c r="F6" s="14" t="inlineStr">
        <is>
          <t>Owned</t>
        </is>
      </c>
      <c r="G6" s="40" t="n">
        <v>2000</v>
      </c>
      <c r="H6" s="27" t="n">
        <v>0.2648</v>
      </c>
      <c r="I6" s="26" t="n">
        <v>2030</v>
      </c>
      <c r="J6" s="39">
        <f>I6+Assumptions!$B$25</f>
        <v>2042.0</v>
      </c>
      <c r="K6" s="53">
        <f>Assumptions!$E$13</f>
        <v>0.4</v>
      </c>
      <c r="L6" s="23">
        <f>K6*SUMPRODUCT(M6:AF6,NPV!$C$15:$V$15)</f>
        <v>676.9192487166083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52.959999999999994</v>
      </c>
      <c r="R6" s="23">
        <f>IF(R$3&lt;$I6,0,$G6*Assumptions!$E$11*INDEX(Assumptions!$B$24:$G$24,MIN(6,R$3-$I6+1))*IF(R$3&gt;$J6,(1-Assumptions!$B$26)^(R$3-$J6),1)*IF($H6&gt;=1,1,MIN(0.97,$H6*Assumptions!$E$12)))</f>
        <v>132.39999999999998</v>
      </c>
      <c r="S6" s="23">
        <f>IF(S$3&lt;$I6,0,$G6*Assumptions!$E$11*INDEX(Assumptions!$B$24:$G$24,MIN(6,S$3-$I6+1))*IF(S$3&gt;$J6,(1-Assumptions!$B$26)^(S$3-$J6),1)*IF($H6&gt;=1,1,MIN(0.97,$H6*Assumptions!$E$12)))</f>
        <v>238.32</v>
      </c>
      <c r="T6" s="23">
        <f>IF(T$3&lt;$I6,0,$G6*Assumptions!$E$11*INDEX(Assumptions!$B$24:$G$24,MIN(6,T$3-$I6+1))*IF(T$3&gt;$J6,(1-Assumptions!$B$26)^(T$3-$J6),1)*IF($H6&gt;=1,1,MIN(0.97,$H6*Assumptions!$E$12)))</f>
        <v>344.23999999999995</v>
      </c>
      <c r="U6" s="23">
        <f>IF(U$3&lt;$I6,0,$G6*Assumptions!$E$11*INDEX(Assumptions!$B$24:$G$24,MIN(6,U$3-$I6+1))*IF(U$3&gt;$J6,(1-Assumptions!$B$26)^(U$3-$J6),1)*IF($H6&gt;=1,1,MIN(0.97,$H6*Assumptions!$E$12)))</f>
        <v>450.15999999999997</v>
      </c>
      <c r="V6" s="23">
        <f>IF(V$3&lt;$I6,0,$G6*Assumptions!$E$11*INDEX(Assumptions!$B$24:$G$24,MIN(6,V$3-$I6+1))*IF(V$3&gt;$J6,(1-Assumptions!$B$26)^(V$3-$J6),1)*IF($H6&gt;=1,1,MIN(0.97,$H6*Assumptions!$E$12)))</f>
        <v>529.5999999999999</v>
      </c>
      <c r="W6" s="23">
        <f>IF(W$3&lt;$I6,0,$G6*Assumptions!$E$11*INDEX(Assumptions!$B$24:$G$24,MIN(6,W$3-$I6+1))*IF(W$3&gt;$J6,(1-Assumptions!$B$26)^(W$3-$J6),1)*IF($H6&gt;=1,1,MIN(0.97,$H6*Assumptions!$E$12)))</f>
        <v>529.5999999999999</v>
      </c>
      <c r="X6" s="23">
        <f>IF(X$3&lt;$I6,0,$G6*Assumptions!$E$11*INDEX(Assumptions!$B$24:$G$24,MIN(6,X$3-$I6+1))*IF(X$3&gt;$J6,(1-Assumptions!$B$26)^(X$3-$J6),1)*IF($H6&gt;=1,1,MIN(0.97,$H6*Assumptions!$E$12)))</f>
        <v>529.5999999999999</v>
      </c>
      <c r="Y6" s="23">
        <f>IF(Y$3&lt;$I6,0,$G6*Assumptions!$E$11*INDEX(Assumptions!$B$24:$G$24,MIN(6,Y$3-$I6+1))*IF(Y$3&gt;$J6,(1-Assumptions!$B$26)^(Y$3-$J6),1)*IF($H6&gt;=1,1,MIN(0.97,$H6*Assumptions!$E$12)))</f>
        <v>529.5999999999999</v>
      </c>
      <c r="Z6" s="23">
        <f>IF(Z$3&lt;$I6,0,$G6*Assumptions!$E$11*INDEX(Assumptions!$B$24:$G$24,MIN(6,Z$3-$I6+1))*IF(Z$3&gt;$J6,(1-Assumptions!$B$26)^(Z$3-$J6),1)*IF($H6&gt;=1,1,MIN(0.97,$H6*Assumptions!$E$12)))</f>
        <v>529.5999999999999</v>
      </c>
      <c r="AA6" s="23">
        <f>IF(AA$3&lt;$I6,0,$G6*Assumptions!$E$11*INDEX(Assumptions!$B$24:$G$24,MIN(6,AA$3-$I6+1))*IF(AA$3&gt;$J6,(1-Assumptions!$B$26)^(AA$3-$J6),1)*IF($H6&gt;=1,1,MIN(0.97,$H6*Assumptions!$E$12)))</f>
        <v>529.5999999999999</v>
      </c>
      <c r="AB6" s="23">
        <f>IF(AB$3&lt;$I6,0,$G6*Assumptions!$E$11*INDEX(Assumptions!$B$24:$G$24,MIN(6,AB$3-$I6+1))*IF(AB$3&gt;$J6,(1-Assumptions!$B$26)^(AB$3-$J6),1)*IF($H6&gt;=1,1,MIN(0.97,$H6*Assumptions!$E$12)))</f>
        <v>529.5999999999999</v>
      </c>
      <c r="AC6" s="23">
        <f>IF(AC$3&lt;$I6,0,$G6*Assumptions!$E$11*INDEX(Assumptions!$B$24:$G$24,MIN(6,AC$3-$I6+1))*IF(AC$3&gt;$J6,(1-Assumptions!$B$26)^(AC$3-$J6),1)*IF($H6&gt;=1,1,MIN(0.97,$H6*Assumptions!$E$12)))</f>
        <v>529.5999999999999</v>
      </c>
      <c r="AD6" s="23">
        <f>IF(AD$3&lt;$I6,0,$G6*Assumptions!$E$11*INDEX(Assumptions!$B$24:$G$24,MIN(6,AD$3-$I6+1))*IF(AD$3&gt;$J6,(1-Assumptions!$B$26)^(AD$3-$J6),1)*IF($H6&gt;=1,1,MIN(0.97,$H6*Assumptions!$E$12)))</f>
        <v>264.79999999999995</v>
      </c>
      <c r="AE6" s="23">
        <f>IF(AE$3&lt;$I6,0,$G6*Assumptions!$E$11*INDEX(Assumptions!$B$24:$G$24,MIN(6,AE$3-$I6+1))*IF(AE$3&gt;$J6,(1-Assumptions!$B$26)^(AE$3-$J6),1)*IF($H6&gt;=1,1,MIN(0.97,$H6*Assumptions!$E$12)))</f>
        <v>132.39999999999998</v>
      </c>
      <c r="AF6" s="23">
        <f>IF(AF$3&lt;$I6,0,$G6*Assumptions!$E$11*INDEX(Assumptions!$B$24:$G$24,MIN(6,AF$3-$I6+1))*IF(AF$3&gt;$J6,(1-Assumptions!$B$26)^(AF$3-$J6),1)*IF($H6&gt;=1,1,MIN(0.97,$H6*Assumptions!$E$12)))</f>
        <v>66.19999999999999</v>
      </c>
      <c r="AG6" s="35">
        <f>IF(F6="Owned",1-IF(H6&gt;=1,1,MIN(0.97,H6*Assumptions!$E$12)),1)</f>
        <v>0.7352000000000001</v>
      </c>
    </row>
    <row r="7">
      <c r="A7" s="39" t="n">
        <v>4</v>
      </c>
      <c r="B7" s="14" t="inlineStr">
        <is>
          <t>Rare autoimmune</t>
        </is>
      </c>
      <c r="C7" s="14" t="inlineStr">
        <is>
          <t>BHV-1400, BHV-1300</t>
        </is>
      </c>
      <c r="D7" s="14" t="inlineStr">
        <is>
          <t>Phase 3</t>
        </is>
      </c>
      <c r="E7" s="14" t="inlineStr">
        <is>
          <t>Autoimmune / rare</t>
        </is>
      </c>
      <c r="F7" s="14" t="inlineStr">
        <is>
          <t>Owned</t>
        </is>
      </c>
      <c r="G7" s="40" t="n">
        <v>800</v>
      </c>
      <c r="H7" s="27" t="n">
        <v>0.5653</v>
      </c>
      <c r="I7" s="26" t="n">
        <v>2029</v>
      </c>
      <c r="J7" s="39">
        <f>I7+Assumptions!$B$25</f>
        <v>2041.0</v>
      </c>
      <c r="K7" s="53">
        <f>Assumptions!$E$13</f>
        <v>0.4</v>
      </c>
      <c r="L7" s="23">
        <f>K7*SUMPRODUCT(M7:AF7,NPV!$C$15:$V$15)</f>
        <v>648.7168448600528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45.224000000000004</v>
      </c>
      <c r="Q7" s="23">
        <f>IF(Q$3&lt;$I7,0,$G7*Assumptions!$E$11*INDEX(Assumptions!$B$24:$G$24,MIN(6,Q$3-$I7+1))*IF(Q$3&gt;$J7,(1-Assumptions!$B$26)^(Q$3-$J7),1)*IF($H7&gt;=1,1,MIN(0.97,$H7*Assumptions!$E$12)))</f>
        <v>113.06</v>
      </c>
      <c r="R7" s="23">
        <f>IF(R$3&lt;$I7,0,$G7*Assumptions!$E$11*INDEX(Assumptions!$B$24:$G$24,MIN(6,R$3-$I7+1))*IF(R$3&gt;$J7,(1-Assumptions!$B$26)^(R$3-$J7),1)*IF($H7&gt;=1,1,MIN(0.97,$H7*Assumptions!$E$12)))</f>
        <v>203.508</v>
      </c>
      <c r="S7" s="23">
        <f>IF(S$3&lt;$I7,0,$G7*Assumptions!$E$11*INDEX(Assumptions!$B$24:$G$24,MIN(6,S$3-$I7+1))*IF(S$3&gt;$J7,(1-Assumptions!$B$26)^(S$3-$J7),1)*IF($H7&gt;=1,1,MIN(0.97,$H7*Assumptions!$E$12)))</f>
        <v>293.956</v>
      </c>
      <c r="T7" s="23">
        <f>IF(T$3&lt;$I7,0,$G7*Assumptions!$E$11*INDEX(Assumptions!$B$24:$G$24,MIN(6,T$3-$I7+1))*IF(T$3&gt;$J7,(1-Assumptions!$B$26)^(T$3-$J7),1)*IF($H7&gt;=1,1,MIN(0.97,$H7*Assumptions!$E$12)))</f>
        <v>384.404</v>
      </c>
      <c r="U7" s="23">
        <f>IF(U$3&lt;$I7,0,$G7*Assumptions!$E$11*INDEX(Assumptions!$B$24:$G$24,MIN(6,U$3-$I7+1))*IF(U$3&gt;$J7,(1-Assumptions!$B$26)^(U$3-$J7),1)*IF($H7&gt;=1,1,MIN(0.97,$H7*Assumptions!$E$12)))</f>
        <v>452.24</v>
      </c>
      <c r="V7" s="23">
        <f>IF(V$3&lt;$I7,0,$G7*Assumptions!$E$11*INDEX(Assumptions!$B$24:$G$24,MIN(6,V$3-$I7+1))*IF(V$3&gt;$J7,(1-Assumptions!$B$26)^(V$3-$J7),1)*IF($H7&gt;=1,1,MIN(0.97,$H7*Assumptions!$E$12)))</f>
        <v>452.24</v>
      </c>
      <c r="W7" s="23">
        <f>IF(W$3&lt;$I7,0,$G7*Assumptions!$E$11*INDEX(Assumptions!$B$24:$G$24,MIN(6,W$3-$I7+1))*IF(W$3&gt;$J7,(1-Assumptions!$B$26)^(W$3-$J7),1)*IF($H7&gt;=1,1,MIN(0.97,$H7*Assumptions!$E$12)))</f>
        <v>452.24</v>
      </c>
      <c r="X7" s="23">
        <f>IF(X$3&lt;$I7,0,$G7*Assumptions!$E$11*INDEX(Assumptions!$B$24:$G$24,MIN(6,X$3-$I7+1))*IF(X$3&gt;$J7,(1-Assumptions!$B$26)^(X$3-$J7),1)*IF($H7&gt;=1,1,MIN(0.97,$H7*Assumptions!$E$12)))</f>
        <v>452.24</v>
      </c>
      <c r="Y7" s="23">
        <f>IF(Y$3&lt;$I7,0,$G7*Assumptions!$E$11*INDEX(Assumptions!$B$24:$G$24,MIN(6,Y$3-$I7+1))*IF(Y$3&gt;$J7,(1-Assumptions!$B$26)^(Y$3-$J7),1)*IF($H7&gt;=1,1,MIN(0.97,$H7*Assumptions!$E$12)))</f>
        <v>452.24</v>
      </c>
      <c r="Z7" s="23">
        <f>IF(Z$3&lt;$I7,0,$G7*Assumptions!$E$11*INDEX(Assumptions!$B$24:$G$24,MIN(6,Z$3-$I7+1))*IF(Z$3&gt;$J7,(1-Assumptions!$B$26)^(Z$3-$J7),1)*IF($H7&gt;=1,1,MIN(0.97,$H7*Assumptions!$E$12)))</f>
        <v>452.24</v>
      </c>
      <c r="AA7" s="23">
        <f>IF(AA$3&lt;$I7,0,$G7*Assumptions!$E$11*INDEX(Assumptions!$B$24:$G$24,MIN(6,AA$3-$I7+1))*IF(AA$3&gt;$J7,(1-Assumptions!$B$26)^(AA$3-$J7),1)*IF($H7&gt;=1,1,MIN(0.97,$H7*Assumptions!$E$12)))</f>
        <v>452.24</v>
      </c>
      <c r="AB7" s="23">
        <f>IF(AB$3&lt;$I7,0,$G7*Assumptions!$E$11*INDEX(Assumptions!$B$24:$G$24,MIN(6,AB$3-$I7+1))*IF(AB$3&gt;$J7,(1-Assumptions!$B$26)^(AB$3-$J7),1)*IF($H7&gt;=1,1,MIN(0.97,$H7*Assumptions!$E$12)))</f>
        <v>452.24</v>
      </c>
      <c r="AC7" s="23">
        <f>IF(AC$3&lt;$I7,0,$G7*Assumptions!$E$11*INDEX(Assumptions!$B$24:$G$24,MIN(6,AC$3-$I7+1))*IF(AC$3&gt;$J7,(1-Assumptions!$B$26)^(AC$3-$J7),1)*IF($H7&gt;=1,1,MIN(0.97,$H7*Assumptions!$E$12)))</f>
        <v>226.12</v>
      </c>
      <c r="AD7" s="23">
        <f>IF(AD$3&lt;$I7,0,$G7*Assumptions!$E$11*INDEX(Assumptions!$B$24:$G$24,MIN(6,AD$3-$I7+1))*IF(AD$3&gt;$J7,(1-Assumptions!$B$26)^(AD$3-$J7),1)*IF($H7&gt;=1,1,MIN(0.97,$H7*Assumptions!$E$12)))</f>
        <v>113.06</v>
      </c>
      <c r="AE7" s="23">
        <f>IF(AE$3&lt;$I7,0,$G7*Assumptions!$E$11*INDEX(Assumptions!$B$24:$G$24,MIN(6,AE$3-$I7+1))*IF(AE$3&gt;$J7,(1-Assumptions!$B$26)^(AE$3-$J7),1)*IF($H7&gt;=1,1,MIN(0.97,$H7*Assumptions!$E$12)))</f>
        <v>56.53</v>
      </c>
      <c r="AF7" s="23">
        <f>IF(AF$3&lt;$I7,0,$G7*Assumptions!$E$11*INDEX(Assumptions!$B$24:$G$24,MIN(6,AF$3-$I7+1))*IF(AF$3&gt;$J7,(1-Assumptions!$B$26)^(AF$3-$J7),1)*IF($H7&gt;=1,1,MIN(0.97,$H7*Assumptions!$E$12)))</f>
        <v>28.265</v>
      </c>
      <c r="AG7" s="35">
        <f>IF(F7="Owned",1-IF(H7&gt;=1,1,MIN(0.97,H7*Assumptions!$E$12)),1)</f>
        <v>0.4347</v>
      </c>
    </row>
    <row r="8">
      <c r="A8" s="39" t="n">
        <v>5</v>
      </c>
      <c r="B8" s="14" t="inlineStr">
        <is>
          <t>Parkinson's disease</t>
        </is>
      </c>
      <c r="C8" s="14" t="inlineStr">
        <is>
          <t>BHV-8000 10mg, BHV-8000 20 mg</t>
        </is>
      </c>
      <c r="D8" s="14" t="inlineStr">
        <is>
          <t>Phase 2/3</t>
        </is>
      </c>
      <c r="E8" s="14" t="inlineStr">
        <is>
          <t>Neurology / area</t>
        </is>
      </c>
      <c r="F8" s="14" t="inlineStr">
        <is>
          <t>Owned</t>
        </is>
      </c>
      <c r="G8" s="40" t="n">
        <v>1500</v>
      </c>
      <c r="H8" s="27" t="n">
        <v>0.2383</v>
      </c>
      <c r="I8" s="26" t="n">
        <v>2030</v>
      </c>
      <c r="J8" s="39">
        <f>I8+Assumptions!$B$25</f>
        <v>2042.0</v>
      </c>
      <c r="K8" s="53">
        <f>Assumptions!$E$13</f>
        <v>0.4</v>
      </c>
      <c r="L8" s="23">
        <f>K8*SUMPRODUCT(M8:AF8,NPV!$C$15:$V$15)</f>
        <v>456.8821477601053</v>
      </c>
      <c r="M8" s="23">
        <f>IF(M$3&lt;$I8,0,$G8*Assumptions!$E$11*INDEX(Assumptions!$B$24:$G$24,MIN(6,M$3-$I8+1))*IF(M$3&gt;$J8,(1-Assumptions!$B$26)^(M$3-$J8),1)*IF($H8&gt;=1,1,MIN(0.97,$H8*Assumptions!$E$12)))</f>
        <v>0</v>
      </c>
      <c r="N8" s="23">
        <f>IF(N$3&lt;$I8,0,$G8*Assumptions!$E$11*INDEX(Assumptions!$B$24:$G$24,MIN(6,N$3-$I8+1))*IF(N$3&gt;$J8,(1-Assumptions!$B$26)^(N$3-$J8),1)*IF($H8&gt;=1,1,MIN(0.97,$H8*Assumptions!$E$12)))</f>
        <v>0</v>
      </c>
      <c r="O8" s="23">
        <f>IF(O$3&lt;$I8,0,$G8*Assumptions!$E$11*INDEX(Assumptions!$B$24:$G$24,MIN(6,O$3-$I8+1))*IF(O$3&gt;$J8,(1-Assumptions!$B$26)^(O$3-$J8),1)*IF($H8&gt;=1,1,MIN(0.97,$H8*Assumptions!$E$12)))</f>
        <v>0</v>
      </c>
      <c r="P8" s="23">
        <f>IF(P$3&lt;$I8,0,$G8*Assumptions!$E$11*INDEX(Assumptions!$B$24:$G$24,MIN(6,P$3-$I8+1))*IF(P$3&gt;$J8,(1-Assumptions!$B$26)^(P$3-$J8),1)*IF($H8&gt;=1,1,MIN(0.97,$H8*Assumptions!$E$12)))</f>
        <v>0</v>
      </c>
      <c r="Q8" s="23">
        <f>IF(Q$3&lt;$I8,0,$G8*Assumptions!$E$11*INDEX(Assumptions!$B$24:$G$24,MIN(6,Q$3-$I8+1))*IF(Q$3&gt;$J8,(1-Assumptions!$B$26)^(Q$3-$J8),1)*IF($H8&gt;=1,1,MIN(0.97,$H8*Assumptions!$E$12)))</f>
        <v>35.745000000000005</v>
      </c>
      <c r="R8" s="23">
        <f>IF(R$3&lt;$I8,0,$G8*Assumptions!$E$11*INDEX(Assumptions!$B$24:$G$24,MIN(6,R$3-$I8+1))*IF(R$3&gt;$J8,(1-Assumptions!$B$26)^(R$3-$J8),1)*IF($H8&gt;=1,1,MIN(0.97,$H8*Assumptions!$E$12)))</f>
        <v>89.36250000000001</v>
      </c>
      <c r="S8" s="23">
        <f>IF(S$3&lt;$I8,0,$G8*Assumptions!$E$11*INDEX(Assumptions!$B$24:$G$24,MIN(6,S$3-$I8+1))*IF(S$3&gt;$J8,(1-Assumptions!$B$26)^(S$3-$J8),1)*IF($H8&gt;=1,1,MIN(0.97,$H8*Assumptions!$E$12)))</f>
        <v>160.85250000000002</v>
      </c>
      <c r="T8" s="23">
        <f>IF(T$3&lt;$I8,0,$G8*Assumptions!$E$11*INDEX(Assumptions!$B$24:$G$24,MIN(6,T$3-$I8+1))*IF(T$3&gt;$J8,(1-Assumptions!$B$26)^(T$3-$J8),1)*IF($H8&gt;=1,1,MIN(0.97,$H8*Assumptions!$E$12)))</f>
        <v>232.3425</v>
      </c>
      <c r="U8" s="23">
        <f>IF(U$3&lt;$I8,0,$G8*Assumptions!$E$11*INDEX(Assumptions!$B$24:$G$24,MIN(6,U$3-$I8+1))*IF(U$3&gt;$J8,(1-Assumptions!$B$26)^(U$3-$J8),1)*IF($H8&gt;=1,1,MIN(0.97,$H8*Assumptions!$E$12)))</f>
        <v>303.83250000000004</v>
      </c>
      <c r="V8" s="23">
        <f>IF(V$3&lt;$I8,0,$G8*Assumptions!$E$11*INDEX(Assumptions!$B$24:$G$24,MIN(6,V$3-$I8+1))*IF(V$3&gt;$J8,(1-Assumptions!$B$26)^(V$3-$J8),1)*IF($H8&gt;=1,1,MIN(0.97,$H8*Assumptions!$E$12)))</f>
        <v>357.45000000000005</v>
      </c>
      <c r="W8" s="23">
        <f>IF(W$3&lt;$I8,0,$G8*Assumptions!$E$11*INDEX(Assumptions!$B$24:$G$24,MIN(6,W$3-$I8+1))*IF(W$3&gt;$J8,(1-Assumptions!$B$26)^(W$3-$J8),1)*IF($H8&gt;=1,1,MIN(0.97,$H8*Assumptions!$E$12)))</f>
        <v>357.45000000000005</v>
      </c>
      <c r="X8" s="23">
        <f>IF(X$3&lt;$I8,0,$G8*Assumptions!$E$11*INDEX(Assumptions!$B$24:$G$24,MIN(6,X$3-$I8+1))*IF(X$3&gt;$J8,(1-Assumptions!$B$26)^(X$3-$J8),1)*IF($H8&gt;=1,1,MIN(0.97,$H8*Assumptions!$E$12)))</f>
        <v>357.45000000000005</v>
      </c>
      <c r="Y8" s="23">
        <f>IF(Y$3&lt;$I8,0,$G8*Assumptions!$E$11*INDEX(Assumptions!$B$24:$G$24,MIN(6,Y$3-$I8+1))*IF(Y$3&gt;$J8,(1-Assumptions!$B$26)^(Y$3-$J8),1)*IF($H8&gt;=1,1,MIN(0.97,$H8*Assumptions!$E$12)))</f>
        <v>357.45000000000005</v>
      </c>
      <c r="Z8" s="23">
        <f>IF(Z$3&lt;$I8,0,$G8*Assumptions!$E$11*INDEX(Assumptions!$B$24:$G$24,MIN(6,Z$3-$I8+1))*IF(Z$3&gt;$J8,(1-Assumptions!$B$26)^(Z$3-$J8),1)*IF($H8&gt;=1,1,MIN(0.97,$H8*Assumptions!$E$12)))</f>
        <v>357.45000000000005</v>
      </c>
      <c r="AA8" s="23">
        <f>IF(AA$3&lt;$I8,0,$G8*Assumptions!$E$11*INDEX(Assumptions!$B$24:$G$24,MIN(6,AA$3-$I8+1))*IF(AA$3&gt;$J8,(1-Assumptions!$B$26)^(AA$3-$J8),1)*IF($H8&gt;=1,1,MIN(0.97,$H8*Assumptions!$E$12)))</f>
        <v>357.45000000000005</v>
      </c>
      <c r="AB8" s="23">
        <f>IF(AB$3&lt;$I8,0,$G8*Assumptions!$E$11*INDEX(Assumptions!$B$24:$G$24,MIN(6,AB$3-$I8+1))*IF(AB$3&gt;$J8,(1-Assumptions!$B$26)^(AB$3-$J8),1)*IF($H8&gt;=1,1,MIN(0.97,$H8*Assumptions!$E$12)))</f>
        <v>357.45000000000005</v>
      </c>
      <c r="AC8" s="23">
        <f>IF(AC$3&lt;$I8,0,$G8*Assumptions!$E$11*INDEX(Assumptions!$B$24:$G$24,MIN(6,AC$3-$I8+1))*IF(AC$3&gt;$J8,(1-Assumptions!$B$26)^(AC$3-$J8),1)*IF($H8&gt;=1,1,MIN(0.97,$H8*Assumptions!$E$12)))</f>
        <v>357.45000000000005</v>
      </c>
      <c r="AD8" s="23">
        <f>IF(AD$3&lt;$I8,0,$G8*Assumptions!$E$11*INDEX(Assumptions!$B$24:$G$24,MIN(6,AD$3-$I8+1))*IF(AD$3&gt;$J8,(1-Assumptions!$B$26)^(AD$3-$J8),1)*IF($H8&gt;=1,1,MIN(0.97,$H8*Assumptions!$E$12)))</f>
        <v>178.72500000000002</v>
      </c>
      <c r="AE8" s="23">
        <f>IF(AE$3&lt;$I8,0,$G8*Assumptions!$E$11*INDEX(Assumptions!$B$24:$G$24,MIN(6,AE$3-$I8+1))*IF(AE$3&gt;$J8,(1-Assumptions!$B$26)^(AE$3-$J8),1)*IF($H8&gt;=1,1,MIN(0.97,$H8*Assumptions!$E$12)))</f>
        <v>89.36250000000001</v>
      </c>
      <c r="AF8" s="23">
        <f>IF(AF$3&lt;$I8,0,$G8*Assumptions!$E$11*INDEX(Assumptions!$B$24:$G$24,MIN(6,AF$3-$I8+1))*IF(AF$3&gt;$J8,(1-Assumptions!$B$26)^(AF$3-$J8),1)*IF($H8&gt;=1,1,MIN(0.97,$H8*Assumptions!$E$12)))</f>
        <v>44.681250000000006</v>
      </c>
      <c r="AG8" s="35">
        <f>IF(F8="Owned",1-IF(H8&gt;=1,1,MIN(0.97,H8*Assumptions!$E$12)),1)</f>
        <v>0.7617</v>
      </c>
    </row>
    <row r="9">
      <c r="A9" s="39" t="n">
        <v>6</v>
      </c>
      <c r="B9" s="14" t="inlineStr">
        <is>
          <t>Epilepsy</t>
        </is>
      </c>
      <c r="C9" s="14" t="inlineStr">
        <is>
          <t>BHV-7000</t>
        </is>
      </c>
      <c r="D9" s="14" t="inlineStr">
        <is>
          <t>Phase 2/3</t>
        </is>
      </c>
      <c r="E9" s="14" t="inlineStr">
        <is>
          <t>Neurology / area</t>
        </is>
      </c>
      <c r="F9" s="14" t="inlineStr">
        <is>
          <t>Owned</t>
        </is>
      </c>
      <c r="G9" s="40" t="n">
        <v>1200</v>
      </c>
      <c r="H9" s="27" t="n">
        <v>0.2383</v>
      </c>
      <c r="I9" s="26" t="n">
        <v>2030</v>
      </c>
      <c r="J9" s="39">
        <f>I9+Assumptions!$B$25</f>
        <v>2042.0</v>
      </c>
      <c r="K9" s="53">
        <f>Assumptions!$E$13</f>
        <v>0.4</v>
      </c>
      <c r="L9" s="23">
        <f>K9*SUMPRODUCT(M9:AF9,NPV!$C$15:$V$15)</f>
        <v>365.5057182080841</v>
      </c>
      <c r="M9" s="23">
        <f>IF(M$3&lt;$I9,0,$G9*Assumptions!$E$11*INDEX(Assumptions!$B$24:$G$24,MIN(6,M$3-$I9+1))*IF(M$3&gt;$J9,(1-Assumptions!$B$26)^(M$3-$J9),1)*IF($H9&gt;=1,1,MIN(0.97,$H9*Assumptions!$E$12)))</f>
        <v>0</v>
      </c>
      <c r="N9" s="23">
        <f>IF(N$3&lt;$I9,0,$G9*Assumptions!$E$11*INDEX(Assumptions!$B$24:$G$24,MIN(6,N$3-$I9+1))*IF(N$3&gt;$J9,(1-Assumptions!$B$26)^(N$3-$J9),1)*IF($H9&gt;=1,1,MIN(0.97,$H9*Assumptions!$E$12)))</f>
        <v>0</v>
      </c>
      <c r="O9" s="23">
        <f>IF(O$3&lt;$I9,0,$G9*Assumptions!$E$11*INDEX(Assumptions!$B$24:$G$24,MIN(6,O$3-$I9+1))*IF(O$3&gt;$J9,(1-Assumptions!$B$26)^(O$3-$J9),1)*IF($H9&gt;=1,1,MIN(0.97,$H9*Assumptions!$E$12)))</f>
        <v>0</v>
      </c>
      <c r="P9" s="23">
        <f>IF(P$3&lt;$I9,0,$G9*Assumptions!$E$11*INDEX(Assumptions!$B$24:$G$24,MIN(6,P$3-$I9+1))*IF(P$3&gt;$J9,(1-Assumptions!$B$26)^(P$3-$J9),1)*IF($H9&gt;=1,1,MIN(0.97,$H9*Assumptions!$E$12)))</f>
        <v>0</v>
      </c>
      <c r="Q9" s="23">
        <f>IF(Q$3&lt;$I9,0,$G9*Assumptions!$E$11*INDEX(Assumptions!$B$24:$G$24,MIN(6,Q$3-$I9+1))*IF(Q$3&gt;$J9,(1-Assumptions!$B$26)^(Q$3-$J9),1)*IF($H9&gt;=1,1,MIN(0.97,$H9*Assumptions!$E$12)))</f>
        <v>28.596</v>
      </c>
      <c r="R9" s="23">
        <f>IF(R$3&lt;$I9,0,$G9*Assumptions!$E$11*INDEX(Assumptions!$B$24:$G$24,MIN(6,R$3-$I9+1))*IF(R$3&gt;$J9,(1-Assumptions!$B$26)^(R$3-$J9),1)*IF($H9&gt;=1,1,MIN(0.97,$H9*Assumptions!$E$12)))</f>
        <v>71.49000000000001</v>
      </c>
      <c r="S9" s="23">
        <f>IF(S$3&lt;$I9,0,$G9*Assumptions!$E$11*INDEX(Assumptions!$B$24:$G$24,MIN(6,S$3-$I9+1))*IF(S$3&gt;$J9,(1-Assumptions!$B$26)^(S$3-$J9),1)*IF($H9&gt;=1,1,MIN(0.97,$H9*Assumptions!$E$12)))</f>
        <v>128.68200000000002</v>
      </c>
      <c r="T9" s="23">
        <f>IF(T$3&lt;$I9,0,$G9*Assumptions!$E$11*INDEX(Assumptions!$B$24:$G$24,MIN(6,T$3-$I9+1))*IF(T$3&gt;$J9,(1-Assumptions!$B$26)^(T$3-$J9),1)*IF($H9&gt;=1,1,MIN(0.97,$H9*Assumptions!$E$12)))</f>
        <v>185.874</v>
      </c>
      <c r="U9" s="23">
        <f>IF(U$3&lt;$I9,0,$G9*Assumptions!$E$11*INDEX(Assumptions!$B$24:$G$24,MIN(6,U$3-$I9+1))*IF(U$3&gt;$J9,(1-Assumptions!$B$26)^(U$3-$J9),1)*IF($H9&gt;=1,1,MIN(0.97,$H9*Assumptions!$E$12)))</f>
        <v>243.066</v>
      </c>
      <c r="V9" s="23">
        <f>IF(V$3&lt;$I9,0,$G9*Assumptions!$E$11*INDEX(Assumptions!$B$24:$G$24,MIN(6,V$3-$I9+1))*IF(V$3&gt;$J9,(1-Assumptions!$B$26)^(V$3-$J9),1)*IF($H9&gt;=1,1,MIN(0.97,$H9*Assumptions!$E$12)))</f>
        <v>285.96000000000004</v>
      </c>
      <c r="W9" s="23">
        <f>IF(W$3&lt;$I9,0,$G9*Assumptions!$E$11*INDEX(Assumptions!$B$24:$G$24,MIN(6,W$3-$I9+1))*IF(W$3&gt;$J9,(1-Assumptions!$B$26)^(W$3-$J9),1)*IF($H9&gt;=1,1,MIN(0.97,$H9*Assumptions!$E$12)))</f>
        <v>285.96000000000004</v>
      </c>
      <c r="X9" s="23">
        <f>IF(X$3&lt;$I9,0,$G9*Assumptions!$E$11*INDEX(Assumptions!$B$24:$G$24,MIN(6,X$3-$I9+1))*IF(X$3&gt;$J9,(1-Assumptions!$B$26)^(X$3-$J9),1)*IF($H9&gt;=1,1,MIN(0.97,$H9*Assumptions!$E$12)))</f>
        <v>285.96000000000004</v>
      </c>
      <c r="Y9" s="23">
        <f>IF(Y$3&lt;$I9,0,$G9*Assumptions!$E$11*INDEX(Assumptions!$B$24:$G$24,MIN(6,Y$3-$I9+1))*IF(Y$3&gt;$J9,(1-Assumptions!$B$26)^(Y$3-$J9),1)*IF($H9&gt;=1,1,MIN(0.97,$H9*Assumptions!$E$12)))</f>
        <v>285.96000000000004</v>
      </c>
      <c r="Z9" s="23">
        <f>IF(Z$3&lt;$I9,0,$G9*Assumptions!$E$11*INDEX(Assumptions!$B$24:$G$24,MIN(6,Z$3-$I9+1))*IF(Z$3&gt;$J9,(1-Assumptions!$B$26)^(Z$3-$J9),1)*IF($H9&gt;=1,1,MIN(0.97,$H9*Assumptions!$E$12)))</f>
        <v>285.96000000000004</v>
      </c>
      <c r="AA9" s="23">
        <f>IF(AA$3&lt;$I9,0,$G9*Assumptions!$E$11*INDEX(Assumptions!$B$24:$G$24,MIN(6,AA$3-$I9+1))*IF(AA$3&gt;$J9,(1-Assumptions!$B$26)^(AA$3-$J9),1)*IF($H9&gt;=1,1,MIN(0.97,$H9*Assumptions!$E$12)))</f>
        <v>285.96000000000004</v>
      </c>
      <c r="AB9" s="23">
        <f>IF(AB$3&lt;$I9,0,$G9*Assumptions!$E$11*INDEX(Assumptions!$B$24:$G$24,MIN(6,AB$3-$I9+1))*IF(AB$3&gt;$J9,(1-Assumptions!$B$26)^(AB$3-$J9),1)*IF($H9&gt;=1,1,MIN(0.97,$H9*Assumptions!$E$12)))</f>
        <v>285.96000000000004</v>
      </c>
      <c r="AC9" s="23">
        <f>IF(AC$3&lt;$I9,0,$G9*Assumptions!$E$11*INDEX(Assumptions!$B$24:$G$24,MIN(6,AC$3-$I9+1))*IF(AC$3&gt;$J9,(1-Assumptions!$B$26)^(AC$3-$J9),1)*IF($H9&gt;=1,1,MIN(0.97,$H9*Assumptions!$E$12)))</f>
        <v>285.96000000000004</v>
      </c>
      <c r="AD9" s="23">
        <f>IF(AD$3&lt;$I9,0,$G9*Assumptions!$E$11*INDEX(Assumptions!$B$24:$G$24,MIN(6,AD$3-$I9+1))*IF(AD$3&gt;$J9,(1-Assumptions!$B$26)^(AD$3-$J9),1)*IF($H9&gt;=1,1,MIN(0.97,$H9*Assumptions!$E$12)))</f>
        <v>142.98000000000002</v>
      </c>
      <c r="AE9" s="23">
        <f>IF(AE$3&lt;$I9,0,$G9*Assumptions!$E$11*INDEX(Assumptions!$B$24:$G$24,MIN(6,AE$3-$I9+1))*IF(AE$3&gt;$J9,(1-Assumptions!$B$26)^(AE$3-$J9),1)*IF($H9&gt;=1,1,MIN(0.97,$H9*Assumptions!$E$12)))</f>
        <v>71.49000000000001</v>
      </c>
      <c r="AF9" s="23">
        <f>IF(AF$3&lt;$I9,0,$G9*Assumptions!$E$11*INDEX(Assumptions!$B$24:$G$24,MIN(6,AF$3-$I9+1))*IF(AF$3&gt;$J9,(1-Assumptions!$B$26)^(AF$3-$J9),1)*IF($H9&gt;=1,1,MIN(0.97,$H9*Assumptions!$E$12)))</f>
        <v>35.745000000000005</v>
      </c>
      <c r="AG9" s="35">
        <f>IF(F9="Owned",1-IF(H9&gt;=1,1,MIN(0.97,H9*Assumptions!$E$12)),1)</f>
        <v>0.7617</v>
      </c>
    </row>
    <row r="10">
      <c r="A10" s="39" t="n">
        <v>7</v>
      </c>
      <c r="B10" s="14" t="inlineStr">
        <is>
          <t>Migraine / pain</t>
        </is>
      </c>
      <c r="C10" s="14" t="inlineStr">
        <is>
          <t>BHV-2100</t>
        </is>
      </c>
      <c r="D10" s="14" t="inlineStr">
        <is>
          <t>Phase 2</t>
        </is>
      </c>
      <c r="E10" s="14" t="inlineStr">
        <is>
          <t>Neurology / area</t>
        </is>
      </c>
      <c r="F10" s="14" t="inlineStr">
        <is>
          <t>Owned</t>
        </is>
      </c>
      <c r="G10" s="40" t="n">
        <v>1200</v>
      </c>
      <c r="H10" s="27" t="n">
        <v>0.1234</v>
      </c>
      <c r="I10" s="26" t="n">
        <v>2031</v>
      </c>
      <c r="J10" s="39">
        <f>I10+Assumptions!$B$25</f>
        <v>2043.0</v>
      </c>
      <c r="K10" s="53">
        <f>Assumptions!$E$13</f>
        <v>0.4</v>
      </c>
      <c r="L10" s="23">
        <f>K10*SUMPRODUCT(M10:AF10,NPV!$C$15:$V$15)</f>
        <v>168.22524543263273</v>
      </c>
      <c r="M10" s="23">
        <f>IF(M$3&lt;$I10,0,$G10*Assumptions!$E$11*INDEX(Assumptions!$B$24:$G$24,MIN(6,M$3-$I10+1))*IF(M$3&gt;$J10,(1-Assumptions!$B$26)^(M$3-$J10),1)*IF($H10&gt;=1,1,MIN(0.97,$H10*Assumptions!$E$12)))</f>
        <v>0</v>
      </c>
      <c r="N10" s="23">
        <f>IF(N$3&lt;$I10,0,$G10*Assumptions!$E$11*INDEX(Assumptions!$B$24:$G$24,MIN(6,N$3-$I10+1))*IF(N$3&gt;$J10,(1-Assumptions!$B$26)^(N$3-$J10),1)*IF($H10&gt;=1,1,MIN(0.97,$H10*Assumptions!$E$12)))</f>
        <v>0</v>
      </c>
      <c r="O10" s="23">
        <f>IF(O$3&lt;$I10,0,$G10*Assumptions!$E$11*INDEX(Assumptions!$B$24:$G$24,MIN(6,O$3-$I10+1))*IF(O$3&gt;$J10,(1-Assumptions!$B$26)^(O$3-$J10),1)*IF($H10&gt;=1,1,MIN(0.97,$H10*Assumptions!$E$12)))</f>
        <v>0</v>
      </c>
      <c r="P10" s="23">
        <f>IF(P$3&lt;$I10,0,$G10*Assumptions!$E$11*INDEX(Assumptions!$B$24:$G$24,MIN(6,P$3-$I10+1))*IF(P$3&gt;$J10,(1-Assumptions!$B$26)^(P$3-$J10),1)*IF($H10&gt;=1,1,MIN(0.97,$H10*Assumptions!$E$12)))</f>
        <v>0</v>
      </c>
      <c r="Q10" s="23">
        <f>IF(Q$3&lt;$I10,0,$G10*Assumptions!$E$11*INDEX(Assumptions!$B$24:$G$24,MIN(6,Q$3-$I10+1))*IF(Q$3&gt;$J10,(1-Assumptions!$B$26)^(Q$3-$J10),1)*IF($H10&gt;=1,1,MIN(0.97,$H10*Assumptions!$E$12)))</f>
        <v>0</v>
      </c>
      <c r="R10" s="23">
        <f>IF(R$3&lt;$I10,0,$G10*Assumptions!$E$11*INDEX(Assumptions!$B$24:$G$24,MIN(6,R$3-$I10+1))*IF(R$3&gt;$J10,(1-Assumptions!$B$26)^(R$3-$J10),1)*IF($H10&gt;=1,1,MIN(0.97,$H10*Assumptions!$E$12)))</f>
        <v>14.808</v>
      </c>
      <c r="S10" s="23">
        <f>IF(S$3&lt;$I10,0,$G10*Assumptions!$E$11*INDEX(Assumptions!$B$24:$G$24,MIN(6,S$3-$I10+1))*IF(S$3&gt;$J10,(1-Assumptions!$B$26)^(S$3-$J10),1)*IF($H10&gt;=1,1,MIN(0.97,$H10*Assumptions!$E$12)))</f>
        <v>37.019999999999996</v>
      </c>
      <c r="T10" s="23">
        <f>IF(T$3&lt;$I10,0,$G10*Assumptions!$E$11*INDEX(Assumptions!$B$24:$G$24,MIN(6,T$3-$I10+1))*IF(T$3&gt;$J10,(1-Assumptions!$B$26)^(T$3-$J10),1)*IF($H10&gt;=1,1,MIN(0.97,$H10*Assumptions!$E$12)))</f>
        <v>66.636</v>
      </c>
      <c r="U10" s="23">
        <f>IF(U$3&lt;$I10,0,$G10*Assumptions!$E$11*INDEX(Assumptions!$B$24:$G$24,MIN(6,U$3-$I10+1))*IF(U$3&gt;$J10,(1-Assumptions!$B$26)^(U$3-$J10),1)*IF($H10&gt;=1,1,MIN(0.97,$H10*Assumptions!$E$12)))</f>
        <v>96.252</v>
      </c>
      <c r="V10" s="23">
        <f>IF(V$3&lt;$I10,0,$G10*Assumptions!$E$11*INDEX(Assumptions!$B$24:$G$24,MIN(6,V$3-$I10+1))*IF(V$3&gt;$J10,(1-Assumptions!$B$26)^(V$3-$J10),1)*IF($H10&gt;=1,1,MIN(0.97,$H10*Assumptions!$E$12)))</f>
        <v>125.868</v>
      </c>
      <c r="W10" s="23">
        <f>IF(W$3&lt;$I10,0,$G10*Assumptions!$E$11*INDEX(Assumptions!$B$24:$G$24,MIN(6,W$3-$I10+1))*IF(W$3&gt;$J10,(1-Assumptions!$B$26)^(W$3-$J10),1)*IF($H10&gt;=1,1,MIN(0.97,$H10*Assumptions!$E$12)))</f>
        <v>148.07999999999998</v>
      </c>
      <c r="X10" s="23">
        <f>IF(X$3&lt;$I10,0,$G10*Assumptions!$E$11*INDEX(Assumptions!$B$24:$G$24,MIN(6,X$3-$I10+1))*IF(X$3&gt;$J10,(1-Assumptions!$B$26)^(X$3-$J10),1)*IF($H10&gt;=1,1,MIN(0.97,$H10*Assumptions!$E$12)))</f>
        <v>148.07999999999998</v>
      </c>
      <c r="Y10" s="23">
        <f>IF(Y$3&lt;$I10,0,$G10*Assumptions!$E$11*INDEX(Assumptions!$B$24:$G$24,MIN(6,Y$3-$I10+1))*IF(Y$3&gt;$J10,(1-Assumptions!$B$26)^(Y$3-$J10),1)*IF($H10&gt;=1,1,MIN(0.97,$H10*Assumptions!$E$12)))</f>
        <v>148.07999999999998</v>
      </c>
      <c r="Z10" s="23">
        <f>IF(Z$3&lt;$I10,0,$G10*Assumptions!$E$11*INDEX(Assumptions!$B$24:$G$24,MIN(6,Z$3-$I10+1))*IF(Z$3&gt;$J10,(1-Assumptions!$B$26)^(Z$3-$J10),1)*IF($H10&gt;=1,1,MIN(0.97,$H10*Assumptions!$E$12)))</f>
        <v>148.07999999999998</v>
      </c>
      <c r="AA10" s="23">
        <f>IF(AA$3&lt;$I10,0,$G10*Assumptions!$E$11*INDEX(Assumptions!$B$24:$G$24,MIN(6,AA$3-$I10+1))*IF(AA$3&gt;$J10,(1-Assumptions!$B$26)^(AA$3-$J10),1)*IF($H10&gt;=1,1,MIN(0.97,$H10*Assumptions!$E$12)))</f>
        <v>148.07999999999998</v>
      </c>
      <c r="AB10" s="23">
        <f>IF(AB$3&lt;$I10,0,$G10*Assumptions!$E$11*INDEX(Assumptions!$B$24:$G$24,MIN(6,AB$3-$I10+1))*IF(AB$3&gt;$J10,(1-Assumptions!$B$26)^(AB$3-$J10),1)*IF($H10&gt;=1,1,MIN(0.97,$H10*Assumptions!$E$12)))</f>
        <v>148.07999999999998</v>
      </c>
      <c r="AC10" s="23">
        <f>IF(AC$3&lt;$I10,0,$G10*Assumptions!$E$11*INDEX(Assumptions!$B$24:$G$24,MIN(6,AC$3-$I10+1))*IF(AC$3&gt;$J10,(1-Assumptions!$B$26)^(AC$3-$J10),1)*IF($H10&gt;=1,1,MIN(0.97,$H10*Assumptions!$E$12)))</f>
        <v>148.07999999999998</v>
      </c>
      <c r="AD10" s="23">
        <f>IF(AD$3&lt;$I10,0,$G10*Assumptions!$E$11*INDEX(Assumptions!$B$24:$G$24,MIN(6,AD$3-$I10+1))*IF(AD$3&gt;$J10,(1-Assumptions!$B$26)^(AD$3-$J10),1)*IF($H10&gt;=1,1,MIN(0.97,$H10*Assumptions!$E$12)))</f>
        <v>148.07999999999998</v>
      </c>
      <c r="AE10" s="23">
        <f>IF(AE$3&lt;$I10,0,$G10*Assumptions!$E$11*INDEX(Assumptions!$B$24:$G$24,MIN(6,AE$3-$I10+1))*IF(AE$3&gt;$J10,(1-Assumptions!$B$26)^(AE$3-$J10),1)*IF($H10&gt;=1,1,MIN(0.97,$H10*Assumptions!$E$12)))</f>
        <v>74.03999999999999</v>
      </c>
      <c r="AF10" s="23">
        <f>IF(AF$3&lt;$I10,0,$G10*Assumptions!$E$11*INDEX(Assumptions!$B$24:$G$24,MIN(6,AF$3-$I10+1))*IF(AF$3&gt;$J10,(1-Assumptions!$B$26)^(AF$3-$J10),1)*IF($H10&gt;=1,1,MIN(0.97,$H10*Assumptions!$E$12)))</f>
        <v>37.019999999999996</v>
      </c>
      <c r="AG10" s="35">
        <f>IF(F10="Owned",1-IF(H10&gt;=1,1,MIN(0.97,H10*Assumptions!$E$12)),1)</f>
        <v>0.8766</v>
      </c>
    </row>
    <row r="11">
      <c r="A11" s="39" t="n">
        <v>8</v>
      </c>
      <c r="B11" s="14" t="inlineStr">
        <is>
          <t>Multiple myeloma</t>
        </is>
      </c>
      <c r="C11" s="14" t="inlineStr">
        <is>
          <t>BHV-1100 plus cytokine induced memory-like (CIML) NK cells p</t>
        </is>
      </c>
      <c r="D11" s="14" t="inlineStr">
        <is>
          <t>Phase 1</t>
        </is>
      </c>
      <c r="E11" s="14" t="inlineStr">
        <is>
          <t>Oncology / area</t>
        </is>
      </c>
      <c r="F11" s="14" t="inlineStr">
        <is>
          <t>Owned</t>
        </is>
      </c>
      <c r="G11" s="40" t="n">
        <v>2500</v>
      </c>
      <c r="H11" s="27" t="n">
        <v>0.0527</v>
      </c>
      <c r="I11" s="26" t="n">
        <v>2033</v>
      </c>
      <c r="J11" s="39">
        <f>I11+Assumptions!$B$25</f>
        <v>2045.0</v>
      </c>
      <c r="K11" s="53">
        <f>Assumptions!$E$13</f>
        <v>0.4</v>
      </c>
      <c r="L11" s="23">
        <f>K11*SUMPRODUCT(M11:AF11,NPV!$C$15:$V$15)</f>
        <v>115.36967143945586</v>
      </c>
      <c r="M11" s="23">
        <f>IF(M$3&lt;$I11,0,$G11*Assumptions!$E$11*INDEX(Assumptions!$B$24:$G$24,MIN(6,M$3-$I11+1))*IF(M$3&gt;$J11,(1-Assumptions!$B$26)^(M$3-$J11),1)*IF($H11&gt;=1,1,MIN(0.97,$H11*Assumptions!$E$12)))</f>
        <v>0</v>
      </c>
      <c r="N11" s="23">
        <f>IF(N$3&lt;$I11,0,$G11*Assumptions!$E$11*INDEX(Assumptions!$B$24:$G$24,MIN(6,N$3-$I11+1))*IF(N$3&gt;$J11,(1-Assumptions!$B$26)^(N$3-$J11),1)*IF($H11&gt;=1,1,MIN(0.97,$H11*Assumptions!$E$12)))</f>
        <v>0</v>
      </c>
      <c r="O11" s="23">
        <f>IF(O$3&lt;$I11,0,$G11*Assumptions!$E$11*INDEX(Assumptions!$B$24:$G$24,MIN(6,O$3-$I11+1))*IF(O$3&gt;$J11,(1-Assumptions!$B$26)^(O$3-$J11),1)*IF($H11&gt;=1,1,MIN(0.97,$H11*Assumptions!$E$12)))</f>
        <v>0</v>
      </c>
      <c r="P11" s="23">
        <f>IF(P$3&lt;$I11,0,$G11*Assumptions!$E$11*INDEX(Assumptions!$B$24:$G$24,MIN(6,P$3-$I11+1))*IF(P$3&gt;$J11,(1-Assumptions!$B$26)^(P$3-$J11),1)*IF($H11&gt;=1,1,MIN(0.97,$H11*Assumptions!$E$12)))</f>
        <v>0</v>
      </c>
      <c r="Q11" s="23">
        <f>IF(Q$3&lt;$I11,0,$G11*Assumptions!$E$11*INDEX(Assumptions!$B$24:$G$24,MIN(6,Q$3-$I11+1))*IF(Q$3&gt;$J11,(1-Assumptions!$B$26)^(Q$3-$J11),1)*IF($H11&gt;=1,1,MIN(0.97,$H11*Assumptions!$E$12)))</f>
        <v>0</v>
      </c>
      <c r="R11" s="23">
        <f>IF(R$3&lt;$I11,0,$G11*Assumptions!$E$11*INDEX(Assumptions!$B$24:$G$24,MIN(6,R$3-$I11+1))*IF(R$3&gt;$J11,(1-Assumptions!$B$26)^(R$3-$J11),1)*IF($H11&gt;=1,1,MIN(0.97,$H11*Assumptions!$E$12)))</f>
        <v>0</v>
      </c>
      <c r="S11" s="23">
        <f>IF(S$3&lt;$I11,0,$G11*Assumptions!$E$11*INDEX(Assumptions!$B$24:$G$24,MIN(6,S$3-$I11+1))*IF(S$3&gt;$J11,(1-Assumptions!$B$26)^(S$3-$J11),1)*IF($H11&gt;=1,1,MIN(0.97,$H11*Assumptions!$E$12)))</f>
        <v>0</v>
      </c>
      <c r="T11" s="23">
        <f>IF(T$3&lt;$I11,0,$G11*Assumptions!$E$11*INDEX(Assumptions!$B$24:$G$24,MIN(6,T$3-$I11+1))*IF(T$3&gt;$J11,(1-Assumptions!$B$26)^(T$3-$J11),1)*IF($H11&gt;=1,1,MIN(0.97,$H11*Assumptions!$E$12)))</f>
        <v>13.174999999999999</v>
      </c>
      <c r="U11" s="23">
        <f>IF(U$3&lt;$I11,0,$G11*Assumptions!$E$11*INDEX(Assumptions!$B$24:$G$24,MIN(6,U$3-$I11+1))*IF(U$3&gt;$J11,(1-Assumptions!$B$26)^(U$3-$J11),1)*IF($H11&gt;=1,1,MIN(0.97,$H11*Assumptions!$E$12)))</f>
        <v>32.9375</v>
      </c>
      <c r="V11" s="23">
        <f>IF(V$3&lt;$I11,0,$G11*Assumptions!$E$11*INDEX(Assumptions!$B$24:$G$24,MIN(6,V$3-$I11+1))*IF(V$3&gt;$J11,(1-Assumptions!$B$26)^(V$3-$J11),1)*IF($H11&gt;=1,1,MIN(0.97,$H11*Assumptions!$E$12)))</f>
        <v>59.287499999999994</v>
      </c>
      <c r="W11" s="23">
        <f>IF(W$3&lt;$I11,0,$G11*Assumptions!$E$11*INDEX(Assumptions!$B$24:$G$24,MIN(6,W$3-$I11+1))*IF(W$3&gt;$J11,(1-Assumptions!$B$26)^(W$3-$J11),1)*IF($H11&gt;=1,1,MIN(0.97,$H11*Assumptions!$E$12)))</f>
        <v>85.63749999999999</v>
      </c>
      <c r="X11" s="23">
        <f>IF(X$3&lt;$I11,0,$G11*Assumptions!$E$11*INDEX(Assumptions!$B$24:$G$24,MIN(6,X$3-$I11+1))*IF(X$3&gt;$J11,(1-Assumptions!$B$26)^(X$3-$J11),1)*IF($H11&gt;=1,1,MIN(0.97,$H11*Assumptions!$E$12)))</f>
        <v>111.9875</v>
      </c>
      <c r="Y11" s="23">
        <f>IF(Y$3&lt;$I11,0,$G11*Assumptions!$E$11*INDEX(Assumptions!$B$24:$G$24,MIN(6,Y$3-$I11+1))*IF(Y$3&gt;$J11,(1-Assumptions!$B$26)^(Y$3-$J11),1)*IF($H11&gt;=1,1,MIN(0.97,$H11*Assumptions!$E$12)))</f>
        <v>131.75</v>
      </c>
      <c r="Z11" s="23">
        <f>IF(Z$3&lt;$I11,0,$G11*Assumptions!$E$11*INDEX(Assumptions!$B$24:$G$24,MIN(6,Z$3-$I11+1))*IF(Z$3&gt;$J11,(1-Assumptions!$B$26)^(Z$3-$J11),1)*IF($H11&gt;=1,1,MIN(0.97,$H11*Assumptions!$E$12)))</f>
        <v>131.75</v>
      </c>
      <c r="AA11" s="23">
        <f>IF(AA$3&lt;$I11,0,$G11*Assumptions!$E$11*INDEX(Assumptions!$B$24:$G$24,MIN(6,AA$3-$I11+1))*IF(AA$3&gt;$J11,(1-Assumptions!$B$26)^(AA$3-$J11),1)*IF($H11&gt;=1,1,MIN(0.97,$H11*Assumptions!$E$12)))</f>
        <v>131.75</v>
      </c>
      <c r="AB11" s="23">
        <f>IF(AB$3&lt;$I11,0,$G11*Assumptions!$E$11*INDEX(Assumptions!$B$24:$G$24,MIN(6,AB$3-$I11+1))*IF(AB$3&gt;$J11,(1-Assumptions!$B$26)^(AB$3-$J11),1)*IF($H11&gt;=1,1,MIN(0.97,$H11*Assumptions!$E$12)))</f>
        <v>131.75</v>
      </c>
      <c r="AC11" s="23">
        <f>IF(AC$3&lt;$I11,0,$G11*Assumptions!$E$11*INDEX(Assumptions!$B$24:$G$24,MIN(6,AC$3-$I11+1))*IF(AC$3&gt;$J11,(1-Assumptions!$B$26)^(AC$3-$J11),1)*IF($H11&gt;=1,1,MIN(0.97,$H11*Assumptions!$E$12)))</f>
        <v>131.75</v>
      </c>
      <c r="AD11" s="23">
        <f>IF(AD$3&lt;$I11,0,$G11*Assumptions!$E$11*INDEX(Assumptions!$B$24:$G$24,MIN(6,AD$3-$I11+1))*IF(AD$3&gt;$J11,(1-Assumptions!$B$26)^(AD$3-$J11),1)*IF($H11&gt;=1,1,MIN(0.97,$H11*Assumptions!$E$12)))</f>
        <v>131.75</v>
      </c>
      <c r="AE11" s="23">
        <f>IF(AE$3&lt;$I11,0,$G11*Assumptions!$E$11*INDEX(Assumptions!$B$24:$G$24,MIN(6,AE$3-$I11+1))*IF(AE$3&gt;$J11,(1-Assumptions!$B$26)^(AE$3-$J11),1)*IF($H11&gt;=1,1,MIN(0.97,$H11*Assumptions!$E$12)))</f>
        <v>131.75</v>
      </c>
      <c r="AF11" s="23">
        <f>IF(AF$3&lt;$I11,0,$G11*Assumptions!$E$11*INDEX(Assumptions!$B$24:$G$24,MIN(6,AF$3-$I11+1))*IF(AF$3&gt;$J11,(1-Assumptions!$B$26)^(AF$3-$J11),1)*IF($H11&gt;=1,1,MIN(0.97,$H11*Assumptions!$E$12)))</f>
        <v>131.75</v>
      </c>
      <c r="AG11" s="35">
        <f>IF(F11="Owned",1-IF(H11&gt;=1,1,MIN(0.97,H11*Assumptions!$E$12)),1)</f>
        <v>0.9473</v>
      </c>
    </row>
    <row r="12">
      <c r="B12" s="24" t="inlineStr">
        <is>
          <t>Risked revenue</t>
        </is>
      </c>
      <c r="L12" s="54">
        <f>SUM(L4:L11)</f>
        <v>4110.224565537959</v>
      </c>
      <c r="M12" s="54">
        <f>SUM(M4:M11)</f>
        <v>0.0</v>
      </c>
      <c r="N12" s="54">
        <f>SUM(N4:N11)</f>
        <v>0.0</v>
      </c>
      <c r="O12" s="54">
        <f>SUM(O4:O11)</f>
        <v>0.0</v>
      </c>
      <c r="P12" s="54">
        <f>SUM(P4:P11)</f>
        <v>101.754</v>
      </c>
      <c r="Q12" s="54">
        <f>SUM(Q4:Q11)</f>
        <v>371.68600000000004</v>
      </c>
      <c r="R12" s="54">
        <f>SUM(R4:R11)</f>
        <v>842.3335</v>
      </c>
      <c r="S12" s="54">
        <f>SUM(S4:S11)</f>
        <v>1417.2255</v>
      </c>
      <c r="T12" s="54">
        <f>SUM(T4:T11)</f>
        <v>2050.8865</v>
      </c>
      <c r="U12" s="54">
        <f>SUM(U4:U11)</f>
        <v>2640.258</v>
      </c>
      <c r="V12" s="54">
        <f>SUM(V4:V11)</f>
        <v>3024.9355</v>
      </c>
      <c r="W12" s="54">
        <f>SUM(W4:W11)</f>
        <v>3188.0674999999997</v>
      </c>
      <c r="X12" s="54">
        <f>SUM(X4:X11)</f>
        <v>3214.4174999999996</v>
      </c>
      <c r="Y12" s="54">
        <f>SUM(Y4:Y11)</f>
        <v>3234.1799999999994</v>
      </c>
      <c r="Z12" s="54">
        <f>SUM(Z4:Z11)</f>
        <v>3234.1799999999994</v>
      </c>
      <c r="AA12" s="54">
        <f>SUM(AA4:AA11)</f>
        <v>3234.1799999999994</v>
      </c>
      <c r="AB12" s="54">
        <f>SUM(AB4:AB11)</f>
        <v>3234.1799999999994</v>
      </c>
      <c r="AC12" s="54">
        <f>SUM(AC4:AC11)</f>
        <v>2725.41</v>
      </c>
      <c r="AD12" s="54">
        <f>SUM(AD4:AD11)</f>
        <v>1884.52</v>
      </c>
      <c r="AE12" s="54">
        <f>SUM(AE4:AE11)</f>
        <v>1008.135</v>
      </c>
      <c r="AF12" s="54">
        <f>SUM(AF4:AF11)</f>
        <v>569.9425</v>
      </c>
    </row>
    <row r="13">
      <c r="B13" s="24" t="inlineStr">
        <is>
          <t>Risked contribution (revenue x share)</t>
        </is>
      </c>
      <c r="M13" s="55">
        <f>SUMPRODUCT(M4:M11,$K$4:$K$11)</f>
        <v>0.0</v>
      </c>
      <c r="N13" s="55">
        <f>SUMPRODUCT(N4:N11,$K$4:$K$11)</f>
        <v>0.0</v>
      </c>
      <c r="O13" s="55">
        <f>SUMPRODUCT(O4:O11,$K$4:$K$11)</f>
        <v>0.0</v>
      </c>
      <c r="P13" s="55">
        <f>SUMPRODUCT(P4:P11,$K$4:$K$11)</f>
        <v>40.7016</v>
      </c>
      <c r="Q13" s="55">
        <f>SUMPRODUCT(Q4:Q11,$K$4:$K$11)</f>
        <v>148.67440000000002</v>
      </c>
      <c r="R13" s="55">
        <f>SUMPRODUCT(R4:R11,$K$4:$K$11)</f>
        <v>336.93340000000006</v>
      </c>
      <c r="S13" s="55">
        <f>SUMPRODUCT(S4:S11,$K$4:$K$11)</f>
        <v>566.8902</v>
      </c>
      <c r="T13" s="55">
        <f>SUMPRODUCT(T4:T11,$K$4:$K$11)</f>
        <v>820.3546000000001</v>
      </c>
      <c r="U13" s="55">
        <f>SUMPRODUCT(U4:U11,$K$4:$K$11)</f>
        <v>1056.1032</v>
      </c>
      <c r="V13" s="55">
        <f>SUMPRODUCT(V4:V11,$K$4:$K$11)</f>
        <v>1209.9742</v>
      </c>
      <c r="W13" s="55">
        <f>SUMPRODUCT(W4:W11,$K$4:$K$11)</f>
        <v>1275.2269999999999</v>
      </c>
      <c r="X13" s="55">
        <f>SUMPRODUCT(X4:X11,$K$4:$K$11)</f>
        <v>1285.767</v>
      </c>
      <c r="Y13" s="55">
        <f>SUMPRODUCT(Y4:Y11,$K$4:$K$11)</f>
        <v>1293.672</v>
      </c>
      <c r="Z13" s="55">
        <f>SUMPRODUCT(Z4:Z11,$K$4:$K$11)</f>
        <v>1293.672</v>
      </c>
      <c r="AA13" s="55">
        <f>SUMPRODUCT(AA4:AA11,$K$4:$K$11)</f>
        <v>1293.672</v>
      </c>
      <c r="AB13" s="55">
        <f>SUMPRODUCT(AB4:AB11,$K$4:$K$11)</f>
        <v>1293.672</v>
      </c>
      <c r="AC13" s="55">
        <f>SUMPRODUCT(AC4:AC11,$K$4:$K$11)</f>
        <v>1090.164</v>
      </c>
      <c r="AD13" s="55">
        <f>SUMPRODUCT(AD4:AD11,$K$4:$K$11)</f>
        <v>753.808</v>
      </c>
      <c r="AE13" s="55">
        <f>SUMPRODUCT(AE4:AE11,$K$4:$K$11)</f>
        <v>403.254</v>
      </c>
      <c r="AF13" s="55">
        <f>SUMPRODUCT(AF4:AF11,$K$4:$K$11)</f>
        <v>227.977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Biohaven Ltd.: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Pipeline!M12</f>
        <v>0.0</v>
      </c>
      <c r="D4" s="57">
        <f>Pipeline!N12</f>
        <v>0.0</v>
      </c>
      <c r="E4" s="57">
        <f>Pipeline!O12</f>
        <v>0.0</v>
      </c>
      <c r="F4" s="57">
        <f>Pipeline!P12</f>
        <v>101.754</v>
      </c>
      <c r="G4" s="57">
        <f>Pipeline!Q12</f>
        <v>371.68600000000004</v>
      </c>
      <c r="H4" s="57">
        <f>Pipeline!R12</f>
        <v>842.3335</v>
      </c>
      <c r="I4" s="57">
        <f>Pipeline!S12</f>
        <v>1417.2255</v>
      </c>
      <c r="J4" s="57">
        <f>Pipeline!T12</f>
        <v>2050.8865</v>
      </c>
      <c r="K4" s="57">
        <f>Pipeline!U12</f>
        <v>2640.258</v>
      </c>
      <c r="L4" s="57">
        <f>Pipeline!V12</f>
        <v>3024.9355</v>
      </c>
      <c r="M4" s="57">
        <f>Pipeline!W12</f>
        <v>3188.0674999999997</v>
      </c>
      <c r="N4" s="57">
        <f>Pipeline!X12</f>
        <v>3214.4174999999996</v>
      </c>
      <c r="O4" s="57">
        <f>Pipeline!Y12</f>
        <v>3234.1799999999994</v>
      </c>
      <c r="P4" s="57">
        <f>Pipeline!Z12</f>
        <v>3234.1799999999994</v>
      </c>
      <c r="Q4" s="57">
        <f>Pipeline!AA12</f>
        <v>3234.1799999999994</v>
      </c>
      <c r="R4" s="57">
        <f>Pipeline!AB12</f>
        <v>3234.1799999999994</v>
      </c>
      <c r="S4" s="57">
        <f>Pipeline!AC12</f>
        <v>2725.41</v>
      </c>
      <c r="T4" s="57">
        <f>Pipeline!AD12</f>
        <v>1884.52</v>
      </c>
      <c r="U4" s="57">
        <f>Pipeline!AE12</f>
        <v>1008.135</v>
      </c>
      <c r="V4" s="57">
        <f>Pipeline!AF12</f>
        <v>569.9425</v>
      </c>
    </row>
    <row r="5">
      <c r="A5" s="14" t="inlineStr">
        <is>
          <t>Risked contribution</t>
        </is>
      </c>
      <c r="C5" s="57">
        <f>Pipeline!M13</f>
        <v>0.0</v>
      </c>
      <c r="D5" s="57">
        <f>Pipeline!N13</f>
        <v>0.0</v>
      </c>
      <c r="E5" s="57">
        <f>Pipeline!O13</f>
        <v>0.0</v>
      </c>
      <c r="F5" s="57">
        <f>Pipeline!P13</f>
        <v>40.7016</v>
      </c>
      <c r="G5" s="57">
        <f>Pipeline!Q13</f>
        <v>148.67440000000002</v>
      </c>
      <c r="H5" s="57">
        <f>Pipeline!R13</f>
        <v>336.93340000000006</v>
      </c>
      <c r="I5" s="57">
        <f>Pipeline!S13</f>
        <v>566.8902</v>
      </c>
      <c r="J5" s="57">
        <f>Pipeline!T13</f>
        <v>820.3546000000001</v>
      </c>
      <c r="K5" s="57">
        <f>Pipeline!U13</f>
        <v>1056.1032</v>
      </c>
      <c r="L5" s="57">
        <f>Pipeline!V13</f>
        <v>1209.9742</v>
      </c>
      <c r="M5" s="57">
        <f>Pipeline!W13</f>
        <v>1275.2269999999999</v>
      </c>
      <c r="N5" s="57">
        <f>Pipeline!X13</f>
        <v>1285.767</v>
      </c>
      <c r="O5" s="57">
        <f>Pipeline!Y13</f>
        <v>1293.672</v>
      </c>
      <c r="P5" s="57">
        <f>Pipeline!Z13</f>
        <v>1293.672</v>
      </c>
      <c r="Q5" s="57">
        <f>Pipeline!AA13</f>
        <v>1293.672</v>
      </c>
      <c r="R5" s="57">
        <f>Pipeline!AB13</f>
        <v>1293.672</v>
      </c>
      <c r="S5" s="57">
        <f>Pipeline!AC13</f>
        <v>1090.164</v>
      </c>
      <c r="T5" s="57">
        <f>Pipeline!AD13</f>
        <v>753.808</v>
      </c>
      <c r="U5" s="57">
        <f>Pipeline!AE13</f>
        <v>403.254</v>
      </c>
      <c r="V5" s="57">
        <f>Pipeline!AF13</f>
        <v>227.977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-567.443</v>
      </c>
      <c r="D6" s="23">
        <f>-IF(D3-2026&lt;Assumptions!$B$19,Assumptions!$B$18,Assumptions!$B$18*Assumptions!$B$20*Assumptions!$B$16)</f>
        <v>-567.443</v>
      </c>
      <c r="E6" s="23">
        <f>-IF(E3-2026&lt;Assumptions!$B$19,Assumptions!$B$18,Assumptions!$B$18*Assumptions!$B$20*Assumptions!$B$16)</f>
        <v>-567.443</v>
      </c>
      <c r="F6" s="23">
        <f>-IF(F3-2026&lt;Assumptions!$B$19,Assumptions!$B$18,Assumptions!$B$18*Assumptions!$B$20*Assumptions!$B$16)</f>
        <v>-160.28915068294307</v>
      </c>
      <c r="G6" s="23">
        <f>-IF(G3-2026&lt;Assumptions!$B$19,Assumptions!$B$18,Assumptions!$B$18*Assumptions!$B$20*Assumptions!$B$16)</f>
        <v>-160.28915068294307</v>
      </c>
      <c r="H6" s="23">
        <f>-IF(H3-2026&lt;Assumptions!$B$19,Assumptions!$B$18,Assumptions!$B$18*Assumptions!$B$20*Assumptions!$B$16)</f>
        <v>-160.28915068294307</v>
      </c>
      <c r="I6" s="23">
        <f>-IF(I3-2026&lt;Assumptions!$B$19,Assumptions!$B$18,Assumptions!$B$18*Assumptions!$B$20*Assumptions!$B$16)</f>
        <v>-160.28915068294307</v>
      </c>
      <c r="J6" s="23">
        <f>-IF(J3-2026&lt;Assumptions!$B$19,Assumptions!$B$18,Assumptions!$B$18*Assumptions!$B$20*Assumptions!$B$16)</f>
        <v>-160.28915068294307</v>
      </c>
      <c r="K6" s="23">
        <f>-IF(K3-2026&lt;Assumptions!$B$19,Assumptions!$B$18,Assumptions!$B$18*Assumptions!$B$20*Assumptions!$B$16)</f>
        <v>-160.28915068294307</v>
      </c>
      <c r="L6" s="23">
        <f>-IF(L3-2026&lt;Assumptions!$B$19,Assumptions!$B$18,Assumptions!$B$18*Assumptions!$B$20*Assumptions!$B$16)</f>
        <v>-160.28915068294307</v>
      </c>
      <c r="M6" s="23">
        <f>-IF(M3-2026&lt;Assumptions!$B$19,Assumptions!$B$18,Assumptions!$B$18*Assumptions!$B$20*Assumptions!$B$16)</f>
        <v>-160.28915068294307</v>
      </c>
      <c r="N6" s="23">
        <f>-IF(N3-2026&lt;Assumptions!$B$19,Assumptions!$B$18,Assumptions!$B$18*Assumptions!$B$20*Assumptions!$B$16)</f>
        <v>-160.28915068294307</v>
      </c>
      <c r="O6" s="23">
        <f>-IF(O3-2026&lt;Assumptions!$B$19,Assumptions!$B$18,Assumptions!$B$18*Assumptions!$B$20*Assumptions!$B$16)</f>
        <v>-160.28915068294307</v>
      </c>
      <c r="P6" s="23">
        <f>-IF(P3-2026&lt;Assumptions!$B$19,Assumptions!$B$18,Assumptions!$B$18*Assumptions!$B$20*Assumptions!$B$16)</f>
        <v>-160.28915068294307</v>
      </c>
      <c r="Q6" s="23">
        <f>-IF(Q3-2026&lt;Assumptions!$B$19,Assumptions!$B$18,Assumptions!$B$18*Assumptions!$B$20*Assumptions!$B$16)</f>
        <v>-160.28915068294307</v>
      </c>
      <c r="R6" s="23">
        <f>-IF(R3-2026&lt;Assumptions!$B$19,Assumptions!$B$18,Assumptions!$B$18*Assumptions!$B$20*Assumptions!$B$16)</f>
        <v>-160.28915068294307</v>
      </c>
      <c r="S6" s="23">
        <f>-IF(S3-2026&lt;Assumptions!$B$19,Assumptions!$B$18,Assumptions!$B$18*Assumptions!$B$20*Assumptions!$B$16)</f>
        <v>-160.28915068294307</v>
      </c>
      <c r="T6" s="23">
        <f>-IF(T3-2026&lt;Assumptions!$B$19,Assumptions!$B$18,Assumptions!$B$18*Assumptions!$B$20*Assumptions!$B$16)</f>
        <v>-160.28915068294307</v>
      </c>
      <c r="U6" s="23">
        <f>-IF(U3-2026&lt;Assumptions!$B$19,Assumptions!$B$18,Assumptions!$B$18*Assumptions!$B$20*Assumptions!$B$16)</f>
        <v>-160.28915068294307</v>
      </c>
      <c r="V6" s="23">
        <f>-IF(V3-2026&lt;Assumptions!$B$19,Assumptions!$B$18,Assumptions!$B$18*Assumptions!$B$20*Assumptions!$B$16)</f>
        <v>-160.28915068294307</v>
      </c>
    </row>
    <row r="7">
      <c r="A7" s="14" t="inlineStr">
        <is>
          <t>Pre-tax cash flow</t>
        </is>
      </c>
      <c r="C7" s="23">
        <f>C5+C6</f>
        <v>-567.443</v>
      </c>
      <c r="D7" s="23">
        <f>D5+D6</f>
        <v>-567.443</v>
      </c>
      <c r="E7" s="23">
        <f>E5+E6</f>
        <v>-567.443</v>
      </c>
      <c r="F7" s="23">
        <f>F5+F6</f>
        <v>-119.58755068294307</v>
      </c>
      <c r="G7" s="23">
        <f>G5+G6</f>
        <v>-11.614750682943054</v>
      </c>
      <c r="H7" s="23">
        <f>H5+H6</f>
        <v>176.644249317057</v>
      </c>
      <c r="I7" s="23">
        <f>I5+I6</f>
        <v>406.601049317057</v>
      </c>
      <c r="J7" s="23">
        <f>J5+J6</f>
        <v>660.0654493170571</v>
      </c>
      <c r="K7" s="23">
        <f>K5+K6</f>
        <v>895.814049317057</v>
      </c>
      <c r="L7" s="23">
        <f>L5+L6</f>
        <v>1049.685049317057</v>
      </c>
      <c r="M7" s="23">
        <f>M5+M6</f>
        <v>1114.9378493170568</v>
      </c>
      <c r="N7" s="23">
        <f>N5+N6</f>
        <v>1125.477849317057</v>
      </c>
      <c r="O7" s="23">
        <f>O5+O6</f>
        <v>1133.382849317057</v>
      </c>
      <c r="P7" s="23">
        <f>P5+P6</f>
        <v>1133.382849317057</v>
      </c>
      <c r="Q7" s="23">
        <f>Q5+Q6</f>
        <v>1133.382849317057</v>
      </c>
      <c r="R7" s="23">
        <f>R5+R6</f>
        <v>1133.382849317057</v>
      </c>
      <c r="S7" s="23">
        <f>S5+S6</f>
        <v>929.8748493170569</v>
      </c>
      <c r="T7" s="23">
        <f>T5+T6</f>
        <v>593.518849317057</v>
      </c>
      <c r="U7" s="23">
        <f>U5+U6</f>
        <v>242.96484931705695</v>
      </c>
      <c r="V7" s="23">
        <f>V5+V6</f>
        <v>67.68784931705693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176.644249317057</v>
      </c>
      <c r="I8" s="23">
        <f>MIN(H17,MAX(0,I7))</f>
        <v>406.601049317057</v>
      </c>
      <c r="J8" s="23">
        <f>MIN(I17,MAX(0,J7))</f>
        <v>660.0654493170571</v>
      </c>
      <c r="K8" s="23">
        <f>MIN(J17,MAX(0,K7))</f>
        <v>895.814049317057</v>
      </c>
      <c r="L8" s="23">
        <f>MIN(K17,MAX(0,L7))</f>
        <v>1049.685049317057</v>
      </c>
      <c r="M8" s="23">
        <f>MIN(L17,MAX(0,M7))</f>
        <v>1114.9378493170568</v>
      </c>
      <c r="N8" s="23">
        <f>MIN(M17,MAX(0,N7))</f>
        <v>425.98360546354525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699.4942438535118</v>
      </c>
      <c r="O9" s="23">
        <f>MAX(0,O7)-O8</f>
        <v>1133.382849317057</v>
      </c>
      <c r="P9" s="23">
        <f>MAX(0,P7)-P8</f>
        <v>1133.382849317057</v>
      </c>
      <c r="Q9" s="23">
        <f>MAX(0,Q7)-Q8</f>
        <v>1133.382849317057</v>
      </c>
      <c r="R9" s="23">
        <f>MAX(0,R7)-R8</f>
        <v>1133.382849317057</v>
      </c>
      <c r="S9" s="23">
        <f>MAX(0,S7)-S8</f>
        <v>929.8748493170569</v>
      </c>
      <c r="T9" s="23">
        <f>MAX(0,T7)-T8</f>
        <v>593.518849317057</v>
      </c>
      <c r="U9" s="23">
        <f>MAX(0,U7)-U8</f>
        <v>242.96484931705695</v>
      </c>
      <c r="V9" s="23">
        <f>MAX(0,V7)-V8</f>
        <v>67.68784931705693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146.89379120923746</v>
      </c>
      <c r="O10" s="23">
        <f>O9*Assumptions!$E$15</f>
        <v>238.01039835658196</v>
      </c>
      <c r="P10" s="23">
        <f>P9*Assumptions!$E$15</f>
        <v>238.01039835658196</v>
      </c>
      <c r="Q10" s="23">
        <f>Q9*Assumptions!$E$15</f>
        <v>238.01039835658196</v>
      </c>
      <c r="R10" s="23">
        <f>R9*Assumptions!$E$15</f>
        <v>238.01039835658196</v>
      </c>
      <c r="S10" s="23">
        <f>S9*Assumptions!$E$15</f>
        <v>195.27371835658195</v>
      </c>
      <c r="T10" s="23">
        <f>T9*Assumptions!$E$15</f>
        <v>124.63895835658195</v>
      </c>
      <c r="U10" s="23">
        <f>U9*Assumptions!$E$15</f>
        <v>51.02261835658196</v>
      </c>
      <c r="V10" s="23">
        <f>V9*Assumptions!$E$15</f>
        <v>14.214448356581954</v>
      </c>
    </row>
    <row r="11">
      <c r="A11" s="24" t="inlineStr">
        <is>
          <t>Free cash flow</t>
        </is>
      </c>
      <c r="C11" s="55">
        <f>C7-C10</f>
        <v>-567.443</v>
      </c>
      <c r="D11" s="55">
        <f>D7-D10</f>
        <v>-567.443</v>
      </c>
      <c r="E11" s="55">
        <f>E7-E10</f>
        <v>-567.443</v>
      </c>
      <c r="F11" s="55">
        <f>F7-F10</f>
        <v>-119.58755068294307</v>
      </c>
      <c r="G11" s="55">
        <f>G7-G10</f>
        <v>-11.614750682943054</v>
      </c>
      <c r="H11" s="55">
        <f>H7-H10</f>
        <v>176.644249317057</v>
      </c>
      <c r="I11" s="55">
        <f>I7-I10</f>
        <v>406.601049317057</v>
      </c>
      <c r="J11" s="55">
        <f>J7-J10</f>
        <v>660.0654493170571</v>
      </c>
      <c r="K11" s="55">
        <f>K7-K10</f>
        <v>895.814049317057</v>
      </c>
      <c r="L11" s="55">
        <f>L7-L10</f>
        <v>1049.685049317057</v>
      </c>
      <c r="M11" s="55">
        <f>M7-M10</f>
        <v>1114.9378493170568</v>
      </c>
      <c r="N11" s="55">
        <f>N7-N10</f>
        <v>978.5840581078196</v>
      </c>
      <c r="O11" s="55">
        <f>O7-O10</f>
        <v>895.372450960475</v>
      </c>
      <c r="P11" s="55">
        <f>P7-P10</f>
        <v>895.372450960475</v>
      </c>
      <c r="Q11" s="55">
        <f>Q7-Q10</f>
        <v>895.372450960475</v>
      </c>
      <c r="R11" s="55">
        <f>R7-R10</f>
        <v>895.372450960475</v>
      </c>
      <c r="S11" s="55">
        <f>S7-S10</f>
        <v>734.601130960475</v>
      </c>
      <c r="T11" s="55">
        <f>T7-T10</f>
        <v>468.879890960475</v>
      </c>
      <c r="U11" s="55">
        <f>U7-U10</f>
        <v>191.942230960475</v>
      </c>
      <c r="V11" s="55">
        <f>V7-V10</f>
        <v>53.473400960474976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-277.99279351792643</v>
      </c>
      <c r="D16" s="55">
        <f>D11*D15</f>
        <v>-506.4101787603786</v>
      </c>
      <c r="E16" s="55">
        <f>E11*E15</f>
        <v>-452.15194532176645</v>
      </c>
      <c r="F16" s="55">
        <f>F11*F15</f>
        <v>-85.08051481690366</v>
      </c>
      <c r="G16" s="55">
        <f>G11*G15</f>
        <v>-7.377955089413931</v>
      </c>
      <c r="H16" s="55">
        <f>H11*H15</f>
        <v>100.18612890878383</v>
      </c>
      <c r="I16" s="55">
        <f>I11*I15</f>
        <v>205.9010518256041</v>
      </c>
      <c r="J16" s="55">
        <f>J11*J15</f>
        <v>298.4413857716627</v>
      </c>
      <c r="K16" s="55">
        <f>K11*K15</f>
        <v>361.636197468482</v>
      </c>
      <c r="L16" s="55">
        <f>L11*L15</f>
        <v>378.35111106876934</v>
      </c>
      <c r="M16" s="55">
        <f>M11*M15</f>
        <v>358.81338741982955</v>
      </c>
      <c r="N16" s="55">
        <f>N11*N15</f>
        <v>281.188848473058</v>
      </c>
      <c r="O16" s="55">
        <f>O11*O15</f>
        <v>229.71304665189734</v>
      </c>
      <c r="P16" s="55">
        <f>P11*P15</f>
        <v>205.1009345106226</v>
      </c>
      <c r="Q16" s="55">
        <f>Q11*Q15</f>
        <v>183.12583438448448</v>
      </c>
      <c r="R16" s="55">
        <f>R11*R15</f>
        <v>163.50520927186113</v>
      </c>
      <c r="S16" s="55">
        <f>S11*S15</f>
        <v>119.77369178302949</v>
      </c>
      <c r="T16" s="55">
        <f>T11*T15</f>
        <v>68.25797941838411</v>
      </c>
      <c r="U16" s="55">
        <f>U11*U15</f>
        <v>24.94849408856403</v>
      </c>
      <c r="V16" s="55">
        <f>V11*V15</f>
        <v>6.205740082585705</v>
      </c>
    </row>
    <row r="17">
      <c r="A17" s="14" t="inlineStr">
        <is>
          <t>Tax-loss carryforward, end of year</t>
        </is>
      </c>
      <c r="C17" s="23">
        <f>Assumptions!$B$21-C8+MAX(0,-C7)</f>
        <v>3463.643</v>
      </c>
      <c r="D17" s="23">
        <f>C17-D8+MAX(0,-D7)</f>
        <v>4031.0860000000002</v>
      </c>
      <c r="E17" s="23">
        <f>D17-E8+MAX(0,-E7)</f>
        <v>4598.529</v>
      </c>
      <c r="F17" s="23">
        <f>E17-F8+MAX(0,-F7)</f>
        <v>4718.116550682944</v>
      </c>
      <c r="G17" s="23">
        <f>F17-G8+MAX(0,-G7)</f>
        <v>4729.731301365887</v>
      </c>
      <c r="H17" s="23">
        <f>G17-H8+MAX(0,-H7)</f>
        <v>4553.08705204883</v>
      </c>
      <c r="I17" s="23">
        <f>H17-I8+MAX(0,-I7)</f>
        <v>4146.486002731773</v>
      </c>
      <c r="J17" s="23">
        <f>I17-J8+MAX(0,-J7)</f>
        <v>3486.420553414716</v>
      </c>
      <c r="K17" s="23">
        <f>J17-K8+MAX(0,-K7)</f>
        <v>2590.606504097659</v>
      </c>
      <c r="L17" s="23">
        <f>K17-L8+MAX(0,-L7)</f>
        <v>1540.921454780602</v>
      </c>
      <c r="M17" s="23">
        <f>L17-M8+MAX(0,-M7)</f>
        <v>425.98360546354525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4110.224565537959</v>
      </c>
    </row>
    <row r="20">
      <c r="A20" s="14" t="inlineStr">
        <is>
          <t>PV of corporate burn</t>
        </is>
      </c>
      <c r="B20" s="23">
        <f>SUMPRODUCT(C6:V6,C15:V15)</f>
        <v>-2145.8895734657494</v>
      </c>
    </row>
    <row r="21">
      <c r="A21" s="14" t="inlineStr">
        <is>
          <t>PV of taxes</t>
        </is>
      </c>
      <c r="B21" s="23">
        <f>-SUMPRODUCT(C10:V10,C15:V15)</f>
        <v>-308.19933845098046</v>
      </c>
    </row>
    <row r="22">
      <c r="A22" s="24" t="inlineStr">
        <is>
          <t>Pipeline rNPV (operations)</t>
        </is>
      </c>
      <c r="B22" s="54">
        <f>SUM(C16:V16)</f>
        <v>1656.1356536212295</v>
      </c>
    </row>
    <row r="23">
      <c r="A23" s="14" t="inlineStr">
        <is>
          <t>Cash &amp; investments</t>
        </is>
      </c>
      <c r="B23" s="57">
        <f>Main!C7</f>
        <v>267.866</v>
      </c>
    </row>
    <row r="24">
      <c r="A24" s="14" t="inlineStr">
        <is>
          <t>Debt</t>
        </is>
      </c>
      <c r="B24" s="57">
        <f>Main!C8</f>
        <v>259.48</v>
      </c>
    </row>
    <row r="25">
      <c r="A25" s="24" t="inlineStr">
        <is>
          <t>Equity value</t>
        </is>
      </c>
      <c r="B25" s="54">
        <f>B22+B23-B24</f>
        <v>1664.5216536212295</v>
      </c>
    </row>
    <row r="26">
      <c r="A26" s="14" t="inlineStr">
        <is>
          <t>Shares (mm)</t>
        </is>
      </c>
      <c r="B26" s="57">
        <f>Main!C4</f>
        <v>151.043781</v>
      </c>
    </row>
    <row r="27">
      <c r="A27" s="24" t="inlineStr">
        <is>
          <t>rNPV / share</t>
        </is>
      </c>
      <c r="B27" s="60">
        <f>B25/B26</f>
        <v>11.020127029402353</v>
      </c>
    </row>
    <row r="28">
      <c r="A28" s="14" t="inlineStr">
        <is>
          <t>Price</t>
        </is>
      </c>
      <c r="B28" s="61">
        <f>Main!C3</f>
        <v>11.82</v>
      </c>
    </row>
    <row r="29">
      <c r="A29" s="14" t="inlineStr">
        <is>
          <t>Upside</t>
        </is>
      </c>
      <c r="B29" s="62">
        <f>B27/B28-1</f>
        <v>-0.06767114810470787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2026-10-21T06:22:54Z</dcterms:modified>
  <cp:lastModifiedBy>Wang, Eric</cp:lastModifiedBy>
</cp:coreProperties>
</file>