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ADMA Biologics, Inc.</t>
        </is>
      </c>
      <c r="C2" s="10" t="n"/>
    </row>
    <row r="3">
      <c r="B3" t="inlineStr">
        <is>
          <t>Price</t>
        </is>
      </c>
      <c r="C3" s="11">
        <f>INDEX([1]Pharma!$F$1:$F$1000,MATCH("ADMA",[1]Pharma!$B$1:$B$1000,0))</f>
        <v>11.23</v>
      </c>
      <c r="F3" s="1" t="n"/>
    </row>
    <row r="4">
      <c r="B4" t="inlineStr">
        <is>
          <t>Shares</t>
        </is>
      </c>
      <c r="C4" s="51" t="n">
        <v>223.98468</v>
      </c>
      <c r="F4" s="1" t="n"/>
    </row>
    <row r="5">
      <c r="B5" t="inlineStr">
        <is>
          <t>Market Cap.</t>
        </is>
      </c>
      <c r="C5" s="13">
        <f>C3*C4</f>
        <v>2515.3479564</v>
      </c>
      <c r="F5" s="1" t="n"/>
    </row>
    <row r="6"/>
    <row r="7">
      <c r="B7" t="inlineStr">
        <is>
          <t>Cash</t>
        </is>
      </c>
      <c r="C7" s="51" t="n">
        <v>136.02</v>
      </c>
    </row>
    <row r="8">
      <c r="B8" t="inlineStr">
        <is>
          <t>Debt</t>
        </is>
      </c>
      <c r="C8" s="51">
        <f>3.75+192.839</f>
        <v>196.589</v>
      </c>
    </row>
    <row r="9">
      <c r="B9" t="inlineStr">
        <is>
          <t>Enterprise V.</t>
        </is>
      </c>
      <c r="C9" s="13">
        <f>C5-C7+C8</f>
        <v>2575.9169564</v>
      </c>
    </row>
    <row r="10"/>
    <row r="11">
      <c r="B11" s="14" t="inlineStr">
        <is>
          <t>NPV / Share</t>
        </is>
      </c>
      <c r="C11" s="11">
        <f>NPV!B28</f>
        <v>7.907532460597641</v>
      </c>
    </row>
    <row r="12">
      <c r="B12" s="14" t="inlineStr">
        <is>
          <t>Upside</t>
        </is>
      </c>
      <c r="C12" s="15">
        <f>IFERROR(C11/C3-1,"")</f>
        <v>-0.29585641490671055</v>
      </c>
    </row>
    <row r="13">
      <c r="B13" s="14" t="inlineStr">
        <is>
          <t>Cash / Share</t>
        </is>
      </c>
      <c r="C13" s="11">
        <f>IFERROR((C7-C8)/C4,"")</f>
        <v>-0.27041581593884007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0.761</v>
      </c>
      <c r="G2" s="52" t="n">
        <v>1.118</v>
      </c>
      <c r="H2" s="52" t="n">
        <v>3.068</v>
      </c>
      <c r="I2" s="52" t="n">
        <v>5.916</v>
      </c>
      <c r="J2" s="52" t="n">
        <v>7.178</v>
      </c>
      <c r="K2" s="52" t="n">
        <v>10.661</v>
      </c>
      <c r="L2" s="52" t="n">
        <v>22.761</v>
      </c>
      <c r="M2" s="52" t="n">
        <v>16.985</v>
      </c>
      <c r="N2" s="52" t="n">
        <v>29.349</v>
      </c>
      <c r="O2" s="52" t="n">
        <v>42.22</v>
      </c>
      <c r="P2" s="52" t="n">
        <v>80.943</v>
      </c>
      <c r="Q2" s="52" t="n">
        <v>154.08</v>
      </c>
      <c r="R2" s="52" t="n">
        <v>258.215</v>
      </c>
      <c r="S2" s="52" t="n">
        <v>426.454</v>
      </c>
      <c r="T2" s="52" t="n">
        <v>510.173</v>
      </c>
      <c r="U2" s="52">
        <f>T2*(1+NPV!C5)</f>
        <v>514.7135397</v>
      </c>
      <c r="V2" s="52">
        <f>U2*(1+NPV!D5)</f>
        <v>520.21525553546</v>
      </c>
      <c r="W2" s="52">
        <f>V2*(1+NPV!E5)</f>
        <v>526.7063858906413</v>
      </c>
      <c r="X2" s="52">
        <f>W2*(1+NPV!F5)</f>
        <v>534.2207303293478</v>
      </c>
      <c r="Y2" s="52">
        <f>X2*(1+NPV!G5)</f>
        <v>542.7979409440801</v>
      </c>
      <c r="Z2" s="52">
        <f>Y2*(1+NPV!H5)</f>
        <v>552.4838686458156</v>
      </c>
      <c r="AA2" s="52">
        <f>Z2*(1+NPV!I5)</f>
        <v>563.3309686002285</v>
      </c>
      <c r="AB2" s="52">
        <f>AA2*(1+NPV!J5)</f>
        <v>575.3987697942423</v>
      </c>
      <c r="AC2" s="52">
        <f>AB2*(1+NPV!K5)</f>
        <v>588.7544145731331</v>
      </c>
      <c r="AD2" s="52">
        <f>AC2*(1+NPV!L5)</f>
        <v>603.4732749374614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0.208</v>
      </c>
      <c r="G3" s="52" t="n">
        <v>0.669</v>
      </c>
      <c r="H3" s="52" t="n">
        <v>2.023</v>
      </c>
      <c r="I3" s="52" t="n">
        <v>3.742</v>
      </c>
      <c r="J3" s="52" t="n">
        <v>4.311</v>
      </c>
      <c r="K3" s="52" t="n">
        <v>6.361</v>
      </c>
      <c r="L3" s="52" t="n">
        <v>29.164</v>
      </c>
      <c r="M3" s="52" t="n">
        <v>42.195</v>
      </c>
      <c r="N3" s="52" t="n">
        <v>39.504</v>
      </c>
      <c r="O3" s="52" t="n">
        <v>61.291</v>
      </c>
      <c r="P3" s="52" t="n">
        <v>79.77</v>
      </c>
      <c r="Q3" s="52" t="n">
        <v>118.815</v>
      </c>
      <c r="R3" s="52" t="n">
        <v>169.273</v>
      </c>
      <c r="S3" s="52" t="n">
        <v>206.901</v>
      </c>
      <c r="T3" s="52" t="n">
        <v>217.408</v>
      </c>
      <c r="U3" s="52">
        <f>U2*(1-Assumptions!$B$19)</f>
        <v>219.31943926617</v>
      </c>
      <c r="V3" s="52">
        <f>V2*(1-Assumptions!$B$19)</f>
        <v>221.6637203836595</v>
      </c>
      <c r="W3" s="52">
        <f>W2*(1-Assumptions!$B$19)</f>
        <v>224.42959102800228</v>
      </c>
      <c r="X3" s="52">
        <f>X2*(1-Assumptions!$B$19)</f>
        <v>227.63145319333512</v>
      </c>
      <c r="Y3" s="52">
        <f>Y2*(1-Assumptions!$B$19)</f>
        <v>231.28620263627255</v>
      </c>
      <c r="Z3" s="52">
        <f>Z2*(1-Assumptions!$B$19)</f>
        <v>235.41337642998207</v>
      </c>
      <c r="AA3" s="52">
        <f>AA2*(1-Assumptions!$B$19)</f>
        <v>240.03532572055738</v>
      </c>
      <c r="AB3" s="52">
        <f>AB2*(1-Assumptions!$B$19)</f>
        <v>245.17741580932667</v>
      </c>
      <c r="AC3" s="52">
        <f>AC2*(1-Assumptions!$B$19)</f>
        <v>250.86825604961203</v>
      </c>
      <c r="AD3" s="52">
        <f>AD2*(1-Assumptions!$B$19)</f>
        <v>257.1399624508523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0.553</v>
      </c>
      <c r="G4" s="52">
        <f>G2-G3</f>
        <v>0.44900000000000007</v>
      </c>
      <c r="H4" s="52">
        <f>H2-H3</f>
        <v>1.045</v>
      </c>
      <c r="I4" s="52">
        <f>I2-I3</f>
        <v>2.1740000000000004</v>
      </c>
      <c r="J4" s="52">
        <f>J2-J3</f>
        <v>2.867</v>
      </c>
      <c r="K4" s="52">
        <f>K2-K3</f>
        <v>4.3</v>
      </c>
      <c r="L4" s="52">
        <f>L2-L3</f>
        <v>-6.403000000000002</v>
      </c>
      <c r="M4" s="52">
        <f>M2-M3</f>
        <v>-25.21</v>
      </c>
      <c r="N4" s="52">
        <f>N2-N3</f>
        <v>-10.154999999999998</v>
      </c>
      <c r="O4" s="52">
        <f>O2-O3</f>
        <v>-19.070999999999998</v>
      </c>
      <c r="P4" s="52">
        <f>P2-P3</f>
        <v>1.1730000000000018</v>
      </c>
      <c r="Q4" s="52">
        <f>Q2-Q3</f>
        <v>35.265000000000015</v>
      </c>
      <c r="R4" s="52">
        <f>R2-R3</f>
        <v>88.94199999999998</v>
      </c>
      <c r="S4" s="52">
        <f>S2-S3</f>
        <v>219.553</v>
      </c>
      <c r="T4" s="52">
        <f>T2-T3</f>
        <v>292.765</v>
      </c>
      <c r="U4" s="52">
        <f>U2-U3</f>
        <v>295.39410043383</v>
      </c>
      <c r="V4" s="52">
        <f>V2-V3</f>
        <v>298.55153515180046</v>
      </c>
      <c r="W4" s="52">
        <f>W2-W3</f>
        <v>302.276794862639</v>
      </c>
      <c r="X4" s="52">
        <f>X2-X3</f>
        <v>306.5892771360127</v>
      </c>
      <c r="Y4" s="52">
        <f>Y2-Y3</f>
        <v>311.51173830780755</v>
      </c>
      <c r="Z4" s="52">
        <f>Z2-Z3</f>
        <v>317.07049221583355</v>
      </c>
      <c r="AA4" s="52">
        <f>AA2-AA3</f>
        <v>323.29564287967116</v>
      </c>
      <c r="AB4" s="52">
        <f>AB2-AB3</f>
        <v>330.2213539849156</v>
      </c>
      <c r="AC4" s="52">
        <f>AC2-AC3</f>
        <v>337.8861585235211</v>
      </c>
      <c r="AD4" s="52">
        <f>AD2-AD3</f>
        <v>346.3333124866091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0.647</v>
      </c>
      <c r="G5" s="52" t="n">
        <v>3.469</v>
      </c>
      <c r="H5" s="52" t="n">
        <v>9.303000000000001</v>
      </c>
      <c r="I5" s="52" t="n">
        <v>9.516999999999999</v>
      </c>
      <c r="J5" s="52" t="n">
        <v>7.016</v>
      </c>
      <c r="K5" s="52" t="n">
        <v>7.688</v>
      </c>
      <c r="L5" s="52" t="n">
        <v>5.57</v>
      </c>
      <c r="M5" s="52" t="n">
        <v>3.926</v>
      </c>
      <c r="N5" s="52" t="n">
        <v>2.344</v>
      </c>
      <c r="O5" s="52" t="n">
        <v>5.907</v>
      </c>
      <c r="P5" s="52" t="n">
        <v>3.646</v>
      </c>
      <c r="Q5" s="52" t="n">
        <v>3.614</v>
      </c>
      <c r="R5" s="52" t="n">
        <v>3.3</v>
      </c>
      <c r="S5" s="52" t="n">
        <v>1.813</v>
      </c>
      <c r="T5" s="52" t="n">
        <v>4.762</v>
      </c>
      <c r="U5" s="52">
        <f>U7*Assumptions!$B$20</f>
        <v>3.4947093434179135</v>
      </c>
      <c r="V5" s="52">
        <f>V7*Assumptions!$B$20</f>
        <v>3.746246928297729</v>
      </c>
      <c r="W5" s="52">
        <f>W7*Assumptions!$B$20</f>
        <v>4.009847318168605</v>
      </c>
      <c r="X5" s="52">
        <f>X7*Assumptions!$B$20</f>
        <v>4.287003832332343</v>
      </c>
      <c r="Y5" s="52">
        <f>Y7*Assumptions!$B$20</f>
        <v>4.579314828774732</v>
      </c>
      <c r="Z5" s="52">
        <f>Z7*Assumptions!$B$20</f>
        <v>4.888498816229277</v>
      </c>
      <c r="AA5" s="52">
        <f>AA7*Assumptions!$B$20</f>
        <v>5.216410969380001</v>
      </c>
      <c r="AB5" s="52">
        <f>AB7*Assumptions!$B$20</f>
        <v>5.565061265868178</v>
      </c>
      <c r="AC5" s="52">
        <f>AC7*Assumptions!$B$20</f>
        <v>5.936634488818439</v>
      </c>
      <c r="AD5" s="52">
        <f>AD7*Assumptions!$B$20</f>
        <v>6.333512367796151</v>
      </c>
    </row>
    <row r="6">
      <c r="A6" s="18" t="inlineStr">
        <is>
          <t>SG&amp;A &amp; Other</t>
        </is>
      </c>
      <c r="B6" s="52" t="n">
        <v>0.03</v>
      </c>
      <c r="C6" s="52" t="n">
        <v>0.025</v>
      </c>
      <c r="D6" s="52" t="n">
        <v>0.02</v>
      </c>
      <c r="E6" s="52" t="n">
        <v>0.021</v>
      </c>
      <c r="F6" s="52" t="n">
        <v>4.53</v>
      </c>
      <c r="G6" s="52" t="n">
        <v>4.889</v>
      </c>
      <c r="H6" s="52" t="n">
        <v>6.783</v>
      </c>
      <c r="I6" s="52" t="n">
        <v>8.675000000000001</v>
      </c>
      <c r="J6" s="52" t="n">
        <v>11.364</v>
      </c>
      <c r="K6" s="52" t="n">
        <v>13.942</v>
      </c>
      <c r="L6" s="52" t="n">
        <v>27.336</v>
      </c>
      <c r="M6" s="52" t="n">
        <v>31.153</v>
      </c>
      <c r="N6" s="52" t="n">
        <v>28.925</v>
      </c>
      <c r="O6" s="52" t="n">
        <v>39.936</v>
      </c>
      <c r="P6" s="52" t="n">
        <v>55.901</v>
      </c>
      <c r="Q6" s="52" t="n">
        <v>71.01600000000001</v>
      </c>
      <c r="R6" s="52" t="n">
        <v>64.01000000000001</v>
      </c>
      <c r="S6" s="52" t="n">
        <v>78.75700000000001</v>
      </c>
      <c r="T6" s="52" t="n">
        <v>96.56</v>
      </c>
      <c r="U6" s="52">
        <f>U7-U5</f>
        <v>70.86080860164408</v>
      </c>
      <c r="V6" s="52">
        <f>V7-V5</f>
        <v>75.96113452484545</v>
      </c>
      <c r="W6" s="52">
        <f>W7-W5</f>
        <v>81.30605306839745</v>
      </c>
      <c r="X6" s="52">
        <f>X7-X5</f>
        <v>86.92584366410048</v>
      </c>
      <c r="Y6" s="52">
        <f>Y7-Y5</f>
        <v>92.85291557068766</v>
      </c>
      <c r="Z6" s="52">
        <f>Z7-Z5</f>
        <v>99.12211429503195</v>
      </c>
      <c r="AA6" s="52">
        <f>AA7-AA5</f>
        <v>105.77105646423703</v>
      </c>
      <c r="AB6" s="52">
        <f>AB7-AB5</f>
        <v>112.84049758239094</v>
      </c>
      <c r="AC6" s="52">
        <f>AC7-AC5</f>
        <v>120.37473761370154</v>
      </c>
      <c r="AD6" s="52">
        <f>AD7-AD5</f>
        <v>128.42206992573898</v>
      </c>
    </row>
    <row r="7">
      <c r="A7" s="2" t="inlineStr">
        <is>
          <t>Operating Expense</t>
        </is>
      </c>
      <c r="B7" s="52">
        <f>SUM(B5:B6)</f>
        <v>0.03</v>
      </c>
      <c r="C7" s="52">
        <f>SUM(C5:C6)</f>
        <v>0.025</v>
      </c>
      <c r="D7" s="52">
        <f>SUM(D5:D6)</f>
        <v>0.02</v>
      </c>
      <c r="E7" s="52">
        <f>SUM(E5:E6)</f>
        <v>0.021</v>
      </c>
      <c r="F7" s="52">
        <f>SUM(F5:F6)</f>
        <v>5.1770000000000005</v>
      </c>
      <c r="G7" s="52">
        <f>SUM(G5:G6)</f>
        <v>8.358</v>
      </c>
      <c r="H7" s="52">
        <f>SUM(H5:H6)</f>
        <v>16.086000000000002</v>
      </c>
      <c r="I7" s="52">
        <f>SUM(I5:I6)</f>
        <v>18.192</v>
      </c>
      <c r="J7" s="52">
        <f>SUM(J5:J6)</f>
        <v>18.380000000000003</v>
      </c>
      <c r="K7" s="52">
        <f>SUM(K5:K6)</f>
        <v>21.63</v>
      </c>
      <c r="L7" s="52">
        <f>SUM(L5:L6)</f>
        <v>32.906</v>
      </c>
      <c r="M7" s="52">
        <f>SUM(M5:M6)</f>
        <v>35.079</v>
      </c>
      <c r="N7" s="52">
        <f>SUM(N5:N6)</f>
        <v>31.269000000000002</v>
      </c>
      <c r="O7" s="52">
        <f>SUM(O5:O6)</f>
        <v>45.843</v>
      </c>
      <c r="P7" s="52">
        <f>SUM(P5:P6)</f>
        <v>59.547000000000004</v>
      </c>
      <c r="Q7" s="52">
        <f>SUM(Q5:Q6)</f>
        <v>74.63000000000001</v>
      </c>
      <c r="R7" s="52">
        <f>SUM(R5:R6)</f>
        <v>67.31</v>
      </c>
      <c r="S7" s="52">
        <f>SUM(S5:S6)</f>
        <v>80.57000000000001</v>
      </c>
      <c r="T7" s="52">
        <f>SUM(T5:T6)</f>
        <v>101.322</v>
      </c>
      <c r="U7" s="52">
        <f>U4-U2*NPV!C6</f>
        <v>74.35551794506199</v>
      </c>
      <c r="V7" s="52">
        <f>V4-V2*NPV!D6</f>
        <v>79.70738145314317</v>
      </c>
      <c r="W7" s="52">
        <f>W4-W2*NPV!E6</f>
        <v>85.31590038656606</v>
      </c>
      <c r="X7" s="52">
        <f>X4-X2*NPV!F6</f>
        <v>91.21284749643283</v>
      </c>
      <c r="Y7" s="52">
        <f>Y4-Y2*NPV!G6</f>
        <v>97.43223039946238</v>
      </c>
      <c r="Z7" s="52">
        <f>Z4-Z2*NPV!H6</f>
        <v>104.01061311126122</v>
      </c>
      <c r="AA7" s="52">
        <f>AA4-AA2*NPV!I6</f>
        <v>110.98746743361704</v>
      </c>
      <c r="AB7" s="52">
        <f>AB4-AB2*NPV!J6</f>
        <v>118.40555884825912</v>
      </c>
      <c r="AC7" s="52">
        <f>AC4-AC2*NPV!K6</f>
        <v>126.31137210251998</v>
      </c>
      <c r="AD7" s="52">
        <f>AD4-AD2*NPV!L6</f>
        <v>134.75558229353513</v>
      </c>
    </row>
    <row r="8">
      <c r="A8" s="2" t="inlineStr">
        <is>
          <t>Operating Income</t>
        </is>
      </c>
      <c r="B8" s="52">
        <f>B4-B7</f>
        <v>-0.03</v>
      </c>
      <c r="C8" s="52">
        <f>C4-C7</f>
        <v>-0.025</v>
      </c>
      <c r="D8" s="52">
        <f>D4-D7</f>
        <v>-0.02</v>
      </c>
      <c r="E8" s="52">
        <f>E4-E7</f>
        <v>-0.021</v>
      </c>
      <c r="F8" s="52">
        <f>F4-F7</f>
        <v>-4.6240000000000006</v>
      </c>
      <c r="G8" s="52">
        <f>G4-G7</f>
        <v>-7.909000000000001</v>
      </c>
      <c r="H8" s="52">
        <f>H4-H7</f>
        <v>-15.041000000000002</v>
      </c>
      <c r="I8" s="52">
        <f>I4-I7</f>
        <v>-16.018</v>
      </c>
      <c r="J8" s="52">
        <f>J4-J7</f>
        <v>-15.513000000000002</v>
      </c>
      <c r="K8" s="52">
        <f>K4-K7</f>
        <v>-17.33</v>
      </c>
      <c r="L8" s="52">
        <f>L4-L7</f>
        <v>-39.309</v>
      </c>
      <c r="M8" s="52">
        <f>M4-M7</f>
        <v>-60.289</v>
      </c>
      <c r="N8" s="52">
        <f>N4-N7</f>
        <v>-41.424</v>
      </c>
      <c r="O8" s="52">
        <f>O4-O7</f>
        <v>-64.914</v>
      </c>
      <c r="P8" s="52">
        <f>P4-P7</f>
        <v>-58.374</v>
      </c>
      <c r="Q8" s="52">
        <f>Q4-Q7</f>
        <v>-39.364999999999995</v>
      </c>
      <c r="R8" s="52">
        <f>R4-R7</f>
        <v>21.631999999999977</v>
      </c>
      <c r="S8" s="52">
        <f>S4-S7</f>
        <v>138.983</v>
      </c>
      <c r="T8" s="52">
        <f>T4-T7</f>
        <v>191.44299999999998</v>
      </c>
      <c r="U8" s="52">
        <f>U4-U7</f>
        <v>221.038582488768</v>
      </c>
      <c r="V8" s="52">
        <f>V4-V7</f>
        <v>218.8441536986573</v>
      </c>
      <c r="W8" s="52">
        <f>W4-W7</f>
        <v>216.96089447607295</v>
      </c>
      <c r="X8" s="52">
        <f>X4-X7</f>
        <v>215.37642963957987</v>
      </c>
      <c r="Y8" s="52">
        <f>Y4-Y7</f>
        <v>214.07950790834516</v>
      </c>
      <c r="Z8" s="52">
        <f>Z4-Z7</f>
        <v>213.05987910457233</v>
      </c>
      <c r="AA8" s="52">
        <f>AA4-AA7</f>
        <v>212.30817544605412</v>
      </c>
      <c r="AB8" s="52">
        <f>AB4-AB7</f>
        <v>211.81579513665648</v>
      </c>
      <c r="AC8" s="52">
        <f>AC4-AC7</f>
        <v>211.5747864210011</v>
      </c>
      <c r="AD8" s="52">
        <f>AD4-AD7</f>
        <v>211.57773019307396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-1.281</v>
      </c>
      <c r="G9" s="52" t="n">
        <v>-0.01</v>
      </c>
      <c r="H9" s="52" t="n">
        <v>-0.485</v>
      </c>
      <c r="I9" s="52" t="n">
        <v>-1.346</v>
      </c>
      <c r="J9" s="52" t="n">
        <v>-2.456</v>
      </c>
      <c r="K9" s="52" t="n">
        <v>-2.185</v>
      </c>
      <c r="L9" s="52" t="n">
        <v>-4.449</v>
      </c>
      <c r="M9" s="52" t="n">
        <v>-5.455</v>
      </c>
      <c r="N9" s="52" t="n">
        <v>-6.855</v>
      </c>
      <c r="O9" s="52" t="n">
        <v>-10.834</v>
      </c>
      <c r="P9" s="52" t="n">
        <v>-13.276</v>
      </c>
      <c r="Q9" s="52" t="n">
        <v>-26.535</v>
      </c>
      <c r="R9" s="52" t="n">
        <v>-49.832</v>
      </c>
      <c r="S9" s="52" t="n">
        <v>-13.242</v>
      </c>
      <c r="T9" s="52" t="n">
        <v>-8.787000000000001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-0.03</v>
      </c>
      <c r="C10" s="52">
        <f>C8+C9</f>
        <v>-0.025</v>
      </c>
      <c r="D10" s="52">
        <f>D8+D9</f>
        <v>-0.02</v>
      </c>
      <c r="E10" s="52">
        <f>E8+E9</f>
        <v>-0.021</v>
      </c>
      <c r="F10" s="52">
        <f>F8+F9</f>
        <v>-5.905</v>
      </c>
      <c r="G10" s="52">
        <f>G8+G9</f>
        <v>-7.9190000000000005</v>
      </c>
      <c r="H10" s="52">
        <f>H8+H9</f>
        <v>-15.526000000000002</v>
      </c>
      <c r="I10" s="52">
        <f>I8+I9</f>
        <v>-17.364</v>
      </c>
      <c r="J10" s="52">
        <f>J8+J9</f>
        <v>-17.969</v>
      </c>
      <c r="K10" s="52">
        <f>K8+K9</f>
        <v>-19.514999999999997</v>
      </c>
      <c r="L10" s="52">
        <f>L8+L9</f>
        <v>-43.757999999999996</v>
      </c>
      <c r="M10" s="52">
        <f>M8+M9</f>
        <v>-65.744</v>
      </c>
      <c r="N10" s="52">
        <f>N8+N9</f>
        <v>-48.278999999999996</v>
      </c>
      <c r="O10" s="52">
        <f>O8+O9</f>
        <v>-75.748</v>
      </c>
      <c r="P10" s="52">
        <f>P8+P9</f>
        <v>-71.65</v>
      </c>
      <c r="Q10" s="52">
        <f>Q8+Q9</f>
        <v>-65.89999999999999</v>
      </c>
      <c r="R10" s="52">
        <f>R8+R9</f>
        <v>-28.200000000000024</v>
      </c>
      <c r="S10" s="52">
        <f>S8+S9</f>
        <v>125.741</v>
      </c>
      <c r="T10" s="52">
        <f>T8+T9</f>
        <v>182.65599999999998</v>
      </c>
      <c r="U10" s="52">
        <f>U8+U9</f>
        <v>221.038582488768</v>
      </c>
      <c r="V10" s="52">
        <f>V8+V9</f>
        <v>218.8441536986573</v>
      </c>
      <c r="W10" s="52">
        <f>W8+W9</f>
        <v>216.96089447607295</v>
      </c>
      <c r="X10" s="52">
        <f>X8+X9</f>
        <v>215.37642963957987</v>
      </c>
      <c r="Y10" s="52">
        <f>Y8+Y9</f>
        <v>214.07950790834516</v>
      </c>
      <c r="Z10" s="52">
        <f>Z8+Z9</f>
        <v>213.05987910457233</v>
      </c>
      <c r="AA10" s="52">
        <f>AA8+AA9</f>
        <v>212.30817544605412</v>
      </c>
      <c r="AB10" s="52">
        <f>AB8+AB9</f>
        <v>211.81579513665648</v>
      </c>
      <c r="AC10" s="52">
        <f>AC8+AC9</f>
        <v>211.5747864210011</v>
      </c>
      <c r="AD10" s="52">
        <f>AD8+AD9</f>
        <v>211.57773019307396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-0.618</v>
      </c>
      <c r="H11" s="52" t="n">
        <v>0</v>
      </c>
      <c r="I11" s="52" t="n">
        <v>-0.552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-71.959</v>
      </c>
      <c r="T11" s="52" t="n">
        <v>35.726</v>
      </c>
      <c r="U11" s="52">
        <f>MAX(0,U10)*Assumptions!$E$14</f>
        <v>37.57655902309056</v>
      </c>
      <c r="V11" s="52">
        <f>MAX(0,V10)*Assumptions!$E$14</f>
        <v>37.20350612877174</v>
      </c>
      <c r="W11" s="52">
        <f>MAX(0,W10)*Assumptions!$E$14</f>
        <v>36.8833520609324</v>
      </c>
      <c r="X11" s="52">
        <f>MAX(0,X10)*Assumptions!$E$14</f>
        <v>36.61399303872858</v>
      </c>
      <c r="Y11" s="52">
        <f>MAX(0,Y10)*Assumptions!$E$14</f>
        <v>36.39351634441868</v>
      </c>
      <c r="Z11" s="52">
        <f>MAX(0,Z10)*Assumptions!$E$14</f>
        <v>36.2201794477773</v>
      </c>
      <c r="AA11" s="52">
        <f>MAX(0,AA10)*Assumptions!$E$14</f>
        <v>36.0923898258292</v>
      </c>
      <c r="AB11" s="52">
        <f>MAX(0,AB10)*Assumptions!$E$14</f>
        <v>36.008685173231605</v>
      </c>
      <c r="AC11" s="52">
        <f>MAX(0,AC10)*Assumptions!$E$14</f>
        <v>35.96771369157019</v>
      </c>
      <c r="AD11" s="52">
        <f>MAX(0,AD10)*Assumptions!$E$14</f>
        <v>35.968214132822574</v>
      </c>
    </row>
    <row r="12">
      <c r="A12" s="2" t="inlineStr">
        <is>
          <t>Net Income</t>
        </is>
      </c>
      <c r="B12" s="52" t="n">
        <v>-0.03</v>
      </c>
      <c r="C12" s="52" t="n">
        <v>-0.025</v>
      </c>
      <c r="D12" s="52" t="n">
        <v>-0.02</v>
      </c>
      <c r="E12" s="52" t="n">
        <v>-0.021</v>
      </c>
      <c r="F12" s="52" t="n">
        <v>-5.903</v>
      </c>
      <c r="G12" s="52" t="n">
        <v>-7.301</v>
      </c>
      <c r="H12" s="52" t="n">
        <v>-15.527</v>
      </c>
      <c r="I12" s="52" t="n">
        <v>-16.813</v>
      </c>
      <c r="J12" s="52" t="n">
        <v>-17.97</v>
      </c>
      <c r="K12" s="52" t="n">
        <v>-19.515</v>
      </c>
      <c r="L12" s="52" t="n">
        <v>-43.759</v>
      </c>
      <c r="M12" s="52" t="n">
        <v>-65.74299999999999</v>
      </c>
      <c r="N12" s="52" t="n">
        <v>-48.279</v>
      </c>
      <c r="O12" s="52" t="n">
        <v>-75.749</v>
      </c>
      <c r="P12" s="52" t="n">
        <v>-71.65000000000001</v>
      </c>
      <c r="Q12" s="52" t="n">
        <v>-65.90000000000001</v>
      </c>
      <c r="R12" s="52" t="n">
        <v>-28.2</v>
      </c>
      <c r="S12" s="52" t="n">
        <v>197.7</v>
      </c>
      <c r="T12" s="52" t="n">
        <v>146.93</v>
      </c>
      <c r="U12" s="52">
        <f>U10-U11</f>
        <v>183.46202346567742</v>
      </c>
      <c r="V12" s="52">
        <f>V10-V11</f>
        <v>181.64064756988554</v>
      </c>
      <c r="W12" s="52">
        <f>W10-W11</f>
        <v>180.07754241514056</v>
      </c>
      <c r="X12" s="52">
        <f>X10-X11</f>
        <v>178.7624366008513</v>
      </c>
      <c r="Y12" s="52">
        <f>Y10-Y11</f>
        <v>177.68599156392648</v>
      </c>
      <c r="Z12" s="52">
        <f>Z10-Z11</f>
        <v>176.83969965679503</v>
      </c>
      <c r="AA12" s="52">
        <f>AA10-AA11</f>
        <v>176.21578562022492</v>
      </c>
      <c r="AB12" s="52">
        <f>AB10-AB11</f>
        <v>175.80710996342486</v>
      </c>
      <c r="AC12" s="52">
        <f>AC10-AC11</f>
        <v>175.6070727294309</v>
      </c>
      <c r="AD12" s="52">
        <f>AD10-AD11</f>
        <v>175.6095160602514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-0.5600569259962049</v>
      </c>
      <c r="G13" s="11">
        <f>IFERROR(G12/G14,0)</f>
        <v>-0.6932206608431447</v>
      </c>
      <c r="H13" s="11">
        <f>IFERROR(H12/H14,0)</f>
        <v>-1.1887153575256468</v>
      </c>
      <c r="I13" s="11">
        <f>IFERROR(I12/I14,0)</f>
        <v>-0.9047029702970296</v>
      </c>
      <c r="J13" s="11">
        <f>IFERROR(J12/J14,0)</f>
        <v>-0.8629051620648259</v>
      </c>
      <c r="K13" s="11">
        <f>IFERROR(K12/K14,0)</f>
        <v>-0.802855144608549</v>
      </c>
      <c r="L13" s="11">
        <f>IFERROR(L12/L14,0)</f>
        <v>-0.9556035988819007</v>
      </c>
      <c r="M13" s="11">
        <f>IFERROR(M12/M14,0)</f>
        <v>-1.4548452056916505</v>
      </c>
      <c r="N13" s="11">
        <f>IFERROR(N12/N14,0)</f>
        <v>-0.8883307573415766</v>
      </c>
      <c r="O13" s="11">
        <f>IFERROR(O12/O14,0)</f>
        <v>-0.8793197515816356</v>
      </c>
      <c r="P13" s="11">
        <f>IFERROR(P12/P14,0)</f>
        <v>-0.513329369031158</v>
      </c>
      <c r="Q13" s="11">
        <f>IFERROR(Q12/Q14,0)</f>
        <v>-0.3330385344283007</v>
      </c>
      <c r="R13" s="11">
        <f>IFERROR(R12/R14,0)</f>
        <v>-0.12590578496899235</v>
      </c>
      <c r="S13" s="11">
        <f>IFERROR(S12/S14,0)</f>
        <v>0.8124368173188351</v>
      </c>
      <c r="T13" s="11">
        <f>IFERROR(T12/T14,0)</f>
        <v>0.5999469181927687</v>
      </c>
      <c r="U13" s="11">
        <f>IFERROR(U12/U14,0)</f>
        <v>0.8190829098922187</v>
      </c>
      <c r="V13" s="11">
        <f>IFERROR(V12/V14,0)</f>
        <v>0.8109512113501939</v>
      </c>
      <c r="W13" s="11">
        <f>IFERROR(W12/W14,0)</f>
        <v>0.8039725860498163</v>
      </c>
      <c r="X13" s="11">
        <f>IFERROR(X12/X14,0)</f>
        <v>0.7981011763878284</v>
      </c>
      <c r="Y13" s="11">
        <f>IFERROR(Y12/Y14,0)</f>
        <v>0.7932952894989357</v>
      </c>
      <c r="Z13" s="11">
        <f>IFERROR(Z12/Z14,0)</f>
        <v>0.7895169422158472</v>
      </c>
      <c r="AA13" s="11">
        <f>IFERROR(AA12/AA14,0)</f>
        <v>0.786731421185703</v>
      </c>
      <c r="AB13" s="11">
        <f>IFERROR(AB12/AB14,0)</f>
        <v>0.7849068515017406</v>
      </c>
      <c r="AC13" s="11">
        <f>IFERROR(AC12/AC14,0)</f>
        <v>0.7840137670550991</v>
      </c>
      <c r="AD13" s="11">
        <f>IFERROR(AD12/AD14,0)</f>
        <v>0.7840246755280379</v>
      </c>
    </row>
    <row r="14">
      <c r="A14" s="2" t="inlineStr">
        <is>
          <t>Shares</t>
        </is>
      </c>
      <c r="B14" s="52" t="n"/>
      <c r="C14" s="52" t="n"/>
      <c r="D14" s="52" t="n"/>
      <c r="E14" s="52" t="n"/>
      <c r="F14" s="52" t="n">
        <v>10.54</v>
      </c>
      <c r="G14" s="52" t="n">
        <v>10.532</v>
      </c>
      <c r="H14" s="52" t="n">
        <v>13.062</v>
      </c>
      <c r="I14" s="52" t="n">
        <v>18.584</v>
      </c>
      <c r="J14" s="52" t="n">
        <v>20.825</v>
      </c>
      <c r="K14" s="52" t="n">
        <v>24.307</v>
      </c>
      <c r="L14" s="52" t="n">
        <v>45.792</v>
      </c>
      <c r="M14" s="52" t="n">
        <v>45.189</v>
      </c>
      <c r="N14" s="52" t="n">
        <v>54.348</v>
      </c>
      <c r="O14" s="52" t="n">
        <v>86.145</v>
      </c>
      <c r="P14" s="52" t="n">
        <v>139.579</v>
      </c>
      <c r="Q14" s="52" t="n">
        <v>197.875</v>
      </c>
      <c r="R14" s="52" t="n">
        <v>223.977</v>
      </c>
      <c r="S14" s="52" t="n">
        <v>243.342</v>
      </c>
      <c r="T14" s="52" t="n">
        <v>244.905</v>
      </c>
      <c r="U14" s="52">
        <f>Main!$C$4</f>
        <v>223.98468</v>
      </c>
      <c r="V14" s="52">
        <f>Main!$C$4</f>
        <v>223.98468</v>
      </c>
      <c r="W14" s="52">
        <f>Main!$C$4</f>
        <v>223.98468</v>
      </c>
      <c r="X14" s="52">
        <f>Main!$C$4</f>
        <v>223.98468</v>
      </c>
      <c r="Y14" s="52">
        <f>Main!$C$4</f>
        <v>223.98468</v>
      </c>
      <c r="Z14" s="52">
        <f>Main!$C$4</f>
        <v>223.98468</v>
      </c>
      <c r="AA14" s="52">
        <f>Main!$C$4</f>
        <v>223.98468</v>
      </c>
      <c r="AB14" s="52">
        <f>Main!$C$4</f>
        <v>223.98468</v>
      </c>
      <c r="AC14" s="52">
        <f>Main!$C$4</f>
        <v>223.98468</v>
      </c>
      <c r="AD14" s="52">
        <f>Main!$C$4</f>
        <v>223.98468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0.4691195795006571</v>
      </c>
      <c r="H16" s="15">
        <f>IFERROR(H2/G2-1,"")</f>
        <v>1.744186046511628</v>
      </c>
      <c r="I16" s="15">
        <f>IFERROR(I2/H2-1,"")</f>
        <v>0.9282920469361149</v>
      </c>
      <c r="J16" s="15">
        <f>IFERROR(J2/I2-1,"")</f>
        <v>0.21331981068289374</v>
      </c>
      <c r="K16" s="15">
        <f>IFERROR(K2/J2-1,"")</f>
        <v>0.485232655335748</v>
      </c>
      <c r="L16" s="15">
        <f>IFERROR(L2/K2-1,"")</f>
        <v>1.1349779570396774</v>
      </c>
      <c r="M16" s="15">
        <f>IFERROR(M2/L2-1,"")</f>
        <v>-0.25376740916479945</v>
      </c>
      <c r="N16" s="15">
        <f>IFERROR(N2/M2-1,"")</f>
        <v>0.7279364144833678</v>
      </c>
      <c r="O16" s="15">
        <f>IFERROR(O2/N2-1,"")</f>
        <v>0.43854986541279084</v>
      </c>
      <c r="P16" s="15">
        <f>IFERROR(P2/O2-1,"")</f>
        <v>0.9171719564187588</v>
      </c>
      <c r="Q16" s="15">
        <f>IFERROR(Q2/P2-1,"")</f>
        <v>0.903561765686965</v>
      </c>
      <c r="R16" s="15">
        <f>IFERROR(R2/Q2-1,"")</f>
        <v>0.6758502076843196</v>
      </c>
      <c r="S16" s="15">
        <f>IFERROR(S2/R2-1,"")</f>
        <v>0.6515461921267163</v>
      </c>
      <c r="T16" s="15">
        <f>IFERROR(T2/S2-1,"")</f>
        <v>0.19631425663729263</v>
      </c>
      <c r="U16" s="15">
        <f>IFERROR(U2/T2-1,"")</f>
        <v>0.008899999999999908</v>
      </c>
      <c r="V16" s="15">
        <f>IFERROR(V2/U2-1,"")</f>
        <v>0.01068888888888897</v>
      </c>
      <c r="W16" s="15">
        <f>IFERROR(W2/V2-1,"")</f>
        <v>0.01247777777777781</v>
      </c>
      <c r="X16" s="15">
        <f>IFERROR(X2/W2-1,"")</f>
        <v>0.01426666666666665</v>
      </c>
      <c r="Y16" s="15">
        <f>IFERROR(Y2/X2-1,"")</f>
        <v>0.01605555555555549</v>
      </c>
      <c r="Z16" s="15">
        <f>IFERROR(Z2/Y2-1,"")</f>
        <v>0.01784444444444455</v>
      </c>
      <c r="AA16" s="15">
        <f>IFERROR(AA2/Z2-1,"")</f>
        <v>0.01963333333333339</v>
      </c>
      <c r="AB16" s="15">
        <f>IFERROR(AB2/AA2-1,"")</f>
        <v>0.02142222222222223</v>
      </c>
      <c r="AC16" s="15">
        <f>IFERROR(AC2/AB2-1,"")</f>
        <v>0.02321111111111107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0.7266754270696453</v>
      </c>
      <c r="G17" s="15">
        <f>IFERROR(G4/G2,"")</f>
        <v>0.4016100178890877</v>
      </c>
      <c r="H17" s="15">
        <f>IFERROR(H4/H2,"")</f>
        <v>0.340612777053455</v>
      </c>
      <c r="I17" s="15">
        <f>IFERROR(I4/I2,"")</f>
        <v>0.3674780256930359</v>
      </c>
      <c r="J17" s="15">
        <f>IFERROR(J4/J2,"")</f>
        <v>0.3994148787963221</v>
      </c>
      <c r="K17" s="15">
        <f>IFERROR(K4/K2,"")</f>
        <v>0.4033392739893068</v>
      </c>
      <c r="L17" s="15">
        <f>IFERROR(L4/L2,"")</f>
        <v>-0.28131452923861</v>
      </c>
      <c r="M17" s="15">
        <f>IFERROR(M4/M2,"")</f>
        <v>-1.4842508095378275</v>
      </c>
      <c r="N17" s="15">
        <f>IFERROR(N4/N2,"")</f>
        <v>-0.34600838188694666</v>
      </c>
      <c r="O17" s="15">
        <f>IFERROR(O4/O2,"")</f>
        <v>-0.4517053529133112</v>
      </c>
      <c r="P17" s="15">
        <f>IFERROR(P4/P2,"")</f>
        <v>0.014491679329898841</v>
      </c>
      <c r="Q17" s="15">
        <f>IFERROR(Q4/Q2,"")</f>
        <v>0.2288746105919004</v>
      </c>
      <c r="R17" s="15">
        <f>IFERROR(R4/R2,"")</f>
        <v>0.3444493929477373</v>
      </c>
      <c r="S17" s="15">
        <f>IFERROR(S4/S2,"")</f>
        <v>0.5148339563000933</v>
      </c>
      <c r="T17" s="15">
        <f>IFERROR(T4/T2,"")</f>
        <v>0.5738543592075629</v>
      </c>
      <c r="U17" s="15">
        <f>IFERROR(U4/U2,"")</f>
        <v>0.5739</v>
      </c>
      <c r="V17" s="15">
        <f>IFERROR(V4/V2,"")</f>
        <v>0.5739</v>
      </c>
      <c r="W17" s="15">
        <f>IFERROR(W4/W2,"")</f>
        <v>0.5739</v>
      </c>
      <c r="X17" s="15">
        <f>IFERROR(X4/X2,"")</f>
        <v>0.5739</v>
      </c>
      <c r="Y17" s="15">
        <f>IFERROR(Y4/Y2,"")</f>
        <v>0.5739</v>
      </c>
      <c r="Z17" s="15">
        <f>IFERROR(Z4/Z2,"")</f>
        <v>0.5739</v>
      </c>
      <c r="AA17" s="15">
        <f>IFERROR(AA4/AA2,"")</f>
        <v>0.5739000000000001</v>
      </c>
      <c r="AB17" s="15">
        <f>IFERROR(AB4/AB2,"")</f>
        <v>0.5738999999999999</v>
      </c>
      <c r="AC17" s="15">
        <f>IFERROR(AC4/AC2,"")</f>
        <v>0.5739</v>
      </c>
      <c r="AD17" s="15">
        <f>IFERROR(AD4/AD2,"")</f>
        <v>0.5739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-6.0762155059132725</v>
      </c>
      <c r="G18" s="15">
        <f>IFERROR(G8/G2,"")</f>
        <v>-7.074239713774597</v>
      </c>
      <c r="H18" s="15">
        <f>IFERROR(H8/H2,"")</f>
        <v>-4.902542372881356</v>
      </c>
      <c r="I18" s="15">
        <f>IFERROR(I8/I2,"")</f>
        <v>-2.707572684246112</v>
      </c>
      <c r="J18" s="15">
        <f>IFERROR(J8/J2,"")</f>
        <v>-2.1611869601560327</v>
      </c>
      <c r="K18" s="15">
        <f>IFERROR(K8/K2,"")</f>
        <v>-1.6255510740080668</v>
      </c>
      <c r="L18" s="15">
        <f>IFERROR(L8/L2,"")</f>
        <v>-1.727033082904969</v>
      </c>
      <c r="M18" s="15">
        <f>IFERROR(M8/M2,"")</f>
        <v>-3.549543715042685</v>
      </c>
      <c r="N18" s="15">
        <f>IFERROR(N8/N2,"")</f>
        <v>-1.4114279873249513</v>
      </c>
      <c r="O18" s="15">
        <f>IFERROR(O8/O2,"")</f>
        <v>-1.537517764092847</v>
      </c>
      <c r="P18" s="15">
        <f>IFERROR(P8/P2,"")</f>
        <v>-0.7211741595937883</v>
      </c>
      <c r="Q18" s="15">
        <f>IFERROR(Q8/Q2,"")</f>
        <v>-0.25548416407061264</v>
      </c>
      <c r="R18" s="15">
        <f>IFERROR(R8/R2,"")</f>
        <v>0.08377514861646294</v>
      </c>
      <c r="S18" s="15">
        <f>IFERROR(S8/S2,"")</f>
        <v>0.32590384894971086</v>
      </c>
      <c r="T18" s="15">
        <f>IFERROR(T8/T2,"")</f>
        <v>0.375251140299467</v>
      </c>
      <c r="U18" s="15">
        <f>IFERROR(U8/U2,"")</f>
        <v>0.42944</v>
      </c>
      <c r="V18" s="15">
        <f>IFERROR(V8/V2,"")</f>
        <v>0.42068</v>
      </c>
      <c r="W18" s="15">
        <f>IFERROR(W8/W2,"")</f>
        <v>0.41192</v>
      </c>
      <c r="X18" s="15">
        <f>IFERROR(X8/X2,"")</f>
        <v>0.40316</v>
      </c>
      <c r="Y18" s="15">
        <f>IFERROR(Y8/Y2,"")</f>
        <v>0.3944</v>
      </c>
      <c r="Z18" s="15">
        <f>IFERROR(Z8/Z2,"")</f>
        <v>0.38564</v>
      </c>
      <c r="AA18" s="15">
        <f>IFERROR(AA8/AA2,"")</f>
        <v>0.37688</v>
      </c>
      <c r="AB18" s="15">
        <f>IFERROR(AB8/AB2,"")</f>
        <v>0.36812</v>
      </c>
      <c r="AC18" s="15">
        <f>IFERROR(AC8/AC2,"")</f>
        <v>0.35936</v>
      </c>
      <c r="AD18" s="15">
        <f>IFERROR(AD8/AD2,"")</f>
        <v>0.3506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ADMA Biologics,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-0.0411</v>
      </c>
      <c r="C12" s="53" t="n">
        <v>0.0089</v>
      </c>
      <c r="D12" s="53" t="n">
        <v>0.0589</v>
      </c>
      <c r="E12" s="54">
        <f>CHOOSE($B$4,B12,C12,D12)</f>
        <v>0.0089</v>
      </c>
    </row>
    <row r="13">
      <c r="A13" s="14" t="inlineStr">
        <is>
          <t>Operating margin, year 10</t>
        </is>
      </c>
      <c r="B13" s="53" t="n">
        <v>0.3006</v>
      </c>
      <c r="C13" s="53" t="n">
        <v>0.3506</v>
      </c>
      <c r="D13" s="53" t="n">
        <v>0.4006</v>
      </c>
      <c r="E13" s="54">
        <f>CHOOSE($B$4,B13,C13,D13)</f>
        <v>0.3506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0.4382</v>
      </c>
    </row>
    <row r="19">
      <c r="A19" s="14" t="inlineStr">
        <is>
          <t>Gross margin (forecast)</t>
        </is>
      </c>
      <c r="B19" s="53" t="n">
        <v>0.5739</v>
      </c>
    </row>
    <row r="20">
      <c r="A20" s="14" t="inlineStr">
        <is>
          <t>R&amp;D share of operating expense (forecast)</t>
        </is>
      </c>
      <c r="B20" s="53" t="n">
        <v>0.047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510.173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1831.7351277765752</v>
      </c>
      <c r="C29" s="56">
        <f>NPV!B26</f>
        <v>1771.1661277765752</v>
      </c>
      <c r="D29" s="35">
        <f>NPV!B28</f>
        <v>7.907532460597641</v>
      </c>
      <c r="E29" s="57">
        <f>NPV!B30</f>
        <v>-0.29585641490671055</v>
      </c>
    </row>
    <row r="30">
      <c r="A30" s="58" t="n">
        <v>1</v>
      </c>
      <c r="B30" s="59">
        <f t="dataTable" ref="B30:E32" r1="B4"/>
        <v>1216.4417036889813</v>
      </c>
      <c r="C30" s="59">
        <v>1155.8727036889813</v>
      </c>
      <c r="D30" s="39">
        <v>5.1604989398783045</v>
      </c>
      <c r="E30" s="60">
        <v>-0.5404720445344342</v>
      </c>
    </row>
    <row r="31">
      <c r="A31" s="58" t="n">
        <v>2</v>
      </c>
      <c r="B31" s="59">
        <v>1831.7351277765752</v>
      </c>
      <c r="C31" s="59">
        <v>1771.1661277765752</v>
      </c>
      <c r="D31" s="39">
        <v>7.907532460597641</v>
      </c>
      <c r="E31" s="60">
        <v>-0.29585641490671055</v>
      </c>
    </row>
    <row r="32">
      <c r="A32" s="58" t="n">
        <v>3</v>
      </c>
      <c r="B32" s="59">
        <v>2903.5710448004247</v>
      </c>
      <c r="C32" s="59">
        <v>2843.0020448004248</v>
      </c>
      <c r="D32" s="39">
        <v>12.692841513984014</v>
      </c>
      <c r="E32" s="60">
        <v>0.13026193356936888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7.907532460597641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9.170618948048531</v>
      </c>
      <c r="C37" s="39">
        <v>9.634804494828265</v>
      </c>
      <c r="D37" s="39">
        <v>10.169088431590497</v>
      </c>
      <c r="E37" s="39">
        <v>10.790981330903714</v>
      </c>
      <c r="F37" s="39">
        <v>11.524361090541285</v>
      </c>
    </row>
    <row r="38">
      <c r="A38" s="62" t="n">
        <v>0.1</v>
      </c>
      <c r="B38" s="39">
        <v>8.149696216332075</v>
      </c>
      <c r="C38" s="39">
        <v>8.496472861968448</v>
      </c>
      <c r="D38" s="39">
        <v>8.888394323863706</v>
      </c>
      <c r="E38" s="39">
        <v>9.335122997909446</v>
      </c>
      <c r="F38" s="39">
        <v>9.849294198418463</v>
      </c>
    </row>
    <row r="39">
      <c r="A39" s="62" t="n">
        <v>0.11</v>
      </c>
      <c r="B39" s="39">
        <v>7.342643988670469</v>
      </c>
      <c r="C39" s="39">
        <v>7.609832989691117</v>
      </c>
      <c r="D39" s="39">
        <v>7.907532460597641</v>
      </c>
      <c r="E39" s="39">
        <v>8.241453504193704</v>
      </c>
      <c r="F39" s="39">
        <v>8.618830078950381</v>
      </c>
    </row>
    <row r="40">
      <c r="A40" s="62" t="n">
        <v>0.12</v>
      </c>
      <c r="B40" s="39">
        <v>6.688283776694776</v>
      </c>
      <c r="C40" s="39">
        <v>6.899305889914059</v>
      </c>
      <c r="D40" s="39">
        <v>7.131748843762172</v>
      </c>
      <c r="E40" s="39">
        <v>7.389174618242872</v>
      </c>
      <c r="F40" s="39">
        <v>7.67598321749735</v>
      </c>
    </row>
    <row r="41">
      <c r="A41" s="62" t="n">
        <v>0.13</v>
      </c>
      <c r="B41" s="39">
        <v>6.146735098574565</v>
      </c>
      <c r="C41" s="39">
        <v>6.316815268731918</v>
      </c>
      <c r="D41" s="39">
        <v>6.502406646060316</v>
      </c>
      <c r="E41" s="39">
        <v>6.705828898585059</v>
      </c>
      <c r="F41" s="39">
        <v>6.929889969454444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ADMA Biologics, Inc.: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0.0089</v>
      </c>
      <c r="D5" s="63">
        <f>Assumptions!$E$12+(Assumptions!$E$11-Assumptions!$E$12)*(D4-1)/(Assumptions!$B$21-1)</f>
        <v>0.01068888888888889</v>
      </c>
      <c r="E5" s="63">
        <f>Assumptions!$E$12+(Assumptions!$E$11-Assumptions!$E$12)*(E4-1)/(Assumptions!$B$21-1)</f>
        <v>0.012477777777777779</v>
      </c>
      <c r="F5" s="63">
        <f>Assumptions!$E$12+(Assumptions!$E$11-Assumptions!$E$12)*(F4-1)/(Assumptions!$B$21-1)</f>
        <v>0.014266666666666667</v>
      </c>
      <c r="G5" s="63">
        <f>Assumptions!$E$12+(Assumptions!$E$11-Assumptions!$E$12)*(G4-1)/(Assumptions!$B$21-1)</f>
        <v>0.01605555555555556</v>
      </c>
      <c r="H5" s="63">
        <f>Assumptions!$E$12+(Assumptions!$E$11-Assumptions!$E$12)*(H4-1)/(Assumptions!$B$21-1)</f>
        <v>0.017844444444444447</v>
      </c>
      <c r="I5" s="63">
        <f>Assumptions!$E$12+(Assumptions!$E$11-Assumptions!$E$12)*(I4-1)/(Assumptions!$B$21-1)</f>
        <v>0.019633333333333336</v>
      </c>
      <c r="J5" s="63">
        <f>Assumptions!$E$12+(Assumptions!$E$11-Assumptions!$E$12)*(J4-1)/(Assumptions!$B$21-1)</f>
        <v>0.021422222222222224</v>
      </c>
      <c r="K5" s="63">
        <f>Assumptions!$E$12+(Assumptions!$E$11-Assumptions!$E$12)*(K4-1)/(Assumptions!$B$21-1)</f>
        <v>0.023211111111111113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0.375251140299467</v>
      </c>
      <c r="C6" s="63">
        <f>Assumptions!$B$18+(Assumptions!$E$13-Assumptions!$B$18)*C4/Assumptions!$B$21</f>
        <v>0.42944</v>
      </c>
      <c r="D6" s="63">
        <f>Assumptions!$B$18+(Assumptions!$E$13-Assumptions!$B$18)*D4/Assumptions!$B$21</f>
        <v>0.42068</v>
      </c>
      <c r="E6" s="63">
        <f>Assumptions!$B$18+(Assumptions!$E$13-Assumptions!$B$18)*E4/Assumptions!$B$21</f>
        <v>0.41192</v>
      </c>
      <c r="F6" s="63">
        <f>Assumptions!$B$18+(Assumptions!$E$13-Assumptions!$B$18)*F4/Assumptions!$B$21</f>
        <v>0.40316</v>
      </c>
      <c r="G6" s="63">
        <f>Assumptions!$B$18+(Assumptions!$E$13-Assumptions!$B$18)*G4/Assumptions!$B$21</f>
        <v>0.3944</v>
      </c>
      <c r="H6" s="63">
        <f>Assumptions!$B$18+(Assumptions!$E$13-Assumptions!$B$18)*H4/Assumptions!$B$21</f>
        <v>0.38564</v>
      </c>
      <c r="I6" s="63">
        <f>Assumptions!$B$18+(Assumptions!$E$13-Assumptions!$B$18)*I4/Assumptions!$B$21</f>
        <v>0.37688</v>
      </c>
      <c r="J6" s="63">
        <f>Assumptions!$B$18+(Assumptions!$E$13-Assumptions!$B$18)*J4/Assumptions!$B$21</f>
        <v>0.36812</v>
      </c>
      <c r="K6" s="63">
        <f>Assumptions!$B$18+(Assumptions!$E$13-Assumptions!$B$18)*K4/Assumptions!$B$21</f>
        <v>0.35936</v>
      </c>
      <c r="L6" s="63">
        <f>Assumptions!$B$18+(Assumptions!$E$13-Assumptions!$B$18)*L4/Assumptions!$B$21</f>
        <v>0.3506</v>
      </c>
    </row>
    <row r="7">
      <c r="A7" s="14" t="inlineStr">
        <is>
          <t>Revenue</t>
        </is>
      </c>
      <c r="B7" s="55">
        <f>'Yearly Model'!T2</f>
        <v>510.173</v>
      </c>
      <c r="C7" s="55">
        <f>'Yearly Model'!U2</f>
        <v>514.7135397</v>
      </c>
      <c r="D7" s="55">
        <f>'Yearly Model'!V2</f>
        <v>520.21525553546</v>
      </c>
      <c r="E7" s="55">
        <f>'Yearly Model'!W2</f>
        <v>526.7063858906413</v>
      </c>
      <c r="F7" s="55">
        <f>'Yearly Model'!X2</f>
        <v>534.2207303293478</v>
      </c>
      <c r="G7" s="55">
        <f>'Yearly Model'!Y2</f>
        <v>542.7979409440801</v>
      </c>
      <c r="H7" s="55">
        <f>'Yearly Model'!Z2</f>
        <v>552.4838686458156</v>
      </c>
      <c r="I7" s="55">
        <f>'Yearly Model'!AA2</f>
        <v>563.3309686002285</v>
      </c>
      <c r="J7" s="55">
        <f>'Yearly Model'!AB2</f>
        <v>575.3987697942423</v>
      </c>
      <c r="K7" s="55">
        <f>'Yearly Model'!AC2</f>
        <v>588.7544145731331</v>
      </c>
      <c r="L7" s="55">
        <f>'Yearly Model'!AD2</f>
        <v>603.4732749374614</v>
      </c>
    </row>
    <row r="8">
      <c r="A8" s="14" t="inlineStr">
        <is>
          <t>Operating income</t>
        </is>
      </c>
      <c r="B8" s="55">
        <f>'Yearly Model'!T8</f>
        <v>191.44299999999998</v>
      </c>
      <c r="C8" s="55">
        <f>'Yearly Model'!U8</f>
        <v>221.038582488768</v>
      </c>
      <c r="D8" s="55">
        <f>'Yearly Model'!V8</f>
        <v>218.8441536986573</v>
      </c>
      <c r="E8" s="55">
        <f>'Yearly Model'!W8</f>
        <v>216.96089447607295</v>
      </c>
      <c r="F8" s="55">
        <f>'Yearly Model'!X8</f>
        <v>215.37642963957987</v>
      </c>
      <c r="G8" s="55">
        <f>'Yearly Model'!Y8</f>
        <v>214.07950790834516</v>
      </c>
      <c r="H8" s="55">
        <f>'Yearly Model'!Z8</f>
        <v>213.05987910457233</v>
      </c>
      <c r="I8" s="55">
        <f>'Yearly Model'!AA8</f>
        <v>212.30817544605412</v>
      </c>
      <c r="J8" s="55">
        <f>'Yearly Model'!AB8</f>
        <v>211.81579513665648</v>
      </c>
      <c r="K8" s="55">
        <f>'Yearly Model'!AC8</f>
        <v>211.5747864210011</v>
      </c>
      <c r="L8" s="55">
        <f>'Yearly Model'!AD8</f>
        <v>211.57773019307396</v>
      </c>
    </row>
    <row r="9">
      <c r="A9" s="14" t="inlineStr">
        <is>
          <t>Tax on operating income</t>
        </is>
      </c>
      <c r="C9" s="52">
        <f>MAX(0,C8)*Assumptions!$E$14</f>
        <v>37.57655902309056</v>
      </c>
      <c r="D9" s="52">
        <f>MAX(0,D8)*Assumptions!$E$14</f>
        <v>37.20350612877174</v>
      </c>
      <c r="E9" s="52">
        <f>MAX(0,E8)*Assumptions!$E$14</f>
        <v>36.8833520609324</v>
      </c>
      <c r="F9" s="52">
        <f>MAX(0,F8)*Assumptions!$E$14</f>
        <v>36.61399303872858</v>
      </c>
      <c r="G9" s="52">
        <f>MAX(0,G8)*Assumptions!$E$14</f>
        <v>36.39351634441868</v>
      </c>
      <c r="H9" s="52">
        <f>MAX(0,H8)*Assumptions!$E$14</f>
        <v>36.2201794477773</v>
      </c>
      <c r="I9" s="52">
        <f>MAX(0,I8)*Assumptions!$E$14</f>
        <v>36.0923898258292</v>
      </c>
      <c r="J9" s="52">
        <f>MAX(0,J8)*Assumptions!$E$14</f>
        <v>36.008685173231605</v>
      </c>
      <c r="K9" s="52">
        <f>MAX(0,K8)*Assumptions!$E$14</f>
        <v>35.96771369157019</v>
      </c>
      <c r="L9" s="52">
        <f>MAX(0,L8)*Assumptions!$E$14</f>
        <v>35.968214132822574</v>
      </c>
    </row>
    <row r="10">
      <c r="A10" s="14" t="inlineStr">
        <is>
          <t>NOPAT</t>
        </is>
      </c>
      <c r="C10" s="52">
        <f>C8-C9</f>
        <v>183.46202346567742</v>
      </c>
      <c r="D10" s="52">
        <f>D8-D9</f>
        <v>181.64064756988554</v>
      </c>
      <c r="E10" s="52">
        <f>E8-E9</f>
        <v>180.07754241514056</v>
      </c>
      <c r="F10" s="52">
        <f>F8-F9</f>
        <v>178.7624366008513</v>
      </c>
      <c r="G10" s="52">
        <f>G8-G9</f>
        <v>177.68599156392648</v>
      </c>
      <c r="H10" s="52">
        <f>H8-H9</f>
        <v>176.83969965679503</v>
      </c>
      <c r="I10" s="52">
        <f>I8-I9</f>
        <v>176.21578562022492</v>
      </c>
      <c r="J10" s="52">
        <f>J8-J9</f>
        <v>175.80710996342486</v>
      </c>
      <c r="K10" s="52">
        <f>K8-K9</f>
        <v>175.6070727294309</v>
      </c>
      <c r="L10" s="52">
        <f>L8-L9</f>
        <v>175.6095160602514</v>
      </c>
    </row>
    <row r="11">
      <c r="A11" s="14" t="inlineStr">
        <is>
          <t>Reinvestment</t>
        </is>
      </c>
      <c r="C11" s="52">
        <f>(C7-B7)*Assumptions!$E$15</f>
        <v>1.1351349249999885</v>
      </c>
      <c r="D11" s="52">
        <f>(D7-C7)*Assumptions!$E$15</f>
        <v>1.375428958865001</v>
      </c>
      <c r="E11" s="52">
        <f>(E7-D7)*Assumptions!$E$15</f>
        <v>1.6227825887953315</v>
      </c>
      <c r="F11" s="52">
        <f>(F7-E7)*Assumptions!$E$15</f>
        <v>1.8785861096766325</v>
      </c>
      <c r="G11" s="52">
        <f>(G7-F7)*Assumptions!$E$15</f>
        <v>2.14430265368307</v>
      </c>
      <c r="H11" s="52">
        <f>(H7-G7)*Assumptions!$E$15</f>
        <v>2.4214819254338806</v>
      </c>
      <c r="I11" s="52">
        <f>(I7-H7)*Assumptions!$E$15</f>
        <v>2.7117749886032243</v>
      </c>
      <c r="J11" s="52">
        <f>(J7-I7)*Assumptions!$E$15</f>
        <v>3.0169502985034455</v>
      </c>
      <c r="K11" s="52">
        <f>(K7-J7)*Assumptions!$E$15</f>
        <v>3.338911194722698</v>
      </c>
      <c r="L11" s="52">
        <f>(L7-K7)*Assumptions!$E$15</f>
        <v>3.6797150910820733</v>
      </c>
    </row>
    <row r="12">
      <c r="A12" s="20" t="inlineStr">
        <is>
          <t>Free cash flow</t>
        </is>
      </c>
      <c r="C12" s="64">
        <f>C10-C11</f>
        <v>182.32688854067743</v>
      </c>
      <c r="D12" s="64">
        <f>D10-D11</f>
        <v>180.26521861102054</v>
      </c>
      <c r="E12" s="64">
        <f>E10-E11</f>
        <v>178.45475982634522</v>
      </c>
      <c r="F12" s="64">
        <f>F10-F11</f>
        <v>176.88385049117466</v>
      </c>
      <c r="G12" s="64">
        <f>G10-G11</f>
        <v>175.5416889102434</v>
      </c>
      <c r="H12" s="64">
        <f>H10-H11</f>
        <v>174.41821773136115</v>
      </c>
      <c r="I12" s="64">
        <f>I10-I11</f>
        <v>173.5040106316217</v>
      </c>
      <c r="J12" s="64">
        <f>J10-J11</f>
        <v>172.79015966492142</v>
      </c>
      <c r="K12" s="64">
        <f>K10-K11</f>
        <v>172.2681615347082</v>
      </c>
      <c r="L12" s="64">
        <f>L10-L11</f>
        <v>171.92980096916932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89.52488283661866</v>
      </c>
      <c r="D16" s="64">
        <f>D12*D13*D15</f>
        <v>162.33162516932794</v>
      </c>
      <c r="E16" s="64">
        <f>E12*E13*E15</f>
        <v>144.77592698608188</v>
      </c>
      <c r="F16" s="64">
        <f>F12*F13*F15</f>
        <v>129.28061905229072</v>
      </c>
      <c r="G16" s="64">
        <f>G12*G13*G15</f>
        <v>115.58528098188971</v>
      </c>
      <c r="H16" s="64">
        <f>H12*H13*H15</f>
        <v>103.46444351916853</v>
      </c>
      <c r="I16" s="64">
        <f>I12*I13*I15</f>
        <v>92.72264701876165</v>
      </c>
      <c r="J16" s="64">
        <f>J12*J13*J15</f>
        <v>83.19023099703563</v>
      </c>
      <c r="K16" s="64">
        <f>K12*K13*K15</f>
        <v>74.71974212863647</v>
      </c>
      <c r="L16" s="64">
        <f>L12*L13*L15</f>
        <v>67.18286605659348</v>
      </c>
    </row>
    <row r="19">
      <c r="A19" s="14" t="inlineStr">
        <is>
          <t>PV of forecast free cash flow</t>
        </is>
      </c>
      <c r="B19" s="52">
        <f>SUM(C16:L16)</f>
        <v>1062.7782647464046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176.22804599339855</v>
      </c>
    </row>
    <row r="21">
      <c r="A21" s="14" t="inlineStr">
        <is>
          <t>Terminal value</t>
        </is>
      </c>
      <c r="B21" s="52">
        <f>B20/(Assumptions!$E$10-Assumptions!$E$11)</f>
        <v>2073.271129334101</v>
      </c>
    </row>
    <row r="22">
      <c r="A22" s="14" t="inlineStr">
        <is>
          <t>PV of terminal value</t>
        </is>
      </c>
      <c r="B22" s="52">
        <f>B21/(1+Assumptions!$E$10)^(L14+0.5)</f>
        <v>768.9568630301706</v>
      </c>
    </row>
    <row r="23">
      <c r="A23" s="20" t="inlineStr">
        <is>
          <t>Enterprise value</t>
        </is>
      </c>
      <c r="B23" s="66">
        <f>B19+B22</f>
        <v>1831.7351277765752</v>
      </c>
    </row>
    <row r="24">
      <c r="A24" s="14" t="inlineStr">
        <is>
          <t>Cash &amp; investments</t>
        </is>
      </c>
      <c r="B24" s="55">
        <f>Main!C7</f>
        <v>136.02</v>
      </c>
    </row>
    <row r="25">
      <c r="A25" s="14" t="inlineStr">
        <is>
          <t>Debt</t>
        </is>
      </c>
      <c r="B25" s="55">
        <f>Main!C8</f>
        <v>196.589</v>
      </c>
    </row>
    <row r="26">
      <c r="A26" s="20" t="inlineStr">
        <is>
          <t>Equity value</t>
        </is>
      </c>
      <c r="B26" s="66">
        <f>B23+B24-B25</f>
        <v>1771.1661277765752</v>
      </c>
    </row>
    <row r="27">
      <c r="A27" s="14" t="inlineStr">
        <is>
          <t>Shares (mm)</t>
        </is>
      </c>
      <c r="B27" s="55">
        <f>Main!C4</f>
        <v>223.98468</v>
      </c>
    </row>
    <row r="28">
      <c r="A28" s="20" t="inlineStr">
        <is>
          <t>NPV / share</t>
        </is>
      </c>
      <c r="B28" s="49">
        <f>B26/B27</f>
        <v>7.907532460597641</v>
      </c>
    </row>
    <row r="29">
      <c r="A29" s="14" t="inlineStr">
        <is>
          <t>Price</t>
        </is>
      </c>
      <c r="B29" s="50">
        <f>Main!C3</f>
        <v>11.23</v>
      </c>
    </row>
    <row r="30">
      <c r="A30" s="14" t="inlineStr">
        <is>
          <t>Upside</t>
        </is>
      </c>
      <c r="B30" s="63">
        <f>B28/B29-1</f>
        <v>-0.29585641490671055</v>
      </c>
    </row>
    <row r="31">
      <c r="A31" s="14" t="inlineStr">
        <is>
          <t>Terminal value, % of EV</t>
        </is>
      </c>
      <c r="B31" s="63">
        <f>IFERROR(B22/B23,0)</f>
        <v>0.41979697357420753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2026-10-21T01:04:20Z</dcterms:modified>
  <cp:lastModifiedBy>Wang, Eric</cp:lastModifiedBy>
</cp:coreProperties>
</file>