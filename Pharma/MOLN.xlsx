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Molecular Partners AG</t>
        </is>
      </c>
      <c r="C2" s="10" t="n"/>
    </row>
    <row r="3">
      <c r="B3" t="inlineStr">
        <is>
          <t>Price</t>
        </is>
      </c>
      <c r="C3" s="11">
        <f>INDEX([1]Pharma!$F$1:$F$1000,MATCH("MOLN",[1]Pharma!$B$1:$B$1000,0))</f>
        <v>3.7</v>
      </c>
      <c r="F3" s="1" t="n"/>
    </row>
    <row r="4">
      <c r="B4" t="inlineStr">
        <is>
          <t>Shares</t>
        </is>
      </c>
      <c r="C4" s="21" t="n">
        <v>40.374641</v>
      </c>
      <c r="F4" s="1" t="n"/>
    </row>
    <row r="5">
      <c r="B5" t="inlineStr">
        <is>
          <t>Market Cap.</t>
        </is>
      </c>
      <c r="C5" s="13">
        <f>C3*C4</f>
        <v>149.3861717</v>
      </c>
      <c r="F5" s="1" t="n"/>
    </row>
    <row r="6"/>
    <row r="7">
      <c r="B7" t="inlineStr">
        <is>
          <t>Cash</t>
        </is>
      </c>
      <c r="C7" s="21">
        <f>(82.653+10.405)/0.82396</f>
        <v>112.93994854119133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36.44622315880868</v>
      </c>
    </row>
    <row r="10"/>
    <row r="11">
      <c r="B11" s="14" t="inlineStr">
        <is>
          <t>Net Cash / Share</t>
        </is>
      </c>
      <c r="C11" s="11">
        <f>(C7-C8)/C4</f>
        <v>2.7972991398534375</v>
      </c>
    </row>
    <row r="12">
      <c r="B12" s="14" t="inlineStr">
        <is>
          <t>Upside</t>
        </is>
      </c>
      <c r="C12" s="15">
        <f>IFERROR(C11/C3-1,"")</f>
        <v>-0.24397320544501688</v>
      </c>
    </row>
    <row r="13">
      <c r="B13" s="14" t="inlineStr">
        <is>
          <t>Cash / Share</t>
        </is>
      </c>
      <c r="C13" s="11">
        <f>IFERROR((C7-C8)/C4,"")</f>
        <v>2.7972991398534375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-62.208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1.8155212921359203</v>
      </c>
    </row>
    <row r="19">
      <c r="B19" s="14" t="inlineStr">
        <is>
          <t>Implied Pipeline Value</t>
        </is>
      </c>
      <c r="C19" s="13">
        <f>C9</f>
        <v>36.44622315880868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24.738</v>
      </c>
      <c r="C2" s="23" t="n">
        <v>11.34</v>
      </c>
      <c r="D2" s="23" t="n">
        <v>11.838</v>
      </c>
      <c r="E2" s="23" t="n">
        <v>230.108</v>
      </c>
      <c r="F2" s="23" t="n">
        <v>8.542</v>
      </c>
      <c r="G2" s="23" t="n">
        <v>6.032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24.738</v>
      </c>
      <c r="C4" s="23">
        <f>C2-C3</f>
        <v>11.34</v>
      </c>
      <c r="D4" s="23">
        <f>D2-D3</f>
        <v>11.838</v>
      </c>
      <c r="E4" s="23">
        <f>E2-E3</f>
        <v>230.108</v>
      </c>
      <c r="F4" s="23">
        <f>F2-F3</f>
        <v>8.542</v>
      </c>
      <c r="G4" s="23">
        <f>G2-G3</f>
        <v>6.032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52.791</v>
      </c>
      <c r="C5" s="23" t="n">
        <v>68.05500000000001</v>
      </c>
      <c r="D5" s="23" t="n">
        <v>67.622</v>
      </c>
      <c r="E5" s="23" t="n">
        <v>61.592</v>
      </c>
      <c r="F5" s="23" t="n">
        <v>59.207</v>
      </c>
      <c r="G5" s="23" t="n">
        <v>58.988</v>
      </c>
      <c r="H5" s="23" t="n">
        <v>48.781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16.439</v>
      </c>
      <c r="C6" s="23" t="n">
        <v>14.072</v>
      </c>
      <c r="D6" s="23" t="n">
        <v>21.183</v>
      </c>
      <c r="E6" s="23" t="n">
        <v>26.989</v>
      </c>
      <c r="F6" s="23" t="n">
        <v>23.499</v>
      </c>
      <c r="G6" s="23" t="n">
        <v>21.34</v>
      </c>
      <c r="H6" s="23" t="n">
        <v>21.761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69.22999999999999</v>
      </c>
      <c r="C7" s="23">
        <f>SUM(C5:C6)</f>
        <v>82.12700000000001</v>
      </c>
      <c r="D7" s="23">
        <f>SUM(D5:D6)</f>
        <v>88.805</v>
      </c>
      <c r="E7" s="23">
        <f>SUM(E5:E6)</f>
        <v>88.581</v>
      </c>
      <c r="F7" s="23">
        <f>SUM(F5:F6)</f>
        <v>82.706</v>
      </c>
      <c r="G7" s="23">
        <f>SUM(G5:G6)</f>
        <v>80.328</v>
      </c>
      <c r="H7" s="23">
        <f>SUM(H5:H6)</f>
        <v>70.542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-44.49199999999999</v>
      </c>
      <c r="C8" s="23">
        <f>C4-C7</f>
        <v>-70.787</v>
      </c>
      <c r="D8" s="23">
        <f>D4-D7</f>
        <v>-76.96700000000001</v>
      </c>
      <c r="E8" s="23">
        <f>E4-E7</f>
        <v>141.527</v>
      </c>
      <c r="F8" s="23">
        <f>F4-F7</f>
        <v>-74.164</v>
      </c>
      <c r="G8" s="23">
        <f>G4-G7</f>
        <v>-74.296</v>
      </c>
      <c r="H8" s="23">
        <f>H4-H7</f>
        <v>-70.542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0.472</v>
      </c>
      <c r="C9" s="23" t="n">
        <v>-5.4</v>
      </c>
      <c r="D9" s="23" t="n">
        <v>-0.443</v>
      </c>
      <c r="E9" s="23" t="n">
        <v>1.505</v>
      </c>
      <c r="F9" s="23" t="n">
        <v>-1.063</v>
      </c>
      <c r="G9" s="23" t="n">
        <v>8.709</v>
      </c>
      <c r="H9" s="23" t="n">
        <v>-4.278</v>
      </c>
    </row>
    <row r="10">
      <c r="A10" s="2" t="inlineStr">
        <is>
          <t>Pretax</t>
        </is>
      </c>
      <c r="B10" s="23">
        <f>B8+B9</f>
        <v>-44.01999999999999</v>
      </c>
      <c r="C10" s="23">
        <f>C8+C9</f>
        <v>-76.18700000000001</v>
      </c>
      <c r="D10" s="23">
        <f>D8+D9</f>
        <v>-77.41000000000001</v>
      </c>
      <c r="E10" s="23">
        <f>E8+E9</f>
        <v>143.03199999999998</v>
      </c>
      <c r="F10" s="23">
        <f>F8+F9</f>
        <v>-75.227</v>
      </c>
      <c r="G10" s="23">
        <f>G8+G9</f>
        <v>-65.587</v>
      </c>
      <c r="H10" s="23">
        <f>H8+H9</f>
        <v>-74.82000000000001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0.021</v>
      </c>
      <c r="C11" s="23" t="n">
        <v>-0.013</v>
      </c>
      <c r="D11" s="23" t="n">
        <v>0.002</v>
      </c>
      <c r="E11" s="23" t="n">
        <v>0</v>
      </c>
      <c r="F11" s="23" t="n">
        <v>0</v>
      </c>
      <c r="G11" s="23" t="n">
        <v>0.002</v>
      </c>
      <c r="H11" s="23" t="n">
        <v>0.002</v>
      </c>
    </row>
    <row r="12">
      <c r="A12" s="2" t="inlineStr">
        <is>
          <t>Net Income</t>
        </is>
      </c>
      <c r="B12" s="23" t="n">
        <v>-44.041</v>
      </c>
      <c r="C12" s="23" t="n">
        <v>-76.17400000000001</v>
      </c>
      <c r="D12" s="23" t="n">
        <v>-77.413</v>
      </c>
      <c r="E12" s="23" t="n">
        <v>143.032</v>
      </c>
      <c r="F12" s="23" t="n">
        <v>-75.227</v>
      </c>
      <c r="G12" s="23" t="n">
        <v>-65.589</v>
      </c>
      <c r="H12" s="23" t="n">
        <v>-74.82299999999999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-2.056741231961892</v>
      </c>
      <c r="C13" s="11">
        <f>IFERROR(C12/C14,0)</f>
        <v>-3.046838126474941</v>
      </c>
      <c r="D13" s="11">
        <f>IFERROR(D12/D14,0)</f>
        <v>-2.4967908401870664</v>
      </c>
      <c r="E13" s="11">
        <f>IFERROR(E12/E14,0)</f>
        <v>4.299645283472615</v>
      </c>
      <c r="F13" s="11">
        <f>IFERROR(F12/F14,0)</f>
        <v>-2.295535687040371</v>
      </c>
      <c r="G13" s="11">
        <f>IFERROR(G12/G14,0)</f>
        <v>-1.9272177004671935</v>
      </c>
      <c r="H13" s="11">
        <f>IFERROR(H12/H14,0)</f>
        <v>-2.007539373775858</v>
      </c>
    </row>
    <row r="14">
      <c r="A14" s="2" t="inlineStr">
        <is>
          <t>Shares</t>
        </is>
      </c>
      <c r="B14" s="23" t="n">
        <v>21.413</v>
      </c>
      <c r="C14" s="23" t="n">
        <v>25.001</v>
      </c>
      <c r="D14" s="23" t="n">
        <v>31.005</v>
      </c>
      <c r="E14" s="23" t="n">
        <v>33.266</v>
      </c>
      <c r="F14" s="23" t="n">
        <v>32.771</v>
      </c>
      <c r="G14" s="23" t="n">
        <v>34.033</v>
      </c>
      <c r="H14" s="23" t="n">
        <v>37.271</v>
      </c>
    </row>
    <row r="15"/>
    <row r="16" customFormat="1" s="4">
      <c r="A16" s="3" t="inlineStr">
        <is>
          <t>Revenue Change</t>
        </is>
      </c>
      <c r="C16" s="15">
        <f>IFERROR(C2/B2-1,"")</f>
        <v>-0.5415959252971138</v>
      </c>
      <c r="D16" s="15">
        <f>IFERROR(D2/C2-1,"")</f>
        <v>0.04391534391534391</v>
      </c>
      <c r="E16" s="15">
        <f>IFERROR(E2/D2-1,"")</f>
        <v>18.43808075688461</v>
      </c>
      <c r="F16" s="15">
        <f>IFERROR(F2/E2-1,"")</f>
        <v>-0.9628783006240548</v>
      </c>
      <c r="G16" s="15">
        <f>IFERROR(G2/F2-1,"")</f>
        <v>-0.2938421915242332</v>
      </c>
      <c r="H16" s="15">
        <f>IFERROR(H2/G2-1,"")</f>
        <v>-1.0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-1.798528579513299</v>
      </c>
      <c r="C18" s="15">
        <f>IFERROR(C8/C2,"")</f>
        <v>-6.242239858906526</v>
      </c>
      <c r="D18" s="15">
        <f>IFERROR(D8/D2,"")</f>
        <v>-6.501689474573409</v>
      </c>
      <c r="E18" s="15">
        <f>IFERROR(E8/E2,"")</f>
        <v>0.6150459784101378</v>
      </c>
      <c r="F18" s="15">
        <f>IFERROR(F8/F2,"")</f>
        <v>-8.682275813626786</v>
      </c>
      <c r="G18" s="15">
        <f>IFERROR(G8/G2,"")</f>
        <v>-12.316976127320956</v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2026-10-21T01:05:47Z</dcterms:modified>
  <cp:lastModifiedBy>Wang, Eric</cp:lastModifiedBy>
</cp:coreProperties>
</file>