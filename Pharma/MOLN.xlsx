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Molecular Partners AG</t>
        </is>
      </c>
      <c r="C2" s="10" t="n"/>
    </row>
    <row r="3">
      <c r="B3" t="inlineStr">
        <is>
          <t>Price</t>
        </is>
      </c>
      <c r="C3" s="11">
        <f>INDEX([1]Pharma!$F$1:$F$1000,MATCH("MOLN",[1]Pharma!$B$1:$B$1000,0))</f>
        <v>3.7</v>
      </c>
      <c r="F3" s="1" t="n"/>
    </row>
    <row r="4">
      <c r="B4" t="inlineStr">
        <is>
          <t>Shares</t>
        </is>
      </c>
      <c r="C4" s="21" t="n">
        <v>40.374641</v>
      </c>
      <c r="F4" s="1" t="n"/>
    </row>
    <row r="5">
      <c r="B5" t="inlineStr">
        <is>
          <t>Market Cap.</t>
        </is>
      </c>
      <c r="C5" s="13">
        <f>C3*C4</f>
        <v>149.3861717</v>
      </c>
      <c r="F5" s="1" t="n"/>
    </row>
    <row r="6"/>
    <row r="7">
      <c r="B7" t="inlineStr">
        <is>
          <t>Cash</t>
        </is>
      </c>
      <c r="C7" s="21">
        <f>(82.653+10.405)/0.82396</f>
        <v>112.93994854119133</v>
      </c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36.44622315880868</v>
      </c>
    </row>
    <row r="10"/>
    <row r="11">
      <c r="B11" s="14" t="inlineStr">
        <is>
          <t>rNPV / Share</t>
        </is>
      </c>
      <c r="C11" s="11">
        <f>NPV!B27</f>
        <v>-0.4398169439972675</v>
      </c>
    </row>
    <row r="12">
      <c r="B12" s="14" t="inlineStr">
        <is>
          <t>Upside</t>
        </is>
      </c>
      <c r="C12" s="15">
        <f>IFERROR(C11/C3-1,"")</f>
        <v>-1.1188694443235858</v>
      </c>
    </row>
    <row r="13">
      <c r="B13" s="14" t="inlineStr">
        <is>
          <t>Cash / Share</t>
        </is>
      </c>
      <c r="C13" s="11">
        <f>IFERROR((C7-C8)/C4,"")</f>
        <v>2.7972991398534375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-62.208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1.8155212921359203</v>
      </c>
    </row>
    <row r="19">
      <c r="B19" s="14" t="inlineStr">
        <is>
          <t>Implied Pipeline Value</t>
        </is>
      </c>
      <c r="C19" s="13">
        <f>C9</f>
        <v>36.44622315880868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24.738</v>
      </c>
      <c r="C2" s="23" t="n">
        <v>11.34</v>
      </c>
      <c r="D2" s="23" t="n">
        <v>11.838</v>
      </c>
      <c r="E2" s="23" t="n">
        <v>230.108</v>
      </c>
      <c r="F2" s="23" t="n">
        <v>8.542</v>
      </c>
      <c r="G2" s="23" t="n">
        <v>6.032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24.738</v>
      </c>
      <c r="C4" s="23">
        <f>C2-C3</f>
        <v>11.34</v>
      </c>
      <c r="D4" s="23">
        <f>D2-D3</f>
        <v>11.838</v>
      </c>
      <c r="E4" s="23">
        <f>E2-E3</f>
        <v>230.108</v>
      </c>
      <c r="F4" s="23">
        <f>F2-F3</f>
        <v>8.542</v>
      </c>
      <c r="G4" s="23">
        <f>G2-G3</f>
        <v>6.032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52.791</v>
      </c>
      <c r="C5" s="23" t="n">
        <v>68.05500000000001</v>
      </c>
      <c r="D5" s="23" t="n">
        <v>67.622</v>
      </c>
      <c r="E5" s="23" t="n">
        <v>61.592</v>
      </c>
      <c r="F5" s="23" t="n">
        <v>59.207</v>
      </c>
      <c r="G5" s="23" t="n">
        <v>58.988</v>
      </c>
      <c r="H5" s="23" t="n">
        <v>48.781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16.439</v>
      </c>
      <c r="C6" s="23" t="n">
        <v>14.072</v>
      </c>
      <c r="D6" s="23" t="n">
        <v>21.183</v>
      </c>
      <c r="E6" s="23" t="n">
        <v>26.989</v>
      </c>
      <c r="F6" s="23" t="n">
        <v>23.499</v>
      </c>
      <c r="G6" s="23" t="n">
        <v>21.34</v>
      </c>
      <c r="H6" s="23" t="n">
        <v>21.761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69.22999999999999</v>
      </c>
      <c r="C7" s="23">
        <f>SUM(C5:C6)</f>
        <v>82.12700000000001</v>
      </c>
      <c r="D7" s="23">
        <f>SUM(D5:D6)</f>
        <v>88.805</v>
      </c>
      <c r="E7" s="23">
        <f>SUM(E5:E6)</f>
        <v>88.581</v>
      </c>
      <c r="F7" s="23">
        <f>SUM(F5:F6)</f>
        <v>82.706</v>
      </c>
      <c r="G7" s="23">
        <f>SUM(G5:G6)</f>
        <v>80.328</v>
      </c>
      <c r="H7" s="23">
        <f>SUM(H5:H6)</f>
        <v>70.542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-44.49199999999999</v>
      </c>
      <c r="C8" s="23">
        <f>C4-C7</f>
        <v>-70.787</v>
      </c>
      <c r="D8" s="23">
        <f>D4-D7</f>
        <v>-76.96700000000001</v>
      </c>
      <c r="E8" s="23">
        <f>E4-E7</f>
        <v>141.527</v>
      </c>
      <c r="F8" s="23">
        <f>F4-F7</f>
        <v>-74.164</v>
      </c>
      <c r="G8" s="23">
        <f>G4-G7</f>
        <v>-74.296</v>
      </c>
      <c r="H8" s="23">
        <f>H4-H7</f>
        <v>-70.542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0.472</v>
      </c>
      <c r="C9" s="23" t="n">
        <v>-5.4</v>
      </c>
      <c r="D9" s="23" t="n">
        <v>-0.443</v>
      </c>
      <c r="E9" s="23" t="n">
        <v>1.505</v>
      </c>
      <c r="F9" s="23" t="n">
        <v>-1.063</v>
      </c>
      <c r="G9" s="23" t="n">
        <v>8.709</v>
      </c>
      <c r="H9" s="23" t="n">
        <v>-4.278</v>
      </c>
    </row>
    <row r="10">
      <c r="A10" s="2" t="inlineStr">
        <is>
          <t>Pretax</t>
        </is>
      </c>
      <c r="B10" s="23">
        <f>B8+B9</f>
        <v>-44.01999999999999</v>
      </c>
      <c r="C10" s="23">
        <f>C8+C9</f>
        <v>-76.18700000000001</v>
      </c>
      <c r="D10" s="23">
        <f>D8+D9</f>
        <v>-77.41000000000001</v>
      </c>
      <c r="E10" s="23">
        <f>E8+E9</f>
        <v>143.03199999999998</v>
      </c>
      <c r="F10" s="23">
        <f>F8+F9</f>
        <v>-75.227</v>
      </c>
      <c r="G10" s="23">
        <f>G8+G9</f>
        <v>-65.587</v>
      </c>
      <c r="H10" s="23">
        <f>H8+H9</f>
        <v>-74.82000000000001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0.021</v>
      </c>
      <c r="C11" s="23" t="n">
        <v>-0.013</v>
      </c>
      <c r="D11" s="23" t="n">
        <v>0.002</v>
      </c>
      <c r="E11" s="23" t="n">
        <v>0</v>
      </c>
      <c r="F11" s="23" t="n">
        <v>0</v>
      </c>
      <c r="G11" s="23" t="n">
        <v>0.002</v>
      </c>
      <c r="H11" s="23" t="n">
        <v>0.002</v>
      </c>
    </row>
    <row r="12">
      <c r="A12" s="2" t="inlineStr">
        <is>
          <t>Net Income</t>
        </is>
      </c>
      <c r="B12" s="23" t="n">
        <v>-44.041</v>
      </c>
      <c r="C12" s="23" t="n">
        <v>-76.17400000000001</v>
      </c>
      <c r="D12" s="23" t="n">
        <v>-77.413</v>
      </c>
      <c r="E12" s="23" t="n">
        <v>143.032</v>
      </c>
      <c r="F12" s="23" t="n">
        <v>-75.227</v>
      </c>
      <c r="G12" s="23" t="n">
        <v>-65.589</v>
      </c>
      <c r="H12" s="23" t="n">
        <v>-74.82299999999999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-2.056741231961892</v>
      </c>
      <c r="C13" s="11">
        <f>IFERROR(C12/C14,0)</f>
        <v>-3.046838126474941</v>
      </c>
      <c r="D13" s="11">
        <f>IFERROR(D12/D14,0)</f>
        <v>-2.4967908401870664</v>
      </c>
      <c r="E13" s="11">
        <f>IFERROR(E12/E14,0)</f>
        <v>4.299645283472615</v>
      </c>
      <c r="F13" s="11">
        <f>IFERROR(F12/F14,0)</f>
        <v>-2.295535687040371</v>
      </c>
      <c r="G13" s="11">
        <f>IFERROR(G12/G14,0)</f>
        <v>-1.9272177004671935</v>
      </c>
      <c r="H13" s="11">
        <f>IFERROR(H12/H14,0)</f>
        <v>-2.007539373775858</v>
      </c>
    </row>
    <row r="14">
      <c r="A14" s="2" t="inlineStr">
        <is>
          <t>Shares</t>
        </is>
      </c>
      <c r="B14" s="23" t="n">
        <v>21.413</v>
      </c>
      <c r="C14" s="23" t="n">
        <v>25.001</v>
      </c>
      <c r="D14" s="23" t="n">
        <v>31.005</v>
      </c>
      <c r="E14" s="23" t="n">
        <v>33.266</v>
      </c>
      <c r="F14" s="23" t="n">
        <v>32.771</v>
      </c>
      <c r="G14" s="23" t="n">
        <v>34.033</v>
      </c>
      <c r="H14" s="23" t="n">
        <v>37.271</v>
      </c>
    </row>
    <row r="15"/>
    <row r="16" customFormat="1" s="4">
      <c r="A16" s="3" t="inlineStr">
        <is>
          <t>Revenue Change</t>
        </is>
      </c>
      <c r="C16" s="15">
        <f>IFERROR(C2/B2-1,"")</f>
        <v>-0.5415959252971138</v>
      </c>
      <c r="D16" s="15">
        <f>IFERROR(D2/C2-1,"")</f>
        <v>0.04391534391534391</v>
      </c>
      <c r="E16" s="15">
        <f>IFERROR(E2/D2-1,"")</f>
        <v>18.43808075688461</v>
      </c>
      <c r="F16" s="15">
        <f>IFERROR(F2/E2-1,"")</f>
        <v>-0.9628783006240548</v>
      </c>
      <c r="G16" s="15">
        <f>IFERROR(G2/F2-1,"")</f>
        <v>-0.2938421915242332</v>
      </c>
      <c r="H16" s="15">
        <f>IFERROR(H2/G2-1,"")</f>
        <v>-1.0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-1.798528579513299</v>
      </c>
      <c r="C18" s="15">
        <f>IFERROR(C8/C2,"")</f>
        <v>-6.242239858906526</v>
      </c>
      <c r="D18" s="15">
        <f>IFERROR(D8/D2,"")</f>
        <v>-6.501689474573409</v>
      </c>
      <c r="E18" s="15">
        <f>IFERROR(E8/E2,"")</f>
        <v>0.6150459784101378</v>
      </c>
      <c r="F18" s="15">
        <f>IFERROR(F8/F2,"")</f>
        <v>-8.682275813626786</v>
      </c>
      <c r="G18" s="15">
        <f>IFERROR(G8/G2,"")</f>
        <v>-12.316976127320956</v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Molecular Partners AG: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1-PRODUCT(Pipeline!AG4:AG5)</f>
        <v>0.12412641999999996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70.542</v>
      </c>
    </row>
    <row r="19">
      <c r="A19" s="14" t="inlineStr">
        <is>
          <t>Years of full burn (until the first launch, max 4)</t>
        </is>
      </c>
      <c r="B19" s="39">
        <f>MIN(4,MAX(1,MIN(Pipeline!I4:I5)-2026))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413.3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-130.6973997607981</v>
      </c>
      <c r="C29" s="42">
        <f>NPV!B25</f>
        <v>-17.75745121960678</v>
      </c>
      <c r="D29" s="43">
        <f>NPV!B27</f>
        <v>-0.4398169439972675</v>
      </c>
      <c r="E29" s="44">
        <f>NPV!B29</f>
        <v>-1.1188694443235858</v>
      </c>
    </row>
    <row r="30">
      <c r="A30" s="45" t="n">
        <v>1</v>
      </c>
      <c r="B30" s="46">
        <f t="dataTable" ref="B30:E32" r1="B4"/>
        <v>-186.62140776517046</v>
      </c>
      <c r="C30" s="46">
        <v>-73.68145922397913</v>
      </c>
      <c r="D30" s="47">
        <v>-1.8249440093839877</v>
      </c>
      <c r="E30" s="48">
        <v>-1.493228110644321</v>
      </c>
    </row>
    <row r="31">
      <c r="A31" s="45" t="n">
        <v>2</v>
      </c>
      <c r="B31" s="46">
        <v>-130.6973997607981</v>
      </c>
      <c r="C31" s="46">
        <v>-17.75745121960678</v>
      </c>
      <c r="D31" s="47">
        <v>-0.4398169439972675</v>
      </c>
      <c r="E31" s="48">
        <v>-1.1188694443235858</v>
      </c>
    </row>
    <row r="32">
      <c r="A32" s="45" t="n">
        <v>3</v>
      </c>
      <c r="B32" s="46">
        <v>-32.67139575153759</v>
      </c>
      <c r="C32" s="46">
        <v>80.26855278965374</v>
      </c>
      <c r="D32" s="47">
        <v>1.9880932883007862</v>
      </c>
      <c r="E32" s="48">
        <v>-0.46267748964843614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-0.4398169439972675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-2.1990740552250037</v>
      </c>
      <c r="C37" s="47">
        <v>-1.796435332727445</v>
      </c>
      <c r="D37" s="47">
        <v>-1.3937966102298858</v>
      </c>
      <c r="E37" s="47">
        <v>-0.588519165234768</v>
      </c>
      <c r="F37" s="47">
        <v>0.216758279760349</v>
      </c>
    </row>
    <row r="38">
      <c r="A38" s="50" t="n">
        <v>0.8</v>
      </c>
      <c r="B38" s="47">
        <v>-1.9909008062868105</v>
      </c>
      <c r="C38" s="47">
        <v>-1.4540491762900654</v>
      </c>
      <c r="D38" s="47">
        <v>-0.9171975462933202</v>
      </c>
      <c r="E38" s="47">
        <v>0.15650571370017016</v>
      </c>
      <c r="F38" s="47">
        <v>1.167739178062831</v>
      </c>
    </row>
    <row r="39">
      <c r="A39" s="50" t="n">
        <v>1</v>
      </c>
      <c r="B39" s="47">
        <v>-1.7819460189891296</v>
      </c>
      <c r="C39" s="47">
        <v>-1.110881481493198</v>
      </c>
      <c r="D39" s="47">
        <v>-0.4398169439972675</v>
      </c>
      <c r="E39" s="47">
        <v>0.8770975540007446</v>
      </c>
      <c r="F39" s="47">
        <v>2.0423656737455973</v>
      </c>
    </row>
    <row r="40">
      <c r="A40" s="50" t="n">
        <v>1.2</v>
      </c>
      <c r="B40" s="47">
        <v>-1.5722096933319611</v>
      </c>
      <c r="C40" s="47">
        <v>-0.7669322483368427</v>
      </c>
      <c r="D40" s="47">
        <v>0.03834519665827465</v>
      </c>
      <c r="E40" s="47">
        <v>1.5279450432505228</v>
      </c>
      <c r="F40" s="47">
        <v>2.899230697256567</v>
      </c>
    </row>
    <row r="41">
      <c r="A41" s="50" t="n">
        <v>1.4</v>
      </c>
      <c r="B41" s="47">
        <v>-1.3616918293153022</v>
      </c>
      <c r="C41" s="47">
        <v>-0.42220147682099846</v>
      </c>
      <c r="D41" s="47">
        <v>0.5172888756733042</v>
      </c>
      <c r="E41" s="47">
        <v>2.166983262748659</v>
      </c>
      <c r="F41" s="47">
        <v>3.7448769582449843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Molecular Partners AG: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Leukemia</t>
        </is>
      </c>
      <c r="C4" s="14" t="inlineStr">
        <is>
          <t>MP0533 (multispecific DARPin CD3 Engager Targeting CD33, CD1</t>
        </is>
      </c>
      <c r="D4" s="14" t="inlineStr">
        <is>
          <t>Phase 1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0.0527</v>
      </c>
      <c r="I4" s="26" t="n">
        <v>2033</v>
      </c>
      <c r="J4" s="39">
        <f>I4+Assumptions!$B$25</f>
        <v>2045.0</v>
      </c>
      <c r="K4" s="53">
        <f>Assumptions!$E$13</f>
        <v>0.4</v>
      </c>
      <c r="L4" s="23">
        <f>K4*SUMPRODUCT(M4:AF4,NPV!$C$15:$V$15)</f>
        <v>65.43885454469662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0</v>
      </c>
      <c r="T4" s="23">
        <f>IF(T$3&lt;$I4,0,$G4*Assumptions!$E$11*INDEX(Assumptions!$B$24:$G$24,MIN(6,T$3-$I4+1))*IF(T$3&gt;$J4,(1-Assumptions!$B$26)^(T$3-$J4),1)*IF($H4&gt;=1,1,MIN(0.97,$H4*Assumptions!$E$12)))</f>
        <v>7.904999999999999</v>
      </c>
      <c r="U4" s="23">
        <f>IF(U$3&lt;$I4,0,$G4*Assumptions!$E$11*INDEX(Assumptions!$B$24:$G$24,MIN(6,U$3-$I4+1))*IF(U$3&gt;$J4,(1-Assumptions!$B$26)^(U$3-$J4),1)*IF($H4&gt;=1,1,MIN(0.97,$H4*Assumptions!$E$12)))</f>
        <v>19.7625</v>
      </c>
      <c r="V4" s="23">
        <f>IF(V$3&lt;$I4,0,$G4*Assumptions!$E$11*INDEX(Assumptions!$B$24:$G$24,MIN(6,V$3-$I4+1))*IF(V$3&gt;$J4,(1-Assumptions!$B$26)^(V$3-$J4),1)*IF($H4&gt;=1,1,MIN(0.97,$H4*Assumptions!$E$12)))</f>
        <v>35.5725</v>
      </c>
      <c r="W4" s="23">
        <f>IF(W$3&lt;$I4,0,$G4*Assumptions!$E$11*INDEX(Assumptions!$B$24:$G$24,MIN(6,W$3-$I4+1))*IF(W$3&gt;$J4,(1-Assumptions!$B$26)^(W$3-$J4),1)*IF($H4&gt;=1,1,MIN(0.97,$H4*Assumptions!$E$12)))</f>
        <v>51.3825</v>
      </c>
      <c r="X4" s="23">
        <f>IF(X$3&lt;$I4,0,$G4*Assumptions!$E$11*INDEX(Assumptions!$B$24:$G$24,MIN(6,X$3-$I4+1))*IF(X$3&gt;$J4,(1-Assumptions!$B$26)^(X$3-$J4),1)*IF($H4&gt;=1,1,MIN(0.97,$H4*Assumptions!$E$12)))</f>
        <v>67.1925</v>
      </c>
      <c r="Y4" s="23">
        <f>IF(Y$3&lt;$I4,0,$G4*Assumptions!$E$11*INDEX(Assumptions!$B$24:$G$24,MIN(6,Y$3-$I4+1))*IF(Y$3&gt;$J4,(1-Assumptions!$B$26)^(Y$3-$J4),1)*IF($H4&gt;=1,1,MIN(0.97,$H4*Assumptions!$E$12)))</f>
        <v>79.05</v>
      </c>
      <c r="Z4" s="23">
        <f>IF(Z$3&lt;$I4,0,$G4*Assumptions!$E$11*INDEX(Assumptions!$B$24:$G$24,MIN(6,Z$3-$I4+1))*IF(Z$3&gt;$J4,(1-Assumptions!$B$26)^(Z$3-$J4),1)*IF($H4&gt;=1,1,MIN(0.97,$H4*Assumptions!$E$12)))</f>
        <v>79.05</v>
      </c>
      <c r="AA4" s="23">
        <f>IF(AA$3&lt;$I4,0,$G4*Assumptions!$E$11*INDEX(Assumptions!$B$24:$G$24,MIN(6,AA$3-$I4+1))*IF(AA$3&gt;$J4,(1-Assumptions!$B$26)^(AA$3-$J4),1)*IF($H4&gt;=1,1,MIN(0.97,$H4*Assumptions!$E$12)))</f>
        <v>79.05</v>
      </c>
      <c r="AB4" s="23">
        <f>IF(AB$3&lt;$I4,0,$G4*Assumptions!$E$11*INDEX(Assumptions!$B$24:$G$24,MIN(6,AB$3-$I4+1))*IF(AB$3&gt;$J4,(1-Assumptions!$B$26)^(AB$3-$J4),1)*IF($H4&gt;=1,1,MIN(0.97,$H4*Assumptions!$E$12)))</f>
        <v>79.05</v>
      </c>
      <c r="AC4" s="23">
        <f>IF(AC$3&lt;$I4,0,$G4*Assumptions!$E$11*INDEX(Assumptions!$B$24:$G$24,MIN(6,AC$3-$I4+1))*IF(AC$3&gt;$J4,(1-Assumptions!$B$26)^(AC$3-$J4),1)*IF($H4&gt;=1,1,MIN(0.97,$H4*Assumptions!$E$12)))</f>
        <v>79.05</v>
      </c>
      <c r="AD4" s="23">
        <f>IF(AD$3&lt;$I4,0,$G4*Assumptions!$E$11*INDEX(Assumptions!$B$24:$G$24,MIN(6,AD$3-$I4+1))*IF(AD$3&gt;$J4,(1-Assumptions!$B$26)^(AD$3-$J4),1)*IF($H4&gt;=1,1,MIN(0.97,$H4*Assumptions!$E$12)))</f>
        <v>79.05</v>
      </c>
      <c r="AE4" s="23">
        <f>IF(AE$3&lt;$I4,0,$G4*Assumptions!$E$11*INDEX(Assumptions!$B$24:$G$24,MIN(6,AE$3-$I4+1))*IF(AE$3&gt;$J4,(1-Assumptions!$B$26)^(AE$3-$J4),1)*IF($H4&gt;=1,1,MIN(0.97,$H4*Assumptions!$E$12)))</f>
        <v>79.05</v>
      </c>
      <c r="AF4" s="23">
        <f>IF(AF$3&lt;$I4,0,$G4*Assumptions!$E$11*INDEX(Assumptions!$B$24:$G$24,MIN(6,AF$3-$I4+1))*IF(AF$3&gt;$J4,(1-Assumptions!$B$26)^(AF$3-$J4),1)*IF($H4&gt;=1,1,MIN(0.97,$H4*Assumptions!$E$12)))</f>
        <v>79.05</v>
      </c>
      <c r="AG4" s="35">
        <f>IF(F4="Owned",1-IF(H4&gt;=1,1,MIN(0.97,H4*Assumptions!$E$12)),1)</f>
        <v>0.9473</v>
      </c>
    </row>
    <row r="5">
      <c r="A5" s="39" t="n">
        <v>2</v>
      </c>
      <c r="B5" s="14" t="inlineStr">
        <is>
          <t>Thyroid / neuroendocrine cancer</t>
        </is>
      </c>
      <c r="C5" s="14" t="inlineStr">
        <is>
          <t>[212Pb]Pb-MP0712</t>
        </is>
      </c>
      <c r="D5" s="14" t="inlineStr">
        <is>
          <t>Phase 1/2</t>
        </is>
      </c>
      <c r="E5" s="14" t="inlineStr">
        <is>
          <t>Oncology / area</t>
        </is>
      </c>
      <c r="F5" s="14" t="inlineStr">
        <is>
          <t>Owned</t>
        </is>
      </c>
      <c r="G5" s="40" t="n">
        <v>600</v>
      </c>
      <c r="H5" s="27" t="n">
        <v>0.07539999999999999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42.93710461222043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4.524</v>
      </c>
      <c r="T5" s="23">
        <f>IF(T$3&lt;$I5,0,$G5*Assumptions!$E$11*INDEX(Assumptions!$B$24:$G$24,MIN(6,T$3-$I5+1))*IF(T$3&gt;$J5,(1-Assumptions!$B$26)^(T$3-$J5),1)*IF($H5&gt;=1,1,MIN(0.97,$H5*Assumptions!$E$12)))</f>
        <v>11.309999999999999</v>
      </c>
      <c r="U5" s="23">
        <f>IF(U$3&lt;$I5,0,$G5*Assumptions!$E$11*INDEX(Assumptions!$B$24:$G$24,MIN(6,U$3-$I5+1))*IF(U$3&gt;$J5,(1-Assumptions!$B$26)^(U$3-$J5),1)*IF($H5&gt;=1,1,MIN(0.97,$H5*Assumptions!$E$12)))</f>
        <v>20.357999999999997</v>
      </c>
      <c r="V5" s="23">
        <f>IF(V$3&lt;$I5,0,$G5*Assumptions!$E$11*INDEX(Assumptions!$B$24:$G$24,MIN(6,V$3-$I5+1))*IF(V$3&gt;$J5,(1-Assumptions!$B$26)^(V$3-$J5),1)*IF($H5&gt;=1,1,MIN(0.97,$H5*Assumptions!$E$12)))</f>
        <v>29.406</v>
      </c>
      <c r="W5" s="23">
        <f>IF(W$3&lt;$I5,0,$G5*Assumptions!$E$11*INDEX(Assumptions!$B$24:$G$24,MIN(6,W$3-$I5+1))*IF(W$3&gt;$J5,(1-Assumptions!$B$26)^(W$3-$J5),1)*IF($H5&gt;=1,1,MIN(0.97,$H5*Assumptions!$E$12)))</f>
        <v>38.454</v>
      </c>
      <c r="X5" s="23">
        <f>IF(X$3&lt;$I5,0,$G5*Assumptions!$E$11*INDEX(Assumptions!$B$24:$G$24,MIN(6,X$3-$I5+1))*IF(X$3&gt;$J5,(1-Assumptions!$B$26)^(X$3-$J5),1)*IF($H5&gt;=1,1,MIN(0.97,$H5*Assumptions!$E$12)))</f>
        <v>45.239999999999995</v>
      </c>
      <c r="Y5" s="23">
        <f>IF(Y$3&lt;$I5,0,$G5*Assumptions!$E$11*INDEX(Assumptions!$B$24:$G$24,MIN(6,Y$3-$I5+1))*IF(Y$3&gt;$J5,(1-Assumptions!$B$26)^(Y$3-$J5),1)*IF($H5&gt;=1,1,MIN(0.97,$H5*Assumptions!$E$12)))</f>
        <v>45.239999999999995</v>
      </c>
      <c r="Z5" s="23">
        <f>IF(Z$3&lt;$I5,0,$G5*Assumptions!$E$11*INDEX(Assumptions!$B$24:$G$24,MIN(6,Z$3-$I5+1))*IF(Z$3&gt;$J5,(1-Assumptions!$B$26)^(Z$3-$J5),1)*IF($H5&gt;=1,1,MIN(0.97,$H5*Assumptions!$E$12)))</f>
        <v>45.239999999999995</v>
      </c>
      <c r="AA5" s="23">
        <f>IF(AA$3&lt;$I5,0,$G5*Assumptions!$E$11*INDEX(Assumptions!$B$24:$G$24,MIN(6,AA$3-$I5+1))*IF(AA$3&gt;$J5,(1-Assumptions!$B$26)^(AA$3-$J5),1)*IF($H5&gt;=1,1,MIN(0.97,$H5*Assumptions!$E$12)))</f>
        <v>45.239999999999995</v>
      </c>
      <c r="AB5" s="23">
        <f>IF(AB$3&lt;$I5,0,$G5*Assumptions!$E$11*INDEX(Assumptions!$B$24:$G$24,MIN(6,AB$3-$I5+1))*IF(AB$3&gt;$J5,(1-Assumptions!$B$26)^(AB$3-$J5),1)*IF($H5&gt;=1,1,MIN(0.97,$H5*Assumptions!$E$12)))</f>
        <v>45.239999999999995</v>
      </c>
      <c r="AC5" s="23">
        <f>IF(AC$3&lt;$I5,0,$G5*Assumptions!$E$11*INDEX(Assumptions!$B$24:$G$24,MIN(6,AC$3-$I5+1))*IF(AC$3&gt;$J5,(1-Assumptions!$B$26)^(AC$3-$J5),1)*IF($H5&gt;=1,1,MIN(0.97,$H5*Assumptions!$E$12)))</f>
        <v>45.239999999999995</v>
      </c>
      <c r="AD5" s="23">
        <f>IF(AD$3&lt;$I5,0,$G5*Assumptions!$E$11*INDEX(Assumptions!$B$24:$G$24,MIN(6,AD$3-$I5+1))*IF(AD$3&gt;$J5,(1-Assumptions!$B$26)^(AD$3-$J5),1)*IF($H5&gt;=1,1,MIN(0.97,$H5*Assumptions!$E$12)))</f>
        <v>45.239999999999995</v>
      </c>
      <c r="AE5" s="23">
        <f>IF(AE$3&lt;$I5,0,$G5*Assumptions!$E$11*INDEX(Assumptions!$B$24:$G$24,MIN(6,AE$3-$I5+1))*IF(AE$3&gt;$J5,(1-Assumptions!$B$26)^(AE$3-$J5),1)*IF($H5&gt;=1,1,MIN(0.97,$H5*Assumptions!$E$12)))</f>
        <v>45.239999999999995</v>
      </c>
      <c r="AF5" s="23">
        <f>IF(AF$3&lt;$I5,0,$G5*Assumptions!$E$11*INDEX(Assumptions!$B$24:$G$24,MIN(6,AF$3-$I5+1))*IF(AF$3&gt;$J5,(1-Assumptions!$B$26)^(AF$3-$J5),1)*IF($H5&gt;=1,1,MIN(0.97,$H5*Assumptions!$E$12)))</f>
        <v>22.619999999999997</v>
      </c>
      <c r="AG5" s="35">
        <f>IF(F5="Owned",1-IF(H5&gt;=1,1,MIN(0.97,H5*Assumptions!$E$12)),1)</f>
        <v>0.9246</v>
      </c>
    </row>
    <row r="6">
      <c r="B6" s="24" t="inlineStr">
        <is>
          <t>Risked revenue</t>
        </is>
      </c>
      <c r="L6" s="54">
        <f>SUM(L4:L5)</f>
        <v>108.37595915691705</v>
      </c>
      <c r="M6" s="54">
        <f>SUM(M4:M5)</f>
        <v>0.0</v>
      </c>
      <c r="N6" s="54">
        <f>SUM(N4:N5)</f>
        <v>0.0</v>
      </c>
      <c r="O6" s="54">
        <f>SUM(O4:O5)</f>
        <v>0.0</v>
      </c>
      <c r="P6" s="54">
        <f>SUM(P4:P5)</f>
        <v>0.0</v>
      </c>
      <c r="Q6" s="54">
        <f>SUM(Q4:Q5)</f>
        <v>0.0</v>
      </c>
      <c r="R6" s="54">
        <f>SUM(R4:R5)</f>
        <v>0.0</v>
      </c>
      <c r="S6" s="54">
        <f>SUM(S4:S5)</f>
        <v>4.524</v>
      </c>
      <c r="T6" s="54">
        <f>SUM(T4:T5)</f>
        <v>19.214999999999996</v>
      </c>
      <c r="U6" s="54">
        <f>SUM(U4:U5)</f>
        <v>40.12049999999999</v>
      </c>
      <c r="V6" s="54">
        <f>SUM(V4:V5)</f>
        <v>64.9785</v>
      </c>
      <c r="W6" s="54">
        <f>SUM(W4:W5)</f>
        <v>89.8365</v>
      </c>
      <c r="X6" s="54">
        <f>SUM(X4:X5)</f>
        <v>112.43249999999999</v>
      </c>
      <c r="Y6" s="54">
        <f>SUM(Y4:Y5)</f>
        <v>124.28999999999999</v>
      </c>
      <c r="Z6" s="54">
        <f>SUM(Z4:Z5)</f>
        <v>124.28999999999999</v>
      </c>
      <c r="AA6" s="54">
        <f>SUM(AA4:AA5)</f>
        <v>124.28999999999999</v>
      </c>
      <c r="AB6" s="54">
        <f>SUM(AB4:AB5)</f>
        <v>124.28999999999999</v>
      </c>
      <c r="AC6" s="54">
        <f>SUM(AC4:AC5)</f>
        <v>124.28999999999999</v>
      </c>
      <c r="AD6" s="54">
        <f>SUM(AD4:AD5)</f>
        <v>124.28999999999999</v>
      </c>
      <c r="AE6" s="54">
        <f>SUM(AE4:AE5)</f>
        <v>124.28999999999999</v>
      </c>
      <c r="AF6" s="54">
        <f>SUM(AF4:AF5)</f>
        <v>101.66999999999999</v>
      </c>
    </row>
    <row r="7">
      <c r="B7" s="24" t="inlineStr">
        <is>
          <t>Risked contribution (revenue x share)</t>
        </is>
      </c>
      <c r="M7" s="55">
        <f>SUMPRODUCT(M4:M5,$K$4:$K$5)</f>
        <v>0.0</v>
      </c>
      <c r="N7" s="55">
        <f>SUMPRODUCT(N4:N5,$K$4:$K$5)</f>
        <v>0.0</v>
      </c>
      <c r="O7" s="55">
        <f>SUMPRODUCT(O4:O5,$K$4:$K$5)</f>
        <v>0.0</v>
      </c>
      <c r="P7" s="55">
        <f>SUMPRODUCT(P4:P5,$K$4:$K$5)</f>
        <v>0.0</v>
      </c>
      <c r="Q7" s="55">
        <f>SUMPRODUCT(Q4:Q5,$K$4:$K$5)</f>
        <v>0.0</v>
      </c>
      <c r="R7" s="55">
        <f>SUMPRODUCT(R4:R5,$K$4:$K$5)</f>
        <v>0.0</v>
      </c>
      <c r="S7" s="55">
        <f>SUMPRODUCT(S4:S5,$K$4:$K$5)</f>
        <v>1.8096</v>
      </c>
      <c r="T7" s="55">
        <f>SUMPRODUCT(T4:T5,$K$4:$K$5)</f>
        <v>7.686</v>
      </c>
      <c r="U7" s="55">
        <f>SUMPRODUCT(U4:U5,$K$4:$K$5)</f>
        <v>16.048199999999998</v>
      </c>
      <c r="V7" s="55">
        <f>SUMPRODUCT(V4:V5,$K$4:$K$5)</f>
        <v>25.9914</v>
      </c>
      <c r="W7" s="55">
        <f>SUMPRODUCT(W4:W5,$K$4:$K$5)</f>
        <v>35.9346</v>
      </c>
      <c r="X7" s="55">
        <f>SUMPRODUCT(X4:X5,$K$4:$K$5)</f>
        <v>44.973</v>
      </c>
      <c r="Y7" s="55">
        <f>SUMPRODUCT(Y4:Y5,$K$4:$K$5)</f>
        <v>49.716</v>
      </c>
      <c r="Z7" s="55">
        <f>SUMPRODUCT(Z4:Z5,$K$4:$K$5)</f>
        <v>49.716</v>
      </c>
      <c r="AA7" s="55">
        <f>SUMPRODUCT(AA4:AA5,$K$4:$K$5)</f>
        <v>49.716</v>
      </c>
      <c r="AB7" s="55">
        <f>SUMPRODUCT(AB4:AB5,$K$4:$K$5)</f>
        <v>49.716</v>
      </c>
      <c r="AC7" s="55">
        <f>SUMPRODUCT(AC4:AC5,$K$4:$K$5)</f>
        <v>49.716</v>
      </c>
      <c r="AD7" s="55">
        <f>SUMPRODUCT(AD4:AD5,$K$4:$K$5)</f>
        <v>49.716</v>
      </c>
      <c r="AE7" s="55">
        <f>SUMPRODUCT(AE4:AE5,$K$4:$K$5)</f>
        <v>49.716</v>
      </c>
      <c r="AF7" s="55">
        <f>SUMPRODUCT(AF4:AF5,$K$4:$K$5)</f>
        <v>40.668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Molecular Partners AG: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Pipeline!M6</f>
        <v>0.0</v>
      </c>
      <c r="D4" s="57">
        <f>Pipeline!N6</f>
        <v>0.0</v>
      </c>
      <c r="E4" s="57">
        <f>Pipeline!O6</f>
        <v>0.0</v>
      </c>
      <c r="F4" s="57">
        <f>Pipeline!P6</f>
        <v>0.0</v>
      </c>
      <c r="G4" s="57">
        <f>Pipeline!Q6</f>
        <v>0.0</v>
      </c>
      <c r="H4" s="57">
        <f>Pipeline!R6</f>
        <v>0.0</v>
      </c>
      <c r="I4" s="57">
        <f>Pipeline!S6</f>
        <v>4.524</v>
      </c>
      <c r="J4" s="57">
        <f>Pipeline!T6</f>
        <v>19.214999999999996</v>
      </c>
      <c r="K4" s="57">
        <f>Pipeline!U6</f>
        <v>40.12049999999999</v>
      </c>
      <c r="L4" s="57">
        <f>Pipeline!V6</f>
        <v>64.9785</v>
      </c>
      <c r="M4" s="57">
        <f>Pipeline!W6</f>
        <v>89.8365</v>
      </c>
      <c r="N4" s="57">
        <f>Pipeline!X6</f>
        <v>112.43249999999999</v>
      </c>
      <c r="O4" s="57">
        <f>Pipeline!Y6</f>
        <v>124.28999999999999</v>
      </c>
      <c r="P4" s="57">
        <f>Pipeline!Z6</f>
        <v>124.28999999999999</v>
      </c>
      <c r="Q4" s="57">
        <f>Pipeline!AA6</f>
        <v>124.28999999999999</v>
      </c>
      <c r="R4" s="57">
        <f>Pipeline!AB6</f>
        <v>124.28999999999999</v>
      </c>
      <c r="S4" s="57">
        <f>Pipeline!AC6</f>
        <v>124.28999999999999</v>
      </c>
      <c r="T4" s="57">
        <f>Pipeline!AD6</f>
        <v>124.28999999999999</v>
      </c>
      <c r="U4" s="57">
        <f>Pipeline!AE6</f>
        <v>124.28999999999999</v>
      </c>
      <c r="V4" s="57">
        <f>Pipeline!AF6</f>
        <v>101.66999999999999</v>
      </c>
    </row>
    <row r="5">
      <c r="A5" s="14" t="inlineStr">
        <is>
          <t>Risked contribution</t>
        </is>
      </c>
      <c r="C5" s="57">
        <f>Pipeline!M7</f>
        <v>0.0</v>
      </c>
      <c r="D5" s="57">
        <f>Pipeline!N7</f>
        <v>0.0</v>
      </c>
      <c r="E5" s="57">
        <f>Pipeline!O7</f>
        <v>0.0</v>
      </c>
      <c r="F5" s="57">
        <f>Pipeline!P7</f>
        <v>0.0</v>
      </c>
      <c r="G5" s="57">
        <f>Pipeline!Q7</f>
        <v>0.0</v>
      </c>
      <c r="H5" s="57">
        <f>Pipeline!R7</f>
        <v>0.0</v>
      </c>
      <c r="I5" s="57">
        <f>Pipeline!S7</f>
        <v>1.8096</v>
      </c>
      <c r="J5" s="57">
        <f>Pipeline!T7</f>
        <v>7.686</v>
      </c>
      <c r="K5" s="57">
        <f>Pipeline!U7</f>
        <v>16.048199999999998</v>
      </c>
      <c r="L5" s="57">
        <f>Pipeline!V7</f>
        <v>25.9914</v>
      </c>
      <c r="M5" s="57">
        <f>Pipeline!W7</f>
        <v>35.9346</v>
      </c>
      <c r="N5" s="57">
        <f>Pipeline!X7</f>
        <v>44.973</v>
      </c>
      <c r="O5" s="57">
        <f>Pipeline!Y7</f>
        <v>49.716</v>
      </c>
      <c r="P5" s="57">
        <f>Pipeline!Z7</f>
        <v>49.716</v>
      </c>
      <c r="Q5" s="57">
        <f>Pipeline!AA7</f>
        <v>49.716</v>
      </c>
      <c r="R5" s="57">
        <f>Pipeline!AB7</f>
        <v>49.716</v>
      </c>
      <c r="S5" s="57">
        <f>Pipeline!AC7</f>
        <v>49.716</v>
      </c>
      <c r="T5" s="57">
        <f>Pipeline!AD7</f>
        <v>49.716</v>
      </c>
      <c r="U5" s="57">
        <f>Pipeline!AE7</f>
        <v>49.716</v>
      </c>
      <c r="V5" s="57">
        <f>Pipeline!AF7</f>
        <v>40.668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-70.542</v>
      </c>
      <c r="D6" s="23">
        <f>-IF(D3-2026&lt;Assumptions!$B$19,Assumptions!$B$18,Assumptions!$B$18*Assumptions!$B$20*Assumptions!$B$16)</f>
        <v>-70.542</v>
      </c>
      <c r="E6" s="23">
        <f>-IF(E3-2026&lt;Assumptions!$B$19,Assumptions!$B$18,Assumptions!$B$18*Assumptions!$B$20*Assumptions!$B$16)</f>
        <v>-70.542</v>
      </c>
      <c r="F6" s="23">
        <f>-IF(F3-2026&lt;Assumptions!$B$19,Assumptions!$B$18,Assumptions!$B$18*Assumptions!$B$20*Assumptions!$B$16)</f>
        <v>-70.542</v>
      </c>
      <c r="G6" s="23">
        <f>-IF(G3-2026&lt;Assumptions!$B$19,Assumptions!$B$18,Assumptions!$B$18*Assumptions!$B$20*Assumptions!$B$16)</f>
        <v>-2.626837775891999</v>
      </c>
      <c r="H6" s="23">
        <f>-IF(H3-2026&lt;Assumptions!$B$19,Assumptions!$B$18,Assumptions!$B$18*Assumptions!$B$20*Assumptions!$B$16)</f>
        <v>-2.626837775891999</v>
      </c>
      <c r="I6" s="23">
        <f>-IF(I3-2026&lt;Assumptions!$B$19,Assumptions!$B$18,Assumptions!$B$18*Assumptions!$B$20*Assumptions!$B$16)</f>
        <v>-2.626837775891999</v>
      </c>
      <c r="J6" s="23">
        <f>-IF(J3-2026&lt;Assumptions!$B$19,Assumptions!$B$18,Assumptions!$B$18*Assumptions!$B$20*Assumptions!$B$16)</f>
        <v>-2.626837775891999</v>
      </c>
      <c r="K6" s="23">
        <f>-IF(K3-2026&lt;Assumptions!$B$19,Assumptions!$B$18,Assumptions!$B$18*Assumptions!$B$20*Assumptions!$B$16)</f>
        <v>-2.626837775891999</v>
      </c>
      <c r="L6" s="23">
        <f>-IF(L3-2026&lt;Assumptions!$B$19,Assumptions!$B$18,Assumptions!$B$18*Assumptions!$B$20*Assumptions!$B$16)</f>
        <v>-2.626837775891999</v>
      </c>
      <c r="M6" s="23">
        <f>-IF(M3-2026&lt;Assumptions!$B$19,Assumptions!$B$18,Assumptions!$B$18*Assumptions!$B$20*Assumptions!$B$16)</f>
        <v>-2.626837775891999</v>
      </c>
      <c r="N6" s="23">
        <f>-IF(N3-2026&lt;Assumptions!$B$19,Assumptions!$B$18,Assumptions!$B$18*Assumptions!$B$20*Assumptions!$B$16)</f>
        <v>-2.626837775891999</v>
      </c>
      <c r="O6" s="23">
        <f>-IF(O3-2026&lt;Assumptions!$B$19,Assumptions!$B$18,Assumptions!$B$18*Assumptions!$B$20*Assumptions!$B$16)</f>
        <v>-2.626837775891999</v>
      </c>
      <c r="P6" s="23">
        <f>-IF(P3-2026&lt;Assumptions!$B$19,Assumptions!$B$18,Assumptions!$B$18*Assumptions!$B$20*Assumptions!$B$16)</f>
        <v>-2.626837775891999</v>
      </c>
      <c r="Q6" s="23">
        <f>-IF(Q3-2026&lt;Assumptions!$B$19,Assumptions!$B$18,Assumptions!$B$18*Assumptions!$B$20*Assumptions!$B$16)</f>
        <v>-2.626837775891999</v>
      </c>
      <c r="R6" s="23">
        <f>-IF(R3-2026&lt;Assumptions!$B$19,Assumptions!$B$18,Assumptions!$B$18*Assumptions!$B$20*Assumptions!$B$16)</f>
        <v>-2.626837775891999</v>
      </c>
      <c r="S6" s="23">
        <f>-IF(S3-2026&lt;Assumptions!$B$19,Assumptions!$B$18,Assumptions!$B$18*Assumptions!$B$20*Assumptions!$B$16)</f>
        <v>-2.626837775891999</v>
      </c>
      <c r="T6" s="23">
        <f>-IF(T3-2026&lt;Assumptions!$B$19,Assumptions!$B$18,Assumptions!$B$18*Assumptions!$B$20*Assumptions!$B$16)</f>
        <v>-2.626837775891999</v>
      </c>
      <c r="U6" s="23">
        <f>-IF(U3-2026&lt;Assumptions!$B$19,Assumptions!$B$18,Assumptions!$B$18*Assumptions!$B$20*Assumptions!$B$16)</f>
        <v>-2.626837775891999</v>
      </c>
      <c r="V6" s="23">
        <f>-IF(V3-2026&lt;Assumptions!$B$19,Assumptions!$B$18,Assumptions!$B$18*Assumptions!$B$20*Assumptions!$B$16)</f>
        <v>-2.626837775891999</v>
      </c>
    </row>
    <row r="7">
      <c r="A7" s="14" t="inlineStr">
        <is>
          <t>Pre-tax cash flow</t>
        </is>
      </c>
      <c r="C7" s="23">
        <f>C5+C6</f>
        <v>-70.542</v>
      </c>
      <c r="D7" s="23">
        <f>D5+D6</f>
        <v>-70.542</v>
      </c>
      <c r="E7" s="23">
        <f>E5+E6</f>
        <v>-70.542</v>
      </c>
      <c r="F7" s="23">
        <f>F5+F6</f>
        <v>-70.542</v>
      </c>
      <c r="G7" s="23">
        <f>G5+G6</f>
        <v>-2.626837775891999</v>
      </c>
      <c r="H7" s="23">
        <f>H5+H6</f>
        <v>-2.626837775891999</v>
      </c>
      <c r="I7" s="23">
        <f>I5+I6</f>
        <v>-0.8172377758919991</v>
      </c>
      <c r="J7" s="23">
        <f>J5+J6</f>
        <v>5.059162224108</v>
      </c>
      <c r="K7" s="23">
        <f>K5+K6</f>
        <v>13.421362224107998</v>
      </c>
      <c r="L7" s="23">
        <f>L5+L6</f>
        <v>23.364562224108</v>
      </c>
      <c r="M7" s="23">
        <f>M5+M6</f>
        <v>33.307762224108004</v>
      </c>
      <c r="N7" s="23">
        <f>N5+N6</f>
        <v>42.346162224108</v>
      </c>
      <c r="O7" s="23">
        <f>O5+O6</f>
        <v>47.089162224108</v>
      </c>
      <c r="P7" s="23">
        <f>P5+P6</f>
        <v>47.089162224108</v>
      </c>
      <c r="Q7" s="23">
        <f>Q5+Q6</f>
        <v>47.089162224108</v>
      </c>
      <c r="R7" s="23">
        <f>R5+R6</f>
        <v>47.089162224108</v>
      </c>
      <c r="S7" s="23">
        <f>S5+S6</f>
        <v>47.089162224108</v>
      </c>
      <c r="T7" s="23">
        <f>T5+T6</f>
        <v>47.089162224108</v>
      </c>
      <c r="U7" s="23">
        <f>U5+U6</f>
        <v>47.089162224108</v>
      </c>
      <c r="V7" s="23">
        <f>V5+V6</f>
        <v>38.041162224108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0</v>
      </c>
      <c r="J8" s="23">
        <f>MIN(I17,MAX(0,J7))</f>
        <v>5.059162224108</v>
      </c>
      <c r="K8" s="23">
        <f>MIN(J17,MAX(0,K7))</f>
        <v>13.421362224107998</v>
      </c>
      <c r="L8" s="23">
        <f>MIN(K17,MAX(0,L7))</f>
        <v>23.364562224108</v>
      </c>
      <c r="M8" s="23">
        <f>MIN(L17,MAX(0,M7))</f>
        <v>33.307762224108004</v>
      </c>
      <c r="N8" s="23">
        <f>MIN(M17,MAX(0,N7))</f>
        <v>42.346162224108</v>
      </c>
      <c r="O8" s="23">
        <f>MIN(N17,MAX(0,O7))</f>
        <v>47.089162224108</v>
      </c>
      <c r="P8" s="23">
        <f>MIN(O17,MAX(0,P7))</f>
        <v>47.089162224108</v>
      </c>
      <c r="Q8" s="23">
        <f>MIN(P17,MAX(0,Q7))</f>
        <v>47.089162224108</v>
      </c>
      <c r="R8" s="23">
        <f>MIN(Q17,MAX(0,R7))</f>
        <v>47.089162224108</v>
      </c>
      <c r="S8" s="23">
        <f>MIN(R17,MAX(0,S7))</f>
        <v>47.089162224108</v>
      </c>
      <c r="T8" s="23">
        <f>MIN(S17,MAX(0,T7))</f>
        <v>47.089162224108</v>
      </c>
      <c r="U8" s="23">
        <f>MIN(T17,MAX(0,U7))</f>
        <v>47.089162224108</v>
      </c>
      <c r="V8" s="23">
        <f>MIN(U17,MAX(0,V7))</f>
        <v>38.041162224108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0.0</v>
      </c>
      <c r="S9" s="23">
        <f>MAX(0,S7)-S8</f>
        <v>0.0</v>
      </c>
      <c r="T9" s="23">
        <f>MAX(0,T7)-T8</f>
        <v>0.0</v>
      </c>
      <c r="U9" s="23">
        <f>MAX(0,U7)-U8</f>
        <v>0.0</v>
      </c>
      <c r="V9" s="23">
        <f>MAX(0,V7)-V8</f>
        <v>0.0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0.0</v>
      </c>
      <c r="S10" s="23">
        <f>S9*Assumptions!$E$15</f>
        <v>0.0</v>
      </c>
      <c r="T10" s="23">
        <f>T9*Assumptions!$E$15</f>
        <v>0.0</v>
      </c>
      <c r="U10" s="23">
        <f>U9*Assumptions!$E$15</f>
        <v>0.0</v>
      </c>
      <c r="V10" s="23">
        <f>V9*Assumptions!$E$15</f>
        <v>0.0</v>
      </c>
    </row>
    <row r="11">
      <c r="A11" s="24" t="inlineStr">
        <is>
          <t>Free cash flow</t>
        </is>
      </c>
      <c r="C11" s="55">
        <f>C7-C10</f>
        <v>-70.542</v>
      </c>
      <c r="D11" s="55">
        <f>D7-D10</f>
        <v>-70.542</v>
      </c>
      <c r="E11" s="55">
        <f>E7-E10</f>
        <v>-70.542</v>
      </c>
      <c r="F11" s="55">
        <f>F7-F10</f>
        <v>-70.542</v>
      </c>
      <c r="G11" s="55">
        <f>G7-G10</f>
        <v>-2.626837775891999</v>
      </c>
      <c r="H11" s="55">
        <f>H7-H10</f>
        <v>-2.626837775891999</v>
      </c>
      <c r="I11" s="55">
        <f>I7-I10</f>
        <v>-0.8172377758919991</v>
      </c>
      <c r="J11" s="55">
        <f>J7-J10</f>
        <v>5.059162224108</v>
      </c>
      <c r="K11" s="55">
        <f>K7-K10</f>
        <v>13.421362224107998</v>
      </c>
      <c r="L11" s="55">
        <f>L7-L10</f>
        <v>23.364562224108</v>
      </c>
      <c r="M11" s="55">
        <f>M7-M10</f>
        <v>33.307762224108004</v>
      </c>
      <c r="N11" s="55">
        <f>N7-N10</f>
        <v>42.346162224108</v>
      </c>
      <c r="O11" s="55">
        <f>O7-O10</f>
        <v>47.089162224108</v>
      </c>
      <c r="P11" s="55">
        <f>P7-P10</f>
        <v>47.089162224108</v>
      </c>
      <c r="Q11" s="55">
        <f>Q7-Q10</f>
        <v>47.089162224108</v>
      </c>
      <c r="R11" s="55">
        <f>R7-R10</f>
        <v>47.089162224108</v>
      </c>
      <c r="S11" s="55">
        <f>S7-S10</f>
        <v>47.089162224108</v>
      </c>
      <c r="T11" s="55">
        <f>T7-T10</f>
        <v>47.089162224108</v>
      </c>
      <c r="U11" s="55">
        <f>U7-U10</f>
        <v>47.089162224108</v>
      </c>
      <c r="V11" s="55">
        <f>V7-V10</f>
        <v>38.041162224108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-66.65592463754226</v>
      </c>
      <c r="D16" s="55">
        <f>D11*D15</f>
        <v>-59.51421842637701</v>
      </c>
      <c r="E16" s="55">
        <f>E11*E15</f>
        <v>-53.137695023550904</v>
      </c>
      <c r="F16" s="55">
        <f>F11*F15</f>
        <v>-47.44437055674187</v>
      </c>
      <c r="G16" s="55">
        <f>G11*G15</f>
        <v>-1.5774374642040463</v>
      </c>
      <c r="H16" s="55">
        <f>H11*H15</f>
        <v>-1.4084263073250414</v>
      </c>
      <c r="I16" s="55">
        <f>I11*I15</f>
        <v>-0.39122922186328213</v>
      </c>
      <c r="J16" s="55">
        <f>J11*J15</f>
        <v>2.162436859396719</v>
      </c>
      <c r="K16" s="55">
        <f>K11*K15</f>
        <v>5.122045178890934</v>
      </c>
      <c r="L16" s="55">
        <f>L11*L15</f>
        <v>7.961344790876267</v>
      </c>
      <c r="M16" s="55">
        <f>M11*M15</f>
        <v>10.133424069413188</v>
      </c>
      <c r="N16" s="55">
        <f>N11*N15</f>
        <v>11.50288548361855</v>
      </c>
      <c r="O16" s="55">
        <f>O11*O15</f>
        <v>11.420777757953784</v>
      </c>
      <c r="P16" s="55">
        <f>P11*P15</f>
        <v>10.197122998173022</v>
      </c>
      <c r="Q16" s="55">
        <f>Q11*Q15</f>
        <v>9.104574105511626</v>
      </c>
      <c r="R16" s="55">
        <f>R11*R15</f>
        <v>8.129084022778237</v>
      </c>
      <c r="S16" s="55">
        <f>S11*S15</f>
        <v>7.258110734623424</v>
      </c>
      <c r="T16" s="55">
        <f>T11*T15</f>
        <v>6.480456013056629</v>
      </c>
      <c r="U16" s="55">
        <f>U11*U15</f>
        <v>5.786121440229132</v>
      </c>
      <c r="V16" s="55">
        <f>V11*V15</f>
        <v>4.1735184222848165</v>
      </c>
    </row>
    <row r="17">
      <c r="A17" s="14" t="inlineStr">
        <is>
          <t>Tax-loss carryforward, end of year</t>
        </is>
      </c>
      <c r="C17" s="23">
        <f>Assumptions!$B$21-C8+MAX(0,-C7)</f>
        <v>483.842</v>
      </c>
      <c r="D17" s="23">
        <f>C17-D8+MAX(0,-D7)</f>
        <v>554.384</v>
      </c>
      <c r="E17" s="23">
        <f>D17-E8+MAX(0,-E7)</f>
        <v>624.926</v>
      </c>
      <c r="F17" s="23">
        <f>E17-F8+MAX(0,-F7)</f>
        <v>695.4680000000001</v>
      </c>
      <c r="G17" s="23">
        <f>F17-G8+MAX(0,-G7)</f>
        <v>698.0948377758921</v>
      </c>
      <c r="H17" s="23">
        <f>G17-H8+MAX(0,-H7)</f>
        <v>700.7216755517841</v>
      </c>
      <c r="I17" s="23">
        <f>H17-I8+MAX(0,-I7)</f>
        <v>701.538913327676</v>
      </c>
      <c r="J17" s="23">
        <f>I17-J8+MAX(0,-J7)</f>
        <v>696.479751103568</v>
      </c>
      <c r="K17" s="23">
        <f>J17-K8+MAX(0,-K7)</f>
        <v>683.05838887946</v>
      </c>
      <c r="L17" s="23">
        <f>K17-L8+MAX(0,-L7)</f>
        <v>659.693826655352</v>
      </c>
      <c r="M17" s="23">
        <f>L17-M8+MAX(0,-M7)</f>
        <v>626.386064431244</v>
      </c>
      <c r="N17" s="23">
        <f>M17-N8+MAX(0,-N7)</f>
        <v>584.039902207136</v>
      </c>
      <c r="O17" s="23">
        <f>N17-O8+MAX(0,-O7)</f>
        <v>536.950739983028</v>
      </c>
      <c r="P17" s="23">
        <f>O17-P8+MAX(0,-P7)</f>
        <v>489.86157775892</v>
      </c>
      <c r="Q17" s="23">
        <f>P17-Q8+MAX(0,-Q7)</f>
        <v>442.772415534812</v>
      </c>
      <c r="R17" s="23">
        <f>Q17-R8+MAX(0,-R7)</f>
        <v>395.683253310704</v>
      </c>
      <c r="S17" s="23">
        <f>R17-S8+MAX(0,-S7)</f>
        <v>348.594091086596</v>
      </c>
      <c r="T17" s="23">
        <f>S17-T8+MAX(0,-T7)</f>
        <v>301.504928862488</v>
      </c>
      <c r="U17" s="23">
        <f>T17-U8+MAX(0,-U7)</f>
        <v>254.41576663837998</v>
      </c>
      <c r="V17" s="23">
        <f>U17-V8+MAX(0,-V7)</f>
        <v>216.37460441427197</v>
      </c>
    </row>
    <row r="19">
      <c r="A19" s="14" t="inlineStr">
        <is>
          <t>PV of risked pipeline contribution</t>
        </is>
      </c>
      <c r="B19" s="23">
        <f>SUMPRODUCT(C5:V5,C15:V15)</f>
        <v>108.37595915691705</v>
      </c>
    </row>
    <row r="20">
      <c r="A20" s="14" t="inlineStr">
        <is>
          <t>PV of corporate burn</t>
        </is>
      </c>
      <c r="B20" s="23">
        <f>SUMPRODUCT(C6:V6,C15:V15)</f>
        <v>-239.07335891771513</v>
      </c>
    </row>
    <row r="21">
      <c r="A21" s="14" t="inlineStr">
        <is>
          <t>PV of taxes</t>
        </is>
      </c>
      <c r="B21" s="23">
        <f>-SUMPRODUCT(C10:V10,C15:V15)</f>
        <v>-0.0</v>
      </c>
    </row>
    <row r="22">
      <c r="A22" s="24" t="inlineStr">
        <is>
          <t>Pipeline rNPV (operations)</t>
        </is>
      </c>
      <c r="B22" s="54">
        <f>SUM(C16:V16)</f>
        <v>-130.6973997607981</v>
      </c>
    </row>
    <row r="23">
      <c r="A23" s="14" t="inlineStr">
        <is>
          <t>Cash &amp; investments</t>
        </is>
      </c>
      <c r="B23" s="57">
        <f>Main!C7</f>
        <v>112.93994854119133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-17.75745121960678</v>
      </c>
    </row>
    <row r="26">
      <c r="A26" s="14" t="inlineStr">
        <is>
          <t>Shares (mm)</t>
        </is>
      </c>
      <c r="B26" s="57">
        <f>Main!C4</f>
        <v>40.374641</v>
      </c>
    </row>
    <row r="27">
      <c r="A27" s="24" t="inlineStr">
        <is>
          <t>rNPV / share</t>
        </is>
      </c>
      <c r="B27" s="60">
        <f>B25/B26</f>
        <v>-0.4398169439972675</v>
      </c>
    </row>
    <row r="28">
      <c r="A28" s="14" t="inlineStr">
        <is>
          <t>Price</t>
        </is>
      </c>
      <c r="B28" s="61">
        <f>Main!C3</f>
        <v>3.7</v>
      </c>
    </row>
    <row r="29">
      <c r="A29" s="14" t="inlineStr">
        <is>
          <t>Upside</t>
        </is>
      </c>
      <c r="B29" s="62">
        <f>B27/B28-1</f>
        <v>-1.1188694443235858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2026-10-21T06:27:31Z</dcterms:modified>
  <cp:lastModifiedBy>Wang, Eric</cp:lastModifiedBy>
</cp:coreProperties>
</file>