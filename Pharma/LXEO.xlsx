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Lexeo Therapeutics, Inc.</t>
        </is>
      </c>
      <c r="C2" s="10" t="n"/>
    </row>
    <row r="3">
      <c r="B3" t="inlineStr">
        <is>
          <t>Price</t>
        </is>
      </c>
      <c r="C3" s="11">
        <f>INDEX([1]Pharma!$F$1:$F$1000,MATCH("LXEO",[1]Pharma!$B$1:$B$1000,0))</f>
        <v>3.02</v>
      </c>
      <c r="F3" s="1" t="n"/>
    </row>
    <row r="4">
      <c r="B4" t="inlineStr">
        <is>
          <t>Shares</t>
        </is>
      </c>
      <c r="C4" s="21" t="n">
        <v>82.046255</v>
      </c>
      <c r="F4" s="1" t="n"/>
    </row>
    <row r="5">
      <c r="B5" t="inlineStr">
        <is>
          <t>Market Cap.</t>
        </is>
      </c>
      <c r="C5" s="13">
        <f>C3*C4</f>
        <v>247.7796901</v>
      </c>
      <c r="F5" s="1" t="n"/>
    </row>
    <row r="6"/>
    <row r="7">
      <c r="B7" t="inlineStr">
        <is>
          <t>Cash</t>
        </is>
      </c>
      <c r="C7" s="21" t="n">
        <v>234.2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13.579690100000022</v>
      </c>
    </row>
    <row r="10"/>
    <row r="11">
      <c r="B11" s="14" t="inlineStr">
        <is>
          <t>Net Cash / Share</t>
        </is>
      </c>
      <c r="C11" s="11">
        <f>(C7-C8)/C4</f>
        <v>2.8544873864139197</v>
      </c>
    </row>
    <row r="12">
      <c r="B12" s="14" t="inlineStr">
        <is>
          <t>Upside</t>
        </is>
      </c>
      <c r="C12" s="15">
        <f>IFERROR(C11/C3-1,"")</f>
        <v>-0.05480550118744376</v>
      </c>
    </row>
    <row r="13">
      <c r="B13" s="14" t="inlineStr">
        <is>
          <t>Cash / Share</t>
        </is>
      </c>
      <c r="C13" s="11">
        <f>IFERROR((C7-C8)/C4,"")</f>
        <v>2.8544873864139197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-88.367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2.650310636323514</v>
      </c>
    </row>
    <row r="19">
      <c r="B19" s="14" t="inlineStr">
        <is>
          <t>Implied Pipeline Value</t>
        </is>
      </c>
      <c r="C19" s="13">
        <f>C9</f>
        <v>13.579690100000022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0.654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0.654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49.162</v>
      </c>
      <c r="C5" s="23" t="n">
        <v>53.13</v>
      </c>
      <c r="D5" s="23" t="n">
        <v>74.09099999999999</v>
      </c>
      <c r="E5" s="23" t="n">
        <v>63.797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12.001</v>
      </c>
      <c r="C6" s="23" t="n">
        <v>15.383</v>
      </c>
      <c r="D6" s="23" t="n">
        <v>31.675</v>
      </c>
      <c r="E6" s="23" t="n">
        <v>45.46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61.163</v>
      </c>
      <c r="C7" s="23">
        <f>SUM(C5:C6)</f>
        <v>68.513</v>
      </c>
      <c r="D7" s="23">
        <f>SUM(D5:D6)</f>
        <v>105.76599999999999</v>
      </c>
      <c r="E7" s="23">
        <f>SUM(E5:E6)</f>
        <v>109.257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-60.50899999999999</v>
      </c>
      <c r="C8" s="23">
        <f>C4-C7</f>
        <v>-68.513</v>
      </c>
      <c r="D8" s="23">
        <f>D4-D7</f>
        <v>-105.76599999999999</v>
      </c>
      <c r="E8" s="23">
        <f>E4-E7</f>
        <v>-109.257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1.232</v>
      </c>
      <c r="C9" s="23" t="n">
        <v>2.119</v>
      </c>
      <c r="D9" s="23" t="n">
        <v>7.433</v>
      </c>
      <c r="E9" s="23" t="n">
        <v>9.257</v>
      </c>
    </row>
    <row r="10">
      <c r="A10" s="2" t="inlineStr">
        <is>
          <t>Pretax</t>
        </is>
      </c>
      <c r="B10" s="23">
        <f>B8+B9</f>
        <v>-59.276999999999994</v>
      </c>
      <c r="C10" s="23">
        <f>C8+C9</f>
        <v>-66.394</v>
      </c>
      <c r="D10" s="23">
        <f>D8+D9</f>
        <v>-98.333</v>
      </c>
      <c r="E10" s="23">
        <f>E8+E9</f>
        <v>-100.0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-59.277</v>
      </c>
      <c r="C12" s="23" t="n">
        <v>-66.39400000000001</v>
      </c>
      <c r="D12" s="23" t="n">
        <v>-98.333</v>
      </c>
      <c r="E12" s="23" t="n">
        <v>-100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-6.059803721120425</v>
      </c>
      <c r="C13" s="11">
        <f>IFERROR(C12/C14,0)</f>
        <v>-2.066674967316193</v>
      </c>
      <c r="D13" s="11">
        <f>IFERROR(D12/D14,0)</f>
        <v>-3.0934973416805613</v>
      </c>
      <c r="E13" s="11">
        <f>IFERROR(E12/E14,0)</f>
        <v>-1.8641066268990585</v>
      </c>
    </row>
    <row r="14">
      <c r="A14" s="2" t="inlineStr">
        <is>
          <t>Shares</t>
        </is>
      </c>
      <c r="B14" s="23" t="n">
        <v>9.782</v>
      </c>
      <c r="C14" s="23" t="n">
        <v>32.126</v>
      </c>
      <c r="D14" s="23" t="n">
        <v>31.787</v>
      </c>
      <c r="E14" s="23" t="n">
        <v>53.645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-92.52140672782873</v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2026-10-21T01:05:32Z</dcterms:modified>
  <cp:lastModifiedBy>Wang, Eric</cp:lastModifiedBy>
</cp:coreProperties>
</file>