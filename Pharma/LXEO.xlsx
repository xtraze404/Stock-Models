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Lexeo Therapeutics, Inc.</t>
        </is>
      </c>
      <c r="C2" s="10" t="n"/>
    </row>
    <row r="3">
      <c r="B3" t="inlineStr">
        <is>
          <t>Price</t>
        </is>
      </c>
      <c r="C3" s="11">
        <f>INDEX([1]Pharma!$F$1:$F$1000,MATCH("LXEO",[1]Pharma!$B$1:$B$1000,0))</f>
        <v>3.02</v>
      </c>
      <c r="F3" s="1" t="n"/>
    </row>
    <row r="4">
      <c r="B4" t="inlineStr">
        <is>
          <t>Shares</t>
        </is>
      </c>
      <c r="C4" s="21" t="n">
        <v>82.046255</v>
      </c>
      <c r="F4" s="1" t="n"/>
    </row>
    <row r="5">
      <c r="B5" t="inlineStr">
        <is>
          <t>Market Cap.</t>
        </is>
      </c>
      <c r="C5" s="13">
        <f>C3*C4</f>
        <v>247.7796901</v>
      </c>
      <c r="F5" s="1" t="n"/>
    </row>
    <row r="6"/>
    <row r="7">
      <c r="B7" t="inlineStr">
        <is>
          <t>Cash</t>
        </is>
      </c>
      <c r="C7" s="21" t="n">
        <v>234.2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13.579690100000022</v>
      </c>
    </row>
    <row r="10"/>
    <row r="11">
      <c r="B11" s="14" t="inlineStr">
        <is>
          <t>rNPV / Share</t>
        </is>
      </c>
      <c r="C11" s="11">
        <f>NPV!B27</f>
        <v>7.0752174775018295</v>
      </c>
    </row>
    <row r="12">
      <c r="B12" s="14" t="inlineStr">
        <is>
          <t>Upside</t>
        </is>
      </c>
      <c r="C12" s="15">
        <f>IFERROR(C11/C3-1,"")</f>
        <v>1.342787244205904</v>
      </c>
    </row>
    <row r="13">
      <c r="B13" s="14" t="inlineStr">
        <is>
          <t>Cash / Share</t>
        </is>
      </c>
      <c r="C13" s="11">
        <f>IFERROR((C7-C8)/C4,"")</f>
        <v>2.8544873864139197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-88.367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2.650310636323514</v>
      </c>
    </row>
    <row r="19">
      <c r="B19" s="14" t="inlineStr">
        <is>
          <t>Implied Pipeline Value</t>
        </is>
      </c>
      <c r="C19" s="13">
        <f>C9</f>
        <v>13.579690100000022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0.654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0.654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49.162</v>
      </c>
      <c r="C5" s="23" t="n">
        <v>53.13</v>
      </c>
      <c r="D5" s="23" t="n">
        <v>74.09099999999999</v>
      </c>
      <c r="E5" s="23" t="n">
        <v>63.797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12.001</v>
      </c>
      <c r="C6" s="23" t="n">
        <v>15.383</v>
      </c>
      <c r="D6" s="23" t="n">
        <v>31.675</v>
      </c>
      <c r="E6" s="23" t="n">
        <v>45.46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61.163</v>
      </c>
      <c r="C7" s="23">
        <f>SUM(C5:C6)</f>
        <v>68.513</v>
      </c>
      <c r="D7" s="23">
        <f>SUM(D5:D6)</f>
        <v>105.76599999999999</v>
      </c>
      <c r="E7" s="23">
        <f>SUM(E5:E6)</f>
        <v>109.257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-60.50899999999999</v>
      </c>
      <c r="C8" s="23">
        <f>C4-C7</f>
        <v>-68.513</v>
      </c>
      <c r="D8" s="23">
        <f>D4-D7</f>
        <v>-105.76599999999999</v>
      </c>
      <c r="E8" s="23">
        <f>E4-E7</f>
        <v>-109.257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1.232</v>
      </c>
      <c r="C9" s="23" t="n">
        <v>2.119</v>
      </c>
      <c r="D9" s="23" t="n">
        <v>7.433</v>
      </c>
      <c r="E9" s="23" t="n">
        <v>9.257</v>
      </c>
    </row>
    <row r="10">
      <c r="A10" s="2" t="inlineStr">
        <is>
          <t>Pretax</t>
        </is>
      </c>
      <c r="B10" s="23">
        <f>B8+B9</f>
        <v>-59.276999999999994</v>
      </c>
      <c r="C10" s="23">
        <f>C8+C9</f>
        <v>-66.394</v>
      </c>
      <c r="D10" s="23">
        <f>D8+D9</f>
        <v>-98.333</v>
      </c>
      <c r="E10" s="23">
        <f>E8+E9</f>
        <v>-100.0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-59.277</v>
      </c>
      <c r="C12" s="23" t="n">
        <v>-66.39400000000001</v>
      </c>
      <c r="D12" s="23" t="n">
        <v>-98.333</v>
      </c>
      <c r="E12" s="23" t="n">
        <v>-100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-6.059803721120425</v>
      </c>
      <c r="C13" s="11">
        <f>IFERROR(C12/C14,0)</f>
        <v>-2.066674967316193</v>
      </c>
      <c r="D13" s="11">
        <f>IFERROR(D12/D14,0)</f>
        <v>-3.0934973416805613</v>
      </c>
      <c r="E13" s="11">
        <f>IFERROR(E12/E14,0)</f>
        <v>-1.8641066268990585</v>
      </c>
    </row>
    <row r="14">
      <c r="A14" s="2" t="inlineStr">
        <is>
          <t>Shares</t>
        </is>
      </c>
      <c r="B14" s="23" t="n">
        <v>9.782</v>
      </c>
      <c r="C14" s="23" t="n">
        <v>32.126</v>
      </c>
      <c r="D14" s="23" t="n">
        <v>31.787</v>
      </c>
      <c r="E14" s="23" t="n">
        <v>53.645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-92.52140672782873</v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Lexeo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0.36283865114799996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95.117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324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346.29509733957195</v>
      </c>
      <c r="C29" s="42">
        <f>NPV!B25</f>
        <v>580.4950973395719</v>
      </c>
      <c r="D29" s="43">
        <f>NPV!B27</f>
        <v>7.0752174775018295</v>
      </c>
      <c r="E29" s="44">
        <f>NPV!B29</f>
        <v>1.342787244205904</v>
      </c>
    </row>
    <row r="30">
      <c r="A30" s="45" t="n">
        <v>1</v>
      </c>
      <c r="B30" s="46">
        <f t="dataTable" ref="B30:E32" r1="B4"/>
        <v>-21.431381672555137</v>
      </c>
      <c r="C30" s="46">
        <v>212.76861832744484</v>
      </c>
      <c r="D30" s="47">
        <v>2.593276418618313</v>
      </c>
      <c r="E30" s="48">
        <v>-0.14129919913300903</v>
      </c>
    </row>
    <row r="31">
      <c r="A31" s="45" t="n">
        <v>2</v>
      </c>
      <c r="B31" s="46">
        <v>346.29509733957195</v>
      </c>
      <c r="C31" s="46">
        <v>580.4950973395719</v>
      </c>
      <c r="D31" s="47">
        <v>7.0752174775018295</v>
      </c>
      <c r="E31" s="48">
        <v>1.342787244205904</v>
      </c>
    </row>
    <row r="32">
      <c r="A32" s="45" t="n">
        <v>3</v>
      </c>
      <c r="B32" s="46">
        <v>945.0356427261146</v>
      </c>
      <c r="C32" s="46">
        <v>1179.2356427261145</v>
      </c>
      <c r="D32" s="47">
        <v>14.372814977674661</v>
      </c>
      <c r="E32" s="48">
        <v>3.7592102575081663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7.0752174775018295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1.8705259779746115</v>
      </c>
      <c r="C37" s="47">
        <v>3.067866319540759</v>
      </c>
      <c r="D37" s="47">
        <v>4.2298438324985295</v>
      </c>
      <c r="E37" s="47">
        <v>6.5133081357226565</v>
      </c>
      <c r="F37" s="47">
        <v>8.771784261800601</v>
      </c>
    </row>
    <row r="38">
      <c r="A38" s="50" t="n">
        <v>0.8</v>
      </c>
      <c r="B38" s="47">
        <v>2.569333704680514</v>
      </c>
      <c r="C38" s="47">
        <v>4.128109104414815</v>
      </c>
      <c r="D38" s="47">
        <v>5.65470498546561</v>
      </c>
      <c r="E38" s="47">
        <v>8.672512039865348</v>
      </c>
      <c r="F38" s="47">
        <v>11.671522844468733</v>
      </c>
    </row>
    <row r="39">
      <c r="A39" s="50" t="n">
        <v>1</v>
      </c>
      <c r="B39" s="47">
        <v>3.2564354868576313</v>
      </c>
      <c r="C39" s="47">
        <v>5.1799371971335795</v>
      </c>
      <c r="D39" s="47">
        <v>7.0752174775018295</v>
      </c>
      <c r="E39" s="47">
        <v>10.831784976197024</v>
      </c>
      <c r="F39" s="47">
        <v>14.562997888651896</v>
      </c>
    </row>
    <row r="40">
      <c r="A40" s="50" t="n">
        <v>1.2</v>
      </c>
      <c r="B40" s="47">
        <v>3.939051136140925</v>
      </c>
      <c r="C40" s="47">
        <v>6.226070331266527</v>
      </c>
      <c r="D40" s="47">
        <v>8.48803025140792</v>
      </c>
      <c r="E40" s="47">
        <v>12.981671190144194</v>
      </c>
      <c r="F40" s="47">
        <v>17.459038456222682</v>
      </c>
    </row>
    <row r="41">
      <c r="A41" s="50" t="n">
        <v>1.4</v>
      </c>
      <c r="B41" s="47">
        <v>4.618045995631717</v>
      </c>
      <c r="C41" s="47">
        <v>7.275706049134174</v>
      </c>
      <c r="D41" s="47">
        <v>9.90516717098772</v>
      </c>
      <c r="E41" s="47">
        <v>15.135949234938536</v>
      </c>
      <c r="F41" s="47">
        <v>20.352216709260283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Lexeo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LX1001</t>
        </is>
      </c>
      <c r="D4" s="14" t="inlineStr">
        <is>
          <t>Phase 1/2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0.0863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346.56776326786826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34.52</v>
      </c>
      <c r="T4" s="23">
        <f>IF(T$3&lt;$I4,0,$G4*Assumptions!$E$11*INDEX(Assumptions!$B$24:$G$24,MIN(6,T$3-$I4+1))*IF(T$3&gt;$J4,(1-Assumptions!$B$26)^(T$3-$J4),1)*IF($H4&gt;=1,1,MIN(0.97,$H4*Assumptions!$E$12)))</f>
        <v>86.3</v>
      </c>
      <c r="U4" s="23">
        <f>IF(U$3&lt;$I4,0,$G4*Assumptions!$E$11*INDEX(Assumptions!$B$24:$G$24,MIN(6,U$3-$I4+1))*IF(U$3&gt;$J4,(1-Assumptions!$B$26)^(U$3-$J4),1)*IF($H4&gt;=1,1,MIN(0.97,$H4*Assumptions!$E$12)))</f>
        <v>155.34</v>
      </c>
      <c r="V4" s="23">
        <f>IF(V$3&lt;$I4,0,$G4*Assumptions!$E$11*INDEX(Assumptions!$B$24:$G$24,MIN(6,V$3-$I4+1))*IF(V$3&gt;$J4,(1-Assumptions!$B$26)^(V$3-$J4),1)*IF($H4&gt;=1,1,MIN(0.97,$H4*Assumptions!$E$12)))</f>
        <v>224.38</v>
      </c>
      <c r="W4" s="23">
        <f>IF(W$3&lt;$I4,0,$G4*Assumptions!$E$11*INDEX(Assumptions!$B$24:$G$24,MIN(6,W$3-$I4+1))*IF(W$3&gt;$J4,(1-Assumptions!$B$26)^(W$3-$J4),1)*IF($H4&gt;=1,1,MIN(0.97,$H4*Assumptions!$E$12)))</f>
        <v>293.42</v>
      </c>
      <c r="X4" s="23">
        <f>IF(X$3&lt;$I4,0,$G4*Assumptions!$E$11*INDEX(Assumptions!$B$24:$G$24,MIN(6,X$3-$I4+1))*IF(X$3&gt;$J4,(1-Assumptions!$B$26)^(X$3-$J4),1)*IF($H4&gt;=1,1,MIN(0.97,$H4*Assumptions!$E$12)))</f>
        <v>345.2</v>
      </c>
      <c r="Y4" s="23">
        <f>IF(Y$3&lt;$I4,0,$G4*Assumptions!$E$11*INDEX(Assumptions!$B$24:$G$24,MIN(6,Y$3-$I4+1))*IF(Y$3&gt;$J4,(1-Assumptions!$B$26)^(Y$3-$J4),1)*IF($H4&gt;=1,1,MIN(0.97,$H4*Assumptions!$E$12)))</f>
        <v>345.2</v>
      </c>
      <c r="Z4" s="23">
        <f>IF(Z$3&lt;$I4,0,$G4*Assumptions!$E$11*INDEX(Assumptions!$B$24:$G$24,MIN(6,Z$3-$I4+1))*IF(Z$3&gt;$J4,(1-Assumptions!$B$26)^(Z$3-$J4),1)*IF($H4&gt;=1,1,MIN(0.97,$H4*Assumptions!$E$12)))</f>
        <v>345.2</v>
      </c>
      <c r="AA4" s="23">
        <f>IF(AA$3&lt;$I4,0,$G4*Assumptions!$E$11*INDEX(Assumptions!$B$24:$G$24,MIN(6,AA$3-$I4+1))*IF(AA$3&gt;$J4,(1-Assumptions!$B$26)^(AA$3-$J4),1)*IF($H4&gt;=1,1,MIN(0.97,$H4*Assumptions!$E$12)))</f>
        <v>345.2</v>
      </c>
      <c r="AB4" s="23">
        <f>IF(AB$3&lt;$I4,0,$G4*Assumptions!$E$11*INDEX(Assumptions!$B$24:$G$24,MIN(6,AB$3-$I4+1))*IF(AB$3&gt;$J4,(1-Assumptions!$B$26)^(AB$3-$J4),1)*IF($H4&gt;=1,1,MIN(0.97,$H4*Assumptions!$E$12)))</f>
        <v>345.2</v>
      </c>
      <c r="AC4" s="23">
        <f>IF(AC$3&lt;$I4,0,$G4*Assumptions!$E$11*INDEX(Assumptions!$B$24:$G$24,MIN(6,AC$3-$I4+1))*IF(AC$3&gt;$J4,(1-Assumptions!$B$26)^(AC$3-$J4),1)*IF($H4&gt;=1,1,MIN(0.97,$H4*Assumptions!$E$12)))</f>
        <v>345.2</v>
      </c>
      <c r="AD4" s="23">
        <f>IF(AD$3&lt;$I4,0,$G4*Assumptions!$E$11*INDEX(Assumptions!$B$24:$G$24,MIN(6,AD$3-$I4+1))*IF(AD$3&gt;$J4,(1-Assumptions!$B$26)^(AD$3-$J4),1)*IF($H4&gt;=1,1,MIN(0.97,$H4*Assumptions!$E$12)))</f>
        <v>345.2</v>
      </c>
      <c r="AE4" s="23">
        <f>IF(AE$3&lt;$I4,0,$G4*Assumptions!$E$11*INDEX(Assumptions!$B$24:$G$24,MIN(6,AE$3-$I4+1))*IF(AE$3&gt;$J4,(1-Assumptions!$B$26)^(AE$3-$J4),1)*IF($H4&gt;=1,1,MIN(0.97,$H4*Assumptions!$E$12)))</f>
        <v>345.2</v>
      </c>
      <c r="AF4" s="23">
        <f>IF(AF$3&lt;$I4,0,$G4*Assumptions!$E$11*INDEX(Assumptions!$B$24:$G$24,MIN(6,AF$3-$I4+1))*IF(AF$3&gt;$J4,(1-Assumptions!$B$26)^(AF$3-$J4),1)*IF($H4&gt;=1,1,MIN(0.97,$H4*Assumptions!$E$12)))</f>
        <v>172.6</v>
      </c>
      <c r="AG4" s="35">
        <f>IF(F4="Owned",1-IF(H4&gt;=1,1,MIN(0.97,H4*Assumptions!$E$12)),1)</f>
        <v>0.9137</v>
      </c>
    </row>
    <row r="5">
      <c r="A5" s="39" t="n">
        <v>2</v>
      </c>
      <c r="B5" s="14" t="inlineStr">
        <is>
          <t>Muscular dystrophy / SMA</t>
        </is>
      </c>
      <c r="C5" s="14" t="inlineStr">
        <is>
          <t>LX2006, Low dose LX2006</t>
        </is>
      </c>
      <c r="D5" s="14" t="inlineStr">
        <is>
          <t>Phase 2</t>
        </is>
      </c>
      <c r="E5" s="14" t="inlineStr">
        <is>
          <t>Neurology / rare</t>
        </is>
      </c>
      <c r="F5" s="14" t="inlineStr">
        <is>
          <t>Owned</t>
        </is>
      </c>
      <c r="G5" s="40" t="n">
        <v>1000</v>
      </c>
      <c r="H5" s="27" t="n">
        <v>0.2521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286.3964368825413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25.21</v>
      </c>
      <c r="S5" s="23">
        <f>IF(S$3&lt;$I5,0,$G5*Assumptions!$E$11*INDEX(Assumptions!$B$24:$G$24,MIN(6,S$3-$I5+1))*IF(S$3&gt;$J5,(1-Assumptions!$B$26)^(S$3-$J5),1)*IF($H5&gt;=1,1,MIN(0.97,$H5*Assumptions!$E$12)))</f>
        <v>63.025</v>
      </c>
      <c r="T5" s="23">
        <f>IF(T$3&lt;$I5,0,$G5*Assumptions!$E$11*INDEX(Assumptions!$B$24:$G$24,MIN(6,T$3-$I5+1))*IF(T$3&gt;$J5,(1-Assumptions!$B$26)^(T$3-$J5),1)*IF($H5&gt;=1,1,MIN(0.97,$H5*Assumptions!$E$12)))</f>
        <v>113.445</v>
      </c>
      <c r="U5" s="23">
        <f>IF(U$3&lt;$I5,0,$G5*Assumptions!$E$11*INDEX(Assumptions!$B$24:$G$24,MIN(6,U$3-$I5+1))*IF(U$3&gt;$J5,(1-Assumptions!$B$26)^(U$3-$J5),1)*IF($H5&gt;=1,1,MIN(0.97,$H5*Assumptions!$E$12)))</f>
        <v>163.86499999999998</v>
      </c>
      <c r="V5" s="23">
        <f>IF(V$3&lt;$I5,0,$G5*Assumptions!$E$11*INDEX(Assumptions!$B$24:$G$24,MIN(6,V$3-$I5+1))*IF(V$3&gt;$J5,(1-Assumptions!$B$26)^(V$3-$J5),1)*IF($H5&gt;=1,1,MIN(0.97,$H5*Assumptions!$E$12)))</f>
        <v>214.285</v>
      </c>
      <c r="W5" s="23">
        <f>IF(W$3&lt;$I5,0,$G5*Assumptions!$E$11*INDEX(Assumptions!$B$24:$G$24,MIN(6,W$3-$I5+1))*IF(W$3&gt;$J5,(1-Assumptions!$B$26)^(W$3-$J5),1)*IF($H5&gt;=1,1,MIN(0.97,$H5*Assumptions!$E$12)))</f>
        <v>252.1</v>
      </c>
      <c r="X5" s="23">
        <f>IF(X$3&lt;$I5,0,$G5*Assumptions!$E$11*INDEX(Assumptions!$B$24:$G$24,MIN(6,X$3-$I5+1))*IF(X$3&gt;$J5,(1-Assumptions!$B$26)^(X$3-$J5),1)*IF($H5&gt;=1,1,MIN(0.97,$H5*Assumptions!$E$12)))</f>
        <v>252.1</v>
      </c>
      <c r="Y5" s="23">
        <f>IF(Y$3&lt;$I5,0,$G5*Assumptions!$E$11*INDEX(Assumptions!$B$24:$G$24,MIN(6,Y$3-$I5+1))*IF(Y$3&gt;$J5,(1-Assumptions!$B$26)^(Y$3-$J5),1)*IF($H5&gt;=1,1,MIN(0.97,$H5*Assumptions!$E$12)))</f>
        <v>252.1</v>
      </c>
      <c r="Z5" s="23">
        <f>IF(Z$3&lt;$I5,0,$G5*Assumptions!$E$11*INDEX(Assumptions!$B$24:$G$24,MIN(6,Z$3-$I5+1))*IF(Z$3&gt;$J5,(1-Assumptions!$B$26)^(Z$3-$J5),1)*IF($H5&gt;=1,1,MIN(0.97,$H5*Assumptions!$E$12)))</f>
        <v>252.1</v>
      </c>
      <c r="AA5" s="23">
        <f>IF(AA$3&lt;$I5,0,$G5*Assumptions!$E$11*INDEX(Assumptions!$B$24:$G$24,MIN(6,AA$3-$I5+1))*IF(AA$3&gt;$J5,(1-Assumptions!$B$26)^(AA$3-$J5),1)*IF($H5&gt;=1,1,MIN(0.97,$H5*Assumptions!$E$12)))</f>
        <v>252.1</v>
      </c>
      <c r="AB5" s="23">
        <f>IF(AB$3&lt;$I5,0,$G5*Assumptions!$E$11*INDEX(Assumptions!$B$24:$G$24,MIN(6,AB$3-$I5+1))*IF(AB$3&gt;$J5,(1-Assumptions!$B$26)^(AB$3-$J5),1)*IF($H5&gt;=1,1,MIN(0.97,$H5*Assumptions!$E$12)))</f>
        <v>252.1</v>
      </c>
      <c r="AC5" s="23">
        <f>IF(AC$3&lt;$I5,0,$G5*Assumptions!$E$11*INDEX(Assumptions!$B$24:$G$24,MIN(6,AC$3-$I5+1))*IF(AC$3&gt;$J5,(1-Assumptions!$B$26)^(AC$3-$J5),1)*IF($H5&gt;=1,1,MIN(0.97,$H5*Assumptions!$E$12)))</f>
        <v>252.1</v>
      </c>
      <c r="AD5" s="23">
        <f>IF(AD$3&lt;$I5,0,$G5*Assumptions!$E$11*INDEX(Assumptions!$B$24:$G$24,MIN(6,AD$3-$I5+1))*IF(AD$3&gt;$J5,(1-Assumptions!$B$26)^(AD$3-$J5),1)*IF($H5&gt;=1,1,MIN(0.97,$H5*Assumptions!$E$12)))</f>
        <v>252.1</v>
      </c>
      <c r="AE5" s="23">
        <f>IF(AE$3&lt;$I5,0,$G5*Assumptions!$E$11*INDEX(Assumptions!$B$24:$G$24,MIN(6,AE$3-$I5+1))*IF(AE$3&gt;$J5,(1-Assumptions!$B$26)^(AE$3-$J5),1)*IF($H5&gt;=1,1,MIN(0.97,$H5*Assumptions!$E$12)))</f>
        <v>126.05</v>
      </c>
      <c r="AF5" s="23">
        <f>IF(AF$3&lt;$I5,0,$G5*Assumptions!$E$11*INDEX(Assumptions!$B$24:$G$24,MIN(6,AF$3-$I5+1))*IF(AF$3&gt;$J5,(1-Assumptions!$B$26)^(AF$3-$J5),1)*IF($H5&gt;=1,1,MIN(0.97,$H5*Assumptions!$E$12)))</f>
        <v>63.025</v>
      </c>
      <c r="AG5" s="35">
        <f>IF(F5="Owned",1-IF(H5&gt;=1,1,MIN(0.97,H5*Assumptions!$E$12)),1)</f>
        <v>0.7479</v>
      </c>
    </row>
    <row r="6">
      <c r="A6" s="39" t="n">
        <v>3</v>
      </c>
      <c r="B6" s="14" t="inlineStr">
        <is>
          <t>Cardiomyopathy</t>
        </is>
      </c>
      <c r="C6" s="14" t="inlineStr">
        <is>
          <t>LX2020</t>
        </is>
      </c>
      <c r="D6" s="14" t="inlineStr">
        <is>
          <t>Phase 1/2</t>
        </is>
      </c>
      <c r="E6" s="14" t="inlineStr">
        <is>
          <t>Cardiovascular / area</t>
        </is>
      </c>
      <c r="F6" s="14" t="inlineStr">
        <is>
          <t>Owned</t>
        </is>
      </c>
      <c r="G6" s="40" t="n">
        <v>2000</v>
      </c>
      <c r="H6" s="27" t="n">
        <v>0.06759999999999999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135.73569407246748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13.52</v>
      </c>
      <c r="T6" s="23">
        <f>IF(T$3&lt;$I6,0,$G6*Assumptions!$E$11*INDEX(Assumptions!$B$24:$G$24,MIN(6,T$3-$I6+1))*IF(T$3&gt;$J6,(1-Assumptions!$B$26)^(T$3-$J6),1)*IF($H6&gt;=1,1,MIN(0.97,$H6*Assumptions!$E$12)))</f>
        <v>33.8</v>
      </c>
      <c r="U6" s="23">
        <f>IF(U$3&lt;$I6,0,$G6*Assumptions!$E$11*INDEX(Assumptions!$B$24:$G$24,MIN(6,U$3-$I6+1))*IF(U$3&gt;$J6,(1-Assumptions!$B$26)^(U$3-$J6),1)*IF($H6&gt;=1,1,MIN(0.97,$H6*Assumptions!$E$12)))</f>
        <v>60.839999999999996</v>
      </c>
      <c r="V6" s="23">
        <f>IF(V$3&lt;$I6,0,$G6*Assumptions!$E$11*INDEX(Assumptions!$B$24:$G$24,MIN(6,V$3-$I6+1))*IF(V$3&gt;$J6,(1-Assumptions!$B$26)^(V$3-$J6),1)*IF($H6&gt;=1,1,MIN(0.97,$H6*Assumptions!$E$12)))</f>
        <v>87.88</v>
      </c>
      <c r="W6" s="23">
        <f>IF(W$3&lt;$I6,0,$G6*Assumptions!$E$11*INDEX(Assumptions!$B$24:$G$24,MIN(6,W$3-$I6+1))*IF(W$3&gt;$J6,(1-Assumptions!$B$26)^(W$3-$J6),1)*IF($H6&gt;=1,1,MIN(0.97,$H6*Assumptions!$E$12)))</f>
        <v>114.91999999999999</v>
      </c>
      <c r="X6" s="23">
        <f>IF(X$3&lt;$I6,0,$G6*Assumptions!$E$11*INDEX(Assumptions!$B$24:$G$24,MIN(6,X$3-$I6+1))*IF(X$3&gt;$J6,(1-Assumptions!$B$26)^(X$3-$J6),1)*IF($H6&gt;=1,1,MIN(0.97,$H6*Assumptions!$E$12)))</f>
        <v>135.2</v>
      </c>
      <c r="Y6" s="23">
        <f>IF(Y$3&lt;$I6,0,$G6*Assumptions!$E$11*INDEX(Assumptions!$B$24:$G$24,MIN(6,Y$3-$I6+1))*IF(Y$3&gt;$J6,(1-Assumptions!$B$26)^(Y$3-$J6),1)*IF($H6&gt;=1,1,MIN(0.97,$H6*Assumptions!$E$12)))</f>
        <v>135.2</v>
      </c>
      <c r="Z6" s="23">
        <f>IF(Z$3&lt;$I6,0,$G6*Assumptions!$E$11*INDEX(Assumptions!$B$24:$G$24,MIN(6,Z$3-$I6+1))*IF(Z$3&gt;$J6,(1-Assumptions!$B$26)^(Z$3-$J6),1)*IF($H6&gt;=1,1,MIN(0.97,$H6*Assumptions!$E$12)))</f>
        <v>135.2</v>
      </c>
      <c r="AA6" s="23">
        <f>IF(AA$3&lt;$I6,0,$G6*Assumptions!$E$11*INDEX(Assumptions!$B$24:$G$24,MIN(6,AA$3-$I6+1))*IF(AA$3&gt;$J6,(1-Assumptions!$B$26)^(AA$3-$J6),1)*IF($H6&gt;=1,1,MIN(0.97,$H6*Assumptions!$E$12)))</f>
        <v>135.2</v>
      </c>
      <c r="AB6" s="23">
        <f>IF(AB$3&lt;$I6,0,$G6*Assumptions!$E$11*INDEX(Assumptions!$B$24:$G$24,MIN(6,AB$3-$I6+1))*IF(AB$3&gt;$J6,(1-Assumptions!$B$26)^(AB$3-$J6),1)*IF($H6&gt;=1,1,MIN(0.97,$H6*Assumptions!$E$12)))</f>
        <v>135.2</v>
      </c>
      <c r="AC6" s="23">
        <f>IF(AC$3&lt;$I6,0,$G6*Assumptions!$E$11*INDEX(Assumptions!$B$24:$G$24,MIN(6,AC$3-$I6+1))*IF(AC$3&gt;$J6,(1-Assumptions!$B$26)^(AC$3-$J6),1)*IF($H6&gt;=1,1,MIN(0.97,$H6*Assumptions!$E$12)))</f>
        <v>135.2</v>
      </c>
      <c r="AD6" s="23">
        <f>IF(AD$3&lt;$I6,0,$G6*Assumptions!$E$11*INDEX(Assumptions!$B$24:$G$24,MIN(6,AD$3-$I6+1))*IF(AD$3&gt;$J6,(1-Assumptions!$B$26)^(AD$3-$J6),1)*IF($H6&gt;=1,1,MIN(0.97,$H6*Assumptions!$E$12)))</f>
        <v>135.2</v>
      </c>
      <c r="AE6" s="23">
        <f>IF(AE$3&lt;$I6,0,$G6*Assumptions!$E$11*INDEX(Assumptions!$B$24:$G$24,MIN(6,AE$3-$I6+1))*IF(AE$3&gt;$J6,(1-Assumptions!$B$26)^(AE$3-$J6),1)*IF($H6&gt;=1,1,MIN(0.97,$H6*Assumptions!$E$12)))</f>
        <v>135.2</v>
      </c>
      <c r="AF6" s="23">
        <f>IF(AF$3&lt;$I6,0,$G6*Assumptions!$E$11*INDEX(Assumptions!$B$24:$G$24,MIN(6,AF$3-$I6+1))*IF(AF$3&gt;$J6,(1-Assumptions!$B$26)^(AF$3-$J6),1)*IF($H6&gt;=1,1,MIN(0.97,$H6*Assumptions!$E$12)))</f>
        <v>67.6</v>
      </c>
      <c r="AG6" s="35">
        <f>IF(F6="Owned",1-IF(H6&gt;=1,1,MIN(0.97,H6*Assumptions!$E$12)),1)</f>
        <v>0.9324</v>
      </c>
    </row>
    <row r="7">
      <c r="B7" s="24" t="inlineStr">
        <is>
          <t>Risked revenue</t>
        </is>
      </c>
      <c r="L7" s="54">
        <f>SUM(L4:L6)</f>
        <v>768.6998942228771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25.21</v>
      </c>
      <c r="S7" s="54">
        <f>SUM(S4:S6)</f>
        <v>111.065</v>
      </c>
      <c r="T7" s="54">
        <f>SUM(T4:T6)</f>
        <v>233.54500000000002</v>
      </c>
      <c r="U7" s="54">
        <f>SUM(U4:U6)</f>
        <v>380.04499999999996</v>
      </c>
      <c r="V7" s="54">
        <f>SUM(V4:V6)</f>
        <v>526.545</v>
      </c>
      <c r="W7" s="54">
        <f>SUM(W4:W6)</f>
        <v>660.4399999999999</v>
      </c>
      <c r="X7" s="54">
        <f>SUM(X4:X6)</f>
        <v>732.5</v>
      </c>
      <c r="Y7" s="54">
        <f>SUM(Y4:Y6)</f>
        <v>732.5</v>
      </c>
      <c r="Z7" s="54">
        <f>SUM(Z4:Z6)</f>
        <v>732.5</v>
      </c>
      <c r="AA7" s="54">
        <f>SUM(AA4:AA6)</f>
        <v>732.5</v>
      </c>
      <c r="AB7" s="54">
        <f>SUM(AB4:AB6)</f>
        <v>732.5</v>
      </c>
      <c r="AC7" s="54">
        <f>SUM(AC4:AC6)</f>
        <v>732.5</v>
      </c>
      <c r="AD7" s="54">
        <f>SUM(AD4:AD6)</f>
        <v>732.5</v>
      </c>
      <c r="AE7" s="54">
        <f>SUM(AE4:AE6)</f>
        <v>606.45</v>
      </c>
      <c r="AF7" s="54">
        <f>SUM(AF4:AF6)</f>
        <v>303.225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10.084000000000001</v>
      </c>
      <c r="S8" s="55">
        <f>SUMPRODUCT(S4:S6,$K$4:$K$6)</f>
        <v>44.426</v>
      </c>
      <c r="T8" s="55">
        <f>SUMPRODUCT(T4:T6,$K$4:$K$6)</f>
        <v>93.41799999999999</v>
      </c>
      <c r="U8" s="55">
        <f>SUMPRODUCT(U4:U6,$K$4:$K$6)</f>
        <v>152.01799999999997</v>
      </c>
      <c r="V8" s="55">
        <f>SUMPRODUCT(V4:V6,$K$4:$K$6)</f>
        <v>210.618</v>
      </c>
      <c r="W8" s="55">
        <f>SUMPRODUCT(W4:W6,$K$4:$K$6)</f>
        <v>264.17600000000004</v>
      </c>
      <c r="X8" s="55">
        <f>SUMPRODUCT(X4:X6,$K$4:$K$6)</f>
        <v>293.0</v>
      </c>
      <c r="Y8" s="55">
        <f>SUMPRODUCT(Y4:Y6,$K$4:$K$6)</f>
        <v>293.0</v>
      </c>
      <c r="Z8" s="55">
        <f>SUMPRODUCT(Z4:Z6,$K$4:$K$6)</f>
        <v>293.0</v>
      </c>
      <c r="AA8" s="55">
        <f>SUMPRODUCT(AA4:AA6,$K$4:$K$6)</f>
        <v>293.0</v>
      </c>
      <c r="AB8" s="55">
        <f>SUMPRODUCT(AB4:AB6,$K$4:$K$6)</f>
        <v>293.0</v>
      </c>
      <c r="AC8" s="55">
        <f>SUMPRODUCT(AC4:AC6,$K$4:$K$6)</f>
        <v>293.0</v>
      </c>
      <c r="AD8" s="55">
        <f>SUMPRODUCT(AD4:AD6,$K$4:$K$6)</f>
        <v>293.0</v>
      </c>
      <c r="AE8" s="55">
        <f>SUMPRODUCT(AE4:AE6,$K$4:$K$6)</f>
        <v>242.57999999999998</v>
      </c>
      <c r="AF8" s="55">
        <f>SUMPRODUCT(AF4:AF6,$K$4:$K$6)</f>
        <v>121.28999999999999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Lexeo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25.21</v>
      </c>
      <c r="I4" s="57">
        <f>Pipeline!S7</f>
        <v>111.065</v>
      </c>
      <c r="J4" s="57">
        <f>Pipeline!T7</f>
        <v>233.54500000000002</v>
      </c>
      <c r="K4" s="57">
        <f>Pipeline!U7</f>
        <v>380.04499999999996</v>
      </c>
      <c r="L4" s="57">
        <f>Pipeline!V7</f>
        <v>526.545</v>
      </c>
      <c r="M4" s="57">
        <f>Pipeline!W7</f>
        <v>660.4399999999999</v>
      </c>
      <c r="N4" s="57">
        <f>Pipeline!X7</f>
        <v>732.5</v>
      </c>
      <c r="O4" s="57">
        <f>Pipeline!Y7</f>
        <v>732.5</v>
      </c>
      <c r="P4" s="57">
        <f>Pipeline!Z7</f>
        <v>732.5</v>
      </c>
      <c r="Q4" s="57">
        <f>Pipeline!AA7</f>
        <v>732.5</v>
      </c>
      <c r="R4" s="57">
        <f>Pipeline!AB7</f>
        <v>732.5</v>
      </c>
      <c r="S4" s="57">
        <f>Pipeline!AC7</f>
        <v>732.5</v>
      </c>
      <c r="T4" s="57">
        <f>Pipeline!AD7</f>
        <v>732.5</v>
      </c>
      <c r="U4" s="57">
        <f>Pipeline!AE7</f>
        <v>606.45</v>
      </c>
      <c r="V4" s="57">
        <f>Pipeline!AF7</f>
        <v>303.225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10.084000000000001</v>
      </c>
      <c r="I5" s="57">
        <f>Pipeline!S8</f>
        <v>44.426</v>
      </c>
      <c r="J5" s="57">
        <f>Pipeline!T8</f>
        <v>93.41799999999999</v>
      </c>
      <c r="K5" s="57">
        <f>Pipeline!U8</f>
        <v>152.01799999999997</v>
      </c>
      <c r="L5" s="57">
        <f>Pipeline!V8</f>
        <v>210.618</v>
      </c>
      <c r="M5" s="57">
        <f>Pipeline!W8</f>
        <v>264.17600000000004</v>
      </c>
      <c r="N5" s="57">
        <f>Pipeline!X8</f>
        <v>293.0</v>
      </c>
      <c r="O5" s="57">
        <f>Pipeline!Y8</f>
        <v>293.0</v>
      </c>
      <c r="P5" s="57">
        <f>Pipeline!Z8</f>
        <v>293.0</v>
      </c>
      <c r="Q5" s="57">
        <f>Pipeline!AA8</f>
        <v>293.0</v>
      </c>
      <c r="R5" s="57">
        <f>Pipeline!AB8</f>
        <v>293.0</v>
      </c>
      <c r="S5" s="57">
        <f>Pipeline!AC8</f>
        <v>293.0</v>
      </c>
      <c r="T5" s="57">
        <f>Pipeline!AD8</f>
        <v>293.0</v>
      </c>
      <c r="U5" s="57">
        <f>Pipeline!AE8</f>
        <v>242.57999999999998</v>
      </c>
      <c r="V5" s="57">
        <f>Pipeline!AF8</f>
        <v>121.28999999999999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-95.117</v>
      </c>
      <c r="D6" s="23">
        <f>-IF(D3-2026&lt;Assumptions!$B$19,Assumptions!$B$18,Assumptions!$B$18*Assumptions!$B$20*Assumptions!$B$16)</f>
        <v>-95.117</v>
      </c>
      <c r="E6" s="23">
        <f>-IF(E3-2026&lt;Assumptions!$B$19,Assumptions!$B$18,Assumptions!$B$18*Assumptions!$B$20*Assumptions!$B$16)</f>
        <v>-95.117</v>
      </c>
      <c r="F6" s="23">
        <f>-IF(F3-2026&lt;Assumptions!$B$19,Assumptions!$B$18,Assumptions!$B$18*Assumptions!$B$20*Assumptions!$B$16)</f>
        <v>-95.117</v>
      </c>
      <c r="G6" s="23">
        <f>-IF(G3-2026&lt;Assumptions!$B$19,Assumptions!$B$18,Assumptions!$B$18*Assumptions!$B$20*Assumptions!$B$16)</f>
        <v>-10.353637194373293</v>
      </c>
      <c r="H6" s="23">
        <f>-IF(H3-2026&lt;Assumptions!$B$19,Assumptions!$B$18,Assumptions!$B$18*Assumptions!$B$20*Assumptions!$B$16)</f>
        <v>-10.353637194373293</v>
      </c>
      <c r="I6" s="23">
        <f>-IF(I3-2026&lt;Assumptions!$B$19,Assumptions!$B$18,Assumptions!$B$18*Assumptions!$B$20*Assumptions!$B$16)</f>
        <v>-10.353637194373293</v>
      </c>
      <c r="J6" s="23">
        <f>-IF(J3-2026&lt;Assumptions!$B$19,Assumptions!$B$18,Assumptions!$B$18*Assumptions!$B$20*Assumptions!$B$16)</f>
        <v>-10.353637194373293</v>
      </c>
      <c r="K6" s="23">
        <f>-IF(K3-2026&lt;Assumptions!$B$19,Assumptions!$B$18,Assumptions!$B$18*Assumptions!$B$20*Assumptions!$B$16)</f>
        <v>-10.353637194373293</v>
      </c>
      <c r="L6" s="23">
        <f>-IF(L3-2026&lt;Assumptions!$B$19,Assumptions!$B$18,Assumptions!$B$18*Assumptions!$B$20*Assumptions!$B$16)</f>
        <v>-10.353637194373293</v>
      </c>
      <c r="M6" s="23">
        <f>-IF(M3-2026&lt;Assumptions!$B$19,Assumptions!$B$18,Assumptions!$B$18*Assumptions!$B$20*Assumptions!$B$16)</f>
        <v>-10.353637194373293</v>
      </c>
      <c r="N6" s="23">
        <f>-IF(N3-2026&lt;Assumptions!$B$19,Assumptions!$B$18,Assumptions!$B$18*Assumptions!$B$20*Assumptions!$B$16)</f>
        <v>-10.353637194373293</v>
      </c>
      <c r="O6" s="23">
        <f>-IF(O3-2026&lt;Assumptions!$B$19,Assumptions!$B$18,Assumptions!$B$18*Assumptions!$B$20*Assumptions!$B$16)</f>
        <v>-10.353637194373293</v>
      </c>
      <c r="P6" s="23">
        <f>-IF(P3-2026&lt;Assumptions!$B$19,Assumptions!$B$18,Assumptions!$B$18*Assumptions!$B$20*Assumptions!$B$16)</f>
        <v>-10.353637194373293</v>
      </c>
      <c r="Q6" s="23">
        <f>-IF(Q3-2026&lt;Assumptions!$B$19,Assumptions!$B$18,Assumptions!$B$18*Assumptions!$B$20*Assumptions!$B$16)</f>
        <v>-10.353637194373293</v>
      </c>
      <c r="R6" s="23">
        <f>-IF(R3-2026&lt;Assumptions!$B$19,Assumptions!$B$18,Assumptions!$B$18*Assumptions!$B$20*Assumptions!$B$16)</f>
        <v>-10.353637194373293</v>
      </c>
      <c r="S6" s="23">
        <f>-IF(S3-2026&lt;Assumptions!$B$19,Assumptions!$B$18,Assumptions!$B$18*Assumptions!$B$20*Assumptions!$B$16)</f>
        <v>-10.353637194373293</v>
      </c>
      <c r="T6" s="23">
        <f>-IF(T3-2026&lt;Assumptions!$B$19,Assumptions!$B$18,Assumptions!$B$18*Assumptions!$B$20*Assumptions!$B$16)</f>
        <v>-10.353637194373293</v>
      </c>
      <c r="U6" s="23">
        <f>-IF(U3-2026&lt;Assumptions!$B$19,Assumptions!$B$18,Assumptions!$B$18*Assumptions!$B$20*Assumptions!$B$16)</f>
        <v>-10.353637194373293</v>
      </c>
      <c r="V6" s="23">
        <f>-IF(V3-2026&lt;Assumptions!$B$19,Assumptions!$B$18,Assumptions!$B$18*Assumptions!$B$20*Assumptions!$B$16)</f>
        <v>-10.353637194373293</v>
      </c>
    </row>
    <row r="7">
      <c r="A7" s="14" t="inlineStr">
        <is>
          <t>Pre-tax cash flow</t>
        </is>
      </c>
      <c r="C7" s="23">
        <f>C5+C6</f>
        <v>-95.117</v>
      </c>
      <c r="D7" s="23">
        <f>D5+D6</f>
        <v>-95.117</v>
      </c>
      <c r="E7" s="23">
        <f>E5+E6</f>
        <v>-95.117</v>
      </c>
      <c r="F7" s="23">
        <f>F5+F6</f>
        <v>-95.117</v>
      </c>
      <c r="G7" s="23">
        <f>G5+G6</f>
        <v>-10.353637194373293</v>
      </c>
      <c r="H7" s="23">
        <f>H5+H6</f>
        <v>-0.26963719437329203</v>
      </c>
      <c r="I7" s="23">
        <f>I5+I6</f>
        <v>34.07236280562671</v>
      </c>
      <c r="J7" s="23">
        <f>J5+J6</f>
        <v>83.0643628056267</v>
      </c>
      <c r="K7" s="23">
        <f>K5+K6</f>
        <v>141.66436280562667</v>
      </c>
      <c r="L7" s="23">
        <f>L5+L6</f>
        <v>200.2643628056267</v>
      </c>
      <c r="M7" s="23">
        <f>M5+M6</f>
        <v>253.82236280562674</v>
      </c>
      <c r="N7" s="23">
        <f>N5+N6</f>
        <v>282.6463628056267</v>
      </c>
      <c r="O7" s="23">
        <f>O5+O6</f>
        <v>282.6463628056267</v>
      </c>
      <c r="P7" s="23">
        <f>P5+P6</f>
        <v>282.6463628056267</v>
      </c>
      <c r="Q7" s="23">
        <f>Q5+Q6</f>
        <v>282.6463628056267</v>
      </c>
      <c r="R7" s="23">
        <f>R5+R6</f>
        <v>282.6463628056267</v>
      </c>
      <c r="S7" s="23">
        <f>S5+S6</f>
        <v>282.6463628056267</v>
      </c>
      <c r="T7" s="23">
        <f>T5+T6</f>
        <v>282.6463628056267</v>
      </c>
      <c r="U7" s="23">
        <f>U5+U6</f>
        <v>232.22636280562668</v>
      </c>
      <c r="V7" s="23">
        <f>V5+V6</f>
        <v>110.9363628056267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34.07236280562671</v>
      </c>
      <c r="J8" s="23">
        <f>MIN(I17,MAX(0,J7))</f>
        <v>83.0643628056267</v>
      </c>
      <c r="K8" s="23">
        <f>MIN(J17,MAX(0,K7))</f>
        <v>141.66436280562667</v>
      </c>
      <c r="L8" s="23">
        <f>MIN(K17,MAX(0,L7))</f>
        <v>200.2643628056267</v>
      </c>
      <c r="M8" s="23">
        <f>MIN(L17,MAX(0,M7))</f>
        <v>253.82236280562674</v>
      </c>
      <c r="N8" s="23">
        <f>MIN(M17,MAX(0,N7))</f>
        <v>2.2034603606131498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280.4429024450136</v>
      </c>
      <c r="O9" s="23">
        <f>MAX(0,O7)-O8</f>
        <v>282.6463628056267</v>
      </c>
      <c r="P9" s="23">
        <f>MAX(0,P7)-P8</f>
        <v>282.6463628056267</v>
      </c>
      <c r="Q9" s="23">
        <f>MAX(0,Q7)-Q8</f>
        <v>282.6463628056267</v>
      </c>
      <c r="R9" s="23">
        <f>MAX(0,R7)-R8</f>
        <v>282.6463628056267</v>
      </c>
      <c r="S9" s="23">
        <f>MAX(0,S7)-S8</f>
        <v>282.6463628056267</v>
      </c>
      <c r="T9" s="23">
        <f>MAX(0,T7)-T8</f>
        <v>282.6463628056267</v>
      </c>
      <c r="U9" s="23">
        <f>MAX(0,U7)-U8</f>
        <v>232.22636280562668</v>
      </c>
      <c r="V9" s="23">
        <f>MAX(0,V7)-V8</f>
        <v>110.9363628056267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58.89300951345285</v>
      </c>
      <c r="O10" s="23">
        <f>O9*Assumptions!$E$15</f>
        <v>59.35573618918161</v>
      </c>
      <c r="P10" s="23">
        <f>P9*Assumptions!$E$15</f>
        <v>59.35573618918161</v>
      </c>
      <c r="Q10" s="23">
        <f>Q9*Assumptions!$E$15</f>
        <v>59.35573618918161</v>
      </c>
      <c r="R10" s="23">
        <f>R9*Assumptions!$E$15</f>
        <v>59.35573618918161</v>
      </c>
      <c r="S10" s="23">
        <f>S9*Assumptions!$E$15</f>
        <v>59.35573618918161</v>
      </c>
      <c r="T10" s="23">
        <f>T9*Assumptions!$E$15</f>
        <v>59.35573618918161</v>
      </c>
      <c r="U10" s="23">
        <f>U9*Assumptions!$E$15</f>
        <v>48.7675361891816</v>
      </c>
      <c r="V10" s="23">
        <f>V9*Assumptions!$E$15</f>
        <v>23.296636189181605</v>
      </c>
    </row>
    <row r="11">
      <c r="A11" s="24" t="inlineStr">
        <is>
          <t>Free cash flow</t>
        </is>
      </c>
      <c r="C11" s="55">
        <f>C7-C10</f>
        <v>-95.117</v>
      </c>
      <c r="D11" s="55">
        <f>D7-D10</f>
        <v>-95.117</v>
      </c>
      <c r="E11" s="55">
        <f>E7-E10</f>
        <v>-95.117</v>
      </c>
      <c r="F11" s="55">
        <f>F7-F10</f>
        <v>-95.117</v>
      </c>
      <c r="G11" s="55">
        <f>G7-G10</f>
        <v>-10.353637194373293</v>
      </c>
      <c r="H11" s="55">
        <f>H7-H10</f>
        <v>-0.26963719437329203</v>
      </c>
      <c r="I11" s="55">
        <f>I7-I10</f>
        <v>34.07236280562671</v>
      </c>
      <c r="J11" s="55">
        <f>J7-J10</f>
        <v>83.0643628056267</v>
      </c>
      <c r="K11" s="55">
        <f>K7-K10</f>
        <v>141.66436280562667</v>
      </c>
      <c r="L11" s="55">
        <f>L7-L10</f>
        <v>200.2643628056267</v>
      </c>
      <c r="M11" s="55">
        <f>M7-M10</f>
        <v>253.82236280562674</v>
      </c>
      <c r="N11" s="55">
        <f>N7-N10</f>
        <v>223.75335329217387</v>
      </c>
      <c r="O11" s="55">
        <f>O7-O10</f>
        <v>223.2906266164451</v>
      </c>
      <c r="P11" s="55">
        <f>P7-P10</f>
        <v>223.2906266164451</v>
      </c>
      <c r="Q11" s="55">
        <f>Q7-Q10</f>
        <v>223.2906266164451</v>
      </c>
      <c r="R11" s="55">
        <f>R7-R10</f>
        <v>223.2906266164451</v>
      </c>
      <c r="S11" s="55">
        <f>S7-S10</f>
        <v>223.2906266164451</v>
      </c>
      <c r="T11" s="55">
        <f>T7-T10</f>
        <v>223.2906266164451</v>
      </c>
      <c r="U11" s="55">
        <f>U7-U10</f>
        <v>183.4588266164451</v>
      </c>
      <c r="V11" s="55">
        <f>V7-V10</f>
        <v>87.6397266164451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-46.598231965227534</v>
      </c>
      <c r="D16" s="55">
        <f>D11*D15</f>
        <v>-84.88644141024021</v>
      </c>
      <c r="E16" s="55">
        <f>E11*E15</f>
        <v>-75.7914655448573</v>
      </c>
      <c r="F16" s="55">
        <f>F11*F15</f>
        <v>-67.67095137933688</v>
      </c>
      <c r="G16" s="55">
        <f>G11*G15</f>
        <v>-6.576866978673341</v>
      </c>
      <c r="H16" s="55">
        <f>H11*H15</f>
        <v>-0.15292831110283384</v>
      </c>
      <c r="I16" s="55">
        <f>I11*I15</f>
        <v>17.254100430005526</v>
      </c>
      <c r="J16" s="55">
        <f>J11*J15</f>
        <v>37.55664467758528</v>
      </c>
      <c r="K16" s="55">
        <f>K11*K15</f>
        <v>57.18928110234407</v>
      </c>
      <c r="L16" s="55">
        <f>L11*L15</f>
        <v>72.18378905585575</v>
      </c>
      <c r="M16" s="55">
        <f>M11*M15</f>
        <v>81.6860436274352</v>
      </c>
      <c r="N16" s="55">
        <f>N11*N15</f>
        <v>64.29386135297082</v>
      </c>
      <c r="O16" s="55">
        <f>O11*O15</f>
        <v>57.28651811193496</v>
      </c>
      <c r="P16" s="55">
        <f>P11*P15</f>
        <v>51.14867688565621</v>
      </c>
      <c r="Q16" s="55">
        <f>Q11*Q15</f>
        <v>45.66846150505018</v>
      </c>
      <c r="R16" s="55">
        <f>R11*R15</f>
        <v>40.77541205808052</v>
      </c>
      <c r="S16" s="55">
        <f>S11*S15</f>
        <v>36.40661790900046</v>
      </c>
      <c r="T16" s="55">
        <f>T11*T15</f>
        <v>32.505908847321834</v>
      </c>
      <c r="U16" s="55">
        <f>U11*U15</f>
        <v>23.84582813501725</v>
      </c>
      <c r="V16" s="55">
        <f>V11*V15</f>
        <v>10.170839230751927</v>
      </c>
    </row>
    <row r="17">
      <c r="A17" s="14" t="inlineStr">
        <is>
          <t>Tax-loss carryforward, end of year</t>
        </is>
      </c>
      <c r="C17" s="23">
        <f>Assumptions!$B$21-C8+MAX(0,-C7)</f>
        <v>419.117</v>
      </c>
      <c r="D17" s="23">
        <f>C17-D8+MAX(0,-D7)</f>
        <v>514.234</v>
      </c>
      <c r="E17" s="23">
        <f>D17-E8+MAX(0,-E7)</f>
        <v>609.351</v>
      </c>
      <c r="F17" s="23">
        <f>E17-F8+MAX(0,-F7)</f>
        <v>704.468</v>
      </c>
      <c r="G17" s="23">
        <f>F17-G8+MAX(0,-G7)</f>
        <v>714.8216371943732</v>
      </c>
      <c r="H17" s="23">
        <f>G17-H8+MAX(0,-H7)</f>
        <v>715.0912743887466</v>
      </c>
      <c r="I17" s="23">
        <f>H17-I8+MAX(0,-I7)</f>
        <v>681.0189115831199</v>
      </c>
      <c r="J17" s="23">
        <f>I17-J8+MAX(0,-J7)</f>
        <v>597.9545487774932</v>
      </c>
      <c r="K17" s="23">
        <f>J17-K8+MAX(0,-K7)</f>
        <v>456.29018597186655</v>
      </c>
      <c r="L17" s="23">
        <f>K17-L8+MAX(0,-L7)</f>
        <v>256.0258231662399</v>
      </c>
      <c r="M17" s="23">
        <f>L17-M8+MAX(0,-M7)</f>
        <v>2.2034603606131498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768.699894222877</v>
      </c>
    </row>
    <row r="20">
      <c r="A20" s="14" t="inlineStr">
        <is>
          <t>PV of corporate burn</t>
        </is>
      </c>
      <c r="B20" s="23">
        <f>SUMPRODUCT(C6:V6,C15:V15)</f>
        <v>-326.3181070353165</v>
      </c>
    </row>
    <row r="21">
      <c r="A21" s="14" t="inlineStr">
        <is>
          <t>PV of taxes</t>
        </is>
      </c>
      <c r="B21" s="23">
        <f>-SUMPRODUCT(C10:V10,C15:V15)</f>
        <v>-96.08668984798862</v>
      </c>
    </row>
    <row r="22">
      <c r="A22" s="24" t="inlineStr">
        <is>
          <t>Pipeline rNPV (operations)</t>
        </is>
      </c>
      <c r="B22" s="54">
        <f>SUM(C16:V16)</f>
        <v>346.29509733957195</v>
      </c>
    </row>
    <row r="23">
      <c r="A23" s="14" t="inlineStr">
        <is>
          <t>Cash &amp; investments</t>
        </is>
      </c>
      <c r="B23" s="57">
        <f>Main!C7</f>
        <v>234.2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580.4950973395719</v>
      </c>
    </row>
    <row r="26">
      <c r="A26" s="14" t="inlineStr">
        <is>
          <t>Shares (mm)</t>
        </is>
      </c>
      <c r="B26" s="57">
        <f>Main!C4</f>
        <v>82.046255</v>
      </c>
    </row>
    <row r="27">
      <c r="A27" s="24" t="inlineStr">
        <is>
          <t>rNPV / share</t>
        </is>
      </c>
      <c r="B27" s="60">
        <f>B25/B26</f>
        <v>7.0752174775018295</v>
      </c>
    </row>
    <row r="28">
      <c r="A28" s="14" t="inlineStr">
        <is>
          <t>Price</t>
        </is>
      </c>
      <c r="B28" s="61">
        <f>Main!C3</f>
        <v>3.02</v>
      </c>
    </row>
    <row r="29">
      <c r="A29" s="14" t="inlineStr">
        <is>
          <t>Upside</t>
        </is>
      </c>
      <c r="B29" s="62">
        <f>B27/B28-1</f>
        <v>1.342787244205904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2026-10-21T06:26:37Z</dcterms:modified>
  <cp:lastModifiedBy>Wang, Eric</cp:lastModifiedBy>
</cp:coreProperties>
</file>