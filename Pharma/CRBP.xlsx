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Corbus Pharmaceuticals Holdings, Inc.</t>
        </is>
      </c>
      <c r="C2" s="10" t="n"/>
    </row>
    <row r="3">
      <c r="B3" t="inlineStr">
        <is>
          <t>Price</t>
        </is>
      </c>
      <c r="C3" s="11">
        <f>INDEX([1]Pharma!$F$1:$F$1000,MATCH("CRBP",[1]Pharma!$B$1:$B$1000,0))</f>
        <v>4.42</v>
      </c>
      <c r="F3" s="1" t="n"/>
    </row>
    <row r="4">
      <c r="B4" t="inlineStr">
        <is>
          <t>Shares</t>
        </is>
      </c>
      <c r="C4" s="21" t="n">
        <v>19.341293</v>
      </c>
      <c r="F4" s="1" t="n"/>
    </row>
    <row r="5">
      <c r="B5" t="inlineStr">
        <is>
          <t>Market Cap.</t>
        </is>
      </c>
      <c r="C5" s="13">
        <f>C3*C4</f>
        <v>85.48851506</v>
      </c>
      <c r="F5" s="1" t="n"/>
    </row>
    <row r="6"/>
    <row r="7">
      <c r="B7" t="inlineStr">
        <is>
          <t>Cash</t>
        </is>
      </c>
      <c r="C7" s="21">
        <f>23.37+94.571</f>
        <v>117.941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-32.452484940000005</v>
      </c>
    </row>
    <row r="10"/>
    <row r="11">
      <c r="B11" s="14" t="inlineStr">
        <is>
          <t>Net Cash / Share</t>
        </is>
      </c>
      <c r="C11" s="11">
        <f>(C7-C8)/C4</f>
        <v>6.097886009999435</v>
      </c>
    </row>
    <row r="12">
      <c r="B12" s="14" t="inlineStr">
        <is>
          <t>Upside</t>
        </is>
      </c>
      <c r="C12" s="15">
        <f>IFERROR(C11/C3-1,"")</f>
        <v>0.37961221945688584</v>
      </c>
    </row>
    <row r="13">
      <c r="B13" s="14" t="inlineStr">
        <is>
          <t>Cash / Share</t>
        </is>
      </c>
      <c r="C13" s="11">
        <f>IFERROR((C7-C8)/C4,"")</f>
        <v>6.097886009999435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-86.66800000000001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1.3608367563575945</v>
      </c>
    </row>
    <row r="19">
      <c r="B19" s="14" t="inlineStr">
        <is>
          <t>Implied Pipeline Value</t>
        </is>
      </c>
      <c r="C19" s="13">
        <f>C9</f>
        <v>-32.452484940000005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0.648</v>
      </c>
      <c r="E2" s="23" t="n">
        <v>1.911</v>
      </c>
      <c r="F2" s="23" t="n">
        <v>2.44</v>
      </c>
      <c r="G2" s="23" t="n">
        <v>4.822</v>
      </c>
      <c r="H2" s="23" t="n">
        <v>36.144</v>
      </c>
      <c r="I2" s="23" t="n">
        <v>3.937</v>
      </c>
      <c r="J2" s="23" t="n">
        <v>0.882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0.648</v>
      </c>
      <c r="E4" s="23">
        <f>E2-E3</f>
        <v>1.911</v>
      </c>
      <c r="F4" s="23">
        <f>F2-F3</f>
        <v>2.44</v>
      </c>
      <c r="G4" s="23">
        <f>G2-G3</f>
        <v>4.822</v>
      </c>
      <c r="H4" s="23">
        <f>H2-H3</f>
        <v>36.144</v>
      </c>
      <c r="I4" s="23">
        <f>I2-I3</f>
        <v>3.937</v>
      </c>
      <c r="J4" s="23">
        <f>J2-J3</f>
        <v>0.882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0.211</v>
      </c>
      <c r="C5" s="23" t="n">
        <v>1.256</v>
      </c>
      <c r="D5" s="23" t="n">
        <v>5.889</v>
      </c>
      <c r="E5" s="23" t="n">
        <v>15.437</v>
      </c>
      <c r="F5" s="23" t="n">
        <v>26.039</v>
      </c>
      <c r="G5" s="23" t="n">
        <v>48.614</v>
      </c>
      <c r="H5" s="23" t="n">
        <v>89.605</v>
      </c>
      <c r="I5" s="23" t="n">
        <v>98.267</v>
      </c>
      <c r="J5" s="23" t="n">
        <v>36.445</v>
      </c>
      <c r="K5" s="23" t="n">
        <v>16.137</v>
      </c>
      <c r="L5" s="23" t="n">
        <v>31.168</v>
      </c>
      <c r="M5" s="23" t="n">
        <v>32.222</v>
      </c>
      <c r="N5" s="23" t="n">
        <v>70.095</v>
      </c>
    </row>
    <row r="6">
      <c r="A6" s="19" t="inlineStr">
        <is>
          <t>SG&amp;A &amp; Other</t>
        </is>
      </c>
      <c r="B6" s="23" t="n">
        <v>0.347</v>
      </c>
      <c r="C6" s="23" t="n">
        <v>1.392</v>
      </c>
      <c r="D6" s="23" t="n">
        <v>3.613</v>
      </c>
      <c r="E6" s="23" t="n">
        <v>6.46</v>
      </c>
      <c r="F6" s="23" t="n">
        <v>8.964</v>
      </c>
      <c r="G6" s="23" t="n">
        <v>12.956</v>
      </c>
      <c r="H6" s="23" t="n">
        <v>23.643</v>
      </c>
      <c r="I6" s="23" t="n">
        <v>28.48</v>
      </c>
      <c r="J6" s="23" t="n">
        <v>20.425</v>
      </c>
      <c r="K6" s="23" t="n">
        <v>23.699</v>
      </c>
      <c r="L6" s="23" t="n">
        <v>13.91</v>
      </c>
      <c r="M6" s="23" t="n">
        <v>16.499</v>
      </c>
      <c r="N6" s="23" t="n">
        <v>15.215</v>
      </c>
    </row>
    <row r="7">
      <c r="A7" s="2" t="inlineStr">
        <is>
          <t>Operating Expense</t>
        </is>
      </c>
      <c r="B7" s="23">
        <f>SUM(B5:B6)</f>
        <v>0.5579999999999999</v>
      </c>
      <c r="C7" s="23">
        <f>SUM(C5:C6)</f>
        <v>2.6479999999999997</v>
      </c>
      <c r="D7" s="23">
        <f>SUM(D5:D6)</f>
        <v>9.502</v>
      </c>
      <c r="E7" s="23">
        <f>SUM(E5:E6)</f>
        <v>21.897</v>
      </c>
      <c r="F7" s="23">
        <f>SUM(F5:F6)</f>
        <v>35.003</v>
      </c>
      <c r="G7" s="23">
        <f>SUM(G5:G6)</f>
        <v>61.56999999999999</v>
      </c>
      <c r="H7" s="23">
        <f>SUM(H5:H6)</f>
        <v>113.248</v>
      </c>
      <c r="I7" s="23">
        <f>SUM(I5:I6)</f>
        <v>126.747</v>
      </c>
      <c r="J7" s="23">
        <f>SUM(J5:J6)</f>
        <v>56.870000000000005</v>
      </c>
      <c r="K7" s="23">
        <f>SUM(K5:K6)</f>
        <v>39.836</v>
      </c>
      <c r="L7" s="23">
        <f>SUM(L5:L6)</f>
        <v>45.078</v>
      </c>
      <c r="M7" s="23">
        <f>SUM(M5:M6)</f>
        <v>48.721000000000004</v>
      </c>
      <c r="N7" s="23">
        <f>SUM(N5:N6)</f>
        <v>85.31</v>
      </c>
    </row>
    <row r="8">
      <c r="A8" s="2" t="inlineStr">
        <is>
          <t>Operating Income</t>
        </is>
      </c>
      <c r="B8" s="23">
        <f>B4-B7</f>
        <v>-0.5579999999999999</v>
      </c>
      <c r="C8" s="23">
        <f>C4-C7</f>
        <v>-2.6479999999999997</v>
      </c>
      <c r="D8" s="23">
        <f>D4-D7</f>
        <v>-8.854000000000001</v>
      </c>
      <c r="E8" s="23">
        <f>E4-E7</f>
        <v>-19.985999999999997</v>
      </c>
      <c r="F8" s="23">
        <f>F4-F7</f>
        <v>-32.563</v>
      </c>
      <c r="G8" s="23">
        <f>G4-G7</f>
        <v>-56.74799999999999</v>
      </c>
      <c r="H8" s="23">
        <f>H4-H7</f>
        <v>-77.10400000000001</v>
      </c>
      <c r="I8" s="23">
        <f>I4-I7</f>
        <v>-122.81</v>
      </c>
      <c r="J8" s="23">
        <f>J4-J7</f>
        <v>-55.98800000000001</v>
      </c>
      <c r="K8" s="23">
        <f>K4-K7</f>
        <v>-39.836</v>
      </c>
      <c r="L8" s="23">
        <f>L4-L7</f>
        <v>-45.078</v>
      </c>
      <c r="M8" s="23">
        <f>M4-M7</f>
        <v>-48.721000000000004</v>
      </c>
      <c r="N8" s="23">
        <f>N4-N7</f>
        <v>-85.31</v>
      </c>
    </row>
    <row r="9">
      <c r="A9" s="19" t="inlineStr">
        <is>
          <t>Interest &amp; Other</t>
        </is>
      </c>
      <c r="B9" s="23" t="n">
        <v>-0.045</v>
      </c>
      <c r="C9" s="23" t="n">
        <v>0.107</v>
      </c>
      <c r="D9" s="23" t="n">
        <v>0.003</v>
      </c>
      <c r="E9" s="23" t="n">
        <v>-0.014</v>
      </c>
      <c r="F9" s="23" t="n">
        <v>0.141</v>
      </c>
      <c r="G9" s="23" t="n">
        <v>1.076</v>
      </c>
      <c r="H9" s="23" t="n">
        <v>5.651</v>
      </c>
      <c r="I9" s="23" t="n">
        <v>11.541</v>
      </c>
      <c r="J9" s="23" t="n">
        <v>10.349</v>
      </c>
      <c r="K9" s="23" t="n">
        <v>-2.511</v>
      </c>
      <c r="L9" s="23" t="n">
        <v>0.474</v>
      </c>
      <c r="M9" s="23" t="n">
        <v>8.512</v>
      </c>
      <c r="N9" s="23" t="n">
        <v>6.773</v>
      </c>
    </row>
    <row r="10">
      <c r="A10" s="2" t="inlineStr">
        <is>
          <t>Pretax</t>
        </is>
      </c>
      <c r="B10" s="23">
        <f>B8+B9</f>
        <v>-0.603</v>
      </c>
      <c r="C10" s="23">
        <f>C8+C9</f>
        <v>-2.5409999999999995</v>
      </c>
      <c r="D10" s="23">
        <f>D8+D9</f>
        <v>-8.851</v>
      </c>
      <c r="E10" s="23">
        <f>E8+E9</f>
        <v>-19.999999999999996</v>
      </c>
      <c r="F10" s="23">
        <f>F8+F9</f>
        <v>-32.422000000000004</v>
      </c>
      <c r="G10" s="23">
        <f>G8+G9</f>
        <v>-55.67199999999999</v>
      </c>
      <c r="H10" s="23">
        <f>H8+H9</f>
        <v>-71.45300000000002</v>
      </c>
      <c r="I10" s="23">
        <f>I8+I9</f>
        <v>-111.269</v>
      </c>
      <c r="J10" s="23">
        <f>J8+J9</f>
        <v>-45.63900000000001</v>
      </c>
      <c r="K10" s="23">
        <f>K8+K9</f>
        <v>-42.347</v>
      </c>
      <c r="L10" s="23">
        <f>L8+L9</f>
        <v>-44.604000000000006</v>
      </c>
      <c r="M10" s="23">
        <f>M8+M9</f>
        <v>-40.209</v>
      </c>
      <c r="N10" s="23">
        <f>N8+N9</f>
        <v>-78.537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-0.602</v>
      </c>
      <c r="C12" s="23" t="n">
        <v>-2.54</v>
      </c>
      <c r="D12" s="23" t="n">
        <v>-8.851000000000001</v>
      </c>
      <c r="E12" s="23" t="n">
        <v>-19.999</v>
      </c>
      <c r="F12" s="23" t="n">
        <v>-32.422</v>
      </c>
      <c r="G12" s="23" t="n">
        <v>-55.672</v>
      </c>
      <c r="H12" s="23" t="n">
        <v>-71.45399999999999</v>
      </c>
      <c r="I12" s="23" t="n">
        <v>-111.269</v>
      </c>
      <c r="J12" s="23" t="n">
        <v>-45.64</v>
      </c>
      <c r="K12" s="23" t="n">
        <v>-42.347</v>
      </c>
      <c r="L12" s="23" t="n">
        <v>-44.604</v>
      </c>
      <c r="M12" s="23" t="n">
        <v>-40.209</v>
      </c>
      <c r="N12" s="23" t="n">
        <v>-78.53700000000001</v>
      </c>
    </row>
    <row r="13">
      <c r="A13" s="2" t="inlineStr">
        <is>
          <t>Earnings per Share</t>
        </is>
      </c>
      <c r="B13" s="11">
        <f>IFERROR(B12/B14,0)</f>
        <v>-1.6403269754768393</v>
      </c>
      <c r="C13" s="11">
        <f>IFERROR(C12/C14,0)</f>
        <v>-2.393967954759661</v>
      </c>
      <c r="D13" s="11">
        <f>IFERROR(D12/D14,0)</f>
        <v>-5.364242424242425</v>
      </c>
      <c r="E13" s="11">
        <f>IFERROR(E12/E14,0)</f>
        <v>-9.237413394919168</v>
      </c>
      <c r="F13" s="11">
        <f>IFERROR(F12/F14,0)</f>
        <v>-12.276410450586898</v>
      </c>
      <c r="G13" s="11">
        <f>IFERROR(G12/G14,0)</f>
        <v>-18.557333333333332</v>
      </c>
      <c r="H13" s="11">
        <f>IFERROR(H12/H14,0)</f>
        <v>-21.247100802854593</v>
      </c>
      <c r="I13" s="11">
        <f>IFERROR(I12/I14,0)</f>
        <v>-27.059581712062258</v>
      </c>
      <c r="J13" s="11">
        <f>IFERROR(J12/J14,0)</f>
        <v>-11.145299145299147</v>
      </c>
      <c r="K13" s="11">
        <f>IFERROR(K12/K14,0)</f>
        <v>-10.152721169983216</v>
      </c>
      <c r="L13" s="11">
        <f>IFERROR(L12/L14,0)</f>
        <v>-10.305914972273566</v>
      </c>
      <c r="M13" s="11">
        <f>IFERROR(M12/M14,0)</f>
        <v>-3.683829592304169</v>
      </c>
      <c r="N13" s="11">
        <f>IFERROR(N12/N14,0)</f>
        <v>-5.897499436810093</v>
      </c>
    </row>
    <row r="14">
      <c r="A14" s="2" t="inlineStr">
        <is>
          <t>Shares</t>
        </is>
      </c>
      <c r="B14" s="23" t="n">
        <v>0.367</v>
      </c>
      <c r="C14" s="23" t="n">
        <v>1.061</v>
      </c>
      <c r="D14" s="23" t="n">
        <v>1.65</v>
      </c>
      <c r="E14" s="23" t="n">
        <v>2.165</v>
      </c>
      <c r="F14" s="23" t="n">
        <v>2.641</v>
      </c>
      <c r="G14" s="23" t="n">
        <v>3</v>
      </c>
      <c r="H14" s="23" t="n">
        <v>3.363</v>
      </c>
      <c r="I14" s="23" t="n">
        <v>4.112</v>
      </c>
      <c r="J14" s="23" t="n">
        <v>4.095</v>
      </c>
      <c r="K14" s="23" t="n">
        <v>4.171</v>
      </c>
      <c r="L14" s="23" t="n">
        <v>4.328</v>
      </c>
      <c r="M14" s="23" t="n">
        <v>10.915</v>
      </c>
      <c r="N14" s="23" t="n">
        <v>13.317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1.949074074074074</v>
      </c>
      <c r="F16" s="15">
        <f>IFERROR(F2/E2-1,"")</f>
        <v>0.27681841967556253</v>
      </c>
      <c r="G16" s="15">
        <f>IFERROR(G2/F2-1,"")</f>
        <v>0.9762295081967214</v>
      </c>
      <c r="H16" s="15">
        <f>IFERROR(H2/G2-1,"")</f>
        <v>6.495644960597262</v>
      </c>
      <c r="I16" s="15">
        <f>IFERROR(I2/H2-1,"")</f>
        <v>-0.8910745905267817</v>
      </c>
      <c r="J16" s="15">
        <f>IFERROR(J2/I2-1,"")</f>
        <v>-0.7759715519431039</v>
      </c>
      <c r="K16" s="15">
        <f>IFERROR(K2/J2-1,"")</f>
        <v>-1.0</v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-13.66358024691358</v>
      </c>
      <c r="E18" s="15">
        <f>IFERROR(E8/E2,"")</f>
        <v>-10.458398744113028</v>
      </c>
      <c r="F18" s="15">
        <f>IFERROR(F8/F2,"")</f>
        <v>-13.34549180327869</v>
      </c>
      <c r="G18" s="15">
        <f>IFERROR(G8/G2,"")</f>
        <v>-11.768560763168807</v>
      </c>
      <c r="H18" s="15">
        <f>IFERROR(H8/H2,"")</f>
        <v>-2.1332447985834446</v>
      </c>
      <c r="I18" s="15">
        <f>IFERROR(I8/I2,"")</f>
        <v>-31.193802387604777</v>
      </c>
      <c r="J18" s="15">
        <f>IFERROR(J8/J2,"")</f>
        <v>-63.478458049886626</v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2026-10-21T01:06:00Z</dcterms:modified>
  <cp:lastModifiedBy>Wang, Eric</cp:lastModifiedBy>
</cp:coreProperties>
</file>