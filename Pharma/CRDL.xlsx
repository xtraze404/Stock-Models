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Cardiol Therapeutics Inc</t>
        </is>
      </c>
      <c r="C2" s="10" t="n"/>
    </row>
    <row r="3">
      <c r="B3" t="inlineStr">
        <is>
          <t>Price</t>
        </is>
      </c>
      <c r="C3" s="11">
        <f>INDEX([1]Pharma!$F$1:$F$1000,MATCH("CRDL",[1]Pharma!$B$1:$B$1000,0))</f>
        <v>1.15</v>
      </c>
      <c r="F3" s="1" t="n"/>
    </row>
    <row r="4">
      <c r="B4" t="inlineStr">
        <is>
          <t>Shares</t>
        </is>
      </c>
      <c r="C4" s="21" t="n">
        <v>100.257009</v>
      </c>
      <c r="F4" s="1" t="n"/>
    </row>
    <row r="5">
      <c r="B5" t="inlineStr">
        <is>
          <t>Market Cap.</t>
        </is>
      </c>
      <c r="C5" s="13">
        <f>C3*C4</f>
        <v>115.29556034999999</v>
      </c>
      <c r="F5" s="1" t="n"/>
    </row>
    <row r="6"/>
    <row r="7">
      <c r="B7" t="inlineStr">
        <is>
          <t>Cash</t>
        </is>
      </c>
      <c r="C7" s="21">
        <f>(21.417)/1.4161</f>
        <v>15.123931925711464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100.17162842428853</v>
      </c>
    </row>
    <row r="10"/>
    <row r="11">
      <c r="B11" s="14" t="inlineStr">
        <is>
          <t>Net Cash / Share</t>
        </is>
      </c>
      <c r="C11" s="11">
        <f>(C7-C8)/C4</f>
        <v>0.15085161702471558</v>
      </c>
    </row>
    <row r="12">
      <c r="B12" s="14" t="inlineStr">
        <is>
          <t>Upside</t>
        </is>
      </c>
      <c r="C12" s="15">
        <f>IFERROR(C11/C3-1,"")</f>
        <v>-0.8688246808480734</v>
      </c>
    </row>
    <row r="13">
      <c r="B13" s="14" t="inlineStr">
        <is>
          <t>Cash / Share</t>
        </is>
      </c>
      <c r="C13" s="11">
        <f>IFERROR((C7-C8)/C4,"")</f>
        <v>0.15085161702471558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-16.845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0.897829143705044</v>
      </c>
    </row>
    <row r="19">
      <c r="B19" s="14" t="inlineStr">
        <is>
          <t>Implied Pipeline Value</t>
        </is>
      </c>
      <c r="C19" s="13">
        <f>C9</f>
        <v>100.17162842428853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0.056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0.056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7.487</v>
      </c>
      <c r="C5" s="23" t="n">
        <v>7.676</v>
      </c>
      <c r="D5" s="23" t="n">
        <v>13.39</v>
      </c>
      <c r="E5" s="23" t="n">
        <v>10.045</v>
      </c>
      <c r="F5" s="23" t="n">
        <v>9.895</v>
      </c>
      <c r="G5" s="23" t="n">
        <v>9.898999999999999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7.124</v>
      </c>
      <c r="C6" s="23" t="n">
        <v>19.683</v>
      </c>
      <c r="D6" s="23" t="n">
        <v>15.8</v>
      </c>
      <c r="E6" s="23" t="n">
        <v>10.989</v>
      </c>
      <c r="F6" s="23" t="n">
        <v>18.547</v>
      </c>
      <c r="G6" s="23" t="n">
        <v>14.334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14.611</v>
      </c>
      <c r="C7" s="23">
        <f>SUM(C5:C6)</f>
        <v>27.359</v>
      </c>
      <c r="D7" s="23">
        <f>SUM(D5:D6)</f>
        <v>29.19</v>
      </c>
      <c r="E7" s="23">
        <f>SUM(E5:E6)</f>
        <v>21.034</v>
      </c>
      <c r="F7" s="23">
        <f>SUM(F5:F6)</f>
        <v>28.442</v>
      </c>
      <c r="G7" s="23">
        <f>SUM(G5:G6)</f>
        <v>24.232999999999997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-14.611</v>
      </c>
      <c r="C8" s="23">
        <f>C4-C7</f>
        <v>-27.303</v>
      </c>
      <c r="D8" s="23">
        <f>D4-D7</f>
        <v>-29.19</v>
      </c>
      <c r="E8" s="23">
        <f>E4-E7</f>
        <v>-21.034</v>
      </c>
      <c r="F8" s="23">
        <f>F4-F7</f>
        <v>-28.442</v>
      </c>
      <c r="G8" s="23">
        <f>G4-G7</f>
        <v>-24.232999999999997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0.035</v>
      </c>
      <c r="C9" s="23" t="n">
        <v>4.962</v>
      </c>
      <c r="D9" s="23" t="n">
        <v>7.348</v>
      </c>
      <c r="E9" s="23" t="n">
        <v>1.17</v>
      </c>
      <c r="F9" s="23" t="n">
        <v>2.542</v>
      </c>
      <c r="G9" s="23" t="n">
        <v>0.351</v>
      </c>
    </row>
    <row r="10">
      <c r="A10" s="2" t="inlineStr">
        <is>
          <t>Pretax</t>
        </is>
      </c>
      <c r="B10" s="23">
        <f>B8+B9</f>
        <v>-14.576</v>
      </c>
      <c r="C10" s="23">
        <f>C8+C9</f>
        <v>-22.341</v>
      </c>
      <c r="D10" s="23">
        <f>D8+D9</f>
        <v>-21.842000000000002</v>
      </c>
      <c r="E10" s="23">
        <f>E8+E9</f>
        <v>-19.863999999999997</v>
      </c>
      <c r="F10" s="23">
        <f>F8+F9</f>
        <v>-25.9</v>
      </c>
      <c r="G10" s="23">
        <f>G8+G9</f>
        <v>-23.881999999999998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-14.576</v>
      </c>
      <c r="C12" s="23" t="n">
        <v>-22.342</v>
      </c>
      <c r="D12" s="23" t="n">
        <v>-21.842</v>
      </c>
      <c r="E12" s="23" t="n">
        <v>-19.863</v>
      </c>
      <c r="F12" s="23" t="n">
        <v>-25.9</v>
      </c>
      <c r="G12" s="23" t="n">
        <v>-23.882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-0.4881937234149446</v>
      </c>
      <c r="C13" s="11">
        <f>IFERROR(C12/C14,0)</f>
        <v>-0.5169007241514934</v>
      </c>
      <c r="D13" s="11">
        <f>IFERROR(D12/D14,0)</f>
        <v>-0.34943845390842476</v>
      </c>
      <c r="E13" s="11">
        <f>IFERROR(E12/E14,0)</f>
        <v>-0.30813024525696914</v>
      </c>
      <c r="F13" s="11">
        <f>IFERROR(F12/F14,0)</f>
        <v>-0.36189358372456965</v>
      </c>
      <c r="G13" s="11">
        <f>IFERROR(G12/G14,0)</f>
        <v>-0.27454045913851177</v>
      </c>
    </row>
    <row r="14">
      <c r="A14" s="2" t="inlineStr">
        <is>
          <t>Shares</t>
        </is>
      </c>
      <c r="B14" s="23" t="n">
        <v>29.857</v>
      </c>
      <c r="C14" s="23" t="n">
        <v>43.223</v>
      </c>
      <c r="D14" s="23" t="n">
        <v>62.506</v>
      </c>
      <c r="E14" s="23" t="n">
        <v>64.46299999999999</v>
      </c>
      <c r="F14" s="23" t="n">
        <v>71.568</v>
      </c>
      <c r="G14" s="23" t="n">
        <v>86.989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-487.55357142857144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2026-10-21T01:05:53Z</dcterms:modified>
  <cp:lastModifiedBy>Wang, Eric</cp:lastModifiedBy>
</cp:coreProperties>
</file>