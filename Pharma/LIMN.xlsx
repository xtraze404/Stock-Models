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Liminatus Pharma Inc</t>
        </is>
      </c>
      <c r="C2" s="10" t="n"/>
    </row>
    <row r="3">
      <c r="B3" t="inlineStr">
        <is>
          <t>Price</t>
        </is>
      </c>
      <c r="C3" s="11">
        <f>INDEX([1]Pharma!$F$1:$F$1000,MATCH("LIMN",[1]Pharma!$B$1:$B$1000,0))</f>
        <v>3.19</v>
      </c>
      <c r="F3" s="1" t="n"/>
    </row>
    <row r="4">
      <c r="B4" t="inlineStr">
        <is>
          <t>Shares</t>
        </is>
      </c>
      <c r="C4" s="21" t="n">
        <v>67.16036200000001</v>
      </c>
      <c r="F4" s="1" t="n"/>
    </row>
    <row r="5">
      <c r="B5" t="inlineStr">
        <is>
          <t>Market Cap.</t>
        </is>
      </c>
      <c r="C5" s="13">
        <f>C3*C4</f>
        <v>214.24155478000003</v>
      </c>
      <c r="F5" s="1" t="n"/>
    </row>
    <row r="6"/>
    <row r="7">
      <c r="B7" t="inlineStr">
        <is>
          <t>Cash</t>
        </is>
      </c>
      <c r="C7" s="21" t="n">
        <v>3.017096</v>
      </c>
    </row>
    <row r="8">
      <c r="B8" t="inlineStr">
        <is>
          <t>Debt</t>
        </is>
      </c>
      <c r="C8" s="21" t="n">
        <v>1.4425</v>
      </c>
    </row>
    <row r="9">
      <c r="B9" t="inlineStr">
        <is>
          <t>Enterprise V.</t>
        </is>
      </c>
      <c r="C9" s="13">
        <f>C5-C7+C8</f>
        <v>212.66695878000002</v>
      </c>
    </row>
    <row r="10"/>
    <row r="11">
      <c r="B11" s="14" t="inlineStr">
        <is>
          <t>Net Cash / Share</t>
        </is>
      </c>
      <c r="C11" s="11">
        <f>(C7-C8)/C4</f>
        <v>0.0234453173435843</v>
      </c>
    </row>
    <row r="12">
      <c r="B12" s="14" t="inlineStr">
        <is>
          <t>Upside</t>
        </is>
      </c>
      <c r="C12" s="15">
        <f>IFERROR(C11/C3-1,"")</f>
        <v>-0.9926503707386883</v>
      </c>
    </row>
    <row r="13">
      <c r="B13" s="14" t="inlineStr">
        <is>
          <t>Cash / Share</t>
        </is>
      </c>
      <c r="C13" s="11">
        <f>IFERROR((C7-C8)/C4,"")</f>
        <v>0.0234453173435843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-3.973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0.3963241882708281</v>
      </c>
    </row>
    <row r="19">
      <c r="B19" s="14" t="inlineStr">
        <is>
          <t>Implied Pipeline Value</t>
        </is>
      </c>
      <c r="C19" s="13">
        <f>C9</f>
        <v>212.66695878000002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2.685</v>
      </c>
      <c r="C5" s="23" t="n">
        <v>0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0.645</v>
      </c>
      <c r="C6" s="23" t="n">
        <v>2.968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3.33</v>
      </c>
      <c r="C7" s="23">
        <f>SUM(C5:C6)</f>
        <v>2.968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-3.33</v>
      </c>
      <c r="C8" s="23">
        <f>C4-C7</f>
        <v>-2.968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-0.216</v>
      </c>
      <c r="C9" s="23" t="n">
        <v>-7.239</v>
      </c>
    </row>
    <row r="10">
      <c r="A10" s="2" t="inlineStr">
        <is>
          <t>Pretax</t>
        </is>
      </c>
      <c r="B10" s="23">
        <f>B8+B9</f>
        <v>-3.5460000000000003</v>
      </c>
      <c r="C10" s="23">
        <f>C8+C9</f>
        <v>-10.207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-3.546</v>
      </c>
      <c r="C12" s="23" t="n">
        <v>-10.207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-0.2026285714285714</v>
      </c>
      <c r="C13" s="11">
        <f>IFERROR(C12/C14,0)</f>
        <v>-0.4296960511913783</v>
      </c>
    </row>
    <row r="14">
      <c r="A14" s="2" t="inlineStr">
        <is>
          <t>Shares</t>
        </is>
      </c>
      <c r="B14" s="23" t="n">
        <v>17.5</v>
      </c>
      <c r="C14" s="23" t="n">
        <v>23.754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2026-10-21T01:05:37Z</dcterms:modified>
  <cp:lastModifiedBy>Wang, Eric</cp:lastModifiedBy>
</cp:coreProperties>
</file>