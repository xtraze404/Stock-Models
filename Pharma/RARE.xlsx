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Ultragenyx Pharmaceutical Inc.</t>
        </is>
      </c>
      <c r="C2" s="10" t="n"/>
    </row>
    <row r="3">
      <c r="B3" t="inlineStr">
        <is>
          <t>Price</t>
        </is>
      </c>
      <c r="C3" s="11">
        <f>INDEX([1]Pharma!$F$1:$F$1000,MATCH("RARE",[1]Pharma!$B$1:$B$1000,0))</f>
        <v>16.02</v>
      </c>
      <c r="F3" s="1" t="n"/>
    </row>
    <row r="4">
      <c r="B4" t="inlineStr">
        <is>
          <t>Shares</t>
        </is>
      </c>
      <c r="C4" s="51" t="n">
        <v>98.58887300000001</v>
      </c>
      <c r="F4" s="1" t="n"/>
    </row>
    <row r="5">
      <c r="B5" t="inlineStr">
        <is>
          <t>Market Cap.</t>
        </is>
      </c>
      <c r="C5" s="13">
        <f>C3*C4</f>
        <v>1579.39374546</v>
      </c>
      <c r="F5" s="1" t="n"/>
    </row>
    <row r="6"/>
    <row r="7">
      <c r="B7" t="inlineStr">
        <is>
          <t>Cash</t>
        </is>
      </c>
      <c r="C7" s="51">
        <f>125+167</f>
        <v>292.0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1287.39374546</v>
      </c>
    </row>
    <row r="10"/>
    <row r="11">
      <c r="B11" s="14" t="inlineStr">
        <is>
          <t>NPV / Share</t>
        </is>
      </c>
      <c r="C11" s="11">
        <f>NPV!B28</f>
        <v>-3.2038868532259803</v>
      </c>
    </row>
    <row r="12">
      <c r="B12" s="14" t="inlineStr">
        <is>
          <t>Upside</t>
        </is>
      </c>
      <c r="C12" s="15">
        <f>IFERROR(C11/C3-1,"")</f>
        <v>-1.1999929371551799</v>
      </c>
    </row>
    <row r="13">
      <c r="B13" s="14" t="inlineStr">
        <is>
          <t>Cash / Share</t>
        </is>
      </c>
      <c r="C13" s="11">
        <f>IFERROR((C7-C8)/C4,"")</f>
        <v>2.9617946844772227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0.133</v>
      </c>
      <c r="G2" s="52" t="n">
        <v>2.612</v>
      </c>
      <c r="H2" s="52" t="n">
        <v>51.495</v>
      </c>
      <c r="I2" s="52" t="n">
        <v>103.714</v>
      </c>
      <c r="J2" s="52" t="n">
        <v>271.03</v>
      </c>
      <c r="K2" s="52" t="n">
        <v>351.406</v>
      </c>
      <c r="L2" s="52" t="n">
        <v>363.329</v>
      </c>
      <c r="M2" s="52" t="n">
        <v>434</v>
      </c>
      <c r="N2" s="52" t="n">
        <v>560</v>
      </c>
      <c r="O2" s="52" t="n">
        <v>673</v>
      </c>
      <c r="P2" s="52">
        <f>O2*(1+NPV!C5)</f>
        <v>769.7774</v>
      </c>
      <c r="Q2" s="52">
        <f>P2*(1+NPV!D5)</f>
        <v>870.3103284399999</v>
      </c>
      <c r="R2" s="52">
        <f>Q2*(1+NPV!E5)</f>
        <v>972.4847609988559</v>
      </c>
      <c r="S2" s="52">
        <f>R2*(1+NPV!F5)</f>
        <v>1073.8176730949367</v>
      </c>
      <c r="T2" s="52">
        <f>S2*(1+NPV!G5)</f>
        <v>1171.535081346576</v>
      </c>
      <c r="U2" s="52">
        <f>T2*(1+NPV!H5)</f>
        <v>1262.6805106753395</v>
      </c>
      <c r="V2" s="52">
        <f>U2*(1+NPV!I5)</f>
        <v>1344.2496716649664</v>
      </c>
      <c r="W2" s="52">
        <f>V2*(1+NPV!J5)</f>
        <v>1413.3441047885458</v>
      </c>
      <c r="X2" s="52">
        <f>W2*(1+NPV!K5)</f>
        <v>1467.3338495914682</v>
      </c>
      <c r="Y2" s="52">
        <f>X2*(1+NPV!L5)</f>
        <v>1504.0171958312546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0.001</v>
      </c>
      <c r="H3" s="52" t="n">
        <v>1.146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>
        <f>P2*(1-Assumptions!$B$19)</f>
        <v>17.16603601999999</v>
      </c>
      <c r="Q3" s="52">
        <f>Q2*(1-Assumptions!$B$19)</f>
        <v>19.407920324211986</v>
      </c>
      <c r="R3" s="52">
        <f>R2*(1-Assumptions!$B$19)</f>
        <v>21.686410170274474</v>
      </c>
      <c r="S3" s="52">
        <f>S2*(1-Assumptions!$B$19)</f>
        <v>23.946134110017073</v>
      </c>
      <c r="T3" s="52">
        <f>T2*(1-Assumptions!$B$19)</f>
        <v>26.125232314028626</v>
      </c>
      <c r="U3" s="52">
        <f>U2*(1-Assumptions!$B$19)</f>
        <v>28.157775388060053</v>
      </c>
      <c r="V3" s="52">
        <f>V2*(1-Assumptions!$B$19)</f>
        <v>29.976767678128734</v>
      </c>
      <c r="W3" s="52">
        <f>W2*(1-Assumptions!$B$19)</f>
        <v>31.517573536784553</v>
      </c>
      <c r="X3" s="52">
        <f>X2*(1-Assumptions!$B$19)</f>
        <v>32.72154484588972</v>
      </c>
      <c r="Y3" s="52">
        <f>Y2*(1-Assumptions!$B$19)</f>
        <v>33.539583467036955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0.133</v>
      </c>
      <c r="G4" s="52">
        <f>G2-G3</f>
        <v>2.611</v>
      </c>
      <c r="H4" s="52">
        <f>H2-H3</f>
        <v>50.349</v>
      </c>
      <c r="I4" s="52">
        <f>I2-I3</f>
        <v>103.714</v>
      </c>
      <c r="J4" s="52">
        <f>J2-J3</f>
        <v>271.03</v>
      </c>
      <c r="K4" s="52">
        <f>K2-K3</f>
        <v>351.406</v>
      </c>
      <c r="L4" s="52">
        <f>L2-L3</f>
        <v>363.329</v>
      </c>
      <c r="M4" s="52">
        <f>M2-M3</f>
        <v>434.0</v>
      </c>
      <c r="N4" s="52">
        <f>N2-N3</f>
        <v>560.0</v>
      </c>
      <c r="O4" s="52">
        <f>O2-O3</f>
        <v>673.0</v>
      </c>
      <c r="P4" s="52">
        <f>P2-P3</f>
        <v>752.61136398</v>
      </c>
      <c r="Q4" s="52">
        <f>Q2-Q3</f>
        <v>850.9024081157879</v>
      </c>
      <c r="R4" s="52">
        <f>R2-R3</f>
        <v>950.7983508285814</v>
      </c>
      <c r="S4" s="52">
        <f>S2-S3</f>
        <v>1049.8715389849197</v>
      </c>
      <c r="T4" s="52">
        <f>T2-T3</f>
        <v>1145.4098490325473</v>
      </c>
      <c r="U4" s="52">
        <f>U2-U3</f>
        <v>1234.5227352872794</v>
      </c>
      <c r="V4" s="52">
        <f>V2-V3</f>
        <v>1314.2729039868377</v>
      </c>
      <c r="W4" s="52">
        <f>W2-W3</f>
        <v>1381.8265312517613</v>
      </c>
      <c r="X4" s="52">
        <f>X2-X3</f>
        <v>1434.6123047455785</v>
      </c>
      <c r="Y4" s="52">
        <f>Y2-Y3</f>
        <v>1470.4776123642177</v>
      </c>
    </row>
    <row r="5">
      <c r="A5" s="2" t="inlineStr">
        <is>
          <t>Research &amp; Dev.</t>
        </is>
      </c>
      <c r="B5" s="52" t="n">
        <v>12.641</v>
      </c>
      <c r="C5" s="52" t="n">
        <v>27.829</v>
      </c>
      <c r="D5" s="52" t="n">
        <v>45.967</v>
      </c>
      <c r="E5" s="52" t="n">
        <v>114.737</v>
      </c>
      <c r="F5" s="52" t="n">
        <v>183.204</v>
      </c>
      <c r="G5" s="52" t="n">
        <v>231.644</v>
      </c>
      <c r="H5" s="52" t="n">
        <v>293.998</v>
      </c>
      <c r="I5" s="52" t="n">
        <v>357.355</v>
      </c>
      <c r="J5" s="52" t="n">
        <v>412.084</v>
      </c>
      <c r="K5" s="52" t="n">
        <v>497.153</v>
      </c>
      <c r="L5" s="52" t="n">
        <v>705.789</v>
      </c>
      <c r="M5" s="52" t="n">
        <v>648</v>
      </c>
      <c r="N5" s="52" t="n">
        <v>698</v>
      </c>
      <c r="O5" s="52" t="n">
        <v>750</v>
      </c>
      <c r="P5" s="52">
        <f>P7*Assumptions!$B$20</f>
        <v>774.5066152115236</v>
      </c>
      <c r="Q5" s="52">
        <f>Q7*Assumptions!$B$20</f>
        <v>825.0564002087336</v>
      </c>
      <c r="R5" s="52">
        <f>R7*Assumptions!$B$20</f>
        <v>865.3767111951624</v>
      </c>
      <c r="S5" s="52">
        <f>S7*Assumptions!$B$20</f>
        <v>893.1160495601426</v>
      </c>
      <c r="T5" s="52">
        <f>T7*Assumptions!$B$20</f>
        <v>906.275299868878</v>
      </c>
      <c r="U5" s="52">
        <f>U7*Assumptions!$B$20</f>
        <v>903.369914663783</v>
      </c>
      <c r="V5" s="52">
        <f>V7*Assumptions!$B$20</f>
        <v>883.5714888278156</v>
      </c>
      <c r="W5" s="52">
        <f>W7*Assumptions!$B$20</f>
        <v>846.8137163429025</v>
      </c>
      <c r="X5" s="52">
        <f>X7*Assumptions!$B$20</f>
        <v>793.8496314407313</v>
      </c>
      <c r="Y5" s="52">
        <f>Y7*Assumptions!$B$20</f>
        <v>726.2506941386175</v>
      </c>
    </row>
    <row r="6">
      <c r="A6" s="18" t="inlineStr">
        <is>
          <t>SG&amp;A &amp; Other</t>
        </is>
      </c>
      <c r="B6" s="52" t="n">
        <v>3.344</v>
      </c>
      <c r="C6" s="52" t="n">
        <v>4.451</v>
      </c>
      <c r="D6" s="52" t="n">
        <v>10.811</v>
      </c>
      <c r="E6" s="52" t="n">
        <v>33.001</v>
      </c>
      <c r="F6" s="52" t="n">
        <v>64.93600000000001</v>
      </c>
      <c r="G6" s="52" t="n">
        <v>99.90900000000001</v>
      </c>
      <c r="H6" s="52" t="n">
        <v>127.724</v>
      </c>
      <c r="I6" s="52" t="n">
        <v>170.532</v>
      </c>
      <c r="J6" s="52" t="n">
        <v>189.062</v>
      </c>
      <c r="K6" s="52" t="n">
        <v>235.99</v>
      </c>
      <c r="L6" s="52" t="n">
        <v>306.459</v>
      </c>
      <c r="M6" s="52" t="n">
        <v>355</v>
      </c>
      <c r="N6" s="52" t="n">
        <v>398</v>
      </c>
      <c r="O6" s="52" t="n">
        <v>458</v>
      </c>
      <c r="P6" s="52">
        <f>P7-P5</f>
        <v>472.88687039247645</v>
      </c>
      <c r="Q6" s="52">
        <f>Q7-Q5</f>
        <v>503.7508154600272</v>
      </c>
      <c r="R6" s="52">
        <f>R7-R5</f>
        <v>528.3689985731778</v>
      </c>
      <c r="S6" s="52">
        <f>S7-S5</f>
        <v>545.3056762574489</v>
      </c>
      <c r="T6" s="52">
        <f>T7-T5</f>
        <v>553.3402579808209</v>
      </c>
      <c r="U6" s="52">
        <f>U7-U5</f>
        <v>551.5663305669837</v>
      </c>
      <c r="V6" s="52">
        <f>V7-V5</f>
        <v>539.4780985901513</v>
      </c>
      <c r="W6" s="52">
        <f>W7-W5</f>
        <v>517.0350778959483</v>
      </c>
      <c r="X6" s="52">
        <f>X7-X5</f>
        <v>484.69704506229857</v>
      </c>
      <c r="Y6" s="52">
        <f>Y7-Y5</f>
        <v>443.4234790593491</v>
      </c>
    </row>
    <row r="7">
      <c r="A7" s="2" t="inlineStr">
        <is>
          <t>Operating Expense</t>
        </is>
      </c>
      <c r="B7" s="52">
        <f>SUM(B5:B6)</f>
        <v>15.985</v>
      </c>
      <c r="C7" s="52">
        <f>SUM(C5:C6)</f>
        <v>32.28</v>
      </c>
      <c r="D7" s="52">
        <f>SUM(D5:D6)</f>
        <v>56.778</v>
      </c>
      <c r="E7" s="52">
        <f>SUM(E5:E6)</f>
        <v>147.738</v>
      </c>
      <c r="F7" s="52">
        <f>SUM(F5:F6)</f>
        <v>248.14000000000001</v>
      </c>
      <c r="G7" s="52">
        <f>SUM(G5:G6)</f>
        <v>331.553</v>
      </c>
      <c r="H7" s="52">
        <f>SUM(H5:H6)</f>
        <v>421.722</v>
      </c>
      <c r="I7" s="52">
        <f>SUM(I5:I6)</f>
        <v>527.8870000000001</v>
      </c>
      <c r="J7" s="52">
        <f>SUM(J5:J6)</f>
        <v>601.146</v>
      </c>
      <c r="K7" s="52">
        <f>SUM(K5:K6)</f>
        <v>733.143</v>
      </c>
      <c r="L7" s="52">
        <f>SUM(L5:L6)</f>
        <v>1012.248</v>
      </c>
      <c r="M7" s="52">
        <f>SUM(M5:M6)</f>
        <v>1003.0</v>
      </c>
      <c r="N7" s="52">
        <f>SUM(N5:N6)</f>
        <v>1096.0</v>
      </c>
      <c r="O7" s="52">
        <f>SUM(O5:O6)</f>
        <v>1208.0</v>
      </c>
      <c r="P7" s="52">
        <f>P4-P2*NPV!C6</f>
        <v>1247.393485604</v>
      </c>
      <c r="Q7" s="52">
        <f>Q4-Q2*NPV!D6</f>
        <v>1328.8072156687608</v>
      </c>
      <c r="R7" s="52">
        <f>R4-R2*NPV!E6</f>
        <v>1393.7457097683402</v>
      </c>
      <c r="S7" s="52">
        <f>S4-S2*NPV!F6</f>
        <v>1438.4217258175916</v>
      </c>
      <c r="T7" s="52">
        <f>T4-T2*NPV!G6</f>
        <v>1459.615557849699</v>
      </c>
      <c r="U7" s="52">
        <f>U4-U2*NPV!H6</f>
        <v>1454.9362452307666</v>
      </c>
      <c r="V7" s="52">
        <f>V4-V2*NPV!I6</f>
        <v>1423.049587417967</v>
      </c>
      <c r="W7" s="52">
        <f>W4-W2*NPV!J6</f>
        <v>1363.8487942388508</v>
      </c>
      <c r="X7" s="52">
        <f>X4-X2*NPV!K6</f>
        <v>1278.5466765030299</v>
      </c>
      <c r="Y7" s="52">
        <f>Y4-Y2*NPV!L6</f>
        <v>1169.6741731979666</v>
      </c>
    </row>
    <row r="8">
      <c r="A8" s="2" t="inlineStr">
        <is>
          <t>Operating Income</t>
        </is>
      </c>
      <c r="B8" s="52">
        <f>B4-B7</f>
        <v>-15.985</v>
      </c>
      <c r="C8" s="52">
        <f>C4-C7</f>
        <v>-32.28</v>
      </c>
      <c r="D8" s="52">
        <f>D4-D7</f>
        <v>-56.778</v>
      </c>
      <c r="E8" s="52">
        <f>E4-E7</f>
        <v>-147.738</v>
      </c>
      <c r="F8" s="52">
        <f>F4-F7</f>
        <v>-248.007</v>
      </c>
      <c r="G8" s="52">
        <f>G4-G7</f>
        <v>-328.942</v>
      </c>
      <c r="H8" s="52">
        <f>H4-H7</f>
        <v>-371.373</v>
      </c>
      <c r="I8" s="52">
        <f>I4-I7</f>
        <v>-424.17300000000006</v>
      </c>
      <c r="J8" s="52">
        <f>J4-J7</f>
        <v>-330.116</v>
      </c>
      <c r="K8" s="52">
        <f>K4-K7</f>
        <v>-381.737</v>
      </c>
      <c r="L8" s="52">
        <f>L4-L7</f>
        <v>-648.9190000000001</v>
      </c>
      <c r="M8" s="52">
        <f>M4-M7</f>
        <v>-569.0</v>
      </c>
      <c r="N8" s="52">
        <f>N4-N7</f>
        <v>-536.0</v>
      </c>
      <c r="O8" s="52">
        <f>O4-O7</f>
        <v>-535.0</v>
      </c>
      <c r="P8" s="52">
        <f>P4-P7</f>
        <v>-494.78212162400007</v>
      </c>
      <c r="Q8" s="52">
        <f>Q4-Q7</f>
        <v>-477.9048075529729</v>
      </c>
      <c r="R8" s="52">
        <f>R4-R7</f>
        <v>-442.94735893975883</v>
      </c>
      <c r="S8" s="52">
        <f>S4-S7</f>
        <v>-388.5501868326719</v>
      </c>
      <c r="T8" s="52">
        <f>T4-T7</f>
        <v>-314.2057088171516</v>
      </c>
      <c r="U8" s="52">
        <f>U4-U7</f>
        <v>-220.41350994348727</v>
      </c>
      <c r="V8" s="52">
        <f>V4-V7</f>
        <v>-108.77668343112919</v>
      </c>
      <c r="W8" s="52">
        <f>W4-W7</f>
        <v>17.97773701291044</v>
      </c>
      <c r="X8" s="52">
        <f>X4-X7</f>
        <v>156.06562824254866</v>
      </c>
      <c r="Y8" s="52">
        <f>Y4-Y7</f>
        <v>300.8034391662511</v>
      </c>
    </row>
    <row r="9">
      <c r="A9" s="18" t="inlineStr">
        <is>
          <t>Interest &amp; Other</t>
        </is>
      </c>
      <c r="B9" s="52" t="n">
        <v>-0.349</v>
      </c>
      <c r="C9" s="52" t="n">
        <v>-2.79</v>
      </c>
      <c r="D9" s="52" t="n">
        <v>-3.024</v>
      </c>
      <c r="E9" s="52" t="n">
        <v>2.12</v>
      </c>
      <c r="F9" s="52" t="n">
        <v>2.168</v>
      </c>
      <c r="G9" s="52" t="n">
        <v>10.604</v>
      </c>
      <c r="H9" s="52" t="n">
        <v>174.276</v>
      </c>
      <c r="I9" s="52" t="n">
        <v>24.729</v>
      </c>
      <c r="J9" s="52" t="n">
        <v>144.757</v>
      </c>
      <c r="K9" s="52" t="n">
        <v>-71.244</v>
      </c>
      <c r="L9" s="52" t="n">
        <v>-52.806</v>
      </c>
      <c r="M9" s="52" t="n">
        <v>-40</v>
      </c>
      <c r="N9" s="52" t="n">
        <v>-31</v>
      </c>
      <c r="O9" s="52" t="n">
        <v>-36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-16.334</v>
      </c>
      <c r="C10" s="52">
        <f>C8+C9</f>
        <v>-35.07</v>
      </c>
      <c r="D10" s="52">
        <f>D8+D9</f>
        <v>-59.802</v>
      </c>
      <c r="E10" s="52">
        <f>E8+E9</f>
        <v>-145.618</v>
      </c>
      <c r="F10" s="52">
        <f>F8+F9</f>
        <v>-245.839</v>
      </c>
      <c r="G10" s="52">
        <f>G8+G9</f>
        <v>-318.338</v>
      </c>
      <c r="H10" s="52">
        <f>H8+H9</f>
        <v>-197.09699999999998</v>
      </c>
      <c r="I10" s="52">
        <f>I8+I9</f>
        <v>-399.4440000000001</v>
      </c>
      <c r="J10" s="52">
        <f>J8+J9</f>
        <v>-185.35899999999998</v>
      </c>
      <c r="K10" s="52">
        <f>K8+K9</f>
        <v>-452.981</v>
      </c>
      <c r="L10" s="52">
        <f>L8+L9</f>
        <v>-701.7250000000001</v>
      </c>
      <c r="M10" s="52">
        <f>M8+M9</f>
        <v>-609.0</v>
      </c>
      <c r="N10" s="52">
        <f>N8+N9</f>
        <v>-567.0</v>
      </c>
      <c r="O10" s="52">
        <f>O8+O9</f>
        <v>-571.0</v>
      </c>
      <c r="P10" s="52">
        <f>P8+P9</f>
        <v>-494.78212162400007</v>
      </c>
      <c r="Q10" s="52">
        <f>Q8+Q9</f>
        <v>-477.9048075529729</v>
      </c>
      <c r="R10" s="52">
        <f>R8+R9</f>
        <v>-442.94735893975883</v>
      </c>
      <c r="S10" s="52">
        <f>S8+S9</f>
        <v>-388.5501868326719</v>
      </c>
      <c r="T10" s="52">
        <f>T8+T9</f>
        <v>-314.2057088171516</v>
      </c>
      <c r="U10" s="52">
        <f>U8+U9</f>
        <v>-220.41350994348727</v>
      </c>
      <c r="V10" s="52">
        <f>V8+V9</f>
        <v>-108.77668343112919</v>
      </c>
      <c r="W10" s="52">
        <f>W8+W9</f>
        <v>17.97773701291044</v>
      </c>
      <c r="X10" s="52">
        <f>X8+X9</f>
        <v>156.06562824254866</v>
      </c>
      <c r="Y10" s="52">
        <f>Y8+Y9</f>
        <v>300.8034391662511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0.035</v>
      </c>
      <c r="G11" s="52" t="n">
        <v>-16.199</v>
      </c>
      <c r="H11" s="52" t="n">
        <v>0.514</v>
      </c>
      <c r="I11" s="52" t="n">
        <v>3.283</v>
      </c>
      <c r="J11" s="52" t="n">
        <v>1.207</v>
      </c>
      <c r="K11" s="52" t="n">
        <v>1.044</v>
      </c>
      <c r="L11" s="52" t="n">
        <v>5.696</v>
      </c>
      <c r="M11" s="52" t="n">
        <v>-2</v>
      </c>
      <c r="N11" s="52" t="n">
        <v>2</v>
      </c>
      <c r="O11" s="52" t="n">
        <v>4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3.056215292194775</v>
      </c>
      <c r="X11" s="52">
        <f>MAX(0,X10)*Assumptions!$E$14</f>
        <v>26.531156801233273</v>
      </c>
      <c r="Y11" s="52">
        <f>MAX(0,Y10)*Assumptions!$E$14</f>
        <v>51.13658465826269</v>
      </c>
    </row>
    <row r="12">
      <c r="A12" s="2" t="inlineStr">
        <is>
          <t>Net Income</t>
        </is>
      </c>
      <c r="B12" s="52" t="n">
        <v>-16.334</v>
      </c>
      <c r="C12" s="52" t="n">
        <v>-35.07</v>
      </c>
      <c r="D12" s="52" t="n">
        <v>-59.802</v>
      </c>
      <c r="E12" s="52" t="n">
        <v>-145.618</v>
      </c>
      <c r="F12" s="52" t="n">
        <v>-245.874</v>
      </c>
      <c r="G12" s="52" t="n">
        <v>-302.139</v>
      </c>
      <c r="H12" s="52" t="n">
        <v>-197.611</v>
      </c>
      <c r="I12" s="52" t="n">
        <v>-402.727</v>
      </c>
      <c r="J12" s="52" t="n">
        <v>-186.566</v>
      </c>
      <c r="K12" s="52" t="n">
        <v>-454.025</v>
      </c>
      <c r="L12" s="52" t="n">
        <v>-707.421</v>
      </c>
      <c r="M12" s="52" t="n">
        <v>-607</v>
      </c>
      <c r="N12" s="52" t="n">
        <v>-569</v>
      </c>
      <c r="O12" s="52" t="n">
        <v>-575</v>
      </c>
      <c r="P12" s="52">
        <f>P10-P11</f>
        <v>-494.78212162400007</v>
      </c>
      <c r="Q12" s="52">
        <f>Q10-Q11</f>
        <v>-477.9048075529729</v>
      </c>
      <c r="R12" s="52">
        <f>R10-R11</f>
        <v>-442.94735893975883</v>
      </c>
      <c r="S12" s="52">
        <f>S10-S11</f>
        <v>-388.5501868326719</v>
      </c>
      <c r="T12" s="52">
        <f>T10-T11</f>
        <v>-314.2057088171516</v>
      </c>
      <c r="U12" s="52">
        <f>U10-U11</f>
        <v>-220.41350994348727</v>
      </c>
      <c r="V12" s="52">
        <f>V10-V11</f>
        <v>-108.77668343112919</v>
      </c>
      <c r="W12" s="52">
        <f>W10-W11</f>
        <v>14.921521720715663</v>
      </c>
      <c r="X12" s="52">
        <f>X10-X11</f>
        <v>129.5344714413154</v>
      </c>
      <c r="Y12" s="52">
        <f>Y10-Y11</f>
        <v>249.66685450798843</v>
      </c>
    </row>
    <row r="13">
      <c r="A13" s="2" t="inlineStr">
        <is>
          <t>Earnings per Share</t>
        </is>
      </c>
      <c r="B13" s="11">
        <f>IFERROR(B12/B14,0)</f>
        <v>-11.862018881626724</v>
      </c>
      <c r="C13" s="11">
        <f>IFERROR(C12/C14,0)</f>
        <v>-10.369603784742756</v>
      </c>
      <c r="D13" s="11">
        <f>IFERROR(D12/D14,0)</f>
        <v>-2.0796355543190987</v>
      </c>
      <c r="E13" s="11">
        <f>IFERROR(E12/E14,0)</f>
        <v>-3.9588396813745477</v>
      </c>
      <c r="F13" s="11">
        <f>IFERROR(F12/F14,0)</f>
        <v>-6.21097835147902</v>
      </c>
      <c r="G13" s="11">
        <f>IFERROR(G12/G14,0)</f>
        <v>-7.117023531905872</v>
      </c>
      <c r="H13" s="11">
        <f>IFERROR(H12/H14,0)</f>
        <v>-3.9700853842290305</v>
      </c>
      <c r="I13" s="11">
        <f>IFERROR(I12/I14,0)</f>
        <v>-7.118210580271135</v>
      </c>
      <c r="J13" s="11">
        <f>IFERROR(J12/J14,0)</f>
        <v>-3.066199914538343</v>
      </c>
      <c r="K13" s="11">
        <f>IFERROR(K12/K14,0)</f>
        <v>-6.6969290223612</v>
      </c>
      <c r="L13" s="11">
        <f>IFERROR(L12/L14,0)</f>
        <v>-10.118445518780216</v>
      </c>
      <c r="M13" s="11">
        <f>IFERROR(M12/M14,0)</f>
        <v>-8.258503401360544</v>
      </c>
      <c r="N13" s="11">
        <f>IFERROR(N12/N14,0)</f>
        <v>-6.287292817679558</v>
      </c>
      <c r="O13" s="11">
        <f>IFERROR(O12/O14,0)</f>
        <v>-5.831643002028398</v>
      </c>
      <c r="P13" s="11">
        <f>IFERROR(P12/P14,0)</f>
        <v>-5.018640608905226</v>
      </c>
      <c r="Q13" s="11">
        <f>IFERROR(Q12/Q14,0)</f>
        <v>-4.847451776357895</v>
      </c>
      <c r="R13" s="11">
        <f>IFERROR(R12/R14,0)</f>
        <v>-4.492873743873295</v>
      </c>
      <c r="S13" s="11">
        <f>IFERROR(S12/S14,0)</f>
        <v>-3.9411160205946554</v>
      </c>
      <c r="T13" s="11">
        <f>IFERROR(T12/T14,0)</f>
        <v>-3.1870301308460194</v>
      </c>
      <c r="U13" s="11">
        <f>IFERROR(U12/U14,0)</f>
        <v>-2.235683431978041</v>
      </c>
      <c r="V13" s="11">
        <f>IFERROR(V12/V14,0)</f>
        <v>-1.103336310895137</v>
      </c>
      <c r="W13" s="11">
        <f>IFERROR(W12/W14,0)</f>
        <v>0.15135097163262695</v>
      </c>
      <c r="X13" s="11">
        <f>IFERROR(X12/X14,0)</f>
        <v>1.313885304696762</v>
      </c>
      <c r="Y13" s="11">
        <f>IFERROR(Y12/Y14,0)</f>
        <v>2.5324039814106447</v>
      </c>
    </row>
    <row r="14">
      <c r="A14" s="2" t="inlineStr">
        <is>
          <t>Shares</t>
        </is>
      </c>
      <c r="B14" s="52" t="n">
        <v>1.377</v>
      </c>
      <c r="C14" s="52" t="n">
        <v>3.382</v>
      </c>
      <c r="D14" s="52" t="n">
        <v>28.756</v>
      </c>
      <c r="E14" s="52" t="n">
        <v>36.783</v>
      </c>
      <c r="F14" s="52" t="n">
        <v>39.587</v>
      </c>
      <c r="G14" s="52" t="n">
        <v>42.453</v>
      </c>
      <c r="H14" s="52" t="n">
        <v>49.775</v>
      </c>
      <c r="I14" s="52" t="n">
        <v>56.577</v>
      </c>
      <c r="J14" s="52" t="n">
        <v>60.846</v>
      </c>
      <c r="K14" s="52" t="n">
        <v>67.79600000000001</v>
      </c>
      <c r="L14" s="52" t="n">
        <v>69.914</v>
      </c>
      <c r="M14" s="52" t="n">
        <v>73.5</v>
      </c>
      <c r="N14" s="52" t="n">
        <v>90.5</v>
      </c>
      <c r="O14" s="52" t="n">
        <v>98.59999999999999</v>
      </c>
      <c r="P14" s="52">
        <f>Main!$C$4</f>
        <v>98.588873</v>
      </c>
      <c r="Q14" s="52">
        <f>Main!$C$4</f>
        <v>98.588873</v>
      </c>
      <c r="R14" s="52">
        <f>Main!$C$4</f>
        <v>98.588873</v>
      </c>
      <c r="S14" s="52">
        <f>Main!$C$4</f>
        <v>98.588873</v>
      </c>
      <c r="T14" s="52">
        <f>Main!$C$4</f>
        <v>98.588873</v>
      </c>
      <c r="U14" s="52">
        <f>Main!$C$4</f>
        <v>98.588873</v>
      </c>
      <c r="V14" s="52">
        <f>Main!$C$4</f>
        <v>98.588873</v>
      </c>
      <c r="W14" s="52">
        <f>Main!$C$4</f>
        <v>98.588873</v>
      </c>
      <c r="X14" s="52">
        <f>Main!$C$4</f>
        <v>98.588873</v>
      </c>
      <c r="Y14" s="52">
        <f>Main!$C$4</f>
        <v>98.588873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18.639097744360903</v>
      </c>
      <c r="H16" s="15">
        <f>IFERROR(H2/G2-1,"")</f>
        <v>18.714777947932618</v>
      </c>
      <c r="I16" s="15">
        <f>IFERROR(I2/H2-1,"")</f>
        <v>1.0140596174385865</v>
      </c>
      <c r="J16" s="15">
        <f>IFERROR(J2/I2-1,"")</f>
        <v>1.6132441136201474</v>
      </c>
      <c r="K16" s="15">
        <f>IFERROR(K2/J2-1,"")</f>
        <v>0.2965575766520312</v>
      </c>
      <c r="L16" s="15">
        <f>IFERROR(L2/K2-1,"")</f>
        <v>0.033929414978685735</v>
      </c>
      <c r="M16" s="15">
        <f>IFERROR(M2/L2-1,"")</f>
        <v>0.19450965928951436</v>
      </c>
      <c r="N16" s="15">
        <f>IFERROR(N2/M2-1,"")</f>
        <v>0.29032258064516125</v>
      </c>
      <c r="O16" s="15">
        <f>IFERROR(O2/N2-1,"")</f>
        <v>0.20178571428571423</v>
      </c>
      <c r="P16" s="15">
        <f>IFERROR(P2/O2-1,"")</f>
        <v>0.14379999999999993</v>
      </c>
      <c r="Q16" s="15">
        <f>IFERROR(Q2/P2-1,"")</f>
        <v>0.13060000000000005</v>
      </c>
      <c r="R16" s="15">
        <f>IFERROR(R2/Q2-1,"")</f>
        <v>0.11739999999999995</v>
      </c>
      <c r="S16" s="15">
        <f>IFERROR(S2/R2-1,"")</f>
        <v>0.10420000000000007</v>
      </c>
      <c r="T16" s="15">
        <f>IFERROR(T2/S2-1,"")</f>
        <v>0.09099999999999997</v>
      </c>
      <c r="U16" s="15">
        <f>IFERROR(U2/T2-1,"")</f>
        <v>0.07780000000000009</v>
      </c>
      <c r="V16" s="15">
        <f>IFERROR(V2/U2-1,"")</f>
        <v>0.06459999999999999</v>
      </c>
      <c r="W16" s="15">
        <f>IFERROR(W2/V2-1,"")</f>
        <v>0.05140000000000011</v>
      </c>
      <c r="X16" s="15">
        <f>IFERROR(X2/W2-1,"")</f>
        <v>0.03820000000000001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0.9996171516079633</v>
      </c>
      <c r="H17" s="15">
        <f>IFERROR(H4/H2,"")</f>
        <v>0.9777454121759394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0.9777</v>
      </c>
      <c r="Q17" s="15">
        <f>IFERROR(Q4/Q2,"")</f>
        <v>0.9777</v>
      </c>
      <c r="R17" s="15">
        <f>IFERROR(R4/R2,"")</f>
        <v>0.9777</v>
      </c>
      <c r="S17" s="15">
        <f>IFERROR(S4/S2,"")</f>
        <v>0.9777</v>
      </c>
      <c r="T17" s="15">
        <f>IFERROR(T4/T2,"")</f>
        <v>0.9777</v>
      </c>
      <c r="U17" s="15">
        <f>IFERROR(U4/U2,"")</f>
        <v>0.9776999999999999</v>
      </c>
      <c r="V17" s="15">
        <f>IFERROR(V4/V2,"")</f>
        <v>0.9777</v>
      </c>
      <c r="W17" s="15">
        <f>IFERROR(W4/W2,"")</f>
        <v>0.9777</v>
      </c>
      <c r="X17" s="15">
        <f>IFERROR(X4/X2,"")</f>
        <v>0.9777</v>
      </c>
      <c r="Y17" s="15">
        <f>IFERROR(Y4/Y2,"")</f>
        <v>0.9777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-1864.7142857142856</v>
      </c>
      <c r="G18" s="15">
        <f>IFERROR(G8/G2,"")</f>
        <v>-125.93491577335375</v>
      </c>
      <c r="H18" s="15">
        <f>IFERROR(H8/H2,"")</f>
        <v>-7.211826390911739</v>
      </c>
      <c r="I18" s="15">
        <f>IFERROR(I8/I2,"")</f>
        <v>-4.089833580808763</v>
      </c>
      <c r="J18" s="15">
        <f>IFERROR(J8/J2,"")</f>
        <v>-1.2180053868575436</v>
      </c>
      <c r="K18" s="15">
        <f>IFERROR(K8/K2,"")</f>
        <v>-1.08631326727489</v>
      </c>
      <c r="L18" s="15">
        <f>IFERROR(L8/L2,"")</f>
        <v>-1.7860368976877707</v>
      </c>
      <c r="M18" s="15">
        <f>IFERROR(M8/M2,"")</f>
        <v>-1.3110599078341014</v>
      </c>
      <c r="N18" s="15">
        <f>IFERROR(N8/N2,"")</f>
        <v>-0.9571428571428572</v>
      </c>
      <c r="O18" s="15">
        <f>IFERROR(O8/O2,"")</f>
        <v>-0.7949479940564635</v>
      </c>
      <c r="P18" s="15">
        <f>IFERROR(P8/P2,"")</f>
        <v>-0.6427600000000001</v>
      </c>
      <c r="Q18" s="15">
        <f>IFERROR(Q8/Q2,"")</f>
        <v>-0.5491200000000002</v>
      </c>
      <c r="R18" s="15">
        <f>IFERROR(R8/R2,"")</f>
        <v>-0.45547999999999994</v>
      </c>
      <c r="S18" s="15">
        <f>IFERROR(S8/S2,"")</f>
        <v>-0.36184</v>
      </c>
      <c r="T18" s="15">
        <f>IFERROR(T8/T2,"")</f>
        <v>-0.26819999999999994</v>
      </c>
      <c r="U18" s="15">
        <f>IFERROR(U8/U2,"")</f>
        <v>-0.17456</v>
      </c>
      <c r="V18" s="15">
        <f>IFERROR(V8/V2,"")</f>
        <v>-0.08092000000000008</v>
      </c>
      <c r="W18" s="15">
        <f>IFERROR(W8/W2,"")</f>
        <v>0.012720000000000096</v>
      </c>
      <c r="X18" s="15">
        <f>IFERROR(X8/X2,"")</f>
        <v>0.10636000000000007</v>
      </c>
      <c r="Y18" s="15">
        <f>IFERROR(Y8/Y2,"")</f>
        <v>0.20000000000000012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Ultragenyx Pharmaceutical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0.09379999999999999</v>
      </c>
      <c r="C12" s="53" t="n">
        <v>0.1438</v>
      </c>
      <c r="D12" s="53" t="n">
        <v>0.1938</v>
      </c>
      <c r="E12" s="54">
        <f>CHOOSE($B$4,B12,C12,D12)</f>
        <v>0.1438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-0.7364000000000001</v>
      </c>
    </row>
    <row r="19">
      <c r="A19" s="14" t="inlineStr">
        <is>
          <t>Gross margin (forecast)</t>
        </is>
      </c>
      <c r="B19" s="53" t="n">
        <v>0.9777</v>
      </c>
    </row>
    <row r="20">
      <c r="A20" s="14" t="inlineStr">
        <is>
          <t>R&amp;D share of operating expense (forecast)</t>
        </is>
      </c>
      <c r="B20" s="53" t="n">
        <v>0.6209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673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-607.8675940790658</v>
      </c>
      <c r="C29" s="56">
        <f>NPV!B26</f>
        <v>-315.86759407906584</v>
      </c>
      <c r="D29" s="35">
        <f>NPV!B28</f>
        <v>-3.2038868532259803</v>
      </c>
      <c r="E29" s="57">
        <f>NPV!B30</f>
        <v>-1.1999929371551799</v>
      </c>
    </row>
    <row r="30">
      <c r="A30" s="58" t="n">
        <v>1</v>
      </c>
      <c r="B30" s="59">
        <f t="dataTable" ref="B30:E32" r1="B4"/>
        <v>-1098.5958251363677</v>
      </c>
      <c r="C30" s="59">
        <v>-806.5958251363677</v>
      </c>
      <c r="D30" s="39">
        <v>-8.18140831304936</v>
      </c>
      <c r="E30" s="60">
        <v>-1.5106996450093235</v>
      </c>
    </row>
    <row r="31">
      <c r="A31" s="58" t="n">
        <v>2</v>
      </c>
      <c r="B31" s="59">
        <v>-607.8675940790658</v>
      </c>
      <c r="C31" s="59">
        <v>-315.86759407906584</v>
      </c>
      <c r="D31" s="39">
        <v>-3.2038868532259803</v>
      </c>
      <c r="E31" s="60">
        <v>-1.1999929371551799</v>
      </c>
    </row>
    <row r="32">
      <c r="A32" s="58" t="n">
        <v>3</v>
      </c>
      <c r="B32" s="59">
        <v>558.2375844600203</v>
      </c>
      <c r="C32" s="59">
        <v>850.2375844600203</v>
      </c>
      <c r="D32" s="39">
        <v>8.624072459576857</v>
      </c>
      <c r="E32" s="60">
        <v>-0.46166838579420366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-3.2038868532259803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-0.4665775112340313</v>
      </c>
      <c r="C37" s="39">
        <v>0.806423919182688</v>
      </c>
      <c r="D37" s="39">
        <v>2.2895432456437144</v>
      </c>
      <c r="E37" s="39">
        <v>4.03547542078671</v>
      </c>
      <c r="F37" s="39">
        <v>6.116079133484445</v>
      </c>
    </row>
    <row r="38">
      <c r="A38" s="62" t="n">
        <v>0.1</v>
      </c>
      <c r="B38" s="39">
        <v>-2.8803889900664212</v>
      </c>
      <c r="C38" s="39">
        <v>-1.963857876199357</v>
      </c>
      <c r="D38" s="39">
        <v>-0.9134019921438316</v>
      </c>
      <c r="E38" s="39">
        <v>0.299809930125219</v>
      </c>
      <c r="F38" s="39">
        <v>1.7134818484939984</v>
      </c>
    </row>
    <row r="39">
      <c r="A39" s="62" t="n">
        <v>0.11</v>
      </c>
      <c r="B39" s="39">
        <v>-4.648657277649447</v>
      </c>
      <c r="C39" s="39">
        <v>-3.9710366289338928</v>
      </c>
      <c r="D39" s="39">
        <v>-3.2038868532259803</v>
      </c>
      <c r="E39" s="39">
        <v>-2.330311856525184</v>
      </c>
      <c r="F39" s="39">
        <v>-1.3289086791675893</v>
      </c>
    </row>
    <row r="40">
      <c r="A40" s="62" t="n">
        <v>0.12</v>
      </c>
      <c r="B40" s="39">
        <v>-5.96500733243159</v>
      </c>
      <c r="C40" s="39">
        <v>-5.453856458143663</v>
      </c>
      <c r="D40" s="39">
        <v>-4.880568154230748</v>
      </c>
      <c r="E40" s="39">
        <v>-4.234694791797893</v>
      </c>
      <c r="F40" s="39">
        <v>-3.5033294517558478</v>
      </c>
    </row>
    <row r="41">
      <c r="A41" s="62" t="n">
        <v>0.13</v>
      </c>
      <c r="B41" s="39">
        <v>-6.954990527003745</v>
      </c>
      <c r="C41" s="39">
        <v>-6.563472911067626</v>
      </c>
      <c r="D41" s="39">
        <v>-6.1275047130548295</v>
      </c>
      <c r="E41" s="39">
        <v>-5.640340971575903</v>
      </c>
      <c r="F41" s="39">
        <v>-5.093815874718413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Ultragenyx Pharmaceutical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0.1438</v>
      </c>
      <c r="D5" s="63">
        <f>Assumptions!$E$12+(Assumptions!$E$11-Assumptions!$E$12)*(D4-1)/(Assumptions!$B$21-1)</f>
        <v>0.13060000000000002</v>
      </c>
      <c r="E5" s="63">
        <f>Assumptions!$E$12+(Assumptions!$E$11-Assumptions!$E$12)*(E4-1)/(Assumptions!$B$21-1)</f>
        <v>0.1174</v>
      </c>
      <c r="F5" s="63">
        <f>Assumptions!$E$12+(Assumptions!$E$11-Assumptions!$E$12)*(F4-1)/(Assumptions!$B$21-1)</f>
        <v>0.10420000000000001</v>
      </c>
      <c r="G5" s="63">
        <f>Assumptions!$E$12+(Assumptions!$E$11-Assumptions!$E$12)*(G4-1)/(Assumptions!$B$21-1)</f>
        <v>0.091</v>
      </c>
      <c r="H5" s="63">
        <f>Assumptions!$E$12+(Assumptions!$E$11-Assumptions!$E$12)*(H4-1)/(Assumptions!$B$21-1)</f>
        <v>0.07780000000000001</v>
      </c>
      <c r="I5" s="63">
        <f>Assumptions!$E$12+(Assumptions!$E$11-Assumptions!$E$12)*(I4-1)/(Assumptions!$B$21-1)</f>
        <v>0.0646</v>
      </c>
      <c r="J5" s="63">
        <f>Assumptions!$E$12+(Assumptions!$E$11-Assumptions!$E$12)*(J4-1)/(Assumptions!$B$21-1)</f>
        <v>0.0514</v>
      </c>
      <c r="K5" s="63">
        <f>Assumptions!$E$12+(Assumptions!$E$11-Assumptions!$E$12)*(K4-1)/(Assumptions!$B$21-1)</f>
        <v>0.0382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-0.7949479940564635</v>
      </c>
      <c r="C6" s="63">
        <f>Assumptions!$B$18+(Assumptions!$E$13-Assumptions!$B$18)*C4/Assumptions!$B$21</f>
        <v>-0.64276</v>
      </c>
      <c r="D6" s="63">
        <f>Assumptions!$B$18+(Assumptions!$E$13-Assumptions!$B$18)*D4/Assumptions!$B$21</f>
        <v>-0.54912</v>
      </c>
      <c r="E6" s="63">
        <f>Assumptions!$B$18+(Assumptions!$E$13-Assumptions!$B$18)*E4/Assumptions!$B$21</f>
        <v>-0.45548</v>
      </c>
      <c r="F6" s="63">
        <f>Assumptions!$B$18+(Assumptions!$E$13-Assumptions!$B$18)*F4/Assumptions!$B$21</f>
        <v>-0.36184</v>
      </c>
      <c r="G6" s="63">
        <f>Assumptions!$B$18+(Assumptions!$E$13-Assumptions!$B$18)*G4/Assumptions!$B$21</f>
        <v>-0.2682</v>
      </c>
      <c r="H6" s="63">
        <f>Assumptions!$B$18+(Assumptions!$E$13-Assumptions!$B$18)*H4/Assumptions!$B$21</f>
        <v>-0.17455999999999994</v>
      </c>
      <c r="I6" s="63">
        <f>Assumptions!$B$18+(Assumptions!$E$13-Assumptions!$B$18)*I4/Assumptions!$B$21</f>
        <v>-0.08091999999999999</v>
      </c>
      <c r="J6" s="63">
        <f>Assumptions!$B$18+(Assumptions!$E$13-Assumptions!$B$18)*J4/Assumptions!$B$21</f>
        <v>0.012720000000000065</v>
      </c>
      <c r="K6" s="63">
        <f>Assumptions!$B$18+(Assumptions!$E$13-Assumptions!$B$18)*K4/Assumptions!$B$21</f>
        <v>0.10636000000000012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Model'!O2</f>
        <v>673</v>
      </c>
      <c r="C7" s="55">
        <f>'Yearly Model'!P2</f>
        <v>769.7774</v>
      </c>
      <c r="D7" s="55">
        <f>'Yearly Model'!Q2</f>
        <v>870.3103284399999</v>
      </c>
      <c r="E7" s="55">
        <f>'Yearly Model'!R2</f>
        <v>972.4847609988559</v>
      </c>
      <c r="F7" s="55">
        <f>'Yearly Model'!S2</f>
        <v>1073.8176730949367</v>
      </c>
      <c r="G7" s="55">
        <f>'Yearly Model'!T2</f>
        <v>1171.535081346576</v>
      </c>
      <c r="H7" s="55">
        <f>'Yearly Model'!U2</f>
        <v>1262.6805106753395</v>
      </c>
      <c r="I7" s="55">
        <f>'Yearly Model'!V2</f>
        <v>1344.2496716649664</v>
      </c>
      <c r="J7" s="55">
        <f>'Yearly Model'!W2</f>
        <v>1413.3441047885458</v>
      </c>
      <c r="K7" s="55">
        <f>'Yearly Model'!X2</f>
        <v>1467.3338495914682</v>
      </c>
      <c r="L7" s="55">
        <f>'Yearly Model'!Y2</f>
        <v>1504.0171958312546</v>
      </c>
    </row>
    <row r="8">
      <c r="A8" s="14" t="inlineStr">
        <is>
          <t>Operating income</t>
        </is>
      </c>
      <c r="B8" s="55">
        <f>'Yearly Model'!O8</f>
        <v>-535.0</v>
      </c>
      <c r="C8" s="55">
        <f>'Yearly Model'!P8</f>
        <v>-494.78212162400007</v>
      </c>
      <c r="D8" s="55">
        <f>'Yearly Model'!Q8</f>
        <v>-477.9048075529729</v>
      </c>
      <c r="E8" s="55">
        <f>'Yearly Model'!R8</f>
        <v>-442.94735893975883</v>
      </c>
      <c r="F8" s="55">
        <f>'Yearly Model'!S8</f>
        <v>-388.5501868326719</v>
      </c>
      <c r="G8" s="55">
        <f>'Yearly Model'!T8</f>
        <v>-314.2057088171516</v>
      </c>
      <c r="H8" s="55">
        <f>'Yearly Model'!U8</f>
        <v>-220.41350994348727</v>
      </c>
      <c r="I8" s="55">
        <f>'Yearly Model'!V8</f>
        <v>-108.77668343112919</v>
      </c>
      <c r="J8" s="55">
        <f>'Yearly Model'!W8</f>
        <v>17.97773701291044</v>
      </c>
      <c r="K8" s="55">
        <f>'Yearly Model'!X8</f>
        <v>156.06562824254866</v>
      </c>
      <c r="L8" s="55">
        <f>'Yearly Model'!Y8</f>
        <v>300.8034391662511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3.056215292194775</v>
      </c>
      <c r="K9" s="52">
        <f>MAX(0,K8)*Assumptions!$E$14</f>
        <v>26.531156801233273</v>
      </c>
      <c r="L9" s="52">
        <f>MAX(0,L8)*Assumptions!$E$14</f>
        <v>51.13658465826269</v>
      </c>
    </row>
    <row r="10">
      <c r="A10" s="14" t="inlineStr">
        <is>
          <t>NOPAT</t>
        </is>
      </c>
      <c r="C10" s="52">
        <f>C8-C9</f>
        <v>-494.78212162400007</v>
      </c>
      <c r="D10" s="52">
        <f>D8-D9</f>
        <v>-477.9048075529729</v>
      </c>
      <c r="E10" s="52">
        <f>E8-E9</f>
        <v>-442.94735893975883</v>
      </c>
      <c r="F10" s="52">
        <f>F8-F9</f>
        <v>-388.5501868326719</v>
      </c>
      <c r="G10" s="52">
        <f>G8-G9</f>
        <v>-314.2057088171516</v>
      </c>
      <c r="H10" s="52">
        <f>H8-H9</f>
        <v>-220.41350994348727</v>
      </c>
      <c r="I10" s="52">
        <f>I8-I9</f>
        <v>-108.77668343112919</v>
      </c>
      <c r="J10" s="52">
        <f>J8-J9</f>
        <v>14.921521720715663</v>
      </c>
      <c r="K10" s="52">
        <f>K8-K9</f>
        <v>129.5344714413154</v>
      </c>
      <c r="L10" s="52">
        <f>L8-L9</f>
        <v>249.66685450798843</v>
      </c>
    </row>
    <row r="11">
      <c r="A11" s="14" t="inlineStr">
        <is>
          <t>Reinvestment</t>
        </is>
      </c>
      <c r="C11" s="52">
        <f>(C7-B7)*Assumptions!$E$15</f>
        <v>24.194349999999986</v>
      </c>
      <c r="D11" s="52">
        <f>(D7-C7)*Assumptions!$E$15</f>
        <v>25.133232109999994</v>
      </c>
      <c r="E11" s="52">
        <f>(E7-D7)*Assumptions!$E$15</f>
        <v>25.543608139713996</v>
      </c>
      <c r="F11" s="52">
        <f>(F7-E7)*Assumptions!$E$15</f>
        <v>25.3332280240202</v>
      </c>
      <c r="G11" s="52">
        <f>(G7-F7)*Assumptions!$E$15</f>
        <v>24.4293520629098</v>
      </c>
      <c r="H11" s="52">
        <f>(H7-G7)*Assumptions!$E$15</f>
        <v>22.786357332190903</v>
      </c>
      <c r="I11" s="52">
        <f>(I7-H7)*Assumptions!$E$15</f>
        <v>20.39229024740672</v>
      </c>
      <c r="J11" s="52">
        <f>(J7-I7)*Assumptions!$E$15</f>
        <v>17.273608280894848</v>
      </c>
      <c r="K11" s="52">
        <f>(K7-J7)*Assumptions!$E$15</f>
        <v>13.49743620073059</v>
      </c>
      <c r="L11" s="52">
        <f>(L7-K7)*Assumptions!$E$15</f>
        <v>9.170836559946622</v>
      </c>
    </row>
    <row r="12">
      <c r="A12" s="20" t="inlineStr">
        <is>
          <t>Free cash flow</t>
        </is>
      </c>
      <c r="C12" s="64">
        <f>C10-C11</f>
        <v>-518.976471624</v>
      </c>
      <c r="D12" s="64">
        <f>D10-D11</f>
        <v>-503.0380396629729</v>
      </c>
      <c r="E12" s="64">
        <f>E10-E11</f>
        <v>-468.49096707947285</v>
      </c>
      <c r="F12" s="64">
        <f>F10-F11</f>
        <v>-413.88341485669207</v>
      </c>
      <c r="G12" s="64">
        <f>G10-G11</f>
        <v>-338.6350608800614</v>
      </c>
      <c r="H12" s="64">
        <f>H10-H11</f>
        <v>-243.19986727567817</v>
      </c>
      <c r="I12" s="64">
        <f>I10-I11</f>
        <v>-129.1689736785359</v>
      </c>
      <c r="J12" s="64">
        <f>J10-J11</f>
        <v>-2.3520865601791847</v>
      </c>
      <c r="K12" s="64">
        <f>K10-K11</f>
        <v>116.0370352405848</v>
      </c>
      <c r="L12" s="64">
        <f>L10-L11</f>
        <v>240.4960179480418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-254.82422361820076</v>
      </c>
      <c r="D16" s="64">
        <f>D12*D13*D15</f>
        <v>-452.99355654785757</v>
      </c>
      <c r="E16" s="64">
        <f>E12*E13*E15</f>
        <v>-380.0751188118407</v>
      </c>
      <c r="F16" s="64">
        <f>F12*F13*F15</f>
        <v>-302.4985262338512</v>
      </c>
      <c r="G16" s="64">
        <f>G12*G13*G15</f>
        <v>-222.97397789168252</v>
      </c>
      <c r="H16" s="64">
        <f>H12*H13*H15</f>
        <v>-144.26554323797194</v>
      </c>
      <c r="I16" s="64">
        <f>I12*I13*I15</f>
        <v>-69.02946570842998</v>
      </c>
      <c r="J16" s="64">
        <f>J12*J13*J15</f>
        <v>-1.132417636778496</v>
      </c>
      <c r="K16" s="64">
        <f>K12*K13*K15</f>
        <v>50.330004530762544</v>
      </c>
      <c r="L16" s="64">
        <f>L12*L13*L15</f>
        <v>93.97563232126772</v>
      </c>
    </row>
    <row r="19">
      <c r="A19" s="14" t="inlineStr">
        <is>
          <t>PV of forecast free cash flow</t>
        </is>
      </c>
      <c r="B19" s="52">
        <f>SUM(C16:L16)</f>
        <v>-1683.4871928345826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246.50841839674277</v>
      </c>
    </row>
    <row r="21">
      <c r="A21" s="14" t="inlineStr">
        <is>
          <t>Terminal value</t>
        </is>
      </c>
      <c r="B21" s="52">
        <f>B20/(Assumptions!$E$10-Assumptions!$E$11)</f>
        <v>2900.09903996168</v>
      </c>
    </row>
    <row r="22">
      <c r="A22" s="14" t="inlineStr">
        <is>
          <t>PV of terminal value</t>
        </is>
      </c>
      <c r="B22" s="52">
        <f>B21/(1+Assumptions!$E$10)^(L14+0.5)</f>
        <v>1075.6195987555168</v>
      </c>
    </row>
    <row r="23">
      <c r="A23" s="20" t="inlineStr">
        <is>
          <t>Enterprise value</t>
        </is>
      </c>
      <c r="B23" s="66">
        <f>B19+B22</f>
        <v>-607.8675940790658</v>
      </c>
    </row>
    <row r="24">
      <c r="A24" s="14" t="inlineStr">
        <is>
          <t>Cash &amp; investments</t>
        </is>
      </c>
      <c r="B24" s="55">
        <f>Main!C7</f>
        <v>292.0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-315.86759407906584</v>
      </c>
    </row>
    <row r="27">
      <c r="A27" s="14" t="inlineStr">
        <is>
          <t>Shares (mm)</t>
        </is>
      </c>
      <c r="B27" s="55">
        <f>Main!C4</f>
        <v>98.588873</v>
      </c>
    </row>
    <row r="28">
      <c r="A28" s="20" t="inlineStr">
        <is>
          <t>NPV / share</t>
        </is>
      </c>
      <c r="B28" s="49">
        <f>B26/B27</f>
        <v>-3.2038868532259803</v>
      </c>
    </row>
    <row r="29">
      <c r="A29" s="14" t="inlineStr">
        <is>
          <t>Price</t>
        </is>
      </c>
      <c r="B29" s="50">
        <f>Main!C3</f>
        <v>16.02</v>
      </c>
    </row>
    <row r="30">
      <c r="A30" s="14" t="inlineStr">
        <is>
          <t>Upside</t>
        </is>
      </c>
      <c r="B30" s="63">
        <f>B28/B29-1</f>
        <v>-1.1999929371551799</v>
      </c>
    </row>
    <row r="31">
      <c r="A31" s="14" t="inlineStr">
        <is>
          <t>Terminal value, % of EV</t>
        </is>
      </c>
      <c r="B31" s="63">
        <f>IFERROR(B22/B23,0)</f>
        <v>-1.7694965305480819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2026-10-21T06:23:18Z</dcterms:modified>
  <cp:lastModifiedBy>Wang, Eric</cp:lastModifiedBy>
</cp:coreProperties>
</file>