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GH Research PLC</t>
        </is>
      </c>
      <c r="C2" s="10" t="n"/>
    </row>
    <row r="3">
      <c r="B3" t="inlineStr">
        <is>
          <t>Price</t>
        </is>
      </c>
      <c r="C3" s="11">
        <f>INDEX([1]Pharma!$F$1:$F$1000,MATCH("GHRS",[1]Pharma!$B$1:$B$1000,0))</f>
        <v>19.165</v>
      </c>
      <c r="F3" s="1" t="n"/>
    </row>
    <row r="4">
      <c r="B4" t="inlineStr">
        <is>
          <t>Shares</t>
        </is>
      </c>
      <c r="C4" s="21" t="n">
        <v>62.029395</v>
      </c>
      <c r="F4" s="1" t="n"/>
    </row>
    <row r="5">
      <c r="B5" t="inlineStr">
        <is>
          <t>Market Cap.</t>
        </is>
      </c>
      <c r="C5" s="13">
        <f>C3*C4</f>
        <v>1188.793355175</v>
      </c>
      <c r="F5" s="1" t="n"/>
    </row>
    <row r="6"/>
    <row r="7">
      <c r="B7" t="inlineStr">
        <is>
          <t>Cash</t>
        </is>
      </c>
      <c r="C7" s="21" t="n">
        <v>246.251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942.542355175</v>
      </c>
    </row>
    <row r="10"/>
    <row r="11">
      <c r="B11" s="14" t="inlineStr">
        <is>
          <t>Net Cash / Share</t>
        </is>
      </c>
      <c r="C11" s="11">
        <f>(C7-C8)/C4</f>
        <v>3.969908137907842</v>
      </c>
    </row>
    <row r="12">
      <c r="B12" s="14" t="inlineStr">
        <is>
          <t>Upside</t>
        </is>
      </c>
      <c r="C12" s="15">
        <f>IFERROR(C11/C3-1,"")</f>
        <v>-0.7928563455305065</v>
      </c>
    </row>
    <row r="13">
      <c r="B13" s="14" t="inlineStr">
        <is>
          <t>Cash / Share</t>
        </is>
      </c>
      <c r="C13" s="11">
        <f>IFERROR((C7-C8)/C4,"")</f>
        <v>3.969908137907842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-43.552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5.6541835047759</v>
      </c>
    </row>
    <row r="19">
      <c r="B19" s="14" t="inlineStr">
        <is>
          <t>Implied Pipeline Value</t>
        </is>
      </c>
      <c r="C19" s="13">
        <f>C9</f>
        <v>942.542355175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0.296</v>
      </c>
      <c r="C5" s="23" t="n">
        <v>0.338</v>
      </c>
      <c r="D5" s="23" t="n">
        <v>8.553000000000001</v>
      </c>
      <c r="E5" s="23" t="n">
        <v>20.484</v>
      </c>
      <c r="F5" s="23" t="n">
        <v>29.821</v>
      </c>
      <c r="G5" s="23" t="n">
        <v>35.016</v>
      </c>
      <c r="H5" s="23" t="n">
        <v>38.765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0.014</v>
      </c>
      <c r="C6" s="23" t="n">
        <v>0.108</v>
      </c>
      <c r="D6" s="23" t="n">
        <v>6.547</v>
      </c>
      <c r="E6" s="23" t="n">
        <v>10.07</v>
      </c>
      <c r="F6" s="23" t="n">
        <v>11.401</v>
      </c>
      <c r="G6" s="23" t="n">
        <v>15.296</v>
      </c>
      <c r="H6" s="23" t="n">
        <v>21.953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0.31</v>
      </c>
      <c r="C7" s="23">
        <f>SUM(C5:C6)</f>
        <v>0.446</v>
      </c>
      <c r="D7" s="23">
        <f>SUM(D5:D6)</f>
        <v>15.100000000000001</v>
      </c>
      <c r="E7" s="23">
        <f>SUM(E5:E6)</f>
        <v>30.554000000000002</v>
      </c>
      <c r="F7" s="23">
        <f>SUM(F5:F6)</f>
        <v>41.222</v>
      </c>
      <c r="G7" s="23">
        <f>SUM(G5:G6)</f>
        <v>50.312</v>
      </c>
      <c r="H7" s="23">
        <f>SUM(H5:H6)</f>
        <v>60.718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-0.31</v>
      </c>
      <c r="C8" s="23">
        <f>C4-C7</f>
        <v>-0.446</v>
      </c>
      <c r="D8" s="23">
        <f>D4-D7</f>
        <v>-15.100000000000001</v>
      </c>
      <c r="E8" s="23">
        <f>E4-E7</f>
        <v>-30.554000000000002</v>
      </c>
      <c r="F8" s="23">
        <f>F4-F7</f>
        <v>-41.222</v>
      </c>
      <c r="G8" s="23">
        <f>G4-G7</f>
        <v>-50.312</v>
      </c>
      <c r="H8" s="23">
        <f>H4-H7</f>
        <v>-60.718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5.898</v>
      </c>
      <c r="E9" s="23" t="n">
        <v>8.098000000000001</v>
      </c>
      <c r="F9" s="23" t="n">
        <v>5.635</v>
      </c>
      <c r="G9" s="23" t="n">
        <v>11.351</v>
      </c>
      <c r="H9" s="23" t="n">
        <v>12.46</v>
      </c>
    </row>
    <row r="10">
      <c r="A10" s="2" t="inlineStr">
        <is>
          <t>Pretax</t>
        </is>
      </c>
      <c r="B10" s="23">
        <f>B8+B9</f>
        <v>-0.31</v>
      </c>
      <c r="C10" s="23">
        <f>C8+C9</f>
        <v>-0.446</v>
      </c>
      <c r="D10" s="23">
        <f>D8+D9</f>
        <v>-9.202000000000002</v>
      </c>
      <c r="E10" s="23">
        <f>E8+E9</f>
        <v>-22.456000000000003</v>
      </c>
      <c r="F10" s="23">
        <f>F8+F9</f>
        <v>-35.587</v>
      </c>
      <c r="G10" s="23">
        <f>G8+G9</f>
        <v>-38.961</v>
      </c>
      <c r="H10" s="23">
        <f>H8+H9</f>
        <v>-48.258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-0.31</v>
      </c>
      <c r="C12" s="23" t="n">
        <v>-0.446</v>
      </c>
      <c r="D12" s="23" t="n">
        <v>-9.202</v>
      </c>
      <c r="E12" s="23" t="n">
        <v>-22.456</v>
      </c>
      <c r="F12" s="23" t="n">
        <v>-35.587</v>
      </c>
      <c r="G12" s="23" t="n">
        <v>-38.961</v>
      </c>
      <c r="H12" s="23" t="n">
        <v>-48.258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-0.01107142857142857</v>
      </c>
      <c r="C13" s="11">
        <f>IFERROR(C12/C14,0)</f>
        <v>-0.01572692972248669</v>
      </c>
      <c r="D13" s="11">
        <f>IFERROR(D12/D14,0)</f>
        <v>-0.21065403017192041</v>
      </c>
      <c r="E13" s="11">
        <f>IFERROR(E12/E14,0)</f>
        <v>-0.43167182483996847</v>
      </c>
      <c r="F13" s="11">
        <f>IFERROR(F12/F14,0)</f>
        <v>-0.6840628183687985</v>
      </c>
      <c r="G13" s="11">
        <f>IFERROR(G12/G14,0)</f>
        <v>-0.7488467748135619</v>
      </c>
      <c r="H13" s="11">
        <f>IFERROR(H12/H14,0)</f>
        <v>-0.79055747587766</v>
      </c>
    </row>
    <row r="14">
      <c r="A14" s="2" t="inlineStr">
        <is>
          <t>Shares</t>
        </is>
      </c>
      <c r="B14" s="23" t="n">
        <v>28</v>
      </c>
      <c r="C14" s="23" t="n">
        <v>28.359</v>
      </c>
      <c r="D14" s="23" t="n">
        <v>43.683</v>
      </c>
      <c r="E14" s="23" t="n">
        <v>52.021</v>
      </c>
      <c r="F14" s="23" t="n">
        <v>52.023</v>
      </c>
      <c r="G14" s="23" t="n">
        <v>52.028</v>
      </c>
      <c r="H14" s="23" t="n">
        <v>61.043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2026-10-21T01:04:48Z</dcterms:modified>
  <cp:lastModifiedBy>Wang, Eric</cp:lastModifiedBy>
</cp:coreProperties>
</file>