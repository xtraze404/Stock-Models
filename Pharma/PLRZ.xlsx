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Polyrizon Ltd</t>
        </is>
      </c>
      <c r="C2" s="10" t="n"/>
    </row>
    <row r="3">
      <c r="B3" t="inlineStr">
        <is>
          <t>Price</t>
        </is>
      </c>
      <c r="C3" s="11">
        <f>INDEX([1]Pharma!$F$1:$F$1000,MATCH("PLRZ",[1]Pharma!$B$1:$B$1000,0))</f>
        <v>9.15</v>
      </c>
      <c r="F3" s="1" t="n"/>
    </row>
    <row r="4">
      <c r="B4" t="inlineStr">
        <is>
          <t>Shares</t>
        </is>
      </c>
      <c r="C4" s="21" t="n">
        <v>1.608266</v>
      </c>
      <c r="F4" s="1" t="n"/>
    </row>
    <row r="5">
      <c r="B5" t="inlineStr">
        <is>
          <t>Market Cap.</t>
        </is>
      </c>
      <c r="C5" s="13">
        <f>C3*C4</f>
        <v>14.7156339</v>
      </c>
      <c r="F5" s="1" t="n"/>
    </row>
    <row r="6"/>
    <row r="7">
      <c r="B7" t="inlineStr">
        <is>
          <t>Cash</t>
        </is>
      </c>
      <c r="C7" s="21" t="n">
        <v>1.306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13.4096339</v>
      </c>
    </row>
    <row r="10"/>
    <row r="11">
      <c r="B11" s="14" t="inlineStr">
        <is>
          <t>Net Cash / Share</t>
        </is>
      </c>
      <c r="C11" s="11">
        <f>(C7-C8)/C4</f>
        <v>0.8120547222909643</v>
      </c>
    </row>
    <row r="12">
      <c r="B12" s="14" t="inlineStr">
        <is>
          <t>Upside</t>
        </is>
      </c>
      <c r="C12" s="15">
        <f>IFERROR(C11/C3-1,"")</f>
        <v>-0.9112508500228454</v>
      </c>
    </row>
    <row r="13">
      <c r="B13" s="14" t="inlineStr">
        <is>
          <t>Cash / Share</t>
        </is>
      </c>
      <c r="C13" s="11">
        <f>IFERROR((C7-C8)/C4,"")</f>
        <v>0.8120547222909643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-4.528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0.2884275618374559</v>
      </c>
    </row>
    <row r="19">
      <c r="B19" s="14" t="inlineStr">
        <is>
          <t>Implied Pipeline Value</t>
        </is>
      </c>
      <c r="C19" s="13">
        <f>C9</f>
        <v>13.4096339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0.347</v>
      </c>
      <c r="C5" s="23" t="n">
        <v>0.332</v>
      </c>
      <c r="D5" s="23" t="n">
        <v>0.534</v>
      </c>
      <c r="E5" s="23" t="n">
        <v>2.133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0.548</v>
      </c>
      <c r="C6" s="23" t="n">
        <v>0.303</v>
      </c>
      <c r="D6" s="23" t="n">
        <v>0.768</v>
      </c>
      <c r="E6" s="23" t="n">
        <v>4.116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0.895</v>
      </c>
      <c r="C7" s="23">
        <f>SUM(C5:C6)</f>
        <v>0.635</v>
      </c>
      <c r="D7" s="23">
        <f>SUM(D5:D6)</f>
        <v>1.302</v>
      </c>
      <c r="E7" s="23">
        <f>SUM(E5:E6)</f>
        <v>6.249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-0.895</v>
      </c>
      <c r="C8" s="23">
        <f>C4-C7</f>
        <v>-0.635</v>
      </c>
      <c r="D8" s="23">
        <f>D4-D7</f>
        <v>-1.302</v>
      </c>
      <c r="E8" s="23">
        <f>E4-E7</f>
        <v>-6.249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0.116</v>
      </c>
      <c r="C9" s="23" t="n">
        <v>0.035</v>
      </c>
      <c r="D9" s="23" t="n">
        <v>-0.243</v>
      </c>
      <c r="E9" s="23" t="n">
        <v>2.914</v>
      </c>
    </row>
    <row r="10">
      <c r="A10" s="2" t="inlineStr">
        <is>
          <t>Pretax</t>
        </is>
      </c>
      <c r="B10" s="23">
        <f>B8+B9</f>
        <v>-0.779</v>
      </c>
      <c r="C10" s="23">
        <f>C8+C9</f>
        <v>-0.6</v>
      </c>
      <c r="D10" s="23">
        <f>D8+D9</f>
        <v>-1.545</v>
      </c>
      <c r="E10" s="23">
        <f>E8+E9</f>
        <v>-3.3349999999999995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-0.779</v>
      </c>
      <c r="C12" s="23" t="n">
        <v>-0.6</v>
      </c>
      <c r="D12" s="23" t="n">
        <v>-1.545</v>
      </c>
      <c r="E12" s="23" t="n">
        <v>-3.335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-0.5964777947932619</v>
      </c>
      <c r="C13" s="11">
        <f>IFERROR(C12/C14,0)</f>
        <v>-0.44313146233382567</v>
      </c>
      <c r="D13" s="11">
        <f>IFERROR(D12/D14,0)</f>
        <v>-0.7748244734202607</v>
      </c>
      <c r="E13" s="11">
        <f>IFERROR(E12/E14,0)</f>
        <v>-4.904411764705882</v>
      </c>
    </row>
    <row r="14">
      <c r="A14" s="2" t="inlineStr">
        <is>
          <t>Shares</t>
        </is>
      </c>
      <c r="B14" s="23" t="n">
        <v>1.306</v>
      </c>
      <c r="C14" s="23" t="n">
        <v>1.354</v>
      </c>
      <c r="D14" s="23" t="n">
        <v>1.994</v>
      </c>
      <c r="E14" s="23" t="n">
        <v>0.68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2026-10-21T06:30:22Z</dcterms:modified>
  <cp:lastModifiedBy>Wang, Eric</cp:lastModifiedBy>
</cp:coreProperties>
</file>