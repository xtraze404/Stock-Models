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Bristol-Myers Squibb Company</t>
        </is>
      </c>
      <c r="C2" s="10" t="n"/>
    </row>
    <row r="3">
      <c r="B3" t="inlineStr">
        <is>
          <t>Price</t>
        </is>
      </c>
      <c r="C3" s="11">
        <f>INDEX([1]Pharma!$F$1:$F$1000,MATCH("BMY",[1]Pharma!$B$1:$B$1000,0))</f>
        <v>61.715</v>
      </c>
      <c r="F3" s="1" t="n"/>
    </row>
    <row r="4">
      <c r="B4" t="inlineStr">
        <is>
          <t>Shares</t>
        </is>
      </c>
      <c r="C4" s="51" t="n">
        <v>2042.714656</v>
      </c>
      <c r="F4" s="1" t="n"/>
    </row>
    <row r="5">
      <c r="B5" t="inlineStr">
        <is>
          <t>Market Cap.</t>
        </is>
      </c>
      <c r="C5" s="13">
        <f>C3*C4</f>
        <v>126066.13499504002</v>
      </c>
      <c r="F5" s="1" t="n"/>
    </row>
    <row r="6"/>
    <row r="7">
      <c r="B7" t="inlineStr">
        <is>
          <t>Cash</t>
        </is>
      </c>
      <c r="C7" s="51">
        <f>8722+2345</f>
        <v>11067.0</v>
      </c>
    </row>
    <row r="8">
      <c r="B8" t="inlineStr">
        <is>
          <t>Debt</t>
        </is>
      </c>
      <c r="C8" s="51">
        <f>1027+42093</f>
        <v>43120.0</v>
      </c>
    </row>
    <row r="9">
      <c r="B9" t="inlineStr">
        <is>
          <t>Enterprise V.</t>
        </is>
      </c>
      <c r="C9" s="13">
        <f>C5-C7+C8</f>
        <v>158119.13499504002</v>
      </c>
    </row>
    <row r="10"/>
    <row r="11">
      <c r="B11" s="14" t="inlineStr">
        <is>
          <t>NPV / Share</t>
        </is>
      </c>
      <c r="C11" s="11">
        <f>NPV!B28</f>
        <v>71.54578944152681</v>
      </c>
    </row>
    <row r="12">
      <c r="B12" s="14" t="inlineStr">
        <is>
          <t>Upside</t>
        </is>
      </c>
      <c r="C12" s="15">
        <f>IFERROR(C11/C3-1,"")</f>
        <v>0.15929335561090174</v>
      </c>
    </row>
    <row r="13">
      <c r="B13" s="14" t="inlineStr">
        <is>
          <t>Cash / Share</t>
        </is>
      </c>
      <c r="C13" s="11">
        <f>IFERROR((C7-C8)/C4,"")</f>
        <v>-15.691374174974342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15617</v>
      </c>
      <c r="C2" s="52" t="n">
        <v>17715</v>
      </c>
      <c r="D2" s="52" t="n">
        <v>18808</v>
      </c>
      <c r="E2" s="52" t="n">
        <v>19484</v>
      </c>
      <c r="F2" s="52" t="n">
        <v>21244</v>
      </c>
      <c r="G2" s="52" t="n">
        <v>17621</v>
      </c>
      <c r="H2" s="52" t="n">
        <v>16385</v>
      </c>
      <c r="I2" s="52" t="n">
        <v>15879</v>
      </c>
      <c r="J2" s="52" t="n">
        <v>16560</v>
      </c>
      <c r="K2" s="52" t="n">
        <v>19427</v>
      </c>
      <c r="L2" s="52" t="n">
        <v>20776</v>
      </c>
      <c r="M2" s="52" t="n">
        <v>22561</v>
      </c>
      <c r="N2" s="52" t="n">
        <v>26145</v>
      </c>
      <c r="O2" s="52" t="n">
        <v>42518</v>
      </c>
      <c r="P2" s="52" t="n">
        <v>46385</v>
      </c>
      <c r="Q2" s="52" t="n">
        <v>46159</v>
      </c>
      <c r="R2" s="52" t="n">
        <v>45006</v>
      </c>
      <c r="S2" s="52" t="n">
        <v>48300</v>
      </c>
      <c r="T2" s="52" t="n">
        <v>48194</v>
      </c>
      <c r="U2" s="52">
        <f>T2*(1+NPV!C5)</f>
        <v>50232.6062</v>
      </c>
      <c r="V2" s="52">
        <f>U2*(1+NPV!D5)</f>
        <v>52260.887210342225</v>
      </c>
      <c r="W2" s="52">
        <f>V2*(1+NPV!E5)</f>
        <v>54270.60866184216</v>
      </c>
      <c r="X2" s="52">
        <f>W2*(1+NPV!F5)</f>
        <v>56253.29489828813</v>
      </c>
      <c r="Y2" s="52">
        <f>X2*(1+NPV!G5)</f>
        <v>58200.28393837888</v>
      </c>
      <c r="Z2" s="52">
        <f>Y2*(1+NPV!H5)</f>
        <v>60102.78655334234</v>
      </c>
      <c r="AA2" s="52">
        <f>Z2*(1+NPV!I5)</f>
        <v>61951.948952966835</v>
      </c>
      <c r="AB2" s="52">
        <f>AA2*(1+NPV!J5)</f>
        <v>63738.918502765744</v>
      </c>
      <c r="AC2" s="52">
        <f>AB2*(1+NPV!K5)</f>
        <v>65454.91183090132</v>
      </c>
      <c r="AD2" s="52">
        <f>AC2*(1+NPV!L5)</f>
        <v>67091.28462667385</v>
      </c>
    </row>
    <row r="3" customFormat="1" s="1">
      <c r="A3" s="5" t="inlineStr">
        <is>
          <t>Cost of Sales</t>
        </is>
      </c>
      <c r="B3" s="52" t="n">
        <v>4919</v>
      </c>
      <c r="C3" s="52" t="n">
        <v>5316</v>
      </c>
      <c r="D3" s="52" t="n">
        <v>5140</v>
      </c>
      <c r="E3" s="52" t="n">
        <v>5277</v>
      </c>
      <c r="F3" s="52" t="n">
        <v>5598</v>
      </c>
      <c r="G3" s="52" t="n">
        <v>4610</v>
      </c>
      <c r="H3" s="52" t="n">
        <v>4619</v>
      </c>
      <c r="I3" s="52" t="n">
        <v>3932</v>
      </c>
      <c r="J3" s="52" t="n">
        <v>3909</v>
      </c>
      <c r="K3" s="52" t="n">
        <v>4969</v>
      </c>
      <c r="L3" s="52" t="n">
        <v>6066</v>
      </c>
      <c r="M3" s="52" t="n">
        <v>6467</v>
      </c>
      <c r="N3" s="52" t="n">
        <v>8078</v>
      </c>
      <c r="O3" s="52" t="n">
        <v>11773</v>
      </c>
      <c r="P3" s="52" t="n">
        <v>9940</v>
      </c>
      <c r="Q3" s="52" t="n">
        <v>10137</v>
      </c>
      <c r="R3" s="52" t="n">
        <v>10693</v>
      </c>
      <c r="S3" s="52" t="n">
        <v>13968</v>
      </c>
      <c r="T3" s="52" t="n">
        <v>13936</v>
      </c>
      <c r="U3" s="52">
        <f>U2*(1-Assumptions!$B$19)</f>
        <v>14527.269713040001</v>
      </c>
      <c r="V3" s="52">
        <f>V2*(1-Assumptions!$B$19)</f>
        <v>15113.848581230972</v>
      </c>
      <c r="W3" s="52">
        <f>W2*(1-Assumptions!$B$19)</f>
        <v>15695.060025004754</v>
      </c>
      <c r="X3" s="52">
        <f>X2*(1-Assumptions!$B$19)</f>
        <v>16268.452884584927</v>
      </c>
      <c r="Y3" s="52">
        <f>Y2*(1-Assumptions!$B$19)</f>
        <v>16831.522114979172</v>
      </c>
      <c r="Z3" s="52">
        <f>Z2*(1-Assumptions!$B$19)</f>
        <v>17381.725871226605</v>
      </c>
      <c r="AA3" s="52">
        <f>AA2*(1-Assumptions!$B$19)</f>
        <v>17916.50363719801</v>
      </c>
      <c r="AB3" s="52">
        <f>AB2*(1-Assumptions!$B$19)</f>
        <v>18433.295230999855</v>
      </c>
      <c r="AC3" s="52">
        <f>AC2*(1-Assumptions!$B$19)</f>
        <v>18929.560501496664</v>
      </c>
      <c r="AD3" s="52">
        <f>AD2*(1-Assumptions!$B$19)</f>
        <v>19402.79951403408</v>
      </c>
    </row>
    <row r="4" customFormat="1" s="1">
      <c r="A4" s="5" t="inlineStr">
        <is>
          <t>Gross Margin</t>
        </is>
      </c>
      <c r="B4" s="52">
        <f>B2-B3</f>
        <v>10698.0</v>
      </c>
      <c r="C4" s="52">
        <f>C2-C3</f>
        <v>12399.0</v>
      </c>
      <c r="D4" s="52">
        <f>D2-D3</f>
        <v>13668.0</v>
      </c>
      <c r="E4" s="52">
        <f>E2-E3</f>
        <v>14207.0</v>
      </c>
      <c r="F4" s="52">
        <f>F2-F3</f>
        <v>15646.0</v>
      </c>
      <c r="G4" s="52">
        <f>G2-G3</f>
        <v>13011.0</v>
      </c>
      <c r="H4" s="52">
        <f>H2-H3</f>
        <v>11766.0</v>
      </c>
      <c r="I4" s="52">
        <f>I2-I3</f>
        <v>11947.0</v>
      </c>
      <c r="J4" s="52">
        <f>J2-J3</f>
        <v>12651.0</v>
      </c>
      <c r="K4" s="52">
        <f>K2-K3</f>
        <v>14458.0</v>
      </c>
      <c r="L4" s="52">
        <f>L2-L3</f>
        <v>14710.0</v>
      </c>
      <c r="M4" s="52">
        <f>M2-M3</f>
        <v>16094.0</v>
      </c>
      <c r="N4" s="52">
        <f>N2-N3</f>
        <v>18067.0</v>
      </c>
      <c r="O4" s="52">
        <f>O2-O3</f>
        <v>30745.0</v>
      </c>
      <c r="P4" s="52">
        <f>P2-P3</f>
        <v>36445.0</v>
      </c>
      <c r="Q4" s="52">
        <f>Q2-Q3</f>
        <v>36022.0</v>
      </c>
      <c r="R4" s="52">
        <f>R2-R3</f>
        <v>34313.0</v>
      </c>
      <c r="S4" s="52">
        <f>S2-S3</f>
        <v>34332.0</v>
      </c>
      <c r="T4" s="52">
        <f>T2-T3</f>
        <v>34258.0</v>
      </c>
      <c r="U4" s="52">
        <f>U2-U3</f>
        <v>35705.336486960005</v>
      </c>
      <c r="V4" s="52">
        <f>V2-V3</f>
        <v>37147.03862911125</v>
      </c>
      <c r="W4" s="52">
        <f>W2-W3</f>
        <v>38575.54863683741</v>
      </c>
      <c r="X4" s="52">
        <f>X2-X3</f>
        <v>39984.8420137032</v>
      </c>
      <c r="Y4" s="52">
        <f>Y2-Y3</f>
        <v>41368.761823399705</v>
      </c>
      <c r="Z4" s="52">
        <f>Z2-Z3</f>
        <v>42721.060682115734</v>
      </c>
      <c r="AA4" s="52">
        <f>AA2-AA3</f>
        <v>44035.445315768826</v>
      </c>
      <c r="AB4" s="52">
        <f>AB2-AB3</f>
        <v>45305.623271765886</v>
      </c>
      <c r="AC4" s="52">
        <f>AC2-AC3</f>
        <v>46525.35132940466</v>
      </c>
      <c r="AD4" s="52">
        <f>AD2-AD3</f>
        <v>47688.48511263977</v>
      </c>
    </row>
    <row r="5">
      <c r="A5" s="2" t="inlineStr">
        <is>
          <t>Research &amp; Dev.</t>
        </is>
      </c>
      <c r="B5" s="52" t="n">
        <v>3160</v>
      </c>
      <c r="C5" s="52" t="n">
        <v>3512</v>
      </c>
      <c r="D5" s="52" t="n">
        <v>3647</v>
      </c>
      <c r="E5" s="52" t="n">
        <v>3566</v>
      </c>
      <c r="F5" s="52" t="n">
        <v>3839</v>
      </c>
      <c r="G5" s="52" t="n">
        <v>3904</v>
      </c>
      <c r="H5" s="52" t="n">
        <v>3731</v>
      </c>
      <c r="I5" s="52" t="n">
        <v>4534</v>
      </c>
      <c r="J5" s="52" t="n">
        <v>5920</v>
      </c>
      <c r="K5" s="52" t="n">
        <v>5012</v>
      </c>
      <c r="L5" s="52" t="n">
        <v>6468</v>
      </c>
      <c r="M5" s="52" t="n">
        <v>6332</v>
      </c>
      <c r="N5" s="52" t="n">
        <v>6148</v>
      </c>
      <c r="O5" s="52" t="n">
        <v>10048</v>
      </c>
      <c r="P5" s="52" t="n">
        <v>10195</v>
      </c>
      <c r="Q5" s="52" t="n">
        <v>9509</v>
      </c>
      <c r="R5" s="52" t="n">
        <v>9299</v>
      </c>
      <c r="S5" s="52" t="n">
        <v>11159</v>
      </c>
      <c r="T5" s="52" t="n">
        <v>9951</v>
      </c>
      <c r="U5" s="52">
        <f>U7*Assumptions!$B$20</f>
        <v>7844.476893175699</v>
      </c>
      <c r="V5" s="52">
        <f>V7*Assumptions!$B$20</f>
        <v>8438.482676608617</v>
      </c>
      <c r="W5" s="52">
        <f>W7*Assumptions!$B$20</f>
        <v>9050.914766518594</v>
      </c>
      <c r="X5" s="52">
        <f>X7*Assumptions!$B$20</f>
        <v>9680.019283303347</v>
      </c>
      <c r="Y5" s="52">
        <f>Y7*Assumptions!$B$20</f>
        <v>10323.829430273048</v>
      </c>
      <c r="Z5" s="52">
        <f>Z7*Assumptions!$B$20</f>
        <v>10980.171343918018</v>
      </c>
      <c r="AA5" s="52">
        <f>AA7*Assumptions!$B$20</f>
        <v>11646.672503111931</v>
      </c>
      <c r="AB5" s="52">
        <f>AB7*Assumptions!$B$20</f>
        <v>12320.772719669763</v>
      </c>
      <c r="AC5" s="52">
        <f>AC7*Assumptions!$B$20</f>
        <v>12999.737695448694</v>
      </c>
      <c r="AD5" s="52">
        <f>AD7*Assumptions!$B$20</f>
        <v>13680.675092372157</v>
      </c>
    </row>
    <row r="6">
      <c r="A6" s="18" t="inlineStr">
        <is>
          <t>SG&amp;A &amp; Other</t>
        </is>
      </c>
      <c r="B6" s="52" t="n">
        <v>5015</v>
      </c>
      <c r="C6" s="52" t="n">
        <v>4111</v>
      </c>
      <c r="D6" s="52" t="n">
        <v>4419</v>
      </c>
      <c r="E6" s="52" t="n">
        <v>4570</v>
      </c>
      <c r="F6" s="52" t="n">
        <v>4826</v>
      </c>
      <c r="G6" s="52" t="n">
        <v>6767</v>
      </c>
      <c r="H6" s="52" t="n">
        <v>5144</v>
      </c>
      <c r="I6" s="52" t="n">
        <v>5032</v>
      </c>
      <c r="J6" s="52" t="n">
        <v>4654</v>
      </c>
      <c r="K6" s="52" t="n">
        <v>3531</v>
      </c>
      <c r="L6" s="52" t="n">
        <v>3111</v>
      </c>
      <c r="M6" s="52" t="n">
        <v>3794</v>
      </c>
      <c r="N6" s="52" t="n">
        <v>6944</v>
      </c>
      <c r="O6" s="52" t="n">
        <v>27568</v>
      </c>
      <c r="P6" s="52" t="n">
        <v>18152</v>
      </c>
      <c r="Q6" s="52" t="n">
        <v>18800</v>
      </c>
      <c r="R6" s="52" t="n">
        <v>16574</v>
      </c>
      <c r="S6" s="52" t="n">
        <v>31552</v>
      </c>
      <c r="T6" s="52" t="n">
        <v>14979</v>
      </c>
      <c r="U6" s="52">
        <f>U7-U5</f>
        <v>11806.016326202305</v>
      </c>
      <c r="V6" s="52">
        <f>V7-V5</f>
        <v>12700.000982230604</v>
      </c>
      <c r="W6" s="52">
        <f>W7-W5</f>
        <v>13621.717414139208</v>
      </c>
      <c r="X6" s="52">
        <f>X7-X5</f>
        <v>14568.526015552732</v>
      </c>
      <c r="Y6" s="52">
        <f>Y7-Y5</f>
        <v>15537.466737745608</v>
      </c>
      <c r="Z6" s="52">
        <f>Z7-Z5</f>
        <v>16525.267894353572</v>
      </c>
      <c r="AA6" s="52">
        <f>AA7-AA5</f>
        <v>17528.358817308737</v>
      </c>
      <c r="AB6" s="52">
        <f>AB7-AB5</f>
        <v>18542.88639773946</v>
      </c>
      <c r="AC6" s="52">
        <f>AC7-AC5</f>
        <v>19564.73548954302</v>
      </c>
      <c r="AD6" s="52">
        <f>AD7-AD5</f>
        <v>20589.553094932846</v>
      </c>
    </row>
    <row r="7">
      <c r="A7" s="2" t="inlineStr">
        <is>
          <t>Operating Expense</t>
        </is>
      </c>
      <c r="B7" s="52">
        <f>SUM(B5:B6)</f>
        <v>8175.0</v>
      </c>
      <c r="C7" s="52">
        <f>SUM(C5:C6)</f>
        <v>7623.0</v>
      </c>
      <c r="D7" s="52">
        <f>SUM(D5:D6)</f>
        <v>8066.0</v>
      </c>
      <c r="E7" s="52">
        <f>SUM(E5:E6)</f>
        <v>8136.0</v>
      </c>
      <c r="F7" s="52">
        <f>SUM(F5:F6)</f>
        <v>8665.0</v>
      </c>
      <c r="G7" s="52">
        <f>SUM(G5:G6)</f>
        <v>10671.0</v>
      </c>
      <c r="H7" s="52">
        <f>SUM(H5:H6)</f>
        <v>8875.0</v>
      </c>
      <c r="I7" s="52">
        <f>SUM(I5:I6)</f>
        <v>9566.0</v>
      </c>
      <c r="J7" s="52">
        <f>SUM(J5:J6)</f>
        <v>10574.0</v>
      </c>
      <c r="K7" s="52">
        <f>SUM(K5:K6)</f>
        <v>8543.0</v>
      </c>
      <c r="L7" s="52">
        <f>SUM(L5:L6)</f>
        <v>9579.0</v>
      </c>
      <c r="M7" s="52">
        <f>SUM(M5:M6)</f>
        <v>10126.0</v>
      </c>
      <c r="N7" s="52">
        <f>SUM(N5:N6)</f>
        <v>13092.0</v>
      </c>
      <c r="O7" s="52">
        <f>SUM(O5:O6)</f>
        <v>37616.0</v>
      </c>
      <c r="P7" s="52">
        <f>SUM(P5:P6)</f>
        <v>28347.0</v>
      </c>
      <c r="Q7" s="52">
        <f>SUM(Q5:Q6)</f>
        <v>28309.0</v>
      </c>
      <c r="R7" s="52">
        <f>SUM(R5:R6)</f>
        <v>25873.0</v>
      </c>
      <c r="S7" s="52">
        <f>SUM(S5:S6)</f>
        <v>42711.0</v>
      </c>
      <c r="T7" s="52">
        <f>SUM(T5:T6)</f>
        <v>24930.0</v>
      </c>
      <c r="U7" s="52">
        <f>U4-U2*NPV!C6</f>
        <v>19650.493219378004</v>
      </c>
      <c r="V7" s="52">
        <f>V4-V2*NPV!D6</f>
        <v>21138.48365883922</v>
      </c>
      <c r="W7" s="52">
        <f>W4-W2*NPV!E6</f>
        <v>22672.6321806578</v>
      </c>
      <c r="X7" s="52">
        <f>X4-X2*NPV!F6</f>
        <v>24248.54529885608</v>
      </c>
      <c r="Y7" s="52">
        <f>Y4-Y2*NPV!G6</f>
        <v>25861.296168018656</v>
      </c>
      <c r="Z7" s="52">
        <f>Z4-Z2*NPV!H6</f>
        <v>27505.43923827159</v>
      </c>
      <c r="AA7" s="52">
        <f>AA4-AA2*NPV!I6</f>
        <v>29175.03132042067</v>
      </c>
      <c r="AB7" s="52">
        <f>AB4-AB2*NPV!J6</f>
        <v>30863.659117409225</v>
      </c>
      <c r="AC7" s="52">
        <f>AC4-AC2*NPV!K6</f>
        <v>32564.473184991715</v>
      </c>
      <c r="AD7" s="52">
        <f>AD4-AD2*NPV!L6</f>
        <v>34270.228187305</v>
      </c>
    </row>
    <row r="8">
      <c r="A8" s="2" t="inlineStr">
        <is>
          <t>Operating Income</t>
        </is>
      </c>
      <c r="B8" s="52">
        <f>B4-B7</f>
        <v>2523.0</v>
      </c>
      <c r="C8" s="52">
        <f>C4-C7</f>
        <v>4776.0</v>
      </c>
      <c r="D8" s="52">
        <f>D4-D7</f>
        <v>5602.0</v>
      </c>
      <c r="E8" s="52">
        <f>E4-E7</f>
        <v>6071.0</v>
      </c>
      <c r="F8" s="52">
        <f>F4-F7</f>
        <v>6981.0</v>
      </c>
      <c r="G8" s="52">
        <f>G4-G7</f>
        <v>2340.0</v>
      </c>
      <c r="H8" s="52">
        <f>H4-H7</f>
        <v>2891.0</v>
      </c>
      <c r="I8" s="52">
        <f>I4-I7</f>
        <v>2381.0</v>
      </c>
      <c r="J8" s="52">
        <f>J4-J7</f>
        <v>2077.0</v>
      </c>
      <c r="K8" s="52">
        <f>K4-K7</f>
        <v>5915.0</v>
      </c>
      <c r="L8" s="52">
        <f>L4-L7</f>
        <v>5131.0</v>
      </c>
      <c r="M8" s="52">
        <f>M4-M7</f>
        <v>5968.0</v>
      </c>
      <c r="N8" s="52">
        <f>N4-N7</f>
        <v>4975.0</v>
      </c>
      <c r="O8" s="52">
        <f>O4-O7</f>
        <v>-6871.0</v>
      </c>
      <c r="P8" s="52">
        <f>P4-P7</f>
        <v>8098.0</v>
      </c>
      <c r="Q8" s="52">
        <f>Q4-Q7</f>
        <v>7713.0</v>
      </c>
      <c r="R8" s="52">
        <f>R4-R7</f>
        <v>8440.0</v>
      </c>
      <c r="S8" s="52">
        <f>S4-S7</f>
        <v>-8379.0</v>
      </c>
      <c r="T8" s="52">
        <f>T4-T7</f>
        <v>9328.0</v>
      </c>
      <c r="U8" s="52">
        <f>U4-U7</f>
        <v>16054.843267582</v>
      </c>
      <c r="V8" s="52">
        <f>V4-V7</f>
        <v>16008.554970272031</v>
      </c>
      <c r="W8" s="52">
        <f>W4-W7</f>
        <v>15902.91645617961</v>
      </c>
      <c r="X8" s="52">
        <f>X4-X7</f>
        <v>15736.296714847122</v>
      </c>
      <c r="Y8" s="52">
        <f>Y4-Y7</f>
        <v>15507.46565538105</v>
      </c>
      <c r="Z8" s="52">
        <f>Z4-Z7</f>
        <v>15215.621443844146</v>
      </c>
      <c r="AA8" s="52">
        <f>AA4-AA7</f>
        <v>14860.413995348157</v>
      </c>
      <c r="AB8" s="52">
        <f>AB4-AB7</f>
        <v>14441.964154356661</v>
      </c>
      <c r="AC8" s="52">
        <f>AC4-AC7</f>
        <v>13960.878144412942</v>
      </c>
      <c r="AD8" s="52">
        <f>AD4-AD7</f>
        <v>13418.256925334768</v>
      </c>
    </row>
    <row r="9">
      <c r="A9" s="18" t="inlineStr">
        <is>
          <t>Interest &amp; Other</t>
        </is>
      </c>
      <c r="B9" s="52" t="n">
        <v>113</v>
      </c>
      <c r="C9" s="52" t="n">
        <v>1561</v>
      </c>
      <c r="D9" s="52" t="n">
        <v>6192</v>
      </c>
      <c r="E9" s="52" t="n">
        <v>-1411</v>
      </c>
      <c r="F9" s="52" t="n">
        <v>-1551</v>
      </c>
      <c r="G9" s="52" t="n">
        <v>-541</v>
      </c>
      <c r="H9" s="52" t="n">
        <v>-17</v>
      </c>
      <c r="I9" s="52" t="n">
        <v>-25</v>
      </c>
      <c r="J9" s="52" t="n">
        <v>-66</v>
      </c>
      <c r="K9" s="52" t="n">
        <v>-50</v>
      </c>
      <c r="L9" s="52" t="n">
        <v>32</v>
      </c>
      <c r="M9" s="52" t="n">
        <v>-27</v>
      </c>
      <c r="N9" s="52" t="n">
        <v>-21</v>
      </c>
      <c r="O9" s="52" t="n">
        <v>-20</v>
      </c>
      <c r="P9" s="52" t="n">
        <v>-20</v>
      </c>
      <c r="Q9" s="52" t="n">
        <v>-18</v>
      </c>
      <c r="R9" s="52" t="n">
        <v>-15</v>
      </c>
      <c r="S9" s="52" t="n">
        <v>-15</v>
      </c>
      <c r="T9" s="52" t="n">
        <v>-2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</row>
    <row r="10">
      <c r="A10" s="2" t="inlineStr">
        <is>
          <t>Pretax</t>
        </is>
      </c>
      <c r="B10" s="52">
        <f>B8+B9</f>
        <v>2636.0</v>
      </c>
      <c r="C10" s="52">
        <f>C8+C9</f>
        <v>6337.0</v>
      </c>
      <c r="D10" s="52">
        <f>D8+D9</f>
        <v>11794.0</v>
      </c>
      <c r="E10" s="52">
        <f>E8+E9</f>
        <v>4660.0</v>
      </c>
      <c r="F10" s="52">
        <f>F8+F9</f>
        <v>5430.0</v>
      </c>
      <c r="G10" s="52">
        <f>G8+G9</f>
        <v>1799.0</v>
      </c>
      <c r="H10" s="52">
        <f>H8+H9</f>
        <v>2874.0</v>
      </c>
      <c r="I10" s="52">
        <f>I8+I9</f>
        <v>2356.0</v>
      </c>
      <c r="J10" s="52">
        <f>J8+J9</f>
        <v>2011.0</v>
      </c>
      <c r="K10" s="52">
        <f>K8+K9</f>
        <v>5865.0</v>
      </c>
      <c r="L10" s="52">
        <f>L8+L9</f>
        <v>5163.0</v>
      </c>
      <c r="M10" s="52">
        <f>M8+M9</f>
        <v>5941.0</v>
      </c>
      <c r="N10" s="52">
        <f>N8+N9</f>
        <v>4954.0</v>
      </c>
      <c r="O10" s="52">
        <f>O8+O9</f>
        <v>-6891.0</v>
      </c>
      <c r="P10" s="52">
        <f>P8+P9</f>
        <v>8078.0</v>
      </c>
      <c r="Q10" s="52">
        <f>Q8+Q9</f>
        <v>7695.0</v>
      </c>
      <c r="R10" s="52">
        <f>R8+R9</f>
        <v>8425.0</v>
      </c>
      <c r="S10" s="52">
        <f>S8+S9</f>
        <v>-8394.0</v>
      </c>
      <c r="T10" s="52">
        <f>T8+T9</f>
        <v>9326.0</v>
      </c>
      <c r="U10" s="52">
        <f>U8+U9</f>
        <v>16054.843267582</v>
      </c>
      <c r="V10" s="52">
        <f>V8+V9</f>
        <v>16008.554970272031</v>
      </c>
      <c r="W10" s="52">
        <f>W8+W9</f>
        <v>15902.91645617961</v>
      </c>
      <c r="X10" s="52">
        <f>X8+X9</f>
        <v>15736.296714847122</v>
      </c>
      <c r="Y10" s="52">
        <f>Y8+Y9</f>
        <v>15507.46565538105</v>
      </c>
      <c r="Z10" s="52">
        <f>Z8+Z9</f>
        <v>15215.621443844146</v>
      </c>
      <c r="AA10" s="52">
        <f>AA8+AA9</f>
        <v>14860.413995348157</v>
      </c>
      <c r="AB10" s="52">
        <f>AB8+AB9</f>
        <v>14441.964154356661</v>
      </c>
      <c r="AC10" s="52">
        <f>AC8+AC9</f>
        <v>13960.878144412942</v>
      </c>
      <c r="AD10" s="52">
        <f>AD8+AD9</f>
        <v>13418.256925334768</v>
      </c>
    </row>
    <row r="11">
      <c r="A11" s="2" t="inlineStr">
        <is>
          <t>Taxes</t>
        </is>
      </c>
      <c r="B11" s="52" t="n">
        <v>471</v>
      </c>
      <c r="C11" s="52" t="n">
        <v>1090</v>
      </c>
      <c r="D11" s="52" t="n">
        <v>1182</v>
      </c>
      <c r="E11" s="52" t="n">
        <v>1558</v>
      </c>
      <c r="F11" s="52" t="n">
        <v>1721</v>
      </c>
      <c r="G11" s="52" t="n">
        <v>-161</v>
      </c>
      <c r="H11" s="52" t="n">
        <v>311</v>
      </c>
      <c r="I11" s="52" t="n">
        <v>352</v>
      </c>
      <c r="J11" s="52" t="n">
        <v>446</v>
      </c>
      <c r="K11" s="52" t="n">
        <v>1408</v>
      </c>
      <c r="L11" s="52" t="n">
        <v>4156</v>
      </c>
      <c r="M11" s="52" t="n">
        <v>1021</v>
      </c>
      <c r="N11" s="52" t="n">
        <v>1515</v>
      </c>
      <c r="O11" s="52" t="n">
        <v>2124</v>
      </c>
      <c r="P11" s="52" t="n">
        <v>1084</v>
      </c>
      <c r="Q11" s="52" t="n">
        <v>1368</v>
      </c>
      <c r="R11" s="52" t="n">
        <v>400</v>
      </c>
      <c r="S11" s="52" t="n">
        <v>554</v>
      </c>
      <c r="T11" s="52" t="n">
        <v>2272</v>
      </c>
      <c r="U11" s="52">
        <f>MAX(0,U10)*Assumptions!$E$14</f>
        <v>2729.3233554889403</v>
      </c>
      <c r="V11" s="52">
        <f>MAX(0,V10)*Assumptions!$E$14</f>
        <v>2721.4543449462453</v>
      </c>
      <c r="W11" s="52">
        <f>MAX(0,W10)*Assumptions!$E$14</f>
        <v>2703.495797550534</v>
      </c>
      <c r="X11" s="52">
        <f>MAX(0,X10)*Assumptions!$E$14</f>
        <v>2675.170441524011</v>
      </c>
      <c r="Y11" s="52">
        <f>MAX(0,Y10)*Assumptions!$E$14</f>
        <v>2636.2691614147784</v>
      </c>
      <c r="Z11" s="52">
        <f>MAX(0,Z10)*Assumptions!$E$14</f>
        <v>2586.655645453505</v>
      </c>
      <c r="AA11" s="52">
        <f>MAX(0,AA10)*Assumptions!$E$14</f>
        <v>2526.270379209187</v>
      </c>
      <c r="AB11" s="52">
        <f>MAX(0,AB10)*Assumptions!$E$14</f>
        <v>2455.1339062406328</v>
      </c>
      <c r="AC11" s="52">
        <f>MAX(0,AC10)*Assumptions!$E$14</f>
        <v>2373.3492845502</v>
      </c>
      <c r="AD11" s="52">
        <f>MAX(0,AD10)*Assumptions!$E$14</f>
        <v>2281.103677306911</v>
      </c>
    </row>
    <row r="12">
      <c r="A12" s="2" t="inlineStr">
        <is>
          <t>Net Income</t>
        </is>
      </c>
      <c r="B12" s="52" t="n">
        <v>2165</v>
      </c>
      <c r="C12" s="52" t="n">
        <v>5247</v>
      </c>
      <c r="D12" s="52" t="n">
        <v>10612</v>
      </c>
      <c r="E12" s="52" t="n">
        <v>3102</v>
      </c>
      <c r="F12" s="52" t="n">
        <v>3709</v>
      </c>
      <c r="G12" s="52" t="n">
        <v>1960</v>
      </c>
      <c r="H12" s="52" t="n">
        <v>2563</v>
      </c>
      <c r="I12" s="52" t="n">
        <v>2004</v>
      </c>
      <c r="J12" s="52" t="n">
        <v>1565</v>
      </c>
      <c r="K12" s="52" t="n">
        <v>4457</v>
      </c>
      <c r="L12" s="52" t="n">
        <v>1007</v>
      </c>
      <c r="M12" s="52" t="n">
        <v>4920</v>
      </c>
      <c r="N12" s="52" t="n">
        <v>3439</v>
      </c>
      <c r="O12" s="52" t="n">
        <v>-9015</v>
      </c>
      <c r="P12" s="52" t="n">
        <v>6994</v>
      </c>
      <c r="Q12" s="52" t="n">
        <v>6327</v>
      </c>
      <c r="R12" s="52" t="n">
        <v>8025</v>
      </c>
      <c r="S12" s="52" t="n">
        <v>-8948</v>
      </c>
      <c r="T12" s="52" t="n">
        <v>7054</v>
      </c>
      <c r="U12" s="52">
        <f>U10-U11</f>
        <v>13325.51991209306</v>
      </c>
      <c r="V12" s="52">
        <f>V10-V11</f>
        <v>13287.100625325786</v>
      </c>
      <c r="W12" s="52">
        <f>W10-W11</f>
        <v>13199.420658629075</v>
      </c>
      <c r="X12" s="52">
        <f>X10-X11</f>
        <v>13061.12627332311</v>
      </c>
      <c r="Y12" s="52">
        <f>Y10-Y11</f>
        <v>12871.19649396627</v>
      </c>
      <c r="Z12" s="52">
        <f>Z10-Z11</f>
        <v>12628.96579839064</v>
      </c>
      <c r="AA12" s="52">
        <f>AA10-AA11</f>
        <v>12334.14361613897</v>
      </c>
      <c r="AB12" s="52">
        <f>AB10-AB11</f>
        <v>11986.830248116028</v>
      </c>
      <c r="AC12" s="52">
        <f>AC10-AC11</f>
        <v>11587.528859862741</v>
      </c>
      <c r="AD12" s="52">
        <f>AD10-AD11</f>
        <v>11137.153248027858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5.365015166835187</v>
      </c>
      <c r="E13" s="11">
        <f>IFERROR(E12/E14,0)</f>
        <v>1.7961783439490446</v>
      </c>
      <c r="F13" s="11">
        <f>IFERROR(F12/F14,0)</f>
        <v>2.1601630751310426</v>
      </c>
      <c r="G13" s="11">
        <f>IFERROR(G12/G14,0)</f>
        <v>1.161137440758294</v>
      </c>
      <c r="H13" s="11">
        <f>IFERROR(H12/H14,0)</f>
        <v>1.5421179302045729</v>
      </c>
      <c r="I13" s="11">
        <f>IFERROR(I12/I14,0)</f>
        <v>1.2</v>
      </c>
      <c r="J13" s="11">
        <f>IFERROR(J12/J14,0)</f>
        <v>0.93210244192972</v>
      </c>
      <c r="K13" s="11">
        <f>IFERROR(K12/K14,0)</f>
        <v>2.6529761904761906</v>
      </c>
      <c r="L13" s="11">
        <f>IFERROR(L12/L14,0)</f>
        <v>0.6095641646489104</v>
      </c>
      <c r="M13" s="11">
        <f>IFERROR(M12/M14,0)</f>
        <v>3.005497861942578</v>
      </c>
      <c r="N13" s="11">
        <f>IFERROR(N12/N14,0)</f>
        <v>2.008761682242991</v>
      </c>
      <c r="O13" s="11">
        <f>IFERROR(O12/O14,0)</f>
        <v>-3.992471213463242</v>
      </c>
      <c r="P13" s="11">
        <f>IFERROR(P12/P14,0)</f>
        <v>3.1153674832962137</v>
      </c>
      <c r="Q13" s="11">
        <f>IFERROR(Q12/Q14,0)</f>
        <v>2.9482758620689653</v>
      </c>
      <c r="R13" s="11">
        <f>IFERROR(R12/R14,0)</f>
        <v>3.861886429258903</v>
      </c>
      <c r="S13" s="11">
        <f>IFERROR(S12/S14,0)</f>
        <v>-4.414405525407005</v>
      </c>
      <c r="T13" s="11">
        <f>IFERROR(T12/T14,0)</f>
        <v>3.459538989700834</v>
      </c>
      <c r="U13" s="11">
        <f>IFERROR(U12/U14,0)</f>
        <v>6.5234367771105175</v>
      </c>
      <c r="V13" s="11">
        <f>IFERROR(V12/V14,0)</f>
        <v>6.504628821405873</v>
      </c>
      <c r="W13" s="11">
        <f>IFERROR(W12/W14,0)</f>
        <v>6.461705564141737</v>
      </c>
      <c r="X13" s="11">
        <f>IFERROR(X12/X14,0)</f>
        <v>6.3940042898106615</v>
      </c>
      <c r="Y13" s="11">
        <f>IFERROR(Y12/Y14,0)</f>
        <v>6.301025185363075</v>
      </c>
      <c r="Z13" s="11">
        <f>IFERROR(Z12/Z14,0)</f>
        <v>6.182442447992423</v>
      </c>
      <c r="AA13" s="11">
        <f>IFERROR(AA12/AA14,0)</f>
        <v>6.038113830490365</v>
      </c>
      <c r="AB13" s="11">
        <f>IFERROR(AB12/AB14,0)</f>
        <v>5.868088434626685</v>
      </c>
      <c r="AC13" s="11">
        <f>IFERROR(AC12/AC14,0)</f>
        <v>5.672612582392291</v>
      </c>
      <c r="AD13" s="11">
        <f>IFERROR(AD12/AD14,0)</f>
        <v>5.452133618033756</v>
      </c>
    </row>
    <row r="14">
      <c r="A14" s="2" t="inlineStr">
        <is>
          <t>Shares</t>
        </is>
      </c>
      <c r="B14" s="52" t="n"/>
      <c r="C14" s="52" t="n"/>
      <c r="D14" s="52" t="n">
        <v>1978</v>
      </c>
      <c r="E14" s="52" t="n">
        <v>1727</v>
      </c>
      <c r="F14" s="52" t="n">
        <v>1717</v>
      </c>
      <c r="G14" s="52" t="n">
        <v>1688</v>
      </c>
      <c r="H14" s="52" t="n">
        <v>1662</v>
      </c>
      <c r="I14" s="52" t="n">
        <v>1670</v>
      </c>
      <c r="J14" s="52" t="n">
        <v>1679</v>
      </c>
      <c r="K14" s="52" t="n">
        <v>1680</v>
      </c>
      <c r="L14" s="52" t="n">
        <v>1652</v>
      </c>
      <c r="M14" s="52" t="n">
        <v>1637</v>
      </c>
      <c r="N14" s="52" t="n">
        <v>1712</v>
      </c>
      <c r="O14" s="52" t="n">
        <v>2258</v>
      </c>
      <c r="P14" s="52" t="n">
        <v>2245</v>
      </c>
      <c r="Q14" s="52" t="n">
        <v>2146</v>
      </c>
      <c r="R14" s="52" t="n">
        <v>2078</v>
      </c>
      <c r="S14" s="52" t="n">
        <v>2027</v>
      </c>
      <c r="T14" s="52" t="n">
        <v>2039</v>
      </c>
      <c r="U14" s="52">
        <f>Main!$C$4</f>
        <v>2042.714656</v>
      </c>
      <c r="V14" s="52">
        <f>Main!$C$4</f>
        <v>2042.714656</v>
      </c>
      <c r="W14" s="52">
        <f>Main!$C$4</f>
        <v>2042.714656</v>
      </c>
      <c r="X14" s="52">
        <f>Main!$C$4</f>
        <v>2042.714656</v>
      </c>
      <c r="Y14" s="52">
        <f>Main!$C$4</f>
        <v>2042.714656</v>
      </c>
      <c r="Z14" s="52">
        <f>Main!$C$4</f>
        <v>2042.714656</v>
      </c>
      <c r="AA14" s="52">
        <f>Main!$C$4</f>
        <v>2042.714656</v>
      </c>
      <c r="AB14" s="52">
        <f>Main!$C$4</f>
        <v>2042.714656</v>
      </c>
      <c r="AC14" s="52">
        <f>Main!$C$4</f>
        <v>2042.714656</v>
      </c>
      <c r="AD14" s="52">
        <f>Main!$C$4</f>
        <v>2042.714656</v>
      </c>
    </row>
    <row r="15"/>
    <row r="16" customFormat="1" s="4">
      <c r="A16" s="3" t="inlineStr">
        <is>
          <t>Revenue Change</t>
        </is>
      </c>
      <c r="C16" s="15">
        <f>IFERROR(C2/B2-1,"")</f>
        <v>0.13434078248062997</v>
      </c>
      <c r="D16" s="15">
        <f>IFERROR(D2/C2-1,"")</f>
        <v>0.061699125035280744</v>
      </c>
      <c r="E16" s="15">
        <f>IFERROR(E2/D2-1,"")</f>
        <v>0.03594215227562736</v>
      </c>
      <c r="F16" s="15">
        <f>IFERROR(F2/E2-1,"")</f>
        <v>0.09033052761240001</v>
      </c>
      <c r="G16" s="15">
        <f>IFERROR(G2/F2-1,"")</f>
        <v>-0.17054227075880246</v>
      </c>
      <c r="H16" s="15">
        <f>IFERROR(H2/G2-1,"")</f>
        <v>-0.07014357868452414</v>
      </c>
      <c r="I16" s="15">
        <f>IFERROR(I2/H2-1,"")</f>
        <v>-0.030881904180653064</v>
      </c>
      <c r="J16" s="15">
        <f>IFERROR(J2/I2-1,"")</f>
        <v>0.04288683166446239</v>
      </c>
      <c r="K16" s="15">
        <f>IFERROR(K2/J2-1,"")</f>
        <v>0.1731280193236715</v>
      </c>
      <c r="L16" s="15">
        <f>IFERROR(L2/K2-1,"")</f>
        <v>0.06943943995470225</v>
      </c>
      <c r="M16" s="15">
        <f>IFERROR(M2/L2-1,"")</f>
        <v>0.08591644204851745</v>
      </c>
      <c r="N16" s="15">
        <f>IFERROR(N2/M2-1,"")</f>
        <v>0.15885820663977657</v>
      </c>
      <c r="O16" s="15">
        <f>IFERROR(O2/N2-1,"")</f>
        <v>0.6262382864792504</v>
      </c>
      <c r="P16" s="15">
        <f>IFERROR(P2/O2-1,"")</f>
        <v>0.09094971541464791</v>
      </c>
      <c r="Q16" s="15">
        <f>IFERROR(Q2/P2-1,"")</f>
        <v>-0.004872264740756749</v>
      </c>
      <c r="R16" s="15">
        <f>IFERROR(R2/Q2-1,"")</f>
        <v>-0.024978877358694973</v>
      </c>
      <c r="S16" s="15">
        <f>IFERROR(S2/R2-1,"")</f>
        <v>0.07319024130115981</v>
      </c>
      <c r="T16" s="15">
        <f>IFERROR(T2/S2-1,"")</f>
        <v>-0.002194616977225672</v>
      </c>
      <c r="U16" s="15">
        <f>IFERROR(U2/T2-1,"")</f>
        <v>0.042300000000000004</v>
      </c>
      <c r="V16" s="15">
        <f>IFERROR(V2/U2-1,"")</f>
        <v>0.040377777777777846</v>
      </c>
      <c r="W16" s="15">
        <f>IFERROR(W2/V2-1,"")</f>
        <v>0.038455555555555465</v>
      </c>
      <c r="X16" s="15">
        <f>IFERROR(X2/W2-1,"")</f>
        <v>0.03653333333333331</v>
      </c>
      <c r="Y16" s="15">
        <f>IFERROR(Y2/X2-1,"")</f>
        <v>0.03461111111111115</v>
      </c>
      <c r="Z16" s="15">
        <f>IFERROR(Z2/Y2-1,"")</f>
        <v>0.03268888888888899</v>
      </c>
      <c r="AA16" s="15">
        <f>IFERROR(AA2/Z2-1,"")</f>
        <v>0.03076666666666661</v>
      </c>
      <c r="AB16" s="15">
        <f>IFERROR(AB2/AA2-1,"")</f>
        <v>0.02884444444444445</v>
      </c>
      <c r="AC16" s="15">
        <f>IFERROR(AC2/AB2-1,"")</f>
        <v>0.026922222222222292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0.685022731638599</v>
      </c>
      <c r="C17" s="15">
        <f>IFERROR(C4/C2,"")</f>
        <v>0.6999153259949196</v>
      </c>
      <c r="D17" s="15">
        <f>IFERROR(D4/D2,"")</f>
        <v>0.7267120374308805</v>
      </c>
      <c r="E17" s="15">
        <f>IFERROR(E4/E2,"")</f>
        <v>0.7291623896530487</v>
      </c>
      <c r="F17" s="15">
        <f>IFERROR(F4/F2,"")</f>
        <v>0.7364903031444172</v>
      </c>
      <c r="G17" s="15">
        <f>IFERROR(G4/G2,"")</f>
        <v>0.7383803416378185</v>
      </c>
      <c r="H17" s="15">
        <f>IFERROR(H4/H2,"")</f>
        <v>0.7180958193469636</v>
      </c>
      <c r="I17" s="15">
        <f>IFERROR(I4/I2,"")</f>
        <v>0.7523773537376409</v>
      </c>
      <c r="J17" s="15">
        <f>IFERROR(J4/J2,"")</f>
        <v>0.7639492753623188</v>
      </c>
      <c r="K17" s="15">
        <f>IFERROR(K4/K2,"")</f>
        <v>0.7442219591290472</v>
      </c>
      <c r="L17" s="15">
        <f>IFERROR(L4/L2,"")</f>
        <v>0.7080284944166346</v>
      </c>
      <c r="M17" s="15">
        <f>IFERROR(M4/M2,"")</f>
        <v>0.7133549044811843</v>
      </c>
      <c r="N17" s="15">
        <f>IFERROR(N4/N2,"")</f>
        <v>0.6910307898259705</v>
      </c>
      <c r="O17" s="15">
        <f>IFERROR(O4/O2,"")</f>
        <v>0.7231055082553272</v>
      </c>
      <c r="P17" s="15">
        <f>IFERROR(P4/P2,"")</f>
        <v>0.7857065861808774</v>
      </c>
      <c r="Q17" s="15">
        <f>IFERROR(Q4/Q2,"")</f>
        <v>0.7803895231699127</v>
      </c>
      <c r="R17" s="15">
        <f>IFERROR(R4/R2,"")</f>
        <v>0.7624094565169088</v>
      </c>
      <c r="S17" s="15">
        <f>IFERROR(S4/S2,"")</f>
        <v>0.710807453416149</v>
      </c>
      <c r="T17" s="15">
        <f>IFERROR(T4/T2,"")</f>
        <v>0.7108353736979707</v>
      </c>
      <c r="U17" s="15">
        <f>IFERROR(U4/U2,"")</f>
        <v>0.7108000000000001</v>
      </c>
      <c r="V17" s="15">
        <f>IFERROR(V4/V2,"")</f>
        <v>0.7108</v>
      </c>
      <c r="W17" s="15">
        <f>IFERROR(W4/W2,"")</f>
        <v>0.7108000000000001</v>
      </c>
      <c r="X17" s="15">
        <f>IFERROR(X4/X2,"")</f>
        <v>0.7108</v>
      </c>
      <c r="Y17" s="15">
        <f>IFERROR(Y4/Y2,"")</f>
        <v>0.7108</v>
      </c>
      <c r="Z17" s="15">
        <f>IFERROR(Z4/Z2,"")</f>
        <v>0.7108</v>
      </c>
      <c r="AA17" s="15">
        <f>IFERROR(AA4/AA2,"")</f>
        <v>0.7108</v>
      </c>
      <c r="AB17" s="15">
        <f>IFERROR(AB4/AB2,"")</f>
        <v>0.7107999999999999</v>
      </c>
      <c r="AC17" s="15">
        <f>IFERROR(AC4/AC2,"")</f>
        <v>0.7108</v>
      </c>
      <c r="AD17" s="15">
        <f>IFERROR(AD4/AD2,"")</f>
        <v>0.7108</v>
      </c>
    </row>
    <row r="18">
      <c r="A18" s="14" t="inlineStr">
        <is>
          <t>Operating Margin</t>
        </is>
      </c>
      <c r="B18" s="15">
        <f>IFERROR(B8/B2,"")</f>
        <v>0.16155471601459948</v>
      </c>
      <c r="C18" s="15">
        <f>IFERROR(C8/C2,"")</f>
        <v>0.26960203217612194</v>
      </c>
      <c r="D18" s="15">
        <f>IFERROR(D8/D2,"")</f>
        <v>0.29785197788175244</v>
      </c>
      <c r="E18" s="15">
        <f>IFERROR(E8/E2,"")</f>
        <v>0.3115889960993636</v>
      </c>
      <c r="F18" s="15">
        <f>IFERROR(F8/F2,"")</f>
        <v>0.32861043118056865</v>
      </c>
      <c r="G18" s="15">
        <f>IFERROR(G8/G2,"")</f>
        <v>0.13279609556778843</v>
      </c>
      <c r="H18" s="15">
        <f>IFERROR(H8/H2,"")</f>
        <v>0.17644186756179434</v>
      </c>
      <c r="I18" s="15">
        <f>IFERROR(I8/I2,"")</f>
        <v>0.14994647018074186</v>
      </c>
      <c r="J18" s="15">
        <f>IFERROR(J8/J2,"")</f>
        <v>0.12542270531400967</v>
      </c>
      <c r="K18" s="15">
        <f>IFERROR(K8/K2,"")</f>
        <v>0.3044731559170227</v>
      </c>
      <c r="L18" s="15">
        <f>IFERROR(L8/L2,"")</f>
        <v>0.2469676549865229</v>
      </c>
      <c r="M18" s="15">
        <f>IFERROR(M8/M2,"")</f>
        <v>0.264527281592128</v>
      </c>
      <c r="N18" s="15">
        <f>IFERROR(N8/N2,"")</f>
        <v>0.1902849493210939</v>
      </c>
      <c r="O18" s="15">
        <f>IFERROR(O8/O2,"")</f>
        <v>-0.1616021449738934</v>
      </c>
      <c r="P18" s="15">
        <f>IFERROR(P8/P2,"")</f>
        <v>0.17458230031260105</v>
      </c>
      <c r="Q18" s="15">
        <f>IFERROR(Q8/Q2,"")</f>
        <v>0.16709634090859854</v>
      </c>
      <c r="R18" s="15">
        <f>IFERROR(R8/R2,"")</f>
        <v>0.18753055148202463</v>
      </c>
      <c r="S18" s="15">
        <f>IFERROR(S8/S2,"")</f>
        <v>-0.17347826086956522</v>
      </c>
      <c r="T18" s="15">
        <f>IFERROR(T8/T2,"")</f>
        <v>0.19355106444785658</v>
      </c>
      <c r="U18" s="15">
        <f>IFERROR(U8/U2,"")</f>
        <v>0.31961</v>
      </c>
      <c r="V18" s="15">
        <f>IFERROR(V8/V2,"")</f>
        <v>0.30632</v>
      </c>
      <c r="W18" s="15">
        <f>IFERROR(W8/W2,"")</f>
        <v>0.29303</v>
      </c>
      <c r="X18" s="15">
        <f>IFERROR(X8/X2,"")</f>
        <v>0.27974</v>
      </c>
      <c r="Y18" s="15">
        <f>IFERROR(Y8/Y2,"")</f>
        <v>0.2664499999999999</v>
      </c>
      <c r="Z18" s="15">
        <f>IFERROR(Z8/Z2,"")</f>
        <v>0.25316</v>
      </c>
      <c r="AA18" s="15">
        <f>IFERROR(AA8/AA2,"")</f>
        <v>0.23987000000000003</v>
      </c>
      <c r="AB18" s="15">
        <f>IFERROR(AB8/AB2,"")</f>
        <v>0.22657999999999998</v>
      </c>
      <c r="AC18" s="15">
        <f>IFERROR(AC8/AC2,"")</f>
        <v>0.21328999999999998</v>
      </c>
      <c r="AD18" s="15">
        <f>IFERROR(AD8/AD2,"")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Bristol-Myers Squibb Company: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</v>
      </c>
      <c r="C10" s="53" t="n">
        <v>0.08</v>
      </c>
      <c r="D10" s="53" t="n">
        <v>0.07000000000000001</v>
      </c>
      <c r="E10" s="54">
        <f>IF(ISNUMBER($B$6),$B$6,CHOOSE($B$4,B10,C10,D10))</f>
        <v>0.08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-0.0077</v>
      </c>
      <c r="C12" s="53" t="n">
        <v>0.0423</v>
      </c>
      <c r="D12" s="53" t="n">
        <v>0.09229999999999999</v>
      </c>
      <c r="E12" s="54">
        <f>CHOOSE($B$4,B12,C12,D12)</f>
        <v>0.0423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0.3329</v>
      </c>
    </row>
    <row r="19">
      <c r="A19" s="14" t="inlineStr">
        <is>
          <t>Gross margin (forecast)</t>
        </is>
      </c>
      <c r="B19" s="53" t="n">
        <v>0.7108</v>
      </c>
    </row>
    <row r="20">
      <c r="A20" s="14" t="inlineStr">
        <is>
          <t>R&amp;D share of operating expense (forecast)</t>
        </is>
      </c>
      <c r="B20" s="53" t="n">
        <v>0.3992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Model'!T2</f>
        <v>48194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178200.63266729686</v>
      </c>
      <c r="C29" s="56">
        <f>NPV!B26</f>
        <v>146147.63266729686</v>
      </c>
      <c r="D29" s="35">
        <f>NPV!B28</f>
        <v>71.54578944152681</v>
      </c>
      <c r="E29" s="57">
        <f>NPV!B30</f>
        <v>0.15929335561090174</v>
      </c>
    </row>
    <row r="30">
      <c r="A30" s="58" t="n">
        <v>1</v>
      </c>
      <c r="B30" s="59">
        <f t="dataTable" ref="B30:E32" r1="B4"/>
        <v>101166.90388306638</v>
      </c>
      <c r="C30" s="59">
        <v>69113.90388306638</v>
      </c>
      <c r="D30" s="39">
        <v>33.83434082683077</v>
      </c>
      <c r="E30" s="60">
        <v>-0.45176471154774744</v>
      </c>
    </row>
    <row r="31">
      <c r="A31" s="58" t="n">
        <v>2</v>
      </c>
      <c r="B31" s="59">
        <v>178200.63266729686</v>
      </c>
      <c r="C31" s="59">
        <v>146147.63266729686</v>
      </c>
      <c r="D31" s="39">
        <v>71.54578944152681</v>
      </c>
      <c r="E31" s="60">
        <v>0.15929335561090174</v>
      </c>
    </row>
    <row r="32">
      <c r="A32" s="58" t="n">
        <v>3</v>
      </c>
      <c r="B32" s="59">
        <v>346207.1788780747</v>
      </c>
      <c r="C32" s="59">
        <v>314154.1788780747</v>
      </c>
      <c r="D32" s="39">
        <v>153.79249272790975</v>
      </c>
      <c r="E32" s="60">
        <v>1.4919791416658792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71.54578944152681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</v>
      </c>
      <c r="B37" s="39">
        <f t="dataTable" ref="B37:F41" dt2D="1" r1="B7" r2="B6"/>
        <v>93.05895539471459</v>
      </c>
      <c r="C37" s="39">
        <v>103.13022737217874</v>
      </c>
      <c r="D37" s="39">
        <v>116.05445743314463</v>
      </c>
      <c r="E37" s="39">
        <v>133.25783992556094</v>
      </c>
      <c r="F37" s="39">
        <v>157.30752139251155</v>
      </c>
    </row>
    <row r="38">
      <c r="A38" s="62" t="n">
        <v>0.07000000000000001</v>
      </c>
      <c r="B38" s="39">
        <v>74.8651009927266</v>
      </c>
      <c r="C38" s="39">
        <v>81.18234125094585</v>
      </c>
      <c r="D38" s="39">
        <v>88.88526744858375</v>
      </c>
      <c r="E38" s="39">
        <v>98.4933103813951</v>
      </c>
      <c r="F38" s="39">
        <v>110.8227162437689</v>
      </c>
    </row>
    <row r="39">
      <c r="A39" s="62" t="n">
        <v>0.08</v>
      </c>
      <c r="B39" s="39">
        <v>62.232720167610516</v>
      </c>
      <c r="C39" s="39">
        <v>66.50767919627509</v>
      </c>
      <c r="D39" s="39">
        <v>71.54578944152681</v>
      </c>
      <c r="E39" s="39">
        <v>77.5758442045572</v>
      </c>
      <c r="F39" s="39">
        <v>84.92832109388154</v>
      </c>
    </row>
    <row r="40">
      <c r="A40" s="62" t="n">
        <v>0.09</v>
      </c>
      <c r="B40" s="39">
        <v>52.937681950933545</v>
      </c>
      <c r="C40" s="39">
        <v>55.98976951214602</v>
      </c>
      <c r="D40" s="39">
        <v>59.500051070250386</v>
      </c>
      <c r="E40" s="39">
        <v>63.58295551128396</v>
      </c>
      <c r="F40" s="39">
        <v>68.39452099349062</v>
      </c>
    </row>
    <row r="41">
      <c r="A41" s="62" t="n">
        <v>0.1</v>
      </c>
      <c r="B41" s="39">
        <v>45.80264804280027</v>
      </c>
      <c r="C41" s="39">
        <v>48.07052310999055</v>
      </c>
      <c r="D41" s="39">
        <v>50.63141640444857</v>
      </c>
      <c r="E41" s="39">
        <v>53.548020741219936</v>
      </c>
      <c r="F41" s="39">
        <v>56.90231805375169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Bristol-Myers Squibb Company: free-cash-flow DCF ($mm)</t>
        </is>
      </c>
    </row>
    <row r="3">
      <c r="A3" s="20" t="inlineStr">
        <is>
          <t>Fiscal year</t>
        </is>
      </c>
      <c r="B3" s="43">
        <f>'Yearly Model'!T1</f>
        <v>2025</v>
      </c>
      <c r="C3" s="43">
        <f>'Yearly Model'!U1</f>
        <v>2026</v>
      </c>
      <c r="D3" s="43">
        <f>'Yearly Model'!V1</f>
        <v>2027</v>
      </c>
      <c r="E3" s="43">
        <f>'Yearly Model'!W1</f>
        <v>2028</v>
      </c>
      <c r="F3" s="43">
        <f>'Yearly Model'!X1</f>
        <v>2029</v>
      </c>
      <c r="G3" s="43">
        <f>'Yearly Model'!Y1</f>
        <v>2030</v>
      </c>
      <c r="H3" s="43">
        <f>'Yearly Model'!Z1</f>
        <v>2031</v>
      </c>
      <c r="I3" s="43">
        <f>'Yearly Model'!AA1</f>
        <v>2032</v>
      </c>
      <c r="J3" s="43">
        <f>'Yearly Model'!AB1</f>
        <v>2033</v>
      </c>
      <c r="K3" s="43">
        <f>'Yearly Model'!AC1</f>
        <v>2034</v>
      </c>
      <c r="L3" s="43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0.0423</v>
      </c>
      <c r="D5" s="63">
        <f>Assumptions!$E$12+(Assumptions!$E$11-Assumptions!$E$12)*(D4-1)/(Assumptions!$B$21-1)</f>
        <v>0.040377777777777776</v>
      </c>
      <c r="E5" s="63">
        <f>Assumptions!$E$12+(Assumptions!$E$11-Assumptions!$E$12)*(E4-1)/(Assumptions!$B$21-1)</f>
        <v>0.038455555555555555</v>
      </c>
      <c r="F5" s="63">
        <f>Assumptions!$E$12+(Assumptions!$E$11-Assumptions!$E$12)*(F4-1)/(Assumptions!$B$21-1)</f>
        <v>0.036533333333333334</v>
      </c>
      <c r="G5" s="63">
        <f>Assumptions!$E$12+(Assumptions!$E$11-Assumptions!$E$12)*(G4-1)/(Assumptions!$B$21-1)</f>
        <v>0.034611111111111106</v>
      </c>
      <c r="H5" s="63">
        <f>Assumptions!$E$12+(Assumptions!$E$11-Assumptions!$E$12)*(H4-1)/(Assumptions!$B$21-1)</f>
        <v>0.03268888888888889</v>
      </c>
      <c r="I5" s="63">
        <f>Assumptions!$E$12+(Assumptions!$E$11-Assumptions!$E$12)*(I4-1)/(Assumptions!$B$21-1)</f>
        <v>0.030766666666666664</v>
      </c>
      <c r="J5" s="63">
        <f>Assumptions!$E$12+(Assumptions!$E$11-Assumptions!$E$12)*(J4-1)/(Assumptions!$B$21-1)</f>
        <v>0.028844444444444443</v>
      </c>
      <c r="K5" s="63">
        <f>Assumptions!$E$12+(Assumptions!$E$11-Assumptions!$E$12)*(K4-1)/(Assumptions!$B$21-1)</f>
        <v>0.026922222222222222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0.19355106444785658</v>
      </c>
      <c r="C6" s="63">
        <f>Assumptions!$B$18+(Assumptions!$E$13-Assumptions!$B$18)*C4/Assumptions!$B$21</f>
        <v>0.31960999999999995</v>
      </c>
      <c r="D6" s="63">
        <f>Assumptions!$B$18+(Assumptions!$E$13-Assumptions!$B$18)*D4/Assumptions!$B$21</f>
        <v>0.30632</v>
      </c>
      <c r="E6" s="63">
        <f>Assumptions!$B$18+(Assumptions!$E$13-Assumptions!$B$18)*E4/Assumptions!$B$21</f>
        <v>0.29303</v>
      </c>
      <c r="F6" s="63">
        <f>Assumptions!$B$18+(Assumptions!$E$13-Assumptions!$B$18)*F4/Assumptions!$B$21</f>
        <v>0.27974</v>
      </c>
      <c r="G6" s="63">
        <f>Assumptions!$B$18+(Assumptions!$E$13-Assumptions!$B$18)*G4/Assumptions!$B$21</f>
        <v>0.26644999999999996</v>
      </c>
      <c r="H6" s="63">
        <f>Assumptions!$B$18+(Assumptions!$E$13-Assumptions!$B$18)*H4/Assumptions!$B$21</f>
        <v>0.25316</v>
      </c>
      <c r="I6" s="63">
        <f>Assumptions!$B$18+(Assumptions!$E$13-Assumptions!$B$18)*I4/Assumptions!$B$21</f>
        <v>0.23987</v>
      </c>
      <c r="J6" s="63">
        <f>Assumptions!$B$18+(Assumptions!$E$13-Assumptions!$B$18)*J4/Assumptions!$B$21</f>
        <v>0.22658</v>
      </c>
      <c r="K6" s="63">
        <f>Assumptions!$B$18+(Assumptions!$E$13-Assumptions!$B$18)*K4/Assumptions!$B$21</f>
        <v>0.21329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Model'!T2</f>
        <v>48194</v>
      </c>
      <c r="C7" s="55">
        <f>'Yearly Model'!U2</f>
        <v>50232.6062</v>
      </c>
      <c r="D7" s="55">
        <f>'Yearly Model'!V2</f>
        <v>52260.887210342225</v>
      </c>
      <c r="E7" s="55">
        <f>'Yearly Model'!W2</f>
        <v>54270.60866184216</v>
      </c>
      <c r="F7" s="55">
        <f>'Yearly Model'!X2</f>
        <v>56253.29489828813</v>
      </c>
      <c r="G7" s="55">
        <f>'Yearly Model'!Y2</f>
        <v>58200.28393837888</v>
      </c>
      <c r="H7" s="55">
        <f>'Yearly Model'!Z2</f>
        <v>60102.78655334234</v>
      </c>
      <c r="I7" s="55">
        <f>'Yearly Model'!AA2</f>
        <v>61951.948952966835</v>
      </c>
      <c r="J7" s="55">
        <f>'Yearly Model'!AB2</f>
        <v>63738.918502765744</v>
      </c>
      <c r="K7" s="55">
        <f>'Yearly Model'!AC2</f>
        <v>65454.91183090132</v>
      </c>
      <c r="L7" s="55">
        <f>'Yearly Model'!AD2</f>
        <v>67091.28462667385</v>
      </c>
    </row>
    <row r="8">
      <c r="A8" s="14" t="inlineStr">
        <is>
          <t>Operating income</t>
        </is>
      </c>
      <c r="B8" s="55">
        <f>'Yearly Model'!T8</f>
        <v>9328.0</v>
      </c>
      <c r="C8" s="55">
        <f>'Yearly Model'!U8</f>
        <v>16054.843267582</v>
      </c>
      <c r="D8" s="55">
        <f>'Yearly Model'!V8</f>
        <v>16008.554970272031</v>
      </c>
      <c r="E8" s="55">
        <f>'Yearly Model'!W8</f>
        <v>15902.91645617961</v>
      </c>
      <c r="F8" s="55">
        <f>'Yearly Model'!X8</f>
        <v>15736.296714847122</v>
      </c>
      <c r="G8" s="55">
        <f>'Yearly Model'!Y8</f>
        <v>15507.46565538105</v>
      </c>
      <c r="H8" s="55">
        <f>'Yearly Model'!Z8</f>
        <v>15215.621443844146</v>
      </c>
      <c r="I8" s="55">
        <f>'Yearly Model'!AA8</f>
        <v>14860.413995348157</v>
      </c>
      <c r="J8" s="55">
        <f>'Yearly Model'!AB8</f>
        <v>14441.964154356661</v>
      </c>
      <c r="K8" s="55">
        <f>'Yearly Model'!AC8</f>
        <v>13960.878144412942</v>
      </c>
      <c r="L8" s="55">
        <f>'Yearly Model'!AD8</f>
        <v>13418.256925334768</v>
      </c>
    </row>
    <row r="9">
      <c r="A9" s="14" t="inlineStr">
        <is>
          <t>Tax on operating income</t>
        </is>
      </c>
      <c r="C9" s="52">
        <f>MAX(0,C8)*Assumptions!$E$14</f>
        <v>2729.3233554889403</v>
      </c>
      <c r="D9" s="52">
        <f>MAX(0,D8)*Assumptions!$E$14</f>
        <v>2721.4543449462453</v>
      </c>
      <c r="E9" s="52">
        <f>MAX(0,E8)*Assumptions!$E$14</f>
        <v>2703.495797550534</v>
      </c>
      <c r="F9" s="52">
        <f>MAX(0,F8)*Assumptions!$E$14</f>
        <v>2675.170441524011</v>
      </c>
      <c r="G9" s="52">
        <f>MAX(0,G8)*Assumptions!$E$14</f>
        <v>2636.2691614147784</v>
      </c>
      <c r="H9" s="52">
        <f>MAX(0,H8)*Assumptions!$E$14</f>
        <v>2586.655645453505</v>
      </c>
      <c r="I9" s="52">
        <f>MAX(0,I8)*Assumptions!$E$14</f>
        <v>2526.270379209187</v>
      </c>
      <c r="J9" s="52">
        <f>MAX(0,J8)*Assumptions!$E$14</f>
        <v>2455.1339062406328</v>
      </c>
      <c r="K9" s="52">
        <f>MAX(0,K8)*Assumptions!$E$14</f>
        <v>2373.3492845502</v>
      </c>
      <c r="L9" s="52">
        <f>MAX(0,L8)*Assumptions!$E$14</f>
        <v>2281.103677306911</v>
      </c>
    </row>
    <row r="10">
      <c r="A10" s="14" t="inlineStr">
        <is>
          <t>NOPAT</t>
        </is>
      </c>
      <c r="C10" s="52">
        <f>C8-C9</f>
        <v>13325.51991209306</v>
      </c>
      <c r="D10" s="52">
        <f>D8-D9</f>
        <v>13287.100625325786</v>
      </c>
      <c r="E10" s="52">
        <f>E8-E9</f>
        <v>13199.420658629075</v>
      </c>
      <c r="F10" s="52">
        <f>F8-F9</f>
        <v>13061.12627332311</v>
      </c>
      <c r="G10" s="52">
        <f>G8-G9</f>
        <v>12871.19649396627</v>
      </c>
      <c r="H10" s="52">
        <f>H8-H9</f>
        <v>12628.96579839064</v>
      </c>
      <c r="I10" s="52">
        <f>I8-I9</f>
        <v>12334.14361613897</v>
      </c>
      <c r="J10" s="52">
        <f>J8-J9</f>
        <v>11986.830248116028</v>
      </c>
      <c r="K10" s="52">
        <f>K8-K9</f>
        <v>11587.528859862741</v>
      </c>
      <c r="L10" s="52">
        <f>L8-L9</f>
        <v>11137.153248027858</v>
      </c>
    </row>
    <row r="11">
      <c r="A11" s="14" t="inlineStr">
        <is>
          <t>Reinvestment</t>
        </is>
      </c>
      <c r="C11" s="52">
        <f>(C7-B7)*Assumptions!$E$15</f>
        <v>509.6515500000005</v>
      </c>
      <c r="D11" s="52">
        <f>(D7-C7)*Assumptions!$E$15</f>
        <v>507.07025258555586</v>
      </c>
      <c r="E11" s="52">
        <f>(E7-D7)*Assumptions!$E$15</f>
        <v>502.430362874984</v>
      </c>
      <c r="F11" s="52">
        <f>(F7-E7)*Assumptions!$E$15</f>
        <v>495.67155911149166</v>
      </c>
      <c r="G11" s="52">
        <f>(G7-F7)*Assumptions!$E$15</f>
        <v>486.74726002268835</v>
      </c>
      <c r="H11" s="52">
        <f>(H7-G7)*Assumptions!$E$15</f>
        <v>475.62565374086444</v>
      </c>
      <c r="I11" s="52">
        <f>(I7-H7)*Assumptions!$E$15</f>
        <v>462.29059990612404</v>
      </c>
      <c r="J11" s="52">
        <f>(J7-I7)*Assumptions!$E$15</f>
        <v>446.7423874497272</v>
      </c>
      <c r="K11" s="52">
        <f>(K7-J7)*Assumptions!$E$15</f>
        <v>428.99833203389426</v>
      </c>
      <c r="L11" s="52">
        <f>(L7-K7)*Assumptions!$E$15</f>
        <v>409.09319894313194</v>
      </c>
    </row>
    <row r="12">
      <c r="A12" s="20" t="inlineStr">
        <is>
          <t>Free cash flow</t>
        </is>
      </c>
      <c r="C12" s="64">
        <f>C10-C11</f>
        <v>12815.868362093059</v>
      </c>
      <c r="D12" s="64">
        <f>D10-D11</f>
        <v>12780.03037274023</v>
      </c>
      <c r="E12" s="64">
        <f>E10-E11</f>
        <v>12696.99029575409</v>
      </c>
      <c r="F12" s="64">
        <f>F10-F11</f>
        <v>12565.454714211619</v>
      </c>
      <c r="G12" s="64">
        <f>G10-G11</f>
        <v>12384.449233943582</v>
      </c>
      <c r="H12" s="64">
        <f>H10-H11</f>
        <v>12153.340144649776</v>
      </c>
      <c r="I12" s="64">
        <f>I10-I11</f>
        <v>11871.853016232846</v>
      </c>
      <c r="J12" s="64">
        <f>J10-J11</f>
        <v>11540.087860666301</v>
      </c>
      <c r="K12" s="64">
        <f>K10-K11</f>
        <v>11158.530527828847</v>
      </c>
      <c r="L12" s="64">
        <f>L10-L11</f>
        <v>10728.060049084726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0.9807889007237011</v>
      </c>
      <c r="D15" s="65">
        <f>1/(1+Assumptions!$E$10)^D14</f>
        <v>0.9256338051008673</v>
      </c>
      <c r="E15" s="65">
        <f>1/(1+Assumptions!$E$10)^E14</f>
        <v>0.8570683380563585</v>
      </c>
      <c r="F15" s="65">
        <f>1/(1+Assumptions!$E$10)^F14</f>
        <v>0.7935817944966281</v>
      </c>
      <c r="G15" s="65">
        <f>1/(1+Assumptions!$E$10)^G14</f>
        <v>0.7347979578672482</v>
      </c>
      <c r="H15" s="65">
        <f>1/(1+Assumptions!$E$10)^H14</f>
        <v>0.6803684795067113</v>
      </c>
      <c r="I15" s="65">
        <f>1/(1+Assumptions!$E$10)^I14</f>
        <v>0.629970814358066</v>
      </c>
      <c r="J15" s="65">
        <f>1/(1+Assumptions!$E$10)^J14</f>
        <v>0.5833063095908019</v>
      </c>
      <c r="K15" s="65">
        <f>1/(1+Assumptions!$E$10)^K14</f>
        <v>0.5400984348062979</v>
      </c>
      <c r="L15" s="65">
        <f>1/(1+Assumptions!$E$10)^L14</f>
        <v>0.5000911433391647</v>
      </c>
    </row>
    <row r="16">
      <c r="A16" s="20" t="inlineStr">
        <is>
          <t>PV of free cash flow</t>
        </is>
      </c>
      <c r="C16" s="64">
        <f>C12*C13*C15</f>
        <v>6336.366333253431</v>
      </c>
      <c r="D16" s="64">
        <f>D12*D13*D15</f>
        <v>11829.628143224194</v>
      </c>
      <c r="E16" s="64">
        <f>E12*E13*E15</f>
        <v>10882.18837109967</v>
      </c>
      <c r="F16" s="64">
        <f>F12*F13*F15</f>
        <v>9971.716100770172</v>
      </c>
      <c r="G16" s="64">
        <f>G12*G13*G15</f>
        <v>9100.06800641235</v>
      </c>
      <c r="H16" s="64">
        <f>H12*H13*H15</f>
        <v>8268.749555143242</v>
      </c>
      <c r="I16" s="64">
        <f>I12*I13*I15</f>
        <v>7478.920912575469</v>
      </c>
      <c r="J16" s="64">
        <f>J12*J13*J15</f>
        <v>6731.406062358872</v>
      </c>
      <c r="K16" s="64">
        <f>K12*K13*K15</f>
        <v>6026.704872818654</v>
      </c>
      <c r="L16" s="64">
        <f>L12*L13*L15</f>
        <v>5365.0078157579965</v>
      </c>
    </row>
    <row r="19">
      <c r="A19" s="14" t="inlineStr">
        <is>
          <t>PV of forecast free cash flow</t>
        </is>
      </c>
      <c r="B19" s="52">
        <f>SUM(C16:L16)</f>
        <v>81990.75617341405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10996.261550311843</v>
      </c>
    </row>
    <row r="21">
      <c r="A21" s="14" t="inlineStr">
        <is>
          <t>Terminal value</t>
        </is>
      </c>
      <c r="B21" s="52">
        <f>B20/(Assumptions!$E$10-Assumptions!$E$11)</f>
        <v>199932.02818748806</v>
      </c>
    </row>
    <row r="22">
      <c r="A22" s="14" t="inlineStr">
        <is>
          <t>PV of terminal value</t>
        </is>
      </c>
      <c r="B22" s="52">
        <f>B21/(1+Assumptions!$E$10)^(L14+0.5)</f>
        <v>96209.87649388281</v>
      </c>
    </row>
    <row r="23">
      <c r="A23" s="20" t="inlineStr">
        <is>
          <t>Enterprise value</t>
        </is>
      </c>
      <c r="B23" s="66">
        <f>B19+B22</f>
        <v>178200.63266729686</v>
      </c>
    </row>
    <row r="24">
      <c r="A24" s="14" t="inlineStr">
        <is>
          <t>Cash &amp; investments</t>
        </is>
      </c>
      <c r="B24" s="55">
        <f>Main!C7</f>
        <v>11067.0</v>
      </c>
    </row>
    <row r="25">
      <c r="A25" s="14" t="inlineStr">
        <is>
          <t>Debt</t>
        </is>
      </c>
      <c r="B25" s="55">
        <f>Main!C8</f>
        <v>43120.0</v>
      </c>
    </row>
    <row r="26">
      <c r="A26" s="20" t="inlineStr">
        <is>
          <t>Equity value</t>
        </is>
      </c>
      <c r="B26" s="66">
        <f>B23+B24-B25</f>
        <v>146147.63266729686</v>
      </c>
    </row>
    <row r="27">
      <c r="A27" s="14" t="inlineStr">
        <is>
          <t>Shares (mm)</t>
        </is>
      </c>
      <c r="B27" s="55">
        <f>Main!C4</f>
        <v>2042.714656</v>
      </c>
    </row>
    <row r="28">
      <c r="A28" s="20" t="inlineStr">
        <is>
          <t>NPV / share</t>
        </is>
      </c>
      <c r="B28" s="49">
        <f>B26/B27</f>
        <v>71.54578944152681</v>
      </c>
    </row>
    <row r="29">
      <c r="A29" s="14" t="inlineStr">
        <is>
          <t>Price</t>
        </is>
      </c>
      <c r="B29" s="50">
        <f>Main!C3</f>
        <v>61.715</v>
      </c>
    </row>
    <row r="30">
      <c r="A30" s="14" t="inlineStr">
        <is>
          <t>Upside</t>
        </is>
      </c>
      <c r="B30" s="63">
        <f>B28/B29-1</f>
        <v>0.15929335561090174</v>
      </c>
    </row>
    <row r="31">
      <c r="A31" s="14" t="inlineStr">
        <is>
          <t>Terminal value, % of EV</t>
        </is>
      </c>
      <c r="B31" s="63">
        <f>IFERROR(B22/B23,0)</f>
        <v>0.5398963800173933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2026-10-21T06:21:01Z</dcterms:modified>
  <cp:lastModifiedBy>Wang, Eric</cp:lastModifiedBy>
</cp:coreProperties>
</file>