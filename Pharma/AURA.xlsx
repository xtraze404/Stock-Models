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Aura Biosciences, Inc.</t>
        </is>
      </c>
      <c r="C2" s="10" t="n"/>
    </row>
    <row r="3">
      <c r="B3" t="inlineStr">
        <is>
          <t>Price</t>
        </is>
      </c>
      <c r="C3" s="11">
        <f>INDEX([1]Pharma!$F$1:$F$1000,MATCH("AURA",[1]Pharma!$B$1:$B$1000,0))</f>
        <v>6.56</v>
      </c>
      <c r="F3" s="1" t="n"/>
    </row>
    <row r="4">
      <c r="B4" t="inlineStr">
        <is>
          <t>Shares</t>
        </is>
      </c>
      <c r="C4" s="21" t="n">
        <v>103.704809</v>
      </c>
      <c r="F4" s="1" t="n"/>
    </row>
    <row r="5">
      <c r="B5" t="inlineStr">
        <is>
          <t>Market Cap.</t>
        </is>
      </c>
      <c r="C5" s="13">
        <f>C3*C4</f>
        <v>680.3035470399999</v>
      </c>
      <c r="F5" s="1" t="n"/>
    </row>
    <row r="6"/>
    <row r="7">
      <c r="B7" t="inlineStr">
        <is>
          <t>Cash</t>
        </is>
      </c>
      <c r="C7" s="21" t="n">
        <v>67.836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612.4675470399999</v>
      </c>
    </row>
    <row r="10"/>
    <row r="11">
      <c r="B11" s="14" t="inlineStr">
        <is>
          <t>Net Cash / Share</t>
        </is>
      </c>
      <c r="C11" s="11">
        <f>(C7-C8)/C4</f>
        <v>0.6541258853290015</v>
      </c>
    </row>
    <row r="12">
      <c r="B12" s="14" t="inlineStr">
        <is>
          <t>Upside</t>
        </is>
      </c>
      <c r="C12" s="15">
        <f>IFERROR(C11/C3-1,"")</f>
        <v>-0.9002856882120425</v>
      </c>
    </row>
    <row r="13">
      <c r="B13" s="14" t="inlineStr">
        <is>
          <t>Cash / Share</t>
        </is>
      </c>
      <c r="C13" s="11">
        <f>IFERROR((C7-C8)/C4,"")</f>
        <v>0.6541258853290015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-103.007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0.6585571854339995</v>
      </c>
    </row>
    <row r="19">
      <c r="B19" s="14" t="inlineStr">
        <is>
          <t>Implied Pipeline Value</t>
        </is>
      </c>
      <c r="C19" s="13">
        <f>C9</f>
        <v>612.4675470399999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18.042</v>
      </c>
      <c r="C5" s="23" t="n">
        <v>25.161</v>
      </c>
      <c r="D5" s="23" t="n">
        <v>42.238</v>
      </c>
      <c r="E5" s="23" t="n">
        <v>65.232</v>
      </c>
      <c r="F5" s="23" t="n">
        <v>73.30200000000001</v>
      </c>
      <c r="G5" s="23" t="n">
        <v>90.3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4.164</v>
      </c>
      <c r="C6" s="23" t="n">
        <v>10.089</v>
      </c>
      <c r="D6" s="23" t="n">
        <v>18.057</v>
      </c>
      <c r="E6" s="23" t="n">
        <v>19.759</v>
      </c>
      <c r="F6" s="23" t="n">
        <v>22.814</v>
      </c>
      <c r="G6" s="23" t="n">
        <v>22.491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22.206000000000003</v>
      </c>
      <c r="C7" s="23">
        <f>SUM(C5:C6)</f>
        <v>35.25</v>
      </c>
      <c r="D7" s="23">
        <f>SUM(D5:D6)</f>
        <v>60.295</v>
      </c>
      <c r="E7" s="23">
        <f>SUM(E5:E6)</f>
        <v>84.991</v>
      </c>
      <c r="F7" s="23">
        <f>SUM(F5:F6)</f>
        <v>96.11600000000001</v>
      </c>
      <c r="G7" s="23">
        <f>SUM(G5:G6)</f>
        <v>112.791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-22.206000000000003</v>
      </c>
      <c r="C8" s="23">
        <f>C4-C7</f>
        <v>-35.25</v>
      </c>
      <c r="D8" s="23">
        <f>D4-D7</f>
        <v>-60.295</v>
      </c>
      <c r="E8" s="23">
        <f>E4-E7</f>
        <v>-84.991</v>
      </c>
      <c r="F8" s="23">
        <f>F4-F7</f>
        <v>-96.11600000000001</v>
      </c>
      <c r="G8" s="23">
        <f>G4-G7</f>
        <v>-112.791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-0.001</v>
      </c>
      <c r="D9" s="23" t="n">
        <v>1.532</v>
      </c>
      <c r="E9" s="23" t="n">
        <v>8.720000000000001</v>
      </c>
      <c r="F9" s="23" t="n">
        <v>9.308999999999999</v>
      </c>
      <c r="G9" s="23" t="n">
        <v>6.708</v>
      </c>
    </row>
    <row r="10">
      <c r="A10" s="2" t="inlineStr">
        <is>
          <t>Pretax</t>
        </is>
      </c>
      <c r="B10" s="23">
        <f>B8+B9</f>
        <v>-22.206000000000003</v>
      </c>
      <c r="C10" s="23">
        <f>C8+C9</f>
        <v>-35.251</v>
      </c>
      <c r="D10" s="23">
        <f>D8+D9</f>
        <v>-58.763000000000005</v>
      </c>
      <c r="E10" s="23">
        <f>E8+E9</f>
        <v>-76.271</v>
      </c>
      <c r="F10" s="23">
        <f>F8+F9</f>
        <v>-86.80700000000002</v>
      </c>
      <c r="G10" s="23">
        <f>G8+G9</f>
        <v>-106.083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0.137</v>
      </c>
      <c r="F11" s="23" t="n">
        <v>0.112</v>
      </c>
      <c r="G11" s="23" t="n">
        <v>0.108</v>
      </c>
    </row>
    <row r="12">
      <c r="A12" s="2" t="inlineStr">
        <is>
          <t>Net Income</t>
        </is>
      </c>
      <c r="B12" s="23" t="n">
        <v>-22.206</v>
      </c>
      <c r="C12" s="23" t="n">
        <v>-35.251</v>
      </c>
      <c r="D12" s="23" t="n">
        <v>-58.763</v>
      </c>
      <c r="E12" s="23" t="n">
        <v>-76.408</v>
      </c>
      <c r="F12" s="23" t="n">
        <v>-86.919</v>
      </c>
      <c r="G12" s="23" t="n">
        <v>-106.191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-4.31939311418012</v>
      </c>
      <c r="C13" s="11">
        <f>IFERROR(C12/C14,0)</f>
        <v>-6.831589147286821</v>
      </c>
      <c r="D13" s="11">
        <f>IFERROR(D12/D14,0)</f>
        <v>-1.962888733005979</v>
      </c>
      <c r="E13" s="11">
        <f>IFERROR(E12/E14,0)</f>
        <v>-1.9285209490156487</v>
      </c>
      <c r="F13" s="11">
        <f>IFERROR(F12/F14,0)</f>
        <v>-1.7506344410876133</v>
      </c>
      <c r="G13" s="11">
        <f>IFERROR(G12/G14,0)</f>
        <v>-1.7599356955815573</v>
      </c>
    </row>
    <row r="14">
      <c r="A14" s="2" t="inlineStr">
        <is>
          <t>Shares</t>
        </is>
      </c>
      <c r="B14" s="23" t="n">
        <v>5.141</v>
      </c>
      <c r="C14" s="23" t="n">
        <v>5.16</v>
      </c>
      <c r="D14" s="23" t="n">
        <v>29.937</v>
      </c>
      <c r="E14" s="23" t="n">
        <v>39.62</v>
      </c>
      <c r="F14" s="23" t="n">
        <v>49.65</v>
      </c>
      <c r="G14" s="23" t="n">
        <v>60.338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2026-10-21T01:05:01Z</dcterms:modified>
  <cp:lastModifiedBy>Wang, Eric</cp:lastModifiedBy>
</cp:coreProperties>
</file>