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Aura Biosciences, Inc.</t>
        </is>
      </c>
      <c r="C2" s="10" t="n"/>
    </row>
    <row r="3">
      <c r="B3" t="inlineStr">
        <is>
          <t>Price</t>
        </is>
      </c>
      <c r="C3" s="11">
        <f>INDEX([1]Pharma!$F$1:$F$1000,MATCH("AURA",[1]Pharma!$B$1:$B$1000,0))</f>
        <v>6.56</v>
      </c>
      <c r="F3" s="1" t="n"/>
    </row>
    <row r="4">
      <c r="B4" t="inlineStr">
        <is>
          <t>Shares</t>
        </is>
      </c>
      <c r="C4" s="21" t="n">
        <v>103.704809</v>
      </c>
      <c r="F4" s="1" t="n"/>
    </row>
    <row r="5">
      <c r="B5" t="inlineStr">
        <is>
          <t>Market Cap.</t>
        </is>
      </c>
      <c r="C5" s="13">
        <f>C3*C4</f>
        <v>680.3035470399999</v>
      </c>
      <c r="F5" s="1" t="n"/>
    </row>
    <row r="6"/>
    <row r="7">
      <c r="B7" t="inlineStr">
        <is>
          <t>Cash</t>
        </is>
      </c>
      <c r="C7" s="21" t="n">
        <v>67.836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612.4675470399999</v>
      </c>
    </row>
    <row r="10"/>
    <row r="11">
      <c r="B11" s="14" t="inlineStr">
        <is>
          <t>rNPV / Share</t>
        </is>
      </c>
      <c r="C11" s="11">
        <f>NPV!B27</f>
        <v>6.5965214281714335</v>
      </c>
    </row>
    <row r="12">
      <c r="B12" s="14" t="inlineStr">
        <is>
          <t>Upside</t>
        </is>
      </c>
      <c r="C12" s="15">
        <f>IFERROR(C11/C3-1,"")</f>
        <v>0.0055672908797916865</v>
      </c>
    </row>
    <row r="13">
      <c r="B13" s="14" t="inlineStr">
        <is>
          <t>Cash / Share</t>
        </is>
      </c>
      <c r="C13" s="11">
        <f>IFERROR((C7-C8)/C4,"")</f>
        <v>0.6541258853290015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-103.007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0.6585571854339995</v>
      </c>
    </row>
    <row r="19">
      <c r="B19" s="14" t="inlineStr">
        <is>
          <t>Implied Pipeline Value</t>
        </is>
      </c>
      <c r="C19" s="13">
        <f>C9</f>
        <v>612.4675470399999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18.042</v>
      </c>
      <c r="C5" s="23" t="n">
        <v>25.161</v>
      </c>
      <c r="D5" s="23" t="n">
        <v>42.238</v>
      </c>
      <c r="E5" s="23" t="n">
        <v>65.232</v>
      </c>
      <c r="F5" s="23" t="n">
        <v>73.30200000000001</v>
      </c>
      <c r="G5" s="23" t="n">
        <v>90.3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4.164</v>
      </c>
      <c r="C6" s="23" t="n">
        <v>10.089</v>
      </c>
      <c r="D6" s="23" t="n">
        <v>18.057</v>
      </c>
      <c r="E6" s="23" t="n">
        <v>19.759</v>
      </c>
      <c r="F6" s="23" t="n">
        <v>22.814</v>
      </c>
      <c r="G6" s="23" t="n">
        <v>22.491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22.206000000000003</v>
      </c>
      <c r="C7" s="23">
        <f>SUM(C5:C6)</f>
        <v>35.25</v>
      </c>
      <c r="D7" s="23">
        <f>SUM(D5:D6)</f>
        <v>60.295</v>
      </c>
      <c r="E7" s="23">
        <f>SUM(E5:E6)</f>
        <v>84.991</v>
      </c>
      <c r="F7" s="23">
        <f>SUM(F5:F6)</f>
        <v>96.11600000000001</v>
      </c>
      <c r="G7" s="23">
        <f>SUM(G5:G6)</f>
        <v>112.791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-22.206000000000003</v>
      </c>
      <c r="C8" s="23">
        <f>C4-C7</f>
        <v>-35.25</v>
      </c>
      <c r="D8" s="23">
        <f>D4-D7</f>
        <v>-60.295</v>
      </c>
      <c r="E8" s="23">
        <f>E4-E7</f>
        <v>-84.991</v>
      </c>
      <c r="F8" s="23">
        <f>F4-F7</f>
        <v>-96.11600000000001</v>
      </c>
      <c r="G8" s="23">
        <f>G4-G7</f>
        <v>-112.791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</v>
      </c>
      <c r="C9" s="23" t="n">
        <v>-0.001</v>
      </c>
      <c r="D9" s="23" t="n">
        <v>1.532</v>
      </c>
      <c r="E9" s="23" t="n">
        <v>8.720000000000001</v>
      </c>
      <c r="F9" s="23" t="n">
        <v>9.308999999999999</v>
      </c>
      <c r="G9" s="23" t="n">
        <v>6.708</v>
      </c>
    </row>
    <row r="10">
      <c r="A10" s="2" t="inlineStr">
        <is>
          <t>Pretax</t>
        </is>
      </c>
      <c r="B10" s="23">
        <f>B8+B9</f>
        <v>-22.206000000000003</v>
      </c>
      <c r="C10" s="23">
        <f>C8+C9</f>
        <v>-35.251</v>
      </c>
      <c r="D10" s="23">
        <f>D8+D9</f>
        <v>-58.763000000000005</v>
      </c>
      <c r="E10" s="23">
        <f>E8+E9</f>
        <v>-76.271</v>
      </c>
      <c r="F10" s="23">
        <f>F8+F9</f>
        <v>-86.80700000000002</v>
      </c>
      <c r="G10" s="23">
        <f>G8+G9</f>
        <v>-106.083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0.137</v>
      </c>
      <c r="F11" s="23" t="n">
        <v>0.112</v>
      </c>
      <c r="G11" s="23" t="n">
        <v>0.108</v>
      </c>
    </row>
    <row r="12">
      <c r="A12" s="2" t="inlineStr">
        <is>
          <t>Net Income</t>
        </is>
      </c>
      <c r="B12" s="23" t="n">
        <v>-22.206</v>
      </c>
      <c r="C12" s="23" t="n">
        <v>-35.251</v>
      </c>
      <c r="D12" s="23" t="n">
        <v>-58.763</v>
      </c>
      <c r="E12" s="23" t="n">
        <v>-76.408</v>
      </c>
      <c r="F12" s="23" t="n">
        <v>-86.919</v>
      </c>
      <c r="G12" s="23" t="n">
        <v>-106.191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-4.31939311418012</v>
      </c>
      <c r="C13" s="11">
        <f>IFERROR(C12/C14,0)</f>
        <v>-6.831589147286821</v>
      </c>
      <c r="D13" s="11">
        <f>IFERROR(D12/D14,0)</f>
        <v>-1.962888733005979</v>
      </c>
      <c r="E13" s="11">
        <f>IFERROR(E12/E14,0)</f>
        <v>-1.9285209490156487</v>
      </c>
      <c r="F13" s="11">
        <f>IFERROR(F12/F14,0)</f>
        <v>-1.7506344410876133</v>
      </c>
      <c r="G13" s="11">
        <f>IFERROR(G12/G14,0)</f>
        <v>-1.7599356955815573</v>
      </c>
    </row>
    <row r="14">
      <c r="A14" s="2" t="inlineStr">
        <is>
          <t>Shares</t>
        </is>
      </c>
      <c r="B14" s="23" t="n">
        <v>5.141</v>
      </c>
      <c r="C14" s="23" t="n">
        <v>5.16</v>
      </c>
      <c r="D14" s="23" t="n">
        <v>29.937</v>
      </c>
      <c r="E14" s="23" t="n">
        <v>39.62</v>
      </c>
      <c r="F14" s="23" t="n">
        <v>49.65</v>
      </c>
      <c r="G14" s="23" t="n">
        <v>60.338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Aura Biosciences,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1-PRODUCT(Pipeline!AG4:AG6)</f>
        <v>0.52579071408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138.078</v>
      </c>
    </row>
    <row r="19">
      <c r="A19" s="14" t="inlineStr">
        <is>
          <t>Years of full burn (until the first launch, max 4)</t>
        </is>
      </c>
      <c r="B19" s="39">
        <f>MIN(4,MAX(1,MIN(Pipeline!I4:I6)-2026))</f>
        <v>3.0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385.7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616.2549947729257</v>
      </c>
      <c r="C29" s="42">
        <f>NPV!B25</f>
        <v>684.0909947729257</v>
      </c>
      <c r="D29" s="43">
        <f>NPV!B27</f>
        <v>6.5965214281714335</v>
      </c>
      <c r="E29" s="44">
        <f>NPV!B29</f>
        <v>0.0055672908797916865</v>
      </c>
    </row>
    <row r="30">
      <c r="A30" s="45" t="n">
        <v>1</v>
      </c>
      <c r="B30" s="46">
        <f t="dataTable" ref="B30:E32" r1="B4"/>
        <v>69.6664378221143</v>
      </c>
      <c r="C30" s="46">
        <v>137.5024378221143</v>
      </c>
      <c r="D30" s="47">
        <v>1.3259022329631243</v>
      </c>
      <c r="E30" s="48">
        <v>-0.7978807571702554</v>
      </c>
    </row>
    <row r="31">
      <c r="A31" s="45" t="n">
        <v>2</v>
      </c>
      <c r="B31" s="46">
        <v>616.2549947729257</v>
      </c>
      <c r="C31" s="46">
        <v>684.0909947729257</v>
      </c>
      <c r="D31" s="47">
        <v>6.5965214281714335</v>
      </c>
      <c r="E31" s="48">
        <v>0.0055672908797916865</v>
      </c>
    </row>
    <row r="32">
      <c r="A32" s="45" t="n">
        <v>3</v>
      </c>
      <c r="B32" s="46">
        <v>1462.8936159617645</v>
      </c>
      <c r="C32" s="46">
        <v>1530.7296159617645</v>
      </c>
      <c r="D32" s="47">
        <v>14.760449691024112</v>
      </c>
      <c r="E32" s="48">
        <v>1.250068550460993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6.5965214281714335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0.3747783945692462</v>
      </c>
      <c r="C37" s="47">
        <v>1.8361750536968404</v>
      </c>
      <c r="D37" s="47">
        <v>3.2529956324684814</v>
      </c>
      <c r="E37" s="47">
        <v>6.0382203168268465</v>
      </c>
      <c r="F37" s="47">
        <v>8.78958962014594</v>
      </c>
    </row>
    <row r="38">
      <c r="A38" s="50" t="n">
        <v>0.8</v>
      </c>
      <c r="B38" s="47">
        <v>1.1603330947432478</v>
      </c>
      <c r="C38" s="47">
        <v>3.0637036619235407</v>
      </c>
      <c r="D38" s="47">
        <v>4.925785436602558</v>
      </c>
      <c r="E38" s="47">
        <v>8.604711063644412</v>
      </c>
      <c r="F38" s="47">
        <v>12.255922300298216</v>
      </c>
    </row>
    <row r="39">
      <c r="A39" s="50" t="n">
        <v>1</v>
      </c>
      <c r="B39" s="47">
        <v>1.9389884265238282</v>
      </c>
      <c r="C39" s="47">
        <v>4.286627896265978</v>
      </c>
      <c r="D39" s="47">
        <v>6.5965214281714335</v>
      </c>
      <c r="E39" s="47">
        <v>11.172994063477072</v>
      </c>
      <c r="F39" s="47">
        <v>15.725048338315885</v>
      </c>
    </row>
    <row r="40">
      <c r="A40" s="50" t="n">
        <v>1.2</v>
      </c>
      <c r="B40" s="47">
        <v>2.7159062020551907</v>
      </c>
      <c r="C40" s="47">
        <v>5.508613874102024</v>
      </c>
      <c r="D40" s="47">
        <v>8.266103975732948</v>
      </c>
      <c r="E40" s="47">
        <v>13.74183210670776</v>
      </c>
      <c r="F40" s="47">
        <v>19.19671847769473</v>
      </c>
    </row>
    <row r="41">
      <c r="A41" s="50" t="n">
        <v>1.4</v>
      </c>
      <c r="B41" s="47">
        <v>3.4947297412189395</v>
      </c>
      <c r="C41" s="47">
        <v>6.736602452660586</v>
      </c>
      <c r="D41" s="47">
        <v>9.945697882650222</v>
      </c>
      <c r="E41" s="47">
        <v>16.32057225635743</v>
      </c>
      <c r="F41" s="47">
        <v>22.669603066796586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8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Aura Biosciences,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Melanoma</t>
        </is>
      </c>
      <c r="C4" s="14" t="inlineStr">
        <is>
          <t>Bel-sar, AU-011</t>
        </is>
      </c>
      <c r="D4" s="14" t="inlineStr">
        <is>
          <t>Phase 3</t>
        </is>
      </c>
      <c r="E4" s="14" t="inlineStr">
        <is>
          <t>Oncology / area</t>
        </is>
      </c>
      <c r="F4" s="14" t="inlineStr">
        <is>
          <t>Owned</t>
        </is>
      </c>
      <c r="G4" s="40" t="n">
        <v>1500</v>
      </c>
      <c r="H4" s="27" t="n">
        <v>0.4388</v>
      </c>
      <c r="I4" s="26" t="n">
        <v>2029</v>
      </c>
      <c r="J4" s="39">
        <f>I4+Assumptions!$B$25</f>
        <v>2041.0</v>
      </c>
      <c r="K4" s="53">
        <f>Assumptions!$E$13</f>
        <v>0.4</v>
      </c>
      <c r="L4" s="23">
        <f>K4*SUMPRODUCT(M4:AF4,NPV!$C$15:$V$15)</f>
        <v>944.156702827894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65.82000000000001</v>
      </c>
      <c r="Q4" s="23">
        <f>IF(Q$3&lt;$I4,0,$G4*Assumptions!$E$11*INDEX(Assumptions!$B$24:$G$24,MIN(6,Q$3-$I4+1))*IF(Q$3&gt;$J4,(1-Assumptions!$B$26)^(Q$3-$J4),1)*IF($H4&gt;=1,1,MIN(0.97,$H4*Assumptions!$E$12)))</f>
        <v>164.55</v>
      </c>
      <c r="R4" s="23">
        <f>IF(R$3&lt;$I4,0,$G4*Assumptions!$E$11*INDEX(Assumptions!$B$24:$G$24,MIN(6,R$3-$I4+1))*IF(R$3&gt;$J4,(1-Assumptions!$B$26)^(R$3-$J4),1)*IF($H4&gt;=1,1,MIN(0.97,$H4*Assumptions!$E$12)))</f>
        <v>296.19</v>
      </c>
      <c r="S4" s="23">
        <f>IF(S$3&lt;$I4,0,$G4*Assumptions!$E$11*INDEX(Assumptions!$B$24:$G$24,MIN(6,S$3-$I4+1))*IF(S$3&gt;$J4,(1-Assumptions!$B$26)^(S$3-$J4),1)*IF($H4&gt;=1,1,MIN(0.97,$H4*Assumptions!$E$12)))</f>
        <v>427.83000000000004</v>
      </c>
      <c r="T4" s="23">
        <f>IF(T$3&lt;$I4,0,$G4*Assumptions!$E$11*INDEX(Assumptions!$B$24:$G$24,MIN(6,T$3-$I4+1))*IF(T$3&gt;$J4,(1-Assumptions!$B$26)^(T$3-$J4),1)*IF($H4&gt;=1,1,MIN(0.97,$H4*Assumptions!$E$12)))</f>
        <v>559.47</v>
      </c>
      <c r="U4" s="23">
        <f>IF(U$3&lt;$I4,0,$G4*Assumptions!$E$11*INDEX(Assumptions!$B$24:$G$24,MIN(6,U$3-$I4+1))*IF(U$3&gt;$J4,(1-Assumptions!$B$26)^(U$3-$J4),1)*IF($H4&gt;=1,1,MIN(0.97,$H4*Assumptions!$E$12)))</f>
        <v>658.2</v>
      </c>
      <c r="V4" s="23">
        <f>IF(V$3&lt;$I4,0,$G4*Assumptions!$E$11*INDEX(Assumptions!$B$24:$G$24,MIN(6,V$3-$I4+1))*IF(V$3&gt;$J4,(1-Assumptions!$B$26)^(V$3-$J4),1)*IF($H4&gt;=1,1,MIN(0.97,$H4*Assumptions!$E$12)))</f>
        <v>658.2</v>
      </c>
      <c r="W4" s="23">
        <f>IF(W$3&lt;$I4,0,$G4*Assumptions!$E$11*INDEX(Assumptions!$B$24:$G$24,MIN(6,W$3-$I4+1))*IF(W$3&gt;$J4,(1-Assumptions!$B$26)^(W$3-$J4),1)*IF($H4&gt;=1,1,MIN(0.97,$H4*Assumptions!$E$12)))</f>
        <v>658.2</v>
      </c>
      <c r="X4" s="23">
        <f>IF(X$3&lt;$I4,0,$G4*Assumptions!$E$11*INDEX(Assumptions!$B$24:$G$24,MIN(6,X$3-$I4+1))*IF(X$3&gt;$J4,(1-Assumptions!$B$26)^(X$3-$J4),1)*IF($H4&gt;=1,1,MIN(0.97,$H4*Assumptions!$E$12)))</f>
        <v>658.2</v>
      </c>
      <c r="Y4" s="23">
        <f>IF(Y$3&lt;$I4,0,$G4*Assumptions!$E$11*INDEX(Assumptions!$B$24:$G$24,MIN(6,Y$3-$I4+1))*IF(Y$3&gt;$J4,(1-Assumptions!$B$26)^(Y$3-$J4),1)*IF($H4&gt;=1,1,MIN(0.97,$H4*Assumptions!$E$12)))</f>
        <v>658.2</v>
      </c>
      <c r="Z4" s="23">
        <f>IF(Z$3&lt;$I4,0,$G4*Assumptions!$E$11*INDEX(Assumptions!$B$24:$G$24,MIN(6,Z$3-$I4+1))*IF(Z$3&gt;$J4,(1-Assumptions!$B$26)^(Z$3-$J4),1)*IF($H4&gt;=1,1,MIN(0.97,$H4*Assumptions!$E$12)))</f>
        <v>658.2</v>
      </c>
      <c r="AA4" s="23">
        <f>IF(AA$3&lt;$I4,0,$G4*Assumptions!$E$11*INDEX(Assumptions!$B$24:$G$24,MIN(6,AA$3-$I4+1))*IF(AA$3&gt;$J4,(1-Assumptions!$B$26)^(AA$3-$J4),1)*IF($H4&gt;=1,1,MIN(0.97,$H4*Assumptions!$E$12)))</f>
        <v>658.2</v>
      </c>
      <c r="AB4" s="23">
        <f>IF(AB$3&lt;$I4,0,$G4*Assumptions!$E$11*INDEX(Assumptions!$B$24:$G$24,MIN(6,AB$3-$I4+1))*IF(AB$3&gt;$J4,(1-Assumptions!$B$26)^(AB$3-$J4),1)*IF($H4&gt;=1,1,MIN(0.97,$H4*Assumptions!$E$12)))</f>
        <v>658.2</v>
      </c>
      <c r="AC4" s="23">
        <f>IF(AC$3&lt;$I4,0,$G4*Assumptions!$E$11*INDEX(Assumptions!$B$24:$G$24,MIN(6,AC$3-$I4+1))*IF(AC$3&gt;$J4,(1-Assumptions!$B$26)^(AC$3-$J4),1)*IF($H4&gt;=1,1,MIN(0.97,$H4*Assumptions!$E$12)))</f>
        <v>329.1</v>
      </c>
      <c r="AD4" s="23">
        <f>IF(AD$3&lt;$I4,0,$G4*Assumptions!$E$11*INDEX(Assumptions!$B$24:$G$24,MIN(6,AD$3-$I4+1))*IF(AD$3&gt;$J4,(1-Assumptions!$B$26)^(AD$3-$J4),1)*IF($H4&gt;=1,1,MIN(0.97,$H4*Assumptions!$E$12)))</f>
        <v>164.55</v>
      </c>
      <c r="AE4" s="23">
        <f>IF(AE$3&lt;$I4,0,$G4*Assumptions!$E$11*INDEX(Assumptions!$B$24:$G$24,MIN(6,AE$3-$I4+1))*IF(AE$3&gt;$J4,(1-Assumptions!$B$26)^(AE$3-$J4),1)*IF($H4&gt;=1,1,MIN(0.97,$H4*Assumptions!$E$12)))</f>
        <v>82.275</v>
      </c>
      <c r="AF4" s="23">
        <f>IF(AF$3&lt;$I4,0,$G4*Assumptions!$E$11*INDEX(Assumptions!$B$24:$G$24,MIN(6,AF$3-$I4+1))*IF(AF$3&gt;$J4,(1-Assumptions!$B$26)^(AF$3-$J4),1)*IF($H4&gt;=1,1,MIN(0.97,$H4*Assumptions!$E$12)))</f>
        <v>41.1375</v>
      </c>
      <c r="AG4" s="35">
        <f>IF(F4="Owned",1-IF(H4&gt;=1,1,MIN(0.97,H4*Assumptions!$E$12)),1)</f>
        <v>0.5611999999999999</v>
      </c>
    </row>
    <row r="5">
      <c r="A5" s="39" t="n">
        <v>2</v>
      </c>
      <c r="B5" s="14" t="inlineStr">
        <is>
          <t>Solid tumors (basket)</t>
        </is>
      </c>
      <c r="C5" s="14" t="inlineStr">
        <is>
          <t>AU-011</t>
        </is>
      </c>
      <c r="D5" s="14" t="inlineStr">
        <is>
          <t>Phase 2</t>
        </is>
      </c>
      <c r="E5" s="14" t="inlineStr">
        <is>
          <t>Oncology / area</t>
        </is>
      </c>
      <c r="F5" s="14" t="inlineStr">
        <is>
          <t>Owned</t>
        </is>
      </c>
      <c r="G5" s="40" t="n">
        <v>1500</v>
      </c>
      <c r="H5" s="27" t="n">
        <v>0.108</v>
      </c>
      <c r="I5" s="26" t="n">
        <v>2031</v>
      </c>
      <c r="J5" s="39">
        <f>I5+Assumptions!$B$25</f>
        <v>2043.0</v>
      </c>
      <c r="K5" s="53">
        <f>Assumptions!$E$13</f>
        <v>0.4</v>
      </c>
      <c r="L5" s="23">
        <f>K5*SUMPRODUCT(M5:AF5,NPV!$C$15:$V$15)</f>
        <v>184.0389638039337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16.2</v>
      </c>
      <c r="S5" s="23">
        <f>IF(S$3&lt;$I5,0,$G5*Assumptions!$E$11*INDEX(Assumptions!$B$24:$G$24,MIN(6,S$3-$I5+1))*IF(S$3&gt;$J5,(1-Assumptions!$B$26)^(S$3-$J5),1)*IF($H5&gt;=1,1,MIN(0.97,$H5*Assumptions!$E$12)))</f>
        <v>40.5</v>
      </c>
      <c r="T5" s="23">
        <f>IF(T$3&lt;$I5,0,$G5*Assumptions!$E$11*INDEX(Assumptions!$B$24:$G$24,MIN(6,T$3-$I5+1))*IF(T$3&gt;$J5,(1-Assumptions!$B$26)^(T$3-$J5),1)*IF($H5&gt;=1,1,MIN(0.97,$H5*Assumptions!$E$12)))</f>
        <v>72.9</v>
      </c>
      <c r="U5" s="23">
        <f>IF(U$3&lt;$I5,0,$G5*Assumptions!$E$11*INDEX(Assumptions!$B$24:$G$24,MIN(6,U$3-$I5+1))*IF(U$3&gt;$J5,(1-Assumptions!$B$26)^(U$3-$J5),1)*IF($H5&gt;=1,1,MIN(0.97,$H5*Assumptions!$E$12)))</f>
        <v>105.3</v>
      </c>
      <c r="V5" s="23">
        <f>IF(V$3&lt;$I5,0,$G5*Assumptions!$E$11*INDEX(Assumptions!$B$24:$G$24,MIN(6,V$3-$I5+1))*IF(V$3&gt;$J5,(1-Assumptions!$B$26)^(V$3-$J5),1)*IF($H5&gt;=1,1,MIN(0.97,$H5*Assumptions!$E$12)))</f>
        <v>137.7</v>
      </c>
      <c r="W5" s="23">
        <f>IF(W$3&lt;$I5,0,$G5*Assumptions!$E$11*INDEX(Assumptions!$B$24:$G$24,MIN(6,W$3-$I5+1))*IF(W$3&gt;$J5,(1-Assumptions!$B$26)^(W$3-$J5),1)*IF($H5&gt;=1,1,MIN(0.97,$H5*Assumptions!$E$12)))</f>
        <v>162.0</v>
      </c>
      <c r="X5" s="23">
        <f>IF(X$3&lt;$I5,0,$G5*Assumptions!$E$11*INDEX(Assumptions!$B$24:$G$24,MIN(6,X$3-$I5+1))*IF(X$3&gt;$J5,(1-Assumptions!$B$26)^(X$3-$J5),1)*IF($H5&gt;=1,1,MIN(0.97,$H5*Assumptions!$E$12)))</f>
        <v>162.0</v>
      </c>
      <c r="Y5" s="23">
        <f>IF(Y$3&lt;$I5,0,$G5*Assumptions!$E$11*INDEX(Assumptions!$B$24:$G$24,MIN(6,Y$3-$I5+1))*IF(Y$3&gt;$J5,(1-Assumptions!$B$26)^(Y$3-$J5),1)*IF($H5&gt;=1,1,MIN(0.97,$H5*Assumptions!$E$12)))</f>
        <v>162.0</v>
      </c>
      <c r="Z5" s="23">
        <f>IF(Z$3&lt;$I5,0,$G5*Assumptions!$E$11*INDEX(Assumptions!$B$24:$G$24,MIN(6,Z$3-$I5+1))*IF(Z$3&gt;$J5,(1-Assumptions!$B$26)^(Z$3-$J5),1)*IF($H5&gt;=1,1,MIN(0.97,$H5*Assumptions!$E$12)))</f>
        <v>162.0</v>
      </c>
      <c r="AA5" s="23">
        <f>IF(AA$3&lt;$I5,0,$G5*Assumptions!$E$11*INDEX(Assumptions!$B$24:$G$24,MIN(6,AA$3-$I5+1))*IF(AA$3&gt;$J5,(1-Assumptions!$B$26)^(AA$3-$J5),1)*IF($H5&gt;=1,1,MIN(0.97,$H5*Assumptions!$E$12)))</f>
        <v>162.0</v>
      </c>
      <c r="AB5" s="23">
        <f>IF(AB$3&lt;$I5,0,$G5*Assumptions!$E$11*INDEX(Assumptions!$B$24:$G$24,MIN(6,AB$3-$I5+1))*IF(AB$3&gt;$J5,(1-Assumptions!$B$26)^(AB$3-$J5),1)*IF($H5&gt;=1,1,MIN(0.97,$H5*Assumptions!$E$12)))</f>
        <v>162.0</v>
      </c>
      <c r="AC5" s="23">
        <f>IF(AC$3&lt;$I5,0,$G5*Assumptions!$E$11*INDEX(Assumptions!$B$24:$G$24,MIN(6,AC$3-$I5+1))*IF(AC$3&gt;$J5,(1-Assumptions!$B$26)^(AC$3-$J5),1)*IF($H5&gt;=1,1,MIN(0.97,$H5*Assumptions!$E$12)))</f>
        <v>162.0</v>
      </c>
      <c r="AD5" s="23">
        <f>IF(AD$3&lt;$I5,0,$G5*Assumptions!$E$11*INDEX(Assumptions!$B$24:$G$24,MIN(6,AD$3-$I5+1))*IF(AD$3&gt;$J5,(1-Assumptions!$B$26)^(AD$3-$J5),1)*IF($H5&gt;=1,1,MIN(0.97,$H5*Assumptions!$E$12)))</f>
        <v>162.0</v>
      </c>
      <c r="AE5" s="23">
        <f>IF(AE$3&lt;$I5,0,$G5*Assumptions!$E$11*INDEX(Assumptions!$B$24:$G$24,MIN(6,AE$3-$I5+1))*IF(AE$3&gt;$J5,(1-Assumptions!$B$26)^(AE$3-$J5),1)*IF($H5&gt;=1,1,MIN(0.97,$H5*Assumptions!$E$12)))</f>
        <v>81.0</v>
      </c>
      <c r="AF5" s="23">
        <f>IF(AF$3&lt;$I5,0,$G5*Assumptions!$E$11*INDEX(Assumptions!$B$24:$G$24,MIN(6,AF$3-$I5+1))*IF(AF$3&gt;$J5,(1-Assumptions!$B$26)^(AF$3-$J5),1)*IF($H5&gt;=1,1,MIN(0.97,$H5*Assumptions!$E$12)))</f>
        <v>40.5</v>
      </c>
      <c r="AG5" s="35">
        <f>IF(F5="Owned",1-IF(H5&gt;=1,1,MIN(0.97,H5*Assumptions!$E$12)),1)</f>
        <v>0.892</v>
      </c>
    </row>
    <row r="6">
      <c r="A6" s="39" t="n">
        <v>3</v>
      </c>
      <c r="B6" s="14" t="inlineStr">
        <is>
          <t>Bladder / urothelial cancer</t>
        </is>
      </c>
      <c r="C6" s="14" t="inlineStr">
        <is>
          <t>AU-011, AU-011 in Combination with Medical Laser Adminstrati</t>
        </is>
      </c>
      <c r="D6" s="14" t="inlineStr">
        <is>
          <t>Phase 1</t>
        </is>
      </c>
      <c r="E6" s="14" t="inlineStr">
        <is>
          <t>Oncology / area</t>
        </is>
      </c>
      <c r="F6" s="14" t="inlineStr">
        <is>
          <t>Owned</t>
        </is>
      </c>
      <c r="G6" s="40" t="n">
        <v>1200</v>
      </c>
      <c r="H6" s="27" t="n">
        <v>0.0527</v>
      </c>
      <c r="I6" s="26" t="n">
        <v>2033</v>
      </c>
      <c r="J6" s="39">
        <f>I6+Assumptions!$B$25</f>
        <v>2045.0</v>
      </c>
      <c r="K6" s="53">
        <f>Assumptions!$E$13</f>
        <v>0.4</v>
      </c>
      <c r="L6" s="23">
        <f>K6*SUMPRODUCT(M6:AF6,NPV!$C$15:$V$15)</f>
        <v>55.3774422909388</v>
      </c>
      <c r="M6" s="23">
        <f>IF(M$3&lt;$I6,0,$G6*Assumptions!$E$11*INDEX(Assumptions!$B$24:$G$24,MIN(6,M$3-$I6+1))*IF(M$3&gt;$J6,(1-Assumptions!$B$26)^(M$3-$J6),1)*IF($H6&gt;=1,1,MIN(0.97,$H6*Assumptions!$E$12)))</f>
        <v>0</v>
      </c>
      <c r="N6" s="23">
        <f>IF(N$3&lt;$I6,0,$G6*Assumptions!$E$11*INDEX(Assumptions!$B$24:$G$24,MIN(6,N$3-$I6+1))*IF(N$3&gt;$J6,(1-Assumptions!$B$26)^(N$3-$J6),1)*IF($H6&gt;=1,1,MIN(0.97,$H6*Assumptions!$E$12)))</f>
        <v>0</v>
      </c>
      <c r="O6" s="23">
        <f>IF(O$3&lt;$I6,0,$G6*Assumptions!$E$11*INDEX(Assumptions!$B$24:$G$24,MIN(6,O$3-$I6+1))*IF(O$3&gt;$J6,(1-Assumptions!$B$26)^(O$3-$J6),1)*IF($H6&gt;=1,1,MIN(0.97,$H6*Assumptions!$E$12)))</f>
        <v>0</v>
      </c>
      <c r="P6" s="23">
        <f>IF(P$3&lt;$I6,0,$G6*Assumptions!$E$11*INDEX(Assumptions!$B$24:$G$24,MIN(6,P$3-$I6+1))*IF(P$3&gt;$J6,(1-Assumptions!$B$26)^(P$3-$J6),1)*IF($H6&gt;=1,1,MIN(0.97,$H6*Assumptions!$E$12)))</f>
        <v>0</v>
      </c>
      <c r="Q6" s="23">
        <f>IF(Q$3&lt;$I6,0,$G6*Assumptions!$E$11*INDEX(Assumptions!$B$24:$G$24,MIN(6,Q$3-$I6+1))*IF(Q$3&gt;$J6,(1-Assumptions!$B$26)^(Q$3-$J6),1)*IF($H6&gt;=1,1,MIN(0.97,$H6*Assumptions!$E$12)))</f>
        <v>0</v>
      </c>
      <c r="R6" s="23">
        <f>IF(R$3&lt;$I6,0,$G6*Assumptions!$E$11*INDEX(Assumptions!$B$24:$G$24,MIN(6,R$3-$I6+1))*IF(R$3&gt;$J6,(1-Assumptions!$B$26)^(R$3-$J6),1)*IF($H6&gt;=1,1,MIN(0.97,$H6*Assumptions!$E$12)))</f>
        <v>0</v>
      </c>
      <c r="S6" s="23">
        <f>IF(S$3&lt;$I6,0,$G6*Assumptions!$E$11*INDEX(Assumptions!$B$24:$G$24,MIN(6,S$3-$I6+1))*IF(S$3&gt;$J6,(1-Assumptions!$B$26)^(S$3-$J6),1)*IF($H6&gt;=1,1,MIN(0.97,$H6*Assumptions!$E$12)))</f>
        <v>0</v>
      </c>
      <c r="T6" s="23">
        <f>IF(T$3&lt;$I6,0,$G6*Assumptions!$E$11*INDEX(Assumptions!$B$24:$G$24,MIN(6,T$3-$I6+1))*IF(T$3&gt;$J6,(1-Assumptions!$B$26)^(T$3-$J6),1)*IF($H6&gt;=1,1,MIN(0.97,$H6*Assumptions!$E$12)))</f>
        <v>6.324</v>
      </c>
      <c r="U6" s="23">
        <f>IF(U$3&lt;$I6,0,$G6*Assumptions!$E$11*INDEX(Assumptions!$B$24:$G$24,MIN(6,U$3-$I6+1))*IF(U$3&gt;$J6,(1-Assumptions!$B$26)^(U$3-$J6),1)*IF($H6&gt;=1,1,MIN(0.97,$H6*Assumptions!$E$12)))</f>
        <v>15.809999999999999</v>
      </c>
      <c r="V6" s="23">
        <f>IF(V$3&lt;$I6,0,$G6*Assumptions!$E$11*INDEX(Assumptions!$B$24:$G$24,MIN(6,V$3-$I6+1))*IF(V$3&gt;$J6,(1-Assumptions!$B$26)^(V$3-$J6),1)*IF($H6&gt;=1,1,MIN(0.97,$H6*Assumptions!$E$12)))</f>
        <v>28.458</v>
      </c>
      <c r="W6" s="23">
        <f>IF(W$3&lt;$I6,0,$G6*Assumptions!$E$11*INDEX(Assumptions!$B$24:$G$24,MIN(6,W$3-$I6+1))*IF(W$3&gt;$J6,(1-Assumptions!$B$26)^(W$3-$J6),1)*IF($H6&gt;=1,1,MIN(0.97,$H6*Assumptions!$E$12)))</f>
        <v>41.105999999999995</v>
      </c>
      <c r="X6" s="23">
        <f>IF(X$3&lt;$I6,0,$G6*Assumptions!$E$11*INDEX(Assumptions!$B$24:$G$24,MIN(6,X$3-$I6+1))*IF(X$3&gt;$J6,(1-Assumptions!$B$26)^(X$3-$J6),1)*IF($H6&gt;=1,1,MIN(0.97,$H6*Assumptions!$E$12)))</f>
        <v>53.754</v>
      </c>
      <c r="Y6" s="23">
        <f>IF(Y$3&lt;$I6,0,$G6*Assumptions!$E$11*INDEX(Assumptions!$B$24:$G$24,MIN(6,Y$3-$I6+1))*IF(Y$3&gt;$J6,(1-Assumptions!$B$26)^(Y$3-$J6),1)*IF($H6&gt;=1,1,MIN(0.97,$H6*Assumptions!$E$12)))</f>
        <v>63.239999999999995</v>
      </c>
      <c r="Z6" s="23">
        <f>IF(Z$3&lt;$I6,0,$G6*Assumptions!$E$11*INDEX(Assumptions!$B$24:$G$24,MIN(6,Z$3-$I6+1))*IF(Z$3&gt;$J6,(1-Assumptions!$B$26)^(Z$3-$J6),1)*IF($H6&gt;=1,1,MIN(0.97,$H6*Assumptions!$E$12)))</f>
        <v>63.239999999999995</v>
      </c>
      <c r="AA6" s="23">
        <f>IF(AA$3&lt;$I6,0,$G6*Assumptions!$E$11*INDEX(Assumptions!$B$24:$G$24,MIN(6,AA$3-$I6+1))*IF(AA$3&gt;$J6,(1-Assumptions!$B$26)^(AA$3-$J6),1)*IF($H6&gt;=1,1,MIN(0.97,$H6*Assumptions!$E$12)))</f>
        <v>63.239999999999995</v>
      </c>
      <c r="AB6" s="23">
        <f>IF(AB$3&lt;$I6,0,$G6*Assumptions!$E$11*INDEX(Assumptions!$B$24:$G$24,MIN(6,AB$3-$I6+1))*IF(AB$3&gt;$J6,(1-Assumptions!$B$26)^(AB$3-$J6),1)*IF($H6&gt;=1,1,MIN(0.97,$H6*Assumptions!$E$12)))</f>
        <v>63.239999999999995</v>
      </c>
      <c r="AC6" s="23">
        <f>IF(AC$3&lt;$I6,0,$G6*Assumptions!$E$11*INDEX(Assumptions!$B$24:$G$24,MIN(6,AC$3-$I6+1))*IF(AC$3&gt;$J6,(1-Assumptions!$B$26)^(AC$3-$J6),1)*IF($H6&gt;=1,1,MIN(0.97,$H6*Assumptions!$E$12)))</f>
        <v>63.239999999999995</v>
      </c>
      <c r="AD6" s="23">
        <f>IF(AD$3&lt;$I6,0,$G6*Assumptions!$E$11*INDEX(Assumptions!$B$24:$G$24,MIN(6,AD$3-$I6+1))*IF(AD$3&gt;$J6,(1-Assumptions!$B$26)^(AD$3-$J6),1)*IF($H6&gt;=1,1,MIN(0.97,$H6*Assumptions!$E$12)))</f>
        <v>63.239999999999995</v>
      </c>
      <c r="AE6" s="23">
        <f>IF(AE$3&lt;$I6,0,$G6*Assumptions!$E$11*INDEX(Assumptions!$B$24:$G$24,MIN(6,AE$3-$I6+1))*IF(AE$3&gt;$J6,(1-Assumptions!$B$26)^(AE$3-$J6),1)*IF($H6&gt;=1,1,MIN(0.97,$H6*Assumptions!$E$12)))</f>
        <v>63.239999999999995</v>
      </c>
      <c r="AF6" s="23">
        <f>IF(AF$3&lt;$I6,0,$G6*Assumptions!$E$11*INDEX(Assumptions!$B$24:$G$24,MIN(6,AF$3-$I6+1))*IF(AF$3&gt;$J6,(1-Assumptions!$B$26)^(AF$3-$J6),1)*IF($H6&gt;=1,1,MIN(0.97,$H6*Assumptions!$E$12)))</f>
        <v>63.239999999999995</v>
      </c>
      <c r="AG6" s="35">
        <f>IF(F6="Owned",1-IF(H6&gt;=1,1,MIN(0.97,H6*Assumptions!$E$12)),1)</f>
        <v>0.9473</v>
      </c>
    </row>
    <row r="7">
      <c r="B7" s="24" t="inlineStr">
        <is>
          <t>Risked revenue</t>
        </is>
      </c>
      <c r="L7" s="54">
        <f>SUM(L4:L6)</f>
        <v>1183.5731089227666</v>
      </c>
      <c r="M7" s="54">
        <f>SUM(M4:M6)</f>
        <v>0.0</v>
      </c>
      <c r="N7" s="54">
        <f>SUM(N4:N6)</f>
        <v>0.0</v>
      </c>
      <c r="O7" s="54">
        <f>SUM(O4:O6)</f>
        <v>0.0</v>
      </c>
      <c r="P7" s="54">
        <f>SUM(P4:P6)</f>
        <v>65.82000000000001</v>
      </c>
      <c r="Q7" s="54">
        <f>SUM(Q4:Q6)</f>
        <v>164.55</v>
      </c>
      <c r="R7" s="54">
        <f>SUM(R4:R6)</f>
        <v>312.39</v>
      </c>
      <c r="S7" s="54">
        <f>SUM(S4:S6)</f>
        <v>468.33000000000004</v>
      </c>
      <c r="T7" s="54">
        <f>SUM(T4:T6)</f>
        <v>638.694</v>
      </c>
      <c r="U7" s="54">
        <f>SUM(U4:U6)</f>
        <v>779.31</v>
      </c>
      <c r="V7" s="54">
        <f>SUM(V4:V6)</f>
        <v>824.3580000000001</v>
      </c>
      <c r="W7" s="54">
        <f>SUM(W4:W6)</f>
        <v>861.306</v>
      </c>
      <c r="X7" s="54">
        <f>SUM(X4:X6)</f>
        <v>873.9540000000001</v>
      </c>
      <c r="Y7" s="54">
        <f>SUM(Y4:Y6)</f>
        <v>883.44</v>
      </c>
      <c r="Z7" s="54">
        <f>SUM(Z4:Z6)</f>
        <v>883.44</v>
      </c>
      <c r="AA7" s="54">
        <f>SUM(AA4:AA6)</f>
        <v>883.44</v>
      </c>
      <c r="AB7" s="54">
        <f>SUM(AB4:AB6)</f>
        <v>883.44</v>
      </c>
      <c r="AC7" s="54">
        <f>SUM(AC4:AC6)</f>
        <v>554.34</v>
      </c>
      <c r="AD7" s="54">
        <f>SUM(AD4:AD6)</f>
        <v>389.79</v>
      </c>
      <c r="AE7" s="54">
        <f>SUM(AE4:AE6)</f>
        <v>226.515</v>
      </c>
      <c r="AF7" s="54">
        <f>SUM(AF4:AF6)</f>
        <v>144.8775</v>
      </c>
    </row>
    <row r="8">
      <c r="B8" s="24" t="inlineStr">
        <is>
          <t>Risked contribution (revenue x share)</t>
        </is>
      </c>
      <c r="M8" s="55">
        <f>SUMPRODUCT(M4:M6,$K$4:$K$6)</f>
        <v>0.0</v>
      </c>
      <c r="N8" s="55">
        <f>SUMPRODUCT(N4:N6,$K$4:$K$6)</f>
        <v>0.0</v>
      </c>
      <c r="O8" s="55">
        <f>SUMPRODUCT(O4:O6,$K$4:$K$6)</f>
        <v>0.0</v>
      </c>
      <c r="P8" s="55">
        <f>SUMPRODUCT(P4:P6,$K$4:$K$6)</f>
        <v>26.328000000000003</v>
      </c>
      <c r="Q8" s="55">
        <f>SUMPRODUCT(Q4:Q6,$K$4:$K$6)</f>
        <v>65.82000000000001</v>
      </c>
      <c r="R8" s="55">
        <f>SUMPRODUCT(R4:R6,$K$4:$K$6)</f>
        <v>124.956</v>
      </c>
      <c r="S8" s="55">
        <f>SUMPRODUCT(S4:S6,$K$4:$K$6)</f>
        <v>187.33200000000002</v>
      </c>
      <c r="T8" s="55">
        <f>SUMPRODUCT(T4:T6,$K$4:$K$6)</f>
        <v>255.4776</v>
      </c>
      <c r="U8" s="55">
        <f>SUMPRODUCT(U4:U6,$K$4:$K$6)</f>
        <v>311.72400000000005</v>
      </c>
      <c r="V8" s="55">
        <f>SUMPRODUCT(V4:V6,$K$4:$K$6)</f>
        <v>329.7432</v>
      </c>
      <c r="W8" s="55">
        <f>SUMPRODUCT(W4:W6,$K$4:$K$6)</f>
        <v>344.52240000000006</v>
      </c>
      <c r="X8" s="55">
        <f>SUMPRODUCT(X4:X6,$K$4:$K$6)</f>
        <v>349.58160000000004</v>
      </c>
      <c r="Y8" s="55">
        <f>SUMPRODUCT(Y4:Y6,$K$4:$K$6)</f>
        <v>353.37600000000003</v>
      </c>
      <c r="Z8" s="55">
        <f>SUMPRODUCT(Z4:Z6,$K$4:$K$6)</f>
        <v>353.37600000000003</v>
      </c>
      <c r="AA8" s="55">
        <f>SUMPRODUCT(AA4:AA6,$K$4:$K$6)</f>
        <v>353.37600000000003</v>
      </c>
      <c r="AB8" s="55">
        <f>SUMPRODUCT(AB4:AB6,$K$4:$K$6)</f>
        <v>353.37600000000003</v>
      </c>
      <c r="AC8" s="55">
        <f>SUMPRODUCT(AC4:AC6,$K$4:$K$6)</f>
        <v>221.736</v>
      </c>
      <c r="AD8" s="55">
        <f>SUMPRODUCT(AD4:AD6,$K$4:$K$6)</f>
        <v>155.916</v>
      </c>
      <c r="AE8" s="55">
        <f>SUMPRODUCT(AE4:AE6,$K$4:$K$6)</f>
        <v>90.606</v>
      </c>
      <c r="AF8" s="55">
        <f>SUMPRODUCT(AF4:AF6,$K$4:$K$6)</f>
        <v>57.951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Aura Biosciences,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Pipeline!M7</f>
        <v>0.0</v>
      </c>
      <c r="D4" s="57">
        <f>Pipeline!N7</f>
        <v>0.0</v>
      </c>
      <c r="E4" s="57">
        <f>Pipeline!O7</f>
        <v>0.0</v>
      </c>
      <c r="F4" s="57">
        <f>Pipeline!P7</f>
        <v>65.82000000000001</v>
      </c>
      <c r="G4" s="57">
        <f>Pipeline!Q7</f>
        <v>164.55</v>
      </c>
      <c r="H4" s="57">
        <f>Pipeline!R7</f>
        <v>312.39</v>
      </c>
      <c r="I4" s="57">
        <f>Pipeline!S7</f>
        <v>468.33000000000004</v>
      </c>
      <c r="J4" s="57">
        <f>Pipeline!T7</f>
        <v>638.694</v>
      </c>
      <c r="K4" s="57">
        <f>Pipeline!U7</f>
        <v>779.31</v>
      </c>
      <c r="L4" s="57">
        <f>Pipeline!V7</f>
        <v>824.3580000000001</v>
      </c>
      <c r="M4" s="57">
        <f>Pipeline!W7</f>
        <v>861.306</v>
      </c>
      <c r="N4" s="57">
        <f>Pipeline!X7</f>
        <v>873.9540000000001</v>
      </c>
      <c r="O4" s="57">
        <f>Pipeline!Y7</f>
        <v>883.44</v>
      </c>
      <c r="P4" s="57">
        <f>Pipeline!Z7</f>
        <v>883.44</v>
      </c>
      <c r="Q4" s="57">
        <f>Pipeline!AA7</f>
        <v>883.44</v>
      </c>
      <c r="R4" s="57">
        <f>Pipeline!AB7</f>
        <v>883.44</v>
      </c>
      <c r="S4" s="57">
        <f>Pipeline!AC7</f>
        <v>554.34</v>
      </c>
      <c r="T4" s="57">
        <f>Pipeline!AD7</f>
        <v>389.79</v>
      </c>
      <c r="U4" s="57">
        <f>Pipeline!AE7</f>
        <v>226.515</v>
      </c>
      <c r="V4" s="57">
        <f>Pipeline!AF7</f>
        <v>144.8775</v>
      </c>
    </row>
    <row r="5">
      <c r="A5" s="14" t="inlineStr">
        <is>
          <t>Risked contribution</t>
        </is>
      </c>
      <c r="C5" s="57">
        <f>Pipeline!M8</f>
        <v>0.0</v>
      </c>
      <c r="D5" s="57">
        <f>Pipeline!N8</f>
        <v>0.0</v>
      </c>
      <c r="E5" s="57">
        <f>Pipeline!O8</f>
        <v>0.0</v>
      </c>
      <c r="F5" s="57">
        <f>Pipeline!P8</f>
        <v>26.328000000000003</v>
      </c>
      <c r="G5" s="57">
        <f>Pipeline!Q8</f>
        <v>65.82000000000001</v>
      </c>
      <c r="H5" s="57">
        <f>Pipeline!R8</f>
        <v>124.956</v>
      </c>
      <c r="I5" s="57">
        <f>Pipeline!S8</f>
        <v>187.33200000000002</v>
      </c>
      <c r="J5" s="57">
        <f>Pipeline!T8</f>
        <v>255.4776</v>
      </c>
      <c r="K5" s="57">
        <f>Pipeline!U8</f>
        <v>311.72400000000005</v>
      </c>
      <c r="L5" s="57">
        <f>Pipeline!V8</f>
        <v>329.7432</v>
      </c>
      <c r="M5" s="57">
        <f>Pipeline!W8</f>
        <v>344.52240000000006</v>
      </c>
      <c r="N5" s="57">
        <f>Pipeline!X8</f>
        <v>349.58160000000004</v>
      </c>
      <c r="O5" s="57">
        <f>Pipeline!Y8</f>
        <v>353.37600000000003</v>
      </c>
      <c r="P5" s="57">
        <f>Pipeline!Z8</f>
        <v>353.37600000000003</v>
      </c>
      <c r="Q5" s="57">
        <f>Pipeline!AA8</f>
        <v>353.37600000000003</v>
      </c>
      <c r="R5" s="57">
        <f>Pipeline!AB8</f>
        <v>353.37600000000003</v>
      </c>
      <c r="S5" s="57">
        <f>Pipeline!AC8</f>
        <v>221.736</v>
      </c>
      <c r="T5" s="57">
        <f>Pipeline!AD8</f>
        <v>155.916</v>
      </c>
      <c r="U5" s="57">
        <f>Pipeline!AE8</f>
        <v>90.606</v>
      </c>
      <c r="V5" s="57">
        <f>Pipeline!AF8</f>
        <v>57.951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-138.078</v>
      </c>
      <c r="D6" s="23">
        <f>-IF(D3-2026&lt;Assumptions!$B$19,Assumptions!$B$18,Assumptions!$B$18*Assumptions!$B$20*Assumptions!$B$16)</f>
        <v>-138.078</v>
      </c>
      <c r="E6" s="23">
        <f>-IF(E3-2026&lt;Assumptions!$B$19,Assumptions!$B$18,Assumptions!$B$18*Assumptions!$B$20*Assumptions!$B$16)</f>
        <v>-138.078</v>
      </c>
      <c r="F6" s="23">
        <f>-IF(F3-2026&lt;Assumptions!$B$19,Assumptions!$B$18,Assumptions!$B$18*Assumptions!$B$20*Assumptions!$B$16)</f>
        <v>-21.780039065621473</v>
      </c>
      <c r="G6" s="23">
        <f>-IF(G3-2026&lt;Assumptions!$B$19,Assumptions!$B$18,Assumptions!$B$18*Assumptions!$B$20*Assumptions!$B$16)</f>
        <v>-21.780039065621473</v>
      </c>
      <c r="H6" s="23">
        <f>-IF(H3-2026&lt;Assumptions!$B$19,Assumptions!$B$18,Assumptions!$B$18*Assumptions!$B$20*Assumptions!$B$16)</f>
        <v>-21.780039065621473</v>
      </c>
      <c r="I6" s="23">
        <f>-IF(I3-2026&lt;Assumptions!$B$19,Assumptions!$B$18,Assumptions!$B$18*Assumptions!$B$20*Assumptions!$B$16)</f>
        <v>-21.780039065621473</v>
      </c>
      <c r="J6" s="23">
        <f>-IF(J3-2026&lt;Assumptions!$B$19,Assumptions!$B$18,Assumptions!$B$18*Assumptions!$B$20*Assumptions!$B$16)</f>
        <v>-21.780039065621473</v>
      </c>
      <c r="K6" s="23">
        <f>-IF(K3-2026&lt;Assumptions!$B$19,Assumptions!$B$18,Assumptions!$B$18*Assumptions!$B$20*Assumptions!$B$16)</f>
        <v>-21.780039065621473</v>
      </c>
      <c r="L6" s="23">
        <f>-IF(L3-2026&lt;Assumptions!$B$19,Assumptions!$B$18,Assumptions!$B$18*Assumptions!$B$20*Assumptions!$B$16)</f>
        <v>-21.780039065621473</v>
      </c>
      <c r="M6" s="23">
        <f>-IF(M3-2026&lt;Assumptions!$B$19,Assumptions!$B$18,Assumptions!$B$18*Assumptions!$B$20*Assumptions!$B$16)</f>
        <v>-21.780039065621473</v>
      </c>
      <c r="N6" s="23">
        <f>-IF(N3-2026&lt;Assumptions!$B$19,Assumptions!$B$18,Assumptions!$B$18*Assumptions!$B$20*Assumptions!$B$16)</f>
        <v>-21.780039065621473</v>
      </c>
      <c r="O6" s="23">
        <f>-IF(O3-2026&lt;Assumptions!$B$19,Assumptions!$B$18,Assumptions!$B$18*Assumptions!$B$20*Assumptions!$B$16)</f>
        <v>-21.780039065621473</v>
      </c>
      <c r="P6" s="23">
        <f>-IF(P3-2026&lt;Assumptions!$B$19,Assumptions!$B$18,Assumptions!$B$18*Assumptions!$B$20*Assumptions!$B$16)</f>
        <v>-21.780039065621473</v>
      </c>
      <c r="Q6" s="23">
        <f>-IF(Q3-2026&lt;Assumptions!$B$19,Assumptions!$B$18,Assumptions!$B$18*Assumptions!$B$20*Assumptions!$B$16)</f>
        <v>-21.780039065621473</v>
      </c>
      <c r="R6" s="23">
        <f>-IF(R3-2026&lt;Assumptions!$B$19,Assumptions!$B$18,Assumptions!$B$18*Assumptions!$B$20*Assumptions!$B$16)</f>
        <v>-21.780039065621473</v>
      </c>
      <c r="S6" s="23">
        <f>-IF(S3-2026&lt;Assumptions!$B$19,Assumptions!$B$18,Assumptions!$B$18*Assumptions!$B$20*Assumptions!$B$16)</f>
        <v>-21.780039065621473</v>
      </c>
      <c r="T6" s="23">
        <f>-IF(T3-2026&lt;Assumptions!$B$19,Assumptions!$B$18,Assumptions!$B$18*Assumptions!$B$20*Assumptions!$B$16)</f>
        <v>-21.780039065621473</v>
      </c>
      <c r="U6" s="23">
        <f>-IF(U3-2026&lt;Assumptions!$B$19,Assumptions!$B$18,Assumptions!$B$18*Assumptions!$B$20*Assumptions!$B$16)</f>
        <v>-21.780039065621473</v>
      </c>
      <c r="V6" s="23">
        <f>-IF(V3-2026&lt;Assumptions!$B$19,Assumptions!$B$18,Assumptions!$B$18*Assumptions!$B$20*Assumptions!$B$16)</f>
        <v>-21.780039065621473</v>
      </c>
    </row>
    <row r="7">
      <c r="A7" s="14" t="inlineStr">
        <is>
          <t>Pre-tax cash flow</t>
        </is>
      </c>
      <c r="C7" s="23">
        <f>C5+C6</f>
        <v>-138.078</v>
      </c>
      <c r="D7" s="23">
        <f>D5+D6</f>
        <v>-138.078</v>
      </c>
      <c r="E7" s="23">
        <f>E5+E6</f>
        <v>-138.078</v>
      </c>
      <c r="F7" s="23">
        <f>F5+F6</f>
        <v>4.54796093437853</v>
      </c>
      <c r="G7" s="23">
        <f>G5+G6</f>
        <v>44.039960934378534</v>
      </c>
      <c r="H7" s="23">
        <f>H5+H6</f>
        <v>103.17596093437854</v>
      </c>
      <c r="I7" s="23">
        <f>I5+I6</f>
        <v>165.55196093437854</v>
      </c>
      <c r="J7" s="23">
        <f>J5+J6</f>
        <v>233.69756093437852</v>
      </c>
      <c r="K7" s="23">
        <f>K5+K6</f>
        <v>289.9439609343786</v>
      </c>
      <c r="L7" s="23">
        <f>L5+L6</f>
        <v>307.96316093437855</v>
      </c>
      <c r="M7" s="23">
        <f>M5+M6</f>
        <v>322.7423609343786</v>
      </c>
      <c r="N7" s="23">
        <f>N5+N6</f>
        <v>327.8015609343786</v>
      </c>
      <c r="O7" s="23">
        <f>O5+O6</f>
        <v>331.5959609343786</v>
      </c>
      <c r="P7" s="23">
        <f>P5+P6</f>
        <v>331.5959609343786</v>
      </c>
      <c r="Q7" s="23">
        <f>Q5+Q6</f>
        <v>331.5959609343786</v>
      </c>
      <c r="R7" s="23">
        <f>R5+R6</f>
        <v>331.5959609343786</v>
      </c>
      <c r="S7" s="23">
        <f>S5+S6</f>
        <v>199.9559609343785</v>
      </c>
      <c r="T7" s="23">
        <f>T5+T6</f>
        <v>134.13596093437852</v>
      </c>
      <c r="U7" s="23">
        <f>U5+U6</f>
        <v>68.82596093437851</v>
      </c>
      <c r="V7" s="23">
        <f>V5+V6</f>
        <v>36.17096093437853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4.54796093437853</v>
      </c>
      <c r="G8" s="23">
        <f>MIN(F17,MAX(0,G7))</f>
        <v>44.039960934378534</v>
      </c>
      <c r="H8" s="23">
        <f>MIN(G17,MAX(0,H7))</f>
        <v>103.17596093437854</v>
      </c>
      <c r="I8" s="23">
        <f>MIN(H17,MAX(0,I7))</f>
        <v>165.55196093437854</v>
      </c>
      <c r="J8" s="23">
        <f>MIN(I17,MAX(0,J7))</f>
        <v>233.69756093437852</v>
      </c>
      <c r="K8" s="23">
        <f>MIN(J17,MAX(0,K7))</f>
        <v>248.92059532810728</v>
      </c>
      <c r="L8" s="23">
        <f>MIN(K17,MAX(0,L7))</f>
        <v>0.0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41.02336560627131</v>
      </c>
      <c r="L9" s="23">
        <f>MAX(0,L7)-L8</f>
        <v>307.96316093437855</v>
      </c>
      <c r="M9" s="23">
        <f>MAX(0,M7)-M8</f>
        <v>322.7423609343786</v>
      </c>
      <c r="N9" s="23">
        <f>MAX(0,N7)-N8</f>
        <v>327.8015609343786</v>
      </c>
      <c r="O9" s="23">
        <f>MAX(0,O7)-O8</f>
        <v>331.5959609343786</v>
      </c>
      <c r="P9" s="23">
        <f>MAX(0,P7)-P8</f>
        <v>331.5959609343786</v>
      </c>
      <c r="Q9" s="23">
        <f>MAX(0,Q7)-Q8</f>
        <v>331.5959609343786</v>
      </c>
      <c r="R9" s="23">
        <f>MAX(0,R7)-R8</f>
        <v>331.5959609343786</v>
      </c>
      <c r="S9" s="23">
        <f>MAX(0,S7)-S8</f>
        <v>199.9559609343785</v>
      </c>
      <c r="T9" s="23">
        <f>MAX(0,T7)-T8</f>
        <v>134.13596093437852</v>
      </c>
      <c r="U9" s="23">
        <f>MAX(0,U7)-U8</f>
        <v>68.82596093437851</v>
      </c>
      <c r="V9" s="23">
        <f>MAX(0,V7)-V8</f>
        <v>36.17096093437853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8.614906777316975</v>
      </c>
      <c r="L10" s="23">
        <f>L9*Assumptions!$E$15</f>
        <v>64.6722637962195</v>
      </c>
      <c r="M10" s="23">
        <f>M9*Assumptions!$E$15</f>
        <v>67.7758957962195</v>
      </c>
      <c r="N10" s="23">
        <f>N9*Assumptions!$E$15</f>
        <v>68.8383277962195</v>
      </c>
      <c r="O10" s="23">
        <f>O9*Assumptions!$E$15</f>
        <v>69.6351517962195</v>
      </c>
      <c r="P10" s="23">
        <f>P9*Assumptions!$E$15</f>
        <v>69.6351517962195</v>
      </c>
      <c r="Q10" s="23">
        <f>Q9*Assumptions!$E$15</f>
        <v>69.6351517962195</v>
      </c>
      <c r="R10" s="23">
        <f>R9*Assumptions!$E$15</f>
        <v>69.6351517962195</v>
      </c>
      <c r="S10" s="23">
        <f>S9*Assumptions!$E$15</f>
        <v>41.990751796219485</v>
      </c>
      <c r="T10" s="23">
        <f>T9*Assumptions!$E$15</f>
        <v>28.168551796219486</v>
      </c>
      <c r="U10" s="23">
        <f>U9*Assumptions!$E$15</f>
        <v>14.453451796219488</v>
      </c>
      <c r="V10" s="23">
        <f>V9*Assumptions!$E$15</f>
        <v>7.595901796219491</v>
      </c>
    </row>
    <row r="11">
      <c r="A11" s="24" t="inlineStr">
        <is>
          <t>Free cash flow</t>
        </is>
      </c>
      <c r="C11" s="55">
        <f>C7-C10</f>
        <v>-138.078</v>
      </c>
      <c r="D11" s="55">
        <f>D7-D10</f>
        <v>-138.078</v>
      </c>
      <c r="E11" s="55">
        <f>E7-E10</f>
        <v>-138.078</v>
      </c>
      <c r="F11" s="55">
        <f>F7-F10</f>
        <v>4.54796093437853</v>
      </c>
      <c r="G11" s="55">
        <f>G7-G10</f>
        <v>44.039960934378534</v>
      </c>
      <c r="H11" s="55">
        <f>H7-H10</f>
        <v>103.17596093437854</v>
      </c>
      <c r="I11" s="55">
        <f>I7-I10</f>
        <v>165.55196093437854</v>
      </c>
      <c r="J11" s="55">
        <f>J7-J10</f>
        <v>233.69756093437852</v>
      </c>
      <c r="K11" s="55">
        <f>K7-K10</f>
        <v>281.3290541570616</v>
      </c>
      <c r="L11" s="55">
        <f>L7-L10</f>
        <v>243.29089713815904</v>
      </c>
      <c r="M11" s="55">
        <f>M7-M10</f>
        <v>254.9664651381591</v>
      </c>
      <c r="N11" s="55">
        <f>N7-N10</f>
        <v>258.96323313815907</v>
      </c>
      <c r="O11" s="55">
        <f>O7-O10</f>
        <v>261.9608091381591</v>
      </c>
      <c r="P11" s="55">
        <f>P7-P10</f>
        <v>261.9608091381591</v>
      </c>
      <c r="Q11" s="55">
        <f>Q7-Q10</f>
        <v>261.9608091381591</v>
      </c>
      <c r="R11" s="55">
        <f>R7-R10</f>
        <v>261.9608091381591</v>
      </c>
      <c r="S11" s="55">
        <f>S7-S10</f>
        <v>157.96520913815903</v>
      </c>
      <c r="T11" s="55">
        <f>T7-T10</f>
        <v>105.96740913815903</v>
      </c>
      <c r="U11" s="55">
        <f>U7-U10</f>
        <v>54.372509138159025</v>
      </c>
      <c r="V11" s="55">
        <f>V7-V10</f>
        <v>28.575059138159038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-67.6450127032464</v>
      </c>
      <c r="D16" s="55">
        <f>D11*D15</f>
        <v>-123.2266582949751</v>
      </c>
      <c r="E16" s="55">
        <f>E11*E15</f>
        <v>-110.02380204908488</v>
      </c>
      <c r="F16" s="55">
        <f>F11*F15</f>
        <v>3.2356449768753537</v>
      </c>
      <c r="G16" s="55">
        <f>G11*G15</f>
        <v>27.975189720650665</v>
      </c>
      <c r="H16" s="55">
        <f>H11*H15</f>
        <v>58.51761471105619</v>
      </c>
      <c r="I16" s="55">
        <f>I11*I15</f>
        <v>83.83481288460582</v>
      </c>
      <c r="J16" s="55">
        <f>J11*J15</f>
        <v>105.66380047444667</v>
      </c>
      <c r="K16" s="55">
        <f>K11*K15</f>
        <v>113.57130362079845</v>
      </c>
      <c r="L16" s="55">
        <f>L11*L15</f>
        <v>87.69238097182487</v>
      </c>
      <c r="M16" s="55">
        <f>M11*M15</f>
        <v>82.05424283579674</v>
      </c>
      <c r="N16" s="55">
        <f>N11*N15</f>
        <v>74.41115836668986</v>
      </c>
      <c r="O16" s="55">
        <f>O11*O15</f>
        <v>67.20757993611655</v>
      </c>
      <c r="P16" s="55">
        <f>P11*P15</f>
        <v>60.00676780010406</v>
      </c>
      <c r="Q16" s="55">
        <f>Q11*Q15</f>
        <v>53.577471250092906</v>
      </c>
      <c r="R16" s="55">
        <f>R11*R15</f>
        <v>47.837027901868666</v>
      </c>
      <c r="S16" s="55">
        <f>S11*S15</f>
        <v>25.755577379819805</v>
      </c>
      <c r="T16" s="55">
        <f>T11*T15</f>
        <v>15.42638396616944</v>
      </c>
      <c r="U16" s="55">
        <f>U11*U15</f>
        <v>7.0672942375723915</v>
      </c>
      <c r="V16" s="55">
        <f>V11*V15</f>
        <v>3.316216785743701</v>
      </c>
    </row>
    <row r="17">
      <c r="A17" s="14" t="inlineStr">
        <is>
          <t>Tax-loss carryforward, end of year</t>
        </is>
      </c>
      <c r="C17" s="23">
        <f>Assumptions!$B$21-C8+MAX(0,-C7)</f>
        <v>523.778</v>
      </c>
      <c r="D17" s="23">
        <f>C17-D8+MAX(0,-D7)</f>
        <v>661.856</v>
      </c>
      <c r="E17" s="23">
        <f>D17-E8+MAX(0,-E7)</f>
        <v>799.934</v>
      </c>
      <c r="F17" s="23">
        <f>E17-F8+MAX(0,-F7)</f>
        <v>795.3860390656214</v>
      </c>
      <c r="G17" s="23">
        <f>F17-G8+MAX(0,-G7)</f>
        <v>751.3460781312428</v>
      </c>
      <c r="H17" s="23">
        <f>G17-H8+MAX(0,-H7)</f>
        <v>648.1701171968643</v>
      </c>
      <c r="I17" s="23">
        <f>H17-I8+MAX(0,-I7)</f>
        <v>482.6181562624858</v>
      </c>
      <c r="J17" s="23">
        <f>I17-J8+MAX(0,-J7)</f>
        <v>248.92059532810728</v>
      </c>
      <c r="K17" s="23">
        <f>J17-K8+MAX(0,-K7)</f>
        <v>0.0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1183.5731089227663</v>
      </c>
    </row>
    <row r="20">
      <c r="A20" s="14" t="inlineStr">
        <is>
          <t>PV of corporate burn</t>
        </is>
      </c>
      <c r="B20" s="23">
        <f>SUMPRODUCT(C6:V6,C15:V15)</f>
        <v>-424.4555782951875</v>
      </c>
    </row>
    <row r="21">
      <c r="A21" s="14" t="inlineStr">
        <is>
          <t>PV of taxes</t>
        </is>
      </c>
      <c r="B21" s="23">
        <f>-SUMPRODUCT(C10:V10,C15:V15)</f>
        <v>-142.86253585465312</v>
      </c>
    </row>
    <row r="22">
      <c r="A22" s="24" t="inlineStr">
        <is>
          <t>Pipeline rNPV (operations)</t>
        </is>
      </c>
      <c r="B22" s="54">
        <f>SUM(C16:V16)</f>
        <v>616.2549947729257</v>
      </c>
    </row>
    <row r="23">
      <c r="A23" s="14" t="inlineStr">
        <is>
          <t>Cash &amp; investments</t>
        </is>
      </c>
      <c r="B23" s="57">
        <f>Main!C7</f>
        <v>67.836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684.0909947729257</v>
      </c>
    </row>
    <row r="26">
      <c r="A26" s="14" t="inlineStr">
        <is>
          <t>Shares (mm)</t>
        </is>
      </c>
      <c r="B26" s="57">
        <f>Main!C4</f>
        <v>103.704809</v>
      </c>
    </row>
    <row r="27">
      <c r="A27" s="24" t="inlineStr">
        <is>
          <t>rNPV / share</t>
        </is>
      </c>
      <c r="B27" s="60">
        <f>B25/B26</f>
        <v>6.5965214281714335</v>
      </c>
    </row>
    <row r="28">
      <c r="A28" s="14" t="inlineStr">
        <is>
          <t>Price</t>
        </is>
      </c>
      <c r="B28" s="61">
        <f>Main!C3</f>
        <v>6.56</v>
      </c>
    </row>
    <row r="29">
      <c r="A29" s="14" t="inlineStr">
        <is>
          <t>Upside</t>
        </is>
      </c>
      <c r="B29" s="62">
        <f>B27/B28-1</f>
        <v>0.0055672908797916865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2026-10-21T06:24:43Z</dcterms:modified>
  <cp:lastModifiedBy>Wang, Eric</cp:lastModifiedBy>
</cp:coreProperties>
</file>