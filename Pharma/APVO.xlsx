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Aptevo Therapeutics Inc</t>
        </is>
      </c>
      <c r="C2" s="10" t="n"/>
    </row>
    <row r="3">
      <c r="B3" t="inlineStr">
        <is>
          <t>Price</t>
        </is>
      </c>
      <c r="C3" s="11">
        <f>INDEX([1]Pharma!$F$1:$F$1000,MATCH("APVO",[1]Pharma!$B$1:$B$1000,0))</f>
        <v>1.615</v>
      </c>
      <c r="F3" s="1" t="n"/>
    </row>
    <row r="4">
      <c r="B4" t="inlineStr">
        <is>
          <t>Shares</t>
        </is>
      </c>
      <c r="C4" s="21" t="n">
        <v>1.80197</v>
      </c>
      <c r="F4" s="1" t="n"/>
    </row>
    <row r="5">
      <c r="B5" t="inlineStr">
        <is>
          <t>Market Cap.</t>
        </is>
      </c>
      <c r="C5" s="13">
        <f>C3*C4</f>
        <v>2.91018155</v>
      </c>
      <c r="F5" s="1" t="n"/>
    </row>
    <row r="6"/>
    <row r="7">
      <c r="B7" t="inlineStr">
        <is>
          <t>Cash</t>
        </is>
      </c>
      <c r="C7" s="21" t="n">
        <v>9.797000000000001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-6.886818450000001</v>
      </c>
    </row>
    <row r="10"/>
    <row r="11">
      <c r="B11" s="14" t="inlineStr">
        <is>
          <t>rNPV / Share</t>
        </is>
      </c>
      <c r="C11" s="11">
        <f>NPV!B27</f>
        <v>-0.4480849007201601</v>
      </c>
    </row>
    <row r="12">
      <c r="B12" s="14" t="inlineStr">
        <is>
          <t>Upside</t>
        </is>
      </c>
      <c r="C12" s="15">
        <f>IFERROR(C11/C3-1,"")</f>
        <v>-1.277451950910316</v>
      </c>
    </row>
    <row r="13">
      <c r="B13" s="14" t="inlineStr">
        <is>
          <t>Cash / Share</t>
        </is>
      </c>
      <c r="C13" s="11">
        <f>IFERROR((C7-C8)/C4,"")</f>
        <v>5.436827472155475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-25.343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0.38657617488063767</v>
      </c>
    </row>
    <row r="19">
      <c r="B19" s="14" t="inlineStr">
        <is>
          <t>Implied Pipeline Value</t>
        </is>
      </c>
      <c r="C19" s="13">
        <f>C9</f>
        <v>-6.886818450000001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33.601</v>
      </c>
      <c r="C2" s="23" t="n">
        <v>9.984999999999999</v>
      </c>
      <c r="D2" s="23" t="n">
        <v>14.658</v>
      </c>
      <c r="E2" s="23" t="n">
        <v>23.067</v>
      </c>
      <c r="F2" s="23" t="n">
        <v>32.424</v>
      </c>
      <c r="G2" s="23" t="n">
        <v>4.309</v>
      </c>
      <c r="H2" s="23" t="n">
        <v>12.292</v>
      </c>
      <c r="I2" s="23" t="n">
        <v>3.114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16.933</v>
      </c>
      <c r="C3" s="23" t="n">
        <v>12.467</v>
      </c>
      <c r="D3" s="23" t="n">
        <v>5.01</v>
      </c>
      <c r="E3" s="23" t="n">
        <v>11.214</v>
      </c>
      <c r="F3" s="23" t="n">
        <v>19.927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16.668</v>
      </c>
      <c r="C4" s="23">
        <f>C2-C3</f>
        <v>-2.482000000000001</v>
      </c>
      <c r="D4" s="23">
        <f>D2-D3</f>
        <v>9.648</v>
      </c>
      <c r="E4" s="23">
        <f>E2-E3</f>
        <v>11.853</v>
      </c>
      <c r="F4" s="23">
        <f>F2-F3</f>
        <v>12.497</v>
      </c>
      <c r="G4" s="23">
        <f>G2-G3</f>
        <v>4.309</v>
      </c>
      <c r="H4" s="23">
        <f>H2-H3</f>
        <v>12.292</v>
      </c>
      <c r="I4" s="23">
        <f>I2-I3</f>
        <v>3.114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34.726</v>
      </c>
      <c r="C5" s="23" t="n">
        <v>29.12</v>
      </c>
      <c r="D5" s="23" t="n">
        <v>29.021</v>
      </c>
      <c r="E5" s="23" t="n">
        <v>35.385</v>
      </c>
      <c r="F5" s="23" t="n">
        <v>24.763</v>
      </c>
      <c r="G5" s="23" t="n">
        <v>17.852</v>
      </c>
      <c r="H5" s="23" t="n">
        <v>18.994</v>
      </c>
      <c r="I5" s="23" t="n">
        <v>17.882</v>
      </c>
      <c r="J5" s="23" t="n">
        <v>17.107</v>
      </c>
      <c r="K5" s="23" t="n">
        <v>14.378</v>
      </c>
      <c r="L5" s="23" t="n">
        <v>14.54</v>
      </c>
    </row>
    <row r="6">
      <c r="A6" s="19" t="inlineStr">
        <is>
          <t>SG&amp;A &amp; Other</t>
        </is>
      </c>
      <c r="B6" s="23" t="n">
        <v>43.042</v>
      </c>
      <c r="C6" s="23" t="n">
        <v>107.171</v>
      </c>
      <c r="D6" s="23" t="n">
        <v>34.576</v>
      </c>
      <c r="E6" s="23" t="n">
        <v>28.133</v>
      </c>
      <c r="F6" s="23" t="n">
        <v>28.696</v>
      </c>
      <c r="G6" s="23" t="n">
        <v>13.951</v>
      </c>
      <c r="H6" s="23" t="n">
        <v>14.698</v>
      </c>
      <c r="I6" s="23" t="n">
        <v>13.873</v>
      </c>
      <c r="J6" s="23" t="n">
        <v>11.771</v>
      </c>
      <c r="K6" s="23" t="n">
        <v>10.224</v>
      </c>
      <c r="L6" s="23" t="n">
        <v>11.772</v>
      </c>
    </row>
    <row r="7">
      <c r="A7" s="2" t="inlineStr">
        <is>
          <t>Operating Expense</t>
        </is>
      </c>
      <c r="B7" s="23">
        <f>SUM(B5:B6)</f>
        <v>77.768</v>
      </c>
      <c r="C7" s="23">
        <f>SUM(C5:C6)</f>
        <v>136.291</v>
      </c>
      <c r="D7" s="23">
        <f>SUM(D5:D6)</f>
        <v>63.597</v>
      </c>
      <c r="E7" s="23">
        <f>SUM(E5:E6)</f>
        <v>63.518</v>
      </c>
      <c r="F7" s="23">
        <f>SUM(F5:F6)</f>
        <v>53.459</v>
      </c>
      <c r="G7" s="23">
        <f>SUM(G5:G6)</f>
        <v>31.803</v>
      </c>
      <c r="H7" s="23">
        <f>SUM(H5:H6)</f>
        <v>33.692</v>
      </c>
      <c r="I7" s="23">
        <f>SUM(I5:I6)</f>
        <v>31.755000000000003</v>
      </c>
      <c r="J7" s="23">
        <f>SUM(J5:J6)</f>
        <v>28.878</v>
      </c>
      <c r="K7" s="23">
        <f>SUM(K5:K6)</f>
        <v>24.602</v>
      </c>
      <c r="L7" s="23">
        <f>SUM(L5:L6)</f>
        <v>26.311999999999998</v>
      </c>
    </row>
    <row r="8">
      <c r="A8" s="2" t="inlineStr">
        <is>
          <t>Operating Income</t>
        </is>
      </c>
      <c r="B8" s="23">
        <f>B4-B7</f>
        <v>-61.1</v>
      </c>
      <c r="C8" s="23">
        <f>C4-C7</f>
        <v>-138.773</v>
      </c>
      <c r="D8" s="23">
        <f>D4-D7</f>
        <v>-53.949</v>
      </c>
      <c r="E8" s="23">
        <f>E4-E7</f>
        <v>-51.665</v>
      </c>
      <c r="F8" s="23">
        <f>F4-F7</f>
        <v>-40.962</v>
      </c>
      <c r="G8" s="23">
        <f>G4-G7</f>
        <v>-27.494</v>
      </c>
      <c r="H8" s="23">
        <f>H4-H7</f>
        <v>-21.4</v>
      </c>
      <c r="I8" s="23">
        <f>I4-I7</f>
        <v>-28.641000000000002</v>
      </c>
      <c r="J8" s="23">
        <f>J4-J7</f>
        <v>-28.878</v>
      </c>
      <c r="K8" s="23">
        <f>K4-K7</f>
        <v>-24.602</v>
      </c>
      <c r="L8" s="23">
        <f>L4-L7</f>
        <v>-26.311999999999998</v>
      </c>
    </row>
    <row r="9">
      <c r="A9" s="19" t="inlineStr">
        <is>
          <t>Interest &amp; Other</t>
        </is>
      </c>
      <c r="B9" s="23" t="n">
        <v>-0.237</v>
      </c>
      <c r="C9" s="23" t="n">
        <v>6.666</v>
      </c>
      <c r="D9" s="23" t="n">
        <v>37.621</v>
      </c>
      <c r="E9" s="23" t="n">
        <v>-2.024</v>
      </c>
      <c r="F9" s="23" t="n">
        <v>0.514</v>
      </c>
      <c r="G9" s="23" t="n">
        <v>9.744</v>
      </c>
      <c r="H9" s="23" t="n">
        <v>-7.057</v>
      </c>
      <c r="I9" s="23" t="n">
        <v>36.668</v>
      </c>
      <c r="J9" s="23" t="n">
        <v>11.467</v>
      </c>
      <c r="K9" s="23" t="n">
        <v>0.472</v>
      </c>
      <c r="L9" s="23" t="n">
        <v>0.345</v>
      </c>
    </row>
    <row r="10">
      <c r="A10" s="2" t="inlineStr">
        <is>
          <t>Pretax</t>
        </is>
      </c>
      <c r="B10" s="23">
        <f>B8+B9</f>
        <v>-61.337</v>
      </c>
      <c r="C10" s="23">
        <f>C8+C9</f>
        <v>-132.107</v>
      </c>
      <c r="D10" s="23">
        <f>D8+D9</f>
        <v>-16.327999999999996</v>
      </c>
      <c r="E10" s="23">
        <f>E8+E9</f>
        <v>-53.689</v>
      </c>
      <c r="F10" s="23">
        <f>F8+F9</f>
        <v>-40.448</v>
      </c>
      <c r="G10" s="23">
        <f>G8+G9</f>
        <v>-17.75</v>
      </c>
      <c r="H10" s="23">
        <f>H8+H9</f>
        <v>-28.457</v>
      </c>
      <c r="I10" s="23">
        <f>I8+I9</f>
        <v>8.026999999999997</v>
      </c>
      <c r="J10" s="23">
        <f>J8+J9</f>
        <v>-17.411</v>
      </c>
      <c r="K10" s="23">
        <f>K8+K9</f>
        <v>-24.13</v>
      </c>
      <c r="L10" s="23">
        <f>L8+L9</f>
        <v>-25.967</v>
      </c>
    </row>
    <row r="11">
      <c r="A11" s="2" t="inlineStr">
        <is>
          <t>Taxes</t>
        </is>
      </c>
      <c r="B11" s="23" t="n">
        <v>-2.02</v>
      </c>
      <c r="C11" s="23" t="n">
        <v>-19.692</v>
      </c>
      <c r="D11" s="23" t="n">
        <v>-23.301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-59.317</v>
      </c>
      <c r="C12" s="23" t="n">
        <v>-112.415</v>
      </c>
      <c r="D12" s="23" t="n">
        <v>6.973</v>
      </c>
      <c r="E12" s="23" t="n">
        <v>-53.689</v>
      </c>
      <c r="F12" s="23" t="n">
        <v>-40.448</v>
      </c>
      <c r="G12" s="23" t="n">
        <v>-17.75</v>
      </c>
      <c r="H12" s="23" t="n">
        <v>-28.457</v>
      </c>
      <c r="I12" s="23" t="n">
        <v>8.026999999999999</v>
      </c>
      <c r="J12" s="23" t="n">
        <v>-17.411</v>
      </c>
      <c r="K12" s="23" t="n">
        <v>-24.13</v>
      </c>
      <c r="L12" s="23" t="n">
        <v>-25.967</v>
      </c>
    </row>
    <row r="13">
      <c r="A13" s="2" t="inlineStr">
        <is>
          <t>Earnings per Share</t>
        </is>
      </c>
      <c r="B13" s="11">
        <f>IFERROR(B12/B14,0)</f>
        <v>-19.518591641987495</v>
      </c>
      <c r="C13" s="11">
        <f>IFERROR(C12/C14,0)</f>
        <v>-36.97861842105263</v>
      </c>
      <c r="D13" s="11">
        <f>IFERROR(D12/D14,0)</f>
        <v>2.1756630265210606</v>
      </c>
      <c r="E13" s="11">
        <f>IFERROR(E12/E14,0)</f>
        <v>-15.88431952662722</v>
      </c>
      <c r="F13" s="11">
        <f>IFERROR(F12/F14,0)</f>
        <v>-92.34703196347031</v>
      </c>
      <c r="G13" s="11">
        <f>IFERROR(G12/G14,0)</f>
        <v>-34.87229862475442</v>
      </c>
      <c r="H13" s="11">
        <f>IFERROR(H12/H14,0)</f>
        <v>-40.421875</v>
      </c>
      <c r="I13" s="11">
        <f>IFERROR(I12/I14,0)</f>
        <v>10.465449804432854</v>
      </c>
      <c r="J13" s="11">
        <f>IFERROR(J12/J14,0)</f>
        <v>-22.700130378096482</v>
      </c>
      <c r="K13" s="11">
        <f>IFERROR(K12/K14,0)</f>
        <v>-31.460234680573663</v>
      </c>
      <c r="L13" s="11">
        <f>IFERROR(L12/L14,0)</f>
        <v>-82.17405063291139</v>
      </c>
    </row>
    <row r="14">
      <c r="A14" s="2" t="inlineStr">
        <is>
          <t>Shares</t>
        </is>
      </c>
      <c r="B14" s="23" t="n">
        <v>3.039</v>
      </c>
      <c r="C14" s="23" t="n">
        <v>3.04</v>
      </c>
      <c r="D14" s="23" t="n">
        <v>3.205</v>
      </c>
      <c r="E14" s="23" t="n">
        <v>3.38</v>
      </c>
      <c r="F14" s="23" t="n">
        <v>0.438</v>
      </c>
      <c r="G14" s="23" t="n">
        <v>0.509</v>
      </c>
      <c r="H14" s="23" t="n">
        <v>0.704</v>
      </c>
      <c r="I14" s="23" t="n">
        <v>0.767</v>
      </c>
      <c r="J14" s="23" t="n">
        <v>0.767</v>
      </c>
      <c r="K14" s="23" t="n">
        <v>0.767</v>
      </c>
      <c r="L14" s="23" t="n">
        <v>0.316</v>
      </c>
    </row>
    <row r="15"/>
    <row r="16" customFormat="1" s="4">
      <c r="A16" s="3" t="inlineStr">
        <is>
          <t>Revenue Change</t>
        </is>
      </c>
      <c r="C16" s="15">
        <f>IFERROR(C2/B2-1,"")</f>
        <v>-0.7028362251123479</v>
      </c>
      <c r="D16" s="15">
        <f>IFERROR(D2/C2-1,"")</f>
        <v>0.4680020030045069</v>
      </c>
      <c r="E16" s="15">
        <f>IFERROR(E2/D2-1,"")</f>
        <v>0.5736799017601311</v>
      </c>
      <c r="F16" s="15">
        <f>IFERROR(F2/E2-1,"")</f>
        <v>0.40564442710365456</v>
      </c>
      <c r="G16" s="15">
        <f>IFERROR(G2/F2-1,"")</f>
        <v>-0.8671046138662719</v>
      </c>
      <c r="H16" s="15">
        <f>IFERROR(H2/G2-1,"")</f>
        <v>1.852634021814806</v>
      </c>
      <c r="I16" s="15">
        <f>IFERROR(I2/H2-1,"")</f>
        <v>-0.7466644972339733</v>
      </c>
      <c r="J16" s="15">
        <f>IFERROR(J2/I2-1,"")</f>
        <v>-1.0</v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>0.4960566649802089</v>
      </c>
      <c r="C17" s="15">
        <f>IFERROR(C4/C2,"")</f>
        <v>-0.24857285928893352</v>
      </c>
      <c r="D17" s="15">
        <f>IFERROR(D4/D2,"")</f>
        <v>0.6582071223905035</v>
      </c>
      <c r="E17" s="15">
        <f>IFERROR(E4/E2,"")</f>
        <v>0.5138509559110417</v>
      </c>
      <c r="F17" s="15">
        <f>IFERROR(F4/F2,"")</f>
        <v>0.3854243770046879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>-1.8183982619564896</v>
      </c>
      <c r="C18" s="15">
        <f>IFERROR(C8/C2,"")</f>
        <v>-13.898147220831246</v>
      </c>
      <c r="D18" s="15">
        <f>IFERROR(D8/D2,"")</f>
        <v>-3.680515759312321</v>
      </c>
      <c r="E18" s="15">
        <f>IFERROR(E8/E2,"")</f>
        <v>-2.239779771968613</v>
      </c>
      <c r="F18" s="15">
        <f>IFERROR(F8/F2,"")</f>
        <v>-1.2633234641006663</v>
      </c>
      <c r="G18" s="15">
        <f>IFERROR(G8/G2,"")</f>
        <v>-6.380598746809004</v>
      </c>
      <c r="H18" s="15">
        <f>IFERROR(H8/H2,"")</f>
        <v>-1.7409697364139276</v>
      </c>
      <c r="I18" s="15">
        <f>IFERROR(I8/I2,"")</f>
        <v>-9.197495183044317</v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Aptevo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26.886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379.6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-10.604435548550708</v>
      </c>
      <c r="C29" s="42">
        <f>NPV!B25</f>
        <v>-0.807435548550707</v>
      </c>
      <c r="D29" s="43">
        <f>NPV!B27</f>
        <v>-0.4480849007201601</v>
      </c>
      <c r="E29" s="44">
        <f>NPV!B29</f>
        <v>-1.277451950910316</v>
      </c>
    </row>
    <row r="30">
      <c r="A30" s="45" t="n">
        <v>1</v>
      </c>
      <c r="B30" s="46">
        <f t="dataTable" ref="B30:E32" r1="B4"/>
        <v>-50.54004538062347</v>
      </c>
      <c r="C30" s="46">
        <v>-40.74304538062347</v>
      </c>
      <c r="D30" s="47">
        <v>-22.610279516653147</v>
      </c>
      <c r="E30" s="48">
        <v>-15.000173075327027</v>
      </c>
    </row>
    <row r="31">
      <c r="A31" s="45" t="n">
        <v>2</v>
      </c>
      <c r="B31" s="46">
        <v>-10.604435548550708</v>
      </c>
      <c r="C31" s="46">
        <v>-0.807435548550707</v>
      </c>
      <c r="D31" s="47">
        <v>-0.4480849007201601</v>
      </c>
      <c r="E31" s="48">
        <v>-1.277451950910316</v>
      </c>
    </row>
    <row r="32">
      <c r="A32" s="45" t="n">
        <v>3</v>
      </c>
      <c r="B32" s="46">
        <v>57.377540653148934</v>
      </c>
      <c r="C32" s="46">
        <v>67.17454065314894</v>
      </c>
      <c r="D32" s="47">
        <v>37.27839012477951</v>
      </c>
      <c r="E32" s="48">
        <v>22.082594504507437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-0.4480849007201601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-26.87008359311149</v>
      </c>
      <c r="C37" s="47">
        <v>-21.107906403951276</v>
      </c>
      <c r="D37" s="47">
        <v>-15.345729214791067</v>
      </c>
      <c r="E37" s="47">
        <v>-3.8213748364706515</v>
      </c>
      <c r="F37" s="47">
        <v>7.70297954184977</v>
      </c>
    </row>
    <row r="38">
      <c r="A38" s="50" t="n">
        <v>0.8</v>
      </c>
      <c r="B38" s="47">
        <v>-23.262712895516174</v>
      </c>
      <c r="C38" s="47">
        <v>-15.579809976635888</v>
      </c>
      <c r="D38" s="47">
        <v>-7.896907057755603</v>
      </c>
      <c r="E38" s="47">
        <v>7.468898780004963</v>
      </c>
      <c r="F38" s="47">
        <v>22.44907855746642</v>
      </c>
    </row>
    <row r="39">
      <c r="A39" s="50" t="n">
        <v>1</v>
      </c>
      <c r="B39" s="47">
        <v>-19.655342197920866</v>
      </c>
      <c r="C39" s="47">
        <v>-10.05171354932051</v>
      </c>
      <c r="D39" s="47">
        <v>-0.4480849007201601</v>
      </c>
      <c r="E39" s="47">
        <v>18.759172396480547</v>
      </c>
      <c r="F39" s="47">
        <v>35.625928572323865</v>
      </c>
    </row>
    <row r="40">
      <c r="A40" s="50" t="n">
        <v>1.2</v>
      </c>
      <c r="B40" s="47">
        <v>-16.04797150032555</v>
      </c>
      <c r="C40" s="47">
        <v>-4.523617122005131</v>
      </c>
      <c r="D40" s="47">
        <v>7.000737256315288</v>
      </c>
      <c r="E40" s="47">
        <v>28.76362163621311</v>
      </c>
      <c r="F40" s="47">
        <v>48.51406408484722</v>
      </c>
    </row>
    <row r="41">
      <c r="A41" s="50" t="n">
        <v>1.4</v>
      </c>
      <c r="B41" s="47">
        <v>-12.440600802730236</v>
      </c>
      <c r="C41" s="47">
        <v>1.0044793053102492</v>
      </c>
      <c r="D41" s="47">
        <v>14.449559413350741</v>
      </c>
      <c r="E41" s="47">
        <v>38.508566046964894</v>
      </c>
      <c r="F41" s="47">
        <v>61.194281669109664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Aptevo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Leukemia</t>
        </is>
      </c>
      <c r="C4" s="14" t="inlineStr">
        <is>
          <t>APVO436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69.22180286367352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7.904999999999999</v>
      </c>
      <c r="U4" s="23">
        <f>IF(U$3&lt;$I4,0,$G4*Assumptions!$E$11*INDEX(Assumptions!$B$24:$G$24,MIN(6,U$3-$I4+1))*IF(U$3&gt;$J4,(1-Assumptions!$B$26)^(U$3-$J4),1)*IF($H4&gt;=1,1,MIN(0.97,$H4*Assumptions!$E$12)))</f>
        <v>19.7625</v>
      </c>
      <c r="V4" s="23">
        <f>IF(V$3&lt;$I4,0,$G4*Assumptions!$E$11*INDEX(Assumptions!$B$24:$G$24,MIN(6,V$3-$I4+1))*IF(V$3&gt;$J4,(1-Assumptions!$B$26)^(V$3-$J4),1)*IF($H4&gt;=1,1,MIN(0.97,$H4*Assumptions!$E$12)))</f>
        <v>35.5725</v>
      </c>
      <c r="W4" s="23">
        <f>IF(W$3&lt;$I4,0,$G4*Assumptions!$E$11*INDEX(Assumptions!$B$24:$G$24,MIN(6,W$3-$I4+1))*IF(W$3&gt;$J4,(1-Assumptions!$B$26)^(W$3-$J4),1)*IF($H4&gt;=1,1,MIN(0.97,$H4*Assumptions!$E$12)))</f>
        <v>51.3825</v>
      </c>
      <c r="X4" s="23">
        <f>IF(X$3&lt;$I4,0,$G4*Assumptions!$E$11*INDEX(Assumptions!$B$24:$G$24,MIN(6,X$3-$I4+1))*IF(X$3&gt;$J4,(1-Assumptions!$B$26)^(X$3-$J4),1)*IF($H4&gt;=1,1,MIN(0.97,$H4*Assumptions!$E$12)))</f>
        <v>67.1925</v>
      </c>
      <c r="Y4" s="23">
        <f>IF(Y$3&lt;$I4,0,$G4*Assumptions!$E$11*INDEX(Assumptions!$B$24:$G$24,MIN(6,Y$3-$I4+1))*IF(Y$3&gt;$J4,(1-Assumptions!$B$26)^(Y$3-$J4),1)*IF($H4&gt;=1,1,MIN(0.97,$H4*Assumptions!$E$12)))</f>
        <v>79.05</v>
      </c>
      <c r="Z4" s="23">
        <f>IF(Z$3&lt;$I4,0,$G4*Assumptions!$E$11*INDEX(Assumptions!$B$24:$G$24,MIN(6,Z$3-$I4+1))*IF(Z$3&gt;$J4,(1-Assumptions!$B$26)^(Z$3-$J4),1)*IF($H4&gt;=1,1,MIN(0.97,$H4*Assumptions!$E$12)))</f>
        <v>79.05</v>
      </c>
      <c r="AA4" s="23">
        <f>IF(AA$3&lt;$I4,0,$G4*Assumptions!$E$11*INDEX(Assumptions!$B$24:$G$24,MIN(6,AA$3-$I4+1))*IF(AA$3&gt;$J4,(1-Assumptions!$B$26)^(AA$3-$J4),1)*IF($H4&gt;=1,1,MIN(0.97,$H4*Assumptions!$E$12)))</f>
        <v>79.05</v>
      </c>
      <c r="AB4" s="23">
        <f>IF(AB$3&lt;$I4,0,$G4*Assumptions!$E$11*INDEX(Assumptions!$B$24:$G$24,MIN(6,AB$3-$I4+1))*IF(AB$3&gt;$J4,(1-Assumptions!$B$26)^(AB$3-$J4),1)*IF($H4&gt;=1,1,MIN(0.97,$H4*Assumptions!$E$12)))</f>
        <v>79.05</v>
      </c>
      <c r="AC4" s="23">
        <f>IF(AC$3&lt;$I4,0,$G4*Assumptions!$E$11*INDEX(Assumptions!$B$24:$G$24,MIN(6,AC$3-$I4+1))*IF(AC$3&gt;$J4,(1-Assumptions!$B$26)^(AC$3-$J4),1)*IF($H4&gt;=1,1,MIN(0.97,$H4*Assumptions!$E$12)))</f>
        <v>79.05</v>
      </c>
      <c r="AD4" s="23">
        <f>IF(AD$3&lt;$I4,0,$G4*Assumptions!$E$11*INDEX(Assumptions!$B$24:$G$24,MIN(6,AD$3-$I4+1))*IF(AD$3&gt;$J4,(1-Assumptions!$B$26)^(AD$3-$J4),1)*IF($H4&gt;=1,1,MIN(0.97,$H4*Assumptions!$E$12)))</f>
        <v>79.05</v>
      </c>
      <c r="AE4" s="23">
        <f>IF(AE$3&lt;$I4,0,$G4*Assumptions!$E$11*INDEX(Assumptions!$B$24:$G$24,MIN(6,AE$3-$I4+1))*IF(AE$3&gt;$J4,(1-Assumptions!$B$26)^(AE$3-$J4),1)*IF($H4&gt;=1,1,MIN(0.97,$H4*Assumptions!$E$12)))</f>
        <v>79.05</v>
      </c>
      <c r="AF4" s="23">
        <f>IF(AF$3&lt;$I4,0,$G4*Assumptions!$E$11*INDEX(Assumptions!$B$24:$G$24,MIN(6,AF$3-$I4+1))*IF(AF$3&gt;$J4,(1-Assumptions!$B$26)^(AF$3-$J4),1)*IF($H4&gt;=1,1,MIN(0.97,$H4*Assumptions!$E$12)))</f>
        <v>79.05</v>
      </c>
      <c r="AG4" s="35">
        <f>IF(F4="Owned",1-IF(H4&gt;=1,1,MIN(0.97,H4*Assumptions!$E$12)),1)</f>
        <v>0.9473</v>
      </c>
    </row>
    <row r="5">
      <c r="B5" s="24" t="inlineStr">
        <is>
          <t>Risked revenue</t>
        </is>
      </c>
      <c r="L5" s="54">
        <f>SUM(L4:L4)</f>
        <v>69.22180286367352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7.904999999999999</v>
      </c>
      <c r="U5" s="54">
        <f>SUM(U4:U4)</f>
        <v>19.7625</v>
      </c>
      <c r="V5" s="54">
        <f>SUM(V4:V4)</f>
        <v>35.5725</v>
      </c>
      <c r="W5" s="54">
        <f>SUM(W4:W4)</f>
        <v>51.3825</v>
      </c>
      <c r="X5" s="54">
        <f>SUM(X4:X4)</f>
        <v>67.1925</v>
      </c>
      <c r="Y5" s="54">
        <f>SUM(Y4:Y4)</f>
        <v>79.05</v>
      </c>
      <c r="Z5" s="54">
        <f>SUM(Z4:Z4)</f>
        <v>79.05</v>
      </c>
      <c r="AA5" s="54">
        <f>SUM(AA4:AA4)</f>
        <v>79.05</v>
      </c>
      <c r="AB5" s="54">
        <f>SUM(AB4:AB4)</f>
        <v>79.05</v>
      </c>
      <c r="AC5" s="54">
        <f>SUM(AC4:AC4)</f>
        <v>79.05</v>
      </c>
      <c r="AD5" s="54">
        <f>SUM(AD4:AD4)</f>
        <v>79.05</v>
      </c>
      <c r="AE5" s="54">
        <f>SUM(AE4:AE4)</f>
        <v>79.05</v>
      </c>
      <c r="AF5" s="54">
        <f>SUM(AF4:AF4)</f>
        <v>79.05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3.162</v>
      </c>
      <c r="U6" s="55">
        <f>SUMPRODUCT(U4:U4,$K$4:$K$4)</f>
        <v>7.905</v>
      </c>
      <c r="V6" s="55">
        <f>SUMPRODUCT(V4:V4,$K$4:$K$4)</f>
        <v>14.229</v>
      </c>
      <c r="W6" s="55">
        <f>SUMPRODUCT(W4:W4,$K$4:$K$4)</f>
        <v>20.553</v>
      </c>
      <c r="X6" s="55">
        <f>SUMPRODUCT(X4:X4,$K$4:$K$4)</f>
        <v>26.877</v>
      </c>
      <c r="Y6" s="55">
        <f>SUMPRODUCT(Y4:Y4,$K$4:$K$4)</f>
        <v>31.62</v>
      </c>
      <c r="Z6" s="55">
        <f>SUMPRODUCT(Z4:Z4,$K$4:$K$4)</f>
        <v>31.62</v>
      </c>
      <c r="AA6" s="55">
        <f>SUMPRODUCT(AA4:AA4,$K$4:$K$4)</f>
        <v>31.62</v>
      </c>
      <c r="AB6" s="55">
        <f>SUMPRODUCT(AB4:AB4,$K$4:$K$4)</f>
        <v>31.62</v>
      </c>
      <c r="AC6" s="55">
        <f>SUMPRODUCT(AC4:AC4,$K$4:$K$4)</f>
        <v>31.62</v>
      </c>
      <c r="AD6" s="55">
        <f>SUMPRODUCT(AD4:AD4,$K$4:$K$4)</f>
        <v>31.62</v>
      </c>
      <c r="AE6" s="55">
        <f>SUMPRODUCT(AE4:AE4,$K$4:$K$4)</f>
        <v>31.62</v>
      </c>
      <c r="AF6" s="55">
        <f>SUMPRODUCT(AF4:AF4,$K$4:$K$4)</f>
        <v>31.62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Aptevo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7.904999999999999</v>
      </c>
      <c r="K4" s="57">
        <f>Pipeline!U5</f>
        <v>19.7625</v>
      </c>
      <c r="L4" s="57">
        <f>Pipeline!V5</f>
        <v>35.5725</v>
      </c>
      <c r="M4" s="57">
        <f>Pipeline!W5</f>
        <v>51.3825</v>
      </c>
      <c r="N4" s="57">
        <f>Pipeline!X5</f>
        <v>67.1925</v>
      </c>
      <c r="O4" s="57">
        <f>Pipeline!Y5</f>
        <v>79.05</v>
      </c>
      <c r="P4" s="57">
        <f>Pipeline!Z5</f>
        <v>79.05</v>
      </c>
      <c r="Q4" s="57">
        <f>Pipeline!AA5</f>
        <v>79.05</v>
      </c>
      <c r="R4" s="57">
        <f>Pipeline!AB5</f>
        <v>79.05</v>
      </c>
      <c r="S4" s="57">
        <f>Pipeline!AC5</f>
        <v>79.05</v>
      </c>
      <c r="T4" s="57">
        <f>Pipeline!AD5</f>
        <v>79.05</v>
      </c>
      <c r="U4" s="57">
        <f>Pipeline!AE5</f>
        <v>79.05</v>
      </c>
      <c r="V4" s="57">
        <f>Pipeline!AF5</f>
        <v>79.05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3.162</v>
      </c>
      <c r="K5" s="57">
        <f>Pipeline!U6</f>
        <v>7.905</v>
      </c>
      <c r="L5" s="57">
        <f>Pipeline!V6</f>
        <v>14.229</v>
      </c>
      <c r="M5" s="57">
        <f>Pipeline!W6</f>
        <v>20.553</v>
      </c>
      <c r="N5" s="57">
        <f>Pipeline!X6</f>
        <v>26.877</v>
      </c>
      <c r="O5" s="57">
        <f>Pipeline!Y6</f>
        <v>31.62</v>
      </c>
      <c r="P5" s="57">
        <f>Pipeline!Z6</f>
        <v>31.62</v>
      </c>
      <c r="Q5" s="57">
        <f>Pipeline!AA6</f>
        <v>31.62</v>
      </c>
      <c r="R5" s="57">
        <f>Pipeline!AB6</f>
        <v>31.62</v>
      </c>
      <c r="S5" s="57">
        <f>Pipeline!AC6</f>
        <v>31.62</v>
      </c>
      <c r="T5" s="57">
        <f>Pipeline!AD6</f>
        <v>31.62</v>
      </c>
      <c r="U5" s="57">
        <f>Pipeline!AE6</f>
        <v>31.62</v>
      </c>
      <c r="V5" s="57">
        <f>Pipeline!AF6</f>
        <v>31.62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-26.886</v>
      </c>
      <c r="D6" s="23">
        <f>-IF(D3-2026&lt;Assumptions!$B$19,Assumptions!$B$18,Assumptions!$B$18*Assumptions!$B$20*Assumptions!$B$16)</f>
        <v>-26.886</v>
      </c>
      <c r="E6" s="23">
        <f>-IF(E3-2026&lt;Assumptions!$B$19,Assumptions!$B$18,Assumptions!$B$18*Assumptions!$B$20*Assumptions!$B$16)</f>
        <v>-26.886</v>
      </c>
      <c r="F6" s="23">
        <f>-IF(F3-2026&lt;Assumptions!$B$19,Assumptions!$B$18,Assumptions!$B$18*Assumptions!$B$20*Assumptions!$B$16)</f>
        <v>-26.886</v>
      </c>
      <c r="G6" s="23">
        <f>-IF(G3-2026&lt;Assumptions!$B$19,Assumptions!$B$18,Assumptions!$B$18*Assumptions!$B$20*Assumptions!$B$16)</f>
        <v>-0.42506765999999974</v>
      </c>
      <c r="H6" s="23">
        <f>-IF(H3-2026&lt;Assumptions!$B$19,Assumptions!$B$18,Assumptions!$B$18*Assumptions!$B$20*Assumptions!$B$16)</f>
        <v>-0.42506765999999974</v>
      </c>
      <c r="I6" s="23">
        <f>-IF(I3-2026&lt;Assumptions!$B$19,Assumptions!$B$18,Assumptions!$B$18*Assumptions!$B$20*Assumptions!$B$16)</f>
        <v>-0.42506765999999974</v>
      </c>
      <c r="J6" s="23">
        <f>-IF(J3-2026&lt;Assumptions!$B$19,Assumptions!$B$18,Assumptions!$B$18*Assumptions!$B$20*Assumptions!$B$16)</f>
        <v>-0.42506765999999974</v>
      </c>
      <c r="K6" s="23">
        <f>-IF(K3-2026&lt;Assumptions!$B$19,Assumptions!$B$18,Assumptions!$B$18*Assumptions!$B$20*Assumptions!$B$16)</f>
        <v>-0.42506765999999974</v>
      </c>
      <c r="L6" s="23">
        <f>-IF(L3-2026&lt;Assumptions!$B$19,Assumptions!$B$18,Assumptions!$B$18*Assumptions!$B$20*Assumptions!$B$16)</f>
        <v>-0.42506765999999974</v>
      </c>
      <c r="M6" s="23">
        <f>-IF(M3-2026&lt;Assumptions!$B$19,Assumptions!$B$18,Assumptions!$B$18*Assumptions!$B$20*Assumptions!$B$16)</f>
        <v>-0.42506765999999974</v>
      </c>
      <c r="N6" s="23">
        <f>-IF(N3-2026&lt;Assumptions!$B$19,Assumptions!$B$18,Assumptions!$B$18*Assumptions!$B$20*Assumptions!$B$16)</f>
        <v>-0.42506765999999974</v>
      </c>
      <c r="O6" s="23">
        <f>-IF(O3-2026&lt;Assumptions!$B$19,Assumptions!$B$18,Assumptions!$B$18*Assumptions!$B$20*Assumptions!$B$16)</f>
        <v>-0.42506765999999974</v>
      </c>
      <c r="P6" s="23">
        <f>-IF(P3-2026&lt;Assumptions!$B$19,Assumptions!$B$18,Assumptions!$B$18*Assumptions!$B$20*Assumptions!$B$16)</f>
        <v>-0.42506765999999974</v>
      </c>
      <c r="Q6" s="23">
        <f>-IF(Q3-2026&lt;Assumptions!$B$19,Assumptions!$B$18,Assumptions!$B$18*Assumptions!$B$20*Assumptions!$B$16)</f>
        <v>-0.42506765999999974</v>
      </c>
      <c r="R6" s="23">
        <f>-IF(R3-2026&lt;Assumptions!$B$19,Assumptions!$B$18,Assumptions!$B$18*Assumptions!$B$20*Assumptions!$B$16)</f>
        <v>-0.42506765999999974</v>
      </c>
      <c r="S6" s="23">
        <f>-IF(S3-2026&lt;Assumptions!$B$19,Assumptions!$B$18,Assumptions!$B$18*Assumptions!$B$20*Assumptions!$B$16)</f>
        <v>-0.42506765999999974</v>
      </c>
      <c r="T6" s="23">
        <f>-IF(T3-2026&lt;Assumptions!$B$19,Assumptions!$B$18,Assumptions!$B$18*Assumptions!$B$20*Assumptions!$B$16)</f>
        <v>-0.42506765999999974</v>
      </c>
      <c r="U6" s="23">
        <f>-IF(U3-2026&lt;Assumptions!$B$19,Assumptions!$B$18,Assumptions!$B$18*Assumptions!$B$20*Assumptions!$B$16)</f>
        <v>-0.42506765999999974</v>
      </c>
      <c r="V6" s="23">
        <f>-IF(V3-2026&lt;Assumptions!$B$19,Assumptions!$B$18,Assumptions!$B$18*Assumptions!$B$20*Assumptions!$B$16)</f>
        <v>-0.42506765999999974</v>
      </c>
    </row>
    <row r="7">
      <c r="A7" s="14" t="inlineStr">
        <is>
          <t>Pre-tax cash flow</t>
        </is>
      </c>
      <c r="C7" s="23">
        <f>C5+C6</f>
        <v>-26.886</v>
      </c>
      <c r="D7" s="23">
        <f>D5+D6</f>
        <v>-26.886</v>
      </c>
      <c r="E7" s="23">
        <f>E5+E6</f>
        <v>-26.886</v>
      </c>
      <c r="F7" s="23">
        <f>F5+F6</f>
        <v>-26.886</v>
      </c>
      <c r="G7" s="23">
        <f>G5+G6</f>
        <v>-0.42506765999999974</v>
      </c>
      <c r="H7" s="23">
        <f>H5+H6</f>
        <v>-0.42506765999999974</v>
      </c>
      <c r="I7" s="23">
        <f>I5+I6</f>
        <v>-0.42506765999999974</v>
      </c>
      <c r="J7" s="23">
        <f>J5+J6</f>
        <v>2.73693234</v>
      </c>
      <c r="K7" s="23">
        <f>K5+K6</f>
        <v>7.47993234</v>
      </c>
      <c r="L7" s="23">
        <f>L5+L6</f>
        <v>13.80393234</v>
      </c>
      <c r="M7" s="23">
        <f>M5+M6</f>
        <v>20.12793234</v>
      </c>
      <c r="N7" s="23">
        <f>N5+N6</f>
        <v>26.45193234</v>
      </c>
      <c r="O7" s="23">
        <f>O5+O6</f>
        <v>31.19493234</v>
      </c>
      <c r="P7" s="23">
        <f>P5+P6</f>
        <v>31.19493234</v>
      </c>
      <c r="Q7" s="23">
        <f>Q5+Q6</f>
        <v>31.19493234</v>
      </c>
      <c r="R7" s="23">
        <f>R5+R6</f>
        <v>31.19493234</v>
      </c>
      <c r="S7" s="23">
        <f>S5+S6</f>
        <v>31.19493234</v>
      </c>
      <c r="T7" s="23">
        <f>T5+T6</f>
        <v>31.19493234</v>
      </c>
      <c r="U7" s="23">
        <f>U5+U6</f>
        <v>31.19493234</v>
      </c>
      <c r="V7" s="23">
        <f>V5+V6</f>
        <v>31.19493234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2.73693234</v>
      </c>
      <c r="K8" s="23">
        <f>MIN(J17,MAX(0,K7))</f>
        <v>7.47993234</v>
      </c>
      <c r="L8" s="23">
        <f>MIN(K17,MAX(0,L7))</f>
        <v>13.80393234</v>
      </c>
      <c r="M8" s="23">
        <f>MIN(L17,MAX(0,M7))</f>
        <v>20.12793234</v>
      </c>
      <c r="N8" s="23">
        <f>MIN(M17,MAX(0,N7))</f>
        <v>26.45193234</v>
      </c>
      <c r="O8" s="23">
        <f>MIN(N17,MAX(0,O7))</f>
        <v>31.19493234</v>
      </c>
      <c r="P8" s="23">
        <f>MIN(O17,MAX(0,P7))</f>
        <v>31.19493234</v>
      </c>
      <c r="Q8" s="23">
        <f>MIN(P17,MAX(0,Q7))</f>
        <v>31.19493234</v>
      </c>
      <c r="R8" s="23">
        <f>MIN(Q17,MAX(0,R7))</f>
        <v>31.19493234</v>
      </c>
      <c r="S8" s="23">
        <f>MIN(R17,MAX(0,S7))</f>
        <v>31.19493234</v>
      </c>
      <c r="T8" s="23">
        <f>MIN(S17,MAX(0,T7))</f>
        <v>31.19493234</v>
      </c>
      <c r="U8" s="23">
        <f>MIN(T17,MAX(0,U7))</f>
        <v>31.19493234</v>
      </c>
      <c r="V8" s="23">
        <f>MIN(U17,MAX(0,V7))</f>
        <v>31.19493234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-26.886</v>
      </c>
      <c r="D11" s="55">
        <f>D7-D10</f>
        <v>-26.886</v>
      </c>
      <c r="E11" s="55">
        <f>E7-E10</f>
        <v>-26.886</v>
      </c>
      <c r="F11" s="55">
        <f>F7-F10</f>
        <v>-26.886</v>
      </c>
      <c r="G11" s="55">
        <f>G7-G10</f>
        <v>-0.42506765999999974</v>
      </c>
      <c r="H11" s="55">
        <f>H7-H10</f>
        <v>-0.42506765999999974</v>
      </c>
      <c r="I11" s="55">
        <f>I7-I10</f>
        <v>-0.42506765999999974</v>
      </c>
      <c r="J11" s="55">
        <f>J7-J10</f>
        <v>2.73693234</v>
      </c>
      <c r="K11" s="55">
        <f>K7-K10</f>
        <v>7.47993234</v>
      </c>
      <c r="L11" s="55">
        <f>L7-L10</f>
        <v>13.80393234</v>
      </c>
      <c r="M11" s="55">
        <f>M7-M10</f>
        <v>20.12793234</v>
      </c>
      <c r="N11" s="55">
        <f>N7-N10</f>
        <v>26.45193234</v>
      </c>
      <c r="O11" s="55">
        <f>O7-O10</f>
        <v>31.19493234</v>
      </c>
      <c r="P11" s="55">
        <f>P7-P10</f>
        <v>31.19493234</v>
      </c>
      <c r="Q11" s="55">
        <f>Q7-Q10</f>
        <v>31.19493234</v>
      </c>
      <c r="R11" s="55">
        <f>R7-R10</f>
        <v>31.19493234</v>
      </c>
      <c r="S11" s="55">
        <f>S7-S10</f>
        <v>31.19493234</v>
      </c>
      <c r="T11" s="55">
        <f>T7-T10</f>
        <v>31.19493234</v>
      </c>
      <c r="U11" s="55">
        <f>U7-U10</f>
        <v>31.19493234</v>
      </c>
      <c r="V11" s="55">
        <f>V7-V10</f>
        <v>31.19493234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-13.171568327608181</v>
      </c>
      <c r="D16" s="55">
        <f>D11*D15</f>
        <v>-23.994205701985113</v>
      </c>
      <c r="E16" s="55">
        <f>E11*E15</f>
        <v>-21.423397948200986</v>
      </c>
      <c r="F16" s="55">
        <f>F11*F15</f>
        <v>-19.12803388232231</v>
      </c>
      <c r="G16" s="55">
        <f>G11*G15</f>
        <v>-0.27001269257099597</v>
      </c>
      <c r="H16" s="55">
        <f>H11*H15</f>
        <v>-0.24108276122410355</v>
      </c>
      <c r="I16" s="55">
        <f>I11*I15</f>
        <v>-0.21525246537866385</v>
      </c>
      <c r="J16" s="55">
        <f>J11*J15</f>
        <v>1.237474073454388</v>
      </c>
      <c r="K16" s="55">
        <f>K11*K15</f>
        <v>3.0196158352521376</v>
      </c>
      <c r="L16" s="55">
        <f>L11*L15</f>
        <v>4.975523983460674</v>
      </c>
      <c r="M16" s="55">
        <f>M11*M15</f>
        <v>6.47764499976066</v>
      </c>
      <c r="N16" s="55">
        <f>N11*N15</f>
        <v>7.600765956635205</v>
      </c>
      <c r="O16" s="55">
        <f>O11*O15</f>
        <v>8.003242606173874</v>
      </c>
      <c r="P16" s="55">
        <f>P11*P15</f>
        <v>7.145752326940959</v>
      </c>
      <c r="Q16" s="55">
        <f>Q11*Q15</f>
        <v>6.380136006197285</v>
      </c>
      <c r="R16" s="55">
        <f>R11*R15</f>
        <v>5.69655000553329</v>
      </c>
      <c r="S16" s="55">
        <f>S11*S15</f>
        <v>5.086205362083294</v>
      </c>
      <c r="T16" s="55">
        <f>T11*T15</f>
        <v>4.541254787574369</v>
      </c>
      <c r="U16" s="55">
        <f>U11*U15</f>
        <v>4.054691774619972</v>
      </c>
      <c r="V16" s="55">
        <f>V11*V15</f>
        <v>3.6202605130535455</v>
      </c>
    </row>
    <row r="17">
      <c r="A17" s="14" t="inlineStr">
        <is>
          <t>Tax-loss carryforward, end of year</t>
        </is>
      </c>
      <c r="C17" s="23">
        <f>Assumptions!$B$21-C8+MAX(0,-C7)</f>
        <v>406.48600000000005</v>
      </c>
      <c r="D17" s="23">
        <f>C17-D8+MAX(0,-D7)</f>
        <v>433.37200000000007</v>
      </c>
      <c r="E17" s="23">
        <f>D17-E8+MAX(0,-E7)</f>
        <v>460.2580000000001</v>
      </c>
      <c r="F17" s="23">
        <f>E17-F8+MAX(0,-F7)</f>
        <v>487.1440000000001</v>
      </c>
      <c r="G17" s="23">
        <f>F17-G8+MAX(0,-G7)</f>
        <v>487.56906766000014</v>
      </c>
      <c r="H17" s="23">
        <f>G17-H8+MAX(0,-H7)</f>
        <v>487.99413532000017</v>
      </c>
      <c r="I17" s="23">
        <f>H17-I8+MAX(0,-I7)</f>
        <v>488.4192029800002</v>
      </c>
      <c r="J17" s="23">
        <f>I17-J8+MAX(0,-J7)</f>
        <v>485.6822706400002</v>
      </c>
      <c r="K17" s="23">
        <f>J17-K8+MAX(0,-K7)</f>
        <v>478.2023383000002</v>
      </c>
      <c r="L17" s="23">
        <f>K17-L8+MAX(0,-L7)</f>
        <v>464.39840596000016</v>
      </c>
      <c r="M17" s="23">
        <f>L17-M8+MAX(0,-M7)</f>
        <v>444.2704736200002</v>
      </c>
      <c r="N17" s="23">
        <f>M17-N8+MAX(0,-N7)</f>
        <v>417.8185412800002</v>
      </c>
      <c r="O17" s="23">
        <f>N17-O8+MAX(0,-O7)</f>
        <v>386.6236089400002</v>
      </c>
      <c r="P17" s="23">
        <f>O17-P8+MAX(0,-P7)</f>
        <v>355.42867660000024</v>
      </c>
      <c r="Q17" s="23">
        <f>P17-Q8+MAX(0,-Q7)</f>
        <v>324.23374426000026</v>
      </c>
      <c r="R17" s="23">
        <f>Q17-R8+MAX(0,-R7)</f>
        <v>293.0388119200003</v>
      </c>
      <c r="S17" s="23">
        <f>R17-S8+MAX(0,-S7)</f>
        <v>261.8438795800003</v>
      </c>
      <c r="T17" s="23">
        <f>S17-T8+MAX(0,-T7)</f>
        <v>230.6489472400003</v>
      </c>
      <c r="U17" s="23">
        <f>T17-U8+MAX(0,-U7)</f>
        <v>199.4540149000003</v>
      </c>
      <c r="V17" s="23">
        <f>U17-V8+MAX(0,-V7)</f>
        <v>168.25908256000028</v>
      </c>
    </row>
    <row r="19">
      <c r="A19" s="14" t="inlineStr">
        <is>
          <t>PV of risked pipeline contribution</t>
        </is>
      </c>
      <c r="B19" s="23">
        <f>SUMPRODUCT(C5:V5,C15:V15)</f>
        <v>69.2218028636735</v>
      </c>
    </row>
    <row r="20">
      <c r="A20" s="14" t="inlineStr">
        <is>
          <t>PV of corporate burn</t>
        </is>
      </c>
      <c r="B20" s="23">
        <f>SUMPRODUCT(C6:V6,C15:V15)</f>
        <v>-79.8262384122242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-10.604435548550708</v>
      </c>
    </row>
    <row r="23">
      <c r="A23" s="14" t="inlineStr">
        <is>
          <t>Cash &amp; investments</t>
        </is>
      </c>
      <c r="B23" s="57">
        <f>Main!C7</f>
        <v>9.797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-0.807435548550707</v>
      </c>
    </row>
    <row r="26">
      <c r="A26" s="14" t="inlineStr">
        <is>
          <t>Shares (mm)</t>
        </is>
      </c>
      <c r="B26" s="57">
        <f>Main!C4</f>
        <v>1.80197</v>
      </c>
    </row>
    <row r="27">
      <c r="A27" s="24" t="inlineStr">
        <is>
          <t>rNPV / share</t>
        </is>
      </c>
      <c r="B27" s="60">
        <f>B25/B26</f>
        <v>-0.4480849007201601</v>
      </c>
    </row>
    <row r="28">
      <c r="A28" s="14" t="inlineStr">
        <is>
          <t>Price</t>
        </is>
      </c>
      <c r="B28" s="61">
        <f>Main!C3</f>
        <v>1.615</v>
      </c>
    </row>
    <row r="29">
      <c r="A29" s="14" t="inlineStr">
        <is>
          <t>Upside</t>
        </is>
      </c>
      <c r="B29" s="62">
        <f>B27/B28-1</f>
        <v>-1.277451950910316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2026-10-21T06:31:33Z</dcterms:modified>
  <cp:lastModifiedBy>Wang, Eric</cp:lastModifiedBy>
</cp:coreProperties>
</file>