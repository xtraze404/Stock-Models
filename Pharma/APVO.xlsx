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Aptevo Therapeutics Inc</t>
        </is>
      </c>
      <c r="C2" s="10" t="n"/>
    </row>
    <row r="3">
      <c r="B3" t="inlineStr">
        <is>
          <t>Price</t>
        </is>
      </c>
      <c r="C3" s="11">
        <f>INDEX([1]Pharma!$F$1:$F$1000,MATCH("APVO",[1]Pharma!$B$1:$B$1000,0))</f>
        <v>1.615</v>
      </c>
      <c r="F3" s="1" t="n"/>
    </row>
    <row r="4">
      <c r="B4" t="inlineStr">
        <is>
          <t>Shares</t>
        </is>
      </c>
      <c r="C4" s="21" t="n">
        <v>1.80197</v>
      </c>
      <c r="F4" s="1" t="n"/>
    </row>
    <row r="5">
      <c r="B5" t="inlineStr">
        <is>
          <t>Market Cap.</t>
        </is>
      </c>
      <c r="C5" s="13">
        <f>C3*C4</f>
        <v>2.91018155</v>
      </c>
      <c r="F5" s="1" t="n"/>
    </row>
    <row r="6"/>
    <row r="7">
      <c r="B7" t="inlineStr">
        <is>
          <t>Cash</t>
        </is>
      </c>
      <c r="C7" s="21" t="n">
        <v>9.797000000000001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-6.886818450000001</v>
      </c>
    </row>
    <row r="10"/>
    <row r="11">
      <c r="B11" s="14" t="inlineStr">
        <is>
          <t>Net Cash / Share</t>
        </is>
      </c>
      <c r="C11" s="11">
        <f>(C7-C8)/C4</f>
        <v>5.436827472155475</v>
      </c>
    </row>
    <row r="12">
      <c r="B12" s="14" t="inlineStr">
        <is>
          <t>Upside</t>
        </is>
      </c>
      <c r="C12" s="15">
        <f>IFERROR(C11/C3-1,"")</f>
        <v>2.3664566391055573</v>
      </c>
    </row>
    <row r="13">
      <c r="B13" s="14" t="inlineStr">
        <is>
          <t>Cash / Share</t>
        </is>
      </c>
      <c r="C13" s="11">
        <f>IFERROR((C7-C8)/C4,"")</f>
        <v>5.436827472155475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-25.343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0.38657617488063767</v>
      </c>
    </row>
    <row r="19">
      <c r="B19" s="14" t="inlineStr">
        <is>
          <t>Implied Pipeline Value</t>
        </is>
      </c>
      <c r="C19" s="13">
        <f>C9</f>
        <v>-6.886818450000001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33.601</v>
      </c>
      <c r="C2" s="23" t="n">
        <v>9.984999999999999</v>
      </c>
      <c r="D2" s="23" t="n">
        <v>14.658</v>
      </c>
      <c r="E2" s="23" t="n">
        <v>23.067</v>
      </c>
      <c r="F2" s="23" t="n">
        <v>32.424</v>
      </c>
      <c r="G2" s="23" t="n">
        <v>4.309</v>
      </c>
      <c r="H2" s="23" t="n">
        <v>12.292</v>
      </c>
      <c r="I2" s="23" t="n">
        <v>3.114</v>
      </c>
      <c r="J2" s="23" t="n">
        <v>0</v>
      </c>
      <c r="K2" s="23" t="n">
        <v>0</v>
      </c>
      <c r="L2" s="23" t="n">
        <v>0</v>
      </c>
    </row>
    <row r="3" customFormat="1" s="1">
      <c r="A3" s="5" t="inlineStr">
        <is>
          <t>Cost of Sales</t>
        </is>
      </c>
      <c r="B3" s="23" t="n">
        <v>16.933</v>
      </c>
      <c r="C3" s="23" t="n">
        <v>12.467</v>
      </c>
      <c r="D3" s="23" t="n">
        <v>5.01</v>
      </c>
      <c r="E3" s="23" t="n">
        <v>11.214</v>
      </c>
      <c r="F3" s="23" t="n">
        <v>19.927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</row>
    <row r="4" customFormat="1" s="1">
      <c r="A4" s="5" t="inlineStr">
        <is>
          <t>Gross Margin</t>
        </is>
      </c>
      <c r="B4" s="23">
        <f>B2-B3</f>
        <v>16.668</v>
      </c>
      <c r="C4" s="23">
        <f>C2-C3</f>
        <v>-2.482000000000001</v>
      </c>
      <c r="D4" s="23">
        <f>D2-D3</f>
        <v>9.648</v>
      </c>
      <c r="E4" s="23">
        <f>E2-E3</f>
        <v>11.853</v>
      </c>
      <c r="F4" s="23">
        <f>F2-F3</f>
        <v>12.497</v>
      </c>
      <c r="G4" s="23">
        <f>G2-G3</f>
        <v>4.309</v>
      </c>
      <c r="H4" s="23">
        <f>H2-H3</f>
        <v>12.292</v>
      </c>
      <c r="I4" s="23">
        <f>I2-I3</f>
        <v>3.114</v>
      </c>
      <c r="J4" s="23">
        <f>J2-J3</f>
        <v>0.0</v>
      </c>
      <c r="K4" s="23">
        <f>K2-K3</f>
        <v>0.0</v>
      </c>
      <c r="L4" s="23">
        <f>L2-L3</f>
        <v>0.0</v>
      </c>
    </row>
    <row r="5">
      <c r="A5" s="2" t="inlineStr">
        <is>
          <t>Research &amp; Dev.</t>
        </is>
      </c>
      <c r="B5" s="23" t="n">
        <v>34.726</v>
      </c>
      <c r="C5" s="23" t="n">
        <v>29.12</v>
      </c>
      <c r="D5" s="23" t="n">
        <v>29.021</v>
      </c>
      <c r="E5" s="23" t="n">
        <v>35.385</v>
      </c>
      <c r="F5" s="23" t="n">
        <v>24.763</v>
      </c>
      <c r="G5" s="23" t="n">
        <v>17.852</v>
      </c>
      <c r="H5" s="23" t="n">
        <v>18.994</v>
      </c>
      <c r="I5" s="23" t="n">
        <v>17.882</v>
      </c>
      <c r="J5" s="23" t="n">
        <v>17.107</v>
      </c>
      <c r="K5" s="23" t="n">
        <v>14.378</v>
      </c>
      <c r="L5" s="23" t="n">
        <v>14.54</v>
      </c>
    </row>
    <row r="6">
      <c r="A6" s="19" t="inlineStr">
        <is>
          <t>SG&amp;A &amp; Other</t>
        </is>
      </c>
      <c r="B6" s="23" t="n">
        <v>43.042</v>
      </c>
      <c r="C6" s="23" t="n">
        <v>107.171</v>
      </c>
      <c r="D6" s="23" t="n">
        <v>34.576</v>
      </c>
      <c r="E6" s="23" t="n">
        <v>28.133</v>
      </c>
      <c r="F6" s="23" t="n">
        <v>28.696</v>
      </c>
      <c r="G6" s="23" t="n">
        <v>13.951</v>
      </c>
      <c r="H6" s="23" t="n">
        <v>14.698</v>
      </c>
      <c r="I6" s="23" t="n">
        <v>13.873</v>
      </c>
      <c r="J6" s="23" t="n">
        <v>11.771</v>
      </c>
      <c r="K6" s="23" t="n">
        <v>10.224</v>
      </c>
      <c r="L6" s="23" t="n">
        <v>11.772</v>
      </c>
    </row>
    <row r="7">
      <c r="A7" s="2" t="inlineStr">
        <is>
          <t>Operating Expense</t>
        </is>
      </c>
      <c r="B7" s="23">
        <f>SUM(B5:B6)</f>
        <v>77.768</v>
      </c>
      <c r="C7" s="23">
        <f>SUM(C5:C6)</f>
        <v>136.291</v>
      </c>
      <c r="D7" s="23">
        <f>SUM(D5:D6)</f>
        <v>63.597</v>
      </c>
      <c r="E7" s="23">
        <f>SUM(E5:E6)</f>
        <v>63.518</v>
      </c>
      <c r="F7" s="23">
        <f>SUM(F5:F6)</f>
        <v>53.459</v>
      </c>
      <c r="G7" s="23">
        <f>SUM(G5:G6)</f>
        <v>31.803</v>
      </c>
      <c r="H7" s="23">
        <f>SUM(H5:H6)</f>
        <v>33.692</v>
      </c>
      <c r="I7" s="23">
        <f>SUM(I5:I6)</f>
        <v>31.755000000000003</v>
      </c>
      <c r="J7" s="23">
        <f>SUM(J5:J6)</f>
        <v>28.878</v>
      </c>
      <c r="K7" s="23">
        <f>SUM(K5:K6)</f>
        <v>24.602</v>
      </c>
      <c r="L7" s="23">
        <f>SUM(L5:L6)</f>
        <v>26.311999999999998</v>
      </c>
    </row>
    <row r="8">
      <c r="A8" s="2" t="inlineStr">
        <is>
          <t>Operating Income</t>
        </is>
      </c>
      <c r="B8" s="23">
        <f>B4-B7</f>
        <v>-61.1</v>
      </c>
      <c r="C8" s="23">
        <f>C4-C7</f>
        <v>-138.773</v>
      </c>
      <c r="D8" s="23">
        <f>D4-D7</f>
        <v>-53.949</v>
      </c>
      <c r="E8" s="23">
        <f>E4-E7</f>
        <v>-51.665</v>
      </c>
      <c r="F8" s="23">
        <f>F4-F7</f>
        <v>-40.962</v>
      </c>
      <c r="G8" s="23">
        <f>G4-G7</f>
        <v>-27.494</v>
      </c>
      <c r="H8" s="23">
        <f>H4-H7</f>
        <v>-21.4</v>
      </c>
      <c r="I8" s="23">
        <f>I4-I7</f>
        <v>-28.641000000000002</v>
      </c>
      <c r="J8" s="23">
        <f>J4-J7</f>
        <v>-28.878</v>
      </c>
      <c r="K8" s="23">
        <f>K4-K7</f>
        <v>-24.602</v>
      </c>
      <c r="L8" s="23">
        <f>L4-L7</f>
        <v>-26.311999999999998</v>
      </c>
    </row>
    <row r="9">
      <c r="A9" s="19" t="inlineStr">
        <is>
          <t>Interest &amp; Other</t>
        </is>
      </c>
      <c r="B9" s="23" t="n">
        <v>-0.237</v>
      </c>
      <c r="C9" s="23" t="n">
        <v>6.666</v>
      </c>
      <c r="D9" s="23" t="n">
        <v>37.621</v>
      </c>
      <c r="E9" s="23" t="n">
        <v>-2.024</v>
      </c>
      <c r="F9" s="23" t="n">
        <v>0.514</v>
      </c>
      <c r="G9" s="23" t="n">
        <v>9.744</v>
      </c>
      <c r="H9" s="23" t="n">
        <v>-7.057</v>
      </c>
      <c r="I9" s="23" t="n">
        <v>36.668</v>
      </c>
      <c r="J9" s="23" t="n">
        <v>11.467</v>
      </c>
      <c r="K9" s="23" t="n">
        <v>0.472</v>
      </c>
      <c r="L9" s="23" t="n">
        <v>0.345</v>
      </c>
    </row>
    <row r="10">
      <c r="A10" s="2" t="inlineStr">
        <is>
          <t>Pretax</t>
        </is>
      </c>
      <c r="B10" s="23">
        <f>B8+B9</f>
        <v>-61.337</v>
      </c>
      <c r="C10" s="23">
        <f>C8+C9</f>
        <v>-132.107</v>
      </c>
      <c r="D10" s="23">
        <f>D8+D9</f>
        <v>-16.327999999999996</v>
      </c>
      <c r="E10" s="23">
        <f>E8+E9</f>
        <v>-53.689</v>
      </c>
      <c r="F10" s="23">
        <f>F8+F9</f>
        <v>-40.448</v>
      </c>
      <c r="G10" s="23">
        <f>G8+G9</f>
        <v>-17.75</v>
      </c>
      <c r="H10" s="23">
        <f>H8+H9</f>
        <v>-28.457</v>
      </c>
      <c r="I10" s="23">
        <f>I8+I9</f>
        <v>8.026999999999997</v>
      </c>
      <c r="J10" s="23">
        <f>J8+J9</f>
        <v>-17.411</v>
      </c>
      <c r="K10" s="23">
        <f>K8+K9</f>
        <v>-24.13</v>
      </c>
      <c r="L10" s="23">
        <f>L8+L9</f>
        <v>-25.967</v>
      </c>
    </row>
    <row r="11">
      <c r="A11" s="2" t="inlineStr">
        <is>
          <t>Taxes</t>
        </is>
      </c>
      <c r="B11" s="23" t="n">
        <v>-2.02</v>
      </c>
      <c r="C11" s="23" t="n">
        <v>-19.692</v>
      </c>
      <c r="D11" s="23" t="n">
        <v>-23.301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</row>
    <row r="12">
      <c r="A12" s="2" t="inlineStr">
        <is>
          <t>Net Income</t>
        </is>
      </c>
      <c r="B12" s="23" t="n">
        <v>-59.317</v>
      </c>
      <c r="C12" s="23" t="n">
        <v>-112.415</v>
      </c>
      <c r="D12" s="23" t="n">
        <v>6.973</v>
      </c>
      <c r="E12" s="23" t="n">
        <v>-53.689</v>
      </c>
      <c r="F12" s="23" t="n">
        <v>-40.448</v>
      </c>
      <c r="G12" s="23" t="n">
        <v>-17.75</v>
      </c>
      <c r="H12" s="23" t="n">
        <v>-28.457</v>
      </c>
      <c r="I12" s="23" t="n">
        <v>8.026999999999999</v>
      </c>
      <c r="J12" s="23" t="n">
        <v>-17.411</v>
      </c>
      <c r="K12" s="23" t="n">
        <v>-24.13</v>
      </c>
      <c r="L12" s="23" t="n">
        <v>-25.967</v>
      </c>
    </row>
    <row r="13">
      <c r="A13" s="2" t="inlineStr">
        <is>
          <t>Earnings per Share</t>
        </is>
      </c>
      <c r="B13" s="11">
        <f>IFERROR(B12/B14,0)</f>
        <v>-19.518591641987495</v>
      </c>
      <c r="C13" s="11">
        <f>IFERROR(C12/C14,0)</f>
        <v>-36.97861842105263</v>
      </c>
      <c r="D13" s="11">
        <f>IFERROR(D12/D14,0)</f>
        <v>2.1756630265210606</v>
      </c>
      <c r="E13" s="11">
        <f>IFERROR(E12/E14,0)</f>
        <v>-15.88431952662722</v>
      </c>
      <c r="F13" s="11">
        <f>IFERROR(F12/F14,0)</f>
        <v>-92.34703196347031</v>
      </c>
      <c r="G13" s="11">
        <f>IFERROR(G12/G14,0)</f>
        <v>-34.87229862475442</v>
      </c>
      <c r="H13" s="11">
        <f>IFERROR(H12/H14,0)</f>
        <v>-40.421875</v>
      </c>
      <c r="I13" s="11">
        <f>IFERROR(I12/I14,0)</f>
        <v>10.465449804432854</v>
      </c>
      <c r="J13" s="11">
        <f>IFERROR(J12/J14,0)</f>
        <v>-22.700130378096482</v>
      </c>
      <c r="K13" s="11">
        <f>IFERROR(K12/K14,0)</f>
        <v>-31.460234680573663</v>
      </c>
      <c r="L13" s="11">
        <f>IFERROR(L12/L14,0)</f>
        <v>-82.17405063291139</v>
      </c>
    </row>
    <row r="14">
      <c r="A14" s="2" t="inlineStr">
        <is>
          <t>Shares</t>
        </is>
      </c>
      <c r="B14" s="23" t="n">
        <v>3.039</v>
      </c>
      <c r="C14" s="23" t="n">
        <v>3.04</v>
      </c>
      <c r="D14" s="23" t="n">
        <v>3.205</v>
      </c>
      <c r="E14" s="23" t="n">
        <v>3.38</v>
      </c>
      <c r="F14" s="23" t="n">
        <v>0.438</v>
      </c>
      <c r="G14" s="23" t="n">
        <v>0.509</v>
      </c>
      <c r="H14" s="23" t="n">
        <v>0.704</v>
      </c>
      <c r="I14" s="23" t="n">
        <v>0.767</v>
      </c>
      <c r="J14" s="23" t="n">
        <v>0.767</v>
      </c>
      <c r="K14" s="23" t="n">
        <v>0.767</v>
      </c>
      <c r="L14" s="23" t="n">
        <v>0.316</v>
      </c>
    </row>
    <row r="15"/>
    <row r="16" customFormat="1" s="4">
      <c r="A16" s="3" t="inlineStr">
        <is>
          <t>Revenue Change</t>
        </is>
      </c>
      <c r="C16" s="15">
        <f>IFERROR(C2/B2-1,"")</f>
        <v>-0.7028362251123479</v>
      </c>
      <c r="D16" s="15">
        <f>IFERROR(D2/C2-1,"")</f>
        <v>0.4680020030045069</v>
      </c>
      <c r="E16" s="15">
        <f>IFERROR(E2/D2-1,"")</f>
        <v>0.5736799017601311</v>
      </c>
      <c r="F16" s="15">
        <f>IFERROR(F2/E2-1,"")</f>
        <v>0.40564442710365456</v>
      </c>
      <c r="G16" s="15">
        <f>IFERROR(G2/F2-1,"")</f>
        <v>-0.8671046138662719</v>
      </c>
      <c r="H16" s="15">
        <f>IFERROR(H2/G2-1,"")</f>
        <v>1.852634021814806</v>
      </c>
      <c r="I16" s="15">
        <f>IFERROR(I2/H2-1,"")</f>
        <v>-0.7466644972339733</v>
      </c>
      <c r="J16" s="15">
        <f>IFERROR(J2/I2-1,"")</f>
        <v>-1.0</v>
      </c>
      <c r="K16" s="15">
        <f>IFERROR(K2/J2-1,"")</f>
        <v/>
      </c>
      <c r="L16" s="15">
        <f>IFERROR(L2/K2-1,"")</f>
        <v/>
      </c>
    </row>
    <row r="17" customFormat="1" s="4">
      <c r="A17" s="3" t="inlineStr">
        <is>
          <t>Gross Margin</t>
        </is>
      </c>
      <c r="B17" s="15">
        <f>IFERROR(B4/B2,"")</f>
        <v>0.4960566649802089</v>
      </c>
      <c r="C17" s="15">
        <f>IFERROR(C4/C2,"")</f>
        <v>-0.24857285928893352</v>
      </c>
      <c r="D17" s="15">
        <f>IFERROR(D4/D2,"")</f>
        <v>0.6582071223905035</v>
      </c>
      <c r="E17" s="15">
        <f>IFERROR(E4/E2,"")</f>
        <v>0.5138509559110417</v>
      </c>
      <c r="F17" s="15">
        <f>IFERROR(F4/F2,"")</f>
        <v>0.3854243770046879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/>
      </c>
      <c r="K17" s="15">
        <f>IFERROR(K4/K2,"")</f>
        <v/>
      </c>
      <c r="L17" s="15">
        <f>IFERROR(L4/L2,"")</f>
        <v/>
      </c>
    </row>
    <row r="18">
      <c r="A18" s="14" t="inlineStr">
        <is>
          <t>Operating Margin</t>
        </is>
      </c>
      <c r="B18" s="15">
        <f>IFERROR(B8/B2,"")</f>
        <v>-1.8183982619564896</v>
      </c>
      <c r="C18" s="15">
        <f>IFERROR(C8/C2,"")</f>
        <v>-13.898147220831246</v>
      </c>
      <c r="D18" s="15">
        <f>IFERROR(D8/D2,"")</f>
        <v>-3.680515759312321</v>
      </c>
      <c r="E18" s="15">
        <f>IFERROR(E8/E2,"")</f>
        <v>-2.239779771968613</v>
      </c>
      <c r="F18" s="15">
        <f>IFERROR(F8/F2,"")</f>
        <v>-1.2633234641006663</v>
      </c>
      <c r="G18" s="15">
        <f>IFERROR(G8/G2,"")</f>
        <v>-6.380598746809004</v>
      </c>
      <c r="H18" s="15">
        <f>IFERROR(H8/H2,"")</f>
        <v>-1.7409697364139276</v>
      </c>
      <c r="I18" s="15">
        <f>IFERROR(I8/I2,"")</f>
        <v>-9.197495183044317</v>
      </c>
      <c r="J18" s="15">
        <f>IFERROR(J8/J2,"")</f>
        <v/>
      </c>
      <c r="K18" s="15">
        <f>IFERROR(K8/K2,"")</f>
        <v/>
      </c>
      <c r="L18" s="15">
        <f>IFERROR(L8/L2,"")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2026-10-21T01:06:49Z</dcterms:modified>
  <cp:lastModifiedBy>Wang, Eric</cp:lastModifiedBy>
</cp:coreProperties>
</file>