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TG Therapeutics, Inc.</t>
        </is>
      </c>
      <c r="C2" s="10" t="n"/>
    </row>
    <row r="3">
      <c r="B3" t="inlineStr">
        <is>
          <t>Price</t>
        </is>
      </c>
      <c r="C3" s="11">
        <f>INDEX([1]Pharma!$F$1:$F$1000,MATCH("TGTX",[1]Pharma!$B$1:$B$1000,0))</f>
        <v>54.53</v>
      </c>
      <c r="F3" s="1" t="n"/>
    </row>
    <row r="4">
      <c r="B4" t="inlineStr">
        <is>
          <t>Shares</t>
        </is>
      </c>
      <c r="C4" s="51" t="n">
        <v>153.069053</v>
      </c>
      <c r="F4" s="1" t="n"/>
    </row>
    <row r="5">
      <c r="B5" t="inlineStr">
        <is>
          <t>Market Cap.</t>
        </is>
      </c>
      <c r="C5" s="13">
        <f>C3*C4</f>
        <v>8346.85546009</v>
      </c>
      <c r="F5" s="1" t="n"/>
    </row>
    <row r="6"/>
    <row r="7">
      <c r="B7" t="inlineStr">
        <is>
          <t>Cash</t>
        </is>
      </c>
      <c r="C7" s="51" t="n">
        <v>612.3</v>
      </c>
    </row>
    <row r="8">
      <c r="B8" t="inlineStr">
        <is>
          <t>Debt</t>
        </is>
      </c>
      <c r="C8" s="51" t="n">
        <v>745.3869999999999</v>
      </c>
    </row>
    <row r="9">
      <c r="B9" t="inlineStr">
        <is>
          <t>Enterprise V.</t>
        </is>
      </c>
      <c r="C9" s="13">
        <f>C5-C7+C8</f>
        <v>8479.94246009</v>
      </c>
    </row>
    <row r="10"/>
    <row r="11">
      <c r="B11" s="14" t="inlineStr">
        <is>
          <t>NPV / Share</t>
        </is>
      </c>
      <c r="C11" s="11">
        <f>NPV!B28</f>
        <v>31.00164458988266</v>
      </c>
    </row>
    <row r="12">
      <c r="B12" s="14" t="inlineStr">
        <is>
          <t>Upside</t>
        </is>
      </c>
      <c r="C12" s="15">
        <f>IFERROR(C11/C3-1,"")</f>
        <v>-0.4314754338917539</v>
      </c>
    </row>
    <row r="13">
      <c r="B13" s="14" t="inlineStr">
        <is>
          <t>Cash / Share</t>
        </is>
      </c>
      <c r="C13" s="11">
        <f>IFERROR((C7-C8)/C4,"")</f>
        <v>-0.8694572638402617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2001</v>
      </c>
      <c r="C1" s="16" t="n">
        <v>2002</v>
      </c>
      <c r="D1" s="16" t="n">
        <v>2003</v>
      </c>
      <c r="E1" s="16" t="n">
        <v>2004</v>
      </c>
      <c r="F1" s="16" t="n">
        <v>2005</v>
      </c>
      <c r="G1" s="16" t="n">
        <v>2006</v>
      </c>
      <c r="H1" s="16" t="n">
        <v>2007</v>
      </c>
      <c r="I1" s="16" t="n">
        <v>2008</v>
      </c>
      <c r="J1" s="16" t="n">
        <v>2009</v>
      </c>
      <c r="K1" s="16" t="n">
        <v>2010</v>
      </c>
      <c r="L1" s="16" t="n">
        <v>2011</v>
      </c>
      <c r="M1" s="16" t="n">
        <v>2012</v>
      </c>
      <c r="N1" s="16" t="n">
        <v>2013</v>
      </c>
      <c r="O1" s="16" t="n">
        <v>2014</v>
      </c>
      <c r="P1" s="16" t="n">
        <v>2015</v>
      </c>
      <c r="Q1" s="16" t="n">
        <v>2016</v>
      </c>
      <c r="R1" s="16" t="n">
        <v>2017</v>
      </c>
      <c r="S1" s="16" t="n">
        <v>2018</v>
      </c>
      <c r="T1" s="16" t="n">
        <v>2019</v>
      </c>
      <c r="U1" s="16" t="n">
        <v>2020</v>
      </c>
      <c r="V1" s="16" t="n">
        <v>2021</v>
      </c>
      <c r="W1" s="16" t="n">
        <v>2022</v>
      </c>
      <c r="X1" s="16" t="n">
        <v>2023</v>
      </c>
      <c r="Y1" s="16" t="n">
        <v>2024</v>
      </c>
      <c r="Z1" s="16" t="n">
        <v>2025</v>
      </c>
      <c r="AA1" s="16" t="n">
        <v>2026</v>
      </c>
      <c r="AB1" s="16" t="n">
        <v>2027</v>
      </c>
      <c r="AC1" s="16" t="n">
        <v>2028</v>
      </c>
      <c r="AD1" s="16" t="n">
        <v>2029</v>
      </c>
      <c r="AE1" s="16" t="n">
        <v>2030</v>
      </c>
      <c r="AF1" s="16" t="n">
        <v>2031</v>
      </c>
      <c r="AG1" s="16" t="n">
        <v>2032</v>
      </c>
      <c r="AH1" s="16" t="n">
        <v>2033</v>
      </c>
      <c r="AI1" s="16" t="n">
        <v>2034</v>
      </c>
      <c r="AJ1" s="16" t="n">
        <v>2035</v>
      </c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0</v>
      </c>
      <c r="K2" s="52" t="n">
        <v>0</v>
      </c>
      <c r="L2" s="52" t="n">
        <v>0</v>
      </c>
      <c r="M2" s="52" t="n">
        <v>0</v>
      </c>
      <c r="N2" s="52" t="n">
        <v>0</v>
      </c>
      <c r="O2" s="52" t="n">
        <v>0</v>
      </c>
      <c r="P2" s="52" t="n">
        <v>0</v>
      </c>
      <c r="Q2" s="52" t="n">
        <v>0.152</v>
      </c>
      <c r="R2" s="52" t="n">
        <v>0.152</v>
      </c>
      <c r="S2" s="52" t="n">
        <v>0.152</v>
      </c>
      <c r="T2" s="52" t="n">
        <v>0.152</v>
      </c>
      <c r="U2" s="52" t="n">
        <v>0.152</v>
      </c>
      <c r="V2" s="52" t="n">
        <v>6.689</v>
      </c>
      <c r="W2" s="52" t="n">
        <v>2.785</v>
      </c>
      <c r="X2" s="52" t="n">
        <v>233.662</v>
      </c>
      <c r="Y2" s="52" t="n">
        <v>329.004</v>
      </c>
      <c r="Z2" s="52" t="n">
        <v>616.287</v>
      </c>
      <c r="AA2" s="52">
        <f>Z2*(1+NPV!C5)</f>
        <v>831.9874500000001</v>
      </c>
      <c r="AB2" s="52">
        <f>AA2*(1+NPV!D5)</f>
        <v>1093.13906625</v>
      </c>
      <c r="AC2" s="52">
        <f>AB2*(1+NPV!E5)</f>
        <v>1396.7888068749999</v>
      </c>
      <c r="AD2" s="52">
        <f>AC2*(1+NPV!F5)</f>
        <v>1734.3461018697915</v>
      </c>
      <c r="AE2" s="52">
        <f>AD2*(1+NPV!G5)</f>
        <v>2090.8505783652486</v>
      </c>
      <c r="AF2" s="52">
        <f>AE2*(1+NPV!H5)</f>
        <v>2445.1335930326936</v>
      </c>
      <c r="AG2" s="52">
        <f>AF2*(1+NPV!I5)</f>
        <v>2771.1514054370527</v>
      </c>
      <c r="AH2" s="52">
        <f>AG2*(1+NPV!J5)</f>
        <v>3040.5689031878774</v>
      </c>
      <c r="AI2" s="52">
        <f>AH2*(1+NPV!K5)</f>
        <v>3226.381447271581</v>
      </c>
      <c r="AJ2" s="52">
        <f>AI2*(1+NPV!L5)</f>
        <v>3307.04098345337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 t="n">
        <v>0</v>
      </c>
      <c r="T3" s="52" t="n">
        <v>0</v>
      </c>
      <c r="U3" s="52" t="n">
        <v>0</v>
      </c>
      <c r="V3" s="52" t="n">
        <v>0.79</v>
      </c>
      <c r="W3" s="52" t="n">
        <v>0.265</v>
      </c>
      <c r="X3" s="52" t="n">
        <v>14.131</v>
      </c>
      <c r="Y3" s="52" t="n">
        <v>38.486</v>
      </c>
      <c r="Z3" s="52" t="n">
        <v>100.714</v>
      </c>
      <c r="AA3" s="52">
        <f>AA2*(1-Assumptions!$B$19)</f>
        <v>135.94674933000002</v>
      </c>
      <c r="AB3" s="52">
        <f>AB2*(1-Assumptions!$B$19)</f>
        <v>178.61892342525</v>
      </c>
      <c r="AC3" s="52">
        <f>AC2*(1-Assumptions!$B$19)</f>
        <v>228.23529104337496</v>
      </c>
      <c r="AD3" s="52">
        <f>AD2*(1-Assumptions!$B$19)</f>
        <v>283.3921530455239</v>
      </c>
      <c r="AE3" s="52">
        <f>AE2*(1-Assumptions!$B$19)</f>
        <v>341.6449845048816</v>
      </c>
      <c r="AF3" s="52">
        <f>AF2*(1-Assumptions!$B$19)</f>
        <v>399.53482910154213</v>
      </c>
      <c r="AG3" s="52">
        <f>AG2*(1-Assumptions!$B$19)</f>
        <v>452.8061396484144</v>
      </c>
      <c r="AH3" s="52">
        <f>AH2*(1-Assumptions!$B$19)</f>
        <v>496.82895878089914</v>
      </c>
      <c r="AI3" s="52">
        <f>AI2*(1-Assumptions!$B$19)</f>
        <v>527.1907284841762</v>
      </c>
      <c r="AJ3" s="52">
        <f>AJ2*(1-Assumptions!$B$19)</f>
        <v>540.3704966962806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</v>
      </c>
      <c r="K4" s="52">
        <f>K2-K3</f>
        <v>0.0</v>
      </c>
      <c r="L4" s="52">
        <f>L2-L3</f>
        <v>0.0</v>
      </c>
      <c r="M4" s="52">
        <f>M2-M3</f>
        <v>0.0</v>
      </c>
      <c r="N4" s="52">
        <f>N2-N3</f>
        <v>0.0</v>
      </c>
      <c r="O4" s="52">
        <f>O2-O3</f>
        <v>0.0</v>
      </c>
      <c r="P4" s="52">
        <f>P2-P3</f>
        <v>0.0</v>
      </c>
      <c r="Q4" s="52">
        <f>Q2-Q3</f>
        <v>0.152</v>
      </c>
      <c r="R4" s="52">
        <f>R2-R3</f>
        <v>0.152</v>
      </c>
      <c r="S4" s="52">
        <f>S2-S3</f>
        <v>0.152</v>
      </c>
      <c r="T4" s="52">
        <f>T2-T3</f>
        <v>0.152</v>
      </c>
      <c r="U4" s="52">
        <f>U2-U3</f>
        <v>0.152</v>
      </c>
      <c r="V4" s="52">
        <f>V2-V3</f>
        <v>5.899</v>
      </c>
      <c r="W4" s="52">
        <f>W2-W3</f>
        <v>2.52</v>
      </c>
      <c r="X4" s="52">
        <f>X2-X3</f>
        <v>219.531</v>
      </c>
      <c r="Y4" s="52">
        <f>Y2-Y3</f>
        <v>290.51800000000003</v>
      </c>
      <c r="Z4" s="52">
        <f>Z2-Z3</f>
        <v>515.5730000000001</v>
      </c>
      <c r="AA4" s="52">
        <f>AA2-AA3</f>
        <v>696.0407006700001</v>
      </c>
      <c r="AB4" s="52">
        <f>AB2-AB3</f>
        <v>914.5201428247501</v>
      </c>
      <c r="AC4" s="52">
        <f>AC2-AC3</f>
        <v>1168.553515831625</v>
      </c>
      <c r="AD4" s="52">
        <f>AD2-AD3</f>
        <v>1450.9539488242676</v>
      </c>
      <c r="AE4" s="52">
        <f>AE2-AE3</f>
        <v>1749.205593860367</v>
      </c>
      <c r="AF4" s="52">
        <f>AF2-AF3</f>
        <v>2045.5987639311516</v>
      </c>
      <c r="AG4" s="52">
        <f>AG2-AG3</f>
        <v>2318.3452657886382</v>
      </c>
      <c r="AH4" s="52">
        <f>AH2-AH3</f>
        <v>2543.7399444069783</v>
      </c>
      <c r="AI4" s="52">
        <f>AI2-AI3</f>
        <v>2699.1907187874044</v>
      </c>
      <c r="AJ4" s="52">
        <f>AJ2-AJ3</f>
        <v>2766.6704867570893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</v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0.327</v>
      </c>
      <c r="M5" s="52" t="n">
        <v>21.028</v>
      </c>
      <c r="N5" s="52" t="n">
        <v>13.663</v>
      </c>
      <c r="O5" s="52" t="n">
        <v>40.086</v>
      </c>
      <c r="P5" s="52" t="n">
        <v>47.707</v>
      </c>
      <c r="Q5" s="52" t="n">
        <v>69.232</v>
      </c>
      <c r="R5" s="52" t="n">
        <v>102.533</v>
      </c>
      <c r="S5" s="52" t="n">
        <v>159.391</v>
      </c>
      <c r="T5" s="52" t="n">
        <v>154.18</v>
      </c>
      <c r="U5" s="52" t="n">
        <v>165.896</v>
      </c>
      <c r="V5" s="52" t="n">
        <v>222.579</v>
      </c>
      <c r="W5" s="52" t="n">
        <v>125.352</v>
      </c>
      <c r="X5" s="52" t="n">
        <v>76.19199999999999</v>
      </c>
      <c r="Y5" s="52" t="n">
        <v>94.291</v>
      </c>
      <c r="Z5" s="52" t="n">
        <v>160.215</v>
      </c>
      <c r="AA5" s="52">
        <f>AA7*Assumptions!$B$20</f>
        <v>225.38271704547375</v>
      </c>
      <c r="AB5" s="52">
        <f>AB7*Assumptions!$B$20</f>
        <v>294.8105331133752</v>
      </c>
      <c r="AC5" s="52">
        <f>AC7*Assumptions!$B$20</f>
        <v>375.01911259564554</v>
      </c>
      <c r="AD5" s="52">
        <f>AD7*Assumptions!$B$20</f>
        <v>463.55871434421573</v>
      </c>
      <c r="AE5" s="52">
        <f>AE7*Assumptions!$B$20</f>
        <v>556.3261516431365</v>
      </c>
      <c r="AF5" s="52">
        <f>AF7*Assumptions!$B$20</f>
        <v>647.6459579735998</v>
      </c>
      <c r="AG5" s="52">
        <f>AG7*Assumptions!$B$20</f>
        <v>730.6593070901727</v>
      </c>
      <c r="AH5" s="52">
        <f>AH7*Assumptions!$B$20</f>
        <v>798.0315150418191</v>
      </c>
      <c r="AI5" s="52">
        <f>AI7*Assumptions!$B$20</f>
        <v>842.9120760051374</v>
      </c>
      <c r="AJ5" s="52">
        <f>AJ7*Assumptions!$B$20</f>
        <v>859.9996454921306</v>
      </c>
    </row>
    <row r="6">
      <c r="A6" s="18" t="inlineStr">
        <is>
          <t>SG&amp;A &amp; Other</t>
        </is>
      </c>
      <c r="B6" s="52" t="n">
        <v>0.057</v>
      </c>
      <c r="C6" s="52" t="n">
        <v>1.037</v>
      </c>
      <c r="D6" s="52" t="n">
        <v>5.961</v>
      </c>
      <c r="E6" s="52" t="n">
        <v>5.896</v>
      </c>
      <c r="F6" s="52" t="n">
        <v>19.141</v>
      </c>
      <c r="G6" s="52" t="n">
        <v>9.695</v>
      </c>
      <c r="H6" s="52" t="n">
        <v>12.032</v>
      </c>
      <c r="I6" s="52" t="n">
        <v>4.269</v>
      </c>
      <c r="J6" s="52" t="n">
        <v>2.793</v>
      </c>
      <c r="K6" s="52" t="n">
        <v>-0.624</v>
      </c>
      <c r="L6" s="52" t="n">
        <v>0.555</v>
      </c>
      <c r="M6" s="52" t="n">
        <v>5.867</v>
      </c>
      <c r="N6" s="52" t="n">
        <v>9.303000000000001</v>
      </c>
      <c r="O6" s="52" t="n">
        <v>15.635</v>
      </c>
      <c r="P6" s="52" t="n">
        <v>15.473</v>
      </c>
      <c r="Q6" s="52" t="n">
        <v>9.888999999999999</v>
      </c>
      <c r="R6" s="52" t="n">
        <v>16.331</v>
      </c>
      <c r="S6" s="52" t="n">
        <v>15.161</v>
      </c>
      <c r="T6" s="52" t="n">
        <v>15.027</v>
      </c>
      <c r="U6" s="52" t="n">
        <v>107.85</v>
      </c>
      <c r="V6" s="52" t="n">
        <v>128.09</v>
      </c>
      <c r="W6" s="52" t="n">
        <v>95.48399999999999</v>
      </c>
      <c r="X6" s="52" t="n">
        <v>122.706</v>
      </c>
      <c r="Y6" s="52" t="n">
        <v>154.298</v>
      </c>
      <c r="Z6" s="52" t="n">
        <v>232.034</v>
      </c>
      <c r="AA6" s="52">
        <f>AA7-AA5</f>
        <v>326.3497604220263</v>
      </c>
      <c r="AB6" s="52">
        <f>AB7-AB5</f>
        <v>426.87987842487496</v>
      </c>
      <c r="AC6" s="52">
        <f>AC7-AC5</f>
        <v>543.0203307229482</v>
      </c>
      <c r="AD6" s="52">
        <f>AD7-AD5</f>
        <v>671.2239401091888</v>
      </c>
      <c r="AE6" s="52">
        <f>AE7-AE5</f>
        <v>805.5493725750681</v>
      </c>
      <c r="AF6" s="52">
        <f>AF7-AF5</f>
        <v>937.7786637487987</v>
      </c>
      <c r="AG6" s="52">
        <f>AG7-AG5</f>
        <v>1057.980367549173</v>
      </c>
      <c r="AH6" s="52">
        <f>AH7-AH5</f>
        <v>1155.534005256392</v>
      </c>
      <c r="AI6" s="52">
        <f>AI7-AI5</f>
        <v>1220.5201785974023</v>
      </c>
      <c r="AJ6" s="52">
        <f>AJ7-AJ5</f>
        <v>1245.2626445742849</v>
      </c>
    </row>
    <row r="7">
      <c r="A7" s="2" t="inlineStr">
        <is>
          <t>Operating Expense</t>
        </is>
      </c>
      <c r="B7" s="52">
        <f>SUM(B5:B6)</f>
        <v>0.057</v>
      </c>
      <c r="C7" s="52">
        <f>SUM(C5:C6)</f>
        <v>1.037</v>
      </c>
      <c r="D7" s="52">
        <f>SUM(D5:D6)</f>
        <v>5.961</v>
      </c>
      <c r="E7" s="52">
        <f>SUM(E5:E6)</f>
        <v>5.896</v>
      </c>
      <c r="F7" s="52">
        <f>SUM(F5:F6)</f>
        <v>19.141</v>
      </c>
      <c r="G7" s="52">
        <f>SUM(G5:G6)</f>
        <v>9.695</v>
      </c>
      <c r="H7" s="52">
        <f>SUM(H5:H6)</f>
        <v>12.032</v>
      </c>
      <c r="I7" s="52">
        <f>SUM(I5:I6)</f>
        <v>4.269</v>
      </c>
      <c r="J7" s="52">
        <f>SUM(J5:J6)</f>
        <v>2.793</v>
      </c>
      <c r="K7" s="52">
        <f>SUM(K5:K6)</f>
        <v>-0.624</v>
      </c>
      <c r="L7" s="52">
        <f>SUM(L5:L6)</f>
        <v>0.8820000000000001</v>
      </c>
      <c r="M7" s="52">
        <f>SUM(M5:M6)</f>
        <v>26.895</v>
      </c>
      <c r="N7" s="52">
        <f>SUM(N5:N6)</f>
        <v>22.966</v>
      </c>
      <c r="O7" s="52">
        <f>SUM(O5:O6)</f>
        <v>55.721</v>
      </c>
      <c r="P7" s="52">
        <f>SUM(P5:P6)</f>
        <v>63.18</v>
      </c>
      <c r="Q7" s="52">
        <f>SUM(Q5:Q6)</f>
        <v>79.121</v>
      </c>
      <c r="R7" s="52">
        <f>SUM(R5:R6)</f>
        <v>118.864</v>
      </c>
      <c r="S7" s="52">
        <f>SUM(S5:S6)</f>
        <v>174.552</v>
      </c>
      <c r="T7" s="52">
        <f>SUM(T5:T6)</f>
        <v>169.207</v>
      </c>
      <c r="U7" s="52">
        <f>SUM(U5:U6)</f>
        <v>273.746</v>
      </c>
      <c r="V7" s="52">
        <f>SUM(V5:V6)</f>
        <v>350.669</v>
      </c>
      <c r="W7" s="52">
        <f>SUM(W5:W6)</f>
        <v>220.836</v>
      </c>
      <c r="X7" s="52">
        <f>SUM(X5:X6)</f>
        <v>198.898</v>
      </c>
      <c r="Y7" s="52">
        <f>SUM(Y5:Y6)</f>
        <v>248.589</v>
      </c>
      <c r="Z7" s="52">
        <f>SUM(Z5:Z6)</f>
        <v>392.249</v>
      </c>
      <c r="AA7" s="52">
        <f>AA4-AA2*NPV!C6</f>
        <v>551.7324774675001</v>
      </c>
      <c r="AB7" s="52">
        <f>AB4-AB2*NPV!D6</f>
        <v>721.6904115382501</v>
      </c>
      <c r="AC7" s="52">
        <f>AC4-AC2*NPV!E6</f>
        <v>918.0394433185937</v>
      </c>
      <c r="AD7" s="52">
        <f>AD4-AD2*NPV!F6</f>
        <v>1134.7826544534046</v>
      </c>
      <c r="AE7" s="52">
        <f>AE4-AE2*NPV!G6</f>
        <v>1361.8755242182046</v>
      </c>
      <c r="AF7" s="52">
        <f>AF4-AF2*NPV!H6</f>
        <v>1585.4246217223986</v>
      </c>
      <c r="AG7" s="52">
        <f>AG4-AG2*NPV!I6</f>
        <v>1788.6396746393457</v>
      </c>
      <c r="AH7" s="52">
        <f>AH4-AH2*NPV!J6</f>
        <v>1953.5655202982111</v>
      </c>
      <c r="AI7" s="52">
        <f>AI4-AI2*NPV!K6</f>
        <v>2063.4322546025396</v>
      </c>
      <c r="AJ7" s="52">
        <f>AJ4-AJ2*NPV!L6</f>
        <v>2105.2622900664155</v>
      </c>
    </row>
    <row r="8">
      <c r="A8" s="2" t="inlineStr">
        <is>
          <t>Operating Income</t>
        </is>
      </c>
      <c r="B8" s="52">
        <f>B4-B7</f>
        <v>-0.057</v>
      </c>
      <c r="C8" s="52">
        <f>C4-C7</f>
        <v>-1.037</v>
      </c>
      <c r="D8" s="52">
        <f>D4-D7</f>
        <v>-5.961</v>
      </c>
      <c r="E8" s="52">
        <f>E4-E7</f>
        <v>-5.896</v>
      </c>
      <c r="F8" s="52">
        <f>F4-F7</f>
        <v>-19.141</v>
      </c>
      <c r="G8" s="52">
        <f>G4-G7</f>
        <v>-9.695</v>
      </c>
      <c r="H8" s="52">
        <f>H4-H7</f>
        <v>-12.032</v>
      </c>
      <c r="I8" s="52">
        <f>I4-I7</f>
        <v>-4.269</v>
      </c>
      <c r="J8" s="52">
        <f>J4-J7</f>
        <v>-2.793</v>
      </c>
      <c r="K8" s="52">
        <f>K4-K7</f>
        <v>0.624</v>
      </c>
      <c r="L8" s="52">
        <f>L4-L7</f>
        <v>-0.8820000000000001</v>
      </c>
      <c r="M8" s="52">
        <f>M4-M7</f>
        <v>-26.895</v>
      </c>
      <c r="N8" s="52">
        <f>N4-N7</f>
        <v>-22.966</v>
      </c>
      <c r="O8" s="52">
        <f>O4-O7</f>
        <v>-55.721</v>
      </c>
      <c r="P8" s="52">
        <f>P4-P7</f>
        <v>-63.18</v>
      </c>
      <c r="Q8" s="52">
        <f>Q4-Q7</f>
        <v>-78.969</v>
      </c>
      <c r="R8" s="52">
        <f>R4-R7</f>
        <v>-118.712</v>
      </c>
      <c r="S8" s="52">
        <f>S4-S7</f>
        <v>-174.4</v>
      </c>
      <c r="T8" s="52">
        <f>T4-T7</f>
        <v>-169.055</v>
      </c>
      <c r="U8" s="52">
        <f>U4-U7</f>
        <v>-273.594</v>
      </c>
      <c r="V8" s="52">
        <f>V4-V7</f>
        <v>-344.77</v>
      </c>
      <c r="W8" s="52">
        <f>W4-W7</f>
        <v>-218.316</v>
      </c>
      <c r="X8" s="52">
        <f>X4-X7</f>
        <v>20.63300000000001</v>
      </c>
      <c r="Y8" s="52">
        <f>Y4-Y7</f>
        <v>41.92900000000003</v>
      </c>
      <c r="Z8" s="52">
        <f>Z4-Z7</f>
        <v>123.32400000000007</v>
      </c>
      <c r="AA8" s="52">
        <f>AA4-AA7</f>
        <v>144.30822320250002</v>
      </c>
      <c r="AB8" s="52">
        <f>AB4-AB7</f>
        <v>192.82973128649996</v>
      </c>
      <c r="AC8" s="52">
        <f>AC4-AC7</f>
        <v>250.51407251303124</v>
      </c>
      <c r="AD8" s="52">
        <f>AD4-AD7</f>
        <v>316.17129437086305</v>
      </c>
      <c r="AE8" s="52">
        <f>AE4-AE7</f>
        <v>387.33006964216224</v>
      </c>
      <c r="AF8" s="52">
        <f>AF4-AF7</f>
        <v>460.174142208753</v>
      </c>
      <c r="AG8" s="52">
        <f>AG4-AG7</f>
        <v>529.7055911492926</v>
      </c>
      <c r="AH8" s="52">
        <f>AH4-AH7</f>
        <v>590.1744241087672</v>
      </c>
      <c r="AI8" s="52">
        <f>AI4-AI7</f>
        <v>635.7584641848648</v>
      </c>
      <c r="AJ8" s="52">
        <f>AJ4-AJ7</f>
        <v>661.4081966906738</v>
      </c>
    </row>
    <row r="9">
      <c r="A9" s="18" t="inlineStr">
        <is>
          <t>Interest &amp; Other</t>
        </is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0.029</v>
      </c>
      <c r="M9" s="52" t="n">
        <v>9.122</v>
      </c>
      <c r="N9" s="52" t="n">
        <v>2.488</v>
      </c>
      <c r="O9" s="52" t="n">
        <v>-0.06</v>
      </c>
      <c r="P9" s="52" t="n">
        <v>0.231</v>
      </c>
      <c r="Q9" s="52" t="n">
        <v>0.716</v>
      </c>
      <c r="R9" s="52" t="n">
        <v>0.236</v>
      </c>
      <c r="S9" s="52" t="n">
        <v>0.918</v>
      </c>
      <c r="T9" s="52" t="n">
        <v>-3.816</v>
      </c>
      <c r="U9" s="52" t="n">
        <v>-5.787</v>
      </c>
      <c r="V9" s="52" t="n">
        <v>-3.33</v>
      </c>
      <c r="W9" s="52" t="n">
        <v>20.016</v>
      </c>
      <c r="X9" s="52" t="n">
        <v>-7.543</v>
      </c>
      <c r="Y9" s="52" t="n">
        <v>-16.318</v>
      </c>
      <c r="Z9" s="52" t="n">
        <v>-15.913</v>
      </c>
      <c r="AA9" s="52" t="n">
        <v>0</v>
      </c>
      <c r="AB9" s="52" t="n">
        <v>0</v>
      </c>
      <c r="AC9" s="52" t="n">
        <v>0</v>
      </c>
      <c r="AD9" s="52" t="n">
        <v>0</v>
      </c>
      <c r="AE9" s="52" t="n">
        <v>0</v>
      </c>
      <c r="AF9" s="52" t="n">
        <v>0</v>
      </c>
      <c r="AG9" s="52" t="n">
        <v>0</v>
      </c>
      <c r="AH9" s="52" t="n">
        <v>0</v>
      </c>
      <c r="AI9" s="52" t="n">
        <v>0</v>
      </c>
      <c r="AJ9" s="52" t="n">
        <v>0</v>
      </c>
    </row>
    <row r="10">
      <c r="A10" s="2" t="inlineStr">
        <is>
          <t>Pretax</t>
        </is>
      </c>
      <c r="B10" s="52">
        <f>B8+B9</f>
        <v>-0.057</v>
      </c>
      <c r="C10" s="52">
        <f>C8+C9</f>
        <v>-1.037</v>
      </c>
      <c r="D10" s="52">
        <f>D8+D9</f>
        <v>-5.961</v>
      </c>
      <c r="E10" s="52">
        <f>E8+E9</f>
        <v>-5.896</v>
      </c>
      <c r="F10" s="52">
        <f>F8+F9</f>
        <v>-19.141</v>
      </c>
      <c r="G10" s="52">
        <f>G8+G9</f>
        <v>-9.695</v>
      </c>
      <c r="H10" s="52">
        <f>H8+H9</f>
        <v>-12.032</v>
      </c>
      <c r="I10" s="52">
        <f>I8+I9</f>
        <v>-4.269</v>
      </c>
      <c r="J10" s="52">
        <f>J8+J9</f>
        <v>-2.793</v>
      </c>
      <c r="K10" s="52">
        <f>K8+K9</f>
        <v>0.624</v>
      </c>
      <c r="L10" s="52">
        <f>L8+L9</f>
        <v>-0.8530000000000001</v>
      </c>
      <c r="M10" s="52">
        <f>M8+M9</f>
        <v>-17.773</v>
      </c>
      <c r="N10" s="52">
        <f>N8+N9</f>
        <v>-20.478</v>
      </c>
      <c r="O10" s="52">
        <f>O8+O9</f>
        <v>-55.781</v>
      </c>
      <c r="P10" s="52">
        <f>P8+P9</f>
        <v>-62.949</v>
      </c>
      <c r="Q10" s="52">
        <f>Q8+Q9</f>
        <v>-78.253</v>
      </c>
      <c r="R10" s="52">
        <f>R8+R9</f>
        <v>-118.476</v>
      </c>
      <c r="S10" s="52">
        <f>S8+S9</f>
        <v>-173.482</v>
      </c>
      <c r="T10" s="52">
        <f>T8+T9</f>
        <v>-172.871</v>
      </c>
      <c r="U10" s="52">
        <f>U8+U9</f>
        <v>-279.381</v>
      </c>
      <c r="V10" s="52">
        <f>V8+V9</f>
        <v>-348.09999999999997</v>
      </c>
      <c r="W10" s="52">
        <f>W8+W9</f>
        <v>-198.3</v>
      </c>
      <c r="X10" s="52">
        <f>X8+X9</f>
        <v>13.09000000000001</v>
      </c>
      <c r="Y10" s="52">
        <f>Y8+Y9</f>
        <v>25.61100000000003</v>
      </c>
      <c r="Z10" s="52">
        <f>Z8+Z9</f>
        <v>107.41100000000007</v>
      </c>
      <c r="AA10" s="52">
        <f>AA8+AA9</f>
        <v>144.30822320250002</v>
      </c>
      <c r="AB10" s="52">
        <f>AB8+AB9</f>
        <v>192.82973128649996</v>
      </c>
      <c r="AC10" s="52">
        <f>AC8+AC9</f>
        <v>250.51407251303124</v>
      </c>
      <c r="AD10" s="52">
        <f>AD8+AD9</f>
        <v>316.17129437086305</v>
      </c>
      <c r="AE10" s="52">
        <f>AE8+AE9</f>
        <v>387.33006964216224</v>
      </c>
      <c r="AF10" s="52">
        <f>AF8+AF9</f>
        <v>460.174142208753</v>
      </c>
      <c r="AG10" s="52">
        <f>AG8+AG9</f>
        <v>529.7055911492926</v>
      </c>
      <c r="AH10" s="52">
        <f>AH8+AH9</f>
        <v>590.1744241087672</v>
      </c>
      <c r="AI10" s="52">
        <f>AI8+AI9</f>
        <v>635.7584641848648</v>
      </c>
      <c r="AJ10" s="52">
        <f>AJ8+AJ9</f>
        <v>661.4081966906738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0.3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2" t="n">
        <v>0</v>
      </c>
      <c r="X11" s="52" t="n">
        <v>0.39</v>
      </c>
      <c r="Y11" s="52" t="n">
        <v>2.211</v>
      </c>
      <c r="Z11" s="52" t="n">
        <v>-339.789</v>
      </c>
      <c r="AA11" s="52">
        <f>MAX(0,AA10)*Assumptions!$E$14</f>
        <v>24.532397944425004</v>
      </c>
      <c r="AB11" s="52">
        <f>MAX(0,AB10)*Assumptions!$E$14</f>
        <v>32.781054318704996</v>
      </c>
      <c r="AC11" s="52">
        <f>MAX(0,AC10)*Assumptions!$E$14</f>
        <v>42.58739232721531</v>
      </c>
      <c r="AD11" s="52">
        <f>MAX(0,AD10)*Assumptions!$E$14</f>
        <v>53.74912004304672</v>
      </c>
      <c r="AE11" s="52">
        <f>MAX(0,AE10)*Assumptions!$E$14</f>
        <v>65.84611183916759</v>
      </c>
      <c r="AF11" s="52">
        <f>MAX(0,AF10)*Assumptions!$E$14</f>
        <v>78.229604175488</v>
      </c>
      <c r="AG11" s="52">
        <f>MAX(0,AG10)*Assumptions!$E$14</f>
        <v>90.04995049537975</v>
      </c>
      <c r="AH11" s="52">
        <f>MAX(0,AH10)*Assumptions!$E$14</f>
        <v>100.32965209849043</v>
      </c>
      <c r="AI11" s="52">
        <f>MAX(0,AI10)*Assumptions!$E$14</f>
        <v>108.07893891142703</v>
      </c>
      <c r="AJ11" s="52">
        <f>MAX(0,AJ10)*Assumptions!$E$14</f>
        <v>112.43939343741455</v>
      </c>
    </row>
    <row r="12">
      <c r="A12" s="2" t="inlineStr">
        <is>
          <t>Net Income</t>
        </is>
      </c>
      <c r="B12" s="52" t="n">
        <v>-0.057</v>
      </c>
      <c r="C12" s="52" t="n">
        <v>-1.037</v>
      </c>
      <c r="D12" s="52" t="n">
        <v>-5.961</v>
      </c>
      <c r="E12" s="52" t="n">
        <v>-5.896</v>
      </c>
      <c r="F12" s="52" t="n">
        <v>-19.141</v>
      </c>
      <c r="G12" s="52" t="n">
        <v>-9.695</v>
      </c>
      <c r="H12" s="52" t="n">
        <v>-12.032</v>
      </c>
      <c r="I12" s="52" t="n">
        <v>-4.269</v>
      </c>
      <c r="J12" s="52" t="n">
        <v>-2.793</v>
      </c>
      <c r="K12" s="52" t="n">
        <v>0.624</v>
      </c>
      <c r="L12" s="52" t="n">
        <v>-0.853</v>
      </c>
      <c r="M12" s="52" t="n">
        <v>-18.073</v>
      </c>
      <c r="N12" s="52" t="n">
        <v>-20.478</v>
      </c>
      <c r="O12" s="52" t="n">
        <v>-55.781</v>
      </c>
      <c r="P12" s="52" t="n">
        <v>-62.949</v>
      </c>
      <c r="Q12" s="52" t="n">
        <v>-78.253</v>
      </c>
      <c r="R12" s="52" t="n">
        <v>-118.476</v>
      </c>
      <c r="S12" s="52" t="n">
        <v>-173.482</v>
      </c>
      <c r="T12" s="52" t="n">
        <v>-172.871</v>
      </c>
      <c r="U12" s="52" t="n">
        <v>-279.381</v>
      </c>
      <c r="V12" s="52" t="n">
        <v>-348.1</v>
      </c>
      <c r="W12" s="52" t="n">
        <v>-198.3</v>
      </c>
      <c r="X12" s="52" t="n">
        <v>12.7</v>
      </c>
      <c r="Y12" s="52" t="n">
        <v>23.4</v>
      </c>
      <c r="Z12" s="52" t="n">
        <v>447.2</v>
      </c>
      <c r="AA12" s="52">
        <f>AA10-AA11</f>
        <v>119.77582525807502</v>
      </c>
      <c r="AB12" s="52">
        <f>AB10-AB11</f>
        <v>160.04867696779496</v>
      </c>
      <c r="AC12" s="52">
        <f>AC10-AC11</f>
        <v>207.92668018581594</v>
      </c>
      <c r="AD12" s="52">
        <f>AD10-AD11</f>
        <v>262.4221743278163</v>
      </c>
      <c r="AE12" s="52">
        <f>AE10-AE11</f>
        <v>321.48395780299467</v>
      </c>
      <c r="AF12" s="52">
        <f>AF10-AF11</f>
        <v>381.94453803326496</v>
      </c>
      <c r="AG12" s="52">
        <f>AG10-AG11</f>
        <v>439.6556406539128</v>
      </c>
      <c r="AH12" s="52">
        <f>AH10-AH11</f>
        <v>489.84477201027676</v>
      </c>
      <c r="AI12" s="52">
        <f>AI10-AI11</f>
        <v>527.6795252734378</v>
      </c>
      <c r="AJ12" s="52">
        <f>AJ10-AJ11</f>
        <v>548.9688032532592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-0.4428868120456906</v>
      </c>
      <c r="M13" s="11">
        <f>IFERROR(M12/M14,0)</f>
        <v>-1.3781454933658686</v>
      </c>
      <c r="N13" s="11">
        <f>IFERROR(N12/N14,0)</f>
        <v>-0.8057763437475407</v>
      </c>
      <c r="O13" s="11">
        <f>IFERROR(O12/O14,0)</f>
        <v>-1.6372949015233789</v>
      </c>
      <c r="P13" s="11">
        <f>IFERROR(P12/P14,0)</f>
        <v>-1.3790693598562853</v>
      </c>
      <c r="Q13" s="11">
        <f>IFERROR(Q12/Q14,0)</f>
        <v>-1.595664851858649</v>
      </c>
      <c r="R13" s="11">
        <f>IFERROR(R12/R14,0)</f>
        <v>-1.9087481875302077</v>
      </c>
      <c r="S13" s="11">
        <f>IFERROR(S12/S14,0)</f>
        <v>-2.2987795990300395</v>
      </c>
      <c r="T13" s="11">
        <f>IFERROR(T12/T14,0)</f>
        <v>-1.9562403105161312</v>
      </c>
      <c r="U13" s="11">
        <f>IFERROR(U12/U14,0)</f>
        <v>-2.4223646106091867</v>
      </c>
      <c r="V13" s="11">
        <f>IFERROR(V12/V14,0)</f>
        <v>-2.632673589315021</v>
      </c>
      <c r="W13" s="11">
        <f>IFERROR(W12/W14,0)</f>
        <v>-1.4644305115537144</v>
      </c>
      <c r="X13" s="11">
        <f>IFERROR(X12/X14,0)</f>
        <v>0.08551727853044953</v>
      </c>
      <c r="Y13" s="11">
        <f>IFERROR(Y12/Y14,0)</f>
        <v>0.14594351861091706</v>
      </c>
      <c r="Z13" s="11">
        <f>IFERROR(Z12/Z14,0)</f>
        <v>2.7705327328034293</v>
      </c>
      <c r="AA13" s="11">
        <f>IFERROR(AA12/AA14,0)</f>
        <v>0.7824953699692323</v>
      </c>
      <c r="AB13" s="11">
        <f>IFERROR(AB12/AB14,0)</f>
        <v>1.0455978777617116</v>
      </c>
      <c r="AC13" s="11">
        <f>IFERROR(AC12/AC14,0)</f>
        <v>1.3583848342343632</v>
      </c>
      <c r="AD13" s="11">
        <f>IFERROR(AD12/AD14,0)</f>
        <v>1.7144038535850634</v>
      </c>
      <c r="AE13" s="11">
        <f>IFERROR(AE12/AE14,0)</f>
        <v>2.1002544374727052</v>
      </c>
      <c r="AF13" s="11">
        <f>IFERROR(AF12/AF14,0)</f>
        <v>2.4952433594350714</v>
      </c>
      <c r="AG13" s="11">
        <f>IFERROR(AG12/AG14,0)</f>
        <v>2.872269946387614</v>
      </c>
      <c r="AH13" s="11">
        <f>IFERROR(AH12/AH14,0)</f>
        <v>3.2001555011271727</v>
      </c>
      <c r="AI13" s="11">
        <f>IFERROR(AI12/AI14,0)</f>
        <v>3.4473299137314046</v>
      </c>
      <c r="AJ13" s="11">
        <f>IFERROR(AJ12/AJ14,0)</f>
        <v>3.5864127496317577</v>
      </c>
    </row>
    <row r="14">
      <c r="A14" s="2" t="inlineStr">
        <is>
          <t>Shares</t>
        </is>
      </c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>
        <v>1.926</v>
      </c>
      <c r="M14" s="52" t="n">
        <v>13.114</v>
      </c>
      <c r="N14" s="52" t="n">
        <v>25.414</v>
      </c>
      <c r="O14" s="52" t="n">
        <v>34.069</v>
      </c>
      <c r="P14" s="52" t="n">
        <v>45.646</v>
      </c>
      <c r="Q14" s="52" t="n">
        <v>49.041</v>
      </c>
      <c r="R14" s="52" t="n">
        <v>62.07</v>
      </c>
      <c r="S14" s="52" t="n">
        <v>75.467</v>
      </c>
      <c r="T14" s="52" t="n">
        <v>88.369</v>
      </c>
      <c r="U14" s="52" t="n">
        <v>115.334</v>
      </c>
      <c r="V14" s="52" t="n">
        <v>132.223</v>
      </c>
      <c r="W14" s="52" t="n">
        <v>135.411</v>
      </c>
      <c r="X14" s="52" t="n">
        <v>148.508</v>
      </c>
      <c r="Y14" s="52" t="n">
        <v>160.336</v>
      </c>
      <c r="Z14" s="52" t="n">
        <v>161.413</v>
      </c>
      <c r="AA14" s="52">
        <f>Main!$C$4</f>
        <v>153.069053</v>
      </c>
      <c r="AB14" s="52">
        <f>Main!$C$4</f>
        <v>153.069053</v>
      </c>
      <c r="AC14" s="52">
        <f>Main!$C$4</f>
        <v>153.069053</v>
      </c>
      <c r="AD14" s="52">
        <f>Main!$C$4</f>
        <v>153.069053</v>
      </c>
      <c r="AE14" s="52">
        <f>Main!$C$4</f>
        <v>153.069053</v>
      </c>
      <c r="AF14" s="52">
        <f>Main!$C$4</f>
        <v>153.069053</v>
      </c>
      <c r="AG14" s="52">
        <f>Main!$C$4</f>
        <v>153.069053</v>
      </c>
      <c r="AH14" s="52">
        <f>Main!$C$4</f>
        <v>153.069053</v>
      </c>
      <c r="AI14" s="52">
        <f>Main!$C$4</f>
        <v>153.069053</v>
      </c>
      <c r="AJ14" s="52">
        <f>Main!$C$4</f>
        <v>153.069053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>0.0</v>
      </c>
      <c r="S16" s="15">
        <f>IFERROR(S2/R2-1,"")</f>
        <v>0.0</v>
      </c>
      <c r="T16" s="15">
        <f>IFERROR(T2/S2-1,"")</f>
        <v>0.0</v>
      </c>
      <c r="U16" s="15">
        <f>IFERROR(U2/T2-1,"")</f>
        <v>0.0</v>
      </c>
      <c r="V16" s="15">
        <f>IFERROR(V2/U2-1,"")</f>
        <v>43.006578947368425</v>
      </c>
      <c r="W16" s="15">
        <f>IFERROR(W2/V2-1,"")</f>
        <v>-0.5836447899536552</v>
      </c>
      <c r="X16" s="15">
        <f>IFERROR(X2/W2-1,"")</f>
        <v>82.90017953321365</v>
      </c>
      <c r="Y16" s="15">
        <f>IFERROR(Y2/X2-1,"")</f>
        <v>0.40803382663847776</v>
      </c>
      <c r="Z16" s="15">
        <f>IFERROR(Z2/Y2-1,"")</f>
        <v>0.8731899916110442</v>
      </c>
      <c r="AA16" s="15">
        <f>IFERROR(AA2/Z2-1,"")</f>
        <v>0.3500000000000001</v>
      </c>
      <c r="AB16" s="15">
        <f>IFERROR(AB2/AA2-1,"")</f>
        <v>0.3138888888888889</v>
      </c>
      <c r="AC16" s="15">
        <f>IFERROR(AC2/AB2-1,"")</f>
        <v>0.2777777777777777</v>
      </c>
      <c r="AD16" s="15">
        <f>IFERROR(AD2/AC2-1,"")</f>
        <v>0.2416666666666667</v>
      </c>
      <c r="AE16" s="15">
        <f>IFERROR(AE2/AD2-1,"")</f>
        <v>0.2055555555555555</v>
      </c>
      <c r="AF16" s="15">
        <f>IFERROR(AF2/AE2-1,"")</f>
        <v>0.1694444444444445</v>
      </c>
      <c r="AG16" s="15">
        <f>IFERROR(AG2/AF2-1,"")</f>
        <v>0.1333333333333333</v>
      </c>
      <c r="AH16" s="15">
        <f>IFERROR(AH2/AG2-1,"")</f>
        <v>0.09722222222222232</v>
      </c>
      <c r="AI16" s="15">
        <f>IFERROR(AI2/AH2-1,"")</f>
        <v>0.061111111111111116</v>
      </c>
      <c r="AJ16" s="15">
        <f>IFERROR(AJ2/AI2-1,"")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0.8818956495739273</v>
      </c>
      <c r="W17" s="15">
        <f>IFERROR(W4/W2,"")</f>
        <v>0.9048473967684021</v>
      </c>
      <c r="X17" s="15">
        <f>IFERROR(X4/X2,"")</f>
        <v>0.9395237565372204</v>
      </c>
      <c r="Y17" s="15">
        <f>IFERROR(Y4/Y2,"")</f>
        <v>0.8830226988121725</v>
      </c>
      <c r="Z17" s="15">
        <f>IFERROR(Z4/Z2,"")</f>
        <v>0.8365793859029966</v>
      </c>
      <c r="AA17" s="15">
        <f>IFERROR(AA4/AA2,"")</f>
        <v>0.8366</v>
      </c>
      <c r="AB17" s="15">
        <f>IFERROR(AB4/AB2,"")</f>
        <v>0.8366000000000001</v>
      </c>
      <c r="AC17" s="15">
        <f>IFERROR(AC4/AC2,"")</f>
        <v>0.8366</v>
      </c>
      <c r="AD17" s="15">
        <f>IFERROR(AD4/AD2,"")</f>
        <v>0.8366</v>
      </c>
      <c r="AE17" s="15">
        <f>IFERROR(AE4/AE2,"")</f>
        <v>0.8366</v>
      </c>
      <c r="AF17" s="15">
        <f>IFERROR(AF4/AF2,"")</f>
        <v>0.8366</v>
      </c>
      <c r="AG17" s="15">
        <f>IFERROR(AG4/AG2,"")</f>
        <v>0.8366</v>
      </c>
      <c r="AH17" s="15">
        <f>IFERROR(AH4/AH2,"")</f>
        <v>0.8366</v>
      </c>
      <c r="AI17" s="15">
        <f>IFERROR(AI4/AI2,"")</f>
        <v>0.8366</v>
      </c>
      <c r="AJ17" s="15">
        <f>IFERROR(AJ4/AJ2,"")</f>
        <v>0.8366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>-519.5328947368421</v>
      </c>
      <c r="R18" s="15">
        <f>IFERROR(R8/R2,"")</f>
        <v>-781.0</v>
      </c>
      <c r="S18" s="15">
        <f>IFERROR(S8/S2,"")</f>
        <v>-1147.3684210526317</v>
      </c>
      <c r="T18" s="15">
        <f>IFERROR(T8/T2,"")</f>
        <v>-1112.203947368421</v>
      </c>
      <c r="U18" s="15">
        <f>IFERROR(U8/U2,"")</f>
        <v>-1799.9605263157894</v>
      </c>
      <c r="V18" s="15">
        <f>IFERROR(V8/V2,"")</f>
        <v>-51.542831514426666</v>
      </c>
      <c r="W18" s="15">
        <f>IFERROR(W8/W2,"")</f>
        <v>-78.3899461400359</v>
      </c>
      <c r="X18" s="15">
        <f>IFERROR(X8/X2,"")</f>
        <v>0.0883027621093717</v>
      </c>
      <c r="Y18" s="15">
        <f>IFERROR(Y8/Y2,"")</f>
        <v>0.12744221954748278</v>
      </c>
      <c r="Z18" s="15">
        <f>IFERROR(Z8/Z2,"")</f>
        <v>0.2001080665339364</v>
      </c>
      <c r="AA18" s="15">
        <f>IFERROR(AA8/AA2,"")</f>
        <v>0.17345</v>
      </c>
      <c r="AB18" s="15">
        <f>IFERROR(AB8/AB2,"")</f>
        <v>0.17639999999999997</v>
      </c>
      <c r="AC18" s="15">
        <f>IFERROR(AC8/AC2,"")</f>
        <v>0.17935</v>
      </c>
      <c r="AD18" s="15">
        <f>IFERROR(AD8/AD2,"")</f>
        <v>0.18230000000000005</v>
      </c>
      <c r="AE18" s="15">
        <f>IFERROR(AE8/AE2,"")</f>
        <v>0.18524999999999997</v>
      </c>
      <c r="AF18" s="15">
        <f>IFERROR(AF8/AF2,"")</f>
        <v>0.1882</v>
      </c>
      <c r="AG18" s="15">
        <f>IFERROR(AG8/AG2,"")</f>
        <v>0.19115</v>
      </c>
      <c r="AH18" s="15">
        <f>IFERROR(AH8/AH2,"")</f>
        <v>0.19410000000000008</v>
      </c>
      <c r="AI18" s="15">
        <f>IFERROR(AI8/AI2,"")</f>
        <v>0.19704999999999995</v>
      </c>
      <c r="AJ18" s="15">
        <f>IFERROR(AJ8/AJ2,"")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A</t>
        </is>
      </c>
      <c r="V19" s="19" t="inlineStr">
        <is>
          <t>A</t>
        </is>
      </c>
      <c r="W19" s="19" t="inlineStr">
        <is>
          <t>A</t>
        </is>
      </c>
      <c r="X19" s="19" t="inlineStr">
        <is>
          <t>A</t>
        </is>
      </c>
      <c r="Y19" s="19" t="inlineStr">
        <is>
          <t>A</t>
        </is>
      </c>
      <c r="Z19" s="19" t="inlineStr">
        <is>
          <t>A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  <c r="AE19" s="19" t="inlineStr">
        <is>
          <t>E</t>
        </is>
      </c>
      <c r="AF19" s="19" t="inlineStr">
        <is>
          <t>E</t>
        </is>
      </c>
      <c r="AG19" s="19" t="inlineStr">
        <is>
          <t>E</t>
        </is>
      </c>
      <c r="AH19" s="19" t="inlineStr">
        <is>
          <t>E</t>
        </is>
      </c>
      <c r="AI19" s="19" t="inlineStr">
        <is>
          <t>E</t>
        </is>
      </c>
      <c r="AJ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TG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0.1705</v>
      </c>
    </row>
    <row r="19">
      <c r="A19" s="14" t="inlineStr">
        <is>
          <t>Gross margin (forecast)</t>
        </is>
      </c>
      <c r="B19" s="53" t="n">
        <v>0.8366</v>
      </c>
    </row>
    <row r="20">
      <c r="A20" s="14" t="inlineStr">
        <is>
          <t>R&amp;D share of operating expense (forecast)</t>
        </is>
      </c>
      <c r="B20" s="53" t="n">
        <v>0.4085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Model'!Z2</f>
        <v>616.287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4878.479378815911</v>
      </c>
      <c r="C29" s="56">
        <f>NPV!B26</f>
        <v>4745.392378815912</v>
      </c>
      <c r="D29" s="35">
        <f>NPV!B28</f>
        <v>31.00164458988266</v>
      </c>
      <c r="E29" s="57">
        <f>NPV!B30</f>
        <v>-0.4314754338917539</v>
      </c>
    </row>
    <row r="30">
      <c r="A30" s="58" t="n">
        <v>1</v>
      </c>
      <c r="B30" s="59">
        <f t="dataTable" ref="B30:E32" r1="B4"/>
        <v>2533.7768701885707</v>
      </c>
      <c r="C30" s="59">
        <v>2400.689870188571</v>
      </c>
      <c r="D30" s="39">
        <v>15.68370498894098</v>
      </c>
      <c r="E30" s="60">
        <v>-0.712383917312654</v>
      </c>
    </row>
    <row r="31">
      <c r="A31" s="58" t="n">
        <v>2</v>
      </c>
      <c r="B31" s="59">
        <v>4878.479378815911</v>
      </c>
      <c r="C31" s="59">
        <v>4745.392378815912</v>
      </c>
      <c r="D31" s="39">
        <v>31.00164458988266</v>
      </c>
      <c r="E31" s="60">
        <v>-0.4314754338917539</v>
      </c>
    </row>
    <row r="32">
      <c r="A32" s="58" t="n">
        <v>3</v>
      </c>
      <c r="B32" s="59">
        <v>9498.980239353712</v>
      </c>
      <c r="C32" s="59">
        <v>9365.89323935371</v>
      </c>
      <c r="D32" s="39">
        <v>61.18737299141526</v>
      </c>
      <c r="E32" s="60">
        <v>0.1220864293309234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31.00164458988266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39.1967624003824</v>
      </c>
      <c r="C37" s="39">
        <v>42.48621764966672</v>
      </c>
      <c r="D37" s="39">
        <v>46.431228435776646</v>
      </c>
      <c r="E37" s="39">
        <v>51.25029101350203</v>
      </c>
      <c r="F37" s="39">
        <v>57.271149609130696</v>
      </c>
    </row>
    <row r="38">
      <c r="A38" s="62" t="n">
        <v>0.08500000000000001</v>
      </c>
      <c r="B38" s="39">
        <v>32.46928051130624</v>
      </c>
      <c r="C38" s="39">
        <v>34.74191569214411</v>
      </c>
      <c r="D38" s="39">
        <v>37.39145526420002</v>
      </c>
      <c r="E38" s="39">
        <v>40.52067390190491</v>
      </c>
      <c r="F38" s="39">
        <v>44.273456031172884</v>
      </c>
    </row>
    <row r="39">
      <c r="A39" s="62" t="n">
        <v>0.095</v>
      </c>
      <c r="B39" s="39">
        <v>27.482564702339786</v>
      </c>
      <c r="C39" s="39">
        <v>29.12551863091477</v>
      </c>
      <c r="D39" s="39">
        <v>31.00164458988266</v>
      </c>
      <c r="E39" s="39">
        <v>33.16473740451771</v>
      </c>
      <c r="F39" s="39">
        <v>35.68652341507525</v>
      </c>
    </row>
    <row r="40">
      <c r="A40" s="62" t="n">
        <v>0.105</v>
      </c>
      <c r="B40" s="39">
        <v>23.651883910723658</v>
      </c>
      <c r="C40" s="39">
        <v>24.881244408866323</v>
      </c>
      <c r="D40" s="39">
        <v>26.262987244364293</v>
      </c>
      <c r="E40" s="39">
        <v>27.82757720638162</v>
      </c>
      <c r="F40" s="39">
        <v>29.614183233666914</v>
      </c>
    </row>
    <row r="41">
      <c r="A41" s="62" t="n">
        <v>0.115</v>
      </c>
      <c r="B41" s="39">
        <v>20.626808755721175</v>
      </c>
      <c r="C41" s="39">
        <v>21.571969081548957</v>
      </c>
      <c r="D41" s="39">
        <v>22.621050968073178</v>
      </c>
      <c r="E41" s="39">
        <v>23.792383677964665</v>
      </c>
      <c r="F41" s="39">
        <v>25.108878726667314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TG Therapeutics, Inc.: free-cash-flow DCF ($mm)</t>
        </is>
      </c>
    </row>
    <row r="3">
      <c r="A3" s="20" t="inlineStr">
        <is>
          <t>Fiscal year</t>
        </is>
      </c>
      <c r="B3" s="43">
        <f>'Yearly Model'!Z1</f>
        <v>2025</v>
      </c>
      <c r="C3" s="43">
        <f>'Yearly Model'!AA1</f>
        <v>2026</v>
      </c>
      <c r="D3" s="43">
        <f>'Yearly Model'!AB1</f>
        <v>2027</v>
      </c>
      <c r="E3" s="43">
        <f>'Yearly Model'!AC1</f>
        <v>2028</v>
      </c>
      <c r="F3" s="43">
        <f>'Yearly Model'!AD1</f>
        <v>2029</v>
      </c>
      <c r="G3" s="43">
        <f>'Yearly Model'!AE1</f>
        <v>2030</v>
      </c>
      <c r="H3" s="43">
        <f>'Yearly Model'!AF1</f>
        <v>2031</v>
      </c>
      <c r="I3" s="43">
        <f>'Yearly Model'!AG1</f>
        <v>2032</v>
      </c>
      <c r="J3" s="43">
        <f>'Yearly Model'!AH1</f>
        <v>2033</v>
      </c>
      <c r="K3" s="43">
        <f>'Yearly Model'!AI1</f>
        <v>2034</v>
      </c>
      <c r="L3" s="43">
        <f>'Yearly Model'!AJ1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0.2001080665339364</v>
      </c>
      <c r="C6" s="63">
        <f>Assumptions!$B$18+(Assumptions!$E$13-Assumptions!$B$18)*C4/Assumptions!$B$21</f>
        <v>0.17345000000000002</v>
      </c>
      <c r="D6" s="63">
        <f>Assumptions!$B$18+(Assumptions!$E$13-Assumptions!$B$18)*D4/Assumptions!$B$21</f>
        <v>0.1764</v>
      </c>
      <c r="E6" s="63">
        <f>Assumptions!$B$18+(Assumptions!$E$13-Assumptions!$B$18)*E4/Assumptions!$B$21</f>
        <v>0.17935</v>
      </c>
      <c r="F6" s="63">
        <f>Assumptions!$B$18+(Assumptions!$E$13-Assumptions!$B$18)*F4/Assumptions!$B$21</f>
        <v>0.18230000000000002</v>
      </c>
      <c r="G6" s="63">
        <f>Assumptions!$B$18+(Assumptions!$E$13-Assumptions!$B$18)*G4/Assumptions!$B$21</f>
        <v>0.18525000000000003</v>
      </c>
      <c r="H6" s="63">
        <f>Assumptions!$B$18+(Assumptions!$E$13-Assumptions!$B$18)*H4/Assumptions!$B$21</f>
        <v>0.1882</v>
      </c>
      <c r="I6" s="63">
        <f>Assumptions!$B$18+(Assumptions!$E$13-Assumptions!$B$18)*I4/Assumptions!$B$21</f>
        <v>0.19115000000000001</v>
      </c>
      <c r="J6" s="63">
        <f>Assumptions!$B$18+(Assumptions!$E$13-Assumptions!$B$18)*J4/Assumptions!$B$21</f>
        <v>0.19410000000000002</v>
      </c>
      <c r="K6" s="63">
        <f>Assumptions!$B$18+(Assumptions!$E$13-Assumptions!$B$18)*K4/Assumptions!$B$21</f>
        <v>0.19705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Model'!Z2</f>
        <v>616.287</v>
      </c>
      <c r="C7" s="55">
        <f>'Yearly Model'!AA2</f>
        <v>831.9874500000001</v>
      </c>
      <c r="D7" s="55">
        <f>'Yearly Model'!AB2</f>
        <v>1093.13906625</v>
      </c>
      <c r="E7" s="55">
        <f>'Yearly Model'!AC2</f>
        <v>1396.7888068749999</v>
      </c>
      <c r="F7" s="55">
        <f>'Yearly Model'!AD2</f>
        <v>1734.3461018697915</v>
      </c>
      <c r="G7" s="55">
        <f>'Yearly Model'!AE2</f>
        <v>2090.8505783652486</v>
      </c>
      <c r="H7" s="55">
        <f>'Yearly Model'!AF2</f>
        <v>2445.1335930326936</v>
      </c>
      <c r="I7" s="55">
        <f>'Yearly Model'!AG2</f>
        <v>2771.1514054370527</v>
      </c>
      <c r="J7" s="55">
        <f>'Yearly Model'!AH2</f>
        <v>3040.5689031878774</v>
      </c>
      <c r="K7" s="55">
        <f>'Yearly Model'!AI2</f>
        <v>3226.381447271581</v>
      </c>
      <c r="L7" s="55">
        <f>'Yearly Model'!AJ2</f>
        <v>3307.04098345337</v>
      </c>
    </row>
    <row r="8">
      <c r="A8" s="14" t="inlineStr">
        <is>
          <t>Operating income</t>
        </is>
      </c>
      <c r="B8" s="55">
        <f>'Yearly Model'!Z8</f>
        <v>123.32400000000007</v>
      </c>
      <c r="C8" s="55">
        <f>'Yearly Model'!AA8</f>
        <v>144.30822320250002</v>
      </c>
      <c r="D8" s="55">
        <f>'Yearly Model'!AB8</f>
        <v>192.82973128649996</v>
      </c>
      <c r="E8" s="55">
        <f>'Yearly Model'!AC8</f>
        <v>250.51407251303124</v>
      </c>
      <c r="F8" s="55">
        <f>'Yearly Model'!AD8</f>
        <v>316.17129437086305</v>
      </c>
      <c r="G8" s="55">
        <f>'Yearly Model'!AE8</f>
        <v>387.33006964216224</v>
      </c>
      <c r="H8" s="55">
        <f>'Yearly Model'!AF8</f>
        <v>460.174142208753</v>
      </c>
      <c r="I8" s="55">
        <f>'Yearly Model'!AG8</f>
        <v>529.7055911492926</v>
      </c>
      <c r="J8" s="55">
        <f>'Yearly Model'!AH8</f>
        <v>590.1744241087672</v>
      </c>
      <c r="K8" s="55">
        <f>'Yearly Model'!AI8</f>
        <v>635.7584641848648</v>
      </c>
      <c r="L8" s="55">
        <f>'Yearly Model'!AJ8</f>
        <v>661.4081966906738</v>
      </c>
    </row>
    <row r="9">
      <c r="A9" s="14" t="inlineStr">
        <is>
          <t>Tax on operating income</t>
        </is>
      </c>
      <c r="C9" s="52">
        <f>MAX(0,C8)*Assumptions!$E$14</f>
        <v>24.532397944425004</v>
      </c>
      <c r="D9" s="52">
        <f>MAX(0,D8)*Assumptions!$E$14</f>
        <v>32.781054318704996</v>
      </c>
      <c r="E9" s="52">
        <f>MAX(0,E8)*Assumptions!$E$14</f>
        <v>42.58739232721531</v>
      </c>
      <c r="F9" s="52">
        <f>MAX(0,F8)*Assumptions!$E$14</f>
        <v>53.74912004304672</v>
      </c>
      <c r="G9" s="52">
        <f>MAX(0,G8)*Assumptions!$E$14</f>
        <v>65.84611183916759</v>
      </c>
      <c r="H9" s="52">
        <f>MAX(0,H8)*Assumptions!$E$14</f>
        <v>78.229604175488</v>
      </c>
      <c r="I9" s="52">
        <f>MAX(0,I8)*Assumptions!$E$14</f>
        <v>90.04995049537975</v>
      </c>
      <c r="J9" s="52">
        <f>MAX(0,J8)*Assumptions!$E$14</f>
        <v>100.32965209849043</v>
      </c>
      <c r="K9" s="52">
        <f>MAX(0,K8)*Assumptions!$E$14</f>
        <v>108.07893891142703</v>
      </c>
      <c r="L9" s="52">
        <f>MAX(0,L8)*Assumptions!$E$14</f>
        <v>112.43939343741455</v>
      </c>
    </row>
    <row r="10">
      <c r="A10" s="14" t="inlineStr">
        <is>
          <t>NOPAT</t>
        </is>
      </c>
      <c r="C10" s="52">
        <f>C8-C9</f>
        <v>119.77582525807502</v>
      </c>
      <c r="D10" s="52">
        <f>D8-D9</f>
        <v>160.04867696779496</v>
      </c>
      <c r="E10" s="52">
        <f>E8-E9</f>
        <v>207.92668018581594</v>
      </c>
      <c r="F10" s="52">
        <f>F8-F9</f>
        <v>262.4221743278163</v>
      </c>
      <c r="G10" s="52">
        <f>G8-G9</f>
        <v>321.48395780299467</v>
      </c>
      <c r="H10" s="52">
        <f>H8-H9</f>
        <v>381.94453803326496</v>
      </c>
      <c r="I10" s="52">
        <f>I8-I9</f>
        <v>439.6556406539128</v>
      </c>
      <c r="J10" s="52">
        <f>J8-J9</f>
        <v>489.84477201027676</v>
      </c>
      <c r="K10" s="52">
        <f>K8-K9</f>
        <v>527.6795252734378</v>
      </c>
      <c r="L10" s="52">
        <f>L8-L9</f>
        <v>548.9688032532592</v>
      </c>
    </row>
    <row r="11">
      <c r="A11" s="14" t="inlineStr">
        <is>
          <t>Reinvestment</t>
        </is>
      </c>
      <c r="C11" s="52">
        <f>(C7-B7)*Assumptions!$E$15</f>
        <v>53.92511250000001</v>
      </c>
      <c r="D11" s="52">
        <f>(D7-C7)*Assumptions!$E$15</f>
        <v>65.28790406249999</v>
      </c>
      <c r="E11" s="52">
        <f>(E7-D7)*Assumptions!$E$15</f>
        <v>75.91243515624996</v>
      </c>
      <c r="F11" s="52">
        <f>(F7-E7)*Assumptions!$E$15</f>
        <v>84.3893237486979</v>
      </c>
      <c r="G11" s="52">
        <f>(G7-F7)*Assumptions!$E$15</f>
        <v>89.12611912386427</v>
      </c>
      <c r="H11" s="52">
        <f>(H7-G7)*Assumptions!$E$15</f>
        <v>88.57075366686126</v>
      </c>
      <c r="I11" s="52">
        <f>(I7-H7)*Assumptions!$E$15</f>
        <v>81.50445310108978</v>
      </c>
      <c r="J11" s="52">
        <f>(J7-I7)*Assumptions!$E$15</f>
        <v>67.35437443770616</v>
      </c>
      <c r="K11" s="52">
        <f>(K7-J7)*Assumptions!$E$15</f>
        <v>46.453136020925854</v>
      </c>
      <c r="L11" s="52">
        <f>(L7-K7)*Assumptions!$E$15</f>
        <v>20.164884045447252</v>
      </c>
    </row>
    <row r="12">
      <c r="A12" s="20" t="inlineStr">
        <is>
          <t>Free cash flow</t>
        </is>
      </c>
      <c r="C12" s="64">
        <f>C10-C11</f>
        <v>65.850712758075</v>
      </c>
      <c r="D12" s="64">
        <f>D10-D11</f>
        <v>94.76077290529497</v>
      </c>
      <c r="E12" s="64">
        <f>E10-E11</f>
        <v>132.01424502956598</v>
      </c>
      <c r="F12" s="64">
        <f>F10-F11</f>
        <v>178.03285057911842</v>
      </c>
      <c r="G12" s="64">
        <f>G10-G11</f>
        <v>232.3578386791304</v>
      </c>
      <c r="H12" s="64">
        <f>H10-H11</f>
        <v>293.3737843664037</v>
      </c>
      <c r="I12" s="64">
        <f>I10-I11</f>
        <v>358.15118755282305</v>
      </c>
      <c r="J12" s="64">
        <f>J10-J11</f>
        <v>422.4903975725706</v>
      </c>
      <c r="K12" s="64">
        <f>K10-K11</f>
        <v>481.2263892525119</v>
      </c>
      <c r="L12" s="64">
        <f>L10-L11</f>
        <v>528.803919207812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32.44463171457692</v>
      </c>
      <c r="D16" s="64">
        <f>D12*D13*D15</f>
        <v>86.50732388552646</v>
      </c>
      <c r="E16" s="64">
        <f>E12*E13*E15</f>
        <v>110.06036788678252</v>
      </c>
      <c r="F16" s="64">
        <f>F12*F13*F15</f>
        <v>135.54896012402114</v>
      </c>
      <c r="G16" s="64">
        <f>G12*G13*G15</f>
        <v>161.56201221291008</v>
      </c>
      <c r="H16" s="64">
        <f>H12*H13*H15</f>
        <v>186.28981408498356</v>
      </c>
      <c r="I16" s="64">
        <f>I12*I13*I15</f>
        <v>207.69215022447312</v>
      </c>
      <c r="J16" s="64">
        <f>J12*J13*J15</f>
        <v>223.7465824633308</v>
      </c>
      <c r="K16" s="64">
        <f>K12*K13*K15</f>
        <v>232.74206520146788</v>
      </c>
      <c r="L16" s="64">
        <f>L12*L13*L15</f>
        <v>233.56404863457183</v>
      </c>
    </row>
    <row r="19">
      <c r="A19" s="14" t="inlineStr">
        <is>
          <t>PV of forecast free cash flow</t>
        </is>
      </c>
      <c r="B19" s="52">
        <f>SUM(C16:L16)</f>
        <v>1610.1579564326444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542.0240171880071</v>
      </c>
    </row>
    <row r="21">
      <c r="A21" s="14" t="inlineStr">
        <is>
          <t>Terminal value</t>
        </is>
      </c>
      <c r="B21" s="52">
        <f>B20/(Assumptions!$E$10-Assumptions!$E$11)</f>
        <v>7743.200245542957</v>
      </c>
    </row>
    <row r="22">
      <c r="A22" s="14" t="inlineStr">
        <is>
          <t>PV of terminal value</t>
        </is>
      </c>
      <c r="B22" s="52">
        <f>B21/(1+Assumptions!$E$10)^(L14+0.5)</f>
        <v>3268.3214223832665</v>
      </c>
    </row>
    <row r="23">
      <c r="A23" s="20" t="inlineStr">
        <is>
          <t>Enterprise value</t>
        </is>
      </c>
      <c r="B23" s="66">
        <f>B19+B22</f>
        <v>4878.479378815911</v>
      </c>
    </row>
    <row r="24">
      <c r="A24" s="14" t="inlineStr">
        <is>
          <t>Cash &amp; investments</t>
        </is>
      </c>
      <c r="B24" s="55">
        <f>Main!C7</f>
        <v>612.3</v>
      </c>
    </row>
    <row r="25">
      <c r="A25" s="14" t="inlineStr">
        <is>
          <t>Debt</t>
        </is>
      </c>
      <c r="B25" s="55">
        <f>Main!C8</f>
        <v>745.387</v>
      </c>
    </row>
    <row r="26">
      <c r="A26" s="20" t="inlineStr">
        <is>
          <t>Equity value</t>
        </is>
      </c>
      <c r="B26" s="66">
        <f>B23+B24-B25</f>
        <v>4745.392378815912</v>
      </c>
    </row>
    <row r="27">
      <c r="A27" s="14" t="inlineStr">
        <is>
          <t>Shares (mm)</t>
        </is>
      </c>
      <c r="B27" s="55">
        <f>Main!C4</f>
        <v>153.069053</v>
      </c>
    </row>
    <row r="28">
      <c r="A28" s="20" t="inlineStr">
        <is>
          <t>NPV / share</t>
        </is>
      </c>
      <c r="B28" s="49">
        <f>B26/B27</f>
        <v>31.00164458988266</v>
      </c>
    </row>
    <row r="29">
      <c r="A29" s="14" t="inlineStr">
        <is>
          <t>Price</t>
        </is>
      </c>
      <c r="B29" s="50">
        <f>Main!C3</f>
        <v>54.53</v>
      </c>
    </row>
    <row r="30">
      <c r="A30" s="14" t="inlineStr">
        <is>
          <t>Upside</t>
        </is>
      </c>
      <c r="B30" s="63">
        <f>B28/B29-1</f>
        <v>-0.4314754338917539</v>
      </c>
    </row>
    <row r="31">
      <c r="A31" s="14" t="inlineStr">
        <is>
          <t>Terminal value, % of EV</t>
        </is>
      </c>
      <c r="B31" s="63">
        <f>IFERROR(B22/B23,0)</f>
        <v>0.6699467536084047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2026-10-21T06:21:29Z</dcterms:modified>
  <cp:lastModifiedBy>Wang, Eric</cp:lastModifiedBy>
</cp:coreProperties>
</file>