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Atara Biotherapeutics, Inc.</t>
        </is>
      </c>
      <c r="C2" s="10" t="n"/>
    </row>
    <row r="3">
      <c r="B3" t="inlineStr">
        <is>
          <t>Price</t>
        </is>
      </c>
      <c r="C3" s="11">
        <f>INDEX([1]Pharma!$F$1:$F$1000,MATCH("ATRA",[1]Pharma!$B$1:$B$1000,0))</f>
        <v>9.16</v>
      </c>
      <c r="F3" s="1" t="n"/>
    </row>
    <row r="4">
      <c r="B4" t="inlineStr">
        <is>
          <t>Shares</t>
        </is>
      </c>
      <c r="C4" s="21" t="n">
        <v>10.03771</v>
      </c>
      <c r="F4" s="1" t="n"/>
    </row>
    <row r="5">
      <c r="B5" t="inlineStr">
        <is>
          <t>Market Cap.</t>
        </is>
      </c>
      <c r="C5" s="13">
        <f>C3*C4</f>
        <v>91.94542360000001</v>
      </c>
      <c r="F5" s="1" t="n"/>
    </row>
    <row r="6"/>
    <row r="7">
      <c r="B7" t="inlineStr">
        <is>
          <t>Cash</t>
        </is>
      </c>
      <c r="C7" s="21" t="n">
        <v>9.9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82.0454236</v>
      </c>
    </row>
    <row r="10"/>
    <row r="11">
      <c r="B11" s="14" t="inlineStr">
        <is>
          <t>Net Cash / Share</t>
        </is>
      </c>
      <c r="C11" s="11">
        <f>(C7-C8)/C4</f>
        <v>0.9862807353470064</v>
      </c>
    </row>
    <row r="12">
      <c r="B12" s="14" t="inlineStr">
        <is>
          <t>Upside</t>
        </is>
      </c>
      <c r="C12" s="15">
        <f>IFERROR(C11/C3-1,"")</f>
        <v>-0.8923274306389731</v>
      </c>
    </row>
    <row r="13">
      <c r="B13" s="14" t="inlineStr">
        <is>
          <t>Cash / Share</t>
        </is>
      </c>
      <c r="C13" s="11">
        <f>IFERROR((C7-C8)/C4,"")</f>
        <v>0.9862807353470064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-21.895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0.4521580269467915</v>
      </c>
    </row>
    <row r="19">
      <c r="B19" s="14" t="inlineStr">
        <is>
          <t>Implied Pipeline Value</t>
        </is>
      </c>
      <c r="C19" s="13">
        <f>C9</f>
        <v>82.0454236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63.573</v>
      </c>
      <c r="L2" s="23" t="n">
        <v>8.573</v>
      </c>
      <c r="M2" s="23" t="n">
        <v>128.94</v>
      </c>
      <c r="N2" s="23" t="n">
        <v>120.772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63.573</v>
      </c>
      <c r="L4" s="23">
        <f>L2-L3</f>
        <v>8.573</v>
      </c>
      <c r="M4" s="23">
        <f>M2-M3</f>
        <v>128.94</v>
      </c>
      <c r="N4" s="23">
        <f>N2-N3</f>
        <v>120.772</v>
      </c>
    </row>
    <row r="5">
      <c r="A5" s="2" t="inlineStr">
        <is>
          <t>Research &amp; Dev.</t>
        </is>
      </c>
      <c r="B5" s="23" t="n">
        <v>4.306</v>
      </c>
      <c r="C5" s="23" t="n">
        <v>15.446</v>
      </c>
      <c r="D5" s="23" t="n">
        <v>41.618</v>
      </c>
      <c r="E5" s="23" t="n">
        <v>56.514</v>
      </c>
      <c r="F5" s="23" t="n">
        <v>81.206</v>
      </c>
      <c r="G5" s="23" t="n">
        <v>167.457</v>
      </c>
      <c r="H5" s="23" t="n">
        <v>216.097</v>
      </c>
      <c r="I5" s="23" t="n">
        <v>244.65</v>
      </c>
      <c r="J5" s="23" t="n">
        <v>282.001</v>
      </c>
      <c r="K5" s="23" t="n">
        <v>272.533</v>
      </c>
      <c r="L5" s="23" t="n">
        <v>224.785</v>
      </c>
      <c r="M5" s="23" t="n">
        <v>151.483</v>
      </c>
      <c r="N5" s="23" t="n">
        <v>37.445</v>
      </c>
    </row>
    <row r="6">
      <c r="A6" s="19" t="inlineStr">
        <is>
          <t>SG&amp;A &amp; Other</t>
        </is>
      </c>
      <c r="B6" s="23" t="n">
        <v>4.309</v>
      </c>
      <c r="C6" s="23" t="n">
        <v>12.71</v>
      </c>
      <c r="D6" s="23" t="n">
        <v>16.83</v>
      </c>
      <c r="E6" s="23" t="n">
        <v>24.728</v>
      </c>
      <c r="F6" s="23" t="n">
        <v>40.326</v>
      </c>
      <c r="G6" s="23" t="n">
        <v>69.654</v>
      </c>
      <c r="H6" s="23" t="n">
        <v>79.584</v>
      </c>
      <c r="I6" s="23" t="n">
        <v>64.402</v>
      </c>
      <c r="J6" s="23" t="n">
        <v>58.461</v>
      </c>
      <c r="K6" s="23" t="n">
        <v>71.553</v>
      </c>
      <c r="L6" s="23" t="n">
        <v>59.794</v>
      </c>
      <c r="M6" s="23" t="n">
        <v>60.895</v>
      </c>
      <c r="N6" s="23" t="n">
        <v>47.465</v>
      </c>
    </row>
    <row r="7">
      <c r="A7" s="2" t="inlineStr">
        <is>
          <t>Operating Expense</t>
        </is>
      </c>
      <c r="B7" s="23">
        <f>SUM(B5:B6)</f>
        <v>8.615</v>
      </c>
      <c r="C7" s="23">
        <f>SUM(C5:C6)</f>
        <v>28.156</v>
      </c>
      <c r="D7" s="23">
        <f>SUM(D5:D6)</f>
        <v>58.448</v>
      </c>
      <c r="E7" s="23">
        <f>SUM(E5:E6)</f>
        <v>81.242</v>
      </c>
      <c r="F7" s="23">
        <f>SUM(F5:F6)</f>
        <v>121.53200000000001</v>
      </c>
      <c r="G7" s="23">
        <f>SUM(G5:G6)</f>
        <v>237.111</v>
      </c>
      <c r="H7" s="23">
        <f>SUM(H5:H6)</f>
        <v>295.68100000000004</v>
      </c>
      <c r="I7" s="23">
        <f>SUM(I5:I6)</f>
        <v>309.052</v>
      </c>
      <c r="J7" s="23">
        <f>SUM(J5:J6)</f>
        <v>340.462</v>
      </c>
      <c r="K7" s="23">
        <f>SUM(K5:K6)</f>
        <v>344.086</v>
      </c>
      <c r="L7" s="23">
        <f>SUM(L5:L6)</f>
        <v>284.579</v>
      </c>
      <c r="M7" s="23">
        <f>SUM(M5:M6)</f>
        <v>212.37800000000001</v>
      </c>
      <c r="N7" s="23">
        <f>SUM(N5:N6)</f>
        <v>84.91</v>
      </c>
    </row>
    <row r="8">
      <c r="A8" s="2" t="inlineStr">
        <is>
          <t>Operating Income</t>
        </is>
      </c>
      <c r="B8" s="23">
        <f>B4-B7</f>
        <v>-8.615</v>
      </c>
      <c r="C8" s="23">
        <f>C4-C7</f>
        <v>-28.156</v>
      </c>
      <c r="D8" s="23">
        <f>D4-D7</f>
        <v>-58.448</v>
      </c>
      <c r="E8" s="23">
        <f>E4-E7</f>
        <v>-81.242</v>
      </c>
      <c r="F8" s="23">
        <f>F4-F7</f>
        <v>-121.53200000000001</v>
      </c>
      <c r="G8" s="23">
        <f>G4-G7</f>
        <v>-237.111</v>
      </c>
      <c r="H8" s="23">
        <f>H4-H7</f>
        <v>-295.68100000000004</v>
      </c>
      <c r="I8" s="23">
        <f>I4-I7</f>
        <v>-309.052</v>
      </c>
      <c r="J8" s="23">
        <f>J4-J7</f>
        <v>-340.462</v>
      </c>
      <c r="K8" s="23">
        <f>K4-K7</f>
        <v>-280.51300000000003</v>
      </c>
      <c r="L8" s="23">
        <f>L4-L7</f>
        <v>-276.00600000000003</v>
      </c>
      <c r="M8" s="23">
        <f>M4-M7</f>
        <v>-83.43800000000002</v>
      </c>
      <c r="N8" s="23">
        <f>N4-N7</f>
        <v>35.86200000000001</v>
      </c>
    </row>
    <row r="9">
      <c r="A9" s="19" t="inlineStr">
        <is>
          <t>Interest &amp; Other</t>
        </is>
      </c>
      <c r="B9" s="23" t="n">
        <v>0.012</v>
      </c>
      <c r="C9" s="23" t="n">
        <v>0.125</v>
      </c>
      <c r="D9" s="23" t="n">
        <v>1.218</v>
      </c>
      <c r="E9" s="23" t="n">
        <v>2.203</v>
      </c>
      <c r="F9" s="23" t="n">
        <v>2.027</v>
      </c>
      <c r="G9" s="23" t="n">
        <v>6.368</v>
      </c>
      <c r="H9" s="23" t="n">
        <v>4.717</v>
      </c>
      <c r="I9" s="23" t="n">
        <v>2.447</v>
      </c>
      <c r="J9" s="23" t="n">
        <v>0.367</v>
      </c>
      <c r="K9" s="23" t="n">
        <v>52.223</v>
      </c>
      <c r="L9" s="23" t="n">
        <v>-0.105</v>
      </c>
      <c r="M9" s="23" t="n">
        <v>-1.977</v>
      </c>
      <c r="N9" s="23" t="n">
        <v>-3.143</v>
      </c>
    </row>
    <row r="10">
      <c r="A10" s="2" t="inlineStr">
        <is>
          <t>Pretax</t>
        </is>
      </c>
      <c r="B10" s="23">
        <f>B8+B9</f>
        <v>-8.603</v>
      </c>
      <c r="C10" s="23">
        <f>C8+C9</f>
        <v>-28.031</v>
      </c>
      <c r="D10" s="23">
        <f>D8+D9</f>
        <v>-57.230000000000004</v>
      </c>
      <c r="E10" s="23">
        <f>E8+E9</f>
        <v>-79.039</v>
      </c>
      <c r="F10" s="23">
        <f>F8+F9</f>
        <v>-119.50500000000001</v>
      </c>
      <c r="G10" s="23">
        <f>G8+G9</f>
        <v>-230.743</v>
      </c>
      <c r="H10" s="23">
        <f>H8+H9</f>
        <v>-290.96400000000006</v>
      </c>
      <c r="I10" s="23">
        <f>I8+I9</f>
        <v>-306.605</v>
      </c>
      <c r="J10" s="23">
        <f>J8+J9</f>
        <v>-340.09499999999997</v>
      </c>
      <c r="K10" s="23">
        <f>K8+K9</f>
        <v>-228.29000000000002</v>
      </c>
      <c r="L10" s="23">
        <f>L8+L9</f>
        <v>-276.11100000000005</v>
      </c>
      <c r="M10" s="23">
        <f>M8+M9</f>
        <v>-85.41500000000002</v>
      </c>
      <c r="N10" s="23">
        <f>N8+N9</f>
        <v>32.71900000000001</v>
      </c>
    </row>
    <row r="11">
      <c r="A11" s="2" t="inlineStr">
        <is>
          <t>Taxes</t>
        </is>
      </c>
      <c r="B11" s="23" t="n">
        <v>0.17</v>
      </c>
      <c r="C11" s="23" t="n">
        <v>-0.025</v>
      </c>
      <c r="D11" s="23" t="n">
        <v>-0.008999999999999999</v>
      </c>
      <c r="E11" s="23" t="n">
        <v>0.01</v>
      </c>
      <c r="F11" s="23" t="n">
        <v>-0.014</v>
      </c>
      <c r="G11" s="23" t="n">
        <v>-0.044</v>
      </c>
      <c r="H11" s="23" t="n">
        <v>0.012</v>
      </c>
      <c r="I11" s="23" t="n">
        <v>0.015</v>
      </c>
      <c r="J11" s="23" t="n">
        <v>0.046</v>
      </c>
      <c r="K11" s="23" t="n">
        <v>0.012</v>
      </c>
      <c r="L11" s="23" t="n">
        <v>0.015</v>
      </c>
      <c r="M11" s="23" t="n">
        <v>-0.012</v>
      </c>
      <c r="N11" s="23" t="n">
        <v>0.031</v>
      </c>
    </row>
    <row r="12">
      <c r="A12" s="2" t="inlineStr">
        <is>
          <t>Net Income</t>
        </is>
      </c>
      <c r="B12" s="23" t="n">
        <v>-8.773</v>
      </c>
      <c r="C12" s="23" t="n">
        <v>-28.006</v>
      </c>
      <c r="D12" s="23" t="n">
        <v>-57.221</v>
      </c>
      <c r="E12" s="23" t="n">
        <v>-79.04900000000001</v>
      </c>
      <c r="F12" s="23" t="n">
        <v>-119.491</v>
      </c>
      <c r="G12" s="23" t="n">
        <v>-230.699</v>
      </c>
      <c r="H12" s="23" t="n">
        <v>-290.976</v>
      </c>
      <c r="I12" s="23" t="n">
        <v>-306.62</v>
      </c>
      <c r="J12" s="23" t="n">
        <v>-340.141</v>
      </c>
      <c r="K12" s="23" t="n">
        <v>-228.302</v>
      </c>
      <c r="L12" s="23" t="n">
        <v>-276.126</v>
      </c>
      <c r="M12" s="23" t="n">
        <v>-85.40300000000001</v>
      </c>
      <c r="N12" s="23" t="n">
        <v>32.688</v>
      </c>
    </row>
    <row r="13">
      <c r="A13" s="2" t="inlineStr">
        <is>
          <t>Earnings per Share</t>
        </is>
      </c>
      <c r="B13" s="11">
        <f>IFERROR(B12/B14,0)</f>
        <v>-219.325</v>
      </c>
      <c r="C13" s="11">
        <f>IFERROR(C12/C14,0)</f>
        <v>-134.64423076923077</v>
      </c>
      <c r="D13" s="11">
        <f>IFERROR(D12/D14,0)</f>
        <v>-53.678236397748584</v>
      </c>
      <c r="E13" s="11">
        <f>IFERROR(E12/E14,0)</f>
        <v>-66.03926482873851</v>
      </c>
      <c r="F13" s="11">
        <f>IFERROR(F12/F14,0)</f>
        <v>-96.05385852090032</v>
      </c>
      <c r="G13" s="11">
        <f>IFERROR(G12/G14,0)</f>
        <v>-126.41041095890412</v>
      </c>
      <c r="H13" s="11">
        <f>IFERROR(H12/H14,0)</f>
        <v>-136.0972871842844</v>
      </c>
      <c r="I13" s="11">
        <f>IFERROR(I12/I14,0)</f>
        <v>-99.48734587929916</v>
      </c>
      <c r="J13" s="11">
        <f>IFERROR(J12/J14,0)</f>
        <v>-87.14860363822702</v>
      </c>
      <c r="K13" s="11">
        <f>IFERROR(K12/K14,0)</f>
        <v>-53.71811764705882</v>
      </c>
      <c r="L13" s="11">
        <f>IFERROR(L12/L14,0)</f>
        <v>-65.18555240793201</v>
      </c>
      <c r="M13" s="11">
        <f>IFERROR(M12/M14,0)</f>
        <v>-11.40531517094017</v>
      </c>
      <c r="N13" s="11">
        <f>IFERROR(N12/N14,0)</f>
        <v>2.570215442679667</v>
      </c>
    </row>
    <row r="14">
      <c r="A14" s="2" t="inlineStr">
        <is>
          <t>Shares</t>
        </is>
      </c>
      <c r="B14" s="23" t="n">
        <v>0.04</v>
      </c>
      <c r="C14" s="23" t="n">
        <v>0.208</v>
      </c>
      <c r="D14" s="23" t="n">
        <v>1.066</v>
      </c>
      <c r="E14" s="23" t="n">
        <v>1.197</v>
      </c>
      <c r="F14" s="23" t="n">
        <v>1.244</v>
      </c>
      <c r="G14" s="23" t="n">
        <v>1.825</v>
      </c>
      <c r="H14" s="23" t="n">
        <v>2.138</v>
      </c>
      <c r="I14" s="23" t="n">
        <v>3.082</v>
      </c>
      <c r="J14" s="23" t="n">
        <v>3.903</v>
      </c>
      <c r="K14" s="23" t="n">
        <v>4.25</v>
      </c>
      <c r="L14" s="23" t="n">
        <v>4.236</v>
      </c>
      <c r="M14" s="23" t="n">
        <v>7.488</v>
      </c>
      <c r="N14" s="23" t="n">
        <v>12.718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-0.8651471536658644</v>
      </c>
      <c r="M16" s="15">
        <f>IFERROR(M2/L2-1,"")</f>
        <v>14.040242622185932</v>
      </c>
      <c r="N16" s="15">
        <f>IFERROR(N2/M2-1,"")</f>
        <v>-0.06334729331472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-4.412454973023139</v>
      </c>
      <c r="L18" s="15">
        <f>IFERROR(L8/L2,"")</f>
        <v>-32.194797620436255</v>
      </c>
      <c r="M18" s="15">
        <f>IFERROR(M8/M2,"")</f>
        <v>-0.647107181634869</v>
      </c>
      <c r="N18" s="15">
        <f>IFERROR(N8/N2,"")</f>
        <v>0.29693968800715403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2026-10-21T01:05:57Z</dcterms:modified>
  <cp:lastModifiedBy>Wang, Eric</cp:lastModifiedBy>
</cp:coreProperties>
</file>