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Fulcrum Therapeutics, Inc.</t>
        </is>
      </c>
      <c r="C2" s="10" t="n"/>
    </row>
    <row r="3">
      <c r="B3" t="inlineStr">
        <is>
          <t>Price</t>
        </is>
      </c>
      <c r="C3" s="11">
        <f>INDEX([1]Pharma!$F$1:$F$1000,MATCH("FULC",[1]Pharma!$B$1:$B$1000,0))</f>
        <v>3.72</v>
      </c>
      <c r="F3" s="1" t="n"/>
    </row>
    <row r="4">
      <c r="B4" t="inlineStr">
        <is>
          <t>Shares</t>
        </is>
      </c>
      <c r="C4" s="21" t="n">
        <v>76.297257</v>
      </c>
      <c r="F4" s="1" t="n"/>
    </row>
    <row r="5">
      <c r="B5" t="inlineStr">
        <is>
          <t>Market Cap.</t>
        </is>
      </c>
      <c r="C5" s="13">
        <f>C3*C4</f>
        <v>283.82579604</v>
      </c>
      <c r="F5" s="1" t="n"/>
    </row>
    <row r="6"/>
    <row r="7">
      <c r="B7" t="inlineStr">
        <is>
          <t>Cash</t>
        </is>
      </c>
      <c r="C7" s="21" t="n">
        <v>48.466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235.35979604</v>
      </c>
    </row>
    <row r="10"/>
    <row r="11">
      <c r="B11" s="14" t="inlineStr">
        <is>
          <t>rNPV / Share</t>
        </is>
      </c>
      <c r="C11" s="11">
        <f>NPV!B27</f>
        <v>0.2586219695875018</v>
      </c>
    </row>
    <row r="12">
      <c r="B12" s="14" t="inlineStr">
        <is>
          <t>Upside</t>
        </is>
      </c>
      <c r="C12" s="15">
        <f>IFERROR(C11/C3-1,"")</f>
        <v>-0.9304779651646501</v>
      </c>
    </row>
    <row r="13">
      <c r="B13" s="14" t="inlineStr">
        <is>
          <t>Cash / Share</t>
        </is>
      </c>
      <c r="C13" s="11">
        <f>IFERROR((C7-C8)/C4,"")</f>
        <v>0.6352259819773075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-65.777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0.7368229016221476</v>
      </c>
    </row>
    <row r="19">
      <c r="B19" s="14" t="inlineStr">
        <is>
          <t>Implied Pipeline Value</t>
        </is>
      </c>
      <c r="C19" s="13">
        <f>C9</f>
        <v>235.35979604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8.823</v>
      </c>
      <c r="E2" s="23" t="n">
        <v>19.163</v>
      </c>
      <c r="F2" s="23" t="n">
        <v>6.342</v>
      </c>
      <c r="G2" s="23" t="n">
        <v>2.805</v>
      </c>
      <c r="H2" s="23" t="n">
        <v>80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8.823</v>
      </c>
      <c r="E4" s="23">
        <f>E2-E3</f>
        <v>19.163</v>
      </c>
      <c r="F4" s="23">
        <f>F2-F3</f>
        <v>6.342</v>
      </c>
      <c r="G4" s="23">
        <f>G2-G3</f>
        <v>2.805</v>
      </c>
      <c r="H4" s="23">
        <f>H2-H3</f>
        <v>80.0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25.184</v>
      </c>
      <c r="C5" s="23" t="n">
        <v>71.072</v>
      </c>
      <c r="D5" s="23" t="n">
        <v>59.042</v>
      </c>
      <c r="E5" s="23" t="n">
        <v>69.70099999999999</v>
      </c>
      <c r="F5" s="23" t="n">
        <v>76.782</v>
      </c>
      <c r="G5" s="23" t="n">
        <v>71.801</v>
      </c>
      <c r="H5" s="23" t="n">
        <v>63.386</v>
      </c>
      <c r="I5" s="23" t="n">
        <v>56.103</v>
      </c>
      <c r="J5" s="1" t="n"/>
      <c r="K5" s="1" t="n"/>
    </row>
    <row r="6">
      <c r="A6" s="19" t="inlineStr">
        <is>
          <t>SG&amp;A &amp; Other</t>
        </is>
      </c>
      <c r="B6" s="23" t="n">
        <v>8.314</v>
      </c>
      <c r="C6" s="23" t="n">
        <v>13.145</v>
      </c>
      <c r="D6" s="23" t="n">
        <v>21.392</v>
      </c>
      <c r="E6" s="23" t="n">
        <v>30.516</v>
      </c>
      <c r="F6" s="23" t="n">
        <v>42.121</v>
      </c>
      <c r="G6" s="23" t="n">
        <v>41.668</v>
      </c>
      <c r="H6" s="23" t="n">
        <v>38.511</v>
      </c>
      <c r="I6" s="23" t="n">
        <v>28.666</v>
      </c>
      <c r="J6" s="1" t="n"/>
      <c r="K6" s="1" t="n"/>
    </row>
    <row r="7">
      <c r="A7" s="2" t="inlineStr">
        <is>
          <t>Operating Expense</t>
        </is>
      </c>
      <c r="B7" s="23">
        <f>SUM(B5:B6)</f>
        <v>33.498000000000005</v>
      </c>
      <c r="C7" s="23">
        <f>SUM(C5:C6)</f>
        <v>84.217</v>
      </c>
      <c r="D7" s="23">
        <f>SUM(D5:D6)</f>
        <v>80.434</v>
      </c>
      <c r="E7" s="23">
        <f>SUM(E5:E6)</f>
        <v>100.21699999999998</v>
      </c>
      <c r="F7" s="23">
        <f>SUM(F5:F6)</f>
        <v>118.90299999999999</v>
      </c>
      <c r="G7" s="23">
        <f>SUM(G5:G6)</f>
        <v>113.469</v>
      </c>
      <c r="H7" s="23">
        <f>SUM(H5:H6)</f>
        <v>101.897</v>
      </c>
      <c r="I7" s="23">
        <f>SUM(I5:I6)</f>
        <v>84.769</v>
      </c>
      <c r="J7" s="1" t="n"/>
      <c r="K7" s="1" t="n"/>
    </row>
    <row r="8">
      <c r="A8" s="2" t="inlineStr">
        <is>
          <t>Operating Income</t>
        </is>
      </c>
      <c r="B8" s="23">
        <f>B4-B7</f>
        <v>-33.498000000000005</v>
      </c>
      <c r="C8" s="23">
        <f>C4-C7</f>
        <v>-84.217</v>
      </c>
      <c r="D8" s="23">
        <f>D4-D7</f>
        <v>-71.61099999999999</v>
      </c>
      <c r="E8" s="23">
        <f>E4-E7</f>
        <v>-81.05399999999999</v>
      </c>
      <c r="F8" s="23">
        <f>F4-F7</f>
        <v>-112.56099999999999</v>
      </c>
      <c r="G8" s="23">
        <f>G4-G7</f>
        <v>-110.66399999999999</v>
      </c>
      <c r="H8" s="23">
        <f>H4-H7</f>
        <v>-21.897000000000006</v>
      </c>
      <c r="I8" s="23">
        <f>I4-I7</f>
        <v>-84.769</v>
      </c>
      <c r="J8" s="1" t="n"/>
      <c r="K8" s="1" t="n"/>
    </row>
    <row r="9">
      <c r="A9" s="19" t="inlineStr">
        <is>
          <t>Interest &amp; Other</t>
        </is>
      </c>
      <c r="B9" s="23" t="n">
        <v>0.91</v>
      </c>
      <c r="C9" s="23" t="n">
        <v>1.54</v>
      </c>
      <c r="D9" s="23" t="n">
        <v>0.792</v>
      </c>
      <c r="E9" s="23" t="n">
        <v>0.207</v>
      </c>
      <c r="F9" s="23" t="n">
        <v>2.69</v>
      </c>
      <c r="G9" s="23" t="n">
        <v>13.324</v>
      </c>
      <c r="H9" s="23" t="n">
        <v>12.172</v>
      </c>
      <c r="I9" s="23" t="n">
        <v>9.888999999999999</v>
      </c>
    </row>
    <row r="10">
      <c r="A10" s="2" t="inlineStr">
        <is>
          <t>Pretax</t>
        </is>
      </c>
      <c r="B10" s="23">
        <f>B8+B9</f>
        <v>-32.58800000000001</v>
      </c>
      <c r="C10" s="23">
        <f>C8+C9</f>
        <v>-82.67699999999999</v>
      </c>
      <c r="D10" s="23">
        <f>D8+D9</f>
        <v>-70.81899999999999</v>
      </c>
      <c r="E10" s="23">
        <f>E8+E9</f>
        <v>-80.847</v>
      </c>
      <c r="F10" s="23">
        <f>F8+F9</f>
        <v>-109.871</v>
      </c>
      <c r="G10" s="23">
        <f>G8+G9</f>
        <v>-97.33999999999999</v>
      </c>
      <c r="H10" s="23">
        <f>H8+H9</f>
        <v>-9.725000000000005</v>
      </c>
      <c r="I10" s="23">
        <f>I8+I9</f>
        <v>-74.88000000000001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-32.588</v>
      </c>
      <c r="C12" s="23" t="n">
        <v>-82.67700000000001</v>
      </c>
      <c r="D12" s="23" t="n">
        <v>-70.819</v>
      </c>
      <c r="E12" s="23" t="n">
        <v>-80.84699999999999</v>
      </c>
      <c r="F12" s="23" t="n">
        <v>-109.871</v>
      </c>
      <c r="G12" s="23" t="n">
        <v>-97.34</v>
      </c>
      <c r="H12" s="23" t="n">
        <v>-9.725</v>
      </c>
      <c r="I12" s="23" t="n">
        <v>-74.88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-18.579247434435576</v>
      </c>
      <c r="C13" s="11">
        <f>IFERROR(C12/C14,0)</f>
        <v>-5.36550068141995</v>
      </c>
      <c r="D13" s="11">
        <f>IFERROR(D12/D14,0)</f>
        <v>-2.0022901410840004</v>
      </c>
      <c r="E13" s="11">
        <f>IFERROR(E12/E14,0)</f>
        <v>-2.286332400101807</v>
      </c>
      <c r="F13" s="11">
        <f>IFERROR(F12/F14,0)</f>
        <v>-2.442066191015981</v>
      </c>
      <c r="G13" s="11">
        <f>IFERROR(G12/G14,0)</f>
        <v>-1.5876692219866253</v>
      </c>
      <c r="H13" s="11">
        <f>IFERROR(H12/H14,0)</f>
        <v>-0.15689532782653587</v>
      </c>
      <c r="I13" s="11">
        <f>IFERROR(I12/I14,0)</f>
        <v>-1.1819114513455924</v>
      </c>
    </row>
    <row r="14">
      <c r="A14" s="2" t="inlineStr">
        <is>
          <t>Shares</t>
        </is>
      </c>
      <c r="B14" s="23" t="n">
        <v>1.754</v>
      </c>
      <c r="C14" s="23" t="n">
        <v>15.409</v>
      </c>
      <c r="D14" s="23" t="n">
        <v>35.369</v>
      </c>
      <c r="E14" s="23" t="n">
        <v>35.361</v>
      </c>
      <c r="F14" s="23" t="n">
        <v>44.991</v>
      </c>
      <c r="G14" s="23" t="n">
        <v>61.31</v>
      </c>
      <c r="H14" s="23" t="n">
        <v>61.984</v>
      </c>
      <c r="I14" s="23" t="n">
        <v>63.355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1.1719369828856396</v>
      </c>
      <c r="F16" s="15">
        <f>IFERROR(F2/E2-1,"")</f>
        <v>-0.6690497312529353</v>
      </c>
      <c r="G16" s="15">
        <f>IFERROR(G2/F2-1,"")</f>
        <v>-0.5577105014191106</v>
      </c>
      <c r="H16" s="15">
        <f>IFERROR(H2/G2-1,"")</f>
        <v>27.520499108734402</v>
      </c>
      <c r="I16" s="15">
        <f>IFERROR(I2/H2-1,"")</f>
        <v>-1.0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-8.116400317352372</v>
      </c>
      <c r="E18" s="15">
        <f>IFERROR(E8/E2,"")</f>
        <v>-4.229713510410686</v>
      </c>
      <c r="F18" s="15">
        <f>IFERROR(F8/F2,"")</f>
        <v>-17.748502049826552</v>
      </c>
      <c r="G18" s="15">
        <f>IFERROR(G8/G2,"")</f>
        <v>-39.45240641711229</v>
      </c>
      <c r="H18" s="15">
        <f>IFERROR(H8/H2,"")</f>
        <v>-0.2737125000000001</v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Fulcrum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0.2521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96.047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558.7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-28.733853120536192</v>
      </c>
      <c r="C29" s="42">
        <f>NPV!B25</f>
        <v>19.73214687946381</v>
      </c>
      <c r="D29" s="43">
        <f>NPV!B27</f>
        <v>0.2586219695875018</v>
      </c>
      <c r="E29" s="44">
        <f>NPV!B29</f>
        <v>-0.9304779651646501</v>
      </c>
    </row>
    <row r="30">
      <c r="A30" s="45" t="n">
        <v>1</v>
      </c>
      <c r="B30" s="46">
        <f t="dataTable" ref="B30:E32" r1="B4"/>
        <v>-181.58052625670138</v>
      </c>
      <c r="C30" s="46">
        <v>-133.11452625670137</v>
      </c>
      <c r="D30" s="47">
        <v>-1.7446829871839478</v>
      </c>
      <c r="E30" s="48">
        <v>-1.4690008030064376</v>
      </c>
    </row>
    <row r="31">
      <c r="A31" s="45" t="n">
        <v>2</v>
      </c>
      <c r="B31" s="46">
        <v>-28.733853120536192</v>
      </c>
      <c r="C31" s="46">
        <v>19.73214687946381</v>
      </c>
      <c r="D31" s="47">
        <v>0.2586219695875018</v>
      </c>
      <c r="E31" s="48">
        <v>-0.9304779651646501</v>
      </c>
    </row>
    <row r="32">
      <c r="A32" s="45" t="n">
        <v>3</v>
      </c>
      <c r="B32" s="46">
        <v>198.12734715499408</v>
      </c>
      <c r="C32" s="46">
        <v>246.5933471549941</v>
      </c>
      <c r="D32" s="47">
        <v>3.2320080282177654</v>
      </c>
      <c r="E32" s="48">
        <v>-0.1311806375758695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0.2586219695875018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-2.1609603732077205</v>
      </c>
      <c r="C37" s="47">
        <v>-1.5979065070329355</v>
      </c>
      <c r="D37" s="47">
        <v>-1.0348526408581509</v>
      </c>
      <c r="E37" s="47">
        <v>0.09125509149141978</v>
      </c>
      <c r="F37" s="47">
        <v>1.085304787939396</v>
      </c>
    </row>
    <row r="38">
      <c r="A38" s="50" t="n">
        <v>0.8</v>
      </c>
      <c r="B38" s="47">
        <v>-1.8800677157843246</v>
      </c>
      <c r="C38" s="47">
        <v>-1.1293292275512778</v>
      </c>
      <c r="D38" s="47">
        <v>-0.37859073931823056</v>
      </c>
      <c r="E38" s="47">
        <v>1.0013639630378972</v>
      </c>
      <c r="F38" s="47">
        <v>2.2789564057309684</v>
      </c>
    </row>
    <row r="39">
      <c r="A39" s="50" t="n">
        <v>1</v>
      </c>
      <c r="B39" s="47">
        <v>-1.5991750583609283</v>
      </c>
      <c r="C39" s="47">
        <v>-0.6607519480696198</v>
      </c>
      <c r="D39" s="47">
        <v>0.2586219695875018</v>
      </c>
      <c r="E39" s="47">
        <v>1.8797822265828708</v>
      </c>
      <c r="F39" s="47">
        <v>3.4463981870301548</v>
      </c>
    </row>
    <row r="40">
      <c r="A40" s="50" t="n">
        <v>1.2</v>
      </c>
      <c r="B40" s="47">
        <v>-1.3182824009375327</v>
      </c>
      <c r="C40" s="47">
        <v>-0.1921746685879624</v>
      </c>
      <c r="D40" s="47">
        <v>0.8324938767030069</v>
      </c>
      <c r="E40" s="47">
        <v>2.742644838918649</v>
      </c>
      <c r="F40" s="47">
        <v>4.600866307750938</v>
      </c>
    </row>
    <row r="41">
      <c r="A41" s="50" t="n">
        <v>1.4</v>
      </c>
      <c r="B41" s="47">
        <v>-1.037389743514136</v>
      </c>
      <c r="C41" s="47">
        <v>0.25376188447617853</v>
      </c>
      <c r="D41" s="47">
        <v>1.3955731421388278</v>
      </c>
      <c r="E41" s="47">
        <v>3.59462640669458</v>
      </c>
      <c r="F41" s="47">
        <v>5.743998615939027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Fulcrum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Sickle cell / thalassemia</t>
        </is>
      </c>
      <c r="C4" s="14" t="inlineStr">
        <is>
          <t>Pociredir oral capsule(s), Pociredir</t>
        </is>
      </c>
      <c r="D4" s="14" t="inlineStr">
        <is>
          <t>Phase 2</t>
        </is>
      </c>
      <c r="E4" s="14" t="inlineStr">
        <is>
          <t>Hematology / rare</t>
        </is>
      </c>
      <c r="F4" s="14" t="inlineStr">
        <is>
          <t>Owned</t>
        </is>
      </c>
      <c r="G4" s="40" t="n">
        <v>1000</v>
      </c>
      <c r="H4" s="27" t="n">
        <v>0.2521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286.3964368825413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25.21</v>
      </c>
      <c r="S4" s="23">
        <f>IF(S$3&lt;$I4,0,$G4*Assumptions!$E$11*INDEX(Assumptions!$B$24:$G$24,MIN(6,S$3-$I4+1))*IF(S$3&gt;$J4,(1-Assumptions!$B$26)^(S$3-$J4),1)*IF($H4&gt;=1,1,MIN(0.97,$H4*Assumptions!$E$12)))</f>
        <v>63.025</v>
      </c>
      <c r="T4" s="23">
        <f>IF(T$3&lt;$I4,0,$G4*Assumptions!$E$11*INDEX(Assumptions!$B$24:$G$24,MIN(6,T$3-$I4+1))*IF(T$3&gt;$J4,(1-Assumptions!$B$26)^(T$3-$J4),1)*IF($H4&gt;=1,1,MIN(0.97,$H4*Assumptions!$E$12)))</f>
        <v>113.445</v>
      </c>
      <c r="U4" s="23">
        <f>IF(U$3&lt;$I4,0,$G4*Assumptions!$E$11*INDEX(Assumptions!$B$24:$G$24,MIN(6,U$3-$I4+1))*IF(U$3&gt;$J4,(1-Assumptions!$B$26)^(U$3-$J4),1)*IF($H4&gt;=1,1,MIN(0.97,$H4*Assumptions!$E$12)))</f>
        <v>163.86499999999998</v>
      </c>
      <c r="V4" s="23">
        <f>IF(V$3&lt;$I4,0,$G4*Assumptions!$E$11*INDEX(Assumptions!$B$24:$G$24,MIN(6,V$3-$I4+1))*IF(V$3&gt;$J4,(1-Assumptions!$B$26)^(V$3-$J4),1)*IF($H4&gt;=1,1,MIN(0.97,$H4*Assumptions!$E$12)))</f>
        <v>214.285</v>
      </c>
      <c r="W4" s="23">
        <f>IF(W$3&lt;$I4,0,$G4*Assumptions!$E$11*INDEX(Assumptions!$B$24:$G$24,MIN(6,W$3-$I4+1))*IF(W$3&gt;$J4,(1-Assumptions!$B$26)^(W$3-$J4),1)*IF($H4&gt;=1,1,MIN(0.97,$H4*Assumptions!$E$12)))</f>
        <v>252.1</v>
      </c>
      <c r="X4" s="23">
        <f>IF(X$3&lt;$I4,0,$G4*Assumptions!$E$11*INDEX(Assumptions!$B$24:$G$24,MIN(6,X$3-$I4+1))*IF(X$3&gt;$J4,(1-Assumptions!$B$26)^(X$3-$J4),1)*IF($H4&gt;=1,1,MIN(0.97,$H4*Assumptions!$E$12)))</f>
        <v>252.1</v>
      </c>
      <c r="Y4" s="23">
        <f>IF(Y$3&lt;$I4,0,$G4*Assumptions!$E$11*INDEX(Assumptions!$B$24:$G$24,MIN(6,Y$3-$I4+1))*IF(Y$3&gt;$J4,(1-Assumptions!$B$26)^(Y$3-$J4),1)*IF($H4&gt;=1,1,MIN(0.97,$H4*Assumptions!$E$12)))</f>
        <v>252.1</v>
      </c>
      <c r="Z4" s="23">
        <f>IF(Z$3&lt;$I4,0,$G4*Assumptions!$E$11*INDEX(Assumptions!$B$24:$G$24,MIN(6,Z$3-$I4+1))*IF(Z$3&gt;$J4,(1-Assumptions!$B$26)^(Z$3-$J4),1)*IF($H4&gt;=1,1,MIN(0.97,$H4*Assumptions!$E$12)))</f>
        <v>252.1</v>
      </c>
      <c r="AA4" s="23">
        <f>IF(AA$3&lt;$I4,0,$G4*Assumptions!$E$11*INDEX(Assumptions!$B$24:$G$24,MIN(6,AA$3-$I4+1))*IF(AA$3&gt;$J4,(1-Assumptions!$B$26)^(AA$3-$J4),1)*IF($H4&gt;=1,1,MIN(0.97,$H4*Assumptions!$E$12)))</f>
        <v>252.1</v>
      </c>
      <c r="AB4" s="23">
        <f>IF(AB$3&lt;$I4,0,$G4*Assumptions!$E$11*INDEX(Assumptions!$B$24:$G$24,MIN(6,AB$3-$I4+1))*IF(AB$3&gt;$J4,(1-Assumptions!$B$26)^(AB$3-$J4),1)*IF($H4&gt;=1,1,MIN(0.97,$H4*Assumptions!$E$12)))</f>
        <v>252.1</v>
      </c>
      <c r="AC4" s="23">
        <f>IF(AC$3&lt;$I4,0,$G4*Assumptions!$E$11*INDEX(Assumptions!$B$24:$G$24,MIN(6,AC$3-$I4+1))*IF(AC$3&gt;$J4,(1-Assumptions!$B$26)^(AC$3-$J4),1)*IF($H4&gt;=1,1,MIN(0.97,$H4*Assumptions!$E$12)))</f>
        <v>252.1</v>
      </c>
      <c r="AD4" s="23">
        <f>IF(AD$3&lt;$I4,0,$G4*Assumptions!$E$11*INDEX(Assumptions!$B$24:$G$24,MIN(6,AD$3-$I4+1))*IF(AD$3&gt;$J4,(1-Assumptions!$B$26)^(AD$3-$J4),1)*IF($H4&gt;=1,1,MIN(0.97,$H4*Assumptions!$E$12)))</f>
        <v>252.1</v>
      </c>
      <c r="AE4" s="23">
        <f>IF(AE$3&lt;$I4,0,$G4*Assumptions!$E$11*INDEX(Assumptions!$B$24:$G$24,MIN(6,AE$3-$I4+1))*IF(AE$3&gt;$J4,(1-Assumptions!$B$26)^(AE$3-$J4),1)*IF($H4&gt;=1,1,MIN(0.97,$H4*Assumptions!$E$12)))</f>
        <v>126.05</v>
      </c>
      <c r="AF4" s="23">
        <f>IF(AF$3&lt;$I4,0,$G4*Assumptions!$E$11*INDEX(Assumptions!$B$24:$G$24,MIN(6,AF$3-$I4+1))*IF(AF$3&gt;$J4,(1-Assumptions!$B$26)^(AF$3-$J4),1)*IF($H4&gt;=1,1,MIN(0.97,$H4*Assumptions!$E$12)))</f>
        <v>63.025</v>
      </c>
      <c r="AG4" s="35">
        <f>IF(F4="Owned",1-IF(H4&gt;=1,1,MIN(0.97,H4*Assumptions!$E$12)),1)</f>
        <v>0.7479</v>
      </c>
    </row>
    <row r="5">
      <c r="B5" s="24" t="inlineStr">
        <is>
          <t>Risked revenue</t>
        </is>
      </c>
      <c r="L5" s="54">
        <f>SUM(L4:L4)</f>
        <v>286.3964368825413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25.21</v>
      </c>
      <c r="S5" s="54">
        <f>SUM(S4:S4)</f>
        <v>63.025</v>
      </c>
      <c r="T5" s="54">
        <f>SUM(T4:T4)</f>
        <v>113.445</v>
      </c>
      <c r="U5" s="54">
        <f>SUM(U4:U4)</f>
        <v>163.86499999999998</v>
      </c>
      <c r="V5" s="54">
        <f>SUM(V4:V4)</f>
        <v>214.285</v>
      </c>
      <c r="W5" s="54">
        <f>SUM(W4:W4)</f>
        <v>252.1</v>
      </c>
      <c r="X5" s="54">
        <f>SUM(X4:X4)</f>
        <v>252.1</v>
      </c>
      <c r="Y5" s="54">
        <f>SUM(Y4:Y4)</f>
        <v>252.1</v>
      </c>
      <c r="Z5" s="54">
        <f>SUM(Z4:Z4)</f>
        <v>252.1</v>
      </c>
      <c r="AA5" s="54">
        <f>SUM(AA4:AA4)</f>
        <v>252.1</v>
      </c>
      <c r="AB5" s="54">
        <f>SUM(AB4:AB4)</f>
        <v>252.1</v>
      </c>
      <c r="AC5" s="54">
        <f>SUM(AC4:AC4)</f>
        <v>252.1</v>
      </c>
      <c r="AD5" s="54">
        <f>SUM(AD4:AD4)</f>
        <v>252.1</v>
      </c>
      <c r="AE5" s="54">
        <f>SUM(AE4:AE4)</f>
        <v>126.05</v>
      </c>
      <c r="AF5" s="54">
        <f>SUM(AF4:AF4)</f>
        <v>63.025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10.084000000000001</v>
      </c>
      <c r="S6" s="55">
        <f>SUMPRODUCT(S4:S4,$K$4:$K$4)</f>
        <v>25.21</v>
      </c>
      <c r="T6" s="55">
        <f>SUMPRODUCT(T4:T4,$K$4:$K$4)</f>
        <v>45.378</v>
      </c>
      <c r="U6" s="55">
        <f>SUMPRODUCT(U4:U4,$K$4:$K$4)</f>
        <v>65.54599999999999</v>
      </c>
      <c r="V6" s="55">
        <f>SUMPRODUCT(V4:V4,$K$4:$K$4)</f>
        <v>85.714</v>
      </c>
      <c r="W6" s="55">
        <f>SUMPRODUCT(W4:W4,$K$4:$K$4)</f>
        <v>100.84</v>
      </c>
      <c r="X6" s="55">
        <f>SUMPRODUCT(X4:X4,$K$4:$K$4)</f>
        <v>100.84</v>
      </c>
      <c r="Y6" s="55">
        <f>SUMPRODUCT(Y4:Y4,$K$4:$K$4)</f>
        <v>100.84</v>
      </c>
      <c r="Z6" s="55">
        <f>SUMPRODUCT(Z4:Z4,$K$4:$K$4)</f>
        <v>100.84</v>
      </c>
      <c r="AA6" s="55">
        <f>SUMPRODUCT(AA4:AA4,$K$4:$K$4)</f>
        <v>100.84</v>
      </c>
      <c r="AB6" s="55">
        <f>SUMPRODUCT(AB4:AB4,$K$4:$K$4)</f>
        <v>100.84</v>
      </c>
      <c r="AC6" s="55">
        <f>SUMPRODUCT(AC4:AC4,$K$4:$K$4)</f>
        <v>100.84</v>
      </c>
      <c r="AD6" s="55">
        <f>SUMPRODUCT(AD4:AD4,$K$4:$K$4)</f>
        <v>100.84</v>
      </c>
      <c r="AE6" s="55">
        <f>SUMPRODUCT(AE4:AE4,$K$4:$K$4)</f>
        <v>50.42</v>
      </c>
      <c r="AF6" s="55">
        <f>SUMPRODUCT(AF4:AF4,$K$4:$K$4)</f>
        <v>25.21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Fulcrum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25.21</v>
      </c>
      <c r="I4" s="57">
        <f>Pipeline!S5</f>
        <v>63.025</v>
      </c>
      <c r="J4" s="57">
        <f>Pipeline!T5</f>
        <v>113.445</v>
      </c>
      <c r="K4" s="57">
        <f>Pipeline!U5</f>
        <v>163.86499999999998</v>
      </c>
      <c r="L4" s="57">
        <f>Pipeline!V5</f>
        <v>214.285</v>
      </c>
      <c r="M4" s="57">
        <f>Pipeline!W5</f>
        <v>252.1</v>
      </c>
      <c r="N4" s="57">
        <f>Pipeline!X5</f>
        <v>252.1</v>
      </c>
      <c r="O4" s="57">
        <f>Pipeline!Y5</f>
        <v>252.1</v>
      </c>
      <c r="P4" s="57">
        <f>Pipeline!Z5</f>
        <v>252.1</v>
      </c>
      <c r="Q4" s="57">
        <f>Pipeline!AA5</f>
        <v>252.1</v>
      </c>
      <c r="R4" s="57">
        <f>Pipeline!AB5</f>
        <v>252.1</v>
      </c>
      <c r="S4" s="57">
        <f>Pipeline!AC5</f>
        <v>252.1</v>
      </c>
      <c r="T4" s="57">
        <f>Pipeline!AD5</f>
        <v>252.1</v>
      </c>
      <c r="U4" s="57">
        <f>Pipeline!AE5</f>
        <v>126.05</v>
      </c>
      <c r="V4" s="57">
        <f>Pipeline!AF5</f>
        <v>63.025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10.084000000000001</v>
      </c>
      <c r="I5" s="57">
        <f>Pipeline!S6</f>
        <v>25.21</v>
      </c>
      <c r="J5" s="57">
        <f>Pipeline!T6</f>
        <v>45.378</v>
      </c>
      <c r="K5" s="57">
        <f>Pipeline!U6</f>
        <v>65.54599999999999</v>
      </c>
      <c r="L5" s="57">
        <f>Pipeline!V6</f>
        <v>85.714</v>
      </c>
      <c r="M5" s="57">
        <f>Pipeline!W6</f>
        <v>100.84</v>
      </c>
      <c r="N5" s="57">
        <f>Pipeline!X6</f>
        <v>100.84</v>
      </c>
      <c r="O5" s="57">
        <f>Pipeline!Y6</f>
        <v>100.84</v>
      </c>
      <c r="P5" s="57">
        <f>Pipeline!Z6</f>
        <v>100.84</v>
      </c>
      <c r="Q5" s="57">
        <f>Pipeline!AA6</f>
        <v>100.84</v>
      </c>
      <c r="R5" s="57">
        <f>Pipeline!AB6</f>
        <v>100.84</v>
      </c>
      <c r="S5" s="57">
        <f>Pipeline!AC6</f>
        <v>100.84</v>
      </c>
      <c r="T5" s="57">
        <f>Pipeline!AD6</f>
        <v>100.84</v>
      </c>
      <c r="U5" s="57">
        <f>Pipeline!AE6</f>
        <v>50.42</v>
      </c>
      <c r="V5" s="57">
        <f>Pipeline!AF6</f>
        <v>25.21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-96.047</v>
      </c>
      <c r="D6" s="23">
        <f>-IF(D3-2026&lt;Assumptions!$B$19,Assumptions!$B$18,Assumptions!$B$18*Assumptions!$B$20*Assumptions!$B$16)</f>
        <v>-96.047</v>
      </c>
      <c r="E6" s="23">
        <f>-IF(E3-2026&lt;Assumptions!$B$19,Assumptions!$B$18,Assumptions!$B$18*Assumptions!$B$20*Assumptions!$B$16)</f>
        <v>-96.047</v>
      </c>
      <c r="F6" s="23">
        <f>-IF(F3-2026&lt;Assumptions!$B$19,Assumptions!$B$18,Assumptions!$B$18*Assumptions!$B$20*Assumptions!$B$16)</f>
        <v>-96.047</v>
      </c>
      <c r="G6" s="23">
        <f>-IF(G3-2026&lt;Assumptions!$B$19,Assumptions!$B$18,Assumptions!$B$18*Assumptions!$B$20*Assumptions!$B$16)</f>
        <v>-7.264034609999999</v>
      </c>
      <c r="H6" s="23">
        <f>-IF(H3-2026&lt;Assumptions!$B$19,Assumptions!$B$18,Assumptions!$B$18*Assumptions!$B$20*Assumptions!$B$16)</f>
        <v>-7.264034609999999</v>
      </c>
      <c r="I6" s="23">
        <f>-IF(I3-2026&lt;Assumptions!$B$19,Assumptions!$B$18,Assumptions!$B$18*Assumptions!$B$20*Assumptions!$B$16)</f>
        <v>-7.264034609999999</v>
      </c>
      <c r="J6" s="23">
        <f>-IF(J3-2026&lt;Assumptions!$B$19,Assumptions!$B$18,Assumptions!$B$18*Assumptions!$B$20*Assumptions!$B$16)</f>
        <v>-7.264034609999999</v>
      </c>
      <c r="K6" s="23">
        <f>-IF(K3-2026&lt;Assumptions!$B$19,Assumptions!$B$18,Assumptions!$B$18*Assumptions!$B$20*Assumptions!$B$16)</f>
        <v>-7.264034609999999</v>
      </c>
      <c r="L6" s="23">
        <f>-IF(L3-2026&lt;Assumptions!$B$19,Assumptions!$B$18,Assumptions!$B$18*Assumptions!$B$20*Assumptions!$B$16)</f>
        <v>-7.264034609999999</v>
      </c>
      <c r="M6" s="23">
        <f>-IF(M3-2026&lt;Assumptions!$B$19,Assumptions!$B$18,Assumptions!$B$18*Assumptions!$B$20*Assumptions!$B$16)</f>
        <v>-7.264034609999999</v>
      </c>
      <c r="N6" s="23">
        <f>-IF(N3-2026&lt;Assumptions!$B$19,Assumptions!$B$18,Assumptions!$B$18*Assumptions!$B$20*Assumptions!$B$16)</f>
        <v>-7.264034609999999</v>
      </c>
      <c r="O6" s="23">
        <f>-IF(O3-2026&lt;Assumptions!$B$19,Assumptions!$B$18,Assumptions!$B$18*Assumptions!$B$20*Assumptions!$B$16)</f>
        <v>-7.264034609999999</v>
      </c>
      <c r="P6" s="23">
        <f>-IF(P3-2026&lt;Assumptions!$B$19,Assumptions!$B$18,Assumptions!$B$18*Assumptions!$B$20*Assumptions!$B$16)</f>
        <v>-7.264034609999999</v>
      </c>
      <c r="Q6" s="23">
        <f>-IF(Q3-2026&lt;Assumptions!$B$19,Assumptions!$B$18,Assumptions!$B$18*Assumptions!$B$20*Assumptions!$B$16)</f>
        <v>-7.264034609999999</v>
      </c>
      <c r="R6" s="23">
        <f>-IF(R3-2026&lt;Assumptions!$B$19,Assumptions!$B$18,Assumptions!$B$18*Assumptions!$B$20*Assumptions!$B$16)</f>
        <v>-7.264034609999999</v>
      </c>
      <c r="S6" s="23">
        <f>-IF(S3-2026&lt;Assumptions!$B$19,Assumptions!$B$18,Assumptions!$B$18*Assumptions!$B$20*Assumptions!$B$16)</f>
        <v>-7.264034609999999</v>
      </c>
      <c r="T6" s="23">
        <f>-IF(T3-2026&lt;Assumptions!$B$19,Assumptions!$B$18,Assumptions!$B$18*Assumptions!$B$20*Assumptions!$B$16)</f>
        <v>-7.264034609999999</v>
      </c>
      <c r="U6" s="23">
        <f>-IF(U3-2026&lt;Assumptions!$B$19,Assumptions!$B$18,Assumptions!$B$18*Assumptions!$B$20*Assumptions!$B$16)</f>
        <v>-7.264034609999999</v>
      </c>
      <c r="V6" s="23">
        <f>-IF(V3-2026&lt;Assumptions!$B$19,Assumptions!$B$18,Assumptions!$B$18*Assumptions!$B$20*Assumptions!$B$16)</f>
        <v>-7.264034609999999</v>
      </c>
    </row>
    <row r="7">
      <c r="A7" s="14" t="inlineStr">
        <is>
          <t>Pre-tax cash flow</t>
        </is>
      </c>
      <c r="C7" s="23">
        <f>C5+C6</f>
        <v>-96.047</v>
      </c>
      <c r="D7" s="23">
        <f>D5+D6</f>
        <v>-96.047</v>
      </c>
      <c r="E7" s="23">
        <f>E5+E6</f>
        <v>-96.047</v>
      </c>
      <c r="F7" s="23">
        <f>F5+F6</f>
        <v>-96.047</v>
      </c>
      <c r="G7" s="23">
        <f>G5+G6</f>
        <v>-7.264034609999999</v>
      </c>
      <c r="H7" s="23">
        <f>H5+H6</f>
        <v>2.819965390000003</v>
      </c>
      <c r="I7" s="23">
        <f>I5+I6</f>
        <v>17.94596539</v>
      </c>
      <c r="J7" s="23">
        <f>J5+J6</f>
        <v>38.113965390000004</v>
      </c>
      <c r="K7" s="23">
        <f>K5+K6</f>
        <v>58.281965389999996</v>
      </c>
      <c r="L7" s="23">
        <f>L5+L6</f>
        <v>78.44996539</v>
      </c>
      <c r="M7" s="23">
        <f>M5+M6</f>
        <v>93.57596539000001</v>
      </c>
      <c r="N7" s="23">
        <f>N5+N6</f>
        <v>93.57596539000001</v>
      </c>
      <c r="O7" s="23">
        <f>O5+O6</f>
        <v>93.57596539000001</v>
      </c>
      <c r="P7" s="23">
        <f>P5+P6</f>
        <v>93.57596539000001</v>
      </c>
      <c r="Q7" s="23">
        <f>Q5+Q6</f>
        <v>93.57596539000001</v>
      </c>
      <c r="R7" s="23">
        <f>R5+R6</f>
        <v>93.57596539000001</v>
      </c>
      <c r="S7" s="23">
        <f>S5+S6</f>
        <v>93.57596539000001</v>
      </c>
      <c r="T7" s="23">
        <f>T5+T6</f>
        <v>93.57596539000001</v>
      </c>
      <c r="U7" s="23">
        <f>U5+U6</f>
        <v>43.155965390000006</v>
      </c>
      <c r="V7" s="23">
        <f>V5+V6</f>
        <v>17.94596539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2.819965390000003</v>
      </c>
      <c r="I8" s="23">
        <f>MIN(H17,MAX(0,I7))</f>
        <v>17.94596539</v>
      </c>
      <c r="J8" s="23">
        <f>MIN(I17,MAX(0,J7))</f>
        <v>38.113965390000004</v>
      </c>
      <c r="K8" s="23">
        <f>MIN(J17,MAX(0,K7))</f>
        <v>58.281965389999996</v>
      </c>
      <c r="L8" s="23">
        <f>MIN(K17,MAX(0,L7))</f>
        <v>78.44996539</v>
      </c>
      <c r="M8" s="23">
        <f>MIN(L17,MAX(0,M7))</f>
        <v>93.57596539000001</v>
      </c>
      <c r="N8" s="23">
        <f>MIN(M17,MAX(0,N7))</f>
        <v>93.57596539000001</v>
      </c>
      <c r="O8" s="23">
        <f>MIN(N17,MAX(0,O7))</f>
        <v>93.57596539000001</v>
      </c>
      <c r="P8" s="23">
        <f>MIN(O17,MAX(0,P7))</f>
        <v>93.57596539000001</v>
      </c>
      <c r="Q8" s="23">
        <f>MIN(P17,MAX(0,Q7))</f>
        <v>93.57596539000001</v>
      </c>
      <c r="R8" s="23">
        <f>MIN(Q17,MAX(0,R7))</f>
        <v>93.57596539000001</v>
      </c>
      <c r="S8" s="23">
        <f>MIN(R17,MAX(0,S7))</f>
        <v>93.57596539000001</v>
      </c>
      <c r="T8" s="23">
        <f>MIN(S17,MAX(0,T7))</f>
        <v>93.57596539000001</v>
      </c>
      <c r="U8" s="23">
        <f>MIN(T17,MAX(0,U7))</f>
        <v>5.932484540000161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37.223480849999845</v>
      </c>
      <c r="V9" s="23">
        <f>MAX(0,V7)-V8</f>
        <v>17.94596539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7.816930978499967</v>
      </c>
      <c r="V10" s="23">
        <f>V9*Assumptions!$E$15</f>
        <v>3.7686527319</v>
      </c>
    </row>
    <row r="11">
      <c r="A11" s="24" t="inlineStr">
        <is>
          <t>Free cash flow</t>
        </is>
      </c>
      <c r="C11" s="55">
        <f>C7-C10</f>
        <v>-96.047</v>
      </c>
      <c r="D11" s="55">
        <f>D7-D10</f>
        <v>-96.047</v>
      </c>
      <c r="E11" s="55">
        <f>E7-E10</f>
        <v>-96.047</v>
      </c>
      <c r="F11" s="55">
        <f>F7-F10</f>
        <v>-96.047</v>
      </c>
      <c r="G11" s="55">
        <f>G7-G10</f>
        <v>-7.264034609999999</v>
      </c>
      <c r="H11" s="55">
        <f>H7-H10</f>
        <v>2.819965390000003</v>
      </c>
      <c r="I11" s="55">
        <f>I7-I10</f>
        <v>17.94596539</v>
      </c>
      <c r="J11" s="55">
        <f>J7-J10</f>
        <v>38.113965390000004</v>
      </c>
      <c r="K11" s="55">
        <f>K7-K10</f>
        <v>58.281965389999996</v>
      </c>
      <c r="L11" s="55">
        <f>L7-L10</f>
        <v>78.44996539</v>
      </c>
      <c r="M11" s="55">
        <f>M7-M10</f>
        <v>93.57596539000001</v>
      </c>
      <c r="N11" s="55">
        <f>N7-N10</f>
        <v>93.57596539000001</v>
      </c>
      <c r="O11" s="55">
        <f>O7-O10</f>
        <v>93.57596539000001</v>
      </c>
      <c r="P11" s="55">
        <f>P7-P10</f>
        <v>93.57596539000001</v>
      </c>
      <c r="Q11" s="55">
        <f>Q7-Q10</f>
        <v>93.57596539000001</v>
      </c>
      <c r="R11" s="55">
        <f>R7-R10</f>
        <v>93.57596539000001</v>
      </c>
      <c r="S11" s="55">
        <f>S7-S10</f>
        <v>93.57596539000001</v>
      </c>
      <c r="T11" s="55">
        <f>T7-T10</f>
        <v>93.57596539000001</v>
      </c>
      <c r="U11" s="55">
        <f>U7-U10</f>
        <v>35.33903441150004</v>
      </c>
      <c r="V11" s="55">
        <f>V7-V10</f>
        <v>14.177312658100002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-47.05384300981117</v>
      </c>
      <c r="D16" s="55">
        <f>D11*D15</f>
        <v>-85.71641281925776</v>
      </c>
      <c r="E16" s="55">
        <f>E11*E15</f>
        <v>-76.53251144576583</v>
      </c>
      <c r="F16" s="55">
        <f>F11*F15</f>
        <v>-68.33259950514807</v>
      </c>
      <c r="G16" s="55">
        <f>G11*G15</f>
        <v>-4.614280804084238</v>
      </c>
      <c r="H16" s="55">
        <f>H11*H15</f>
        <v>1.5993807733517227</v>
      </c>
      <c r="I16" s="55">
        <f>I11*I15</f>
        <v>9.087760978564395</v>
      </c>
      <c r="J16" s="55">
        <f>J11*J15</f>
        <v>17.232813291490746</v>
      </c>
      <c r="K16" s="55">
        <f>K11*K15</f>
        <v>23.52817346490343</v>
      </c>
      <c r="L16" s="55">
        <f>L11*L15</f>
        <v>28.276702224085575</v>
      </c>
      <c r="M16" s="55">
        <f>M11*M15</f>
        <v>30.114960347999165</v>
      </c>
      <c r="N16" s="55">
        <f>N11*N15</f>
        <v>26.888357453570677</v>
      </c>
      <c r="O16" s="55">
        <f>O11*O15</f>
        <v>24.007462012116676</v>
      </c>
      <c r="P16" s="55">
        <f>P11*P15</f>
        <v>21.435233939389885</v>
      </c>
      <c r="Q16" s="55">
        <f>Q11*Q15</f>
        <v>19.13860173159811</v>
      </c>
      <c r="R16" s="55">
        <f>R11*R15</f>
        <v>17.088037260355456</v>
      </c>
      <c r="S16" s="55">
        <f>S11*S15</f>
        <v>15.257176125317368</v>
      </c>
      <c r="T16" s="55">
        <f>T11*T15</f>
        <v>13.622478683319079</v>
      </c>
      <c r="U16" s="55">
        <f>U11*U15</f>
        <v>4.5933387702074855</v>
      </c>
      <c r="V16" s="55">
        <f>V11*V15</f>
        <v>1.6453174072610806</v>
      </c>
    </row>
    <row r="17">
      <c r="A17" s="14" t="inlineStr">
        <is>
          <t>Tax-loss carryforward, end of year</t>
        </is>
      </c>
      <c r="C17" s="23">
        <f>Assumptions!$B$21-C8+MAX(0,-C7)</f>
        <v>654.7470000000001</v>
      </c>
      <c r="D17" s="23">
        <f>C17-D8+MAX(0,-D7)</f>
        <v>750.7940000000001</v>
      </c>
      <c r="E17" s="23">
        <f>D17-E8+MAX(0,-E7)</f>
        <v>846.8410000000001</v>
      </c>
      <c r="F17" s="23">
        <f>E17-F8+MAX(0,-F7)</f>
        <v>942.8880000000001</v>
      </c>
      <c r="G17" s="23">
        <f>F17-G8+MAX(0,-G7)</f>
        <v>950.1520346100001</v>
      </c>
      <c r="H17" s="23">
        <f>G17-H8+MAX(0,-H7)</f>
        <v>947.3320692200001</v>
      </c>
      <c r="I17" s="23">
        <f>H17-I8+MAX(0,-I7)</f>
        <v>929.3861038300001</v>
      </c>
      <c r="J17" s="23">
        <f>I17-J8+MAX(0,-J7)</f>
        <v>891.2721384400002</v>
      </c>
      <c r="K17" s="23">
        <f>J17-K8+MAX(0,-K7)</f>
        <v>832.9901730500002</v>
      </c>
      <c r="L17" s="23">
        <f>K17-L8+MAX(0,-L7)</f>
        <v>754.5402076600002</v>
      </c>
      <c r="M17" s="23">
        <f>L17-M8+MAX(0,-M7)</f>
        <v>660.9642422700002</v>
      </c>
      <c r="N17" s="23">
        <f>M17-N8+MAX(0,-N7)</f>
        <v>567.3882768800003</v>
      </c>
      <c r="O17" s="23">
        <f>N17-O8+MAX(0,-O7)</f>
        <v>473.81231149000024</v>
      </c>
      <c r="P17" s="23">
        <f>O17-P8+MAX(0,-P7)</f>
        <v>380.2363461000002</v>
      </c>
      <c r="Q17" s="23">
        <f>P17-Q8+MAX(0,-Q7)</f>
        <v>286.6603807100002</v>
      </c>
      <c r="R17" s="23">
        <f>Q17-R8+MAX(0,-R7)</f>
        <v>193.08441532000018</v>
      </c>
      <c r="S17" s="23">
        <f>R17-S8+MAX(0,-S7)</f>
        <v>99.50844993000017</v>
      </c>
      <c r="T17" s="23">
        <f>S17-T8+MAX(0,-T7)</f>
        <v>5.932484540000161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286.3964368825413</v>
      </c>
    </row>
    <row r="20">
      <c r="A20" s="14" t="inlineStr">
        <is>
          <t>PV of corporate burn</t>
        </is>
      </c>
      <c r="B20" s="23">
        <f>SUMPRODUCT(C6:V6,C15:V15)</f>
        <v>-313.67688885702444</v>
      </c>
    </row>
    <row r="21">
      <c r="A21" s="14" t="inlineStr">
        <is>
          <t>PV of taxes</t>
        </is>
      </c>
      <c r="B21" s="23">
        <f>-SUMPRODUCT(C10:V10,C15:V15)</f>
        <v>-1.4534011460530964</v>
      </c>
    </row>
    <row r="22">
      <c r="A22" s="24" t="inlineStr">
        <is>
          <t>Pipeline rNPV (operations)</t>
        </is>
      </c>
      <c r="B22" s="54">
        <f>SUM(C16:V16)</f>
        <v>-28.733853120536192</v>
      </c>
    </row>
    <row r="23">
      <c r="A23" s="14" t="inlineStr">
        <is>
          <t>Cash &amp; investments</t>
        </is>
      </c>
      <c r="B23" s="57">
        <f>Main!C7</f>
        <v>48.466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19.73214687946381</v>
      </c>
    </row>
    <row r="26">
      <c r="A26" s="14" t="inlineStr">
        <is>
          <t>Shares (mm)</t>
        </is>
      </c>
      <c r="B26" s="57">
        <f>Main!C4</f>
        <v>76.297257</v>
      </c>
    </row>
    <row r="27">
      <c r="A27" s="24" t="inlineStr">
        <is>
          <t>rNPV / share</t>
        </is>
      </c>
      <c r="B27" s="60">
        <f>B25/B26</f>
        <v>0.2586219695875018</v>
      </c>
    </row>
    <row r="28">
      <c r="A28" s="14" t="inlineStr">
        <is>
          <t>Price</t>
        </is>
      </c>
      <c r="B28" s="61">
        <f>Main!C3</f>
        <v>3.72</v>
      </c>
    </row>
    <row r="29">
      <c r="A29" s="14" t="inlineStr">
        <is>
          <t>Upside</t>
        </is>
      </c>
      <c r="B29" s="62">
        <f>B27/B28-1</f>
        <v>-0.9304779651646501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2026-10-21T06:26:05Z</dcterms:modified>
  <cp:lastModifiedBy>Wang, Eric</cp:lastModifiedBy>
</cp:coreProperties>
</file>