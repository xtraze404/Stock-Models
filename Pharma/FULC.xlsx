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Fulcrum Therapeutics, Inc.</t>
        </is>
      </c>
      <c r="C2" s="10" t="n"/>
    </row>
    <row r="3">
      <c r="B3" t="inlineStr">
        <is>
          <t>Price</t>
        </is>
      </c>
      <c r="C3" s="11">
        <f>INDEX([1]Pharma!$F$1:$F$1000,MATCH("FULC",[1]Pharma!$B$1:$B$1000,0))</f>
        <v>3.72</v>
      </c>
      <c r="F3" s="1" t="n"/>
    </row>
    <row r="4">
      <c r="B4" t="inlineStr">
        <is>
          <t>Shares</t>
        </is>
      </c>
      <c r="C4" s="21" t="n">
        <v>76.297257</v>
      </c>
      <c r="F4" s="1" t="n"/>
    </row>
    <row r="5">
      <c r="B5" t="inlineStr">
        <is>
          <t>Market Cap.</t>
        </is>
      </c>
      <c r="C5" s="13">
        <f>C3*C4</f>
        <v>283.82579604</v>
      </c>
      <c r="F5" s="1" t="n"/>
    </row>
    <row r="6"/>
    <row r="7">
      <c r="B7" t="inlineStr">
        <is>
          <t>Cash</t>
        </is>
      </c>
      <c r="C7" s="21" t="n">
        <v>48.466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235.35979604</v>
      </c>
    </row>
    <row r="10"/>
    <row r="11">
      <c r="B11" s="14" t="inlineStr">
        <is>
          <t>Net Cash / Share</t>
        </is>
      </c>
      <c r="C11" s="11">
        <f>(C7-C8)/C4</f>
        <v>0.6352259819773075</v>
      </c>
    </row>
    <row r="12">
      <c r="B12" s="14" t="inlineStr">
        <is>
          <t>Upside</t>
        </is>
      </c>
      <c r="C12" s="15">
        <f>IFERROR(C11/C3-1,"")</f>
        <v>-0.829240327425455</v>
      </c>
    </row>
    <row r="13">
      <c r="B13" s="14" t="inlineStr">
        <is>
          <t>Cash / Share</t>
        </is>
      </c>
      <c r="C13" s="11">
        <f>IFERROR((C7-C8)/C4,"")</f>
        <v>0.6352259819773075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-65.777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0.7368229016221476</v>
      </c>
    </row>
    <row r="19">
      <c r="B19" s="14" t="inlineStr">
        <is>
          <t>Implied Pipeline Value</t>
        </is>
      </c>
      <c r="C19" s="13">
        <f>C9</f>
        <v>235.35979604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8.823</v>
      </c>
      <c r="E2" s="23" t="n">
        <v>19.163</v>
      </c>
      <c r="F2" s="23" t="n">
        <v>6.342</v>
      </c>
      <c r="G2" s="23" t="n">
        <v>2.805</v>
      </c>
      <c r="H2" s="23" t="n">
        <v>80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8.823</v>
      </c>
      <c r="E4" s="23">
        <f>E2-E3</f>
        <v>19.163</v>
      </c>
      <c r="F4" s="23">
        <f>F2-F3</f>
        <v>6.342</v>
      </c>
      <c r="G4" s="23">
        <f>G2-G3</f>
        <v>2.805</v>
      </c>
      <c r="H4" s="23">
        <f>H2-H3</f>
        <v>80.0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25.184</v>
      </c>
      <c r="C5" s="23" t="n">
        <v>71.072</v>
      </c>
      <c r="D5" s="23" t="n">
        <v>59.042</v>
      </c>
      <c r="E5" s="23" t="n">
        <v>69.70099999999999</v>
      </c>
      <c r="F5" s="23" t="n">
        <v>76.782</v>
      </c>
      <c r="G5" s="23" t="n">
        <v>71.801</v>
      </c>
      <c r="H5" s="23" t="n">
        <v>63.386</v>
      </c>
      <c r="I5" s="23" t="n">
        <v>56.103</v>
      </c>
      <c r="J5" s="1" t="n"/>
      <c r="K5" s="1" t="n"/>
    </row>
    <row r="6">
      <c r="A6" s="19" t="inlineStr">
        <is>
          <t>SG&amp;A &amp; Other</t>
        </is>
      </c>
      <c r="B6" s="23" t="n">
        <v>8.314</v>
      </c>
      <c r="C6" s="23" t="n">
        <v>13.145</v>
      </c>
      <c r="D6" s="23" t="n">
        <v>21.392</v>
      </c>
      <c r="E6" s="23" t="n">
        <v>30.516</v>
      </c>
      <c r="F6" s="23" t="n">
        <v>42.121</v>
      </c>
      <c r="G6" s="23" t="n">
        <v>41.668</v>
      </c>
      <c r="H6" s="23" t="n">
        <v>38.511</v>
      </c>
      <c r="I6" s="23" t="n">
        <v>28.666</v>
      </c>
      <c r="J6" s="1" t="n"/>
      <c r="K6" s="1" t="n"/>
    </row>
    <row r="7">
      <c r="A7" s="2" t="inlineStr">
        <is>
          <t>Operating Expense</t>
        </is>
      </c>
      <c r="B7" s="23">
        <f>SUM(B5:B6)</f>
        <v>33.498000000000005</v>
      </c>
      <c r="C7" s="23">
        <f>SUM(C5:C6)</f>
        <v>84.217</v>
      </c>
      <c r="D7" s="23">
        <f>SUM(D5:D6)</f>
        <v>80.434</v>
      </c>
      <c r="E7" s="23">
        <f>SUM(E5:E6)</f>
        <v>100.21699999999998</v>
      </c>
      <c r="F7" s="23">
        <f>SUM(F5:F6)</f>
        <v>118.90299999999999</v>
      </c>
      <c r="G7" s="23">
        <f>SUM(G5:G6)</f>
        <v>113.469</v>
      </c>
      <c r="H7" s="23">
        <f>SUM(H5:H6)</f>
        <v>101.897</v>
      </c>
      <c r="I7" s="23">
        <f>SUM(I5:I6)</f>
        <v>84.769</v>
      </c>
      <c r="J7" s="1" t="n"/>
      <c r="K7" s="1" t="n"/>
    </row>
    <row r="8">
      <c r="A8" s="2" t="inlineStr">
        <is>
          <t>Operating Income</t>
        </is>
      </c>
      <c r="B8" s="23">
        <f>B4-B7</f>
        <v>-33.498000000000005</v>
      </c>
      <c r="C8" s="23">
        <f>C4-C7</f>
        <v>-84.217</v>
      </c>
      <c r="D8" s="23">
        <f>D4-D7</f>
        <v>-71.61099999999999</v>
      </c>
      <c r="E8" s="23">
        <f>E4-E7</f>
        <v>-81.05399999999999</v>
      </c>
      <c r="F8" s="23">
        <f>F4-F7</f>
        <v>-112.56099999999999</v>
      </c>
      <c r="G8" s="23">
        <f>G4-G7</f>
        <v>-110.66399999999999</v>
      </c>
      <c r="H8" s="23">
        <f>H4-H7</f>
        <v>-21.897000000000006</v>
      </c>
      <c r="I8" s="23">
        <f>I4-I7</f>
        <v>-84.769</v>
      </c>
      <c r="J8" s="1" t="n"/>
      <c r="K8" s="1" t="n"/>
    </row>
    <row r="9">
      <c r="A9" s="19" t="inlineStr">
        <is>
          <t>Interest &amp; Other</t>
        </is>
      </c>
      <c r="B9" s="23" t="n">
        <v>0.91</v>
      </c>
      <c r="C9" s="23" t="n">
        <v>1.54</v>
      </c>
      <c r="D9" s="23" t="n">
        <v>0.792</v>
      </c>
      <c r="E9" s="23" t="n">
        <v>0.207</v>
      </c>
      <c r="F9" s="23" t="n">
        <v>2.69</v>
      </c>
      <c r="G9" s="23" t="n">
        <v>13.324</v>
      </c>
      <c r="H9" s="23" t="n">
        <v>12.172</v>
      </c>
      <c r="I9" s="23" t="n">
        <v>9.888999999999999</v>
      </c>
    </row>
    <row r="10">
      <c r="A10" s="2" t="inlineStr">
        <is>
          <t>Pretax</t>
        </is>
      </c>
      <c r="B10" s="23">
        <f>B8+B9</f>
        <v>-32.58800000000001</v>
      </c>
      <c r="C10" s="23">
        <f>C8+C9</f>
        <v>-82.67699999999999</v>
      </c>
      <c r="D10" s="23">
        <f>D8+D9</f>
        <v>-70.81899999999999</v>
      </c>
      <c r="E10" s="23">
        <f>E8+E9</f>
        <v>-80.847</v>
      </c>
      <c r="F10" s="23">
        <f>F8+F9</f>
        <v>-109.871</v>
      </c>
      <c r="G10" s="23">
        <f>G8+G9</f>
        <v>-97.33999999999999</v>
      </c>
      <c r="H10" s="23">
        <f>H8+H9</f>
        <v>-9.725000000000005</v>
      </c>
      <c r="I10" s="23">
        <f>I8+I9</f>
        <v>-74.88000000000001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-32.588</v>
      </c>
      <c r="C12" s="23" t="n">
        <v>-82.67700000000001</v>
      </c>
      <c r="D12" s="23" t="n">
        <v>-70.819</v>
      </c>
      <c r="E12" s="23" t="n">
        <v>-80.84699999999999</v>
      </c>
      <c r="F12" s="23" t="n">
        <v>-109.871</v>
      </c>
      <c r="G12" s="23" t="n">
        <v>-97.34</v>
      </c>
      <c r="H12" s="23" t="n">
        <v>-9.725</v>
      </c>
      <c r="I12" s="23" t="n">
        <v>-74.88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-18.579247434435576</v>
      </c>
      <c r="C13" s="11">
        <f>IFERROR(C12/C14,0)</f>
        <v>-5.36550068141995</v>
      </c>
      <c r="D13" s="11">
        <f>IFERROR(D12/D14,0)</f>
        <v>-2.0022901410840004</v>
      </c>
      <c r="E13" s="11">
        <f>IFERROR(E12/E14,0)</f>
        <v>-2.286332400101807</v>
      </c>
      <c r="F13" s="11">
        <f>IFERROR(F12/F14,0)</f>
        <v>-2.442066191015981</v>
      </c>
      <c r="G13" s="11">
        <f>IFERROR(G12/G14,0)</f>
        <v>-1.5876692219866253</v>
      </c>
      <c r="H13" s="11">
        <f>IFERROR(H12/H14,0)</f>
        <v>-0.15689532782653587</v>
      </c>
      <c r="I13" s="11">
        <f>IFERROR(I12/I14,0)</f>
        <v>-1.1819114513455924</v>
      </c>
    </row>
    <row r="14">
      <c r="A14" s="2" t="inlineStr">
        <is>
          <t>Shares</t>
        </is>
      </c>
      <c r="B14" s="23" t="n">
        <v>1.754</v>
      </c>
      <c r="C14" s="23" t="n">
        <v>15.409</v>
      </c>
      <c r="D14" s="23" t="n">
        <v>35.369</v>
      </c>
      <c r="E14" s="23" t="n">
        <v>35.361</v>
      </c>
      <c r="F14" s="23" t="n">
        <v>44.991</v>
      </c>
      <c r="G14" s="23" t="n">
        <v>61.31</v>
      </c>
      <c r="H14" s="23" t="n">
        <v>61.984</v>
      </c>
      <c r="I14" s="23" t="n">
        <v>63.355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1.1719369828856396</v>
      </c>
      <c r="F16" s="15">
        <f>IFERROR(F2/E2-1,"")</f>
        <v>-0.6690497312529353</v>
      </c>
      <c r="G16" s="15">
        <f>IFERROR(G2/F2-1,"")</f>
        <v>-0.5577105014191106</v>
      </c>
      <c r="H16" s="15">
        <f>IFERROR(H2/G2-1,"")</f>
        <v>27.520499108734402</v>
      </c>
      <c r="I16" s="15">
        <f>IFERROR(I2/H2-1,"")</f>
        <v>-1.0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-8.116400317352372</v>
      </c>
      <c r="E18" s="15">
        <f>IFERROR(E8/E2,"")</f>
        <v>-4.229713510410686</v>
      </c>
      <c r="F18" s="15">
        <f>IFERROR(F8/F2,"")</f>
        <v>-17.748502049826552</v>
      </c>
      <c r="G18" s="15">
        <f>IFERROR(G8/G2,"")</f>
        <v>-39.45240641711229</v>
      </c>
      <c r="H18" s="15">
        <f>IFERROR(H8/H2,"")</f>
        <v>-0.2737125000000001</v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2026-10-21T01:05:25Z</dcterms:modified>
  <cp:lastModifiedBy>Wang, Eric</cp:lastModifiedBy>
</cp:coreProperties>
</file>