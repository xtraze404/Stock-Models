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cbdMD Inc</t>
        </is>
      </c>
      <c r="C2" s="10" t="n"/>
    </row>
    <row r="3">
      <c r="B3" t="inlineStr">
        <is>
          <t>Price</t>
        </is>
      </c>
      <c r="C3" s="11">
        <f>INDEX([1]Pharma!$F$1:$F$1000,MATCH("YCBD",[1]Pharma!$B$1:$B$1000,0))</f>
        <v>0.3873</v>
      </c>
      <c r="F3" s="1" t="n"/>
    </row>
    <row r="4">
      <c r="B4" t="inlineStr">
        <is>
          <t>Shares</t>
        </is>
      </c>
      <c r="C4" s="21" t="n">
        <v>11.205045</v>
      </c>
      <c r="F4" s="1" t="n"/>
    </row>
    <row r="5">
      <c r="B5" t="inlineStr">
        <is>
          <t>Market Cap.</t>
        </is>
      </c>
      <c r="C5" s="13">
        <f>C3*C4</f>
        <v>4.3397139285</v>
      </c>
      <c r="F5" s="1" t="n"/>
    </row>
    <row r="6"/>
    <row r="7">
      <c r="B7" t="inlineStr">
        <is>
          <t>Cash</t>
        </is>
      </c>
      <c r="C7" s="21" t="n">
        <v>2.118339</v>
      </c>
    </row>
    <row r="8">
      <c r="B8" t="inlineStr">
        <is>
          <t>Debt</t>
        </is>
      </c>
      <c r="C8" s="21" t="n">
        <v>0.007321</v>
      </c>
    </row>
    <row r="9">
      <c r="B9" t="inlineStr">
        <is>
          <t>Enterprise V.</t>
        </is>
      </c>
      <c r="C9" s="13">
        <f>C5-C7+C8</f>
        <v>2.2286959285</v>
      </c>
    </row>
    <row r="10"/>
    <row r="11">
      <c r="B11" s="14" t="inlineStr">
        <is>
          <t>Net Cash / Share</t>
        </is>
      </c>
      <c r="C11" s="11">
        <f>(C7-C8)/C4</f>
        <v>0.18839888639447677</v>
      </c>
    </row>
    <row r="12">
      <c r="B12" s="14" t="inlineStr">
        <is>
          <t>Upside</t>
        </is>
      </c>
      <c r="C12" s="15">
        <f>IFERROR(C11/C3-1,"")</f>
        <v>-0.5135582587284359</v>
      </c>
    </row>
    <row r="13">
      <c r="B13" s="14" t="inlineStr">
        <is>
          <t>Cash / Share</t>
        </is>
      </c>
      <c r="C13" s="11">
        <f>IFERROR((C7-C8)/C4,"")</f>
        <v>0.18839888639447677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-2.218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0.9517664562669071</v>
      </c>
    </row>
    <row r="19">
      <c r="B19" s="14" t="inlineStr">
        <is>
          <t>Implied Pipeline Value</t>
        </is>
      </c>
      <c r="C19" s="13">
        <f>C9</f>
        <v>2.2286959285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2.032</v>
      </c>
      <c r="C2" s="23" t="n">
        <v>4.475</v>
      </c>
      <c r="D2" s="23" t="n">
        <v>0.459</v>
      </c>
      <c r="E2" s="23" t="n">
        <v>23.652</v>
      </c>
      <c r="F2" s="23" t="n">
        <v>41.884</v>
      </c>
      <c r="G2" s="23" t="n">
        <v>47.332</v>
      </c>
      <c r="H2" s="23" t="n">
        <v>37.122</v>
      </c>
      <c r="I2" s="23" t="n">
        <v>25.054</v>
      </c>
      <c r="J2" s="23" t="n">
        <v>19.922</v>
      </c>
      <c r="K2" s="23" t="n">
        <v>19.191</v>
      </c>
    </row>
    <row r="3" customFormat="1" s="1">
      <c r="A3" s="5" t="inlineStr">
        <is>
          <t>Cost of Sales</t>
        </is>
      </c>
      <c r="B3" s="23" t="n">
        <v>1.618</v>
      </c>
      <c r="C3" s="23" t="n">
        <v>1.355</v>
      </c>
      <c r="D3" s="23" t="n">
        <v>0.104</v>
      </c>
      <c r="E3" s="23" t="n">
        <v>9.137</v>
      </c>
      <c r="F3" s="23" t="n">
        <v>15.515</v>
      </c>
      <c r="G3" s="23" t="n">
        <v>14.495</v>
      </c>
      <c r="H3" s="23" t="n">
        <v>13.067</v>
      </c>
      <c r="I3" s="23" t="n">
        <v>9.178000000000001</v>
      </c>
      <c r="J3" s="23" t="n">
        <v>7.487</v>
      </c>
      <c r="K3" s="23" t="n">
        <v>7.222</v>
      </c>
    </row>
    <row r="4" customFormat="1" s="1">
      <c r="A4" s="5" t="inlineStr">
        <is>
          <t>Gross Margin</t>
        </is>
      </c>
      <c r="B4" s="23">
        <f>B2-B3</f>
        <v>0.4139999999999999</v>
      </c>
      <c r="C4" s="23">
        <f>C2-C3</f>
        <v>3.1199999999999997</v>
      </c>
      <c r="D4" s="23">
        <f>D2-D3</f>
        <v>0.35500000000000004</v>
      </c>
      <c r="E4" s="23">
        <f>E2-E3</f>
        <v>14.515</v>
      </c>
      <c r="F4" s="23">
        <f>F2-F3</f>
        <v>26.369</v>
      </c>
      <c r="G4" s="23">
        <f>G2-G3</f>
        <v>32.837</v>
      </c>
      <c r="H4" s="23">
        <f>H2-H3</f>
        <v>24.055</v>
      </c>
      <c r="I4" s="23">
        <f>I2-I3</f>
        <v>15.875999999999998</v>
      </c>
      <c r="J4" s="23">
        <f>J2-J3</f>
        <v>12.435</v>
      </c>
      <c r="K4" s="23">
        <f>K2-K3</f>
        <v>11.968999999999998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</row>
    <row r="6">
      <c r="A6" s="19" t="inlineStr">
        <is>
          <t>SG&amp;A &amp; Other</t>
        </is>
      </c>
      <c r="B6" s="23" t="n">
        <v>4.301</v>
      </c>
      <c r="C6" s="23" t="n">
        <v>4.481</v>
      </c>
      <c r="D6" s="23" t="n">
        <v>2.152</v>
      </c>
      <c r="E6" s="23" t="n">
        <v>29.312</v>
      </c>
      <c r="F6" s="23" t="n">
        <v>43.951</v>
      </c>
      <c r="G6" s="23" t="n">
        <v>52.453</v>
      </c>
      <c r="H6" s="23" t="n">
        <v>102.322</v>
      </c>
      <c r="I6" s="23" t="n">
        <v>38.364</v>
      </c>
      <c r="J6" s="23" t="n">
        <v>15.751</v>
      </c>
      <c r="K6" s="23" t="n">
        <v>14.131</v>
      </c>
    </row>
    <row r="7">
      <c r="A7" s="2" t="inlineStr">
        <is>
          <t>Operating Expense</t>
        </is>
      </c>
      <c r="B7" s="23">
        <f>SUM(B5:B6)</f>
        <v>4.301</v>
      </c>
      <c r="C7" s="23">
        <f>SUM(C5:C6)</f>
        <v>4.481</v>
      </c>
      <c r="D7" s="23">
        <f>SUM(D5:D6)</f>
        <v>2.152</v>
      </c>
      <c r="E7" s="23">
        <f>SUM(E5:E6)</f>
        <v>29.312</v>
      </c>
      <c r="F7" s="23">
        <f>SUM(F5:F6)</f>
        <v>43.951</v>
      </c>
      <c r="G7" s="23">
        <f>SUM(G5:G6)</f>
        <v>52.453</v>
      </c>
      <c r="H7" s="23">
        <f>SUM(H5:H6)</f>
        <v>102.322</v>
      </c>
      <c r="I7" s="23">
        <f>SUM(I5:I6)</f>
        <v>38.364</v>
      </c>
      <c r="J7" s="23">
        <f>SUM(J5:J6)</f>
        <v>15.751</v>
      </c>
      <c r="K7" s="23">
        <f>SUM(K5:K6)</f>
        <v>14.131</v>
      </c>
    </row>
    <row r="8">
      <c r="A8" s="2" t="inlineStr">
        <is>
          <t>Operating Income</t>
        </is>
      </c>
      <c r="B8" s="23">
        <f>B4-B7</f>
        <v>-3.8870000000000005</v>
      </c>
      <c r="C8" s="23">
        <f>C4-C7</f>
        <v>-1.3610000000000002</v>
      </c>
      <c r="D8" s="23">
        <f>D4-D7</f>
        <v>-1.7970000000000002</v>
      </c>
      <c r="E8" s="23">
        <f>E4-E7</f>
        <v>-14.797</v>
      </c>
      <c r="F8" s="23">
        <f>F4-F7</f>
        <v>-17.582</v>
      </c>
      <c r="G8" s="23">
        <f>G4-G7</f>
        <v>-19.616</v>
      </c>
      <c r="H8" s="23">
        <f>H4-H7</f>
        <v>-78.267</v>
      </c>
      <c r="I8" s="23">
        <f>I4-I7</f>
        <v>-22.488</v>
      </c>
      <c r="J8" s="23">
        <f>J4-J7</f>
        <v>-3.315999999999999</v>
      </c>
      <c r="K8" s="23">
        <f>K4-K7</f>
        <v>-2.1620000000000026</v>
      </c>
    </row>
    <row r="9">
      <c r="A9" s="19" t="inlineStr">
        <is>
          <t>Interest &amp; Other</t>
        </is>
      </c>
      <c r="B9" s="23" t="n">
        <v>0</v>
      </c>
      <c r="C9" s="23" t="n">
        <v>-0</v>
      </c>
      <c r="D9" s="23" t="n">
        <v>1.86</v>
      </c>
      <c r="E9" s="23" t="n">
        <v>-38.92</v>
      </c>
      <c r="F9" s="23" t="n">
        <v>31.529</v>
      </c>
      <c r="G9" s="23" t="n">
        <v>-4.674</v>
      </c>
      <c r="H9" s="23" t="n">
        <v>8.183</v>
      </c>
      <c r="I9" s="23" t="n">
        <v>-0.451</v>
      </c>
      <c r="J9" s="23" t="n">
        <v>-0.385</v>
      </c>
      <c r="K9" s="23" t="n">
        <v>0.122</v>
      </c>
    </row>
    <row r="10">
      <c r="A10" s="2" t="inlineStr">
        <is>
          <t>Pretax</t>
        </is>
      </c>
      <c r="B10" s="23">
        <f>B8+B9</f>
        <v>-3.8870000000000005</v>
      </c>
      <c r="C10" s="23">
        <f>C8+C9</f>
        <v>-1.3610000000000002</v>
      </c>
      <c r="D10" s="23">
        <f>D8+D9</f>
        <v>0.06299999999999994</v>
      </c>
      <c r="E10" s="23">
        <f>E8+E9</f>
        <v>-53.717</v>
      </c>
      <c r="F10" s="23">
        <f>F8+F9</f>
        <v>13.947</v>
      </c>
      <c r="G10" s="23">
        <f>G8+G9</f>
        <v>-24.29</v>
      </c>
      <c r="H10" s="23">
        <f>H8+H9</f>
        <v>-70.084</v>
      </c>
      <c r="I10" s="23">
        <f>I8+I9</f>
        <v>-22.939</v>
      </c>
      <c r="J10" s="23">
        <f>J8+J9</f>
        <v>-3.7009999999999987</v>
      </c>
      <c r="K10" s="23">
        <f>K8+K9</f>
        <v>-2.0400000000000027</v>
      </c>
    </row>
    <row r="11">
      <c r="A11" s="2" t="inlineStr">
        <is>
          <t>Taxes</t>
        </is>
      </c>
      <c r="B11" s="23" t="n">
        <v>0.008</v>
      </c>
      <c r="C11" s="23" t="n">
        <v>0.025</v>
      </c>
      <c r="D11" s="23" t="n">
        <v>0</v>
      </c>
      <c r="E11" s="23" t="n">
        <v>-2.359</v>
      </c>
      <c r="F11" s="23" t="n">
        <v>1.345</v>
      </c>
      <c r="G11" s="23" t="n">
        <v>-0.895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-3.896</v>
      </c>
      <c r="C12" s="23" t="n">
        <v>-1.386</v>
      </c>
      <c r="D12" s="23" t="n">
        <v>0.063</v>
      </c>
      <c r="E12" s="23" t="n">
        <v>-51.358</v>
      </c>
      <c r="F12" s="23" t="n">
        <v>12.602</v>
      </c>
      <c r="G12" s="23" t="n">
        <v>-23.395</v>
      </c>
      <c r="H12" s="23" t="n">
        <v>-70.084</v>
      </c>
      <c r="I12" s="23" t="n">
        <v>-22.938</v>
      </c>
      <c r="J12" s="23" t="n">
        <v>-3.7</v>
      </c>
      <c r="K12" s="23" t="n">
        <v>-2.041</v>
      </c>
    </row>
    <row r="13">
      <c r="A13" s="2" t="inlineStr">
        <is>
          <t>Earnings per Share</t>
        </is>
      </c>
      <c r="B13" s="11">
        <f>IFERROR(B12/B14,0)</f>
        <v>-53.369863013698634</v>
      </c>
      <c r="C13" s="11">
        <f>IFERROR(C12/C14,0)</f>
        <v>-12.6</v>
      </c>
      <c r="D13" s="11">
        <f>IFERROR(D12/D14,0)</f>
        <v>0.3333333333333333</v>
      </c>
      <c r="E13" s="11">
        <f>IFERROR(E12/E14,0)</f>
        <v>-117.79357798165137</v>
      </c>
      <c r="F13" s="11">
        <f>IFERROR(F12/F14,0)</f>
        <v>11.435571687840289</v>
      </c>
      <c r="G13" s="11">
        <f>IFERROR(G12/G14,0)</f>
        <v>-17.458955223880597</v>
      </c>
      <c r="H13" s="11">
        <f>IFERROR(H12/H14,0)</f>
        <v>-52.774096385542165</v>
      </c>
      <c r="I13" s="11">
        <f>IFERROR(I12/I14,0)</f>
        <v>-11.344213649851632</v>
      </c>
      <c r="J13" s="11">
        <f>IFERROR(J12/J14,0)</f>
        <v>-6.8645640074211505</v>
      </c>
      <c r="K13" s="11">
        <f>IFERROR(K12/K14,0)</f>
        <v>-0.5073328361918966</v>
      </c>
    </row>
    <row r="14">
      <c r="A14" s="2" t="inlineStr">
        <is>
          <t>Shares</t>
        </is>
      </c>
      <c r="B14" s="23" t="n">
        <v>0.073</v>
      </c>
      <c r="C14" s="23" t="n">
        <v>0.11</v>
      </c>
      <c r="D14" s="23" t="n">
        <v>0.189</v>
      </c>
      <c r="E14" s="23" t="n">
        <v>0.436</v>
      </c>
      <c r="F14" s="23" t="n">
        <v>1.102</v>
      </c>
      <c r="G14" s="23" t="n">
        <v>1.34</v>
      </c>
      <c r="H14" s="23" t="n">
        <v>1.328</v>
      </c>
      <c r="I14" s="23" t="n">
        <v>2.022</v>
      </c>
      <c r="J14" s="23" t="n">
        <v>0.539</v>
      </c>
      <c r="K14" s="23" t="n">
        <v>4.023</v>
      </c>
    </row>
    <row r="15"/>
    <row r="16" customFormat="1" s="4">
      <c r="A16" s="3" t="inlineStr">
        <is>
          <t>Revenue Change</t>
        </is>
      </c>
      <c r="C16" s="15">
        <f>IFERROR(C2/B2-1,"")</f>
        <v>1.2022637795275588</v>
      </c>
      <c r="D16" s="15">
        <f>IFERROR(D2/C2-1,"")</f>
        <v>-0.8974301675977654</v>
      </c>
      <c r="E16" s="15">
        <f>IFERROR(E2/D2-1,"")</f>
        <v>50.529411764705884</v>
      </c>
      <c r="F16" s="15">
        <f>IFERROR(F2/E2-1,"")</f>
        <v>0.7708439032639944</v>
      </c>
      <c r="G16" s="15">
        <f>IFERROR(G2/F2-1,"")</f>
        <v>0.13007353643396047</v>
      </c>
      <c r="H16" s="15">
        <f>IFERROR(H2/G2-1,"")</f>
        <v>-0.21571030169863936</v>
      </c>
      <c r="I16" s="15">
        <f>IFERROR(I2/H2-1,"")</f>
        <v>-0.3250902429825979</v>
      </c>
      <c r="J16" s="15">
        <f>IFERROR(J2/I2-1,"")</f>
        <v>-0.20483755089007738</v>
      </c>
      <c r="K16" s="15">
        <f>IFERROR(K2/J2-1,"")</f>
        <v>-0.03669310310209828</v>
      </c>
    </row>
    <row r="17" customFormat="1" s="4">
      <c r="A17" s="3" t="inlineStr">
        <is>
          <t>Gross Margin</t>
        </is>
      </c>
      <c r="B17" s="15">
        <f>IFERROR(B4/B2,"")</f>
        <v>0.20374015748031493</v>
      </c>
      <c r="C17" s="15">
        <f>IFERROR(C4/C2,"")</f>
        <v>0.6972067039106145</v>
      </c>
      <c r="D17" s="15">
        <f>IFERROR(D4/D2,"")</f>
        <v>0.7734204793028323</v>
      </c>
      <c r="E17" s="15">
        <f>IFERROR(E4/E2,"")</f>
        <v>0.6136901741924573</v>
      </c>
      <c r="F17" s="15">
        <f>IFERROR(F4/F2,"")</f>
        <v>0.6295721516569573</v>
      </c>
      <c r="G17" s="15">
        <f>IFERROR(G4/G2,"")</f>
        <v>0.6937589791261727</v>
      </c>
      <c r="H17" s="15">
        <f>IFERROR(H4/H2,"")</f>
        <v>0.6479984914605894</v>
      </c>
      <c r="I17" s="15">
        <f>IFERROR(I4/I2,"")</f>
        <v>0.6336712700566776</v>
      </c>
      <c r="J17" s="15">
        <f>IFERROR(J4/J2,"")</f>
        <v>0.6241843188434896</v>
      </c>
      <c r="K17" s="15">
        <f>IFERROR(K4/K2,"")</f>
        <v>0.6236777656193007</v>
      </c>
    </row>
    <row r="18">
      <c r="A18" s="14" t="inlineStr">
        <is>
          <t>Operating Margin</t>
        </is>
      </c>
      <c r="B18" s="15">
        <f>IFERROR(B8/B2,"")</f>
        <v>-1.9128937007874018</v>
      </c>
      <c r="C18" s="15">
        <f>IFERROR(C8/C2,"")</f>
        <v>-0.30413407821229055</v>
      </c>
      <c r="D18" s="15">
        <f>IFERROR(D8/D2,"")</f>
        <v>-3.9150326797385624</v>
      </c>
      <c r="E18" s="15">
        <f>IFERROR(E8/E2,"")</f>
        <v>-0.6256130559783528</v>
      </c>
      <c r="F18" s="15">
        <f>IFERROR(F8/F2,"")</f>
        <v>-0.41977843567949574</v>
      </c>
      <c r="G18" s="15">
        <f>IFERROR(G8/G2,"")</f>
        <v>-0.41443420941434966</v>
      </c>
      <c r="H18" s="15">
        <f>IFERROR(H8/H2,"")</f>
        <v>-2.108372393728786</v>
      </c>
      <c r="I18" s="15">
        <f>IFERROR(I8/I2,"")</f>
        <v>-0.8975812245549614</v>
      </c>
      <c r="J18" s="15">
        <f>IFERROR(J8/J2,"")</f>
        <v>-0.16644915169159716</v>
      </c>
      <c r="K18" s="15">
        <f>IFERROR(K8/K2,"")</f>
        <v>-0.11265697462352159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2026-10-21T06:31:30Z</dcterms:modified>
  <cp:lastModifiedBy>Wang, Eric</cp:lastModifiedBy>
</cp:coreProperties>
</file>