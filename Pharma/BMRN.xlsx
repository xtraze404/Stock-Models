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BioMarin Pharmaceutical Inc.</t>
        </is>
      </c>
      <c r="C2" s="10" t="n"/>
    </row>
    <row r="3">
      <c r="B3" t="inlineStr">
        <is>
          <t>Price</t>
        </is>
      </c>
      <c r="C3" s="11">
        <f>INDEX([1]Pharma!$F$1:$F$1000,MATCH("BMRN",[1]Pharma!$B$1:$B$1000,0))</f>
        <v>56.44</v>
      </c>
      <c r="F3" s="1" t="n"/>
    </row>
    <row r="4">
      <c r="B4" t="inlineStr">
        <is>
          <t>Shares</t>
        </is>
      </c>
      <c r="C4" s="51" t="n">
        <v>193.573759</v>
      </c>
      <c r="F4" s="1" t="n"/>
    </row>
    <row r="5">
      <c r="B5" t="inlineStr">
        <is>
          <t>Market Cap.</t>
        </is>
      </c>
      <c r="C5" s="13">
        <f>C3*C4</f>
        <v>10925.302957959999</v>
      </c>
      <c r="F5" s="1" t="n"/>
    </row>
    <row r="6"/>
    <row r="7">
      <c r="B7" t="inlineStr">
        <is>
          <t>Cash</t>
        </is>
      </c>
      <c r="C7" s="51" t="n">
        <v>874.005</v>
      </c>
    </row>
    <row r="8">
      <c r="B8" t="inlineStr">
        <is>
          <t>Debt</t>
        </is>
      </c>
      <c r="C8" s="51">
        <f>658.203+3527.939</f>
        <v>4186.142</v>
      </c>
    </row>
    <row r="9">
      <c r="B9" t="inlineStr">
        <is>
          <t>Enterprise V.</t>
        </is>
      </c>
      <c r="C9" s="13">
        <f>C5-C7+C8</f>
        <v>14237.43995796</v>
      </c>
    </row>
    <row r="10"/>
    <row r="11">
      <c r="B11" s="14" t="inlineStr">
        <is>
          <t>NPV / Share</t>
        </is>
      </c>
      <c r="C11" s="11">
        <f>NPV!B28</f>
        <v>30.76438873871339</v>
      </c>
    </row>
    <row r="12">
      <c r="B12" s="14" t="inlineStr">
        <is>
          <t>Upside</t>
        </is>
      </c>
      <c r="C12" s="15">
        <f>IFERROR(C11/C3-1,"")</f>
        <v>-0.4549186970461837</v>
      </c>
    </row>
    <row r="13">
      <c r="B13" s="14" t="inlineStr">
        <is>
          <t>Cash / Share</t>
        </is>
      </c>
      <c r="C13" s="11">
        <f>IFERROR((C7-C8)/C4,"")</f>
        <v>-17.110464853864826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296.493</v>
      </c>
      <c r="C2" s="52" t="n">
        <v>324.656</v>
      </c>
      <c r="D2" s="52" t="n">
        <v>376.267</v>
      </c>
      <c r="E2" s="52" t="n">
        <v>441.358</v>
      </c>
      <c r="F2" s="52" t="n">
        <v>500.723</v>
      </c>
      <c r="G2" s="52" t="n">
        <v>548.485</v>
      </c>
      <c r="H2" s="52" t="n">
        <v>749.284</v>
      </c>
      <c r="I2" s="52" t="n">
        <v>889.895</v>
      </c>
      <c r="J2" s="52" t="n">
        <v>1116.854</v>
      </c>
      <c r="K2" s="52" t="n">
        <v>1313.646</v>
      </c>
      <c r="L2" s="52" t="n">
        <v>1491.212</v>
      </c>
      <c r="M2" s="52" t="n">
        <v>1704.048</v>
      </c>
      <c r="N2" s="52" t="n">
        <v>1860.455</v>
      </c>
      <c r="O2" s="52" t="n">
        <v>1846.275</v>
      </c>
      <c r="P2" s="52" t="n">
        <v>2096.039</v>
      </c>
      <c r="Q2" s="52" t="n">
        <v>2419.226</v>
      </c>
      <c r="R2" s="52" t="n">
        <v>2853.915</v>
      </c>
      <c r="S2" s="52" t="n">
        <v>3221.253</v>
      </c>
      <c r="T2" s="52">
        <f>S2*(1+NPV!C5)</f>
        <v>3601.360854</v>
      </c>
      <c r="U2" s="52">
        <f>T2*(1+NPV!D5)</f>
        <v>3989.107372614</v>
      </c>
      <c r="V2" s="52">
        <f>U2*(1+NPV!E5)</f>
        <v>4377.380490215096</v>
      </c>
      <c r="W2" s="52">
        <f>V2*(1+NPV!F5)</f>
        <v>4758.212592863809</v>
      </c>
      <c r="X2" s="52">
        <f>W2*(1+NPV!G5)</f>
        <v>5123.0088916500345</v>
      </c>
      <c r="Y2" s="52">
        <f>X2*(1+NPV!H5)</f>
        <v>5462.835148129487</v>
      </c>
      <c r="Z2" s="52">
        <f>Y2*(1+NPV!I5)</f>
        <v>5768.753916424738</v>
      </c>
      <c r="AA2" s="52">
        <f>Z2*(1+NPV!J5)</f>
        <v>6032.193678608135</v>
      </c>
      <c r="AB2" s="52">
        <f>AA2*(1+NPV!K5)</f>
        <v>6245.331188585623</v>
      </c>
      <c r="AC2" s="52">
        <f>AB2*(1+NPV!L5)</f>
        <v>6401.4644683002625</v>
      </c>
    </row>
    <row r="3" customFormat="1" s="1">
      <c r="A3" s="5" t="inlineStr">
        <is>
          <t>Cost of Sales</t>
        </is>
      </c>
      <c r="B3" s="52" t="n">
        <v>52.509</v>
      </c>
      <c r="C3" s="52" t="n">
        <v>65.90900000000001</v>
      </c>
      <c r="D3" s="52" t="n">
        <v>70.285</v>
      </c>
      <c r="E3" s="52" t="n">
        <v>84.023</v>
      </c>
      <c r="F3" s="52" t="n">
        <v>91.83</v>
      </c>
      <c r="G3" s="52" t="n">
        <v>88.39100000000001</v>
      </c>
      <c r="H3" s="52" t="n">
        <v>122.267</v>
      </c>
      <c r="I3" s="52" t="n">
        <v>152.008</v>
      </c>
      <c r="J3" s="52" t="n">
        <v>209.62</v>
      </c>
      <c r="K3" s="52" t="n">
        <v>241.786</v>
      </c>
      <c r="L3" s="52" t="n">
        <v>315.264</v>
      </c>
      <c r="M3" s="52" t="n">
        <v>359.466</v>
      </c>
      <c r="N3" s="52" t="n">
        <v>524.272</v>
      </c>
      <c r="O3" s="52" t="n">
        <v>470.515</v>
      </c>
      <c r="P3" s="52" t="n">
        <v>503.023</v>
      </c>
      <c r="Q3" s="52" t="n">
        <v>532.062</v>
      </c>
      <c r="R3" s="52" t="n">
        <v>580.235</v>
      </c>
      <c r="S3" s="52" t="n">
        <v>717.442</v>
      </c>
      <c r="T3" s="52">
        <f>T2*(1-Assumptions!$B$19)</f>
        <v>802.0230621858001</v>
      </c>
      <c r="U3" s="52">
        <f>U2*(1-Assumptions!$B$19)</f>
        <v>888.3742118811377</v>
      </c>
      <c r="V3" s="52">
        <f>V2*(1-Assumptions!$B$19)</f>
        <v>974.8426351709019</v>
      </c>
      <c r="W3" s="52">
        <f>W2*(1-Assumptions!$B$19)</f>
        <v>1059.6539444307703</v>
      </c>
      <c r="X3" s="52">
        <f>X2*(1-Assumptions!$B$19)</f>
        <v>1140.8940801704628</v>
      </c>
      <c r="Y3" s="52">
        <f>Y2*(1-Assumptions!$B$19)</f>
        <v>1216.5733874884368</v>
      </c>
      <c r="Z3" s="52">
        <f>Z2*(1-Assumptions!$B$19)</f>
        <v>1284.7014971877893</v>
      </c>
      <c r="AA3" s="52">
        <f>AA2*(1-Assumptions!$B$19)</f>
        <v>1343.3695322260317</v>
      </c>
      <c r="AB3" s="52">
        <f>AB2*(1-Assumptions!$B$19)</f>
        <v>1390.8352556980183</v>
      </c>
      <c r="AC3" s="52">
        <f>AC2*(1-Assumptions!$B$19)</f>
        <v>1425.6061370904686</v>
      </c>
    </row>
    <row r="4" customFormat="1" s="1">
      <c r="A4" s="5" t="inlineStr">
        <is>
          <t>Gross Margin</t>
        </is>
      </c>
      <c r="B4" s="52">
        <f>B2-B3</f>
        <v>243.98399999999998</v>
      </c>
      <c r="C4" s="52">
        <f>C2-C3</f>
        <v>258.747</v>
      </c>
      <c r="D4" s="52">
        <f>D2-D3</f>
        <v>305.98199999999997</v>
      </c>
      <c r="E4" s="52">
        <f>E2-E3</f>
        <v>357.33500000000004</v>
      </c>
      <c r="F4" s="52">
        <f>F2-F3</f>
        <v>408.89300000000003</v>
      </c>
      <c r="G4" s="52">
        <f>G2-G3</f>
        <v>460.094</v>
      </c>
      <c r="H4" s="52">
        <f>H2-H3</f>
        <v>627.017</v>
      </c>
      <c r="I4" s="52">
        <f>I2-I3</f>
        <v>737.887</v>
      </c>
      <c r="J4" s="52">
        <f>J2-J3</f>
        <v>907.234</v>
      </c>
      <c r="K4" s="52">
        <f>K2-K3</f>
        <v>1071.86</v>
      </c>
      <c r="L4" s="52">
        <f>L2-L3</f>
        <v>1175.9479999999999</v>
      </c>
      <c r="M4" s="52">
        <f>M2-M3</f>
        <v>1344.5819999999999</v>
      </c>
      <c r="N4" s="52">
        <f>N2-N3</f>
        <v>1336.183</v>
      </c>
      <c r="O4" s="52">
        <f>O2-O3</f>
        <v>1375.7600000000002</v>
      </c>
      <c r="P4" s="52">
        <f>P2-P3</f>
        <v>1593.016</v>
      </c>
      <c r="Q4" s="52">
        <f>Q2-Q3</f>
        <v>1887.1640000000002</v>
      </c>
      <c r="R4" s="52">
        <f>R2-R3</f>
        <v>2273.68</v>
      </c>
      <c r="S4" s="52">
        <f>S2-S3</f>
        <v>2503.811</v>
      </c>
      <c r="T4" s="52">
        <f>T2-T3</f>
        <v>2799.3377918142</v>
      </c>
      <c r="U4" s="52">
        <f>U2-U3</f>
        <v>3100.733160732862</v>
      </c>
      <c r="V4" s="52">
        <f>V2-V3</f>
        <v>3402.537855044194</v>
      </c>
      <c r="W4" s="52">
        <f>W2-W3</f>
        <v>3698.558648433039</v>
      </c>
      <c r="X4" s="52">
        <f>X2-X3</f>
        <v>3982.1148114795715</v>
      </c>
      <c r="Y4" s="52">
        <f>Y2-Y3</f>
        <v>4246.2617606410495</v>
      </c>
      <c r="Z4" s="52">
        <f>Z2-Z3</f>
        <v>4484.0524192369485</v>
      </c>
      <c r="AA4" s="52">
        <f>AA2-AA3</f>
        <v>4688.824146382103</v>
      </c>
      <c r="AB4" s="52">
        <f>AB2-AB3</f>
        <v>4854.495932887605</v>
      </c>
      <c r="AC4" s="52">
        <f>AC2-AC3</f>
        <v>4975.858331209794</v>
      </c>
    </row>
    <row r="5">
      <c r="A5" s="2" t="inlineStr">
        <is>
          <t>Research &amp; Dev.</t>
        </is>
      </c>
      <c r="B5" s="52" t="n">
        <v>93.291</v>
      </c>
      <c r="C5" s="52" t="n">
        <v>115.116</v>
      </c>
      <c r="D5" s="52" t="n">
        <v>147.309</v>
      </c>
      <c r="E5" s="52" t="n">
        <v>214.374</v>
      </c>
      <c r="F5" s="52" t="n">
        <v>302.218</v>
      </c>
      <c r="G5" s="52" t="n">
        <v>354.78</v>
      </c>
      <c r="H5" s="52" t="n">
        <v>461.543</v>
      </c>
      <c r="I5" s="52" t="n">
        <v>634.806</v>
      </c>
      <c r="J5" s="52" t="n">
        <v>661.905</v>
      </c>
      <c r="K5" s="52" t="n">
        <v>610.753</v>
      </c>
      <c r="L5" s="52" t="n">
        <v>696.328</v>
      </c>
      <c r="M5" s="52" t="n">
        <v>715.0069999999999</v>
      </c>
      <c r="N5" s="52" t="n">
        <v>628.116</v>
      </c>
      <c r="O5" s="52" t="n">
        <v>628.793</v>
      </c>
      <c r="P5" s="52" t="n">
        <v>649.606</v>
      </c>
      <c r="Q5" s="52" t="n">
        <v>746.773</v>
      </c>
      <c r="R5" s="52" t="n">
        <v>747.184</v>
      </c>
      <c r="S5" s="52" t="n">
        <v>921.9299999999999</v>
      </c>
      <c r="T5" s="52">
        <f>T7*Assumptions!$B$20</f>
        <v>1138.0688381285627</v>
      </c>
      <c r="U5" s="52">
        <f>U7*Assumptions!$B$20</f>
        <v>1233.1721172451375</v>
      </c>
      <c r="V5" s="52">
        <f>V7*Assumptions!$B$20</f>
        <v>1323.1023344205294</v>
      </c>
      <c r="W5" s="52">
        <f>W7*Assumptions!$B$20</f>
        <v>1405.4951293507409</v>
      </c>
      <c r="X5" s="52">
        <f>X7*Assumptions!$B$20</f>
        <v>1478.0243361439875</v>
      </c>
      <c r="Y5" s="52">
        <f>Y7*Assumptions!$B$20</f>
        <v>1538.5045778051383</v>
      </c>
      <c r="Z5" s="52">
        <f>Z7*Assumptions!$B$20</f>
        <v>1584.9953206581872</v>
      </c>
      <c r="AA5" s="52">
        <f>AA7*Assumptions!$B$20</f>
        <v>1615.8998683475213</v>
      </c>
      <c r="AB5" s="52">
        <f>AB7*Assumptions!$B$20</f>
        <v>1630.0525744215897</v>
      </c>
      <c r="AC5" s="52">
        <f>AC7*Assumptions!$B$20</f>
        <v>1626.7879056093961</v>
      </c>
    </row>
    <row r="6">
      <c r="A6" s="18" t="inlineStr">
        <is>
          <t>SG&amp;A &amp; Other</t>
        </is>
      </c>
      <c r="B6" s="52" t="n">
        <v>110.937</v>
      </c>
      <c r="C6" s="52" t="n">
        <v>127.204</v>
      </c>
      <c r="D6" s="52" t="n">
        <v>158.129</v>
      </c>
      <c r="E6" s="52" t="n">
        <v>176.851</v>
      </c>
      <c r="F6" s="52" t="n">
        <v>216.89</v>
      </c>
      <c r="G6" s="52" t="n">
        <v>261.321</v>
      </c>
      <c r="H6" s="52" t="n">
        <v>258.365</v>
      </c>
      <c r="I6" s="52" t="n">
        <v>213.783</v>
      </c>
      <c r="J6" s="52" t="n">
        <v>1048.758</v>
      </c>
      <c r="K6" s="52" t="n">
        <v>475.807</v>
      </c>
      <c r="L6" s="52" t="n">
        <v>603.144</v>
      </c>
      <c r="M6" s="52" t="n">
        <v>730.032</v>
      </c>
      <c r="N6" s="52" t="n">
        <v>751.5069999999999</v>
      </c>
      <c r="O6" s="52" t="n">
        <v>829.308</v>
      </c>
      <c r="P6" s="52" t="n">
        <v>782.436</v>
      </c>
      <c r="Q6" s="52" t="n">
        <v>954.617</v>
      </c>
      <c r="R6" s="52" t="n">
        <v>1042.282</v>
      </c>
      <c r="S6" s="52" t="n">
        <v>1172.403</v>
      </c>
      <c r="T6" s="52">
        <f>T7-T5</f>
        <v>1447.2760917409573</v>
      </c>
      <c r="U6" s="52">
        <f>U7-U5</f>
        <v>1568.21842624677</v>
      </c>
      <c r="V6" s="52">
        <f>V7-V5</f>
        <v>1682.5822053807644</v>
      </c>
      <c r="W6" s="52">
        <f>W7-W5</f>
        <v>1787.3606847127323</v>
      </c>
      <c r="X6" s="52">
        <f>X7-X5</f>
        <v>1879.5956914434446</v>
      </c>
      <c r="Y6" s="52">
        <f>Y7-Y5</f>
        <v>1956.5080932651442</v>
      </c>
      <c r="Z6" s="52">
        <f>Z7-Z5</f>
        <v>2015.630123817477</v>
      </c>
      <c r="AA6" s="52">
        <f>AA7-AA5</f>
        <v>2054.931272832673</v>
      </c>
      <c r="AB6" s="52">
        <f>AB7-AB5</f>
        <v>2072.929193914598</v>
      </c>
      <c r="AC6" s="52">
        <f>AC7-AC5</f>
        <v>2068.7775319403454</v>
      </c>
    </row>
    <row r="7">
      <c r="A7" s="2" t="inlineStr">
        <is>
          <t>Operating Expense</t>
        </is>
      </c>
      <c r="B7" s="52">
        <f>SUM(B5:B6)</f>
        <v>204.228</v>
      </c>
      <c r="C7" s="52">
        <f>SUM(C5:C6)</f>
        <v>242.32</v>
      </c>
      <c r="D7" s="52">
        <f>SUM(D5:D6)</f>
        <v>305.438</v>
      </c>
      <c r="E7" s="52">
        <f>SUM(E5:E6)</f>
        <v>391.225</v>
      </c>
      <c r="F7" s="52">
        <f>SUM(F5:F6)</f>
        <v>519.108</v>
      </c>
      <c r="G7" s="52">
        <f>SUM(G5:G6)</f>
        <v>616.101</v>
      </c>
      <c r="H7" s="52">
        <f>SUM(H5:H6)</f>
        <v>719.908</v>
      </c>
      <c r="I7" s="52">
        <f>SUM(I5:I6)</f>
        <v>848.589</v>
      </c>
      <c r="J7" s="52">
        <f>SUM(J5:J6)</f>
        <v>1710.663</v>
      </c>
      <c r="K7" s="52">
        <f>SUM(K5:K6)</f>
        <v>1086.56</v>
      </c>
      <c r="L7" s="52">
        <f>SUM(L5:L6)</f>
        <v>1299.472</v>
      </c>
      <c r="M7" s="52">
        <f>SUM(M5:M6)</f>
        <v>1445.039</v>
      </c>
      <c r="N7" s="52">
        <f>SUM(N5:N6)</f>
        <v>1379.623</v>
      </c>
      <c r="O7" s="52">
        <f>SUM(O5:O6)</f>
        <v>1458.101</v>
      </c>
      <c r="P7" s="52">
        <f>SUM(P5:P6)</f>
        <v>1432.042</v>
      </c>
      <c r="Q7" s="52">
        <f>SUM(Q5:Q6)</f>
        <v>1701.3899999999999</v>
      </c>
      <c r="R7" s="52">
        <f>SUM(R5:R6)</f>
        <v>1789.466</v>
      </c>
      <c r="S7" s="52">
        <f>SUM(S5:S6)</f>
        <v>2094.333</v>
      </c>
      <c r="T7" s="52">
        <f>T4-T2*NPV!C6</f>
        <v>2585.34492986952</v>
      </c>
      <c r="U7" s="52">
        <f>U4-U2*NPV!D6</f>
        <v>2801.3905434919075</v>
      </c>
      <c r="V7" s="52">
        <f>V4-V2*NPV!E6</f>
        <v>3005.684539801294</v>
      </c>
      <c r="W7" s="52">
        <f>W4-W2*NPV!F6</f>
        <v>3192.855814063473</v>
      </c>
      <c r="X7" s="52">
        <f>X4-X2*NPV!G6</f>
        <v>3357.620027587432</v>
      </c>
      <c r="Y7" s="52">
        <f>Y4-Y2*NPV!H6</f>
        <v>3495.0126710702825</v>
      </c>
      <c r="Z7" s="52">
        <f>Z4-Z2*NPV!I6</f>
        <v>3600.625444475664</v>
      </c>
      <c r="AA7" s="52">
        <f>AA4-AA2*NPV!J6</f>
        <v>3670.831141180194</v>
      </c>
      <c r="AB7" s="52">
        <f>AB4-AB2*NPV!K6</f>
        <v>3702.9817683361875</v>
      </c>
      <c r="AC7" s="52">
        <f>AC4-AC2*NPV!L6</f>
        <v>3695.5654375497415</v>
      </c>
    </row>
    <row r="8">
      <c r="A8" s="2" t="inlineStr">
        <is>
          <t>Operating Income</t>
        </is>
      </c>
      <c r="B8" s="52">
        <f>B4-B7</f>
        <v>39.75599999999997</v>
      </c>
      <c r="C8" s="52">
        <f>C4-C7</f>
        <v>16.42700000000002</v>
      </c>
      <c r="D8" s="52">
        <f>D4-D7</f>
        <v>0.5439999999999827</v>
      </c>
      <c r="E8" s="52">
        <f>E4-E7</f>
        <v>-33.889999999999986</v>
      </c>
      <c r="F8" s="52">
        <f>F4-F7</f>
        <v>-110.21499999999992</v>
      </c>
      <c r="G8" s="52">
        <f>G4-G7</f>
        <v>-156.007</v>
      </c>
      <c r="H8" s="52">
        <f>H4-H7</f>
        <v>-92.89099999999996</v>
      </c>
      <c r="I8" s="52">
        <f>I4-I7</f>
        <v>-110.70200000000011</v>
      </c>
      <c r="J8" s="52">
        <f>J4-J7</f>
        <v>-803.429</v>
      </c>
      <c r="K8" s="52">
        <f>K4-K7</f>
        <v>-14.700000000000045</v>
      </c>
      <c r="L8" s="52">
        <f>L4-L7</f>
        <v>-123.52400000000011</v>
      </c>
      <c r="M8" s="52">
        <f>M4-M7</f>
        <v>-100.45700000000011</v>
      </c>
      <c r="N8" s="52">
        <f>N4-N7</f>
        <v>-43.440000000000055</v>
      </c>
      <c r="O8" s="52">
        <f>O4-O7</f>
        <v>-82.3409999999999</v>
      </c>
      <c r="P8" s="52">
        <f>P4-P7</f>
        <v>160.97400000000016</v>
      </c>
      <c r="Q8" s="52">
        <f>Q4-Q7</f>
        <v>185.77400000000034</v>
      </c>
      <c r="R8" s="52">
        <f>R4-R7</f>
        <v>484.21399999999994</v>
      </c>
      <c r="S8" s="52">
        <f>S4-S7</f>
        <v>409.47800000000007</v>
      </c>
      <c r="T8" s="52">
        <f>T4-T7</f>
        <v>213.99286194468004</v>
      </c>
      <c r="U8" s="52">
        <f>U4-U7</f>
        <v>299.3426172409545</v>
      </c>
      <c r="V8" s="52">
        <f>V4-V7</f>
        <v>396.8533152429004</v>
      </c>
      <c r="W8" s="52">
        <f>W4-W7</f>
        <v>505.7028343695656</v>
      </c>
      <c r="X8" s="52">
        <f>X4-X7</f>
        <v>624.4947838921394</v>
      </c>
      <c r="Y8" s="52">
        <f>Y4-Y7</f>
        <v>751.249089570767</v>
      </c>
      <c r="Z8" s="52">
        <f>Z4-Z7</f>
        <v>883.4269747612843</v>
      </c>
      <c r="AA8" s="52">
        <f>AA4-AA7</f>
        <v>1017.993005201909</v>
      </c>
      <c r="AB8" s="52">
        <f>AB4-AB7</f>
        <v>1151.5141645514173</v>
      </c>
      <c r="AC8" s="52">
        <f>AC4-AC7</f>
        <v>1280.2928936600529</v>
      </c>
    </row>
    <row r="9">
      <c r="A9" s="18" t="inlineStr">
        <is>
          <t>Interest &amp; Other</t>
        </is>
      </c>
      <c r="B9" s="52" t="n">
        <v>-6.332</v>
      </c>
      <c r="C9" s="52" t="n">
        <v>-15.861</v>
      </c>
      <c r="D9" s="52" t="n">
        <v>-22.034</v>
      </c>
      <c r="E9" s="52" t="n">
        <v>-9.737</v>
      </c>
      <c r="F9" s="52" t="n">
        <v>-8.063000000000001</v>
      </c>
      <c r="G9" s="52" t="n">
        <v>-20.496</v>
      </c>
      <c r="H9" s="52" t="n">
        <v>-31.977</v>
      </c>
      <c r="I9" s="52" t="n">
        <v>-44.022</v>
      </c>
      <c r="J9" s="52" t="n">
        <v>-27.621</v>
      </c>
      <c r="K9" s="52" t="n">
        <v>-21.175</v>
      </c>
      <c r="L9" s="52" t="n">
        <v>-19.181</v>
      </c>
      <c r="M9" s="52" t="n">
        <v>5.646</v>
      </c>
      <c r="N9" s="52" t="n">
        <v>-5.557</v>
      </c>
      <c r="O9" s="52" t="n">
        <v>6.971</v>
      </c>
      <c r="P9" s="52" t="n">
        <v>-11.359</v>
      </c>
      <c r="Q9" s="52" t="n">
        <v>2.744</v>
      </c>
      <c r="R9" s="52" t="n">
        <v>57.59</v>
      </c>
      <c r="S9" s="52" t="n">
        <v>73.001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33.42399999999997</v>
      </c>
      <c r="C10" s="52">
        <f>C8+C9</f>
        <v>0.5660000000000203</v>
      </c>
      <c r="D10" s="52">
        <f>D8+D9</f>
        <v>-21.490000000000016</v>
      </c>
      <c r="E10" s="52">
        <f>E8+E9</f>
        <v>-43.62699999999999</v>
      </c>
      <c r="F10" s="52">
        <f>F8+F9</f>
        <v>-118.27799999999992</v>
      </c>
      <c r="G10" s="52">
        <f>G8+G9</f>
        <v>-176.50300000000001</v>
      </c>
      <c r="H10" s="52">
        <f>H8+H9</f>
        <v>-124.86799999999997</v>
      </c>
      <c r="I10" s="52">
        <f>I8+I9</f>
        <v>-154.7240000000001</v>
      </c>
      <c r="J10" s="52">
        <f>J8+J9</f>
        <v>-831.05</v>
      </c>
      <c r="K10" s="52">
        <f>K8+K9</f>
        <v>-35.87500000000004</v>
      </c>
      <c r="L10" s="52">
        <f>L8+L9</f>
        <v>-142.70500000000013</v>
      </c>
      <c r="M10" s="52">
        <f>M8+M9</f>
        <v>-94.8110000000001</v>
      </c>
      <c r="N10" s="52">
        <f>N8+N9</f>
        <v>-48.99700000000006</v>
      </c>
      <c r="O10" s="52">
        <f>O8+O9</f>
        <v>-75.36999999999989</v>
      </c>
      <c r="P10" s="52">
        <f>P8+P9</f>
        <v>149.61500000000015</v>
      </c>
      <c r="Q10" s="52">
        <f>Q8+Q9</f>
        <v>188.51800000000034</v>
      </c>
      <c r="R10" s="52">
        <f>R8+R9</f>
        <v>541.804</v>
      </c>
      <c r="S10" s="52">
        <f>S8+S9</f>
        <v>482.47900000000004</v>
      </c>
      <c r="T10" s="52">
        <f>T8+T9</f>
        <v>213.99286194468004</v>
      </c>
      <c r="U10" s="52">
        <f>U8+U9</f>
        <v>299.3426172409545</v>
      </c>
      <c r="V10" s="52">
        <f>V8+V9</f>
        <v>396.8533152429004</v>
      </c>
      <c r="W10" s="52">
        <f>W8+W9</f>
        <v>505.7028343695656</v>
      </c>
      <c r="X10" s="52">
        <f>X8+X9</f>
        <v>624.4947838921394</v>
      </c>
      <c r="Y10" s="52">
        <f>Y8+Y9</f>
        <v>751.249089570767</v>
      </c>
      <c r="Z10" s="52">
        <f>Z8+Z9</f>
        <v>883.4269747612843</v>
      </c>
      <c r="AA10" s="52">
        <f>AA8+AA9</f>
        <v>1017.993005201909</v>
      </c>
      <c r="AB10" s="52">
        <f>AB8+AB9</f>
        <v>1151.5141645514173</v>
      </c>
      <c r="AC10" s="52">
        <f>AC8+AC9</f>
        <v>1280.2928936600529</v>
      </c>
    </row>
    <row r="11">
      <c r="A11" s="2" t="inlineStr">
        <is>
          <t>Taxes</t>
        </is>
      </c>
      <c r="B11" s="52" t="n">
        <v>2.593</v>
      </c>
      <c r="C11" s="52" t="n">
        <v>1.054</v>
      </c>
      <c r="D11" s="52" t="n">
        <v>-227.309</v>
      </c>
      <c r="E11" s="52" t="n">
        <v>10.209</v>
      </c>
      <c r="F11" s="52" t="n">
        <v>-3.931</v>
      </c>
      <c r="G11" s="52" t="n">
        <v>-0.15</v>
      </c>
      <c r="H11" s="52" t="n">
        <v>9.101000000000001</v>
      </c>
      <c r="I11" s="52" t="n">
        <v>17.075</v>
      </c>
      <c r="J11" s="52" t="n">
        <v>-200.84</v>
      </c>
      <c r="K11" s="52" t="n">
        <v>81.167</v>
      </c>
      <c r="L11" s="52" t="n">
        <v>-65.494</v>
      </c>
      <c r="M11" s="52" t="n">
        <v>-70.96299999999999</v>
      </c>
      <c r="N11" s="52" t="n">
        <v>-903.026</v>
      </c>
      <c r="O11" s="52" t="n">
        <v>-11.27</v>
      </c>
      <c r="P11" s="52" t="n">
        <v>8.015000000000001</v>
      </c>
      <c r="Q11" s="52" t="n">
        <v>20.918</v>
      </c>
      <c r="R11" s="52" t="n">
        <v>114.904</v>
      </c>
      <c r="S11" s="52" t="n">
        <v>133.579</v>
      </c>
      <c r="T11" s="52">
        <f>MAX(0,T10)*Assumptions!$E$14</f>
        <v>36.37878653059561</v>
      </c>
      <c r="U11" s="52">
        <f>MAX(0,U10)*Assumptions!$E$14</f>
        <v>50.888244930962266</v>
      </c>
      <c r="V11" s="52">
        <f>MAX(0,V10)*Assumptions!$E$14</f>
        <v>67.46506359129307</v>
      </c>
      <c r="W11" s="52">
        <f>MAX(0,W10)*Assumptions!$E$14</f>
        <v>85.96948184282616</v>
      </c>
      <c r="X11" s="52">
        <f>MAX(0,X10)*Assumptions!$E$14</f>
        <v>106.1641132616637</v>
      </c>
      <c r="Y11" s="52">
        <f>MAX(0,Y10)*Assumptions!$E$14</f>
        <v>127.7123452270304</v>
      </c>
      <c r="Z11" s="52">
        <f>MAX(0,Z10)*Assumptions!$E$14</f>
        <v>150.18258570941833</v>
      </c>
      <c r="AA11" s="52">
        <f>MAX(0,AA10)*Assumptions!$E$14</f>
        <v>173.05881088432454</v>
      </c>
      <c r="AB11" s="52">
        <f>MAX(0,AB10)*Assumptions!$E$14</f>
        <v>195.75740797374095</v>
      </c>
      <c r="AC11" s="52">
        <f>MAX(0,AC10)*Assumptions!$E$14</f>
        <v>217.649791922209</v>
      </c>
    </row>
    <row r="12">
      <c r="A12" s="2" t="inlineStr">
        <is>
          <t>Net Income</t>
        </is>
      </c>
      <c r="B12" s="52" t="n">
        <v>30.831</v>
      </c>
      <c r="C12" s="52" t="n">
        <v>-0.488</v>
      </c>
      <c r="D12" s="52" t="n">
        <v>205.819</v>
      </c>
      <c r="E12" s="52" t="n">
        <v>-53.836</v>
      </c>
      <c r="F12" s="52" t="n">
        <v>-114.347</v>
      </c>
      <c r="G12" s="52" t="n">
        <v>-176.353</v>
      </c>
      <c r="H12" s="52" t="n">
        <v>-133.969</v>
      </c>
      <c r="I12" s="52" t="n">
        <v>-171.799</v>
      </c>
      <c r="J12" s="52" t="n">
        <v>-630.21</v>
      </c>
      <c r="K12" s="52" t="n">
        <v>-117.042</v>
      </c>
      <c r="L12" s="52" t="n">
        <v>-77.211</v>
      </c>
      <c r="M12" s="52" t="n">
        <v>-23.848</v>
      </c>
      <c r="N12" s="52" t="n">
        <v>854.029</v>
      </c>
      <c r="O12" s="52" t="n">
        <v>-64.09999999999999</v>
      </c>
      <c r="P12" s="52" t="n">
        <v>141.6</v>
      </c>
      <c r="Q12" s="52" t="n">
        <v>167.6</v>
      </c>
      <c r="R12" s="52" t="n">
        <v>426.9</v>
      </c>
      <c r="S12" s="52" t="n">
        <v>348.9</v>
      </c>
      <c r="T12" s="52">
        <f>T10-T11</f>
        <v>177.61407541408443</v>
      </c>
      <c r="U12" s="52">
        <f>U10-U11</f>
        <v>248.45437230999224</v>
      </c>
      <c r="V12" s="52">
        <f>V10-V11</f>
        <v>329.38825165160733</v>
      </c>
      <c r="W12" s="52">
        <f>W10-W11</f>
        <v>419.73335252673945</v>
      </c>
      <c r="X12" s="52">
        <f>X10-X11</f>
        <v>518.3306706304757</v>
      </c>
      <c r="Y12" s="52">
        <f>Y10-Y11</f>
        <v>623.5367443437366</v>
      </c>
      <c r="Z12" s="52">
        <f>Z10-Z11</f>
        <v>733.2443890518659</v>
      </c>
      <c r="AA12" s="52">
        <f>AA10-AA11</f>
        <v>844.9341943175845</v>
      </c>
      <c r="AB12" s="52">
        <f>AB10-AB11</f>
        <v>955.7567565776762</v>
      </c>
      <c r="AC12" s="52">
        <f>AC10-AC11</f>
        <v>1062.6431017378438</v>
      </c>
    </row>
    <row r="13">
      <c r="A13" s="2" t="inlineStr">
        <is>
          <t>Earnings per Share</t>
        </is>
      </c>
      <c r="B13" s="11">
        <f>IFERROR(B12/B14,0)</f>
        <v>0.2976769783339126</v>
      </c>
      <c r="C13" s="11">
        <f>IFERROR(C12/C14,0)</f>
        <v>-0.004866810942346242</v>
      </c>
      <c r="D13" s="11">
        <f>IFERROR(D12/D14,0)</f>
        <v>1.6377214061778886</v>
      </c>
      <c r="E13" s="11">
        <f>IFERROR(E12/E14,0)</f>
        <v>-0.48015554485292805</v>
      </c>
      <c r="F13" s="11">
        <f>IFERROR(F12/F14,0)</f>
        <v>-0.9507445685161011</v>
      </c>
      <c r="G13" s="11">
        <f>IFERROR(G12/G14,0)</f>
        <v>-1.2801930964393309</v>
      </c>
      <c r="H13" s="11">
        <f>IFERROR(H12/H14,0)</f>
        <v>-0.9154076898373067</v>
      </c>
      <c r="I13" s="11">
        <f>IFERROR(I12/I14,0)</f>
        <v>-1.0735760037494142</v>
      </c>
      <c r="J13" s="11">
        <f>IFERROR(J12/J14,0)</f>
        <v>-3.7914438180954044</v>
      </c>
      <c r="K13" s="11">
        <f>IFERROR(K12/K14,0)</f>
        <v>-0.6710085021240978</v>
      </c>
      <c r="L13" s="11">
        <f>IFERROR(L12/L14,0)</f>
        <v>-0.4355608457251168</v>
      </c>
      <c r="M13" s="11">
        <f>IFERROR(M12/M14,0)</f>
        <v>-0.1332000290439513</v>
      </c>
      <c r="N13" s="11">
        <f>IFERROR(N12/N14,0)</f>
        <v>4.455540020242282</v>
      </c>
      <c r="O13" s="11">
        <f>IFERROR(O12/O14,0)</f>
        <v>-0.3505567344081552</v>
      </c>
      <c r="P13" s="11">
        <f>IFERROR(P12/P14,0)</f>
        <v>0.7493530479511862</v>
      </c>
      <c r="Q13" s="11">
        <f>IFERROR(Q12/Q14,0)</f>
        <v>0.8747618674808841</v>
      </c>
      <c r="R13" s="11">
        <f>IFERROR(R12/R14,0)</f>
        <v>2.17022185167863</v>
      </c>
      <c r="S13" s="11">
        <f>IFERROR(S12/S14,0)</f>
        <v>1.7675309279917322</v>
      </c>
      <c r="T13" s="11">
        <f>IFERROR(T12/T14,0)</f>
        <v>0.9175524427052348</v>
      </c>
      <c r="U13" s="11">
        <f>IFERROR(U12/U14,0)</f>
        <v>1.2835126702787862</v>
      </c>
      <c r="V13" s="11">
        <f>IFERROR(V12/V14,0)</f>
        <v>1.7016162384469031</v>
      </c>
      <c r="W13" s="11">
        <f>IFERROR(W12/W14,0)</f>
        <v>2.168338077924805</v>
      </c>
      <c r="X13" s="11">
        <f>IFERROR(X12/X14,0)</f>
        <v>2.6776907846815936</v>
      </c>
      <c r="Y13" s="11">
        <f>IFERROR(Y12/Y14,0)</f>
        <v>3.221184253304378</v>
      </c>
      <c r="Z13" s="11">
        <f>IFERROR(Z12/Z14,0)</f>
        <v>3.787932790269708</v>
      </c>
      <c r="AA13" s="11">
        <f>IFERROR(AA12/AA14,0)</f>
        <v>4.36492114779661</v>
      </c>
      <c r="AB13" s="11">
        <f>IFERROR(AB12/AB14,0)</f>
        <v>4.937429337091482</v>
      </c>
      <c r="AC13" s="11">
        <f>IFERROR(AC12/AC14,0)</f>
        <v>5.489603070309979</v>
      </c>
    </row>
    <row r="14">
      <c r="A14" s="2" t="inlineStr">
        <is>
          <t>Shares</t>
        </is>
      </c>
      <c r="B14" s="52" t="n">
        <v>103.572</v>
      </c>
      <c r="C14" s="52" t="n">
        <v>100.271</v>
      </c>
      <c r="D14" s="52" t="n">
        <v>125.674</v>
      </c>
      <c r="E14" s="52" t="n">
        <v>112.122</v>
      </c>
      <c r="F14" s="52" t="n">
        <v>120.271</v>
      </c>
      <c r="G14" s="52" t="n">
        <v>137.755</v>
      </c>
      <c r="H14" s="52" t="n">
        <v>146.349</v>
      </c>
      <c r="I14" s="52" t="n">
        <v>160.025</v>
      </c>
      <c r="J14" s="52" t="n">
        <v>166.219</v>
      </c>
      <c r="K14" s="52" t="n">
        <v>174.427</v>
      </c>
      <c r="L14" s="52" t="n">
        <v>177.268</v>
      </c>
      <c r="M14" s="52" t="n">
        <v>179.039</v>
      </c>
      <c r="N14" s="52" t="n">
        <v>191.678</v>
      </c>
      <c r="O14" s="52" t="n">
        <v>182.852</v>
      </c>
      <c r="P14" s="52" t="n">
        <v>188.963</v>
      </c>
      <c r="Q14" s="52" t="n">
        <v>191.595</v>
      </c>
      <c r="R14" s="52" t="n">
        <v>196.708</v>
      </c>
      <c r="S14" s="52" t="n">
        <v>197.394</v>
      </c>
      <c r="T14" s="52">
        <f>Main!$C$4</f>
        <v>193.573759</v>
      </c>
      <c r="U14" s="52">
        <f>Main!$C$4</f>
        <v>193.573759</v>
      </c>
      <c r="V14" s="52">
        <f>Main!$C$4</f>
        <v>193.573759</v>
      </c>
      <c r="W14" s="52">
        <f>Main!$C$4</f>
        <v>193.573759</v>
      </c>
      <c r="X14" s="52">
        <f>Main!$C$4</f>
        <v>193.573759</v>
      </c>
      <c r="Y14" s="52">
        <f>Main!$C$4</f>
        <v>193.573759</v>
      </c>
      <c r="Z14" s="52">
        <f>Main!$C$4</f>
        <v>193.573759</v>
      </c>
      <c r="AA14" s="52">
        <f>Main!$C$4</f>
        <v>193.573759</v>
      </c>
      <c r="AB14" s="52">
        <f>Main!$C$4</f>
        <v>193.573759</v>
      </c>
      <c r="AC14" s="52">
        <f>Main!$C$4</f>
        <v>193.573759</v>
      </c>
    </row>
    <row r="15"/>
    <row r="16" customFormat="1" s="4">
      <c r="A16" s="3" t="inlineStr">
        <is>
          <t>Revenue Change</t>
        </is>
      </c>
      <c r="C16" s="15">
        <f>IFERROR(C2/B2-1,"")</f>
        <v>0.09498706546191649</v>
      </c>
      <c r="D16" s="15">
        <f>IFERROR(D2/C2-1,"")</f>
        <v>0.1589713419742742</v>
      </c>
      <c r="E16" s="15">
        <f>IFERROR(E2/D2-1,"")</f>
        <v>0.1729915193200573</v>
      </c>
      <c r="F16" s="15">
        <f>IFERROR(F2/E2-1,"")</f>
        <v>0.13450532221008804</v>
      </c>
      <c r="G16" s="15">
        <f>IFERROR(G2/F2-1,"")</f>
        <v>0.09538607174026348</v>
      </c>
      <c r="H16" s="15">
        <f>IFERROR(H2/G2-1,"")</f>
        <v>0.3660975231774797</v>
      </c>
      <c r="I16" s="15">
        <f>IFERROR(I2/H2-1,"")</f>
        <v>0.18766048654448775</v>
      </c>
      <c r="J16" s="15">
        <f>IFERROR(J2/I2-1,"")</f>
        <v>0.25504020137207206</v>
      </c>
      <c r="K16" s="15">
        <f>IFERROR(K2/J2-1,"")</f>
        <v>0.17620208191939146</v>
      </c>
      <c r="L16" s="15">
        <f>IFERROR(L2/K2-1,"")</f>
        <v>0.13517035791986576</v>
      </c>
      <c r="M16" s="15">
        <f>IFERROR(M2/L2-1,"")</f>
        <v>0.14272685573882193</v>
      </c>
      <c r="N16" s="15">
        <f>IFERROR(N2/M2-1,"")</f>
        <v>0.09178556003117277</v>
      </c>
      <c r="O16" s="15">
        <f>IFERROR(O2/N2-1,"")</f>
        <v>-0.007621791443490844</v>
      </c>
      <c r="P16" s="15">
        <f>IFERROR(P2/O2-1,"")</f>
        <v>0.13527995558624806</v>
      </c>
      <c r="Q16" s="15">
        <f>IFERROR(Q2/P2-1,"")</f>
        <v>0.1541894020101724</v>
      </c>
      <c r="R16" s="15">
        <f>IFERROR(R2/Q2-1,"")</f>
        <v>0.17968102194668867</v>
      </c>
      <c r="S16" s="15">
        <f>IFERROR(S2/R2-1,"")</f>
        <v>0.12871371431875178</v>
      </c>
      <c r="T16" s="15">
        <f>IFERROR(T2/S2-1,"")</f>
        <v>0.11799999999999988</v>
      </c>
      <c r="U16" s="15">
        <f>IFERROR(U2/T2-1,"")</f>
        <v>0.10766666666666658</v>
      </c>
      <c r="V16" s="15">
        <f>IFERROR(V2/U2-1,"")</f>
        <v>0.09733333333333327</v>
      </c>
      <c r="W16" s="15">
        <f>IFERROR(W2/V2-1,"")</f>
        <v>0.08699999999999997</v>
      </c>
      <c r="X16" s="15">
        <f>IFERROR(X2/W2-1,"")</f>
        <v>0.07666666666666666</v>
      </c>
      <c r="Y16" s="15">
        <f>IFERROR(Y2/X2-1,"")</f>
        <v>0.06633333333333336</v>
      </c>
      <c r="Z16" s="15">
        <f>IFERROR(Z2/Y2-1,"")</f>
        <v>0.05600000000000005</v>
      </c>
      <c r="AA16" s="15">
        <f>IFERROR(AA2/Z2-1,"")</f>
        <v>0.045666666666666744</v>
      </c>
      <c r="AB16" s="15">
        <f>IFERROR(AB2/AA2-1,"")</f>
        <v>0.03533333333333344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0.8228996974633465</v>
      </c>
      <c r="C17" s="15">
        <f>IFERROR(C4/C2,"")</f>
        <v>0.7969881967374698</v>
      </c>
      <c r="D17" s="15">
        <f>IFERROR(D4/D2,"")</f>
        <v>0.8132044532207182</v>
      </c>
      <c r="E17" s="15">
        <f>IFERROR(E4/E2,"")</f>
        <v>0.8096261991399273</v>
      </c>
      <c r="F17" s="15">
        <f>IFERROR(F4/F2,"")</f>
        <v>0.8166051888968552</v>
      </c>
      <c r="G17" s="15">
        <f>IFERROR(G4/G2,"")</f>
        <v>0.8388451826394523</v>
      </c>
      <c r="H17" s="15">
        <f>IFERROR(H4/H2,"")</f>
        <v>0.836821552308604</v>
      </c>
      <c r="I17" s="15">
        <f>IFERROR(I4/I2,"")</f>
        <v>0.8291843419729293</v>
      </c>
      <c r="J17" s="15">
        <f>IFERROR(J4/J2,"")</f>
        <v>0.8123120837638581</v>
      </c>
      <c r="K17" s="15">
        <f>IFERROR(K4/K2,"")</f>
        <v>0.8159428034645558</v>
      </c>
      <c r="L17" s="15">
        <f>IFERROR(L4/L2,"")</f>
        <v>0.7885853922849333</v>
      </c>
      <c r="M17" s="15">
        <f>IFERROR(M4/M2,"")</f>
        <v>0.7890517168530463</v>
      </c>
      <c r="N17" s="15">
        <f>IFERROR(N4/N2,"")</f>
        <v>0.7182022677248308</v>
      </c>
      <c r="O17" s="15">
        <f>IFERROR(O4/O2,"")</f>
        <v>0.7451544325736957</v>
      </c>
      <c r="P17" s="15">
        <f>IFERROR(P4/P2,"")</f>
        <v>0.7600125761018759</v>
      </c>
      <c r="Q17" s="15">
        <f>IFERROR(Q4/Q2,"")</f>
        <v>0.7800693279586116</v>
      </c>
      <c r="R17" s="15">
        <f>IFERROR(R4/R2,"")</f>
        <v>0.7966880583339027</v>
      </c>
      <c r="S17" s="15">
        <f>IFERROR(S4/S2,"")</f>
        <v>0.7772785931437239</v>
      </c>
      <c r="T17" s="15">
        <f>IFERROR(T4/T2,"")</f>
        <v>0.7773</v>
      </c>
      <c r="U17" s="15">
        <f>IFERROR(U4/U2,"")</f>
        <v>0.7773</v>
      </c>
      <c r="V17" s="15">
        <f>IFERROR(V4/V2,"")</f>
        <v>0.7773</v>
      </c>
      <c r="W17" s="15">
        <f>IFERROR(W4/W2,"")</f>
        <v>0.7773</v>
      </c>
      <c r="X17" s="15">
        <f>IFERROR(X4/X2,"")</f>
        <v>0.7773</v>
      </c>
      <c r="Y17" s="15">
        <f>IFERROR(Y4/Y2,"")</f>
        <v>0.7772999999999999</v>
      </c>
      <c r="Z17" s="15">
        <f>IFERROR(Z4/Z2,"")</f>
        <v>0.7772999999999999</v>
      </c>
      <c r="AA17" s="15">
        <f>IFERROR(AA4/AA2,"")</f>
        <v>0.7773</v>
      </c>
      <c r="AB17" s="15">
        <f>IFERROR(AB4/AB2,"")</f>
        <v>0.7773</v>
      </c>
      <c r="AC17" s="15">
        <f>IFERROR(AC4/AC2,"")</f>
        <v>0.7773000000000001</v>
      </c>
    </row>
    <row r="18">
      <c r="A18" s="14" t="inlineStr">
        <is>
          <t>Operating Margin</t>
        </is>
      </c>
      <c r="B18" s="15">
        <f>IFERROR(B8/B2,"")</f>
        <v>0.13408748267244075</v>
      </c>
      <c r="C18" s="15">
        <f>IFERROR(C8/C2,"")</f>
        <v>0.05059817160317388</v>
      </c>
      <c r="D18" s="15">
        <f>IFERROR(D8/D2,"")</f>
        <v>0.001445781851716953</v>
      </c>
      <c r="E18" s="15">
        <f>IFERROR(E8/E2,"")</f>
        <v>-0.07678573856143989</v>
      </c>
      <c r="F18" s="15">
        <f>IFERROR(F8/F2,"")</f>
        <v>-0.22011171845511374</v>
      </c>
      <c r="G18" s="15">
        <f>IFERROR(G8/G2,"")</f>
        <v>-0.28443257336116756</v>
      </c>
      <c r="H18" s="15">
        <f>IFERROR(H8/H2,"")</f>
        <v>-0.12397301957602186</v>
      </c>
      <c r="I18" s="15">
        <f>IFERROR(I8/I2,"")</f>
        <v>-0.12439894594306082</v>
      </c>
      <c r="J18" s="15">
        <f>IFERROR(J8/J2,"")</f>
        <v>-0.7193679746860377</v>
      </c>
      <c r="K18" s="15">
        <f>IFERROR(K8/K2,"")</f>
        <v>-0.011190229331189716</v>
      </c>
      <c r="L18" s="15">
        <f>IFERROR(L8/L2,"")</f>
        <v>-0.08283463384146594</v>
      </c>
      <c r="M18" s="15">
        <f>IFERROR(M8/M2,"")</f>
        <v>-0.05895197787855747</v>
      </c>
      <c r="N18" s="15">
        <f>IFERROR(N8/N2,"")</f>
        <v>-0.02334912696087788</v>
      </c>
      <c r="O18" s="15">
        <f>IFERROR(O8/O2,"")</f>
        <v>-0.04459844822683506</v>
      </c>
      <c r="P18" s="15">
        <f>IFERROR(P8/P2,"")</f>
        <v>0.07679914352738673</v>
      </c>
      <c r="Q18" s="15">
        <f>IFERROR(Q8/Q2,"")</f>
        <v>0.07679067602613411</v>
      </c>
      <c r="R18" s="15">
        <f>IFERROR(R8/R2,"")</f>
        <v>0.16966658081968103</v>
      </c>
      <c r="S18" s="15">
        <f>IFERROR(S8/S2,"")</f>
        <v>0.12711761541238767</v>
      </c>
      <c r="T18" s="15">
        <f>IFERROR(T8/T2,"")</f>
        <v>0.059420000000000014</v>
      </c>
      <c r="U18" s="15">
        <f>IFERROR(U8/U2,"")</f>
        <v>0.07503999999999998</v>
      </c>
      <c r="V18" s="15">
        <f>IFERROR(V8/V2,"")</f>
        <v>0.09065999999999996</v>
      </c>
      <c r="W18" s="15">
        <f>IFERROR(W8/W2,"")</f>
        <v>0.10628</v>
      </c>
      <c r="X18" s="15">
        <f>IFERROR(X8/X2,"")</f>
        <v>0.12190000000000004</v>
      </c>
      <c r="Y18" s="15">
        <f>IFERROR(Y8/Y2,"")</f>
        <v>0.13752</v>
      </c>
      <c r="Z18" s="15">
        <f>IFERROR(Z8/Z2,"")</f>
        <v>0.15314</v>
      </c>
      <c r="AA18" s="15">
        <f>IFERROR(AA8/AA2,"")</f>
        <v>0.16876000000000002</v>
      </c>
      <c r="AB18" s="15">
        <f>IFERROR(AB8/AB2,"")</f>
        <v>0.18438000000000002</v>
      </c>
      <c r="AC18" s="15">
        <f>IFERROR(AC8/AC2,"")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BioMarin Pharmaceutical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0.068</v>
      </c>
      <c r="C12" s="53" t="n">
        <v>0.118</v>
      </c>
      <c r="D12" s="53" t="n">
        <v>0.168</v>
      </c>
      <c r="E12" s="54">
        <f>CHOOSE($B$4,B12,C12,D12)</f>
        <v>0.118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0.0438</v>
      </c>
    </row>
    <row r="19">
      <c r="A19" s="14" t="inlineStr">
        <is>
          <t>Gross margin (forecast)</t>
        </is>
      </c>
      <c r="B19" s="53" t="n">
        <v>0.7773</v>
      </c>
    </row>
    <row r="20">
      <c r="A20" s="14" t="inlineStr">
        <is>
          <t>R&amp;D share of operating expense (forecast)</t>
        </is>
      </c>
      <c r="B20" s="53" t="n">
        <v>0.4402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3221.253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9267.31537149002</v>
      </c>
      <c r="C29" s="56">
        <f>NPV!B26</f>
        <v>5955.178371490019</v>
      </c>
      <c r="D29" s="35">
        <f>NPV!B28</f>
        <v>30.76438873871339</v>
      </c>
      <c r="E29" s="57">
        <f>NPV!B30</f>
        <v>-0.4549186970461837</v>
      </c>
    </row>
    <row r="30">
      <c r="A30" s="58" t="n">
        <v>1</v>
      </c>
      <c r="B30" s="59">
        <f t="dataTable" ref="B30:E32" r1="B4"/>
        <v>4613.724568492311</v>
      </c>
      <c r="C30" s="59">
        <v>1301.5875684923112</v>
      </c>
      <c r="D30" s="39">
        <v>6.723987668660768</v>
      </c>
      <c r="E30" s="60">
        <v>-0.8808648534964428</v>
      </c>
    </row>
    <row r="31">
      <c r="A31" s="58" t="n">
        <v>2</v>
      </c>
      <c r="B31" s="59">
        <v>9267.31537149002</v>
      </c>
      <c r="C31" s="59">
        <v>5955.178371490019</v>
      </c>
      <c r="D31" s="39">
        <v>30.76438873871339</v>
      </c>
      <c r="E31" s="60">
        <v>-0.4549186970461837</v>
      </c>
    </row>
    <row r="32">
      <c r="A32" s="58" t="n">
        <v>3</v>
      </c>
      <c r="B32" s="59">
        <v>18728.376087276083</v>
      </c>
      <c r="C32" s="59">
        <v>15416.239087276084</v>
      </c>
      <c r="D32" s="39">
        <v>79.6401287391236</v>
      </c>
      <c r="E32" s="60">
        <v>0.41105826965137493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30.76438873871339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43.141421763637574</v>
      </c>
      <c r="C37" s="39">
        <v>48.22032089597941</v>
      </c>
      <c r="D37" s="39">
        <v>54.31586783081689</v>
      </c>
      <c r="E37" s="39">
        <v>61.76697197279482</v>
      </c>
      <c r="F37" s="39">
        <v>71.0819979829588</v>
      </c>
    </row>
    <row r="38">
      <c r="A38" s="62" t="n">
        <v>0.08500000000000001</v>
      </c>
      <c r="B38" s="39">
        <v>32.903328461691466</v>
      </c>
      <c r="C38" s="39">
        <v>36.41519865853817</v>
      </c>
      <c r="D38" s="39">
        <v>40.513020891016346</v>
      </c>
      <c r="E38" s="39">
        <v>45.356620150650116</v>
      </c>
      <c r="F38" s="39">
        <v>51.16975183478709</v>
      </c>
    </row>
    <row r="39">
      <c r="A39" s="62" t="n">
        <v>0.095</v>
      </c>
      <c r="B39" s="39">
        <v>25.320665506815107</v>
      </c>
      <c r="C39" s="39">
        <v>27.860841853195897</v>
      </c>
      <c r="D39" s="39">
        <v>30.76438873871339</v>
      </c>
      <c r="E39" s="39">
        <v>34.11517620171838</v>
      </c>
      <c r="F39" s="39">
        <v>38.025031275249376</v>
      </c>
    </row>
    <row r="40">
      <c r="A40" s="62" t="n">
        <v>0.105</v>
      </c>
      <c r="B40" s="39">
        <v>19.50097603343531</v>
      </c>
      <c r="C40" s="39">
        <v>21.40211167553562</v>
      </c>
      <c r="D40" s="39">
        <v>23.541271293188114</v>
      </c>
      <c r="E40" s="39">
        <v>25.966071759959465</v>
      </c>
      <c r="F40" s="39">
        <v>28.737735020545017</v>
      </c>
    </row>
    <row r="41">
      <c r="A41" s="62" t="n">
        <v>0.115</v>
      </c>
      <c r="B41" s="39">
        <v>14.909452929460869</v>
      </c>
      <c r="C41" s="39">
        <v>16.370953960189837</v>
      </c>
      <c r="D41" s="39">
        <v>17.99514950525507</v>
      </c>
      <c r="E41" s="39">
        <v>19.81076009209102</v>
      </c>
      <c r="F41" s="39">
        <v>21.853686582824025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BioMarin Pharmaceutical Inc.: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0.118</v>
      </c>
      <c r="D5" s="63">
        <f>Assumptions!$E$12+(Assumptions!$E$11-Assumptions!$E$12)*(D4-1)/(Assumptions!$B$21-1)</f>
        <v>0.10766666666666666</v>
      </c>
      <c r="E5" s="63">
        <f>Assumptions!$E$12+(Assumptions!$E$11-Assumptions!$E$12)*(E4-1)/(Assumptions!$B$21-1)</f>
        <v>0.09733333333333333</v>
      </c>
      <c r="F5" s="63">
        <f>Assumptions!$E$12+(Assumptions!$E$11-Assumptions!$E$12)*(F4-1)/(Assumptions!$B$21-1)</f>
        <v>0.087</v>
      </c>
      <c r="G5" s="63">
        <f>Assumptions!$E$12+(Assumptions!$E$11-Assumptions!$E$12)*(G4-1)/(Assumptions!$B$21-1)</f>
        <v>0.07666666666666666</v>
      </c>
      <c r="H5" s="63">
        <f>Assumptions!$E$12+(Assumptions!$E$11-Assumptions!$E$12)*(H4-1)/(Assumptions!$B$21-1)</f>
        <v>0.06633333333333333</v>
      </c>
      <c r="I5" s="63">
        <f>Assumptions!$E$12+(Assumptions!$E$11-Assumptions!$E$12)*(I4-1)/(Assumptions!$B$21-1)</f>
        <v>0.05599999999999999</v>
      </c>
      <c r="J5" s="63">
        <f>Assumptions!$E$12+(Assumptions!$E$11-Assumptions!$E$12)*(J4-1)/(Assumptions!$B$21-1)</f>
        <v>0.04566666666666666</v>
      </c>
      <c r="K5" s="63">
        <f>Assumptions!$E$12+(Assumptions!$E$11-Assumptions!$E$12)*(K4-1)/(Assumptions!$B$21-1)</f>
        <v>0.03533333333333333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0.12711761541238767</v>
      </c>
      <c r="C6" s="63">
        <f>Assumptions!$B$18+(Assumptions!$E$13-Assumptions!$B$18)*C4/Assumptions!$B$21</f>
        <v>0.05942</v>
      </c>
      <c r="D6" s="63">
        <f>Assumptions!$B$18+(Assumptions!$E$13-Assumptions!$B$18)*D4/Assumptions!$B$21</f>
        <v>0.07504</v>
      </c>
      <c r="E6" s="63">
        <f>Assumptions!$B$18+(Assumptions!$E$13-Assumptions!$B$18)*E4/Assumptions!$B$21</f>
        <v>0.09065999999999999</v>
      </c>
      <c r="F6" s="63">
        <f>Assumptions!$B$18+(Assumptions!$E$13-Assumptions!$B$18)*F4/Assumptions!$B$21</f>
        <v>0.10628</v>
      </c>
      <c r="G6" s="63">
        <f>Assumptions!$B$18+(Assumptions!$E$13-Assumptions!$B$18)*G4/Assumptions!$B$21</f>
        <v>0.12190000000000001</v>
      </c>
      <c r="H6" s="63">
        <f>Assumptions!$B$18+(Assumptions!$E$13-Assumptions!$B$18)*H4/Assumptions!$B$21</f>
        <v>0.13752</v>
      </c>
      <c r="I6" s="63">
        <f>Assumptions!$B$18+(Assumptions!$E$13-Assumptions!$B$18)*I4/Assumptions!$B$21</f>
        <v>0.15314</v>
      </c>
      <c r="J6" s="63">
        <f>Assumptions!$B$18+(Assumptions!$E$13-Assumptions!$B$18)*J4/Assumptions!$B$21</f>
        <v>0.16876</v>
      </c>
      <c r="K6" s="63">
        <f>Assumptions!$B$18+(Assumptions!$E$13-Assumptions!$B$18)*K4/Assumptions!$B$21</f>
        <v>0.18438000000000002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Model'!S2</f>
        <v>3221.253</v>
      </c>
      <c r="C7" s="55">
        <f>'Yearly Model'!T2</f>
        <v>3601.360854</v>
      </c>
      <c r="D7" s="55">
        <f>'Yearly Model'!U2</f>
        <v>3989.107372614</v>
      </c>
      <c r="E7" s="55">
        <f>'Yearly Model'!V2</f>
        <v>4377.380490215096</v>
      </c>
      <c r="F7" s="55">
        <f>'Yearly Model'!W2</f>
        <v>4758.212592863809</v>
      </c>
      <c r="G7" s="55">
        <f>'Yearly Model'!X2</f>
        <v>5123.0088916500345</v>
      </c>
      <c r="H7" s="55">
        <f>'Yearly Model'!Y2</f>
        <v>5462.835148129487</v>
      </c>
      <c r="I7" s="55">
        <f>'Yearly Model'!Z2</f>
        <v>5768.753916424738</v>
      </c>
      <c r="J7" s="55">
        <f>'Yearly Model'!AA2</f>
        <v>6032.193678608135</v>
      </c>
      <c r="K7" s="55">
        <f>'Yearly Model'!AB2</f>
        <v>6245.331188585623</v>
      </c>
      <c r="L7" s="55">
        <f>'Yearly Model'!AC2</f>
        <v>6401.4644683002625</v>
      </c>
    </row>
    <row r="8">
      <c r="A8" s="14" t="inlineStr">
        <is>
          <t>Operating income</t>
        </is>
      </c>
      <c r="B8" s="55">
        <f>'Yearly Model'!S8</f>
        <v>409.47800000000007</v>
      </c>
      <c r="C8" s="55">
        <f>'Yearly Model'!T8</f>
        <v>213.99286194468004</v>
      </c>
      <c r="D8" s="55">
        <f>'Yearly Model'!U8</f>
        <v>299.3426172409545</v>
      </c>
      <c r="E8" s="55">
        <f>'Yearly Model'!V8</f>
        <v>396.8533152429004</v>
      </c>
      <c r="F8" s="55">
        <f>'Yearly Model'!W8</f>
        <v>505.7028343695656</v>
      </c>
      <c r="G8" s="55">
        <f>'Yearly Model'!X8</f>
        <v>624.4947838921394</v>
      </c>
      <c r="H8" s="55">
        <f>'Yearly Model'!Y8</f>
        <v>751.249089570767</v>
      </c>
      <c r="I8" s="55">
        <f>'Yearly Model'!Z8</f>
        <v>883.4269747612843</v>
      </c>
      <c r="J8" s="55">
        <f>'Yearly Model'!AA8</f>
        <v>1017.993005201909</v>
      </c>
      <c r="K8" s="55">
        <f>'Yearly Model'!AB8</f>
        <v>1151.5141645514173</v>
      </c>
      <c r="L8" s="55">
        <f>'Yearly Model'!AC8</f>
        <v>1280.2928936600529</v>
      </c>
    </row>
    <row r="9">
      <c r="A9" s="14" t="inlineStr">
        <is>
          <t>Tax on operating income</t>
        </is>
      </c>
      <c r="C9" s="52">
        <f>MAX(0,C8)*Assumptions!$E$14</f>
        <v>36.37878653059561</v>
      </c>
      <c r="D9" s="52">
        <f>MAX(0,D8)*Assumptions!$E$14</f>
        <v>50.888244930962266</v>
      </c>
      <c r="E9" s="52">
        <f>MAX(0,E8)*Assumptions!$E$14</f>
        <v>67.46506359129307</v>
      </c>
      <c r="F9" s="52">
        <f>MAX(0,F8)*Assumptions!$E$14</f>
        <v>85.96948184282616</v>
      </c>
      <c r="G9" s="52">
        <f>MAX(0,G8)*Assumptions!$E$14</f>
        <v>106.1641132616637</v>
      </c>
      <c r="H9" s="52">
        <f>MAX(0,H8)*Assumptions!$E$14</f>
        <v>127.7123452270304</v>
      </c>
      <c r="I9" s="52">
        <f>MAX(0,I8)*Assumptions!$E$14</f>
        <v>150.18258570941833</v>
      </c>
      <c r="J9" s="52">
        <f>MAX(0,J8)*Assumptions!$E$14</f>
        <v>173.05881088432454</v>
      </c>
      <c r="K9" s="52">
        <f>MAX(0,K8)*Assumptions!$E$14</f>
        <v>195.75740797374095</v>
      </c>
      <c r="L9" s="52">
        <f>MAX(0,L8)*Assumptions!$E$14</f>
        <v>217.649791922209</v>
      </c>
    </row>
    <row r="10">
      <c r="A10" s="14" t="inlineStr">
        <is>
          <t>NOPAT</t>
        </is>
      </c>
      <c r="C10" s="52">
        <f>C8-C9</f>
        <v>177.61407541408443</v>
      </c>
      <c r="D10" s="52">
        <f>D8-D9</f>
        <v>248.45437230999224</v>
      </c>
      <c r="E10" s="52">
        <f>E8-E9</f>
        <v>329.38825165160733</v>
      </c>
      <c r="F10" s="52">
        <f>F8-F9</f>
        <v>419.73335252673945</v>
      </c>
      <c r="G10" s="52">
        <f>G8-G9</f>
        <v>518.3306706304757</v>
      </c>
      <c r="H10" s="52">
        <f>H8-H9</f>
        <v>623.5367443437366</v>
      </c>
      <c r="I10" s="52">
        <f>I8-I9</f>
        <v>733.2443890518659</v>
      </c>
      <c r="J10" s="52">
        <f>J8-J9</f>
        <v>844.9341943175845</v>
      </c>
      <c r="K10" s="52">
        <f>K8-K9</f>
        <v>955.7567565776762</v>
      </c>
      <c r="L10" s="52">
        <f>L8-L9</f>
        <v>1062.6431017378438</v>
      </c>
    </row>
    <row r="11">
      <c r="A11" s="14" t="inlineStr">
        <is>
          <t>Reinvestment</t>
        </is>
      </c>
      <c r="C11" s="52">
        <f>(C7-B7)*Assumptions!$E$15</f>
        <v>95.02696349999997</v>
      </c>
      <c r="D11" s="52">
        <f>(D7-C7)*Assumptions!$E$15</f>
        <v>96.93662965349995</v>
      </c>
      <c r="E11" s="52">
        <f>(E7-D7)*Assumptions!$E$15</f>
        <v>97.06827940027404</v>
      </c>
      <c r="F11" s="52">
        <f>(F7-E7)*Assumptions!$E$15</f>
        <v>95.20802566217822</v>
      </c>
      <c r="G11" s="52">
        <f>(G7-F7)*Assumptions!$E$15</f>
        <v>91.19907469655641</v>
      </c>
      <c r="H11" s="52">
        <f>(H7-G7)*Assumptions!$E$15</f>
        <v>84.95656411986306</v>
      </c>
      <c r="I11" s="52">
        <f>(I7-H7)*Assumptions!$E$15</f>
        <v>76.47969207381288</v>
      </c>
      <c r="J11" s="52">
        <f>(J7-I7)*Assumptions!$E$15</f>
        <v>65.85994054584921</v>
      </c>
      <c r="K11" s="52">
        <f>(K7-J7)*Assumptions!$E$15</f>
        <v>53.28437749437194</v>
      </c>
      <c r="L11" s="52">
        <f>(L7-K7)*Assumptions!$E$15</f>
        <v>39.03331992865992</v>
      </c>
    </row>
    <row r="12">
      <c r="A12" s="20" t="inlineStr">
        <is>
          <t>Free cash flow</t>
        </is>
      </c>
      <c r="C12" s="64">
        <f>C10-C11</f>
        <v>82.58711191408446</v>
      </c>
      <c r="D12" s="64">
        <f>D10-D11</f>
        <v>151.5177426564923</v>
      </c>
      <c r="E12" s="64">
        <f>E10-E11</f>
        <v>232.3199722513333</v>
      </c>
      <c r="F12" s="64">
        <f>F10-F11</f>
        <v>324.52532686456124</v>
      </c>
      <c r="G12" s="64">
        <f>G10-G11</f>
        <v>427.13159593391924</v>
      </c>
      <c r="H12" s="64">
        <f>H10-H11</f>
        <v>538.5801802238735</v>
      </c>
      <c r="I12" s="64">
        <f>I10-I11</f>
        <v>656.764696978053</v>
      </c>
      <c r="J12" s="64">
        <f>J10-J11</f>
        <v>779.0742537717352</v>
      </c>
      <c r="K12" s="64">
        <f>K10-K11</f>
        <v>902.4723790833043</v>
      </c>
      <c r="L12" s="64">
        <f>L10-L11</f>
        <v>1023.6097818091839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40.69065190329988</v>
      </c>
      <c r="D16" s="64">
        <f>D12*D13*D15</f>
        <v>138.32088992655972</v>
      </c>
      <c r="E16" s="64">
        <f>E12*E13*E15</f>
        <v>193.68532242639688</v>
      </c>
      <c r="F16" s="64">
        <f>F12*F13*F15</f>
        <v>247.084009761729</v>
      </c>
      <c r="G16" s="64">
        <f>G12*G13*G15</f>
        <v>296.99122917945147</v>
      </c>
      <c r="H16" s="64">
        <f>H12*H13*H15</f>
        <v>341.9937533288747</v>
      </c>
      <c r="I16" s="64">
        <f>I12*I13*I15</f>
        <v>380.8583549280519</v>
      </c>
      <c r="J16" s="64">
        <f>J12*J13*J15</f>
        <v>412.5897364014139</v>
      </c>
      <c r="K16" s="64">
        <f>K12*K13*K15</f>
        <v>436.4749938618082</v>
      </c>
      <c r="L16" s="64">
        <f>L12*L13*L15</f>
        <v>452.1117113115598</v>
      </c>
    </row>
    <row r="19">
      <c r="A19" s="14" t="inlineStr">
        <is>
          <t>PV of forecast free cash flow</t>
        </is>
      </c>
      <c r="B19" s="52">
        <f>SUM(C16:L16)</f>
        <v>2940.8006530291455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1049.2000263544132</v>
      </c>
    </row>
    <row r="21">
      <c r="A21" s="14" t="inlineStr">
        <is>
          <t>Terminal value</t>
        </is>
      </c>
      <c r="B21" s="52">
        <f>B20/(Assumptions!$E$10-Assumptions!$E$11)</f>
        <v>14988.571805063046</v>
      </c>
    </row>
    <row r="22">
      <c r="A22" s="14" t="inlineStr">
        <is>
          <t>PV of terminal value</t>
        </is>
      </c>
      <c r="B22" s="52">
        <f>B21/(1+Assumptions!$E$10)^(L14+0.5)</f>
        <v>6326.514718460875</v>
      </c>
    </row>
    <row r="23">
      <c r="A23" s="20" t="inlineStr">
        <is>
          <t>Enterprise value</t>
        </is>
      </c>
      <c r="B23" s="66">
        <f>B19+B22</f>
        <v>9267.31537149002</v>
      </c>
    </row>
    <row r="24">
      <c r="A24" s="14" t="inlineStr">
        <is>
          <t>Cash &amp; investments</t>
        </is>
      </c>
      <c r="B24" s="55">
        <f>Main!C7</f>
        <v>874.005</v>
      </c>
    </row>
    <row r="25">
      <c r="A25" s="14" t="inlineStr">
        <is>
          <t>Debt</t>
        </is>
      </c>
      <c r="B25" s="55">
        <f>Main!C8</f>
        <v>4186.142</v>
      </c>
    </row>
    <row r="26">
      <c r="A26" s="20" t="inlineStr">
        <is>
          <t>Equity value</t>
        </is>
      </c>
      <c r="B26" s="66">
        <f>B23+B24-B25</f>
        <v>5955.178371490019</v>
      </c>
    </row>
    <row r="27">
      <c r="A27" s="14" t="inlineStr">
        <is>
          <t>Shares (mm)</t>
        </is>
      </c>
      <c r="B27" s="55">
        <f>Main!C4</f>
        <v>193.573759</v>
      </c>
    </row>
    <row r="28">
      <c r="A28" s="20" t="inlineStr">
        <is>
          <t>NPV / share</t>
        </is>
      </c>
      <c r="B28" s="49">
        <f>B26/B27</f>
        <v>30.76438873871339</v>
      </c>
    </row>
    <row r="29">
      <c r="A29" s="14" t="inlineStr">
        <is>
          <t>Price</t>
        </is>
      </c>
      <c r="B29" s="50">
        <f>Main!C3</f>
        <v>56.44</v>
      </c>
    </row>
    <row r="30">
      <c r="A30" s="14" t="inlineStr">
        <is>
          <t>Upside</t>
        </is>
      </c>
      <c r="B30" s="63">
        <f>B28/B29-1</f>
        <v>-0.4549186970461837</v>
      </c>
    </row>
    <row r="31">
      <c r="A31" s="14" t="inlineStr">
        <is>
          <t>Terminal value, % of EV</t>
        </is>
      </c>
      <c r="B31" s="63">
        <f>IFERROR(B22/B23,0)</f>
        <v>0.6826696259764475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2026-10-21T06:21:24Z</dcterms:modified>
  <cp:lastModifiedBy>Wang, Eric</cp:lastModifiedBy>
</cp:coreProperties>
</file>