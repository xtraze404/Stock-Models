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Oruka Therapeutics Inc</t>
        </is>
      </c>
      <c r="C2" s="10" t="n"/>
    </row>
    <row r="3">
      <c r="B3" t="inlineStr">
        <is>
          <t>Price</t>
        </is>
      </c>
      <c r="C3" s="11">
        <f>INDEX([1]Pharma!$F$1:$F$1000,MATCH("ORKA",[1]Pharma!$B$1:$B$1000,0))</f>
        <v>79.09</v>
      </c>
      <c r="F3" s="1" t="n"/>
    </row>
    <row r="4">
      <c r="B4" t="inlineStr">
        <is>
          <t>Shares</t>
        </is>
      </c>
      <c r="C4" s="21" t="n">
        <v>66.209699</v>
      </c>
      <c r="F4" s="1" t="n"/>
    </row>
    <row r="5">
      <c r="B5" t="inlineStr">
        <is>
          <t>Market Cap.</t>
        </is>
      </c>
      <c r="C5" s="13">
        <f>C3*C4</f>
        <v>5236.525093910001</v>
      </c>
      <c r="F5" s="1" t="n"/>
    </row>
    <row r="6"/>
    <row r="7">
      <c r="B7" t="inlineStr">
        <is>
          <t>Cash</t>
        </is>
      </c>
      <c r="C7" s="21">
        <f>268.47+605.094</f>
        <v>873.5640000000001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4362.96109391</v>
      </c>
    </row>
    <row r="10"/>
    <row r="11">
      <c r="B11" s="14" t="inlineStr">
        <is>
          <t>rNPV / Share</t>
        </is>
      </c>
      <c r="C11" s="11">
        <f>NPV!B27</f>
        <v>17.090735471016487</v>
      </c>
    </row>
    <row r="12">
      <c r="B12" s="14" t="inlineStr">
        <is>
          <t>Upside</t>
        </is>
      </c>
      <c r="C12" s="15">
        <f>IFERROR(C11/C3-1,"")</f>
        <v>-0.7839077573521749</v>
      </c>
    </row>
    <row r="13">
      <c r="B13" s="14" t="inlineStr">
        <is>
          <t>Cash / Share</t>
        </is>
      </c>
      <c r="C13" s="11">
        <f>IFERROR((C7-C8)/C4,"")</f>
        <v>13.193897770174127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-100.919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8.656090528047248</v>
      </c>
    </row>
    <row r="19">
      <c r="B19" s="14" t="inlineStr">
        <is>
          <t>Implied Pipeline Value</t>
        </is>
      </c>
      <c r="C19" s="13">
        <f>C9</f>
        <v>4362.96109391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2004</v>
      </c>
      <c r="C1" s="17" t="n">
        <v>2005</v>
      </c>
      <c r="D1" s="17" t="n">
        <v>2006</v>
      </c>
      <c r="E1" s="17" t="n">
        <v>2007</v>
      </c>
      <c r="F1" s="17" t="n">
        <v>2008</v>
      </c>
      <c r="G1" s="17" t="n">
        <v>2009</v>
      </c>
      <c r="H1" s="17" t="n">
        <v>2010</v>
      </c>
      <c r="I1" s="17" t="n">
        <v>2011</v>
      </c>
      <c r="J1" s="17" t="n">
        <v>2012</v>
      </c>
      <c r="K1" s="17" t="n">
        <v>2013</v>
      </c>
      <c r="L1" s="17" t="n">
        <v>2014</v>
      </c>
      <c r="M1" s="17" t="n">
        <v>2015</v>
      </c>
      <c r="N1" s="17" t="n">
        <v>2016</v>
      </c>
      <c r="O1" s="17" t="n">
        <v>2017</v>
      </c>
      <c r="P1" s="17" t="n">
        <v>2018</v>
      </c>
      <c r="Q1" s="17" t="n">
        <v>2019</v>
      </c>
      <c r="R1" s="17" t="n">
        <v>2020</v>
      </c>
      <c r="S1" s="17" t="n">
        <v>2021</v>
      </c>
      <c r="T1" s="17" t="n">
        <v>2022</v>
      </c>
      <c r="U1" s="17" t="n">
        <v>2023</v>
      </c>
      <c r="V1" s="17" t="n">
        <v>2024</v>
      </c>
      <c r="W1" s="17" t="n">
        <v>2025</v>
      </c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</v>
      </c>
      <c r="T2" s="23" t="n">
        <v>0</v>
      </c>
      <c r="U2" s="23" t="n">
        <v>0</v>
      </c>
      <c r="V2" s="23" t="n">
        <v>0</v>
      </c>
      <c r="W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0.0</v>
      </c>
      <c r="T4" s="23">
        <f>T2-T3</f>
        <v>0.0</v>
      </c>
      <c r="U4" s="23">
        <f>U2-U3</f>
        <v>0.0</v>
      </c>
      <c r="V4" s="23">
        <f>V2-V3</f>
        <v>0.0</v>
      </c>
      <c r="W4" s="23">
        <f>W2-W3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3.106</v>
      </c>
      <c r="I5" s="23" t="n">
        <v>2.315</v>
      </c>
      <c r="J5" s="23" t="n">
        <v>1.092</v>
      </c>
      <c r="K5" s="23" t="n">
        <v>2.928</v>
      </c>
      <c r="L5" s="23" t="n">
        <v>5.625</v>
      </c>
      <c r="M5" s="23" t="n">
        <v>7.063</v>
      </c>
      <c r="N5" s="23" t="n">
        <v>12.348</v>
      </c>
      <c r="O5" s="23" t="n">
        <v>14.076</v>
      </c>
      <c r="P5" s="23" t="n">
        <v>4.239</v>
      </c>
      <c r="Q5" s="23" t="n">
        <v>1.833</v>
      </c>
      <c r="R5" s="23" t="n">
        <v>4.992</v>
      </c>
      <c r="S5" s="23" t="n">
        <v>13.832</v>
      </c>
      <c r="T5" s="23" t="n">
        <v>4.749</v>
      </c>
      <c r="U5" s="23" t="n">
        <v>1.013</v>
      </c>
      <c r="V5" s="23" t="n">
        <v>0</v>
      </c>
      <c r="W5" s="23" t="n">
        <v>100.64</v>
      </c>
    </row>
    <row r="6">
      <c r="A6" s="19" t="inlineStr">
        <is>
          <t>SG&amp;A &amp; Other</t>
        </is>
      </c>
      <c r="B6" s="23" t="n">
        <v>0.511</v>
      </c>
      <c r="C6" s="23" t="n">
        <v>1.459</v>
      </c>
      <c r="D6" s="23" t="n">
        <v>5.241</v>
      </c>
      <c r="E6" s="23" t="n">
        <v>13.994</v>
      </c>
      <c r="F6" s="23" t="n">
        <v>19.431</v>
      </c>
      <c r="G6" s="23" t="n">
        <v>9.138</v>
      </c>
      <c r="H6" s="23" t="n">
        <v>6.069</v>
      </c>
      <c r="I6" s="23" t="n">
        <v>5.046</v>
      </c>
      <c r="J6" s="23" t="n">
        <v>3.227</v>
      </c>
      <c r="K6" s="23" t="n">
        <v>4.012</v>
      </c>
      <c r="L6" s="23" t="n">
        <v>4.068</v>
      </c>
      <c r="M6" s="23" t="n">
        <v>4.392</v>
      </c>
      <c r="N6" s="23" t="n">
        <v>4.265</v>
      </c>
      <c r="O6" s="23" t="n">
        <v>4.636</v>
      </c>
      <c r="P6" s="23" t="n">
        <v>3.879</v>
      </c>
      <c r="Q6" s="23" t="n">
        <v>3.981</v>
      </c>
      <c r="R6" s="23" t="n">
        <v>4.774</v>
      </c>
      <c r="S6" s="23" t="n">
        <v>5.503</v>
      </c>
      <c r="T6" s="23" t="n">
        <v>5.847</v>
      </c>
      <c r="U6" s="23" t="n">
        <v>6.283</v>
      </c>
      <c r="V6" s="23" t="n">
        <v>83.724</v>
      </c>
      <c r="W6" s="23" t="n">
        <v>21.411</v>
      </c>
    </row>
    <row r="7">
      <c r="A7" s="2" t="inlineStr">
        <is>
          <t>Operating Expense</t>
        </is>
      </c>
      <c r="B7" s="23">
        <f>SUM(B5:B6)</f>
        <v>0.511</v>
      </c>
      <c r="C7" s="23">
        <f>SUM(C5:C6)</f>
        <v>1.459</v>
      </c>
      <c r="D7" s="23">
        <f>SUM(D5:D6)</f>
        <v>5.241</v>
      </c>
      <c r="E7" s="23">
        <f>SUM(E5:E6)</f>
        <v>13.994</v>
      </c>
      <c r="F7" s="23">
        <f>SUM(F5:F6)</f>
        <v>19.431</v>
      </c>
      <c r="G7" s="23">
        <f>SUM(G5:G6)</f>
        <v>9.138</v>
      </c>
      <c r="H7" s="23">
        <f>SUM(H5:H6)</f>
        <v>9.175</v>
      </c>
      <c r="I7" s="23">
        <f>SUM(I5:I6)</f>
        <v>7.361000000000001</v>
      </c>
      <c r="J7" s="23">
        <f>SUM(J5:J6)</f>
        <v>4.319</v>
      </c>
      <c r="K7" s="23">
        <f>SUM(K5:K6)</f>
        <v>6.9399999999999995</v>
      </c>
      <c r="L7" s="23">
        <f>SUM(L5:L6)</f>
        <v>9.693</v>
      </c>
      <c r="M7" s="23">
        <f>SUM(M5:M6)</f>
        <v>11.455</v>
      </c>
      <c r="N7" s="23">
        <f>SUM(N5:N6)</f>
        <v>16.613</v>
      </c>
      <c r="O7" s="23">
        <f>SUM(O5:O6)</f>
        <v>18.712</v>
      </c>
      <c r="P7" s="23">
        <f>SUM(P5:P6)</f>
        <v>8.118</v>
      </c>
      <c r="Q7" s="23">
        <f>SUM(Q5:Q6)</f>
        <v>5.814</v>
      </c>
      <c r="R7" s="23">
        <f>SUM(R5:R6)</f>
        <v>9.766</v>
      </c>
      <c r="S7" s="23">
        <f>SUM(S5:S6)</f>
        <v>19.335</v>
      </c>
      <c r="T7" s="23">
        <f>SUM(T5:T6)</f>
        <v>10.596</v>
      </c>
      <c r="U7" s="23">
        <f>SUM(U5:U6)</f>
        <v>7.296</v>
      </c>
      <c r="V7" s="23">
        <f>SUM(V5:V6)</f>
        <v>83.724</v>
      </c>
      <c r="W7" s="23">
        <f>SUM(W5:W6)</f>
        <v>122.051</v>
      </c>
    </row>
    <row r="8">
      <c r="A8" s="2" t="inlineStr">
        <is>
          <t>Operating Income</t>
        </is>
      </c>
      <c r="B8" s="23">
        <f>B4-B7</f>
        <v>-0.511</v>
      </c>
      <c r="C8" s="23">
        <f>C4-C7</f>
        <v>-1.459</v>
      </c>
      <c r="D8" s="23">
        <f>D4-D7</f>
        <v>-5.241</v>
      </c>
      <c r="E8" s="23">
        <f>E4-E7</f>
        <v>-13.994</v>
      </c>
      <c r="F8" s="23">
        <f>F4-F7</f>
        <v>-19.431</v>
      </c>
      <c r="G8" s="23">
        <f>G4-G7</f>
        <v>-9.138</v>
      </c>
      <c r="H8" s="23">
        <f>H4-H7</f>
        <v>-9.175</v>
      </c>
      <c r="I8" s="23">
        <f>I4-I7</f>
        <v>-7.361000000000001</v>
      </c>
      <c r="J8" s="23">
        <f>J4-J7</f>
        <v>-4.319</v>
      </c>
      <c r="K8" s="23">
        <f>K4-K7</f>
        <v>-6.9399999999999995</v>
      </c>
      <c r="L8" s="23">
        <f>L4-L7</f>
        <v>-9.693</v>
      </c>
      <c r="M8" s="23">
        <f>M4-M7</f>
        <v>-11.455</v>
      </c>
      <c r="N8" s="23">
        <f>N4-N7</f>
        <v>-16.613</v>
      </c>
      <c r="O8" s="23">
        <f>O4-O7</f>
        <v>-18.712</v>
      </c>
      <c r="P8" s="23">
        <f>P4-P7</f>
        <v>-8.118</v>
      </c>
      <c r="Q8" s="23">
        <f>Q4-Q7</f>
        <v>-5.814</v>
      </c>
      <c r="R8" s="23">
        <f>R4-R7</f>
        <v>-9.766</v>
      </c>
      <c r="S8" s="23">
        <f>S4-S7</f>
        <v>-19.335</v>
      </c>
      <c r="T8" s="23">
        <f>T4-T7</f>
        <v>-10.596</v>
      </c>
      <c r="U8" s="23">
        <f>U4-U7</f>
        <v>-7.296</v>
      </c>
      <c r="V8" s="23">
        <f>V4-V7</f>
        <v>-83.724</v>
      </c>
      <c r="W8" s="23">
        <f>W4-W7</f>
        <v>-122.051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0.755</v>
      </c>
      <c r="I9" s="23" t="n">
        <v>1.997</v>
      </c>
      <c r="J9" s="23" t="n">
        <v>-0.001</v>
      </c>
      <c r="K9" s="23" t="n">
        <v>0.001</v>
      </c>
      <c r="L9" s="23" t="n">
        <v>0.004</v>
      </c>
      <c r="M9" s="23" t="n">
        <v>0.01</v>
      </c>
      <c r="N9" s="23" t="n">
        <v>0.169</v>
      </c>
      <c r="O9" s="23" t="n">
        <v>0.161</v>
      </c>
      <c r="P9" s="23" t="n">
        <v>0.154</v>
      </c>
      <c r="Q9" s="23" t="n">
        <v>0.165</v>
      </c>
      <c r="R9" s="23" t="n">
        <v>0.019</v>
      </c>
      <c r="S9" s="23" t="n">
        <v>0.013</v>
      </c>
      <c r="T9" s="23" t="n">
        <v>0.67</v>
      </c>
      <c r="U9" s="23" t="n">
        <v>1.957</v>
      </c>
      <c r="V9" s="23" t="n">
        <v>0</v>
      </c>
      <c r="W9" s="23" t="n">
        <v>16.618</v>
      </c>
    </row>
    <row r="10">
      <c r="A10" s="2" t="inlineStr">
        <is>
          <t>Pretax</t>
        </is>
      </c>
      <c r="B10" s="23">
        <f>B8+B9</f>
        <v>-0.511</v>
      </c>
      <c r="C10" s="23">
        <f>C8+C9</f>
        <v>-1.459</v>
      </c>
      <c r="D10" s="23">
        <f>D8+D9</f>
        <v>-5.241</v>
      </c>
      <c r="E10" s="23">
        <f>E8+E9</f>
        <v>-13.994</v>
      </c>
      <c r="F10" s="23">
        <f>F8+F9</f>
        <v>-19.431</v>
      </c>
      <c r="G10" s="23">
        <f>G8+G9</f>
        <v>-9.138</v>
      </c>
      <c r="H10" s="23">
        <f>H8+H9</f>
        <v>-8.42</v>
      </c>
      <c r="I10" s="23">
        <f>I8+I9</f>
        <v>-5.364000000000001</v>
      </c>
      <c r="J10" s="23">
        <f>J8+J9</f>
        <v>-4.32</v>
      </c>
      <c r="K10" s="23">
        <f>K8+K9</f>
        <v>-6.938999999999999</v>
      </c>
      <c r="L10" s="23">
        <f>L8+L9</f>
        <v>-9.689</v>
      </c>
      <c r="M10" s="23">
        <f>M8+M9</f>
        <v>-11.445</v>
      </c>
      <c r="N10" s="23">
        <f>N8+N9</f>
        <v>-16.444</v>
      </c>
      <c r="O10" s="23">
        <f>O8+O9</f>
        <v>-18.551</v>
      </c>
      <c r="P10" s="23">
        <f>P8+P9</f>
        <v>-7.964</v>
      </c>
      <c r="Q10" s="23">
        <f>Q8+Q9</f>
        <v>-5.649</v>
      </c>
      <c r="R10" s="23">
        <f>R8+R9</f>
        <v>-9.747</v>
      </c>
      <c r="S10" s="23">
        <f>S8+S9</f>
        <v>-19.322</v>
      </c>
      <c r="T10" s="23">
        <f>T8+T9</f>
        <v>-9.926</v>
      </c>
      <c r="U10" s="23">
        <f>U8+U9</f>
        <v>-5.339</v>
      </c>
      <c r="V10" s="23">
        <f>V8+V9</f>
        <v>-83.724</v>
      </c>
      <c r="W10" s="23">
        <f>W8+W9</f>
        <v>-105.433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-0.061</v>
      </c>
      <c r="P11" s="23" t="n">
        <v>-0.031</v>
      </c>
      <c r="Q11" s="23" t="n">
        <v>-0.167</v>
      </c>
      <c r="R11" s="23" t="n">
        <v>-0.008999999999999999</v>
      </c>
      <c r="S11" s="23" t="n">
        <v>0</v>
      </c>
      <c r="T11" s="23" t="n">
        <v>0</v>
      </c>
      <c r="U11" s="23" t="n">
        <v>0</v>
      </c>
      <c r="V11" s="23" t="n">
        <v>0</v>
      </c>
      <c r="W11" s="23" t="n">
        <v>0</v>
      </c>
    </row>
    <row r="12">
      <c r="A12" s="2" t="inlineStr">
        <is>
          <t>Net Income</t>
        </is>
      </c>
      <c r="B12" s="23" t="n">
        <v>-0.511</v>
      </c>
      <c r="C12" s="23" t="n">
        <v>-1.459</v>
      </c>
      <c r="D12" s="23" t="n">
        <v>-5.241</v>
      </c>
      <c r="E12" s="23" t="n">
        <v>-13.994</v>
      </c>
      <c r="F12" s="23" t="n">
        <v>-19.431</v>
      </c>
      <c r="G12" s="23" t="n">
        <v>-9.138</v>
      </c>
      <c r="H12" s="23" t="n">
        <v>-8.42</v>
      </c>
      <c r="I12" s="23" t="n">
        <v>-5.364</v>
      </c>
      <c r="J12" s="23" t="n">
        <v>-4.32</v>
      </c>
      <c r="K12" s="23" t="n">
        <v>-6.939</v>
      </c>
      <c r="L12" s="23" t="n">
        <v>-9.689</v>
      </c>
      <c r="M12" s="23" t="n">
        <v>-11.445</v>
      </c>
      <c r="N12" s="23" t="n">
        <v>-16.444</v>
      </c>
      <c r="O12" s="23" t="n">
        <v>-18.49</v>
      </c>
      <c r="P12" s="23" t="n">
        <v>-7.933</v>
      </c>
      <c r="Q12" s="23" t="n">
        <v>-5.482</v>
      </c>
      <c r="R12" s="23" t="n">
        <v>-9.738</v>
      </c>
      <c r="S12" s="23" t="n">
        <v>-19.322</v>
      </c>
      <c r="T12" s="23" t="n">
        <v>-9.926</v>
      </c>
      <c r="U12" s="23" t="n">
        <v>-5.339</v>
      </c>
      <c r="V12" s="23" t="n">
        <v>-83.724</v>
      </c>
      <c r="W12" s="23" t="n">
        <v>-105.433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-3.2062163777644948</v>
      </c>
      <c r="J13" s="11">
        <f>IFERROR(J12/J14,0)</f>
        <v>-1.9424460431654675</v>
      </c>
      <c r="K13" s="11">
        <f>IFERROR(K12/K14,0)</f>
        <v>-0.8041488005562638</v>
      </c>
      <c r="L13" s="11">
        <f>IFERROR(L12/L14,0)</f>
        <v>-1.1027771454586843</v>
      </c>
      <c r="M13" s="11">
        <f>IFERROR(M12/M14,0)</f>
        <v>-0.6065825736697054</v>
      </c>
      <c r="N13" s="11">
        <f>IFERROR(N12/N14,0)</f>
        <v>-0.6045143739430924</v>
      </c>
      <c r="O13" s="11">
        <f>IFERROR(O12/O14,0)</f>
        <v>-0.5908480858950597</v>
      </c>
      <c r="P13" s="11">
        <f>IFERROR(P12/P14,0)</f>
        <v>-3.4371750433275565</v>
      </c>
      <c r="Q13" s="11">
        <f>IFERROR(Q12/Q14,0)</f>
        <v>-1.382946518668012</v>
      </c>
      <c r="R13" s="11">
        <f>IFERROR(R12/R14,0)</f>
        <v>-0.6891232043025971</v>
      </c>
      <c r="S13" s="11">
        <f>IFERROR(S12/S14,0)</f>
        <v>-1.3896720368239355</v>
      </c>
      <c r="T13" s="11">
        <f>IFERROR(T12/T14,0)</f>
        <v>-0.6888272033310201</v>
      </c>
      <c r="U13" s="11">
        <f>IFERROR(U12/U14,0)</f>
        <v>-0.3703523862375139</v>
      </c>
      <c r="V13" s="11">
        <f>IFERROR(V12/V14,0)</f>
        <v>0</v>
      </c>
      <c r="W13" s="11">
        <f>IFERROR(W12/W14,0)</f>
        <v>0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>
        <v>1.673</v>
      </c>
      <c r="J14" s="23" t="n">
        <v>2.224</v>
      </c>
      <c r="K14" s="23" t="n">
        <v>8.629</v>
      </c>
      <c r="L14" s="23" t="n">
        <v>8.786</v>
      </c>
      <c r="M14" s="23" t="n">
        <v>18.868</v>
      </c>
      <c r="N14" s="23" t="n">
        <v>27.202</v>
      </c>
      <c r="O14" s="23" t="n">
        <v>31.294</v>
      </c>
      <c r="P14" s="23" t="n">
        <v>2.308</v>
      </c>
      <c r="Q14" s="23" t="n">
        <v>3.964</v>
      </c>
      <c r="R14" s="23" t="n">
        <v>14.131</v>
      </c>
      <c r="S14" s="23" t="n">
        <v>13.904</v>
      </c>
      <c r="T14" s="23" t="n">
        <v>14.41</v>
      </c>
      <c r="U14" s="23" t="n">
        <v>14.416</v>
      </c>
      <c r="V14" s="23" t="n"/>
      <c r="W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/>
      </c>
      <c r="U16" s="15">
        <f>IFERROR(U2/T2-1,"")</f>
        <v/>
      </c>
      <c r="V16" s="15">
        <f>IFERROR(V2/U2-1,"")</f>
        <v/>
      </c>
      <c r="W16" s="15">
        <f>IFERROR(W2/V2-1,"")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/>
      </c>
      <c r="T17" s="15">
        <f>IFERROR(T4/T2,"")</f>
        <v/>
      </c>
      <c r="U17" s="15">
        <f>IFERROR(U4/U2,"")</f>
        <v/>
      </c>
      <c r="V17" s="15">
        <f>IFERROR(V4/V2,"")</f>
        <v/>
      </c>
      <c r="W17" s="15">
        <f>IFERROR(W4/W2,"")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/>
      </c>
      <c r="T18" s="15">
        <f>IFERROR(T8/T2,"")</f>
        <v/>
      </c>
      <c r="U18" s="15">
        <f>IFERROR(U8/U2,"")</f>
        <v/>
      </c>
      <c r="V18" s="15">
        <f>IFERROR(V8/V2,"")</f>
        <v/>
      </c>
      <c r="W18" s="15">
        <f>IFERROR(W8/W2,"")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Oruka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0.3485895899999999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155.077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377.8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258.00845122462454</v>
      </c>
      <c r="C29" s="42">
        <f>NPV!B25</f>
        <v>1131.5724512246247</v>
      </c>
      <c r="D29" s="43">
        <f>NPV!B27</f>
        <v>17.090735471016487</v>
      </c>
      <c r="E29" s="44">
        <f>NPV!B29</f>
        <v>-0.7839077573521749</v>
      </c>
    </row>
    <row r="30">
      <c r="A30" s="45" t="n">
        <v>1</v>
      </c>
      <c r="B30" s="46">
        <f t="dataTable" ref="B30:E32" r1="B4"/>
        <v>-156.850729544718</v>
      </c>
      <c r="C30" s="46">
        <v>716.7132704552821</v>
      </c>
      <c r="D30" s="47">
        <v>10.824898485874133</v>
      </c>
      <c r="E30" s="48">
        <v>-0.8631318942233641</v>
      </c>
    </row>
    <row r="31">
      <c r="A31" s="45" t="n">
        <v>2</v>
      </c>
      <c r="B31" s="46">
        <v>258.00845122462454</v>
      </c>
      <c r="C31" s="46">
        <v>1131.5724512246247</v>
      </c>
      <c r="D31" s="47">
        <v>17.090735471016487</v>
      </c>
      <c r="E31" s="48">
        <v>-0.7839077573521749</v>
      </c>
    </row>
    <row r="32">
      <c r="A32" s="45" t="n">
        <v>3</v>
      </c>
      <c r="B32" s="46">
        <v>921.7771552355264</v>
      </c>
      <c r="C32" s="46">
        <v>1795.3411552355265</v>
      </c>
      <c r="D32" s="47">
        <v>27.11598424930955</v>
      </c>
      <c r="E32" s="48">
        <v>-0.6571502813338026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17.090735471016487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9.634932758048095</v>
      </c>
      <c r="C37" s="47">
        <v>11.442253226470696</v>
      </c>
      <c r="D37" s="47">
        <v>13.124417201266144</v>
      </c>
      <c r="E37" s="47">
        <v>16.395841708278112</v>
      </c>
      <c r="F37" s="47">
        <v>19.61348004909242</v>
      </c>
    </row>
    <row r="38">
      <c r="A38" s="50" t="n">
        <v>0.8</v>
      </c>
      <c r="B38" s="47">
        <v>10.659091010375954</v>
      </c>
      <c r="C38" s="47">
        <v>12.923567932296796</v>
      </c>
      <c r="D38" s="47">
        <v>15.11758790085216</v>
      </c>
      <c r="E38" s="47">
        <v>19.419869789581057</v>
      </c>
      <c r="F38" s="47">
        <v>23.68069461860433</v>
      </c>
    </row>
    <row r="39">
      <c r="A39" s="50" t="n">
        <v>1</v>
      </c>
      <c r="B39" s="47">
        <v>11.608216736751674</v>
      </c>
      <c r="C39" s="47">
        <v>14.382481713477555</v>
      </c>
      <c r="D39" s="47">
        <v>17.090735471016487</v>
      </c>
      <c r="E39" s="47">
        <v>22.435858631582786</v>
      </c>
      <c r="F39" s="47">
        <v>27.73107091284092</v>
      </c>
    </row>
    <row r="40">
      <c r="A40" s="50" t="n">
        <v>1.2</v>
      </c>
      <c r="B40" s="47">
        <v>12.54703958679115</v>
      </c>
      <c r="C40" s="47">
        <v>15.834104462904213</v>
      </c>
      <c r="D40" s="47">
        <v>19.058555893257193</v>
      </c>
      <c r="E40" s="47">
        <v>25.44022472962121</v>
      </c>
      <c r="F40" s="47">
        <v>31.789980965915138</v>
      </c>
    </row>
    <row r="41">
      <c r="A41" s="50" t="n">
        <v>1.4</v>
      </c>
      <c r="B41" s="47">
        <v>13.480118457747638</v>
      </c>
      <c r="C41" s="47">
        <v>17.281532077510732</v>
      </c>
      <c r="D41" s="47">
        <v>21.02482796352035</v>
      </c>
      <c r="E41" s="47">
        <v>28.44937583548408</v>
      </c>
      <c r="F41" s="47">
        <v>35.83735487020727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Oruka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Psoriasis</t>
        </is>
      </c>
      <c r="C4" s="14" t="inlineStr">
        <is>
          <t>ORKA-001, ORKA-002</t>
        </is>
      </c>
      <c r="D4" s="14" t="inlineStr">
        <is>
          <t>Phase 2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2500</v>
      </c>
      <c r="H4" s="27" t="n">
        <v>0.1929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547.8567302126359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48.224999999999994</v>
      </c>
      <c r="S4" s="23">
        <f>IF(S$3&lt;$I4,0,$G4*Assumptions!$E$11*INDEX(Assumptions!$B$24:$G$24,MIN(6,S$3-$I4+1))*IF(S$3&gt;$J4,(1-Assumptions!$B$26)^(S$3-$J4),1)*IF($H4&gt;=1,1,MIN(0.97,$H4*Assumptions!$E$12)))</f>
        <v>120.56249999999999</v>
      </c>
      <c r="T4" s="23">
        <f>IF(T$3&lt;$I4,0,$G4*Assumptions!$E$11*INDEX(Assumptions!$B$24:$G$24,MIN(6,T$3-$I4+1))*IF(T$3&gt;$J4,(1-Assumptions!$B$26)^(T$3-$J4),1)*IF($H4&gt;=1,1,MIN(0.97,$H4*Assumptions!$E$12)))</f>
        <v>217.0125</v>
      </c>
      <c r="U4" s="23">
        <f>IF(U$3&lt;$I4,0,$G4*Assumptions!$E$11*INDEX(Assumptions!$B$24:$G$24,MIN(6,U$3-$I4+1))*IF(U$3&gt;$J4,(1-Assumptions!$B$26)^(U$3-$J4),1)*IF($H4&gt;=1,1,MIN(0.97,$H4*Assumptions!$E$12)))</f>
        <v>313.4625</v>
      </c>
      <c r="V4" s="23">
        <f>IF(V$3&lt;$I4,0,$G4*Assumptions!$E$11*INDEX(Assumptions!$B$24:$G$24,MIN(6,V$3-$I4+1))*IF(V$3&gt;$J4,(1-Assumptions!$B$26)^(V$3-$J4),1)*IF($H4&gt;=1,1,MIN(0.97,$H4*Assumptions!$E$12)))</f>
        <v>409.91249999999997</v>
      </c>
      <c r="W4" s="23">
        <f>IF(W$3&lt;$I4,0,$G4*Assumptions!$E$11*INDEX(Assumptions!$B$24:$G$24,MIN(6,W$3-$I4+1))*IF(W$3&gt;$J4,(1-Assumptions!$B$26)^(W$3-$J4),1)*IF($H4&gt;=1,1,MIN(0.97,$H4*Assumptions!$E$12)))</f>
        <v>482.24999999999994</v>
      </c>
      <c r="X4" s="23">
        <f>IF(X$3&lt;$I4,0,$G4*Assumptions!$E$11*INDEX(Assumptions!$B$24:$G$24,MIN(6,X$3-$I4+1))*IF(X$3&gt;$J4,(1-Assumptions!$B$26)^(X$3-$J4),1)*IF($H4&gt;=1,1,MIN(0.97,$H4*Assumptions!$E$12)))</f>
        <v>482.24999999999994</v>
      </c>
      <c r="Y4" s="23">
        <f>IF(Y$3&lt;$I4,0,$G4*Assumptions!$E$11*INDEX(Assumptions!$B$24:$G$24,MIN(6,Y$3-$I4+1))*IF(Y$3&gt;$J4,(1-Assumptions!$B$26)^(Y$3-$J4),1)*IF($H4&gt;=1,1,MIN(0.97,$H4*Assumptions!$E$12)))</f>
        <v>482.24999999999994</v>
      </c>
      <c r="Z4" s="23">
        <f>IF(Z$3&lt;$I4,0,$G4*Assumptions!$E$11*INDEX(Assumptions!$B$24:$G$24,MIN(6,Z$3-$I4+1))*IF(Z$3&gt;$J4,(1-Assumptions!$B$26)^(Z$3-$J4),1)*IF($H4&gt;=1,1,MIN(0.97,$H4*Assumptions!$E$12)))</f>
        <v>482.24999999999994</v>
      </c>
      <c r="AA4" s="23">
        <f>IF(AA$3&lt;$I4,0,$G4*Assumptions!$E$11*INDEX(Assumptions!$B$24:$G$24,MIN(6,AA$3-$I4+1))*IF(AA$3&gt;$J4,(1-Assumptions!$B$26)^(AA$3-$J4),1)*IF($H4&gt;=1,1,MIN(0.97,$H4*Assumptions!$E$12)))</f>
        <v>482.24999999999994</v>
      </c>
      <c r="AB4" s="23">
        <f>IF(AB$3&lt;$I4,0,$G4*Assumptions!$E$11*INDEX(Assumptions!$B$24:$G$24,MIN(6,AB$3-$I4+1))*IF(AB$3&gt;$J4,(1-Assumptions!$B$26)^(AB$3-$J4),1)*IF($H4&gt;=1,1,MIN(0.97,$H4*Assumptions!$E$12)))</f>
        <v>482.24999999999994</v>
      </c>
      <c r="AC4" s="23">
        <f>IF(AC$3&lt;$I4,0,$G4*Assumptions!$E$11*INDEX(Assumptions!$B$24:$G$24,MIN(6,AC$3-$I4+1))*IF(AC$3&gt;$J4,(1-Assumptions!$B$26)^(AC$3-$J4),1)*IF($H4&gt;=1,1,MIN(0.97,$H4*Assumptions!$E$12)))</f>
        <v>482.24999999999994</v>
      </c>
      <c r="AD4" s="23">
        <f>IF(AD$3&lt;$I4,0,$G4*Assumptions!$E$11*INDEX(Assumptions!$B$24:$G$24,MIN(6,AD$3-$I4+1))*IF(AD$3&gt;$J4,(1-Assumptions!$B$26)^(AD$3-$J4),1)*IF($H4&gt;=1,1,MIN(0.97,$H4*Assumptions!$E$12)))</f>
        <v>482.24999999999994</v>
      </c>
      <c r="AE4" s="23">
        <f>IF(AE$3&lt;$I4,0,$G4*Assumptions!$E$11*INDEX(Assumptions!$B$24:$G$24,MIN(6,AE$3-$I4+1))*IF(AE$3&gt;$J4,(1-Assumptions!$B$26)^(AE$3-$J4),1)*IF($H4&gt;=1,1,MIN(0.97,$H4*Assumptions!$E$12)))</f>
        <v>241.12499999999997</v>
      </c>
      <c r="AF4" s="23">
        <f>IF(AF$3&lt;$I4,0,$G4*Assumptions!$E$11*INDEX(Assumptions!$B$24:$G$24,MIN(6,AF$3-$I4+1))*IF(AF$3&gt;$J4,(1-Assumptions!$B$26)^(AF$3-$J4),1)*IF($H4&gt;=1,1,MIN(0.97,$H4*Assumptions!$E$12)))</f>
        <v>120.56249999999999</v>
      </c>
      <c r="AG4" s="35">
        <f>IF(F4="Owned",1-IF(H4&gt;=1,1,MIN(0.97,H4*Assumptions!$E$12)),1)</f>
        <v>0.8071</v>
      </c>
    </row>
    <row r="5">
      <c r="A5" s="39" t="n">
        <v>2</v>
      </c>
      <c r="B5" s="14" t="inlineStr">
        <is>
          <t>Hidradenitis / alopecia / vitiligo</t>
        </is>
      </c>
      <c r="C5" s="14" t="inlineStr">
        <is>
          <t>ORKA-002</t>
        </is>
      </c>
      <c r="D5" s="14" t="inlineStr">
        <is>
          <t>Phase 2</t>
        </is>
      </c>
      <c r="E5" s="14" t="inlineStr">
        <is>
          <t>Autoimmune / area</t>
        </is>
      </c>
      <c r="F5" s="14" t="inlineStr">
        <is>
          <t>Owned</t>
        </is>
      </c>
      <c r="G5" s="40" t="n">
        <v>1500</v>
      </c>
      <c r="H5" s="27" t="n">
        <v>0.1929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328.71403812758155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28.935</v>
      </c>
      <c r="S5" s="23">
        <f>IF(S$3&lt;$I5,0,$G5*Assumptions!$E$11*INDEX(Assumptions!$B$24:$G$24,MIN(6,S$3-$I5+1))*IF(S$3&gt;$J5,(1-Assumptions!$B$26)^(S$3-$J5),1)*IF($H5&gt;=1,1,MIN(0.97,$H5*Assumptions!$E$12)))</f>
        <v>72.33749999999999</v>
      </c>
      <c r="T5" s="23">
        <f>IF(T$3&lt;$I5,0,$G5*Assumptions!$E$11*INDEX(Assumptions!$B$24:$G$24,MIN(6,T$3-$I5+1))*IF(T$3&gt;$J5,(1-Assumptions!$B$26)^(T$3-$J5),1)*IF($H5&gt;=1,1,MIN(0.97,$H5*Assumptions!$E$12)))</f>
        <v>130.20749999999998</v>
      </c>
      <c r="U5" s="23">
        <f>IF(U$3&lt;$I5,0,$G5*Assumptions!$E$11*INDEX(Assumptions!$B$24:$G$24,MIN(6,U$3-$I5+1))*IF(U$3&gt;$J5,(1-Assumptions!$B$26)^(U$3-$J5),1)*IF($H5&gt;=1,1,MIN(0.97,$H5*Assumptions!$E$12)))</f>
        <v>188.0775</v>
      </c>
      <c r="V5" s="23">
        <f>IF(V$3&lt;$I5,0,$G5*Assumptions!$E$11*INDEX(Assumptions!$B$24:$G$24,MIN(6,V$3-$I5+1))*IF(V$3&gt;$J5,(1-Assumptions!$B$26)^(V$3-$J5),1)*IF($H5&gt;=1,1,MIN(0.97,$H5*Assumptions!$E$12)))</f>
        <v>245.9475</v>
      </c>
      <c r="W5" s="23">
        <f>IF(W$3&lt;$I5,0,$G5*Assumptions!$E$11*INDEX(Assumptions!$B$24:$G$24,MIN(6,W$3-$I5+1))*IF(W$3&gt;$J5,(1-Assumptions!$B$26)^(W$3-$J5),1)*IF($H5&gt;=1,1,MIN(0.97,$H5*Assumptions!$E$12)))</f>
        <v>289.34999999999997</v>
      </c>
      <c r="X5" s="23">
        <f>IF(X$3&lt;$I5,0,$G5*Assumptions!$E$11*INDEX(Assumptions!$B$24:$G$24,MIN(6,X$3-$I5+1))*IF(X$3&gt;$J5,(1-Assumptions!$B$26)^(X$3-$J5),1)*IF($H5&gt;=1,1,MIN(0.97,$H5*Assumptions!$E$12)))</f>
        <v>289.34999999999997</v>
      </c>
      <c r="Y5" s="23">
        <f>IF(Y$3&lt;$I5,0,$G5*Assumptions!$E$11*INDEX(Assumptions!$B$24:$G$24,MIN(6,Y$3-$I5+1))*IF(Y$3&gt;$J5,(1-Assumptions!$B$26)^(Y$3-$J5),1)*IF($H5&gt;=1,1,MIN(0.97,$H5*Assumptions!$E$12)))</f>
        <v>289.34999999999997</v>
      </c>
      <c r="Z5" s="23">
        <f>IF(Z$3&lt;$I5,0,$G5*Assumptions!$E$11*INDEX(Assumptions!$B$24:$G$24,MIN(6,Z$3-$I5+1))*IF(Z$3&gt;$J5,(1-Assumptions!$B$26)^(Z$3-$J5),1)*IF($H5&gt;=1,1,MIN(0.97,$H5*Assumptions!$E$12)))</f>
        <v>289.34999999999997</v>
      </c>
      <c r="AA5" s="23">
        <f>IF(AA$3&lt;$I5,0,$G5*Assumptions!$E$11*INDEX(Assumptions!$B$24:$G$24,MIN(6,AA$3-$I5+1))*IF(AA$3&gt;$J5,(1-Assumptions!$B$26)^(AA$3-$J5),1)*IF($H5&gt;=1,1,MIN(0.97,$H5*Assumptions!$E$12)))</f>
        <v>289.34999999999997</v>
      </c>
      <c r="AB5" s="23">
        <f>IF(AB$3&lt;$I5,0,$G5*Assumptions!$E$11*INDEX(Assumptions!$B$24:$G$24,MIN(6,AB$3-$I5+1))*IF(AB$3&gt;$J5,(1-Assumptions!$B$26)^(AB$3-$J5),1)*IF($H5&gt;=1,1,MIN(0.97,$H5*Assumptions!$E$12)))</f>
        <v>289.34999999999997</v>
      </c>
      <c r="AC5" s="23">
        <f>IF(AC$3&lt;$I5,0,$G5*Assumptions!$E$11*INDEX(Assumptions!$B$24:$G$24,MIN(6,AC$3-$I5+1))*IF(AC$3&gt;$J5,(1-Assumptions!$B$26)^(AC$3-$J5),1)*IF($H5&gt;=1,1,MIN(0.97,$H5*Assumptions!$E$12)))</f>
        <v>289.34999999999997</v>
      </c>
      <c r="AD5" s="23">
        <f>IF(AD$3&lt;$I5,0,$G5*Assumptions!$E$11*INDEX(Assumptions!$B$24:$G$24,MIN(6,AD$3-$I5+1))*IF(AD$3&gt;$J5,(1-Assumptions!$B$26)^(AD$3-$J5),1)*IF($H5&gt;=1,1,MIN(0.97,$H5*Assumptions!$E$12)))</f>
        <v>289.34999999999997</v>
      </c>
      <c r="AE5" s="23">
        <f>IF(AE$3&lt;$I5,0,$G5*Assumptions!$E$11*INDEX(Assumptions!$B$24:$G$24,MIN(6,AE$3-$I5+1))*IF(AE$3&gt;$J5,(1-Assumptions!$B$26)^(AE$3-$J5),1)*IF($H5&gt;=1,1,MIN(0.97,$H5*Assumptions!$E$12)))</f>
        <v>144.67499999999998</v>
      </c>
      <c r="AF5" s="23">
        <f>IF(AF$3&lt;$I5,0,$G5*Assumptions!$E$11*INDEX(Assumptions!$B$24:$G$24,MIN(6,AF$3-$I5+1))*IF(AF$3&gt;$J5,(1-Assumptions!$B$26)^(AF$3-$J5),1)*IF($H5&gt;=1,1,MIN(0.97,$H5*Assumptions!$E$12)))</f>
        <v>72.33749999999999</v>
      </c>
      <c r="AG5" s="35">
        <f>IF(F5="Owned",1-IF(H5&gt;=1,1,MIN(0.97,H5*Assumptions!$E$12)),1)</f>
        <v>0.8071</v>
      </c>
    </row>
    <row r="6">
      <c r="B6" s="24" t="inlineStr">
        <is>
          <t>Risked revenue</t>
        </is>
      </c>
      <c r="L6" s="54">
        <f>SUM(L4:L5)</f>
        <v>876.5707683402175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77.16</v>
      </c>
      <c r="S6" s="54">
        <f>SUM(S4:S5)</f>
        <v>192.89999999999998</v>
      </c>
      <c r="T6" s="54">
        <f>SUM(T4:T5)</f>
        <v>347.21999999999997</v>
      </c>
      <c r="U6" s="54">
        <f>SUM(U4:U5)</f>
        <v>501.53999999999996</v>
      </c>
      <c r="V6" s="54">
        <f>SUM(V4:V5)</f>
        <v>655.8599999999999</v>
      </c>
      <c r="W6" s="54">
        <f>SUM(W4:W5)</f>
        <v>771.5999999999999</v>
      </c>
      <c r="X6" s="54">
        <f>SUM(X4:X5)</f>
        <v>771.5999999999999</v>
      </c>
      <c r="Y6" s="54">
        <f>SUM(Y4:Y5)</f>
        <v>771.5999999999999</v>
      </c>
      <c r="Z6" s="54">
        <f>SUM(Z4:Z5)</f>
        <v>771.5999999999999</v>
      </c>
      <c r="AA6" s="54">
        <f>SUM(AA4:AA5)</f>
        <v>771.5999999999999</v>
      </c>
      <c r="AB6" s="54">
        <f>SUM(AB4:AB5)</f>
        <v>771.5999999999999</v>
      </c>
      <c r="AC6" s="54">
        <f>SUM(AC4:AC5)</f>
        <v>771.5999999999999</v>
      </c>
      <c r="AD6" s="54">
        <f>SUM(AD4:AD5)</f>
        <v>771.5999999999999</v>
      </c>
      <c r="AE6" s="54">
        <f>SUM(AE4:AE5)</f>
        <v>385.79999999999995</v>
      </c>
      <c r="AF6" s="54">
        <f>SUM(AF4:AF5)</f>
        <v>192.89999999999998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30.863999999999997</v>
      </c>
      <c r="S7" s="55">
        <f>SUMPRODUCT(S4:S5,$K$4:$K$5)</f>
        <v>77.16</v>
      </c>
      <c r="T7" s="55">
        <f>SUMPRODUCT(T4:T5,$K$4:$K$5)</f>
        <v>138.888</v>
      </c>
      <c r="U7" s="55">
        <f>SUMPRODUCT(U4:U5,$K$4:$K$5)</f>
        <v>200.61599999999999</v>
      </c>
      <c r="V7" s="55">
        <f>SUMPRODUCT(V4:V5,$K$4:$K$5)</f>
        <v>262.344</v>
      </c>
      <c r="W7" s="55">
        <f>SUMPRODUCT(W4:W5,$K$4:$K$5)</f>
        <v>308.64</v>
      </c>
      <c r="X7" s="55">
        <f>SUMPRODUCT(X4:X5,$K$4:$K$5)</f>
        <v>308.64</v>
      </c>
      <c r="Y7" s="55">
        <f>SUMPRODUCT(Y4:Y5,$K$4:$K$5)</f>
        <v>308.64</v>
      </c>
      <c r="Z7" s="55">
        <f>SUMPRODUCT(Z4:Z5,$K$4:$K$5)</f>
        <v>308.64</v>
      </c>
      <c r="AA7" s="55">
        <f>SUMPRODUCT(AA4:AA5,$K$4:$K$5)</f>
        <v>308.64</v>
      </c>
      <c r="AB7" s="55">
        <f>SUMPRODUCT(AB4:AB5,$K$4:$K$5)</f>
        <v>308.64</v>
      </c>
      <c r="AC7" s="55">
        <f>SUMPRODUCT(AC4:AC5,$K$4:$K$5)</f>
        <v>308.64</v>
      </c>
      <c r="AD7" s="55">
        <f>SUMPRODUCT(AD4:AD5,$K$4:$K$5)</f>
        <v>308.64</v>
      </c>
      <c r="AE7" s="55">
        <f>SUMPRODUCT(AE4:AE5,$K$4:$K$5)</f>
        <v>154.32</v>
      </c>
      <c r="AF7" s="55">
        <f>SUMPRODUCT(AF4:AF5,$K$4:$K$5)</f>
        <v>77.16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Oruka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77.16</v>
      </c>
      <c r="I4" s="57">
        <f>Pipeline!S6</f>
        <v>192.89999999999998</v>
      </c>
      <c r="J4" s="57">
        <f>Pipeline!T6</f>
        <v>347.21999999999997</v>
      </c>
      <c r="K4" s="57">
        <f>Pipeline!U6</f>
        <v>501.53999999999996</v>
      </c>
      <c r="L4" s="57">
        <f>Pipeline!V6</f>
        <v>655.8599999999999</v>
      </c>
      <c r="M4" s="57">
        <f>Pipeline!W6</f>
        <v>771.5999999999999</v>
      </c>
      <c r="N4" s="57">
        <f>Pipeline!X6</f>
        <v>771.5999999999999</v>
      </c>
      <c r="O4" s="57">
        <f>Pipeline!Y6</f>
        <v>771.5999999999999</v>
      </c>
      <c r="P4" s="57">
        <f>Pipeline!Z6</f>
        <v>771.5999999999999</v>
      </c>
      <c r="Q4" s="57">
        <f>Pipeline!AA6</f>
        <v>771.5999999999999</v>
      </c>
      <c r="R4" s="57">
        <f>Pipeline!AB6</f>
        <v>771.5999999999999</v>
      </c>
      <c r="S4" s="57">
        <f>Pipeline!AC6</f>
        <v>771.5999999999999</v>
      </c>
      <c r="T4" s="57">
        <f>Pipeline!AD6</f>
        <v>771.5999999999999</v>
      </c>
      <c r="U4" s="57">
        <f>Pipeline!AE6</f>
        <v>385.79999999999995</v>
      </c>
      <c r="V4" s="57">
        <f>Pipeline!AF6</f>
        <v>192.89999999999998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30.863999999999997</v>
      </c>
      <c r="I5" s="57">
        <f>Pipeline!S7</f>
        <v>77.16</v>
      </c>
      <c r="J5" s="57">
        <f>Pipeline!T7</f>
        <v>138.888</v>
      </c>
      <c r="K5" s="57">
        <f>Pipeline!U7</f>
        <v>200.61599999999999</v>
      </c>
      <c r="L5" s="57">
        <f>Pipeline!V7</f>
        <v>262.344</v>
      </c>
      <c r="M5" s="57">
        <f>Pipeline!W7</f>
        <v>308.64</v>
      </c>
      <c r="N5" s="57">
        <f>Pipeline!X7</f>
        <v>308.64</v>
      </c>
      <c r="O5" s="57">
        <f>Pipeline!Y7</f>
        <v>308.64</v>
      </c>
      <c r="P5" s="57">
        <f>Pipeline!Z7</f>
        <v>308.64</v>
      </c>
      <c r="Q5" s="57">
        <f>Pipeline!AA7</f>
        <v>308.64</v>
      </c>
      <c r="R5" s="57">
        <f>Pipeline!AB7</f>
        <v>308.64</v>
      </c>
      <c r="S5" s="57">
        <f>Pipeline!AC7</f>
        <v>308.64</v>
      </c>
      <c r="T5" s="57">
        <f>Pipeline!AD7</f>
        <v>308.64</v>
      </c>
      <c r="U5" s="57">
        <f>Pipeline!AE7</f>
        <v>154.32</v>
      </c>
      <c r="V5" s="57">
        <f>Pipeline!AF7</f>
        <v>77.16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-155.077</v>
      </c>
      <c r="D6" s="23">
        <f>-IF(D3-2026&lt;Assumptions!$B$19,Assumptions!$B$18,Assumptions!$B$18*Assumptions!$B$20*Assumptions!$B$16)</f>
        <v>-155.077</v>
      </c>
      <c r="E6" s="23">
        <f>-IF(E3-2026&lt;Assumptions!$B$19,Assumptions!$B$18,Assumptions!$B$18*Assumptions!$B$20*Assumptions!$B$16)</f>
        <v>-155.077</v>
      </c>
      <c r="F6" s="23">
        <f>-IF(F3-2026&lt;Assumptions!$B$19,Assumptions!$B$18,Assumptions!$B$18*Assumptions!$B$20*Assumptions!$B$16)</f>
        <v>-155.077</v>
      </c>
      <c r="G6" s="23">
        <f>-IF(G3-2026&lt;Assumptions!$B$19,Assumptions!$B$18,Assumptions!$B$18*Assumptions!$B$20*Assumptions!$B$16)</f>
        <v>-16.217468354528997</v>
      </c>
      <c r="H6" s="23">
        <f>-IF(H3-2026&lt;Assumptions!$B$19,Assumptions!$B$18,Assumptions!$B$18*Assumptions!$B$20*Assumptions!$B$16)</f>
        <v>-16.217468354528997</v>
      </c>
      <c r="I6" s="23">
        <f>-IF(I3-2026&lt;Assumptions!$B$19,Assumptions!$B$18,Assumptions!$B$18*Assumptions!$B$20*Assumptions!$B$16)</f>
        <v>-16.217468354528997</v>
      </c>
      <c r="J6" s="23">
        <f>-IF(J3-2026&lt;Assumptions!$B$19,Assumptions!$B$18,Assumptions!$B$18*Assumptions!$B$20*Assumptions!$B$16)</f>
        <v>-16.217468354528997</v>
      </c>
      <c r="K6" s="23">
        <f>-IF(K3-2026&lt;Assumptions!$B$19,Assumptions!$B$18,Assumptions!$B$18*Assumptions!$B$20*Assumptions!$B$16)</f>
        <v>-16.217468354528997</v>
      </c>
      <c r="L6" s="23">
        <f>-IF(L3-2026&lt;Assumptions!$B$19,Assumptions!$B$18,Assumptions!$B$18*Assumptions!$B$20*Assumptions!$B$16)</f>
        <v>-16.217468354528997</v>
      </c>
      <c r="M6" s="23">
        <f>-IF(M3-2026&lt;Assumptions!$B$19,Assumptions!$B$18,Assumptions!$B$18*Assumptions!$B$20*Assumptions!$B$16)</f>
        <v>-16.217468354528997</v>
      </c>
      <c r="N6" s="23">
        <f>-IF(N3-2026&lt;Assumptions!$B$19,Assumptions!$B$18,Assumptions!$B$18*Assumptions!$B$20*Assumptions!$B$16)</f>
        <v>-16.217468354528997</v>
      </c>
      <c r="O6" s="23">
        <f>-IF(O3-2026&lt;Assumptions!$B$19,Assumptions!$B$18,Assumptions!$B$18*Assumptions!$B$20*Assumptions!$B$16)</f>
        <v>-16.217468354528997</v>
      </c>
      <c r="P6" s="23">
        <f>-IF(P3-2026&lt;Assumptions!$B$19,Assumptions!$B$18,Assumptions!$B$18*Assumptions!$B$20*Assumptions!$B$16)</f>
        <v>-16.217468354528997</v>
      </c>
      <c r="Q6" s="23">
        <f>-IF(Q3-2026&lt;Assumptions!$B$19,Assumptions!$B$18,Assumptions!$B$18*Assumptions!$B$20*Assumptions!$B$16)</f>
        <v>-16.217468354528997</v>
      </c>
      <c r="R6" s="23">
        <f>-IF(R3-2026&lt;Assumptions!$B$19,Assumptions!$B$18,Assumptions!$B$18*Assumptions!$B$20*Assumptions!$B$16)</f>
        <v>-16.217468354528997</v>
      </c>
      <c r="S6" s="23">
        <f>-IF(S3-2026&lt;Assumptions!$B$19,Assumptions!$B$18,Assumptions!$B$18*Assumptions!$B$20*Assumptions!$B$16)</f>
        <v>-16.217468354528997</v>
      </c>
      <c r="T6" s="23">
        <f>-IF(T3-2026&lt;Assumptions!$B$19,Assumptions!$B$18,Assumptions!$B$18*Assumptions!$B$20*Assumptions!$B$16)</f>
        <v>-16.217468354528997</v>
      </c>
      <c r="U6" s="23">
        <f>-IF(U3-2026&lt;Assumptions!$B$19,Assumptions!$B$18,Assumptions!$B$18*Assumptions!$B$20*Assumptions!$B$16)</f>
        <v>-16.217468354528997</v>
      </c>
      <c r="V6" s="23">
        <f>-IF(V3-2026&lt;Assumptions!$B$19,Assumptions!$B$18,Assumptions!$B$18*Assumptions!$B$20*Assumptions!$B$16)</f>
        <v>-16.217468354528997</v>
      </c>
    </row>
    <row r="7">
      <c r="A7" s="14" t="inlineStr">
        <is>
          <t>Pre-tax cash flow</t>
        </is>
      </c>
      <c r="C7" s="23">
        <f>C5+C6</f>
        <v>-155.077</v>
      </c>
      <c r="D7" s="23">
        <f>D5+D6</f>
        <v>-155.077</v>
      </c>
      <c r="E7" s="23">
        <f>E5+E6</f>
        <v>-155.077</v>
      </c>
      <c r="F7" s="23">
        <f>F5+F6</f>
        <v>-155.077</v>
      </c>
      <c r="G7" s="23">
        <f>G5+G6</f>
        <v>-16.217468354528997</v>
      </c>
      <c r="H7" s="23">
        <f>H5+H6</f>
        <v>14.646531645471</v>
      </c>
      <c r="I7" s="23">
        <f>I5+I6</f>
        <v>60.942531645471</v>
      </c>
      <c r="J7" s="23">
        <f>J5+J6</f>
        <v>122.67053164547102</v>
      </c>
      <c r="K7" s="23">
        <f>K5+K6</f>
        <v>184.398531645471</v>
      </c>
      <c r="L7" s="23">
        <f>L5+L6</f>
        <v>246.126531645471</v>
      </c>
      <c r="M7" s="23">
        <f>M5+M6</f>
        <v>292.422531645471</v>
      </c>
      <c r="N7" s="23">
        <f>N5+N6</f>
        <v>292.422531645471</v>
      </c>
      <c r="O7" s="23">
        <f>O5+O6</f>
        <v>292.422531645471</v>
      </c>
      <c r="P7" s="23">
        <f>P5+P6</f>
        <v>292.422531645471</v>
      </c>
      <c r="Q7" s="23">
        <f>Q5+Q6</f>
        <v>292.422531645471</v>
      </c>
      <c r="R7" s="23">
        <f>R5+R6</f>
        <v>292.422531645471</v>
      </c>
      <c r="S7" s="23">
        <f>S5+S6</f>
        <v>292.422531645471</v>
      </c>
      <c r="T7" s="23">
        <f>T5+T6</f>
        <v>292.422531645471</v>
      </c>
      <c r="U7" s="23">
        <f>U5+U6</f>
        <v>138.102531645471</v>
      </c>
      <c r="V7" s="23">
        <f>V5+V6</f>
        <v>60.942531645471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14.646531645471</v>
      </c>
      <c r="I8" s="23">
        <f>MIN(H17,MAX(0,I7))</f>
        <v>60.942531645471</v>
      </c>
      <c r="J8" s="23">
        <f>MIN(I17,MAX(0,J7))</f>
        <v>122.67053164547102</v>
      </c>
      <c r="K8" s="23">
        <f>MIN(J17,MAX(0,K7))</f>
        <v>184.398531645471</v>
      </c>
      <c r="L8" s="23">
        <f>MIN(K17,MAX(0,L7))</f>
        <v>246.126531645471</v>
      </c>
      <c r="M8" s="23">
        <f>MIN(L17,MAX(0,M7))</f>
        <v>292.422531645471</v>
      </c>
      <c r="N8" s="23">
        <f>MIN(M17,MAX(0,N7))</f>
        <v>93.11827848170293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199.30425316376807</v>
      </c>
      <c r="O9" s="23">
        <f>MAX(0,O7)-O8</f>
        <v>292.422531645471</v>
      </c>
      <c r="P9" s="23">
        <f>MAX(0,P7)-P8</f>
        <v>292.422531645471</v>
      </c>
      <c r="Q9" s="23">
        <f>MAX(0,Q7)-Q8</f>
        <v>292.422531645471</v>
      </c>
      <c r="R9" s="23">
        <f>MAX(0,R7)-R8</f>
        <v>292.422531645471</v>
      </c>
      <c r="S9" s="23">
        <f>MAX(0,S7)-S8</f>
        <v>292.422531645471</v>
      </c>
      <c r="T9" s="23">
        <f>MAX(0,T7)-T8</f>
        <v>292.422531645471</v>
      </c>
      <c r="U9" s="23">
        <f>MAX(0,U7)-U8</f>
        <v>138.102531645471</v>
      </c>
      <c r="V9" s="23">
        <f>MAX(0,V7)-V8</f>
        <v>60.942531645471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41.853893164391295</v>
      </c>
      <c r="O10" s="23">
        <f>O9*Assumptions!$E$15</f>
        <v>61.408731645548905</v>
      </c>
      <c r="P10" s="23">
        <f>P9*Assumptions!$E$15</f>
        <v>61.408731645548905</v>
      </c>
      <c r="Q10" s="23">
        <f>Q9*Assumptions!$E$15</f>
        <v>61.408731645548905</v>
      </c>
      <c r="R10" s="23">
        <f>R9*Assumptions!$E$15</f>
        <v>61.408731645548905</v>
      </c>
      <c r="S10" s="23">
        <f>S9*Assumptions!$E$15</f>
        <v>61.408731645548905</v>
      </c>
      <c r="T10" s="23">
        <f>T9*Assumptions!$E$15</f>
        <v>61.408731645548905</v>
      </c>
      <c r="U10" s="23">
        <f>U9*Assumptions!$E$15</f>
        <v>29.00153164554891</v>
      </c>
      <c r="V10" s="23">
        <f>V9*Assumptions!$E$15</f>
        <v>12.797931645548909</v>
      </c>
    </row>
    <row r="11">
      <c r="A11" s="24" t="inlineStr">
        <is>
          <t>Free cash flow</t>
        </is>
      </c>
      <c r="C11" s="55">
        <f>C7-C10</f>
        <v>-155.077</v>
      </c>
      <c r="D11" s="55">
        <f>D7-D10</f>
        <v>-155.077</v>
      </c>
      <c r="E11" s="55">
        <f>E7-E10</f>
        <v>-155.077</v>
      </c>
      <c r="F11" s="55">
        <f>F7-F10</f>
        <v>-155.077</v>
      </c>
      <c r="G11" s="55">
        <f>G7-G10</f>
        <v>-16.217468354528997</v>
      </c>
      <c r="H11" s="55">
        <f>H7-H10</f>
        <v>14.646531645471</v>
      </c>
      <c r="I11" s="55">
        <f>I7-I10</f>
        <v>60.942531645471</v>
      </c>
      <c r="J11" s="55">
        <f>J7-J10</f>
        <v>122.67053164547102</v>
      </c>
      <c r="K11" s="55">
        <f>K7-K10</f>
        <v>184.398531645471</v>
      </c>
      <c r="L11" s="55">
        <f>L7-L10</f>
        <v>246.126531645471</v>
      </c>
      <c r="M11" s="55">
        <f>M7-M10</f>
        <v>292.422531645471</v>
      </c>
      <c r="N11" s="55">
        <f>N7-N10</f>
        <v>250.5686384810797</v>
      </c>
      <c r="O11" s="55">
        <f>O7-O10</f>
        <v>231.0137999999221</v>
      </c>
      <c r="P11" s="55">
        <f>P7-P10</f>
        <v>231.0137999999221</v>
      </c>
      <c r="Q11" s="55">
        <f>Q7-Q10</f>
        <v>231.0137999999221</v>
      </c>
      <c r="R11" s="55">
        <f>R7-R10</f>
        <v>231.0137999999221</v>
      </c>
      <c r="S11" s="55">
        <f>S7-S10</f>
        <v>231.0137999999221</v>
      </c>
      <c r="T11" s="55">
        <f>T7-T10</f>
        <v>231.0137999999221</v>
      </c>
      <c r="U11" s="55">
        <f>U7-U10</f>
        <v>109.1009999999221</v>
      </c>
      <c r="V11" s="55">
        <f>V7-V10</f>
        <v>48.14459999992209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-75.97289673214662</v>
      </c>
      <c r="D16" s="55">
        <f>D11*D15</f>
        <v>-138.39728623249073</v>
      </c>
      <c r="E16" s="55">
        <f>E11*E15</f>
        <v>-123.56900556472382</v>
      </c>
      <c r="F16" s="55">
        <f>F11*F15</f>
        <v>-110.3294692542177</v>
      </c>
      <c r="G16" s="55">
        <f>G11*G15</f>
        <v>-10.301706549708573</v>
      </c>
      <c r="H16" s="55">
        <f>H11*H15</f>
        <v>8.306974685974378</v>
      </c>
      <c r="I16" s="55">
        <f>I11*I15</f>
        <v>30.861040294396616</v>
      </c>
      <c r="J16" s="55">
        <f>J11*J15</f>
        <v>55.464141465819516</v>
      </c>
      <c r="K16" s="55">
        <f>K11*K15</f>
        <v>74.44087738284362</v>
      </c>
      <c r="L16" s="55">
        <f>L11*L15</f>
        <v>88.71446418347436</v>
      </c>
      <c r="M16" s="55">
        <f>M11*M15</f>
        <v>94.1084915198318</v>
      </c>
      <c r="N16" s="55">
        <f>N11*N15</f>
        <v>71.9990340474092</v>
      </c>
      <c r="O16" s="55">
        <f>O11*O15</f>
        <v>59.26794347948589</v>
      </c>
      <c r="P16" s="55">
        <f>P11*P15</f>
        <v>52.9178066781124</v>
      </c>
      <c r="Q16" s="55">
        <f>Q11*Q15</f>
        <v>47.24804167688607</v>
      </c>
      <c r="R16" s="55">
        <f>R11*R15</f>
        <v>42.185751497219705</v>
      </c>
      <c r="S16" s="55">
        <f>S11*S15</f>
        <v>37.66584955108902</v>
      </c>
      <c r="T16" s="55">
        <f>T11*T15</f>
        <v>33.630222813472336</v>
      </c>
      <c r="U16" s="55">
        <f>U11*U15</f>
        <v>14.180858688231975</v>
      </c>
      <c r="V16" s="55">
        <f>V11*V15</f>
        <v>5.587317593665141</v>
      </c>
    </row>
    <row r="17">
      <c r="A17" s="14" t="inlineStr">
        <is>
          <t>Tax-loss carryforward, end of year</t>
        </is>
      </c>
      <c r="C17" s="23">
        <f>Assumptions!$B$21-C8+MAX(0,-C7)</f>
        <v>532.877</v>
      </c>
      <c r="D17" s="23">
        <f>C17-D8+MAX(0,-D7)</f>
        <v>687.954</v>
      </c>
      <c r="E17" s="23">
        <f>D17-E8+MAX(0,-E7)</f>
        <v>843.031</v>
      </c>
      <c r="F17" s="23">
        <f>E17-F8+MAX(0,-F7)</f>
        <v>998.108</v>
      </c>
      <c r="G17" s="23">
        <f>F17-G8+MAX(0,-G7)</f>
        <v>1014.325468354529</v>
      </c>
      <c r="H17" s="23">
        <f>G17-H8+MAX(0,-H7)</f>
        <v>999.678936709058</v>
      </c>
      <c r="I17" s="23">
        <f>H17-I8+MAX(0,-I7)</f>
        <v>938.736405063587</v>
      </c>
      <c r="J17" s="23">
        <f>I17-J8+MAX(0,-J7)</f>
        <v>816.065873418116</v>
      </c>
      <c r="K17" s="23">
        <f>J17-K8+MAX(0,-K7)</f>
        <v>631.6673417726449</v>
      </c>
      <c r="L17" s="23">
        <f>K17-L8+MAX(0,-L7)</f>
        <v>385.5408101271739</v>
      </c>
      <c r="M17" s="23">
        <f>L17-M8+MAX(0,-M7)</f>
        <v>93.11827848170293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876.5707683402176</v>
      </c>
    </row>
    <row r="20">
      <c r="A20" s="14" t="inlineStr">
        <is>
          <t>PV of corporate burn</t>
        </is>
      </c>
      <c r="B20" s="23">
        <f>SUMPRODUCT(C6:V6,C15:V15)</f>
        <v>-528.7338916535865</v>
      </c>
    </row>
    <row r="21">
      <c r="A21" s="14" t="inlineStr">
        <is>
          <t>PV of taxes</t>
        </is>
      </c>
      <c r="B21" s="23">
        <f>-SUMPRODUCT(C10:V10,C15:V15)</f>
        <v>-89.82842546200641</v>
      </c>
    </row>
    <row r="22">
      <c r="A22" s="24" t="inlineStr">
        <is>
          <t>Pipeline rNPV (operations)</t>
        </is>
      </c>
      <c r="B22" s="54">
        <f>SUM(C16:V16)</f>
        <v>258.00845122462454</v>
      </c>
    </row>
    <row r="23">
      <c r="A23" s="14" t="inlineStr">
        <is>
          <t>Cash &amp; investments</t>
        </is>
      </c>
      <c r="B23" s="57">
        <f>Main!C7</f>
        <v>873.5640000000001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1131.5724512246247</v>
      </c>
    </row>
    <row r="26">
      <c r="A26" s="14" t="inlineStr">
        <is>
          <t>Shares (mm)</t>
        </is>
      </c>
      <c r="B26" s="57">
        <f>Main!C4</f>
        <v>66.209699</v>
      </c>
    </row>
    <row r="27">
      <c r="A27" s="24" t="inlineStr">
        <is>
          <t>rNPV / share</t>
        </is>
      </c>
      <c r="B27" s="60">
        <f>B25/B26</f>
        <v>17.090735471016487</v>
      </c>
    </row>
    <row r="28">
      <c r="A28" s="14" t="inlineStr">
        <is>
          <t>Price</t>
        </is>
      </c>
      <c r="B28" s="61">
        <f>Main!C3</f>
        <v>79.09</v>
      </c>
    </row>
    <row r="29">
      <c r="A29" s="14" t="inlineStr">
        <is>
          <t>Upside</t>
        </is>
      </c>
      <c r="B29" s="62">
        <f>B27/B28-1</f>
        <v>-0.7839077573521749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2026-10-21T06:21:45Z</dcterms:modified>
  <cp:lastModifiedBy>Wang, Eric</cp:lastModifiedBy>
</cp:coreProperties>
</file>