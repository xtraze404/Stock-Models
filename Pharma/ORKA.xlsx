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Oruka Therapeutics Inc</t>
        </is>
      </c>
      <c r="C2" s="10" t="n"/>
    </row>
    <row r="3">
      <c r="B3" t="inlineStr">
        <is>
          <t>Price</t>
        </is>
      </c>
      <c r="C3" s="11">
        <f>INDEX([1]Pharma!$F$1:$F$1000,MATCH("ORKA",[1]Pharma!$B$1:$B$1000,0))</f>
        <v>79.09</v>
      </c>
      <c r="F3" s="1" t="n"/>
    </row>
    <row r="4">
      <c r="B4" t="inlineStr">
        <is>
          <t>Shares</t>
        </is>
      </c>
      <c r="C4" s="21" t="n">
        <v>66.209699</v>
      </c>
      <c r="F4" s="1" t="n"/>
    </row>
    <row r="5">
      <c r="B5" t="inlineStr">
        <is>
          <t>Market Cap.</t>
        </is>
      </c>
      <c r="C5" s="13">
        <f>C3*C4</f>
        <v>5236.525093910001</v>
      </c>
      <c r="F5" s="1" t="n"/>
    </row>
    <row r="6"/>
    <row r="7">
      <c r="B7" t="inlineStr">
        <is>
          <t>Cash</t>
        </is>
      </c>
      <c r="C7" s="21">
        <f>268.47+605.094</f>
        <v>873.5640000000001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4362.96109391</v>
      </c>
    </row>
    <row r="10"/>
    <row r="11">
      <c r="B11" s="14" t="inlineStr">
        <is>
          <t>Net Cash / Share</t>
        </is>
      </c>
      <c r="C11" s="11">
        <f>(C7-C8)/C4</f>
        <v>13.193897770174127</v>
      </c>
    </row>
    <row r="12">
      <c r="B12" s="14" t="inlineStr">
        <is>
          <t>Upside</t>
        </is>
      </c>
      <c r="C12" s="15">
        <f>IFERROR(C11/C3-1,"")</f>
        <v>-0.8331786854194698</v>
      </c>
    </row>
    <row r="13">
      <c r="B13" s="14" t="inlineStr">
        <is>
          <t>Cash / Share</t>
        </is>
      </c>
      <c r="C13" s="11">
        <f>IFERROR((C7-C8)/C4,"")</f>
        <v>13.193897770174127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-100.919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8.656090528047248</v>
      </c>
    </row>
    <row r="19">
      <c r="B19" s="14" t="inlineStr">
        <is>
          <t>Implied Pipeline Value</t>
        </is>
      </c>
      <c r="C19" s="13">
        <f>C9</f>
        <v>4362.96109391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2004</v>
      </c>
      <c r="C1" s="17" t="n">
        <v>2005</v>
      </c>
      <c r="D1" s="17" t="n">
        <v>2006</v>
      </c>
      <c r="E1" s="17" t="n">
        <v>2007</v>
      </c>
      <c r="F1" s="17" t="n">
        <v>2008</v>
      </c>
      <c r="G1" s="17" t="n">
        <v>2009</v>
      </c>
      <c r="H1" s="17" t="n">
        <v>2010</v>
      </c>
      <c r="I1" s="17" t="n">
        <v>2011</v>
      </c>
      <c r="J1" s="17" t="n">
        <v>2012</v>
      </c>
      <c r="K1" s="17" t="n">
        <v>2013</v>
      </c>
      <c r="L1" s="17" t="n">
        <v>2014</v>
      </c>
      <c r="M1" s="17" t="n">
        <v>2015</v>
      </c>
      <c r="N1" s="17" t="n">
        <v>2016</v>
      </c>
      <c r="O1" s="17" t="n">
        <v>2017</v>
      </c>
      <c r="P1" s="17" t="n">
        <v>2018</v>
      </c>
      <c r="Q1" s="17" t="n">
        <v>2019</v>
      </c>
      <c r="R1" s="17" t="n">
        <v>2020</v>
      </c>
      <c r="S1" s="17" t="n">
        <v>2021</v>
      </c>
      <c r="T1" s="17" t="n">
        <v>2022</v>
      </c>
      <c r="U1" s="17" t="n">
        <v>2023</v>
      </c>
      <c r="V1" s="17" t="n">
        <v>2024</v>
      </c>
      <c r="W1" s="17" t="n">
        <v>2025</v>
      </c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  <c r="V4" s="23">
        <f>V2-V3</f>
        <v>0.0</v>
      </c>
      <c r="W4" s="23">
        <f>W2-W3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3.106</v>
      </c>
      <c r="I5" s="23" t="n">
        <v>2.315</v>
      </c>
      <c r="J5" s="23" t="n">
        <v>1.092</v>
      </c>
      <c r="K5" s="23" t="n">
        <v>2.928</v>
      </c>
      <c r="L5" s="23" t="n">
        <v>5.625</v>
      </c>
      <c r="M5" s="23" t="n">
        <v>7.063</v>
      </c>
      <c r="N5" s="23" t="n">
        <v>12.348</v>
      </c>
      <c r="O5" s="23" t="n">
        <v>14.076</v>
      </c>
      <c r="P5" s="23" t="n">
        <v>4.239</v>
      </c>
      <c r="Q5" s="23" t="n">
        <v>1.833</v>
      </c>
      <c r="R5" s="23" t="n">
        <v>4.992</v>
      </c>
      <c r="S5" s="23" t="n">
        <v>13.832</v>
      </c>
      <c r="T5" s="23" t="n">
        <v>4.749</v>
      </c>
      <c r="U5" s="23" t="n">
        <v>1.013</v>
      </c>
      <c r="V5" s="23" t="n">
        <v>0</v>
      </c>
      <c r="W5" s="23" t="n">
        <v>100.64</v>
      </c>
    </row>
    <row r="6">
      <c r="A6" s="19" t="inlineStr">
        <is>
          <t>SG&amp;A &amp; Other</t>
        </is>
      </c>
      <c r="B6" s="23" t="n">
        <v>0.511</v>
      </c>
      <c r="C6" s="23" t="n">
        <v>1.459</v>
      </c>
      <c r="D6" s="23" t="n">
        <v>5.241</v>
      </c>
      <c r="E6" s="23" t="n">
        <v>13.994</v>
      </c>
      <c r="F6" s="23" t="n">
        <v>19.431</v>
      </c>
      <c r="G6" s="23" t="n">
        <v>9.138</v>
      </c>
      <c r="H6" s="23" t="n">
        <v>6.069</v>
      </c>
      <c r="I6" s="23" t="n">
        <v>5.046</v>
      </c>
      <c r="J6" s="23" t="n">
        <v>3.227</v>
      </c>
      <c r="K6" s="23" t="n">
        <v>4.012</v>
      </c>
      <c r="L6" s="23" t="n">
        <v>4.068</v>
      </c>
      <c r="M6" s="23" t="n">
        <v>4.392</v>
      </c>
      <c r="N6" s="23" t="n">
        <v>4.265</v>
      </c>
      <c r="O6" s="23" t="n">
        <v>4.636</v>
      </c>
      <c r="P6" s="23" t="n">
        <v>3.879</v>
      </c>
      <c r="Q6" s="23" t="n">
        <v>3.981</v>
      </c>
      <c r="R6" s="23" t="n">
        <v>4.774</v>
      </c>
      <c r="S6" s="23" t="n">
        <v>5.503</v>
      </c>
      <c r="T6" s="23" t="n">
        <v>5.847</v>
      </c>
      <c r="U6" s="23" t="n">
        <v>6.283</v>
      </c>
      <c r="V6" s="23" t="n">
        <v>83.724</v>
      </c>
      <c r="W6" s="23" t="n">
        <v>21.411</v>
      </c>
    </row>
    <row r="7">
      <c r="A7" s="2" t="inlineStr">
        <is>
          <t>Operating Expense</t>
        </is>
      </c>
      <c r="B7" s="23">
        <f>SUM(B5:B6)</f>
        <v>0.511</v>
      </c>
      <c r="C7" s="23">
        <f>SUM(C5:C6)</f>
        <v>1.459</v>
      </c>
      <c r="D7" s="23">
        <f>SUM(D5:D6)</f>
        <v>5.241</v>
      </c>
      <c r="E7" s="23">
        <f>SUM(E5:E6)</f>
        <v>13.994</v>
      </c>
      <c r="F7" s="23">
        <f>SUM(F5:F6)</f>
        <v>19.431</v>
      </c>
      <c r="G7" s="23">
        <f>SUM(G5:G6)</f>
        <v>9.138</v>
      </c>
      <c r="H7" s="23">
        <f>SUM(H5:H6)</f>
        <v>9.175</v>
      </c>
      <c r="I7" s="23">
        <f>SUM(I5:I6)</f>
        <v>7.361000000000001</v>
      </c>
      <c r="J7" s="23">
        <f>SUM(J5:J6)</f>
        <v>4.319</v>
      </c>
      <c r="K7" s="23">
        <f>SUM(K5:K6)</f>
        <v>6.9399999999999995</v>
      </c>
      <c r="L7" s="23">
        <f>SUM(L5:L6)</f>
        <v>9.693</v>
      </c>
      <c r="M7" s="23">
        <f>SUM(M5:M6)</f>
        <v>11.455</v>
      </c>
      <c r="N7" s="23">
        <f>SUM(N5:N6)</f>
        <v>16.613</v>
      </c>
      <c r="O7" s="23">
        <f>SUM(O5:O6)</f>
        <v>18.712</v>
      </c>
      <c r="P7" s="23">
        <f>SUM(P5:P6)</f>
        <v>8.118</v>
      </c>
      <c r="Q7" s="23">
        <f>SUM(Q5:Q6)</f>
        <v>5.814</v>
      </c>
      <c r="R7" s="23">
        <f>SUM(R5:R6)</f>
        <v>9.766</v>
      </c>
      <c r="S7" s="23">
        <f>SUM(S5:S6)</f>
        <v>19.335</v>
      </c>
      <c r="T7" s="23">
        <f>SUM(T5:T6)</f>
        <v>10.596</v>
      </c>
      <c r="U7" s="23">
        <f>SUM(U5:U6)</f>
        <v>7.296</v>
      </c>
      <c r="V7" s="23">
        <f>SUM(V5:V6)</f>
        <v>83.724</v>
      </c>
      <c r="W7" s="23">
        <f>SUM(W5:W6)</f>
        <v>122.051</v>
      </c>
    </row>
    <row r="8">
      <c r="A8" s="2" t="inlineStr">
        <is>
          <t>Operating Income</t>
        </is>
      </c>
      <c r="B8" s="23">
        <f>B4-B7</f>
        <v>-0.511</v>
      </c>
      <c r="C8" s="23">
        <f>C4-C7</f>
        <v>-1.459</v>
      </c>
      <c r="D8" s="23">
        <f>D4-D7</f>
        <v>-5.241</v>
      </c>
      <c r="E8" s="23">
        <f>E4-E7</f>
        <v>-13.994</v>
      </c>
      <c r="F8" s="23">
        <f>F4-F7</f>
        <v>-19.431</v>
      </c>
      <c r="G8" s="23">
        <f>G4-G7</f>
        <v>-9.138</v>
      </c>
      <c r="H8" s="23">
        <f>H4-H7</f>
        <v>-9.175</v>
      </c>
      <c r="I8" s="23">
        <f>I4-I7</f>
        <v>-7.361000000000001</v>
      </c>
      <c r="J8" s="23">
        <f>J4-J7</f>
        <v>-4.319</v>
      </c>
      <c r="K8" s="23">
        <f>K4-K7</f>
        <v>-6.9399999999999995</v>
      </c>
      <c r="L8" s="23">
        <f>L4-L7</f>
        <v>-9.693</v>
      </c>
      <c r="M8" s="23">
        <f>M4-M7</f>
        <v>-11.455</v>
      </c>
      <c r="N8" s="23">
        <f>N4-N7</f>
        <v>-16.613</v>
      </c>
      <c r="O8" s="23">
        <f>O4-O7</f>
        <v>-18.712</v>
      </c>
      <c r="P8" s="23">
        <f>P4-P7</f>
        <v>-8.118</v>
      </c>
      <c r="Q8" s="23">
        <f>Q4-Q7</f>
        <v>-5.814</v>
      </c>
      <c r="R8" s="23">
        <f>R4-R7</f>
        <v>-9.766</v>
      </c>
      <c r="S8" s="23">
        <f>S4-S7</f>
        <v>-19.335</v>
      </c>
      <c r="T8" s="23">
        <f>T4-T7</f>
        <v>-10.596</v>
      </c>
      <c r="U8" s="23">
        <f>U4-U7</f>
        <v>-7.296</v>
      </c>
      <c r="V8" s="23">
        <f>V4-V7</f>
        <v>-83.724</v>
      </c>
      <c r="W8" s="23">
        <f>W4-W7</f>
        <v>-122.051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0.755</v>
      </c>
      <c r="I9" s="23" t="n">
        <v>1.997</v>
      </c>
      <c r="J9" s="23" t="n">
        <v>-0.001</v>
      </c>
      <c r="K9" s="23" t="n">
        <v>0.001</v>
      </c>
      <c r="L9" s="23" t="n">
        <v>0.004</v>
      </c>
      <c r="M9" s="23" t="n">
        <v>0.01</v>
      </c>
      <c r="N9" s="23" t="n">
        <v>0.169</v>
      </c>
      <c r="O9" s="23" t="n">
        <v>0.161</v>
      </c>
      <c r="P9" s="23" t="n">
        <v>0.154</v>
      </c>
      <c r="Q9" s="23" t="n">
        <v>0.165</v>
      </c>
      <c r="R9" s="23" t="n">
        <v>0.019</v>
      </c>
      <c r="S9" s="23" t="n">
        <v>0.013</v>
      </c>
      <c r="T9" s="23" t="n">
        <v>0.67</v>
      </c>
      <c r="U9" s="23" t="n">
        <v>1.957</v>
      </c>
      <c r="V9" s="23" t="n">
        <v>0</v>
      </c>
      <c r="W9" s="23" t="n">
        <v>16.618</v>
      </c>
    </row>
    <row r="10">
      <c r="A10" s="2" t="inlineStr">
        <is>
          <t>Pretax</t>
        </is>
      </c>
      <c r="B10" s="23">
        <f>B8+B9</f>
        <v>-0.511</v>
      </c>
      <c r="C10" s="23">
        <f>C8+C9</f>
        <v>-1.459</v>
      </c>
      <c r="D10" s="23">
        <f>D8+D9</f>
        <v>-5.241</v>
      </c>
      <c r="E10" s="23">
        <f>E8+E9</f>
        <v>-13.994</v>
      </c>
      <c r="F10" s="23">
        <f>F8+F9</f>
        <v>-19.431</v>
      </c>
      <c r="G10" s="23">
        <f>G8+G9</f>
        <v>-9.138</v>
      </c>
      <c r="H10" s="23">
        <f>H8+H9</f>
        <v>-8.42</v>
      </c>
      <c r="I10" s="23">
        <f>I8+I9</f>
        <v>-5.364000000000001</v>
      </c>
      <c r="J10" s="23">
        <f>J8+J9</f>
        <v>-4.32</v>
      </c>
      <c r="K10" s="23">
        <f>K8+K9</f>
        <v>-6.938999999999999</v>
      </c>
      <c r="L10" s="23">
        <f>L8+L9</f>
        <v>-9.689</v>
      </c>
      <c r="M10" s="23">
        <f>M8+M9</f>
        <v>-11.445</v>
      </c>
      <c r="N10" s="23">
        <f>N8+N9</f>
        <v>-16.444</v>
      </c>
      <c r="O10" s="23">
        <f>O8+O9</f>
        <v>-18.551</v>
      </c>
      <c r="P10" s="23">
        <f>P8+P9</f>
        <v>-7.964</v>
      </c>
      <c r="Q10" s="23">
        <f>Q8+Q9</f>
        <v>-5.649</v>
      </c>
      <c r="R10" s="23">
        <f>R8+R9</f>
        <v>-9.747</v>
      </c>
      <c r="S10" s="23">
        <f>S8+S9</f>
        <v>-19.322</v>
      </c>
      <c r="T10" s="23">
        <f>T8+T9</f>
        <v>-9.926</v>
      </c>
      <c r="U10" s="23">
        <f>U8+U9</f>
        <v>-5.339</v>
      </c>
      <c r="V10" s="23">
        <f>V8+V9</f>
        <v>-83.724</v>
      </c>
      <c r="W10" s="23">
        <f>W8+W9</f>
        <v>-105.433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-0.061</v>
      </c>
      <c r="P11" s="23" t="n">
        <v>-0.031</v>
      </c>
      <c r="Q11" s="23" t="n">
        <v>-0.167</v>
      </c>
      <c r="R11" s="23" t="n">
        <v>-0.008999999999999999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</row>
    <row r="12">
      <c r="A12" s="2" t="inlineStr">
        <is>
          <t>Net Income</t>
        </is>
      </c>
      <c r="B12" s="23" t="n">
        <v>-0.511</v>
      </c>
      <c r="C12" s="23" t="n">
        <v>-1.459</v>
      </c>
      <c r="D12" s="23" t="n">
        <v>-5.241</v>
      </c>
      <c r="E12" s="23" t="n">
        <v>-13.994</v>
      </c>
      <c r="F12" s="23" t="n">
        <v>-19.431</v>
      </c>
      <c r="G12" s="23" t="n">
        <v>-9.138</v>
      </c>
      <c r="H12" s="23" t="n">
        <v>-8.42</v>
      </c>
      <c r="I12" s="23" t="n">
        <v>-5.364</v>
      </c>
      <c r="J12" s="23" t="n">
        <v>-4.32</v>
      </c>
      <c r="K12" s="23" t="n">
        <v>-6.939</v>
      </c>
      <c r="L12" s="23" t="n">
        <v>-9.689</v>
      </c>
      <c r="M12" s="23" t="n">
        <v>-11.445</v>
      </c>
      <c r="N12" s="23" t="n">
        <v>-16.444</v>
      </c>
      <c r="O12" s="23" t="n">
        <v>-18.49</v>
      </c>
      <c r="P12" s="23" t="n">
        <v>-7.933</v>
      </c>
      <c r="Q12" s="23" t="n">
        <v>-5.482</v>
      </c>
      <c r="R12" s="23" t="n">
        <v>-9.738</v>
      </c>
      <c r="S12" s="23" t="n">
        <v>-19.322</v>
      </c>
      <c r="T12" s="23" t="n">
        <v>-9.926</v>
      </c>
      <c r="U12" s="23" t="n">
        <v>-5.339</v>
      </c>
      <c r="V12" s="23" t="n">
        <v>-83.724</v>
      </c>
      <c r="W12" s="23" t="n">
        <v>-105.433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-3.2062163777644948</v>
      </c>
      <c r="J13" s="11">
        <f>IFERROR(J12/J14,0)</f>
        <v>-1.9424460431654675</v>
      </c>
      <c r="K13" s="11">
        <f>IFERROR(K12/K14,0)</f>
        <v>-0.8041488005562638</v>
      </c>
      <c r="L13" s="11">
        <f>IFERROR(L12/L14,0)</f>
        <v>-1.1027771454586843</v>
      </c>
      <c r="M13" s="11">
        <f>IFERROR(M12/M14,0)</f>
        <v>-0.6065825736697054</v>
      </c>
      <c r="N13" s="11">
        <f>IFERROR(N12/N14,0)</f>
        <v>-0.6045143739430924</v>
      </c>
      <c r="O13" s="11">
        <f>IFERROR(O12/O14,0)</f>
        <v>-0.5908480858950597</v>
      </c>
      <c r="P13" s="11">
        <f>IFERROR(P12/P14,0)</f>
        <v>-3.4371750433275565</v>
      </c>
      <c r="Q13" s="11">
        <f>IFERROR(Q12/Q14,0)</f>
        <v>-1.382946518668012</v>
      </c>
      <c r="R13" s="11">
        <f>IFERROR(R12/R14,0)</f>
        <v>-0.6891232043025971</v>
      </c>
      <c r="S13" s="11">
        <f>IFERROR(S12/S14,0)</f>
        <v>-1.3896720368239355</v>
      </c>
      <c r="T13" s="11">
        <f>IFERROR(T12/T14,0)</f>
        <v>-0.6888272033310201</v>
      </c>
      <c r="U13" s="11">
        <f>IFERROR(U12/U14,0)</f>
        <v>-0.3703523862375139</v>
      </c>
      <c r="V13" s="11">
        <f>IFERROR(V12/V14,0)</f>
        <v>0</v>
      </c>
      <c r="W13" s="11">
        <f>IFERROR(W12/W14,0)</f>
        <v>0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>
        <v>1.673</v>
      </c>
      <c r="J14" s="23" t="n">
        <v>2.224</v>
      </c>
      <c r="K14" s="23" t="n">
        <v>8.629</v>
      </c>
      <c r="L14" s="23" t="n">
        <v>8.786</v>
      </c>
      <c r="M14" s="23" t="n">
        <v>18.868</v>
      </c>
      <c r="N14" s="23" t="n">
        <v>27.202</v>
      </c>
      <c r="O14" s="23" t="n">
        <v>31.294</v>
      </c>
      <c r="P14" s="23" t="n">
        <v>2.308</v>
      </c>
      <c r="Q14" s="23" t="n">
        <v>3.964</v>
      </c>
      <c r="R14" s="23" t="n">
        <v>14.131</v>
      </c>
      <c r="S14" s="23" t="n">
        <v>13.904</v>
      </c>
      <c r="T14" s="23" t="n">
        <v>14.41</v>
      </c>
      <c r="U14" s="23" t="n">
        <v>14.416</v>
      </c>
      <c r="V14" s="23" t="n"/>
      <c r="W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  <c r="V16" s="15">
        <f>IFERROR(V2/U2-1,"")</f>
        <v/>
      </c>
      <c r="W16" s="15">
        <f>IFERROR(W2/V2-1,"")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/>
      </c>
      <c r="W17" s="15">
        <f>IFERROR(W4/W2,"")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/>
      </c>
      <c r="W18" s="15">
        <f>IFERROR(W8/W2,"")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2026-10-21T01:04:06Z</dcterms:modified>
  <cp:lastModifiedBy>Wang, Eric</cp:lastModifiedBy>
</cp:coreProperties>
</file>