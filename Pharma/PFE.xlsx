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  <sheet name="Options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$#,##0;($#,##0);&quot;-&quot;"/>
    <numFmt numFmtId="175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71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" fontId="7" fillId="2" borderId="0" applyAlignment="1" pivotButton="0" quotePrefix="0" xfId="0">
      <alignment horizontal="right"/>
    </xf>
    <xf numFmtId="1" fontId="8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71" fontId="5" fillId="0" borderId="0" pivotButton="0" quotePrefix="0" xfId="0"/>
    <xf numFmtId="171" fontId="2" fillId="0" borderId="0" pivotButton="0" quotePrefix="0" xfId="0"/>
    <xf numFmtId="0" fontId="3" fillId="2" borderId="0" applyAlignment="1" pivotButton="0" quotePrefix="0" xfId="0">
      <alignment horizontal="center"/>
    </xf>
    <xf numFmtId="3" fontId="5" fillId="0" borderId="0" pivotButton="0" quotePrefix="0" xfId="0"/>
    <xf numFmtId="174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Pfizer Inc.</t>
        </is>
      </c>
      <c r="C2" s="10" t="n"/>
    </row>
    <row r="3">
      <c r="B3" t="inlineStr">
        <is>
          <t>Price</t>
        </is>
      </c>
      <c r="C3" s="11">
        <f>INDEX([1]Pharma!$F$1:$F$1000,MATCH("PFE",[1]Pharma!$B$1:$B$1000,0))</f>
        <v>30.13</v>
      </c>
      <c r="F3" s="1" t="n"/>
    </row>
    <row r="4">
      <c r="B4" t="inlineStr">
        <is>
          <t>Shares</t>
        </is>
      </c>
      <c r="C4" s="57" t="n">
        <v>5699.673589</v>
      </c>
      <c r="F4" s="1" t="n"/>
    </row>
    <row r="5">
      <c r="B5" t="inlineStr">
        <is>
          <t>Market Cap.</t>
        </is>
      </c>
      <c r="C5" s="13">
        <f>C3*C4</f>
        <v>171731.16523657</v>
      </c>
      <c r="F5" s="1" t="n"/>
    </row>
    <row r="6"/>
    <row r="7">
      <c r="B7" t="inlineStr">
        <is>
          <t>Cash</t>
        </is>
      </c>
      <c r="C7" s="57">
        <f>976+7281</f>
        <v>8257.0</v>
      </c>
    </row>
    <row r="8">
      <c r="B8" t="inlineStr">
        <is>
          <t>Debt</t>
        </is>
      </c>
      <c r="C8" s="57">
        <f>2699+60495</f>
        <v>63194.0</v>
      </c>
    </row>
    <row r="9">
      <c r="B9" t="inlineStr">
        <is>
          <t>Enterprise V.</t>
        </is>
      </c>
      <c r="C9" s="13">
        <f>C5-C7+C8</f>
        <v>226668.16523657</v>
      </c>
    </row>
    <row r="10"/>
    <row r="11">
      <c r="B11" s="14" t="inlineStr">
        <is>
          <t>NPV / Share</t>
        </is>
      </c>
      <c r="C11" s="11">
        <f>NPV!B28</f>
        <v>27.862901109003456</v>
      </c>
    </row>
    <row r="12">
      <c r="B12" s="14" t="inlineStr">
        <is>
          <t>Upside</t>
        </is>
      </c>
      <c r="C12" s="15">
        <f>IFERROR(C11/C3-1,"")</f>
        <v>-0.07524390610675546</v>
      </c>
    </row>
    <row r="13">
      <c r="B13" s="14" t="inlineStr">
        <is>
          <t>Cash / Share</t>
        </is>
      </c>
      <c r="C13" s="11">
        <f>IFERROR((C7-C8)/C4,"")</f>
        <v>-9.638622131980478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Reviewed 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2007</v>
      </c>
      <c r="C1" s="16" t="n">
        <v>2008</v>
      </c>
      <c r="D1" s="16" t="n">
        <v>2009</v>
      </c>
      <c r="E1" s="16" t="n">
        <v>2010</v>
      </c>
      <c r="F1" s="16" t="n">
        <v>2011</v>
      </c>
      <c r="G1" s="16" t="n">
        <v>2012</v>
      </c>
      <c r="H1" s="16" t="n">
        <v>2013</v>
      </c>
      <c r="I1" s="16" t="n">
        <v>2014</v>
      </c>
      <c r="J1" s="16" t="n">
        <v>2015</v>
      </c>
      <c r="K1" s="16" t="n">
        <v>2016</v>
      </c>
      <c r="L1" s="16" t="n">
        <v>2017</v>
      </c>
      <c r="M1" s="16" t="n">
        <v>2018</v>
      </c>
      <c r="N1" s="16" t="n">
        <v>2019</v>
      </c>
      <c r="O1" s="16" t="n">
        <v>2020</v>
      </c>
      <c r="P1" s="16" t="n">
        <v>2021</v>
      </c>
      <c r="Q1" s="16" t="n">
        <v>2022</v>
      </c>
      <c r="R1" s="16" t="n">
        <v>2023</v>
      </c>
      <c r="S1" s="16" t="n">
        <v>2024</v>
      </c>
      <c r="T1" s="16" t="n">
        <v>2025</v>
      </c>
      <c r="U1" s="16" t="n">
        <v>2026</v>
      </c>
      <c r="V1" s="16" t="n">
        <v>2027</v>
      </c>
      <c r="W1" s="16" t="n">
        <v>2028</v>
      </c>
      <c r="X1" s="16" t="n">
        <v>2029</v>
      </c>
      <c r="Y1" s="16" t="n">
        <v>2030</v>
      </c>
      <c r="Z1" s="16" t="n">
        <v>2031</v>
      </c>
      <c r="AA1" s="16" t="n">
        <v>2032</v>
      </c>
      <c r="AB1" s="16" t="n">
        <v>2033</v>
      </c>
      <c r="AC1" s="16" t="n">
        <v>2034</v>
      </c>
      <c r="AD1" s="16" t="n">
        <v>2035</v>
      </c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8" t="n">
        <v>48418</v>
      </c>
      <c r="C2" s="58" t="n">
        <v>48296</v>
      </c>
      <c r="D2" s="58" t="n">
        <v>49269</v>
      </c>
      <c r="E2" s="58" t="n">
        <v>65165</v>
      </c>
      <c r="F2" s="58" t="n">
        <v>61035</v>
      </c>
      <c r="G2" s="58" t="n">
        <v>54657</v>
      </c>
      <c r="H2" s="58" t="n">
        <v>51584</v>
      </c>
      <c r="I2" s="58" t="n">
        <v>49605</v>
      </c>
      <c r="J2" s="58" t="n">
        <v>48851</v>
      </c>
      <c r="K2" s="58" t="n">
        <v>52824</v>
      </c>
      <c r="L2" s="58" t="n">
        <v>52546</v>
      </c>
      <c r="M2" s="58" t="n">
        <v>40825</v>
      </c>
      <c r="N2" s="58" t="n">
        <v>40905</v>
      </c>
      <c r="O2" s="58" t="n">
        <v>41651</v>
      </c>
      <c r="P2" s="58" t="n">
        <v>81288</v>
      </c>
      <c r="Q2" s="58" t="n">
        <v>101175</v>
      </c>
      <c r="R2" s="58" t="n">
        <v>59553</v>
      </c>
      <c r="S2" s="58" t="n">
        <v>63627</v>
      </c>
      <c r="T2" s="58" t="n">
        <v>62579</v>
      </c>
      <c r="U2" s="58">
        <f>T2*(1+NPV!C5)</f>
        <v>61515.157</v>
      </c>
      <c r="V2" s="58">
        <f>U2*(1+NPV!D5)</f>
        <v>59054.55072</v>
      </c>
      <c r="W2" s="58">
        <f>V2*(1+NPV!E5)</f>
        <v>53739.6411552</v>
      </c>
      <c r="X2" s="58">
        <f>W2*(1+NPV!F5)</f>
        <v>52127.451920544</v>
      </c>
      <c r="Y2" s="58">
        <f>X2*(1+NPV!G5)</f>
        <v>53170.00095895488</v>
      </c>
      <c r="Z2" s="58">
        <f>Y2*(1+NPV!H5)</f>
        <v>55296.800997313076</v>
      </c>
      <c r="AA2" s="58">
        <f>Z2*(1+NPV!I5)</f>
        <v>57508.6730372056</v>
      </c>
      <c r="AB2" s="58">
        <f>AA2*(1+NPV!J5)</f>
        <v>59233.93322832177</v>
      </c>
      <c r="AC2" s="58">
        <f>AB2*(1+NPV!K5)</f>
        <v>61010.95122517142</v>
      </c>
      <c r="AD2" s="58">
        <f>AC2*(1+NPV!L5)</f>
        <v>62536.2250058007</v>
      </c>
    </row>
    <row r="3" customFormat="1" s="1">
      <c r="A3" s="5" t="inlineStr">
        <is>
          <t>Cost of Sales</t>
        </is>
      </c>
      <c r="B3" s="58" t="n">
        <v>11239</v>
      </c>
      <c r="C3" s="58" t="n">
        <v>8112</v>
      </c>
      <c r="D3" s="58" t="n">
        <v>8459</v>
      </c>
      <c r="E3" s="58" t="n">
        <v>14788</v>
      </c>
      <c r="F3" s="58" t="n">
        <v>12500</v>
      </c>
      <c r="G3" s="58" t="n">
        <v>9821</v>
      </c>
      <c r="H3" s="58" t="n">
        <v>9586</v>
      </c>
      <c r="I3" s="58" t="n">
        <v>9577</v>
      </c>
      <c r="J3" s="58" t="n">
        <v>9648</v>
      </c>
      <c r="K3" s="58" t="n">
        <v>12329</v>
      </c>
      <c r="L3" s="58" t="n">
        <v>11240</v>
      </c>
      <c r="M3" s="58" t="n">
        <v>8987</v>
      </c>
      <c r="N3" s="58" t="n">
        <v>8054</v>
      </c>
      <c r="O3" s="58" t="n">
        <v>8484</v>
      </c>
      <c r="P3" s="58" t="n">
        <v>30821</v>
      </c>
      <c r="Q3" s="58" t="n">
        <v>34344</v>
      </c>
      <c r="R3" s="58" t="n">
        <v>24954</v>
      </c>
      <c r="S3" s="58" t="n">
        <v>17851</v>
      </c>
      <c r="T3" s="58" t="n">
        <v>16067</v>
      </c>
      <c r="U3" s="58">
        <f>U2*(1-Assumptions!$B$19)</f>
        <v>15790.940801900002</v>
      </c>
      <c r="V3" s="58">
        <f>V2*(1-Assumptions!$B$19)</f>
        <v>15159.303169824003</v>
      </c>
      <c r="W3" s="58">
        <f>W2*(1-Assumptions!$B$19)</f>
        <v>13794.965884539843</v>
      </c>
      <c r="X3" s="58">
        <f>X2*(1-Assumptions!$B$19)</f>
        <v>13381.116908003647</v>
      </c>
      <c r="Y3" s="58">
        <f>Y2*(1-Assumptions!$B$19)</f>
        <v>13648.73924616372</v>
      </c>
      <c r="Z3" s="58">
        <f>Z2*(1-Assumptions!$B$19)</f>
        <v>14194.688816010268</v>
      </c>
      <c r="AA3" s="58">
        <f>AA2*(1-Assumptions!$B$19)</f>
        <v>14762.47636865068</v>
      </c>
      <c r="AB3" s="58">
        <f>AB2*(1-Assumptions!$B$19)</f>
        <v>15205.3506597102</v>
      </c>
      <c r="AC3" s="58">
        <f>AC2*(1-Assumptions!$B$19)</f>
        <v>15661.511179501505</v>
      </c>
      <c r="AD3" s="58">
        <f>AD2*(1-Assumptions!$B$19)</f>
        <v>16053.048958989042</v>
      </c>
    </row>
    <row r="4" customFormat="1" s="1">
      <c r="A4" s="5" t="inlineStr">
        <is>
          <t>Gross Margin</t>
        </is>
      </c>
      <c r="B4" s="58">
        <f>B2-B3</f>
        <v>37179.0</v>
      </c>
      <c r="C4" s="58">
        <f>C2-C3</f>
        <v>40184.0</v>
      </c>
      <c r="D4" s="58">
        <f>D2-D3</f>
        <v>40810.0</v>
      </c>
      <c r="E4" s="58">
        <f>E2-E3</f>
        <v>50377.0</v>
      </c>
      <c r="F4" s="58">
        <f>F2-F3</f>
        <v>48535.0</v>
      </c>
      <c r="G4" s="58">
        <f>G2-G3</f>
        <v>44836.0</v>
      </c>
      <c r="H4" s="58">
        <f>H2-H3</f>
        <v>41998.0</v>
      </c>
      <c r="I4" s="58">
        <f>I2-I3</f>
        <v>40028.0</v>
      </c>
      <c r="J4" s="58">
        <f>J2-J3</f>
        <v>39203.0</v>
      </c>
      <c r="K4" s="58">
        <f>K2-K3</f>
        <v>40495.0</v>
      </c>
      <c r="L4" s="58">
        <f>L2-L3</f>
        <v>41306.0</v>
      </c>
      <c r="M4" s="58">
        <f>M2-M3</f>
        <v>31838.0</v>
      </c>
      <c r="N4" s="58">
        <f>N2-N3</f>
        <v>32851.0</v>
      </c>
      <c r="O4" s="58">
        <f>O2-O3</f>
        <v>33167.0</v>
      </c>
      <c r="P4" s="58">
        <f>P2-P3</f>
        <v>50467.0</v>
      </c>
      <c r="Q4" s="58">
        <f>Q2-Q3</f>
        <v>66831.0</v>
      </c>
      <c r="R4" s="58">
        <f>R2-R3</f>
        <v>34599.0</v>
      </c>
      <c r="S4" s="58">
        <f>S2-S3</f>
        <v>45776.0</v>
      </c>
      <c r="T4" s="58">
        <f>T2-T3</f>
        <v>46512.0</v>
      </c>
      <c r="U4" s="58">
        <f>U2-U3</f>
        <v>45724.216198099995</v>
      </c>
      <c r="V4" s="58">
        <f>V2-V3</f>
        <v>43895.247550176</v>
      </c>
      <c r="W4" s="58">
        <f>W2-W3</f>
        <v>39944.675270660155</v>
      </c>
      <c r="X4" s="58">
        <f>X2-X3</f>
        <v>38746.33501254035</v>
      </c>
      <c r="Y4" s="58">
        <f>Y2-Y3</f>
        <v>39521.26171279116</v>
      </c>
      <c r="Z4" s="58">
        <f>Z2-Z3</f>
        <v>41102.11218130281</v>
      </c>
      <c r="AA4" s="58">
        <f>AA2-AA3</f>
        <v>42746.19666855492</v>
      </c>
      <c r="AB4" s="58">
        <f>AB2-AB3</f>
        <v>44028.582568611564</v>
      </c>
      <c r="AC4" s="58">
        <f>AC2-AC3</f>
        <v>45349.440045669915</v>
      </c>
      <c r="AD4" s="58">
        <f>AD2-AD3</f>
        <v>46483.176046811655</v>
      </c>
    </row>
    <row r="5">
      <c r="A5" s="2" t="inlineStr">
        <is>
          <t>Research &amp; Dev.</t>
        </is>
      </c>
      <c r="B5" s="58" t="n">
        <v>8089</v>
      </c>
      <c r="C5" s="58" t="n">
        <v>7945</v>
      </c>
      <c r="D5" s="58" t="n">
        <v>7824</v>
      </c>
      <c r="E5" s="58" t="n">
        <v>9483</v>
      </c>
      <c r="F5" s="58" t="n">
        <v>8681</v>
      </c>
      <c r="G5" s="58" t="n">
        <v>7482</v>
      </c>
      <c r="H5" s="58" t="n">
        <v>6678</v>
      </c>
      <c r="I5" s="58" t="n">
        <v>8393</v>
      </c>
      <c r="J5" s="58" t="n">
        <v>7690</v>
      </c>
      <c r="K5" s="58" t="n">
        <v>7892</v>
      </c>
      <c r="L5" s="58" t="n">
        <v>7683</v>
      </c>
      <c r="M5" s="58" t="n">
        <v>7760</v>
      </c>
      <c r="N5" s="58" t="n">
        <v>8385</v>
      </c>
      <c r="O5" s="58" t="n">
        <v>8709</v>
      </c>
      <c r="P5" s="58" t="n">
        <v>10360</v>
      </c>
      <c r="Q5" s="58" t="n">
        <v>11428</v>
      </c>
      <c r="R5" s="58" t="n">
        <v>10679</v>
      </c>
      <c r="S5" s="58" t="n">
        <v>10822</v>
      </c>
      <c r="T5" s="58" t="n">
        <v>10437</v>
      </c>
      <c r="U5" s="58">
        <f>U7*Assumptions!$B$20</f>
        <v>10828.06913182193</v>
      </c>
      <c r="V5" s="58">
        <f>V7*Assumptions!$B$20</f>
        <v>10605.800817058465</v>
      </c>
      <c r="W5" s="58">
        <f>W7*Assumptions!$B$20</f>
        <v>9843.156293486769</v>
      </c>
      <c r="X5" s="58">
        <f>X7*Assumptions!$B$20</f>
        <v>9733.982828146824</v>
      </c>
      <c r="Y5" s="58">
        <f>Y7*Assumptions!$B$20</f>
        <v>10118.506132643712</v>
      </c>
      <c r="Z5" s="58">
        <f>Z7*Assumptions!$B$20</f>
        <v>10720.68377180077</v>
      </c>
      <c r="AA5" s="58">
        <f>AA7*Assumptions!$B$20</f>
        <v>11354.846012278162</v>
      </c>
      <c r="AB5" s="58">
        <f>AB7*Assumptions!$B$20</f>
        <v>11906.98632894003</v>
      </c>
      <c r="AC5" s="58">
        <f>AC7*Assumptions!$B$20</f>
        <v>12482.035703190559</v>
      </c>
      <c r="AD5" s="58">
        <f>AD7*Assumptions!$B$20</f>
        <v>13017.372374762206</v>
      </c>
    </row>
    <row r="6">
      <c r="A6" s="18" t="inlineStr">
        <is>
          <t>SG&amp;A &amp; Other</t>
        </is>
      </c>
      <c r="B6" s="58" t="n">
        <v>15626</v>
      </c>
      <c r="C6" s="58" t="n">
        <v>14537</v>
      </c>
      <c r="D6" s="58" t="n">
        <v>14752</v>
      </c>
      <c r="E6" s="58" t="n">
        <v>18973</v>
      </c>
      <c r="F6" s="58" t="n">
        <v>17581</v>
      </c>
      <c r="G6" s="58" t="n">
        <v>15171</v>
      </c>
      <c r="H6" s="58" t="n">
        <v>14355</v>
      </c>
      <c r="I6" s="58" t="n">
        <v>14097</v>
      </c>
      <c r="J6" s="58" t="n">
        <v>14809</v>
      </c>
      <c r="K6" s="58" t="n">
        <v>14844</v>
      </c>
      <c r="L6" s="58" t="n">
        <v>14804</v>
      </c>
      <c r="M6" s="58" t="n">
        <v>12612</v>
      </c>
      <c r="N6" s="58" t="n">
        <v>12726</v>
      </c>
      <c r="O6" s="58" t="n">
        <v>11597</v>
      </c>
      <c r="P6" s="58" t="n">
        <v>12703</v>
      </c>
      <c r="Q6" s="58" t="n">
        <v>13677</v>
      </c>
      <c r="R6" s="58" t="n">
        <v>14771</v>
      </c>
      <c r="S6" s="58" t="n">
        <v>14730</v>
      </c>
      <c r="T6" s="58" t="n">
        <v>13794</v>
      </c>
      <c r="U6" s="58">
        <f>U7-U5</f>
        <v>14312.560382508067</v>
      </c>
      <c r="V6" s="58">
        <f>V7-V5</f>
        <v>14018.765742167132</v>
      </c>
      <c r="W6" s="58">
        <f>W7-W5</f>
        <v>13010.700900585132</v>
      </c>
      <c r="X6" s="58">
        <f>X7-X5</f>
        <v>12866.395226524231</v>
      </c>
      <c r="Y6" s="58">
        <f>Y7-Y5</f>
        <v>13374.6587910705</v>
      </c>
      <c r="Z6" s="58">
        <f>Z7-Z5</f>
        <v>14170.618229129737</v>
      </c>
      <c r="AA6" s="58">
        <f>AA7-AA5</f>
        <v>15008.854968167998</v>
      </c>
      <c r="AB6" s="58">
        <f>AB7-AB5</f>
        <v>15738.674987382301</v>
      </c>
      <c r="AC6" s="58">
        <f>AC7-AC5</f>
        <v>16498.776238278115</v>
      </c>
      <c r="AD6" s="58">
        <f>AD7-AD5</f>
        <v>17206.385170541267</v>
      </c>
    </row>
    <row r="7">
      <c r="A7" s="2" t="inlineStr">
        <is>
          <t>Operating Expense</t>
        </is>
      </c>
      <c r="B7" s="58">
        <f>SUM(B5:B6)</f>
        <v>23715.0</v>
      </c>
      <c r="C7" s="58">
        <f>SUM(C5:C6)</f>
        <v>22482.0</v>
      </c>
      <c r="D7" s="58">
        <f>SUM(D5:D6)</f>
        <v>22576.0</v>
      </c>
      <c r="E7" s="58">
        <f>SUM(E5:E6)</f>
        <v>28456.0</v>
      </c>
      <c r="F7" s="58">
        <f>SUM(F5:F6)</f>
        <v>26262.0</v>
      </c>
      <c r="G7" s="58">
        <f>SUM(G5:G6)</f>
        <v>22653.0</v>
      </c>
      <c r="H7" s="58">
        <f>SUM(H5:H6)</f>
        <v>21033.0</v>
      </c>
      <c r="I7" s="58">
        <f>SUM(I5:I6)</f>
        <v>22490.0</v>
      </c>
      <c r="J7" s="58">
        <f>SUM(J5:J6)</f>
        <v>22499.0</v>
      </c>
      <c r="K7" s="58">
        <f>SUM(K5:K6)</f>
        <v>22736.0</v>
      </c>
      <c r="L7" s="58">
        <f>SUM(L5:L6)</f>
        <v>22487.0</v>
      </c>
      <c r="M7" s="58">
        <f>SUM(M5:M6)</f>
        <v>20372.0</v>
      </c>
      <c r="N7" s="58">
        <f>SUM(N5:N6)</f>
        <v>21111.0</v>
      </c>
      <c r="O7" s="58">
        <f>SUM(O5:O6)</f>
        <v>20306.0</v>
      </c>
      <c r="P7" s="58">
        <f>SUM(P5:P6)</f>
        <v>23063.0</v>
      </c>
      <c r="Q7" s="58">
        <f>SUM(Q5:Q6)</f>
        <v>25105.0</v>
      </c>
      <c r="R7" s="58">
        <f>SUM(R5:R6)</f>
        <v>25450.0</v>
      </c>
      <c r="S7" s="58">
        <f>SUM(S5:S6)</f>
        <v>25552.0</v>
      </c>
      <c r="T7" s="58">
        <f>SUM(T5:T6)</f>
        <v>24231.0</v>
      </c>
      <c r="U7" s="58">
        <f>U4-U2*NPV!C6</f>
        <v>25140.629514329998</v>
      </c>
      <c r="V7" s="58">
        <f>V4-V2*NPV!D6</f>
        <v>24624.566559225597</v>
      </c>
      <c r="W7" s="58">
        <f>W4-W2*NPV!E6</f>
        <v>22853.8571940719</v>
      </c>
      <c r="X7" s="58">
        <f>X4-X2*NPV!F6</f>
        <v>22600.378054671055</v>
      </c>
      <c r="Y7" s="58">
        <f>Y4-Y2*NPV!G6</f>
        <v>23493.164923714212</v>
      </c>
      <c r="Z7" s="58">
        <f>Z4-Z2*NPV!H6</f>
        <v>24891.302000930507</v>
      </c>
      <c r="AA7" s="58">
        <f>AA4-AA2*NPV!I6</f>
        <v>26363.70098044616</v>
      </c>
      <c r="AB7" s="58">
        <f>AB4-AB2*NPV!J6</f>
        <v>27645.66131632233</v>
      </c>
      <c r="AC7" s="58">
        <f>AC4-AC2*NPV!K6</f>
        <v>28980.811941468673</v>
      </c>
      <c r="AD7" s="58">
        <f>AD4-AD2*NPV!L6</f>
        <v>30223.757545303473</v>
      </c>
    </row>
    <row r="8">
      <c r="A8" s="2" t="inlineStr">
        <is>
          <t>Operating Income</t>
        </is>
      </c>
      <c r="B8" s="58">
        <f>B4-B7</f>
        <v>13464.0</v>
      </c>
      <c r="C8" s="58">
        <f>C4-C7</f>
        <v>17702.0</v>
      </c>
      <c r="D8" s="58">
        <f>D4-D7</f>
        <v>18234.0</v>
      </c>
      <c r="E8" s="58">
        <f>E4-E7</f>
        <v>21921.0</v>
      </c>
      <c r="F8" s="58">
        <f>F4-F7</f>
        <v>22273.0</v>
      </c>
      <c r="G8" s="58">
        <f>G4-G7</f>
        <v>22183.0</v>
      </c>
      <c r="H8" s="58">
        <f>H4-H7</f>
        <v>20965.0</v>
      </c>
      <c r="I8" s="58">
        <f>I4-I7</f>
        <v>17538.0</v>
      </c>
      <c r="J8" s="58">
        <f>J4-J7</f>
        <v>16704.0</v>
      </c>
      <c r="K8" s="58">
        <f>K4-K7</f>
        <v>17759.0</v>
      </c>
      <c r="L8" s="58">
        <f>L4-L7</f>
        <v>18819.0</v>
      </c>
      <c r="M8" s="58">
        <f>M4-M7</f>
        <v>11466.0</v>
      </c>
      <c r="N8" s="58">
        <f>N4-N7</f>
        <v>11740.0</v>
      </c>
      <c r="O8" s="58">
        <f>O4-O7</f>
        <v>12861.0</v>
      </c>
      <c r="P8" s="58">
        <f>P4-P7</f>
        <v>27404.0</v>
      </c>
      <c r="Q8" s="58">
        <f>Q4-Q7</f>
        <v>41726.0</v>
      </c>
      <c r="R8" s="58">
        <f>R4-R7</f>
        <v>9149.0</v>
      </c>
      <c r="S8" s="58">
        <f>S4-S7</f>
        <v>20224.0</v>
      </c>
      <c r="T8" s="58">
        <f>T4-T7</f>
        <v>22281.0</v>
      </c>
      <c r="U8" s="58">
        <f>U4-U7</f>
        <v>20583.586683769998</v>
      </c>
      <c r="V8" s="58">
        <f>V4-V7</f>
        <v>19270.6809909504</v>
      </c>
      <c r="W8" s="58">
        <f>W4-W7</f>
        <v>17090.818076588253</v>
      </c>
      <c r="X8" s="58">
        <f>X4-X7</f>
        <v>16145.956957869297</v>
      </c>
      <c r="Y8" s="58">
        <f>Y4-Y7</f>
        <v>16028.096789076946</v>
      </c>
      <c r="Z8" s="58">
        <f>Z4-Z7</f>
        <v>16210.8101803723</v>
      </c>
      <c r="AA8" s="58">
        <f>AA4-AA7</f>
        <v>16382.49568810876</v>
      </c>
      <c r="AB8" s="58">
        <f>AB4-AB7</f>
        <v>16382.921252289234</v>
      </c>
      <c r="AC8" s="58">
        <f>AC4-AC7</f>
        <v>16368.628104201242</v>
      </c>
      <c r="AD8" s="58">
        <f>AD4-AD7</f>
        <v>16259.418501508182</v>
      </c>
    </row>
    <row r="9">
      <c r="A9" s="18" t="inlineStr">
        <is>
          <t>Interest &amp; Other</t>
        </is>
      </c>
      <c r="B9" s="58" t="n">
        <v>-4297</v>
      </c>
      <c r="C9" s="58" t="n">
        <v>-7953</v>
      </c>
      <c r="D9" s="58" t="n">
        <v>-7454</v>
      </c>
      <c r="E9" s="58" t="n">
        <v>-12511</v>
      </c>
      <c r="F9" s="58" t="n">
        <v>-8643</v>
      </c>
      <c r="G9" s="58" t="n">
        <v>-5392</v>
      </c>
      <c r="H9" s="58" t="n">
        <v>5344</v>
      </c>
      <c r="I9" s="58" t="n">
        <v>-5283</v>
      </c>
      <c r="J9" s="58" t="n">
        <v>-7754</v>
      </c>
      <c r="K9" s="58" t="n">
        <v>-9421</v>
      </c>
      <c r="L9" s="58" t="n">
        <v>-6560</v>
      </c>
      <c r="M9" s="58" t="n">
        <v>-579</v>
      </c>
      <c r="N9" s="58" t="n">
        <v>4869</v>
      </c>
      <c r="O9" s="58" t="n">
        <v>-3332</v>
      </c>
      <c r="P9" s="58" t="n">
        <v>-3573</v>
      </c>
      <c r="Q9" s="58" t="n">
        <v>-7026</v>
      </c>
      <c r="R9" s="58" t="n">
        <v>-8145</v>
      </c>
      <c r="S9" s="58" t="n">
        <v>-12221</v>
      </c>
      <c r="T9" s="58" t="n">
        <v>-14776</v>
      </c>
      <c r="U9" s="58" t="n">
        <v>0</v>
      </c>
      <c r="V9" s="58" t="n">
        <v>0</v>
      </c>
      <c r="W9" s="58" t="n">
        <v>0</v>
      </c>
      <c r="X9" s="58" t="n">
        <v>0</v>
      </c>
      <c r="Y9" s="58" t="n">
        <v>0</v>
      </c>
      <c r="Z9" s="58" t="n">
        <v>0</v>
      </c>
      <c r="AA9" s="58" t="n">
        <v>0</v>
      </c>
      <c r="AB9" s="58" t="n">
        <v>0</v>
      </c>
      <c r="AC9" s="58" t="n">
        <v>0</v>
      </c>
      <c r="AD9" s="58" t="n">
        <v>0</v>
      </c>
    </row>
    <row r="10">
      <c r="A10" s="2" t="inlineStr">
        <is>
          <t>Pretax</t>
        </is>
      </c>
      <c r="B10" s="58">
        <f>B8+B9</f>
        <v>9167.0</v>
      </c>
      <c r="C10" s="58">
        <f>C8+C9</f>
        <v>9749.0</v>
      </c>
      <c r="D10" s="58">
        <f>D8+D9</f>
        <v>10780.0</v>
      </c>
      <c r="E10" s="58">
        <f>E8+E9</f>
        <v>9410.0</v>
      </c>
      <c r="F10" s="58">
        <f>F8+F9</f>
        <v>13630.0</v>
      </c>
      <c r="G10" s="58">
        <f>G8+G9</f>
        <v>16791.0</v>
      </c>
      <c r="H10" s="58">
        <f>H8+H9</f>
        <v>26309.0</v>
      </c>
      <c r="I10" s="58">
        <f>I8+I9</f>
        <v>12255.0</v>
      </c>
      <c r="J10" s="58">
        <f>J8+J9</f>
        <v>8950.0</v>
      </c>
      <c r="K10" s="58">
        <f>K8+K9</f>
        <v>8338.0</v>
      </c>
      <c r="L10" s="58">
        <f>L8+L9</f>
        <v>12259.0</v>
      </c>
      <c r="M10" s="58">
        <f>M8+M9</f>
        <v>10887.0</v>
      </c>
      <c r="N10" s="58">
        <f>N8+N9</f>
        <v>16609.0</v>
      </c>
      <c r="O10" s="58">
        <f>O8+O9</f>
        <v>9529.0</v>
      </c>
      <c r="P10" s="58">
        <f>P8+P9</f>
        <v>23831.0</v>
      </c>
      <c r="Q10" s="58">
        <f>Q8+Q9</f>
        <v>34700.0</v>
      </c>
      <c r="R10" s="58">
        <f>R8+R9</f>
        <v>1004.0</v>
      </c>
      <c r="S10" s="58">
        <f>S8+S9</f>
        <v>8003.0</v>
      </c>
      <c r="T10" s="58">
        <f>T8+T9</f>
        <v>7505.0</v>
      </c>
      <c r="U10" s="58">
        <f>U8+U9</f>
        <v>20583.586683769998</v>
      </c>
      <c r="V10" s="58">
        <f>V8+V9</f>
        <v>19270.6809909504</v>
      </c>
      <c r="W10" s="58">
        <f>W8+W9</f>
        <v>17090.818076588253</v>
      </c>
      <c r="X10" s="58">
        <f>X8+X9</f>
        <v>16145.956957869297</v>
      </c>
      <c r="Y10" s="58">
        <f>Y8+Y9</f>
        <v>16028.096789076946</v>
      </c>
      <c r="Z10" s="58">
        <f>Z8+Z9</f>
        <v>16210.8101803723</v>
      </c>
      <c r="AA10" s="58">
        <f>AA8+AA9</f>
        <v>16382.49568810876</v>
      </c>
      <c r="AB10" s="58">
        <f>AB8+AB9</f>
        <v>16382.921252289234</v>
      </c>
      <c r="AC10" s="58">
        <f>AC8+AC9</f>
        <v>16368.628104201242</v>
      </c>
      <c r="AD10" s="58">
        <f>AD8+AD9</f>
        <v>16259.418501508182</v>
      </c>
    </row>
    <row r="11">
      <c r="A11" s="2" t="inlineStr">
        <is>
          <t>Taxes</t>
        </is>
      </c>
      <c r="B11" s="58" t="n">
        <v>1023</v>
      </c>
      <c r="C11" s="58" t="n">
        <v>1645</v>
      </c>
      <c r="D11" s="58" t="n">
        <v>2145</v>
      </c>
      <c r="E11" s="58" t="n">
        <v>1153</v>
      </c>
      <c r="F11" s="58" t="n">
        <v>3621</v>
      </c>
      <c r="G11" s="58" t="n">
        <v>2221</v>
      </c>
      <c r="H11" s="58" t="n">
        <v>4306</v>
      </c>
      <c r="I11" s="58" t="n">
        <v>3120</v>
      </c>
      <c r="J11" s="58" t="n">
        <v>1990</v>
      </c>
      <c r="K11" s="58" t="n">
        <v>1123</v>
      </c>
      <c r="L11" s="58" t="n">
        <v>-9049</v>
      </c>
      <c r="M11" s="58" t="n">
        <v>-266</v>
      </c>
      <c r="N11" s="58" t="n">
        <v>583</v>
      </c>
      <c r="O11" s="58" t="n">
        <v>370</v>
      </c>
      <c r="P11" s="58" t="n">
        <v>1852</v>
      </c>
      <c r="Q11" s="58" t="n">
        <v>3328</v>
      </c>
      <c r="R11" s="58" t="n">
        <v>-1115</v>
      </c>
      <c r="S11" s="58" t="n">
        <v>-28</v>
      </c>
      <c r="T11" s="58" t="n">
        <v>-266</v>
      </c>
      <c r="U11" s="58">
        <f>MAX(0,U10)*Assumptions!$E$14</f>
        <v>3499.2097362409</v>
      </c>
      <c r="V11" s="58">
        <f>MAX(0,V10)*Assumptions!$E$14</f>
        <v>3276.0157684615683</v>
      </c>
      <c r="W11" s="58">
        <f>MAX(0,W10)*Assumptions!$E$14</f>
        <v>2905.4390730200034</v>
      </c>
      <c r="X11" s="58">
        <f>MAX(0,X10)*Assumptions!$E$14</f>
        <v>2744.812682837781</v>
      </c>
      <c r="Y11" s="58">
        <f>MAX(0,Y10)*Assumptions!$E$14</f>
        <v>2724.776454143081</v>
      </c>
      <c r="Z11" s="58">
        <f>MAX(0,Z10)*Assumptions!$E$14</f>
        <v>2755.837730663291</v>
      </c>
      <c r="AA11" s="58">
        <f>MAX(0,AA10)*Assumptions!$E$14</f>
        <v>2785.0242669784893</v>
      </c>
      <c r="AB11" s="58">
        <f>MAX(0,AB10)*Assumptions!$E$14</f>
        <v>2785.09661288917</v>
      </c>
      <c r="AC11" s="58">
        <f>MAX(0,AC10)*Assumptions!$E$14</f>
        <v>2782.666777714211</v>
      </c>
      <c r="AD11" s="58">
        <f>MAX(0,AD10)*Assumptions!$E$14</f>
        <v>2764.101145256391</v>
      </c>
    </row>
    <row r="12">
      <c r="A12" s="2" t="inlineStr">
        <is>
          <t>Net Income</t>
        </is>
      </c>
      <c r="B12" s="58" t="n">
        <v>8144</v>
      </c>
      <c r="C12" s="58" t="n">
        <v>8104</v>
      </c>
      <c r="D12" s="58" t="n">
        <v>8635</v>
      </c>
      <c r="E12" s="58" t="n">
        <v>8257</v>
      </c>
      <c r="F12" s="58" t="n">
        <v>10009</v>
      </c>
      <c r="G12" s="58" t="n">
        <v>14570</v>
      </c>
      <c r="H12" s="58" t="n">
        <v>22003</v>
      </c>
      <c r="I12" s="58" t="n">
        <v>9135</v>
      </c>
      <c r="J12" s="58" t="n">
        <v>6960</v>
      </c>
      <c r="K12" s="58" t="n">
        <v>7215</v>
      </c>
      <c r="L12" s="58" t="n">
        <v>21308</v>
      </c>
      <c r="M12" s="58" t="n">
        <v>11153</v>
      </c>
      <c r="N12" s="58" t="n">
        <v>16026</v>
      </c>
      <c r="O12" s="58" t="n">
        <v>9159</v>
      </c>
      <c r="P12" s="58" t="n">
        <v>21979</v>
      </c>
      <c r="Q12" s="58" t="n">
        <v>31372</v>
      </c>
      <c r="R12" s="58" t="n">
        <v>2119</v>
      </c>
      <c r="S12" s="58" t="n">
        <v>8031</v>
      </c>
      <c r="T12" s="58" t="n">
        <v>7771</v>
      </c>
      <c r="U12" s="58">
        <f>U10-U11</f>
        <v>17084.376947529097</v>
      </c>
      <c r="V12" s="58">
        <f>V10-V11</f>
        <v>15994.665222488833</v>
      </c>
      <c r="W12" s="58">
        <f>W10-W11</f>
        <v>14185.37900356825</v>
      </c>
      <c r="X12" s="58">
        <f>X10-X11</f>
        <v>13401.144275031516</v>
      </c>
      <c r="Y12" s="58">
        <f>Y10-Y11</f>
        <v>13303.320334933866</v>
      </c>
      <c r="Z12" s="58">
        <f>Z10-Z11</f>
        <v>13454.97244970901</v>
      </c>
      <c r="AA12" s="58">
        <f>AA10-AA11</f>
        <v>13597.47142113027</v>
      </c>
      <c r="AB12" s="58">
        <f>AB10-AB11</f>
        <v>13597.824639400063</v>
      </c>
      <c r="AC12" s="58">
        <f>AC10-AC11</f>
        <v>13585.961326487031</v>
      </c>
      <c r="AD12" s="58">
        <f>AD10-AD11</f>
        <v>13495.317356251791</v>
      </c>
    </row>
    <row r="13">
      <c r="A13" s="2" t="inlineStr">
        <is>
          <t>Earnings per Share</t>
        </is>
      </c>
      <c r="B13" s="11">
        <f>IFERROR(B12/B14,0)</f>
        <v>1.1736561464187922</v>
      </c>
      <c r="C13" s="11">
        <f>IFERROR(C12/C14,0)</f>
        <v>1.2005925925925927</v>
      </c>
      <c r="D13" s="11">
        <f>IFERROR(D12/D14,0)</f>
        <v>1.2256919801277502</v>
      </c>
      <c r="E13" s="11">
        <f>IFERROR(E12/E14,0)</f>
        <v>1.022665345553629</v>
      </c>
      <c r="F13" s="11">
        <f>IFERROR(F12/F14,0)</f>
        <v>1.2717916137229988</v>
      </c>
      <c r="G13" s="11">
        <f>IFERROR(G12/G14,0)</f>
        <v>1.9405966968566861</v>
      </c>
      <c r="H13" s="11">
        <f>IFERROR(H12/H14,0)</f>
        <v>3.191153009427121</v>
      </c>
      <c r="I13" s="11">
        <f>IFERROR(I12/I14,0)</f>
        <v>1.4220112079701122</v>
      </c>
      <c r="J13" s="11">
        <f>IFERROR(J12/J14,0)</f>
        <v>1.1123541633370624</v>
      </c>
      <c r="K13" s="11">
        <f>IFERROR(K12/K14,0)</f>
        <v>1.1714564052605942</v>
      </c>
      <c r="L13" s="11">
        <f>IFERROR(L12/L14,0)</f>
        <v>3.5173324529547707</v>
      </c>
      <c r="M13" s="11">
        <f>IFERROR(M12/M14,0)</f>
        <v>1.8659862807428476</v>
      </c>
      <c r="N13" s="11">
        <f>IFERROR(N12/N14,0)</f>
        <v>2.823964757709251</v>
      </c>
      <c r="O13" s="11">
        <f>IFERROR(O12/O14,0)</f>
        <v>1.6262428977272727</v>
      </c>
      <c r="P13" s="11">
        <f>IFERROR(P12/P14,0)</f>
        <v>3.8505606166783464</v>
      </c>
      <c r="Q13" s="11">
        <f>IFERROR(Q12/Q14,0)</f>
        <v>5.472178615035758</v>
      </c>
      <c r="R13" s="11">
        <f>IFERROR(R12/R14,0)</f>
        <v>0.37116833070590294</v>
      </c>
      <c r="S13" s="11">
        <f>IFERROR(S12/S14,0)</f>
        <v>1.4089473684210527</v>
      </c>
      <c r="T13" s="11">
        <f>IFERROR(T12/T14,0)</f>
        <v>1.360231051986697</v>
      </c>
      <c r="U13" s="11">
        <f>IFERROR(U12/U14,0)</f>
        <v>2.997430761737099</v>
      </c>
      <c r="V13" s="11">
        <f>IFERROR(V12/V14,0)</f>
        <v>2.8062423176929814</v>
      </c>
      <c r="W13" s="11">
        <f>IFERROR(W12/W14,0)</f>
        <v>2.488805504747695</v>
      </c>
      <c r="X13" s="11">
        <f>IFERROR(X12/X14,0)</f>
        <v>2.351212585382934</v>
      </c>
      <c r="Y13" s="11">
        <f>IFERROR(Y12/Y14,0)</f>
        <v>2.3340495077838157</v>
      </c>
      <c r="Z13" s="11">
        <f>IFERROR(Z12/Z14,0)</f>
        <v>2.360656665616121</v>
      </c>
      <c r="AA13" s="11">
        <f>IFERROR(AA12/AA14,0)</f>
        <v>2.3856579168625562</v>
      </c>
      <c r="AB13" s="11">
        <f>IFERROR(AB12/AB14,0)</f>
        <v>2.385719888528877</v>
      </c>
      <c r="AC13" s="11">
        <f>IFERROR(AC12/AC14,0)</f>
        <v>2.383638486370001</v>
      </c>
      <c r="AD13" s="11">
        <f>IFERROR(AD12/AD14,0)</f>
        <v>2.367735124744139</v>
      </c>
    </row>
    <row r="14">
      <c r="A14" s="2" t="inlineStr">
        <is>
          <t>Shares</t>
        </is>
      </c>
      <c r="B14" s="58" t="n">
        <v>6939</v>
      </c>
      <c r="C14" s="58" t="n">
        <v>6750</v>
      </c>
      <c r="D14" s="58" t="n">
        <v>7045</v>
      </c>
      <c r="E14" s="58" t="n">
        <v>8074</v>
      </c>
      <c r="F14" s="58" t="n">
        <v>7870</v>
      </c>
      <c r="G14" s="58" t="n">
        <v>7508</v>
      </c>
      <c r="H14" s="58" t="n">
        <v>6895</v>
      </c>
      <c r="I14" s="58" t="n">
        <v>6424</v>
      </c>
      <c r="J14" s="58" t="n">
        <v>6257</v>
      </c>
      <c r="K14" s="58" t="n">
        <v>6159</v>
      </c>
      <c r="L14" s="58" t="n">
        <v>6058</v>
      </c>
      <c r="M14" s="58" t="n">
        <v>5977</v>
      </c>
      <c r="N14" s="58" t="n">
        <v>5675</v>
      </c>
      <c r="O14" s="58" t="n">
        <v>5632</v>
      </c>
      <c r="P14" s="58" t="n">
        <v>5708</v>
      </c>
      <c r="Q14" s="58" t="n">
        <v>5733</v>
      </c>
      <c r="R14" s="58" t="n">
        <v>5709</v>
      </c>
      <c r="S14" s="58" t="n">
        <v>5700</v>
      </c>
      <c r="T14" s="58" t="n">
        <v>5713</v>
      </c>
      <c r="U14" s="58">
        <f>Main!$C$4</f>
        <v>5699.673589</v>
      </c>
      <c r="V14" s="58">
        <f>Main!$C$4</f>
        <v>5699.673589</v>
      </c>
      <c r="W14" s="58">
        <f>Main!$C$4</f>
        <v>5699.673589</v>
      </c>
      <c r="X14" s="58">
        <f>Main!$C$4</f>
        <v>5699.673589</v>
      </c>
      <c r="Y14" s="58">
        <f>Main!$C$4</f>
        <v>5699.673589</v>
      </c>
      <c r="Z14" s="58">
        <f>Main!$C$4</f>
        <v>5699.673589</v>
      </c>
      <c r="AA14" s="58">
        <f>Main!$C$4</f>
        <v>5699.673589</v>
      </c>
      <c r="AB14" s="58">
        <f>Main!$C$4</f>
        <v>5699.673589</v>
      </c>
      <c r="AC14" s="58">
        <f>Main!$C$4</f>
        <v>5699.673589</v>
      </c>
      <c r="AD14" s="58">
        <f>Main!$C$4</f>
        <v>5699.673589</v>
      </c>
    </row>
    <row r="15"/>
    <row r="16" customFormat="1" s="4">
      <c r="A16" s="3" t="inlineStr">
        <is>
          <t>Revenue Change</t>
        </is>
      </c>
      <c r="C16" s="15">
        <f>IFERROR(C2/B2-1,"")</f>
        <v>-0.0025197240695609135</v>
      </c>
      <c r="D16" s="15">
        <f>IFERROR(D2/C2-1,"")</f>
        <v>0.020146595991386462</v>
      </c>
      <c r="E16" s="15">
        <f>IFERROR(E2/D2-1,"")</f>
        <v>0.3226369522417747</v>
      </c>
      <c r="F16" s="15">
        <f>IFERROR(F2/E2-1,"")</f>
        <v>-0.06337757998925808</v>
      </c>
      <c r="G16" s="15">
        <f>IFERROR(G2/F2-1,"")</f>
        <v>-0.10449741951339397</v>
      </c>
      <c r="H16" s="15">
        <f>IFERROR(H2/G2-1,"")</f>
        <v>-0.05622335656914945</v>
      </c>
      <c r="I16" s="15">
        <f>IFERROR(I2/H2-1,"")</f>
        <v>-0.038364609181141485</v>
      </c>
      <c r="J16" s="15">
        <f>IFERROR(J2/I2-1,"")</f>
        <v>-0.015200080637032598</v>
      </c>
      <c r="K16" s="15">
        <f>IFERROR(K2/J2-1,"")</f>
        <v>0.08132893901864846</v>
      </c>
      <c r="L16" s="15">
        <f>IFERROR(L2/K2-1,"")</f>
        <v>-0.005262759351809754</v>
      </c>
      <c r="M16" s="15">
        <f>IFERROR(M2/L2-1,"")</f>
        <v>-0.2230616983214707</v>
      </c>
      <c r="N16" s="15">
        <f>IFERROR(N2/M2-1,"")</f>
        <v>0.001959583588487357</v>
      </c>
      <c r="O16" s="15">
        <f>IFERROR(O2/N2-1,"")</f>
        <v>0.0182373792934849</v>
      </c>
      <c r="P16" s="15">
        <f>IFERROR(P2/O2-1,"")</f>
        <v>0.9516458188278794</v>
      </c>
      <c r="Q16" s="15">
        <f>IFERROR(Q2/P2-1,"")</f>
        <v>0.2446486566282846</v>
      </c>
      <c r="R16" s="15">
        <f>IFERROR(R2/Q2-1,"")</f>
        <v>-0.41138621200889547</v>
      </c>
      <c r="S16" s="15">
        <f>IFERROR(S2/R2-1,"")</f>
        <v>0.068409651906705</v>
      </c>
      <c r="T16" s="15">
        <f>IFERROR(T2/S2-1,"")</f>
        <v>-0.01647099501783833</v>
      </c>
      <c r="U16" s="15">
        <f>IFERROR(U2/T2-1,"")</f>
        <v>-0.017000000000000015</v>
      </c>
      <c r="V16" s="15">
        <f>IFERROR(V2/U2-1,"")</f>
        <v>-0.040000000000000036</v>
      </c>
      <c r="W16" s="15">
        <f>IFERROR(W2/V2-1,"")</f>
        <v>-0.08999999999999997</v>
      </c>
      <c r="X16" s="15">
        <f>IFERROR(X2/W2-1,"")</f>
        <v>-0.029999999999999916</v>
      </c>
      <c r="Y16" s="15">
        <f>IFERROR(Y2/X2-1,"")</f>
        <v>0.020000000000000018</v>
      </c>
      <c r="Z16" s="15">
        <f>IFERROR(Z2/Y2-1,"")</f>
        <v>0.040000000000000036</v>
      </c>
      <c r="AA16" s="15">
        <f>IFERROR(AA2/Z2-1,"")</f>
        <v>0.040000000000000036</v>
      </c>
      <c r="AB16" s="15">
        <f>IFERROR(AB2/AA2-1,"")</f>
        <v>0.030000000000000027</v>
      </c>
      <c r="AC16" s="15">
        <f>IFERROR(AC2/AB2-1,"")</f>
        <v>0.030000000000000027</v>
      </c>
      <c r="AD16" s="15">
        <f>IFERROR(AD2/AC2-1,"")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0.7678755834606964</v>
      </c>
      <c r="C17" s="15">
        <f>IFERROR(C4/C2,"")</f>
        <v>0.8320357793606096</v>
      </c>
      <c r="D17" s="15">
        <f>IFERROR(D4/D2,"")</f>
        <v>0.8283098906005805</v>
      </c>
      <c r="E17" s="15">
        <f>IFERROR(E4/E2,"")</f>
        <v>0.7730683649198189</v>
      </c>
      <c r="F17" s="15">
        <f>IFERROR(F4/F2,"")</f>
        <v>0.7951994757106579</v>
      </c>
      <c r="G17" s="15">
        <f>IFERROR(G4/G2,"")</f>
        <v>0.8203157875477981</v>
      </c>
      <c r="H17" s="15">
        <f>IFERROR(H4/H2,"")</f>
        <v>0.8141671836228288</v>
      </c>
      <c r="I17" s="15">
        <f>IFERROR(I4/I2,"")</f>
        <v>0.8069347847999193</v>
      </c>
      <c r="J17" s="15">
        <f>IFERROR(J4/J2,"")</f>
        <v>0.8025014841047267</v>
      </c>
      <c r="K17" s="15">
        <f>IFERROR(K4/K2,"")</f>
        <v>0.7666023019839467</v>
      </c>
      <c r="L17" s="15">
        <f>IFERROR(L4/L2,"")</f>
        <v>0.7860921858942641</v>
      </c>
      <c r="M17" s="15">
        <f>IFERROR(M4/M2,"")</f>
        <v>0.7798652786282915</v>
      </c>
      <c r="N17" s="15">
        <f>IFERROR(N4/N2,"")</f>
        <v>0.8031047549199365</v>
      </c>
      <c r="O17" s="15">
        <f>IFERROR(O4/O2,"")</f>
        <v>0.7963074115867567</v>
      </c>
      <c r="P17" s="15">
        <f>IFERROR(P4/P2,"")</f>
        <v>0.6208419446904833</v>
      </c>
      <c r="Q17" s="15">
        <f>IFERROR(Q4/Q2,"")</f>
        <v>0.6605485544848035</v>
      </c>
      <c r="R17" s="15">
        <f>IFERROR(R4/R2,"")</f>
        <v>0.5809782882474435</v>
      </c>
      <c r="S17" s="15">
        <f>IFERROR(S4/S2,"")</f>
        <v>0.719443003756267</v>
      </c>
      <c r="T17" s="15">
        <f>IFERROR(T4/T2,"")</f>
        <v>0.7432525288035923</v>
      </c>
      <c r="U17" s="15">
        <f>IFERROR(U4/U2,"")</f>
        <v>0.7433</v>
      </c>
      <c r="V17" s="15">
        <f>IFERROR(V4/V2,"")</f>
        <v>0.7433</v>
      </c>
      <c r="W17" s="15">
        <f>IFERROR(W4/W2,"")</f>
        <v>0.7433</v>
      </c>
      <c r="X17" s="15">
        <f>IFERROR(X4/X2,"")</f>
        <v>0.7433</v>
      </c>
      <c r="Y17" s="15">
        <f>IFERROR(Y4/Y2,"")</f>
        <v>0.7433</v>
      </c>
      <c r="Z17" s="15">
        <f>IFERROR(Z4/Z2,"")</f>
        <v>0.7433</v>
      </c>
      <c r="AA17" s="15">
        <f>IFERROR(AA4/AA2,"")</f>
        <v>0.7433</v>
      </c>
      <c r="AB17" s="15">
        <f>IFERROR(AB4/AB2,"")</f>
        <v>0.7433</v>
      </c>
      <c r="AC17" s="15">
        <f>IFERROR(AC4/AC2,"")</f>
        <v>0.7433</v>
      </c>
      <c r="AD17" s="15">
        <f>IFERROR(AD4/AD2,"")</f>
        <v>0.7433</v>
      </c>
    </row>
    <row r="18">
      <c r="A18" s="14" t="inlineStr">
        <is>
          <t>Operating Margin</t>
        </is>
      </c>
      <c r="B18" s="15">
        <f>IFERROR(B8/B2,"")</f>
        <v>0.2780784005948201</v>
      </c>
      <c r="C18" s="15">
        <f>IFERROR(C8/C2,"")</f>
        <v>0.3665313897631274</v>
      </c>
      <c r="D18" s="15">
        <f>IFERROR(D8/D2,"")</f>
        <v>0.37009072642026425</v>
      </c>
      <c r="E18" s="15">
        <f>IFERROR(E8/E2,"")</f>
        <v>0.33639223509552674</v>
      </c>
      <c r="F18" s="15">
        <f>IFERROR(F8/F2,"")</f>
        <v>0.3649217661997215</v>
      </c>
      <c r="G18" s="15">
        <f>IFERROR(G8/G2,"")</f>
        <v>0.4058583530014454</v>
      </c>
      <c r="H18" s="15">
        <f>IFERROR(H8/H2,"")</f>
        <v>0.40642447270471466</v>
      </c>
      <c r="I18" s="15">
        <f>IFERROR(I8/I2,"")</f>
        <v>0.3535530692470517</v>
      </c>
      <c r="J18" s="15">
        <f>IFERROR(J8/J2,"")</f>
        <v>0.34193772901271213</v>
      </c>
      <c r="K18" s="15">
        <f>IFERROR(K8/K2,"")</f>
        <v>0.3361918824776617</v>
      </c>
      <c r="L18" s="15">
        <f>IFERROR(L8/L2,"")</f>
        <v>0.358143341072584</v>
      </c>
      <c r="M18" s="15">
        <f>IFERROR(M8/M2,"")</f>
        <v>0.28085731781996326</v>
      </c>
      <c r="N18" s="15">
        <f>IFERROR(N8/N2,"")</f>
        <v>0.2870064784256203</v>
      </c>
      <c r="O18" s="15">
        <f>IFERROR(O8/O2,"")</f>
        <v>0.3087801013180956</v>
      </c>
      <c r="P18" s="15">
        <f>IFERROR(P8/P2,"")</f>
        <v>0.3371223304792835</v>
      </c>
      <c r="Q18" s="15">
        <f>IFERROR(Q8/Q2,"")</f>
        <v>0.4124141339263652</v>
      </c>
      <c r="R18" s="15">
        <f>IFERROR(R8/R2,"")</f>
        <v>0.1536278608970161</v>
      </c>
      <c r="S18" s="15">
        <f>IFERROR(S8/S2,"")</f>
        <v>0.31785248400836125</v>
      </c>
      <c r="T18" s="15">
        <f>IFERROR(T8/T2,"")</f>
        <v>0.3560459579092028</v>
      </c>
      <c r="U18" s="15">
        <f>IFERROR(U8/U2,"")</f>
        <v>0.33460999999999996</v>
      </c>
      <c r="V18" s="15">
        <f>IFERROR(V8/V2,"")</f>
        <v>0.32632</v>
      </c>
      <c r="W18" s="15">
        <f>IFERROR(W8/W2,"")</f>
        <v>0.31803</v>
      </c>
      <c r="X18" s="15">
        <f>IFERROR(X8/X2,"")</f>
        <v>0.30973999999999996</v>
      </c>
      <c r="Y18" s="15">
        <f>IFERROR(Y8/Y2,"")</f>
        <v>0.30144999999999994</v>
      </c>
      <c r="Z18" s="15">
        <f>IFERROR(Z8/Z2,"")</f>
        <v>0.29316</v>
      </c>
      <c r="AA18" s="15">
        <f>IFERROR(AA8/AA2,"")</f>
        <v>0.28487</v>
      </c>
      <c r="AB18" s="15">
        <f>IFERROR(AB8/AB2,"")</f>
        <v>0.27658</v>
      </c>
      <c r="AC18" s="15">
        <f>IFERROR(AC8/AC2,"")</f>
        <v>0.26829000000000003</v>
      </c>
      <c r="AD18" s="15">
        <f>IFERROR(AD8/AD2,"")</f>
        <v>0.26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A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  <c r="AD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Pfizer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9" t="n"/>
    </row>
    <row r="7">
      <c r="A7" s="14" t="inlineStr">
        <is>
          <t>Terminal growth override (blank = scenario)</t>
        </is>
      </c>
      <c r="B7" s="59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9" t="n">
        <v>0.09</v>
      </c>
      <c r="C10" s="59" t="n">
        <v>0.08</v>
      </c>
      <c r="D10" s="59" t="n">
        <v>0.07000000000000001</v>
      </c>
      <c r="E10" s="60">
        <f>IF(ISNUMBER($B$6),$B$6,CHOOSE($B$4,B10,C10,D10))</f>
        <v>0.08</v>
      </c>
    </row>
    <row r="11">
      <c r="A11" s="14" t="inlineStr">
        <is>
          <t>Terminal growth</t>
        </is>
      </c>
      <c r="B11" s="59" t="n">
        <v>0.02</v>
      </c>
      <c r="C11" s="59" t="n">
        <v>0.025</v>
      </c>
      <c r="D11" s="59" t="n">
        <v>0.03</v>
      </c>
      <c r="E11" s="60">
        <f>IF(ISNUMBER($B$7),$B$7,CHOOSE($B$4,B11,C11,D11))</f>
        <v>0.025</v>
      </c>
    </row>
    <row r="12">
      <c r="A12" s="14" t="inlineStr">
        <is>
          <t>Revenue growth, first forecast year</t>
        </is>
      </c>
      <c r="B12" s="59" t="n">
        <v>-0.067</v>
      </c>
      <c r="C12" s="59" t="n">
        <v>-0.017</v>
      </c>
      <c r="D12" s="59" t="n">
        <v>0.033</v>
      </c>
      <c r="E12" s="60">
        <f>CHOOSE($B$4,B12,C12,D12)</f>
        <v>-0.017</v>
      </c>
    </row>
    <row r="13">
      <c r="A13" s="14" t="inlineStr">
        <is>
          <t>Operating margin, year 10</t>
        </is>
      </c>
      <c r="B13" s="59" t="n">
        <v>0.21</v>
      </c>
      <c r="C13" s="59" t="n">
        <v>0.26</v>
      </c>
      <c r="D13" s="59" t="n">
        <v>0.3</v>
      </c>
      <c r="E13" s="60">
        <f>CHOOSE($B$4,B13,C13,D13)</f>
        <v>0.26</v>
      </c>
    </row>
    <row r="14">
      <c r="A14" s="14" t="inlineStr">
        <is>
          <t>Tax rate on operating income</t>
        </is>
      </c>
      <c r="B14" s="59" t="n">
        <v>0.17</v>
      </c>
      <c r="C14" s="59" t="n">
        <v>0.17</v>
      </c>
      <c r="D14" s="59" t="n">
        <v>0.17</v>
      </c>
      <c r="E14" s="60">
        <f>CHOOSE($B$4,B14,C14,D14)</f>
        <v>0.17</v>
      </c>
    </row>
    <row r="15">
      <c r="A15" s="14" t="inlineStr">
        <is>
          <t>Reinvestment, % of revenue increase</t>
        </is>
      </c>
      <c r="B15" s="59" t="n">
        <v>0.25</v>
      </c>
      <c r="C15" s="59" t="n">
        <v>0.25</v>
      </c>
      <c r="D15" s="59" t="n">
        <v>0.25</v>
      </c>
      <c r="E15" s="60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9" t="n">
        <v>0.3429</v>
      </c>
    </row>
    <row r="19">
      <c r="A19" s="14" t="inlineStr">
        <is>
          <t>Gross margin (forecast)</t>
        </is>
      </c>
      <c r="B19" s="59" t="n">
        <v>0.7433</v>
      </c>
    </row>
    <row r="20">
      <c r="A20" s="14" t="inlineStr">
        <is>
          <t>R&amp;D share of operating expense (forecast)</t>
        </is>
      </c>
      <c r="B20" s="59" t="n">
        <v>0.4307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0.5096000000000001</v>
      </c>
    </row>
    <row r="23">
      <c r="A23" s="14" t="inlineStr">
        <is>
          <t>Balance sheet date</t>
        </is>
      </c>
      <c r="B23" s="31" t="n">
        <v>46201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61">
        <f>'Yearly Model'!T2</f>
        <v>62579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62">
        <f>NPV!B23</f>
        <v>213746.4415639058</v>
      </c>
      <c r="C29" s="62">
        <f>NPV!B26</f>
        <v>158809.4415639058</v>
      </c>
      <c r="D29" s="35">
        <f>NPV!B28</f>
        <v>27.862901109003456</v>
      </c>
      <c r="E29" s="63">
        <f>NPV!B30</f>
        <v>-0.07524390610675546</v>
      </c>
    </row>
    <row r="30">
      <c r="A30" s="64" t="n">
        <v>1</v>
      </c>
      <c r="B30" s="65">
        <f t="dataTable" ref="B30:E32" r1="B4"/>
        <v>126297.98287287679</v>
      </c>
      <c r="C30" s="65">
        <v>71360.9828728768</v>
      </c>
      <c r="D30" s="39">
        <v>12.520187649096059</v>
      </c>
      <c r="E30" s="66">
        <v>-0.5844610803486207</v>
      </c>
    </row>
    <row r="31">
      <c r="A31" s="64" t="n">
        <v>2</v>
      </c>
      <c r="B31" s="65">
        <v>213746.4415639058</v>
      </c>
      <c r="C31" s="65">
        <v>158809.4415639058</v>
      </c>
      <c r="D31" s="39">
        <v>27.862901109003456</v>
      </c>
      <c r="E31" s="66">
        <v>-0.07524390610675546</v>
      </c>
    </row>
    <row r="32">
      <c r="A32" s="64" t="n">
        <v>3</v>
      </c>
      <c r="B32" s="65">
        <v>387482.1005679063</v>
      </c>
      <c r="C32" s="65">
        <v>332545.1005679063</v>
      </c>
      <c r="D32" s="39">
        <v>58.34458682155005</v>
      </c>
      <c r="E32" s="66">
        <v>0.9364283711101911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27.862901109003456</v>
      </c>
      <c r="B36" s="67" t="n">
        <v>0.015</v>
      </c>
      <c r="C36" s="67" t="n">
        <v>0.02</v>
      </c>
      <c r="D36" s="67" t="n">
        <v>0.025</v>
      </c>
      <c r="E36" s="67" t="n">
        <v>0.03</v>
      </c>
      <c r="F36" s="67" t="n">
        <v>0.035</v>
      </c>
    </row>
    <row r="37">
      <c r="A37" s="68" t="n">
        <v>0.06</v>
      </c>
      <c r="B37" s="39">
        <f t="dataTable" ref="B37:F41" dt2D="1" r1="B7" r2="B6"/>
        <v>38.7112392638182</v>
      </c>
      <c r="C37" s="39">
        <v>42.45434917038684</v>
      </c>
      <c r="D37" s="39">
        <v>47.26691905026078</v>
      </c>
      <c r="E37" s="39">
        <v>53.68367889009272</v>
      </c>
      <c r="F37" s="39">
        <v>62.66714266585742</v>
      </c>
    </row>
    <row r="38">
      <c r="A38" s="68" t="n">
        <v>0.07000000000000001</v>
      </c>
      <c r="B38" s="39">
        <v>30.441927672854703</v>
      </c>
      <c r="C38" s="39">
        <v>32.67909073651</v>
      </c>
      <c r="D38" s="39">
        <v>35.413401147644244</v>
      </c>
      <c r="E38" s="39">
        <v>38.83128916156207</v>
      </c>
      <c r="F38" s="39">
        <v>43.225716608027824</v>
      </c>
    </row>
    <row r="39">
      <c r="A39" s="68" t="n">
        <v>0.08</v>
      </c>
      <c r="B39" s="39">
        <v>24.717549787204458</v>
      </c>
      <c r="C39" s="39">
        <v>26.159169143029</v>
      </c>
      <c r="D39" s="39">
        <v>27.862901109003456</v>
      </c>
      <c r="E39" s="39">
        <v>29.907379468172802</v>
      </c>
      <c r="F39" s="39">
        <v>32.406186351601995</v>
      </c>
    </row>
    <row r="40">
      <c r="A40" s="68" t="n">
        <v>0.09</v>
      </c>
      <c r="B40" s="39">
        <v>20.519036996526577</v>
      </c>
      <c r="C40" s="39">
        <v>21.498512908970806</v>
      </c>
      <c r="D40" s="39">
        <v>22.62867742332952</v>
      </c>
      <c r="E40" s="39">
        <v>23.947202690081365</v>
      </c>
      <c r="F40" s="39">
        <v>25.505459823515363</v>
      </c>
    </row>
    <row r="41">
      <c r="A41" s="68" t="n">
        <v>0.1</v>
      </c>
      <c r="B41" s="39">
        <v>17.30705412533702</v>
      </c>
      <c r="C41" s="39">
        <v>17.99924920172079</v>
      </c>
      <c r="D41" s="39">
        <v>18.78373695495572</v>
      </c>
      <c r="E41" s="39">
        <v>19.680294387224215</v>
      </c>
      <c r="F41" s="39">
        <v>20.7147837321494</v>
      </c>
    </row>
    <row r="44">
      <c r="A44" s="27" t="inlineStr">
        <is>
          <t>Reviewed revenue growth by year (base case; blank = fade formula)</t>
        </is>
      </c>
    </row>
    <row r="45">
      <c r="A45" s="14" t="inlineStr">
        <is>
          <t>Fiscal year</t>
        </is>
      </c>
      <c r="B45" s="43" t="n">
        <v>2026</v>
      </c>
      <c r="C45" s="43" t="n">
        <v>2027</v>
      </c>
      <c r="D45" s="43" t="n">
        <v>2028</v>
      </c>
      <c r="E45" s="43" t="n">
        <v>2029</v>
      </c>
      <c r="F45" s="43" t="n">
        <v>2030</v>
      </c>
      <c r="G45" s="43" t="n">
        <v>2031</v>
      </c>
      <c r="H45" s="43" t="n">
        <v>2032</v>
      </c>
      <c r="I45" s="43" t="n">
        <v>2033</v>
      </c>
      <c r="J45" s="43" t="n">
        <v>2034</v>
      </c>
      <c r="K45" s="43" t="n">
        <v>2035</v>
      </c>
    </row>
    <row r="46">
      <c r="A46" s="14" t="inlineStr">
        <is>
          <t>Growth (bear/bull shift by the row-12 gap, fading to 0 by year 10)</t>
        </is>
      </c>
      <c r="B46" s="59" t="n">
        <v>-0.017</v>
      </c>
      <c r="C46" s="59" t="n">
        <v>-0.04</v>
      </c>
      <c r="D46" s="59" t="n">
        <v>-0.09</v>
      </c>
      <c r="E46" s="59" t="n">
        <v>-0.03</v>
      </c>
      <c r="F46" s="59" t="n">
        <v>0.02</v>
      </c>
      <c r="G46" s="59" t="n">
        <v>0.04</v>
      </c>
      <c r="H46" s="59" t="n">
        <v>0.04</v>
      </c>
      <c r="I46" s="59" t="n">
        <v>0.03</v>
      </c>
      <c r="J46" s="59" t="n">
        <v>0.03</v>
      </c>
      <c r="K46" s="59" t="n">
        <v>0.025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Pfizer Inc.: free-cash-flow DCF ($mm)</t>
        </is>
      </c>
    </row>
    <row r="3">
      <c r="A3" s="20" t="inlineStr">
        <is>
          <t>Fiscal year</t>
        </is>
      </c>
      <c r="B3" s="44">
        <f>'Yearly Model'!T1</f>
        <v>2025</v>
      </c>
      <c r="C3" s="44">
        <f>'Yearly Model'!U1</f>
        <v>2026</v>
      </c>
      <c r="D3" s="44">
        <f>'Yearly Model'!V1</f>
        <v>2027</v>
      </c>
      <c r="E3" s="44">
        <f>'Yearly Model'!W1</f>
        <v>2028</v>
      </c>
      <c r="F3" s="44">
        <f>'Yearly Model'!X1</f>
        <v>2029</v>
      </c>
      <c r="G3" s="44">
        <f>'Yearly Model'!Y1</f>
        <v>2030</v>
      </c>
      <c r="H3" s="44">
        <f>'Yearly Model'!Z1</f>
        <v>2031</v>
      </c>
      <c r="I3" s="44">
        <f>'Yearly Model'!AA1</f>
        <v>2032</v>
      </c>
      <c r="J3" s="44">
        <f>'Yearly Model'!AB1</f>
        <v>2033</v>
      </c>
      <c r="K3" s="44">
        <f>'Yearly Model'!AC1</f>
        <v>2034</v>
      </c>
      <c r="L3" s="44">
        <f>'Yearly Model'!AD1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9">
        <f>IF(ISNUMBER(Assumptions!B$46),Assumptions!B$46+(Assumptions!$E$12-Assumptions!$C$12)*(Assumptions!$B$21-C4)/(Assumptions!$B$21-1),Assumptions!$E$12+(Assumptions!$E$11-Assumptions!$E$12)*(C4-1)/(Assumptions!$B$21-1))</f>
        <v>-0.017</v>
      </c>
      <c r="D5" s="69">
        <f>IF(ISNUMBER(Assumptions!C$46),Assumptions!C$46+(Assumptions!$E$12-Assumptions!$C$12)*(Assumptions!$B$21-D4)/(Assumptions!$B$21-1),Assumptions!$E$12+(Assumptions!$E$11-Assumptions!$E$12)*(D4-1)/(Assumptions!$B$21-1))</f>
        <v>-0.04</v>
      </c>
      <c r="E5" s="69">
        <f>IF(ISNUMBER(Assumptions!D$46),Assumptions!D$46+(Assumptions!$E$12-Assumptions!$C$12)*(Assumptions!$B$21-E4)/(Assumptions!$B$21-1),Assumptions!$E$12+(Assumptions!$E$11-Assumptions!$E$12)*(E4-1)/(Assumptions!$B$21-1))</f>
        <v>-0.09</v>
      </c>
      <c r="F5" s="69">
        <f>IF(ISNUMBER(Assumptions!E$46),Assumptions!E$46+(Assumptions!$E$12-Assumptions!$C$12)*(Assumptions!$B$21-F4)/(Assumptions!$B$21-1),Assumptions!$E$12+(Assumptions!$E$11-Assumptions!$E$12)*(F4-1)/(Assumptions!$B$21-1))</f>
        <v>-0.03</v>
      </c>
      <c r="G5" s="69">
        <f>IF(ISNUMBER(Assumptions!F$46),Assumptions!F$46+(Assumptions!$E$12-Assumptions!$C$12)*(Assumptions!$B$21-G4)/(Assumptions!$B$21-1),Assumptions!$E$12+(Assumptions!$E$11-Assumptions!$E$12)*(G4-1)/(Assumptions!$B$21-1))</f>
        <v>0.02</v>
      </c>
      <c r="H5" s="69">
        <f>IF(ISNUMBER(Assumptions!G$46),Assumptions!G$46+(Assumptions!$E$12-Assumptions!$C$12)*(Assumptions!$B$21-H4)/(Assumptions!$B$21-1),Assumptions!$E$12+(Assumptions!$E$11-Assumptions!$E$12)*(H4-1)/(Assumptions!$B$21-1))</f>
        <v>0.04</v>
      </c>
      <c r="I5" s="69">
        <f>IF(ISNUMBER(Assumptions!H$46),Assumptions!H$46+(Assumptions!$E$12-Assumptions!$C$12)*(Assumptions!$B$21-I4)/(Assumptions!$B$21-1),Assumptions!$E$12+(Assumptions!$E$11-Assumptions!$E$12)*(I4-1)/(Assumptions!$B$21-1))</f>
        <v>0.04</v>
      </c>
      <c r="J5" s="69">
        <f>IF(ISNUMBER(Assumptions!I$46),Assumptions!I$46+(Assumptions!$E$12-Assumptions!$C$12)*(Assumptions!$B$21-J4)/(Assumptions!$B$21-1),Assumptions!$E$12+(Assumptions!$E$11-Assumptions!$E$12)*(J4-1)/(Assumptions!$B$21-1))</f>
        <v>0.03</v>
      </c>
      <c r="K5" s="69">
        <f>IF(ISNUMBER(Assumptions!J$46),Assumptions!J$46+(Assumptions!$E$12-Assumptions!$C$12)*(Assumptions!$B$21-K4)/(Assumptions!$B$21-1),Assumptions!$E$12+(Assumptions!$E$11-Assumptions!$E$12)*(K4-1)/(Assumptions!$B$21-1))</f>
        <v>0.03</v>
      </c>
      <c r="L5" s="69">
        <f>IF(ISNUMBER(Assumptions!K$46),Assumptions!K$46+(Assumptions!$E$12-Assumptions!$C$12)*(Assumptions!$B$21-L4)/(Assumptions!$B$21-1),Assumptions!$E$12+(Assumptions!$E$11-Assumptions!$E$12)*(L4-1)/(Assumptions!$B$21-1))</f>
        <v>0.025</v>
      </c>
    </row>
    <row r="6">
      <c r="A6" s="14" t="inlineStr">
        <is>
          <t>Operating margin</t>
        </is>
      </c>
      <c r="B6" s="69">
        <f>IFERROR(B8/B7,0)</f>
        <v>0.3560459579092028</v>
      </c>
      <c r="C6" s="69">
        <f>Assumptions!$B$18+(Assumptions!$E$13-Assumptions!$B$18)*C4/Assumptions!$B$21</f>
        <v>0.33460999999999996</v>
      </c>
      <c r="D6" s="69">
        <f>Assumptions!$B$18+(Assumptions!$E$13-Assumptions!$B$18)*D4/Assumptions!$B$21</f>
        <v>0.32632</v>
      </c>
      <c r="E6" s="69">
        <f>Assumptions!$B$18+(Assumptions!$E$13-Assumptions!$B$18)*E4/Assumptions!$B$21</f>
        <v>0.31803</v>
      </c>
      <c r="F6" s="69">
        <f>Assumptions!$B$18+(Assumptions!$E$13-Assumptions!$B$18)*F4/Assumptions!$B$21</f>
        <v>0.30974</v>
      </c>
      <c r="G6" s="69">
        <f>Assumptions!$B$18+(Assumptions!$E$13-Assumptions!$B$18)*G4/Assumptions!$B$21</f>
        <v>0.30145</v>
      </c>
      <c r="H6" s="69">
        <f>Assumptions!$B$18+(Assumptions!$E$13-Assumptions!$B$18)*H4/Assumptions!$B$21</f>
        <v>0.29316</v>
      </c>
      <c r="I6" s="69">
        <f>Assumptions!$B$18+(Assumptions!$E$13-Assumptions!$B$18)*I4/Assumptions!$B$21</f>
        <v>0.28487</v>
      </c>
      <c r="J6" s="69">
        <f>Assumptions!$B$18+(Assumptions!$E$13-Assumptions!$B$18)*J4/Assumptions!$B$21</f>
        <v>0.27658</v>
      </c>
      <c r="K6" s="69">
        <f>Assumptions!$B$18+(Assumptions!$E$13-Assumptions!$B$18)*K4/Assumptions!$B$21</f>
        <v>0.26829000000000003</v>
      </c>
      <c r="L6" s="69">
        <f>Assumptions!$B$18+(Assumptions!$E$13-Assumptions!$B$18)*L4/Assumptions!$B$21</f>
        <v>0.26</v>
      </c>
    </row>
    <row r="7">
      <c r="A7" s="14" t="inlineStr">
        <is>
          <t>Revenue</t>
        </is>
      </c>
      <c r="B7" s="61">
        <f>'Yearly Model'!T2</f>
        <v>62579</v>
      </c>
      <c r="C7" s="61">
        <f>'Yearly Model'!U2</f>
        <v>61515.157</v>
      </c>
      <c r="D7" s="61">
        <f>'Yearly Model'!V2</f>
        <v>59054.55072</v>
      </c>
      <c r="E7" s="61">
        <f>'Yearly Model'!W2</f>
        <v>53739.6411552</v>
      </c>
      <c r="F7" s="61">
        <f>'Yearly Model'!X2</f>
        <v>52127.451920544</v>
      </c>
      <c r="G7" s="61">
        <f>'Yearly Model'!Y2</f>
        <v>53170.00095895488</v>
      </c>
      <c r="H7" s="61">
        <f>'Yearly Model'!Z2</f>
        <v>55296.800997313076</v>
      </c>
      <c r="I7" s="61">
        <f>'Yearly Model'!AA2</f>
        <v>57508.6730372056</v>
      </c>
      <c r="J7" s="61">
        <f>'Yearly Model'!AB2</f>
        <v>59233.93322832177</v>
      </c>
      <c r="K7" s="61">
        <f>'Yearly Model'!AC2</f>
        <v>61010.95122517142</v>
      </c>
      <c r="L7" s="61">
        <f>'Yearly Model'!AD2</f>
        <v>62536.2250058007</v>
      </c>
    </row>
    <row r="8">
      <c r="A8" s="14" t="inlineStr">
        <is>
          <t>Operating income</t>
        </is>
      </c>
      <c r="B8" s="61">
        <f>'Yearly Model'!T8</f>
        <v>22281.0</v>
      </c>
      <c r="C8" s="61">
        <f>'Yearly Model'!U8</f>
        <v>20583.586683769998</v>
      </c>
      <c r="D8" s="61">
        <f>'Yearly Model'!V8</f>
        <v>19270.6809909504</v>
      </c>
      <c r="E8" s="61">
        <f>'Yearly Model'!W8</f>
        <v>17090.818076588253</v>
      </c>
      <c r="F8" s="61">
        <f>'Yearly Model'!X8</f>
        <v>16145.956957869297</v>
      </c>
      <c r="G8" s="61">
        <f>'Yearly Model'!Y8</f>
        <v>16028.096789076946</v>
      </c>
      <c r="H8" s="61">
        <f>'Yearly Model'!Z8</f>
        <v>16210.8101803723</v>
      </c>
      <c r="I8" s="61">
        <f>'Yearly Model'!AA8</f>
        <v>16382.49568810876</v>
      </c>
      <c r="J8" s="61">
        <f>'Yearly Model'!AB8</f>
        <v>16382.921252289234</v>
      </c>
      <c r="K8" s="61">
        <f>'Yearly Model'!AC8</f>
        <v>16368.628104201242</v>
      </c>
      <c r="L8" s="61">
        <f>'Yearly Model'!AD8</f>
        <v>16259.418501508182</v>
      </c>
    </row>
    <row r="9">
      <c r="A9" s="14" t="inlineStr">
        <is>
          <t>Tax on operating income</t>
        </is>
      </c>
      <c r="C9" s="58">
        <f>MAX(0,C8)*Assumptions!$E$14</f>
        <v>3499.2097362409</v>
      </c>
      <c r="D9" s="58">
        <f>MAX(0,D8)*Assumptions!$E$14</f>
        <v>3276.0157684615683</v>
      </c>
      <c r="E9" s="58">
        <f>MAX(0,E8)*Assumptions!$E$14</f>
        <v>2905.4390730200034</v>
      </c>
      <c r="F9" s="58">
        <f>MAX(0,F8)*Assumptions!$E$14</f>
        <v>2744.812682837781</v>
      </c>
      <c r="G9" s="58">
        <f>MAX(0,G8)*Assumptions!$E$14</f>
        <v>2724.776454143081</v>
      </c>
      <c r="H9" s="58">
        <f>MAX(0,H8)*Assumptions!$E$14</f>
        <v>2755.837730663291</v>
      </c>
      <c r="I9" s="58">
        <f>MAX(0,I8)*Assumptions!$E$14</f>
        <v>2785.0242669784893</v>
      </c>
      <c r="J9" s="58">
        <f>MAX(0,J8)*Assumptions!$E$14</f>
        <v>2785.09661288917</v>
      </c>
      <c r="K9" s="58">
        <f>MAX(0,K8)*Assumptions!$E$14</f>
        <v>2782.666777714211</v>
      </c>
      <c r="L9" s="58">
        <f>MAX(0,L8)*Assumptions!$E$14</f>
        <v>2764.101145256391</v>
      </c>
    </row>
    <row r="10">
      <c r="A10" s="14" t="inlineStr">
        <is>
          <t>NOPAT</t>
        </is>
      </c>
      <c r="C10" s="58">
        <f>C8-C9</f>
        <v>17084.376947529097</v>
      </c>
      <c r="D10" s="58">
        <f>D8-D9</f>
        <v>15994.665222488833</v>
      </c>
      <c r="E10" s="58">
        <f>E8-E9</f>
        <v>14185.37900356825</v>
      </c>
      <c r="F10" s="58">
        <f>F8-F9</f>
        <v>13401.144275031516</v>
      </c>
      <c r="G10" s="58">
        <f>G8-G9</f>
        <v>13303.320334933866</v>
      </c>
      <c r="H10" s="58">
        <f>H8-H9</f>
        <v>13454.97244970901</v>
      </c>
      <c r="I10" s="58">
        <f>I8-I9</f>
        <v>13597.47142113027</v>
      </c>
      <c r="J10" s="58">
        <f>J8-J9</f>
        <v>13597.824639400063</v>
      </c>
      <c r="K10" s="58">
        <f>K8-K9</f>
        <v>13585.961326487031</v>
      </c>
      <c r="L10" s="58">
        <f>L8-L9</f>
        <v>13495.317356251791</v>
      </c>
    </row>
    <row r="11">
      <c r="A11" s="14" t="inlineStr">
        <is>
          <t>Reinvestment</t>
        </is>
      </c>
      <c r="C11" s="58">
        <f>(C7-B7)*Assumptions!$E$15</f>
        <v>-265.9607500000002</v>
      </c>
      <c r="D11" s="58">
        <f>(D7-C7)*Assumptions!$E$15</f>
        <v>-615.15157</v>
      </c>
      <c r="E11" s="58">
        <f>(E7-D7)*Assumptions!$E$15</f>
        <v>-1328.7273912</v>
      </c>
      <c r="F11" s="58">
        <f>(F7-E7)*Assumptions!$E$15</f>
        <v>-403.0473086639995</v>
      </c>
      <c r="G11" s="58">
        <f>(G7-F7)*Assumptions!$E$15</f>
        <v>260.6372596027195</v>
      </c>
      <c r="H11" s="58">
        <f>(H7-G7)*Assumptions!$E$15</f>
        <v>531.7000095895492</v>
      </c>
      <c r="I11" s="58">
        <f>(I7-H7)*Assumptions!$E$15</f>
        <v>552.9680099731304</v>
      </c>
      <c r="J11" s="58">
        <f>(J7-I7)*Assumptions!$E$15</f>
        <v>431.3150477790423</v>
      </c>
      <c r="K11" s="58">
        <f>(K7-J7)*Assumptions!$E$15</f>
        <v>444.25449921241307</v>
      </c>
      <c r="L11" s="58">
        <f>(L7-K7)*Assumptions!$E$15</f>
        <v>381.31844515731973</v>
      </c>
    </row>
    <row r="12">
      <c r="A12" s="20" t="inlineStr">
        <is>
          <t>Free cash flow</t>
        </is>
      </c>
      <c r="C12" s="70">
        <f>C10-C11</f>
        <v>17350.337697529096</v>
      </c>
      <c r="D12" s="70">
        <f>D10-D11</f>
        <v>16609.816792488833</v>
      </c>
      <c r="E12" s="70">
        <f>E10-E11</f>
        <v>15514.10639476825</v>
      </c>
      <c r="F12" s="70">
        <f>F10-F11</f>
        <v>13804.191583695516</v>
      </c>
      <c r="G12" s="70">
        <f>G10-G11</f>
        <v>13042.683075331146</v>
      </c>
      <c r="H12" s="70">
        <f>H10-H11</f>
        <v>12923.272440119461</v>
      </c>
      <c r="I12" s="70">
        <f>I10-I11</f>
        <v>13044.50341115714</v>
      </c>
      <c r="J12" s="70">
        <f>J10-J11</f>
        <v>13166.509591621021</v>
      </c>
      <c r="K12" s="70">
        <f>K10-K11</f>
        <v>13141.706827274618</v>
      </c>
      <c r="L12" s="70">
        <f>L10-L11</f>
        <v>13113.998911094472</v>
      </c>
    </row>
    <row r="13">
      <c r="A13" s="14" t="inlineStr">
        <is>
          <t>Year fraction</t>
        </is>
      </c>
      <c r="C13" s="47">
        <f>Assumptions!$B$22</f>
        <v>0.5096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0.2548</v>
      </c>
      <c r="D14" s="11">
        <f>C14+C13/2+D13/2</f>
        <v>1.0096</v>
      </c>
      <c r="E14" s="11">
        <f>D14+D13/2+E13/2</f>
        <v>2.0096</v>
      </c>
      <c r="F14" s="11">
        <f>E14+E13/2+F13/2</f>
        <v>3.0096</v>
      </c>
      <c r="G14" s="11">
        <f>F14+F13/2+G13/2</f>
        <v>4.0096</v>
      </c>
      <c r="H14" s="11">
        <f>G14+G13/2+H13/2</f>
        <v>5.0096</v>
      </c>
      <c r="I14" s="11">
        <f>H14+H13/2+I13/2</f>
        <v>6.0096</v>
      </c>
      <c r="J14" s="11">
        <f>I14+I13/2+J13/2</f>
        <v>7.0096</v>
      </c>
      <c r="K14" s="11">
        <f>J14+J13/2+K13/2</f>
        <v>8.009599999999999</v>
      </c>
      <c r="L14" s="11">
        <f>K14+K13/2+L13/2</f>
        <v>9.009599999999999</v>
      </c>
    </row>
    <row r="15">
      <c r="A15" s="14" t="inlineStr">
        <is>
          <t>Discount factor</t>
        </is>
      </c>
      <c r="C15" s="71">
        <f>1/(1+Assumptions!$E$10)^C14</f>
        <v>0.9805813457171741</v>
      </c>
      <c r="D15" s="71">
        <f>1/(1+Assumptions!$E$10)^D14</f>
        <v>0.9252420804350133</v>
      </c>
      <c r="E15" s="71">
        <f>1/(1+Assumptions!$E$10)^E14</f>
        <v>0.8567056300324198</v>
      </c>
      <c r="F15" s="71">
        <f>1/(1+Assumptions!$E$10)^F14</f>
        <v>0.793245953733722</v>
      </c>
      <c r="G15" s="71">
        <f>1/(1+Assumptions!$E$10)^G14</f>
        <v>0.7344869941978907</v>
      </c>
      <c r="H15" s="71">
        <f>1/(1+Assumptions!$E$10)^H14</f>
        <v>0.680080550183232</v>
      </c>
      <c r="I15" s="71">
        <f>1/(1+Assumptions!$E$10)^I14</f>
        <v>0.6297042131326223</v>
      </c>
      <c r="J15" s="71">
        <f>1/(1+Assumptions!$E$10)^J14</f>
        <v>0.5830594566042798</v>
      </c>
      <c r="K15" s="71">
        <f>1/(1+Assumptions!$E$10)^K14</f>
        <v>0.539869867226185</v>
      </c>
      <c r="L15" s="71">
        <f>1/(1+Assumptions!$E$10)^L14</f>
        <v>0.499879506690912</v>
      </c>
    </row>
    <row r="16">
      <c r="A16" s="20" t="inlineStr">
        <is>
          <t>PV of free cash flow</t>
        </is>
      </c>
      <c r="C16" s="70">
        <f>C12*C13*C15</f>
        <v>8670.037551930918</v>
      </c>
      <c r="D16" s="70">
        <f>D12*D13*D15</f>
        <v>15368.101444726788</v>
      </c>
      <c r="E16" s="70">
        <f>E12*E13*E15</f>
        <v>13291.022293319927</v>
      </c>
      <c r="F16" s="70">
        <f>F12*F13*F15</f>
        <v>10950.119118331568</v>
      </c>
      <c r="G16" s="70">
        <f>G12*G13*G15</f>
        <v>9579.681088275674</v>
      </c>
      <c r="H16" s="70">
        <f>H12*H13*H15</f>
        <v>8788.866231244241</v>
      </c>
      <c r="I16" s="70">
        <f>I12*I13*I15</f>
        <v>8214.178756228514</v>
      </c>
      <c r="J16" s="70">
        <f>J12*J13*J15</f>
        <v>7676.857927865591</v>
      </c>
      <c r="K16" s="70">
        <f>K12*K13*K15</f>
        <v>7094.811519966197</v>
      </c>
      <c r="L16" s="70">
        <f>L12*L13*L15</f>
        <v>6555.419306423062</v>
      </c>
    </row>
    <row r="19">
      <c r="A19" s="14" t="inlineStr">
        <is>
          <t>PV of forecast free cash flow</t>
        </is>
      </c>
      <c r="B19" s="58">
        <f>SUM(C16:L16)</f>
        <v>96189.09523831248</v>
      </c>
    </row>
    <row r="20">
      <c r="A20" s="14" t="inlineStr">
        <is>
          <t>Terminal free cash flow (year 11)</t>
        </is>
      </c>
      <c r="B20" s="58">
        <f>L10*(1+Assumptions!$E$11)-L7*Assumptions!$E$11*Assumptions!$E$15</f>
        <v>13441.848883871831</v>
      </c>
    </row>
    <row r="21">
      <c r="A21" s="14" t="inlineStr">
        <is>
          <t>Terminal value</t>
        </is>
      </c>
      <c r="B21" s="58">
        <f>B20/(Assumptions!$E$10-Assumptions!$E$11)</f>
        <v>244397.2524340333</v>
      </c>
    </row>
    <row r="22">
      <c r="A22" s="14" t="inlineStr">
        <is>
          <t>PV of terminal value</t>
        </is>
      </c>
      <c r="B22" s="58">
        <f>B21/(1+Assumptions!$E$10)^(L14+0.5)</f>
        <v>117557.34632559332</v>
      </c>
    </row>
    <row r="23">
      <c r="A23" s="20" t="inlineStr">
        <is>
          <t>Enterprise value</t>
        </is>
      </c>
      <c r="B23" s="72">
        <f>B19+B22</f>
        <v>213746.4415639058</v>
      </c>
    </row>
    <row r="24">
      <c r="A24" s="14" t="inlineStr">
        <is>
          <t>Cash &amp; investments</t>
        </is>
      </c>
      <c r="B24" s="61">
        <f>Main!C7</f>
        <v>8257.0</v>
      </c>
    </row>
    <row r="25">
      <c r="A25" s="14" t="inlineStr">
        <is>
          <t>Debt</t>
        </is>
      </c>
      <c r="B25" s="61">
        <f>Main!C8</f>
        <v>63194.0</v>
      </c>
    </row>
    <row r="26">
      <c r="A26" s="20" t="inlineStr">
        <is>
          <t>Equity value</t>
        </is>
      </c>
      <c r="B26" s="72">
        <f>B23+B24-B25</f>
        <v>158809.4415639058</v>
      </c>
    </row>
    <row r="27">
      <c r="A27" s="14" t="inlineStr">
        <is>
          <t>Shares (mm)</t>
        </is>
      </c>
      <c r="B27" s="61">
        <f>Main!C4</f>
        <v>5699.673589</v>
      </c>
    </row>
    <row r="28">
      <c r="A28" s="20" t="inlineStr">
        <is>
          <t>NPV / share</t>
        </is>
      </c>
      <c r="B28" s="50">
        <f>B26/B27</f>
        <v>27.862901109003456</v>
      </c>
    </row>
    <row r="29">
      <c r="A29" s="14" t="inlineStr">
        <is>
          <t>Price</t>
        </is>
      </c>
      <c r="B29" s="51">
        <f>Main!C3</f>
        <v>30.13</v>
      </c>
    </row>
    <row r="30">
      <c r="A30" s="14" t="inlineStr">
        <is>
          <t>Upside</t>
        </is>
      </c>
      <c r="B30" s="69">
        <f>B28/B29-1</f>
        <v>-0.07524390610675546</v>
      </c>
    </row>
    <row r="31">
      <c r="A31" s="14" t="inlineStr">
        <is>
          <t>Terminal value, % of EV</t>
        </is>
      </c>
      <c r="B31" s="69">
        <f>IFERROR(B22/B23,0)</f>
        <v>0.5499850452034126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2" customWidth="1" style="9" min="2" max="2"/>
    <col width="12" customWidth="1" style="9" min="3" max="3"/>
    <col width="12" customWidth="1" style="9" min="4" max="4"/>
    <col width="12" customWidth="1" style="9" min="5" max="5"/>
    <col width="12" customWidth="1" style="9" min="6" max="6"/>
    <col width="12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</cols>
  <sheetData>
    <row r="1">
      <c r="A1" s="20" t="inlineStr">
        <is>
          <t>PFE: options vs. the reviewed DCF (per contract = 100 shares)</t>
        </is>
      </c>
    </row>
    <row r="2">
      <c r="A2" s="21" t="inlineStr">
        <is>
          <t>Market prices are Cboe delayed quotes; blue = input. Probabilities are risk-neutral (lognormal at ATM IV).</t>
        </is>
      </c>
    </row>
    <row r="3">
      <c r="A3" s="27" t="inlineStr">
        <is>
          <t>Inputs</t>
        </is>
      </c>
    </row>
    <row r="4">
      <c r="A4" s="14" t="inlineStr">
        <is>
          <t>Spot (close 2026-10-20)</t>
        </is>
      </c>
      <c r="B4" s="52" t="n">
        <v>30.11</v>
      </c>
    </row>
    <row r="5">
      <c r="A5" s="14" t="inlineStr">
        <is>
          <t>Pricing date</t>
        </is>
      </c>
      <c r="B5" s="31" t="n">
        <v>46315</v>
      </c>
    </row>
    <row r="6">
      <c r="A6" s="14" t="inlineStr">
        <is>
          <t>Near expiry</t>
        </is>
      </c>
      <c r="B6" s="31" t="n">
        <v>46402</v>
      </c>
    </row>
    <row r="7">
      <c r="A7" s="14" t="inlineStr">
        <is>
          <t>Long expiry</t>
        </is>
      </c>
      <c r="B7" s="31" t="n">
        <v>46773</v>
      </c>
    </row>
    <row r="8">
      <c r="A8" s="14" t="inlineStr">
        <is>
          <t>Years to near expiry</t>
        </is>
      </c>
      <c r="B8" s="71">
        <f>(B6-B5)/365</f>
        <v>0.23835616438356164</v>
      </c>
    </row>
    <row r="9">
      <c r="A9" s="14" t="inlineStr">
        <is>
          <t>Years to long expiry</t>
        </is>
      </c>
      <c r="B9" s="71">
        <f>(B7-B5)/365</f>
        <v>1.2547945205479452</v>
      </c>
    </row>
    <row r="10">
      <c r="A10" s="14" t="inlineStr">
        <is>
          <t>Risk-free rate</t>
        </is>
      </c>
      <c r="B10" s="59" t="n">
        <v>0.04</v>
      </c>
    </row>
    <row r="11">
      <c r="A11" s="14" t="inlineStr">
        <is>
          <t>Dividend yield</t>
        </is>
      </c>
      <c r="B11" s="59" t="n">
        <v>0.058</v>
      </c>
    </row>
    <row r="12">
      <c r="A12" s="14" t="inlineStr">
        <is>
          <t>ATM implied volatility, near</t>
        </is>
      </c>
      <c r="B12" s="59" t="n">
        <v>0.2429</v>
      </c>
    </row>
    <row r="13">
      <c r="A13" s="14" t="inlineStr">
        <is>
          <t>ATM implied volatility, long</t>
        </is>
      </c>
      <c r="B13" s="59" t="n">
        <v>0.2644</v>
      </c>
    </row>
    <row r="14">
      <c r="A14" s="14" t="inlineStr">
        <is>
          <t>Contract multiplier</t>
        </is>
      </c>
      <c r="B14" s="22" t="n">
        <v>100</v>
      </c>
    </row>
    <row r="16">
      <c r="A16" s="27" t="inlineStr">
        <is>
          <t>Market expectations, near expiry</t>
        </is>
      </c>
    </row>
    <row r="17">
      <c r="A17" s="14" t="inlineStr">
        <is>
          <t>ATM strike</t>
        </is>
      </c>
      <c r="B17" s="30" t="n">
        <v>30</v>
      </c>
    </row>
    <row r="18">
      <c r="A18" s="14" t="inlineStr">
        <is>
          <t>ATM call (mid)</t>
        </is>
      </c>
      <c r="B18" s="52" t="n">
        <v>1.44</v>
      </c>
    </row>
    <row r="19">
      <c r="A19" s="14" t="inlineStr">
        <is>
          <t>ATM put (mid)</t>
        </is>
      </c>
      <c r="B19" s="52" t="n">
        <v>1.405</v>
      </c>
    </row>
    <row r="20">
      <c r="A20" s="14" t="inlineStr">
        <is>
          <t>Straddle, % of spot (expected move)</t>
        </is>
      </c>
      <c r="B20" s="69">
        <f>(B18+B19)/B4</f>
        <v>0.09448688143473928</v>
      </c>
    </row>
    <row r="21">
      <c r="A21" s="14" t="inlineStr">
        <is>
          <t>Expected range, low</t>
        </is>
      </c>
      <c r="B21" s="53">
        <f>B4*(1-B20)</f>
        <v>27.265</v>
      </c>
    </row>
    <row r="22">
      <c r="A22" s="14" t="inlineStr">
        <is>
          <t>Expected range, high</t>
        </is>
      </c>
      <c r="B22" s="53">
        <f>B4*(1+B20)</f>
        <v>32.955</v>
      </c>
    </row>
    <row r="23">
      <c r="A23" s="14" t="inlineStr">
        <is>
          <t>1-SD move by long expiry (ATM IV)</t>
        </is>
      </c>
      <c r="B23" s="69">
        <f>B13*SQRT(B9)</f>
        <v>0.29617456385377294</v>
      </c>
    </row>
    <row r="25">
      <c r="A25" s="27" t="inlineStr">
        <is>
          <t>Model vs. market at the long expiry</t>
        </is>
      </c>
    </row>
    <row r="26">
      <c r="A26" s="24" t="inlineStr">
        <is>
          <t>Case</t>
        </is>
      </c>
      <c r="B26" s="25" t="inlineStr">
        <is>
          <t>Value / share</t>
        </is>
      </c>
      <c r="C26" s="25" t="inlineStr">
        <is>
          <t>vs. spot</t>
        </is>
      </c>
      <c r="D26" s="25" t="inlineStr">
        <is>
          <t>Annual return needed</t>
        </is>
      </c>
      <c r="E26" s="25" t="inlineStr">
        <is>
          <t>Market P(above)</t>
        </is>
      </c>
    </row>
    <row r="27">
      <c r="A27" s="14" t="inlineStr">
        <is>
          <t>Forward price at long expiry</t>
        </is>
      </c>
      <c r="B27" s="53">
        <f>B4*EXP((B10-B11)*B9)</f>
        <v>29.437549141447537</v>
      </c>
    </row>
    <row r="28">
      <c r="A28" s="14" t="inlineStr">
        <is>
          <t>Bear</t>
        </is>
      </c>
      <c r="B28" s="51">
        <f>Assumptions!D30</f>
        <v>12.520187649096059</v>
      </c>
      <c r="C28" s="69">
        <f>B28/$B$4-1</f>
        <v>-0.5841850664531365</v>
      </c>
      <c r="D28" s="69">
        <f>IF(B28&gt;0,(B28/$B$4)^(1/$B$9)-1,"")</f>
        <v>-0.5030816891895218</v>
      </c>
      <c r="E28" s="69">
        <f>IF(B28&gt;0,NORMSDIST((LN($B$27/B28)-$B$13^2*$B$9/2)/($B$13*SQRT($B$9))),1)</f>
        <v>0.9969138322165334</v>
      </c>
    </row>
    <row r="29">
      <c r="A29" s="14" t="inlineStr">
        <is>
          <t>Base (reviewed)</t>
        </is>
      </c>
      <c r="B29" s="51">
        <f>Assumptions!D31</f>
        <v>27.862901109003456</v>
      </c>
      <c r="C29" s="69">
        <f>B29/$B$4-1</f>
        <v>-0.07462965430078194</v>
      </c>
      <c r="D29" s="69">
        <f>IF(B29&gt;0,(B29/$B$4)^(1/$B$9)-1,"")</f>
        <v>-0.05994031543090861</v>
      </c>
      <c r="E29" s="69">
        <f>IF(B29&gt;0,NORMSDIST((LN($B$27/B29)-$B$13^2*$B$9/2)/($B$13*SQRT($B$9))),1)</f>
        <v>0.5149685595773685</v>
      </c>
    </row>
    <row r="30">
      <c r="A30" s="14" t="inlineStr">
        <is>
          <t>Bull</t>
        </is>
      </c>
      <c r="B30" s="51">
        <f>Assumptions!D32</f>
        <v>58.34458682155005</v>
      </c>
      <c r="C30" s="69">
        <f>B30/$B$4-1</f>
        <v>0.937714607158753</v>
      </c>
      <c r="D30" s="69">
        <f>IF(B30&gt;0,(B30/$B$4)^(1/$B$9)-1,"")</f>
        <v>0.6941570681814073</v>
      </c>
      <c r="E30" s="69">
        <f>IF(B30&gt;0,NORMSDIST((LN($B$27/B30)-$B$13^2*$B$9/2)/($B$13*SQRT($B$9))),1)</f>
        <v>0.006988407701090675</v>
      </c>
    </row>
    <row r="32">
      <c r="A32" s="27" t="inlineStr">
        <is>
          <t>Chain, 2028-01-21 expiry</t>
        </is>
      </c>
    </row>
    <row r="33">
      <c r="A33" s="54" t="inlineStr">
        <is>
          <t>Strike</t>
        </is>
      </c>
      <c r="B33" s="54" t="inlineStr">
        <is>
          <t>Call bid</t>
        </is>
      </c>
      <c r="C33" s="54" t="inlineStr">
        <is>
          <t>Call ask</t>
        </is>
      </c>
      <c r="D33" s="54" t="inlineStr">
        <is>
          <t>Call IV</t>
        </is>
      </c>
      <c r="E33" s="54" t="inlineStr">
        <is>
          <t>Put bid</t>
        </is>
      </c>
      <c r="F33" s="54" t="inlineStr">
        <is>
          <t>Put ask</t>
        </is>
      </c>
      <c r="G33" s="54" t="inlineStr">
        <is>
          <t>Put IV</t>
        </is>
      </c>
      <c r="H33" s="54" t="inlineStr">
        <is>
          <t>Call OI</t>
        </is>
      </c>
      <c r="I33" s="54" t="inlineStr">
        <is>
          <t>Put OI</t>
        </is>
      </c>
    </row>
    <row r="34">
      <c r="A34" s="11" t="n">
        <v>13</v>
      </c>
      <c r="B34" s="52" t="n">
        <v>16.8</v>
      </c>
      <c r="C34" s="52" t="n">
        <v>17.55</v>
      </c>
      <c r="D34" s="59" t="n">
        <v>0.5704</v>
      </c>
      <c r="E34" s="52" t="n">
        <v>0.05</v>
      </c>
      <c r="F34" s="52" t="n">
        <v>0.1</v>
      </c>
      <c r="G34" s="59" t="n">
        <v>0.3809</v>
      </c>
      <c r="H34" s="55" t="n">
        <v>347</v>
      </c>
      <c r="I34" s="55" t="n">
        <v>803</v>
      </c>
    </row>
    <row r="35">
      <c r="A35" s="11" t="n">
        <v>22</v>
      </c>
      <c r="B35" s="52" t="n">
        <v>7.75</v>
      </c>
      <c r="C35" s="52" t="n">
        <v>8.6</v>
      </c>
      <c r="D35" s="59" t="n">
        <v>0</v>
      </c>
      <c r="E35" s="52" t="n">
        <v>0.55</v>
      </c>
      <c r="F35" s="52" t="n">
        <v>0.74</v>
      </c>
      <c r="G35" s="59" t="n">
        <v>0.2778</v>
      </c>
      <c r="H35" s="55" t="n">
        <v>6474</v>
      </c>
      <c r="I35" s="55" t="n">
        <v>18061</v>
      </c>
    </row>
    <row r="36">
      <c r="A36" s="11" t="n">
        <v>25</v>
      </c>
      <c r="B36" s="52" t="n">
        <v>6.1</v>
      </c>
      <c r="C36" s="52" t="n">
        <v>6.35</v>
      </c>
      <c r="D36" s="59" t="n">
        <v>0.2779</v>
      </c>
      <c r="E36" s="52" t="n">
        <v>1.13</v>
      </c>
      <c r="F36" s="52" t="n">
        <v>1.46</v>
      </c>
      <c r="G36" s="59" t="n">
        <v>0.2657</v>
      </c>
      <c r="H36" s="55" t="n">
        <v>16899</v>
      </c>
      <c r="I36" s="55" t="n">
        <v>31903</v>
      </c>
    </row>
    <row r="37">
      <c r="A37" s="11" t="n">
        <v>27</v>
      </c>
      <c r="B37" s="52" t="n">
        <v>4.75</v>
      </c>
      <c r="C37" s="52" t="n">
        <v>5</v>
      </c>
      <c r="D37" s="59" t="n">
        <v>0.2652</v>
      </c>
      <c r="E37" s="52" t="n">
        <v>1.73</v>
      </c>
      <c r="F37" s="52" t="n">
        <v>2.05</v>
      </c>
      <c r="G37" s="59" t="n">
        <v>0.2554</v>
      </c>
      <c r="H37" s="55" t="n">
        <v>21872</v>
      </c>
      <c r="I37" s="55" t="n">
        <v>14959</v>
      </c>
    </row>
    <row r="38">
      <c r="A38" s="11" t="n">
        <v>30</v>
      </c>
      <c r="B38" s="52" t="n">
        <v>3.35</v>
      </c>
      <c r="C38" s="52" t="n">
        <v>3.5</v>
      </c>
      <c r="D38" s="59" t="n">
        <v>0.2681</v>
      </c>
      <c r="E38" s="52" t="n">
        <v>3.2</v>
      </c>
      <c r="F38" s="52" t="n">
        <v>3.5</v>
      </c>
      <c r="G38" s="59" t="n">
        <v>0.2608</v>
      </c>
      <c r="H38" s="55" t="n">
        <v>28623</v>
      </c>
      <c r="I38" s="55" t="n">
        <v>7276</v>
      </c>
    </row>
    <row r="39">
      <c r="A39" s="11" t="n">
        <v>32</v>
      </c>
      <c r="B39" s="52" t="n">
        <v>2.53</v>
      </c>
      <c r="C39" s="52" t="n">
        <v>2.69</v>
      </c>
      <c r="D39" s="59" t="n">
        <v>0.2637</v>
      </c>
      <c r="E39" s="52" t="n">
        <v>4.3</v>
      </c>
      <c r="F39" s="52" t="n">
        <v>4.6</v>
      </c>
      <c r="G39" s="59" t="n">
        <v>0.2569</v>
      </c>
      <c r="H39" s="55" t="n">
        <v>10825</v>
      </c>
      <c r="I39" s="55" t="n">
        <v>1426</v>
      </c>
    </row>
    <row r="40">
      <c r="A40" s="11" t="n">
        <v>35</v>
      </c>
      <c r="B40" s="52" t="n">
        <v>1.64</v>
      </c>
      <c r="C40" s="52" t="n">
        <v>1.74</v>
      </c>
      <c r="D40" s="59" t="n">
        <v>0.2602</v>
      </c>
      <c r="E40" s="52" t="n">
        <v>5.95</v>
      </c>
      <c r="F40" s="52" t="n">
        <v>6.95</v>
      </c>
      <c r="G40" s="59" t="n">
        <v>0.2551</v>
      </c>
      <c r="H40" s="55" t="n">
        <v>22025</v>
      </c>
      <c r="I40" s="55" t="n">
        <v>2176</v>
      </c>
    </row>
    <row r="41">
      <c r="A41" s="11" t="n">
        <v>37</v>
      </c>
      <c r="B41" s="52" t="n">
        <v>1.18</v>
      </c>
      <c r="C41" s="52" t="n">
        <v>1.36</v>
      </c>
      <c r="D41" s="59" t="n">
        <v>0.2602</v>
      </c>
      <c r="E41" s="52" t="n">
        <v>7.75</v>
      </c>
      <c r="F41" s="52" t="n">
        <v>8.199999999999999</v>
      </c>
      <c r="G41" s="59" t="n">
        <v>0.2549</v>
      </c>
      <c r="H41" s="55" t="n">
        <v>2939</v>
      </c>
      <c r="I41" s="55" t="n">
        <v>103</v>
      </c>
    </row>
    <row r="42">
      <c r="A42" s="11" t="n">
        <v>40</v>
      </c>
      <c r="B42" s="52" t="n">
        <v>0.77</v>
      </c>
      <c r="C42" s="52" t="n">
        <v>0.9</v>
      </c>
      <c r="D42" s="59" t="n">
        <v>0.2624</v>
      </c>
      <c r="E42" s="52" t="n">
        <v>10.3</v>
      </c>
      <c r="F42" s="52" t="n">
        <v>11.05</v>
      </c>
      <c r="G42" s="59" t="n">
        <v>0.2787</v>
      </c>
      <c r="H42" s="55" t="n">
        <v>16176</v>
      </c>
      <c r="I42" s="55" t="n">
        <v>62</v>
      </c>
    </row>
    <row r="44">
      <c r="A44" s="27" t="inlineStr">
        <is>
          <t>Strategies, 2028-01-21 expiry (premium: + = credit; P/L at expiry per contract)</t>
        </is>
      </c>
    </row>
    <row r="45">
      <c r="A45" s="20" t="inlineStr">
        <is>
          <t>Leg prices</t>
        </is>
      </c>
    </row>
    <row r="46">
      <c r="A46" s="14" t="inlineStr">
        <is>
          <t>ATM call (mid)</t>
        </is>
      </c>
      <c r="B46" s="30" t="n">
        <v>30</v>
      </c>
      <c r="C46" s="52" t="n">
        <v>3.425</v>
      </c>
    </row>
    <row r="47">
      <c r="A47" s="14" t="inlineStr">
        <is>
          <t>Upper call (mid)</t>
        </is>
      </c>
      <c r="B47" s="30" t="n">
        <v>37</v>
      </c>
      <c r="C47" s="52" t="n">
        <v>1.27</v>
      </c>
    </row>
    <row r="48">
      <c r="A48" s="14" t="inlineStr">
        <is>
          <t>ATM put (mid)</t>
        </is>
      </c>
      <c r="B48" s="30" t="n">
        <v>30</v>
      </c>
      <c r="C48" s="52" t="n">
        <v>3.35</v>
      </c>
    </row>
    <row r="49">
      <c r="A49" s="14" t="inlineStr">
        <is>
          <t>Lower put (theo)</t>
        </is>
      </c>
      <c r="B49" s="30" t="n">
        <v>13</v>
      </c>
      <c r="C49" s="52" t="n">
        <v>0.0048</v>
      </c>
    </row>
    <row r="50">
      <c r="A50" s="14" t="inlineStr">
        <is>
          <t>Short-put strike (mid)</t>
        </is>
      </c>
      <c r="B50" s="30" t="n">
        <v>27</v>
      </c>
      <c r="C50" s="52" t="n">
        <v>1.89</v>
      </c>
    </row>
    <row r="52">
      <c r="A52" s="24" t="inlineStr">
        <is>
          <t>Strategy</t>
        </is>
      </c>
      <c r="B52" s="25" t="inlineStr">
        <is>
          <t>Premium</t>
        </is>
      </c>
      <c r="C52" s="25" t="inlineStr">
        <is>
          <t>Max profit</t>
        </is>
      </c>
      <c r="D52" s="25" t="inlineStr">
        <is>
          <t>Max loss</t>
        </is>
      </c>
      <c r="E52" s="25" t="inlineStr">
        <is>
          <t>Breakeven</t>
        </is>
      </c>
      <c r="F52" s="25" t="inlineStr">
        <is>
          <t>P/L at bear</t>
        </is>
      </c>
      <c r="G52" s="25" t="inlineStr">
        <is>
          <t>P/L at spot</t>
        </is>
      </c>
      <c r="H52" s="25" t="inlineStr">
        <is>
          <t>P/L at base</t>
        </is>
      </c>
      <c r="I52" s="25" t="inlineStr">
        <is>
          <t>P/L at bull</t>
        </is>
      </c>
      <c r="J52" s="25" t="inlineStr">
        <is>
          <t>Market P(profit)</t>
        </is>
      </c>
    </row>
    <row r="53">
      <c r="A53" s="14" t="inlineStr">
        <is>
          <t>Long ATM call</t>
        </is>
      </c>
      <c r="B53" s="73">
        <f>-$C$46*$B$14</f>
        <v>-342.5</v>
      </c>
      <c r="C53" s="73" t="str">
        <f>"Unlimited"</f>
        <v>Unlimited</v>
      </c>
      <c r="D53" s="73">
        <f>B53</f>
        <v>-342.5</v>
      </c>
      <c r="E53" s="53">
        <f>$B$46+$C$46</f>
        <v>33.425</v>
      </c>
      <c r="F53" s="73">
        <f>(MAX($B$28-$B$46,0)-$C$46)*$B$14</f>
        <v>-342.5</v>
      </c>
      <c r="G53" s="73">
        <f>(MAX($B$4-$B$46,0)-$C$46)*$B$14</f>
        <v>-331.50000000000006</v>
      </c>
      <c r="H53" s="73">
        <f>(MAX($B$29-$B$46,0)-$C$46)*$B$14</f>
        <v>-342.5</v>
      </c>
      <c r="I53" s="73">
        <f>(MAX($B$30-$B$46,0)-$C$46)*$B$14</f>
        <v>2491.958682155005</v>
      </c>
      <c r="J53" s="69">
        <f>NORMSDIST((LN($B$27/(E53))-$B$13^2*$B$9/2)/($B$13*SQRT($B$9)))</f>
        <v>0.28196967683230156</v>
      </c>
    </row>
    <row r="54">
      <c r="A54" s="14" t="inlineStr">
        <is>
          <t>Bull call spread (ATM / upper)</t>
        </is>
      </c>
      <c r="B54" s="73">
        <f>-($C$46-$C$47)*$B$14</f>
        <v>-215.49999999999997</v>
      </c>
      <c r="C54" s="73">
        <f>($B$47-$B$46)*$B$14+B54</f>
        <v>484.5</v>
      </c>
      <c r="D54" s="73">
        <f>B54</f>
        <v>-215.49999999999997</v>
      </c>
      <c r="E54" s="53">
        <f>$B$46+$C$46-$C$47</f>
        <v>32.154999999999994</v>
      </c>
      <c r="F54" s="73">
        <f>(MAX($B$28-$B$46,0)-MAX($B$28-$B$47,0)-$C$46+$C$47)*$B$14</f>
        <v>-215.49999999999997</v>
      </c>
      <c r="G54" s="73">
        <f>(MAX($B$4-$B$46,0)-MAX($B$4-$B$47,0)-$C$46+$C$47)*$B$14</f>
        <v>-204.50000000000003</v>
      </c>
      <c r="H54" s="73">
        <f>(MAX($B$29-$B$46,0)-MAX($B$29-$B$47,0)-$C$46+$C$47)*$B$14</f>
        <v>-215.49999999999997</v>
      </c>
      <c r="I54" s="73">
        <f>(MAX($B$30-$B$46,0)-MAX($B$30-$B$47,0)-$C$46+$C$47)*$B$14</f>
        <v>484.50000000000006</v>
      </c>
      <c r="J54" s="69">
        <f>NORMSDIST((LN($B$27/(E54))-$B$13^2*$B$9/2)/($B$13*SQRT($B$9)))</f>
        <v>0.3277221064141776</v>
      </c>
    </row>
    <row r="55">
      <c r="A55" s="14" t="inlineStr">
        <is>
          <t>Cash-secured put (~10% below spot)</t>
        </is>
      </c>
      <c r="B55" s="73">
        <f>$C$50*$B$14</f>
        <v>189.0</v>
      </c>
      <c r="C55" s="73">
        <f>B55</f>
        <v>189.0</v>
      </c>
      <c r="D55" s="73">
        <f>-($B$50*$B$14-B55)</f>
        <v>-2511.0</v>
      </c>
      <c r="E55" s="53">
        <f>$B$50-$C$50</f>
        <v>25.11</v>
      </c>
      <c r="F55" s="73">
        <f>($C$50-MAX($B$50-$B$28,0))*$B$14</f>
        <v>-1258.981235090394</v>
      </c>
      <c r="G55" s="73">
        <f>($C$50-MAX($B$50-$B$4,0))*$B$14</f>
        <v>189.0</v>
      </c>
      <c r="H55" s="73">
        <f>($C$50-MAX($B$50-$B$29,0))*$B$14</f>
        <v>189.0</v>
      </c>
      <c r="I55" s="73">
        <f>($C$50-MAX($B$50-$B$30,0))*$B$14</f>
        <v>189.0</v>
      </c>
      <c r="J55" s="69">
        <f>NORMSDIST((LN($B$27/(E55))-$B$13^2*$B$9/2)/($B$13*SQRT($B$9)))</f>
        <v>0.6512785968117776</v>
      </c>
    </row>
    <row r="56">
      <c r="A56" s="14" t="inlineStr">
        <is>
          <t>Covered call (100 shares + upper call, incl. dividends)</t>
        </is>
      </c>
      <c r="B56" s="73">
        <f>$C$47*$B$14</f>
        <v>127.0</v>
      </c>
      <c r="C56" s="73">
        <f>($B$47-$B$4)*$B$14+B56+$B$4*$B$11*$B$9*$B$14</f>
        <v>1035.134805479452</v>
      </c>
      <c r="D56" s="73">
        <f>-($B$4*$B$14-B56-$B$4*$B$11*$B$9*$B$14)</f>
        <v>-2664.865194520548</v>
      </c>
      <c r="E56" s="53">
        <f>$B$4-$C$47-$B$4*$B$11*$B$9</f>
        <v>26.64865194520548</v>
      </c>
      <c r="F56" s="73">
        <f>($B$28-$B$4+$C$47-MAX($B$28-$B$47,0)+$B$4*$B$11*$B$9)*$B$14</f>
        <v>-1412.846429610942</v>
      </c>
      <c r="G56" s="73">
        <f>($B$4-$B$4+$C$47-MAX($B$4-$B$47,0)+$B$4*$B$11*$B$9)*$B$14</f>
        <v>346.13480547945204</v>
      </c>
      <c r="H56" s="73">
        <f>($B$29-$B$4+$C$47-MAX($B$29-$B$47,0)+$B$4*$B$11*$B$9)*$B$14</f>
        <v>121.42491637979771</v>
      </c>
      <c r="I56" s="73">
        <f>($B$30-$B$4+$C$47-MAX($B$30-$B$47,0)+$B$4*$B$11*$B$9)*$B$14</f>
        <v>1035.134805479452</v>
      </c>
      <c r="J56" s="69">
        <f>NORMSDIST((LN($B$27/(E56))-$B$13^2*$B$9/2)/($B$13*SQRT($B$9)))</f>
        <v>0.5745510493167884</v>
      </c>
    </row>
    <row r="57">
      <c r="A57" s="14" t="inlineStr">
        <is>
          <t>Bear put spread (ATM / lower)</t>
        </is>
      </c>
      <c r="B57" s="73">
        <f>-($C$48-$C$49)*$B$14</f>
        <v>-334.52000000000004</v>
      </c>
      <c r="C57" s="73">
        <f>($B$48-$B$49)*$B$14+B57</f>
        <v>1365.48</v>
      </c>
      <c r="D57" s="73">
        <f>B57</f>
        <v>-334.52000000000004</v>
      </c>
      <c r="E57" s="53">
        <f>$B$48-$C$48+$C$49</f>
        <v>26.654799999999998</v>
      </c>
      <c r="F57" s="73">
        <f>(MAX($B$48-$B$28,0)-MAX($B$49-$B$28,0)-$C$48+$C$49)*$B$14</f>
        <v>1365.48</v>
      </c>
      <c r="G57" s="73">
        <f>(MAX($B$48-$B$4,0)-MAX($B$49-$B$4,0)-$C$48+$C$49)*$B$14</f>
        <v>-334.52000000000004</v>
      </c>
      <c r="H57" s="73">
        <f>(MAX($B$48-$B$29,0)-MAX($B$49-$B$29,0)-$C$48+$C$49)*$B$14</f>
        <v>-120.81011090034562</v>
      </c>
      <c r="I57" s="73">
        <f>(MAX($B$48-$B$30,0)-MAX($B$49-$B$30,0)-$C$48+$C$49)*$B$14</f>
        <v>-334.52000000000004</v>
      </c>
      <c r="J57" s="69">
        <f>1-NORMSDIST((LN($B$27/(E57))-$B$13^2*$B$9/2)/($B$13*SQRT($B$9)))</f>
        <v>0.4257542556078414</v>
      </c>
    </row>
    <row r="59">
      <c r="A59" s="21" t="inlineStr">
        <is>
          <t>Model output, not a recommendation. Not a licensed advisor.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2026-10-21T06:21:01Z</dcterms:modified>
  <cp:lastModifiedBy>Wang, Eric</cp:lastModifiedBy>
</cp:coreProperties>
</file>