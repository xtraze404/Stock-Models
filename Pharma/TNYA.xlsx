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Tenaya Therapeutics, Inc.</t>
        </is>
      </c>
      <c r="C2" s="10" t="n"/>
    </row>
    <row r="3">
      <c r="B3" t="inlineStr">
        <is>
          <t>Price</t>
        </is>
      </c>
      <c r="C3" s="11">
        <f>INDEX([1]Pharma!$F$1:$F$1000,MATCH("TNYA",[1]Pharma!$B$1:$B$1000,0))</f>
        <v>0.41</v>
      </c>
      <c r="F3" s="1" t="n"/>
    </row>
    <row r="4">
      <c r="B4" t="inlineStr">
        <is>
          <t>Shares</t>
        </is>
      </c>
      <c r="C4" s="21" t="n">
        <v>224.230012</v>
      </c>
      <c r="F4" s="1" t="n"/>
    </row>
    <row r="5">
      <c r="B5" t="inlineStr">
        <is>
          <t>Market Cap.</t>
        </is>
      </c>
      <c r="C5" s="13">
        <f>C3*C4</f>
        <v>91.93430491999999</v>
      </c>
      <c r="F5" s="1" t="n"/>
    </row>
    <row r="6"/>
    <row r="7">
      <c r="B7" t="inlineStr">
        <is>
          <t>Cash</t>
        </is>
      </c>
      <c r="C7" s="21" t="n">
        <v>78.08499999999999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13.849304919999994</v>
      </c>
    </row>
    <row r="10"/>
    <row r="11">
      <c r="B11" s="14" t="inlineStr">
        <is>
          <t>Net Cash / Share</t>
        </is>
      </c>
      <c r="C11" s="11">
        <f>(C7-C8)/C4</f>
        <v>0.3482361674225839</v>
      </c>
    </row>
    <row r="12">
      <c r="B12" s="14" t="inlineStr">
        <is>
          <t>Upside</t>
        </is>
      </c>
      <c r="C12" s="15">
        <f>IFERROR(C11/C3-1,"")</f>
        <v>-0.15064349409125877</v>
      </c>
    </row>
    <row r="13">
      <c r="B13" s="14" t="inlineStr">
        <is>
          <t>Cash / Share</t>
        </is>
      </c>
      <c r="C13" s="11">
        <f>IFERROR((C7-C8)/C4,"")</f>
        <v>0.3482361674225839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-52.325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1.4923076923076921</v>
      </c>
    </row>
    <row r="19">
      <c r="B19" s="14" t="inlineStr">
        <is>
          <t>Implied Pipeline Value</t>
        </is>
      </c>
      <c r="C19" s="13">
        <f>C9</f>
        <v>13.849304919999994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31.099</v>
      </c>
      <c r="C5" s="23" t="n">
        <v>54.393</v>
      </c>
      <c r="D5" s="23" t="n">
        <v>94.53700000000001</v>
      </c>
      <c r="E5" s="23" t="n">
        <v>98.038</v>
      </c>
      <c r="F5" s="23" t="n">
        <v>86.742</v>
      </c>
      <c r="G5" s="23" t="n">
        <v>68.607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7.813</v>
      </c>
      <c r="C6" s="23" t="n">
        <v>18.413</v>
      </c>
      <c r="D6" s="23" t="n">
        <v>31.084</v>
      </c>
      <c r="E6" s="23" t="n">
        <v>33.155</v>
      </c>
      <c r="F6" s="23" t="n">
        <v>29.206</v>
      </c>
      <c r="G6" s="23" t="n">
        <v>24.724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38.912</v>
      </c>
      <c r="C7" s="23">
        <f>SUM(C5:C6)</f>
        <v>72.806</v>
      </c>
      <c r="D7" s="23">
        <f>SUM(D5:D6)</f>
        <v>125.62100000000001</v>
      </c>
      <c r="E7" s="23">
        <f>SUM(E5:E6)</f>
        <v>131.19299999999998</v>
      </c>
      <c r="F7" s="23">
        <f>SUM(F5:F6)</f>
        <v>115.94800000000001</v>
      </c>
      <c r="G7" s="23">
        <f>SUM(G5:G6)</f>
        <v>93.331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-38.912</v>
      </c>
      <c r="C8" s="23">
        <f>C4-C7</f>
        <v>-72.806</v>
      </c>
      <c r="D8" s="23">
        <f>D4-D7</f>
        <v>-125.62100000000001</v>
      </c>
      <c r="E8" s="23">
        <f>E4-E7</f>
        <v>-131.19299999999998</v>
      </c>
      <c r="F8" s="23">
        <f>F4-F7</f>
        <v>-115.94800000000001</v>
      </c>
      <c r="G8" s="23">
        <f>G4-G7</f>
        <v>-93.331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0.517</v>
      </c>
      <c r="C9" s="23" t="n">
        <v>0.08500000000000001</v>
      </c>
      <c r="D9" s="23" t="n">
        <v>1.956</v>
      </c>
      <c r="E9" s="23" t="n">
        <v>7.109</v>
      </c>
      <c r="F9" s="23" t="n">
        <v>4.819</v>
      </c>
      <c r="G9" s="23" t="n">
        <v>2.734</v>
      </c>
    </row>
    <row r="10">
      <c r="A10" s="2" t="inlineStr">
        <is>
          <t>Pretax</t>
        </is>
      </c>
      <c r="B10" s="23">
        <f>B8+B9</f>
        <v>-38.394999999999996</v>
      </c>
      <c r="C10" s="23">
        <f>C8+C9</f>
        <v>-72.721</v>
      </c>
      <c r="D10" s="23">
        <f>D8+D9</f>
        <v>-123.665</v>
      </c>
      <c r="E10" s="23">
        <f>E8+E9</f>
        <v>-124.08399999999999</v>
      </c>
      <c r="F10" s="23">
        <f>F8+F9</f>
        <v>-111.129</v>
      </c>
      <c r="G10" s="23">
        <f>G8+G9</f>
        <v>-90.59700000000001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-38.395</v>
      </c>
      <c r="C12" s="23" t="n">
        <v>-72.721</v>
      </c>
      <c r="D12" s="23" t="n">
        <v>-123.665</v>
      </c>
      <c r="E12" s="23" t="n">
        <v>-124.084</v>
      </c>
      <c r="F12" s="23" t="n">
        <v>-111.129</v>
      </c>
      <c r="G12" s="23" t="n">
        <v>-90.59699999999999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-2.194250771516745</v>
      </c>
      <c r="C13" s="11">
        <f>IFERROR(C12/C14,0)</f>
        <v>-4.100654110747716</v>
      </c>
      <c r="D13" s="11">
        <f>IFERROR(D12/D14,0)</f>
        <v>-2.7589014813492776</v>
      </c>
      <c r="E13" s="11">
        <f>IFERROR(E12/E14,0)</f>
        <v>-1.6816740303038518</v>
      </c>
      <c r="F13" s="11">
        <f>IFERROR(F12/F14,0)</f>
        <v>-1.310143594822098</v>
      </c>
      <c r="G13" s="11">
        <f>IFERROR(G12/G14,0)</f>
        <v>-0.5922495113452876</v>
      </c>
    </row>
    <row r="14">
      <c r="A14" s="2" t="inlineStr">
        <is>
          <t>Shares</t>
        </is>
      </c>
      <c r="B14" s="23" t="n">
        <v>17.498</v>
      </c>
      <c r="C14" s="23" t="n">
        <v>17.734</v>
      </c>
      <c r="D14" s="23" t="n">
        <v>44.824</v>
      </c>
      <c r="E14" s="23" t="n">
        <v>73.786</v>
      </c>
      <c r="F14" s="23" t="n">
        <v>84.822</v>
      </c>
      <c r="G14" s="23" t="n">
        <v>152.971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2026-10-21T01:06:00Z</dcterms:modified>
  <cp:lastModifiedBy>Wang, Eric</cp:lastModifiedBy>
</cp:coreProperties>
</file>