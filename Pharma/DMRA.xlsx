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Damora Therapeutics Inc</t>
        </is>
      </c>
      <c r="C2" s="10" t="n"/>
    </row>
    <row r="3">
      <c r="B3" t="inlineStr">
        <is>
          <t>Price</t>
        </is>
      </c>
      <c r="C3" s="11">
        <f>INDEX([1]Pharma!$F$1:$F$1000,MATCH("DMRA",[1]Pharma!$B$1:$B$1000,0))</f>
        <v>20.67</v>
      </c>
      <c r="F3" s="1" t="n"/>
    </row>
    <row r="4">
      <c r="B4" t="inlineStr">
        <is>
          <t>Shares</t>
        </is>
      </c>
      <c r="C4" s="21" t="n">
        <v>61.735519</v>
      </c>
      <c r="F4" s="1" t="n"/>
    </row>
    <row r="5">
      <c r="B5" t="inlineStr">
        <is>
          <t>Market Cap.</t>
        </is>
      </c>
      <c r="C5" s="13">
        <f>C3*C4</f>
        <v>1276.07317773</v>
      </c>
      <c r="F5" s="1" t="n"/>
    </row>
    <row r="6"/>
    <row r="7">
      <c r="B7" t="inlineStr">
        <is>
          <t>Cash</t>
        </is>
      </c>
      <c r="C7" s="21" t="n">
        <v>540.515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735.55817773</v>
      </c>
    </row>
    <row r="10"/>
    <row r="11">
      <c r="B11" s="14" t="inlineStr">
        <is>
          <t>rNPV / Share</t>
        </is>
      </c>
      <c r="C11" s="11">
        <f>NPV!B27</f>
        <v>-3.5139402078332593</v>
      </c>
    </row>
    <row r="12">
      <c r="B12" s="14" t="inlineStr">
        <is>
          <t>Upside</t>
        </is>
      </c>
      <c r="C12" s="15">
        <f>IFERROR(C11/C3-1,"")</f>
        <v>-1.1700019452265729</v>
      </c>
    </row>
    <row r="13">
      <c r="B13" s="14" t="inlineStr">
        <is>
          <t>Cash / Share</t>
        </is>
      </c>
      <c r="C13" s="11">
        <f>IFERROR((C7-C8)/C4,"")</f>
        <v>8.755332566330251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-44.515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12.142311580366169</v>
      </c>
    </row>
    <row r="19">
      <c r="B19" s="14" t="inlineStr">
        <is>
          <t>Implied Pipeline Value</t>
        </is>
      </c>
      <c r="C19" s="13">
        <f>C9</f>
        <v>735.55817773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2019</v>
      </c>
      <c r="C1" s="17" t="n">
        <v>2020</v>
      </c>
      <c r="D1" s="17" t="n">
        <v>2021</v>
      </c>
      <c r="E1" s="17" t="n">
        <v>2022</v>
      </c>
      <c r="F1" s="17" t="n">
        <v>2023</v>
      </c>
      <c r="G1" s="17" t="n">
        <v>2024</v>
      </c>
      <c r="H1" s="17" t="n">
        <v>2025</v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19.738</v>
      </c>
      <c r="C5" s="23" t="n">
        <v>24.627</v>
      </c>
      <c r="D5" s="23" t="n">
        <v>38.488</v>
      </c>
      <c r="E5" s="23" t="n">
        <v>48.206</v>
      </c>
      <c r="F5" s="23" t="n">
        <v>23.77</v>
      </c>
      <c r="G5" s="23" t="n">
        <v>6.398</v>
      </c>
      <c r="H5" s="23" t="n">
        <v>26.877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-58.709</v>
      </c>
      <c r="C6" s="23" t="n">
        <v>9.01</v>
      </c>
      <c r="D6" s="23" t="n">
        <v>13.739</v>
      </c>
      <c r="E6" s="23" t="n">
        <v>13.001</v>
      </c>
      <c r="F6" s="23" t="n">
        <v>16.135</v>
      </c>
      <c r="G6" s="23" t="n">
        <v>15.862</v>
      </c>
      <c r="H6" s="23" t="n">
        <v>183.995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-38.971000000000004</v>
      </c>
      <c r="C7" s="23">
        <f>SUM(C5:C6)</f>
        <v>33.637</v>
      </c>
      <c r="D7" s="23">
        <f>SUM(D5:D6)</f>
        <v>52.227000000000004</v>
      </c>
      <c r="E7" s="23">
        <f>SUM(E5:E6)</f>
        <v>61.207</v>
      </c>
      <c r="F7" s="23">
        <f>SUM(F5:F6)</f>
        <v>39.905</v>
      </c>
      <c r="G7" s="23">
        <f>SUM(G5:G6)</f>
        <v>22.259999999999998</v>
      </c>
      <c r="H7" s="23">
        <f>SUM(H5:H6)</f>
        <v>210.872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38.971000000000004</v>
      </c>
      <c r="C8" s="23">
        <f>C4-C7</f>
        <v>-33.637</v>
      </c>
      <c r="D8" s="23">
        <f>D4-D7</f>
        <v>-52.227000000000004</v>
      </c>
      <c r="E8" s="23">
        <f>E4-E7</f>
        <v>-61.207</v>
      </c>
      <c r="F8" s="23">
        <f>F4-F7</f>
        <v>-39.905</v>
      </c>
      <c r="G8" s="23">
        <f>G4-G7</f>
        <v>-22.259999999999998</v>
      </c>
      <c r="H8" s="23">
        <f>H4-H7</f>
        <v>-210.872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-75.47799999999999</v>
      </c>
      <c r="C9" s="23" t="n">
        <v>-1.2</v>
      </c>
      <c r="D9" s="23" t="n">
        <v>0.475</v>
      </c>
      <c r="E9" s="23" t="n">
        <v>-0.417</v>
      </c>
      <c r="F9" s="23" t="n">
        <v>1.556</v>
      </c>
      <c r="G9" s="23" t="n">
        <v>0.862</v>
      </c>
      <c r="H9" s="23" t="n">
        <v>1.083</v>
      </c>
    </row>
    <row r="10">
      <c r="A10" s="2" t="inlineStr">
        <is>
          <t>Pretax</t>
        </is>
      </c>
      <c r="B10" s="23">
        <f>B8+B9</f>
        <v>-36.50699999999999</v>
      </c>
      <c r="C10" s="23">
        <f>C8+C9</f>
        <v>-34.837</v>
      </c>
      <c r="D10" s="23">
        <f>D8+D9</f>
        <v>-51.752</v>
      </c>
      <c r="E10" s="23">
        <f>E8+E9</f>
        <v>-61.624</v>
      </c>
      <c r="F10" s="23">
        <f>F8+F9</f>
        <v>-38.349000000000004</v>
      </c>
      <c r="G10" s="23">
        <f>G8+G9</f>
        <v>-21.398</v>
      </c>
      <c r="H10" s="23">
        <f>H8+H9</f>
        <v>-209.78900000000002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0.041</v>
      </c>
      <c r="H11" s="23" t="n">
        <v>0.05</v>
      </c>
    </row>
    <row r="12">
      <c r="A12" s="2" t="inlineStr">
        <is>
          <t>Net Income</t>
        </is>
      </c>
      <c r="B12" s="23" t="n">
        <v>-36.507</v>
      </c>
      <c r="C12" s="23" t="n">
        <v>-34.837</v>
      </c>
      <c r="D12" s="23" t="n">
        <v>-51.752</v>
      </c>
      <c r="E12" s="23" t="n">
        <v>-61.624</v>
      </c>
      <c r="F12" s="23" t="n">
        <v>-38.349</v>
      </c>
      <c r="G12" s="23" t="n">
        <v>-21.439</v>
      </c>
      <c r="H12" s="23" t="n">
        <v>-209.839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-3318.818181818182</v>
      </c>
      <c r="C13" s="11">
        <f>IFERROR(C12/C14,0)</f>
        <v>-182.39267015706807</v>
      </c>
      <c r="D13" s="11">
        <f>IFERROR(D12/D14,0)</f>
        <v>-49.14719848053182</v>
      </c>
      <c r="E13" s="11">
        <f>IFERROR(E12/E14,0)</f>
        <v>-58.19074598677999</v>
      </c>
      <c r="F13" s="11">
        <f>IFERROR(F12/F14,0)</f>
        <v>-36.07619943555974</v>
      </c>
      <c r="G13" s="11">
        <f>IFERROR(G12/G14,0)</f>
        <v>-18.529818496110632</v>
      </c>
      <c r="H13" s="11">
        <f>IFERROR(H12/H14,0)</f>
        <v>-153.95377842993398</v>
      </c>
    </row>
    <row r="14">
      <c r="A14" s="2" t="inlineStr">
        <is>
          <t>Shares</t>
        </is>
      </c>
      <c r="B14" s="23" t="n">
        <v>0.011</v>
      </c>
      <c r="C14" s="23" t="n">
        <v>0.191</v>
      </c>
      <c r="D14" s="23" t="n">
        <v>1.053</v>
      </c>
      <c r="E14" s="23" t="n">
        <v>1.059</v>
      </c>
      <c r="F14" s="23" t="n">
        <v>1.063</v>
      </c>
      <c r="G14" s="23" t="n">
        <v>1.157</v>
      </c>
      <c r="H14" s="23" t="n">
        <v>1.363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Damora Therapeutics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0.05269999999999997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270.657</v>
      </c>
    </row>
    <row r="19">
      <c r="A19" s="14" t="inlineStr">
        <is>
          <t>Years of full burn (until the first launch, max 4)</t>
        </is>
      </c>
      <c r="B19" s="39">
        <f>MIN(4,MAX(1,MIN(Pipeline!I4:I4)-2026))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454.3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-757.4499224655541</v>
      </c>
      <c r="C29" s="42">
        <f>NPV!B25</f>
        <v>-216.9349224655541</v>
      </c>
      <c r="D29" s="43">
        <f>NPV!B27</f>
        <v>-3.5139402078332593</v>
      </c>
      <c r="E29" s="44">
        <f>NPV!B29</f>
        <v>-1.1700019452265729</v>
      </c>
    </row>
    <row r="30">
      <c r="A30" s="45" t="n">
        <v>1</v>
      </c>
      <c r="B30" s="46">
        <f t="dataTable" ref="B30:E32" r1="B4"/>
        <v>-756.9053082358903</v>
      </c>
      <c r="C30" s="46">
        <v>-216.3903082358903</v>
      </c>
      <c r="D30" s="47">
        <v>-3.5051184754094367</v>
      </c>
      <c r="E30" s="48">
        <v>-1.1695751560430303</v>
      </c>
    </row>
    <row r="31">
      <c r="A31" s="45" t="n">
        <v>2</v>
      </c>
      <c r="B31" s="46">
        <v>-757.4499224655541</v>
      </c>
      <c r="C31" s="46">
        <v>-216.9349224655541</v>
      </c>
      <c r="D31" s="47">
        <v>-3.5139402078332593</v>
      </c>
      <c r="E31" s="48">
        <v>-1.1700019452265729</v>
      </c>
    </row>
    <row r="32">
      <c r="A32" s="45" t="n">
        <v>3</v>
      </c>
      <c r="B32" s="46">
        <v>-740.7179664449544</v>
      </c>
      <c r="C32" s="46">
        <v>-200.20296644495443</v>
      </c>
      <c r="D32" s="47">
        <v>-3.242913798861146</v>
      </c>
      <c r="E32" s="48">
        <v>-1.1568898789966688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-3.5139402078332593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-3.89963377575287</v>
      </c>
      <c r="C37" s="47">
        <v>-3.7875073953726015</v>
      </c>
      <c r="D37" s="47">
        <v>-3.675381014992335</v>
      </c>
      <c r="E37" s="47">
        <v>-3.451128254231795</v>
      </c>
      <c r="F37" s="47">
        <v>-3.2268754934712547</v>
      </c>
    </row>
    <row r="38">
      <c r="A38" s="50" t="n">
        <v>0.8</v>
      </c>
      <c r="B38" s="47">
        <v>-3.8936642924268474</v>
      </c>
      <c r="C38" s="47">
        <v>-3.7441624519198218</v>
      </c>
      <c r="D38" s="47">
        <v>-3.5946606114127944</v>
      </c>
      <c r="E38" s="47">
        <v>-3.295656930398743</v>
      </c>
      <c r="F38" s="47">
        <v>-2.99665324938469</v>
      </c>
    </row>
    <row r="39">
      <c r="A39" s="50" t="n">
        <v>1</v>
      </c>
      <c r="B39" s="47">
        <v>-3.887694809100821</v>
      </c>
      <c r="C39" s="47">
        <v>-3.7008175084670403</v>
      </c>
      <c r="D39" s="47">
        <v>-3.5139402078332593</v>
      </c>
      <c r="E39" s="47">
        <v>-3.1401856065656952</v>
      </c>
      <c r="F39" s="47">
        <v>-2.7664310052981294</v>
      </c>
    </row>
    <row r="40">
      <c r="A40" s="50" t="n">
        <v>1.2</v>
      </c>
      <c r="B40" s="47">
        <v>-3.881725325774801</v>
      </c>
      <c r="C40" s="47">
        <v>-3.6574725650142588</v>
      </c>
      <c r="D40" s="47">
        <v>-3.4332198042537203</v>
      </c>
      <c r="E40" s="47">
        <v>-2.9847142827326434</v>
      </c>
      <c r="F40" s="47">
        <v>-2.5362087612115647</v>
      </c>
    </row>
    <row r="41">
      <c r="A41" s="50" t="n">
        <v>1.4</v>
      </c>
      <c r="B41" s="47">
        <v>-3.875755842448773</v>
      </c>
      <c r="C41" s="47">
        <v>-3.614127621561479</v>
      </c>
      <c r="D41" s="47">
        <v>-3.352499400674183</v>
      </c>
      <c r="E41" s="47">
        <v>-2.8292429588995915</v>
      </c>
      <c r="F41" s="47">
        <v>-2.3059865171250005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Damora Therapeutics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Myelofibrosis / MDS / MPN</t>
        </is>
      </c>
      <c r="C4" s="14" t="inlineStr">
        <is>
          <t>DMR-001, Ruxolitinib</t>
        </is>
      </c>
      <c r="D4" s="14" t="inlineStr">
        <is>
          <t>Phase 1</t>
        </is>
      </c>
      <c r="E4" s="14" t="inlineStr">
        <is>
          <t>Oncology / area</t>
        </is>
      </c>
      <c r="F4" s="14" t="inlineStr">
        <is>
          <t>Owned</t>
        </is>
      </c>
      <c r="G4" s="40" t="n">
        <v>1000</v>
      </c>
      <c r="H4" s="27" t="n">
        <v>0.0527</v>
      </c>
      <c r="I4" s="26" t="n">
        <v>2033</v>
      </c>
      <c r="J4" s="39">
        <f>I4+Assumptions!$B$25</f>
        <v>2045.0</v>
      </c>
      <c r="K4" s="53">
        <f>Assumptions!$E$13</f>
        <v>0.4</v>
      </c>
      <c r="L4" s="23">
        <f>K4*SUMPRODUCT(M4:AF4,NPV!$C$15:$V$15)</f>
        <v>46.14786857578234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0</v>
      </c>
      <c r="S4" s="23">
        <f>IF(S$3&lt;$I4,0,$G4*Assumptions!$E$11*INDEX(Assumptions!$B$24:$G$24,MIN(6,S$3-$I4+1))*IF(S$3&gt;$J4,(1-Assumptions!$B$26)^(S$3-$J4),1)*IF($H4&gt;=1,1,MIN(0.97,$H4*Assumptions!$E$12)))</f>
        <v>0</v>
      </c>
      <c r="T4" s="23">
        <f>IF(T$3&lt;$I4,0,$G4*Assumptions!$E$11*INDEX(Assumptions!$B$24:$G$24,MIN(6,T$3-$I4+1))*IF(T$3&gt;$J4,(1-Assumptions!$B$26)^(T$3-$J4),1)*IF($H4&gt;=1,1,MIN(0.97,$H4*Assumptions!$E$12)))</f>
        <v>5.27</v>
      </c>
      <c r="U4" s="23">
        <f>IF(U$3&lt;$I4,0,$G4*Assumptions!$E$11*INDEX(Assumptions!$B$24:$G$24,MIN(6,U$3-$I4+1))*IF(U$3&gt;$J4,(1-Assumptions!$B$26)^(U$3-$J4),1)*IF($H4&gt;=1,1,MIN(0.97,$H4*Assumptions!$E$12)))</f>
        <v>13.174999999999999</v>
      </c>
      <c r="V4" s="23">
        <f>IF(V$3&lt;$I4,0,$G4*Assumptions!$E$11*INDEX(Assumptions!$B$24:$G$24,MIN(6,V$3-$I4+1))*IF(V$3&gt;$J4,(1-Assumptions!$B$26)^(V$3-$J4),1)*IF($H4&gt;=1,1,MIN(0.97,$H4*Assumptions!$E$12)))</f>
        <v>23.715</v>
      </c>
      <c r="W4" s="23">
        <f>IF(W$3&lt;$I4,0,$G4*Assumptions!$E$11*INDEX(Assumptions!$B$24:$G$24,MIN(6,W$3-$I4+1))*IF(W$3&gt;$J4,(1-Assumptions!$B$26)^(W$3-$J4),1)*IF($H4&gt;=1,1,MIN(0.97,$H4*Assumptions!$E$12)))</f>
        <v>34.254999999999995</v>
      </c>
      <c r="X4" s="23">
        <f>IF(X$3&lt;$I4,0,$G4*Assumptions!$E$11*INDEX(Assumptions!$B$24:$G$24,MIN(6,X$3-$I4+1))*IF(X$3&gt;$J4,(1-Assumptions!$B$26)^(X$3-$J4),1)*IF($H4&gt;=1,1,MIN(0.97,$H4*Assumptions!$E$12)))</f>
        <v>44.794999999999995</v>
      </c>
      <c r="Y4" s="23">
        <f>IF(Y$3&lt;$I4,0,$G4*Assumptions!$E$11*INDEX(Assumptions!$B$24:$G$24,MIN(6,Y$3-$I4+1))*IF(Y$3&gt;$J4,(1-Assumptions!$B$26)^(Y$3-$J4),1)*IF($H4&gt;=1,1,MIN(0.97,$H4*Assumptions!$E$12)))</f>
        <v>52.699999999999996</v>
      </c>
      <c r="Z4" s="23">
        <f>IF(Z$3&lt;$I4,0,$G4*Assumptions!$E$11*INDEX(Assumptions!$B$24:$G$24,MIN(6,Z$3-$I4+1))*IF(Z$3&gt;$J4,(1-Assumptions!$B$26)^(Z$3-$J4),1)*IF($H4&gt;=1,1,MIN(0.97,$H4*Assumptions!$E$12)))</f>
        <v>52.699999999999996</v>
      </c>
      <c r="AA4" s="23">
        <f>IF(AA$3&lt;$I4,0,$G4*Assumptions!$E$11*INDEX(Assumptions!$B$24:$G$24,MIN(6,AA$3-$I4+1))*IF(AA$3&gt;$J4,(1-Assumptions!$B$26)^(AA$3-$J4),1)*IF($H4&gt;=1,1,MIN(0.97,$H4*Assumptions!$E$12)))</f>
        <v>52.699999999999996</v>
      </c>
      <c r="AB4" s="23">
        <f>IF(AB$3&lt;$I4,0,$G4*Assumptions!$E$11*INDEX(Assumptions!$B$24:$G$24,MIN(6,AB$3-$I4+1))*IF(AB$3&gt;$J4,(1-Assumptions!$B$26)^(AB$3-$J4),1)*IF($H4&gt;=1,1,MIN(0.97,$H4*Assumptions!$E$12)))</f>
        <v>52.699999999999996</v>
      </c>
      <c r="AC4" s="23">
        <f>IF(AC$3&lt;$I4,0,$G4*Assumptions!$E$11*INDEX(Assumptions!$B$24:$G$24,MIN(6,AC$3-$I4+1))*IF(AC$3&gt;$J4,(1-Assumptions!$B$26)^(AC$3-$J4),1)*IF($H4&gt;=1,1,MIN(0.97,$H4*Assumptions!$E$12)))</f>
        <v>52.699999999999996</v>
      </c>
      <c r="AD4" s="23">
        <f>IF(AD$3&lt;$I4,0,$G4*Assumptions!$E$11*INDEX(Assumptions!$B$24:$G$24,MIN(6,AD$3-$I4+1))*IF(AD$3&gt;$J4,(1-Assumptions!$B$26)^(AD$3-$J4),1)*IF($H4&gt;=1,1,MIN(0.97,$H4*Assumptions!$E$12)))</f>
        <v>52.699999999999996</v>
      </c>
      <c r="AE4" s="23">
        <f>IF(AE$3&lt;$I4,0,$G4*Assumptions!$E$11*INDEX(Assumptions!$B$24:$G$24,MIN(6,AE$3-$I4+1))*IF(AE$3&gt;$J4,(1-Assumptions!$B$26)^(AE$3-$J4),1)*IF($H4&gt;=1,1,MIN(0.97,$H4*Assumptions!$E$12)))</f>
        <v>52.699999999999996</v>
      </c>
      <c r="AF4" s="23">
        <f>IF(AF$3&lt;$I4,0,$G4*Assumptions!$E$11*INDEX(Assumptions!$B$24:$G$24,MIN(6,AF$3-$I4+1))*IF(AF$3&gt;$J4,(1-Assumptions!$B$26)^(AF$3-$J4),1)*IF($H4&gt;=1,1,MIN(0.97,$H4*Assumptions!$E$12)))</f>
        <v>52.699999999999996</v>
      </c>
      <c r="AG4" s="35">
        <f>IF(F4="Owned",1-IF(H4&gt;=1,1,MIN(0.97,H4*Assumptions!$E$12)),1)</f>
        <v>0.9473</v>
      </c>
    </row>
    <row r="5">
      <c r="B5" s="24" t="inlineStr">
        <is>
          <t>Risked revenue</t>
        </is>
      </c>
      <c r="L5" s="54">
        <f>SUM(L4:L4)</f>
        <v>46.14786857578234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0.0</v>
      </c>
      <c r="Q5" s="54">
        <f>SUM(Q4:Q4)</f>
        <v>0.0</v>
      </c>
      <c r="R5" s="54">
        <f>SUM(R4:R4)</f>
        <v>0.0</v>
      </c>
      <c r="S5" s="54">
        <f>SUM(S4:S4)</f>
        <v>0.0</v>
      </c>
      <c r="T5" s="54">
        <f>SUM(T4:T4)</f>
        <v>5.27</v>
      </c>
      <c r="U5" s="54">
        <f>SUM(U4:U4)</f>
        <v>13.174999999999999</v>
      </c>
      <c r="V5" s="54">
        <f>SUM(V4:V4)</f>
        <v>23.715</v>
      </c>
      <c r="W5" s="54">
        <f>SUM(W4:W4)</f>
        <v>34.254999999999995</v>
      </c>
      <c r="X5" s="54">
        <f>SUM(X4:X4)</f>
        <v>44.794999999999995</v>
      </c>
      <c r="Y5" s="54">
        <f>SUM(Y4:Y4)</f>
        <v>52.699999999999996</v>
      </c>
      <c r="Z5" s="54">
        <f>SUM(Z4:Z4)</f>
        <v>52.699999999999996</v>
      </c>
      <c r="AA5" s="54">
        <f>SUM(AA4:AA4)</f>
        <v>52.699999999999996</v>
      </c>
      <c r="AB5" s="54">
        <f>SUM(AB4:AB4)</f>
        <v>52.699999999999996</v>
      </c>
      <c r="AC5" s="54">
        <f>SUM(AC4:AC4)</f>
        <v>52.699999999999996</v>
      </c>
      <c r="AD5" s="54">
        <f>SUM(AD4:AD4)</f>
        <v>52.699999999999996</v>
      </c>
      <c r="AE5" s="54">
        <f>SUM(AE4:AE4)</f>
        <v>52.699999999999996</v>
      </c>
      <c r="AF5" s="54">
        <f>SUM(AF4:AF4)</f>
        <v>52.699999999999996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0.0</v>
      </c>
      <c r="Q6" s="55">
        <f>SUMPRODUCT(Q4:Q4,$K$4:$K$4)</f>
        <v>0.0</v>
      </c>
      <c r="R6" s="55">
        <f>SUMPRODUCT(R4:R4,$K$4:$K$4)</f>
        <v>0.0</v>
      </c>
      <c r="S6" s="55">
        <f>SUMPRODUCT(S4:S4,$K$4:$K$4)</f>
        <v>0.0</v>
      </c>
      <c r="T6" s="55">
        <f>SUMPRODUCT(T4:T4,$K$4:$K$4)</f>
        <v>2.108</v>
      </c>
      <c r="U6" s="55">
        <f>SUMPRODUCT(U4:U4,$K$4:$K$4)</f>
        <v>5.27</v>
      </c>
      <c r="V6" s="55">
        <f>SUMPRODUCT(V4:V4,$K$4:$K$4)</f>
        <v>9.486</v>
      </c>
      <c r="W6" s="55">
        <f>SUMPRODUCT(W4:W4,$K$4:$K$4)</f>
        <v>13.701999999999998</v>
      </c>
      <c r="X6" s="55">
        <f>SUMPRODUCT(X4:X4,$K$4:$K$4)</f>
        <v>17.918</v>
      </c>
      <c r="Y6" s="55">
        <f>SUMPRODUCT(Y4:Y4,$K$4:$K$4)</f>
        <v>21.08</v>
      </c>
      <c r="Z6" s="55">
        <f>SUMPRODUCT(Z4:Z4,$K$4:$K$4)</f>
        <v>21.08</v>
      </c>
      <c r="AA6" s="55">
        <f>SUMPRODUCT(AA4:AA4,$K$4:$K$4)</f>
        <v>21.08</v>
      </c>
      <c r="AB6" s="55">
        <f>SUMPRODUCT(AB4:AB4,$K$4:$K$4)</f>
        <v>21.08</v>
      </c>
      <c r="AC6" s="55">
        <f>SUMPRODUCT(AC4:AC4,$K$4:$K$4)</f>
        <v>21.08</v>
      </c>
      <c r="AD6" s="55">
        <f>SUMPRODUCT(AD4:AD4,$K$4:$K$4)</f>
        <v>21.08</v>
      </c>
      <c r="AE6" s="55">
        <f>SUMPRODUCT(AE4:AE4,$K$4:$K$4)</f>
        <v>21.08</v>
      </c>
      <c r="AF6" s="55">
        <f>SUMPRODUCT(AF4:AF4,$K$4:$K$4)</f>
        <v>21.08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Damora Therapeutics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0.0</v>
      </c>
      <c r="G4" s="57">
        <f>Pipeline!Q5</f>
        <v>0.0</v>
      </c>
      <c r="H4" s="57">
        <f>Pipeline!R5</f>
        <v>0.0</v>
      </c>
      <c r="I4" s="57">
        <f>Pipeline!S5</f>
        <v>0.0</v>
      </c>
      <c r="J4" s="57">
        <f>Pipeline!T5</f>
        <v>5.27</v>
      </c>
      <c r="K4" s="57">
        <f>Pipeline!U5</f>
        <v>13.174999999999999</v>
      </c>
      <c r="L4" s="57">
        <f>Pipeline!V5</f>
        <v>23.715</v>
      </c>
      <c r="M4" s="57">
        <f>Pipeline!W5</f>
        <v>34.254999999999995</v>
      </c>
      <c r="N4" s="57">
        <f>Pipeline!X5</f>
        <v>44.794999999999995</v>
      </c>
      <c r="O4" s="57">
        <f>Pipeline!Y5</f>
        <v>52.699999999999996</v>
      </c>
      <c r="P4" s="57">
        <f>Pipeline!Z5</f>
        <v>52.699999999999996</v>
      </c>
      <c r="Q4" s="57">
        <f>Pipeline!AA5</f>
        <v>52.699999999999996</v>
      </c>
      <c r="R4" s="57">
        <f>Pipeline!AB5</f>
        <v>52.699999999999996</v>
      </c>
      <c r="S4" s="57">
        <f>Pipeline!AC5</f>
        <v>52.699999999999996</v>
      </c>
      <c r="T4" s="57">
        <f>Pipeline!AD5</f>
        <v>52.699999999999996</v>
      </c>
      <c r="U4" s="57">
        <f>Pipeline!AE5</f>
        <v>52.699999999999996</v>
      </c>
      <c r="V4" s="57">
        <f>Pipeline!AF5</f>
        <v>52.699999999999996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0.0</v>
      </c>
      <c r="G5" s="57">
        <f>Pipeline!Q6</f>
        <v>0.0</v>
      </c>
      <c r="H5" s="57">
        <f>Pipeline!R6</f>
        <v>0.0</v>
      </c>
      <c r="I5" s="57">
        <f>Pipeline!S6</f>
        <v>0.0</v>
      </c>
      <c r="J5" s="57">
        <f>Pipeline!T6</f>
        <v>2.108</v>
      </c>
      <c r="K5" s="57">
        <f>Pipeline!U6</f>
        <v>5.27</v>
      </c>
      <c r="L5" s="57">
        <f>Pipeline!V6</f>
        <v>9.486</v>
      </c>
      <c r="M5" s="57">
        <f>Pipeline!W6</f>
        <v>13.701999999999998</v>
      </c>
      <c r="N5" s="57">
        <f>Pipeline!X6</f>
        <v>17.918</v>
      </c>
      <c r="O5" s="57">
        <f>Pipeline!Y6</f>
        <v>21.08</v>
      </c>
      <c r="P5" s="57">
        <f>Pipeline!Z6</f>
        <v>21.08</v>
      </c>
      <c r="Q5" s="57">
        <f>Pipeline!AA6</f>
        <v>21.08</v>
      </c>
      <c r="R5" s="57">
        <f>Pipeline!AB6</f>
        <v>21.08</v>
      </c>
      <c r="S5" s="57">
        <f>Pipeline!AC6</f>
        <v>21.08</v>
      </c>
      <c r="T5" s="57">
        <f>Pipeline!AD6</f>
        <v>21.08</v>
      </c>
      <c r="U5" s="57">
        <f>Pipeline!AE6</f>
        <v>21.08</v>
      </c>
      <c r="V5" s="57">
        <f>Pipeline!AF6</f>
        <v>21.08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-270.657</v>
      </c>
      <c r="D6" s="23">
        <f>-IF(D3-2026&lt;Assumptions!$B$19,Assumptions!$B$18,Assumptions!$B$18*Assumptions!$B$20*Assumptions!$B$16)</f>
        <v>-270.657</v>
      </c>
      <c r="E6" s="23">
        <f>-IF(E3-2026&lt;Assumptions!$B$19,Assumptions!$B$18,Assumptions!$B$18*Assumptions!$B$20*Assumptions!$B$16)</f>
        <v>-270.657</v>
      </c>
      <c r="F6" s="23">
        <f>-IF(F3-2026&lt;Assumptions!$B$19,Assumptions!$B$18,Assumptions!$B$18*Assumptions!$B$20*Assumptions!$B$16)</f>
        <v>-270.657</v>
      </c>
      <c r="G6" s="23">
        <f>-IF(G3-2026&lt;Assumptions!$B$19,Assumptions!$B$18,Assumptions!$B$18*Assumptions!$B$20*Assumptions!$B$16)</f>
        <v>-4.279087169999997</v>
      </c>
      <c r="H6" s="23">
        <f>-IF(H3-2026&lt;Assumptions!$B$19,Assumptions!$B$18,Assumptions!$B$18*Assumptions!$B$20*Assumptions!$B$16)</f>
        <v>-4.279087169999997</v>
      </c>
      <c r="I6" s="23">
        <f>-IF(I3-2026&lt;Assumptions!$B$19,Assumptions!$B$18,Assumptions!$B$18*Assumptions!$B$20*Assumptions!$B$16)</f>
        <v>-4.279087169999997</v>
      </c>
      <c r="J6" s="23">
        <f>-IF(J3-2026&lt;Assumptions!$B$19,Assumptions!$B$18,Assumptions!$B$18*Assumptions!$B$20*Assumptions!$B$16)</f>
        <v>-4.279087169999997</v>
      </c>
      <c r="K6" s="23">
        <f>-IF(K3-2026&lt;Assumptions!$B$19,Assumptions!$B$18,Assumptions!$B$18*Assumptions!$B$20*Assumptions!$B$16)</f>
        <v>-4.279087169999997</v>
      </c>
      <c r="L6" s="23">
        <f>-IF(L3-2026&lt;Assumptions!$B$19,Assumptions!$B$18,Assumptions!$B$18*Assumptions!$B$20*Assumptions!$B$16)</f>
        <v>-4.279087169999997</v>
      </c>
      <c r="M6" s="23">
        <f>-IF(M3-2026&lt;Assumptions!$B$19,Assumptions!$B$18,Assumptions!$B$18*Assumptions!$B$20*Assumptions!$B$16)</f>
        <v>-4.279087169999997</v>
      </c>
      <c r="N6" s="23">
        <f>-IF(N3-2026&lt;Assumptions!$B$19,Assumptions!$B$18,Assumptions!$B$18*Assumptions!$B$20*Assumptions!$B$16)</f>
        <v>-4.279087169999997</v>
      </c>
      <c r="O6" s="23">
        <f>-IF(O3-2026&lt;Assumptions!$B$19,Assumptions!$B$18,Assumptions!$B$18*Assumptions!$B$20*Assumptions!$B$16)</f>
        <v>-4.279087169999997</v>
      </c>
      <c r="P6" s="23">
        <f>-IF(P3-2026&lt;Assumptions!$B$19,Assumptions!$B$18,Assumptions!$B$18*Assumptions!$B$20*Assumptions!$B$16)</f>
        <v>-4.279087169999997</v>
      </c>
      <c r="Q6" s="23">
        <f>-IF(Q3-2026&lt;Assumptions!$B$19,Assumptions!$B$18,Assumptions!$B$18*Assumptions!$B$20*Assumptions!$B$16)</f>
        <v>-4.279087169999997</v>
      </c>
      <c r="R6" s="23">
        <f>-IF(R3-2026&lt;Assumptions!$B$19,Assumptions!$B$18,Assumptions!$B$18*Assumptions!$B$20*Assumptions!$B$16)</f>
        <v>-4.279087169999997</v>
      </c>
      <c r="S6" s="23">
        <f>-IF(S3-2026&lt;Assumptions!$B$19,Assumptions!$B$18,Assumptions!$B$18*Assumptions!$B$20*Assumptions!$B$16)</f>
        <v>-4.279087169999997</v>
      </c>
      <c r="T6" s="23">
        <f>-IF(T3-2026&lt;Assumptions!$B$19,Assumptions!$B$18,Assumptions!$B$18*Assumptions!$B$20*Assumptions!$B$16)</f>
        <v>-4.279087169999997</v>
      </c>
      <c r="U6" s="23">
        <f>-IF(U3-2026&lt;Assumptions!$B$19,Assumptions!$B$18,Assumptions!$B$18*Assumptions!$B$20*Assumptions!$B$16)</f>
        <v>-4.279087169999997</v>
      </c>
      <c r="V6" s="23">
        <f>-IF(V3-2026&lt;Assumptions!$B$19,Assumptions!$B$18,Assumptions!$B$18*Assumptions!$B$20*Assumptions!$B$16)</f>
        <v>-4.279087169999997</v>
      </c>
    </row>
    <row r="7">
      <c r="A7" s="14" t="inlineStr">
        <is>
          <t>Pre-tax cash flow</t>
        </is>
      </c>
      <c r="C7" s="23">
        <f>C5+C6</f>
        <v>-270.657</v>
      </c>
      <c r="D7" s="23">
        <f>D5+D6</f>
        <v>-270.657</v>
      </c>
      <c r="E7" s="23">
        <f>E5+E6</f>
        <v>-270.657</v>
      </c>
      <c r="F7" s="23">
        <f>F5+F6</f>
        <v>-270.657</v>
      </c>
      <c r="G7" s="23">
        <f>G5+G6</f>
        <v>-4.279087169999997</v>
      </c>
      <c r="H7" s="23">
        <f>H5+H6</f>
        <v>-4.279087169999997</v>
      </c>
      <c r="I7" s="23">
        <f>I5+I6</f>
        <v>-4.279087169999997</v>
      </c>
      <c r="J7" s="23">
        <f>J5+J6</f>
        <v>-2.1710871699999967</v>
      </c>
      <c r="K7" s="23">
        <f>K5+K6</f>
        <v>0.9909128300000027</v>
      </c>
      <c r="L7" s="23">
        <f>L5+L6</f>
        <v>5.206912830000004</v>
      </c>
      <c r="M7" s="23">
        <f>M5+M6</f>
        <v>9.422912830000001</v>
      </c>
      <c r="N7" s="23">
        <f>N5+N6</f>
        <v>13.638912830000002</v>
      </c>
      <c r="O7" s="23">
        <f>O5+O6</f>
        <v>16.80091283</v>
      </c>
      <c r="P7" s="23">
        <f>P5+P6</f>
        <v>16.80091283</v>
      </c>
      <c r="Q7" s="23">
        <f>Q5+Q6</f>
        <v>16.80091283</v>
      </c>
      <c r="R7" s="23">
        <f>R5+R6</f>
        <v>16.80091283</v>
      </c>
      <c r="S7" s="23">
        <f>S5+S6</f>
        <v>16.80091283</v>
      </c>
      <c r="T7" s="23">
        <f>T5+T6</f>
        <v>16.80091283</v>
      </c>
      <c r="U7" s="23">
        <f>U5+U6</f>
        <v>16.80091283</v>
      </c>
      <c r="V7" s="23">
        <f>V5+V6</f>
        <v>16.80091283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0</v>
      </c>
      <c r="I8" s="23">
        <f>MIN(H17,MAX(0,I7))</f>
        <v>0</v>
      </c>
      <c r="J8" s="23">
        <f>MIN(I17,MAX(0,J7))</f>
        <v>0</v>
      </c>
      <c r="K8" s="23">
        <f>MIN(J17,MAX(0,K7))</f>
        <v>0.9909128300000027</v>
      </c>
      <c r="L8" s="23">
        <f>MIN(K17,MAX(0,L7))</f>
        <v>5.206912830000004</v>
      </c>
      <c r="M8" s="23">
        <f>MIN(L17,MAX(0,M7))</f>
        <v>9.422912830000001</v>
      </c>
      <c r="N8" s="23">
        <f>MIN(M17,MAX(0,N7))</f>
        <v>13.638912830000002</v>
      </c>
      <c r="O8" s="23">
        <f>MIN(N17,MAX(0,O7))</f>
        <v>16.80091283</v>
      </c>
      <c r="P8" s="23">
        <f>MIN(O17,MAX(0,P7))</f>
        <v>16.80091283</v>
      </c>
      <c r="Q8" s="23">
        <f>MIN(P17,MAX(0,Q7))</f>
        <v>16.80091283</v>
      </c>
      <c r="R8" s="23">
        <f>MIN(Q17,MAX(0,R7))</f>
        <v>16.80091283</v>
      </c>
      <c r="S8" s="23">
        <f>MIN(R17,MAX(0,S7))</f>
        <v>16.80091283</v>
      </c>
      <c r="T8" s="23">
        <f>MIN(S17,MAX(0,T7))</f>
        <v>16.80091283</v>
      </c>
      <c r="U8" s="23">
        <f>MIN(T17,MAX(0,U7))</f>
        <v>16.80091283</v>
      </c>
      <c r="V8" s="23">
        <f>MIN(U17,MAX(0,V7))</f>
        <v>16.80091283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0.0</v>
      </c>
      <c r="P9" s="23">
        <f>MAX(0,P7)-P8</f>
        <v>0.0</v>
      </c>
      <c r="Q9" s="23">
        <f>MAX(0,Q7)-Q8</f>
        <v>0.0</v>
      </c>
      <c r="R9" s="23">
        <f>MAX(0,R7)-R8</f>
        <v>0.0</v>
      </c>
      <c r="S9" s="23">
        <f>MAX(0,S7)-S8</f>
        <v>0.0</v>
      </c>
      <c r="T9" s="23">
        <f>MAX(0,T7)-T8</f>
        <v>0.0</v>
      </c>
      <c r="U9" s="23">
        <f>MAX(0,U7)-U8</f>
        <v>0.0</v>
      </c>
      <c r="V9" s="23">
        <f>MAX(0,V7)-V8</f>
        <v>0.0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0.0</v>
      </c>
      <c r="P10" s="23">
        <f>P9*Assumptions!$E$15</f>
        <v>0.0</v>
      </c>
      <c r="Q10" s="23">
        <f>Q9*Assumptions!$E$15</f>
        <v>0.0</v>
      </c>
      <c r="R10" s="23">
        <f>R9*Assumptions!$E$15</f>
        <v>0.0</v>
      </c>
      <c r="S10" s="23">
        <f>S9*Assumptions!$E$15</f>
        <v>0.0</v>
      </c>
      <c r="T10" s="23">
        <f>T9*Assumptions!$E$15</f>
        <v>0.0</v>
      </c>
      <c r="U10" s="23">
        <f>U9*Assumptions!$E$15</f>
        <v>0.0</v>
      </c>
      <c r="V10" s="23">
        <f>V9*Assumptions!$E$15</f>
        <v>0.0</v>
      </c>
    </row>
    <row r="11">
      <c r="A11" s="24" t="inlineStr">
        <is>
          <t>Free cash flow</t>
        </is>
      </c>
      <c r="C11" s="55">
        <f>C7-C10</f>
        <v>-270.657</v>
      </c>
      <c r="D11" s="55">
        <f>D7-D10</f>
        <v>-270.657</v>
      </c>
      <c r="E11" s="55">
        <f>E7-E10</f>
        <v>-270.657</v>
      </c>
      <c r="F11" s="55">
        <f>F7-F10</f>
        <v>-270.657</v>
      </c>
      <c r="G11" s="55">
        <f>G7-G10</f>
        <v>-4.279087169999997</v>
      </c>
      <c r="H11" s="55">
        <f>H7-H10</f>
        <v>-4.279087169999997</v>
      </c>
      <c r="I11" s="55">
        <f>I7-I10</f>
        <v>-4.279087169999997</v>
      </c>
      <c r="J11" s="55">
        <f>J7-J10</f>
        <v>-2.1710871699999967</v>
      </c>
      <c r="K11" s="55">
        <f>K7-K10</f>
        <v>0.9909128300000027</v>
      </c>
      <c r="L11" s="55">
        <f>L7-L10</f>
        <v>5.206912830000004</v>
      </c>
      <c r="M11" s="55">
        <f>M7-M10</f>
        <v>9.422912830000001</v>
      </c>
      <c r="N11" s="55">
        <f>N7-N10</f>
        <v>13.638912830000002</v>
      </c>
      <c r="O11" s="55">
        <f>O7-O10</f>
        <v>16.80091283</v>
      </c>
      <c r="P11" s="55">
        <f>P7-P10</f>
        <v>16.80091283</v>
      </c>
      <c r="Q11" s="55">
        <f>Q7-Q10</f>
        <v>16.80091283</v>
      </c>
      <c r="R11" s="55">
        <f>R7-R10</f>
        <v>16.80091283</v>
      </c>
      <c r="S11" s="55">
        <f>S7-S10</f>
        <v>16.80091283</v>
      </c>
      <c r="T11" s="55">
        <f>T7-T10</f>
        <v>16.80091283</v>
      </c>
      <c r="U11" s="55">
        <f>U7-U10</f>
        <v>16.80091283</v>
      </c>
      <c r="V11" s="55">
        <f>V7-V10</f>
        <v>16.80091283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-132.59604139126117</v>
      </c>
      <c r="D16" s="55">
        <f>D11*D15</f>
        <v>-241.5457759682431</v>
      </c>
      <c r="E16" s="55">
        <f>E11*E15</f>
        <v>-215.66587140021701</v>
      </c>
      <c r="F16" s="55">
        <f>F11*F15</f>
        <v>-192.55881375019376</v>
      </c>
      <c r="G16" s="55">
        <f>G11*G15</f>
        <v>-2.7181739690987152</v>
      </c>
      <c r="H16" s="55">
        <f>H11*H15</f>
        <v>-2.4269410438381382</v>
      </c>
      <c r="I16" s="55">
        <f>I11*I15</f>
        <v>-2.166911646284052</v>
      </c>
      <c r="J16" s="55">
        <f>J11*J15</f>
        <v>-0.9816333582014874</v>
      </c>
      <c r="K16" s="55">
        <f>K11*K15</f>
        <v>0.40002715757486623</v>
      </c>
      <c r="L16" s="55">
        <f>L11*L15</f>
        <v>1.8767927158250697</v>
      </c>
      <c r="M16" s="55">
        <f>M11*M15</f>
        <v>3.0325163631005165</v>
      </c>
      <c r="N16" s="55">
        <f>N11*N15</f>
        <v>3.919040128762825</v>
      </c>
      <c r="O16" s="55">
        <f>O11*O15</f>
        <v>4.31037259251415</v>
      </c>
      <c r="P16" s="55">
        <f>P11*P15</f>
        <v>3.848546957601919</v>
      </c>
      <c r="Q16" s="55">
        <f>Q11*Q15</f>
        <v>3.436202640715999</v>
      </c>
      <c r="R16" s="55">
        <f>R11*R15</f>
        <v>3.068038072067856</v>
      </c>
      <c r="S16" s="55">
        <f>S11*S15</f>
        <v>2.7393197072034425</v>
      </c>
      <c r="T16" s="55">
        <f>T11*T15</f>
        <v>2.445821167145931</v>
      </c>
      <c r="U16" s="55">
        <f>U11*U15</f>
        <v>2.183768899237438</v>
      </c>
      <c r="V16" s="55">
        <f>V11*V15</f>
        <v>1.9497936600334262</v>
      </c>
    </row>
    <row r="17">
      <c r="A17" s="14" t="inlineStr">
        <is>
          <t>Tax-loss carryforward, end of year</t>
        </is>
      </c>
      <c r="C17" s="23">
        <f>Assumptions!$B$21-C8+MAX(0,-C7)</f>
        <v>724.957</v>
      </c>
      <c r="D17" s="23">
        <f>C17-D8+MAX(0,-D7)</f>
        <v>995.614</v>
      </c>
      <c r="E17" s="23">
        <f>D17-E8+MAX(0,-E7)</f>
        <v>1266.271</v>
      </c>
      <c r="F17" s="23">
        <f>E17-F8+MAX(0,-F7)</f>
        <v>1536.9279999999999</v>
      </c>
      <c r="G17" s="23">
        <f>F17-G8+MAX(0,-G7)</f>
        <v>1541.2070871699998</v>
      </c>
      <c r="H17" s="23">
        <f>G17-H8+MAX(0,-H7)</f>
        <v>1545.4861743399997</v>
      </c>
      <c r="I17" s="23">
        <f>H17-I8+MAX(0,-I7)</f>
        <v>1549.7652615099996</v>
      </c>
      <c r="J17" s="23">
        <f>I17-J8+MAX(0,-J7)</f>
        <v>1551.9363486799996</v>
      </c>
      <c r="K17" s="23">
        <f>J17-K8+MAX(0,-K7)</f>
        <v>1550.9454358499995</v>
      </c>
      <c r="L17" s="23">
        <f>K17-L8+MAX(0,-L7)</f>
        <v>1545.7385230199995</v>
      </c>
      <c r="M17" s="23">
        <f>L17-M8+MAX(0,-M7)</f>
        <v>1536.3156101899995</v>
      </c>
      <c r="N17" s="23">
        <f>M17-N8+MAX(0,-N7)</f>
        <v>1522.6766973599995</v>
      </c>
      <c r="O17" s="23">
        <f>N17-O8+MAX(0,-O7)</f>
        <v>1505.8757845299995</v>
      </c>
      <c r="P17" s="23">
        <f>O17-P8+MAX(0,-P7)</f>
        <v>1489.0748716999994</v>
      </c>
      <c r="Q17" s="23">
        <f>P17-Q8+MAX(0,-Q7)</f>
        <v>1472.2739588699994</v>
      </c>
      <c r="R17" s="23">
        <f>Q17-R8+MAX(0,-R7)</f>
        <v>1455.4730460399994</v>
      </c>
      <c r="S17" s="23">
        <f>R17-S8+MAX(0,-S7)</f>
        <v>1438.6721332099994</v>
      </c>
      <c r="T17" s="23">
        <f>S17-T8+MAX(0,-T7)</f>
        <v>1421.8712203799994</v>
      </c>
      <c r="U17" s="23">
        <f>T17-U8+MAX(0,-U7)</f>
        <v>1405.0703075499994</v>
      </c>
      <c r="V17" s="23">
        <f>U17-V8+MAX(0,-V7)</f>
        <v>1388.2693947199994</v>
      </c>
    </row>
    <row r="19">
      <c r="A19" s="14" t="inlineStr">
        <is>
          <t>PV of risked pipeline contribution</t>
        </is>
      </c>
      <c r="B19" s="23">
        <f>SUMPRODUCT(C5:V5,C15:V15)</f>
        <v>46.147868575782326</v>
      </c>
    </row>
    <row r="20">
      <c r="A20" s="14" t="inlineStr">
        <is>
          <t>PV of corporate burn</t>
        </is>
      </c>
      <c r="B20" s="23">
        <f>SUMPRODUCT(C6:V6,C15:V15)</f>
        <v>-803.5977910413363</v>
      </c>
    </row>
    <row r="21">
      <c r="A21" s="14" t="inlineStr">
        <is>
          <t>PV of taxes</t>
        </is>
      </c>
      <c r="B21" s="23">
        <f>-SUMPRODUCT(C10:V10,C15:V15)</f>
        <v>-0.0</v>
      </c>
    </row>
    <row r="22">
      <c r="A22" s="24" t="inlineStr">
        <is>
          <t>Pipeline rNPV (operations)</t>
        </is>
      </c>
      <c r="B22" s="54">
        <f>SUM(C16:V16)</f>
        <v>-757.4499224655541</v>
      </c>
    </row>
    <row r="23">
      <c r="A23" s="14" t="inlineStr">
        <is>
          <t>Cash &amp; investments</t>
        </is>
      </c>
      <c r="B23" s="57">
        <f>Main!C7</f>
        <v>540.515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-216.9349224655541</v>
      </c>
    </row>
    <row r="26">
      <c r="A26" s="14" t="inlineStr">
        <is>
          <t>Shares (mm)</t>
        </is>
      </c>
      <c r="B26" s="57">
        <f>Main!C4</f>
        <v>61.735519</v>
      </c>
    </row>
    <row r="27">
      <c r="A27" s="24" t="inlineStr">
        <is>
          <t>rNPV / share</t>
        </is>
      </c>
      <c r="B27" s="60">
        <f>B25/B26</f>
        <v>-3.5139402078332593</v>
      </c>
    </row>
    <row r="28">
      <c r="A28" s="14" t="inlineStr">
        <is>
          <t>Price</t>
        </is>
      </c>
      <c r="B28" s="61">
        <f>Main!C3</f>
        <v>20.67</v>
      </c>
    </row>
    <row r="29">
      <c r="A29" s="14" t="inlineStr">
        <is>
          <t>Upside</t>
        </is>
      </c>
      <c r="B29" s="62">
        <f>B27/B28-1</f>
        <v>-1.1700019452265729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2026-10-21T06:23:41Z</dcterms:modified>
  <cp:lastModifiedBy>Wang, Eric</cp:lastModifiedBy>
</cp:coreProperties>
</file>