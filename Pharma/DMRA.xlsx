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Damora Therapeutics Inc</t>
        </is>
      </c>
      <c r="C2" s="10" t="n"/>
    </row>
    <row r="3">
      <c r="B3" t="inlineStr">
        <is>
          <t>Price</t>
        </is>
      </c>
      <c r="C3" s="11">
        <f>INDEX([1]Pharma!$F$1:$F$1000,MATCH("DMRA",[1]Pharma!$B$1:$B$1000,0))</f>
        <v>20.67</v>
      </c>
      <c r="F3" s="1" t="n"/>
    </row>
    <row r="4">
      <c r="B4" t="inlineStr">
        <is>
          <t>Shares</t>
        </is>
      </c>
      <c r="C4" s="21" t="n">
        <v>61.735519</v>
      </c>
      <c r="F4" s="1" t="n"/>
    </row>
    <row r="5">
      <c r="B5" t="inlineStr">
        <is>
          <t>Market Cap.</t>
        </is>
      </c>
      <c r="C5" s="13">
        <f>C3*C4</f>
        <v>1276.07317773</v>
      </c>
      <c r="F5" s="1" t="n"/>
    </row>
    <row r="6"/>
    <row r="7">
      <c r="B7" t="inlineStr">
        <is>
          <t>Cash</t>
        </is>
      </c>
      <c r="C7" s="21" t="n">
        <v>540.515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735.55817773</v>
      </c>
    </row>
    <row r="10"/>
    <row r="11">
      <c r="B11" s="14" t="inlineStr">
        <is>
          <t>Net Cash / Share</t>
        </is>
      </c>
      <c r="C11" s="11">
        <f>(C7-C8)/C4</f>
        <v>8.755332566330251</v>
      </c>
    </row>
    <row r="12">
      <c r="B12" s="14" t="inlineStr">
        <is>
          <t>Upside</t>
        </is>
      </c>
      <c r="C12" s="15">
        <f>IFERROR(C11/C3-1,"")</f>
        <v>-0.5764231946623004</v>
      </c>
    </row>
    <row r="13">
      <c r="B13" s="14" t="inlineStr">
        <is>
          <t>Cash / Share</t>
        </is>
      </c>
      <c r="C13" s="11">
        <f>IFERROR((C7-C8)/C4,"")</f>
        <v>8.755332566330251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-44.515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12.142311580366169</v>
      </c>
    </row>
    <row r="19">
      <c r="B19" s="14" t="inlineStr">
        <is>
          <t>Implied Pipeline Value</t>
        </is>
      </c>
      <c r="C19" s="13">
        <f>C9</f>
        <v>735.55817773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19.738</v>
      </c>
      <c r="C5" s="23" t="n">
        <v>24.627</v>
      </c>
      <c r="D5" s="23" t="n">
        <v>38.488</v>
      </c>
      <c r="E5" s="23" t="n">
        <v>48.206</v>
      </c>
      <c r="F5" s="23" t="n">
        <v>23.77</v>
      </c>
      <c r="G5" s="23" t="n">
        <v>6.398</v>
      </c>
      <c r="H5" s="23" t="n">
        <v>26.877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-58.709</v>
      </c>
      <c r="C6" s="23" t="n">
        <v>9.01</v>
      </c>
      <c r="D6" s="23" t="n">
        <v>13.739</v>
      </c>
      <c r="E6" s="23" t="n">
        <v>13.001</v>
      </c>
      <c r="F6" s="23" t="n">
        <v>16.135</v>
      </c>
      <c r="G6" s="23" t="n">
        <v>15.862</v>
      </c>
      <c r="H6" s="23" t="n">
        <v>183.995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-38.971000000000004</v>
      </c>
      <c r="C7" s="23">
        <f>SUM(C5:C6)</f>
        <v>33.637</v>
      </c>
      <c r="D7" s="23">
        <f>SUM(D5:D6)</f>
        <v>52.227000000000004</v>
      </c>
      <c r="E7" s="23">
        <f>SUM(E5:E6)</f>
        <v>61.207</v>
      </c>
      <c r="F7" s="23">
        <f>SUM(F5:F6)</f>
        <v>39.905</v>
      </c>
      <c r="G7" s="23">
        <f>SUM(G5:G6)</f>
        <v>22.259999999999998</v>
      </c>
      <c r="H7" s="23">
        <f>SUM(H5:H6)</f>
        <v>210.872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38.971000000000004</v>
      </c>
      <c r="C8" s="23">
        <f>C4-C7</f>
        <v>-33.637</v>
      </c>
      <c r="D8" s="23">
        <f>D4-D7</f>
        <v>-52.227000000000004</v>
      </c>
      <c r="E8" s="23">
        <f>E4-E7</f>
        <v>-61.207</v>
      </c>
      <c r="F8" s="23">
        <f>F4-F7</f>
        <v>-39.905</v>
      </c>
      <c r="G8" s="23">
        <f>G4-G7</f>
        <v>-22.259999999999998</v>
      </c>
      <c r="H8" s="23">
        <f>H4-H7</f>
        <v>-210.872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-75.47799999999999</v>
      </c>
      <c r="C9" s="23" t="n">
        <v>-1.2</v>
      </c>
      <c r="D9" s="23" t="n">
        <v>0.475</v>
      </c>
      <c r="E9" s="23" t="n">
        <v>-0.417</v>
      </c>
      <c r="F9" s="23" t="n">
        <v>1.556</v>
      </c>
      <c r="G9" s="23" t="n">
        <v>0.862</v>
      </c>
      <c r="H9" s="23" t="n">
        <v>1.083</v>
      </c>
    </row>
    <row r="10">
      <c r="A10" s="2" t="inlineStr">
        <is>
          <t>Pretax</t>
        </is>
      </c>
      <c r="B10" s="23">
        <f>B8+B9</f>
        <v>-36.50699999999999</v>
      </c>
      <c r="C10" s="23">
        <f>C8+C9</f>
        <v>-34.837</v>
      </c>
      <c r="D10" s="23">
        <f>D8+D9</f>
        <v>-51.752</v>
      </c>
      <c r="E10" s="23">
        <f>E8+E9</f>
        <v>-61.624</v>
      </c>
      <c r="F10" s="23">
        <f>F8+F9</f>
        <v>-38.349000000000004</v>
      </c>
      <c r="G10" s="23">
        <f>G8+G9</f>
        <v>-21.398</v>
      </c>
      <c r="H10" s="23">
        <f>H8+H9</f>
        <v>-209.78900000000002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0.041</v>
      </c>
      <c r="H11" s="23" t="n">
        <v>0.05</v>
      </c>
    </row>
    <row r="12">
      <c r="A12" s="2" t="inlineStr">
        <is>
          <t>Net Income</t>
        </is>
      </c>
      <c r="B12" s="23" t="n">
        <v>-36.507</v>
      </c>
      <c r="C12" s="23" t="n">
        <v>-34.837</v>
      </c>
      <c r="D12" s="23" t="n">
        <v>-51.752</v>
      </c>
      <c r="E12" s="23" t="n">
        <v>-61.624</v>
      </c>
      <c r="F12" s="23" t="n">
        <v>-38.349</v>
      </c>
      <c r="G12" s="23" t="n">
        <v>-21.439</v>
      </c>
      <c r="H12" s="23" t="n">
        <v>-209.839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-3318.818181818182</v>
      </c>
      <c r="C13" s="11">
        <f>IFERROR(C12/C14,0)</f>
        <v>-182.39267015706807</v>
      </c>
      <c r="D13" s="11">
        <f>IFERROR(D12/D14,0)</f>
        <v>-49.14719848053182</v>
      </c>
      <c r="E13" s="11">
        <f>IFERROR(E12/E14,0)</f>
        <v>-58.19074598677999</v>
      </c>
      <c r="F13" s="11">
        <f>IFERROR(F12/F14,0)</f>
        <v>-36.07619943555974</v>
      </c>
      <c r="G13" s="11">
        <f>IFERROR(G12/G14,0)</f>
        <v>-18.529818496110632</v>
      </c>
      <c r="H13" s="11">
        <f>IFERROR(H12/H14,0)</f>
        <v>-153.95377842993398</v>
      </c>
    </row>
    <row r="14">
      <c r="A14" s="2" t="inlineStr">
        <is>
          <t>Shares</t>
        </is>
      </c>
      <c r="B14" s="23" t="n">
        <v>0.011</v>
      </c>
      <c r="C14" s="23" t="n">
        <v>0.191</v>
      </c>
      <c r="D14" s="23" t="n">
        <v>1.053</v>
      </c>
      <c r="E14" s="23" t="n">
        <v>1.059</v>
      </c>
      <c r="F14" s="23" t="n">
        <v>1.063</v>
      </c>
      <c r="G14" s="23" t="n">
        <v>1.157</v>
      </c>
      <c r="H14" s="23" t="n">
        <v>1.363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2026-10-21T01:04:48Z</dcterms:modified>
  <cp:lastModifiedBy>Wang, Eric</cp:lastModifiedBy>
</cp:coreProperties>
</file>