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Gelteq Ltd</t>
        </is>
      </c>
      <c r="C2" s="10" t="n"/>
    </row>
    <row r="3">
      <c r="B3" t="inlineStr">
        <is>
          <t>Price</t>
        </is>
      </c>
      <c r="C3" s="11">
        <f>INDEX([1]Pharma!$F$1:$F$1000,MATCH("GELS",[1]Pharma!$B$1:$B$1000,0))</f>
        <v>0.448</v>
      </c>
      <c r="F3" s="1" t="n"/>
    </row>
    <row r="4">
      <c r="B4" t="inlineStr">
        <is>
          <t>Shares</t>
        </is>
      </c>
      <c r="C4" s="21" t="n">
        <v>10.711059</v>
      </c>
      <c r="F4" s="1" t="n"/>
    </row>
    <row r="5">
      <c r="B5" t="inlineStr">
        <is>
          <t>Market Cap.</t>
        </is>
      </c>
      <c r="C5" s="13">
        <f>C3*C4</f>
        <v>4.798554432</v>
      </c>
      <c r="F5" s="1" t="n"/>
    </row>
    <row r="6"/>
    <row r="7">
      <c r="B7" t="inlineStr">
        <is>
          <t>Cash</t>
        </is>
      </c>
      <c r="C7" s="21">
        <f>(0.345)/1.437</f>
        <v>0.24008350730688932</v>
      </c>
    </row>
    <row r="8">
      <c r="B8" t="inlineStr">
        <is>
          <t>Debt</t>
        </is>
      </c>
      <c r="C8" s="21">
        <f>(4.204+0.014)/1.437</f>
        <v>2.9352818371607516</v>
      </c>
    </row>
    <row r="9">
      <c r="B9" t="inlineStr">
        <is>
          <t>Enterprise V.</t>
        </is>
      </c>
      <c r="C9" s="13">
        <f>C5-C7+C8</f>
        <v>7.493752761853862</v>
      </c>
    </row>
    <row r="10"/>
    <row r="11">
      <c r="B11" s="14" t="inlineStr">
        <is>
          <t>Net Cash / Share</t>
        </is>
      </c>
      <c r="C11" s="11">
        <f>(C7-C8)/C4</f>
        <v>-0.2516276242950265</v>
      </c>
    </row>
    <row r="12">
      <c r="B12" s="14" t="inlineStr">
        <is>
          <t>Upside</t>
        </is>
      </c>
      <c r="C12" s="15">
        <f>IFERROR(C11/C3-1,"")</f>
        <v>-1.5616688042299698</v>
      </c>
    </row>
    <row r="13">
      <c r="B13" s="14" t="inlineStr">
        <is>
          <t>Cash / Share</t>
        </is>
      </c>
      <c r="C13" s="11">
        <f>IFERROR((C7-C8)/C4,"")</f>
        <v>-0.2516276242950265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-3.842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7.493752761853862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0.056</v>
      </c>
      <c r="C2" s="23" t="n">
        <v>0</v>
      </c>
      <c r="D2" s="23" t="n">
        <v>0.115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0.08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0.056</v>
      </c>
      <c r="C4" s="23">
        <f>C2-C3</f>
        <v>0.0</v>
      </c>
      <c r="D4" s="23">
        <f>D2-D3</f>
        <v>0.035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0.463</v>
      </c>
      <c r="C5" s="23" t="n">
        <v>0.192</v>
      </c>
      <c r="D5" s="23" t="n">
        <v>0.437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1.752</v>
      </c>
      <c r="C6" s="23" t="n">
        <v>1.858</v>
      </c>
      <c r="D6" s="23" t="n">
        <v>3.422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2.215</v>
      </c>
      <c r="C7" s="23">
        <f>SUM(C5:C6)</f>
        <v>2.0500000000000003</v>
      </c>
      <c r="D7" s="23">
        <f>SUM(D5:D6)</f>
        <v>3.859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-2.159</v>
      </c>
      <c r="C8" s="23">
        <f>C4-C7</f>
        <v>-2.0500000000000003</v>
      </c>
      <c r="D8" s="23">
        <f>D4-D7</f>
        <v>-3.824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-0.281</v>
      </c>
      <c r="C9" s="23" t="n">
        <v>-1.496</v>
      </c>
      <c r="D9" s="23" t="n">
        <v>-2.821</v>
      </c>
    </row>
    <row r="10">
      <c r="A10" s="2" t="inlineStr">
        <is>
          <t>Pretax</t>
        </is>
      </c>
      <c r="B10" s="23">
        <f>B8+B9</f>
        <v>-2.44</v>
      </c>
      <c r="C10" s="23">
        <f>C8+C9</f>
        <v>-3.5460000000000003</v>
      </c>
      <c r="D10" s="23">
        <f>D8+D9</f>
        <v>-6.645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</row>
    <row r="12">
      <c r="A12" s="2" t="inlineStr">
        <is>
          <t>Net Income</t>
        </is>
      </c>
      <c r="B12" s="23" t="n">
        <v>-2.44</v>
      </c>
      <c r="C12" s="23" t="n">
        <v>-3.546</v>
      </c>
      <c r="D12" s="23" t="n">
        <v>-6.645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-0.3073047858942065</v>
      </c>
      <c r="C13" s="11">
        <f>IFERROR(C12/C14,0)</f>
        <v>-0.4368070953436807</v>
      </c>
      <c r="D13" s="11">
        <f>IFERROR(D12/D14,0)</f>
        <v>-0.7166738567730802</v>
      </c>
    </row>
    <row r="14">
      <c r="A14" s="2" t="inlineStr">
        <is>
          <t>Shares</t>
        </is>
      </c>
      <c r="B14" s="23" t="n">
        <v>7.94</v>
      </c>
      <c r="C14" s="23" t="n">
        <v>8.118</v>
      </c>
      <c r="D14" s="23" t="n">
        <v>9.272</v>
      </c>
    </row>
    <row r="15"/>
    <row r="16" customFormat="1" s="4">
      <c r="A16" s="3" t="inlineStr">
        <is>
          <t>Revenue Change</t>
        </is>
      </c>
      <c r="C16" s="15">
        <f>IFERROR(C2/B2-1,"")</f>
        <v>-1.0</v>
      </c>
      <c r="D16" s="15">
        <f>IFERROR(D2/C2-1,"")</f>
        <v/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/>
      </c>
      <c r="D17" s="15">
        <f>IFERROR(D4/D2,"")</f>
        <v>0.30434782608695654</v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-38.55357142857142</v>
      </c>
      <c r="C18" s="15">
        <f>IFERROR(C8/C2,"")</f>
        <v/>
      </c>
      <c r="D18" s="15">
        <f>IFERROR(D8/D2,"")</f>
        <v>-33.25217391304348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2026-10-21T06:31:28Z</dcterms:modified>
  <cp:lastModifiedBy>Wang, Eric</cp:lastModifiedBy>
</cp:coreProperties>
</file>