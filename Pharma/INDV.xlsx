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Indivior Pharmaceuticals Inc</t>
        </is>
      </c>
      <c r="C2" s="10" t="n"/>
    </row>
    <row r="3">
      <c r="B3" t="inlineStr">
        <is>
          <t>Price</t>
        </is>
      </c>
      <c r="C3" s="11">
        <f>INDEX([1]Pharma!$F$1:$F$1000,MATCH("INDV",[1]Pharma!$B$1:$B$1000,0))</f>
        <v>34.77</v>
      </c>
      <c r="F3" s="1" t="n"/>
    </row>
    <row r="4">
      <c r="B4" t="inlineStr">
        <is>
          <t>Shares</t>
        </is>
      </c>
      <c r="C4" s="51" t="n">
        <v>118.013649</v>
      </c>
      <c r="F4" s="1" t="n"/>
    </row>
    <row r="5">
      <c r="B5" t="inlineStr">
        <is>
          <t>Market Cap.</t>
        </is>
      </c>
      <c r="C5" s="13">
        <f>C3*C4</f>
        <v>4103.33457573</v>
      </c>
      <c r="F5" s="1" t="n"/>
    </row>
    <row r="6"/>
    <row r="7">
      <c r="B7" t="inlineStr">
        <is>
          <t>Cash</t>
        </is>
      </c>
      <c r="C7" s="51" t="n">
        <v>222</v>
      </c>
    </row>
    <row r="8">
      <c r="B8" t="inlineStr">
        <is>
          <t>Debt</t>
        </is>
      </c>
      <c r="C8" s="51" t="n">
        <v>487</v>
      </c>
    </row>
    <row r="9">
      <c r="B9" t="inlineStr">
        <is>
          <t>Enterprise V.</t>
        </is>
      </c>
      <c r="C9" s="13">
        <f>C5-C7+C8</f>
        <v>4368.33457573</v>
      </c>
    </row>
    <row r="10"/>
    <row r="11">
      <c r="B11" s="14" t="inlineStr">
        <is>
          <t>NPV / Share</t>
        </is>
      </c>
      <c r="C11" s="11">
        <f>NPV!B28</f>
        <v>28.18145573331213</v>
      </c>
    </row>
    <row r="12">
      <c r="B12" s="14" t="inlineStr">
        <is>
          <t>Upside</t>
        </is>
      </c>
      <c r="C12" s="15">
        <f>IFERROR(C11/C3-1,"")</f>
        <v>-0.18948933755213893</v>
      </c>
    </row>
    <row r="13">
      <c r="B13" s="14" t="inlineStr">
        <is>
          <t>Cash / Share</t>
        </is>
      </c>
      <c r="C13" s="11">
        <f>IFERROR((C7-C8)/C4,"")</f>
        <v>-2.2455029756769913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2021</v>
      </c>
      <c r="C1" s="16" t="n">
        <v>2022</v>
      </c>
      <c r="D1" s="16" t="n">
        <v>2023</v>
      </c>
      <c r="E1" s="16" t="n">
        <v>2024</v>
      </c>
      <c r="F1" s="16" t="n">
        <v>2025</v>
      </c>
      <c r="G1" s="16" t="n">
        <v>2026</v>
      </c>
      <c r="H1" s="16" t="n">
        <v>2027</v>
      </c>
      <c r="I1" s="16" t="n">
        <v>2028</v>
      </c>
      <c r="J1" s="16" t="n">
        <v>2029</v>
      </c>
      <c r="K1" s="16" t="n">
        <v>2030</v>
      </c>
      <c r="L1" s="16" t="n">
        <v>2031</v>
      </c>
      <c r="M1" s="16" t="n">
        <v>2032</v>
      </c>
      <c r="N1" s="16" t="n">
        <v>2033</v>
      </c>
      <c r="O1" s="16" t="n">
        <v>2034</v>
      </c>
      <c r="P1" s="16" t="n">
        <v>2035</v>
      </c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791</v>
      </c>
      <c r="C2" s="52" t="n">
        <v>901</v>
      </c>
      <c r="D2" s="52" t="n">
        <v>1093</v>
      </c>
      <c r="E2" s="52" t="n">
        <v>1188</v>
      </c>
      <c r="F2" s="52" t="n">
        <v>1239</v>
      </c>
      <c r="G2" s="52">
        <f>F2*(1+NPV!C5)</f>
        <v>1346.6691</v>
      </c>
      <c r="H2" s="52">
        <f>G2*(1+NPV!D5)</f>
        <v>1454.43255398</v>
      </c>
      <c r="I2" s="52">
        <f>H2*(1+NPV!E5)</f>
        <v>1560.8162151227816</v>
      </c>
      <c r="J2" s="52">
        <f>I2*(1+NPV!F5)</f>
        <v>1664.2463029782514</v>
      </c>
      <c r="K2" s="52">
        <f>J2*(1+NPV!G5)</f>
        <v>1763.084041749571</v>
      </c>
      <c r="L2" s="52">
        <f>K2*(1+NPV!H5)</f>
        <v>1855.6655437641098</v>
      </c>
      <c r="M2" s="52">
        <f>L2*(1+NPV!I5)</f>
        <v>1940.3457480778789</v>
      </c>
      <c r="N2" s="52">
        <f>M2*(1+NPV!J5)</f>
        <v>2015.5449255144972</v>
      </c>
      <c r="O2" s="52">
        <f>N2*(1+NPV!K5)</f>
        <v>2079.7960187511762</v>
      </c>
      <c r="P2" s="52">
        <f>O2*(1+NPV!L5)</f>
        <v>2131.7909192199554</v>
      </c>
    </row>
    <row r="3" customFormat="1" s="1">
      <c r="A3" s="5" t="inlineStr">
        <is>
          <t>Cost of Sales</t>
        </is>
      </c>
      <c r="B3" s="52" t="n">
        <v>127</v>
      </c>
      <c r="C3" s="52" t="n">
        <v>159</v>
      </c>
      <c r="D3" s="52" t="n">
        <v>186</v>
      </c>
      <c r="E3" s="52" t="n">
        <v>231</v>
      </c>
      <c r="F3" s="52" t="n">
        <v>246</v>
      </c>
      <c r="G3" s="52">
        <f>G2*(1-Assumptions!$B$19)</f>
        <v>267.31381635</v>
      </c>
      <c r="H3" s="52">
        <f>H2*(1-Assumptions!$B$19)</f>
        <v>288.70486196503003</v>
      </c>
      <c r="I3" s="52">
        <f>I2*(1-Assumptions!$B$19)</f>
        <v>309.82201870187214</v>
      </c>
      <c r="J3" s="52">
        <f>J2*(1-Assumptions!$B$19)</f>
        <v>330.3528911411829</v>
      </c>
      <c r="K3" s="52">
        <f>K2*(1-Assumptions!$B$19)</f>
        <v>349.97218228728985</v>
      </c>
      <c r="L3" s="52">
        <f>L2*(1-Assumptions!$B$19)</f>
        <v>368.3496104371758</v>
      </c>
      <c r="M3" s="52">
        <f>M2*(1-Assumptions!$B$19)</f>
        <v>385.158630993459</v>
      </c>
      <c r="N3" s="52">
        <f>N2*(1-Assumptions!$B$19)</f>
        <v>400.08566771462773</v>
      </c>
      <c r="O3" s="52">
        <f>O2*(1-Assumptions!$B$19)</f>
        <v>412.8395097221085</v>
      </c>
      <c r="P3" s="52">
        <f>P2*(1-Assumptions!$B$19)</f>
        <v>423.16049746516114</v>
      </c>
    </row>
    <row r="4" customFormat="1" s="1">
      <c r="A4" s="5" t="inlineStr">
        <is>
          <t>Gross Margin</t>
        </is>
      </c>
      <c r="B4" s="52">
        <f>B2-B3</f>
        <v>664.0</v>
      </c>
      <c r="C4" s="52">
        <f>C2-C3</f>
        <v>742.0</v>
      </c>
      <c r="D4" s="52">
        <f>D2-D3</f>
        <v>907.0</v>
      </c>
      <c r="E4" s="52">
        <f>E2-E3</f>
        <v>957.0</v>
      </c>
      <c r="F4" s="52">
        <f>F2-F3</f>
        <v>993.0</v>
      </c>
      <c r="G4" s="52">
        <f>G2-G3</f>
        <v>1079.35528365</v>
      </c>
      <c r="H4" s="52">
        <f>H2-H3</f>
        <v>1165.72769201497</v>
      </c>
      <c r="I4" s="52">
        <f>I2-I3</f>
        <v>1250.9941964209095</v>
      </c>
      <c r="J4" s="52">
        <f>J2-J3</f>
        <v>1333.8934118370685</v>
      </c>
      <c r="K4" s="52">
        <f>K2-K3</f>
        <v>1413.1118594622812</v>
      </c>
      <c r="L4" s="52">
        <f>L2-L3</f>
        <v>1487.315933326934</v>
      </c>
      <c r="M4" s="52">
        <f>M2-M3</f>
        <v>1555.18711708442</v>
      </c>
      <c r="N4" s="52">
        <f>N2-N3</f>
        <v>1615.4592577998694</v>
      </c>
      <c r="O4" s="52">
        <f>O2-O3</f>
        <v>1666.9565090290678</v>
      </c>
      <c r="P4" s="52">
        <f>P2-P3</f>
        <v>1708.6304217547943</v>
      </c>
    </row>
    <row r="5">
      <c r="A5" s="2" t="inlineStr">
        <is>
          <t>Research &amp; Dev.</t>
        </is>
      </c>
      <c r="B5" s="52" t="n">
        <v>52</v>
      </c>
      <c r="C5" s="52" t="n">
        <v>74</v>
      </c>
      <c r="D5" s="52" t="n">
        <v>116</v>
      </c>
      <c r="E5" s="52" t="n">
        <v>107</v>
      </c>
      <c r="F5" s="52" t="n">
        <v>97</v>
      </c>
      <c r="G5" s="52">
        <f>G7*Assumptions!$B$20</f>
        <v>88.78500630806312</v>
      </c>
      <c r="H5" s="52">
        <f>H7*Assumptions!$B$20</f>
        <v>98.13440702783821</v>
      </c>
      <c r="I5" s="52">
        <f>I7*Assumptions!$B$20</f>
        <v>107.72120293638963</v>
      </c>
      <c r="J5" s="52">
        <f>J7*Assumptions!$B$20</f>
        <v>117.42796096794038</v>
      </c>
      <c r="K5" s="52">
        <f>K7*Assumptions!$B$20</f>
        <v>127.12284645903036</v>
      </c>
      <c r="L5" s="52">
        <f>L7*Assumptions!$B$20</f>
        <v>136.66205886355792</v>
      </c>
      <c r="M5" s="52">
        <f>M7*Assumptions!$B$20</f>
        <v>145.8929416830526</v>
      </c>
      <c r="N5" s="52">
        <f>N7*Assumptions!$B$20</f>
        <v>154.65769618870502</v>
      </c>
      <c r="O5" s="52">
        <f>O7*Assumptions!$B$20</f>
        <v>162.79759113496638</v>
      </c>
      <c r="P5" s="52">
        <f>P7*Assumptions!$B$20</f>
        <v>170.1575259707636</v>
      </c>
    </row>
    <row r="6">
      <c r="A6" s="18" t="inlineStr">
        <is>
          <t>SG&amp;A &amp; Other</t>
        </is>
      </c>
      <c r="B6" s="52" t="n">
        <v>399</v>
      </c>
      <c r="C6" s="52" t="n">
        <v>745</v>
      </c>
      <c r="D6" s="52" t="n">
        <v>943</v>
      </c>
      <c r="E6" s="52" t="n">
        <v>812</v>
      </c>
      <c r="F6" s="52" t="n">
        <v>634</v>
      </c>
      <c r="G6" s="52">
        <f>G7-G5</f>
        <v>580.280602644937</v>
      </c>
      <c r="H6" s="52">
        <f>H7-H5</f>
        <v>641.3863693688326</v>
      </c>
      <c r="I6" s="52">
        <f>I7-I5</f>
        <v>704.0437023868177</v>
      </c>
      <c r="J6" s="52">
        <f>J7-J5</f>
        <v>767.4850832516554</v>
      </c>
      <c r="K6" s="52">
        <f>K7-K5</f>
        <v>830.8488676255992</v>
      </c>
      <c r="L6" s="52">
        <f>L7-L5</f>
        <v>893.1952046146479</v>
      </c>
      <c r="M6" s="52">
        <f>M7-M5</f>
        <v>953.5263626353542</v>
      </c>
      <c r="N6" s="52">
        <f>N7-N5</f>
        <v>1010.8110015407977</v>
      </c>
      <c r="O6" s="52">
        <f>O7-O5</f>
        <v>1064.01168644579</v>
      </c>
      <c r="P6" s="52">
        <f>P7-P5</f>
        <v>1112.1147119400396</v>
      </c>
    </row>
    <row r="7">
      <c r="A7" s="2" t="inlineStr">
        <is>
          <t>Operating Expense</t>
        </is>
      </c>
      <c r="B7" s="52">
        <f>SUM(B5:B6)</f>
        <v>451.0</v>
      </c>
      <c r="C7" s="52">
        <f>SUM(C5:C6)</f>
        <v>819.0</v>
      </c>
      <c r="D7" s="52">
        <f>SUM(D5:D6)</f>
        <v>1059.0</v>
      </c>
      <c r="E7" s="52">
        <f>SUM(E5:E6)</f>
        <v>919.0</v>
      </c>
      <c r="F7" s="52">
        <f>SUM(F5:F6)</f>
        <v>731.0</v>
      </c>
      <c r="G7" s="52">
        <f>G4-G2*NPV!C6</f>
        <v>669.065608953</v>
      </c>
      <c r="H7" s="52">
        <f>H4-H2*NPV!D6</f>
        <v>739.5207763966707</v>
      </c>
      <c r="I7" s="52">
        <f>I4-I2*NPV!E6</f>
        <v>811.7649053232074</v>
      </c>
      <c r="J7" s="52">
        <f>J4-J2*NPV!F6</f>
        <v>884.9130442195958</v>
      </c>
      <c r="K7" s="52">
        <f>K4-K2*NPV!G6</f>
        <v>957.9717140846295</v>
      </c>
      <c r="L7" s="52">
        <f>L4-L2*NPV!H6</f>
        <v>1029.8572634782058</v>
      </c>
      <c r="M7" s="52">
        <f>M4-M2*NPV!I6</f>
        <v>1099.4193043184068</v>
      </c>
      <c r="N7" s="52">
        <f>N4-N2*NPV!J6</f>
        <v>1165.4686977295028</v>
      </c>
      <c r="O7" s="52">
        <f>O4-O2*NPV!K6</f>
        <v>1226.8092775807563</v>
      </c>
      <c r="P7" s="52">
        <f>P4-P2*NPV!L6</f>
        <v>1282.2722379108031</v>
      </c>
    </row>
    <row r="8">
      <c r="A8" s="2" t="inlineStr">
        <is>
          <t>Operating Income</t>
        </is>
      </c>
      <c r="B8" s="52">
        <f>B4-B7</f>
        <v>213.0</v>
      </c>
      <c r="C8" s="52">
        <f>C4-C7</f>
        <v>-77.0</v>
      </c>
      <c r="D8" s="52">
        <f>D4-D7</f>
        <v>-152.0</v>
      </c>
      <c r="E8" s="52">
        <f>E4-E7</f>
        <v>38.0</v>
      </c>
      <c r="F8" s="52">
        <f>F4-F7</f>
        <v>262.0</v>
      </c>
      <c r="G8" s="52">
        <f>G4-G7</f>
        <v>410.289674697</v>
      </c>
      <c r="H8" s="52">
        <f>H4-H7</f>
        <v>426.20691561829926</v>
      </c>
      <c r="I8" s="52">
        <f>I4-I7</f>
        <v>439.2292910977021</v>
      </c>
      <c r="J8" s="52">
        <f>J4-J7</f>
        <v>448.98036761747267</v>
      </c>
      <c r="K8" s="52">
        <f>K4-K7</f>
        <v>455.1401453776517</v>
      </c>
      <c r="L8" s="52">
        <f>L4-L7</f>
        <v>457.4586698487283</v>
      </c>
      <c r="M8" s="52">
        <f>M4-M7</f>
        <v>455.7678127660131</v>
      </c>
      <c r="N8" s="52">
        <f>N4-N7</f>
        <v>449.99056007036666</v>
      </c>
      <c r="O8" s="52">
        <f>O4-O7</f>
        <v>440.14723144831146</v>
      </c>
      <c r="P8" s="52">
        <f>P4-P7</f>
        <v>426.3581838439911</v>
      </c>
    </row>
    <row r="9">
      <c r="A9" s="18" t="inlineStr">
        <is>
          <t>Interest &amp; Other</t>
        </is>
      </c>
      <c r="B9" s="52" t="n">
        <v>-23</v>
      </c>
      <c r="C9" s="52" t="n">
        <v>-8</v>
      </c>
      <c r="D9" s="52" t="n">
        <v>7</v>
      </c>
      <c r="E9" s="52" t="n">
        <v>-18</v>
      </c>
      <c r="F9" s="52" t="n">
        <v>-23</v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</row>
    <row r="10">
      <c r="A10" s="2" t="inlineStr">
        <is>
          <t>Pretax</t>
        </is>
      </c>
      <c r="B10" s="52">
        <f>B8+B9</f>
        <v>190.0</v>
      </c>
      <c r="C10" s="52">
        <f>C8+C9</f>
        <v>-85.0</v>
      </c>
      <c r="D10" s="52">
        <f>D8+D9</f>
        <v>-145.0</v>
      </c>
      <c r="E10" s="52">
        <f>E8+E9</f>
        <v>20.0</v>
      </c>
      <c r="F10" s="52">
        <f>F8+F9</f>
        <v>239.0</v>
      </c>
      <c r="G10" s="52">
        <f>G8+G9</f>
        <v>410.289674697</v>
      </c>
      <c r="H10" s="52">
        <f>H8+H9</f>
        <v>426.20691561829926</v>
      </c>
      <c r="I10" s="52">
        <f>I8+I9</f>
        <v>439.2292910977021</v>
      </c>
      <c r="J10" s="52">
        <f>J8+J9</f>
        <v>448.98036761747267</v>
      </c>
      <c r="K10" s="52">
        <f>K8+K9</f>
        <v>455.1401453776517</v>
      </c>
      <c r="L10" s="52">
        <f>L8+L9</f>
        <v>457.4586698487283</v>
      </c>
      <c r="M10" s="52">
        <f>M8+M9</f>
        <v>455.7678127660131</v>
      </c>
      <c r="N10" s="52">
        <f>N8+N9</f>
        <v>449.99056007036666</v>
      </c>
      <c r="O10" s="52">
        <f>O8+O9</f>
        <v>440.14723144831146</v>
      </c>
      <c r="P10" s="52">
        <f>P8+P9</f>
        <v>426.3581838439911</v>
      </c>
    </row>
    <row r="11">
      <c r="A11" s="2" t="inlineStr">
        <is>
          <t>Taxes</t>
        </is>
      </c>
      <c r="B11" s="52" t="n">
        <v>-15</v>
      </c>
      <c r="C11" s="52" t="n">
        <v>-43</v>
      </c>
      <c r="D11" s="52" t="n">
        <v>-19</v>
      </c>
      <c r="E11" s="52" t="n">
        <v>13</v>
      </c>
      <c r="F11" s="52" t="n">
        <v>29</v>
      </c>
      <c r="G11" s="52">
        <f>MAX(0,G10)*Assumptions!$E$14</f>
        <v>69.74924469849</v>
      </c>
      <c r="H11" s="52">
        <f>MAX(0,H10)*Assumptions!$E$14</f>
        <v>72.45517565511088</v>
      </c>
      <c r="I11" s="52">
        <f>MAX(0,I10)*Assumptions!$E$14</f>
        <v>74.66897948660936</v>
      </c>
      <c r="J11" s="52">
        <f>MAX(0,J10)*Assumptions!$E$14</f>
        <v>76.32666249497036</v>
      </c>
      <c r="K11" s="52">
        <f>MAX(0,K10)*Assumptions!$E$14</f>
        <v>77.3738247142008</v>
      </c>
      <c r="L11" s="52">
        <f>MAX(0,L10)*Assumptions!$E$14</f>
        <v>77.76797387428381</v>
      </c>
      <c r="M11" s="52">
        <f>MAX(0,M10)*Assumptions!$E$14</f>
        <v>77.48052817022223</v>
      </c>
      <c r="N11" s="52">
        <f>MAX(0,N10)*Assumptions!$E$14</f>
        <v>76.49839521196233</v>
      </c>
      <c r="O11" s="52">
        <f>MAX(0,O10)*Assumptions!$E$14</f>
        <v>74.82502934621296</v>
      </c>
      <c r="P11" s="52">
        <f>MAX(0,P10)*Assumptions!$E$14</f>
        <v>72.4808912534785</v>
      </c>
    </row>
    <row r="12">
      <c r="A12" s="2" t="inlineStr">
        <is>
          <t>Net Income</t>
        </is>
      </c>
      <c r="B12" s="52" t="n">
        <v>205</v>
      </c>
      <c r="C12" s="52" t="n">
        <v>-42</v>
      </c>
      <c r="D12" s="52" t="n">
        <v>-126</v>
      </c>
      <c r="E12" s="52" t="n">
        <v>7</v>
      </c>
      <c r="F12" s="52" t="n">
        <v>210</v>
      </c>
      <c r="G12" s="52">
        <f>G10-G11</f>
        <v>340.54042999851004</v>
      </c>
      <c r="H12" s="52">
        <f>H10-H11</f>
        <v>353.75173996318836</v>
      </c>
      <c r="I12" s="52">
        <f>I10-I11</f>
        <v>364.56031161109274</v>
      </c>
      <c r="J12" s="52">
        <f>J10-J11</f>
        <v>372.6537051225023</v>
      </c>
      <c r="K12" s="52">
        <f>K10-K11</f>
        <v>377.7663206634509</v>
      </c>
      <c r="L12" s="52">
        <f>L10-L11</f>
        <v>379.69069597444445</v>
      </c>
      <c r="M12" s="52">
        <f>M10-M11</f>
        <v>378.2872845957909</v>
      </c>
      <c r="N12" s="52">
        <f>N10-N11</f>
        <v>373.4921648584043</v>
      </c>
      <c r="O12" s="52">
        <f>O10-O11</f>
        <v>365.3222021020985</v>
      </c>
      <c r="P12" s="52">
        <f>P10-P11</f>
        <v>353.87729259051264</v>
      </c>
    </row>
    <row r="13">
      <c r="A13" s="2" t="inlineStr">
        <is>
          <t>Earnings per Share</t>
        </is>
      </c>
      <c r="B13" s="11">
        <f>IFERROR(B12/B14,0)</f>
        <v>1.3492167961037251</v>
      </c>
      <c r="C13" s="11">
        <f>IFERROR(C12/C14,0)</f>
        <v>-0.302158273381295</v>
      </c>
      <c r="D13" s="11">
        <f>IFERROR(D12/D14,0)</f>
        <v>-0.9197080291970803</v>
      </c>
      <c r="E13" s="11">
        <f>IFERROR(E12/E14,0)</f>
        <v>0.05263157894736842</v>
      </c>
      <c r="F13" s="11">
        <f>IFERROR(F12/F14,0)</f>
        <v>1.640625</v>
      </c>
      <c r="G13" s="11">
        <f>IFERROR(G12/G14,0)</f>
        <v>2.885602071320666</v>
      </c>
      <c r="H13" s="11">
        <f>IFERROR(H12/H14,0)</f>
        <v>2.997549376370765</v>
      </c>
      <c r="I13" s="11">
        <f>IFERROR(I12/I14,0)</f>
        <v>3.0891368473073206</v>
      </c>
      <c r="J13" s="11">
        <f>IFERROR(J12/J14,0)</f>
        <v>3.1577169952816413</v>
      </c>
      <c r="K13" s="11">
        <f>IFERROR(K12/K14,0)</f>
        <v>3.201039234567274</v>
      </c>
      <c r="L13" s="11">
        <f>IFERROR(L12/L14,0)</f>
        <v>3.217345613764086</v>
      </c>
      <c r="M13" s="11">
        <f>IFERROR(M12/M14,0)</f>
        <v>3.2054536725306315</v>
      </c>
      <c r="N13" s="11">
        <f>IFERROR(N12/N14,0)</f>
        <v>3.1648217644588237</v>
      </c>
      <c r="O13" s="11">
        <f>IFERROR(O12/O14,0)</f>
        <v>3.095592799626919</v>
      </c>
      <c r="P13" s="11">
        <f>IFERROR(P12/P14,0)</f>
        <v>2.9986132586283527</v>
      </c>
    </row>
    <row r="14">
      <c r="A14" s="2" t="inlineStr">
        <is>
          <t>Shares</t>
        </is>
      </c>
      <c r="B14" s="52" t="n">
        <v>151.94</v>
      </c>
      <c r="C14" s="52" t="n">
        <v>139</v>
      </c>
      <c r="D14" s="52" t="n">
        <v>137</v>
      </c>
      <c r="E14" s="52" t="n">
        <v>133</v>
      </c>
      <c r="F14" s="52" t="n">
        <v>128</v>
      </c>
      <c r="G14" s="52">
        <f>Main!$C$4</f>
        <v>118.013649</v>
      </c>
      <c r="H14" s="52">
        <f>Main!$C$4</f>
        <v>118.013649</v>
      </c>
      <c r="I14" s="52">
        <f>Main!$C$4</f>
        <v>118.013649</v>
      </c>
      <c r="J14" s="52">
        <f>Main!$C$4</f>
        <v>118.013649</v>
      </c>
      <c r="K14" s="52">
        <f>Main!$C$4</f>
        <v>118.013649</v>
      </c>
      <c r="L14" s="52">
        <f>Main!$C$4</f>
        <v>118.013649</v>
      </c>
      <c r="M14" s="52">
        <f>Main!$C$4</f>
        <v>118.013649</v>
      </c>
      <c r="N14" s="52">
        <f>Main!$C$4</f>
        <v>118.013649</v>
      </c>
      <c r="O14" s="52">
        <f>Main!$C$4</f>
        <v>118.013649</v>
      </c>
      <c r="P14" s="52">
        <f>Main!$C$4</f>
        <v>118.013649</v>
      </c>
    </row>
    <row r="15"/>
    <row r="16" customFormat="1" s="4">
      <c r="A16" s="3" t="inlineStr">
        <is>
          <t>Revenue Change</t>
        </is>
      </c>
      <c r="C16" s="15">
        <f>IFERROR(C2/B2-1,"")</f>
        <v>0.1390644753476611</v>
      </c>
      <c r="D16" s="15">
        <f>IFERROR(D2/C2-1,"")</f>
        <v>0.2130965593784684</v>
      </c>
      <c r="E16" s="15">
        <f>IFERROR(E2/D2-1,"")</f>
        <v>0.08691674290942353</v>
      </c>
      <c r="F16" s="15">
        <f>IFERROR(F2/E2-1,"")</f>
        <v>0.04292929292929304</v>
      </c>
      <c r="G16" s="15">
        <f>IFERROR(G2/F2-1,"")</f>
        <v>0.08689999999999998</v>
      </c>
      <c r="H16" s="15">
        <f>IFERROR(H2/G2-1,"")</f>
        <v>0.08002222222222222</v>
      </c>
      <c r="I16" s="15">
        <f>IFERROR(I2/H2-1,"")</f>
        <v>0.07314444444444446</v>
      </c>
      <c r="J16" s="15">
        <f>IFERROR(J2/I2-1,"")</f>
        <v>0.0662666666666667</v>
      </c>
      <c r="K16" s="15">
        <f>IFERROR(K2/J2-1,"")</f>
        <v>0.059388888888888935</v>
      </c>
      <c r="L16" s="15">
        <f>IFERROR(L2/K2-1,"")</f>
        <v>0.052511111111111175</v>
      </c>
      <c r="M16" s="15">
        <f>IFERROR(M2/L2-1,"")</f>
        <v>0.045633333333333415</v>
      </c>
      <c r="N16" s="15">
        <f>IFERROR(N2/M2-1,"")</f>
        <v>0.038755555555555654</v>
      </c>
      <c r="O16" s="15">
        <f>IFERROR(O2/N2-1,"")</f>
        <v>0.031877777777777894</v>
      </c>
      <c r="P16" s="15">
        <f>IFERROR(P2/O2-1,"")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0.8394437420986094</v>
      </c>
      <c r="C17" s="15">
        <f>IFERROR(C4/C2,"")</f>
        <v>0.8235294117647058</v>
      </c>
      <c r="D17" s="15">
        <f>IFERROR(D4/D2,"")</f>
        <v>0.8298261665141812</v>
      </c>
      <c r="E17" s="15">
        <f>IFERROR(E4/E2,"")</f>
        <v>0.8055555555555556</v>
      </c>
      <c r="F17" s="15">
        <f>IFERROR(F4/F2,"")</f>
        <v>0.801452784503632</v>
      </c>
      <c r="G17" s="15">
        <f>IFERROR(G4/G2,"")</f>
        <v>0.8015</v>
      </c>
      <c r="H17" s="15">
        <f>IFERROR(H4/H2,"")</f>
        <v>0.8015</v>
      </c>
      <c r="I17" s="15">
        <f>IFERROR(I4/I2,"")</f>
        <v>0.8015</v>
      </c>
      <c r="J17" s="15">
        <f>IFERROR(J4/J2,"")</f>
        <v>0.8015</v>
      </c>
      <c r="K17" s="15">
        <f>IFERROR(K4/K2,"")</f>
        <v>0.8015</v>
      </c>
      <c r="L17" s="15">
        <f>IFERROR(L4/L2,"")</f>
        <v>0.8015000000000001</v>
      </c>
      <c r="M17" s="15">
        <f>IFERROR(M4/M2,"")</f>
        <v>0.8015</v>
      </c>
      <c r="N17" s="15">
        <f>IFERROR(N4/N2,"")</f>
        <v>0.8015</v>
      </c>
      <c r="O17" s="15">
        <f>IFERROR(O4/O2,"")</f>
        <v>0.8015</v>
      </c>
      <c r="P17" s="15">
        <f>IFERROR(P4/P2,"")</f>
        <v>0.8015</v>
      </c>
    </row>
    <row r="18">
      <c r="A18" s="14" t="inlineStr">
        <is>
          <t>Operating Margin</t>
        </is>
      </c>
      <c r="B18" s="15">
        <f>IFERROR(B8/B2,"")</f>
        <v>0.2692793931731985</v>
      </c>
      <c r="C18" s="15">
        <f>IFERROR(C8/C2,"")</f>
        <v>-0.08546059933407325</v>
      </c>
      <c r="D18" s="15">
        <f>IFERROR(D8/D2,"")</f>
        <v>-0.13906678865507777</v>
      </c>
      <c r="E18" s="15">
        <f>IFERROR(E8/E2,"")</f>
        <v>0.03198653198653199</v>
      </c>
      <c r="F18" s="15">
        <f>IFERROR(F8/F2,"")</f>
        <v>0.21146085552865213</v>
      </c>
      <c r="G18" s="15">
        <f>IFERROR(G8/G2,"")</f>
        <v>0.30467</v>
      </c>
      <c r="H18" s="15">
        <f>IFERROR(H8/H2,"")</f>
        <v>0.29304</v>
      </c>
      <c r="I18" s="15">
        <f>IFERROR(I8/I2,"")</f>
        <v>0.2814100000000001</v>
      </c>
      <c r="J18" s="15">
        <f>IFERROR(J8/J2,"")</f>
        <v>0.26978</v>
      </c>
      <c r="K18" s="15">
        <f>IFERROR(K8/K2,"")</f>
        <v>0.25815</v>
      </c>
      <c r="L18" s="15">
        <f>IFERROR(L8/L2,"")</f>
        <v>0.24651999999999996</v>
      </c>
      <c r="M18" s="15">
        <f>IFERROR(M8/M2,"")</f>
        <v>0.23489000000000007</v>
      </c>
      <c r="N18" s="15">
        <f>IFERROR(N8/N2,"")</f>
        <v>0.22326000000000001</v>
      </c>
      <c r="O18" s="15">
        <f>IFERROR(O8/O2,"")</f>
        <v>0.21163</v>
      </c>
      <c r="P18" s="15">
        <f>IFERROR(P8/P2,"")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E</t>
        </is>
      </c>
      <c r="H19" s="19" t="inlineStr">
        <is>
          <t>E</t>
        </is>
      </c>
      <c r="I19" s="19" t="inlineStr">
        <is>
          <t>E</t>
        </is>
      </c>
      <c r="J19" s="19" t="inlineStr">
        <is>
          <t>E</t>
        </is>
      </c>
      <c r="K19" s="19" t="inlineStr">
        <is>
          <t>E</t>
        </is>
      </c>
      <c r="L19" s="19" t="inlineStr">
        <is>
          <t>E</t>
        </is>
      </c>
      <c r="M19" s="19" t="inlineStr">
        <is>
          <t>E</t>
        </is>
      </c>
      <c r="N19" s="19" t="inlineStr">
        <is>
          <t>E</t>
        </is>
      </c>
      <c r="O19" s="19" t="inlineStr">
        <is>
          <t>E</t>
        </is>
      </c>
      <c r="P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Indivior Pharmaceuticals Inc: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0.12</v>
      </c>
      <c r="C10" s="53" t="n">
        <v>0.11</v>
      </c>
      <c r="D10" s="53" t="n">
        <v>0.1</v>
      </c>
      <c r="E10" s="54">
        <f>IF(ISNUMBER($B$6),$B$6,CHOOSE($B$4,B10,C10,D10))</f>
        <v>0.11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0.0369</v>
      </c>
      <c r="C12" s="53" t="n">
        <v>0.08690000000000001</v>
      </c>
      <c r="D12" s="53" t="n">
        <v>0.1369</v>
      </c>
      <c r="E12" s="54">
        <f>CHOOSE($B$4,B12,C12,D12)</f>
        <v>0.0869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0.3163</v>
      </c>
    </row>
    <row r="19">
      <c r="A19" s="14" t="inlineStr">
        <is>
          <t>Gross margin (forecast)</t>
        </is>
      </c>
      <c r="B19" s="53" t="n">
        <v>0.8015</v>
      </c>
    </row>
    <row r="20">
      <c r="A20" s="14" t="inlineStr">
        <is>
          <t>R&amp;D share of operating expense (forecast)</t>
        </is>
      </c>
      <c r="B20" s="53" t="n">
        <v>0.1327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Model'!F2</f>
        <v>1239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3590.7964252201355</v>
      </c>
      <c r="C29" s="56">
        <f>NPV!B26</f>
        <v>3325.7964252201355</v>
      </c>
      <c r="D29" s="35">
        <f>NPV!B28</f>
        <v>28.18145573331213</v>
      </c>
      <c r="E29" s="57">
        <f>NPV!B30</f>
        <v>-0.18948933755213893</v>
      </c>
    </row>
    <row r="30">
      <c r="A30" s="58" t="n">
        <v>1</v>
      </c>
      <c r="B30" s="59">
        <f t="dataTable" ref="B30:E32" r1="B4"/>
        <v>2240.7145139748654</v>
      </c>
      <c r="C30" s="59">
        <v>1975.7145139748654</v>
      </c>
      <c r="D30" s="39">
        <v>16.74140686875012</v>
      </c>
      <c r="E30" s="60">
        <v>-0.5185100124029303</v>
      </c>
    </row>
    <row r="31">
      <c r="A31" s="58" t="n">
        <v>2</v>
      </c>
      <c r="B31" s="59">
        <v>3590.7964252201355</v>
      </c>
      <c r="C31" s="59">
        <v>3325.7964252201355</v>
      </c>
      <c r="D31" s="39">
        <v>28.18145573331213</v>
      </c>
      <c r="E31" s="60">
        <v>-0.18948933755213893</v>
      </c>
    </row>
    <row r="32">
      <c r="A32" s="58" t="n">
        <v>3</v>
      </c>
      <c r="B32" s="59">
        <v>6042.004715596993</v>
      </c>
      <c r="C32" s="59">
        <v>5777.004715596993</v>
      </c>
      <c r="D32" s="39">
        <v>48.95200482782287</v>
      </c>
      <c r="E32" s="60">
        <v>0.40788049547951877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28.18145573331213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0.09</v>
      </c>
      <c r="B37" s="39">
        <f t="dataTable" ref="B37:F41" dt2D="1" r1="B7" r2="B6"/>
        <v>33.1214487045915</v>
      </c>
      <c r="C37" s="39">
        <v>34.78838759012585</v>
      </c>
      <c r="D37" s="39">
        <v>36.70633386022991</v>
      </c>
      <c r="E37" s="39">
        <v>38.93798214056598</v>
      </c>
      <c r="F37" s="39">
        <v>41.568824524282086</v>
      </c>
    </row>
    <row r="38">
      <c r="A38" s="62" t="n">
        <v>0.1</v>
      </c>
      <c r="B38" s="39">
        <v>29.245357040050543</v>
      </c>
      <c r="C38" s="39">
        <v>30.482171792064836</v>
      </c>
      <c r="D38" s="39">
        <v>31.87940608929388</v>
      </c>
      <c r="E38" s="39">
        <v>33.471389228163325</v>
      </c>
      <c r="F38" s="39">
        <v>35.30301290617754</v>
      </c>
    </row>
    <row r="39">
      <c r="A39" s="62" t="n">
        <v>0.11</v>
      </c>
      <c r="B39" s="39">
        <v>26.18078015376357</v>
      </c>
      <c r="C39" s="39">
        <v>27.127323641397126</v>
      </c>
      <c r="D39" s="39">
        <v>28.18145573331213</v>
      </c>
      <c r="E39" s="39">
        <v>29.36331100431629</v>
      </c>
      <c r="F39" s="39">
        <v>30.698392875228258</v>
      </c>
    </row>
    <row r="40">
      <c r="A40" s="62" t="n">
        <v>0.12</v>
      </c>
      <c r="B40" s="39">
        <v>23.69569826872418</v>
      </c>
      <c r="C40" s="39">
        <v>24.438303131160545</v>
      </c>
      <c r="D40" s="39">
        <v>25.255866177189187</v>
      </c>
      <c r="E40" s="39">
        <v>26.16084827645721</v>
      </c>
      <c r="F40" s="39">
        <v>27.16864195790439</v>
      </c>
    </row>
    <row r="41">
      <c r="A41" s="62" t="n">
        <v>0.13</v>
      </c>
      <c r="B41" s="39">
        <v>21.63885165280424</v>
      </c>
      <c r="C41" s="39">
        <v>22.233461684681032</v>
      </c>
      <c r="D41" s="39">
        <v>22.881934730536035</v>
      </c>
      <c r="E41" s="39">
        <v>23.592322882588473</v>
      </c>
      <c r="F41" s="39">
        <v>24.37437314959866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Indivior Pharmaceuticals Inc: free-cash-flow DCF ($mm)</t>
        </is>
      </c>
    </row>
    <row r="3">
      <c r="A3" s="20" t="inlineStr">
        <is>
          <t>Fiscal year</t>
        </is>
      </c>
      <c r="B3" s="43">
        <f>'Yearly Model'!F1</f>
        <v>2025</v>
      </c>
      <c r="C3" s="43">
        <f>'Yearly Model'!G1</f>
        <v>2026</v>
      </c>
      <c r="D3" s="43">
        <f>'Yearly Model'!H1</f>
        <v>2027</v>
      </c>
      <c r="E3" s="43">
        <f>'Yearly Model'!I1</f>
        <v>2028</v>
      </c>
      <c r="F3" s="43">
        <f>'Yearly Model'!J1</f>
        <v>2029</v>
      </c>
      <c r="G3" s="43">
        <f>'Yearly Model'!K1</f>
        <v>2030</v>
      </c>
      <c r="H3" s="43">
        <f>'Yearly Model'!L1</f>
        <v>2031</v>
      </c>
      <c r="I3" s="43">
        <f>'Yearly Model'!M1</f>
        <v>2032</v>
      </c>
      <c r="J3" s="43">
        <f>'Yearly Model'!N1</f>
        <v>2033</v>
      </c>
      <c r="K3" s="43">
        <f>'Yearly Model'!O1</f>
        <v>2034</v>
      </c>
      <c r="L3" s="43">
        <f>'Yearly Model'!P1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0.0869</v>
      </c>
      <c r="D5" s="63">
        <f>Assumptions!$E$12+(Assumptions!$E$11-Assumptions!$E$12)*(D4-1)/(Assumptions!$B$21-1)</f>
        <v>0.08002222222222223</v>
      </c>
      <c r="E5" s="63">
        <f>Assumptions!$E$12+(Assumptions!$E$11-Assumptions!$E$12)*(E4-1)/(Assumptions!$B$21-1)</f>
        <v>0.07314444444444446</v>
      </c>
      <c r="F5" s="63">
        <f>Assumptions!$E$12+(Assumptions!$E$11-Assumptions!$E$12)*(F4-1)/(Assumptions!$B$21-1)</f>
        <v>0.06626666666666667</v>
      </c>
      <c r="G5" s="63">
        <f>Assumptions!$E$12+(Assumptions!$E$11-Assumptions!$E$12)*(G4-1)/(Assumptions!$B$21-1)</f>
        <v>0.059388888888888894</v>
      </c>
      <c r="H5" s="63">
        <f>Assumptions!$E$12+(Assumptions!$E$11-Assumptions!$E$12)*(H4-1)/(Assumptions!$B$21-1)</f>
        <v>0.05251111111111112</v>
      </c>
      <c r="I5" s="63">
        <f>Assumptions!$E$12+(Assumptions!$E$11-Assumptions!$E$12)*(I4-1)/(Assumptions!$B$21-1)</f>
        <v>0.04563333333333334</v>
      </c>
      <c r="J5" s="63">
        <f>Assumptions!$E$12+(Assumptions!$E$11-Assumptions!$E$12)*(J4-1)/(Assumptions!$B$21-1)</f>
        <v>0.03875555555555556</v>
      </c>
      <c r="K5" s="63">
        <f>Assumptions!$E$12+(Assumptions!$E$11-Assumptions!$E$12)*(K4-1)/(Assumptions!$B$21-1)</f>
        <v>0.03187777777777778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0.21146085552865213</v>
      </c>
      <c r="C6" s="63">
        <f>Assumptions!$B$18+(Assumptions!$E$13-Assumptions!$B$18)*C4/Assumptions!$B$21</f>
        <v>0.30467</v>
      </c>
      <c r="D6" s="63">
        <f>Assumptions!$B$18+(Assumptions!$E$13-Assumptions!$B$18)*D4/Assumptions!$B$21</f>
        <v>0.29304</v>
      </c>
      <c r="E6" s="63">
        <f>Assumptions!$B$18+(Assumptions!$E$13-Assumptions!$B$18)*E4/Assumptions!$B$21</f>
        <v>0.28141000000000005</v>
      </c>
      <c r="F6" s="63">
        <f>Assumptions!$B$18+(Assumptions!$E$13-Assumptions!$B$18)*F4/Assumptions!$B$21</f>
        <v>0.26978</v>
      </c>
      <c r="G6" s="63">
        <f>Assumptions!$B$18+(Assumptions!$E$13-Assumptions!$B$18)*G4/Assumptions!$B$21</f>
        <v>0.25815</v>
      </c>
      <c r="H6" s="63">
        <f>Assumptions!$B$18+(Assumptions!$E$13-Assumptions!$B$18)*H4/Assumptions!$B$21</f>
        <v>0.24652000000000002</v>
      </c>
      <c r="I6" s="63">
        <f>Assumptions!$B$18+(Assumptions!$E$13-Assumptions!$B$18)*I4/Assumptions!$B$21</f>
        <v>0.23489000000000002</v>
      </c>
      <c r="J6" s="63">
        <f>Assumptions!$B$18+(Assumptions!$E$13-Assumptions!$B$18)*J4/Assumptions!$B$21</f>
        <v>0.22326000000000001</v>
      </c>
      <c r="K6" s="63">
        <f>Assumptions!$B$18+(Assumptions!$E$13-Assumptions!$B$18)*K4/Assumptions!$B$21</f>
        <v>0.21163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Model'!F2</f>
        <v>1239</v>
      </c>
      <c r="C7" s="55">
        <f>'Yearly Model'!G2</f>
        <v>1346.6691</v>
      </c>
      <c r="D7" s="55">
        <f>'Yearly Model'!H2</f>
        <v>1454.43255398</v>
      </c>
      <c r="E7" s="55">
        <f>'Yearly Model'!I2</f>
        <v>1560.8162151227816</v>
      </c>
      <c r="F7" s="55">
        <f>'Yearly Model'!J2</f>
        <v>1664.2463029782514</v>
      </c>
      <c r="G7" s="55">
        <f>'Yearly Model'!K2</f>
        <v>1763.084041749571</v>
      </c>
      <c r="H7" s="55">
        <f>'Yearly Model'!L2</f>
        <v>1855.6655437641098</v>
      </c>
      <c r="I7" s="55">
        <f>'Yearly Model'!M2</f>
        <v>1940.3457480778789</v>
      </c>
      <c r="J7" s="55">
        <f>'Yearly Model'!N2</f>
        <v>2015.5449255144972</v>
      </c>
      <c r="K7" s="55">
        <f>'Yearly Model'!O2</f>
        <v>2079.7960187511762</v>
      </c>
      <c r="L7" s="55">
        <f>'Yearly Model'!P2</f>
        <v>2131.7909192199554</v>
      </c>
    </row>
    <row r="8">
      <c r="A8" s="14" t="inlineStr">
        <is>
          <t>Operating income</t>
        </is>
      </c>
      <c r="B8" s="55">
        <f>'Yearly Model'!F8</f>
        <v>262.0</v>
      </c>
      <c r="C8" s="55">
        <f>'Yearly Model'!G8</f>
        <v>410.289674697</v>
      </c>
      <c r="D8" s="55">
        <f>'Yearly Model'!H8</f>
        <v>426.20691561829926</v>
      </c>
      <c r="E8" s="55">
        <f>'Yearly Model'!I8</f>
        <v>439.2292910977021</v>
      </c>
      <c r="F8" s="55">
        <f>'Yearly Model'!J8</f>
        <v>448.98036761747267</v>
      </c>
      <c r="G8" s="55">
        <f>'Yearly Model'!K8</f>
        <v>455.1401453776517</v>
      </c>
      <c r="H8" s="55">
        <f>'Yearly Model'!L8</f>
        <v>457.4586698487283</v>
      </c>
      <c r="I8" s="55">
        <f>'Yearly Model'!M8</f>
        <v>455.7678127660131</v>
      </c>
      <c r="J8" s="55">
        <f>'Yearly Model'!N8</f>
        <v>449.99056007036666</v>
      </c>
      <c r="K8" s="55">
        <f>'Yearly Model'!O8</f>
        <v>440.14723144831146</v>
      </c>
      <c r="L8" s="55">
        <f>'Yearly Model'!P8</f>
        <v>426.3581838439911</v>
      </c>
    </row>
    <row r="9">
      <c r="A9" s="14" t="inlineStr">
        <is>
          <t>Tax on operating income</t>
        </is>
      </c>
      <c r="C9" s="52">
        <f>MAX(0,C8)*Assumptions!$E$14</f>
        <v>69.74924469849</v>
      </c>
      <c r="D9" s="52">
        <f>MAX(0,D8)*Assumptions!$E$14</f>
        <v>72.45517565511088</v>
      </c>
      <c r="E9" s="52">
        <f>MAX(0,E8)*Assumptions!$E$14</f>
        <v>74.66897948660936</v>
      </c>
      <c r="F9" s="52">
        <f>MAX(0,F8)*Assumptions!$E$14</f>
        <v>76.32666249497036</v>
      </c>
      <c r="G9" s="52">
        <f>MAX(0,G8)*Assumptions!$E$14</f>
        <v>77.3738247142008</v>
      </c>
      <c r="H9" s="52">
        <f>MAX(0,H8)*Assumptions!$E$14</f>
        <v>77.76797387428381</v>
      </c>
      <c r="I9" s="52">
        <f>MAX(0,I8)*Assumptions!$E$14</f>
        <v>77.48052817022223</v>
      </c>
      <c r="J9" s="52">
        <f>MAX(0,J8)*Assumptions!$E$14</f>
        <v>76.49839521196233</v>
      </c>
      <c r="K9" s="52">
        <f>MAX(0,K8)*Assumptions!$E$14</f>
        <v>74.82502934621296</v>
      </c>
      <c r="L9" s="52">
        <f>MAX(0,L8)*Assumptions!$E$14</f>
        <v>72.4808912534785</v>
      </c>
    </row>
    <row r="10">
      <c r="A10" s="14" t="inlineStr">
        <is>
          <t>NOPAT</t>
        </is>
      </c>
      <c r="C10" s="52">
        <f>C8-C9</f>
        <v>340.54042999851004</v>
      </c>
      <c r="D10" s="52">
        <f>D8-D9</f>
        <v>353.75173996318836</v>
      </c>
      <c r="E10" s="52">
        <f>E8-E9</f>
        <v>364.56031161109274</v>
      </c>
      <c r="F10" s="52">
        <f>F8-F9</f>
        <v>372.6537051225023</v>
      </c>
      <c r="G10" s="52">
        <f>G8-G9</f>
        <v>377.7663206634509</v>
      </c>
      <c r="H10" s="52">
        <f>H8-H9</f>
        <v>379.69069597444445</v>
      </c>
      <c r="I10" s="52">
        <f>I8-I9</f>
        <v>378.2872845957909</v>
      </c>
      <c r="J10" s="52">
        <f>J8-J9</f>
        <v>373.4921648584043</v>
      </c>
      <c r="K10" s="52">
        <f>K8-K9</f>
        <v>365.3222021020985</v>
      </c>
      <c r="L10" s="52">
        <f>L8-L9</f>
        <v>353.87729259051264</v>
      </c>
    </row>
    <row r="11">
      <c r="A11" s="14" t="inlineStr">
        <is>
          <t>Reinvestment</t>
        </is>
      </c>
      <c r="C11" s="52">
        <f>(C7-B7)*Assumptions!$E$15</f>
        <v>26.917275000000018</v>
      </c>
      <c r="D11" s="52">
        <f>(D7-C7)*Assumptions!$E$15</f>
        <v>26.940863494999974</v>
      </c>
      <c r="E11" s="52">
        <f>(E7-D7)*Assumptions!$E$15</f>
        <v>26.595915285695412</v>
      </c>
      <c r="F11" s="52">
        <f>(F7-E7)*Assumptions!$E$15</f>
        <v>25.85752196386744</v>
      </c>
      <c r="G11" s="52">
        <f>(G7-F7)*Assumptions!$E$15</f>
        <v>24.709434692829916</v>
      </c>
      <c r="H11" s="52">
        <f>(H7-G7)*Assumptions!$E$15</f>
        <v>23.145375503634682</v>
      </c>
      <c r="I11" s="52">
        <f>(I7-H7)*Assumptions!$E$15</f>
        <v>21.17005107844227</v>
      </c>
      <c r="J11" s="52">
        <f>(J7-I7)*Assumptions!$E$15</f>
        <v>18.79979435915459</v>
      </c>
      <c r="K11" s="52">
        <f>(K7-J7)*Assumptions!$E$15</f>
        <v>16.062773309169756</v>
      </c>
      <c r="L11" s="52">
        <f>(L7-K7)*Assumptions!$E$15</f>
        <v>12.998725117194795</v>
      </c>
    </row>
    <row r="12">
      <c r="A12" s="20" t="inlineStr">
        <is>
          <t>Free cash flow</t>
        </is>
      </c>
      <c r="C12" s="64">
        <f>C10-C11</f>
        <v>313.62315499851</v>
      </c>
      <c r="D12" s="64">
        <f>D10-D11</f>
        <v>326.8108764681884</v>
      </c>
      <c r="E12" s="64">
        <f>E10-E11</f>
        <v>337.96439632539733</v>
      </c>
      <c r="F12" s="64">
        <f>F10-F11</f>
        <v>346.79618315863485</v>
      </c>
      <c r="G12" s="64">
        <f>G10-G11</f>
        <v>353.056885970621</v>
      </c>
      <c r="H12" s="64">
        <f>H10-H11</f>
        <v>356.54532047080977</v>
      </c>
      <c r="I12" s="64">
        <f>I10-I11</f>
        <v>357.1172335173486</v>
      </c>
      <c r="J12" s="64">
        <f>J10-J11</f>
        <v>354.6923704992497</v>
      </c>
      <c r="K12" s="64">
        <f>K10-K11</f>
        <v>349.25942879292876</v>
      </c>
      <c r="L12" s="64">
        <f>L10-L11</f>
        <v>340.87856747331784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0.9740389933872364</v>
      </c>
      <c r="D15" s="65">
        <f>1/(1+Assumptions!$E$10)^D14</f>
        <v>0.9005155094261971</v>
      </c>
      <c r="E15" s="65">
        <f>1/(1+Assumptions!$E$10)^E14</f>
        <v>0.8112752337172946</v>
      </c>
      <c r="F15" s="65">
        <f>1/(1+Assumptions!$E$10)^F14</f>
        <v>0.7308785889344995</v>
      </c>
      <c r="G15" s="65">
        <f>1/(1+Assumptions!$E$10)^G14</f>
        <v>0.6584491792202698</v>
      </c>
      <c r="H15" s="65">
        <f>1/(1+Assumptions!$E$10)^H14</f>
        <v>0.5931974587569998</v>
      </c>
      <c r="I15" s="65">
        <f>1/(1+Assumptions!$E$10)^I14</f>
        <v>0.534412125006306</v>
      </c>
      <c r="J15" s="65">
        <f>1/(1+Assumptions!$E$10)^J14</f>
        <v>0.4814523648705459</v>
      </c>
      <c r="K15" s="65">
        <f>1/(1+Assumptions!$E$10)^K14</f>
        <v>0.433740869252744</v>
      </c>
      <c r="L15" s="65">
        <f>1/(1+Assumptions!$E$10)^L14</f>
        <v>0.3907575398673369</v>
      </c>
    </row>
    <row r="16">
      <c r="A16" s="20" t="inlineStr">
        <is>
          <t>PV of free cash flow</t>
        </is>
      </c>
      <c r="C16" s="64">
        <f>C12*C13*C15</f>
        <v>153.99306394584943</v>
      </c>
      <c r="D16" s="64">
        <f>D12*D13*D15</f>
        <v>294.29826290877264</v>
      </c>
      <c r="E16" s="64">
        <f>E12*E13*E15</f>
        <v>274.1821446170111</v>
      </c>
      <c r="F16" s="64">
        <f>F12*F13*F15</f>
        <v>253.46590499485328</v>
      </c>
      <c r="G16" s="64">
        <f>G12*G13*G15</f>
        <v>232.4700167854198</v>
      </c>
      <c r="H16" s="64">
        <f>H12*H13*H15</f>
        <v>211.50177803498445</v>
      </c>
      <c r="I16" s="64">
        <f>I12*I13*I15</f>
        <v>190.84777964037946</v>
      </c>
      <c r="J16" s="64">
        <f>J12*J13*J15</f>
        <v>170.76748057840362</v>
      </c>
      <c r="K16" s="64">
        <f>K12*K13*K15</f>
        <v>151.4880882393618</v>
      </c>
      <c r="L16" s="64">
        <f>L12*L13*L15</f>
        <v>133.2008704193757</v>
      </c>
    </row>
    <row r="19">
      <c r="A19" s="14" t="inlineStr">
        <is>
          <t>PV of forecast free cash flow</t>
        </is>
      </c>
      <c r="B19" s="52">
        <f>SUM(C16:L16)</f>
        <v>2066.2153901644115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349.4005316601507</v>
      </c>
    </row>
    <row r="21">
      <c r="A21" s="14" t="inlineStr">
        <is>
          <t>Terminal value</t>
        </is>
      </c>
      <c r="B21" s="52">
        <f>B20/(Assumptions!$E$10-Assumptions!$E$11)</f>
        <v>4110.594490119421</v>
      </c>
    </row>
    <row r="22">
      <c r="A22" s="14" t="inlineStr">
        <is>
          <t>PV of terminal value</t>
        </is>
      </c>
      <c r="B22" s="52">
        <f>B21/(1+Assumptions!$E$10)^(L14+0.5)</f>
        <v>1524.5810350557238</v>
      </c>
    </row>
    <row r="23">
      <c r="A23" s="20" t="inlineStr">
        <is>
          <t>Enterprise value</t>
        </is>
      </c>
      <c r="B23" s="66">
        <f>B19+B22</f>
        <v>3590.7964252201355</v>
      </c>
    </row>
    <row r="24">
      <c r="A24" s="14" t="inlineStr">
        <is>
          <t>Cash &amp; investments</t>
        </is>
      </c>
      <c r="B24" s="55">
        <f>Main!C7</f>
        <v>222</v>
      </c>
    </row>
    <row r="25">
      <c r="A25" s="14" t="inlineStr">
        <is>
          <t>Debt</t>
        </is>
      </c>
      <c r="B25" s="55">
        <f>Main!C8</f>
        <v>487</v>
      </c>
    </row>
    <row r="26">
      <c r="A26" s="20" t="inlineStr">
        <is>
          <t>Equity value</t>
        </is>
      </c>
      <c r="B26" s="66">
        <f>B23+B24-B25</f>
        <v>3325.7964252201355</v>
      </c>
    </row>
    <row r="27">
      <c r="A27" s="14" t="inlineStr">
        <is>
          <t>Shares (mm)</t>
        </is>
      </c>
      <c r="B27" s="55">
        <f>Main!C4</f>
        <v>118.013649</v>
      </c>
    </row>
    <row r="28">
      <c r="A28" s="20" t="inlineStr">
        <is>
          <t>NPV / share</t>
        </is>
      </c>
      <c r="B28" s="49">
        <f>B26/B27</f>
        <v>28.18145573331213</v>
      </c>
    </row>
    <row r="29">
      <c r="A29" s="14" t="inlineStr">
        <is>
          <t>Price</t>
        </is>
      </c>
      <c r="B29" s="50">
        <f>Main!C3</f>
        <v>34.77</v>
      </c>
    </row>
    <row r="30">
      <c r="A30" s="14" t="inlineStr">
        <is>
          <t>Upside</t>
        </is>
      </c>
      <c r="B30" s="63">
        <f>B28/B29-1</f>
        <v>-0.18948933755213893</v>
      </c>
    </row>
    <row r="31">
      <c r="A31" s="14" t="inlineStr">
        <is>
          <t>Terminal value, % of EV</t>
        </is>
      </c>
      <c r="B31" s="63">
        <f>IFERROR(B22/B23,0)</f>
        <v>0.42458019183369844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2026-10-21T06:21:57Z</dcterms:modified>
  <cp:lastModifiedBy>Wang, Eric</cp:lastModifiedBy>
</cp:coreProperties>
</file>