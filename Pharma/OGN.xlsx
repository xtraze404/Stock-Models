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Organon &amp; Co.</t>
        </is>
      </c>
      <c r="C2" s="10" t="n"/>
    </row>
    <row r="3">
      <c r="B3" t="inlineStr">
        <is>
          <t>Price</t>
        </is>
      </c>
      <c r="C3" s="11">
        <f>INDEX([1]Pharma!$F$1:$F$1000,MATCH("OGN",[1]Pharma!$B$1:$B$1000,0))</f>
        <v>13.755</v>
      </c>
      <c r="F3" s="1" t="n"/>
    </row>
    <row r="4">
      <c r="B4" t="inlineStr">
        <is>
          <t>Shares</t>
        </is>
      </c>
      <c r="C4" s="51" t="n">
        <v>262.609433</v>
      </c>
      <c r="F4" s="1" t="n"/>
    </row>
    <row r="5">
      <c r="B5" t="inlineStr">
        <is>
          <t>Market Cap.</t>
        </is>
      </c>
      <c r="C5" s="13">
        <f>C3*C4</f>
        <v>3612.1927509150005</v>
      </c>
      <c r="F5" s="1" t="n"/>
    </row>
    <row r="6"/>
    <row r="7">
      <c r="B7" t="inlineStr">
        <is>
          <t>Cash</t>
        </is>
      </c>
      <c r="C7" s="51" t="n">
        <v>1132</v>
      </c>
    </row>
    <row r="8">
      <c r="B8" t="inlineStr">
        <is>
          <t>Debt</t>
        </is>
      </c>
      <c r="C8" s="51">
        <f>74+8479</f>
        <v>8553.0</v>
      </c>
    </row>
    <row r="9">
      <c r="B9" t="inlineStr">
        <is>
          <t>Enterprise V.</t>
        </is>
      </c>
      <c r="C9" s="13">
        <f>C5-C7+C8</f>
        <v>11033.192750915001</v>
      </c>
    </row>
    <row r="10"/>
    <row r="11">
      <c r="B11" s="14" t="inlineStr">
        <is>
          <t>NPV / Share</t>
        </is>
      </c>
      <c r="C11" s="11">
        <f>NPV!B28</f>
        <v>10.85280996028869</v>
      </c>
    </row>
    <row r="12">
      <c r="B12" s="14" t="inlineStr">
        <is>
          <t>Upside</t>
        </is>
      </c>
      <c r="C12" s="15">
        <f>IFERROR(C11/C3-1,"")</f>
        <v>-0.21099164229089862</v>
      </c>
    </row>
    <row r="13">
      <c r="B13" s="14" t="inlineStr">
        <is>
          <t>Cash / Share</t>
        </is>
      </c>
      <c r="C13" s="11">
        <f>IFERROR((C7-C8)/C4,"")</f>
        <v>-28.258695490195887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2019</v>
      </c>
      <c r="C1" s="16" t="n">
        <v>2020</v>
      </c>
      <c r="D1" s="16" t="n">
        <v>2021</v>
      </c>
      <c r="E1" s="16" t="n">
        <v>2022</v>
      </c>
      <c r="F1" s="16" t="n">
        <v>2023</v>
      </c>
      <c r="G1" s="16" t="n">
        <v>2024</v>
      </c>
      <c r="H1" s="16" t="n">
        <v>2025</v>
      </c>
      <c r="I1" s="16" t="n">
        <v>2026</v>
      </c>
      <c r="J1" s="16" t="n">
        <v>2027</v>
      </c>
      <c r="K1" s="16" t="n">
        <v>2028</v>
      </c>
      <c r="L1" s="16" t="n">
        <v>2029</v>
      </c>
      <c r="M1" s="16" t="n">
        <v>2030</v>
      </c>
      <c r="N1" s="16" t="n">
        <v>2031</v>
      </c>
      <c r="O1" s="16" t="n">
        <v>2032</v>
      </c>
      <c r="P1" s="16" t="n">
        <v>2033</v>
      </c>
      <c r="Q1" s="16" t="n">
        <v>2034</v>
      </c>
      <c r="R1" s="16" t="n">
        <v>2035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7777</v>
      </c>
      <c r="C2" s="52" t="n">
        <v>6532</v>
      </c>
      <c r="D2" s="52" t="n">
        <v>6304</v>
      </c>
      <c r="E2" s="52" t="n">
        <v>6174</v>
      </c>
      <c r="F2" s="52" t="n">
        <v>6263</v>
      </c>
      <c r="G2" s="52" t="n">
        <v>6403</v>
      </c>
      <c r="H2" s="52" t="n">
        <v>6216</v>
      </c>
      <c r="I2" s="52">
        <f>H2*(1+NPV!C5)</f>
        <v>6038.222400000001</v>
      </c>
      <c r="J2" s="52">
        <f>I2*(1+NPV!D5)</f>
        <v>5901.49020832</v>
      </c>
      <c r="K2" s="52">
        <f>J2*(1+NPV!E5)</f>
        <v>5803.000893954482</v>
      </c>
      <c r="L2" s="52">
        <f>K2*(1+NPV!F5)</f>
        <v>5740.715351026038</v>
      </c>
      <c r="M2" s="52">
        <f>L2*(1+NPV!G5)</f>
        <v>5713.287488793358</v>
      </c>
      <c r="N2" s="52">
        <f>M2*(1+NPV!H5)</f>
        <v>5720.016471835714</v>
      </c>
      <c r="O2" s="52">
        <f>N2*(1+NPV!I5)</f>
        <v>5760.819256001476</v>
      </c>
      <c r="P2" s="52">
        <f>O2*(1+NPV!J5)</f>
        <v>5836.221979152251</v>
      </c>
      <c r="Q2" s="52">
        <f>P2*(1+NPV!K5)</f>
        <v>5947.369584399662</v>
      </c>
      <c r="R2" s="52">
        <f>Q2*(1+NPV!L5)</f>
        <v>6096.053824009653</v>
      </c>
    </row>
    <row r="3" customFormat="1" s="1">
      <c r="A3" s="5" t="inlineStr">
        <is>
          <t>Cost of Sales</t>
        </is>
      </c>
      <c r="B3" s="52" t="n">
        <v>2274</v>
      </c>
      <c r="C3" s="52" t="n">
        <v>2119</v>
      </c>
      <c r="D3" s="52" t="n">
        <v>2382</v>
      </c>
      <c r="E3" s="52" t="n">
        <v>2294</v>
      </c>
      <c r="F3" s="52" t="n">
        <v>2515</v>
      </c>
      <c r="G3" s="52" t="n">
        <v>2688</v>
      </c>
      <c r="H3" s="52" t="n">
        <v>2903</v>
      </c>
      <c r="I3" s="52">
        <f>I2*(1-Assumptions!$B$19)</f>
        <v>2819.8498608</v>
      </c>
      <c r="J3" s="52">
        <f>J2*(1-Assumptions!$B$19)</f>
        <v>2755.99592728544</v>
      </c>
      <c r="K3" s="52">
        <f>K2*(1-Assumptions!$B$19)</f>
        <v>2710.001417476743</v>
      </c>
      <c r="L3" s="52">
        <f>L2*(1-Assumptions!$B$19)</f>
        <v>2680.9140689291594</v>
      </c>
      <c r="M3" s="52">
        <f>M2*(1-Assumptions!$B$19)</f>
        <v>2668.105257266498</v>
      </c>
      <c r="N3" s="52">
        <f>N2*(1-Assumptions!$B$19)</f>
        <v>2671.247692347278</v>
      </c>
      <c r="O3" s="52">
        <f>O2*(1-Assumptions!$B$19)</f>
        <v>2690.302592552689</v>
      </c>
      <c r="P3" s="52">
        <f>P2*(1-Assumptions!$B$19)</f>
        <v>2725.515664264101</v>
      </c>
      <c r="Q3" s="52">
        <f>Q2*(1-Assumptions!$B$19)</f>
        <v>2777.421595914642</v>
      </c>
      <c r="R3" s="52">
        <f>R2*(1-Assumptions!$B$19)</f>
        <v>2846.8571358125077</v>
      </c>
    </row>
    <row r="4" customFormat="1" s="1">
      <c r="A4" s="5" t="inlineStr">
        <is>
          <t>Gross Margin</t>
        </is>
      </c>
      <c r="B4" s="52">
        <f>B2-B3</f>
        <v>5503.0</v>
      </c>
      <c r="C4" s="52">
        <f>C2-C3</f>
        <v>4413.0</v>
      </c>
      <c r="D4" s="52">
        <f>D2-D3</f>
        <v>3922.0</v>
      </c>
      <c r="E4" s="52">
        <f>E2-E3</f>
        <v>3880.0</v>
      </c>
      <c r="F4" s="52">
        <f>F2-F3</f>
        <v>3748.0</v>
      </c>
      <c r="G4" s="52">
        <f>G2-G3</f>
        <v>3715.0</v>
      </c>
      <c r="H4" s="52">
        <f>H2-H3</f>
        <v>3313.0</v>
      </c>
      <c r="I4" s="52">
        <f>I2-I3</f>
        <v>3218.3725392000006</v>
      </c>
      <c r="J4" s="52">
        <f>J2-J3</f>
        <v>3145.4942810345606</v>
      </c>
      <c r="K4" s="52">
        <f>K2-K3</f>
        <v>3092.9994764777393</v>
      </c>
      <c r="L4" s="52">
        <f>L2-L3</f>
        <v>3059.8012820968784</v>
      </c>
      <c r="M4" s="52">
        <f>M2-M3</f>
        <v>3045.1822315268596</v>
      </c>
      <c r="N4" s="52">
        <f>N2-N3</f>
        <v>3048.7687794884355</v>
      </c>
      <c r="O4" s="52">
        <f>O2-O3</f>
        <v>3070.516663448787</v>
      </c>
      <c r="P4" s="52">
        <f>P2-P3</f>
        <v>3110.7063148881502</v>
      </c>
      <c r="Q4" s="52">
        <f>Q2-Q3</f>
        <v>3169.9479884850202</v>
      </c>
      <c r="R4" s="52">
        <f>R2-R3</f>
        <v>3249.1966881971452</v>
      </c>
    </row>
    <row r="5">
      <c r="A5" s="2" t="inlineStr">
        <is>
          <t>Research &amp; Dev.</t>
        </is>
      </c>
      <c r="B5" s="52" t="n">
        <v>220</v>
      </c>
      <c r="C5" s="52" t="n">
        <v>210</v>
      </c>
      <c r="D5" s="52" t="n">
        <v>443</v>
      </c>
      <c r="E5" s="52" t="n">
        <v>471</v>
      </c>
      <c r="F5" s="52" t="n">
        <v>528</v>
      </c>
      <c r="G5" s="52" t="n">
        <v>469</v>
      </c>
      <c r="H5" s="52" t="n">
        <v>366</v>
      </c>
      <c r="I5" s="52">
        <f>I7*Assumptions!$B$20</f>
        <v>361.7264515281985</v>
      </c>
      <c r="J5" s="52">
        <f>J7*Assumptions!$B$20</f>
        <v>352.02407977397473</v>
      </c>
      <c r="K5" s="52">
        <f>K7*Assumptions!$B$20</f>
        <v>344.6631333394861</v>
      </c>
      <c r="L5" s="52">
        <f>L7*Assumptions!$B$20</f>
        <v>339.4936436916901</v>
      </c>
      <c r="M5" s="52">
        <f>M7*Assumptions!$B$20</f>
        <v>336.40853699188295</v>
      </c>
      <c r="N5" s="52">
        <f>N7*Assumptions!$B$20</f>
        <v>335.33994679283313</v>
      </c>
      <c r="O5" s="52">
        <f>O7*Assumptions!$B$20</f>
        <v>336.2567847749349</v>
      </c>
      <c r="P5" s="52">
        <f>P7*Assumptions!$B$20</f>
        <v>339.1634493996798</v>
      </c>
      <c r="Q5" s="52">
        <f>Q7*Assumptions!$B$20</f>
        <v>344.0996026767068</v>
      </c>
      <c r="R5" s="52">
        <f>R7*Assumptions!$B$20</f>
        <v>351.14099089615667</v>
      </c>
    </row>
    <row r="6">
      <c r="A6" s="18" t="inlineStr">
        <is>
          <t>SG&amp;A &amp; Other</t>
        </is>
      </c>
      <c r="B6" s="52" t="n">
        <v>1443</v>
      </c>
      <c r="C6" s="52" t="n">
        <v>1356</v>
      </c>
      <c r="D6" s="52" t="n">
        <v>1668</v>
      </c>
      <c r="E6" s="52" t="n">
        <v>1704</v>
      </c>
      <c r="F6" s="52" t="n">
        <v>1893</v>
      </c>
      <c r="G6" s="52" t="n">
        <v>1760</v>
      </c>
      <c r="H6" s="52" t="n">
        <v>1721</v>
      </c>
      <c r="I6" s="52">
        <f>I7-I5</f>
        <v>1700.5680269678019</v>
      </c>
      <c r="J6" s="52">
        <f>J7-J5</f>
        <v>1654.9547102714912</v>
      </c>
      <c r="K6" s="52">
        <f>K7-K5</f>
        <v>1620.3490293713812</v>
      </c>
      <c r="L6" s="52">
        <f>L7-L5</f>
        <v>1596.045944060249</v>
      </c>
      <c r="M6" s="52">
        <f>M7-M5</f>
        <v>1581.5420729960472</v>
      </c>
      <c r="N6" s="52">
        <f>N7-N5</f>
        <v>1576.518358753536</v>
      </c>
      <c r="O6" s="52">
        <f>O7-O5</f>
        <v>1580.8286472372365</v>
      </c>
      <c r="P6" s="52">
        <f>P7-P5</f>
        <v>1594.4936167330443</v>
      </c>
      <c r="Q6" s="52">
        <f>Q7-Q5</f>
        <v>1617.699728433366</v>
      </c>
      <c r="R6" s="52">
        <f>R7-R5</f>
        <v>1650.8030849086135</v>
      </c>
    </row>
    <row r="7">
      <c r="A7" s="2" t="inlineStr">
        <is>
          <t>Operating Expense</t>
        </is>
      </c>
      <c r="B7" s="52">
        <f>SUM(B5:B6)</f>
        <v>1663.0</v>
      </c>
      <c r="C7" s="52">
        <f>SUM(C5:C6)</f>
        <v>1566.0</v>
      </c>
      <c r="D7" s="52">
        <f>SUM(D5:D6)</f>
        <v>2111.0</v>
      </c>
      <c r="E7" s="52">
        <f>SUM(E5:E6)</f>
        <v>2175.0</v>
      </c>
      <c r="F7" s="52">
        <f>SUM(F5:F6)</f>
        <v>2421.0</v>
      </c>
      <c r="G7" s="52">
        <f>SUM(G5:G6)</f>
        <v>2229.0</v>
      </c>
      <c r="H7" s="52">
        <f>SUM(H5:H6)</f>
        <v>2087.0</v>
      </c>
      <c r="I7" s="52">
        <f>I4-I2*NPV!C6</f>
        <v>2062.2944784960005</v>
      </c>
      <c r="J7" s="52">
        <f>J4-J2*NPV!D6</f>
        <v>2006.978790045466</v>
      </c>
      <c r="K7" s="52">
        <f>K4-K2*NPV!E6</f>
        <v>1965.0121627108672</v>
      </c>
      <c r="L7" s="52">
        <f>L4-L2*NPV!F6</f>
        <v>1935.539587751939</v>
      </c>
      <c r="M7" s="52">
        <f>M4-M2*NPV!G6</f>
        <v>1917.9506099879302</v>
      </c>
      <c r="N7" s="52">
        <f>N4-N2*NPV!H6</f>
        <v>1911.8583055463691</v>
      </c>
      <c r="O7" s="52">
        <f>O4-O2*NPV!I6</f>
        <v>1917.0854320121714</v>
      </c>
      <c r="P7" s="52">
        <f>P4-P2*NPV!J6</f>
        <v>1933.6570661327241</v>
      </c>
      <c r="Q7" s="52">
        <f>Q4-Q2*NPV!K6</f>
        <v>1961.799331110073</v>
      </c>
      <c r="R7" s="52">
        <f>R4-R2*NPV!L6</f>
        <v>2001.9440758047701</v>
      </c>
    </row>
    <row r="8">
      <c r="A8" s="2" t="inlineStr">
        <is>
          <t>Operating Income</t>
        </is>
      </c>
      <c r="B8" s="52">
        <f>B4-B7</f>
        <v>3840.0</v>
      </c>
      <c r="C8" s="52">
        <f>C4-C7</f>
        <v>2847.0</v>
      </c>
      <c r="D8" s="52">
        <f>D4-D7</f>
        <v>1811.0</v>
      </c>
      <c r="E8" s="52">
        <f>E4-E7</f>
        <v>1705.0</v>
      </c>
      <c r="F8" s="52">
        <f>F4-F7</f>
        <v>1327.0</v>
      </c>
      <c r="G8" s="52">
        <f>G4-G7</f>
        <v>1486.0</v>
      </c>
      <c r="H8" s="52">
        <f>H4-H7</f>
        <v>1226.0</v>
      </c>
      <c r="I8" s="52">
        <f>I4-I7</f>
        <v>1156.078060704</v>
      </c>
      <c r="J8" s="52">
        <f>J4-J7</f>
        <v>1138.5154909890946</v>
      </c>
      <c r="K8" s="52">
        <f>K4-K7</f>
        <v>1127.9873137668721</v>
      </c>
      <c r="L8" s="52">
        <f>L4-L7</f>
        <v>1124.2616943449393</v>
      </c>
      <c r="M8" s="52">
        <f>M4-M7</f>
        <v>1127.2316215389294</v>
      </c>
      <c r="N8" s="52">
        <f>N4-N7</f>
        <v>1136.9104739420663</v>
      </c>
      <c r="O8" s="52">
        <f>O4-O7</f>
        <v>1153.4312314366155</v>
      </c>
      <c r="P8" s="52">
        <f>P4-P7</f>
        <v>1177.049248755426</v>
      </c>
      <c r="Q8" s="52">
        <f>Q4-Q7</f>
        <v>1208.1486573749473</v>
      </c>
      <c r="R8" s="52">
        <f>R4-R7</f>
        <v>1247.252612392375</v>
      </c>
    </row>
    <row r="9">
      <c r="A9" s="18" t="inlineStr">
        <is>
          <t>Interest &amp; Other</t>
        </is>
      </c>
      <c r="B9" s="52" t="n">
        <v>-232</v>
      </c>
      <c r="C9" s="52" t="n">
        <v>-191</v>
      </c>
      <c r="D9" s="52" t="n">
        <v>-282</v>
      </c>
      <c r="E9" s="52" t="n">
        <v>-583</v>
      </c>
      <c r="F9" s="52" t="n">
        <v>-654</v>
      </c>
      <c r="G9" s="52" t="n">
        <v>-679</v>
      </c>
      <c r="H9" s="52" t="n">
        <v>-801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</row>
    <row r="10">
      <c r="A10" s="2" t="inlineStr">
        <is>
          <t>Pretax</t>
        </is>
      </c>
      <c r="B10" s="52">
        <f>B8+B9</f>
        <v>3608.0</v>
      </c>
      <c r="C10" s="52">
        <f>C8+C9</f>
        <v>2656.0</v>
      </c>
      <c r="D10" s="52">
        <f>D8+D9</f>
        <v>1529.0</v>
      </c>
      <c r="E10" s="52">
        <f>E8+E9</f>
        <v>1122.0</v>
      </c>
      <c r="F10" s="52">
        <f>F8+F9</f>
        <v>673.0</v>
      </c>
      <c r="G10" s="52">
        <f>G8+G9</f>
        <v>807.0</v>
      </c>
      <c r="H10" s="52">
        <f>H8+H9</f>
        <v>425.0</v>
      </c>
      <c r="I10" s="52">
        <f>I8+I9</f>
        <v>1156.078060704</v>
      </c>
      <c r="J10" s="52">
        <f>J8+J9</f>
        <v>1138.5154909890946</v>
      </c>
      <c r="K10" s="52">
        <f>K8+K9</f>
        <v>1127.9873137668721</v>
      </c>
      <c r="L10" s="52">
        <f>L8+L9</f>
        <v>1124.2616943449393</v>
      </c>
      <c r="M10" s="52">
        <f>M8+M9</f>
        <v>1127.2316215389294</v>
      </c>
      <c r="N10" s="52">
        <f>N8+N9</f>
        <v>1136.9104739420663</v>
      </c>
      <c r="O10" s="52">
        <f>O8+O9</f>
        <v>1153.4312314366155</v>
      </c>
      <c r="P10" s="52">
        <f>P8+P9</f>
        <v>1177.049248755426</v>
      </c>
      <c r="Q10" s="52">
        <f>Q8+Q9</f>
        <v>1208.1486573749473</v>
      </c>
      <c r="R10" s="52">
        <f>R8+R9</f>
        <v>1247.252612392375</v>
      </c>
    </row>
    <row r="11">
      <c r="A11" s="2" t="inlineStr">
        <is>
          <t>Taxes</t>
        </is>
      </c>
      <c r="B11" s="52" t="n">
        <v>390</v>
      </c>
      <c r="C11" s="52" t="n">
        <v>496</v>
      </c>
      <c r="D11" s="52" t="n">
        <v>178</v>
      </c>
      <c r="E11" s="52" t="n">
        <v>205</v>
      </c>
      <c r="F11" s="52" t="n">
        <v>-350</v>
      </c>
      <c r="G11" s="52" t="n">
        <v>-57</v>
      </c>
      <c r="H11" s="52" t="n">
        <v>238</v>
      </c>
      <c r="I11" s="52">
        <f>MAX(0,I10)*Assumptions!$E$14</f>
        <v>196.53327031968004</v>
      </c>
      <c r="J11" s="52">
        <f>MAX(0,J10)*Assumptions!$E$14</f>
        <v>193.5476334681461</v>
      </c>
      <c r="K11" s="52">
        <f>MAX(0,K10)*Assumptions!$E$14</f>
        <v>191.75784334036828</v>
      </c>
      <c r="L11" s="52">
        <f>MAX(0,L10)*Assumptions!$E$14</f>
        <v>191.1244880386397</v>
      </c>
      <c r="M11" s="52">
        <f>MAX(0,M10)*Assumptions!$E$14</f>
        <v>191.629375661618</v>
      </c>
      <c r="N11" s="52">
        <f>MAX(0,N10)*Assumptions!$E$14</f>
        <v>193.27478057015128</v>
      </c>
      <c r="O11" s="52">
        <f>MAX(0,O10)*Assumptions!$E$14</f>
        <v>196.08330934422463</v>
      </c>
      <c r="P11" s="52">
        <f>MAX(0,P10)*Assumptions!$E$14</f>
        <v>200.09837228842244</v>
      </c>
      <c r="Q11" s="52">
        <f>MAX(0,Q10)*Assumptions!$E$14</f>
        <v>205.38527175374105</v>
      </c>
      <c r="R11" s="52">
        <f>MAX(0,R10)*Assumptions!$E$14</f>
        <v>212.03294410670378</v>
      </c>
    </row>
    <row r="12">
      <c r="A12" s="2" t="inlineStr">
        <is>
          <t>Net Income</t>
        </is>
      </c>
      <c r="B12" s="52" t="n">
        <v>3218</v>
      </c>
      <c r="C12" s="52" t="n">
        <v>2160</v>
      </c>
      <c r="D12" s="52" t="n">
        <v>1351</v>
      </c>
      <c r="E12" s="52" t="n">
        <v>917</v>
      </c>
      <c r="F12" s="52" t="n">
        <v>1023</v>
      </c>
      <c r="G12" s="52" t="n">
        <v>864</v>
      </c>
      <c r="H12" s="52" t="n">
        <v>187</v>
      </c>
      <c r="I12" s="52">
        <f>I10-I11</f>
        <v>959.5447903843201</v>
      </c>
      <c r="J12" s="52">
        <f>J10-J11</f>
        <v>944.9678575209484</v>
      </c>
      <c r="K12" s="52">
        <f>K10-K11</f>
        <v>936.2294704265039</v>
      </c>
      <c r="L12" s="52">
        <f>L10-L11</f>
        <v>933.1372063062996</v>
      </c>
      <c r="M12" s="52">
        <f>M10-M11</f>
        <v>935.6022458773114</v>
      </c>
      <c r="N12" s="52">
        <f>N10-N11</f>
        <v>943.6356933719151</v>
      </c>
      <c r="O12" s="52">
        <f>O10-O11</f>
        <v>957.3479220923908</v>
      </c>
      <c r="P12" s="52">
        <f>P10-P11</f>
        <v>976.9508764670037</v>
      </c>
      <c r="Q12" s="52">
        <f>Q10-Q11</f>
        <v>1002.7633856212062</v>
      </c>
      <c r="R12" s="52">
        <f>R10-R11</f>
        <v>1035.2196682856713</v>
      </c>
    </row>
    <row r="13">
      <c r="A13" s="2" t="inlineStr">
        <is>
          <t>Earnings per Share</t>
        </is>
      </c>
      <c r="B13" s="11">
        <f>IFERROR(B12/B14,0)</f>
        <v>12.693478912573566</v>
      </c>
      <c r="C13" s="11">
        <f>IFERROR(C12/C14,0)</f>
        <v>8.520172296817558</v>
      </c>
      <c r="D13" s="11">
        <f>IFERROR(D12/D14,0)</f>
        <v>5.314859181802803</v>
      </c>
      <c r="E13" s="11">
        <f>IFERROR(E12/E14,0)</f>
        <v>3.5936967264832327</v>
      </c>
      <c r="F13" s="11">
        <f>IFERROR(F12/F14,0)</f>
        <v>3.9918835603074885</v>
      </c>
      <c r="G13" s="11">
        <f>IFERROR(G12/G14,0)</f>
        <v>3.3339507316169663</v>
      </c>
      <c r="H13" s="11">
        <f>IFERROR(H12/H14,0)</f>
        <v>0.7171235293215321</v>
      </c>
      <c r="I13" s="11">
        <f>IFERROR(I12/I14,0)</f>
        <v>3.653885465661548</v>
      </c>
      <c r="J13" s="11">
        <f>IFERROR(J12/J14,0)</f>
        <v>3.5983774334600858</v>
      </c>
      <c r="K13" s="11">
        <f>IFERROR(K12/K14,0)</f>
        <v>3.565102211794897</v>
      </c>
      <c r="L13" s="11">
        <f>IFERROR(L12/L14,0)</f>
        <v>3.553327066915755</v>
      </c>
      <c r="M13" s="11">
        <f>IFERROR(M12/M14,0)</f>
        <v>3.5627137806482043</v>
      </c>
      <c r="N13" s="11">
        <f>IFERROR(N12/N14,0)</f>
        <v>3.593304637202103</v>
      </c>
      <c r="O13" s="11">
        <f>IFERROR(O12/O14,0)</f>
        <v>3.645519931084847</v>
      </c>
      <c r="P13" s="11">
        <f>IFERROR(P12/P14,0)</f>
        <v>3.720166733184347</v>
      </c>
      <c r="Q13" s="11">
        <f>IFERROR(Q12/Q14,0)</f>
        <v>3.8184591245098423</v>
      </c>
      <c r="R13" s="11">
        <f>IFERROR(R12/R14,0)</f>
        <v>3.9420505823401677</v>
      </c>
    </row>
    <row r="14">
      <c r="A14" s="2" t="inlineStr">
        <is>
          <t>Shares</t>
        </is>
      </c>
      <c r="B14" s="52" t="n">
        <v>253.516</v>
      </c>
      <c r="C14" s="52" t="n">
        <v>253.516</v>
      </c>
      <c r="D14" s="52" t="n">
        <v>254.193</v>
      </c>
      <c r="E14" s="52" t="n">
        <v>255.169</v>
      </c>
      <c r="F14" s="52" t="n">
        <v>256.27</v>
      </c>
      <c r="G14" s="52" t="n">
        <v>259.152</v>
      </c>
      <c r="H14" s="52" t="n">
        <v>260.764</v>
      </c>
      <c r="I14" s="52">
        <f>Main!$C$4</f>
        <v>262.609433</v>
      </c>
      <c r="J14" s="52">
        <f>Main!$C$4</f>
        <v>262.609433</v>
      </c>
      <c r="K14" s="52">
        <f>Main!$C$4</f>
        <v>262.609433</v>
      </c>
      <c r="L14" s="52">
        <f>Main!$C$4</f>
        <v>262.609433</v>
      </c>
      <c r="M14" s="52">
        <f>Main!$C$4</f>
        <v>262.609433</v>
      </c>
      <c r="N14" s="52">
        <f>Main!$C$4</f>
        <v>262.609433</v>
      </c>
      <c r="O14" s="52">
        <f>Main!$C$4</f>
        <v>262.609433</v>
      </c>
      <c r="P14" s="52">
        <f>Main!$C$4</f>
        <v>262.609433</v>
      </c>
      <c r="Q14" s="52">
        <f>Main!$C$4</f>
        <v>262.609433</v>
      </c>
      <c r="R14" s="52">
        <f>Main!$C$4</f>
        <v>262.609433</v>
      </c>
    </row>
    <row r="15"/>
    <row r="16" customFormat="1" s="4">
      <c r="A16" s="3" t="inlineStr">
        <is>
          <t>Revenue Change</t>
        </is>
      </c>
      <c r="C16" s="15">
        <f>IFERROR(C2/B2-1,"")</f>
        <v>-0.16008743731516006</v>
      </c>
      <c r="D16" s="15">
        <f>IFERROR(D2/C2-1,"")</f>
        <v>-0.03490508266993264</v>
      </c>
      <c r="E16" s="15">
        <f>IFERROR(E2/D2-1,"")</f>
        <v>-0.02062182741116747</v>
      </c>
      <c r="F16" s="15">
        <f>IFERROR(F2/E2-1,"")</f>
        <v>0.014415289925493902</v>
      </c>
      <c r="G16" s="15">
        <f>IFERROR(G2/F2-1,"")</f>
        <v>0.02235350471020281</v>
      </c>
      <c r="H16" s="15">
        <f>IFERROR(H2/G2-1,"")</f>
        <v>-0.029205060128065008</v>
      </c>
      <c r="I16" s="15">
        <f>IFERROR(I2/H2-1,"")</f>
        <v>-0.02859999999999996</v>
      </c>
      <c r="J16" s="15">
        <f>IFERROR(J2/I2-1,"")</f>
        <v>-0.022644444444444467</v>
      </c>
      <c r="K16" s="15">
        <f>IFERROR(K2/J2-1,"")</f>
        <v>-0.016688888888888864</v>
      </c>
      <c r="L16" s="15">
        <f>IFERROR(L2/K2-1,"")</f>
        <v>-0.010733333333333261</v>
      </c>
      <c r="M16" s="15">
        <f>IFERROR(M2/L2-1,"")</f>
        <v>-0.00477777777777777</v>
      </c>
      <c r="N16" s="15">
        <f>IFERROR(N2/M2-1,"")</f>
        <v>0.001177777777777722</v>
      </c>
      <c r="O16" s="15">
        <f>IFERROR(O2/N2-1,"")</f>
        <v>0.007133333333333436</v>
      </c>
      <c r="P16" s="15">
        <f>IFERROR(P2/O2-1,"")</f>
        <v>0.013088888888888928</v>
      </c>
      <c r="Q16" s="15">
        <f>IFERROR(Q2/P2-1,"")</f>
        <v>0.01904444444444442</v>
      </c>
      <c r="R16" s="15">
        <f>IFERROR(R2/Q2-1,"")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0.7075993313617076</v>
      </c>
      <c r="C17" s="15">
        <f>IFERROR(C4/C2,"")</f>
        <v>0.6755970606246172</v>
      </c>
      <c r="D17" s="15">
        <f>IFERROR(D4/D2,"")</f>
        <v>0.6221446700507615</v>
      </c>
      <c r="E17" s="15">
        <f>IFERROR(E4/E2,"")</f>
        <v>0.6284418529316489</v>
      </c>
      <c r="F17" s="15">
        <f>IFERROR(F4/F2,"")</f>
        <v>0.5984352546702858</v>
      </c>
      <c r="G17" s="15">
        <f>IFERROR(G4/G2,"")</f>
        <v>0.5801967827580822</v>
      </c>
      <c r="H17" s="15">
        <f>IFERROR(H4/H2,"")</f>
        <v>0.532979407979408</v>
      </c>
      <c r="I17" s="15">
        <f>IFERROR(I4/I2,"")</f>
        <v>0.533</v>
      </c>
      <c r="J17" s="15">
        <f>IFERROR(J4/J2,"")</f>
        <v>0.533</v>
      </c>
      <c r="K17" s="15">
        <f>IFERROR(K4/K2,"")</f>
        <v>0.533</v>
      </c>
      <c r="L17" s="15">
        <f>IFERROR(L4/L2,"")</f>
        <v>0.533</v>
      </c>
      <c r="M17" s="15">
        <f>IFERROR(M4/M2,"")</f>
        <v>0.533</v>
      </c>
      <c r="N17" s="15">
        <f>IFERROR(N4/N2,"")</f>
        <v>0.533</v>
      </c>
      <c r="O17" s="15">
        <f>IFERROR(O4/O2,"")</f>
        <v>0.533</v>
      </c>
      <c r="P17" s="15">
        <f>IFERROR(P4/P2,"")</f>
        <v>0.533</v>
      </c>
      <c r="Q17" s="15">
        <f>IFERROR(Q4/Q2,"")</f>
        <v>0.533</v>
      </c>
      <c r="R17" s="15">
        <f>IFERROR(R4/R2,"")</f>
        <v>0.533</v>
      </c>
    </row>
    <row r="18">
      <c r="A18" s="14" t="inlineStr">
        <is>
          <t>Operating Margin</t>
        </is>
      </c>
      <c r="B18" s="15">
        <f>IFERROR(B8/B2,"")</f>
        <v>0.49376366208049377</v>
      </c>
      <c r="C18" s="15">
        <f>IFERROR(C8/C2,"")</f>
        <v>0.43585425597060623</v>
      </c>
      <c r="D18" s="15">
        <f>IFERROR(D8/D2,"")</f>
        <v>0.28727791878172587</v>
      </c>
      <c r="E18" s="15">
        <f>IFERROR(E8/E2,"")</f>
        <v>0.27615808228053124</v>
      </c>
      <c r="F18" s="15">
        <f>IFERROR(F8/F2,"")</f>
        <v>0.2118792910745649</v>
      </c>
      <c r="G18" s="15">
        <f>IFERROR(G8/G2,"")</f>
        <v>0.23207871310323286</v>
      </c>
      <c r="H18" s="15">
        <f>IFERROR(H8/H2,"")</f>
        <v>0.19723294723294724</v>
      </c>
      <c r="I18" s="15">
        <f>IFERROR(I8/I2,"")</f>
        <v>0.19146</v>
      </c>
      <c r="J18" s="15">
        <f>IFERROR(J8/J2,"")</f>
        <v>0.19292</v>
      </c>
      <c r="K18" s="15">
        <f>IFERROR(K8/K2,"")</f>
        <v>0.19437999999999997</v>
      </c>
      <c r="L18" s="15">
        <f>IFERROR(L8/L2,"")</f>
        <v>0.19584000000000001</v>
      </c>
      <c r="M18" s="15">
        <f>IFERROR(M8/M2,"")</f>
        <v>0.1973</v>
      </c>
      <c r="N18" s="15">
        <f>IFERROR(N8/N2,"")</f>
        <v>0.19876</v>
      </c>
      <c r="O18" s="15">
        <f>IFERROR(O8/O2,"")</f>
        <v>0.20021999999999998</v>
      </c>
      <c r="P18" s="15">
        <f>IFERROR(P8/P2,"")</f>
        <v>0.20168000000000003</v>
      </c>
      <c r="Q18" s="15">
        <f>IFERROR(Q8/Q2,"")</f>
        <v>0.20314</v>
      </c>
      <c r="R18" s="15">
        <f>IFERROR(R8/R2,"")</f>
        <v>0.2046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Organon &amp; Co.: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-0.0786</v>
      </c>
      <c r="C12" s="53" t="n">
        <v>-0.0286</v>
      </c>
      <c r="D12" s="53" t="n">
        <v>0.0214</v>
      </c>
      <c r="E12" s="54">
        <f>CHOOSE($B$4,B12,C12,D12)</f>
        <v>-0.0286</v>
      </c>
    </row>
    <row r="13">
      <c r="A13" s="14" t="inlineStr">
        <is>
          <t>Operating margin, year 10</t>
        </is>
      </c>
      <c r="B13" s="53" t="n">
        <v>0.1546</v>
      </c>
      <c r="C13" s="53" t="n">
        <v>0.2046</v>
      </c>
      <c r="D13" s="53" t="n">
        <v>0.2546</v>
      </c>
      <c r="E13" s="54">
        <f>CHOOSE($B$4,B13,C13,D13)</f>
        <v>0.2046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0.19</v>
      </c>
    </row>
    <row r="19">
      <c r="A19" s="14" t="inlineStr">
        <is>
          <t>Gross margin (forecast)</t>
        </is>
      </c>
      <c r="B19" s="53" t="n">
        <v>0.533</v>
      </c>
    </row>
    <row r="20">
      <c r="A20" s="14" t="inlineStr">
        <is>
          <t>R&amp;D share of operating expense (forecast)</t>
        </is>
      </c>
      <c r="B20" s="53" t="n">
        <v>0.1754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Model'!H2</f>
        <v>6216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10271.050270128166</v>
      </c>
      <c r="C29" s="56">
        <f>NPV!B26</f>
        <v>2850.0502701281657</v>
      </c>
      <c r="D29" s="35">
        <f>NPV!B28</f>
        <v>10.85280996028869</v>
      </c>
      <c r="E29" s="57">
        <f>NPV!B30</f>
        <v>-0.21099164229089862</v>
      </c>
    </row>
    <row r="30">
      <c r="A30" s="58" t="n">
        <v>1</v>
      </c>
      <c r="B30" s="59">
        <f t="dataTable" ref="B30:E32" r1="B4"/>
        <v>6323.108639152286</v>
      </c>
      <c r="C30" s="59">
        <v>-1097.8913608477142</v>
      </c>
      <c r="D30" s="39">
        <v>-4.180700397185329</v>
      </c>
      <c r="E30" s="60">
        <v>-1.3039404141901365</v>
      </c>
    </row>
    <row r="31">
      <c r="A31" s="58" t="n">
        <v>2</v>
      </c>
      <c r="B31" s="59">
        <v>10271.050270128166</v>
      </c>
      <c r="C31" s="59">
        <v>2850.0502701281657</v>
      </c>
      <c r="D31" s="39">
        <v>10.85280996028869</v>
      </c>
      <c r="E31" s="60">
        <v>-0.21099164229089862</v>
      </c>
    </row>
    <row r="32">
      <c r="A32" s="58" t="n">
        <v>3</v>
      </c>
      <c r="B32" s="59">
        <v>17596.255035643273</v>
      </c>
      <c r="C32" s="59">
        <v>10175.255035643273</v>
      </c>
      <c r="D32" s="39">
        <v>38.74672329703888</v>
      </c>
      <c r="E32" s="60">
        <v>1.8169191782652767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10.85280996028869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17.223566065695817</v>
      </c>
      <c r="C37" s="39">
        <v>19.426239762227112</v>
      </c>
      <c r="D37" s="39">
        <v>21.963211659094398</v>
      </c>
      <c r="E37" s="39">
        <v>24.918013937968407</v>
      </c>
      <c r="F37" s="39">
        <v>28.404553757039658</v>
      </c>
    </row>
    <row r="38">
      <c r="A38" s="62" t="n">
        <v>0.1</v>
      </c>
      <c r="B38" s="39">
        <v>12.185917777453389</v>
      </c>
      <c r="C38" s="39">
        <v>13.819388591495684</v>
      </c>
      <c r="D38" s="39">
        <v>15.666872116387898</v>
      </c>
      <c r="E38" s="39">
        <v>17.7741936910152</v>
      </c>
      <c r="F38" s="39">
        <v>20.20127846798017</v>
      </c>
    </row>
    <row r="39">
      <c r="A39" s="62" t="n">
        <v>0.11</v>
      </c>
      <c r="B39" s="39">
        <v>8.210870066345908</v>
      </c>
      <c r="C39" s="39">
        <v>9.459957063164794</v>
      </c>
      <c r="D39" s="39">
        <v>10.85280996028869</v>
      </c>
      <c r="E39" s="39">
        <v>12.41635614849675</v>
      </c>
      <c r="F39" s="39">
        <v>14.184703417493989</v>
      </c>
    </row>
    <row r="40">
      <c r="A40" s="62" t="n">
        <v>0.12</v>
      </c>
      <c r="B40" s="39">
        <v>4.993955457769833</v>
      </c>
      <c r="C40" s="39">
        <v>5.972830575768034</v>
      </c>
      <c r="D40" s="39">
        <v>7.0520254219849585</v>
      </c>
      <c r="E40" s="39">
        <v>8.248235696328097</v>
      </c>
      <c r="F40" s="39">
        <v>9.582085299224909</v>
      </c>
    </row>
    <row r="41">
      <c r="A41" s="62" t="n">
        <v>0.13</v>
      </c>
      <c r="B41" s="39">
        <v>2.336740136936014</v>
      </c>
      <c r="C41" s="39">
        <v>3.1194380101172765</v>
      </c>
      <c r="D41" s="39">
        <v>3.974330336269008</v>
      </c>
      <c r="E41" s="39">
        <v>4.912225544344141</v>
      </c>
      <c r="F41" s="39">
        <v>5.94620735298887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Organon &amp; Co.: free-cash-flow DCF ($mm)</t>
        </is>
      </c>
    </row>
    <row r="3">
      <c r="A3" s="20" t="inlineStr">
        <is>
          <t>Fiscal year</t>
        </is>
      </c>
      <c r="B3" s="43">
        <f>'Yearly Model'!H1</f>
        <v>2025</v>
      </c>
      <c r="C3" s="43">
        <f>'Yearly Model'!I1</f>
        <v>2026</v>
      </c>
      <c r="D3" s="43">
        <f>'Yearly Model'!J1</f>
        <v>2027</v>
      </c>
      <c r="E3" s="43">
        <f>'Yearly Model'!K1</f>
        <v>2028</v>
      </c>
      <c r="F3" s="43">
        <f>'Yearly Model'!L1</f>
        <v>2029</v>
      </c>
      <c r="G3" s="43">
        <f>'Yearly Model'!M1</f>
        <v>2030</v>
      </c>
      <c r="H3" s="43">
        <f>'Yearly Model'!N1</f>
        <v>2031</v>
      </c>
      <c r="I3" s="43">
        <f>'Yearly Model'!O1</f>
        <v>2032</v>
      </c>
      <c r="J3" s="43">
        <f>'Yearly Model'!P1</f>
        <v>2033</v>
      </c>
      <c r="K3" s="43">
        <f>'Yearly Model'!Q1</f>
        <v>2034</v>
      </c>
      <c r="L3" s="43">
        <f>'Yearly Model'!R1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-0.0286</v>
      </c>
      <c r="D5" s="63">
        <f>Assumptions!$E$12+(Assumptions!$E$11-Assumptions!$E$12)*(D4-1)/(Assumptions!$B$21-1)</f>
        <v>-0.022644444444444446</v>
      </c>
      <c r="E5" s="63">
        <f>Assumptions!$E$12+(Assumptions!$E$11-Assumptions!$E$12)*(E4-1)/(Assumptions!$B$21-1)</f>
        <v>-0.01668888888888889</v>
      </c>
      <c r="F5" s="63">
        <f>Assumptions!$E$12+(Assumptions!$E$11-Assumptions!$E$12)*(F4-1)/(Assumptions!$B$21-1)</f>
        <v>-0.010733333333333334</v>
      </c>
      <c r="G5" s="63">
        <f>Assumptions!$E$12+(Assumptions!$E$11-Assumptions!$E$12)*(G4-1)/(Assumptions!$B$21-1)</f>
        <v>-0.004777777777777777</v>
      </c>
      <c r="H5" s="63">
        <f>Assumptions!$E$12+(Assumptions!$E$11-Assumptions!$E$12)*(H4-1)/(Assumptions!$B$21-1)</f>
        <v>0.0011777777777777776</v>
      </c>
      <c r="I5" s="63">
        <f>Assumptions!$E$12+(Assumptions!$E$11-Assumptions!$E$12)*(I4-1)/(Assumptions!$B$21-1)</f>
        <v>0.007133333333333332</v>
      </c>
      <c r="J5" s="63">
        <f>Assumptions!$E$12+(Assumptions!$E$11-Assumptions!$E$12)*(J4-1)/(Assumptions!$B$21-1)</f>
        <v>0.013088888888888893</v>
      </c>
      <c r="K5" s="63">
        <f>Assumptions!$E$12+(Assumptions!$E$11-Assumptions!$E$12)*(K4-1)/(Assumptions!$B$21-1)</f>
        <v>0.019044444444444447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0.19723294723294724</v>
      </c>
      <c r="C6" s="63">
        <f>Assumptions!$B$18+(Assumptions!$E$13-Assumptions!$B$18)*C4/Assumptions!$B$21</f>
        <v>0.19146</v>
      </c>
      <c r="D6" s="63">
        <f>Assumptions!$B$18+(Assumptions!$E$13-Assumptions!$B$18)*D4/Assumptions!$B$21</f>
        <v>0.19292</v>
      </c>
      <c r="E6" s="63">
        <f>Assumptions!$B$18+(Assumptions!$E$13-Assumptions!$B$18)*E4/Assumptions!$B$21</f>
        <v>0.19438</v>
      </c>
      <c r="F6" s="63">
        <f>Assumptions!$B$18+(Assumptions!$E$13-Assumptions!$B$18)*F4/Assumptions!$B$21</f>
        <v>0.19584000000000001</v>
      </c>
      <c r="G6" s="63">
        <f>Assumptions!$B$18+(Assumptions!$E$13-Assumptions!$B$18)*G4/Assumptions!$B$21</f>
        <v>0.1973</v>
      </c>
      <c r="H6" s="63">
        <f>Assumptions!$B$18+(Assumptions!$E$13-Assumptions!$B$18)*H4/Assumptions!$B$21</f>
        <v>0.19876</v>
      </c>
      <c r="I6" s="63">
        <f>Assumptions!$B$18+(Assumptions!$E$13-Assumptions!$B$18)*I4/Assumptions!$B$21</f>
        <v>0.20022</v>
      </c>
      <c r="J6" s="63">
        <f>Assumptions!$B$18+(Assumptions!$E$13-Assumptions!$B$18)*J4/Assumptions!$B$21</f>
        <v>0.20168</v>
      </c>
      <c r="K6" s="63">
        <f>Assumptions!$B$18+(Assumptions!$E$13-Assumptions!$B$18)*K4/Assumptions!$B$21</f>
        <v>0.20314000000000002</v>
      </c>
      <c r="L6" s="63">
        <f>Assumptions!$B$18+(Assumptions!$E$13-Assumptions!$B$18)*L4/Assumptions!$B$21</f>
        <v>0.2046</v>
      </c>
    </row>
    <row r="7">
      <c r="A7" s="14" t="inlineStr">
        <is>
          <t>Revenue</t>
        </is>
      </c>
      <c r="B7" s="55">
        <f>'Yearly Model'!H2</f>
        <v>6216</v>
      </c>
      <c r="C7" s="55">
        <f>'Yearly Model'!I2</f>
        <v>6038.222400000001</v>
      </c>
      <c r="D7" s="55">
        <f>'Yearly Model'!J2</f>
        <v>5901.49020832</v>
      </c>
      <c r="E7" s="55">
        <f>'Yearly Model'!K2</f>
        <v>5803.000893954482</v>
      </c>
      <c r="F7" s="55">
        <f>'Yearly Model'!L2</f>
        <v>5740.715351026038</v>
      </c>
      <c r="G7" s="55">
        <f>'Yearly Model'!M2</f>
        <v>5713.287488793358</v>
      </c>
      <c r="H7" s="55">
        <f>'Yearly Model'!N2</f>
        <v>5720.016471835714</v>
      </c>
      <c r="I7" s="55">
        <f>'Yearly Model'!O2</f>
        <v>5760.819256001476</v>
      </c>
      <c r="J7" s="55">
        <f>'Yearly Model'!P2</f>
        <v>5836.221979152251</v>
      </c>
      <c r="K7" s="55">
        <f>'Yearly Model'!Q2</f>
        <v>5947.369584399662</v>
      </c>
      <c r="L7" s="55">
        <f>'Yearly Model'!R2</f>
        <v>6096.053824009653</v>
      </c>
    </row>
    <row r="8">
      <c r="A8" s="14" t="inlineStr">
        <is>
          <t>Operating income</t>
        </is>
      </c>
      <c r="B8" s="55">
        <f>'Yearly Model'!H8</f>
        <v>1226.0</v>
      </c>
      <c r="C8" s="55">
        <f>'Yearly Model'!I8</f>
        <v>1156.078060704</v>
      </c>
      <c r="D8" s="55">
        <f>'Yearly Model'!J8</f>
        <v>1138.5154909890946</v>
      </c>
      <c r="E8" s="55">
        <f>'Yearly Model'!K8</f>
        <v>1127.9873137668721</v>
      </c>
      <c r="F8" s="55">
        <f>'Yearly Model'!L8</f>
        <v>1124.2616943449393</v>
      </c>
      <c r="G8" s="55">
        <f>'Yearly Model'!M8</f>
        <v>1127.2316215389294</v>
      </c>
      <c r="H8" s="55">
        <f>'Yearly Model'!N8</f>
        <v>1136.9104739420663</v>
      </c>
      <c r="I8" s="55">
        <f>'Yearly Model'!O8</f>
        <v>1153.4312314366155</v>
      </c>
      <c r="J8" s="55">
        <f>'Yearly Model'!P8</f>
        <v>1177.049248755426</v>
      </c>
      <c r="K8" s="55">
        <f>'Yearly Model'!Q8</f>
        <v>1208.1486573749473</v>
      </c>
      <c r="L8" s="55">
        <f>'Yearly Model'!R8</f>
        <v>1247.252612392375</v>
      </c>
    </row>
    <row r="9">
      <c r="A9" s="14" t="inlineStr">
        <is>
          <t>Tax on operating income</t>
        </is>
      </c>
      <c r="C9" s="52">
        <f>MAX(0,C8)*Assumptions!$E$14</f>
        <v>196.53327031968004</v>
      </c>
      <c r="D9" s="52">
        <f>MAX(0,D8)*Assumptions!$E$14</f>
        <v>193.5476334681461</v>
      </c>
      <c r="E9" s="52">
        <f>MAX(0,E8)*Assumptions!$E$14</f>
        <v>191.75784334036828</v>
      </c>
      <c r="F9" s="52">
        <f>MAX(0,F8)*Assumptions!$E$14</f>
        <v>191.1244880386397</v>
      </c>
      <c r="G9" s="52">
        <f>MAX(0,G8)*Assumptions!$E$14</f>
        <v>191.629375661618</v>
      </c>
      <c r="H9" s="52">
        <f>MAX(0,H8)*Assumptions!$E$14</f>
        <v>193.27478057015128</v>
      </c>
      <c r="I9" s="52">
        <f>MAX(0,I8)*Assumptions!$E$14</f>
        <v>196.08330934422463</v>
      </c>
      <c r="J9" s="52">
        <f>MAX(0,J8)*Assumptions!$E$14</f>
        <v>200.09837228842244</v>
      </c>
      <c r="K9" s="52">
        <f>MAX(0,K8)*Assumptions!$E$14</f>
        <v>205.38527175374105</v>
      </c>
      <c r="L9" s="52">
        <f>MAX(0,L8)*Assumptions!$E$14</f>
        <v>212.03294410670378</v>
      </c>
    </row>
    <row r="10">
      <c r="A10" s="14" t="inlineStr">
        <is>
          <t>NOPAT</t>
        </is>
      </c>
      <c r="C10" s="52">
        <f>C8-C9</f>
        <v>959.5447903843201</v>
      </c>
      <c r="D10" s="52">
        <f>D8-D9</f>
        <v>944.9678575209484</v>
      </c>
      <c r="E10" s="52">
        <f>E8-E9</f>
        <v>936.2294704265039</v>
      </c>
      <c r="F10" s="52">
        <f>F8-F9</f>
        <v>933.1372063062996</v>
      </c>
      <c r="G10" s="52">
        <f>G8-G9</f>
        <v>935.6022458773114</v>
      </c>
      <c r="H10" s="52">
        <f>H8-H9</f>
        <v>943.6356933719151</v>
      </c>
      <c r="I10" s="52">
        <f>I8-I9</f>
        <v>957.3479220923908</v>
      </c>
      <c r="J10" s="52">
        <f>J8-J9</f>
        <v>976.9508764670037</v>
      </c>
      <c r="K10" s="52">
        <f>K8-K9</f>
        <v>1002.7633856212062</v>
      </c>
      <c r="L10" s="52">
        <f>L8-L9</f>
        <v>1035.2196682856713</v>
      </c>
    </row>
    <row r="11">
      <c r="A11" s="14" t="inlineStr">
        <is>
          <t>Reinvestment</t>
        </is>
      </c>
      <c r="C11" s="52">
        <f>(C7-B7)*Assumptions!$E$15</f>
        <v>-44.44439999999986</v>
      </c>
      <c r="D11" s="52">
        <f>(D7-C7)*Assumptions!$E$15</f>
        <v>-34.183047920000035</v>
      </c>
      <c r="E11" s="52">
        <f>(E7-D7)*Assumptions!$E$15</f>
        <v>-24.622328591379528</v>
      </c>
      <c r="F11" s="52">
        <f>(F7-E7)*Assumptions!$E$15</f>
        <v>-15.571385732111139</v>
      </c>
      <c r="G11" s="52">
        <f>(G7-F7)*Assumptions!$E$15</f>
        <v>-6.856965558170032</v>
      </c>
      <c r="H11" s="52">
        <f>(H7-G7)*Assumptions!$E$15</f>
        <v>1.6822457605890122</v>
      </c>
      <c r="I11" s="52">
        <f>(I7-H7)*Assumptions!$E$15</f>
        <v>10.200696041440551</v>
      </c>
      <c r="J11" s="52">
        <f>(J7-I7)*Assumptions!$E$15</f>
        <v>18.85068078769382</v>
      </c>
      <c r="K11" s="52">
        <f>(K7-J7)*Assumptions!$E$15</f>
        <v>27.786901311852716</v>
      </c>
      <c r="L11" s="52">
        <f>(L7-K7)*Assumptions!$E$15</f>
        <v>37.171059902497745</v>
      </c>
    </row>
    <row r="12">
      <c r="A12" s="20" t="inlineStr">
        <is>
          <t>Free cash flow</t>
        </is>
      </c>
      <c r="C12" s="64">
        <f>C10-C11</f>
        <v>1003.98919038432</v>
      </c>
      <c r="D12" s="64">
        <f>D10-D11</f>
        <v>979.1509054409485</v>
      </c>
      <c r="E12" s="64">
        <f>E10-E11</f>
        <v>960.8517990178834</v>
      </c>
      <c r="F12" s="64">
        <f>F10-F11</f>
        <v>948.7085920384108</v>
      </c>
      <c r="G12" s="64">
        <f>G10-G11</f>
        <v>942.4592114354814</v>
      </c>
      <c r="H12" s="64">
        <f>H10-H11</f>
        <v>941.953447611326</v>
      </c>
      <c r="I12" s="64">
        <f>I10-I11</f>
        <v>947.1472260509503</v>
      </c>
      <c r="J12" s="64">
        <f>J10-J11</f>
        <v>958.1001956793099</v>
      </c>
      <c r="K12" s="64">
        <f>K10-K11</f>
        <v>974.9764843093535</v>
      </c>
      <c r="L12" s="64">
        <f>L10-L11</f>
        <v>998.0486083831736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492.97180113033653</v>
      </c>
      <c r="D16" s="64">
        <f>D12*D13*D15</f>
        <v>881.7405764182778</v>
      </c>
      <c r="E16" s="64">
        <f>E12*E13*E15</f>
        <v>779.5152678159163</v>
      </c>
      <c r="F16" s="64">
        <f>F12*F13*F15</f>
        <v>693.3907970590694</v>
      </c>
      <c r="G16" s="64">
        <f>G12*G13*G15</f>
        <v>620.5614942182755</v>
      </c>
      <c r="H16" s="64">
        <f>H12*H13*H15</f>
        <v>558.7643913904334</v>
      </c>
      <c r="I16" s="64">
        <f>I12*I13*I15</f>
        <v>506.1669617677164</v>
      </c>
      <c r="J16" s="64">
        <f>J12*J13*J15</f>
        <v>461.2796049927365</v>
      </c>
      <c r="K16" s="64">
        <f>K12*K13*K15</f>
        <v>422.8871478053233</v>
      </c>
      <c r="L16" s="64">
        <f>L12*L13*L15</f>
        <v>389.9950188798281</v>
      </c>
    </row>
    <row r="19">
      <c r="A19" s="14" t="inlineStr">
        <is>
          <t>PV of forecast free cash flow</t>
        </is>
      </c>
      <c r="B19" s="52">
        <f>SUM(C16:L16)</f>
        <v>5807.273061477913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1022.9998235927528</v>
      </c>
    </row>
    <row r="21">
      <c r="A21" s="14" t="inlineStr">
        <is>
          <t>Terminal value</t>
        </is>
      </c>
      <c r="B21" s="52">
        <f>B20/(Assumptions!$E$10-Assumptions!$E$11)</f>
        <v>12035.292042267682</v>
      </c>
    </row>
    <row r="22">
      <c r="A22" s="14" t="inlineStr">
        <is>
          <t>PV of terminal value</t>
        </is>
      </c>
      <c r="B22" s="52">
        <f>B21/(1+Assumptions!$E$10)^(L14+0.5)</f>
        <v>4463.777208650254</v>
      </c>
    </row>
    <row r="23">
      <c r="A23" s="20" t="inlineStr">
        <is>
          <t>Enterprise value</t>
        </is>
      </c>
      <c r="B23" s="66">
        <f>B19+B22</f>
        <v>10271.050270128166</v>
      </c>
    </row>
    <row r="24">
      <c r="A24" s="14" t="inlineStr">
        <is>
          <t>Cash &amp; investments</t>
        </is>
      </c>
      <c r="B24" s="55">
        <f>Main!C7</f>
        <v>1132</v>
      </c>
    </row>
    <row r="25">
      <c r="A25" s="14" t="inlineStr">
        <is>
          <t>Debt</t>
        </is>
      </c>
      <c r="B25" s="55">
        <f>Main!C8</f>
        <v>8553.0</v>
      </c>
    </row>
    <row r="26">
      <c r="A26" s="20" t="inlineStr">
        <is>
          <t>Equity value</t>
        </is>
      </c>
      <c r="B26" s="66">
        <f>B23+B24-B25</f>
        <v>2850.0502701281657</v>
      </c>
    </row>
    <row r="27">
      <c r="A27" s="14" t="inlineStr">
        <is>
          <t>Shares (mm)</t>
        </is>
      </c>
      <c r="B27" s="55">
        <f>Main!C4</f>
        <v>262.609433</v>
      </c>
    </row>
    <row r="28">
      <c r="A28" s="20" t="inlineStr">
        <is>
          <t>NPV / share</t>
        </is>
      </c>
      <c r="B28" s="49">
        <f>B26/B27</f>
        <v>10.85280996028869</v>
      </c>
    </row>
    <row r="29">
      <c r="A29" s="14" t="inlineStr">
        <is>
          <t>Price</t>
        </is>
      </c>
      <c r="B29" s="50">
        <f>Main!C3</f>
        <v>13.755</v>
      </c>
    </row>
    <row r="30">
      <c r="A30" s="14" t="inlineStr">
        <is>
          <t>Upside</t>
        </is>
      </c>
      <c r="B30" s="63">
        <f>B28/B29-1</f>
        <v>-0.21099164229089862</v>
      </c>
    </row>
    <row r="31">
      <c r="A31" s="14" t="inlineStr">
        <is>
          <t>Terminal value, % of EV</t>
        </is>
      </c>
      <c r="B31" s="63">
        <f>IFERROR(B22/B23,0)</f>
        <v>0.4345979321737419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2026-10-21T06:22:02Z</dcterms:modified>
  <cp:lastModifiedBy>Wang, Eric</cp:lastModifiedBy>
</cp:coreProperties>
</file>