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Janux Therapeutics, Inc.</t>
        </is>
      </c>
      <c r="C2" s="10" t="n"/>
    </row>
    <row r="3">
      <c r="B3" t="inlineStr">
        <is>
          <t>Price</t>
        </is>
      </c>
      <c r="C3" s="11">
        <f>INDEX([1]Pharma!$F$1:$F$1000,MATCH("JANX",[1]Pharma!$B$1:$B$1000,0))</f>
        <v>16.74</v>
      </c>
      <c r="F3" s="1" t="n"/>
    </row>
    <row r="4">
      <c r="B4" t="inlineStr">
        <is>
          <t>Shares</t>
        </is>
      </c>
      <c r="C4" s="21" t="n">
        <v>61.136773</v>
      </c>
      <c r="F4" s="1" t="n"/>
    </row>
    <row r="5">
      <c r="B5" t="inlineStr">
        <is>
          <t>Market Cap.</t>
        </is>
      </c>
      <c r="C5" s="13">
        <f>C3*C4</f>
        <v>1023.4295800199999</v>
      </c>
      <c r="F5" s="1" t="n"/>
    </row>
    <row r="6"/>
    <row r="7">
      <c r="B7" t="inlineStr">
        <is>
          <t>Cash</t>
        </is>
      </c>
      <c r="C7" s="21">
        <f>27.768+943.145</f>
        <v>970.913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52.51658001999988</v>
      </c>
    </row>
    <row r="10"/>
    <row r="11">
      <c r="B11" s="14" t="inlineStr">
        <is>
          <t>Net Cash / Share</t>
        </is>
      </c>
      <c r="C11" s="11">
        <f>(C7-C8)/C4</f>
        <v>15.880998494964725</v>
      </c>
    </row>
    <row r="12">
      <c r="B12" s="14" t="inlineStr">
        <is>
          <t>Upside</t>
        </is>
      </c>
      <c r="C12" s="15">
        <f>IFERROR(C11/C3-1,"")</f>
        <v>-0.05131430734977738</v>
      </c>
    </row>
    <row r="13">
      <c r="B13" s="14" t="inlineStr">
        <is>
          <t>Cash / Share</t>
        </is>
      </c>
      <c r="C13" s="11">
        <f>IFERROR((C7-C8)/C4,"")</f>
        <v>15.880998494964725</v>
      </c>
    </row>
    <row r="14">
      <c r="B14" s="14" t="inlineStr">
        <is>
          <t>Scenario</t>
        </is>
      </c>
      <c r="C14" s="14" t="inlineStr">
        <is>
          <t>small 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-41.251</v>
      </c>
    </row>
    <row r="18">
      <c r="B18" s="14" t="inlineStr">
        <is>
          <t>Runway (years)</t>
        </is>
      </c>
      <c r="C18" s="22">
        <f>IF(AND(ISNUMBER(C17),C17&lt;0),IF(C7&gt;C8,(C7-C8)/-C17,"net debt"),"n/a")</f>
        <v>23.53671426147245</v>
      </c>
    </row>
    <row r="19">
      <c r="B19" s="14" t="inlineStr">
        <is>
          <t>Implied Pipeline Value</t>
        </is>
      </c>
      <c r="C19" s="13">
        <f>C9</f>
        <v>52.51658001999988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2020</v>
      </c>
      <c r="C1" s="17" t="n">
        <v>2021</v>
      </c>
      <c r="D1" s="17" t="n">
        <v>2022</v>
      </c>
      <c r="E1" s="17" t="n">
        <v>2023</v>
      </c>
      <c r="F1" s="17" t="n">
        <v>2024</v>
      </c>
      <c r="G1" s="17" t="n">
        <v>2025</v>
      </c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3.637</v>
      </c>
      <c r="D2" s="23" t="n">
        <v>8.612</v>
      </c>
      <c r="E2" s="23" t="n">
        <v>8.083</v>
      </c>
      <c r="F2" s="23" t="n">
        <v>10.588</v>
      </c>
      <c r="G2" s="23" t="n">
        <v>10</v>
      </c>
      <c r="I2" s="1" t="n"/>
      <c r="J2" s="1" t="n"/>
      <c r="K2" s="1" t="n"/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I3" s="1" t="n"/>
      <c r="J3" s="1" t="n"/>
      <c r="K3" s="1" t="n"/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3.637</v>
      </c>
      <c r="D4" s="23">
        <f>D2-D3</f>
        <v>8.612</v>
      </c>
      <c r="E4" s="23">
        <f>E2-E3</f>
        <v>8.083</v>
      </c>
      <c r="F4" s="23">
        <f>F2-F3</f>
        <v>10.588</v>
      </c>
      <c r="G4" s="23">
        <f>G2-G3</f>
        <v>10.0</v>
      </c>
      <c r="I4" s="1" t="n"/>
      <c r="J4" s="1" t="n"/>
      <c r="K4" s="1" t="n"/>
    </row>
    <row r="5">
      <c r="A5" s="2" t="inlineStr">
        <is>
          <t>Research &amp; Dev.</t>
        </is>
      </c>
      <c r="B5" s="23" t="n">
        <v>3.041</v>
      </c>
      <c r="C5" s="23" t="n">
        <v>26.237</v>
      </c>
      <c r="D5" s="23" t="n">
        <v>53.441</v>
      </c>
      <c r="E5" s="23" t="n">
        <v>54.922</v>
      </c>
      <c r="F5" s="23" t="n">
        <v>68.38800000000001</v>
      </c>
      <c r="G5" s="23" t="n">
        <v>125.896</v>
      </c>
      <c r="I5" s="1" t="n"/>
      <c r="J5" s="1" t="n"/>
      <c r="K5" s="1" t="n"/>
    </row>
    <row r="6">
      <c r="A6" s="19" t="inlineStr">
        <is>
          <t>SG&amp;A &amp; Other</t>
        </is>
      </c>
      <c r="B6" s="23" t="n">
        <v>1.802</v>
      </c>
      <c r="C6" s="23" t="n">
        <v>10.329</v>
      </c>
      <c r="D6" s="23" t="n">
        <v>22.262</v>
      </c>
      <c r="E6" s="23" t="n">
        <v>26.14</v>
      </c>
      <c r="F6" s="23" t="n">
        <v>41.047</v>
      </c>
      <c r="G6" s="23" t="n">
        <v>41.771</v>
      </c>
      <c r="I6" s="1" t="n"/>
      <c r="J6" s="1" t="n"/>
      <c r="K6" s="1" t="n"/>
    </row>
    <row r="7">
      <c r="A7" s="2" t="inlineStr">
        <is>
          <t>Operating Expense</t>
        </is>
      </c>
      <c r="B7" s="23">
        <f>SUM(B5:B6)</f>
        <v>4.843</v>
      </c>
      <c r="C7" s="23">
        <f>SUM(C5:C6)</f>
        <v>36.566</v>
      </c>
      <c r="D7" s="23">
        <f>SUM(D5:D6)</f>
        <v>75.703</v>
      </c>
      <c r="E7" s="23">
        <f>SUM(E5:E6)</f>
        <v>81.062</v>
      </c>
      <c r="F7" s="23">
        <f>SUM(F5:F6)</f>
        <v>109.435</v>
      </c>
      <c r="G7" s="23">
        <f>SUM(G5:G6)</f>
        <v>167.667</v>
      </c>
      <c r="I7" s="1" t="n"/>
      <c r="J7" s="1" t="n"/>
      <c r="K7" s="1" t="n"/>
    </row>
    <row r="8">
      <c r="A8" s="2" t="inlineStr">
        <is>
          <t>Operating Income</t>
        </is>
      </c>
      <c r="B8" s="23">
        <f>B4-B7</f>
        <v>-4.843</v>
      </c>
      <c r="C8" s="23">
        <f>C4-C7</f>
        <v>-32.929</v>
      </c>
      <c r="D8" s="23">
        <f>D4-D7</f>
        <v>-67.09100000000001</v>
      </c>
      <c r="E8" s="23">
        <f>E4-E7</f>
        <v>-72.979</v>
      </c>
      <c r="F8" s="23">
        <f>F4-F7</f>
        <v>-98.84700000000001</v>
      </c>
      <c r="G8" s="23">
        <f>G4-G7</f>
        <v>-157.667</v>
      </c>
      <c r="I8" s="1" t="n"/>
      <c r="J8" s="1" t="n"/>
      <c r="K8" s="1" t="n"/>
    </row>
    <row r="9">
      <c r="A9" s="19" t="inlineStr">
        <is>
          <t>Interest &amp; Other</t>
        </is>
      </c>
      <c r="B9" s="23" t="n">
        <v>-1.941</v>
      </c>
      <c r="C9" s="23" t="n">
        <v>0.257</v>
      </c>
      <c r="D9" s="23" t="n">
        <v>4.032</v>
      </c>
      <c r="E9" s="23" t="n">
        <v>14.686</v>
      </c>
      <c r="F9" s="23" t="n">
        <v>29.853</v>
      </c>
      <c r="G9" s="23" t="n">
        <v>44.042</v>
      </c>
    </row>
    <row r="10">
      <c r="A10" s="2" t="inlineStr">
        <is>
          <t>Pretax</t>
        </is>
      </c>
      <c r="B10" s="23">
        <f>B8+B9</f>
        <v>-6.784</v>
      </c>
      <c r="C10" s="23">
        <f>C8+C9</f>
        <v>-32.672000000000004</v>
      </c>
      <c r="D10" s="23">
        <f>D8+D9</f>
        <v>-63.05900000000001</v>
      </c>
      <c r="E10" s="23">
        <f>E8+E9</f>
        <v>-58.293</v>
      </c>
      <c r="F10" s="23">
        <f>F8+F9</f>
        <v>-68.994</v>
      </c>
      <c r="G10" s="23">
        <f>G8+G9</f>
        <v>-113.625</v>
      </c>
      <c r="I10" s="1" t="n"/>
      <c r="J10" s="1" t="n"/>
      <c r="K10" s="1" t="n"/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  <c r="E11" s="23" t="n">
        <v>0</v>
      </c>
      <c r="F11" s="23" t="n">
        <v>0</v>
      </c>
      <c r="G11" s="23" t="n">
        <v>0</v>
      </c>
    </row>
    <row r="12">
      <c r="A12" s="2" t="inlineStr">
        <is>
          <t>Net Income</t>
        </is>
      </c>
      <c r="B12" s="23" t="n">
        <v>-6.784</v>
      </c>
      <c r="C12" s="23" t="n">
        <v>-32.672</v>
      </c>
      <c r="D12" s="23" t="n">
        <v>-63.059</v>
      </c>
      <c r="E12" s="23" t="n">
        <v>-58.293</v>
      </c>
      <c r="F12" s="23" t="n">
        <v>-68.994</v>
      </c>
      <c r="G12" s="23" t="n">
        <v>-113.625</v>
      </c>
      <c r="I12" s="1" t="n"/>
      <c r="J12" s="1" t="n"/>
      <c r="K12" s="1" t="n"/>
    </row>
    <row r="13">
      <c r="A13" s="2" t="inlineStr">
        <is>
          <t>Earnings per Share</t>
        </is>
      </c>
      <c r="B13" s="11">
        <f>IFERROR(B12/B14,0)</f>
        <v>-0.28511389425905687</v>
      </c>
      <c r="C13" s="11">
        <f>IFERROR(C12/C14,0)</f>
        <v>-1.3885252868678282</v>
      </c>
      <c r="D13" s="11">
        <f>IFERROR(D12/D14,0)</f>
        <v>-1.5205931999035447</v>
      </c>
      <c r="E13" s="11">
        <f>IFERROR(E12/E14,0)</f>
        <v>-1.3243593238822247</v>
      </c>
      <c r="F13" s="11">
        <f>IFERROR(F12/F14,0)</f>
        <v>-1.2835854216665736</v>
      </c>
      <c r="G13" s="11">
        <f>IFERROR(G12/G14,0)</f>
        <v>-1.8336372585408363</v>
      </c>
    </row>
    <row r="14">
      <c r="A14" s="2" t="inlineStr">
        <is>
          <t>Shares</t>
        </is>
      </c>
      <c r="B14" s="23" t="n">
        <v>23.794</v>
      </c>
      <c r="C14" s="23" t="n">
        <v>23.53</v>
      </c>
      <c r="D14" s="23" t="n">
        <v>41.47</v>
      </c>
      <c r="E14" s="23" t="n">
        <v>44.016</v>
      </c>
      <c r="F14" s="23" t="n">
        <v>53.751</v>
      </c>
      <c r="G14" s="23" t="n">
        <v>61.967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>1.367885620016497</v>
      </c>
      <c r="E16" s="15">
        <f>IFERROR(E2/D2-1,"")</f>
        <v>-0.06142591732466329</v>
      </c>
      <c r="F16" s="15">
        <f>IFERROR(F2/E2-1,"")</f>
        <v>0.30990968699740185</v>
      </c>
      <c r="G16" s="15">
        <f>IFERROR(G2/F2-1,"")</f>
        <v>-0.05553456743483176</v>
      </c>
      <c r="H16" s="4" t="n"/>
      <c r="I16" s="4" t="n"/>
      <c r="J16" s="4" t="n"/>
      <c r="K16" s="4" t="n"/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>1.0</v>
      </c>
      <c r="D17" s="15">
        <f>IFERROR(D4/D2,"")</f>
        <v>1.0</v>
      </c>
      <c r="E17" s="15">
        <f>IFERROR(E4/E2,"")</f>
        <v>1.0</v>
      </c>
      <c r="F17" s="15">
        <f>IFERROR(F4/F2,"")</f>
        <v>1.0</v>
      </c>
      <c r="G17" s="15">
        <f>IFERROR(G4/G2,"")</f>
        <v>1.0</v>
      </c>
      <c r="H17" s="4" t="n"/>
      <c r="I17" s="4" t="n"/>
      <c r="J17" s="4" t="n"/>
      <c r="K17" s="4" t="n"/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>-9.053890569150399</v>
      </c>
      <c r="D18" s="15">
        <f>IFERROR(D8/D2,"")</f>
        <v>-7.7904087320018585</v>
      </c>
      <c r="E18" s="15">
        <f>IFERROR(E8/E2,"")</f>
        <v>-9.02870221452431</v>
      </c>
      <c r="F18" s="15">
        <f>IFERROR(F8/F2,"")</f>
        <v>-9.335757461276918</v>
      </c>
      <c r="G18" s="15">
        <f>IFERROR(G8/G2,"")</f>
        <v>-15.7667</v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2026-10-21T01:04:50Z</dcterms:modified>
  <cp:lastModifiedBy>Wang, Eric</cp:lastModifiedBy>
</cp:coreProperties>
</file>