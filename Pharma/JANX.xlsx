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Janux Therapeutics, Inc.</t>
        </is>
      </c>
      <c r="C2" s="10" t="n"/>
    </row>
    <row r="3">
      <c r="B3" t="inlineStr">
        <is>
          <t>Price</t>
        </is>
      </c>
      <c r="C3" s="11">
        <f>INDEX([1]Pharma!$F$1:$F$1000,MATCH("JANX",[1]Pharma!$B$1:$B$1000,0))</f>
        <v>16.74</v>
      </c>
      <c r="F3" s="1" t="n"/>
    </row>
    <row r="4">
      <c r="B4" t="inlineStr">
        <is>
          <t>Shares</t>
        </is>
      </c>
      <c r="C4" s="21" t="n">
        <v>61.136773</v>
      </c>
      <c r="F4" s="1" t="n"/>
    </row>
    <row r="5">
      <c r="B5" t="inlineStr">
        <is>
          <t>Market Cap.</t>
        </is>
      </c>
      <c r="C5" s="13">
        <f>C3*C4</f>
        <v>1023.4295800199999</v>
      </c>
      <c r="F5" s="1" t="n"/>
    </row>
    <row r="6"/>
    <row r="7">
      <c r="B7" t="inlineStr">
        <is>
          <t>Cash</t>
        </is>
      </c>
      <c r="C7" s="21">
        <f>27.768+943.145</f>
        <v>970.913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52.51658001999988</v>
      </c>
    </row>
    <row r="10"/>
    <row r="11">
      <c r="B11" s="14" t="inlineStr">
        <is>
          <t>rNPV / Share</t>
        </is>
      </c>
      <c r="C11" s="11">
        <f>NPV!B27</f>
        <v>12.79986201233234</v>
      </c>
    </row>
    <row r="12">
      <c r="B12" s="14" t="inlineStr">
        <is>
          <t>Upside</t>
        </is>
      </c>
      <c r="C12" s="15">
        <f>IFERROR(C11/C3-1,"")</f>
        <v>-0.23537263964561872</v>
      </c>
    </row>
    <row r="13">
      <c r="B13" s="14" t="inlineStr">
        <is>
          <t>Cash / Share</t>
        </is>
      </c>
      <c r="C13" s="11">
        <f>IFERROR((C7-C8)/C4,"")</f>
        <v>15.880998494964725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-41.251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23.53671426147245</v>
      </c>
    </row>
    <row r="19">
      <c r="B19" s="14" t="inlineStr">
        <is>
          <t>Implied Pipeline Value</t>
        </is>
      </c>
      <c r="C19" s="13">
        <f>C9</f>
        <v>52.51658001999988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3.637</v>
      </c>
      <c r="D2" s="23" t="n">
        <v>8.612</v>
      </c>
      <c r="E2" s="23" t="n">
        <v>8.083</v>
      </c>
      <c r="F2" s="23" t="n">
        <v>10.588</v>
      </c>
      <c r="G2" s="23" t="n">
        <v>10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3.637</v>
      </c>
      <c r="D4" s="23">
        <f>D2-D3</f>
        <v>8.612</v>
      </c>
      <c r="E4" s="23">
        <f>E2-E3</f>
        <v>8.083</v>
      </c>
      <c r="F4" s="23">
        <f>F2-F3</f>
        <v>10.588</v>
      </c>
      <c r="G4" s="23">
        <f>G2-G3</f>
        <v>10.0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3.041</v>
      </c>
      <c r="C5" s="23" t="n">
        <v>26.237</v>
      </c>
      <c r="D5" s="23" t="n">
        <v>53.441</v>
      </c>
      <c r="E5" s="23" t="n">
        <v>54.922</v>
      </c>
      <c r="F5" s="23" t="n">
        <v>68.38800000000001</v>
      </c>
      <c r="G5" s="23" t="n">
        <v>125.896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1.802</v>
      </c>
      <c r="C6" s="23" t="n">
        <v>10.329</v>
      </c>
      <c r="D6" s="23" t="n">
        <v>22.262</v>
      </c>
      <c r="E6" s="23" t="n">
        <v>26.14</v>
      </c>
      <c r="F6" s="23" t="n">
        <v>41.047</v>
      </c>
      <c r="G6" s="23" t="n">
        <v>41.771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4.843</v>
      </c>
      <c r="C7" s="23">
        <f>SUM(C5:C6)</f>
        <v>36.566</v>
      </c>
      <c r="D7" s="23">
        <f>SUM(D5:D6)</f>
        <v>75.703</v>
      </c>
      <c r="E7" s="23">
        <f>SUM(E5:E6)</f>
        <v>81.062</v>
      </c>
      <c r="F7" s="23">
        <f>SUM(F5:F6)</f>
        <v>109.435</v>
      </c>
      <c r="G7" s="23">
        <f>SUM(G5:G6)</f>
        <v>167.667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-4.843</v>
      </c>
      <c r="C8" s="23">
        <f>C4-C7</f>
        <v>-32.929</v>
      </c>
      <c r="D8" s="23">
        <f>D4-D7</f>
        <v>-67.09100000000001</v>
      </c>
      <c r="E8" s="23">
        <f>E4-E7</f>
        <v>-72.979</v>
      </c>
      <c r="F8" s="23">
        <f>F4-F7</f>
        <v>-98.84700000000001</v>
      </c>
      <c r="G8" s="23">
        <f>G4-G7</f>
        <v>-157.667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-1.941</v>
      </c>
      <c r="C9" s="23" t="n">
        <v>0.257</v>
      </c>
      <c r="D9" s="23" t="n">
        <v>4.032</v>
      </c>
      <c r="E9" s="23" t="n">
        <v>14.686</v>
      </c>
      <c r="F9" s="23" t="n">
        <v>29.853</v>
      </c>
      <c r="G9" s="23" t="n">
        <v>44.042</v>
      </c>
    </row>
    <row r="10">
      <c r="A10" s="2" t="inlineStr">
        <is>
          <t>Pretax</t>
        </is>
      </c>
      <c r="B10" s="23">
        <f>B8+B9</f>
        <v>-6.784</v>
      </c>
      <c r="C10" s="23">
        <f>C8+C9</f>
        <v>-32.672000000000004</v>
      </c>
      <c r="D10" s="23">
        <f>D8+D9</f>
        <v>-63.05900000000001</v>
      </c>
      <c r="E10" s="23">
        <f>E8+E9</f>
        <v>-58.293</v>
      </c>
      <c r="F10" s="23">
        <f>F8+F9</f>
        <v>-68.994</v>
      </c>
      <c r="G10" s="23">
        <f>G8+G9</f>
        <v>-113.625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-6.784</v>
      </c>
      <c r="C12" s="23" t="n">
        <v>-32.672</v>
      </c>
      <c r="D12" s="23" t="n">
        <v>-63.059</v>
      </c>
      <c r="E12" s="23" t="n">
        <v>-58.293</v>
      </c>
      <c r="F12" s="23" t="n">
        <v>-68.994</v>
      </c>
      <c r="G12" s="23" t="n">
        <v>-113.625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-0.28511389425905687</v>
      </c>
      <c r="C13" s="11">
        <f>IFERROR(C12/C14,0)</f>
        <v>-1.3885252868678282</v>
      </c>
      <c r="D13" s="11">
        <f>IFERROR(D12/D14,0)</f>
        <v>-1.5205931999035447</v>
      </c>
      <c r="E13" s="11">
        <f>IFERROR(E12/E14,0)</f>
        <v>-1.3243593238822247</v>
      </c>
      <c r="F13" s="11">
        <f>IFERROR(F12/F14,0)</f>
        <v>-1.2835854216665736</v>
      </c>
      <c r="G13" s="11">
        <f>IFERROR(G12/G14,0)</f>
        <v>-1.8336372585408363</v>
      </c>
    </row>
    <row r="14">
      <c r="A14" s="2" t="inlineStr">
        <is>
          <t>Shares</t>
        </is>
      </c>
      <c r="B14" s="23" t="n">
        <v>23.794</v>
      </c>
      <c r="C14" s="23" t="n">
        <v>23.53</v>
      </c>
      <c r="D14" s="23" t="n">
        <v>41.47</v>
      </c>
      <c r="E14" s="23" t="n">
        <v>44.016</v>
      </c>
      <c r="F14" s="23" t="n">
        <v>53.751</v>
      </c>
      <c r="G14" s="23" t="n">
        <v>61.967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1.367885620016497</v>
      </c>
      <c r="E16" s="15">
        <f>IFERROR(E2/D2-1,"")</f>
        <v>-0.06142591732466329</v>
      </c>
      <c r="F16" s="15">
        <f>IFERROR(F2/E2-1,"")</f>
        <v>0.30990968699740185</v>
      </c>
      <c r="G16" s="15">
        <f>IFERROR(G2/F2-1,"")</f>
        <v>-0.05553456743483176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-9.053890569150399</v>
      </c>
      <c r="D18" s="15">
        <f>IFERROR(D8/D2,"")</f>
        <v>-7.7904087320018585</v>
      </c>
      <c r="E18" s="15">
        <f>IFERROR(E8/E2,"")</f>
        <v>-9.02870221452431</v>
      </c>
      <c r="F18" s="15">
        <f>IFERROR(F8/F2,"")</f>
        <v>-9.335757461276918</v>
      </c>
      <c r="G18" s="15">
        <f>IFERROR(G8/G2,"")</f>
        <v>-15.7667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Janux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0.1026227099999999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143.555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343.4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-188.3707417207145</v>
      </c>
      <c r="C29" s="42">
        <f>NPV!B25</f>
        <v>782.5422582792855</v>
      </c>
      <c r="D29" s="43">
        <f>NPV!B27</f>
        <v>12.79986201233234</v>
      </c>
      <c r="E29" s="44">
        <f>NPV!B29</f>
        <v>-0.23537263964561872</v>
      </c>
    </row>
    <row r="30">
      <c r="A30" s="45" t="n">
        <v>1</v>
      </c>
      <c r="B30" s="46">
        <f t="dataTable" ref="B30:E32" r1="B4"/>
        <v>-321.35706105496376</v>
      </c>
      <c r="C30" s="46">
        <v>649.5559389450362</v>
      </c>
      <c r="D30" s="47">
        <v>10.624635666410398</v>
      </c>
      <c r="E30" s="48">
        <v>-0.3653144763195699</v>
      </c>
    </row>
    <row r="31">
      <c r="A31" s="45" t="n">
        <v>2</v>
      </c>
      <c r="B31" s="46">
        <v>-188.3707417207145</v>
      </c>
      <c r="C31" s="46">
        <v>782.5422582792855</v>
      </c>
      <c r="D31" s="47">
        <v>12.79986201233234</v>
      </c>
      <c r="E31" s="48">
        <v>-0.23537263964561872</v>
      </c>
    </row>
    <row r="32">
      <c r="A32" s="45" t="n">
        <v>3</v>
      </c>
      <c r="B32" s="46">
        <v>22.00236238554603</v>
      </c>
      <c r="C32" s="46">
        <v>992.915362385546</v>
      </c>
      <c r="D32" s="47">
        <v>16.240886027555725</v>
      </c>
      <c r="E32" s="48">
        <v>-0.02981564948890525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12.79986201233234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10.121478583250049</v>
      </c>
      <c r="C37" s="47">
        <v>10.744213309124776</v>
      </c>
      <c r="D37" s="47">
        <v>11.366948034999503</v>
      </c>
      <c r="E37" s="47">
        <v>12.566268921052458</v>
      </c>
      <c r="F37" s="47">
        <v>13.638967801026679</v>
      </c>
    </row>
    <row r="38">
      <c r="A38" s="50" t="n">
        <v>0.8</v>
      </c>
      <c r="B38" s="47">
        <v>10.465675855141825</v>
      </c>
      <c r="C38" s="47">
        <v>11.295988822974795</v>
      </c>
      <c r="D38" s="47">
        <v>12.126301790807766</v>
      </c>
      <c r="E38" s="47">
        <v>13.575550563590962</v>
      </c>
      <c r="F38" s="47">
        <v>14.968195789842314</v>
      </c>
    </row>
    <row r="39">
      <c r="A39" s="50" t="n">
        <v>1</v>
      </c>
      <c r="B39" s="47">
        <v>10.81064968432689</v>
      </c>
      <c r="C39" s="47">
        <v>11.848540894118104</v>
      </c>
      <c r="D39" s="47">
        <v>12.79986201233234</v>
      </c>
      <c r="E39" s="47">
        <v>14.560909254485717</v>
      </c>
      <c r="F39" s="47">
        <v>16.274417880213583</v>
      </c>
    </row>
    <row r="40">
      <c r="A40" s="50" t="n">
        <v>1.2</v>
      </c>
      <c r="B40" s="47">
        <v>11.156400070805246</v>
      </c>
      <c r="C40" s="47">
        <v>12.372870310493443</v>
      </c>
      <c r="D40" s="47">
        <v>13.45079814896988</v>
      </c>
      <c r="E40" s="47">
        <v>15.531507156967518</v>
      </c>
      <c r="F40" s="47">
        <v>17.568201058532953</v>
      </c>
    </row>
    <row r="41">
      <c r="A41" s="50" t="n">
        <v>1.4</v>
      </c>
      <c r="B41" s="47">
        <v>11.502927014576894</v>
      </c>
      <c r="C41" s="47">
        <v>12.854711458677366</v>
      </c>
      <c r="D41" s="47">
        <v>14.091665060027271</v>
      </c>
      <c r="E41" s="47">
        <v>16.493690753238845</v>
      </c>
      <c r="F41" s="47">
        <v>18.853346534014825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Janux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Lung cancer</t>
        </is>
      </c>
      <c r="C4" s="14" t="inlineStr">
        <is>
          <t>JANX008</t>
        </is>
      </c>
      <c r="D4" s="14" t="inlineStr">
        <is>
          <t>Phase 1</t>
        </is>
      </c>
      <c r="E4" s="14" t="inlineStr">
        <is>
          <t>Oncology / area</t>
        </is>
      </c>
      <c r="F4" s="14" t="inlineStr">
        <is>
          <t>Owned</t>
        </is>
      </c>
      <c r="G4" s="40" t="n">
        <v>3000</v>
      </c>
      <c r="H4" s="27" t="n">
        <v>0.0527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138.44360572734703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15.809999999999999</v>
      </c>
      <c r="U4" s="23">
        <f>IF(U$3&lt;$I4,0,$G4*Assumptions!$E$11*INDEX(Assumptions!$B$24:$G$24,MIN(6,U$3-$I4+1))*IF(U$3&gt;$J4,(1-Assumptions!$B$26)^(U$3-$J4),1)*IF($H4&gt;=1,1,MIN(0.97,$H4*Assumptions!$E$12)))</f>
        <v>39.525</v>
      </c>
      <c r="V4" s="23">
        <f>IF(V$3&lt;$I4,0,$G4*Assumptions!$E$11*INDEX(Assumptions!$B$24:$G$24,MIN(6,V$3-$I4+1))*IF(V$3&gt;$J4,(1-Assumptions!$B$26)^(V$3-$J4),1)*IF($H4&gt;=1,1,MIN(0.97,$H4*Assumptions!$E$12)))</f>
        <v>71.145</v>
      </c>
      <c r="W4" s="23">
        <f>IF(W$3&lt;$I4,0,$G4*Assumptions!$E$11*INDEX(Assumptions!$B$24:$G$24,MIN(6,W$3-$I4+1))*IF(W$3&gt;$J4,(1-Assumptions!$B$26)^(W$3-$J4),1)*IF($H4&gt;=1,1,MIN(0.97,$H4*Assumptions!$E$12)))</f>
        <v>102.765</v>
      </c>
      <c r="X4" s="23">
        <f>IF(X$3&lt;$I4,0,$G4*Assumptions!$E$11*INDEX(Assumptions!$B$24:$G$24,MIN(6,X$3-$I4+1))*IF(X$3&gt;$J4,(1-Assumptions!$B$26)^(X$3-$J4),1)*IF($H4&gt;=1,1,MIN(0.97,$H4*Assumptions!$E$12)))</f>
        <v>134.385</v>
      </c>
      <c r="Y4" s="23">
        <f>IF(Y$3&lt;$I4,0,$G4*Assumptions!$E$11*INDEX(Assumptions!$B$24:$G$24,MIN(6,Y$3-$I4+1))*IF(Y$3&gt;$J4,(1-Assumptions!$B$26)^(Y$3-$J4),1)*IF($H4&gt;=1,1,MIN(0.97,$H4*Assumptions!$E$12)))</f>
        <v>158.1</v>
      </c>
      <c r="Z4" s="23">
        <f>IF(Z$3&lt;$I4,0,$G4*Assumptions!$E$11*INDEX(Assumptions!$B$24:$G$24,MIN(6,Z$3-$I4+1))*IF(Z$3&gt;$J4,(1-Assumptions!$B$26)^(Z$3-$J4),1)*IF($H4&gt;=1,1,MIN(0.97,$H4*Assumptions!$E$12)))</f>
        <v>158.1</v>
      </c>
      <c r="AA4" s="23">
        <f>IF(AA$3&lt;$I4,0,$G4*Assumptions!$E$11*INDEX(Assumptions!$B$24:$G$24,MIN(6,AA$3-$I4+1))*IF(AA$3&gt;$J4,(1-Assumptions!$B$26)^(AA$3-$J4),1)*IF($H4&gt;=1,1,MIN(0.97,$H4*Assumptions!$E$12)))</f>
        <v>158.1</v>
      </c>
      <c r="AB4" s="23">
        <f>IF(AB$3&lt;$I4,0,$G4*Assumptions!$E$11*INDEX(Assumptions!$B$24:$G$24,MIN(6,AB$3-$I4+1))*IF(AB$3&gt;$J4,(1-Assumptions!$B$26)^(AB$3-$J4),1)*IF($H4&gt;=1,1,MIN(0.97,$H4*Assumptions!$E$12)))</f>
        <v>158.1</v>
      </c>
      <c r="AC4" s="23">
        <f>IF(AC$3&lt;$I4,0,$G4*Assumptions!$E$11*INDEX(Assumptions!$B$24:$G$24,MIN(6,AC$3-$I4+1))*IF(AC$3&gt;$J4,(1-Assumptions!$B$26)^(AC$3-$J4),1)*IF($H4&gt;=1,1,MIN(0.97,$H4*Assumptions!$E$12)))</f>
        <v>158.1</v>
      </c>
      <c r="AD4" s="23">
        <f>IF(AD$3&lt;$I4,0,$G4*Assumptions!$E$11*INDEX(Assumptions!$B$24:$G$24,MIN(6,AD$3-$I4+1))*IF(AD$3&gt;$J4,(1-Assumptions!$B$26)^(AD$3-$J4),1)*IF($H4&gt;=1,1,MIN(0.97,$H4*Assumptions!$E$12)))</f>
        <v>158.1</v>
      </c>
      <c r="AE4" s="23">
        <f>IF(AE$3&lt;$I4,0,$G4*Assumptions!$E$11*INDEX(Assumptions!$B$24:$G$24,MIN(6,AE$3-$I4+1))*IF(AE$3&gt;$J4,(1-Assumptions!$B$26)^(AE$3-$J4),1)*IF($H4&gt;=1,1,MIN(0.97,$H4*Assumptions!$E$12)))</f>
        <v>158.1</v>
      </c>
      <c r="AF4" s="23">
        <f>IF(AF$3&lt;$I4,0,$G4*Assumptions!$E$11*INDEX(Assumptions!$B$24:$G$24,MIN(6,AF$3-$I4+1))*IF(AF$3&gt;$J4,(1-Assumptions!$B$26)^(AF$3-$J4),1)*IF($H4&gt;=1,1,MIN(0.97,$H4*Assumptions!$E$12)))</f>
        <v>158.1</v>
      </c>
      <c r="AG4" s="35">
        <f>IF(F4="Owned",1-IF(H4&gt;=1,1,MIN(0.97,H4*Assumptions!$E$12)),1)</f>
        <v>0.9473</v>
      </c>
    </row>
    <row r="5">
      <c r="A5" s="39" t="n">
        <v>2</v>
      </c>
      <c r="B5" s="14" t="inlineStr">
        <is>
          <t>Prostate cancer</t>
        </is>
      </c>
      <c r="C5" s="14" t="inlineStr">
        <is>
          <t>JANX007, JANX013</t>
        </is>
      </c>
      <c r="D5" s="14" t="inlineStr">
        <is>
          <t>Phase 1</t>
        </is>
      </c>
      <c r="E5" s="14" t="inlineStr">
        <is>
          <t>Oncology / area</t>
        </is>
      </c>
      <c r="F5" s="14" t="inlineStr">
        <is>
          <t>Owned</t>
        </is>
      </c>
      <c r="G5" s="40" t="n">
        <v>2500</v>
      </c>
      <c r="H5" s="27" t="n">
        <v>0.0527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115.36967143945586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13.174999999999999</v>
      </c>
      <c r="U5" s="23">
        <f>IF(U$3&lt;$I5,0,$G5*Assumptions!$E$11*INDEX(Assumptions!$B$24:$G$24,MIN(6,U$3-$I5+1))*IF(U$3&gt;$J5,(1-Assumptions!$B$26)^(U$3-$J5),1)*IF($H5&gt;=1,1,MIN(0.97,$H5*Assumptions!$E$12)))</f>
        <v>32.9375</v>
      </c>
      <c r="V5" s="23">
        <f>IF(V$3&lt;$I5,0,$G5*Assumptions!$E$11*INDEX(Assumptions!$B$24:$G$24,MIN(6,V$3-$I5+1))*IF(V$3&gt;$J5,(1-Assumptions!$B$26)^(V$3-$J5),1)*IF($H5&gt;=1,1,MIN(0.97,$H5*Assumptions!$E$12)))</f>
        <v>59.287499999999994</v>
      </c>
      <c r="W5" s="23">
        <f>IF(W$3&lt;$I5,0,$G5*Assumptions!$E$11*INDEX(Assumptions!$B$24:$G$24,MIN(6,W$3-$I5+1))*IF(W$3&gt;$J5,(1-Assumptions!$B$26)^(W$3-$J5),1)*IF($H5&gt;=1,1,MIN(0.97,$H5*Assumptions!$E$12)))</f>
        <v>85.63749999999999</v>
      </c>
      <c r="X5" s="23">
        <f>IF(X$3&lt;$I5,0,$G5*Assumptions!$E$11*INDEX(Assumptions!$B$24:$G$24,MIN(6,X$3-$I5+1))*IF(X$3&gt;$J5,(1-Assumptions!$B$26)^(X$3-$J5),1)*IF($H5&gt;=1,1,MIN(0.97,$H5*Assumptions!$E$12)))</f>
        <v>111.9875</v>
      </c>
      <c r="Y5" s="23">
        <f>IF(Y$3&lt;$I5,0,$G5*Assumptions!$E$11*INDEX(Assumptions!$B$24:$G$24,MIN(6,Y$3-$I5+1))*IF(Y$3&gt;$J5,(1-Assumptions!$B$26)^(Y$3-$J5),1)*IF($H5&gt;=1,1,MIN(0.97,$H5*Assumptions!$E$12)))</f>
        <v>131.75</v>
      </c>
      <c r="Z5" s="23">
        <f>IF(Z$3&lt;$I5,0,$G5*Assumptions!$E$11*INDEX(Assumptions!$B$24:$G$24,MIN(6,Z$3-$I5+1))*IF(Z$3&gt;$J5,(1-Assumptions!$B$26)^(Z$3-$J5),1)*IF($H5&gt;=1,1,MIN(0.97,$H5*Assumptions!$E$12)))</f>
        <v>131.75</v>
      </c>
      <c r="AA5" s="23">
        <f>IF(AA$3&lt;$I5,0,$G5*Assumptions!$E$11*INDEX(Assumptions!$B$24:$G$24,MIN(6,AA$3-$I5+1))*IF(AA$3&gt;$J5,(1-Assumptions!$B$26)^(AA$3-$J5),1)*IF($H5&gt;=1,1,MIN(0.97,$H5*Assumptions!$E$12)))</f>
        <v>131.75</v>
      </c>
      <c r="AB5" s="23">
        <f>IF(AB$3&lt;$I5,0,$G5*Assumptions!$E$11*INDEX(Assumptions!$B$24:$G$24,MIN(6,AB$3-$I5+1))*IF(AB$3&gt;$J5,(1-Assumptions!$B$26)^(AB$3-$J5),1)*IF($H5&gt;=1,1,MIN(0.97,$H5*Assumptions!$E$12)))</f>
        <v>131.75</v>
      </c>
      <c r="AC5" s="23">
        <f>IF(AC$3&lt;$I5,0,$G5*Assumptions!$E$11*INDEX(Assumptions!$B$24:$G$24,MIN(6,AC$3-$I5+1))*IF(AC$3&gt;$J5,(1-Assumptions!$B$26)^(AC$3-$J5),1)*IF($H5&gt;=1,1,MIN(0.97,$H5*Assumptions!$E$12)))</f>
        <v>131.75</v>
      </c>
      <c r="AD5" s="23">
        <f>IF(AD$3&lt;$I5,0,$G5*Assumptions!$E$11*INDEX(Assumptions!$B$24:$G$24,MIN(6,AD$3-$I5+1))*IF(AD$3&gt;$J5,(1-Assumptions!$B$26)^(AD$3-$J5),1)*IF($H5&gt;=1,1,MIN(0.97,$H5*Assumptions!$E$12)))</f>
        <v>131.75</v>
      </c>
      <c r="AE5" s="23">
        <f>IF(AE$3&lt;$I5,0,$G5*Assumptions!$E$11*INDEX(Assumptions!$B$24:$G$24,MIN(6,AE$3-$I5+1))*IF(AE$3&gt;$J5,(1-Assumptions!$B$26)^(AE$3-$J5),1)*IF($H5&gt;=1,1,MIN(0.97,$H5*Assumptions!$E$12)))</f>
        <v>131.75</v>
      </c>
      <c r="AF5" s="23">
        <f>IF(AF$3&lt;$I5,0,$G5*Assumptions!$E$11*INDEX(Assumptions!$B$24:$G$24,MIN(6,AF$3-$I5+1))*IF(AF$3&gt;$J5,(1-Assumptions!$B$26)^(AF$3-$J5),1)*IF($H5&gt;=1,1,MIN(0.97,$H5*Assumptions!$E$12)))</f>
        <v>131.75</v>
      </c>
      <c r="AG5" s="35">
        <f>IF(F5="Owned",1-IF(H5&gt;=1,1,MIN(0.97,H5*Assumptions!$E$12)),1)</f>
        <v>0.9473</v>
      </c>
    </row>
    <row r="6">
      <c r="B6" s="24" t="inlineStr">
        <is>
          <t>Risked revenue</t>
        </is>
      </c>
      <c r="L6" s="54">
        <f>SUM(L4:L5)</f>
        <v>253.8132771668029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0.0</v>
      </c>
      <c r="S6" s="54">
        <f>SUM(S4:S5)</f>
        <v>0.0</v>
      </c>
      <c r="T6" s="54">
        <f>SUM(T4:T5)</f>
        <v>28.985</v>
      </c>
      <c r="U6" s="54">
        <f>SUM(U4:U5)</f>
        <v>72.4625</v>
      </c>
      <c r="V6" s="54">
        <f>SUM(V4:V5)</f>
        <v>130.4325</v>
      </c>
      <c r="W6" s="54">
        <f>SUM(W4:W5)</f>
        <v>188.40249999999997</v>
      </c>
      <c r="X6" s="54">
        <f>SUM(X4:X5)</f>
        <v>246.3725</v>
      </c>
      <c r="Y6" s="54">
        <f>SUM(Y4:Y5)</f>
        <v>289.85</v>
      </c>
      <c r="Z6" s="54">
        <f>SUM(Z4:Z5)</f>
        <v>289.85</v>
      </c>
      <c r="AA6" s="54">
        <f>SUM(AA4:AA5)</f>
        <v>289.85</v>
      </c>
      <c r="AB6" s="54">
        <f>SUM(AB4:AB5)</f>
        <v>289.85</v>
      </c>
      <c r="AC6" s="54">
        <f>SUM(AC4:AC5)</f>
        <v>289.85</v>
      </c>
      <c r="AD6" s="54">
        <f>SUM(AD4:AD5)</f>
        <v>289.85</v>
      </c>
      <c r="AE6" s="54">
        <f>SUM(AE4:AE5)</f>
        <v>289.85</v>
      </c>
      <c r="AF6" s="54">
        <f>SUM(AF4:AF5)</f>
        <v>289.85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0.0</v>
      </c>
      <c r="S7" s="55">
        <f>SUMPRODUCT(S4:S5,$K$4:$K$5)</f>
        <v>0.0</v>
      </c>
      <c r="T7" s="55">
        <f>SUMPRODUCT(T4:T5,$K$4:$K$5)</f>
        <v>11.594</v>
      </c>
      <c r="U7" s="55">
        <f>SUMPRODUCT(U4:U5,$K$4:$K$5)</f>
        <v>28.985</v>
      </c>
      <c r="V7" s="55">
        <f>SUMPRODUCT(V4:V5,$K$4:$K$5)</f>
        <v>52.173</v>
      </c>
      <c r="W7" s="55">
        <f>SUMPRODUCT(W4:W5,$K$4:$K$5)</f>
        <v>75.36099999999999</v>
      </c>
      <c r="X7" s="55">
        <f>SUMPRODUCT(X4:X5,$K$4:$K$5)</f>
        <v>98.549</v>
      </c>
      <c r="Y7" s="55">
        <f>SUMPRODUCT(Y4:Y5,$K$4:$K$5)</f>
        <v>115.94</v>
      </c>
      <c r="Z7" s="55">
        <f>SUMPRODUCT(Z4:Z5,$K$4:$K$5)</f>
        <v>115.94</v>
      </c>
      <c r="AA7" s="55">
        <f>SUMPRODUCT(AA4:AA5,$K$4:$K$5)</f>
        <v>115.94</v>
      </c>
      <c r="AB7" s="55">
        <f>SUMPRODUCT(AB4:AB5,$K$4:$K$5)</f>
        <v>115.94</v>
      </c>
      <c r="AC7" s="55">
        <f>SUMPRODUCT(AC4:AC5,$K$4:$K$5)</f>
        <v>115.94</v>
      </c>
      <c r="AD7" s="55">
        <f>SUMPRODUCT(AD4:AD5,$K$4:$K$5)</f>
        <v>115.94</v>
      </c>
      <c r="AE7" s="55">
        <f>SUMPRODUCT(AE4:AE5,$K$4:$K$5)</f>
        <v>115.94</v>
      </c>
      <c r="AF7" s="55">
        <f>SUMPRODUCT(AF4:AF5,$K$4:$K$5)</f>
        <v>115.94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Janux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0.0</v>
      </c>
      <c r="I4" s="57">
        <f>Pipeline!S6</f>
        <v>0.0</v>
      </c>
      <c r="J4" s="57">
        <f>Pipeline!T6</f>
        <v>28.985</v>
      </c>
      <c r="K4" s="57">
        <f>Pipeline!U6</f>
        <v>72.4625</v>
      </c>
      <c r="L4" s="57">
        <f>Pipeline!V6</f>
        <v>130.4325</v>
      </c>
      <c r="M4" s="57">
        <f>Pipeline!W6</f>
        <v>188.40249999999997</v>
      </c>
      <c r="N4" s="57">
        <f>Pipeline!X6</f>
        <v>246.3725</v>
      </c>
      <c r="O4" s="57">
        <f>Pipeline!Y6</f>
        <v>289.85</v>
      </c>
      <c r="P4" s="57">
        <f>Pipeline!Z6</f>
        <v>289.85</v>
      </c>
      <c r="Q4" s="57">
        <f>Pipeline!AA6</f>
        <v>289.85</v>
      </c>
      <c r="R4" s="57">
        <f>Pipeline!AB6</f>
        <v>289.85</v>
      </c>
      <c r="S4" s="57">
        <f>Pipeline!AC6</f>
        <v>289.85</v>
      </c>
      <c r="T4" s="57">
        <f>Pipeline!AD6</f>
        <v>289.85</v>
      </c>
      <c r="U4" s="57">
        <f>Pipeline!AE6</f>
        <v>289.85</v>
      </c>
      <c r="V4" s="57">
        <f>Pipeline!AF6</f>
        <v>289.85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0.0</v>
      </c>
      <c r="I5" s="57">
        <f>Pipeline!S7</f>
        <v>0.0</v>
      </c>
      <c r="J5" s="57">
        <f>Pipeline!T7</f>
        <v>11.594</v>
      </c>
      <c r="K5" s="57">
        <f>Pipeline!U7</f>
        <v>28.985</v>
      </c>
      <c r="L5" s="57">
        <f>Pipeline!V7</f>
        <v>52.173</v>
      </c>
      <c r="M5" s="57">
        <f>Pipeline!W7</f>
        <v>75.36099999999999</v>
      </c>
      <c r="N5" s="57">
        <f>Pipeline!X7</f>
        <v>98.549</v>
      </c>
      <c r="O5" s="57">
        <f>Pipeline!Y7</f>
        <v>115.94</v>
      </c>
      <c r="P5" s="57">
        <f>Pipeline!Z7</f>
        <v>115.94</v>
      </c>
      <c r="Q5" s="57">
        <f>Pipeline!AA7</f>
        <v>115.94</v>
      </c>
      <c r="R5" s="57">
        <f>Pipeline!AB7</f>
        <v>115.94</v>
      </c>
      <c r="S5" s="57">
        <f>Pipeline!AC7</f>
        <v>115.94</v>
      </c>
      <c r="T5" s="57">
        <f>Pipeline!AD7</f>
        <v>115.94</v>
      </c>
      <c r="U5" s="57">
        <f>Pipeline!AE7</f>
        <v>115.94</v>
      </c>
      <c r="V5" s="57">
        <f>Pipeline!AF7</f>
        <v>115.94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-143.555</v>
      </c>
      <c r="D6" s="23">
        <f>-IF(D3-2026&lt;Assumptions!$B$19,Assumptions!$B$18,Assumptions!$B$18*Assumptions!$B$20*Assumptions!$B$16)</f>
        <v>-143.555</v>
      </c>
      <c r="E6" s="23">
        <f>-IF(E3-2026&lt;Assumptions!$B$19,Assumptions!$B$18,Assumptions!$B$18*Assumptions!$B$20*Assumptions!$B$16)</f>
        <v>-143.555</v>
      </c>
      <c r="F6" s="23">
        <f>-IF(F3-2026&lt;Assumptions!$B$19,Assumptions!$B$18,Assumptions!$B$18*Assumptions!$B$20*Assumptions!$B$16)</f>
        <v>-143.555</v>
      </c>
      <c r="G6" s="23">
        <f>-IF(G3-2026&lt;Assumptions!$B$19,Assumptions!$B$18,Assumptions!$B$18*Assumptions!$B$20*Assumptions!$B$16)</f>
        <v>-4.419600940214996</v>
      </c>
      <c r="H6" s="23">
        <f>-IF(H3-2026&lt;Assumptions!$B$19,Assumptions!$B$18,Assumptions!$B$18*Assumptions!$B$20*Assumptions!$B$16)</f>
        <v>-4.419600940214996</v>
      </c>
      <c r="I6" s="23">
        <f>-IF(I3-2026&lt;Assumptions!$B$19,Assumptions!$B$18,Assumptions!$B$18*Assumptions!$B$20*Assumptions!$B$16)</f>
        <v>-4.419600940214996</v>
      </c>
      <c r="J6" s="23">
        <f>-IF(J3-2026&lt;Assumptions!$B$19,Assumptions!$B$18,Assumptions!$B$18*Assumptions!$B$20*Assumptions!$B$16)</f>
        <v>-4.419600940214996</v>
      </c>
      <c r="K6" s="23">
        <f>-IF(K3-2026&lt;Assumptions!$B$19,Assumptions!$B$18,Assumptions!$B$18*Assumptions!$B$20*Assumptions!$B$16)</f>
        <v>-4.419600940214996</v>
      </c>
      <c r="L6" s="23">
        <f>-IF(L3-2026&lt;Assumptions!$B$19,Assumptions!$B$18,Assumptions!$B$18*Assumptions!$B$20*Assumptions!$B$16)</f>
        <v>-4.419600940214996</v>
      </c>
      <c r="M6" s="23">
        <f>-IF(M3-2026&lt;Assumptions!$B$19,Assumptions!$B$18,Assumptions!$B$18*Assumptions!$B$20*Assumptions!$B$16)</f>
        <v>-4.419600940214996</v>
      </c>
      <c r="N6" s="23">
        <f>-IF(N3-2026&lt;Assumptions!$B$19,Assumptions!$B$18,Assumptions!$B$18*Assumptions!$B$20*Assumptions!$B$16)</f>
        <v>-4.419600940214996</v>
      </c>
      <c r="O6" s="23">
        <f>-IF(O3-2026&lt;Assumptions!$B$19,Assumptions!$B$18,Assumptions!$B$18*Assumptions!$B$20*Assumptions!$B$16)</f>
        <v>-4.419600940214996</v>
      </c>
      <c r="P6" s="23">
        <f>-IF(P3-2026&lt;Assumptions!$B$19,Assumptions!$B$18,Assumptions!$B$18*Assumptions!$B$20*Assumptions!$B$16)</f>
        <v>-4.419600940214996</v>
      </c>
      <c r="Q6" s="23">
        <f>-IF(Q3-2026&lt;Assumptions!$B$19,Assumptions!$B$18,Assumptions!$B$18*Assumptions!$B$20*Assumptions!$B$16)</f>
        <v>-4.419600940214996</v>
      </c>
      <c r="R6" s="23">
        <f>-IF(R3-2026&lt;Assumptions!$B$19,Assumptions!$B$18,Assumptions!$B$18*Assumptions!$B$20*Assumptions!$B$16)</f>
        <v>-4.419600940214996</v>
      </c>
      <c r="S6" s="23">
        <f>-IF(S3-2026&lt;Assumptions!$B$19,Assumptions!$B$18,Assumptions!$B$18*Assumptions!$B$20*Assumptions!$B$16)</f>
        <v>-4.419600940214996</v>
      </c>
      <c r="T6" s="23">
        <f>-IF(T3-2026&lt;Assumptions!$B$19,Assumptions!$B$18,Assumptions!$B$18*Assumptions!$B$20*Assumptions!$B$16)</f>
        <v>-4.419600940214996</v>
      </c>
      <c r="U6" s="23">
        <f>-IF(U3-2026&lt;Assumptions!$B$19,Assumptions!$B$18,Assumptions!$B$18*Assumptions!$B$20*Assumptions!$B$16)</f>
        <v>-4.419600940214996</v>
      </c>
      <c r="V6" s="23">
        <f>-IF(V3-2026&lt;Assumptions!$B$19,Assumptions!$B$18,Assumptions!$B$18*Assumptions!$B$20*Assumptions!$B$16)</f>
        <v>-4.419600940214996</v>
      </c>
    </row>
    <row r="7">
      <c r="A7" s="14" t="inlineStr">
        <is>
          <t>Pre-tax cash flow</t>
        </is>
      </c>
      <c r="C7" s="23">
        <f>C5+C6</f>
        <v>-143.555</v>
      </c>
      <c r="D7" s="23">
        <f>D5+D6</f>
        <v>-143.555</v>
      </c>
      <c r="E7" s="23">
        <f>E5+E6</f>
        <v>-143.555</v>
      </c>
      <c r="F7" s="23">
        <f>F5+F6</f>
        <v>-143.555</v>
      </c>
      <c r="G7" s="23">
        <f>G5+G6</f>
        <v>-4.419600940214996</v>
      </c>
      <c r="H7" s="23">
        <f>H5+H6</f>
        <v>-4.419600940214996</v>
      </c>
      <c r="I7" s="23">
        <f>I5+I6</f>
        <v>-4.419600940214996</v>
      </c>
      <c r="J7" s="23">
        <f>J5+J6</f>
        <v>7.174399059785004</v>
      </c>
      <c r="K7" s="23">
        <f>K5+K6</f>
        <v>24.565399059785005</v>
      </c>
      <c r="L7" s="23">
        <f>L5+L6</f>
        <v>47.753399059785</v>
      </c>
      <c r="M7" s="23">
        <f>M5+M6</f>
        <v>70.941399059785</v>
      </c>
      <c r="N7" s="23">
        <f>N5+N6</f>
        <v>94.12939905978502</v>
      </c>
      <c r="O7" s="23">
        <f>O5+O6</f>
        <v>111.520399059785</v>
      </c>
      <c r="P7" s="23">
        <f>P5+P6</f>
        <v>111.520399059785</v>
      </c>
      <c r="Q7" s="23">
        <f>Q5+Q6</f>
        <v>111.520399059785</v>
      </c>
      <c r="R7" s="23">
        <f>R5+R6</f>
        <v>111.520399059785</v>
      </c>
      <c r="S7" s="23">
        <f>S5+S6</f>
        <v>111.520399059785</v>
      </c>
      <c r="T7" s="23">
        <f>T5+T6</f>
        <v>111.520399059785</v>
      </c>
      <c r="U7" s="23">
        <f>U5+U6</f>
        <v>111.520399059785</v>
      </c>
      <c r="V7" s="23">
        <f>V5+V6</f>
        <v>111.520399059785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7.174399059785004</v>
      </c>
      <c r="K8" s="23">
        <f>MIN(J17,MAX(0,K7))</f>
        <v>24.565399059785005</v>
      </c>
      <c r="L8" s="23">
        <f>MIN(K17,MAX(0,L7))</f>
        <v>47.753399059785</v>
      </c>
      <c r="M8" s="23">
        <f>MIN(L17,MAX(0,M7))</f>
        <v>70.941399059785</v>
      </c>
      <c r="N8" s="23">
        <f>MIN(M17,MAX(0,N7))</f>
        <v>94.12939905978502</v>
      </c>
      <c r="O8" s="23">
        <f>MIN(N17,MAX(0,O7))</f>
        <v>111.520399059785</v>
      </c>
      <c r="P8" s="23">
        <f>MIN(O17,MAX(0,P7))</f>
        <v>111.520399059785</v>
      </c>
      <c r="Q8" s="23">
        <f>MIN(P17,MAX(0,Q7))</f>
        <v>111.520399059785</v>
      </c>
      <c r="R8" s="23">
        <f>MIN(Q17,MAX(0,R7))</f>
        <v>111.520399059785</v>
      </c>
      <c r="S8" s="23">
        <f>MIN(R17,MAX(0,S7))</f>
        <v>111.520399059785</v>
      </c>
      <c r="T8" s="23">
        <f>MIN(S17,MAX(0,T7))</f>
        <v>111.520399059785</v>
      </c>
      <c r="U8" s="23">
        <f>MIN(T17,MAX(0,U7))</f>
        <v>17.19241316301003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94.32798589677498</v>
      </c>
      <c r="V9" s="23">
        <f>MAX(0,V7)-V8</f>
        <v>111.520399059785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19.808877038322745</v>
      </c>
      <c r="V10" s="23">
        <f>V9*Assumptions!$E$15</f>
        <v>23.41928380255485</v>
      </c>
    </row>
    <row r="11">
      <c r="A11" s="24" t="inlineStr">
        <is>
          <t>Free cash flow</t>
        </is>
      </c>
      <c r="C11" s="55">
        <f>C7-C10</f>
        <v>-143.555</v>
      </c>
      <c r="D11" s="55">
        <f>D7-D10</f>
        <v>-143.555</v>
      </c>
      <c r="E11" s="55">
        <f>E7-E10</f>
        <v>-143.555</v>
      </c>
      <c r="F11" s="55">
        <f>F7-F10</f>
        <v>-143.555</v>
      </c>
      <c r="G11" s="55">
        <f>G7-G10</f>
        <v>-4.419600940214996</v>
      </c>
      <c r="H11" s="55">
        <f>H7-H10</f>
        <v>-4.419600940214996</v>
      </c>
      <c r="I11" s="55">
        <f>I7-I10</f>
        <v>-4.419600940214996</v>
      </c>
      <c r="J11" s="55">
        <f>J7-J10</f>
        <v>7.174399059785004</v>
      </c>
      <c r="K11" s="55">
        <f>K7-K10</f>
        <v>24.565399059785005</v>
      </c>
      <c r="L11" s="55">
        <f>L7-L10</f>
        <v>47.753399059785</v>
      </c>
      <c r="M11" s="55">
        <f>M7-M10</f>
        <v>70.941399059785</v>
      </c>
      <c r="N11" s="55">
        <f>N7-N10</f>
        <v>94.12939905978502</v>
      </c>
      <c r="O11" s="55">
        <f>O7-O10</f>
        <v>111.520399059785</v>
      </c>
      <c r="P11" s="55">
        <f>P7-P10</f>
        <v>111.520399059785</v>
      </c>
      <c r="Q11" s="55">
        <f>Q7-Q10</f>
        <v>111.520399059785</v>
      </c>
      <c r="R11" s="55">
        <f>R7-R10</f>
        <v>111.520399059785</v>
      </c>
      <c r="S11" s="55">
        <f>S7-S10</f>
        <v>111.520399059785</v>
      </c>
      <c r="T11" s="55">
        <f>T7-T10</f>
        <v>111.520399059785</v>
      </c>
      <c r="U11" s="55">
        <f>U7-U10</f>
        <v>91.71152202146226</v>
      </c>
      <c r="V11" s="55">
        <f>V7-V10</f>
        <v>88.10111525723016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-70.3282188227997</v>
      </c>
      <c r="D16" s="55">
        <f>D11*D15</f>
        <v>-128.11456518442583</v>
      </c>
      <c r="E16" s="55">
        <f>E11*E15</f>
        <v>-114.3880046289516</v>
      </c>
      <c r="F16" s="55">
        <f>F11*F15</f>
        <v>-102.13214699013537</v>
      </c>
      <c r="G16" s="55">
        <f>G11*G15</f>
        <v>-2.8074315273873274</v>
      </c>
      <c r="H16" s="55">
        <f>H11*H15</f>
        <v>-2.5066352923101136</v>
      </c>
      <c r="I16" s="55">
        <f>I11*I15</f>
        <v>-2.238067225276887</v>
      </c>
      <c r="J16" s="55">
        <f>J11*J15</f>
        <v>3.2438261988966377</v>
      </c>
      <c r="K16" s="55">
        <f>K11*K15</f>
        <v>9.916943713987495</v>
      </c>
      <c r="L16" s="55">
        <f>L11*L15</f>
        <v>17.212354890007283</v>
      </c>
      <c r="M16" s="55">
        <f>M11*M15</f>
        <v>22.830621205061234</v>
      </c>
      <c r="N16" s="55">
        <f>N11*N15</f>
        <v>27.047382501060177</v>
      </c>
      <c r="O16" s="55">
        <f>O11*O15</f>
        <v>28.611211573885537</v>
      </c>
      <c r="P16" s="55">
        <f>P11*P15</f>
        <v>25.545724619540653</v>
      </c>
      <c r="Q16" s="55">
        <f>Q11*Q15</f>
        <v>22.80868269601844</v>
      </c>
      <c r="R16" s="55">
        <f>R11*R15</f>
        <v>20.364895264302177</v>
      </c>
      <c r="S16" s="55">
        <f>S11*S15</f>
        <v>18.1829422002698</v>
      </c>
      <c r="T16" s="55">
        <f>T11*T15</f>
        <v>16.234769821669463</v>
      </c>
      <c r="U16" s="55">
        <f>U11*U15</f>
        <v>11.920588572698325</v>
      </c>
      <c r="V16" s="55">
        <f>V11*V15</f>
        <v>10.224384693175121</v>
      </c>
    </row>
    <row r="17">
      <c r="A17" s="14" t="inlineStr">
        <is>
          <t>Tax-loss carryforward, end of year</t>
        </is>
      </c>
      <c r="C17" s="23">
        <f>Assumptions!$B$21-C8+MAX(0,-C7)</f>
        <v>486.955</v>
      </c>
      <c r="D17" s="23">
        <f>C17-D8+MAX(0,-D7)</f>
        <v>630.51</v>
      </c>
      <c r="E17" s="23">
        <f>D17-E8+MAX(0,-E7)</f>
        <v>774.065</v>
      </c>
      <c r="F17" s="23">
        <f>E17-F8+MAX(0,-F7)</f>
        <v>917.6200000000001</v>
      </c>
      <c r="G17" s="23">
        <f>F17-G8+MAX(0,-G7)</f>
        <v>922.0396009402151</v>
      </c>
      <c r="H17" s="23">
        <f>G17-H8+MAX(0,-H7)</f>
        <v>926.4592018804301</v>
      </c>
      <c r="I17" s="23">
        <f>H17-I8+MAX(0,-I7)</f>
        <v>930.8788028206451</v>
      </c>
      <c r="J17" s="23">
        <f>I17-J8+MAX(0,-J7)</f>
        <v>923.70440376086</v>
      </c>
      <c r="K17" s="23">
        <f>J17-K8+MAX(0,-K7)</f>
        <v>899.139004701075</v>
      </c>
      <c r="L17" s="23">
        <f>K17-L8+MAX(0,-L7)</f>
        <v>851.38560564129</v>
      </c>
      <c r="M17" s="23">
        <f>L17-M8+MAX(0,-M7)</f>
        <v>780.444206581505</v>
      </c>
      <c r="N17" s="23">
        <f>M17-N8+MAX(0,-N7)</f>
        <v>686.31480752172</v>
      </c>
      <c r="O17" s="23">
        <f>N17-O8+MAX(0,-O7)</f>
        <v>574.7944084619351</v>
      </c>
      <c r="P17" s="23">
        <f>O17-P8+MAX(0,-P7)</f>
        <v>463.27400940215006</v>
      </c>
      <c r="Q17" s="23">
        <f>P17-Q8+MAX(0,-Q7)</f>
        <v>351.75361034236505</v>
      </c>
      <c r="R17" s="23">
        <f>Q17-R8+MAX(0,-R7)</f>
        <v>240.23321128258004</v>
      </c>
      <c r="S17" s="23">
        <f>R17-S8+MAX(0,-S7)</f>
        <v>128.71281222279504</v>
      </c>
      <c r="T17" s="23">
        <f>S17-T8+MAX(0,-T7)</f>
        <v>17.19241316301003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253.81327716680283</v>
      </c>
    </row>
    <row r="20">
      <c r="A20" s="14" t="inlineStr">
        <is>
          <t>PV of corporate burn</t>
        </is>
      </c>
      <c r="B20" s="23">
        <f>SUMPRODUCT(C6:V6,C15:V15)</f>
        <v>-436.89140285018675</v>
      </c>
    </row>
    <row r="21">
      <c r="A21" s="14" t="inlineStr">
        <is>
          <t>PV of taxes</t>
        </is>
      </c>
      <c r="B21" s="23">
        <f>-SUMPRODUCT(C10:V10,C15:V15)</f>
        <v>-5.29261603733068</v>
      </c>
    </row>
    <row r="22">
      <c r="A22" s="24" t="inlineStr">
        <is>
          <t>Pipeline rNPV (operations)</t>
        </is>
      </c>
      <c r="B22" s="54">
        <f>SUM(C16:V16)</f>
        <v>-188.3707417207145</v>
      </c>
    </row>
    <row r="23">
      <c r="A23" s="14" t="inlineStr">
        <is>
          <t>Cash &amp; investments</t>
        </is>
      </c>
      <c r="B23" s="57">
        <f>Main!C7</f>
        <v>970.913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782.5422582792855</v>
      </c>
    </row>
    <row r="26">
      <c r="A26" s="14" t="inlineStr">
        <is>
          <t>Shares (mm)</t>
        </is>
      </c>
      <c r="B26" s="57">
        <f>Main!C4</f>
        <v>61.136773</v>
      </c>
    </row>
    <row r="27">
      <c r="A27" s="24" t="inlineStr">
        <is>
          <t>rNPV / share</t>
        </is>
      </c>
      <c r="B27" s="60">
        <f>B25/B26</f>
        <v>12.79986201233234</v>
      </c>
    </row>
    <row r="28">
      <c r="A28" s="14" t="inlineStr">
        <is>
          <t>Price</t>
        </is>
      </c>
      <c r="B28" s="61">
        <f>Main!C3</f>
        <v>16.74</v>
      </c>
    </row>
    <row r="29">
      <c r="A29" s="14" t="inlineStr">
        <is>
          <t>Upside</t>
        </is>
      </c>
      <c r="B29" s="62">
        <f>B27/B28-1</f>
        <v>-0.23537263964561872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2026-10-21T06:23:52Z</dcterms:modified>
  <cp:lastModifiedBy>Wang, Eric</cp:lastModifiedBy>
</cp:coreProperties>
</file>