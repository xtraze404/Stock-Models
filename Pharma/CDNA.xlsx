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CareDx, Inc.</t>
        </is>
      </c>
      <c r="C2" s="10" t="n"/>
    </row>
    <row r="3">
      <c r="B3" t="inlineStr">
        <is>
          <t>Price</t>
        </is>
      </c>
      <c r="C3" s="11">
        <f>INDEX([1]Pharma!$F$1:$F$1000,MATCH("CDNA",[1]Pharma!$B$1:$B$1000,0))</f>
        <v>69.2</v>
      </c>
      <c r="F3" s="1" t="n"/>
    </row>
    <row r="4">
      <c r="B4" t="inlineStr">
        <is>
          <t>Shares</t>
        </is>
      </c>
      <c r="C4" s="51" t="n">
        <v>51.734223</v>
      </c>
      <c r="F4" s="1" t="n"/>
    </row>
    <row r="5">
      <c r="B5" t="inlineStr">
        <is>
          <t>Market Cap.</t>
        </is>
      </c>
      <c r="C5" s="13">
        <f>C3*C4</f>
        <v>3580.0082316000003</v>
      </c>
      <c r="F5" s="1" t="n"/>
    </row>
    <row r="6"/>
    <row r="7">
      <c r="B7" t="inlineStr">
        <is>
          <t>Cash</t>
        </is>
      </c>
      <c r="C7" s="51" t="n">
        <v>373.636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3206.3722316000003</v>
      </c>
    </row>
    <row r="10"/>
    <row r="11">
      <c r="B11" s="14" t="inlineStr">
        <is>
          <t>NPV / Share</t>
        </is>
      </c>
      <c r="C11" s="11">
        <f>NPV!B28</f>
        <v>35.32363809606347</v>
      </c>
    </row>
    <row r="12">
      <c r="B12" s="14" t="inlineStr">
        <is>
          <t>Upside</t>
        </is>
      </c>
      <c r="C12" s="15">
        <f>IFERROR(C11/C3-1,"")</f>
        <v>-0.48954280208000767</v>
      </c>
    </row>
    <row r="13">
      <c r="B13" s="14" t="inlineStr">
        <is>
          <t>Cash / Share</t>
        </is>
      </c>
      <c r="C13" s="11">
        <f>IFERROR((C7-C8)/C4,"")</f>
        <v>7.222221159096176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20.451</v>
      </c>
      <c r="C2" s="52" t="n">
        <v>22.098</v>
      </c>
      <c r="D2" s="52" t="n">
        <v>27.306</v>
      </c>
      <c r="E2" s="52" t="n">
        <v>28.144</v>
      </c>
      <c r="F2" s="52" t="n">
        <v>40.631</v>
      </c>
      <c r="G2" s="52" t="n">
        <v>48.324</v>
      </c>
      <c r="H2" s="52" t="n">
        <v>76.569</v>
      </c>
      <c r="I2" s="52" t="n">
        <v>127.068</v>
      </c>
      <c r="J2" s="52" t="n">
        <v>192.194</v>
      </c>
      <c r="K2" s="52" t="n">
        <v>296.397</v>
      </c>
      <c r="L2" s="52" t="n">
        <v>321.793</v>
      </c>
      <c r="M2" s="52" t="n">
        <v>280.324</v>
      </c>
      <c r="N2" s="52" t="n">
        <v>333.785</v>
      </c>
      <c r="O2" s="52" t="n">
        <v>379.805</v>
      </c>
      <c r="P2" s="52">
        <f>O2*(1+NPV!C5)</f>
        <v>452.23381350000005</v>
      </c>
      <c r="Q2" s="52">
        <f>P2*(1+NPV!D5)</f>
        <v>530.1486747459</v>
      </c>
      <c r="R2" s="52">
        <f>Q2*(1+NPV!E5)</f>
        <v>611.726774707633</v>
      </c>
      <c r="S2" s="52">
        <f>R2*(1+NPV!F5)</f>
        <v>694.595361788027</v>
      </c>
      <c r="T2" s="52">
        <f>S2*(1+NPV!G5)</f>
        <v>775.9016077484366</v>
      </c>
      <c r="U2" s="52">
        <f>T2*(1+NPV!H5)</f>
        <v>852.4399907883325</v>
      </c>
      <c r="V2" s="52">
        <f>U2*(1+NPV!I5)</f>
        <v>920.8340927159164</v>
      </c>
      <c r="W2" s="52">
        <f>V2*(1+NPV!J5)</f>
        <v>977.7621026255982</v>
      </c>
      <c r="X2" s="52">
        <f>W2*(1+NPV!K5)</f>
        <v>1020.2078419029117</v>
      </c>
      <c r="Y2" s="52">
        <f>X2*(1+NPV!L5)</f>
        <v>1045.7130379504845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10.24</v>
      </c>
      <c r="G3" s="52" t="n">
        <v>21.371</v>
      </c>
      <c r="H3" s="52" t="n">
        <v>32.987</v>
      </c>
      <c r="I3" s="52" t="n">
        <v>45.455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>
        <f>P2*(1-Assumptions!$B$19)</f>
        <v>161.76403508895004</v>
      </c>
      <c r="Q3" s="52">
        <f>Q2*(1-Assumptions!$B$19)</f>
        <v>189.63418095660845</v>
      </c>
      <c r="R3" s="52">
        <f>R2*(1-Assumptions!$B$19)</f>
        <v>218.81466731292034</v>
      </c>
      <c r="S3" s="52">
        <f>S2*(1-Assumptions!$B$19)</f>
        <v>248.45676091157728</v>
      </c>
      <c r="T3" s="52">
        <f>T2*(1-Assumptions!$B$19)</f>
        <v>277.5400050916158</v>
      </c>
      <c r="U3" s="52">
        <f>U2*(1-Assumptions!$B$19)</f>
        <v>304.91778470498656</v>
      </c>
      <c r="V3" s="52">
        <f>V2*(1-Assumptions!$B$19)</f>
        <v>329.38235496448334</v>
      </c>
      <c r="W3" s="52">
        <f>W2*(1-Assumptions!$B$19)</f>
        <v>349.7455041091765</v>
      </c>
      <c r="X3" s="52">
        <f>X2*(1-Assumptions!$B$19)</f>
        <v>364.92834504867153</v>
      </c>
      <c r="Y3" s="52">
        <f>Y2*(1-Assumptions!$B$19)</f>
        <v>374.05155367488834</v>
      </c>
    </row>
    <row r="4" customFormat="1" s="1">
      <c r="A4" s="5" t="inlineStr">
        <is>
          <t>Gross Margin</t>
        </is>
      </c>
      <c r="B4" s="52">
        <f>B2-B3</f>
        <v>20.451</v>
      </c>
      <c r="C4" s="52">
        <f>C2-C3</f>
        <v>22.098</v>
      </c>
      <c r="D4" s="52">
        <f>D2-D3</f>
        <v>27.306</v>
      </c>
      <c r="E4" s="52">
        <f>E2-E3</f>
        <v>28.144</v>
      </c>
      <c r="F4" s="52">
        <f>F2-F3</f>
        <v>30.391</v>
      </c>
      <c r="G4" s="52">
        <f>G2-G3</f>
        <v>26.953</v>
      </c>
      <c r="H4" s="52">
        <f>H2-H3</f>
        <v>43.582</v>
      </c>
      <c r="I4" s="52">
        <f>I2-I3</f>
        <v>81.613</v>
      </c>
      <c r="J4" s="52">
        <f>J2-J3</f>
        <v>192.194</v>
      </c>
      <c r="K4" s="52">
        <f>K2-K3</f>
        <v>296.397</v>
      </c>
      <c r="L4" s="52">
        <f>L2-L3</f>
        <v>321.793</v>
      </c>
      <c r="M4" s="52">
        <f>M2-M3</f>
        <v>280.324</v>
      </c>
      <c r="N4" s="52">
        <f>N2-N3</f>
        <v>333.785</v>
      </c>
      <c r="O4" s="52">
        <f>O2-O3</f>
        <v>379.805</v>
      </c>
      <c r="P4" s="52">
        <f>P2-P3</f>
        <v>290.46977841105</v>
      </c>
      <c r="Q4" s="52">
        <f>Q2-Q3</f>
        <v>340.5144937892916</v>
      </c>
      <c r="R4" s="52">
        <f>R2-R3</f>
        <v>392.9121073947127</v>
      </c>
      <c r="S4" s="52">
        <f>S2-S3</f>
        <v>446.1386008764498</v>
      </c>
      <c r="T4" s="52">
        <f>T2-T3</f>
        <v>498.3616026568208</v>
      </c>
      <c r="U4" s="52">
        <f>U2-U3</f>
        <v>547.522206083346</v>
      </c>
      <c r="V4" s="52">
        <f>V2-V3</f>
        <v>591.451737751433</v>
      </c>
      <c r="W4" s="52">
        <f>W2-W3</f>
        <v>628.0165985164217</v>
      </c>
      <c r="X4" s="52">
        <f>X2-X3</f>
        <v>655.2794968542402</v>
      </c>
      <c r="Y4" s="52">
        <f>Y2-Y3</f>
        <v>671.6614842755962</v>
      </c>
    </row>
    <row r="5">
      <c r="A5" s="2" t="inlineStr">
        <is>
          <t>Research &amp; Dev.</t>
        </is>
      </c>
      <c r="B5" s="52" t="n">
        <v>4.752</v>
      </c>
      <c r="C5" s="52" t="n">
        <v>3.176</v>
      </c>
      <c r="D5" s="52" t="n">
        <v>3.846</v>
      </c>
      <c r="E5" s="52" t="n">
        <v>9.333</v>
      </c>
      <c r="F5" s="52" t="n">
        <v>12.385</v>
      </c>
      <c r="G5" s="52" t="n">
        <v>12.388</v>
      </c>
      <c r="H5" s="52" t="n">
        <v>14.514</v>
      </c>
      <c r="I5" s="52" t="n">
        <v>30.711</v>
      </c>
      <c r="J5" s="52" t="n">
        <v>48.941</v>
      </c>
      <c r="K5" s="52" t="n">
        <v>76.52500000000001</v>
      </c>
      <c r="L5" s="52" t="n">
        <v>90.38800000000001</v>
      </c>
      <c r="M5" s="52" t="n">
        <v>82.42100000000001</v>
      </c>
      <c r="N5" s="52" t="n">
        <v>72.51000000000001</v>
      </c>
      <c r="O5" s="52" t="n">
        <v>71.429</v>
      </c>
      <c r="P5" s="52">
        <f>P7*Assumptions!$B$20</f>
        <v>32.24740940521569</v>
      </c>
      <c r="Q5" s="52">
        <f>Q7*Assumptions!$B$20</f>
        <v>38.13628732974029</v>
      </c>
      <c r="R5" s="52">
        <f>R7*Assumptions!$B$20</f>
        <v>44.38886453300041</v>
      </c>
      <c r="S5" s="52">
        <f>S7*Assumptions!$B$20</f>
        <v>50.83837917895773</v>
      </c>
      <c r="T5" s="52">
        <f>T7*Assumptions!$B$20</f>
        <v>57.2766687331857</v>
      </c>
      <c r="U5" s="52">
        <f>U7*Assumptions!$B$20</f>
        <v>63.46214555581308</v>
      </c>
      <c r="V5" s="52">
        <f>V7*Assumptions!$B$20</f>
        <v>69.13233776123971</v>
      </c>
      <c r="W5" s="52">
        <f>W7*Assumptions!$B$20</f>
        <v>74.02042399620007</v>
      </c>
      <c r="X5" s="52">
        <f>X7*Assumptions!$B$20</f>
        <v>77.87456620060357</v>
      </c>
      <c r="Y5" s="52">
        <f>Y7*Assumptions!$B$20</f>
        <v>80.47828454327687</v>
      </c>
    </row>
    <row r="6">
      <c r="A6" s="18" t="inlineStr">
        <is>
          <t>SG&amp;A &amp; Other</t>
        </is>
      </c>
      <c r="B6" s="52" t="n">
        <v>18.041</v>
      </c>
      <c r="C6" s="52" t="n">
        <v>19.779</v>
      </c>
      <c r="D6" s="52" t="n">
        <v>22.21</v>
      </c>
      <c r="E6" s="52" t="n">
        <v>30.743</v>
      </c>
      <c r="F6" s="52" t="n">
        <v>55.338</v>
      </c>
      <c r="G6" s="52" t="n">
        <v>34.859</v>
      </c>
      <c r="H6" s="52" t="n">
        <v>44.646</v>
      </c>
      <c r="I6" s="52" t="n">
        <v>75.434</v>
      </c>
      <c r="J6" s="52" t="n">
        <v>165.781</v>
      </c>
      <c r="K6" s="52" t="n">
        <v>249.598</v>
      </c>
      <c r="L6" s="52" t="n">
        <v>308.636</v>
      </c>
      <c r="M6" s="52" t="n">
        <v>401.266</v>
      </c>
      <c r="N6" s="52" t="n">
        <v>220.51</v>
      </c>
      <c r="O6" s="52" t="n">
        <v>339.157</v>
      </c>
      <c r="P6" s="52">
        <f>P7-P5</f>
        <v>153.08252970521932</v>
      </c>
      <c r="Q6" s="52">
        <f>Q7-Q5</f>
        <v>181.03777778370966</v>
      </c>
      <c r="R6" s="52">
        <f>R7-R5</f>
        <v>210.7195523233238</v>
      </c>
      <c r="S6" s="52">
        <f>S7-S5</f>
        <v>241.336213803558</v>
      </c>
      <c r="T6" s="52">
        <f>T7-T5</f>
        <v>271.89958835408845</v>
      </c>
      <c r="U6" s="52">
        <f>U7-U5</f>
        <v>301.2628289028828</v>
      </c>
      <c r="V6" s="52">
        <f>V7-V5</f>
        <v>328.17994822289666</v>
      </c>
      <c r="W6" s="52">
        <f>W7-W5</f>
        <v>351.3843116141452</v>
      </c>
      <c r="X6" s="52">
        <f>X7-X5</f>
        <v>369.68041196378476</v>
      </c>
      <c r="Y6" s="52">
        <f>Y7-Y5</f>
        <v>382.04059214222247</v>
      </c>
    </row>
    <row r="7">
      <c r="A7" s="2" t="inlineStr">
        <is>
          <t>Operating Expense</t>
        </is>
      </c>
      <c r="B7" s="52">
        <f>SUM(B5:B6)</f>
        <v>22.793</v>
      </c>
      <c r="C7" s="52">
        <f>SUM(C5:C6)</f>
        <v>22.955</v>
      </c>
      <c r="D7" s="52">
        <f>SUM(D5:D6)</f>
        <v>26.056</v>
      </c>
      <c r="E7" s="52">
        <f>SUM(E5:E6)</f>
        <v>40.076</v>
      </c>
      <c r="F7" s="52">
        <f>SUM(F5:F6)</f>
        <v>67.723</v>
      </c>
      <c r="G7" s="52">
        <f>SUM(G5:G6)</f>
        <v>47.247</v>
      </c>
      <c r="H7" s="52">
        <f>SUM(H5:H6)</f>
        <v>59.16</v>
      </c>
      <c r="I7" s="52">
        <f>SUM(I5:I6)</f>
        <v>106.145</v>
      </c>
      <c r="J7" s="52">
        <f>SUM(J5:J6)</f>
        <v>214.722</v>
      </c>
      <c r="K7" s="52">
        <f>SUM(K5:K6)</f>
        <v>326.12300000000005</v>
      </c>
      <c r="L7" s="52">
        <f>SUM(L5:L6)</f>
        <v>399.024</v>
      </c>
      <c r="M7" s="52">
        <f>SUM(M5:M6)</f>
        <v>483.687</v>
      </c>
      <c r="N7" s="52">
        <f>SUM(N5:N6)</f>
        <v>293.02</v>
      </c>
      <c r="O7" s="52">
        <f>SUM(O5:O6)</f>
        <v>410.586</v>
      </c>
      <c r="P7" s="52">
        <f>P4-P2*NPV!C6</f>
        <v>185.32993911043502</v>
      </c>
      <c r="Q7" s="52">
        <f>Q4-Q2*NPV!D6</f>
        <v>219.17406511344996</v>
      </c>
      <c r="R7" s="52">
        <f>R4-R2*NPV!E6</f>
        <v>255.1084168563242</v>
      </c>
      <c r="S7" s="52">
        <f>S4-S2*NPV!F6</f>
        <v>292.1745929825157</v>
      </c>
      <c r="T7" s="52">
        <f>T4-T2*NPV!G6</f>
        <v>329.17625708727417</v>
      </c>
      <c r="U7" s="52">
        <f>U4-U2*NPV!H6</f>
        <v>364.7249744586959</v>
      </c>
      <c r="V7" s="52">
        <f>V4-V2*NPV!I6</f>
        <v>397.31228598413634</v>
      </c>
      <c r="W7" s="52">
        <f>W4-W2*NPV!J6</f>
        <v>425.40473561034526</v>
      </c>
      <c r="X7" s="52">
        <f>X4-X2*NPV!K6</f>
        <v>447.55497816438833</v>
      </c>
      <c r="Y7" s="52">
        <f>Y4-Y2*NPV!L6</f>
        <v>462.5188766854993</v>
      </c>
    </row>
    <row r="8">
      <c r="A8" s="2" t="inlineStr">
        <is>
          <t>Operating Income</t>
        </is>
      </c>
      <c r="B8" s="52">
        <f>B4-B7</f>
        <v>-2.3419999999999987</v>
      </c>
      <c r="C8" s="52">
        <f>C4-C7</f>
        <v>-0.8569999999999993</v>
      </c>
      <c r="D8" s="52">
        <f>D4-D7</f>
        <v>1.25</v>
      </c>
      <c r="E8" s="52">
        <f>E4-E7</f>
        <v>-11.932000000000002</v>
      </c>
      <c r="F8" s="52">
        <f>F4-F7</f>
        <v>-37.332</v>
      </c>
      <c r="G8" s="52">
        <f>G4-G7</f>
        <v>-20.294</v>
      </c>
      <c r="H8" s="52">
        <f>H4-H7</f>
        <v>-15.577999999999996</v>
      </c>
      <c r="I8" s="52">
        <f>I4-I7</f>
        <v>-24.531999999999996</v>
      </c>
      <c r="J8" s="52">
        <f>J4-J7</f>
        <v>-22.52800000000002</v>
      </c>
      <c r="K8" s="52">
        <f>K4-K7</f>
        <v>-29.726000000000056</v>
      </c>
      <c r="L8" s="52">
        <f>L4-L7</f>
        <v>-77.231</v>
      </c>
      <c r="M8" s="52">
        <f>M4-M7</f>
        <v>-203.363</v>
      </c>
      <c r="N8" s="52">
        <f>N4-N7</f>
        <v>40.76500000000004</v>
      </c>
      <c r="O8" s="52">
        <f>O4-O7</f>
        <v>-30.781000000000006</v>
      </c>
      <c r="P8" s="52">
        <f>P4-P7</f>
        <v>105.139839300615</v>
      </c>
      <c r="Q8" s="52">
        <f>Q4-Q7</f>
        <v>121.34042867584162</v>
      </c>
      <c r="R8" s="52">
        <f>R4-R7</f>
        <v>137.80369053838848</v>
      </c>
      <c r="S8" s="52">
        <f>S4-S7</f>
        <v>153.96400789393408</v>
      </c>
      <c r="T8" s="52">
        <f>T4-T7</f>
        <v>169.18534556954666</v>
      </c>
      <c r="U8" s="52">
        <f>U4-U7</f>
        <v>182.79723162465007</v>
      </c>
      <c r="V8" s="52">
        <f>V4-V7</f>
        <v>194.1394517672967</v>
      </c>
      <c r="W8" s="52">
        <f>W4-W7</f>
        <v>202.61186290607645</v>
      </c>
      <c r="X8" s="52">
        <f>X4-X7</f>
        <v>207.72451868985183</v>
      </c>
      <c r="Y8" s="52">
        <f>Y4-Y7</f>
        <v>209.14260759009687</v>
      </c>
    </row>
    <row r="9">
      <c r="A9" s="18" t="inlineStr">
        <is>
          <t>Interest &amp; Other</t>
        </is>
      </c>
      <c r="B9" s="52" t="n">
        <v>-2.717</v>
      </c>
      <c r="C9" s="52" t="n">
        <v>-2.685</v>
      </c>
      <c r="D9" s="52" t="n">
        <v>-1.969</v>
      </c>
      <c r="E9" s="52" t="n">
        <v>-1.775</v>
      </c>
      <c r="F9" s="52" t="n">
        <v>-3.743</v>
      </c>
      <c r="G9" s="52" t="n">
        <v>-36.884</v>
      </c>
      <c r="H9" s="52" t="n">
        <v>-32.612</v>
      </c>
      <c r="I9" s="52" t="n">
        <v>0.585</v>
      </c>
      <c r="J9" s="52" t="n">
        <v>2.778</v>
      </c>
      <c r="K9" s="52" t="n">
        <v>-2.362</v>
      </c>
      <c r="L9" s="52" t="n">
        <v>0.997</v>
      </c>
      <c r="M9" s="52" t="n">
        <v>13.22</v>
      </c>
      <c r="N9" s="52" t="n">
        <v>12.094</v>
      </c>
      <c r="O9" s="52" t="n">
        <v>9.698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</row>
    <row r="10">
      <c r="A10" s="2" t="inlineStr">
        <is>
          <t>Pretax</t>
        </is>
      </c>
      <c r="B10" s="52">
        <f>B8+B9</f>
        <v>-5.058999999999999</v>
      </c>
      <c r="C10" s="52">
        <f>C8+C9</f>
        <v>-3.5419999999999994</v>
      </c>
      <c r="D10" s="52">
        <f>D8+D9</f>
        <v>-0.7190000000000001</v>
      </c>
      <c r="E10" s="52">
        <f>E8+E9</f>
        <v>-13.707000000000003</v>
      </c>
      <c r="F10" s="52">
        <f>F8+F9</f>
        <v>-41.075</v>
      </c>
      <c r="G10" s="52">
        <f>G8+G9</f>
        <v>-57.178</v>
      </c>
      <c r="H10" s="52">
        <f>H8+H9</f>
        <v>-48.19</v>
      </c>
      <c r="I10" s="52">
        <f>I8+I9</f>
        <v>-23.946999999999996</v>
      </c>
      <c r="J10" s="52">
        <f>J8+J9</f>
        <v>-19.75000000000002</v>
      </c>
      <c r="K10" s="52">
        <f>K8+K9</f>
        <v>-32.08800000000006</v>
      </c>
      <c r="L10" s="52">
        <f>L8+L9</f>
        <v>-76.234</v>
      </c>
      <c r="M10" s="52">
        <f>M8+M9</f>
        <v>-190.143</v>
      </c>
      <c r="N10" s="52">
        <f>N8+N9</f>
        <v>52.859000000000044</v>
      </c>
      <c r="O10" s="52">
        <f>O8+O9</f>
        <v>-21.083000000000006</v>
      </c>
      <c r="P10" s="52">
        <f>P8+P9</f>
        <v>105.139839300615</v>
      </c>
      <c r="Q10" s="52">
        <f>Q8+Q9</f>
        <v>121.34042867584162</v>
      </c>
      <c r="R10" s="52">
        <f>R8+R9</f>
        <v>137.80369053838848</v>
      </c>
      <c r="S10" s="52">
        <f>S8+S9</f>
        <v>153.96400789393408</v>
      </c>
      <c r="T10" s="52">
        <f>T8+T9</f>
        <v>169.18534556954666</v>
      </c>
      <c r="U10" s="52">
        <f>U8+U9</f>
        <v>182.79723162465007</v>
      </c>
      <c r="V10" s="52">
        <f>V8+V9</f>
        <v>194.1394517672967</v>
      </c>
      <c r="W10" s="52">
        <f>W8+W9</f>
        <v>202.61186290607645</v>
      </c>
      <c r="X10" s="52">
        <f>X8+X9</f>
        <v>207.72451868985183</v>
      </c>
      <c r="Y10" s="52">
        <f>Y8+Y9</f>
        <v>209.14260759009687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-1.5</v>
      </c>
      <c r="E11" s="52" t="n">
        <v>0</v>
      </c>
      <c r="F11" s="52" t="n">
        <v>-1.606</v>
      </c>
      <c r="G11" s="52" t="n">
        <v>-1.709</v>
      </c>
      <c r="H11" s="52" t="n">
        <v>-1.434</v>
      </c>
      <c r="I11" s="52" t="n">
        <v>-1.979</v>
      </c>
      <c r="J11" s="52" t="n">
        <v>-1.036</v>
      </c>
      <c r="K11" s="52" t="n">
        <v>-1.426</v>
      </c>
      <c r="L11" s="52" t="n">
        <v>0.379</v>
      </c>
      <c r="M11" s="52" t="n">
        <v>0.141</v>
      </c>
      <c r="N11" s="52" t="n">
        <v>0.31</v>
      </c>
      <c r="O11" s="52" t="n">
        <v>0.271</v>
      </c>
      <c r="P11" s="52">
        <f>MAX(0,P10)*Assumptions!$E$14</f>
        <v>17.87377268110455</v>
      </c>
      <c r="Q11" s="52">
        <f>MAX(0,Q10)*Assumptions!$E$14</f>
        <v>20.62787287489308</v>
      </c>
      <c r="R11" s="52">
        <f>MAX(0,R10)*Assumptions!$E$14</f>
        <v>23.426627391526043</v>
      </c>
      <c r="S11" s="52">
        <f>MAX(0,S10)*Assumptions!$E$14</f>
        <v>26.173881341968794</v>
      </c>
      <c r="T11" s="52">
        <f>MAX(0,T10)*Assumptions!$E$14</f>
        <v>28.761508746822933</v>
      </c>
      <c r="U11" s="52">
        <f>MAX(0,U10)*Assumptions!$E$14</f>
        <v>31.075529376190513</v>
      </c>
      <c r="V11" s="52">
        <f>MAX(0,V10)*Assumptions!$E$14</f>
        <v>33.00370680044044</v>
      </c>
      <c r="W11" s="52">
        <f>MAX(0,W10)*Assumptions!$E$14</f>
        <v>34.444016694033</v>
      </c>
      <c r="X11" s="52">
        <f>MAX(0,X10)*Assumptions!$E$14</f>
        <v>35.31316817727481</v>
      </c>
      <c r="Y11" s="52">
        <f>MAX(0,Y10)*Assumptions!$E$14</f>
        <v>35.55424329031647</v>
      </c>
    </row>
    <row r="12">
      <c r="A12" s="2" t="inlineStr">
        <is>
          <t>Net Income</t>
        </is>
      </c>
      <c r="B12" s="52" t="n">
        <v>-5.059</v>
      </c>
      <c r="C12" s="52" t="n">
        <v>-3.542</v>
      </c>
      <c r="D12" s="52" t="n">
        <v>0.781</v>
      </c>
      <c r="E12" s="52" t="n">
        <v>-13.707</v>
      </c>
      <c r="F12" s="52" t="n">
        <v>-39.469</v>
      </c>
      <c r="G12" s="52" t="n">
        <v>-55.469</v>
      </c>
      <c r="H12" s="52" t="n">
        <v>-46.756</v>
      </c>
      <c r="I12" s="52" t="n">
        <v>-21.968</v>
      </c>
      <c r="J12" s="52" t="n">
        <v>-18.714</v>
      </c>
      <c r="K12" s="52" t="n">
        <v>-30.662</v>
      </c>
      <c r="L12" s="52" t="n">
        <v>-76.613</v>
      </c>
      <c r="M12" s="52" t="n">
        <v>-190.284</v>
      </c>
      <c r="N12" s="52" t="n">
        <v>52.549</v>
      </c>
      <c r="O12" s="52" t="n">
        <v>-21.354</v>
      </c>
      <c r="P12" s="52">
        <f>P10-P11</f>
        <v>87.26606661951044</v>
      </c>
      <c r="Q12" s="52">
        <f>Q10-Q11</f>
        <v>100.71255580094854</v>
      </c>
      <c r="R12" s="52">
        <f>R10-R11</f>
        <v>114.37706314686244</v>
      </c>
      <c r="S12" s="52">
        <f>S10-S11</f>
        <v>127.79012655196529</v>
      </c>
      <c r="T12" s="52">
        <f>T10-T11</f>
        <v>140.42383682272373</v>
      </c>
      <c r="U12" s="52">
        <f>U10-U11</f>
        <v>151.72170224845956</v>
      </c>
      <c r="V12" s="52">
        <f>V10-V11</f>
        <v>161.13574496685624</v>
      </c>
      <c r="W12" s="52">
        <f>W10-W11</f>
        <v>168.16784621204346</v>
      </c>
      <c r="X12" s="52">
        <f>X10-X11</f>
        <v>172.41135051257703</v>
      </c>
      <c r="Y12" s="52">
        <f>Y10-Y11</f>
        <v>173.5883642997804</v>
      </c>
    </row>
    <row r="13">
      <c r="A13" s="2" t="inlineStr">
        <is>
          <t>Earnings per Share</t>
        </is>
      </c>
      <c r="B13" s="11">
        <f>IFERROR(B12/B14,0)</f>
        <v>-5.013875123885035</v>
      </c>
      <c r="C13" s="11">
        <f>IFERROR(C12/C14,0)</f>
        <v>-3.503461918892186</v>
      </c>
      <c r="D13" s="11">
        <f>IFERROR(D12/D14,0)</f>
        <v>0.08413228482171713</v>
      </c>
      <c r="E13" s="11">
        <f>IFERROR(E12/E14,0)</f>
        <v>-1.1556361183711323</v>
      </c>
      <c r="F13" s="11">
        <f>IFERROR(F12/F14,0)</f>
        <v>-2.392495605261563</v>
      </c>
      <c r="G13" s="11">
        <f>IFERROR(G12/G14,0)</f>
        <v>-2.3772768182402606</v>
      </c>
      <c r="H13" s="11">
        <f>IFERROR(H12/H14,0)</f>
        <v>-1.3119335559359129</v>
      </c>
      <c r="I13" s="11">
        <f>IFERROR(I12/I14,0)</f>
        <v>-0.5211615107230974</v>
      </c>
      <c r="J13" s="11">
        <f>IFERROR(J12/J14,0)</f>
        <v>-0.4026074609526268</v>
      </c>
      <c r="K13" s="11">
        <f>IFERROR(K12/K14,0)</f>
        <v>-0.5869336345016366</v>
      </c>
      <c r="L13" s="11">
        <f>IFERROR(L12/L14,0)</f>
        <v>-1.436799069802333</v>
      </c>
      <c r="M13" s="11">
        <f>IFERROR(M12/M14,0)</f>
        <v>-3.53917976378685</v>
      </c>
      <c r="N13" s="11">
        <f>IFERROR(N12/N14,0)</f>
        <v>0.9280832200067113</v>
      </c>
      <c r="O13" s="11">
        <f>IFERROR(O12/O14,0)</f>
        <v>-0.4007281189010659</v>
      </c>
      <c r="P13" s="11">
        <f>IFERROR(P12/P14,0)</f>
        <v>1.6868150628165506</v>
      </c>
      <c r="Q13" s="11">
        <f>IFERROR(Q12/Q14,0)</f>
        <v>1.9467298426604094</v>
      </c>
      <c r="R13" s="11">
        <f>IFERROR(R12/R14,0)</f>
        <v>2.2108588186752596</v>
      </c>
      <c r="S13" s="11">
        <f>IFERROR(S12/S14,0)</f>
        <v>2.4701274928197003</v>
      </c>
      <c r="T13" s="11">
        <f>IFERROR(T12/T14,0)</f>
        <v>2.714331610290614</v>
      </c>
      <c r="U13" s="11">
        <f>IFERROR(U12/U14,0)</f>
        <v>2.9327144286763436</v>
      </c>
      <c r="V13" s="11">
        <f>IFERROR(V12/V14,0)</f>
        <v>3.114683774546227</v>
      </c>
      <c r="W13" s="11">
        <f>IFERROR(W12/W14,0)</f>
        <v>3.250611229089948</v>
      </c>
      <c r="X13" s="11">
        <f>IFERROR(X12/X14,0)</f>
        <v>3.332636319145588</v>
      </c>
      <c r="Y13" s="11">
        <f>IFERROR(Y12/Y14,0)</f>
        <v>3.3553874830550834</v>
      </c>
    </row>
    <row r="14">
      <c r="A14" s="2" t="inlineStr">
        <is>
          <t>Shares</t>
        </is>
      </c>
      <c r="B14" s="52" t="n">
        <v>1.009</v>
      </c>
      <c r="C14" s="52" t="n">
        <v>1.011</v>
      </c>
      <c r="D14" s="52" t="n">
        <v>9.282999999999999</v>
      </c>
      <c r="E14" s="52" t="n">
        <v>11.861</v>
      </c>
      <c r="F14" s="52" t="n">
        <v>16.497</v>
      </c>
      <c r="G14" s="52" t="n">
        <v>23.333</v>
      </c>
      <c r="H14" s="52" t="n">
        <v>35.639</v>
      </c>
      <c r="I14" s="52" t="n">
        <v>42.152</v>
      </c>
      <c r="J14" s="52" t="n">
        <v>46.482</v>
      </c>
      <c r="K14" s="52" t="n">
        <v>52.241</v>
      </c>
      <c r="L14" s="52" t="n">
        <v>53.322</v>
      </c>
      <c r="M14" s="52" t="n">
        <v>53.765</v>
      </c>
      <c r="N14" s="52" t="n">
        <v>56.621</v>
      </c>
      <c r="O14" s="52" t="n">
        <v>53.288</v>
      </c>
      <c r="P14" s="52">
        <f>Main!$C$4</f>
        <v>51.734223</v>
      </c>
      <c r="Q14" s="52">
        <f>Main!$C$4</f>
        <v>51.734223</v>
      </c>
      <c r="R14" s="52">
        <f>Main!$C$4</f>
        <v>51.734223</v>
      </c>
      <c r="S14" s="52">
        <f>Main!$C$4</f>
        <v>51.734223</v>
      </c>
      <c r="T14" s="52">
        <f>Main!$C$4</f>
        <v>51.734223</v>
      </c>
      <c r="U14" s="52">
        <f>Main!$C$4</f>
        <v>51.734223</v>
      </c>
      <c r="V14" s="52">
        <f>Main!$C$4</f>
        <v>51.734223</v>
      </c>
      <c r="W14" s="52">
        <f>Main!$C$4</f>
        <v>51.734223</v>
      </c>
      <c r="X14" s="52">
        <f>Main!$C$4</f>
        <v>51.734223</v>
      </c>
      <c r="Y14" s="52">
        <f>Main!$C$4</f>
        <v>51.734223</v>
      </c>
    </row>
    <row r="15"/>
    <row r="16" customFormat="1" s="4">
      <c r="A16" s="3" t="inlineStr">
        <is>
          <t>Revenue Change</t>
        </is>
      </c>
      <c r="C16" s="15">
        <f>IFERROR(C2/B2-1,"")</f>
        <v>0.08053395921959794</v>
      </c>
      <c r="D16" s="15">
        <f>IFERROR(D2/C2-1,"")</f>
        <v>0.2356774368721153</v>
      </c>
      <c r="E16" s="15">
        <f>IFERROR(E2/D2-1,"")</f>
        <v>0.030689225811176835</v>
      </c>
      <c r="F16" s="15">
        <f>IFERROR(F2/E2-1,"")</f>
        <v>0.44368249005116556</v>
      </c>
      <c r="G16" s="15">
        <f>IFERROR(G2/F2-1,"")</f>
        <v>0.18933819005193064</v>
      </c>
      <c r="H16" s="15">
        <f>IFERROR(H2/G2-1,"")</f>
        <v>0.5844921777998511</v>
      </c>
      <c r="I16" s="15">
        <f>IFERROR(I2/H2-1,"")</f>
        <v>0.6595227833718607</v>
      </c>
      <c r="J16" s="15">
        <f>IFERROR(J2/I2-1,"")</f>
        <v>0.5125287247772845</v>
      </c>
      <c r="K16" s="15">
        <f>IFERROR(K2/J2-1,"")</f>
        <v>0.5421761345307345</v>
      </c>
      <c r="L16" s="15">
        <f>IFERROR(L2/K2-1,"")</f>
        <v>0.08568237870153883</v>
      </c>
      <c r="M16" s="15">
        <f>IFERROR(M2/L2-1,"")</f>
        <v>-0.12886855835894506</v>
      </c>
      <c r="N16" s="15">
        <f>IFERROR(N2/M2-1,"")</f>
        <v>0.190711462450593</v>
      </c>
      <c r="O16" s="15">
        <f>IFERROR(O2/N2-1,"")</f>
        <v>0.13787318183860853</v>
      </c>
      <c r="P16" s="15">
        <f>IFERROR(P2/O2-1,"")</f>
        <v>0.1907000000000001</v>
      </c>
      <c r="Q16" s="15">
        <f>IFERROR(Q2/P2-1,"")</f>
        <v>0.17228888888888894</v>
      </c>
      <c r="R16" s="15">
        <f>IFERROR(R2/Q2-1,"")</f>
        <v>0.15387777777777778</v>
      </c>
      <c r="S16" s="15">
        <f>IFERROR(S2/R2-1,"")</f>
        <v>0.13546666666666662</v>
      </c>
      <c r="T16" s="15">
        <f>IFERROR(T2/S2-1,"")</f>
        <v>0.11705555555555547</v>
      </c>
      <c r="U16" s="15">
        <f>IFERROR(U2/T2-1,"")</f>
        <v>0.09864444444444453</v>
      </c>
      <c r="V16" s="15">
        <f>IFERROR(V2/U2-1,"")</f>
        <v>0.08023333333333338</v>
      </c>
      <c r="W16" s="15">
        <f>IFERROR(W2/V2-1,"")</f>
        <v>0.06182222222222222</v>
      </c>
      <c r="X16" s="15">
        <f>IFERROR(X2/W2-1,"")</f>
        <v>0.04341111111111107</v>
      </c>
      <c r="Y16" s="15">
        <f>IFERROR(Y2/X2-1,"")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0.7479756835913465</v>
      </c>
      <c r="G17" s="15">
        <f>IFERROR(G4/G2,"")</f>
        <v>0.5577559804651933</v>
      </c>
      <c r="H17" s="15">
        <f>IFERROR(H4/H2,"")</f>
        <v>0.569185962987632</v>
      </c>
      <c r="I17" s="15">
        <f>IFERROR(I4/I2,"")</f>
        <v>0.642278150281739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0.6423</v>
      </c>
      <c r="Q17" s="15">
        <f>IFERROR(Q4/Q2,"")</f>
        <v>0.6423</v>
      </c>
      <c r="R17" s="15">
        <f>IFERROR(R4/R2,"")</f>
        <v>0.6423</v>
      </c>
      <c r="S17" s="15">
        <f>IFERROR(S4/S2,"")</f>
        <v>0.6423000000000001</v>
      </c>
      <c r="T17" s="15">
        <f>IFERROR(T4/T2,"")</f>
        <v>0.6423</v>
      </c>
      <c r="U17" s="15">
        <f>IFERROR(U4/U2,"")</f>
        <v>0.6423</v>
      </c>
      <c r="V17" s="15">
        <f>IFERROR(V4/V2,"")</f>
        <v>0.6422999999999999</v>
      </c>
      <c r="W17" s="15">
        <f>IFERROR(W4/W2,"")</f>
        <v>0.6423</v>
      </c>
      <c r="X17" s="15">
        <f>IFERROR(X4/X2,"")</f>
        <v>0.6423</v>
      </c>
      <c r="Y17" s="15">
        <f>IFERROR(Y4/Y2,"")</f>
        <v>0.6423</v>
      </c>
    </row>
    <row r="18">
      <c r="A18" s="14" t="inlineStr">
        <is>
          <t>Operating Margin</t>
        </is>
      </c>
      <c r="B18" s="15">
        <f>IFERROR(B8/B2,"")</f>
        <v>-0.11451762749987769</v>
      </c>
      <c r="C18" s="15">
        <f>IFERROR(C8/C2,"")</f>
        <v>-0.03878179020725855</v>
      </c>
      <c r="D18" s="15">
        <f>IFERROR(D8/D2,"")</f>
        <v>0.045777484801875046</v>
      </c>
      <c r="E18" s="15">
        <f>IFERROR(E8/E2,"")</f>
        <v>-0.4239624786810689</v>
      </c>
      <c r="F18" s="15">
        <f>IFERROR(F8/F2,"")</f>
        <v>-0.9188058379070169</v>
      </c>
      <c r="G18" s="15">
        <f>IFERROR(G8/G2,"")</f>
        <v>-0.4199569572055294</v>
      </c>
      <c r="H18" s="15">
        <f>IFERROR(H8/H2,"")</f>
        <v>-0.20345048257127551</v>
      </c>
      <c r="I18" s="15">
        <f>IFERROR(I8/I2,"")</f>
        <v>-0.19306198256051876</v>
      </c>
      <c r="J18" s="15">
        <f>IFERROR(J8/J2,"")</f>
        <v>-0.117214897447371</v>
      </c>
      <c r="K18" s="15">
        <f>IFERROR(K8/K2,"")</f>
        <v>-0.10029116354079176</v>
      </c>
      <c r="L18" s="15">
        <f>IFERROR(L8/L2,"")</f>
        <v>-0.24000211315970202</v>
      </c>
      <c r="M18" s="15">
        <f>IFERROR(M8/M2,"")</f>
        <v>-0.725456971219018</v>
      </c>
      <c r="N18" s="15">
        <f>IFERROR(N8/N2,"")</f>
        <v>0.122129514507842</v>
      </c>
      <c r="O18" s="15">
        <f>IFERROR(O8/O2,"")</f>
        <v>-0.08104422006029412</v>
      </c>
      <c r="P18" s="15">
        <f>IFERROR(P8/P2,"")</f>
        <v>0.23248999999999995</v>
      </c>
      <c r="Q18" s="15">
        <f>IFERROR(Q8/Q2,"")</f>
        <v>0.22888000000000003</v>
      </c>
      <c r="R18" s="15">
        <f>IFERROR(R8/R2,"")</f>
        <v>0.22527</v>
      </c>
      <c r="S18" s="15">
        <f>IFERROR(S8/S2,"")</f>
        <v>0.22166</v>
      </c>
      <c r="T18" s="15">
        <f>IFERROR(T8/T2,"")</f>
        <v>0.21805000000000008</v>
      </c>
      <c r="U18" s="15">
        <f>IFERROR(U8/U2,"")</f>
        <v>0.21444000000000007</v>
      </c>
      <c r="V18" s="15">
        <f>IFERROR(V8/V2,"")</f>
        <v>0.21083000000000005</v>
      </c>
      <c r="W18" s="15">
        <f>IFERROR(W8/W2,"")</f>
        <v>0.20722</v>
      </c>
      <c r="X18" s="15">
        <f>IFERROR(X8/X2,"")</f>
        <v>0.20360999999999999</v>
      </c>
      <c r="Y18" s="15">
        <f>IFERROR(Y8/Y2,"")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CareDx,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0.1407</v>
      </c>
      <c r="C12" s="53" t="n">
        <v>0.1907</v>
      </c>
      <c r="D12" s="53" t="n">
        <v>0.2407</v>
      </c>
      <c r="E12" s="54">
        <f>CHOOSE($B$4,B12,C12,D12)</f>
        <v>0.1907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0.2361</v>
      </c>
    </row>
    <row r="19">
      <c r="A19" s="14" t="inlineStr">
        <is>
          <t>Gross margin (forecast)</t>
        </is>
      </c>
      <c r="B19" s="53" t="n">
        <v>0.6423</v>
      </c>
    </row>
    <row r="20">
      <c r="A20" s="14" t="inlineStr">
        <is>
          <t>R&amp;D share of operating expense (forecast)</t>
        </is>
      </c>
      <c r="B20" s="53" t="n">
        <v>0.174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Model'!O2</f>
        <v>379.805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1453.8049704330429</v>
      </c>
      <c r="C29" s="56">
        <f>NPV!B26</f>
        <v>1827.4409704330428</v>
      </c>
      <c r="D29" s="35">
        <f>NPV!B28</f>
        <v>35.32363809606347</v>
      </c>
      <c r="E29" s="57">
        <f>NPV!B30</f>
        <v>-0.48954280208000767</v>
      </c>
    </row>
    <row r="30">
      <c r="A30" s="58" t="n">
        <v>1</v>
      </c>
      <c r="B30" s="59">
        <f t="dataTable" ref="B30:E32" r1="B4"/>
        <v>847.3756117706206</v>
      </c>
      <c r="C30" s="59">
        <v>1221.0116117706207</v>
      </c>
      <c r="D30" s="39">
        <v>23.601622697041776</v>
      </c>
      <c r="E30" s="60">
        <v>-0.658936088193038</v>
      </c>
    </row>
    <row r="31">
      <c r="A31" s="58" t="n">
        <v>2</v>
      </c>
      <c r="B31" s="59">
        <v>1453.8049704330429</v>
      </c>
      <c r="C31" s="59">
        <v>1827.4409704330428</v>
      </c>
      <c r="D31" s="39">
        <v>35.32363809606347</v>
      </c>
      <c r="E31" s="60">
        <v>-0.48954280208000767</v>
      </c>
    </row>
    <row r="32">
      <c r="A32" s="58" t="n">
        <v>3</v>
      </c>
      <c r="B32" s="59">
        <v>2566.7453195321195</v>
      </c>
      <c r="C32" s="59">
        <v>2940.3813195321195</v>
      </c>
      <c r="D32" s="39">
        <v>56.83629035140084</v>
      </c>
      <c r="E32" s="60">
        <v>-0.17866632440172203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35.32363809606347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40.62611025861897</v>
      </c>
      <c r="C37" s="39">
        <v>42.45872242706761</v>
      </c>
      <c r="D37" s="39">
        <v>44.56976847492855</v>
      </c>
      <c r="E37" s="39">
        <v>47.028821464776634</v>
      </c>
      <c r="F37" s="39">
        <v>49.93075343345639</v>
      </c>
    </row>
    <row r="38">
      <c r="A38" s="62" t="n">
        <v>0.1</v>
      </c>
      <c r="B38" s="39">
        <v>36.431916994251566</v>
      </c>
      <c r="C38" s="39">
        <v>37.786329972723735</v>
      </c>
      <c r="D38" s="39">
        <v>39.31843608313459</v>
      </c>
      <c r="E38" s="39">
        <v>41.06628367973882</v>
      </c>
      <c r="F38" s="39">
        <v>43.07962804701591</v>
      </c>
    </row>
    <row r="39">
      <c r="A39" s="62" t="n">
        <v>0.11</v>
      </c>
      <c r="B39" s="39">
        <v>33.14029695027976</v>
      </c>
      <c r="C39" s="39">
        <v>34.17246857060658</v>
      </c>
      <c r="D39" s="39">
        <v>35.32363809606347</v>
      </c>
      <c r="E39" s="39">
        <v>36.61609381074315</v>
      </c>
      <c r="F39" s="39">
        <v>38.07806733263163</v>
      </c>
    </row>
    <row r="40">
      <c r="A40" s="62" t="n">
        <v>0.12</v>
      </c>
      <c r="B40" s="39">
        <v>30.491680765458526</v>
      </c>
      <c r="C40" s="39">
        <v>31.297816204376776</v>
      </c>
      <c r="D40" s="39">
        <v>32.18673276922212</v>
      </c>
      <c r="E40" s="39">
        <v>33.17220725669724</v>
      </c>
      <c r="F40" s="39">
        <v>34.27125788954472</v>
      </c>
    </row>
    <row r="41">
      <c r="A41" s="62" t="n">
        <v>0.13</v>
      </c>
      <c r="B41" s="39">
        <v>28.316958780447692</v>
      </c>
      <c r="C41" s="39">
        <v>28.95935099975448</v>
      </c>
      <c r="D41" s="39">
        <v>29.661134061457624</v>
      </c>
      <c r="E41" s="39">
        <v>30.431199492589975</v>
      </c>
      <c r="F41" s="39">
        <v>31.28031057472838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CareDx, Inc.: free-cash-flow DCF ($mm)</t>
        </is>
      </c>
    </row>
    <row r="3">
      <c r="A3" s="20" t="inlineStr">
        <is>
          <t>Fiscal year</t>
        </is>
      </c>
      <c r="B3" s="43">
        <f>'Yearly Model'!O1</f>
        <v>2025</v>
      </c>
      <c r="C3" s="43">
        <f>'Yearly Model'!P1</f>
        <v>2026</v>
      </c>
      <c r="D3" s="43">
        <f>'Yearly Model'!Q1</f>
        <v>2027</v>
      </c>
      <c r="E3" s="43">
        <f>'Yearly Model'!R1</f>
        <v>2028</v>
      </c>
      <c r="F3" s="43">
        <f>'Yearly Model'!S1</f>
        <v>2029</v>
      </c>
      <c r="G3" s="43">
        <f>'Yearly Model'!T1</f>
        <v>2030</v>
      </c>
      <c r="H3" s="43">
        <f>'Yearly Model'!U1</f>
        <v>2031</v>
      </c>
      <c r="I3" s="43">
        <f>'Yearly Model'!V1</f>
        <v>2032</v>
      </c>
      <c r="J3" s="43">
        <f>'Yearly Model'!W1</f>
        <v>2033</v>
      </c>
      <c r="K3" s="43">
        <f>'Yearly Model'!X1</f>
        <v>2034</v>
      </c>
      <c r="L3" s="43">
        <f>'Yearly Model'!Y1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0.1907</v>
      </c>
      <c r="D5" s="63">
        <f>Assumptions!$E$12+(Assumptions!$E$11-Assumptions!$E$12)*(D4-1)/(Assumptions!$B$21-1)</f>
        <v>0.17228888888888888</v>
      </c>
      <c r="E5" s="63">
        <f>Assumptions!$E$12+(Assumptions!$E$11-Assumptions!$E$12)*(E4-1)/(Assumptions!$B$21-1)</f>
        <v>0.15387777777777778</v>
      </c>
      <c r="F5" s="63">
        <f>Assumptions!$E$12+(Assumptions!$E$11-Assumptions!$E$12)*(F4-1)/(Assumptions!$B$21-1)</f>
        <v>0.13546666666666668</v>
      </c>
      <c r="G5" s="63">
        <f>Assumptions!$E$12+(Assumptions!$E$11-Assumptions!$E$12)*(G4-1)/(Assumptions!$B$21-1)</f>
        <v>0.11705555555555555</v>
      </c>
      <c r="H5" s="63">
        <f>Assumptions!$E$12+(Assumptions!$E$11-Assumptions!$E$12)*(H4-1)/(Assumptions!$B$21-1)</f>
        <v>0.09864444444444445</v>
      </c>
      <c r="I5" s="63">
        <f>Assumptions!$E$12+(Assumptions!$E$11-Assumptions!$E$12)*(I4-1)/(Assumptions!$B$21-1)</f>
        <v>0.08023333333333334</v>
      </c>
      <c r="J5" s="63">
        <f>Assumptions!$E$12+(Assumptions!$E$11-Assumptions!$E$12)*(J4-1)/(Assumptions!$B$21-1)</f>
        <v>0.06182222222222222</v>
      </c>
      <c r="K5" s="63">
        <f>Assumptions!$E$12+(Assumptions!$E$11-Assumptions!$E$12)*(K4-1)/(Assumptions!$B$21-1)</f>
        <v>0.043411111111111095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-0.08104422006029412</v>
      </c>
      <c r="C6" s="63">
        <f>Assumptions!$B$18+(Assumptions!$E$13-Assumptions!$B$18)*C4/Assumptions!$B$21</f>
        <v>0.23249</v>
      </c>
      <c r="D6" s="63">
        <f>Assumptions!$B$18+(Assumptions!$E$13-Assumptions!$B$18)*D4/Assumptions!$B$21</f>
        <v>0.22888</v>
      </c>
      <c r="E6" s="63">
        <f>Assumptions!$B$18+(Assumptions!$E$13-Assumptions!$B$18)*E4/Assumptions!$B$21</f>
        <v>0.22527</v>
      </c>
      <c r="F6" s="63">
        <f>Assumptions!$B$18+(Assumptions!$E$13-Assumptions!$B$18)*F4/Assumptions!$B$21</f>
        <v>0.22166</v>
      </c>
      <c r="G6" s="63">
        <f>Assumptions!$B$18+(Assumptions!$E$13-Assumptions!$B$18)*G4/Assumptions!$B$21</f>
        <v>0.21805000000000002</v>
      </c>
      <c r="H6" s="63">
        <f>Assumptions!$B$18+(Assumptions!$E$13-Assumptions!$B$18)*H4/Assumptions!$B$21</f>
        <v>0.21444000000000002</v>
      </c>
      <c r="I6" s="63">
        <f>Assumptions!$B$18+(Assumptions!$E$13-Assumptions!$B$18)*I4/Assumptions!$B$21</f>
        <v>0.21083000000000002</v>
      </c>
      <c r="J6" s="63">
        <f>Assumptions!$B$18+(Assumptions!$E$13-Assumptions!$B$18)*J4/Assumptions!$B$21</f>
        <v>0.20722000000000002</v>
      </c>
      <c r="K6" s="63">
        <f>Assumptions!$B$18+(Assumptions!$E$13-Assumptions!$B$18)*K4/Assumptions!$B$21</f>
        <v>0.20361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Model'!O2</f>
        <v>379.805</v>
      </c>
      <c r="C7" s="55">
        <f>'Yearly Model'!P2</f>
        <v>452.23381350000005</v>
      </c>
      <c r="D7" s="55">
        <f>'Yearly Model'!Q2</f>
        <v>530.1486747459</v>
      </c>
      <c r="E7" s="55">
        <f>'Yearly Model'!R2</f>
        <v>611.726774707633</v>
      </c>
      <c r="F7" s="55">
        <f>'Yearly Model'!S2</f>
        <v>694.595361788027</v>
      </c>
      <c r="G7" s="55">
        <f>'Yearly Model'!T2</f>
        <v>775.9016077484366</v>
      </c>
      <c r="H7" s="55">
        <f>'Yearly Model'!U2</f>
        <v>852.4399907883325</v>
      </c>
      <c r="I7" s="55">
        <f>'Yearly Model'!V2</f>
        <v>920.8340927159164</v>
      </c>
      <c r="J7" s="55">
        <f>'Yearly Model'!W2</f>
        <v>977.7621026255982</v>
      </c>
      <c r="K7" s="55">
        <f>'Yearly Model'!X2</f>
        <v>1020.2078419029117</v>
      </c>
      <c r="L7" s="55">
        <f>'Yearly Model'!Y2</f>
        <v>1045.7130379504845</v>
      </c>
    </row>
    <row r="8">
      <c r="A8" s="14" t="inlineStr">
        <is>
          <t>Operating income</t>
        </is>
      </c>
      <c r="B8" s="55">
        <f>'Yearly Model'!O8</f>
        <v>-30.781000000000006</v>
      </c>
      <c r="C8" s="55">
        <f>'Yearly Model'!P8</f>
        <v>105.139839300615</v>
      </c>
      <c r="D8" s="55">
        <f>'Yearly Model'!Q8</f>
        <v>121.34042867584162</v>
      </c>
      <c r="E8" s="55">
        <f>'Yearly Model'!R8</f>
        <v>137.80369053838848</v>
      </c>
      <c r="F8" s="55">
        <f>'Yearly Model'!S8</f>
        <v>153.96400789393408</v>
      </c>
      <c r="G8" s="55">
        <f>'Yearly Model'!T8</f>
        <v>169.18534556954666</v>
      </c>
      <c r="H8" s="55">
        <f>'Yearly Model'!U8</f>
        <v>182.79723162465007</v>
      </c>
      <c r="I8" s="55">
        <f>'Yearly Model'!V8</f>
        <v>194.1394517672967</v>
      </c>
      <c r="J8" s="55">
        <f>'Yearly Model'!W8</f>
        <v>202.61186290607645</v>
      </c>
      <c r="K8" s="55">
        <f>'Yearly Model'!X8</f>
        <v>207.72451868985183</v>
      </c>
      <c r="L8" s="55">
        <f>'Yearly Model'!Y8</f>
        <v>209.14260759009687</v>
      </c>
    </row>
    <row r="9">
      <c r="A9" s="14" t="inlineStr">
        <is>
          <t>Tax on operating income</t>
        </is>
      </c>
      <c r="C9" s="52">
        <f>MAX(0,C8)*Assumptions!$E$14</f>
        <v>17.87377268110455</v>
      </c>
      <c r="D9" s="52">
        <f>MAX(0,D8)*Assumptions!$E$14</f>
        <v>20.62787287489308</v>
      </c>
      <c r="E9" s="52">
        <f>MAX(0,E8)*Assumptions!$E$14</f>
        <v>23.426627391526043</v>
      </c>
      <c r="F9" s="52">
        <f>MAX(0,F8)*Assumptions!$E$14</f>
        <v>26.173881341968794</v>
      </c>
      <c r="G9" s="52">
        <f>MAX(0,G8)*Assumptions!$E$14</f>
        <v>28.761508746822933</v>
      </c>
      <c r="H9" s="52">
        <f>MAX(0,H8)*Assumptions!$E$14</f>
        <v>31.075529376190513</v>
      </c>
      <c r="I9" s="52">
        <f>MAX(0,I8)*Assumptions!$E$14</f>
        <v>33.00370680044044</v>
      </c>
      <c r="J9" s="52">
        <f>MAX(0,J8)*Assumptions!$E$14</f>
        <v>34.444016694033</v>
      </c>
      <c r="K9" s="52">
        <f>MAX(0,K8)*Assumptions!$E$14</f>
        <v>35.31316817727481</v>
      </c>
      <c r="L9" s="52">
        <f>MAX(0,L8)*Assumptions!$E$14</f>
        <v>35.55424329031647</v>
      </c>
    </row>
    <row r="10">
      <c r="A10" s="14" t="inlineStr">
        <is>
          <t>NOPAT</t>
        </is>
      </c>
      <c r="C10" s="52">
        <f>C8-C9</f>
        <v>87.26606661951044</v>
      </c>
      <c r="D10" s="52">
        <f>D8-D9</f>
        <v>100.71255580094854</v>
      </c>
      <c r="E10" s="52">
        <f>E8-E9</f>
        <v>114.37706314686244</v>
      </c>
      <c r="F10" s="52">
        <f>F8-F9</f>
        <v>127.79012655196529</v>
      </c>
      <c r="G10" s="52">
        <f>G8-G9</f>
        <v>140.42383682272373</v>
      </c>
      <c r="H10" s="52">
        <f>H8-H9</f>
        <v>151.72170224845956</v>
      </c>
      <c r="I10" s="52">
        <f>I8-I9</f>
        <v>161.13574496685624</v>
      </c>
      <c r="J10" s="52">
        <f>J8-J9</f>
        <v>168.16784621204346</v>
      </c>
      <c r="K10" s="52">
        <f>K8-K9</f>
        <v>172.41135051257703</v>
      </c>
      <c r="L10" s="52">
        <f>L8-L9</f>
        <v>173.5883642997804</v>
      </c>
    </row>
    <row r="11">
      <c r="A11" s="14" t="inlineStr">
        <is>
          <t>Reinvestment</t>
        </is>
      </c>
      <c r="C11" s="52">
        <f>(C7-B7)*Assumptions!$E$15</f>
        <v>18.10720337500001</v>
      </c>
      <c r="D11" s="52">
        <f>(D7-C7)*Assumptions!$E$15</f>
        <v>19.478715311475</v>
      </c>
      <c r="E11" s="52">
        <f>(E7-D7)*Assumptions!$E$15</f>
        <v>20.39452499043324</v>
      </c>
      <c r="F11" s="52">
        <f>(F7-E7)*Assumptions!$E$15</f>
        <v>20.71714677009851</v>
      </c>
      <c r="G11" s="52">
        <f>(G7-F7)*Assumptions!$E$15</f>
        <v>20.326561490102392</v>
      </c>
      <c r="H11" s="52">
        <f>(H7-G7)*Assumptions!$E$15</f>
        <v>19.134595759973962</v>
      </c>
      <c r="I11" s="52">
        <f>(I7-H7)*Assumptions!$E$15</f>
        <v>17.09852548189599</v>
      </c>
      <c r="J11" s="52">
        <f>(J7-I7)*Assumptions!$E$15</f>
        <v>14.232002477420451</v>
      </c>
      <c r="K11" s="52">
        <f>(K7-J7)*Assumptions!$E$15</f>
        <v>10.611434819328366</v>
      </c>
      <c r="L11" s="52">
        <f>(L7-K7)*Assumptions!$E$15</f>
        <v>6.376299011893195</v>
      </c>
    </row>
    <row r="12">
      <c r="A12" s="20" t="inlineStr">
        <is>
          <t>Free cash flow</t>
        </is>
      </c>
      <c r="C12" s="64">
        <f>C10-C11</f>
        <v>69.15886324451043</v>
      </c>
      <c r="D12" s="64">
        <f>D10-D11</f>
        <v>81.23384048947354</v>
      </c>
      <c r="E12" s="64">
        <f>E10-E11</f>
        <v>93.9825381564292</v>
      </c>
      <c r="F12" s="64">
        <f>F10-F11</f>
        <v>107.07297978186678</v>
      </c>
      <c r="G12" s="64">
        <f>G10-G11</f>
        <v>120.09727533262134</v>
      </c>
      <c r="H12" s="64">
        <f>H10-H11</f>
        <v>132.5871064884856</v>
      </c>
      <c r="I12" s="64">
        <f>I10-I11</f>
        <v>144.03721948496025</v>
      </c>
      <c r="J12" s="64">
        <f>J10-J11</f>
        <v>153.935843734623</v>
      </c>
      <c r="K12" s="64">
        <f>K10-K11</f>
        <v>161.79991569324866</v>
      </c>
      <c r="L12" s="64">
        <f>L10-L11</f>
        <v>167.2120652878872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33.95790483035204</v>
      </c>
      <c r="D16" s="64">
        <f>D12*D13*D15</f>
        <v>73.1523332510247</v>
      </c>
      <c r="E16" s="64">
        <f>E12*E13*E15</f>
        <v>76.24570560820166</v>
      </c>
      <c r="F16" s="64">
        <f>F12*F13*F15</f>
        <v>78.25734837598299</v>
      </c>
      <c r="G16" s="64">
        <f>G12*G13*G15</f>
        <v>79.07795236935527</v>
      </c>
      <c r="H16" s="64">
        <f>H12*H13*H15</f>
        <v>78.65033463291338</v>
      </c>
      <c r="I16" s="64">
        <f>I12*I13*I15</f>
        <v>76.97523654495731</v>
      </c>
      <c r="J16" s="64">
        <f>J12*J13*J15</f>
        <v>74.11277600437705</v>
      </c>
      <c r="K16" s="64">
        <f>K12*K13*K15</f>
        <v>70.17923607781037</v>
      </c>
      <c r="L16" s="64">
        <f>L12*L13*L15</f>
        <v>65.33937526803133</v>
      </c>
    </row>
    <row r="19">
      <c r="A19" s="14" t="inlineStr">
        <is>
          <t>PV of forecast free cash flow</t>
        </is>
      </c>
      <c r="B19" s="52">
        <f>SUM(C16:L16)</f>
        <v>705.9482029630061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171.39236692008436</v>
      </c>
    </row>
    <row r="21">
      <c r="A21" s="14" t="inlineStr">
        <is>
          <t>Terminal value</t>
        </is>
      </c>
      <c r="B21" s="52">
        <f>B20/(Assumptions!$E$10-Assumptions!$E$11)</f>
        <v>2016.3807872951102</v>
      </c>
    </row>
    <row r="22">
      <c r="A22" s="14" t="inlineStr">
        <is>
          <t>PV of terminal value</t>
        </is>
      </c>
      <c r="B22" s="52">
        <f>B21/(1+Assumptions!$E$10)^(L14+0.5)</f>
        <v>747.8567674700369</v>
      </c>
    </row>
    <row r="23">
      <c r="A23" s="20" t="inlineStr">
        <is>
          <t>Enterprise value</t>
        </is>
      </c>
      <c r="B23" s="66">
        <f>B19+B22</f>
        <v>1453.8049704330429</v>
      </c>
    </row>
    <row r="24">
      <c r="A24" s="14" t="inlineStr">
        <is>
          <t>Cash &amp; investments</t>
        </is>
      </c>
      <c r="B24" s="55">
        <f>Main!C7</f>
        <v>373.636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1827.4409704330428</v>
      </c>
    </row>
    <row r="27">
      <c r="A27" s="14" t="inlineStr">
        <is>
          <t>Shares (mm)</t>
        </is>
      </c>
      <c r="B27" s="55">
        <f>Main!C4</f>
        <v>51.734223</v>
      </c>
    </row>
    <row r="28">
      <c r="A28" s="20" t="inlineStr">
        <is>
          <t>NPV / share</t>
        </is>
      </c>
      <c r="B28" s="49">
        <f>B26/B27</f>
        <v>35.32363809606347</v>
      </c>
    </row>
    <row r="29">
      <c r="A29" s="14" t="inlineStr">
        <is>
          <t>Price</t>
        </is>
      </c>
      <c r="B29" s="50">
        <f>Main!C3</f>
        <v>69.2</v>
      </c>
    </row>
    <row r="30">
      <c r="A30" s="14" t="inlineStr">
        <is>
          <t>Upside</t>
        </is>
      </c>
      <c r="B30" s="63">
        <f>B28/B29-1</f>
        <v>-0.48954280208000767</v>
      </c>
    </row>
    <row r="31">
      <c r="A31" s="14" t="inlineStr">
        <is>
          <t>Terminal value, % of EV</t>
        </is>
      </c>
      <c r="B31" s="63">
        <f>IFERROR(B22/B23,0)</f>
        <v>0.5144134066671088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2026-10-21T01:04:13Z</dcterms:modified>
  <cp:lastModifiedBy>Wang, Eric</cp:lastModifiedBy>
</cp:coreProperties>
</file>