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Passage Bio Inc</t>
        </is>
      </c>
      <c r="C2" s="10" t="n"/>
    </row>
    <row r="3">
      <c r="B3" t="inlineStr">
        <is>
          <t>Price</t>
        </is>
      </c>
      <c r="C3" s="11">
        <f>INDEX([1]Pharma!$F$1:$F$1000,MATCH("PASG",[1]Pharma!$B$1:$B$1000,0))</f>
        <v>3.6</v>
      </c>
      <c r="F3" s="1" t="n"/>
    </row>
    <row r="4">
      <c r="B4" t="inlineStr">
        <is>
          <t>Shares</t>
        </is>
      </c>
      <c r="C4" s="21" t="n">
        <v>3.21781</v>
      </c>
      <c r="F4" s="1" t="n"/>
    </row>
    <row r="5">
      <c r="B5" t="inlineStr">
        <is>
          <t>Market Cap.</t>
        </is>
      </c>
      <c r="C5" s="13">
        <f>C3*C4</f>
        <v>11.584116</v>
      </c>
      <c r="F5" s="1" t="n"/>
    </row>
    <row r="6"/>
    <row r="7">
      <c r="B7" t="inlineStr">
        <is>
          <t>Cash</t>
        </is>
      </c>
      <c r="C7" s="21" t="n">
        <v>24.155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-12.570884000000001</v>
      </c>
    </row>
    <row r="10"/>
    <row r="11">
      <c r="B11" s="14" t="inlineStr">
        <is>
          <t>Net Cash / Share</t>
        </is>
      </c>
      <c r="C11" s="11">
        <f>(C7-C8)/C4</f>
        <v>7.506658255148689</v>
      </c>
    </row>
    <row r="12">
      <c r="B12" s="14" t="inlineStr">
        <is>
          <t>Upside</t>
        </is>
      </c>
      <c r="C12" s="15">
        <f>IFERROR(C11/C3-1,"")</f>
        <v>1.0851828486524133</v>
      </c>
    </row>
    <row r="13">
      <c r="B13" s="14" t="inlineStr">
        <is>
          <t>Cash / Share</t>
        </is>
      </c>
      <c r="C13" s="11">
        <f>IFERROR((C7-C8)/C4,"")</f>
        <v>7.506658255148689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-33.5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0.721044776119403</v>
      </c>
    </row>
    <row r="19">
      <c r="B19" s="14" t="inlineStr">
        <is>
          <t>Implied Pipeline Value</t>
        </is>
      </c>
      <c r="C19" s="13">
        <f>C9</f>
        <v>-12.570884000000001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29.738</v>
      </c>
      <c r="C5" s="23" t="n">
        <v>81.788</v>
      </c>
      <c r="D5" s="23" t="n">
        <v>117.673</v>
      </c>
      <c r="E5" s="23" t="n">
        <v>86.053</v>
      </c>
      <c r="F5" s="23" t="n">
        <v>61.419</v>
      </c>
      <c r="G5" s="23" t="n">
        <v>40.179</v>
      </c>
      <c r="H5" s="23" t="n">
        <v>23.276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7.451</v>
      </c>
      <c r="C6" s="23" t="n">
        <v>31.114</v>
      </c>
      <c r="D6" s="23" t="n">
        <v>68.056</v>
      </c>
      <c r="E6" s="23" t="n">
        <v>52.341</v>
      </c>
      <c r="F6" s="23" t="n">
        <v>46.97</v>
      </c>
      <c r="G6" s="23" t="n">
        <v>30.221</v>
      </c>
      <c r="H6" s="23" t="n">
        <v>26.02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37.189</v>
      </c>
      <c r="C7" s="23">
        <f>SUM(C5:C6)</f>
        <v>112.902</v>
      </c>
      <c r="D7" s="23">
        <f>SUM(D5:D6)</f>
        <v>185.72899999999998</v>
      </c>
      <c r="E7" s="23">
        <f>SUM(E5:E6)</f>
        <v>138.394</v>
      </c>
      <c r="F7" s="23">
        <f>SUM(F5:F6)</f>
        <v>108.389</v>
      </c>
      <c r="G7" s="23">
        <f>SUM(G5:G6)</f>
        <v>70.4</v>
      </c>
      <c r="H7" s="23">
        <f>SUM(H5:H6)</f>
        <v>49.296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-37.189</v>
      </c>
      <c r="C8" s="23">
        <f>C4-C7</f>
        <v>-112.902</v>
      </c>
      <c r="D8" s="23">
        <f>D4-D7</f>
        <v>-185.72899999999998</v>
      </c>
      <c r="E8" s="23">
        <f>E4-E7</f>
        <v>-138.394</v>
      </c>
      <c r="F8" s="23">
        <f>F4-F7</f>
        <v>-108.389</v>
      </c>
      <c r="G8" s="23">
        <f>G4-G7</f>
        <v>-70.4</v>
      </c>
      <c r="H8" s="23">
        <f>H4-H7</f>
        <v>-49.296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-8.445</v>
      </c>
      <c r="C9" s="23" t="n">
        <v>0.67</v>
      </c>
      <c r="D9" s="23" t="n">
        <v>0.343</v>
      </c>
      <c r="E9" s="23" t="n">
        <v>2.269</v>
      </c>
      <c r="F9" s="23" t="n">
        <v>6.327</v>
      </c>
      <c r="G9" s="23" t="n">
        <v>5.633</v>
      </c>
      <c r="H9" s="23" t="n">
        <v>3.774</v>
      </c>
    </row>
    <row r="10">
      <c r="A10" s="2" t="inlineStr">
        <is>
          <t>Pretax</t>
        </is>
      </c>
      <c r="B10" s="23">
        <f>B8+B9</f>
        <v>-45.634</v>
      </c>
      <c r="C10" s="23">
        <f>C8+C9</f>
        <v>-112.232</v>
      </c>
      <c r="D10" s="23">
        <f>D8+D9</f>
        <v>-185.386</v>
      </c>
      <c r="E10" s="23">
        <f>E8+E9</f>
        <v>-136.125</v>
      </c>
      <c r="F10" s="23">
        <f>F8+F9</f>
        <v>-102.062</v>
      </c>
      <c r="G10" s="23">
        <f>G8+G9</f>
        <v>-64.76700000000001</v>
      </c>
      <c r="H10" s="23">
        <f>H8+H9</f>
        <v>-45.522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-45.634</v>
      </c>
      <c r="C12" s="23" t="n">
        <v>-112.232</v>
      </c>
      <c r="D12" s="23" t="n">
        <v>-185.386</v>
      </c>
      <c r="E12" s="23" t="n">
        <v>-136.125</v>
      </c>
      <c r="F12" s="23" t="n">
        <v>-102.062</v>
      </c>
      <c r="G12" s="23" t="n">
        <v>-64.767</v>
      </c>
      <c r="H12" s="23" t="n">
        <v>-45.522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-21.54579792256846</v>
      </c>
      <c r="C13" s="11">
        <f>IFERROR(C12/C14,0)</f>
        <v>-52.32261072261072</v>
      </c>
      <c r="D13" s="11">
        <f>IFERROR(D12/D14,0)</f>
        <v>-62.54588394062078</v>
      </c>
      <c r="E13" s="11">
        <f>IFERROR(E12/E14,0)</f>
        <v>-45.01488095238095</v>
      </c>
      <c r="F13" s="11">
        <f>IFERROR(F12/F14,0)</f>
        <v>-33.5619861887537</v>
      </c>
      <c r="G13" s="11">
        <f>IFERROR(G12/G14,0)</f>
        <v>-21.035076323481647</v>
      </c>
      <c r="H13" s="11">
        <f>IFERROR(H12/H14,0)</f>
        <v>-14.346675070910809</v>
      </c>
    </row>
    <row r="14">
      <c r="A14" s="2" t="inlineStr">
        <is>
          <t>Shares</t>
        </is>
      </c>
      <c r="B14" s="23" t="n">
        <v>2.118</v>
      </c>
      <c r="C14" s="23" t="n">
        <v>2.145</v>
      </c>
      <c r="D14" s="23" t="n">
        <v>2.964</v>
      </c>
      <c r="E14" s="23" t="n">
        <v>3.024</v>
      </c>
      <c r="F14" s="23" t="n">
        <v>3.041</v>
      </c>
      <c r="G14" s="23" t="n">
        <v>3.079</v>
      </c>
      <c r="H14" s="23" t="n">
        <v>3.173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2026-10-21T01:06:35Z</dcterms:modified>
  <cp:lastModifiedBy>Wang, Eric</cp:lastModifiedBy>
</cp:coreProperties>
</file>