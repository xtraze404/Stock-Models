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Bicycle Therapeutics PLC</t>
        </is>
      </c>
      <c r="C2" s="10" t="n"/>
    </row>
    <row r="3">
      <c r="B3" t="inlineStr">
        <is>
          <t>Price</t>
        </is>
      </c>
      <c r="C3" s="11">
        <f>INDEX([1]Pharma!$F$1:$F$1000,MATCH("BCYC",[1]Pharma!$B$1:$B$1000,0))</f>
        <v>3.6</v>
      </c>
      <c r="F3" s="1" t="n"/>
    </row>
    <row r="4">
      <c r="B4" t="inlineStr">
        <is>
          <t>Shares</t>
        </is>
      </c>
      <c r="C4" s="51" t="n">
        <v>69.814145</v>
      </c>
      <c r="F4" s="1" t="n"/>
    </row>
    <row r="5">
      <c r="B5" t="inlineStr">
        <is>
          <t>Market Cap.</t>
        </is>
      </c>
      <c r="C5" s="13">
        <f>C3*C4</f>
        <v>251.330922</v>
      </c>
      <c r="F5" s="1" t="n"/>
    </row>
    <row r="6"/>
    <row r="7">
      <c r="B7" t="inlineStr">
        <is>
          <t>Cash</t>
        </is>
      </c>
      <c r="C7" s="51" t="n">
        <v>510.052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-258.72107800000003</v>
      </c>
    </row>
    <row r="10"/>
    <row r="11">
      <c r="B11" s="14" t="inlineStr">
        <is>
          <t>NPV / Share</t>
        </is>
      </c>
      <c r="C11" s="11">
        <f>NPV!B28</f>
        <v>4.6276457494128325</v>
      </c>
    </row>
    <row r="12">
      <c r="B12" s="14" t="inlineStr">
        <is>
          <t>Upside</t>
        </is>
      </c>
      <c r="C12" s="15">
        <f>IFERROR(C11/C3-1,"")</f>
        <v>0.28545715261467564</v>
      </c>
    </row>
    <row r="13">
      <c r="B13" s="14" t="inlineStr">
        <is>
          <t>Cash / Share</t>
        </is>
      </c>
      <c r="C13" s="11">
        <f>IFERROR((C7-C8)/C4,"")</f>
        <v>7.305854708956187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2017</v>
      </c>
      <c r="C1" s="16" t="n">
        <v>2018</v>
      </c>
      <c r="D1" s="16" t="n">
        <v>2019</v>
      </c>
      <c r="E1" s="16" t="n">
        <v>2020</v>
      </c>
      <c r="F1" s="16" t="n">
        <v>2021</v>
      </c>
      <c r="G1" s="16" t="n">
        <v>2022</v>
      </c>
      <c r="H1" s="16" t="n">
        <v>2023</v>
      </c>
      <c r="I1" s="16" t="n">
        <v>2024</v>
      </c>
      <c r="J1" s="16" t="n">
        <v>2025</v>
      </c>
      <c r="K1" s="16" t="n">
        <v>2026</v>
      </c>
      <c r="L1" s="16" t="n">
        <v>2027</v>
      </c>
      <c r="M1" s="16" t="n">
        <v>2028</v>
      </c>
      <c r="N1" s="16" t="n">
        <v>2029</v>
      </c>
      <c r="O1" s="16" t="n">
        <v>2030</v>
      </c>
      <c r="P1" s="16" t="n">
        <v>2031</v>
      </c>
      <c r="Q1" s="16" t="n">
        <v>2032</v>
      </c>
      <c r="R1" s="16" t="n">
        <v>2033</v>
      </c>
      <c r="S1" s="16" t="n">
        <v>2034</v>
      </c>
      <c r="T1" s="16" t="n">
        <v>2035</v>
      </c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2.06</v>
      </c>
      <c r="C2" s="52" t="n">
        <v>7.136</v>
      </c>
      <c r="D2" s="52" t="n">
        <v>13.801</v>
      </c>
      <c r="E2" s="52" t="n">
        <v>10.39</v>
      </c>
      <c r="F2" s="52" t="n">
        <v>11.697</v>
      </c>
      <c r="G2" s="52" t="n">
        <v>14.463</v>
      </c>
      <c r="H2" s="52" t="n">
        <v>26.976</v>
      </c>
      <c r="I2" s="52" t="n">
        <v>35.275</v>
      </c>
      <c r="J2" s="52" t="n">
        <v>72.586</v>
      </c>
      <c r="K2" s="52">
        <f>J2*(1+NPV!C5)</f>
        <v>65.3274</v>
      </c>
      <c r="L2" s="52">
        <f>K2*(1+NPV!D5)</f>
        <v>59.70198499999999</v>
      </c>
      <c r="M2" s="52">
        <f>L2*(1+NPV!E5)</f>
        <v>55.39017497222222</v>
      </c>
      <c r="N2" s="52">
        <f>M2*(1+NPV!F5)</f>
        <v>52.159081432175924</v>
      </c>
      <c r="O2" s="52">
        <f>N2*(1+NPV!G5)</f>
        <v>49.84090003519032</v>
      </c>
      <c r="P2" s="52">
        <f>O2*(1+NPV!H5)</f>
        <v>48.31798364522617</v>
      </c>
      <c r="Q2" s="52">
        <f>P2*(1+NPV!I5)</f>
        <v>47.51268391780573</v>
      </c>
      <c r="R2" s="52">
        <f>Q2*(1+NPV!J5)</f>
        <v>47.38070424025627</v>
      </c>
      <c r="S2" s="52">
        <f>R2*(1+NPV!K5)</f>
        <v>47.90715650959245</v>
      </c>
      <c r="T2" s="52">
        <f>S2*(1+NPV!L5)</f>
        <v>49.10483542233225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>
        <f>K2*(1-Assumptions!$B$19)</f>
        <v>0.0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</row>
    <row r="4" customFormat="1" s="1">
      <c r="A4" s="5" t="inlineStr">
        <is>
          <t>Gross Margin</t>
        </is>
      </c>
      <c r="B4" s="52">
        <f>B2-B3</f>
        <v>2.06</v>
      </c>
      <c r="C4" s="52">
        <f>C2-C3</f>
        <v>7.136</v>
      </c>
      <c r="D4" s="52">
        <f>D2-D3</f>
        <v>13.801</v>
      </c>
      <c r="E4" s="52">
        <f>E2-E3</f>
        <v>10.39</v>
      </c>
      <c r="F4" s="52">
        <f>F2-F3</f>
        <v>11.697</v>
      </c>
      <c r="G4" s="52">
        <f>G2-G3</f>
        <v>14.463</v>
      </c>
      <c r="H4" s="52">
        <f>H2-H3</f>
        <v>26.976</v>
      </c>
      <c r="I4" s="52">
        <f>I2-I3</f>
        <v>35.275</v>
      </c>
      <c r="J4" s="52">
        <f>J2-J3</f>
        <v>72.586</v>
      </c>
      <c r="K4" s="52">
        <f>K2-K3</f>
        <v>65.3274</v>
      </c>
      <c r="L4" s="52">
        <f>L2-L3</f>
        <v>59.70198499999999</v>
      </c>
      <c r="M4" s="52">
        <f>M2-M3</f>
        <v>55.39017497222222</v>
      </c>
      <c r="N4" s="52">
        <f>N2-N3</f>
        <v>52.159081432175924</v>
      </c>
      <c r="O4" s="52">
        <f>O2-O3</f>
        <v>49.84090003519032</v>
      </c>
      <c r="P4" s="52">
        <f>P2-P3</f>
        <v>48.31798364522617</v>
      </c>
      <c r="Q4" s="52">
        <f>Q2-Q3</f>
        <v>47.51268391780573</v>
      </c>
      <c r="R4" s="52">
        <f>R2-R3</f>
        <v>47.38070424025627</v>
      </c>
      <c r="S4" s="52">
        <f>S2-S3</f>
        <v>47.90715650959245</v>
      </c>
      <c r="T4" s="52">
        <f>T2-T3</f>
        <v>49.10483542233225</v>
      </c>
    </row>
    <row r="5">
      <c r="A5" s="2" t="inlineStr">
        <is>
          <t>Research &amp; Dev.</t>
        </is>
      </c>
      <c r="B5" s="52" t="n">
        <v>11.866</v>
      </c>
      <c r="C5" s="52" t="n">
        <v>20.761</v>
      </c>
      <c r="D5" s="52" t="n">
        <v>25.54</v>
      </c>
      <c r="E5" s="52" t="n">
        <v>33.149</v>
      </c>
      <c r="F5" s="52" t="n">
        <v>44.88</v>
      </c>
      <c r="G5" s="52" t="n">
        <v>81.60899999999999</v>
      </c>
      <c r="H5" s="52" t="n">
        <v>156.496</v>
      </c>
      <c r="I5" s="52" t="n">
        <v>172.966</v>
      </c>
      <c r="J5" s="52" t="n">
        <v>240.283</v>
      </c>
      <c r="K5" s="52">
        <f>K7*Assumptions!$B$20</f>
        <v>114.4183933314</v>
      </c>
      <c r="L5" s="52">
        <f>L7*Assumptions!$B$20</f>
        <v>96.93644138892</v>
      </c>
      <c r="M5" s="52">
        <f>M7*Assumptions!$B$20</f>
        <v>82.8572211079727</v>
      </c>
      <c r="N5" s="52">
        <f>N7*Assumptions!$B$20</f>
        <v>71.3585263528713</v>
      </c>
      <c r="O5" s="52">
        <f>O7*Assumptions!$B$20</f>
        <v>61.81791751814674</v>
      </c>
      <c r="P5" s="52">
        <f>P7*Assumptions!$B$20</f>
        <v>53.75452989305244</v>
      </c>
      <c r="Q5" s="52">
        <f>Q7*Assumptions!$B$20</f>
        <v>46.78702269632909</v>
      </c>
      <c r="R5" s="52">
        <f>R7*Assumptions!$B$20</f>
        <v>40.60232593023674</v>
      </c>
      <c r="S5" s="52">
        <f>S7*Assumptions!$B$20</f>
        <v>34.93145526181283</v>
      </c>
      <c r="T5" s="52">
        <f>T7*Assumptions!$B$20</f>
        <v>29.529683829573727</v>
      </c>
    </row>
    <row r="6">
      <c r="A6" s="18" t="inlineStr">
        <is>
          <t>SG&amp;A &amp; Other</t>
        </is>
      </c>
      <c r="B6" s="52" t="n">
        <v>6.407</v>
      </c>
      <c r="C6" s="52" t="n">
        <v>8.121</v>
      </c>
      <c r="D6" s="52" t="n">
        <v>14.56</v>
      </c>
      <c r="E6" s="52" t="n">
        <v>29.201</v>
      </c>
      <c r="F6" s="52" t="n">
        <v>32.435</v>
      </c>
      <c r="G6" s="52" t="n">
        <v>49.507</v>
      </c>
      <c r="H6" s="52" t="n">
        <v>60.426</v>
      </c>
      <c r="I6" s="52" t="n">
        <v>72.181</v>
      </c>
      <c r="J6" s="52" t="n">
        <v>79.36799999999999</v>
      </c>
      <c r="K6" s="52">
        <f>K7-K5</f>
        <v>37.7944486686</v>
      </c>
      <c r="L6" s="52">
        <f>L7-L5</f>
        <v>32.019846211079994</v>
      </c>
      <c r="M6" s="52">
        <f>M7-M5</f>
        <v>27.369227086749518</v>
      </c>
      <c r="N6" s="52">
        <f>N7-N5</f>
        <v>23.571001853688884</v>
      </c>
      <c r="O6" s="52">
        <f>O7-O5</f>
        <v>20.419567539917296</v>
      </c>
      <c r="P6" s="52">
        <f>P7-P5</f>
        <v>17.756085901882294</v>
      </c>
      <c r="Q6" s="52">
        <f>Q7-Q5</f>
        <v>15.45459323599642</v>
      </c>
      <c r="R6" s="52">
        <f>R7-R5</f>
        <v>13.411676903655419</v>
      </c>
      <c r="S6" s="52">
        <f>S7-S5</f>
        <v>11.538486552491854</v>
      </c>
      <c r="T6" s="52">
        <f>T7-T5</f>
        <v>9.754184508292077</v>
      </c>
    </row>
    <row r="7">
      <c r="A7" s="2" t="inlineStr">
        <is>
          <t>Operating Expense</t>
        </is>
      </c>
      <c r="B7" s="52">
        <f>SUM(B5:B6)</f>
        <v>18.273</v>
      </c>
      <c r="C7" s="52">
        <f>SUM(C5:C6)</f>
        <v>28.881999999999998</v>
      </c>
      <c r="D7" s="52">
        <f>SUM(D5:D6)</f>
        <v>40.1</v>
      </c>
      <c r="E7" s="52">
        <f>SUM(E5:E6)</f>
        <v>62.35</v>
      </c>
      <c r="F7" s="52">
        <f>SUM(F5:F6)</f>
        <v>77.315</v>
      </c>
      <c r="G7" s="52">
        <f>SUM(G5:G6)</f>
        <v>131.11599999999999</v>
      </c>
      <c r="H7" s="52">
        <f>SUM(H5:H6)</f>
        <v>216.92200000000003</v>
      </c>
      <c r="I7" s="52">
        <f>SUM(I5:I6)</f>
        <v>245.147</v>
      </c>
      <c r="J7" s="52">
        <f>SUM(J5:J6)</f>
        <v>319.65099999999995</v>
      </c>
      <c r="K7" s="52">
        <f>K4-K2*NPV!C6</f>
        <v>152.212842</v>
      </c>
      <c r="L7" s="52">
        <f>L4-L2*NPV!D6</f>
        <v>128.9562876</v>
      </c>
      <c r="M7" s="52">
        <f>M4-M2*NPV!E6</f>
        <v>110.22644819472222</v>
      </c>
      <c r="N7" s="52">
        <f>N4-N2*NPV!F6</f>
        <v>94.92952820656018</v>
      </c>
      <c r="O7" s="52">
        <f>O4-O2*NPV!G6</f>
        <v>82.23748505806404</v>
      </c>
      <c r="P7" s="52">
        <f>P4-P2*NPV!H6</f>
        <v>71.51061579493474</v>
      </c>
      <c r="Q7" s="52">
        <f>Q4-Q2*NPV!I6</f>
        <v>62.24161593232551</v>
      </c>
      <c r="R7" s="52">
        <f>R4-R2*NPV!J6</f>
        <v>54.01400283389216</v>
      </c>
      <c r="S7" s="52">
        <f>S4-S2*NPV!K6</f>
        <v>46.46994181430468</v>
      </c>
      <c r="T7" s="52">
        <f>T4-T2*NPV!L6</f>
        <v>39.283868337865805</v>
      </c>
    </row>
    <row r="8">
      <c r="A8" s="2" t="inlineStr">
        <is>
          <t>Operating Income</t>
        </is>
      </c>
      <c r="B8" s="52">
        <f>B4-B7</f>
        <v>-16.213</v>
      </c>
      <c r="C8" s="52">
        <f>C4-C7</f>
        <v>-21.746</v>
      </c>
      <c r="D8" s="52">
        <f>D4-D7</f>
        <v>-26.299</v>
      </c>
      <c r="E8" s="52">
        <f>E4-E7</f>
        <v>-51.96</v>
      </c>
      <c r="F8" s="52">
        <f>F4-F7</f>
        <v>-65.618</v>
      </c>
      <c r="G8" s="52">
        <f>G4-G7</f>
        <v>-116.65299999999999</v>
      </c>
      <c r="H8" s="52">
        <f>H4-H7</f>
        <v>-189.94600000000003</v>
      </c>
      <c r="I8" s="52">
        <f>I4-I7</f>
        <v>-209.87199999999999</v>
      </c>
      <c r="J8" s="52">
        <f>J4-J7</f>
        <v>-247.06499999999994</v>
      </c>
      <c r="K8" s="52">
        <f>K4-K7</f>
        <v>-86.885442</v>
      </c>
      <c r="L8" s="52">
        <f>L4-L7</f>
        <v>-69.2543026</v>
      </c>
      <c r="M8" s="52">
        <f>M4-M7</f>
        <v>-54.836273222500004</v>
      </c>
      <c r="N8" s="52">
        <f>N4-N7</f>
        <v>-42.770446774384254</v>
      </c>
      <c r="O8" s="52">
        <f>O4-O7</f>
        <v>-32.396585022873715</v>
      </c>
      <c r="P8" s="52">
        <f>P4-P7</f>
        <v>-23.192632149708565</v>
      </c>
      <c r="Q8" s="52">
        <f>Q4-Q7</f>
        <v>-14.728932014519778</v>
      </c>
      <c r="R8" s="52">
        <f>R4-R7</f>
        <v>-6.633298593635885</v>
      </c>
      <c r="S8" s="52">
        <f>S4-S7</f>
        <v>1.4372146952877642</v>
      </c>
      <c r="T8" s="52">
        <f>T4-T7</f>
        <v>9.820967084466446</v>
      </c>
    </row>
    <row r="9">
      <c r="A9" s="18" t="inlineStr">
        <is>
          <t>Interest &amp; Other</t>
        </is>
      </c>
      <c r="B9" s="52" t="n">
        <v>-0.06900000000000001</v>
      </c>
      <c r="C9" s="52" t="n">
        <v>-0.496</v>
      </c>
      <c r="D9" s="52" t="n">
        <v>-4.563</v>
      </c>
      <c r="E9" s="52" t="n">
        <v>0.226</v>
      </c>
      <c r="F9" s="52" t="n">
        <v>-2.864</v>
      </c>
      <c r="G9" s="52" t="n">
        <v>2.412</v>
      </c>
      <c r="H9" s="52" t="n">
        <v>10.739</v>
      </c>
      <c r="I9" s="52" t="n">
        <v>36.076</v>
      </c>
      <c r="J9" s="52" t="n">
        <v>28.257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</row>
    <row r="10">
      <c r="A10" s="2" t="inlineStr">
        <is>
          <t>Pretax</t>
        </is>
      </c>
      <c r="B10" s="52">
        <f>B8+B9</f>
        <v>-16.282</v>
      </c>
      <c r="C10" s="52">
        <f>C8+C9</f>
        <v>-22.241999999999997</v>
      </c>
      <c r="D10" s="52">
        <f>D8+D9</f>
        <v>-30.862</v>
      </c>
      <c r="E10" s="52">
        <f>E8+E9</f>
        <v>-51.734</v>
      </c>
      <c r="F10" s="52">
        <f>F8+F9</f>
        <v>-68.482</v>
      </c>
      <c r="G10" s="52">
        <f>G8+G9</f>
        <v>-114.24099999999999</v>
      </c>
      <c r="H10" s="52">
        <f>H8+H9</f>
        <v>-179.20700000000002</v>
      </c>
      <c r="I10" s="52">
        <f>I8+I9</f>
        <v>-173.796</v>
      </c>
      <c r="J10" s="52">
        <f>J8+J9</f>
        <v>-218.80799999999994</v>
      </c>
      <c r="K10" s="52">
        <f>K8+K9</f>
        <v>-86.885442</v>
      </c>
      <c r="L10" s="52">
        <f>L8+L9</f>
        <v>-69.2543026</v>
      </c>
      <c r="M10" s="52">
        <f>M8+M9</f>
        <v>-54.836273222500004</v>
      </c>
      <c r="N10" s="52">
        <f>N8+N9</f>
        <v>-42.770446774384254</v>
      </c>
      <c r="O10" s="52">
        <f>O8+O9</f>
        <v>-32.396585022873715</v>
      </c>
      <c r="P10" s="52">
        <f>P8+P9</f>
        <v>-23.192632149708565</v>
      </c>
      <c r="Q10" s="52">
        <f>Q8+Q9</f>
        <v>-14.728932014519778</v>
      </c>
      <c r="R10" s="52">
        <f>R8+R9</f>
        <v>-6.633298593635885</v>
      </c>
      <c r="S10" s="52">
        <f>S8+S9</f>
        <v>1.4372146952877642</v>
      </c>
      <c r="T10" s="52">
        <f>T8+T9</f>
        <v>9.820967084466446</v>
      </c>
    </row>
    <row r="11">
      <c r="A11" s="2" t="inlineStr">
        <is>
          <t>Taxes</t>
        </is>
      </c>
      <c r="B11" s="52" t="n">
        <v>-0.023</v>
      </c>
      <c r="C11" s="52" t="n">
        <v>-0.396</v>
      </c>
      <c r="D11" s="52" t="n">
        <v>-0.254</v>
      </c>
      <c r="E11" s="52" t="n">
        <v>-0.724</v>
      </c>
      <c r="F11" s="52" t="n">
        <v>-1.663</v>
      </c>
      <c r="G11" s="52" t="n">
        <v>-1.524</v>
      </c>
      <c r="H11" s="52" t="n">
        <v>1.457</v>
      </c>
      <c r="I11" s="52" t="n">
        <v>-4.765</v>
      </c>
      <c r="J11" s="52" t="n">
        <v>0.152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0.24432649819891994</v>
      </c>
      <c r="T11" s="52">
        <f>MAX(0,T10)*Assumptions!$E$14</f>
        <v>1.6695644043592959</v>
      </c>
    </row>
    <row r="12">
      <c r="A12" s="2" t="inlineStr">
        <is>
          <t>Net Income</t>
        </is>
      </c>
      <c r="B12" s="52" t="n">
        <v>-16.259</v>
      </c>
      <c r="C12" s="52" t="n">
        <v>-21.846</v>
      </c>
      <c r="D12" s="52" t="n">
        <v>-30.608</v>
      </c>
      <c r="E12" s="52" t="n">
        <v>-51.01</v>
      </c>
      <c r="F12" s="52" t="n">
        <v>-66.819</v>
      </c>
      <c r="G12" s="52" t="n">
        <v>-112.717</v>
      </c>
      <c r="H12" s="52" t="n">
        <v>-180.664</v>
      </c>
      <c r="I12" s="52" t="n">
        <v>-169.031</v>
      </c>
      <c r="J12" s="52" t="n">
        <v>-218.96</v>
      </c>
      <c r="K12" s="52">
        <f>K10-K11</f>
        <v>-86.885442</v>
      </c>
      <c r="L12" s="52">
        <f>L10-L11</f>
        <v>-69.2543026</v>
      </c>
      <c r="M12" s="52">
        <f>M10-M11</f>
        <v>-54.836273222500004</v>
      </c>
      <c r="N12" s="52">
        <f>N10-N11</f>
        <v>-42.770446774384254</v>
      </c>
      <c r="O12" s="52">
        <f>O10-O11</f>
        <v>-32.396585022873715</v>
      </c>
      <c r="P12" s="52">
        <f>P10-P11</f>
        <v>-23.192632149708565</v>
      </c>
      <c r="Q12" s="52">
        <f>Q10-Q11</f>
        <v>-14.728932014519778</v>
      </c>
      <c r="R12" s="52">
        <f>R10-R11</f>
        <v>-6.633298593635885</v>
      </c>
      <c r="S12" s="52">
        <f>S10-S11</f>
        <v>1.1928881970888443</v>
      </c>
      <c r="T12" s="52">
        <f>T10-T11</f>
        <v>8.15140268010715</v>
      </c>
    </row>
    <row r="13">
      <c r="A13" s="2" t="inlineStr">
        <is>
          <t>Earnings per Share</t>
        </is>
      </c>
      <c r="B13" s="11">
        <f>IFERROR(B12/B14,0)</f>
        <v>-1.9523294908741597</v>
      </c>
      <c r="C13" s="11">
        <f>IFERROR(C12/C14,0)</f>
        <v>-1.9910681735326285</v>
      </c>
      <c r="D13" s="11">
        <f>IFERROR(D12/D14,0)</f>
        <v>-2.7712086917157084</v>
      </c>
      <c r="E13" s="11">
        <f>IFERROR(E12/E14,0)</f>
        <v>-2.664264076047216</v>
      </c>
      <c r="F13" s="11">
        <f>IFERROR(F12/F14,0)</f>
        <v>-2.6661479530763708</v>
      </c>
      <c r="G13" s="11">
        <f>IFERROR(G12/G14,0)</f>
        <v>-3.8001753143858936</v>
      </c>
      <c r="H13" s="11">
        <f>IFERROR(H12/H14,0)</f>
        <v>-5.075972128568218</v>
      </c>
      <c r="I13" s="11">
        <f>IFERROR(I12/I14,0)</f>
        <v>-2.9039135514018692</v>
      </c>
      <c r="J13" s="11">
        <f>IFERROR(J12/J14,0)</f>
        <v>-3.160508083140878</v>
      </c>
      <c r="K13" s="11">
        <f>IFERROR(K12/K14,0)</f>
        <v>-1.244524902510802</v>
      </c>
      <c r="L13" s="11">
        <f>IFERROR(L12/L14,0)</f>
        <v>-0.9919809603053937</v>
      </c>
      <c r="M13" s="11">
        <f>IFERROR(M12/M14,0)</f>
        <v>-0.785460786241814</v>
      </c>
      <c r="N13" s="11">
        <f>IFERROR(N12/N14,0)</f>
        <v>-0.6126329667774956</v>
      </c>
      <c r="O13" s="11">
        <f>IFERROR(O12/O14,0)</f>
        <v>-0.4640404179249594</v>
      </c>
      <c r="P13" s="11">
        <f>IFERROR(P12/P14,0)</f>
        <v>-0.332205345345253</v>
      </c>
      <c r="Q13" s="11">
        <f>IFERROR(Q12/Q14,0)</f>
        <v>-0.2109734641098846</v>
      </c>
      <c r="R13" s="11">
        <f>IFERROR(R12/R14,0)</f>
        <v>-0.0950136765785198</v>
      </c>
      <c r="S13" s="11">
        <f>IFERROR(S12/S14,0)</f>
        <v>0.01708662617137035</v>
      </c>
      <c r="T13" s="11">
        <f>IFERROR(T12/T14,0)</f>
        <v>0.1167586121710314</v>
      </c>
    </row>
    <row r="14">
      <c r="A14" s="2" t="inlineStr">
        <is>
          <t>Shares</t>
        </is>
      </c>
      <c r="B14" s="52" t="n">
        <v>8.327999999999999</v>
      </c>
      <c r="C14" s="52" t="n">
        <v>10.972</v>
      </c>
      <c r="D14" s="52" t="n">
        <v>11.045</v>
      </c>
      <c r="E14" s="52" t="n">
        <v>19.146</v>
      </c>
      <c r="F14" s="52" t="n">
        <v>25.062</v>
      </c>
      <c r="G14" s="52" t="n">
        <v>29.661</v>
      </c>
      <c r="H14" s="52" t="n">
        <v>35.592</v>
      </c>
      <c r="I14" s="52" t="n">
        <v>58.208</v>
      </c>
      <c r="J14" s="52" t="n">
        <v>69.28</v>
      </c>
      <c r="K14" s="52">
        <f>Main!$C$4</f>
        <v>69.814145</v>
      </c>
      <c r="L14" s="52">
        <f>Main!$C$4</f>
        <v>69.814145</v>
      </c>
      <c r="M14" s="52">
        <f>Main!$C$4</f>
        <v>69.814145</v>
      </c>
      <c r="N14" s="52">
        <f>Main!$C$4</f>
        <v>69.814145</v>
      </c>
      <c r="O14" s="52">
        <f>Main!$C$4</f>
        <v>69.814145</v>
      </c>
      <c r="P14" s="52">
        <f>Main!$C$4</f>
        <v>69.814145</v>
      </c>
      <c r="Q14" s="52">
        <f>Main!$C$4</f>
        <v>69.814145</v>
      </c>
      <c r="R14" s="52">
        <f>Main!$C$4</f>
        <v>69.814145</v>
      </c>
      <c r="S14" s="52">
        <f>Main!$C$4</f>
        <v>69.814145</v>
      </c>
      <c r="T14" s="52">
        <f>Main!$C$4</f>
        <v>69.814145</v>
      </c>
    </row>
    <row r="15"/>
    <row r="16" customFormat="1" s="4">
      <c r="A16" s="3" t="inlineStr">
        <is>
          <t>Revenue Change</t>
        </is>
      </c>
      <c r="C16" s="15">
        <f>IFERROR(C2/B2-1,"")</f>
        <v>2.4640776699029128</v>
      </c>
      <c r="D16" s="15">
        <f>IFERROR(D2/C2-1,"")</f>
        <v>0.9339966367713004</v>
      </c>
      <c r="E16" s="15">
        <f>IFERROR(E2/D2-1,"")</f>
        <v>-0.24715600318817477</v>
      </c>
      <c r="F16" s="15">
        <f>IFERROR(F2/E2-1,"")</f>
        <v>0.12579403272377276</v>
      </c>
      <c r="G16" s="15">
        <f>IFERROR(G2/F2-1,"")</f>
        <v>0.23647088997178756</v>
      </c>
      <c r="H16" s="15">
        <f>IFERROR(H2/G2-1,"")</f>
        <v>0.8651732005807924</v>
      </c>
      <c r="I16" s="15">
        <f>IFERROR(I2/H2-1,"")</f>
        <v>0.3076438315539738</v>
      </c>
      <c r="J16" s="15">
        <f>IFERROR(J2/I2-1,"")</f>
        <v>1.0577179305457123</v>
      </c>
      <c r="K16" s="15">
        <f>IFERROR(K2/J2-1,"")</f>
        <v>-0.09999999999999998</v>
      </c>
      <c r="L16" s="15">
        <f>IFERROR(L2/K2-1,"")</f>
        <v>-0.08611111111111114</v>
      </c>
      <c r="M16" s="15">
        <f>IFERROR(M2/L2-1,"")</f>
        <v>-0.07222222222222219</v>
      </c>
      <c r="N16" s="15">
        <f>IFERROR(N2/M2-1,"")</f>
        <v>-0.05833333333333335</v>
      </c>
      <c r="O16" s="15">
        <f>IFERROR(O2/N2-1,"")</f>
        <v>-0.04444444444444451</v>
      </c>
      <c r="P16" s="15">
        <f>IFERROR(P2/O2-1,"")</f>
        <v>-0.03055555555555567</v>
      </c>
      <c r="Q16" s="15">
        <f>IFERROR(Q2/P2-1,"")</f>
        <v>-0.01666666666666672</v>
      </c>
      <c r="R16" s="15">
        <f>IFERROR(R2/Q2-1,"")</f>
        <v>-0.002777777777777768</v>
      </c>
      <c r="S16" s="15">
        <f>IFERROR(S2/R2-1,"")</f>
        <v>0.011111111111111072</v>
      </c>
      <c r="T16" s="15">
        <f>IFERROR(T2/S2-1,"")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</row>
    <row r="18">
      <c r="A18" s="14" t="inlineStr">
        <is>
          <t>Operating Margin</t>
        </is>
      </c>
      <c r="B18" s="15">
        <f>IFERROR(B8/B2,"")</f>
        <v>-7.870388349514563</v>
      </c>
      <c r="C18" s="15">
        <f>IFERROR(C8/C2,"")</f>
        <v>-3.0473654708520175</v>
      </c>
      <c r="D18" s="15">
        <f>IFERROR(D8/D2,"")</f>
        <v>-1.9055865516991521</v>
      </c>
      <c r="E18" s="15">
        <f>IFERROR(E8/E2,"")</f>
        <v>-5.000962463907603</v>
      </c>
      <c r="F18" s="15">
        <f>IFERROR(F8/F2,"")</f>
        <v>-5.6098144823459</v>
      </c>
      <c r="G18" s="15">
        <f>IFERROR(G8/G2,"")</f>
        <v>-8.06561570905068</v>
      </c>
      <c r="H18" s="15">
        <f>IFERROR(H8/H2,"")</f>
        <v>-7.041295966785292</v>
      </c>
      <c r="I18" s="15">
        <f>IFERROR(I8/I2,"")</f>
        <v>-5.949596031183558</v>
      </c>
      <c r="J18" s="15">
        <f>IFERROR(J8/J2,"")</f>
        <v>-3.403755545146446</v>
      </c>
      <c r="K18" s="15">
        <f>IFERROR(K8/K2,"")</f>
        <v>-1.33</v>
      </c>
      <c r="L18" s="15">
        <f>IFERROR(L8/L2,"")</f>
        <v>-1.1600000000000001</v>
      </c>
      <c r="M18" s="15">
        <f>IFERROR(M8/M2,"")</f>
        <v>-0.9900000000000001</v>
      </c>
      <c r="N18" s="15">
        <f>IFERROR(N8/N2,"")</f>
        <v>-0.82</v>
      </c>
      <c r="O18" s="15">
        <f>IFERROR(O8/O2,"")</f>
        <v>-0.6500000000000001</v>
      </c>
      <c r="P18" s="15">
        <f>IFERROR(P8/P2,"")</f>
        <v>-0.48000000000000004</v>
      </c>
      <c r="Q18" s="15">
        <f>IFERROR(Q8/Q2,"")</f>
        <v>-0.31</v>
      </c>
      <c r="R18" s="15">
        <f>IFERROR(R8/R2,"")</f>
        <v>-0.14000000000000015</v>
      </c>
      <c r="S18" s="15">
        <f>IFERROR(S8/S2,"")</f>
        <v>0.029999999999999808</v>
      </c>
      <c r="T18" s="15">
        <f>IFERROR(T8/T2,"")</f>
        <v>0.1999999999999999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Bicycle Therapeutics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0.7517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Model'!J2</f>
        <v>72.586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-186.9768686418589</v>
      </c>
      <c r="C29" s="56">
        <f>NPV!B26</f>
        <v>323.0751313581411</v>
      </c>
      <c r="D29" s="35">
        <f>NPV!B28</f>
        <v>4.6276457494128325</v>
      </c>
      <c r="E29" s="57">
        <f>NPV!B30</f>
        <v>0.28545715261467564</v>
      </c>
    </row>
    <row r="30">
      <c r="A30" s="58" t="n">
        <v>1</v>
      </c>
      <c r="B30" s="59">
        <f t="dataTable" ref="B30:E32" r1="B4"/>
        <v>-173.44753086535866</v>
      </c>
      <c r="C30" s="59">
        <v>336.60446913464136</v>
      </c>
      <c r="D30" s="39">
        <v>4.821436531732092</v>
      </c>
      <c r="E30" s="60">
        <v>0.33928792548113673</v>
      </c>
    </row>
    <row r="31">
      <c r="A31" s="58" t="n">
        <v>2</v>
      </c>
      <c r="B31" s="59">
        <v>-186.9768686418589</v>
      </c>
      <c r="C31" s="59">
        <v>323.0751313581411</v>
      </c>
      <c r="D31" s="39">
        <v>4.6276457494128325</v>
      </c>
      <c r="E31" s="60">
        <v>0.28545715261467564</v>
      </c>
    </row>
    <row r="32">
      <c r="A32" s="58" t="n">
        <v>3</v>
      </c>
      <c r="B32" s="59">
        <v>-187.06675578397466</v>
      </c>
      <c r="C32" s="59">
        <v>322.98524421602536</v>
      </c>
      <c r="D32" s="39">
        <v>4.626358228923743</v>
      </c>
      <c r="E32" s="60">
        <v>0.285099508034373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4.6276457494128325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4.633570589199985</v>
      </c>
      <c r="C37" s="39">
        <v>4.662980771656252</v>
      </c>
      <c r="D37" s="39">
        <v>4.697496408995158</v>
      </c>
      <c r="E37" s="39">
        <v>4.738154352729085</v>
      </c>
      <c r="F37" s="39">
        <v>4.78628788323171</v>
      </c>
    </row>
    <row r="38">
      <c r="A38" s="62" t="n">
        <v>0.115</v>
      </c>
      <c r="B38" s="39">
        <v>4.607371933515063</v>
      </c>
      <c r="C38" s="39">
        <v>4.627782629995396</v>
      </c>
      <c r="D38" s="39">
        <v>4.6516719708765</v>
      </c>
      <c r="E38" s="39">
        <v>4.679666934727785</v>
      </c>
      <c r="F38" s="39">
        <v>4.71255139690801</v>
      </c>
    </row>
    <row r="39">
      <c r="A39" s="62" t="n">
        <v>0.125</v>
      </c>
      <c r="B39" s="39">
        <v>4.597008732335194</v>
      </c>
      <c r="C39" s="39">
        <v>4.611102805117184</v>
      </c>
      <c r="D39" s="39">
        <v>4.6276457494128325</v>
      </c>
      <c r="E39" s="39">
        <v>4.6470352791810585</v>
      </c>
      <c r="F39" s="39">
        <v>4.669757616071757</v>
      </c>
    </row>
    <row r="40">
      <c r="A40" s="62" t="n">
        <v>0.135</v>
      </c>
      <c r="B40" s="39">
        <v>4.597858976315231</v>
      </c>
      <c r="C40" s="39">
        <v>4.607404944807018</v>
      </c>
      <c r="D40" s="39">
        <v>4.618720865667484</v>
      </c>
      <c r="E40" s="39">
        <v>4.632069021444529</v>
      </c>
      <c r="F40" s="39">
        <v>4.647764258284729</v>
      </c>
    </row>
    <row r="41">
      <c r="A41" s="62" t="n">
        <v>0.145</v>
      </c>
      <c r="B41" s="39">
        <v>4.606771251101317</v>
      </c>
      <c r="C41" s="39">
        <v>4.6129757247050005</v>
      </c>
      <c r="D41" s="39">
        <v>4.620487350649697</v>
      </c>
      <c r="E41" s="39">
        <v>4.629484757946389</v>
      </c>
      <c r="F41" s="39">
        <v>4.640179145017398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Bicycle Therapeutics PLC: free-cash-flow DCF ($mm)</t>
        </is>
      </c>
    </row>
    <row r="3">
      <c r="A3" s="20" t="inlineStr">
        <is>
          <t>Fiscal year</t>
        </is>
      </c>
      <c r="B3" s="43">
        <f>'Yearly Model'!J1</f>
        <v>2025</v>
      </c>
      <c r="C3" s="43">
        <f>'Yearly Model'!K1</f>
        <v>2026</v>
      </c>
      <c r="D3" s="43">
        <f>'Yearly Model'!L1</f>
        <v>2027</v>
      </c>
      <c r="E3" s="43">
        <f>'Yearly Model'!M1</f>
        <v>2028</v>
      </c>
      <c r="F3" s="43">
        <f>'Yearly Model'!N1</f>
        <v>2029</v>
      </c>
      <c r="G3" s="43">
        <f>'Yearly Model'!O1</f>
        <v>2030</v>
      </c>
      <c r="H3" s="43">
        <f>'Yearly Model'!P1</f>
        <v>2031</v>
      </c>
      <c r="I3" s="43">
        <f>'Yearly Model'!Q1</f>
        <v>2032</v>
      </c>
      <c r="J3" s="43">
        <f>'Yearly Model'!R1</f>
        <v>2033</v>
      </c>
      <c r="K3" s="43">
        <f>'Yearly Model'!S1</f>
        <v>2034</v>
      </c>
      <c r="L3" s="43">
        <f>'Yearly Model'!T1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-3.403755545146446</v>
      </c>
      <c r="C6" s="63">
        <f>Assumptions!$B$18+(Assumptions!$E$13-Assumptions!$B$18)*C4/Assumptions!$B$21</f>
        <v>-1.33</v>
      </c>
      <c r="D6" s="63">
        <f>Assumptions!$B$18+(Assumptions!$E$13-Assumptions!$B$18)*D4/Assumptions!$B$21</f>
        <v>-1.1600000000000001</v>
      </c>
      <c r="E6" s="63">
        <f>Assumptions!$B$18+(Assumptions!$E$13-Assumptions!$B$18)*E4/Assumptions!$B$21</f>
        <v>-0.99</v>
      </c>
      <c r="F6" s="63">
        <f>Assumptions!$B$18+(Assumptions!$E$13-Assumptions!$B$18)*F4/Assumptions!$B$21</f>
        <v>-0.8200000000000001</v>
      </c>
      <c r="G6" s="63">
        <f>Assumptions!$B$18+(Assumptions!$E$13-Assumptions!$B$18)*G4/Assumptions!$B$21</f>
        <v>-0.65</v>
      </c>
      <c r="H6" s="63">
        <f>Assumptions!$B$18+(Assumptions!$E$13-Assumptions!$B$18)*H4/Assumptions!$B$21</f>
        <v>-0.48</v>
      </c>
      <c r="I6" s="63">
        <f>Assumptions!$B$18+(Assumptions!$E$13-Assumptions!$B$18)*I4/Assumptions!$B$21</f>
        <v>-0.31000000000000005</v>
      </c>
      <c r="J6" s="63">
        <f>Assumptions!$B$18+(Assumptions!$E$13-Assumptions!$B$18)*J4/Assumptions!$B$21</f>
        <v>-0.14000000000000012</v>
      </c>
      <c r="K6" s="63">
        <f>Assumptions!$B$18+(Assumptions!$E$13-Assumptions!$B$18)*K4/Assumptions!$B$21</f>
        <v>0.029999999999999805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Model'!J2</f>
        <v>72.586</v>
      </c>
      <c r="C7" s="55">
        <f>'Yearly Model'!K2</f>
        <v>65.3274</v>
      </c>
      <c r="D7" s="55">
        <f>'Yearly Model'!L2</f>
        <v>59.70198499999999</v>
      </c>
      <c r="E7" s="55">
        <f>'Yearly Model'!M2</f>
        <v>55.39017497222222</v>
      </c>
      <c r="F7" s="55">
        <f>'Yearly Model'!N2</f>
        <v>52.159081432175924</v>
      </c>
      <c r="G7" s="55">
        <f>'Yearly Model'!O2</f>
        <v>49.84090003519032</v>
      </c>
      <c r="H7" s="55">
        <f>'Yearly Model'!P2</f>
        <v>48.31798364522617</v>
      </c>
      <c r="I7" s="55">
        <f>'Yearly Model'!Q2</f>
        <v>47.51268391780573</v>
      </c>
      <c r="J7" s="55">
        <f>'Yearly Model'!R2</f>
        <v>47.38070424025627</v>
      </c>
      <c r="K7" s="55">
        <f>'Yearly Model'!S2</f>
        <v>47.90715650959245</v>
      </c>
      <c r="L7" s="55">
        <f>'Yearly Model'!T2</f>
        <v>49.10483542233225</v>
      </c>
    </row>
    <row r="8">
      <c r="A8" s="14" t="inlineStr">
        <is>
          <t>Operating income</t>
        </is>
      </c>
      <c r="B8" s="55">
        <f>'Yearly Model'!J8</f>
        <v>-247.06499999999994</v>
      </c>
      <c r="C8" s="55">
        <f>'Yearly Model'!K8</f>
        <v>-86.885442</v>
      </c>
      <c r="D8" s="55">
        <f>'Yearly Model'!L8</f>
        <v>-69.2543026</v>
      </c>
      <c r="E8" s="55">
        <f>'Yearly Model'!M8</f>
        <v>-54.836273222500004</v>
      </c>
      <c r="F8" s="55">
        <f>'Yearly Model'!N8</f>
        <v>-42.770446774384254</v>
      </c>
      <c r="G8" s="55">
        <f>'Yearly Model'!O8</f>
        <v>-32.396585022873715</v>
      </c>
      <c r="H8" s="55">
        <f>'Yearly Model'!P8</f>
        <v>-23.192632149708565</v>
      </c>
      <c r="I8" s="55">
        <f>'Yearly Model'!Q8</f>
        <v>-14.728932014519778</v>
      </c>
      <c r="J8" s="55">
        <f>'Yearly Model'!R8</f>
        <v>-6.633298593635885</v>
      </c>
      <c r="K8" s="55">
        <f>'Yearly Model'!S8</f>
        <v>1.4372146952877642</v>
      </c>
      <c r="L8" s="55">
        <f>'Yearly Model'!T8</f>
        <v>9.820967084466446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0.24432649819891994</v>
      </c>
      <c r="L9" s="52">
        <f>MAX(0,L8)*Assumptions!$E$14</f>
        <v>1.6695644043592959</v>
      </c>
    </row>
    <row r="10">
      <c r="A10" s="14" t="inlineStr">
        <is>
          <t>NOPAT</t>
        </is>
      </c>
      <c r="C10" s="52">
        <f>C8-C9</f>
        <v>-86.885442</v>
      </c>
      <c r="D10" s="52">
        <f>D8-D9</f>
        <v>-69.2543026</v>
      </c>
      <c r="E10" s="52">
        <f>E8-E9</f>
        <v>-54.836273222500004</v>
      </c>
      <c r="F10" s="52">
        <f>F8-F9</f>
        <v>-42.770446774384254</v>
      </c>
      <c r="G10" s="52">
        <f>G8-G9</f>
        <v>-32.396585022873715</v>
      </c>
      <c r="H10" s="52">
        <f>H8-H9</f>
        <v>-23.192632149708565</v>
      </c>
      <c r="I10" s="52">
        <f>I8-I9</f>
        <v>-14.728932014519778</v>
      </c>
      <c r="J10" s="52">
        <f>J8-J9</f>
        <v>-6.633298593635885</v>
      </c>
      <c r="K10" s="52">
        <f>K8-K9</f>
        <v>1.1928881970888443</v>
      </c>
      <c r="L10" s="52">
        <f>L8-L9</f>
        <v>8.15140268010715</v>
      </c>
    </row>
    <row r="11">
      <c r="A11" s="14" t="inlineStr">
        <is>
          <t>Reinvestment</t>
        </is>
      </c>
      <c r="C11" s="52">
        <f>(C7-B7)*Assumptions!$E$15</f>
        <v>-1.8146500000000003</v>
      </c>
      <c r="D11" s="52">
        <f>(D7-C7)*Assumptions!$E$15</f>
        <v>-1.406353750000001</v>
      </c>
      <c r="E11" s="52">
        <f>(E7-D7)*Assumptions!$E$15</f>
        <v>-1.0779525069444436</v>
      </c>
      <c r="F11" s="52">
        <f>(F7-E7)*Assumptions!$E$15</f>
        <v>-0.8077733850115738</v>
      </c>
      <c r="G11" s="52">
        <f>(G7-F7)*Assumptions!$E$15</f>
        <v>-0.5795453492464002</v>
      </c>
      <c r="H11" s="52">
        <f>(H7-G7)*Assumptions!$E$15</f>
        <v>-0.380729097491038</v>
      </c>
      <c r="I11" s="52">
        <f>(I7-H7)*Assumptions!$E$15</f>
        <v>-0.20132493185511002</v>
      </c>
      <c r="J11" s="52">
        <f>(J7-I7)*Assumptions!$E$15</f>
        <v>-0.032994919387364874</v>
      </c>
      <c r="K11" s="52">
        <f>(K7-J7)*Assumptions!$E$15</f>
        <v>0.13161306733404388</v>
      </c>
      <c r="L11" s="52">
        <f>(L7-K7)*Assumptions!$E$15</f>
        <v>0.2994197281849509</v>
      </c>
    </row>
    <row r="12">
      <c r="A12" s="20" t="inlineStr">
        <is>
          <t>Free cash flow</t>
        </is>
      </c>
      <c r="C12" s="64">
        <f>C10-C11</f>
        <v>-85.070792</v>
      </c>
      <c r="D12" s="64">
        <f>D10-D11</f>
        <v>-67.84794885</v>
      </c>
      <c r="E12" s="64">
        <f>E10-E11</f>
        <v>-53.75832071555556</v>
      </c>
      <c r="F12" s="64">
        <f>F10-F11</f>
        <v>-41.96267338937268</v>
      </c>
      <c r="G12" s="64">
        <f>G10-G11</f>
        <v>-31.817039673627313</v>
      </c>
      <c r="H12" s="64">
        <f>H10-H11</f>
        <v>-22.811903052217527</v>
      </c>
      <c r="I12" s="64">
        <f>I10-I11</f>
        <v>-14.527607082664668</v>
      </c>
      <c r="J12" s="64">
        <f>J10-J11</f>
        <v>-6.60030367424852</v>
      </c>
      <c r="K12" s="64">
        <f>K10-K11</f>
        <v>1.0612751297548004</v>
      </c>
      <c r="L12" s="64">
        <f>L10-L11</f>
        <v>7.851982951922199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-41.629786175832464</v>
      </c>
      <c r="D16" s="64">
        <f>D12*D13*D15</f>
        <v>-60.280170912559996</v>
      </c>
      <c r="E16" s="64">
        <f>E12*E13*E15</f>
        <v>-42.45520318276804</v>
      </c>
      <c r="F16" s="64">
        <f>F12*F13*F15</f>
        <v>-29.457497946358856</v>
      </c>
      <c r="G16" s="64">
        <f>G12*G13*G15</f>
        <v>-19.853631390679585</v>
      </c>
      <c r="H16" s="64">
        <f>H12*H13*H15</f>
        <v>-12.652873894390952</v>
      </c>
      <c r="I16" s="64">
        <f>I12*I13*I15</f>
        <v>-7.162575704776322</v>
      </c>
      <c r="J16" s="64">
        <f>J12*J13*J15</f>
        <v>-2.8925876993178394</v>
      </c>
      <c r="K16" s="64">
        <f>K12*K13*K15</f>
        <v>0.41342628224116545</v>
      </c>
      <c r="L16" s="64">
        <f>L12*L13*L15</f>
        <v>2.7189230757693195</v>
      </c>
    </row>
    <row r="19">
      <c r="A19" s="14" t="inlineStr">
        <is>
          <t>PV of forecast free cash flow</t>
        </is>
      </c>
      <c r="B19" s="52">
        <f>SUM(C16:L16)</f>
        <v>-213.25197754867355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8.048282525720252</v>
      </c>
    </row>
    <row r="21">
      <c r="A21" s="14" t="inlineStr">
        <is>
          <t>Terminal value</t>
        </is>
      </c>
      <c r="B21" s="52">
        <f>B20/(Assumptions!$E$10-Assumptions!$E$11)</f>
        <v>80.4828252572025</v>
      </c>
    </row>
    <row r="22">
      <c r="A22" s="14" t="inlineStr">
        <is>
          <t>PV of terminal value</t>
        </is>
      </c>
      <c r="B22" s="52">
        <f>B21/(1+Assumptions!$E$10)^(L14+0.5)</f>
        <v>26.275108906814626</v>
      </c>
    </row>
    <row r="23">
      <c r="A23" s="20" t="inlineStr">
        <is>
          <t>Enterprise value</t>
        </is>
      </c>
      <c r="B23" s="66">
        <f>B19+B22</f>
        <v>-186.9768686418589</v>
      </c>
    </row>
    <row r="24">
      <c r="A24" s="14" t="inlineStr">
        <is>
          <t>Cash &amp; investments</t>
        </is>
      </c>
      <c r="B24" s="55">
        <f>Main!C7</f>
        <v>510.052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323.0751313581411</v>
      </c>
    </row>
    <row r="27">
      <c r="A27" s="14" t="inlineStr">
        <is>
          <t>Shares (mm)</t>
        </is>
      </c>
      <c r="B27" s="55">
        <f>Main!C4</f>
        <v>69.814145</v>
      </c>
    </row>
    <row r="28">
      <c r="A28" s="20" t="inlineStr">
        <is>
          <t>NPV / share</t>
        </is>
      </c>
      <c r="B28" s="49">
        <f>B26/B27</f>
        <v>4.6276457494128325</v>
      </c>
    </row>
    <row r="29">
      <c r="A29" s="14" t="inlineStr">
        <is>
          <t>Price</t>
        </is>
      </c>
      <c r="B29" s="50">
        <f>Main!C3</f>
        <v>3.6</v>
      </c>
    </row>
    <row r="30">
      <c r="A30" s="14" t="inlineStr">
        <is>
          <t>Upside</t>
        </is>
      </c>
      <c r="B30" s="63">
        <f>B28/B29-1</f>
        <v>0.28545715261467564</v>
      </c>
    </row>
    <row r="31">
      <c r="A31" s="14" t="inlineStr">
        <is>
          <t>Terminal value, % of EV</t>
        </is>
      </c>
      <c r="B31" s="63">
        <f>IFERROR(B22/B23,0)</f>
        <v>-0.14052598643708572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2026-10-21T01:05:30Z</dcterms:modified>
  <cp:lastModifiedBy>Wang, Eric</cp:lastModifiedBy>
</cp:coreProperties>
</file>