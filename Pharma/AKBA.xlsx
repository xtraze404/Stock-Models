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Akebia Therapeutics Inc</t>
        </is>
      </c>
      <c r="C2" s="10" t="n"/>
    </row>
    <row r="3">
      <c r="B3" t="inlineStr">
        <is>
          <t>Price</t>
        </is>
      </c>
      <c r="C3" s="11">
        <f>INDEX([1]Pharma!$F$1:$F$1000,MATCH("AKBA",[1]Pharma!$B$1:$B$1000,0))</f>
        <v>0.6181</v>
      </c>
      <c r="F3" s="1" t="n"/>
    </row>
    <row r="4">
      <c r="B4" t="inlineStr">
        <is>
          <t>Shares</t>
        </is>
      </c>
      <c r="C4" s="51" t="n">
        <v>277.106245</v>
      </c>
      <c r="F4" s="1" t="n"/>
    </row>
    <row r="5">
      <c r="B5" t="inlineStr">
        <is>
          <t>Market Cap.</t>
        </is>
      </c>
      <c r="C5" s="13">
        <f>C3*C4</f>
        <v>171.2793700345</v>
      </c>
      <c r="F5" s="1" t="n"/>
    </row>
    <row r="6"/>
    <row r="7">
      <c r="B7" t="inlineStr">
        <is>
          <t>Cash</t>
        </is>
      </c>
      <c r="C7" s="51" t="n">
        <v>155.548</v>
      </c>
    </row>
    <row r="8">
      <c r="B8" t="inlineStr">
        <is>
          <t>Debt</t>
        </is>
      </c>
      <c r="C8" s="51">
        <f>24.809+24.754</f>
        <v>49.563</v>
      </c>
    </row>
    <row r="9">
      <c r="B9" t="inlineStr">
        <is>
          <t>Enterprise V.</t>
        </is>
      </c>
      <c r="C9" s="13">
        <f>C5-C7+C8</f>
        <v>65.2943700345</v>
      </c>
    </row>
    <row r="10"/>
    <row r="11">
      <c r="B11" s="14" t="inlineStr">
        <is>
          <t>NPV / Share</t>
        </is>
      </c>
      <c r="C11" s="11">
        <f>NPV!B28</f>
        <v>0.8979532044541487</v>
      </c>
    </row>
    <row r="12">
      <c r="B12" s="14" t="inlineStr">
        <is>
          <t>Upside</t>
        </is>
      </c>
      <c r="C12" s="15">
        <f>IFERROR(C11/C3-1,"")</f>
        <v>0.45276363768669925</v>
      </c>
    </row>
    <row r="13">
      <c r="B13" s="14" t="inlineStr">
        <is>
          <t>Cash / Share</t>
        </is>
      </c>
      <c r="C13" s="11">
        <f>IFERROR((C7-C8)/C4,"")</f>
        <v>0.3824706296316057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2012</v>
      </c>
      <c r="C1" s="16" t="n">
        <v>2013</v>
      </c>
      <c r="D1" s="16" t="n">
        <v>2014</v>
      </c>
      <c r="E1" s="16" t="n">
        <v>2015</v>
      </c>
      <c r="F1" s="16" t="n">
        <v>2016</v>
      </c>
      <c r="G1" s="16" t="n">
        <v>2017</v>
      </c>
      <c r="H1" s="16" t="n">
        <v>2018</v>
      </c>
      <c r="I1" s="16" t="n">
        <v>2019</v>
      </c>
      <c r="J1" s="16" t="n">
        <v>2020</v>
      </c>
      <c r="K1" s="16" t="n">
        <v>2021</v>
      </c>
      <c r="L1" s="16" t="n">
        <v>2022</v>
      </c>
      <c r="M1" s="16" t="n">
        <v>2023</v>
      </c>
      <c r="N1" s="16" t="n">
        <v>2024</v>
      </c>
      <c r="O1" s="16" t="n">
        <v>2025</v>
      </c>
      <c r="P1" s="16" t="n">
        <v>2026</v>
      </c>
      <c r="Q1" s="16" t="n">
        <v>2027</v>
      </c>
      <c r="R1" s="16" t="n">
        <v>2028</v>
      </c>
      <c r="S1" s="16" t="n">
        <v>2029</v>
      </c>
      <c r="T1" s="16" t="n">
        <v>2030</v>
      </c>
      <c r="U1" s="16" t="n">
        <v>2031</v>
      </c>
      <c r="V1" s="16" t="n">
        <v>2032</v>
      </c>
      <c r="W1" s="16" t="n">
        <v>2033</v>
      </c>
      <c r="X1" s="16" t="n">
        <v>2034</v>
      </c>
      <c r="Y1" s="16" t="n">
        <v>2035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1.535</v>
      </c>
      <c r="G2" s="52" t="n">
        <v>181.227</v>
      </c>
      <c r="H2" s="52" t="n">
        <v>207.742</v>
      </c>
      <c r="I2" s="52" t="n">
        <v>335.001</v>
      </c>
      <c r="J2" s="52" t="n">
        <v>294.644</v>
      </c>
      <c r="K2" s="52" t="n">
        <v>211.65</v>
      </c>
      <c r="L2" s="52" t="n">
        <v>292.484</v>
      </c>
      <c r="M2" s="52" t="n">
        <v>194.623</v>
      </c>
      <c r="N2" s="52" t="n">
        <v>160.18</v>
      </c>
      <c r="O2" s="52" t="n">
        <v>236.196</v>
      </c>
      <c r="P2" s="52">
        <f>O2*(1+NPV!C5)</f>
        <v>212.5764</v>
      </c>
      <c r="Q2" s="52">
        <f>P2*(1+NPV!D5)</f>
        <v>194.27121</v>
      </c>
      <c r="R2" s="52">
        <f>Q2*(1+NPV!E5)</f>
        <v>180.2405115</v>
      </c>
      <c r="S2" s="52">
        <f>R2*(1+NPV!F5)</f>
        <v>169.7264816625</v>
      </c>
      <c r="T2" s="52">
        <f>S2*(1+NPV!G5)</f>
        <v>162.1830824775</v>
      </c>
      <c r="U2" s="52">
        <f>T2*(1+NPV!H5)</f>
        <v>157.2274882906875</v>
      </c>
      <c r="V2" s="52">
        <f>U2*(1+NPV!I5)</f>
        <v>154.60703015250937</v>
      </c>
      <c r="W2" s="52">
        <f>V2*(1+NPV!J5)</f>
        <v>154.1775661798635</v>
      </c>
      <c r="X2" s="52">
        <f>W2*(1+NPV!K5)</f>
        <v>155.89065024852866</v>
      </c>
      <c r="Y2" s="52">
        <f>X2*(1+NPV!L5)</f>
        <v>159.78791650474187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7.768</v>
      </c>
      <c r="I3" s="52" t="n">
        <v>145.336</v>
      </c>
      <c r="J3" s="52" t="n">
        <v>296.477</v>
      </c>
      <c r="K3" s="52" t="n">
        <v>150.671</v>
      </c>
      <c r="L3" s="52" t="n">
        <v>85.568</v>
      </c>
      <c r="M3" s="52" t="n">
        <v>74.149</v>
      </c>
      <c r="N3" s="52" t="n">
        <v>63.177</v>
      </c>
      <c r="O3" s="52" t="n">
        <v>39.462</v>
      </c>
      <c r="P3" s="52">
        <f>P2*(1-Assumptions!$B$19)</f>
        <v>35.521516440000006</v>
      </c>
      <c r="Q3" s="52">
        <f>Q2*(1-Assumptions!$B$19)</f>
        <v>32.462719191000005</v>
      </c>
      <c r="R3" s="52">
        <f>R2*(1-Assumptions!$B$19)</f>
        <v>30.118189471650005</v>
      </c>
      <c r="S3" s="52">
        <f>S2*(1-Assumptions!$B$19)</f>
        <v>28.361295085803754</v>
      </c>
      <c r="T3" s="52">
        <f>T2*(1-Assumptions!$B$19)</f>
        <v>27.100793081990254</v>
      </c>
      <c r="U3" s="52">
        <f>U2*(1-Assumptions!$B$19)</f>
        <v>26.272713293373883</v>
      </c>
      <c r="V3" s="52">
        <f>V2*(1-Assumptions!$B$19)</f>
        <v>25.834834738484318</v>
      </c>
      <c r="W3" s="52">
        <f>W2*(1-Assumptions!$B$19)</f>
        <v>25.763071308655196</v>
      </c>
      <c r="X3" s="52">
        <f>X2*(1-Assumptions!$B$19)</f>
        <v>26.049327656529144</v>
      </c>
      <c r="Y3" s="52">
        <f>Y2*(1-Assumptions!$B$19)</f>
        <v>26.70056084794237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1.535</v>
      </c>
      <c r="G4" s="52">
        <f>G2-G3</f>
        <v>181.227</v>
      </c>
      <c r="H4" s="52">
        <f>H2-H3</f>
        <v>199.974</v>
      </c>
      <c r="I4" s="52">
        <f>I2-I3</f>
        <v>189.66499999999996</v>
      </c>
      <c r="J4" s="52">
        <f>J2-J3</f>
        <v>-1.83299999999997</v>
      </c>
      <c r="K4" s="52">
        <f>K2-K3</f>
        <v>60.97900000000001</v>
      </c>
      <c r="L4" s="52">
        <f>L2-L3</f>
        <v>206.916</v>
      </c>
      <c r="M4" s="52">
        <f>M2-M3</f>
        <v>120.47399999999999</v>
      </c>
      <c r="N4" s="52">
        <f>N2-N3</f>
        <v>97.00300000000001</v>
      </c>
      <c r="O4" s="52">
        <f>O2-O3</f>
        <v>196.73399999999998</v>
      </c>
      <c r="P4" s="52">
        <f>P2-P3</f>
        <v>177.05488356</v>
      </c>
      <c r="Q4" s="52">
        <f>Q2-Q3</f>
        <v>161.80849080899998</v>
      </c>
      <c r="R4" s="52">
        <f>R2-R3</f>
        <v>150.12232202835</v>
      </c>
      <c r="S4" s="52">
        <f>S2-S3</f>
        <v>141.36518657669623</v>
      </c>
      <c r="T4" s="52">
        <f>T2-T3</f>
        <v>135.08228939550975</v>
      </c>
      <c r="U4" s="52">
        <f>U2-U3</f>
        <v>130.95477499731362</v>
      </c>
      <c r="V4" s="52">
        <f>V2-V3</f>
        <v>128.77219541402505</v>
      </c>
      <c r="W4" s="52">
        <f>W2-W3</f>
        <v>128.41449487120832</v>
      </c>
      <c r="X4" s="52">
        <f>X2-X3</f>
        <v>129.84132259199953</v>
      </c>
      <c r="Y4" s="52">
        <f>Y2-Y3</f>
        <v>133.0873556567995</v>
      </c>
    </row>
    <row r="5">
      <c r="A5" s="2" t="inlineStr">
        <is>
          <t>Research &amp; Dev.</t>
        </is>
      </c>
      <c r="B5" s="52" t="n">
        <v>5.632</v>
      </c>
      <c r="C5" s="52" t="n">
        <v>8.901999999999999</v>
      </c>
      <c r="D5" s="52" t="n">
        <v>23.263</v>
      </c>
      <c r="E5" s="52" t="n">
        <v>43.016</v>
      </c>
      <c r="F5" s="52" t="n">
        <v>115.785</v>
      </c>
      <c r="G5" s="52" t="n">
        <v>230.893</v>
      </c>
      <c r="H5" s="52" t="n">
        <v>291.007</v>
      </c>
      <c r="I5" s="52" t="n">
        <v>322.969</v>
      </c>
      <c r="J5" s="52" t="n">
        <v>218.485</v>
      </c>
      <c r="K5" s="52" t="n">
        <v>147.852</v>
      </c>
      <c r="L5" s="52" t="n">
        <v>129.986</v>
      </c>
      <c r="M5" s="52" t="n">
        <v>63.079</v>
      </c>
      <c r="N5" s="52" t="n">
        <v>37.652</v>
      </c>
      <c r="O5" s="52" t="n">
        <v>62.359</v>
      </c>
      <c r="P5" s="52">
        <f>P7*Assumptions!$B$20</f>
        <v>66.961566</v>
      </c>
      <c r="Q5" s="52">
        <f>Q7*Assumptions!$B$20</f>
        <v>59.31410875235999</v>
      </c>
      <c r="R5" s="52">
        <f>R7*Assumptions!$B$20</f>
        <v>53.28486289576799</v>
      </c>
      <c r="S5" s="52">
        <f>S7*Assumptions!$B$20</f>
        <v>48.532947978428545</v>
      </c>
      <c r="T5" s="52">
        <f>T7*Assumptions!$B$20</f>
        <v>44.80534709756405</v>
      </c>
      <c r="U5" s="52">
        <f>U7*Assumptions!$B$20</f>
        <v>41.913703828531474</v>
      </c>
      <c r="V5" s="52">
        <f>V7*Assumptions!$B$20</f>
        <v>39.71792761805905</v>
      </c>
      <c r="W5" s="52">
        <f>W7*Assumptions!$B$20</f>
        <v>38.11454449045642</v>
      </c>
      <c r="X5" s="52">
        <f>X7*Assumptions!$B$20</f>
        <v>37.02839437223251</v>
      </c>
      <c r="Y5" s="52">
        <f>Y7*Assumptions!$B$20</f>
        <v>36.406718048106406</v>
      </c>
    </row>
    <row r="6">
      <c r="A6" s="18" t="inlineStr">
        <is>
          <t>SG&amp;A &amp; Other</t>
        </is>
      </c>
      <c r="B6" s="52" t="n">
        <v>2.891</v>
      </c>
      <c r="C6" s="52" t="n">
        <v>7.031</v>
      </c>
      <c r="D6" s="52" t="n">
        <v>14.677</v>
      </c>
      <c r="E6" s="52" t="n">
        <v>18.497</v>
      </c>
      <c r="F6" s="52" t="n">
        <v>22.21</v>
      </c>
      <c r="G6" s="52" t="n">
        <v>27.008</v>
      </c>
      <c r="H6" s="52" t="n">
        <v>87.128</v>
      </c>
      <c r="I6" s="52" t="n">
        <v>152.984</v>
      </c>
      <c r="J6" s="52" t="n">
        <v>157.508</v>
      </c>
      <c r="K6" s="52" t="n">
        <v>177.629</v>
      </c>
      <c r="L6" s="52" t="n">
        <v>157.709</v>
      </c>
      <c r="M6" s="52" t="n">
        <v>103.651</v>
      </c>
      <c r="N6" s="52" t="n">
        <v>109.823</v>
      </c>
      <c r="O6" s="52" t="n">
        <v>110.876</v>
      </c>
      <c r="P6" s="52">
        <f>P7-P5</f>
        <v>119.04278400000001</v>
      </c>
      <c r="Q6" s="52">
        <f>Q7-Q5</f>
        <v>105.44730444863998</v>
      </c>
      <c r="R6" s="52">
        <f>R7-R5</f>
        <v>94.728645148032</v>
      </c>
      <c r="S6" s="52">
        <f>S7-S5</f>
        <v>86.28079640609519</v>
      </c>
      <c r="T6" s="52">
        <f>T7-T5</f>
        <v>79.65395039566944</v>
      </c>
      <c r="U6" s="52">
        <f>U7-U5</f>
        <v>74.51325125072262</v>
      </c>
      <c r="V6" s="52">
        <f>V7-V5</f>
        <v>70.60964909877164</v>
      </c>
      <c r="W6" s="52">
        <f>W7-W5</f>
        <v>67.75919020525586</v>
      </c>
      <c r="X6" s="52">
        <f>X7-X5</f>
        <v>65.82825666174669</v>
      </c>
      <c r="Y6" s="52">
        <f>Y7-Y5</f>
        <v>64.72305430774472</v>
      </c>
    </row>
    <row r="7">
      <c r="A7" s="2" t="inlineStr">
        <is>
          <t>Operating Expense</t>
        </is>
      </c>
      <c r="B7" s="52">
        <f>SUM(B5:B6)</f>
        <v>8.523</v>
      </c>
      <c r="C7" s="52">
        <f>SUM(C5:C6)</f>
        <v>15.933</v>
      </c>
      <c r="D7" s="52">
        <f>SUM(D5:D6)</f>
        <v>37.94</v>
      </c>
      <c r="E7" s="52">
        <f>SUM(E5:E6)</f>
        <v>61.513</v>
      </c>
      <c r="F7" s="52">
        <f>SUM(F5:F6)</f>
        <v>137.995</v>
      </c>
      <c r="G7" s="52">
        <f>SUM(G5:G6)</f>
        <v>257.901</v>
      </c>
      <c r="H7" s="52">
        <f>SUM(H5:H6)</f>
        <v>378.135</v>
      </c>
      <c r="I7" s="52">
        <f>SUM(I5:I6)</f>
        <v>475.953</v>
      </c>
      <c r="J7" s="52">
        <f>SUM(J5:J6)</f>
        <v>375.99300000000005</v>
      </c>
      <c r="K7" s="52">
        <f>SUM(K5:K6)</f>
        <v>325.481</v>
      </c>
      <c r="L7" s="52">
        <f>SUM(L5:L6)</f>
        <v>287.695</v>
      </c>
      <c r="M7" s="52">
        <f>SUM(M5:M6)</f>
        <v>166.73</v>
      </c>
      <c r="N7" s="52">
        <f>SUM(N5:N6)</f>
        <v>147.475</v>
      </c>
      <c r="O7" s="52">
        <f>SUM(O5:O6)</f>
        <v>173.235</v>
      </c>
      <c r="P7" s="52">
        <f>P4-P2*NPV!C6</f>
        <v>186.00435000000002</v>
      </c>
      <c r="Q7" s="52">
        <f>Q4-Q2*NPV!D6</f>
        <v>164.76141320099998</v>
      </c>
      <c r="R7" s="52">
        <f>R4-R2*NPV!E6</f>
        <v>148.0135080438</v>
      </c>
      <c r="S7" s="52">
        <f>S4-S2*NPV!F6</f>
        <v>134.81374438452374</v>
      </c>
      <c r="T7" s="52">
        <f>T4-T2*NPV!G6</f>
        <v>124.45929749323349</v>
      </c>
      <c r="U7" s="52">
        <f>U4-U2*NPV!H6</f>
        <v>116.4269550792541</v>
      </c>
      <c r="V7" s="52">
        <f>V4-V2*NPV!I6</f>
        <v>110.32757671683069</v>
      </c>
      <c r="W7" s="52">
        <f>W4-W2*NPV!J6</f>
        <v>105.87373469571227</v>
      </c>
      <c r="X7" s="52">
        <f>X4-X2*NPV!K6</f>
        <v>102.8566510339792</v>
      </c>
      <c r="Y7" s="52">
        <f>Y4-Y2*NPV!L6</f>
        <v>101.12977235585113</v>
      </c>
    </row>
    <row r="8">
      <c r="A8" s="2" t="inlineStr">
        <is>
          <t>Operating Income</t>
        </is>
      </c>
      <c r="B8" s="52">
        <f>B4-B7</f>
        <v>-8.523</v>
      </c>
      <c r="C8" s="52">
        <f>C4-C7</f>
        <v>-15.933</v>
      </c>
      <c r="D8" s="52">
        <f>D4-D7</f>
        <v>-37.94</v>
      </c>
      <c r="E8" s="52">
        <f>E4-E7</f>
        <v>-61.513</v>
      </c>
      <c r="F8" s="52">
        <f>F4-F7</f>
        <v>-136.46</v>
      </c>
      <c r="G8" s="52">
        <f>G4-G7</f>
        <v>-76.674</v>
      </c>
      <c r="H8" s="52">
        <f>H4-H7</f>
        <v>-178.161</v>
      </c>
      <c r="I8" s="52">
        <f>I4-I7</f>
        <v>-286.288</v>
      </c>
      <c r="J8" s="52">
        <f>J4-J7</f>
        <v>-377.826</v>
      </c>
      <c r="K8" s="52">
        <f>K4-K7</f>
        <v>-264.50199999999995</v>
      </c>
      <c r="L8" s="52">
        <f>L4-L7</f>
        <v>-80.779</v>
      </c>
      <c r="M8" s="52">
        <f>M4-M7</f>
        <v>-46.256</v>
      </c>
      <c r="N8" s="52">
        <f>N4-N7</f>
        <v>-50.47199999999998</v>
      </c>
      <c r="O8" s="52">
        <f>O4-O7</f>
        <v>23.498999999999967</v>
      </c>
      <c r="P8" s="52">
        <f>P4-P7</f>
        <v>-8.949466440000009</v>
      </c>
      <c r="Q8" s="52">
        <f>Q4-Q7</f>
        <v>-2.952922392000005</v>
      </c>
      <c r="R8" s="52">
        <f>R4-R7</f>
        <v>2.108813984550011</v>
      </c>
      <c r="S8" s="52">
        <f>S4-S7</f>
        <v>6.5514421921724875</v>
      </c>
      <c r="T8" s="52">
        <f>T4-T7</f>
        <v>10.622991902276254</v>
      </c>
      <c r="U8" s="52">
        <f>U4-U7</f>
        <v>14.52781991805952</v>
      </c>
      <c r="V8" s="52">
        <f>V4-V7</f>
        <v>18.444618697194358</v>
      </c>
      <c r="W8" s="52">
        <f>W4-W7</f>
        <v>22.540760175496047</v>
      </c>
      <c r="X8" s="52">
        <f>X4-X7</f>
        <v>26.984671558020324</v>
      </c>
      <c r="Y8" s="52">
        <f>Y4-Y7</f>
        <v>31.95758330094837</v>
      </c>
    </row>
    <row r="9">
      <c r="A9" s="18" t="inlineStr">
        <is>
          <t>Interest &amp; Other</t>
        </is>
      </c>
      <c r="B9" s="52" t="n">
        <v>0.327</v>
      </c>
      <c r="C9" s="52" t="n">
        <v>2.766</v>
      </c>
      <c r="D9" s="52" t="n">
        <v>0.906</v>
      </c>
      <c r="E9" s="52" t="n">
        <v>0.797</v>
      </c>
      <c r="F9" s="52" t="n">
        <v>0.713</v>
      </c>
      <c r="G9" s="52" t="n">
        <v>3.003</v>
      </c>
      <c r="H9" s="52" t="n">
        <v>6.235</v>
      </c>
      <c r="I9" s="52" t="n">
        <v>-0.002</v>
      </c>
      <c r="J9" s="52" t="n">
        <v>-7.015</v>
      </c>
      <c r="K9" s="52" t="n">
        <v>-17.498</v>
      </c>
      <c r="L9" s="52" t="n">
        <v>-13.421</v>
      </c>
      <c r="M9" s="52" t="n">
        <v>-5.644</v>
      </c>
      <c r="N9" s="52" t="n">
        <v>-18.928</v>
      </c>
      <c r="O9" s="52" t="n">
        <v>-27.175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</row>
    <row r="10">
      <c r="A10" s="2" t="inlineStr">
        <is>
          <t>Pretax</t>
        </is>
      </c>
      <c r="B10" s="52">
        <f>B8+B9</f>
        <v>-8.196</v>
      </c>
      <c r="C10" s="52">
        <f>C8+C9</f>
        <v>-13.167</v>
      </c>
      <c r="D10" s="52">
        <f>D8+D9</f>
        <v>-37.034</v>
      </c>
      <c r="E10" s="52">
        <f>E8+E9</f>
        <v>-60.716</v>
      </c>
      <c r="F10" s="52">
        <f>F8+F9</f>
        <v>-135.747</v>
      </c>
      <c r="G10" s="52">
        <f>G8+G9</f>
        <v>-73.671</v>
      </c>
      <c r="H10" s="52">
        <f>H8+H9</f>
        <v>-171.926</v>
      </c>
      <c r="I10" s="52">
        <f>I8+I9</f>
        <v>-286.29</v>
      </c>
      <c r="J10" s="52">
        <f>J8+J9</f>
        <v>-384.841</v>
      </c>
      <c r="K10" s="52">
        <f>K8+K9</f>
        <v>-281.99999999999994</v>
      </c>
      <c r="L10" s="52">
        <f>L8+L9</f>
        <v>-94.19999999999999</v>
      </c>
      <c r="M10" s="52">
        <f>M8+M9</f>
        <v>-51.9</v>
      </c>
      <c r="N10" s="52">
        <f>N8+N9</f>
        <v>-69.39999999999998</v>
      </c>
      <c r="O10" s="52">
        <f>O8+O9</f>
        <v>-3.676000000000034</v>
      </c>
      <c r="P10" s="52">
        <f>P8+P9</f>
        <v>-8.949466440000009</v>
      </c>
      <c r="Q10" s="52">
        <f>Q8+Q9</f>
        <v>-2.952922392000005</v>
      </c>
      <c r="R10" s="52">
        <f>R8+R9</f>
        <v>2.108813984550011</v>
      </c>
      <c r="S10" s="52">
        <f>S8+S9</f>
        <v>6.5514421921724875</v>
      </c>
      <c r="T10" s="52">
        <f>T8+T9</f>
        <v>10.622991902276254</v>
      </c>
      <c r="U10" s="52">
        <f>U8+U9</f>
        <v>14.52781991805952</v>
      </c>
      <c r="V10" s="52">
        <f>V8+V9</f>
        <v>18.444618697194358</v>
      </c>
      <c r="W10" s="52">
        <f>W8+W9</f>
        <v>22.540760175496047</v>
      </c>
      <c r="X10" s="52">
        <f>X8+X9</f>
        <v>26.984671558020324</v>
      </c>
      <c r="Y10" s="52">
        <f>Y8+Y9</f>
        <v>31.95758330094837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-28.338</v>
      </c>
      <c r="I11" s="52" t="n">
        <v>-6.631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1.624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0.3584983773735019</v>
      </c>
      <c r="S11" s="52">
        <f>MAX(0,S10)*Assumptions!$E$14</f>
        <v>1.113745172669323</v>
      </c>
      <c r="T11" s="52">
        <f>MAX(0,T10)*Assumptions!$E$14</f>
        <v>1.8059086233869635</v>
      </c>
      <c r="U11" s="52">
        <f>MAX(0,U10)*Assumptions!$E$14</f>
        <v>2.4697293860701186</v>
      </c>
      <c r="V11" s="52">
        <f>MAX(0,V10)*Assumptions!$E$14</f>
        <v>3.135585178523041</v>
      </c>
      <c r="W11" s="52">
        <f>MAX(0,W10)*Assumptions!$E$14</f>
        <v>3.831929229834328</v>
      </c>
      <c r="X11" s="52">
        <f>MAX(0,X10)*Assumptions!$E$14</f>
        <v>4.587394164863455</v>
      </c>
      <c r="Y11" s="52">
        <f>MAX(0,Y10)*Assumptions!$E$14</f>
        <v>5.432789161161224</v>
      </c>
    </row>
    <row r="12">
      <c r="A12" s="2" t="inlineStr">
        <is>
          <t>Net Income</t>
        </is>
      </c>
      <c r="B12" s="52" t="n">
        <v>-8.196</v>
      </c>
      <c r="C12" s="52" t="n">
        <v>-13.167</v>
      </c>
      <c r="D12" s="52" t="n">
        <v>-37.034</v>
      </c>
      <c r="E12" s="52" t="n">
        <v>-60.716</v>
      </c>
      <c r="F12" s="52" t="n">
        <v>-135.747</v>
      </c>
      <c r="G12" s="52" t="n">
        <v>-73.67100000000001</v>
      </c>
      <c r="H12" s="52" t="n">
        <v>-143.588</v>
      </c>
      <c r="I12" s="52" t="n">
        <v>-279.659</v>
      </c>
      <c r="J12" s="52" t="n">
        <v>-384.841</v>
      </c>
      <c r="K12" s="52" t="n">
        <v>-282</v>
      </c>
      <c r="L12" s="52" t="n">
        <v>-94.2</v>
      </c>
      <c r="M12" s="52" t="n">
        <v>-51.9</v>
      </c>
      <c r="N12" s="52" t="n">
        <v>-69.40000000000001</v>
      </c>
      <c r="O12" s="52" t="n">
        <v>-5.3</v>
      </c>
      <c r="P12" s="52">
        <f>P10-P11</f>
        <v>-8.949466440000009</v>
      </c>
      <c r="Q12" s="52">
        <f>Q10-Q11</f>
        <v>-2.952922392000005</v>
      </c>
      <c r="R12" s="52">
        <f>R10-R11</f>
        <v>1.7503156071765091</v>
      </c>
      <c r="S12" s="52">
        <f>S10-S11</f>
        <v>5.437697019503164</v>
      </c>
      <c r="T12" s="52">
        <f>T10-T11</f>
        <v>8.81708327888929</v>
      </c>
      <c r="U12" s="52">
        <f>U10-U11</f>
        <v>12.058090531989402</v>
      </c>
      <c r="V12" s="52">
        <f>V10-V11</f>
        <v>15.309033518671317</v>
      </c>
      <c r="W12" s="52">
        <f>W10-W11</f>
        <v>18.708830945661717</v>
      </c>
      <c r="X12" s="52">
        <f>X10-X11</f>
        <v>22.39727739315687</v>
      </c>
      <c r="Y12" s="52">
        <f>Y10-Y11</f>
        <v>26.524794139787147</v>
      </c>
    </row>
    <row r="13">
      <c r="A13" s="2" t="inlineStr">
        <is>
          <t>Earnings per Share</t>
        </is>
      </c>
      <c r="B13" s="11">
        <f>IFERROR(B12/B14,0)</f>
        <v>-0.34636352110890417</v>
      </c>
      <c r="C13" s="11">
        <f>IFERROR(C12/C14,0)</f>
        <v>-0.42356687898089174</v>
      </c>
      <c r="D13" s="11">
        <f>IFERROR(D12/D14,0)</f>
        <v>-1.2018953039301594</v>
      </c>
      <c r="E13" s="11">
        <f>IFERROR(E12/E14,0)</f>
        <v>-1.14692659337338</v>
      </c>
      <c r="F13" s="11">
        <f>IFERROR(F12/F14,0)</f>
        <v>-1.7995466235384576</v>
      </c>
      <c r="G13" s="11">
        <f>IFERROR(G12/G14,0)</f>
        <v>-0.8467736373876463</v>
      </c>
      <c r="H13" s="11">
        <f>IFERROR(H12/H14,0)</f>
        <v>-1.2370064698432937</v>
      </c>
      <c r="I13" s="11">
        <f>IFERROR(I12/I14,0)</f>
        <v>-2.3620645967769183</v>
      </c>
      <c r="J13" s="11">
        <f>IFERROR(J12/J14,0)</f>
        <v>-2.7793778843445542</v>
      </c>
      <c r="K13" s="11">
        <f>IFERROR(K12/K14,0)</f>
        <v>-1.6993070201868035</v>
      </c>
      <c r="L13" s="11">
        <f>IFERROR(L12/L14,0)</f>
        <v>-0.5153652144893125</v>
      </c>
      <c r="M13" s="11">
        <f>IFERROR(M12/M14,0)</f>
        <v>-0.2768516789800763</v>
      </c>
      <c r="N13" s="11">
        <f>IFERROR(N12/N14,0)</f>
        <v>-0.32899259055592167</v>
      </c>
      <c r="O13" s="11">
        <f>IFERROR(O12/O14,0)</f>
        <v>-0.0206098974171521</v>
      </c>
      <c r="P13" s="11">
        <f>IFERROR(P12/P14,0)</f>
        <v>-0.03229615572178826</v>
      </c>
      <c r="Q13" s="11">
        <f>IFERROR(Q12/Q14,0)</f>
        <v>-0.010656282365632016</v>
      </c>
      <c r="R13" s="11">
        <f>IFERROR(R12/R14,0)</f>
        <v>0.00631640621154716</v>
      </c>
      <c r="S13" s="11">
        <f>IFERROR(S12/S14,0)</f>
        <v>0.019623148585132623</v>
      </c>
      <c r="T13" s="11">
        <f>IFERROR(T12/T14,0)</f>
        <v>0.031818421410492896</v>
      </c>
      <c r="U13" s="11">
        <f>IFERROR(U12/U14,0)</f>
        <v>0.04351432257324046</v>
      </c>
      <c r="V13" s="11">
        <f>IFERROR(V12/V14,0)</f>
        <v>0.05524607905776832</v>
      </c>
      <c r="W13" s="11">
        <f>IFERROR(W12/W14,0)</f>
        <v>0.0675150101567062</v>
      </c>
      <c r="X13" s="11">
        <f>IFERROR(X12/X14,0)</f>
        <v>0.08082559594843079</v>
      </c>
      <c r="Y13" s="11">
        <f>IFERROR(Y12/Y14,0)</f>
        <v>0.09572066533465223</v>
      </c>
    </row>
    <row r="14">
      <c r="A14" s="2" t="inlineStr">
        <is>
          <t>Shares</t>
        </is>
      </c>
      <c r="B14" s="52" t="n">
        <v>23.663</v>
      </c>
      <c r="C14" s="52" t="n">
        <v>31.086</v>
      </c>
      <c r="D14" s="52" t="n">
        <v>30.813</v>
      </c>
      <c r="E14" s="52" t="n">
        <v>52.938</v>
      </c>
      <c r="F14" s="52" t="n">
        <v>75.434</v>
      </c>
      <c r="G14" s="52" t="n">
        <v>87.002</v>
      </c>
      <c r="H14" s="52" t="n">
        <v>116.077</v>
      </c>
      <c r="I14" s="52" t="n">
        <v>118.396</v>
      </c>
      <c r="J14" s="52" t="n">
        <v>138.463</v>
      </c>
      <c r="K14" s="52" t="n">
        <v>165.95</v>
      </c>
      <c r="L14" s="52" t="n">
        <v>182.783</v>
      </c>
      <c r="M14" s="52" t="n">
        <v>187.465</v>
      </c>
      <c r="N14" s="52" t="n">
        <v>210.947</v>
      </c>
      <c r="O14" s="52" t="n">
        <v>257.158</v>
      </c>
      <c r="P14" s="52">
        <f>Main!$C$4</f>
        <v>277.106245</v>
      </c>
      <c r="Q14" s="52">
        <f>Main!$C$4</f>
        <v>277.106245</v>
      </c>
      <c r="R14" s="52">
        <f>Main!$C$4</f>
        <v>277.106245</v>
      </c>
      <c r="S14" s="52">
        <f>Main!$C$4</f>
        <v>277.106245</v>
      </c>
      <c r="T14" s="52">
        <f>Main!$C$4</f>
        <v>277.106245</v>
      </c>
      <c r="U14" s="52">
        <f>Main!$C$4</f>
        <v>277.106245</v>
      </c>
      <c r="V14" s="52">
        <f>Main!$C$4</f>
        <v>277.106245</v>
      </c>
      <c r="W14" s="52">
        <f>Main!$C$4</f>
        <v>277.106245</v>
      </c>
      <c r="X14" s="52">
        <f>Main!$C$4</f>
        <v>277.106245</v>
      </c>
      <c r="Y14" s="52">
        <f>Main!$C$4</f>
        <v>277.106245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117.06319218241043</v>
      </c>
      <c r="H16" s="15">
        <f>IFERROR(H2/G2-1,"")</f>
        <v>0.1463082211811706</v>
      </c>
      <c r="I16" s="15">
        <f>IFERROR(I2/H2-1,"")</f>
        <v>0.6125819526143004</v>
      </c>
      <c r="J16" s="15">
        <f>IFERROR(J2/I2-1,"")</f>
        <v>-0.12046829710956075</v>
      </c>
      <c r="K16" s="15">
        <f>IFERROR(K2/J2-1,"")</f>
        <v>-0.2816755135010386</v>
      </c>
      <c r="L16" s="15">
        <f>IFERROR(L2/K2-1,"")</f>
        <v>0.38192298606189445</v>
      </c>
      <c r="M16" s="15">
        <f>IFERROR(M2/L2-1,"")</f>
        <v>-0.33458582349803745</v>
      </c>
      <c r="N16" s="15">
        <f>IFERROR(N2/M2-1,"")</f>
        <v>-0.17697291687005123</v>
      </c>
      <c r="O16" s="15">
        <f>IFERROR(O2/N2-1,"")</f>
        <v>0.4745661131227368</v>
      </c>
      <c r="P16" s="15">
        <f>IFERROR(P2/O2-1,"")</f>
        <v>-0.09999999999999998</v>
      </c>
      <c r="Q16" s="15">
        <f>IFERROR(Q2/P2-1,"")</f>
        <v>-0.08611111111111114</v>
      </c>
      <c r="R16" s="15">
        <f>IFERROR(R2/Q2-1,"")</f>
        <v>-0.07222222222222219</v>
      </c>
      <c r="S16" s="15">
        <f>IFERROR(S2/R2-1,"")</f>
        <v>-0.05833333333333335</v>
      </c>
      <c r="T16" s="15">
        <f>IFERROR(T2/S2-1,"")</f>
        <v>-0.0444444444444444</v>
      </c>
      <c r="U16" s="15">
        <f>IFERROR(U2/T2-1,"")</f>
        <v>-0.030555555555555558</v>
      </c>
      <c r="V16" s="15">
        <f>IFERROR(V2/U2-1,"")</f>
        <v>-0.016666666666666607</v>
      </c>
      <c r="W16" s="15">
        <f>IFERROR(W2/V2-1,"")</f>
        <v>-0.002777777777777768</v>
      </c>
      <c r="X16" s="15">
        <f>IFERROR(X2/W2-1,"")</f>
        <v>0.011111111111111072</v>
      </c>
      <c r="Y16" s="15">
        <f>IFERROR(Y2/X2-1,"")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0.9626074650287376</v>
      </c>
      <c r="I17" s="15">
        <f>IFERROR(I4/I2,"")</f>
        <v>0.5661624890671968</v>
      </c>
      <c r="J17" s="15">
        <f>IFERROR(J4/J2,"")</f>
        <v>-0.006221066778892392</v>
      </c>
      <c r="K17" s="15">
        <f>IFERROR(K4/K2,"")</f>
        <v>0.28811244979919687</v>
      </c>
      <c r="L17" s="15">
        <f>IFERROR(L4/L2,"")</f>
        <v>0.7074438259870626</v>
      </c>
      <c r="M17" s="15">
        <f>IFERROR(M4/M2,"")</f>
        <v>0.619012141422134</v>
      </c>
      <c r="N17" s="15">
        <f>IFERROR(N4/N2,"")</f>
        <v>0.6055874641028843</v>
      </c>
      <c r="O17" s="15">
        <f>IFERROR(O4/O2,"")</f>
        <v>0.8329268912259309</v>
      </c>
      <c r="P17" s="15">
        <f>IFERROR(P4/P2,"")</f>
        <v>0.8329</v>
      </c>
      <c r="Q17" s="15">
        <f>IFERROR(Q4/Q2,"")</f>
        <v>0.8328999999999999</v>
      </c>
      <c r="R17" s="15">
        <f>IFERROR(R4/R2,"")</f>
        <v>0.8329</v>
      </c>
      <c r="S17" s="15">
        <f>IFERROR(S4/S2,"")</f>
        <v>0.8329</v>
      </c>
      <c r="T17" s="15">
        <f>IFERROR(T4/T2,"")</f>
        <v>0.8329</v>
      </c>
      <c r="U17" s="15">
        <f>IFERROR(U4/U2,"")</f>
        <v>0.8329000000000001</v>
      </c>
      <c r="V17" s="15">
        <f>IFERROR(V4/V2,"")</f>
        <v>0.8329</v>
      </c>
      <c r="W17" s="15">
        <f>IFERROR(W4/W2,"")</f>
        <v>0.8329000000000001</v>
      </c>
      <c r="X17" s="15">
        <f>IFERROR(X4/X2,"")</f>
        <v>0.8329000000000001</v>
      </c>
      <c r="Y17" s="15">
        <f>IFERROR(Y4/Y2,"")</f>
        <v>0.8329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-88.89902280130295</v>
      </c>
      <c r="G18" s="15">
        <f>IFERROR(G8/G2,"")</f>
        <v>-0.42308265324703276</v>
      </c>
      <c r="H18" s="15">
        <f>IFERROR(H8/H2,"")</f>
        <v>-0.8576070317990585</v>
      </c>
      <c r="I18" s="15">
        <f>IFERROR(I8/I2,"")</f>
        <v>-0.8545884937656903</v>
      </c>
      <c r="J18" s="15">
        <f>IFERROR(J8/J2,"")</f>
        <v>-1.2823135716322072</v>
      </c>
      <c r="K18" s="15">
        <f>IFERROR(K8/K2,"")</f>
        <v>-1.249714150720529</v>
      </c>
      <c r="L18" s="15">
        <f>IFERROR(L8/L2,"")</f>
        <v>-0.2761826287933699</v>
      </c>
      <c r="M18" s="15">
        <f>IFERROR(M8/M2,"")</f>
        <v>-0.23766975126269763</v>
      </c>
      <c r="N18" s="15">
        <f>IFERROR(N8/N2,"")</f>
        <v>-0.31509551754276427</v>
      </c>
      <c r="O18" s="15">
        <f>IFERROR(O8/O2,"")</f>
        <v>0.09948940710257569</v>
      </c>
      <c r="P18" s="15">
        <f>IFERROR(P8/P2,"")</f>
        <v>-0.04210000000000004</v>
      </c>
      <c r="Q18" s="15">
        <f>IFERROR(Q8/Q2,"")</f>
        <v>-0.015200000000000026</v>
      </c>
      <c r="R18" s="15">
        <f>IFERROR(R8/R2,"")</f>
        <v>0.011700000000000061</v>
      </c>
      <c r="S18" s="15">
        <f>IFERROR(S8/S2,"")</f>
        <v>0.038599999999999926</v>
      </c>
      <c r="T18" s="15">
        <f>IFERROR(T8/T2,"")</f>
        <v>0.06550000000000003</v>
      </c>
      <c r="U18" s="15">
        <f>IFERROR(U8/U2,"")</f>
        <v>0.09239999999999998</v>
      </c>
      <c r="V18" s="15">
        <f>IFERROR(V8/V2,"")</f>
        <v>0.11929999999999993</v>
      </c>
      <c r="W18" s="15">
        <f>IFERROR(W8/W2,"")</f>
        <v>0.14620000000000002</v>
      </c>
      <c r="X18" s="15">
        <f>IFERROR(X8/X2,"")</f>
        <v>0.1731000000000001</v>
      </c>
      <c r="Y18" s="15">
        <f>IFERROR(Y8/Y2,"")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Akebia Therapeutics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-0.06900000000000001</v>
      </c>
    </row>
    <row r="19">
      <c r="A19" s="14" t="inlineStr">
        <is>
          <t>Gross margin (forecast)</t>
        </is>
      </c>
      <c r="B19" s="53" t="n">
        <v>0.8329</v>
      </c>
    </row>
    <row r="20">
      <c r="A20" s="14" t="inlineStr">
        <is>
          <t>R&amp;D share of operating expense (forecast)</t>
        </is>
      </c>
      <c r="B20" s="53" t="n">
        <v>0.36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Model'!O2</f>
        <v>236.196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142.8434406720064</v>
      </c>
      <c r="C29" s="56">
        <f>NPV!B26</f>
        <v>248.82844067200642</v>
      </c>
      <c r="D29" s="35">
        <f>NPV!B28</f>
        <v>0.8979532044541487</v>
      </c>
      <c r="E29" s="57">
        <f>NPV!B30</f>
        <v>0.45276363768669925</v>
      </c>
    </row>
    <row r="30">
      <c r="A30" s="58" t="n">
        <v>1</v>
      </c>
      <c r="B30" s="59">
        <f t="dataTable" ref="B30:E32" r1="B4"/>
        <v>73.11370074575224</v>
      </c>
      <c r="C30" s="59">
        <v>179.09870074575224</v>
      </c>
      <c r="D30" s="39">
        <v>0.6463178076183459</v>
      </c>
      <c r="E30" s="60">
        <v>0.045652495742348975</v>
      </c>
    </row>
    <row r="31">
      <c r="A31" s="58" t="n">
        <v>2</v>
      </c>
      <c r="B31" s="59">
        <v>142.8434406720064</v>
      </c>
      <c r="C31" s="59">
        <v>248.82844067200642</v>
      </c>
      <c r="D31" s="39">
        <v>0.8979532044541487</v>
      </c>
      <c r="E31" s="60">
        <v>0.45276363768669925</v>
      </c>
    </row>
    <row r="32">
      <c r="A32" s="58" t="n">
        <v>3</v>
      </c>
      <c r="B32" s="59">
        <v>275.9786331002162</v>
      </c>
      <c r="C32" s="59">
        <v>381.9636331002162</v>
      </c>
      <c r="D32" s="39">
        <v>1.3784013893307103</v>
      </c>
      <c r="E32" s="60">
        <v>1.2300621086081707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0.8979532044541487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0.9993301615711097</v>
      </c>
      <c r="C37" s="39">
        <v>1.0327418044555858</v>
      </c>
      <c r="D37" s="39">
        <v>1.0704009754024453</v>
      </c>
      <c r="E37" s="39">
        <v>1.1131581954890868</v>
      </c>
      <c r="F37" s="39">
        <v>1.1621070068959858</v>
      </c>
    </row>
    <row r="38">
      <c r="A38" s="62" t="n">
        <v>0.115</v>
      </c>
      <c r="B38" s="39">
        <v>0.9197772499327388</v>
      </c>
      <c r="C38" s="39">
        <v>0.9454320212198811</v>
      </c>
      <c r="D38" s="39">
        <v>0.9739973808373455</v>
      </c>
      <c r="E38" s="39">
        <v>1.005987800111012</v>
      </c>
      <c r="F38" s="39">
        <v>1.042046380504322</v>
      </c>
    </row>
    <row r="39">
      <c r="A39" s="62" t="n">
        <v>0.125</v>
      </c>
      <c r="B39" s="39">
        <v>0.8556530718234617</v>
      </c>
      <c r="C39" s="39">
        <v>0.8757714794870999</v>
      </c>
      <c r="D39" s="39">
        <v>0.8979532044541487</v>
      </c>
      <c r="E39" s="39">
        <v>0.9225247360289287</v>
      </c>
      <c r="F39" s="39">
        <v>0.9498851269057899</v>
      </c>
    </row>
    <row r="40">
      <c r="A40" s="62" t="n">
        <v>0.135</v>
      </c>
      <c r="B40" s="39">
        <v>0.8030286369361501</v>
      </c>
      <c r="C40" s="39">
        <v>0.819080175679795</v>
      </c>
      <c r="D40" s="39">
        <v>0.8366355884722158</v>
      </c>
      <c r="E40" s="39">
        <v>0.8559103104639133</v>
      </c>
      <c r="F40" s="39">
        <v>0.8771628724228026</v>
      </c>
    </row>
    <row r="41">
      <c r="A41" s="62" t="n">
        <v>0.145</v>
      </c>
      <c r="B41" s="39">
        <v>0.7591903150500704</v>
      </c>
      <c r="C41" s="39">
        <v>0.7721825072942372</v>
      </c>
      <c r="D41" s="39">
        <v>0.7862964863850364</v>
      </c>
      <c r="E41" s="39">
        <v>0.8016790833852387</v>
      </c>
      <c r="F41" s="39">
        <v>0.818503833215957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Akebia Therapeutics Inc: free-cash-flow DCF ($mm)</t>
        </is>
      </c>
    </row>
    <row r="3">
      <c r="A3" s="20" t="inlineStr">
        <is>
          <t>Fiscal year</t>
        </is>
      </c>
      <c r="B3" s="43">
        <f>'Yearly Model'!O1</f>
        <v>2025</v>
      </c>
      <c r="C3" s="43">
        <f>'Yearly Model'!P1</f>
        <v>2026</v>
      </c>
      <c r="D3" s="43">
        <f>'Yearly Model'!Q1</f>
        <v>2027</v>
      </c>
      <c r="E3" s="43">
        <f>'Yearly Model'!R1</f>
        <v>2028</v>
      </c>
      <c r="F3" s="43">
        <f>'Yearly Model'!S1</f>
        <v>2029</v>
      </c>
      <c r="G3" s="43">
        <f>'Yearly Model'!T1</f>
        <v>2030</v>
      </c>
      <c r="H3" s="43">
        <f>'Yearly Model'!U1</f>
        <v>2031</v>
      </c>
      <c r="I3" s="43">
        <f>'Yearly Model'!V1</f>
        <v>2032</v>
      </c>
      <c r="J3" s="43">
        <f>'Yearly Model'!W1</f>
        <v>2033</v>
      </c>
      <c r="K3" s="43">
        <f>'Yearly Model'!X1</f>
        <v>2034</v>
      </c>
      <c r="L3" s="43">
        <f>'Yearly Model'!Y1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0.09948940710257569</v>
      </c>
      <c r="C6" s="63">
        <f>Assumptions!$B$18+(Assumptions!$E$13-Assumptions!$B$18)*C4/Assumptions!$B$21</f>
        <v>-0.042100000000000005</v>
      </c>
      <c r="D6" s="63">
        <f>Assumptions!$B$18+(Assumptions!$E$13-Assumptions!$B$18)*D4/Assumptions!$B$21</f>
        <v>-0.015200000000000005</v>
      </c>
      <c r="E6" s="63">
        <f>Assumptions!$B$18+(Assumptions!$E$13-Assumptions!$B$18)*E4/Assumptions!$B$21</f>
        <v>0.011700000000000002</v>
      </c>
      <c r="F6" s="63">
        <f>Assumptions!$B$18+(Assumptions!$E$13-Assumptions!$B$18)*F4/Assumptions!$B$21</f>
        <v>0.038599999999999995</v>
      </c>
      <c r="G6" s="63">
        <f>Assumptions!$B$18+(Assumptions!$E$13-Assumptions!$B$18)*G4/Assumptions!$B$21</f>
        <v>0.0655</v>
      </c>
      <c r="H6" s="63">
        <f>Assumptions!$B$18+(Assumptions!$E$13-Assumptions!$B$18)*H4/Assumptions!$B$21</f>
        <v>0.09240000000000001</v>
      </c>
      <c r="I6" s="63">
        <f>Assumptions!$B$18+(Assumptions!$E$13-Assumptions!$B$18)*I4/Assumptions!$B$21</f>
        <v>0.11929999999999999</v>
      </c>
      <c r="J6" s="63">
        <f>Assumptions!$B$18+(Assumptions!$E$13-Assumptions!$B$18)*J4/Assumptions!$B$21</f>
        <v>0.1462</v>
      </c>
      <c r="K6" s="63">
        <f>Assumptions!$B$18+(Assumptions!$E$13-Assumptions!$B$18)*K4/Assumptions!$B$21</f>
        <v>0.17310000000000003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Model'!O2</f>
        <v>236.196</v>
      </c>
      <c r="C7" s="55">
        <f>'Yearly Model'!P2</f>
        <v>212.5764</v>
      </c>
      <c r="D7" s="55">
        <f>'Yearly Model'!Q2</f>
        <v>194.27121</v>
      </c>
      <c r="E7" s="55">
        <f>'Yearly Model'!R2</f>
        <v>180.2405115</v>
      </c>
      <c r="F7" s="55">
        <f>'Yearly Model'!S2</f>
        <v>169.7264816625</v>
      </c>
      <c r="G7" s="55">
        <f>'Yearly Model'!T2</f>
        <v>162.1830824775</v>
      </c>
      <c r="H7" s="55">
        <f>'Yearly Model'!U2</f>
        <v>157.2274882906875</v>
      </c>
      <c r="I7" s="55">
        <f>'Yearly Model'!V2</f>
        <v>154.60703015250937</v>
      </c>
      <c r="J7" s="55">
        <f>'Yearly Model'!W2</f>
        <v>154.1775661798635</v>
      </c>
      <c r="K7" s="55">
        <f>'Yearly Model'!X2</f>
        <v>155.89065024852866</v>
      </c>
      <c r="L7" s="55">
        <f>'Yearly Model'!Y2</f>
        <v>159.78791650474187</v>
      </c>
    </row>
    <row r="8">
      <c r="A8" s="14" t="inlineStr">
        <is>
          <t>Operating income</t>
        </is>
      </c>
      <c r="B8" s="55">
        <f>'Yearly Model'!O8</f>
        <v>23.498999999999967</v>
      </c>
      <c r="C8" s="55">
        <f>'Yearly Model'!P8</f>
        <v>-8.949466440000009</v>
      </c>
      <c r="D8" s="55">
        <f>'Yearly Model'!Q8</f>
        <v>-2.952922392000005</v>
      </c>
      <c r="E8" s="55">
        <f>'Yearly Model'!R8</f>
        <v>2.108813984550011</v>
      </c>
      <c r="F8" s="55">
        <f>'Yearly Model'!S8</f>
        <v>6.5514421921724875</v>
      </c>
      <c r="G8" s="55">
        <f>'Yearly Model'!T8</f>
        <v>10.622991902276254</v>
      </c>
      <c r="H8" s="55">
        <f>'Yearly Model'!U8</f>
        <v>14.52781991805952</v>
      </c>
      <c r="I8" s="55">
        <f>'Yearly Model'!V8</f>
        <v>18.444618697194358</v>
      </c>
      <c r="J8" s="55">
        <f>'Yearly Model'!W8</f>
        <v>22.540760175496047</v>
      </c>
      <c r="K8" s="55">
        <f>'Yearly Model'!X8</f>
        <v>26.984671558020324</v>
      </c>
      <c r="L8" s="55">
        <f>'Yearly Model'!Y8</f>
        <v>31.95758330094837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0.3584983773735019</v>
      </c>
      <c r="F9" s="52">
        <f>MAX(0,F8)*Assumptions!$E$14</f>
        <v>1.113745172669323</v>
      </c>
      <c r="G9" s="52">
        <f>MAX(0,G8)*Assumptions!$E$14</f>
        <v>1.8059086233869635</v>
      </c>
      <c r="H9" s="52">
        <f>MAX(0,H8)*Assumptions!$E$14</f>
        <v>2.4697293860701186</v>
      </c>
      <c r="I9" s="52">
        <f>MAX(0,I8)*Assumptions!$E$14</f>
        <v>3.135585178523041</v>
      </c>
      <c r="J9" s="52">
        <f>MAX(0,J8)*Assumptions!$E$14</f>
        <v>3.831929229834328</v>
      </c>
      <c r="K9" s="52">
        <f>MAX(0,K8)*Assumptions!$E$14</f>
        <v>4.587394164863455</v>
      </c>
      <c r="L9" s="52">
        <f>MAX(0,L8)*Assumptions!$E$14</f>
        <v>5.432789161161224</v>
      </c>
    </row>
    <row r="10">
      <c r="A10" s="14" t="inlineStr">
        <is>
          <t>NOPAT</t>
        </is>
      </c>
      <c r="C10" s="52">
        <f>C8-C9</f>
        <v>-8.949466440000009</v>
      </c>
      <c r="D10" s="52">
        <f>D8-D9</f>
        <v>-2.952922392000005</v>
      </c>
      <c r="E10" s="52">
        <f>E8-E9</f>
        <v>1.7503156071765091</v>
      </c>
      <c r="F10" s="52">
        <f>F8-F9</f>
        <v>5.437697019503164</v>
      </c>
      <c r="G10" s="52">
        <f>G8-G9</f>
        <v>8.81708327888929</v>
      </c>
      <c r="H10" s="52">
        <f>H8-H9</f>
        <v>12.058090531989402</v>
      </c>
      <c r="I10" s="52">
        <f>I8-I9</f>
        <v>15.309033518671317</v>
      </c>
      <c r="J10" s="52">
        <f>J8-J9</f>
        <v>18.708830945661717</v>
      </c>
      <c r="K10" s="52">
        <f>K8-K9</f>
        <v>22.39727739315687</v>
      </c>
      <c r="L10" s="52">
        <f>L8-L9</f>
        <v>26.524794139787147</v>
      </c>
    </row>
    <row r="11">
      <c r="A11" s="14" t="inlineStr">
        <is>
          <t>Reinvestment</t>
        </is>
      </c>
      <c r="C11" s="52">
        <f>(C7-B7)*Assumptions!$E$15</f>
        <v>-5.904899999999998</v>
      </c>
      <c r="D11" s="52">
        <f>(D7-C7)*Assumptions!$E$15</f>
        <v>-4.576297500000003</v>
      </c>
      <c r="E11" s="52">
        <f>(E7-D7)*Assumptions!$E$15</f>
        <v>-3.507674625</v>
      </c>
      <c r="F11" s="52">
        <f>(F7-E7)*Assumptions!$E$15</f>
        <v>-2.628507459375001</v>
      </c>
      <c r="G11" s="52">
        <f>(G7-F7)*Assumptions!$E$15</f>
        <v>-1.8858497962499996</v>
      </c>
      <c r="H11" s="52">
        <f>(H7-G7)*Assumptions!$E$15</f>
        <v>-1.2388985467031262</v>
      </c>
      <c r="I11" s="52">
        <f>(I7-H7)*Assumptions!$E$15</f>
        <v>-0.6551145345445306</v>
      </c>
      <c r="J11" s="52">
        <f>(J7-I7)*Assumptions!$E$15</f>
        <v>-0.10736599316146567</v>
      </c>
      <c r="K11" s="52">
        <f>(K7-J7)*Assumptions!$E$15</f>
        <v>0.42827101716628846</v>
      </c>
      <c r="L11" s="52">
        <f>(L7-K7)*Assumptions!$E$15</f>
        <v>0.9743165640533036</v>
      </c>
    </row>
    <row r="12">
      <c r="A12" s="20" t="inlineStr">
        <is>
          <t>Free cash flow</t>
        </is>
      </c>
      <c r="C12" s="64">
        <f>C10-C11</f>
        <v>-3.044566440000011</v>
      </c>
      <c r="D12" s="64">
        <f>D10-D11</f>
        <v>1.6233751079999976</v>
      </c>
      <c r="E12" s="64">
        <f>E10-E11</f>
        <v>5.257990232176509</v>
      </c>
      <c r="F12" s="64">
        <f>F10-F11</f>
        <v>8.066204478878166</v>
      </c>
      <c r="G12" s="64">
        <f>G10-G11</f>
        <v>10.70293307513929</v>
      </c>
      <c r="H12" s="64">
        <f>H10-H11</f>
        <v>13.296989078692528</v>
      </c>
      <c r="I12" s="64">
        <f>I10-I11</f>
        <v>15.964148053215848</v>
      </c>
      <c r="J12" s="64">
        <f>J10-J11</f>
        <v>18.816196938823182</v>
      </c>
      <c r="K12" s="64">
        <f>K10-K11</f>
        <v>21.96900637599058</v>
      </c>
      <c r="L12" s="64">
        <f>L10-L11</f>
        <v>25.550477575733844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-1.4898726920905583</v>
      </c>
      <c r="D16" s="64">
        <f>D12*D13*D15</f>
        <v>1.442303424408318</v>
      </c>
      <c r="E16" s="64">
        <f>E12*E13*E15</f>
        <v>4.152455669536374</v>
      </c>
      <c r="F16" s="64">
        <f>F12*F13*F15</f>
        <v>5.662418113037586</v>
      </c>
      <c r="G16" s="64">
        <f>G12*G13*G15</f>
        <v>6.678562501496952</v>
      </c>
      <c r="H16" s="64">
        <f>H12*H13*H15</f>
        <v>7.375321804702975</v>
      </c>
      <c r="I16" s="64">
        <f>I12*I13*I15</f>
        <v>7.87083642493743</v>
      </c>
      <c r="J16" s="64">
        <f>J12*J13*J15</f>
        <v>8.246211462289844</v>
      </c>
      <c r="K16" s="64">
        <f>K12*K13*K15</f>
        <v>8.55816213525771</v>
      </c>
      <c r="L16" s="64">
        <f>L12*L13*L15</f>
        <v>8.84741898994862</v>
      </c>
    </row>
    <row r="19">
      <c r="A19" s="14" t="inlineStr">
        <is>
          <t>PV of forecast free cash flow</t>
        </is>
      </c>
      <c r="B19" s="52">
        <f>SUM(C16:L16)</f>
        <v>57.34381783352525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26.189239515127188</v>
      </c>
    </row>
    <row r="21">
      <c r="A21" s="14" t="inlineStr">
        <is>
          <t>Terminal value</t>
        </is>
      </c>
      <c r="B21" s="52">
        <f>B20/(Assumptions!$E$10-Assumptions!$E$11)</f>
        <v>261.89239515127184</v>
      </c>
    </row>
    <row r="22">
      <c r="A22" s="14" t="inlineStr">
        <is>
          <t>PV of terminal value</t>
        </is>
      </c>
      <c r="B22" s="52">
        <f>B21/(1+Assumptions!$E$10)^(L14+0.5)</f>
        <v>85.49962283848114</v>
      </c>
    </row>
    <row r="23">
      <c r="A23" s="20" t="inlineStr">
        <is>
          <t>Enterprise value</t>
        </is>
      </c>
      <c r="B23" s="66">
        <f>B19+B22</f>
        <v>142.8434406720064</v>
      </c>
    </row>
    <row r="24">
      <c r="A24" s="14" t="inlineStr">
        <is>
          <t>Cash &amp; investments</t>
        </is>
      </c>
      <c r="B24" s="55">
        <f>Main!C7</f>
        <v>155.548</v>
      </c>
    </row>
    <row r="25">
      <c r="A25" s="14" t="inlineStr">
        <is>
          <t>Debt</t>
        </is>
      </c>
      <c r="B25" s="55">
        <f>Main!C8</f>
        <v>49.563</v>
      </c>
    </row>
    <row r="26">
      <c r="A26" s="20" t="inlineStr">
        <is>
          <t>Equity value</t>
        </is>
      </c>
      <c r="B26" s="66">
        <f>B23+B24-B25</f>
        <v>248.82844067200642</v>
      </c>
    </row>
    <row r="27">
      <c r="A27" s="14" t="inlineStr">
        <is>
          <t>Shares (mm)</t>
        </is>
      </c>
      <c r="B27" s="55">
        <f>Main!C4</f>
        <v>277.106245</v>
      </c>
    </row>
    <row r="28">
      <c r="A28" s="20" t="inlineStr">
        <is>
          <t>NPV / share</t>
        </is>
      </c>
      <c r="B28" s="49">
        <f>B26/B27</f>
        <v>0.8979532044541487</v>
      </c>
    </row>
    <row r="29">
      <c r="A29" s="14" t="inlineStr">
        <is>
          <t>Price</t>
        </is>
      </c>
      <c r="B29" s="50">
        <f>Main!C3</f>
        <v>0.6181</v>
      </c>
    </row>
    <row r="30">
      <c r="A30" s="14" t="inlineStr">
        <is>
          <t>Upside</t>
        </is>
      </c>
      <c r="B30" s="63">
        <f>B28/B29-1</f>
        <v>0.45276363768669925</v>
      </c>
    </row>
    <row r="31">
      <c r="A31" s="14" t="inlineStr">
        <is>
          <t>Terminal value, % of EV</t>
        </is>
      </c>
      <c r="B31" s="63">
        <f>IFERROR(B22/B23,0)</f>
        <v>0.5985547704273189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2026-10-21T01:05:39Z</dcterms:modified>
  <cp:lastModifiedBy>Wang, Eric</cp:lastModifiedBy>
</cp:coreProperties>
</file>