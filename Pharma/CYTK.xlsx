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0.0"/>
    <numFmt numFmtId="169" formatCode="#,##0.0;(#,##0.0);&quot;-&quot;"/>
    <numFmt numFmtId="170" formatCode="0.0%"/>
    <numFmt numFmtId="171" formatCode="0.000"/>
    <numFmt numFmtId="172" formatCode="$#,##0.00;($#,##0.00);&quot;-&quot;"/>
    <numFmt numFmtId="173" formatCode="0.000000"/>
    <numFmt numFmtId="174" formatCode="0.00x"/>
    <numFmt numFmtId="175" formatCode="$#,##0;($#,##0);&quot;-&quot;"/>
    <numFmt numFmtId="176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6" fontId="6" fillId="0" borderId="0" pivotButton="0" quotePrefix="0" xfId="0"/>
    <xf numFmtId="0" fontId="6" fillId="0" borderId="0" pivotButton="0" quotePrefix="0" xfId="0"/>
    <xf numFmtId="170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9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2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2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2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1" fontId="6" fillId="0" borderId="0" pivotButton="0" quotePrefix="0" xfId="0"/>
    <xf numFmtId="169" fontId="9" fillId="0" borderId="0" pivotButton="0" quotePrefix="0" xfId="0"/>
    <xf numFmtId="169" fontId="4" fillId="0" borderId="0" pivotButton="0" quotePrefix="0" xfId="0"/>
    <xf numFmtId="171" fontId="4" fillId="0" borderId="0" pivotButton="0" quotePrefix="0" xfId="0"/>
    <xf numFmtId="172" fontId="4" fillId="0" borderId="0" pivotButton="0" quotePrefix="0" xfId="0"/>
    <xf numFmtId="1" fontId="6" fillId="0" borderId="0" applyAlignment="1" pivotButton="0" quotePrefix="0" xfId="0">
      <alignment horizontal="center"/>
    </xf>
    <xf numFmtId="172" fontId="3" fillId="2" borderId="0" pivotButton="0" quotePrefix="0" xfId="0"/>
    <xf numFmtId="172" fontId="9" fillId="0" borderId="0" pivotButton="0" quotePrefix="0" xfId="0"/>
    <xf numFmtId="0" fontId="3" fillId="4" borderId="0" applyAlignment="1" pivotButton="0" quotePrefix="0" xfId="0">
      <alignment horizontal="right"/>
    </xf>
    <xf numFmtId="172" fontId="3" fillId="0" borderId="6" pivotButton="0" quotePrefix="0" xfId="0"/>
    <xf numFmtId="173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4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5" fontId="6" fillId="0" borderId="0" pivotButton="0" quotePrefix="0" xfId="0"/>
    <xf numFmtId="175" fontId="6" fillId="0" borderId="0" applyAlignment="1" pivotButton="0" quotePrefix="0" xfId="0">
      <alignment horizontal="right"/>
    </xf>
    <xf numFmtId="172" fontId="6" fillId="0" borderId="0" applyAlignment="1" pivotButton="0" quotePrefix="0" xfId="0">
      <alignment horizontal="right"/>
    </xf>
    <xf numFmtId="175" fontId="3" fillId="0" borderId="0" pivotButton="0" quotePrefix="0" xfId="0"/>
    <xf numFmtId="172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(Nov 20, 2026)</a:t>
            </a:r>
          </a:p>
        </rich>
      </tx>
    </title>
    <plotArea>
      <scatterChart>
        <ser>
          <idx val="0"/>
          <order val="0"/>
          <tx>
            <strRef>
              <f>'Options'!B62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'Options'!$B$63:$B$93</f>
            </numRef>
          </yVal>
        </ser>
        <ser>
          <idx val="1"/>
          <order val="1"/>
          <tx>
            <strRef>
              <f>'Options'!C62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'Options'!$C$63:$C$93</f>
            </numRef>
          </yVal>
        </ser>
        <ser>
          <idx val="2"/>
          <order val="2"/>
          <tx>
            <strRef>
              <f>'Options'!D62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'Options'!$D$63:$D$93</f>
            </numRef>
          </yVal>
        </ser>
        <ser>
          <idx val="3"/>
          <order val="3"/>
          <tx>
            <strRef>
              <f>'Options'!E62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'Options'!$E$63:$E$93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CYTK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Cytokinetics, Incorporated</t>
        </is>
      </c>
      <c r="C2" s="10" t="n"/>
    </row>
    <row r="3">
      <c r="B3" t="inlineStr">
        <is>
          <t>Price</t>
        </is>
      </c>
      <c r="C3" s="11">
        <f>INDEX([1]Pharma!$F$1:$F$1000,MATCH("CYTK",[1]Pharma!$B$1:$B$1000,0))</f>
        <v>63.95</v>
      </c>
      <c r="F3" s="1" t="n"/>
    </row>
    <row r="4">
      <c r="B4" t="inlineStr">
        <is>
          <t>Shares</t>
        </is>
      </c>
      <c r="C4" s="12">
        <f>139.023418</f>
        <v>139.023418</v>
      </c>
      <c r="F4" s="1" t="n"/>
    </row>
    <row r="5">
      <c r="B5" t="inlineStr">
        <is>
          <t>Market Cap.</t>
        </is>
      </c>
      <c r="C5" s="1">
        <f>C3*C4</f>
        <v>8890.5475811</v>
      </c>
      <c r="F5" s="1" t="n"/>
    </row>
    <row r="6"/>
    <row r="7">
      <c r="B7" t="inlineStr">
        <is>
          <t>Cash</t>
        </is>
      </c>
      <c r="C7" s="12">
        <f>255.271+910.414+538.318</f>
        <v>1704.003</v>
      </c>
    </row>
    <row r="8">
      <c r="B8" t="inlineStr">
        <is>
          <t>Debt</t>
        </is>
      </c>
      <c r="C8" s="12">
        <f>27.358+248.202+140.5+750</f>
        <v>1166.06</v>
      </c>
    </row>
    <row r="9">
      <c r="B9" t="inlineStr">
        <is>
          <t>Enterprise V.</t>
        </is>
      </c>
      <c r="C9" s="1">
        <f>C5-C7+C8</f>
        <v>8352.6045811</v>
      </c>
    </row>
    <row r="11">
      <c r="B11" s="13" t="inlineStr">
        <is>
          <t>rNPV / Share</t>
        </is>
      </c>
      <c r="C11" s="11">
        <f>NPV!C43</f>
        <v>44.74293415260998</v>
      </c>
    </row>
    <row r="12">
      <c r="B12" s="13" t="inlineStr">
        <is>
          <t>Upside</t>
        </is>
      </c>
      <c r="C12" s="14">
        <f>C11/C3-1</f>
        <v>-0.30034504843455856</v>
      </c>
    </row>
    <row r="13">
      <c r="B13" s="13" t="inlineStr">
        <is>
          <t>Cash / Share</t>
        </is>
      </c>
      <c r="C13" s="11">
        <f>(C7-C8)/C4</f>
        <v>3.8694416216985834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46340</v>
      </c>
    </row>
    <row r="17">
      <c r="B17" s="13" t="inlineStr">
        <is>
          <t>P(Approval)</t>
        </is>
      </c>
      <c r="C17" s="16">
        <f>Assumptions!$B$32</f>
        <v>0.92</v>
      </c>
    </row>
    <row r="18">
      <c r="B18" s="13" t="inlineStr">
        <is>
          <t>If Approved</t>
        </is>
      </c>
      <c r="C18" s="11">
        <f>Assumptions!$D$134</f>
        <v>44.933311964398264</v>
      </c>
    </row>
    <row r="19">
      <c r="B19" s="13" t="inlineStr">
        <is>
          <t>If CRL</t>
        </is>
      </c>
      <c r="C19" s="11">
        <f>Assumptions!$D$133</f>
        <v>42.39369304168151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70.428</v>
      </c>
      <c r="C2" s="18" t="n">
        <v>94.58799999999999</v>
      </c>
      <c r="D2" s="18" t="n">
        <v>7.53</v>
      </c>
      <c r="E2" s="18" t="n">
        <v>18.474</v>
      </c>
      <c r="F2" s="18" t="n">
        <v>88.039</v>
      </c>
      <c r="G2" s="18">
        <f>SUM('Quarterly Model'!F2:I2)</f>
        <v>143.98000000000002</v>
      </c>
      <c r="H2" s="18">
        <f>Pipeline!C56</f>
        <v>339.95743749230263</v>
      </c>
      <c r="I2" s="18">
        <f>Pipeline!D56</f>
        <v>788.0466503367553</v>
      </c>
      <c r="J2" s="18">
        <f>Pipeline!E56</f>
        <v>1362.2902990524854</v>
      </c>
      <c r="K2" s="18">
        <f>Pipeline!F56</f>
        <v>2062.6163165959797</v>
      </c>
      <c r="L2" s="18">
        <f>Pipeline!G56</f>
        <v>2794.1228427192464</v>
      </c>
      <c r="M2" s="18">
        <f>Pipeline!H56</f>
        <v>3519.208</v>
      </c>
      <c r="N2" s="18">
        <f>Pipeline!I56</f>
        <v>3765.232</v>
      </c>
      <c r="O2" s="18">
        <f>Pipeline!J56</f>
        <v>3933.9</v>
      </c>
      <c r="P2" s="18">
        <f>Pipeline!K56</f>
        <v>3996.9</v>
      </c>
      <c r="Q2" s="18">
        <f>Pipeline!L56</f>
        <v>4043.4</v>
      </c>
      <c r="R2" s="18">
        <f>Pipeline!M56</f>
        <v>4059.9</v>
      </c>
      <c r="S2" s="18">
        <f>Pipeline!N56</f>
        <v>4070.4</v>
      </c>
      <c r="T2" s="18">
        <f>Pipeline!O56</f>
        <v>4070.4</v>
      </c>
      <c r="U2" s="18">
        <f>Pipeline!P56</f>
        <v>1898.16</v>
      </c>
      <c r="V2" s="18">
        <f>Pipeline!Q56</f>
        <v>849.264</v>
      </c>
      <c r="W2" s="18">
        <f>Pipeline!R56</f>
        <v>429.7056</v>
      </c>
      <c r="X2" s="18">
        <f>Pipeline!S56</f>
        <v>261.88224</v>
      </c>
      <c r="Y2" s="18">
        <f>Pipeline!T56</f>
        <v>194.75289600000002</v>
      </c>
      <c r="Z2" s="18">
        <f>Pipeline!U56</f>
        <v>167.9011584</v>
      </c>
      <c r="AA2" s="18">
        <f>Pipeline!V56</f>
        <v>67.16046336000001</v>
      </c>
      <c r="AB2" s="18">
        <f>Pipeline!W56</f>
        <v>26.864185344</v>
      </c>
      <c r="AC2" s="18">
        <f>Pipeline!X56</f>
        <v>10.745674137600002</v>
      </c>
      <c r="AD2" s="18">
        <f>Pipeline!Y56</f>
        <v>4.298269655040001</v>
      </c>
      <c r="AE2" s="18">
        <f>Pipeline!Z56</f>
        <v>1.7193078620160005</v>
      </c>
    </row>
    <row r="3" customFormat="1" s="1">
      <c r="A3" s="5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>
        <f>SUM('Quarterly Model'!F3:I3)</f>
        <v>3.8400000000000003</v>
      </c>
      <c r="H3" s="18">
        <f>Pipeline!C57</f>
        <v>32.29595656176875</v>
      </c>
      <c r="I3" s="18">
        <f>Pipeline!D57</f>
        <v>74.86443178199175</v>
      </c>
      <c r="J3" s="18">
        <f>Pipeline!E57</f>
        <v>129.4175784099861</v>
      </c>
      <c r="K3" s="18">
        <f>Pipeline!F57</f>
        <v>196.3985500766181</v>
      </c>
      <c r="L3" s="18">
        <f>Pipeline!G57</f>
        <v>266.56667005832844</v>
      </c>
      <c r="M3" s="18">
        <f>Pipeline!H57</f>
        <v>336.34976</v>
      </c>
      <c r="N3" s="18">
        <f>Pipeline!I57</f>
        <v>360.62203999999997</v>
      </c>
      <c r="O3" s="18">
        <f>Pipeline!J57</f>
        <v>377.4105</v>
      </c>
      <c r="P3" s="18">
        <f>Pipeline!K57</f>
        <v>383.8905</v>
      </c>
      <c r="Q3" s="18">
        <f>Pipeline!L57</f>
        <v>388.623</v>
      </c>
      <c r="R3" s="18">
        <f>Pipeline!M57</f>
        <v>390.1905</v>
      </c>
      <c r="S3" s="18">
        <f>Pipeline!N57</f>
        <v>391.188</v>
      </c>
      <c r="T3" s="18">
        <f>Pipeline!O57</f>
        <v>391.188</v>
      </c>
      <c r="U3" s="18">
        <f>Pipeline!P57</f>
        <v>184.8252</v>
      </c>
      <c r="V3" s="18">
        <f>Pipeline!Q57</f>
        <v>82.48008</v>
      </c>
      <c r="W3" s="18">
        <f>Pipeline!R57</f>
        <v>41.542032000000006</v>
      </c>
      <c r="X3" s="18">
        <f>Pipeline!S57</f>
        <v>25.166812800000002</v>
      </c>
      <c r="Y3" s="18">
        <f>Pipeline!T57</f>
        <v>18.61672512</v>
      </c>
      <c r="Z3" s="18">
        <f>Pipeline!U57</f>
        <v>15.996690048</v>
      </c>
      <c r="AA3" s="18">
        <f>Pipeline!V57</f>
        <v>6.398676019200001</v>
      </c>
      <c r="AB3" s="18">
        <f>Pipeline!W57</f>
        <v>2.5594704076800006</v>
      </c>
      <c r="AC3" s="18">
        <f>Pipeline!X57</f>
        <v>1.0237881630720003</v>
      </c>
      <c r="AD3" s="18">
        <f>Pipeline!Y57</f>
        <v>0.4095152652288001</v>
      </c>
      <c r="AE3" s="18">
        <f>Pipeline!Z57</f>
        <v>0.16380610609152005</v>
      </c>
    </row>
    <row r="4" customFormat="1" s="1">
      <c r="A4" s="5" t="inlineStr">
        <is>
          <t>Gross Margin</t>
        </is>
      </c>
      <c r="B4" s="18">
        <f>B2-B3</f>
        <v>70.428</v>
      </c>
      <c r="C4" s="18">
        <f>C2-C3</f>
        <v>94.588</v>
      </c>
      <c r="D4" s="18">
        <f>D2-D3</f>
        <v>7.53</v>
      </c>
      <c r="E4" s="18">
        <f>E2-E3</f>
        <v>18.474</v>
      </c>
      <c r="F4" s="18">
        <f>F2-F3</f>
        <v>88.039</v>
      </c>
      <c r="G4" s="18">
        <f>G2-G3</f>
        <v>140.14000000000001</v>
      </c>
      <c r="H4" s="18">
        <f>H2-H3</f>
        <v>307.6614809305339</v>
      </c>
      <c r="I4" s="18">
        <f>I2-I3</f>
        <v>713.1822185547635</v>
      </c>
      <c r="J4" s="18">
        <f>J2-J3</f>
        <v>1232.8727206424992</v>
      </c>
      <c r="K4" s="18">
        <f>K2-K3</f>
        <v>1866.2177665193617</v>
      </c>
      <c r="L4" s="18">
        <f>L2-L3</f>
        <v>2527.556172660918</v>
      </c>
      <c r="M4" s="18">
        <f>M2-M3</f>
        <v>3182.85824</v>
      </c>
      <c r="N4" s="18">
        <f>N2-N3</f>
        <v>3404.60996</v>
      </c>
      <c r="O4" s="18">
        <f>O2-O3</f>
        <v>3556.4895</v>
      </c>
      <c r="P4" s="18">
        <f>P2-P3</f>
        <v>3613.0095</v>
      </c>
      <c r="Q4" s="18">
        <f>Q2-Q3</f>
        <v>3654.777</v>
      </c>
      <c r="R4" s="18">
        <f>R2-R3</f>
        <v>3669.7095</v>
      </c>
      <c r="S4" s="18">
        <f>S2-S3</f>
        <v>3679.212</v>
      </c>
      <c r="T4" s="18">
        <f>T2-T3</f>
        <v>3679.212</v>
      </c>
      <c r="U4" s="18">
        <f>U2-U3</f>
        <v>1713.3348</v>
      </c>
      <c r="V4" s="18">
        <f>V2-V3</f>
        <v>766.78392</v>
      </c>
      <c r="W4" s="18">
        <f>W2-W3</f>
        <v>388.163568</v>
      </c>
      <c r="X4" s="18">
        <f>X2-X3</f>
        <v>236.71542720000002</v>
      </c>
      <c r="Y4" s="18">
        <f>Y2-Y3</f>
        <v>176.13617088</v>
      </c>
      <c r="Z4" s="18">
        <f>Z2-Z3</f>
        <v>151.904468352</v>
      </c>
      <c r="AA4" s="18">
        <f>AA2-AA3</f>
        <v>60.761787340800005</v>
      </c>
      <c r="AB4" s="18">
        <f>AB2-AB3</f>
        <v>24.30471493632</v>
      </c>
      <c r="AC4" s="18">
        <f>AC2-AC3</f>
        <v>9.721885974528002</v>
      </c>
      <c r="AD4" s="18">
        <f>AD2-AD3</f>
        <v>3.888754389811201</v>
      </c>
      <c r="AE4" s="18">
        <f>AE2-AE3</f>
        <v>1.5555017559244804</v>
      </c>
    </row>
    <row r="5">
      <c r="A5" s="2" t="inlineStr">
        <is>
          <t>Research &amp; Dev.</t>
        </is>
      </c>
      <c r="B5" s="18" t="n">
        <v>159.938</v>
      </c>
      <c r="C5" s="18" t="n">
        <v>240.813</v>
      </c>
      <c r="D5" s="18" t="n">
        <v>330.123</v>
      </c>
      <c r="E5" s="18" t="n">
        <v>339.408</v>
      </c>
      <c r="F5" s="18" t="n">
        <v>416.026</v>
      </c>
      <c r="G5" s="18">
        <f>SUM('Quarterly Model'!F5:I5)</f>
        <v>391.332</v>
      </c>
      <c r="H5" s="18">
        <f>Pipeline!C60</f>
        <v>380.0</v>
      </c>
      <c r="I5" s="18">
        <f>Pipeline!D60</f>
        <v>348.8</v>
      </c>
      <c r="J5" s="18">
        <f>Pipeline!E60</f>
        <v>324.834</v>
      </c>
      <c r="K5" s="18">
        <f>Pipeline!F60</f>
        <v>326.10902</v>
      </c>
      <c r="L5" s="18">
        <f>Pipeline!G60</f>
        <v>347.29474112630953</v>
      </c>
      <c r="M5" s="18">
        <f>Pipeline!H60</f>
        <v>422.30496</v>
      </c>
      <c r="N5" s="18">
        <f>Pipeline!I60</f>
        <v>451.82784</v>
      </c>
      <c r="O5" s="18">
        <f>Pipeline!J60</f>
        <v>472.068</v>
      </c>
      <c r="P5" s="18">
        <f>Pipeline!K60</f>
        <v>479.628</v>
      </c>
      <c r="Q5" s="18">
        <f>Pipeline!L60</f>
        <v>485.20799999999997</v>
      </c>
      <c r="R5" s="18">
        <f>Pipeline!M60</f>
        <v>487.188</v>
      </c>
      <c r="S5" s="18">
        <f>Pipeline!N60</f>
        <v>488.448</v>
      </c>
      <c r="T5" s="18">
        <f>Pipeline!O60</f>
        <v>488.448</v>
      </c>
      <c r="U5" s="18">
        <f>Pipeline!P60</f>
        <v>381.81876549740684</v>
      </c>
      <c r="V5" s="18">
        <f>Pipeline!Q60</f>
        <v>101.91168</v>
      </c>
      <c r="W5" s="18">
        <f>Pipeline!R60</f>
        <v>51.564672</v>
      </c>
      <c r="X5" s="18">
        <f>Pipeline!S60</f>
        <v>31.425868800000003</v>
      </c>
      <c r="Y5" s="18">
        <f>Pipeline!T60</f>
        <v>23.370347520000003</v>
      </c>
      <c r="Z5" s="18">
        <f>Pipeline!U60</f>
        <v>20.148139008</v>
      </c>
      <c r="AA5" s="18">
        <f>Pipeline!V60</f>
        <v>8.0592556032</v>
      </c>
      <c r="AB5" s="18">
        <f>Pipeline!W60</f>
        <v>3.22370224128</v>
      </c>
      <c r="AC5" s="18">
        <f>Pipeline!X60</f>
        <v>1.2894808965120002</v>
      </c>
      <c r="AD5" s="18">
        <f>Pipeline!Y60</f>
        <v>0.5157923586048001</v>
      </c>
      <c r="AE5" s="18">
        <f>Pipeline!Z60</f>
        <v>0.20631694344192006</v>
      </c>
    </row>
    <row r="6">
      <c r="A6" s="2" t="inlineStr">
        <is>
          <t>General &amp; Admin</t>
        </is>
      </c>
      <c r="B6" s="18" t="n">
        <v>96.803</v>
      </c>
      <c r="C6" s="18" t="n">
        <v>177.977</v>
      </c>
      <c r="D6" s="18" t="n">
        <v>173.612</v>
      </c>
      <c r="E6" s="18" t="n">
        <v>215.314</v>
      </c>
      <c r="F6" s="18" t="n">
        <v>284.271</v>
      </c>
      <c r="G6" s="18">
        <f>SUM('Quarterly Model'!F6:I6)</f>
        <v>444.437</v>
      </c>
      <c r="H6" s="18">
        <f>Pipeline!C63</f>
        <v>382.65659062076645</v>
      </c>
      <c r="I6" s="18">
        <f>Pipeline!D63</f>
        <v>546.1386601347021</v>
      </c>
      <c r="J6" s="18">
        <f>Pipeline!E63</f>
        <v>692.3288956967954</v>
      </c>
      <c r="K6" s="18">
        <f>Pipeline!F63</f>
        <v>838.3394739745528</v>
      </c>
      <c r="L6" s="18">
        <f>Pipeline!G63</f>
        <v>1014.5975380973514</v>
      </c>
      <c r="M6" s="18">
        <f>Pipeline!H63</f>
        <v>1187.9236799999999</v>
      </c>
      <c r="N6" s="18">
        <f>Pipeline!I63</f>
        <v>1228.5433600000001</v>
      </c>
      <c r="O6" s="18">
        <f>Pipeline!J63</f>
        <v>1281.572</v>
      </c>
      <c r="P6" s="18">
        <f>Pipeline!K63</f>
        <v>1300.712</v>
      </c>
      <c r="Q6" s="18">
        <f>Pipeline!L63</f>
        <v>1316.432</v>
      </c>
      <c r="R6" s="18">
        <f>Pipeline!M63</f>
        <v>1322.702</v>
      </c>
      <c r="S6" s="18">
        <f>Pipeline!N63</f>
        <v>1326.692</v>
      </c>
      <c r="T6" s="18">
        <f>Pipeline!O63</f>
        <v>1326.692</v>
      </c>
      <c r="U6" s="18">
        <f>Pipeline!P63</f>
        <v>701.7040570177347</v>
      </c>
      <c r="V6" s="18">
        <f>Pipeline!Q63</f>
        <v>287.51072</v>
      </c>
      <c r="W6" s="18">
        <f>Pipeline!R63</f>
        <v>149.204288</v>
      </c>
      <c r="X6" s="18">
        <f>Pipeline!S63</f>
        <v>93.88171520000002</v>
      </c>
      <c r="Y6" s="18">
        <f>Pipeline!T63</f>
        <v>71.75268608</v>
      </c>
      <c r="Z6" s="18">
        <f>Pipeline!U63</f>
        <v>62.901074432</v>
      </c>
      <c r="AA6" s="18">
        <f>Pipeline!V63</f>
        <v>25.1604297728</v>
      </c>
      <c r="AB6" s="18">
        <f>Pipeline!W63</f>
        <v>10.06417190912</v>
      </c>
      <c r="AC6" s="18">
        <f>Pipeline!X63</f>
        <v>4.025668763648</v>
      </c>
      <c r="AD6" s="18">
        <f>Pipeline!Y63</f>
        <v>1.6102675054592004</v>
      </c>
      <c r="AE6" s="18">
        <f>Pipeline!Z63</f>
        <v>0.6441070021836802</v>
      </c>
    </row>
    <row r="7">
      <c r="A7" s="2" t="inlineStr">
        <is>
          <t>Operating Expense</t>
        </is>
      </c>
      <c r="B7" s="18">
        <f>SUM(B5:B6)</f>
        <v>256.741</v>
      </c>
      <c r="C7" s="18">
        <f>SUM(C5:C6)</f>
        <v>418.78999999999996</v>
      </c>
      <c r="D7" s="18">
        <f>SUM(D5:D6)</f>
        <v>503.735</v>
      </c>
      <c r="E7" s="18">
        <f>SUM(E5:E6)</f>
        <v>554.722</v>
      </c>
      <c r="F7" s="18">
        <f>SUM(F5:F6)</f>
        <v>700.297</v>
      </c>
      <c r="G7" s="18">
        <f>SUM(G5:G6)</f>
        <v>835.769</v>
      </c>
      <c r="H7" s="18">
        <f>SUM(H5:H6)</f>
        <v>762.6565906207665</v>
      </c>
      <c r="I7" s="18">
        <f>SUM(I5:I6)</f>
        <v>894.9386601347021</v>
      </c>
      <c r="J7" s="18">
        <f>SUM(J5:J6)</f>
        <v>1017.1628956967954</v>
      </c>
      <c r="K7" s="18">
        <f>SUM(K5:K6)</f>
        <v>1164.4484939745528</v>
      </c>
      <c r="L7" s="18">
        <f>SUM(L5:L6)</f>
        <v>1361.8922792236608</v>
      </c>
      <c r="M7" s="18">
        <f>SUM(M5:M6)</f>
        <v>1610.2286399999998</v>
      </c>
      <c r="N7" s="18">
        <f>SUM(N5:N6)</f>
        <v>1680.3712</v>
      </c>
      <c r="O7" s="18">
        <f>SUM(O5:O6)</f>
        <v>1753.6399999999999</v>
      </c>
      <c r="P7" s="18">
        <f>SUM(P5:P6)</f>
        <v>1780.34</v>
      </c>
      <c r="Q7" s="18">
        <f>SUM(Q5:Q6)</f>
        <v>1801.6399999999999</v>
      </c>
      <c r="R7" s="18">
        <f>SUM(R5:R6)</f>
        <v>1809.8899999999999</v>
      </c>
      <c r="S7" s="18">
        <f>SUM(S5:S6)</f>
        <v>1815.1399999999999</v>
      </c>
      <c r="T7" s="18">
        <f>SUM(T5:T6)</f>
        <v>1815.1399999999999</v>
      </c>
      <c r="U7" s="18">
        <f>SUM(U5:U6)</f>
        <v>1083.5228225151416</v>
      </c>
      <c r="V7" s="18">
        <f>SUM(V5:V6)</f>
        <v>389.4224</v>
      </c>
      <c r="W7" s="18">
        <f>SUM(W5:W6)</f>
        <v>200.76896</v>
      </c>
      <c r="X7" s="18">
        <f>SUM(X5:X6)</f>
        <v>125.30758400000002</v>
      </c>
      <c r="Y7" s="18">
        <f>SUM(Y5:Y6)</f>
        <v>95.12303360000001</v>
      </c>
      <c r="Z7" s="18">
        <f>SUM(Z5:Z6)</f>
        <v>83.04921344</v>
      </c>
      <c r="AA7" s="18">
        <f>SUM(AA5:AA6)</f>
        <v>33.219685376</v>
      </c>
      <c r="AB7" s="18">
        <f>SUM(AB5:AB6)</f>
        <v>13.2878741504</v>
      </c>
      <c r="AC7" s="18">
        <f>SUM(AC5:AC6)</f>
        <v>5.31514966016</v>
      </c>
      <c r="AD7" s="18">
        <f>SUM(AD5:AD6)</f>
        <v>2.1260598640640005</v>
      </c>
      <c r="AE7" s="18">
        <f>SUM(AE5:AE6)</f>
        <v>0.8504239456256003</v>
      </c>
    </row>
    <row r="8">
      <c r="A8" s="2" t="inlineStr">
        <is>
          <t>Operating Income</t>
        </is>
      </c>
      <c r="B8" s="18">
        <f>B4-B7</f>
        <v>-186.313</v>
      </c>
      <c r="C8" s="18">
        <f>C4-C7</f>
        <v>-324.202</v>
      </c>
      <c r="D8" s="18">
        <f>D4-D7</f>
        <v>-496.20500000000004</v>
      </c>
      <c r="E8" s="18">
        <f>E4-E7</f>
        <v>-536.2479999999999</v>
      </c>
      <c r="F8" s="18">
        <f>F4-F7</f>
        <v>-612.258</v>
      </c>
      <c r="G8" s="18">
        <f>G4-G7</f>
        <v>-695.629</v>
      </c>
      <c r="H8" s="18">
        <f>H4-H7</f>
        <v>-454.99510969023254</v>
      </c>
      <c r="I8" s="18">
        <f>I4-I7</f>
        <v>-181.7564415799386</v>
      </c>
      <c r="J8" s="18">
        <f>J4-J7</f>
        <v>215.70982494570376</v>
      </c>
      <c r="K8" s="18">
        <f>K4-K7</f>
        <v>701.7692725448089</v>
      </c>
      <c r="L8" s="18">
        <f>L4-L7</f>
        <v>1165.6638934372572</v>
      </c>
      <c r="M8" s="18">
        <f>M4-M7</f>
        <v>1572.6296000000002</v>
      </c>
      <c r="N8" s="18">
        <f>N4-N7</f>
        <v>1724.2387599999997</v>
      </c>
      <c r="O8" s="18">
        <f>O4-O7</f>
        <v>1802.8495000000003</v>
      </c>
      <c r="P8" s="18">
        <f>P4-P7</f>
        <v>1832.6695000000002</v>
      </c>
      <c r="Q8" s="18">
        <f>Q4-Q7</f>
        <v>1853.1370000000002</v>
      </c>
      <c r="R8" s="18">
        <f>R4-R7</f>
        <v>1859.8195</v>
      </c>
      <c r="S8" s="18">
        <f>S4-S7</f>
        <v>1864.0720000000001</v>
      </c>
      <c r="T8" s="18">
        <f>T4-T7</f>
        <v>1864.0720000000001</v>
      </c>
      <c r="U8" s="18">
        <f>U4-U7</f>
        <v>629.8119774848585</v>
      </c>
      <c r="V8" s="18">
        <f>V4-V7</f>
        <v>377.36152</v>
      </c>
      <c r="W8" s="18">
        <f>W4-W7</f>
        <v>187.394608</v>
      </c>
      <c r="X8" s="18">
        <f>X4-X7</f>
        <v>111.4078432</v>
      </c>
      <c r="Y8" s="18">
        <f>Y4-Y7</f>
        <v>81.01313728</v>
      </c>
      <c r="Z8" s="18">
        <f>Z4-Z7</f>
        <v>68.855254912</v>
      </c>
      <c r="AA8" s="18">
        <f>AA4-AA7</f>
        <v>27.542101964800004</v>
      </c>
      <c r="AB8" s="18">
        <f>AB4-AB7</f>
        <v>11.01684078592</v>
      </c>
      <c r="AC8" s="18">
        <f>AC4-AC7</f>
        <v>4.406736314368001</v>
      </c>
      <c r="AD8" s="18">
        <f>AD4-AD7</f>
        <v>1.7626945257472006</v>
      </c>
      <c r="AE8" s="18">
        <f>AE4-AE7</f>
        <v>0.7050778102988801</v>
      </c>
    </row>
    <row r="9">
      <c r="A9" s="19" t="inlineStr">
        <is>
          <t>Interest &amp; Other</t>
        </is>
      </c>
      <c r="B9" s="18" t="n">
        <v>-29.001</v>
      </c>
      <c r="C9" s="18" t="n">
        <v>-64.753</v>
      </c>
      <c r="D9" s="18" t="n">
        <v>-30.039</v>
      </c>
      <c r="E9" s="18" t="n">
        <v>-53.278</v>
      </c>
      <c r="F9" s="18" t="n">
        <v>-172.697</v>
      </c>
      <c r="G9" s="18">
        <f>SUM('Quarterly Model'!F9:I9)</f>
        <v>-78.003</v>
      </c>
      <c r="H9" s="18">
        <f>Assumptions!$B$16*MAX(0,G20)-Assumptions!$B$17*Main!$C$8</f>
        <v>20.917112499999995</v>
      </c>
      <c r="I9" s="18">
        <f>Assumptions!$B$16*MAX(0,H20)-Assumptions!$B$17*Main!$C$8</f>
        <v>4.639187605366274</v>
      </c>
      <c r="J9" s="18">
        <f>Assumptions!$B$16*MAX(0,I20)-Assumptions!$B$17*Main!$C$8</f>
        <v>-2.0027094186801904</v>
      </c>
      <c r="K9" s="18">
        <f>Assumptions!$B$16*MAX(0,J20)-Assumptions!$B$17*Main!$C$8</f>
        <v>6.0113074135831965</v>
      </c>
      <c r="L9" s="18">
        <f>Assumptions!$B$16*MAX(0,K20)-Assumptions!$B$17*Main!$C$8</f>
        <v>32.5530791620229</v>
      </c>
      <c r="M9" s="18">
        <f>Assumptions!$B$16*MAX(0,L20)-Assumptions!$B$17*Main!$C$8</f>
        <v>77.48621563449589</v>
      </c>
      <c r="N9" s="18">
        <f>Assumptions!$B$16*MAX(0,M20)-Assumptions!$B$17*Main!$C$8</f>
        <v>139.3655587207895</v>
      </c>
      <c r="O9" s="18">
        <f>Assumptions!$B$16*MAX(0,N20)-Assumptions!$B$17*Main!$C$8</f>
        <v>199.4180149565271</v>
      </c>
      <c r="P9" s="18">
        <f>Assumptions!$B$16*MAX(0,O20)-Assumptions!$B$17*Main!$C$8</f>
        <v>258.73519008711423</v>
      </c>
      <c r="Q9" s="18">
        <f>Assumptions!$B$16*MAX(0,P20)-Assumptions!$B$17*Main!$C$8</f>
        <v>320.69305403094495</v>
      </c>
      <c r="R9" s="18">
        <f>Assumptions!$B$16*MAX(0,Q20)-Assumptions!$B$17*Main!$C$8</f>
        <v>385.0927693816117</v>
      </c>
      <c r="S9" s="18">
        <f>Assumptions!$B$16*MAX(0,R20)-Assumptions!$B$17*Main!$C$8</f>
        <v>451.5982953620419</v>
      </c>
      <c r="T9" s="18">
        <f>Assumptions!$B$16*MAX(0,S20)-Assumptions!$B$17*Main!$C$8</f>
        <v>520.2000278621424</v>
      </c>
      <c r="U9" s="18">
        <f>Assumptions!$B$16*MAX(0,T20)-Assumptions!$B$17*Main!$C$8</f>
        <v>590.8340866875583</v>
      </c>
      <c r="V9" s="18">
        <f>Assumptions!$B$16*MAX(0,U20)-Assumptions!$B$17*Main!$C$8</f>
        <v>626.9957263386661</v>
      </c>
      <c r="W9" s="18">
        <f>Assumptions!$B$16*MAX(0,V20)-Assumptions!$B$17*Main!$C$8</f>
        <v>656.7498097614491</v>
      </c>
      <c r="X9" s="18">
        <f>Assumptions!$B$16*MAX(0,W20)-Assumptions!$B$17*Main!$C$8</f>
        <v>681.7575881376322</v>
      </c>
      <c r="Y9" s="18">
        <f>Assumptions!$B$16*MAX(0,X20)-Assumptions!$B$17*Main!$C$8</f>
        <v>705.2551140410094</v>
      </c>
      <c r="Z9" s="18">
        <f>Assumptions!$B$16*MAX(0,Y20)-Assumptions!$B$17*Main!$C$8</f>
        <v>728.5483109863944</v>
      </c>
      <c r="AA9" s="18">
        <f>Assumptions!$B$16*MAX(0,Z20)-Assumptions!$B$17*Main!$C$8</f>
        <v>752.1713916261342</v>
      </c>
      <c r="AB9" s="18">
        <f>Assumptions!$B$16*MAX(0,AA20)-Assumptions!$B$17*Main!$C$8</f>
        <v>775.2704038737656</v>
      </c>
      <c r="AC9" s="18">
        <f>Assumptions!$B$16*MAX(0,AB20)-Assumptions!$B$17*Main!$C$8</f>
        <v>798.5641634968088</v>
      </c>
      <c r="AD9" s="18">
        <f>Assumptions!$B$16*MAX(0,AC20)-Assumptions!$B$17*Main!$C$8</f>
        <v>822.352176403715</v>
      </c>
      <c r="AE9" s="18">
        <f>Assumptions!$B$16*MAX(0,AD20)-Assumptions!$B$17*Main!$C$8</f>
        <v>846.7665794550003</v>
      </c>
    </row>
    <row r="10">
      <c r="A10" s="2" t="inlineStr">
        <is>
          <t>Pretax</t>
        </is>
      </c>
      <c r="B10" s="18">
        <f>B8+B9</f>
        <v>-215.314</v>
      </c>
      <c r="C10" s="18">
        <f>C8+C9</f>
        <v>-388.955</v>
      </c>
      <c r="D10" s="18">
        <f>D8+D9</f>
        <v>-526.244</v>
      </c>
      <c r="E10" s="18">
        <f>E8+E9</f>
        <v>-589.526</v>
      </c>
      <c r="F10" s="18">
        <f>F8+F9</f>
        <v>-784.955</v>
      </c>
      <c r="G10" s="18">
        <f>G8+G9</f>
        <v>-773.6320000000001</v>
      </c>
      <c r="H10" s="18">
        <f>H8+H9</f>
        <v>-434.07799719023257</v>
      </c>
      <c r="I10" s="18">
        <f>I8+I9</f>
        <v>-177.11725397457235</v>
      </c>
      <c r="J10" s="18">
        <f>J8+J9</f>
        <v>213.70711552702357</v>
      </c>
      <c r="K10" s="18">
        <f>K8+K9</f>
        <v>707.7805799583921</v>
      </c>
      <c r="L10" s="18">
        <f>L8+L9</f>
        <v>1198.21697259928</v>
      </c>
      <c r="M10" s="18">
        <f>M8+M9</f>
        <v>1650.1158156344961</v>
      </c>
      <c r="N10" s="18">
        <f>N8+N9</f>
        <v>1863.6043187207893</v>
      </c>
      <c r="O10" s="18">
        <f>O8+O9</f>
        <v>2002.2675149565273</v>
      </c>
      <c r="P10" s="18">
        <f>P8+P9</f>
        <v>2091.4046900871144</v>
      </c>
      <c r="Q10" s="18">
        <f>Q8+Q9</f>
        <v>2173.830054030945</v>
      </c>
      <c r="R10" s="18">
        <f>R8+R9</f>
        <v>2244.9122693816116</v>
      </c>
      <c r="S10" s="18">
        <f>S8+S9</f>
        <v>2315.670295362042</v>
      </c>
      <c r="T10" s="18">
        <f>T8+T9</f>
        <v>2384.2720278621427</v>
      </c>
      <c r="U10" s="18">
        <f>U8+U9</f>
        <v>1220.6460641724168</v>
      </c>
      <c r="V10" s="18">
        <f>V8+V9</f>
        <v>1004.3572463386661</v>
      </c>
      <c r="W10" s="18">
        <f>W8+W9</f>
        <v>844.1444177614492</v>
      </c>
      <c r="X10" s="18">
        <f>X8+X9</f>
        <v>793.1654313376322</v>
      </c>
      <c r="Y10" s="18">
        <f>Y8+Y9</f>
        <v>786.2682513210094</v>
      </c>
      <c r="Z10" s="18">
        <f>Z8+Z9</f>
        <v>797.4035658983944</v>
      </c>
      <c r="AA10" s="18">
        <f>AA8+AA9</f>
        <v>779.7134935909343</v>
      </c>
      <c r="AB10" s="18">
        <f>AB8+AB9</f>
        <v>786.2872446596856</v>
      </c>
      <c r="AC10" s="18">
        <f>AC8+AC9</f>
        <v>802.9708998111768</v>
      </c>
      <c r="AD10" s="18">
        <f>AD8+AD9</f>
        <v>824.1148709294622</v>
      </c>
      <c r="AE10" s="18">
        <f>AE8+AE9</f>
        <v>847.4716572652992</v>
      </c>
    </row>
    <row r="11">
      <c r="A11" s="2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>
        <f>SUM('Quarterly Model'!F11:I11)</f>
        <v>0.0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0.0</v>
      </c>
      <c r="L11" s="18">
        <f>MAX(0,L10-K21)*Assumptions!$B$15</f>
        <v>0.0</v>
      </c>
      <c r="M11" s="18">
        <f>MAX(0,M10-L21)*Assumptions!$B$15</f>
        <v>0.0</v>
      </c>
      <c r="N11" s="18">
        <f>MAX(0,N10-M21)*Assumptions!$B$15</f>
        <v>262.2054857677869</v>
      </c>
      <c r="O11" s="18">
        <f>MAX(0,O10-N21)*Assumptions!$B$15</f>
        <v>420.47617814087073</v>
      </c>
      <c r="P11" s="18">
        <f>MAX(0,P10-O21)*Assumptions!$B$15</f>
        <v>439.19498491829404</v>
      </c>
      <c r="Q11" s="18">
        <f>MAX(0,Q10-P21)*Assumptions!$B$15</f>
        <v>456.50431134649847</v>
      </c>
      <c r="R11" s="18">
        <f>MAX(0,R10-Q21)*Assumptions!$B$15</f>
        <v>471.4315765701384</v>
      </c>
      <c r="S11" s="18">
        <f>MAX(0,S10-R21)*Assumptions!$B$15</f>
        <v>486.2907620260288</v>
      </c>
      <c r="T11" s="18">
        <f>MAX(0,T10-S21)*Assumptions!$B$15</f>
        <v>500.69712585105</v>
      </c>
      <c r="U11" s="18">
        <f>MAX(0,U10-T21)*Assumptions!$B$15</f>
        <v>256.33567347620755</v>
      </c>
      <c r="V11" s="18">
        <f>MAX(0,V10-U21)*Assumptions!$B$15</f>
        <v>210.91502173111988</v>
      </c>
      <c r="W11" s="18">
        <f>MAX(0,W10-V21)*Assumptions!$B$15</f>
        <v>177.27032772990432</v>
      </c>
      <c r="X11" s="18">
        <f>MAX(0,X10-W21)*Assumptions!$B$15</f>
        <v>166.56474058090276</v>
      </c>
      <c r="Y11" s="18">
        <f>MAX(0,Y10-X21)*Assumptions!$B$15</f>
        <v>165.11633277741197</v>
      </c>
      <c r="Z11" s="18">
        <f>MAX(0,Z10-Y21)*Assumptions!$B$15</f>
        <v>167.45474883866282</v>
      </c>
      <c r="AA11" s="18">
        <f>MAX(0,AA10-Z21)*Assumptions!$B$15</f>
        <v>163.7398336540962</v>
      </c>
      <c r="AB11" s="18">
        <f>MAX(0,AB10-AA21)*Assumptions!$B$15</f>
        <v>165.12032137853396</v>
      </c>
      <c r="AC11" s="18">
        <f>MAX(0,AC10-AB21)*Assumptions!$B$15</f>
        <v>168.6238889603471</v>
      </c>
      <c r="AD11" s="18">
        <f>MAX(0,AD10-AC21)*Assumptions!$B$15</f>
        <v>173.06412289518707</v>
      </c>
      <c r="AE11" s="18">
        <f>MAX(0,AE10-AD21)*Assumptions!$B$15</f>
        <v>177.96904802571282</v>
      </c>
    </row>
    <row r="12">
      <c r="A12" s="2" t="inlineStr">
        <is>
          <t>Net Income</t>
        </is>
      </c>
      <c r="B12" s="18" t="n">
        <v>-215.314</v>
      </c>
      <c r="C12" s="18" t="n">
        <v>-388.955</v>
      </c>
      <c r="D12" s="18" t="n">
        <v>-526.244</v>
      </c>
      <c r="E12" s="18" t="n">
        <v>-589.526</v>
      </c>
      <c r="F12" s="18" t="n">
        <v>-784.955</v>
      </c>
      <c r="G12" s="18">
        <f>G10-G11</f>
        <v>-773.6320000000001</v>
      </c>
      <c r="H12" s="18">
        <f>H10-H11</f>
        <v>-434.07799719023257</v>
      </c>
      <c r="I12" s="18">
        <f>I10-I11</f>
        <v>-177.11725397457235</v>
      </c>
      <c r="J12" s="18">
        <f>J10-J11</f>
        <v>213.70711552702357</v>
      </c>
      <c r="K12" s="18">
        <f>K10-K11</f>
        <v>707.7805799583921</v>
      </c>
      <c r="L12" s="18">
        <f>L10-L11</f>
        <v>1198.21697259928</v>
      </c>
      <c r="M12" s="18">
        <f>M10-M11</f>
        <v>1650.1158156344961</v>
      </c>
      <c r="N12" s="18">
        <f>N10-N11</f>
        <v>1601.3988329530023</v>
      </c>
      <c r="O12" s="18">
        <f>O10-O11</f>
        <v>1581.7913368156565</v>
      </c>
      <c r="P12" s="18">
        <f>P10-P11</f>
        <v>1652.2097051688204</v>
      </c>
      <c r="Q12" s="18">
        <f>Q10-Q11</f>
        <v>1717.3257426844466</v>
      </c>
      <c r="R12" s="18">
        <f>R10-R11</f>
        <v>1773.480692811473</v>
      </c>
      <c r="S12" s="18">
        <f>S10-S11</f>
        <v>1829.379533336013</v>
      </c>
      <c r="T12" s="18">
        <f>T10-T11</f>
        <v>1883.5749020110927</v>
      </c>
      <c r="U12" s="18">
        <f>U10-U11</f>
        <v>964.3103906962092</v>
      </c>
      <c r="V12" s="18">
        <f>V10-V11</f>
        <v>793.4422246075462</v>
      </c>
      <c r="W12" s="18">
        <f>W10-W11</f>
        <v>666.8740900315448</v>
      </c>
      <c r="X12" s="18">
        <f>X10-X11</f>
        <v>626.6006907567294</v>
      </c>
      <c r="Y12" s="18">
        <f>Y10-Y11</f>
        <v>621.1519185435975</v>
      </c>
      <c r="Z12" s="18">
        <f>Z10-Z11</f>
        <v>629.9488170597316</v>
      </c>
      <c r="AA12" s="18">
        <f>AA10-AA11</f>
        <v>615.9736599368381</v>
      </c>
      <c r="AB12" s="18">
        <f>AB10-AB11</f>
        <v>621.1669232811516</v>
      </c>
      <c r="AC12" s="18">
        <f>AC10-AC11</f>
        <v>634.3470108508296</v>
      </c>
      <c r="AD12" s="18">
        <f>AD10-AD11</f>
        <v>651.0507480342751</v>
      </c>
      <c r="AE12" s="18">
        <f>AE10-AE11</f>
        <v>669.5026092395864</v>
      </c>
    </row>
    <row r="13">
      <c r="A13" s="2" t="inlineStr">
        <is>
          <t>Earnings per Share</t>
        </is>
      </c>
      <c r="B13" s="11">
        <f>IFERROR(B12/B14,0)</f>
        <v>-2.8004318081315196</v>
      </c>
      <c r="C13" s="11">
        <f>IFERROR(C12/C14,0)</f>
        <v>-4.3301419426662955</v>
      </c>
      <c r="D13" s="11">
        <f>IFERROR(D12/D14,0)</f>
        <v>-5.451949774149434</v>
      </c>
      <c r="E13" s="11">
        <f>IFERROR(E12/E14,0)</f>
        <v>-5.264612114771519</v>
      </c>
      <c r="F13" s="11">
        <f>IFERROR(F12/F14,0)</f>
        <v>-6.535681873058959</v>
      </c>
      <c r="G13" s="11">
        <f>IFERROR(G12/G14,0)</f>
        <v>-5.7976127802997235</v>
      </c>
      <c r="H13" s="11">
        <f>IFERROR(H12/H14,0)</f>
        <v>-3.122337253931079</v>
      </c>
      <c r="I13" s="11">
        <f>IFERROR(I12/I14,0)</f>
        <v>-1.274010210096923</v>
      </c>
      <c r="J13" s="11">
        <f>IFERROR(J12/J14,0)</f>
        <v>1.5372022829062049</v>
      </c>
      <c r="K13" s="11">
        <f>IFERROR(K12/K14,0)</f>
        <v>5.091088898119252</v>
      </c>
      <c r="L13" s="11">
        <f>IFERROR(L12/L14,0)</f>
        <v>8.618813936795023</v>
      </c>
      <c r="M13" s="11">
        <f>IFERROR(M12/M14,0)</f>
        <v>11.869337118689574</v>
      </c>
      <c r="N13" s="11">
        <f>IFERROR(N12/N14,0)</f>
        <v>11.518914266321682</v>
      </c>
      <c r="O13" s="11">
        <f>IFERROR(O12/O14,0)</f>
        <v>11.377876904275627</v>
      </c>
      <c r="P13" s="11">
        <f>IFERROR(P12/P14,0)</f>
        <v>11.884398534704566</v>
      </c>
      <c r="Q13" s="11">
        <f>IFERROR(Q12/Q14,0)</f>
        <v>12.352780325717834</v>
      </c>
      <c r="R13" s="11">
        <f>IFERROR(R12/R14,0)</f>
        <v>12.756704721584914</v>
      </c>
      <c r="S13" s="11">
        <f>IFERROR(S12/S14,0)</f>
        <v>13.158786912691308</v>
      </c>
      <c r="T13" s="11">
        <f>IFERROR(T12/T14,0)</f>
        <v>13.54861597497979</v>
      </c>
      <c r="U13" s="11">
        <f>IFERROR(U12/U14,0)</f>
        <v>6.936316230523186</v>
      </c>
      <c r="V13" s="11">
        <f>IFERROR(V12/V14,0)</f>
        <v>5.70725591430608</v>
      </c>
      <c r="W13" s="11">
        <f>IFERROR(W12/W14,0)</f>
        <v>4.796847176002714</v>
      </c>
      <c r="X13" s="11">
        <f>IFERROR(X12/X14,0)</f>
        <v>4.507159295685921</v>
      </c>
      <c r="Y13" s="11">
        <f>IFERROR(Y12/Y14,0)</f>
        <v>4.467966098658267</v>
      </c>
      <c r="Z13" s="11">
        <f>IFERROR(Z12/Z14,0)</f>
        <v>4.531242477866079</v>
      </c>
      <c r="AA13" s="11">
        <f>IFERROR(AA12/AA14,0)</f>
        <v>4.430718714863119</v>
      </c>
      <c r="AB13" s="11">
        <f>IFERROR(AB12/AB14,0)</f>
        <v>4.468074028227041</v>
      </c>
      <c r="AC13" s="11">
        <f>IFERROR(AC12/AC14,0)</f>
        <v>4.562878829887707</v>
      </c>
      <c r="AD13" s="11">
        <f>IFERROR(AD12/AD14,0)</f>
        <v>4.683029358652908</v>
      </c>
      <c r="AE13" s="11">
        <f>IFERROR(AE12/AE14,0)</f>
        <v>4.8157542007749115</v>
      </c>
    </row>
    <row r="14">
      <c r="A14" s="2" t="inlineStr">
        <is>
          <t>Shares</t>
        </is>
      </c>
      <c r="B14" s="18" t="n">
        <v>76.886</v>
      </c>
      <c r="C14" s="18" t="n">
        <v>89.825</v>
      </c>
      <c r="D14" s="18" t="n">
        <v>96.524</v>
      </c>
      <c r="E14" s="18" t="n">
        <v>111.979</v>
      </c>
      <c r="F14" s="18" t="n">
        <v>120.103</v>
      </c>
      <c r="G14" s="18">
        <f>AVERAGE('Quarterly Model'!F14:I14)</f>
        <v>133.43975</v>
      </c>
      <c r="H14" s="18">
        <f>Main!$C$4*(1+Assumptions!$B$26)^(H1-2026)</f>
        <v>139.023418</v>
      </c>
      <c r="I14" s="18">
        <f>Main!$C$4*(1+Assumptions!$B$26)^(I1-2026)</f>
        <v>139.023418</v>
      </c>
      <c r="J14" s="18">
        <f>Main!$C$4*(1+Assumptions!$B$26)^(J1-2026)</f>
        <v>139.023418</v>
      </c>
      <c r="K14" s="18">
        <f>Main!$C$4*(1+Assumptions!$B$26)^(K1-2026)</f>
        <v>139.023418</v>
      </c>
      <c r="L14" s="18">
        <f>Main!$C$4*(1+Assumptions!$B$26)^(L1-2026)</f>
        <v>139.023418</v>
      </c>
      <c r="M14" s="18">
        <f>Main!$C$4*(1+Assumptions!$B$26)^(M1-2026)</f>
        <v>139.023418</v>
      </c>
      <c r="N14" s="18">
        <f>Main!$C$4*(1+Assumptions!$B$26)^(N1-2026)</f>
        <v>139.023418</v>
      </c>
      <c r="O14" s="18">
        <f>Main!$C$4*(1+Assumptions!$B$26)^(O1-2026)</f>
        <v>139.023418</v>
      </c>
      <c r="P14" s="18">
        <f>Main!$C$4*(1+Assumptions!$B$26)^(P1-2026)</f>
        <v>139.023418</v>
      </c>
      <c r="Q14" s="18">
        <f>Main!$C$4*(1+Assumptions!$B$26)^(Q1-2026)</f>
        <v>139.023418</v>
      </c>
      <c r="R14" s="18">
        <f>Main!$C$4*(1+Assumptions!$B$26)^(R1-2026)</f>
        <v>139.023418</v>
      </c>
      <c r="S14" s="18">
        <f>Main!$C$4*(1+Assumptions!$B$26)^(S1-2026)</f>
        <v>139.023418</v>
      </c>
      <c r="T14" s="18">
        <f>Main!$C$4*(1+Assumptions!$B$26)^(T1-2026)</f>
        <v>139.023418</v>
      </c>
      <c r="U14" s="18">
        <f>Main!$C$4*(1+Assumptions!$B$26)^(U1-2026)</f>
        <v>139.023418</v>
      </c>
      <c r="V14" s="18">
        <f>Main!$C$4*(1+Assumptions!$B$26)^(V1-2026)</f>
        <v>139.023418</v>
      </c>
      <c r="W14" s="18">
        <f>Main!$C$4*(1+Assumptions!$B$26)^(W1-2026)</f>
        <v>139.023418</v>
      </c>
      <c r="X14" s="18">
        <f>Main!$C$4*(1+Assumptions!$B$26)^(X1-2026)</f>
        <v>139.023418</v>
      </c>
      <c r="Y14" s="18">
        <f>Main!$C$4*(1+Assumptions!$B$26)^(Y1-2026)</f>
        <v>139.023418</v>
      </c>
      <c r="Z14" s="18">
        <f>Main!$C$4*(1+Assumptions!$B$26)^(Z1-2026)</f>
        <v>139.023418</v>
      </c>
      <c r="AA14" s="18">
        <f>Main!$C$4*(1+Assumptions!$B$26)^(AA1-2026)</f>
        <v>139.023418</v>
      </c>
      <c r="AB14" s="18">
        <f>Main!$C$4*(1+Assumptions!$B$26)^(AB1-2026)</f>
        <v>139.023418</v>
      </c>
      <c r="AC14" s="18">
        <f>Main!$C$4*(1+Assumptions!$B$26)^(AC1-2026)</f>
        <v>139.023418</v>
      </c>
      <c r="AD14" s="18">
        <f>Main!$C$4*(1+Assumptions!$B$26)^(AD1-2026)</f>
        <v>139.023418</v>
      </c>
      <c r="AE14" s="18">
        <f>Main!$C$4*(1+Assumptions!$B$26)^(AE1-2026)</f>
        <v>139.023418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>0.3430453796785369</v>
      </c>
      <c r="D16" s="14">
        <f>IFERROR(D2/C2-1,"")</f>
        <v>-0.9203915930139129</v>
      </c>
      <c r="E16" s="14">
        <f>IFERROR(E2/D2-1,"")</f>
        <v>1.453386454183267</v>
      </c>
      <c r="F16" s="14">
        <f>IFERROR(F2/E2-1,"")</f>
        <v>3.7655624120385403</v>
      </c>
      <c r="G16" s="14">
        <f>IFERROR(G2/F2-1,"")</f>
        <v>0.6354115789593251</v>
      </c>
      <c r="H16" s="14">
        <f>IFERROR(H2/G2-1,"")</f>
        <v>1.3611434747347033</v>
      </c>
      <c r="I16" s="14">
        <f>IFERROR(I2/H2-1,"")</f>
        <v>1.3180744511718423</v>
      </c>
      <c r="J16" s="14">
        <f>IFERROR(J2/I2-1,"")</f>
        <v>0.7286924555422436</v>
      </c>
      <c r="K16" s="14">
        <f>IFERROR(K2/J2-1,"")</f>
        <v>0.5140798683148464</v>
      </c>
      <c r="L16" s="14">
        <f>IFERROR(L2/K2-1,"")</f>
        <v>0.3546498300423133</v>
      </c>
      <c r="M16" s="14">
        <f>IFERROR(M2/L2-1,"")</f>
        <v>0.25950367900614535</v>
      </c>
      <c r="N16" s="14">
        <f>IFERROR(N2/M2-1,"")</f>
        <v>0.0699089113232294</v>
      </c>
      <c r="O16" s="14">
        <f>IFERROR(O2/N2-1,"")</f>
        <v>0.04479617723423157</v>
      </c>
      <c r="P16" s="14">
        <f>IFERROR(P2/O2-1,"")</f>
        <v>0.016014641958361997</v>
      </c>
      <c r="Q16" s="14">
        <f>IFERROR(Q2/P2-1,"")</f>
        <v>0.011634016362681132</v>
      </c>
      <c r="R16" s="14">
        <f>IFERROR(R2/Q2-1,"")</f>
        <v>0.004080724143047831</v>
      </c>
      <c r="S16" s="14">
        <f>IFERROR(S2/R2-1,"")</f>
        <v>0.002586270597797924</v>
      </c>
      <c r="T16" s="14">
        <f>IFERROR(T2/S2-1,"")</f>
        <v>0.0</v>
      </c>
      <c r="U16" s="14">
        <f>IFERROR(U2/T2-1,"")</f>
        <v>-0.5336674528301887</v>
      </c>
      <c r="V16" s="14">
        <f>IFERROR(V2/U2-1,"")</f>
        <v>-0.5525856619041598</v>
      </c>
      <c r="W16" s="14">
        <f>IFERROR(W2/V2-1,"")</f>
        <v>-0.49402588594359353</v>
      </c>
      <c r="X16" s="14">
        <f>IFERROR(X2/W2-1,"")</f>
        <v>-0.3905542771609213</v>
      </c>
      <c r="Y16" s="14">
        <f>IFERROR(Y2/X2-1,"")</f>
        <v>-0.25633408359421395</v>
      </c>
      <c r="Z16" s="14">
        <f>IFERROR(Z2/Y2-1,"")</f>
        <v>-0.13787593484617555</v>
      </c>
      <c r="AA16" s="14">
        <f>IFERROR(AA2/Z2-1,"")</f>
        <v>-0.6</v>
      </c>
      <c r="AB16" s="14">
        <f>IFERROR(AB2/AA2-1,"")</f>
        <v>-0.6000000000000001</v>
      </c>
      <c r="AC16" s="14">
        <f>IFERROR(AC2/AB2-1,"")</f>
        <v>-0.5999999999999999</v>
      </c>
      <c r="AD16" s="14">
        <f>IFERROR(AD2/AC2-1,"")</f>
        <v>-0.6</v>
      </c>
      <c r="AE16" s="14">
        <f>IFERROR(AE2/AD2-1,"")</f>
        <v>-0.6</v>
      </c>
    </row>
    <row r="17" customFormat="1" s="4">
      <c r="A17" s="3" t="inlineStr">
        <is>
          <t>Gross Margin</t>
        </is>
      </c>
      <c r="B17" s="14">
        <f>IFERROR(B4/B2,"")</f>
        <v>1.0</v>
      </c>
      <c r="C17" s="14">
        <f>IFERROR(C4/C2,"")</f>
        <v>1.0</v>
      </c>
      <c r="D17" s="14">
        <f>IFERROR(D4/D2,"")</f>
        <v>1.0</v>
      </c>
      <c r="E17" s="14">
        <f>IFERROR(E4/E2,"")</f>
        <v>1.0</v>
      </c>
      <c r="F17" s="14">
        <f>IFERROR(F4/F2,"")</f>
        <v>1.0</v>
      </c>
      <c r="G17" s="14">
        <f>IFERROR(G4/G2,"")</f>
        <v>0.9733296291151549</v>
      </c>
      <c r="H17" s="14">
        <f>IFERROR(H4/H2,"")</f>
        <v>0.9050000000000001</v>
      </c>
      <c r="I17" s="14">
        <f>IFERROR(I4/I2,"")</f>
        <v>0.9049999999999999</v>
      </c>
      <c r="J17" s="14">
        <f>IFERROR(J4/J2,"")</f>
        <v>0.9049999999999999</v>
      </c>
      <c r="K17" s="14">
        <f>IFERROR(K4/K2,"")</f>
        <v>0.9047818304856898</v>
      </c>
      <c r="L17" s="14">
        <f>IFERROR(L4/L2,"")</f>
        <v>0.9045973691697445</v>
      </c>
      <c r="M17" s="14">
        <f>IFERROR(M4/M2,"")</f>
        <v>0.9044245864410402</v>
      </c>
      <c r="N17" s="14">
        <f>IFERROR(N4/N2,"")</f>
        <v>0.9042231554390273</v>
      </c>
      <c r="O17" s="14">
        <f>IFERROR(O4/O2,"")</f>
        <v>0.9040619995424388</v>
      </c>
      <c r="P17" s="14">
        <f>IFERROR(P4/P2,"")</f>
        <v>0.9039529385273587</v>
      </c>
      <c r="Q17" s="14">
        <f>IFERROR(Q4/Q2,"")</f>
        <v>0.9038870752337141</v>
      </c>
      <c r="R17" s="14">
        <f>IFERROR(R4/R2,"")</f>
        <v>0.9038915983152294</v>
      </c>
      <c r="S17" s="14">
        <f>IFERROR(S4/S2,"")</f>
        <v>0.9038944575471698</v>
      </c>
      <c r="T17" s="14">
        <f>IFERROR(T4/T2,"")</f>
        <v>0.9038944575471698</v>
      </c>
      <c r="U17" s="14">
        <f>IFERROR(U4/U2,"")</f>
        <v>0.902629283095208</v>
      </c>
      <c r="V17" s="14">
        <f>IFERROR(V4/V2,"")</f>
        <v>0.9028805177188718</v>
      </c>
      <c r="W17" s="14">
        <f>IFERROR(W4/W2,"")</f>
        <v>0.9033244342172874</v>
      </c>
      <c r="X17" s="14">
        <f>IFERROR(X4/X2,"")</f>
        <v>0.9039002690675015</v>
      </c>
      <c r="Y17" s="14">
        <f>IFERROR(Y4/Y2,"")</f>
        <v>0.904408481196603</v>
      </c>
      <c r="Z17" s="14">
        <f>IFERROR(Z4/Z2,"")</f>
        <v>0.9047255528166743</v>
      </c>
      <c r="AA17" s="14">
        <f>IFERROR(AA4/AA2,"")</f>
        <v>0.9047255528166743</v>
      </c>
      <c r="AB17" s="14">
        <f>IFERROR(AB4/AB2,"")</f>
        <v>0.9047255528166743</v>
      </c>
      <c r="AC17" s="14">
        <f>IFERROR(AC4/AC2,"")</f>
        <v>0.9047255528166743</v>
      </c>
      <c r="AD17" s="14">
        <f>IFERROR(AD4/AD2,"")</f>
        <v>0.9047255528166743</v>
      </c>
      <c r="AE17" s="14">
        <f>IFERROR(AE4/AE2,"")</f>
        <v>0.9047255528166742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1335.1629999999998</v>
      </c>
      <c r="H20" s="18">
        <f>G20+H12</f>
        <v>901.0850028097673</v>
      </c>
      <c r="I20" s="18">
        <f>H20+I12</f>
        <v>723.9677488351949</v>
      </c>
      <c r="J20" s="18">
        <f>I20+J12</f>
        <v>937.6748643622185</v>
      </c>
      <c r="K20" s="18">
        <f>J20+K12</f>
        <v>1645.4554443206107</v>
      </c>
      <c r="L20" s="18">
        <f>K20+L12</f>
        <v>2843.6724169198906</v>
      </c>
      <c r="M20" s="18">
        <f>L20+M12</f>
        <v>4493.788232554387</v>
      </c>
      <c r="N20" s="18">
        <f>M20+N12</f>
        <v>6095.187065507389</v>
      </c>
      <c r="O20" s="18">
        <f>N20+O12</f>
        <v>7676.978402323046</v>
      </c>
      <c r="P20" s="18">
        <f>O20+P12</f>
        <v>9329.188107491866</v>
      </c>
      <c r="Q20" s="18">
        <f>P20+Q12</f>
        <v>11046.513850176312</v>
      </c>
      <c r="R20" s="18">
        <f>Q20+R12</f>
        <v>12819.994542987784</v>
      </c>
      <c r="S20" s="18">
        <f>R20+S12</f>
        <v>14649.374076323798</v>
      </c>
      <c r="T20" s="18">
        <f>S20+T12</f>
        <v>16532.94897833489</v>
      </c>
      <c r="U20" s="18">
        <f>T20+U12</f>
        <v>17497.2593690311</v>
      </c>
      <c r="V20" s="18">
        <f>U20+V12</f>
        <v>18290.701593638645</v>
      </c>
      <c r="W20" s="18">
        <f>V20+W12</f>
        <v>18957.57568367019</v>
      </c>
      <c r="X20" s="18">
        <f>W20+X12</f>
        <v>19584.17637442692</v>
      </c>
      <c r="Y20" s="18">
        <f>X20+Y12</f>
        <v>20205.328292970516</v>
      </c>
      <c r="Z20" s="18">
        <f>Y20+Z12</f>
        <v>20835.27711003025</v>
      </c>
      <c r="AA20" s="18">
        <f>Z20+AA12</f>
        <v>21451.250769967086</v>
      </c>
      <c r="AB20" s="18">
        <f>AA20+AB12</f>
        <v>22072.417693248237</v>
      </c>
      <c r="AC20" s="18">
        <f>AB20+AC12</f>
        <v>22706.764704099067</v>
      </c>
      <c r="AD20" s="18">
        <f>AC20+AD12</f>
        <v>23357.81545213334</v>
      </c>
      <c r="AE20" s="18">
        <f>AD20+AE12</f>
        <v>24027.318061372927</v>
      </c>
    </row>
    <row r="21">
      <c r="A21" s="13" t="inlineStr">
        <is>
          <t>Tax-Loss Pool</t>
        </is>
      </c>
      <c r="F21" s="18">
        <f>Assumptions!$B$18</f>
        <v>3000</v>
      </c>
      <c r="G21" s="18">
        <f>F21-MIN(F21,MAX(0,G10))+MAX(0,-G10)</f>
        <v>3773.632</v>
      </c>
      <c r="H21" s="18">
        <f>G21-MIN(G21,MAX(0,H10))+MAX(0,-H10)</f>
        <v>4207.709997190233</v>
      </c>
      <c r="I21" s="18">
        <f>H21-MIN(H21,MAX(0,I10))+MAX(0,-I10)</f>
        <v>4384.827251164805</v>
      </c>
      <c r="J21" s="18">
        <f>I21-MIN(I21,MAX(0,J10))+MAX(0,-J10)</f>
        <v>4171.1201356377815</v>
      </c>
      <c r="K21" s="18">
        <f>J21-MIN(J21,MAX(0,K10))+MAX(0,-K10)</f>
        <v>3463.3395556793894</v>
      </c>
      <c r="L21" s="18">
        <f>K21-MIN(K21,MAX(0,L10))+MAX(0,-L10)</f>
        <v>2265.1225830801095</v>
      </c>
      <c r="M21" s="18">
        <f>L21-MIN(L21,MAX(0,M10))+MAX(0,-M10)</f>
        <v>615.0067674456134</v>
      </c>
      <c r="N21" s="18">
        <f>M21-MIN(M21,MAX(0,N10))+MAX(0,-N10)</f>
        <v>0.0</v>
      </c>
      <c r="O21" s="18">
        <f>N21-MIN(N21,MAX(0,O10))+MAX(0,-O10)</f>
        <v>0.0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>
        <f>SUM(B24:B25)</f>
        <v>1.58</v>
      </c>
      <c r="C2" s="18">
        <f>SUM(C24:C25)</f>
        <v>66.77</v>
      </c>
      <c r="D2" s="18">
        <f>SUM(D24:D25)</f>
        <v>1.94</v>
      </c>
      <c r="E2" s="18">
        <f>SUM(E24:E25)</f>
        <v>17.75</v>
      </c>
      <c r="F2" s="18">
        <f>SUM(F24:F25)</f>
        <v>19.36</v>
      </c>
      <c r="G2" s="18">
        <f>SUM(G24:G25)</f>
        <v>28.62</v>
      </c>
      <c r="H2" s="18">
        <f>SUM(H24:H25)</f>
        <v>41.0</v>
      </c>
      <c r="I2" s="18">
        <f>SUM(I24:I25)</f>
        <v>55.0</v>
      </c>
    </row>
    <row r="3">
      <c r="A3" s="13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>
        <f>H2*0.04</f>
        <v>1.6400000000000001</v>
      </c>
      <c r="I3" s="18">
        <f>I2*0.04</f>
        <v>2.2</v>
      </c>
    </row>
    <row r="4">
      <c r="A4" s="13" t="inlineStr">
        <is>
          <t>Gross Margin</t>
        </is>
      </c>
      <c r="B4" s="18">
        <f>B2-B3</f>
        <v>1.58</v>
      </c>
      <c r="C4" s="18">
        <f>C2-C3</f>
        <v>66.77</v>
      </c>
      <c r="D4" s="18">
        <f>D2-D3</f>
        <v>1.94</v>
      </c>
      <c r="E4" s="18">
        <f>E2-E3</f>
        <v>17.75</v>
      </c>
      <c r="F4" s="18">
        <f>F2-F3</f>
        <v>19.36</v>
      </c>
      <c r="G4" s="18">
        <f>G2-G3</f>
        <v>28.62</v>
      </c>
      <c r="H4" s="18">
        <f>H2-H3</f>
        <v>39.36</v>
      </c>
      <c r="I4" s="18">
        <f>I2-I3</f>
        <v>52.8</v>
      </c>
    </row>
    <row r="5">
      <c r="A5" s="13" t="inlineStr">
        <is>
          <t>Research &amp; Dev.</t>
        </is>
      </c>
      <c r="B5" s="18" t="n">
        <v>98.262</v>
      </c>
      <c r="C5" s="18" t="n">
        <v>110.138</v>
      </c>
      <c r="D5" s="18" t="n">
        <v>99.233</v>
      </c>
      <c r="E5" s="18" t="n">
        <v>104.398</v>
      </c>
      <c r="F5" s="18" t="n">
        <v>95.52500000000001</v>
      </c>
      <c r="G5" s="18" t="n">
        <v>97.807</v>
      </c>
      <c r="H5" s="18" t="n">
        <v>98</v>
      </c>
      <c r="I5" s="18" t="n">
        <v>100</v>
      </c>
    </row>
    <row r="6">
      <c r="A6" s="13" t="inlineStr">
        <is>
          <t>General &amp; Admin</t>
        </is>
      </c>
      <c r="B6" s="18" t="n">
        <v>58.948</v>
      </c>
      <c r="C6" s="18" t="n">
        <v>68.137</v>
      </c>
      <c r="D6" s="18" t="n">
        <v>69.458</v>
      </c>
      <c r="E6" s="18" t="n">
        <v>91.723</v>
      </c>
      <c r="F6" s="18" t="n">
        <v>107.448</v>
      </c>
      <c r="G6" s="18" t="n">
        <v>109.989</v>
      </c>
      <c r="H6" s="18" t="n">
        <v>112</v>
      </c>
      <c r="I6" s="18" t="n">
        <v>115</v>
      </c>
    </row>
    <row r="7">
      <c r="A7" s="13" t="inlineStr">
        <is>
          <t>Operating Expense</t>
        </is>
      </c>
      <c r="B7" s="18">
        <f>SUM(B5:B6)</f>
        <v>157.21</v>
      </c>
      <c r="C7" s="18">
        <f>SUM(C5:C6)</f>
        <v>178.275</v>
      </c>
      <c r="D7" s="18">
        <f>SUM(D5:D6)</f>
        <v>168.691</v>
      </c>
      <c r="E7" s="18">
        <f>SUM(E5:E6)</f>
        <v>196.12099999999998</v>
      </c>
      <c r="F7" s="18">
        <f>SUM(F5:F6)</f>
        <v>202.973</v>
      </c>
      <c r="G7" s="18">
        <f>SUM(G5:G6)</f>
        <v>207.796</v>
      </c>
      <c r="H7" s="18">
        <f>SUM(H5:H6)</f>
        <v>210.0</v>
      </c>
      <c r="I7" s="18">
        <f>SUM(I5:I6)</f>
        <v>215.0</v>
      </c>
    </row>
    <row r="8">
      <c r="A8" s="13" t="inlineStr">
        <is>
          <t>Operating Income</t>
        </is>
      </c>
      <c r="B8" s="18">
        <f>B4-B7</f>
        <v>-155.63</v>
      </c>
      <c r="C8" s="18">
        <f>C4-C7</f>
        <v>-111.50500000000001</v>
      </c>
      <c r="D8" s="18">
        <f>D4-D7</f>
        <v>-166.751</v>
      </c>
      <c r="E8" s="18">
        <f>E4-E7</f>
        <v>-178.37099999999998</v>
      </c>
      <c r="F8" s="18">
        <f>F4-F7</f>
        <v>-183.613</v>
      </c>
      <c r="G8" s="18">
        <f>G4-G7</f>
        <v>-179.176</v>
      </c>
      <c r="H8" s="18">
        <f>H4-H7</f>
        <v>-170.64</v>
      </c>
      <c r="I8" s="18">
        <f>I4-I7</f>
        <v>-162.2</v>
      </c>
    </row>
    <row r="9">
      <c r="A9" s="13" t="inlineStr">
        <is>
          <t>Interest &amp; Other</t>
        </is>
      </c>
      <c r="B9" s="18" t="n">
        <v>-5.745</v>
      </c>
      <c r="C9" s="18" t="n">
        <v>-22.864</v>
      </c>
      <c r="D9" s="18" t="n">
        <v>-139.423</v>
      </c>
      <c r="E9" s="18" t="n">
        <v>-4.665</v>
      </c>
      <c r="F9" s="18" t="n">
        <v>-22.413</v>
      </c>
      <c r="G9" s="18" t="n">
        <v>-19.59</v>
      </c>
      <c r="H9" s="18" t="n">
        <v>-18</v>
      </c>
      <c r="I9" s="18" t="n">
        <v>-18</v>
      </c>
    </row>
    <row r="10">
      <c r="A10" s="13" t="inlineStr">
        <is>
          <t>Pretax</t>
        </is>
      </c>
      <c r="B10" s="18">
        <f>B8+B9</f>
        <v>-161.375</v>
      </c>
      <c r="C10" s="18">
        <f>C8+C9</f>
        <v>-134.369</v>
      </c>
      <c r="D10" s="18">
        <f>D8+D9</f>
        <v>-306.174</v>
      </c>
      <c r="E10" s="18">
        <f>E8+E9</f>
        <v>-183.03599999999997</v>
      </c>
      <c r="F10" s="18">
        <f>F8+F9</f>
        <v>-206.026</v>
      </c>
      <c r="G10" s="18">
        <f>G8+G9</f>
        <v>-198.766</v>
      </c>
      <c r="H10" s="18">
        <f>H8+H9</f>
        <v>-188.64</v>
      </c>
      <c r="I10" s="18">
        <f>I8+I9</f>
        <v>-180.2</v>
      </c>
    </row>
    <row r="11">
      <c r="A11" s="13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-161.375</v>
      </c>
      <c r="C12" s="18">
        <f>C10-C11</f>
        <v>-134.369</v>
      </c>
      <c r="D12" s="18">
        <f>D10-D11</f>
        <v>-306.174</v>
      </c>
      <c r="E12" s="18">
        <f>E10-E11</f>
        <v>-183.03599999999997</v>
      </c>
      <c r="F12" s="18">
        <f>F10-F11</f>
        <v>-206.026</v>
      </c>
      <c r="G12" s="18">
        <f>G10-G11</f>
        <v>-198.766</v>
      </c>
      <c r="H12" s="18">
        <f>H10-H11</f>
        <v>-188.64</v>
      </c>
      <c r="I12" s="18">
        <f>I10-I11</f>
        <v>-180.2</v>
      </c>
    </row>
    <row r="13">
      <c r="A13" s="13" t="inlineStr">
        <is>
          <t>Earnings per Share</t>
        </is>
      </c>
      <c r="B13" s="11">
        <f>IFERROR(B12/B14,0)</f>
        <v>-1.3618603159600324</v>
      </c>
      <c r="C13" s="11">
        <f>IFERROR(C12/C14,0)</f>
        <v>-1.1248315293369162</v>
      </c>
      <c r="D13" s="11">
        <f>IFERROR(D12/D14,0)</f>
        <v>-2.551832774916237</v>
      </c>
      <c r="E13" s="11">
        <f>IFERROR(E12/E14,0)</f>
        <v>-1.4944520195628563</v>
      </c>
      <c r="F13" s="11">
        <f>IFERROR(F12/F14,0)</f>
        <v>-1.671298662318594</v>
      </c>
      <c r="G13" s="11">
        <f>IFERROR(G12/G14,0)</f>
        <v>-1.5048226155686444</v>
      </c>
      <c r="H13" s="11">
        <f>IFERROR(H12/H14,0)</f>
        <v>-1.3561466570812364</v>
      </c>
      <c r="I13" s="11">
        <f>IFERROR(I12/I14,0)</f>
        <v>-1.2936109117013639</v>
      </c>
    </row>
    <row r="14">
      <c r="A14" s="13" t="inlineStr">
        <is>
          <t>Shares</t>
        </is>
      </c>
      <c r="B14" s="18" t="n">
        <v>118.496</v>
      </c>
      <c r="C14" s="18" t="n">
        <v>119.457</v>
      </c>
      <c r="D14" s="18" t="n">
        <v>119.982</v>
      </c>
      <c r="E14" s="18" t="n">
        <v>122.477</v>
      </c>
      <c r="F14" s="18" t="n">
        <v>123.273</v>
      </c>
      <c r="G14" s="18" t="n">
        <v>132.086</v>
      </c>
      <c r="H14" s="18" t="n">
        <v>139.1</v>
      </c>
      <c r="I14" s="18" t="n">
        <v>139.3</v>
      </c>
    </row>
    <row r="16">
      <c r="A16" s="13" t="inlineStr">
        <is>
          <t>Revenue Change (YoY)</t>
        </is>
      </c>
      <c r="F16" s="14">
        <f>IFERROR(F2/B2-1,"")</f>
        <v>11.253164556962025</v>
      </c>
      <c r="G16" s="14">
        <f>IFERROR(G2/C2-1,"")</f>
        <v>-0.5713643852029354</v>
      </c>
      <c r="H16" s="14">
        <f>IFERROR(H2/D2-1,"")</f>
        <v>20.1340206185567</v>
      </c>
      <c r="I16" s="14">
        <f>IFERROR(I2/E2-1,"")</f>
        <v>2.0985915492957745</v>
      </c>
    </row>
    <row r="17">
      <c r="A17" s="13" t="inlineStr">
        <is>
          <t>Gross Margin</t>
        </is>
      </c>
      <c r="B17" s="14">
        <f>IFERROR(B4/B2,"")</f>
        <v>1.0</v>
      </c>
      <c r="C17" s="14">
        <f>IFERROR(C4/C2,"")</f>
        <v>1.0</v>
      </c>
      <c r="D17" s="14">
        <f>IFERROR(D4/D2,"")</f>
        <v>1.0</v>
      </c>
      <c r="E17" s="14">
        <f>IFERROR(E4/E2,"")</f>
        <v>1.0</v>
      </c>
      <c r="F17" s="14">
        <f>IFERROR(F4/F2,"")</f>
        <v>1.0</v>
      </c>
      <c r="G17" s="14">
        <f>IFERROR(G4/G2,"")</f>
        <v>1.0</v>
      </c>
      <c r="H17" s="14">
        <f>IFERROR(H4/H2,"")</f>
        <v>0.96</v>
      </c>
      <c r="I17" s="14">
        <f>IFERROR(I4/I2,"")</f>
        <v>0.96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1704.003</v>
      </c>
      <c r="H20" s="18">
        <f>G20+H12+H21</f>
        <v>1515.3629999999998</v>
      </c>
      <c r="I20" s="18">
        <f>H20+I12+I21</f>
        <v>1335.1629999999998</v>
      </c>
    </row>
    <row r="21">
      <c r="A21" s="13" t="inlineStr">
        <is>
          <t>Other Cash Flows (est.)</t>
        </is>
      </c>
      <c r="H21" s="18" t="n">
        <v>0</v>
      </c>
      <c r="I21" s="18" t="n">
        <v>0</v>
      </c>
    </row>
    <row r="23">
      <c r="A23" s="22" t="inlineStr">
        <is>
          <t>Revenue by Product</t>
        </is>
      </c>
    </row>
    <row r="24">
      <c r="A24" s="13" t="inlineStr">
        <is>
          <t>MYQORZO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4.789</v>
      </c>
      <c r="G24" s="18" t="n">
        <v>25.334</v>
      </c>
      <c r="H24" s="18" t="n">
        <v>38</v>
      </c>
      <c r="I24" s="18" t="n">
        <v>52</v>
      </c>
    </row>
    <row r="25">
      <c r="A25" s="13" t="inlineStr">
        <is>
          <t>Collaboration &amp; other</t>
        </is>
      </c>
      <c r="B25" s="18" t="n">
        <v>1.58</v>
      </c>
      <c r="C25" s="18" t="n">
        <v>66.77</v>
      </c>
      <c r="D25" s="18" t="n">
        <v>1.94</v>
      </c>
      <c r="E25" s="18" t="n">
        <v>17.75</v>
      </c>
      <c r="F25" s="18" t="n">
        <v>14.571</v>
      </c>
      <c r="G25" s="18" t="n">
        <v>3.286</v>
      </c>
      <c r="H25" s="18" t="n">
        <v>3</v>
      </c>
      <c r="I25" s="18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3" t="inlineStr">
        <is>
          <t>CYTK — rNPV assumptions ($mm unless noted)</t>
        </is>
      </c>
    </row>
    <row r="4">
      <c r="A4" s="22" t="inlineStr">
        <is>
          <t>Scenario (1 = Bear, 2 = Base, 3 = Bull)</t>
        </is>
      </c>
      <c r="B4" s="24" t="n">
        <v>2</v>
      </c>
      <c r="C4" s="22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0.1</v>
      </c>
      <c r="C14" s="34" t="n">
        <v>0.115</v>
      </c>
      <c r="D14" s="34" t="n">
        <v>0.1</v>
      </c>
      <c r="E14" s="34" t="n">
        <v>0.09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3000</v>
      </c>
      <c r="C18" s="37" t="n">
        <v>3000</v>
      </c>
      <c r="D18" s="37" t="n">
        <v>3000</v>
      </c>
      <c r="E18" s="37" t="n">
        <v>3000</v>
      </c>
    </row>
    <row r="19">
      <c r="A19" s="13" t="inlineStr">
        <is>
          <t>Corporate G&amp;A, 2027</t>
        </is>
      </c>
      <c r="B19" s="36">
        <f>CHOOSE($B$4,C19,D19,E19)</f>
        <v>150</v>
      </c>
      <c r="C19" s="37" t="n">
        <v>150</v>
      </c>
      <c r="D19" s="37" t="n">
        <v>150</v>
      </c>
      <c r="E19" s="37" t="n">
        <v>150</v>
      </c>
    </row>
    <row r="20">
      <c r="A20" s="13" t="inlineStr">
        <is>
          <t>Platform / unallocated R&amp;D, 2027</t>
        </is>
      </c>
      <c r="B20" s="36">
        <f>CHOOSE($B$4,C20,D20,E20)</f>
        <v>260</v>
      </c>
      <c r="C20" s="37" t="n">
        <v>260</v>
      </c>
      <c r="D20" s="37" t="n">
        <v>260</v>
      </c>
      <c r="E20" s="37" t="n">
        <v>260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0.08</v>
      </c>
      <c r="C22" s="35" t="n">
        <v>0.08</v>
      </c>
      <c r="D22" s="35" t="n">
        <v>0.08</v>
      </c>
      <c r="E22" s="35" t="n">
        <v>0.08</v>
      </c>
    </row>
    <row r="23">
      <c r="A23" s="13" t="inlineStr">
        <is>
          <t>Platform R&amp;D floor, % of revenue</t>
        </is>
      </c>
      <c r="B23" s="33">
        <f>CHOOSE($B$4,C23,D23,E23)</f>
        <v>0.12</v>
      </c>
      <c r="C23" s="35" t="n">
        <v>0.12</v>
      </c>
      <c r="D23" s="35" t="n">
        <v>0.12</v>
      </c>
      <c r="E23" s="35" t="n">
        <v>0.12</v>
      </c>
    </row>
    <row r="24">
      <c r="A24" s="13" t="inlineStr">
        <is>
          <t>Corporate cost cut after a CRL (2027+)</t>
        </is>
      </c>
      <c r="B24" s="33">
        <f>CHOOSE($B$4,C24,D24,E24)</f>
        <v>0</v>
      </c>
      <c r="C24" s="35" t="n">
        <v>0</v>
      </c>
      <c r="D24" s="35" t="n">
        <v>0</v>
      </c>
      <c r="E24" s="35" t="n">
        <v>0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2040</v>
      </c>
      <c r="C25" s="39" t="n">
        <v>2040</v>
      </c>
      <c r="D25" s="39" t="n">
        <v>2040</v>
      </c>
      <c r="E25" s="39" t="n">
        <v>2040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100</v>
      </c>
      <c r="C27" s="37" t="n">
        <v>100</v>
      </c>
      <c r="D27" s="37" t="n">
        <v>100</v>
      </c>
      <c r="E27" s="37" t="n">
        <v>100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DATE(2026,11,14)</f>
        <v>46340</v>
      </c>
    </row>
    <row r="31">
      <c r="A31" s="13" t="inlineStr">
        <is>
          <t>Application</t>
        </is>
      </c>
      <c r="B31" s="25" t="inlineStr">
        <is>
          <t>MYQORZO sNDA, MAPLE-HCM (superiority vs. metoprolol)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0.92</v>
      </c>
      <c r="C32" s="34" t="n">
        <v>0.85</v>
      </c>
      <c r="D32" s="34" t="n">
        <v>0.92</v>
      </c>
      <c r="E32" s="34" t="n">
        <v>0.96</v>
      </c>
    </row>
    <row r="33">
      <c r="A33" s="13" t="inlineStr">
        <is>
          <t>Probability of approval later, after a CRL</t>
        </is>
      </c>
      <c r="B33" s="33">
        <f>CHOOSE($B$4,C33,D33,E33)</f>
        <v>0.7</v>
      </c>
      <c r="C33" s="35" t="n">
        <v>0.65</v>
      </c>
      <c r="D33" s="35" t="n">
        <v>0.7</v>
      </c>
      <c r="E33" s="35" t="n">
        <v>0.8</v>
      </c>
    </row>
    <row r="34">
      <c r="A34" s="13" t="inlineStr">
        <is>
          <t>Launch delay after a CRL (years)</t>
        </is>
      </c>
      <c r="B34" s="38">
        <f>CHOOSE($B$4,C34,D34,E34)</f>
        <v>1</v>
      </c>
      <c r="C34" s="39" t="n">
        <v>1</v>
      </c>
      <c r="D34" s="39" t="n">
        <v>1</v>
      </c>
      <c r="E34" s="39" t="n">
        <v>1</v>
      </c>
    </row>
    <row r="35">
      <c r="A35" s="13" t="inlineStr">
        <is>
          <t>Probability of approval, scenario value (before override)</t>
        </is>
      </c>
      <c r="B35" s="40">
        <f>CHOOSE($B$4,C32,D32,E32)</f>
        <v>0.92</v>
      </c>
    </row>
    <row r="36">
      <c r="A36" s="13" t="inlineStr">
        <is>
          <t>Read-through: relative cut to other programs' PoS after a CRL</t>
        </is>
      </c>
      <c r="B36" s="33">
        <f>CHOOSE($B$4,C36,D36,E36)</f>
        <v>0</v>
      </c>
      <c r="C36" s="35" t="n">
        <v>0</v>
      </c>
      <c r="D36" s="35" t="n">
        <v>0</v>
      </c>
      <c r="E36" s="35" t="n">
        <v>0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1.0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2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MYQORZO (aficamten) — obstructive HCM  (marketed)</t>
        </is>
      </c>
      <c r="B46" s="31" t="n"/>
      <c r="C46" s="31" t="n"/>
      <c r="D46" s="31" t="n"/>
      <c r="E46" s="31" t="n"/>
    </row>
    <row r="47">
      <c r="A47" s="13" t="inlineStr">
        <is>
          <t>Launch year (first commercial year)</t>
        </is>
      </c>
      <c r="B47" s="39" t="n">
        <v>2026</v>
      </c>
    </row>
    <row r="48">
      <c r="A48" s="13" t="inlineStr">
        <is>
          <t>Peak net sales, unrisked</t>
        </is>
      </c>
      <c r="B48" s="36">
        <f>CHOOSE($B$4,C48,D48,E48)</f>
        <v>2000</v>
      </c>
      <c r="C48" s="44" t="n">
        <v>1200</v>
      </c>
      <c r="D48" s="44" t="n">
        <v>2000</v>
      </c>
      <c r="E48" s="44" t="n">
        <v>3000</v>
      </c>
    </row>
    <row r="49">
      <c r="A49" s="13" t="inlineStr">
        <is>
          <t>Year peak is reached</t>
        </is>
      </c>
      <c r="B49" s="38">
        <f>CHOOSE($B$4,C49,D49,E49)</f>
        <v>2032</v>
      </c>
      <c r="C49" s="39" t="n">
        <v>2032</v>
      </c>
      <c r="D49" s="39" t="n">
        <v>2032</v>
      </c>
      <c r="E49" s="39" t="n">
        <v>2031</v>
      </c>
    </row>
    <row r="50">
      <c r="A50" s="13" t="inlineStr">
        <is>
          <t>Path to peak (1 = straight line, &gt;1 = slower start)</t>
        </is>
      </c>
      <c r="B50" s="45" t="n">
        <v>1.3</v>
      </c>
    </row>
    <row r="51">
      <c r="A51" s="13" t="inlineStr">
        <is>
          <t>Company revenue, % of product net sales</t>
        </is>
      </c>
      <c r="B51" s="35" t="n">
        <v>1</v>
      </c>
    </row>
    <row r="52">
      <c r="A52" s="13" t="inlineStr">
        <is>
          <t>Cost of goods, % of product sales</t>
        </is>
      </c>
      <c r="B52" s="35" t="n">
        <v>0.05</v>
      </c>
    </row>
    <row r="53">
      <c r="A53" s="13" t="inlineStr">
        <is>
          <t>Royalties owed, % of product sales</t>
        </is>
      </c>
      <c r="B53" s="35" t="n">
        <v>0.045</v>
      </c>
    </row>
    <row r="54">
      <c r="A54" s="13" t="inlineStr">
        <is>
          <t>Commercial SG&amp;A at maturity, % of sales</t>
        </is>
      </c>
      <c r="B54" s="35" t="n">
        <v>0.25</v>
      </c>
    </row>
    <row r="55">
      <c r="A55" s="13" t="inlineStr">
        <is>
          <t>Loss of exclusivity (year)</t>
        </is>
      </c>
      <c r="B55" s="38">
        <f>CHOOSE($B$4,C55,D55,E55)</f>
        <v>2039</v>
      </c>
      <c r="C55" s="39" t="n">
        <v>2039</v>
      </c>
      <c r="D55" s="39" t="n">
        <v>2039</v>
      </c>
      <c r="E55" s="39" t="n">
        <v>2039</v>
      </c>
    </row>
    <row r="56">
      <c r="A56" s="13" t="inlineStr">
        <is>
          <t>Post-LOE annual sales erosion</t>
        </is>
      </c>
      <c r="B56" s="35" t="n">
        <v>0.6</v>
      </c>
    </row>
    <row r="57">
      <c r="A57" s="13" t="inlineStr">
        <is>
          <t>2026E net sales (Quarterly Model)</t>
        </is>
      </c>
      <c r="B57" s="36">
        <f>SUM('Quarterly Model'!F24:I24)</f>
        <v>120.12299999999999</v>
      </c>
    </row>
    <row r="59">
      <c r="A59" s="30" t="inlineStr">
        <is>
          <t>MAPLE-HCM label — first-line use (incremental)  (PDUFA)</t>
        </is>
      </c>
      <c r="B59" s="31" t="n"/>
      <c r="C59" s="31" t="n"/>
      <c r="D59" s="31" t="n"/>
      <c r="E59" s="31" t="n"/>
    </row>
    <row r="60">
      <c r="A60" s="13" t="inlineStr">
        <is>
          <t>Launch year (first full year of sales)</t>
        </is>
      </c>
      <c r="B60" s="38">
        <f>CHOOSE($B$4,C60,D60,E60)</f>
        <v>2027</v>
      </c>
      <c r="C60" s="39" t="n">
        <v>2027</v>
      </c>
      <c r="D60" s="39" t="n">
        <v>2027</v>
      </c>
      <c r="E60" s="39" t="n">
        <v>2027</v>
      </c>
    </row>
    <row r="61">
      <c r="A61" s="13" t="inlineStr">
        <is>
          <t>Peak net sales, unrisked</t>
        </is>
      </c>
      <c r="B61" s="36">
        <f>IF(ISNUMBER($B$8),$B$8,CHOOSE($B$4,C61,D61,E61))</f>
        <v>400</v>
      </c>
      <c r="C61" s="44" t="n">
        <v>200</v>
      </c>
      <c r="D61" s="44" t="n">
        <v>400</v>
      </c>
      <c r="E61" s="44" t="n">
        <v>700</v>
      </c>
    </row>
    <row r="62">
      <c r="A62" s="13" t="inlineStr">
        <is>
          <t>Probability of approval (PDUFA event above)</t>
        </is>
      </c>
      <c r="B62" s="33">
        <f>$B$32</f>
        <v>0.92</v>
      </c>
    </row>
    <row r="63">
      <c r="A63" s="13" t="inlineStr">
        <is>
          <t>Company revenue, % of product net sales</t>
        </is>
      </c>
      <c r="B63" s="35" t="n">
        <v>1</v>
      </c>
    </row>
    <row r="64">
      <c r="A64" s="13" t="inlineStr">
        <is>
          <t>Cost of goods, % of product sales</t>
        </is>
      </c>
      <c r="B64" s="35" t="n">
        <v>0.05</v>
      </c>
    </row>
    <row r="65">
      <c r="A65" s="13" t="inlineStr">
        <is>
          <t>Royalties owed, % of product sales</t>
        </is>
      </c>
      <c r="B65" s="35" t="n">
        <v>0.045</v>
      </c>
    </row>
    <row r="66">
      <c r="A66" s="13" t="inlineStr">
        <is>
          <t>Commercial SG&amp;A at maturity, % of sales</t>
        </is>
      </c>
      <c r="B66" s="35" t="n">
        <v>0.15</v>
      </c>
    </row>
    <row r="67">
      <c r="A67" s="13" t="inlineStr">
        <is>
          <t>Pre-launch commercial spend, year before launch</t>
        </is>
      </c>
      <c r="B67" s="37" t="n">
        <v>0</v>
      </c>
    </row>
    <row r="68">
      <c r="A68" s="13" t="inlineStr">
        <is>
          <t>Launch ramp (1 = standard, 2 = orphan)</t>
        </is>
      </c>
      <c r="B68" s="39" t="n">
        <v>1</v>
      </c>
    </row>
    <row r="69">
      <c r="A69" s="13" t="inlineStr">
        <is>
          <t>Loss of exclusivity (year)</t>
        </is>
      </c>
      <c r="B69" s="38">
        <f>CHOOSE($B$4,C69,D69,E69)</f>
        <v>2039</v>
      </c>
      <c r="C69" s="39" t="n">
        <v>2039</v>
      </c>
      <c r="D69" s="39" t="n">
        <v>2039</v>
      </c>
      <c r="E69" s="39" t="n">
        <v>2039</v>
      </c>
    </row>
    <row r="70">
      <c r="A70" s="13" t="inlineStr">
        <is>
          <t>Post-LOE annual sales erosion</t>
        </is>
      </c>
      <c r="B70" s="35" t="n">
        <v>0.6</v>
      </c>
    </row>
    <row r="72">
      <c r="A72" s="30" t="inlineStr">
        <is>
          <t>Aficamten — non-obstructive HCM (sNDA Q4 2026)  (pipeline)</t>
        </is>
      </c>
      <c r="B72" s="31" t="n"/>
      <c r="C72" s="31" t="n"/>
      <c r="D72" s="31" t="n"/>
      <c r="E72" s="31" t="n"/>
    </row>
    <row r="73">
      <c r="A73" s="13" t="inlineStr">
        <is>
          <t>Launch year (first full year of sales)</t>
        </is>
      </c>
      <c r="B73" s="38">
        <f>CHOOSE($B$4,C73,D73,E73)</f>
        <v>2028</v>
      </c>
      <c r="C73" s="39" t="n">
        <v>2028</v>
      </c>
      <c r="D73" s="39" t="n">
        <v>2028</v>
      </c>
      <c r="E73" s="39" t="n">
        <v>2028</v>
      </c>
    </row>
    <row r="74">
      <c r="A74" s="13" t="inlineStr">
        <is>
          <t>Peak net sales, unrisked</t>
        </is>
      </c>
      <c r="B74" s="36">
        <f>CHOOSE($B$4,C74,D74,E74)</f>
        <v>1500</v>
      </c>
      <c r="C74" s="44" t="n">
        <v>800</v>
      </c>
      <c r="D74" s="44" t="n">
        <v>1500</v>
      </c>
      <c r="E74" s="44" t="n">
        <v>2500</v>
      </c>
    </row>
    <row r="75">
      <c r="A75" s="13" t="inlineStr">
        <is>
          <t>Probability of reaching market</t>
        </is>
      </c>
      <c r="B75" s="33">
        <f>CHOOSE($B$4,C75,D75,E75)</f>
        <v>0.82</v>
      </c>
      <c r="C75" s="34" t="n">
        <v>0.7</v>
      </c>
      <c r="D75" s="34" t="n">
        <v>0.82</v>
      </c>
      <c r="E75" s="34" t="n">
        <v>0.9</v>
      </c>
    </row>
    <row r="76">
      <c r="A76" s="13" t="inlineStr">
        <is>
          <t>Company revenue, % of product net sales</t>
        </is>
      </c>
      <c r="B76" s="35" t="n">
        <v>1</v>
      </c>
    </row>
    <row r="77">
      <c r="A77" s="13" t="inlineStr">
        <is>
          <t>Cost of goods, % of product sales</t>
        </is>
      </c>
      <c r="B77" s="35" t="n">
        <v>0.05</v>
      </c>
    </row>
    <row r="78">
      <c r="A78" s="13" t="inlineStr">
        <is>
          <t>Royalties owed, % of product sales</t>
        </is>
      </c>
      <c r="B78" s="35" t="n">
        <v>0.045</v>
      </c>
    </row>
    <row r="79">
      <c r="A79" s="13" t="inlineStr">
        <is>
          <t>Commercial SG&amp;A at maturity, % of sales</t>
        </is>
      </c>
      <c r="B79" s="35" t="n">
        <v>0.25</v>
      </c>
    </row>
    <row r="80">
      <c r="A80" s="13" t="inlineStr">
        <is>
          <t>Pre-launch commercial spend, year before launch</t>
        </is>
      </c>
      <c r="B80" s="37" t="n">
        <v>40</v>
      </c>
    </row>
    <row r="81">
      <c r="A81" s="13" t="inlineStr">
        <is>
          <t>Launch ramp (1 = standard, 2 = orphan)</t>
        </is>
      </c>
      <c r="B81" s="39" t="n">
        <v>1</v>
      </c>
    </row>
    <row r="82">
      <c r="A82" s="13" t="inlineStr">
        <is>
          <t>Loss of exclusivity (year)</t>
        </is>
      </c>
      <c r="B82" s="38">
        <f>CHOOSE($B$4,C82,D82,E82)</f>
        <v>2039</v>
      </c>
      <c r="C82" s="39" t="n">
        <v>2039</v>
      </c>
      <c r="D82" s="39" t="n">
        <v>2039</v>
      </c>
      <c r="E82" s="39" t="n">
        <v>2039</v>
      </c>
    </row>
    <row r="83">
      <c r="A83" s="13" t="inlineStr">
        <is>
          <t>Post-LOE annual sales erosion</t>
        </is>
      </c>
      <c r="B83" s="35" t="n">
        <v>0.6</v>
      </c>
    </row>
    <row r="84">
      <c r="A84" s="25" t="inlineStr">
        <is>
          <t>Development spend, unrisked ($mm) by year</t>
        </is>
      </c>
      <c r="B84" s="42" t="n">
        <v>2027</v>
      </c>
      <c r="C84" s="42" t="n">
        <v>2028</v>
      </c>
      <c r="D84" s="42" t="n">
        <v>2029</v>
      </c>
      <c r="E84" s="42" t="n">
        <v>2030</v>
      </c>
      <c r="F84" s="42" t="n">
        <v>2031</v>
      </c>
      <c r="G84" s="42" t="n">
        <v>2032</v>
      </c>
      <c r="H84" s="42" t="n">
        <v>2033</v>
      </c>
      <c r="I84" s="42" t="n">
        <v>2034</v>
      </c>
    </row>
    <row r="85">
      <c r="A85" s="13" t="inlineStr">
        <is>
          <t xml:space="preserve">  Cost</t>
        </is>
      </c>
      <c r="B85" s="37" t="n">
        <v>10</v>
      </c>
      <c r="C85" s="37" t="n">
        <v>0</v>
      </c>
      <c r="D85" s="37" t="n">
        <v>0</v>
      </c>
      <c r="E85" s="37" t="n">
        <v>0</v>
      </c>
      <c r="F85" s="37" t="n">
        <v>0</v>
      </c>
      <c r="G85" s="37" t="n">
        <v>0</v>
      </c>
      <c r="H85" s="37" t="n">
        <v>0</v>
      </c>
      <c r="I85" s="37" t="n">
        <v>0</v>
      </c>
    </row>
    <row r="86">
      <c r="A86" s="13" t="inlineStr">
        <is>
          <t xml:space="preserve">  Probability the cost is incurred</t>
        </is>
      </c>
      <c r="B86" s="43" t="n">
        <v>1</v>
      </c>
      <c r="C86" s="43" t="n">
        <v>1</v>
      </c>
      <c r="D86" s="43" t="n">
        <v>1</v>
      </c>
      <c r="E86" s="43" t="n">
        <v>1</v>
      </c>
      <c r="F86" s="43" t="n">
        <v>1</v>
      </c>
      <c r="G86" s="43" t="n">
        <v>1</v>
      </c>
      <c r="H86" s="43" t="n">
        <v>1</v>
      </c>
      <c r="I86" s="43" t="n">
        <v>1</v>
      </c>
    </row>
    <row r="88">
      <c r="A88" s="30" t="inlineStr">
        <is>
          <t>Omecamtiv mecarbil — HFrEF (COMET-HF)  (pipeline)</t>
        </is>
      </c>
      <c r="B88" s="31" t="n"/>
      <c r="C88" s="31" t="n"/>
      <c r="D88" s="31" t="n"/>
      <c r="E88" s="31" t="n"/>
    </row>
    <row r="89">
      <c r="A89" s="13" t="inlineStr">
        <is>
          <t>Launch year (first full year of sales)</t>
        </is>
      </c>
      <c r="B89" s="38">
        <f>CHOOSE($B$4,C89,D89,E89)</f>
        <v>2030</v>
      </c>
      <c r="C89" s="39" t="n">
        <v>2030</v>
      </c>
      <c r="D89" s="39" t="n">
        <v>2030</v>
      </c>
      <c r="E89" s="39" t="n">
        <v>2030</v>
      </c>
    </row>
    <row r="90">
      <c r="A90" s="13" t="inlineStr">
        <is>
          <t>Peak net sales, unrisked</t>
        </is>
      </c>
      <c r="B90" s="36">
        <f>CHOOSE($B$4,C90,D90,E90)</f>
        <v>1000</v>
      </c>
      <c r="C90" s="44" t="n">
        <v>500</v>
      </c>
      <c r="D90" s="44" t="n">
        <v>1000</v>
      </c>
      <c r="E90" s="44" t="n">
        <v>1800</v>
      </c>
    </row>
    <row r="91">
      <c r="A91" s="13" t="inlineStr">
        <is>
          <t>Probability of reaching market</t>
        </is>
      </c>
      <c r="B91" s="33">
        <f>CHOOSE($B$4,C91,D91,E91)</f>
        <v>0.3</v>
      </c>
      <c r="C91" s="34" t="n">
        <v>0.2</v>
      </c>
      <c r="D91" s="34" t="n">
        <v>0.3</v>
      </c>
      <c r="E91" s="34" t="n">
        <v>0.4</v>
      </c>
    </row>
    <row r="92">
      <c r="A92" s="13" t="inlineStr">
        <is>
          <t>Company revenue, % of product net sales</t>
        </is>
      </c>
      <c r="B92" s="35" t="n">
        <v>1</v>
      </c>
    </row>
    <row r="93">
      <c r="A93" s="13" t="inlineStr">
        <is>
          <t>Cost of goods, % of product sales</t>
        </is>
      </c>
      <c r="B93" s="35" t="n">
        <v>0.05</v>
      </c>
    </row>
    <row r="94">
      <c r="A94" s="13" t="inlineStr">
        <is>
          <t>Royalties owed, % of product sales</t>
        </is>
      </c>
      <c r="B94" s="35" t="n">
        <v>0.06</v>
      </c>
    </row>
    <row r="95">
      <c r="A95" s="13" t="inlineStr">
        <is>
          <t>Commercial SG&amp;A at maturity, % of sales</t>
        </is>
      </c>
      <c r="B95" s="35" t="n">
        <v>0.3</v>
      </c>
    </row>
    <row r="96">
      <c r="A96" s="13" t="inlineStr">
        <is>
          <t>Pre-launch commercial spend, year before launch</t>
        </is>
      </c>
      <c r="B96" s="37" t="n">
        <v>40</v>
      </c>
    </row>
    <row r="97">
      <c r="A97" s="13" t="inlineStr">
        <is>
          <t>Launch ramp (1 = standard, 2 = orphan)</t>
        </is>
      </c>
      <c r="B97" s="39" t="n">
        <v>1</v>
      </c>
    </row>
    <row r="98">
      <c r="A98" s="13" t="inlineStr">
        <is>
          <t>Loss of exclusivity (year)</t>
        </is>
      </c>
      <c r="B98" s="38">
        <f>CHOOSE($B$4,C98,D98,E98)</f>
        <v>2040</v>
      </c>
      <c r="C98" s="39" t="n">
        <v>2040</v>
      </c>
      <c r="D98" s="39" t="n">
        <v>2040</v>
      </c>
      <c r="E98" s="39" t="n">
        <v>2040</v>
      </c>
    </row>
    <row r="99">
      <c r="A99" s="13" t="inlineStr">
        <is>
          <t>Post-LOE annual sales erosion</t>
        </is>
      </c>
      <c r="B99" s="35" t="n">
        <v>0.6</v>
      </c>
    </row>
    <row r="100">
      <c r="A100" s="25" t="inlineStr">
        <is>
          <t>Development spend, unrisked ($mm) by year</t>
        </is>
      </c>
      <c r="B100" s="42" t="n">
        <v>2027</v>
      </c>
      <c r="C100" s="42" t="n">
        <v>2028</v>
      </c>
      <c r="D100" s="42" t="n">
        <v>2029</v>
      </c>
      <c r="E100" s="42" t="n">
        <v>2030</v>
      </c>
      <c r="F100" s="42" t="n">
        <v>2031</v>
      </c>
      <c r="G100" s="42" t="n">
        <v>2032</v>
      </c>
      <c r="H100" s="42" t="n">
        <v>2033</v>
      </c>
      <c r="I100" s="42" t="n">
        <v>2034</v>
      </c>
    </row>
    <row r="101">
      <c r="A101" s="13" t="inlineStr">
        <is>
          <t xml:space="preserve">  Cost</t>
        </is>
      </c>
      <c r="B101" s="37" t="n">
        <v>80</v>
      </c>
      <c r="C101" s="37" t="n">
        <v>60</v>
      </c>
      <c r="D101" s="37" t="n">
        <v>20</v>
      </c>
      <c r="E101" s="37" t="n">
        <v>0</v>
      </c>
      <c r="F101" s="37" t="n">
        <v>0</v>
      </c>
      <c r="G101" s="37" t="n">
        <v>0</v>
      </c>
      <c r="H101" s="37" t="n">
        <v>0</v>
      </c>
      <c r="I101" s="37" t="n">
        <v>0</v>
      </c>
    </row>
    <row r="102">
      <c r="A102" s="13" t="inlineStr">
        <is>
          <t xml:space="preserve">  Probability the cost is incurred</t>
        </is>
      </c>
      <c r="B102" s="43" t="n">
        <v>1</v>
      </c>
      <c r="C102" s="43" t="n">
        <v>1</v>
      </c>
      <c r="D102" s="43" t="n">
        <v>0.35</v>
      </c>
      <c r="E102" s="43" t="n">
        <v>1</v>
      </c>
      <c r="F102" s="43" t="n">
        <v>1</v>
      </c>
      <c r="G102" s="43" t="n">
        <v>1</v>
      </c>
      <c r="H102" s="43" t="n">
        <v>1</v>
      </c>
      <c r="I102" s="43" t="n">
        <v>1</v>
      </c>
    </row>
    <row r="104">
      <c r="A104" s="30" t="inlineStr">
        <is>
          <t>Ulacamten — HFpEF (Phase 2)  (pipeline)</t>
        </is>
      </c>
      <c r="B104" s="31" t="n"/>
      <c r="C104" s="31" t="n"/>
      <c r="D104" s="31" t="n"/>
      <c r="E104" s="31" t="n"/>
    </row>
    <row r="105">
      <c r="A105" s="13" t="inlineStr">
        <is>
          <t>Launch year (first full year of sales)</t>
        </is>
      </c>
      <c r="B105" s="38">
        <f>CHOOSE($B$4,C105,D105,E105)</f>
        <v>2032</v>
      </c>
      <c r="C105" s="39" t="n">
        <v>2032</v>
      </c>
      <c r="D105" s="39" t="n">
        <v>2032</v>
      </c>
      <c r="E105" s="39" t="n">
        <v>2032</v>
      </c>
    </row>
    <row r="106">
      <c r="A106" s="13" t="inlineStr">
        <is>
          <t>Peak net sales, unrisked</t>
        </is>
      </c>
      <c r="B106" s="36">
        <f>CHOOSE($B$4,C106,D106,E106)</f>
        <v>1500</v>
      </c>
      <c r="C106" s="44" t="n">
        <v>800</v>
      </c>
      <c r="D106" s="44" t="n">
        <v>1500</v>
      </c>
      <c r="E106" s="44" t="n">
        <v>2500</v>
      </c>
    </row>
    <row r="107">
      <c r="A107" s="13" t="inlineStr">
        <is>
          <t>Probability of reaching market</t>
        </is>
      </c>
      <c r="B107" s="33">
        <f>CHOOSE($B$4,C107,D107,E107)</f>
        <v>0.1</v>
      </c>
      <c r="C107" s="34" t="n">
        <v>0.07000000000000001</v>
      </c>
      <c r="D107" s="34" t="n">
        <v>0.1</v>
      </c>
      <c r="E107" s="34" t="n">
        <v>0.15</v>
      </c>
    </row>
    <row r="108">
      <c r="A108" s="13" t="inlineStr">
        <is>
          <t>Company revenue, % of product net sales</t>
        </is>
      </c>
      <c r="B108" s="35" t="n">
        <v>1</v>
      </c>
    </row>
    <row r="109">
      <c r="A109" s="13" t="inlineStr">
        <is>
          <t>Cost of goods, % of product sales</t>
        </is>
      </c>
      <c r="B109" s="35" t="n">
        <v>0.05</v>
      </c>
    </row>
    <row r="110">
      <c r="A110" s="13" t="inlineStr">
        <is>
          <t>Royalties owed, % of product sales</t>
        </is>
      </c>
      <c r="B110" s="35" t="n">
        <v>0.045</v>
      </c>
    </row>
    <row r="111">
      <c r="A111" s="13" t="inlineStr">
        <is>
          <t>Commercial SG&amp;A at maturity, % of sales</t>
        </is>
      </c>
      <c r="B111" s="35" t="n">
        <v>0.3</v>
      </c>
    </row>
    <row r="112">
      <c r="A112" s="13" t="inlineStr">
        <is>
          <t>Pre-launch commercial spend, year before launch</t>
        </is>
      </c>
      <c r="B112" s="37" t="n">
        <v>40</v>
      </c>
    </row>
    <row r="113">
      <c r="A113" s="13" t="inlineStr">
        <is>
          <t>Launch ramp (1 = standard, 2 = orphan)</t>
        </is>
      </c>
      <c r="B113" s="39" t="n">
        <v>1</v>
      </c>
    </row>
    <row r="114">
      <c r="A114" s="13" t="inlineStr">
        <is>
          <t>Loss of exclusivity (year)</t>
        </is>
      </c>
      <c r="B114" s="38">
        <f>CHOOSE($B$4,C114,D114,E114)</f>
        <v>2045</v>
      </c>
      <c r="C114" s="39" t="n">
        <v>2045</v>
      </c>
      <c r="D114" s="39" t="n">
        <v>2045</v>
      </c>
      <c r="E114" s="39" t="n">
        <v>2045</v>
      </c>
    </row>
    <row r="115">
      <c r="A115" s="13" t="inlineStr">
        <is>
          <t>Post-LOE annual sales erosion</t>
        </is>
      </c>
      <c r="B115" s="35" t="n">
        <v>0.6</v>
      </c>
    </row>
    <row r="116">
      <c r="A116" s="25" t="inlineStr">
        <is>
          <t>Development spend, unrisked ($mm) by year</t>
        </is>
      </c>
      <c r="B116" s="42" t="n">
        <v>2027</v>
      </c>
      <c r="C116" s="42" t="n">
        <v>2028</v>
      </c>
      <c r="D116" s="42" t="n">
        <v>2029</v>
      </c>
      <c r="E116" s="42" t="n">
        <v>2030</v>
      </c>
      <c r="F116" s="42" t="n">
        <v>2031</v>
      </c>
      <c r="G116" s="42" t="n">
        <v>2032</v>
      </c>
      <c r="H116" s="42" t="n">
        <v>2033</v>
      </c>
      <c r="I116" s="42" t="n">
        <v>2034</v>
      </c>
    </row>
    <row r="117">
      <c r="A117" s="13" t="inlineStr">
        <is>
          <t xml:space="preserve">  Cost</t>
        </is>
      </c>
      <c r="B117" s="37" t="n">
        <v>30</v>
      </c>
      <c r="C117" s="37" t="n">
        <v>60</v>
      </c>
      <c r="D117" s="37" t="n">
        <v>120</v>
      </c>
      <c r="E117" s="37" t="n">
        <v>120</v>
      </c>
      <c r="F117" s="37" t="n">
        <v>40</v>
      </c>
      <c r="G117" s="37" t="n">
        <v>0</v>
      </c>
      <c r="H117" s="37" t="n">
        <v>0</v>
      </c>
      <c r="I117" s="37" t="n">
        <v>0</v>
      </c>
    </row>
    <row r="118">
      <c r="A118" s="13" t="inlineStr">
        <is>
          <t xml:space="preserve">  Probability the cost is incurred</t>
        </is>
      </c>
      <c r="B118" s="43" t="n">
        <v>1</v>
      </c>
      <c r="C118" s="43" t="n">
        <v>0.35</v>
      </c>
      <c r="D118" s="43" t="n">
        <v>0.35</v>
      </c>
      <c r="E118" s="43" t="n">
        <v>0.35</v>
      </c>
      <c r="F118" s="43" t="n">
        <v>0.3</v>
      </c>
      <c r="G118" s="43" t="n">
        <v>1</v>
      </c>
      <c r="H118" s="43" t="n">
        <v>1</v>
      </c>
      <c r="I118" s="43" t="n">
        <v>1</v>
      </c>
    </row>
    <row r="121">
      <c r="A121" s="46" t="inlineStr">
        <is>
          <t>Sensitivity tables (Excel data tables)</t>
        </is>
      </c>
    </row>
    <row r="123">
      <c r="A123" s="30" t="inlineStr">
        <is>
          <t>Scenario summary</t>
        </is>
      </c>
    </row>
    <row r="124">
      <c r="A124" s="13" t="inlineStr">
        <is>
          <t>Scenario</t>
        </is>
      </c>
      <c r="B124" s="42" t="inlineStr">
        <is>
          <t>Case</t>
        </is>
      </c>
      <c r="C124" s="42" t="inlineStr">
        <is>
          <t>Equity value</t>
        </is>
      </c>
      <c r="D124" s="42" t="inlineStr">
        <is>
          <t>rNPV / share</t>
        </is>
      </c>
      <c r="E124" s="42" t="inlineStr">
        <is>
          <t>Upside</t>
        </is>
      </c>
      <c r="F124" s="42" t="inlineStr">
        <is>
          <t>MAPLE-HCM label PV / share</t>
        </is>
      </c>
      <c r="G124" s="42" t="inlineStr">
        <is>
          <t>P(approval)</t>
        </is>
      </c>
      <c r="H124" s="42" t="inlineStr">
        <is>
          <t>Discount rate</t>
        </is>
      </c>
    </row>
    <row r="125">
      <c r="A125" s="25" t="inlineStr">
        <is>
          <t>Live (active scenario)</t>
        </is>
      </c>
      <c r="C125" s="47">
        <f>NPV!C31</f>
        <v>6359.7673924421615</v>
      </c>
      <c r="D125" s="48">
        <f>NPV!C43</f>
        <v>44.74293415260998</v>
      </c>
      <c r="E125" s="49">
        <f>NPV!C45</f>
        <v>-0.30034504843455856</v>
      </c>
      <c r="F125" s="48">
        <f>NPV!C53</f>
        <v>9.574292597967856</v>
      </c>
      <c r="G125" s="50">
        <f>$B$32</f>
        <v>0.92</v>
      </c>
      <c r="H125" s="51">
        <f>$B$14</f>
        <v>0.1</v>
      </c>
    </row>
    <row r="126">
      <c r="A126" s="22" t="inlineStr">
        <is>
          <t>Bear</t>
        </is>
      </c>
      <c r="B126" s="52" t="n">
        <v>1</v>
      </c>
      <c r="C126" s="53">
        <f t="dataTable" ref="C126:H128" r1="B4"/>
        <v>2232.6255541282812</v>
      </c>
      <c r="D126" s="54">
        <v>15.726655915486381</v>
      </c>
      <c r="E126" s="55">
        <v>-0.7540788754419643</v>
      </c>
      <c r="F126" s="54">
        <v>4.162698562258543</v>
      </c>
      <c r="G126" s="56">
        <v>0.85</v>
      </c>
      <c r="H126" s="55">
        <v>0.115</v>
      </c>
    </row>
    <row r="127">
      <c r="A127" s="22" t="inlineStr">
        <is>
          <t>Base</t>
        </is>
      </c>
      <c r="B127" s="52" t="n">
        <v>2</v>
      </c>
      <c r="C127" s="57">
        <v>6359.7673924421615</v>
      </c>
      <c r="D127" s="58">
        <v>44.74293415260998</v>
      </c>
      <c r="E127" s="59">
        <v>-0.30034504843455856</v>
      </c>
      <c r="F127" s="58">
        <v>9.574292597967856</v>
      </c>
      <c r="G127" s="60">
        <v>0.92</v>
      </c>
      <c r="H127" s="59">
        <v>0.1</v>
      </c>
    </row>
    <row r="128">
      <c r="A128" s="22" t="inlineStr">
        <is>
          <t>Bull</t>
        </is>
      </c>
      <c r="B128" s="52" t="n">
        <v>3</v>
      </c>
      <c r="C128" s="53">
        <v>13307.633962296892</v>
      </c>
      <c r="D128" s="54">
        <v>82.71374414805908</v>
      </c>
      <c r="E128" s="55">
        <v>0.29341273100952425</v>
      </c>
      <c r="F128" s="54">
        <v>16.215951162617777</v>
      </c>
      <c r="G128" s="56">
        <v>0.96</v>
      </c>
      <c r="H128" s="55">
        <v>0.09</v>
      </c>
    </row>
    <row r="130">
      <c r="A130" s="30" t="inlineStr">
        <is>
          <t>PDUFA outcome (MAPLE-HCM label): value if the FDA approves vs. issues a CRL</t>
        </is>
      </c>
    </row>
    <row r="131">
      <c r="A131" s="13" t="inlineStr">
        <is>
          <t>Outcome</t>
        </is>
      </c>
      <c r="B131" s="42" t="inlineStr">
        <is>
          <t>P(approval)</t>
        </is>
      </c>
      <c r="C131" s="42" t="inlineStr">
        <is>
          <t>Equity value</t>
        </is>
      </c>
      <c r="D131" s="42" t="inlineStr">
        <is>
          <t>rNPV / share</t>
        </is>
      </c>
      <c r="E131" s="42" t="inlineStr">
        <is>
          <t>Upside</t>
        </is>
      </c>
      <c r="F131" s="42" t="inlineStr">
        <is>
          <t>MAPLE-HCM label PV / share</t>
        </is>
      </c>
    </row>
    <row r="132">
      <c r="A132" s="25" t="inlineStr">
        <is>
          <t>Live (probability-weighted)</t>
        </is>
      </c>
      <c r="B132" s="61">
        <f>$B$32</f>
        <v>0.92</v>
      </c>
      <c r="C132" s="47">
        <f>NPV!C31</f>
        <v>6359.7673924421615</v>
      </c>
      <c r="D132" s="48">
        <f>NPV!C43</f>
        <v>44.74293415260998</v>
      </c>
      <c r="E132" s="49">
        <f>NPV!C45</f>
        <v>-0.30034504843455856</v>
      </c>
      <c r="F132" s="48">
        <f>NPV!C53</f>
        <v>9.574292597967856</v>
      </c>
    </row>
    <row r="133">
      <c r="A133" s="22" t="inlineStr">
        <is>
          <t>Complete response letter (CRL)</t>
        </is>
      </c>
      <c r="B133" s="62" t="n">
        <v>0</v>
      </c>
      <c r="C133" s="57">
        <f t="dataTable" ref="C133:F134" r1="B7"/>
        <v>6018.395959532965</v>
      </c>
      <c r="D133" s="58">
        <v>42.39369304168151</v>
      </c>
      <c r="E133" s="59">
        <v>-0.3370806404740968</v>
      </c>
      <c r="F133" s="58">
        <v>5.92283099264759</v>
      </c>
    </row>
    <row r="134">
      <c r="A134" s="22" t="inlineStr">
        <is>
          <t>Approved on time</t>
        </is>
      </c>
      <c r="B134" s="62" t="n">
        <v>1</v>
      </c>
      <c r="C134" s="57">
        <v>6389.007601980524</v>
      </c>
      <c r="D134" s="58">
        <v>44.933311964398264</v>
      </c>
      <c r="E134" s="59">
        <v>-0.297368069360465</v>
      </c>
      <c r="F134" s="58">
        <v>9.889072520429645</v>
      </c>
    </row>
    <row r="136">
      <c r="A136" s="30" t="inlineStr">
        <is>
          <t>rNPV / share: MAPLE-HCM label peak sales × probability of approval</t>
        </is>
      </c>
    </row>
    <row r="137">
      <c r="C137" s="25" t="inlineStr">
        <is>
          <t>Probability of approval →</t>
        </is>
      </c>
    </row>
    <row r="138">
      <c r="A138" s="25" t="inlineStr">
        <is>
          <t>Peak sales ($mm) ↓</t>
        </is>
      </c>
      <c r="B138" s="48">
        <f>NPV!C43</f>
        <v>44.74293415260998</v>
      </c>
      <c r="C138" s="63" t="n">
        <v>0</v>
      </c>
      <c r="D138" s="63" t="n">
        <v>0.25</v>
      </c>
      <c r="E138" s="63" t="n">
        <v>0.5</v>
      </c>
      <c r="F138" s="63" t="n">
        <v>0.75</v>
      </c>
      <c r="G138" s="63" t="n">
        <v>1</v>
      </c>
    </row>
    <row r="139">
      <c r="B139" s="57" t="n">
        <v>150</v>
      </c>
      <c r="C139" s="54">
        <f t="dataTable" ref="C139:G145" dt2D="1" r1="B7" r2="B8"/>
        <v>40.17526241953072</v>
      </c>
      <c r="D139" s="54">
        <v>40.42075960477611</v>
      </c>
      <c r="E139" s="54">
        <v>40.666256790021514</v>
      </c>
      <c r="F139" s="54">
        <v>40.911753975266905</v>
      </c>
      <c r="G139" s="54">
        <v>41.157251160512295</v>
      </c>
    </row>
    <row r="140">
      <c r="B140" s="57" t="n">
        <v>250</v>
      </c>
      <c r="C140" s="54">
        <v>41.06263466839103</v>
      </c>
      <c r="D140" s="54">
        <v>41.47179664380003</v>
      </c>
      <c r="E140" s="54">
        <v>41.880958619209025</v>
      </c>
      <c r="F140" s="54">
        <v>42.290120594618024</v>
      </c>
      <c r="G140" s="54">
        <v>42.699282570027016</v>
      </c>
    </row>
    <row r="141">
      <c r="B141" s="57" t="n">
        <v>325</v>
      </c>
      <c r="C141" s="54">
        <v>41.728163855036264</v>
      </c>
      <c r="D141" s="54">
        <v>42.26007442306796</v>
      </c>
      <c r="E141" s="54">
        <v>42.79198499109965</v>
      </c>
      <c r="F141" s="54">
        <v>43.32389555913135</v>
      </c>
      <c r="G141" s="54">
        <v>43.85580612716305</v>
      </c>
    </row>
    <row r="142">
      <c r="B142" s="57" t="n">
        <v>400</v>
      </c>
      <c r="C142" s="54">
        <v>42.39369304168151</v>
      </c>
      <c r="D142" s="54">
        <v>43.04835220233589</v>
      </c>
      <c r="E142" s="54">
        <v>43.70301136299029</v>
      </c>
      <c r="F142" s="54">
        <v>44.33567533890375</v>
      </c>
      <c r="G142" s="54">
        <v>44.933311964398264</v>
      </c>
    </row>
    <row r="143">
      <c r="B143" s="57" t="n">
        <v>500</v>
      </c>
      <c r="C143" s="54">
        <v>43.28106529054181</v>
      </c>
      <c r="D143" s="54">
        <v>44.0969884633421</v>
      </c>
      <c r="E143" s="54">
        <v>44.85155066427298</v>
      </c>
      <c r="F143" s="54">
        <v>45.59529497934649</v>
      </c>
      <c r="G143" s="54">
        <v>46.33918967961017</v>
      </c>
    </row>
    <row r="144">
      <c r="B144" s="57" t="n">
        <v>600</v>
      </c>
      <c r="C144" s="54">
        <v>44.160796748814754</v>
      </c>
      <c r="D144" s="54">
        <v>45.06726347444676</v>
      </c>
      <c r="E144" s="54">
        <v>45.95982807375622</v>
      </c>
      <c r="F144" s="54">
        <v>46.852603357034965</v>
      </c>
      <c r="G144" s="54">
        <v>47.7455757444412</v>
      </c>
    </row>
    <row r="145">
      <c r="B145" s="57" t="n">
        <v>800</v>
      </c>
      <c r="C145" s="54">
        <v>45.79626095027173</v>
      </c>
      <c r="D145" s="54">
        <v>46.98662290466143</v>
      </c>
      <c r="E145" s="54">
        <v>48.1773319528759</v>
      </c>
      <c r="F145" s="54">
        <v>49.36835938584084</v>
      </c>
      <c r="G145" s="54">
        <v>50.6065910546521</v>
      </c>
    </row>
    <row r="147">
      <c r="A147" s="30" t="inlineStr">
        <is>
          <t>rNPV / share: discount rate × scenario</t>
        </is>
      </c>
    </row>
    <row r="148">
      <c r="C148" s="25" t="inlineStr">
        <is>
          <t>Scenario →</t>
        </is>
      </c>
    </row>
    <row r="149">
      <c r="A149" s="25" t="inlineStr">
        <is>
          <t>Discount rate ↓</t>
        </is>
      </c>
      <c r="B149" s="48">
        <f>NPV!C43</f>
        <v>44.74293415260998</v>
      </c>
      <c r="C149" s="38" t="n">
        <v>1</v>
      </c>
      <c r="D149" s="38" t="n">
        <v>2</v>
      </c>
      <c r="E149" s="38" t="n">
        <v>3</v>
      </c>
      <c r="F149" s="25" t="inlineStr">
        <is>
          <t>1 = Bear, 2 = Base, 3 = Bull</t>
        </is>
      </c>
    </row>
    <row r="150">
      <c r="B150" s="59" t="n">
        <v>0.07000000000000001</v>
      </c>
      <c r="C150" s="54">
        <f t="dataTable" ref="C150:E156" dt2D="1" r1="B4" r2="B6"/>
        <v>23.29970727926135</v>
      </c>
      <c r="D150" s="54">
        <v>55.612842409301024</v>
      </c>
      <c r="E150" s="54">
        <v>94.97686602123633</v>
      </c>
    </row>
    <row r="151">
      <c r="B151" s="59" t="n">
        <v>0.08</v>
      </c>
      <c r="C151" s="54">
        <v>21.32491087674909</v>
      </c>
      <c r="D151" s="54">
        <v>51.67508607329102</v>
      </c>
      <c r="E151" s="54">
        <v>88.54594096518869</v>
      </c>
    </row>
    <row r="152">
      <c r="B152" s="59" t="n">
        <v>0.09</v>
      </c>
      <c r="C152" s="54">
        <v>19.532138782851913</v>
      </c>
      <c r="D152" s="54">
        <v>48.04736372949066</v>
      </c>
      <c r="E152" s="54">
        <v>82.71374414805908</v>
      </c>
    </row>
    <row r="153">
      <c r="B153" s="59" t="n">
        <v>0.1</v>
      </c>
      <c r="C153" s="54">
        <v>17.90228634668053</v>
      </c>
      <c r="D153" s="54">
        <v>44.74293415260998</v>
      </c>
      <c r="E153" s="54">
        <v>77.41510857578704</v>
      </c>
    </row>
    <row r="154">
      <c r="B154" s="59" t="n">
        <v>0.11</v>
      </c>
      <c r="C154" s="54">
        <v>16.418499354890653</v>
      </c>
      <c r="D154" s="54">
        <v>41.54322116210755</v>
      </c>
      <c r="E154" s="54">
        <v>72.59287239904123</v>
      </c>
    </row>
    <row r="155">
      <c r="B155" s="59" t="n">
        <v>0.12</v>
      </c>
      <c r="C155" s="54">
        <v>15.065881388416658</v>
      </c>
      <c r="D155" s="54">
        <v>38.573498662355135</v>
      </c>
      <c r="E155" s="54">
        <v>68.19679488270386</v>
      </c>
    </row>
    <row r="156">
      <c r="B156" s="59" t="n">
        <v>0.13</v>
      </c>
      <c r="C156" s="54">
        <v>13.831242647767247</v>
      </c>
      <c r="D156" s="54">
        <v>35.85994674317572</v>
      </c>
      <c r="E156" s="54">
        <v>63.87491641337996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3" t="inlineStr">
        <is>
          <t>CYTK — risk-adjusted program build ($mm)</t>
        </is>
      </c>
    </row>
    <row r="2">
      <c r="A2" s="22" t="inlineStr">
        <is>
          <t>Year</t>
        </is>
      </c>
      <c r="C2" s="22" t="n">
        <v>2027</v>
      </c>
      <c r="D2" s="22" t="n">
        <v>2028</v>
      </c>
      <c r="E2" s="22" t="n">
        <v>2029</v>
      </c>
      <c r="F2" s="22" t="n">
        <v>2030</v>
      </c>
      <c r="G2" s="22" t="n">
        <v>2031</v>
      </c>
      <c r="H2" s="22" t="n">
        <v>2032</v>
      </c>
      <c r="I2" s="22" t="n">
        <v>2033</v>
      </c>
      <c r="J2" s="22" t="n">
        <v>2034</v>
      </c>
      <c r="K2" s="22" t="n">
        <v>2035</v>
      </c>
      <c r="L2" s="22" t="n">
        <v>2036</v>
      </c>
      <c r="M2" s="22" t="n">
        <v>2037</v>
      </c>
      <c r="N2" s="22" t="n">
        <v>2038</v>
      </c>
      <c r="O2" s="22" t="n">
        <v>2039</v>
      </c>
      <c r="P2" s="22" t="n">
        <v>2040</v>
      </c>
      <c r="Q2" s="22" t="n">
        <v>2041</v>
      </c>
      <c r="R2" s="22" t="n">
        <v>2042</v>
      </c>
      <c r="S2" s="22" t="n">
        <v>2043</v>
      </c>
      <c r="T2" s="22" t="n">
        <v>2044</v>
      </c>
      <c r="U2" s="22" t="n">
        <v>2045</v>
      </c>
      <c r="V2" s="22" t="n">
        <v>2046</v>
      </c>
      <c r="W2" s="22" t="n">
        <v>2047</v>
      </c>
      <c r="X2" s="22" t="n">
        <v>2048</v>
      </c>
      <c r="Y2" s="22" t="n">
        <v>2049</v>
      </c>
      <c r="Z2" s="22" t="n">
        <v>2050</v>
      </c>
    </row>
    <row r="4">
      <c r="A4" s="30" t="inlineStr">
        <is>
          <t>MYQORZO (aficamten) — obstructive HCM</t>
        </is>
      </c>
    </row>
    <row r="5">
      <c r="A5" s="13" t="inlineStr">
        <is>
          <t>Years since launch</t>
        </is>
      </c>
      <c r="C5" s="64">
        <f>C$2-Assumptions!$B$47+1</f>
        <v>2.0</v>
      </c>
      <c r="D5" s="64">
        <f>D$2-Assumptions!$B$47+1</f>
        <v>3.0</v>
      </c>
      <c r="E5" s="64">
        <f>E$2-Assumptions!$B$47+1</f>
        <v>4.0</v>
      </c>
      <c r="F5" s="64">
        <f>F$2-Assumptions!$B$47+1</f>
        <v>5.0</v>
      </c>
      <c r="G5" s="64">
        <f>G$2-Assumptions!$B$47+1</f>
        <v>6.0</v>
      </c>
      <c r="H5" s="64">
        <f>H$2-Assumptions!$B$47+1</f>
        <v>7.0</v>
      </c>
      <c r="I5" s="64">
        <f>I$2-Assumptions!$B$47+1</f>
        <v>8.0</v>
      </c>
      <c r="J5" s="64">
        <f>J$2-Assumptions!$B$47+1</f>
        <v>9.0</v>
      </c>
      <c r="K5" s="64">
        <f>K$2-Assumptions!$B$47+1</f>
        <v>10.0</v>
      </c>
      <c r="L5" s="64">
        <f>L$2-Assumptions!$B$47+1</f>
        <v>11.0</v>
      </c>
      <c r="M5" s="64">
        <f>M$2-Assumptions!$B$47+1</f>
        <v>12.0</v>
      </c>
      <c r="N5" s="64">
        <f>N$2-Assumptions!$B$47+1</f>
        <v>13.0</v>
      </c>
      <c r="O5" s="64">
        <f>O$2-Assumptions!$B$47+1</f>
        <v>14.0</v>
      </c>
      <c r="P5" s="64">
        <f>P$2-Assumptions!$B$47+1</f>
        <v>15.0</v>
      </c>
      <c r="Q5" s="64">
        <f>Q$2-Assumptions!$B$47+1</f>
        <v>16.0</v>
      </c>
      <c r="R5" s="64">
        <f>R$2-Assumptions!$B$47+1</f>
        <v>17.0</v>
      </c>
      <c r="S5" s="64">
        <f>S$2-Assumptions!$B$47+1</f>
        <v>18.0</v>
      </c>
      <c r="T5" s="64">
        <f>T$2-Assumptions!$B$47+1</f>
        <v>19.0</v>
      </c>
      <c r="U5" s="64">
        <f>U$2-Assumptions!$B$47+1</f>
        <v>20.0</v>
      </c>
      <c r="V5" s="64">
        <f>V$2-Assumptions!$B$47+1</f>
        <v>21.0</v>
      </c>
      <c r="W5" s="64">
        <f>W$2-Assumptions!$B$47+1</f>
        <v>22.0</v>
      </c>
      <c r="X5" s="64">
        <f>X$2-Assumptions!$B$47+1</f>
        <v>23.0</v>
      </c>
      <c r="Y5" s="64">
        <f>Y$2-Assumptions!$B$47+1</f>
        <v>24.0</v>
      </c>
      <c r="Z5" s="64">
        <f>Z$2-Assumptions!$B$47+1</f>
        <v>25.0</v>
      </c>
    </row>
    <row r="6">
      <c r="A6" s="13" t="inlineStr">
        <is>
          <t>Net sales</t>
        </is>
      </c>
      <c r="C6" s="53">
        <f>IF(C$2&gt;Assumptions!$B$55,Assumptions!$B$57*(1-Assumptions!$B$56),IF(C$2&lt;Assumptions!$B$49,Assumptions!$B$57+(Assumptions!$B$48-Assumptions!$B$57)*((C$2-2026)/(Assumptions!$B$49-2026))^Assumptions!$B$50,Assumptions!$B$48))</f>
        <v>303.1574374923026</v>
      </c>
      <c r="D6" s="53">
        <f>IF(D$2&gt;Assumptions!$B$55,C6*(1-Assumptions!$B$56),IF(D$2&lt;Assumptions!$B$49,Assumptions!$B$57+(Assumptions!$B$48-Assumptions!$B$57)*((D$2-2026)/(Assumptions!$B$49-2026))^Assumptions!$B$50,Assumptions!$B$48))</f>
        <v>570.8066503367553</v>
      </c>
      <c r="E6" s="53">
        <f>IF(E$2&gt;Assumptions!$B$55,D6*(1-Assumptions!$B$56),IF(E$2&lt;Assumptions!$B$49,Assumptions!$B$57+(Assumptions!$B$48-Assumptions!$B$57)*((E$2-2026)/(Assumptions!$B$49-2026))^Assumptions!$B$50,Assumptions!$B$48))</f>
        <v>883.5902990524853</v>
      </c>
      <c r="F6" s="53">
        <f>IF(F$2&gt;Assumptions!$B$55,E6*(1-Assumptions!$B$56),IF(F$2&lt;Assumptions!$B$49,Assumptions!$B$57+(Assumptions!$B$48-Assumptions!$B$57)*((F$2-2026)/(Assumptions!$B$49-2026))^Assumptions!$B$50,Assumptions!$B$48))</f>
        <v>1229.83631659598</v>
      </c>
      <c r="G6" s="53">
        <f>IF(G$2&gt;Assumptions!$B$55,F6*(1-Assumptions!$B$56),IF(G$2&lt;Assumptions!$B$49,Assumptions!$B$57+(Assumptions!$B$48-Assumptions!$B$57)*((G$2-2026)/(Assumptions!$B$49-2026))^Assumptions!$B$50,Assumptions!$B$48))</f>
        <v>1603.3028427192467</v>
      </c>
      <c r="H6" s="53">
        <f>IF(H$2&gt;Assumptions!$B$55,G6*(1-Assumptions!$B$56),IF(H$2&lt;Assumptions!$B$49,Assumptions!$B$57+(Assumptions!$B$48-Assumptions!$B$57)*((H$2-2026)/(Assumptions!$B$49-2026))^Assumptions!$B$50,Assumptions!$B$48))</f>
        <v>2000</v>
      </c>
      <c r="I6" s="53">
        <f>IF(I$2&gt;Assumptions!$B$55,H6*(1-Assumptions!$B$56),IF(I$2&lt;Assumptions!$B$49,Assumptions!$B$57+(Assumptions!$B$48-Assumptions!$B$57)*((I$2-2026)/(Assumptions!$B$49-2026))^Assumptions!$B$50,Assumptions!$B$48))</f>
        <v>2000</v>
      </c>
      <c r="J6" s="53">
        <f>IF(J$2&gt;Assumptions!$B$55,I6*(1-Assumptions!$B$56),IF(J$2&lt;Assumptions!$B$49,Assumptions!$B$57+(Assumptions!$B$48-Assumptions!$B$57)*((J$2-2026)/(Assumptions!$B$49-2026))^Assumptions!$B$50,Assumptions!$B$48))</f>
        <v>2000</v>
      </c>
      <c r="K6" s="53">
        <f>IF(K$2&gt;Assumptions!$B$55,J6*(1-Assumptions!$B$56),IF(K$2&lt;Assumptions!$B$49,Assumptions!$B$57+(Assumptions!$B$48-Assumptions!$B$57)*((K$2-2026)/(Assumptions!$B$49-2026))^Assumptions!$B$50,Assumptions!$B$48))</f>
        <v>2000</v>
      </c>
      <c r="L6" s="53">
        <f>IF(L$2&gt;Assumptions!$B$55,K6*(1-Assumptions!$B$56),IF(L$2&lt;Assumptions!$B$49,Assumptions!$B$57+(Assumptions!$B$48-Assumptions!$B$57)*((L$2-2026)/(Assumptions!$B$49-2026))^Assumptions!$B$50,Assumptions!$B$48))</f>
        <v>2000</v>
      </c>
      <c r="M6" s="53">
        <f>IF(M$2&gt;Assumptions!$B$55,L6*(1-Assumptions!$B$56),IF(M$2&lt;Assumptions!$B$49,Assumptions!$B$57+(Assumptions!$B$48-Assumptions!$B$57)*((M$2-2026)/(Assumptions!$B$49-2026))^Assumptions!$B$50,Assumptions!$B$48))</f>
        <v>2000</v>
      </c>
      <c r="N6" s="53">
        <f>IF(N$2&gt;Assumptions!$B$55,M6*(1-Assumptions!$B$56),IF(N$2&lt;Assumptions!$B$49,Assumptions!$B$57+(Assumptions!$B$48-Assumptions!$B$57)*((N$2-2026)/(Assumptions!$B$49-2026))^Assumptions!$B$50,Assumptions!$B$48))</f>
        <v>2000</v>
      </c>
      <c r="O6" s="53">
        <f>IF(O$2&gt;Assumptions!$B$55,N6*(1-Assumptions!$B$56),IF(O$2&lt;Assumptions!$B$49,Assumptions!$B$57+(Assumptions!$B$48-Assumptions!$B$57)*((O$2-2026)/(Assumptions!$B$49-2026))^Assumptions!$B$50,Assumptions!$B$48))</f>
        <v>2000</v>
      </c>
      <c r="P6" s="53">
        <f>IF(P$2&gt;Assumptions!$B$55,O6*(1-Assumptions!$B$56),IF(P$2&lt;Assumptions!$B$49,Assumptions!$B$57+(Assumptions!$B$48-Assumptions!$B$57)*((P$2-2026)/(Assumptions!$B$49-2026))^Assumptions!$B$50,Assumptions!$B$48))</f>
        <v>800.0</v>
      </c>
      <c r="Q6" s="53">
        <f>IF(Q$2&gt;Assumptions!$B$55,P6*(1-Assumptions!$B$56),IF(Q$2&lt;Assumptions!$B$49,Assumptions!$B$57+(Assumptions!$B$48-Assumptions!$B$57)*((Q$2-2026)/(Assumptions!$B$49-2026))^Assumptions!$B$50,Assumptions!$B$48))</f>
        <v>320.0</v>
      </c>
      <c r="R6" s="53">
        <f>IF(R$2&gt;Assumptions!$B$55,Q6*(1-Assumptions!$B$56),IF(R$2&lt;Assumptions!$B$49,Assumptions!$B$57+(Assumptions!$B$48-Assumptions!$B$57)*((R$2-2026)/(Assumptions!$B$49-2026))^Assumptions!$B$50,Assumptions!$B$48))</f>
        <v>128.0</v>
      </c>
      <c r="S6" s="53">
        <f>IF(S$2&gt;Assumptions!$B$55,R6*(1-Assumptions!$B$56),IF(S$2&lt;Assumptions!$B$49,Assumptions!$B$57+(Assumptions!$B$48-Assumptions!$B$57)*((S$2-2026)/(Assumptions!$B$49-2026))^Assumptions!$B$50,Assumptions!$B$48))</f>
        <v>51.2</v>
      </c>
      <c r="T6" s="53">
        <f>IF(T$2&gt;Assumptions!$B$55,S6*(1-Assumptions!$B$56),IF(T$2&lt;Assumptions!$B$49,Assumptions!$B$57+(Assumptions!$B$48-Assumptions!$B$57)*((T$2-2026)/(Assumptions!$B$49-2026))^Assumptions!$B$50,Assumptions!$B$48))</f>
        <v>20.480000000000004</v>
      </c>
      <c r="U6" s="53">
        <f>IF(U$2&gt;Assumptions!$B$55,T6*(1-Assumptions!$B$56),IF(U$2&lt;Assumptions!$B$49,Assumptions!$B$57+(Assumptions!$B$48-Assumptions!$B$57)*((U$2-2026)/(Assumptions!$B$49-2026))^Assumptions!$B$50,Assumptions!$B$48))</f>
        <v>8.192000000000002</v>
      </c>
      <c r="V6" s="53">
        <f>IF(V$2&gt;Assumptions!$B$55,U6*(1-Assumptions!$B$56),IF(V$2&lt;Assumptions!$B$49,Assumptions!$B$57+(Assumptions!$B$48-Assumptions!$B$57)*((V$2-2026)/(Assumptions!$B$49-2026))^Assumptions!$B$50,Assumptions!$B$48))</f>
        <v>3.276800000000001</v>
      </c>
      <c r="W6" s="53">
        <f>IF(W$2&gt;Assumptions!$B$55,V6*(1-Assumptions!$B$56),IF(W$2&lt;Assumptions!$B$49,Assumptions!$B$57+(Assumptions!$B$48-Assumptions!$B$57)*((W$2-2026)/(Assumptions!$B$49-2026))^Assumptions!$B$50,Assumptions!$B$48))</f>
        <v>1.3107200000000006</v>
      </c>
      <c r="X6" s="53">
        <f>IF(X$2&gt;Assumptions!$B$55,W6*(1-Assumptions!$B$56),IF(X$2&lt;Assumptions!$B$49,Assumptions!$B$57+(Assumptions!$B$48-Assumptions!$B$57)*((X$2-2026)/(Assumptions!$B$49-2026))^Assumptions!$B$50,Assumptions!$B$48))</f>
        <v>0.5242880000000002</v>
      </c>
      <c r="Y6" s="53">
        <f>IF(Y$2&gt;Assumptions!$B$55,X6*(1-Assumptions!$B$56),IF(Y$2&lt;Assumptions!$B$49,Assumptions!$B$57+(Assumptions!$B$48-Assumptions!$B$57)*((Y$2-2026)/(Assumptions!$B$49-2026))^Assumptions!$B$50,Assumptions!$B$48))</f>
        <v>0.2097152000000001</v>
      </c>
      <c r="Z6" s="53">
        <f>IF(Z$2&gt;Assumptions!$B$55,Y6*(1-Assumptions!$B$56),IF(Z$2&lt;Assumptions!$B$49,Assumptions!$B$57+(Assumptions!$B$48-Assumptions!$B$57)*((Z$2-2026)/(Assumptions!$B$49-2026))^Assumptions!$B$50,Assumptions!$B$48))</f>
        <v>0.08388608000000004</v>
      </c>
    </row>
    <row r="7">
      <c r="A7" s="13" t="inlineStr">
        <is>
          <t>Company revenue</t>
        </is>
      </c>
      <c r="C7" s="53">
        <f>C6*Assumptions!$B$51</f>
        <v>303.1574374923026</v>
      </c>
      <c r="D7" s="53">
        <f>D6*Assumptions!$B$51</f>
        <v>570.8066503367553</v>
      </c>
      <c r="E7" s="53">
        <f>E6*Assumptions!$B$51</f>
        <v>883.5902990524853</v>
      </c>
      <c r="F7" s="53">
        <f>F6*Assumptions!$B$51</f>
        <v>1229.83631659598</v>
      </c>
      <c r="G7" s="53">
        <f>G6*Assumptions!$B$51</f>
        <v>1603.3028427192467</v>
      </c>
      <c r="H7" s="53">
        <f>H6*Assumptions!$B$51</f>
        <v>2000.0</v>
      </c>
      <c r="I7" s="53">
        <f>I6*Assumptions!$B$51</f>
        <v>2000.0</v>
      </c>
      <c r="J7" s="53">
        <f>J6*Assumptions!$B$51</f>
        <v>2000.0</v>
      </c>
      <c r="K7" s="53">
        <f>K6*Assumptions!$B$51</f>
        <v>2000.0</v>
      </c>
      <c r="L7" s="53">
        <f>L6*Assumptions!$B$51</f>
        <v>2000.0</v>
      </c>
      <c r="M7" s="53">
        <f>M6*Assumptions!$B$51</f>
        <v>2000.0</v>
      </c>
      <c r="N7" s="53">
        <f>N6*Assumptions!$B$51</f>
        <v>2000.0</v>
      </c>
      <c r="O7" s="53">
        <f>O6*Assumptions!$B$51</f>
        <v>2000.0</v>
      </c>
      <c r="P7" s="53">
        <f>P6*Assumptions!$B$51</f>
        <v>800.0</v>
      </c>
      <c r="Q7" s="53">
        <f>Q6*Assumptions!$B$51</f>
        <v>320.0</v>
      </c>
      <c r="R7" s="53">
        <f>R6*Assumptions!$B$51</f>
        <v>128.0</v>
      </c>
      <c r="S7" s="53">
        <f>S6*Assumptions!$B$51</f>
        <v>51.2</v>
      </c>
      <c r="T7" s="53">
        <f>T6*Assumptions!$B$51</f>
        <v>20.480000000000004</v>
      </c>
      <c r="U7" s="53">
        <f>U6*Assumptions!$B$51</f>
        <v>8.192000000000002</v>
      </c>
      <c r="V7" s="53">
        <f>V6*Assumptions!$B$51</f>
        <v>3.276800000000001</v>
      </c>
      <c r="W7" s="53">
        <f>W6*Assumptions!$B$51</f>
        <v>1.3107200000000006</v>
      </c>
      <c r="X7" s="53">
        <f>X6*Assumptions!$B$51</f>
        <v>0.5242880000000002</v>
      </c>
      <c r="Y7" s="53">
        <f>Y6*Assumptions!$B$51</f>
        <v>0.2097152000000001</v>
      </c>
      <c r="Z7" s="53">
        <f>Z6*Assumptions!$B$51</f>
        <v>0.08388608000000004</v>
      </c>
    </row>
    <row r="8">
      <c r="A8" s="13" t="inlineStr">
        <is>
          <t>COGS + royalties</t>
        </is>
      </c>
      <c r="C8" s="53">
        <f>C6*(Assumptions!$B$52+Assumptions!$B$53)</f>
        <v>28.79995656176875</v>
      </c>
      <c r="D8" s="53">
        <f>D6*(Assumptions!$B$52+Assumptions!$B$53)</f>
        <v>54.226631781991756</v>
      </c>
      <c r="E8" s="53">
        <f>E6*(Assumptions!$B$52+Assumptions!$B$53)</f>
        <v>83.9410784099861</v>
      </c>
      <c r="F8" s="53">
        <f>F6*(Assumptions!$B$52+Assumptions!$B$53)</f>
        <v>116.8344500766181</v>
      </c>
      <c r="G8" s="53">
        <f>G6*(Assumptions!$B$52+Assumptions!$B$53)</f>
        <v>152.31377005832843</v>
      </c>
      <c r="H8" s="53">
        <f>H6*(Assumptions!$B$52+Assumptions!$B$53)</f>
        <v>190.0</v>
      </c>
      <c r="I8" s="53">
        <f>I6*(Assumptions!$B$52+Assumptions!$B$53)</f>
        <v>190.0</v>
      </c>
      <c r="J8" s="53">
        <f>J6*(Assumptions!$B$52+Assumptions!$B$53)</f>
        <v>190.0</v>
      </c>
      <c r="K8" s="53">
        <f>K6*(Assumptions!$B$52+Assumptions!$B$53)</f>
        <v>190.0</v>
      </c>
      <c r="L8" s="53">
        <f>L6*(Assumptions!$B$52+Assumptions!$B$53)</f>
        <v>190.0</v>
      </c>
      <c r="M8" s="53">
        <f>M6*(Assumptions!$B$52+Assumptions!$B$53)</f>
        <v>190.0</v>
      </c>
      <c r="N8" s="53">
        <f>N6*(Assumptions!$B$52+Assumptions!$B$53)</f>
        <v>190.0</v>
      </c>
      <c r="O8" s="53">
        <f>O6*(Assumptions!$B$52+Assumptions!$B$53)</f>
        <v>190.0</v>
      </c>
      <c r="P8" s="53">
        <f>P6*(Assumptions!$B$52+Assumptions!$B$53)</f>
        <v>76.0</v>
      </c>
      <c r="Q8" s="53">
        <f>Q6*(Assumptions!$B$52+Assumptions!$B$53)</f>
        <v>30.4</v>
      </c>
      <c r="R8" s="53">
        <f>R6*(Assumptions!$B$52+Assumptions!$B$53)</f>
        <v>12.16</v>
      </c>
      <c r="S8" s="53">
        <f>S6*(Assumptions!$B$52+Assumptions!$B$53)</f>
        <v>4.864000000000001</v>
      </c>
      <c r="T8" s="53">
        <f>T6*(Assumptions!$B$52+Assumptions!$B$53)</f>
        <v>1.9456000000000004</v>
      </c>
      <c r="U8" s="53">
        <f>U6*(Assumptions!$B$52+Assumptions!$B$53)</f>
        <v>0.7782400000000002</v>
      </c>
      <c r="V8" s="53">
        <f>V6*(Assumptions!$B$52+Assumptions!$B$53)</f>
        <v>0.31129600000000013</v>
      </c>
      <c r="W8" s="53">
        <f>W6*(Assumptions!$B$52+Assumptions!$B$53)</f>
        <v>0.12451840000000006</v>
      </c>
      <c r="X8" s="53">
        <f>X6*(Assumptions!$B$52+Assumptions!$B$53)</f>
        <v>0.04980736000000002</v>
      </c>
      <c r="Y8" s="53">
        <f>Y6*(Assumptions!$B$52+Assumptions!$B$53)</f>
        <v>0.01992294400000001</v>
      </c>
      <c r="Z8" s="53">
        <f>Z6*(Assumptions!$B$52+Assumptions!$B$53)</f>
        <v>0.007969177600000004</v>
      </c>
    </row>
    <row r="9">
      <c r="A9" s="13" t="inlineStr">
        <is>
          <t>Commercial SG&amp;A</t>
        </is>
      </c>
      <c r="C9" s="53">
        <f>IF(Assumptions!$B$54=0,0,IF(FALSE,0,IF(C5&gt;=1,C6*IF(OR(Assumptions!$B$51&lt;1,C5&gt;5),Assumptions!$B$54,MAX(Assumptions!$B$54,INDEX(Assumptions!$B$44:$F$44,C5))),0)))</f>
        <v>166.73659062076646</v>
      </c>
      <c r="D9" s="53">
        <f>IF(Assumptions!$B$54=0,0,IF(FALSE,0,IF(D5&gt;=1,D6*IF(OR(Assumptions!$B$51&lt;1,D5&gt;5),Assumptions!$B$54,MAX(Assumptions!$B$54,INDEX(Assumptions!$B$44:$F$44,D5))),0)))</f>
        <v>228.32266013470212</v>
      </c>
      <c r="E9" s="53">
        <f>IF(Assumptions!$B$54=0,0,IF(FALSE,0,IF(E5&gt;=1,E6*IF(OR(Assumptions!$B$51&lt;1,E5&gt;5),Assumptions!$B$54,MAX(Assumptions!$B$54,INDEX(Assumptions!$B$44:$F$44,E5))),0)))</f>
        <v>282.74889569679533</v>
      </c>
      <c r="F9" s="53">
        <f>IF(Assumptions!$B$54=0,0,IF(FALSE,0,IF(F5&gt;=1,F6*IF(OR(Assumptions!$B$51&lt;1,F5&gt;5),Assumptions!$B$54,MAX(Assumptions!$B$54,INDEX(Assumptions!$B$44:$F$44,F5))),0)))</f>
        <v>344.3541686468744</v>
      </c>
      <c r="G9" s="53">
        <f>IF(Assumptions!$B$54=0,0,IF(FALSE,0,IF(G5&gt;=1,G6*IF(OR(Assumptions!$B$51&lt;1,G5&gt;5),Assumptions!$B$54,MAX(Assumptions!$B$54,INDEX(Assumptions!$B$44:$F$44,G5))),0)))</f>
        <v>400.82571067981166</v>
      </c>
      <c r="H9" s="53">
        <f>IF(Assumptions!$B$54=0,0,IF(FALSE,0,IF(H5&gt;=1,H6*IF(OR(Assumptions!$B$51&lt;1,H5&gt;5),Assumptions!$B$54,MAX(Assumptions!$B$54,INDEX(Assumptions!$B$44:$F$44,H5))),0)))</f>
        <v>500.0</v>
      </c>
      <c r="I9" s="53">
        <f>IF(Assumptions!$B$54=0,0,IF(FALSE,0,IF(I5&gt;=1,I6*IF(OR(Assumptions!$B$51&lt;1,I5&gt;5),Assumptions!$B$54,MAX(Assumptions!$B$54,INDEX(Assumptions!$B$44:$F$44,I5))),0)))</f>
        <v>500.0</v>
      </c>
      <c r="J9" s="53">
        <f>IF(Assumptions!$B$54=0,0,IF(FALSE,0,IF(J5&gt;=1,J6*IF(OR(Assumptions!$B$51&lt;1,J5&gt;5),Assumptions!$B$54,MAX(Assumptions!$B$54,INDEX(Assumptions!$B$44:$F$44,J5))),0)))</f>
        <v>500.0</v>
      </c>
      <c r="K9" s="53">
        <f>IF(Assumptions!$B$54=0,0,IF(FALSE,0,IF(K5&gt;=1,K6*IF(OR(Assumptions!$B$51&lt;1,K5&gt;5),Assumptions!$B$54,MAX(Assumptions!$B$54,INDEX(Assumptions!$B$44:$F$44,K5))),0)))</f>
        <v>500.0</v>
      </c>
      <c r="L9" s="53">
        <f>IF(Assumptions!$B$54=0,0,IF(FALSE,0,IF(L5&gt;=1,L6*IF(OR(Assumptions!$B$51&lt;1,L5&gt;5),Assumptions!$B$54,MAX(Assumptions!$B$54,INDEX(Assumptions!$B$44:$F$44,L5))),0)))</f>
        <v>500.0</v>
      </c>
      <c r="M9" s="53">
        <f>IF(Assumptions!$B$54=0,0,IF(FALSE,0,IF(M5&gt;=1,M6*IF(OR(Assumptions!$B$51&lt;1,M5&gt;5),Assumptions!$B$54,MAX(Assumptions!$B$54,INDEX(Assumptions!$B$44:$F$44,M5))),0)))</f>
        <v>500.0</v>
      </c>
      <c r="N9" s="53">
        <f>IF(Assumptions!$B$54=0,0,IF(FALSE,0,IF(N5&gt;=1,N6*IF(OR(Assumptions!$B$51&lt;1,N5&gt;5),Assumptions!$B$54,MAX(Assumptions!$B$54,INDEX(Assumptions!$B$44:$F$44,N5))),0)))</f>
        <v>500.0</v>
      </c>
      <c r="O9" s="53">
        <f>IF(Assumptions!$B$54=0,0,IF(FALSE,0,IF(O5&gt;=1,O6*IF(OR(Assumptions!$B$51&lt;1,O5&gt;5),Assumptions!$B$54,MAX(Assumptions!$B$54,INDEX(Assumptions!$B$44:$F$44,O5))),0)))</f>
        <v>500.0</v>
      </c>
      <c r="P9" s="53">
        <f>IF(Assumptions!$B$54=0,0,IF(FALSE,0,IF(P5&gt;=1,P6*IF(OR(Assumptions!$B$51&lt;1,P5&gt;5),Assumptions!$B$54,MAX(Assumptions!$B$54,INDEX(Assumptions!$B$44:$F$44,P5))),0)))</f>
        <v>200.0</v>
      </c>
      <c r="Q9" s="53">
        <f>IF(Assumptions!$B$54=0,0,IF(FALSE,0,IF(Q5&gt;=1,Q6*IF(OR(Assumptions!$B$51&lt;1,Q5&gt;5),Assumptions!$B$54,MAX(Assumptions!$B$54,INDEX(Assumptions!$B$44:$F$44,Q5))),0)))</f>
        <v>80.0</v>
      </c>
      <c r="R9" s="53">
        <f>IF(Assumptions!$B$54=0,0,IF(FALSE,0,IF(R5&gt;=1,R6*IF(OR(Assumptions!$B$51&lt;1,R5&gt;5),Assumptions!$B$54,MAX(Assumptions!$B$54,INDEX(Assumptions!$B$44:$F$44,R5))),0)))</f>
        <v>32.0</v>
      </c>
      <c r="S9" s="53">
        <f>IF(Assumptions!$B$54=0,0,IF(FALSE,0,IF(S5&gt;=1,S6*IF(OR(Assumptions!$B$51&lt;1,S5&gt;5),Assumptions!$B$54,MAX(Assumptions!$B$54,INDEX(Assumptions!$B$44:$F$44,S5))),0)))</f>
        <v>12.8</v>
      </c>
      <c r="T9" s="53">
        <f>IF(Assumptions!$B$54=0,0,IF(FALSE,0,IF(T5&gt;=1,T6*IF(OR(Assumptions!$B$51&lt;1,T5&gt;5),Assumptions!$B$54,MAX(Assumptions!$B$54,INDEX(Assumptions!$B$44:$F$44,T5))),0)))</f>
        <v>5.120000000000001</v>
      </c>
      <c r="U9" s="53">
        <f>IF(Assumptions!$B$54=0,0,IF(FALSE,0,IF(U5&gt;=1,U6*IF(OR(Assumptions!$B$51&lt;1,U5&gt;5),Assumptions!$B$54,MAX(Assumptions!$B$54,INDEX(Assumptions!$B$44:$F$44,U5))),0)))</f>
        <v>2.0480000000000005</v>
      </c>
      <c r="V9" s="53">
        <f>IF(Assumptions!$B$54=0,0,IF(FALSE,0,IF(V5&gt;=1,V6*IF(OR(Assumptions!$B$51&lt;1,V5&gt;5),Assumptions!$B$54,MAX(Assumptions!$B$54,INDEX(Assumptions!$B$44:$F$44,V5))),0)))</f>
        <v>0.8192000000000003</v>
      </c>
      <c r="W9" s="53">
        <f>IF(Assumptions!$B$54=0,0,IF(FALSE,0,IF(W5&gt;=1,W6*IF(OR(Assumptions!$B$51&lt;1,W5&gt;5),Assumptions!$B$54,MAX(Assumptions!$B$54,INDEX(Assumptions!$B$44:$F$44,W5))),0)))</f>
        <v>0.32768000000000014</v>
      </c>
      <c r="X9" s="53">
        <f>IF(Assumptions!$B$54=0,0,IF(FALSE,0,IF(X5&gt;=1,X6*IF(OR(Assumptions!$B$51&lt;1,X5&gt;5),Assumptions!$B$54,MAX(Assumptions!$B$54,INDEX(Assumptions!$B$44:$F$44,X5))),0)))</f>
        <v>0.13107200000000005</v>
      </c>
      <c r="Y9" s="53">
        <f>IF(Assumptions!$B$54=0,0,IF(FALSE,0,IF(Y5&gt;=1,Y6*IF(OR(Assumptions!$B$51&lt;1,Y5&gt;5),Assumptions!$B$54,MAX(Assumptions!$B$54,INDEX(Assumptions!$B$44:$F$44,Y5))),0)))</f>
        <v>0.052428800000000025</v>
      </c>
      <c r="Z9" s="53">
        <f>IF(Assumptions!$B$54=0,0,IF(FALSE,0,IF(Z5&gt;=1,Z6*IF(OR(Assumptions!$B$51&lt;1,Z5&gt;5),Assumptions!$B$54,MAX(Assumptions!$B$54,INDEX(Assumptions!$B$44:$F$44,Z5))),0)))</f>
        <v>0.02097152000000001</v>
      </c>
    </row>
    <row r="10">
      <c r="A10" s="13" t="inlineStr">
        <is>
          <t>Development R&amp;D</t>
        </is>
      </c>
      <c r="C10" s="53">
        <f>0</f>
        <v>0</v>
      </c>
      <c r="D10" s="53">
        <f>0</f>
        <v>0</v>
      </c>
      <c r="E10" s="53">
        <f>0</f>
        <v>0</v>
      </c>
      <c r="F10" s="53">
        <f>0</f>
        <v>0</v>
      </c>
      <c r="G10" s="53">
        <f>0</f>
        <v>0</v>
      </c>
      <c r="H10" s="53">
        <f>0</f>
        <v>0</v>
      </c>
      <c r="I10" s="53">
        <f>0</f>
        <v>0</v>
      </c>
      <c r="J10" s="53">
        <f>0</f>
        <v>0</v>
      </c>
      <c r="K10" s="53">
        <f>0</f>
        <v>0</v>
      </c>
      <c r="L10" s="53">
        <f>0</f>
        <v>0</v>
      </c>
      <c r="M10" s="53">
        <f>0</f>
        <v>0</v>
      </c>
      <c r="N10" s="53">
        <f>0</f>
        <v>0</v>
      </c>
      <c r="O10" s="53">
        <f>0</f>
        <v>0</v>
      </c>
      <c r="P10" s="53">
        <f>0</f>
        <v>0</v>
      </c>
      <c r="Q10" s="53">
        <f>0</f>
        <v>0</v>
      </c>
      <c r="R10" s="53">
        <f>0</f>
        <v>0</v>
      </c>
      <c r="S10" s="53">
        <f>0</f>
        <v>0</v>
      </c>
      <c r="T10" s="53">
        <f>0</f>
        <v>0</v>
      </c>
      <c r="U10" s="53">
        <f>0</f>
        <v>0</v>
      </c>
      <c r="V10" s="53">
        <f>0</f>
        <v>0</v>
      </c>
      <c r="W10" s="53">
        <f>0</f>
        <v>0</v>
      </c>
      <c r="X10" s="53">
        <f>0</f>
        <v>0</v>
      </c>
      <c r="Y10" s="53">
        <f>0</f>
        <v>0</v>
      </c>
      <c r="Z10" s="53">
        <f>0</f>
        <v>0</v>
      </c>
    </row>
    <row r="11">
      <c r="A11" s="22" t="inlineStr">
        <is>
          <t>Program contribution (pre-tax)</t>
        </is>
      </c>
      <c r="C11" s="57">
        <f>C7-C8-C9-C10</f>
        <v>107.62089030976742</v>
      </c>
      <c r="D11" s="57">
        <f>D7-D8-D9-D10</f>
        <v>288.25735842006145</v>
      </c>
      <c r="E11" s="57">
        <f>E7-E8-E9-E10</f>
        <v>516.9003249457039</v>
      </c>
      <c r="F11" s="57">
        <f>F7-F8-F9-F10</f>
        <v>768.6476978724874</v>
      </c>
      <c r="G11" s="57">
        <f>G7-G8-G9-G10</f>
        <v>1050.1633619811066</v>
      </c>
      <c r="H11" s="57">
        <f>H7-H8-H9-H10</f>
        <v>1310.0</v>
      </c>
      <c r="I11" s="57">
        <f>I7-I8-I9-I10</f>
        <v>1310.0</v>
      </c>
      <c r="J11" s="57">
        <f>J7-J8-J9-J10</f>
        <v>1310.0</v>
      </c>
      <c r="K11" s="57">
        <f>K7-K8-K9-K10</f>
        <v>1310.0</v>
      </c>
      <c r="L11" s="57">
        <f>L7-L8-L9-L10</f>
        <v>1310.0</v>
      </c>
      <c r="M11" s="57">
        <f>M7-M8-M9-M10</f>
        <v>1310.0</v>
      </c>
      <c r="N11" s="57">
        <f>N7-N8-N9-N10</f>
        <v>1310.0</v>
      </c>
      <c r="O11" s="57">
        <f>O7-O8-O9-O10</f>
        <v>1310.0</v>
      </c>
      <c r="P11" s="57">
        <f>P7-P8-P9-P10</f>
        <v>524.0</v>
      </c>
      <c r="Q11" s="57">
        <f>Q7-Q8-Q9-Q10</f>
        <v>209.60000000000002</v>
      </c>
      <c r="R11" s="57">
        <f>R7-R8-R9-R10</f>
        <v>83.84</v>
      </c>
      <c r="S11" s="57">
        <f>S7-S8-S9-S10</f>
        <v>33.536</v>
      </c>
      <c r="T11" s="57">
        <f>T7-T8-T9-T10</f>
        <v>13.414400000000004</v>
      </c>
      <c r="U11" s="57">
        <f>U7-U8-U9-U10</f>
        <v>5.365760000000002</v>
      </c>
      <c r="V11" s="57">
        <f>V7-V8-V9-V10</f>
        <v>2.1463040000000007</v>
      </c>
      <c r="W11" s="57">
        <f>W7-W8-W9-W10</f>
        <v>0.8585216000000002</v>
      </c>
      <c r="X11" s="57">
        <f>X7-X8-X9-X10</f>
        <v>0.34340864000000015</v>
      </c>
      <c r="Y11" s="57">
        <f>Y7-Y8-Y9-Y10</f>
        <v>0.13736345600000008</v>
      </c>
      <c r="Z11" s="57">
        <f>Z7-Z8-Z9-Z10</f>
        <v>0.054945382400000034</v>
      </c>
    </row>
    <row r="13">
      <c r="A13" s="30" t="inlineStr">
        <is>
          <t>MAPLE-HCM label — first-line use (incremental)</t>
        </is>
      </c>
    </row>
    <row r="14">
      <c r="A14" s="13" t="inlineStr">
        <is>
          <t>Years since launch (approved on time)</t>
        </is>
      </c>
      <c r="C14" s="64">
        <f>C$2-Assumptions!$B$60+1</f>
        <v>1.0</v>
      </c>
      <c r="D14" s="64">
        <f>D$2-Assumptions!$B$60+1</f>
        <v>2.0</v>
      </c>
      <c r="E14" s="64">
        <f>E$2-Assumptions!$B$60+1</f>
        <v>3.0</v>
      </c>
      <c r="F14" s="64">
        <f>F$2-Assumptions!$B$60+1</f>
        <v>4.0</v>
      </c>
      <c r="G14" s="64">
        <f>G$2-Assumptions!$B$60+1</f>
        <v>5.0</v>
      </c>
      <c r="H14" s="64">
        <f>H$2-Assumptions!$B$60+1</f>
        <v>6.0</v>
      </c>
      <c r="I14" s="64">
        <f>I$2-Assumptions!$B$60+1</f>
        <v>7.0</v>
      </c>
      <c r="J14" s="64">
        <f>J$2-Assumptions!$B$60+1</f>
        <v>8.0</v>
      </c>
      <c r="K14" s="64">
        <f>K$2-Assumptions!$B$60+1</f>
        <v>9.0</v>
      </c>
      <c r="L14" s="64">
        <f>L$2-Assumptions!$B$60+1</f>
        <v>10.0</v>
      </c>
      <c r="M14" s="64">
        <f>M$2-Assumptions!$B$60+1</f>
        <v>11.0</v>
      </c>
      <c r="N14" s="64">
        <f>N$2-Assumptions!$B$60+1</f>
        <v>12.0</v>
      </c>
      <c r="O14" s="64">
        <f>O$2-Assumptions!$B$60+1</f>
        <v>13.0</v>
      </c>
      <c r="P14" s="64">
        <f>P$2-Assumptions!$B$60+1</f>
        <v>14.0</v>
      </c>
      <c r="Q14" s="64">
        <f>Q$2-Assumptions!$B$60+1</f>
        <v>15.0</v>
      </c>
      <c r="R14" s="64">
        <f>R$2-Assumptions!$B$60+1</f>
        <v>16.0</v>
      </c>
      <c r="S14" s="64">
        <f>S$2-Assumptions!$B$60+1</f>
        <v>17.0</v>
      </c>
      <c r="T14" s="64">
        <f>T$2-Assumptions!$B$60+1</f>
        <v>18.0</v>
      </c>
      <c r="U14" s="64">
        <f>U$2-Assumptions!$B$60+1</f>
        <v>19.0</v>
      </c>
      <c r="V14" s="64">
        <f>V$2-Assumptions!$B$60+1</f>
        <v>20.0</v>
      </c>
      <c r="W14" s="64">
        <f>W$2-Assumptions!$B$60+1</f>
        <v>21.0</v>
      </c>
      <c r="X14" s="64">
        <f>X$2-Assumptions!$B$60+1</f>
        <v>22.0</v>
      </c>
      <c r="Y14" s="64">
        <f>Y$2-Assumptions!$B$60+1</f>
        <v>23.0</v>
      </c>
      <c r="Z14" s="64">
        <f>Z$2-Assumptions!$B$60+1</f>
        <v>24.0</v>
      </c>
    </row>
    <row r="15">
      <c r="A15" s="13" t="inlineStr">
        <is>
          <t>Net sales, unrisked (approved on time)</t>
        </is>
      </c>
      <c r="C15" s="53">
        <f>IF(C$2&gt;Assumptions!$B$69,0*(1-Assumptions!$B$70),IF(C14&gt;=1,Assumptions!$B$61*CHOOSE(Assumptions!$B$68,INDEX(Assumptions!$B$42:$H$42,MIN(C14,7)),INDEX(Assumptions!$B$43:$H$43,MIN(C14,7))),0))</f>
        <v>40.0</v>
      </c>
      <c r="D15" s="53">
        <f>IF(D$2&gt;Assumptions!$B$69,C15*(1-Assumptions!$B$70),IF(D14&gt;=1,Assumptions!$B$61*CHOOSE(Assumptions!$B$68,INDEX(Assumptions!$B$42:$H$42,MIN(D14,7)),INDEX(Assumptions!$B$43:$H$43,MIN(D14,7))),0))</f>
        <v>100.0</v>
      </c>
      <c r="E15" s="53">
        <f>IF(E$2&gt;Assumptions!$B$69,D15*(1-Assumptions!$B$70),IF(E14&gt;=1,Assumptions!$B$61*CHOOSE(Assumptions!$B$68,INDEX(Assumptions!$B$42:$H$42,MIN(E14,7)),INDEX(Assumptions!$B$43:$H$43,MIN(E14,7))),0))</f>
        <v>180.0</v>
      </c>
      <c r="F15" s="53">
        <f>IF(F$2&gt;Assumptions!$B$69,E15*(1-Assumptions!$B$70),IF(F14&gt;=1,Assumptions!$B$61*CHOOSE(Assumptions!$B$68,INDEX(Assumptions!$B$42:$H$42,MIN(F14,7)),INDEX(Assumptions!$B$43:$H$43,MIN(F14,7))),0))</f>
        <v>260.0</v>
      </c>
      <c r="G15" s="53">
        <f>IF(G$2&gt;Assumptions!$B$69,F15*(1-Assumptions!$B$70),IF(G14&gt;=1,Assumptions!$B$61*CHOOSE(Assumptions!$B$68,INDEX(Assumptions!$B$42:$H$42,MIN(G14,7)),INDEX(Assumptions!$B$43:$H$43,MIN(G14,7))),0))</f>
        <v>328.0</v>
      </c>
      <c r="H15" s="53">
        <f>IF(H$2&gt;Assumptions!$B$69,G15*(1-Assumptions!$B$70),IF(H14&gt;=1,Assumptions!$B$61*CHOOSE(Assumptions!$B$68,INDEX(Assumptions!$B$42:$H$42,MIN(H14,7)),INDEX(Assumptions!$B$43:$H$43,MIN(H14,7))),0))</f>
        <v>372.0</v>
      </c>
      <c r="I15" s="53">
        <f>IF(I$2&gt;Assumptions!$B$69,H15*(1-Assumptions!$B$70),IF(I14&gt;=1,Assumptions!$B$61*CHOOSE(Assumptions!$B$68,INDEX(Assumptions!$B$42:$H$42,MIN(I14,7)),INDEX(Assumptions!$B$43:$H$43,MIN(I14,7))),0))</f>
        <v>400.0</v>
      </c>
      <c r="J15" s="53">
        <f>IF(J$2&gt;Assumptions!$B$69,I15*(1-Assumptions!$B$70),IF(J14&gt;=1,Assumptions!$B$61*CHOOSE(Assumptions!$B$68,INDEX(Assumptions!$B$42:$H$42,MIN(J14,7)),INDEX(Assumptions!$B$43:$H$43,MIN(J14,7))),0))</f>
        <v>400.0</v>
      </c>
      <c r="K15" s="53">
        <f>IF(K$2&gt;Assumptions!$B$69,J15*(1-Assumptions!$B$70),IF(K14&gt;=1,Assumptions!$B$61*CHOOSE(Assumptions!$B$68,INDEX(Assumptions!$B$42:$H$42,MIN(K14,7)),INDEX(Assumptions!$B$43:$H$43,MIN(K14,7))),0))</f>
        <v>400.0</v>
      </c>
      <c r="L15" s="53">
        <f>IF(L$2&gt;Assumptions!$B$69,K15*(1-Assumptions!$B$70),IF(L14&gt;=1,Assumptions!$B$61*CHOOSE(Assumptions!$B$68,INDEX(Assumptions!$B$42:$H$42,MIN(L14,7)),INDEX(Assumptions!$B$43:$H$43,MIN(L14,7))),0))</f>
        <v>400.0</v>
      </c>
      <c r="M15" s="53">
        <f>IF(M$2&gt;Assumptions!$B$69,L15*(1-Assumptions!$B$70),IF(M14&gt;=1,Assumptions!$B$61*CHOOSE(Assumptions!$B$68,INDEX(Assumptions!$B$42:$H$42,MIN(M14,7)),INDEX(Assumptions!$B$43:$H$43,MIN(M14,7))),0))</f>
        <v>400.0</v>
      </c>
      <c r="N15" s="53">
        <f>IF(N$2&gt;Assumptions!$B$69,M15*(1-Assumptions!$B$70),IF(N14&gt;=1,Assumptions!$B$61*CHOOSE(Assumptions!$B$68,INDEX(Assumptions!$B$42:$H$42,MIN(N14,7)),INDEX(Assumptions!$B$43:$H$43,MIN(N14,7))),0))</f>
        <v>400.0</v>
      </c>
      <c r="O15" s="53">
        <f>IF(O$2&gt;Assumptions!$B$69,N15*(1-Assumptions!$B$70),IF(O14&gt;=1,Assumptions!$B$61*CHOOSE(Assumptions!$B$68,INDEX(Assumptions!$B$42:$H$42,MIN(O14,7)),INDEX(Assumptions!$B$43:$H$43,MIN(O14,7))),0))</f>
        <v>400.0</v>
      </c>
      <c r="P15" s="53">
        <f>IF(P$2&gt;Assumptions!$B$69,O15*(1-Assumptions!$B$70),IF(P14&gt;=1,Assumptions!$B$61*CHOOSE(Assumptions!$B$68,INDEX(Assumptions!$B$42:$H$42,MIN(P14,7)),INDEX(Assumptions!$B$43:$H$43,MIN(P14,7))),0))</f>
        <v>160.0</v>
      </c>
      <c r="Q15" s="53">
        <f>IF(Q$2&gt;Assumptions!$B$69,P15*(1-Assumptions!$B$70),IF(Q14&gt;=1,Assumptions!$B$61*CHOOSE(Assumptions!$B$68,INDEX(Assumptions!$B$42:$H$42,MIN(Q14,7)),INDEX(Assumptions!$B$43:$H$43,MIN(Q14,7))),0))</f>
        <v>64.0</v>
      </c>
      <c r="R15" s="53">
        <f>IF(R$2&gt;Assumptions!$B$69,Q15*(1-Assumptions!$B$70),IF(R14&gt;=1,Assumptions!$B$61*CHOOSE(Assumptions!$B$68,INDEX(Assumptions!$B$42:$H$42,MIN(R14,7)),INDEX(Assumptions!$B$43:$H$43,MIN(R14,7))),0))</f>
        <v>25.6</v>
      </c>
      <c r="S15" s="53">
        <f>IF(S$2&gt;Assumptions!$B$69,R15*(1-Assumptions!$B$70),IF(S14&gt;=1,Assumptions!$B$61*CHOOSE(Assumptions!$B$68,INDEX(Assumptions!$B$42:$H$42,MIN(S14,7)),INDEX(Assumptions!$B$43:$H$43,MIN(S14,7))),0))</f>
        <v>10.240000000000002</v>
      </c>
      <c r="T15" s="53">
        <f>IF(T$2&gt;Assumptions!$B$69,S15*(1-Assumptions!$B$70),IF(T14&gt;=1,Assumptions!$B$61*CHOOSE(Assumptions!$B$68,INDEX(Assumptions!$B$42:$H$42,MIN(T14,7)),INDEX(Assumptions!$B$43:$H$43,MIN(T14,7))),0))</f>
        <v>4.096000000000001</v>
      </c>
      <c r="U15" s="53">
        <f>IF(U$2&gt;Assumptions!$B$69,T15*(1-Assumptions!$B$70),IF(U14&gt;=1,Assumptions!$B$61*CHOOSE(Assumptions!$B$68,INDEX(Assumptions!$B$42:$H$42,MIN(U14,7)),INDEX(Assumptions!$B$43:$H$43,MIN(U14,7))),0))</f>
        <v>1.6384000000000005</v>
      </c>
      <c r="V15" s="53">
        <f>IF(V$2&gt;Assumptions!$B$69,U15*(1-Assumptions!$B$70),IF(V14&gt;=1,Assumptions!$B$61*CHOOSE(Assumptions!$B$68,INDEX(Assumptions!$B$42:$H$42,MIN(V14,7)),INDEX(Assumptions!$B$43:$H$43,MIN(V14,7))),0))</f>
        <v>0.6553600000000003</v>
      </c>
      <c r="W15" s="53">
        <f>IF(W$2&gt;Assumptions!$B$69,V15*(1-Assumptions!$B$70),IF(W14&gt;=1,Assumptions!$B$61*CHOOSE(Assumptions!$B$68,INDEX(Assumptions!$B$42:$H$42,MIN(W14,7)),INDEX(Assumptions!$B$43:$H$43,MIN(W14,7))),0))</f>
        <v>0.2621440000000001</v>
      </c>
      <c r="X15" s="53">
        <f>IF(X$2&gt;Assumptions!$B$69,W15*(1-Assumptions!$B$70),IF(X14&gt;=1,Assumptions!$B$61*CHOOSE(Assumptions!$B$68,INDEX(Assumptions!$B$42:$H$42,MIN(X14,7)),INDEX(Assumptions!$B$43:$H$43,MIN(X14,7))),0))</f>
        <v>0.10485760000000005</v>
      </c>
      <c r="Y15" s="53">
        <f>IF(Y$2&gt;Assumptions!$B$69,X15*(1-Assumptions!$B$70),IF(Y14&gt;=1,Assumptions!$B$61*CHOOSE(Assumptions!$B$68,INDEX(Assumptions!$B$42:$H$42,MIN(Y14,7)),INDEX(Assumptions!$B$43:$H$43,MIN(Y14,7))),0))</f>
        <v>0.04194304000000002</v>
      </c>
      <c r="Z15" s="53">
        <f>IF(Z$2&gt;Assumptions!$B$69,Y15*(1-Assumptions!$B$70),IF(Z14&gt;=1,Assumptions!$B$61*CHOOSE(Assumptions!$B$68,INDEX(Assumptions!$B$42:$H$42,MIN(Z14,7)),INDEX(Assumptions!$B$43:$H$43,MIN(Z14,7))),0))</f>
        <v>0.016777216000000008</v>
      </c>
    </row>
    <row r="16">
      <c r="A16" s="13" t="inlineStr">
        <is>
          <t>Years since launch (approved after a CRL)</t>
        </is>
      </c>
      <c r="C16" s="64">
        <f>C$2-(Assumptions!$B$60+Assumptions!$B$34)+1</f>
        <v>0.0</v>
      </c>
      <c r="D16" s="64">
        <f>D$2-(Assumptions!$B$60+Assumptions!$B$34)+1</f>
        <v>1.0</v>
      </c>
      <c r="E16" s="64">
        <f>E$2-(Assumptions!$B$60+Assumptions!$B$34)+1</f>
        <v>2.0</v>
      </c>
      <c r="F16" s="64">
        <f>F$2-(Assumptions!$B$60+Assumptions!$B$34)+1</f>
        <v>3.0</v>
      </c>
      <c r="G16" s="64">
        <f>G$2-(Assumptions!$B$60+Assumptions!$B$34)+1</f>
        <v>4.0</v>
      </c>
      <c r="H16" s="64">
        <f>H$2-(Assumptions!$B$60+Assumptions!$B$34)+1</f>
        <v>5.0</v>
      </c>
      <c r="I16" s="64">
        <f>I$2-(Assumptions!$B$60+Assumptions!$B$34)+1</f>
        <v>6.0</v>
      </c>
      <c r="J16" s="64">
        <f>J$2-(Assumptions!$B$60+Assumptions!$B$34)+1</f>
        <v>7.0</v>
      </c>
      <c r="K16" s="64">
        <f>K$2-(Assumptions!$B$60+Assumptions!$B$34)+1</f>
        <v>8.0</v>
      </c>
      <c r="L16" s="64">
        <f>L$2-(Assumptions!$B$60+Assumptions!$B$34)+1</f>
        <v>9.0</v>
      </c>
      <c r="M16" s="64">
        <f>M$2-(Assumptions!$B$60+Assumptions!$B$34)+1</f>
        <v>10.0</v>
      </c>
      <c r="N16" s="64">
        <f>N$2-(Assumptions!$B$60+Assumptions!$B$34)+1</f>
        <v>11.0</v>
      </c>
      <c r="O16" s="64">
        <f>O$2-(Assumptions!$B$60+Assumptions!$B$34)+1</f>
        <v>12.0</v>
      </c>
      <c r="P16" s="64">
        <f>P$2-(Assumptions!$B$60+Assumptions!$B$34)+1</f>
        <v>13.0</v>
      </c>
      <c r="Q16" s="64">
        <f>Q$2-(Assumptions!$B$60+Assumptions!$B$34)+1</f>
        <v>14.0</v>
      </c>
      <c r="R16" s="64">
        <f>R$2-(Assumptions!$B$60+Assumptions!$B$34)+1</f>
        <v>15.0</v>
      </c>
      <c r="S16" s="64">
        <f>S$2-(Assumptions!$B$60+Assumptions!$B$34)+1</f>
        <v>16.0</v>
      </c>
      <c r="T16" s="64">
        <f>T$2-(Assumptions!$B$60+Assumptions!$B$34)+1</f>
        <v>17.0</v>
      </c>
      <c r="U16" s="64">
        <f>U$2-(Assumptions!$B$60+Assumptions!$B$34)+1</f>
        <v>18.0</v>
      </c>
      <c r="V16" s="64">
        <f>V$2-(Assumptions!$B$60+Assumptions!$B$34)+1</f>
        <v>19.0</v>
      </c>
      <c r="W16" s="64">
        <f>W$2-(Assumptions!$B$60+Assumptions!$B$34)+1</f>
        <v>20.0</v>
      </c>
      <c r="X16" s="64">
        <f>X$2-(Assumptions!$B$60+Assumptions!$B$34)+1</f>
        <v>21.0</v>
      </c>
      <c r="Y16" s="64">
        <f>Y$2-(Assumptions!$B$60+Assumptions!$B$34)+1</f>
        <v>22.0</v>
      </c>
      <c r="Z16" s="64">
        <f>Z$2-(Assumptions!$B$60+Assumptions!$B$34)+1</f>
        <v>23.0</v>
      </c>
    </row>
    <row r="17">
      <c r="A17" s="13" t="inlineStr">
        <is>
          <t>Net sales, unrisked (approved after a CRL)</t>
        </is>
      </c>
      <c r="C17" s="53">
        <f>IF(C$2&gt;Assumptions!$B$69,0*(1-Assumptions!$B$70),IF(C16&gt;=1,Assumptions!$B$61*CHOOSE(Assumptions!$B$68,INDEX(Assumptions!$B$42:$H$42,MIN(C16,7)),INDEX(Assumptions!$B$43:$H$43,MIN(C16,7))),0))</f>
        <v>0</v>
      </c>
      <c r="D17" s="53">
        <f>IF(D$2&gt;Assumptions!$B$69,C17*(1-Assumptions!$B$70),IF(D16&gt;=1,Assumptions!$B$61*CHOOSE(Assumptions!$B$68,INDEX(Assumptions!$B$42:$H$42,MIN(D16,7)),INDEX(Assumptions!$B$43:$H$43,MIN(D16,7))),0))</f>
        <v>40.0</v>
      </c>
      <c r="E17" s="53">
        <f>IF(E$2&gt;Assumptions!$B$69,D17*(1-Assumptions!$B$70),IF(E16&gt;=1,Assumptions!$B$61*CHOOSE(Assumptions!$B$68,INDEX(Assumptions!$B$42:$H$42,MIN(E16,7)),INDEX(Assumptions!$B$43:$H$43,MIN(E16,7))),0))</f>
        <v>100.0</v>
      </c>
      <c r="F17" s="53">
        <f>IF(F$2&gt;Assumptions!$B$69,E17*(1-Assumptions!$B$70),IF(F16&gt;=1,Assumptions!$B$61*CHOOSE(Assumptions!$B$68,INDEX(Assumptions!$B$42:$H$42,MIN(F16,7)),INDEX(Assumptions!$B$43:$H$43,MIN(F16,7))),0))</f>
        <v>180.0</v>
      </c>
      <c r="G17" s="53">
        <f>IF(G$2&gt;Assumptions!$B$69,F17*(1-Assumptions!$B$70),IF(G16&gt;=1,Assumptions!$B$61*CHOOSE(Assumptions!$B$68,INDEX(Assumptions!$B$42:$H$42,MIN(G16,7)),INDEX(Assumptions!$B$43:$H$43,MIN(G16,7))),0))</f>
        <v>260.0</v>
      </c>
      <c r="H17" s="53">
        <f>IF(H$2&gt;Assumptions!$B$69,G17*(1-Assumptions!$B$70),IF(H16&gt;=1,Assumptions!$B$61*CHOOSE(Assumptions!$B$68,INDEX(Assumptions!$B$42:$H$42,MIN(H16,7)),INDEX(Assumptions!$B$43:$H$43,MIN(H16,7))),0))</f>
        <v>328.0</v>
      </c>
      <c r="I17" s="53">
        <f>IF(I$2&gt;Assumptions!$B$69,H17*(1-Assumptions!$B$70),IF(I16&gt;=1,Assumptions!$B$61*CHOOSE(Assumptions!$B$68,INDEX(Assumptions!$B$42:$H$42,MIN(I16,7)),INDEX(Assumptions!$B$43:$H$43,MIN(I16,7))),0))</f>
        <v>372.0</v>
      </c>
      <c r="J17" s="53">
        <f>IF(J$2&gt;Assumptions!$B$69,I17*(1-Assumptions!$B$70),IF(J16&gt;=1,Assumptions!$B$61*CHOOSE(Assumptions!$B$68,INDEX(Assumptions!$B$42:$H$42,MIN(J16,7)),INDEX(Assumptions!$B$43:$H$43,MIN(J16,7))),0))</f>
        <v>400.0</v>
      </c>
      <c r="K17" s="53">
        <f>IF(K$2&gt;Assumptions!$B$69,J17*(1-Assumptions!$B$70),IF(K16&gt;=1,Assumptions!$B$61*CHOOSE(Assumptions!$B$68,INDEX(Assumptions!$B$42:$H$42,MIN(K16,7)),INDEX(Assumptions!$B$43:$H$43,MIN(K16,7))),0))</f>
        <v>400.0</v>
      </c>
      <c r="L17" s="53">
        <f>IF(L$2&gt;Assumptions!$B$69,K17*(1-Assumptions!$B$70),IF(L16&gt;=1,Assumptions!$B$61*CHOOSE(Assumptions!$B$68,INDEX(Assumptions!$B$42:$H$42,MIN(L16,7)),INDEX(Assumptions!$B$43:$H$43,MIN(L16,7))),0))</f>
        <v>400.0</v>
      </c>
      <c r="M17" s="53">
        <f>IF(M$2&gt;Assumptions!$B$69,L17*(1-Assumptions!$B$70),IF(M16&gt;=1,Assumptions!$B$61*CHOOSE(Assumptions!$B$68,INDEX(Assumptions!$B$42:$H$42,MIN(M16,7)),INDEX(Assumptions!$B$43:$H$43,MIN(M16,7))),0))</f>
        <v>400.0</v>
      </c>
      <c r="N17" s="53">
        <f>IF(N$2&gt;Assumptions!$B$69,M17*(1-Assumptions!$B$70),IF(N16&gt;=1,Assumptions!$B$61*CHOOSE(Assumptions!$B$68,INDEX(Assumptions!$B$42:$H$42,MIN(N16,7)),INDEX(Assumptions!$B$43:$H$43,MIN(N16,7))),0))</f>
        <v>400.0</v>
      </c>
      <c r="O17" s="53">
        <f>IF(O$2&gt;Assumptions!$B$69,N17*(1-Assumptions!$B$70),IF(O16&gt;=1,Assumptions!$B$61*CHOOSE(Assumptions!$B$68,INDEX(Assumptions!$B$42:$H$42,MIN(O16,7)),INDEX(Assumptions!$B$43:$H$43,MIN(O16,7))),0))</f>
        <v>400.0</v>
      </c>
      <c r="P17" s="53">
        <f>IF(P$2&gt;Assumptions!$B$69,O17*(1-Assumptions!$B$70),IF(P16&gt;=1,Assumptions!$B$61*CHOOSE(Assumptions!$B$68,INDEX(Assumptions!$B$42:$H$42,MIN(P16,7)),INDEX(Assumptions!$B$43:$H$43,MIN(P16,7))),0))</f>
        <v>160.0</v>
      </c>
      <c r="Q17" s="53">
        <f>IF(Q$2&gt;Assumptions!$B$69,P17*(1-Assumptions!$B$70),IF(Q16&gt;=1,Assumptions!$B$61*CHOOSE(Assumptions!$B$68,INDEX(Assumptions!$B$42:$H$42,MIN(Q16,7)),INDEX(Assumptions!$B$43:$H$43,MIN(Q16,7))),0))</f>
        <v>64.0</v>
      </c>
      <c r="R17" s="53">
        <f>IF(R$2&gt;Assumptions!$B$69,Q17*(1-Assumptions!$B$70),IF(R16&gt;=1,Assumptions!$B$61*CHOOSE(Assumptions!$B$68,INDEX(Assumptions!$B$42:$H$42,MIN(R16,7)),INDEX(Assumptions!$B$43:$H$43,MIN(R16,7))),0))</f>
        <v>25.6</v>
      </c>
      <c r="S17" s="53">
        <f>IF(S$2&gt;Assumptions!$B$69,R17*(1-Assumptions!$B$70),IF(S16&gt;=1,Assumptions!$B$61*CHOOSE(Assumptions!$B$68,INDEX(Assumptions!$B$42:$H$42,MIN(S16,7)),INDEX(Assumptions!$B$43:$H$43,MIN(S16,7))),0))</f>
        <v>10.240000000000002</v>
      </c>
      <c r="T17" s="53">
        <f>IF(T$2&gt;Assumptions!$B$69,S17*(1-Assumptions!$B$70),IF(T16&gt;=1,Assumptions!$B$61*CHOOSE(Assumptions!$B$68,INDEX(Assumptions!$B$42:$H$42,MIN(T16,7)),INDEX(Assumptions!$B$43:$H$43,MIN(T16,7))),0))</f>
        <v>4.096000000000001</v>
      </c>
      <c r="U17" s="53">
        <f>IF(U$2&gt;Assumptions!$B$69,T17*(1-Assumptions!$B$70),IF(U16&gt;=1,Assumptions!$B$61*CHOOSE(Assumptions!$B$68,INDEX(Assumptions!$B$42:$H$42,MIN(U16,7)),INDEX(Assumptions!$B$43:$H$43,MIN(U16,7))),0))</f>
        <v>1.6384000000000005</v>
      </c>
      <c r="V17" s="53">
        <f>IF(V$2&gt;Assumptions!$B$69,U17*(1-Assumptions!$B$70),IF(V16&gt;=1,Assumptions!$B$61*CHOOSE(Assumptions!$B$68,INDEX(Assumptions!$B$42:$H$42,MIN(V16,7)),INDEX(Assumptions!$B$43:$H$43,MIN(V16,7))),0))</f>
        <v>0.6553600000000003</v>
      </c>
      <c r="W17" s="53">
        <f>IF(W$2&gt;Assumptions!$B$69,V17*(1-Assumptions!$B$70),IF(W16&gt;=1,Assumptions!$B$61*CHOOSE(Assumptions!$B$68,INDEX(Assumptions!$B$42:$H$42,MIN(W16,7)),INDEX(Assumptions!$B$43:$H$43,MIN(W16,7))),0))</f>
        <v>0.2621440000000001</v>
      </c>
      <c r="X17" s="53">
        <f>IF(X$2&gt;Assumptions!$B$69,W17*(1-Assumptions!$B$70),IF(X16&gt;=1,Assumptions!$B$61*CHOOSE(Assumptions!$B$68,INDEX(Assumptions!$B$42:$H$42,MIN(X16,7)),INDEX(Assumptions!$B$43:$H$43,MIN(X16,7))),0))</f>
        <v>0.10485760000000005</v>
      </c>
      <c r="Y17" s="53">
        <f>IF(Y$2&gt;Assumptions!$B$69,X17*(1-Assumptions!$B$70),IF(Y16&gt;=1,Assumptions!$B$61*CHOOSE(Assumptions!$B$68,INDEX(Assumptions!$B$42:$H$42,MIN(Y16,7)),INDEX(Assumptions!$B$43:$H$43,MIN(Y16,7))),0))</f>
        <v>0.04194304000000002</v>
      </c>
      <c r="Z17" s="53">
        <f>IF(Z$2&gt;Assumptions!$B$69,Y17*(1-Assumptions!$B$70),IF(Z16&gt;=1,Assumptions!$B$61*CHOOSE(Assumptions!$B$68,INDEX(Assumptions!$B$42:$H$42,MIN(Z16,7)),INDEX(Assumptions!$B$43:$H$43,MIN(Z16,7))),0))</f>
        <v>0.016777216000000008</v>
      </c>
    </row>
    <row r="18">
      <c r="A18" s="13" t="inlineStr">
        <is>
          <t>Product net sales, risk-adjusted</t>
        </is>
      </c>
      <c r="C18" s="53">
        <f>Assumptions!$B$32*C15+(1-Assumptions!$B$32)*Assumptions!$B$33*C17</f>
        <v>36.800000000000004</v>
      </c>
      <c r="D18" s="53">
        <f>Assumptions!$B$32*D15+(1-Assumptions!$B$32)*Assumptions!$B$33*D17</f>
        <v>94.24</v>
      </c>
      <c r="E18" s="53">
        <f>Assumptions!$B$32*E15+(1-Assumptions!$B$32)*Assumptions!$B$33*E17</f>
        <v>171.2</v>
      </c>
      <c r="F18" s="53">
        <f>Assumptions!$B$32*F15+(1-Assumptions!$B$32)*Assumptions!$B$33*F17</f>
        <v>249.28</v>
      </c>
      <c r="G18" s="53">
        <f>Assumptions!$B$32*G15+(1-Assumptions!$B$32)*Assumptions!$B$33*G17</f>
        <v>316.32</v>
      </c>
      <c r="H18" s="53">
        <f>Assumptions!$B$32*H15+(1-Assumptions!$B$32)*Assumptions!$B$33*H17</f>
        <v>360.608</v>
      </c>
      <c r="I18" s="53">
        <f>Assumptions!$B$32*I15+(1-Assumptions!$B$32)*Assumptions!$B$33*I17</f>
        <v>388.832</v>
      </c>
      <c r="J18" s="53">
        <f>Assumptions!$B$32*J15+(1-Assumptions!$B$32)*Assumptions!$B$33*J17</f>
        <v>390.4</v>
      </c>
      <c r="K18" s="53">
        <f>Assumptions!$B$32*K15+(1-Assumptions!$B$32)*Assumptions!$B$33*K17</f>
        <v>390.4</v>
      </c>
      <c r="L18" s="53">
        <f>Assumptions!$B$32*L15+(1-Assumptions!$B$32)*Assumptions!$B$33*L17</f>
        <v>390.4</v>
      </c>
      <c r="M18" s="53">
        <f>Assumptions!$B$32*M15+(1-Assumptions!$B$32)*Assumptions!$B$33*M17</f>
        <v>390.4</v>
      </c>
      <c r="N18" s="53">
        <f>Assumptions!$B$32*N15+(1-Assumptions!$B$32)*Assumptions!$B$33*N17</f>
        <v>390.4</v>
      </c>
      <c r="O18" s="53">
        <f>Assumptions!$B$32*O15+(1-Assumptions!$B$32)*Assumptions!$B$33*O17</f>
        <v>390.4</v>
      </c>
      <c r="P18" s="53">
        <f>Assumptions!$B$32*P15+(1-Assumptions!$B$32)*Assumptions!$B$33*P17</f>
        <v>156.16000000000003</v>
      </c>
      <c r="Q18" s="53">
        <f>Assumptions!$B$32*Q15+(1-Assumptions!$B$32)*Assumptions!$B$33*Q17</f>
        <v>62.464</v>
      </c>
      <c r="R18" s="53">
        <f>Assumptions!$B$32*R15+(1-Assumptions!$B$32)*Assumptions!$B$33*R17</f>
        <v>24.9856</v>
      </c>
      <c r="S18" s="53">
        <f>Assumptions!$B$32*S15+(1-Assumptions!$B$32)*Assumptions!$B$33*S17</f>
        <v>9.994240000000001</v>
      </c>
      <c r="T18" s="53">
        <f>Assumptions!$B$32*T15+(1-Assumptions!$B$32)*Assumptions!$B$33*T17</f>
        <v>3.997696000000001</v>
      </c>
      <c r="U18" s="53">
        <f>Assumptions!$B$32*U15+(1-Assumptions!$B$32)*Assumptions!$B$33*U17</f>
        <v>1.5990784000000005</v>
      </c>
      <c r="V18" s="53">
        <f>Assumptions!$B$32*V15+(1-Assumptions!$B$32)*Assumptions!$B$33*V17</f>
        <v>0.6396313600000003</v>
      </c>
      <c r="W18" s="53">
        <f>Assumptions!$B$32*W15+(1-Assumptions!$B$32)*Assumptions!$B$33*W17</f>
        <v>0.2558525440000001</v>
      </c>
      <c r="X18" s="53">
        <f>Assumptions!$B$32*X15+(1-Assumptions!$B$32)*Assumptions!$B$33*X17</f>
        <v>0.10234101760000004</v>
      </c>
      <c r="Y18" s="53">
        <f>Assumptions!$B$32*Y15+(1-Assumptions!$B$32)*Assumptions!$B$33*Y17</f>
        <v>0.04093640704000002</v>
      </c>
      <c r="Z18" s="53">
        <f>Assumptions!$B$32*Z15+(1-Assumptions!$B$32)*Assumptions!$B$33*Z17</f>
        <v>0.016374562816000006</v>
      </c>
    </row>
    <row r="19">
      <c r="A19" s="13" t="inlineStr">
        <is>
          <t>Company revenue, risk-adjusted (incl. milestones)</t>
        </is>
      </c>
      <c r="C19" s="53">
        <f>C18*Assumptions!$B$63</f>
        <v>36.800000000000004</v>
      </c>
      <c r="D19" s="53">
        <f>D18*Assumptions!$B$63</f>
        <v>94.24</v>
      </c>
      <c r="E19" s="53">
        <f>E18*Assumptions!$B$63</f>
        <v>171.2</v>
      </c>
      <c r="F19" s="53">
        <f>F18*Assumptions!$B$63</f>
        <v>249.28</v>
      </c>
      <c r="G19" s="53">
        <f>G18*Assumptions!$B$63</f>
        <v>316.32</v>
      </c>
      <c r="H19" s="53">
        <f>H18*Assumptions!$B$63</f>
        <v>360.608</v>
      </c>
      <c r="I19" s="53">
        <f>I18*Assumptions!$B$63</f>
        <v>388.832</v>
      </c>
      <c r="J19" s="53">
        <f>J18*Assumptions!$B$63</f>
        <v>390.4</v>
      </c>
      <c r="K19" s="53">
        <f>K18*Assumptions!$B$63</f>
        <v>390.4</v>
      </c>
      <c r="L19" s="53">
        <f>L18*Assumptions!$B$63</f>
        <v>390.4</v>
      </c>
      <c r="M19" s="53">
        <f>M18*Assumptions!$B$63</f>
        <v>390.4</v>
      </c>
      <c r="N19" s="53">
        <f>N18*Assumptions!$B$63</f>
        <v>390.4</v>
      </c>
      <c r="O19" s="53">
        <f>O18*Assumptions!$B$63</f>
        <v>390.4</v>
      </c>
      <c r="P19" s="53">
        <f>P18*Assumptions!$B$63</f>
        <v>156.16000000000003</v>
      </c>
      <c r="Q19" s="53">
        <f>Q18*Assumptions!$B$63</f>
        <v>62.464</v>
      </c>
      <c r="R19" s="53">
        <f>R18*Assumptions!$B$63</f>
        <v>24.9856</v>
      </c>
      <c r="S19" s="53">
        <f>S18*Assumptions!$B$63</f>
        <v>9.994240000000001</v>
      </c>
      <c r="T19" s="53">
        <f>T18*Assumptions!$B$63</f>
        <v>3.997696000000001</v>
      </c>
      <c r="U19" s="53">
        <f>U18*Assumptions!$B$63</f>
        <v>1.5990784000000005</v>
      </c>
      <c r="V19" s="53">
        <f>V18*Assumptions!$B$63</f>
        <v>0.6396313600000003</v>
      </c>
      <c r="W19" s="53">
        <f>W18*Assumptions!$B$63</f>
        <v>0.2558525440000001</v>
      </c>
      <c r="X19" s="53">
        <f>X18*Assumptions!$B$63</f>
        <v>0.10234101760000004</v>
      </c>
      <c r="Y19" s="53">
        <f>Y18*Assumptions!$B$63</f>
        <v>0.04093640704000002</v>
      </c>
      <c r="Z19" s="53">
        <f>Z18*Assumptions!$B$63</f>
        <v>0.016374562816000006</v>
      </c>
    </row>
    <row r="20">
      <c r="A20" s="13" t="inlineStr">
        <is>
          <t>COGS + royalties, risk-adjusted</t>
        </is>
      </c>
      <c r="C20" s="53">
        <f>C18*(Assumptions!$B$64+Assumptions!$B$65)</f>
        <v>3.4960000000000004</v>
      </c>
      <c r="D20" s="53">
        <f>D18*(Assumptions!$B$64+Assumptions!$B$65)</f>
        <v>8.9528</v>
      </c>
      <c r="E20" s="53">
        <f>E18*(Assumptions!$B$64+Assumptions!$B$65)</f>
        <v>16.264</v>
      </c>
      <c r="F20" s="53">
        <f>F18*(Assumptions!$B$64+Assumptions!$B$65)</f>
        <v>23.6816</v>
      </c>
      <c r="G20" s="53">
        <f>G18*(Assumptions!$B$64+Assumptions!$B$65)</f>
        <v>30.0504</v>
      </c>
      <c r="H20" s="53">
        <f>H18*(Assumptions!$B$64+Assumptions!$B$65)</f>
        <v>34.25776</v>
      </c>
      <c r="I20" s="53">
        <f>I18*(Assumptions!$B$64+Assumptions!$B$65)</f>
        <v>36.93904</v>
      </c>
      <c r="J20" s="53">
        <f>J18*(Assumptions!$B$64+Assumptions!$B$65)</f>
        <v>37.088</v>
      </c>
      <c r="K20" s="53">
        <f>K18*(Assumptions!$B$64+Assumptions!$B$65)</f>
        <v>37.088</v>
      </c>
      <c r="L20" s="53">
        <f>L18*(Assumptions!$B$64+Assumptions!$B$65)</f>
        <v>37.088</v>
      </c>
      <c r="M20" s="53">
        <f>M18*(Assumptions!$B$64+Assumptions!$B$65)</f>
        <v>37.088</v>
      </c>
      <c r="N20" s="53">
        <f>N18*(Assumptions!$B$64+Assumptions!$B$65)</f>
        <v>37.088</v>
      </c>
      <c r="O20" s="53">
        <f>O18*(Assumptions!$B$64+Assumptions!$B$65)</f>
        <v>37.088</v>
      </c>
      <c r="P20" s="53">
        <f>P18*(Assumptions!$B$64+Assumptions!$B$65)</f>
        <v>14.835200000000002</v>
      </c>
      <c r="Q20" s="53">
        <f>Q18*(Assumptions!$B$64+Assumptions!$B$65)</f>
        <v>5.93408</v>
      </c>
      <c r="R20" s="53">
        <f>R18*(Assumptions!$B$64+Assumptions!$B$65)</f>
        <v>2.373632</v>
      </c>
      <c r="S20" s="53">
        <f>S18*(Assumptions!$B$64+Assumptions!$B$65)</f>
        <v>0.9494528000000001</v>
      </c>
      <c r="T20" s="53">
        <f>T18*(Assumptions!$B$64+Assumptions!$B$65)</f>
        <v>0.3797811200000001</v>
      </c>
      <c r="U20" s="53">
        <f>U18*(Assumptions!$B$64+Assumptions!$B$65)</f>
        <v>0.15191244800000003</v>
      </c>
      <c r="V20" s="53">
        <f>V18*(Assumptions!$B$64+Assumptions!$B$65)</f>
        <v>0.060764979200000034</v>
      </c>
      <c r="W20" s="53">
        <f>W18*(Assumptions!$B$64+Assumptions!$B$65)</f>
        <v>0.024305991680000014</v>
      </c>
      <c r="X20" s="53">
        <f>X18*(Assumptions!$B$64+Assumptions!$B$65)</f>
        <v>0.009722396672000004</v>
      </c>
      <c r="Y20" s="53">
        <f>Y18*(Assumptions!$B$64+Assumptions!$B$65)</f>
        <v>0.0038889586688000016</v>
      </c>
      <c r="Z20" s="53">
        <f>Z18*(Assumptions!$B$64+Assumptions!$B$65)</f>
        <v>0.0015555834675200005</v>
      </c>
    </row>
    <row r="21">
      <c r="A21" s="13" t="inlineStr">
        <is>
          <t>Commercial SG&amp;A, risk-adjusted</t>
        </is>
      </c>
      <c r="C21" s="53">
        <f>Assumptions!$B$32*IF(Assumptions!$B$66=0,0,IF(C14=0,Assumptions!$B$67,IF(C14&gt;=1,C15*IF(OR(Assumptions!$B$63&lt;1,C14&gt;5),Assumptions!$B$66,MAX(Assumptions!$B$66,INDEX(Assumptions!$B$44:$F$44,C14))),0)))+(1-Assumptions!$B$32)*Assumptions!$B$33*IF(Assumptions!$B$66=0,0,IF(C16=0,Assumptions!$B$67,IF(C16&gt;=1,C17*IF(OR(Assumptions!$B$63&lt;1,C16&gt;5),Assumptions!$B$66,MAX(Assumptions!$B$66,INDEX(Assumptions!$B$44:$F$44,C16))),0)))</f>
        <v>33.120000000000005</v>
      </c>
      <c r="D21" s="53">
        <f>Assumptions!$B$32*IF(Assumptions!$B$66=0,0,IF(D14=0,Assumptions!$B$67,IF(D14&gt;=1,D15*IF(OR(Assumptions!$B$63&lt;1,D14&gt;5),Assumptions!$B$66,MAX(Assumptions!$B$66,INDEX(Assumptions!$B$44:$F$44,D14))),0)))+(1-Assumptions!$B$32)*Assumptions!$B$33*IF(Assumptions!$B$66=0,0,IF(D16=0,Assumptions!$B$67,IF(D16&gt;=1,D17*IF(OR(Assumptions!$B$63&lt;1,D16&gt;5),Assumptions!$B$66,MAX(Assumptions!$B$66,INDEX(Assumptions!$B$44:$F$44,D16))),0)))</f>
        <v>52.61600000000001</v>
      </c>
      <c r="E21" s="53">
        <f>Assumptions!$B$32*IF(Assumptions!$B$66=0,0,IF(E14=0,Assumptions!$B$67,IF(E14&gt;=1,E15*IF(OR(Assumptions!$B$63&lt;1,E14&gt;5),Assumptions!$B$66,MAX(Assumptions!$B$66,INDEX(Assumptions!$B$44:$F$44,E14))),0)))+(1-Assumptions!$B$32)*Assumptions!$B$33*IF(Assumptions!$B$66=0,0,IF(E16=0,Assumptions!$B$67,IF(E16&gt;=1,E17*IF(OR(Assumptions!$B$63&lt;1,E16&gt;5),Assumptions!$B$66,MAX(Assumptions!$B$66,INDEX(Assumptions!$B$44:$F$44,E16))),0)))</f>
        <v>69.32000000000001</v>
      </c>
      <c r="F21" s="53">
        <f>Assumptions!$B$32*IF(Assumptions!$B$66=0,0,IF(F14=0,Assumptions!$B$67,IF(F14&gt;=1,F15*IF(OR(Assumptions!$B$63&lt;1,F14&gt;5),Assumptions!$B$66,MAX(Assumptions!$B$66,INDEX(Assumptions!$B$44:$F$44,F14))),0)))+(1-Assumptions!$B$32)*Assumptions!$B$33*IF(Assumptions!$B$66=0,0,IF(F16=0,Assumptions!$B$67,IF(F16&gt;=1,F17*IF(OR(Assumptions!$B$63&lt;1,F16&gt;5),Assumptions!$B$66,MAX(Assumptions!$B$66,INDEX(Assumptions!$B$44:$F$44,F16))),0)))</f>
        <v>80.57600000000001</v>
      </c>
      <c r="G21" s="53">
        <f>Assumptions!$B$32*IF(Assumptions!$B$66=0,0,IF(G14=0,Assumptions!$B$67,IF(G14&gt;=1,G15*IF(OR(Assumptions!$B$63&lt;1,G14&gt;5),Assumptions!$B$66,MAX(Assumptions!$B$66,INDEX(Assumptions!$B$44:$F$44,G14))),0)))+(1-Assumptions!$B$32)*Assumptions!$B$33*IF(Assumptions!$B$66=0,0,IF(G16=0,Assumptions!$B$67,IF(G16&gt;=1,G17*IF(OR(Assumptions!$B$63&lt;1,G16&gt;5),Assumptions!$B$66,MAX(Assumptions!$B$66,INDEX(Assumptions!$B$44:$F$44,G16))),0)))</f>
        <v>89.152</v>
      </c>
      <c r="H21" s="53">
        <f>Assumptions!$B$32*IF(Assumptions!$B$66=0,0,IF(H14=0,Assumptions!$B$67,IF(H14&gt;=1,H15*IF(OR(Assumptions!$B$63&lt;1,H14&gt;5),Assumptions!$B$66,MAX(Assumptions!$B$66,INDEX(Assumptions!$B$44:$F$44,H14))),0)))+(1-Assumptions!$B$32)*Assumptions!$B$33*IF(Assumptions!$B$66=0,0,IF(H16=0,Assumptions!$B$67,IF(H16&gt;=1,H17*IF(OR(Assumptions!$B$63&lt;1,H16&gt;5),Assumptions!$B$66,MAX(Assumptions!$B$66,INDEX(Assumptions!$B$44:$F$44,H16))),0)))</f>
        <v>56.47904</v>
      </c>
      <c r="I21" s="53">
        <f>Assumptions!$B$32*IF(Assumptions!$B$66=0,0,IF(I14=0,Assumptions!$B$67,IF(I14&gt;=1,I15*IF(OR(Assumptions!$B$63&lt;1,I14&gt;5),Assumptions!$B$66,MAX(Assumptions!$B$66,INDEX(Assumptions!$B$44:$F$44,I14))),0)))+(1-Assumptions!$B$32)*Assumptions!$B$33*IF(Assumptions!$B$66=0,0,IF(I16=0,Assumptions!$B$67,IF(I16&gt;=1,I17*IF(OR(Assumptions!$B$63&lt;1,I16&gt;5),Assumptions!$B$66,MAX(Assumptions!$B$66,INDEX(Assumptions!$B$44:$F$44,I16))),0)))</f>
        <v>58.3248</v>
      </c>
      <c r="J21" s="53">
        <f>Assumptions!$B$32*IF(Assumptions!$B$66=0,0,IF(J14=0,Assumptions!$B$67,IF(J14&gt;=1,J15*IF(OR(Assumptions!$B$63&lt;1,J14&gt;5),Assumptions!$B$66,MAX(Assumptions!$B$66,INDEX(Assumptions!$B$44:$F$44,J14))),0)))+(1-Assumptions!$B$32)*Assumptions!$B$33*IF(Assumptions!$B$66=0,0,IF(J16=0,Assumptions!$B$67,IF(J16&gt;=1,J17*IF(OR(Assumptions!$B$63&lt;1,J16&gt;5),Assumptions!$B$66,MAX(Assumptions!$B$66,INDEX(Assumptions!$B$44:$F$44,J16))),0)))</f>
        <v>58.56</v>
      </c>
      <c r="K21" s="53">
        <f>Assumptions!$B$32*IF(Assumptions!$B$66=0,0,IF(K14=0,Assumptions!$B$67,IF(K14&gt;=1,K15*IF(OR(Assumptions!$B$63&lt;1,K14&gt;5),Assumptions!$B$66,MAX(Assumptions!$B$66,INDEX(Assumptions!$B$44:$F$44,K14))),0)))+(1-Assumptions!$B$32)*Assumptions!$B$33*IF(Assumptions!$B$66=0,0,IF(K16=0,Assumptions!$B$67,IF(K16&gt;=1,K17*IF(OR(Assumptions!$B$63&lt;1,K16&gt;5),Assumptions!$B$66,MAX(Assumptions!$B$66,INDEX(Assumptions!$B$44:$F$44,K16))),0)))</f>
        <v>58.56</v>
      </c>
      <c r="L21" s="53">
        <f>Assumptions!$B$32*IF(Assumptions!$B$66=0,0,IF(L14=0,Assumptions!$B$67,IF(L14&gt;=1,L15*IF(OR(Assumptions!$B$63&lt;1,L14&gt;5),Assumptions!$B$66,MAX(Assumptions!$B$66,INDEX(Assumptions!$B$44:$F$44,L14))),0)))+(1-Assumptions!$B$32)*Assumptions!$B$33*IF(Assumptions!$B$66=0,0,IF(L16=0,Assumptions!$B$67,IF(L16&gt;=1,L17*IF(OR(Assumptions!$B$63&lt;1,L16&gt;5),Assumptions!$B$66,MAX(Assumptions!$B$66,INDEX(Assumptions!$B$44:$F$44,L16))),0)))</f>
        <v>58.56</v>
      </c>
      <c r="M21" s="53">
        <f>Assumptions!$B$32*IF(Assumptions!$B$66=0,0,IF(M14=0,Assumptions!$B$67,IF(M14&gt;=1,M15*IF(OR(Assumptions!$B$63&lt;1,M14&gt;5),Assumptions!$B$66,MAX(Assumptions!$B$66,INDEX(Assumptions!$B$44:$F$44,M14))),0)))+(1-Assumptions!$B$32)*Assumptions!$B$33*IF(Assumptions!$B$66=0,0,IF(M16=0,Assumptions!$B$67,IF(M16&gt;=1,M17*IF(OR(Assumptions!$B$63&lt;1,M16&gt;5),Assumptions!$B$66,MAX(Assumptions!$B$66,INDEX(Assumptions!$B$44:$F$44,M16))),0)))</f>
        <v>58.56</v>
      </c>
      <c r="N21" s="53">
        <f>Assumptions!$B$32*IF(Assumptions!$B$66=0,0,IF(N14=0,Assumptions!$B$67,IF(N14&gt;=1,N15*IF(OR(Assumptions!$B$63&lt;1,N14&gt;5),Assumptions!$B$66,MAX(Assumptions!$B$66,INDEX(Assumptions!$B$44:$F$44,N14))),0)))+(1-Assumptions!$B$32)*Assumptions!$B$33*IF(Assumptions!$B$66=0,0,IF(N16=0,Assumptions!$B$67,IF(N16&gt;=1,N17*IF(OR(Assumptions!$B$63&lt;1,N16&gt;5),Assumptions!$B$66,MAX(Assumptions!$B$66,INDEX(Assumptions!$B$44:$F$44,N16))),0)))</f>
        <v>58.56</v>
      </c>
      <c r="O21" s="53">
        <f>Assumptions!$B$32*IF(Assumptions!$B$66=0,0,IF(O14=0,Assumptions!$B$67,IF(O14&gt;=1,O15*IF(OR(Assumptions!$B$63&lt;1,O14&gt;5),Assumptions!$B$66,MAX(Assumptions!$B$66,INDEX(Assumptions!$B$44:$F$44,O14))),0)))+(1-Assumptions!$B$32)*Assumptions!$B$33*IF(Assumptions!$B$66=0,0,IF(O16=0,Assumptions!$B$67,IF(O16&gt;=1,O17*IF(OR(Assumptions!$B$63&lt;1,O16&gt;5),Assumptions!$B$66,MAX(Assumptions!$B$66,INDEX(Assumptions!$B$44:$F$44,O16))),0)))</f>
        <v>58.56</v>
      </c>
      <c r="P21" s="53">
        <f>Assumptions!$B$32*IF(Assumptions!$B$66=0,0,IF(P14=0,Assumptions!$B$67,IF(P14&gt;=1,P15*IF(OR(Assumptions!$B$63&lt;1,P14&gt;5),Assumptions!$B$66,MAX(Assumptions!$B$66,INDEX(Assumptions!$B$44:$F$44,P14))),0)))+(1-Assumptions!$B$32)*Assumptions!$B$33*IF(Assumptions!$B$66=0,0,IF(P16=0,Assumptions!$B$67,IF(P16&gt;=1,P17*IF(OR(Assumptions!$B$63&lt;1,P16&gt;5),Assumptions!$B$66,MAX(Assumptions!$B$66,INDEX(Assumptions!$B$44:$F$44,P16))),0)))</f>
        <v>23.424</v>
      </c>
      <c r="Q21" s="53">
        <f>Assumptions!$B$32*IF(Assumptions!$B$66=0,0,IF(Q14=0,Assumptions!$B$67,IF(Q14&gt;=1,Q15*IF(OR(Assumptions!$B$63&lt;1,Q14&gt;5),Assumptions!$B$66,MAX(Assumptions!$B$66,INDEX(Assumptions!$B$44:$F$44,Q14))),0)))+(1-Assumptions!$B$32)*Assumptions!$B$33*IF(Assumptions!$B$66=0,0,IF(Q16=0,Assumptions!$B$67,IF(Q16&gt;=1,Q17*IF(OR(Assumptions!$B$63&lt;1,Q16&gt;5),Assumptions!$B$66,MAX(Assumptions!$B$66,INDEX(Assumptions!$B$44:$F$44,Q16))),0)))</f>
        <v>9.3696</v>
      </c>
      <c r="R21" s="53">
        <f>Assumptions!$B$32*IF(Assumptions!$B$66=0,0,IF(R14=0,Assumptions!$B$67,IF(R14&gt;=1,R15*IF(OR(Assumptions!$B$63&lt;1,R14&gt;5),Assumptions!$B$66,MAX(Assumptions!$B$66,INDEX(Assumptions!$B$44:$F$44,R14))),0)))+(1-Assumptions!$B$32)*Assumptions!$B$33*IF(Assumptions!$B$66=0,0,IF(R16=0,Assumptions!$B$67,IF(R16&gt;=1,R17*IF(OR(Assumptions!$B$63&lt;1,R16&gt;5),Assumptions!$B$66,MAX(Assumptions!$B$66,INDEX(Assumptions!$B$44:$F$44,R16))),0)))</f>
        <v>3.7478399999999996</v>
      </c>
      <c r="S21" s="53">
        <f>Assumptions!$B$32*IF(Assumptions!$B$66=0,0,IF(S14=0,Assumptions!$B$67,IF(S14&gt;=1,S15*IF(OR(Assumptions!$B$63&lt;1,S14&gt;5),Assumptions!$B$66,MAX(Assumptions!$B$66,INDEX(Assumptions!$B$44:$F$44,S14))),0)))+(1-Assumptions!$B$32)*Assumptions!$B$33*IF(Assumptions!$B$66=0,0,IF(S16=0,Assumptions!$B$67,IF(S16&gt;=1,S17*IF(OR(Assumptions!$B$63&lt;1,S16&gt;5),Assumptions!$B$66,MAX(Assumptions!$B$66,INDEX(Assumptions!$B$44:$F$44,S16))),0)))</f>
        <v>1.4991360000000002</v>
      </c>
      <c r="T21" s="53">
        <f>Assumptions!$B$32*IF(Assumptions!$B$66=0,0,IF(T14=0,Assumptions!$B$67,IF(T14&gt;=1,T15*IF(OR(Assumptions!$B$63&lt;1,T14&gt;5),Assumptions!$B$66,MAX(Assumptions!$B$66,INDEX(Assumptions!$B$44:$F$44,T14))),0)))+(1-Assumptions!$B$32)*Assumptions!$B$33*IF(Assumptions!$B$66=0,0,IF(T16=0,Assumptions!$B$67,IF(T16&gt;=1,T17*IF(OR(Assumptions!$B$63&lt;1,T16&gt;5),Assumptions!$B$66,MAX(Assumptions!$B$66,INDEX(Assumptions!$B$44:$F$44,T16))),0)))</f>
        <v>0.5996544000000001</v>
      </c>
      <c r="U21" s="53">
        <f>Assumptions!$B$32*IF(Assumptions!$B$66=0,0,IF(U14=0,Assumptions!$B$67,IF(U14&gt;=1,U15*IF(OR(Assumptions!$B$63&lt;1,U14&gt;5),Assumptions!$B$66,MAX(Assumptions!$B$66,INDEX(Assumptions!$B$44:$F$44,U14))),0)))+(1-Assumptions!$B$32)*Assumptions!$B$33*IF(Assumptions!$B$66=0,0,IF(U16=0,Assumptions!$B$67,IF(U16&gt;=1,U17*IF(OR(Assumptions!$B$63&lt;1,U16&gt;5),Assumptions!$B$66,MAX(Assumptions!$B$66,INDEX(Assumptions!$B$44:$F$44,U16))),0)))</f>
        <v>0.23986176000000006</v>
      </c>
      <c r="V21" s="53">
        <f>Assumptions!$B$32*IF(Assumptions!$B$66=0,0,IF(V14=0,Assumptions!$B$67,IF(V14&gt;=1,V15*IF(OR(Assumptions!$B$63&lt;1,V14&gt;5),Assumptions!$B$66,MAX(Assumptions!$B$66,INDEX(Assumptions!$B$44:$F$44,V14))),0)))+(1-Assumptions!$B$32)*Assumptions!$B$33*IF(Assumptions!$B$66=0,0,IF(V16=0,Assumptions!$B$67,IF(V16&gt;=1,V17*IF(OR(Assumptions!$B$63&lt;1,V16&gt;5),Assumptions!$B$66,MAX(Assumptions!$B$66,INDEX(Assumptions!$B$44:$F$44,V16))),0)))</f>
        <v>0.09594470400000005</v>
      </c>
      <c r="W21" s="53">
        <f>Assumptions!$B$32*IF(Assumptions!$B$66=0,0,IF(W14=0,Assumptions!$B$67,IF(W14&gt;=1,W15*IF(OR(Assumptions!$B$63&lt;1,W14&gt;5),Assumptions!$B$66,MAX(Assumptions!$B$66,INDEX(Assumptions!$B$44:$F$44,W14))),0)))+(1-Assumptions!$B$32)*Assumptions!$B$33*IF(Assumptions!$B$66=0,0,IF(W16=0,Assumptions!$B$67,IF(W16&gt;=1,W17*IF(OR(Assumptions!$B$63&lt;1,W16&gt;5),Assumptions!$B$66,MAX(Assumptions!$B$66,INDEX(Assumptions!$B$44:$F$44,W16))),0)))</f>
        <v>0.03837788160000001</v>
      </c>
      <c r="X21" s="53">
        <f>Assumptions!$B$32*IF(Assumptions!$B$66=0,0,IF(X14=0,Assumptions!$B$67,IF(X14&gt;=1,X15*IF(OR(Assumptions!$B$63&lt;1,X14&gt;5),Assumptions!$B$66,MAX(Assumptions!$B$66,INDEX(Assumptions!$B$44:$F$44,X14))),0)))+(1-Assumptions!$B$32)*Assumptions!$B$33*IF(Assumptions!$B$66=0,0,IF(X16=0,Assumptions!$B$67,IF(X16&gt;=1,X17*IF(OR(Assumptions!$B$63&lt;1,X16&gt;5),Assumptions!$B$66,MAX(Assumptions!$B$66,INDEX(Assumptions!$B$44:$F$44,X16))),0)))</f>
        <v>0.015351152640000006</v>
      </c>
      <c r="Y21" s="53">
        <f>Assumptions!$B$32*IF(Assumptions!$B$66=0,0,IF(Y14=0,Assumptions!$B$67,IF(Y14&gt;=1,Y15*IF(OR(Assumptions!$B$63&lt;1,Y14&gt;5),Assumptions!$B$66,MAX(Assumptions!$B$66,INDEX(Assumptions!$B$44:$F$44,Y14))),0)))+(1-Assumptions!$B$32)*Assumptions!$B$33*IF(Assumptions!$B$66=0,0,IF(Y16=0,Assumptions!$B$67,IF(Y16&gt;=1,Y17*IF(OR(Assumptions!$B$63&lt;1,Y16&gt;5),Assumptions!$B$66,MAX(Assumptions!$B$66,INDEX(Assumptions!$B$44:$F$44,Y16))),0)))</f>
        <v>0.006140461056000003</v>
      </c>
      <c r="Z21" s="53">
        <f>Assumptions!$B$32*IF(Assumptions!$B$66=0,0,IF(Z14=0,Assumptions!$B$67,IF(Z14&gt;=1,Z15*IF(OR(Assumptions!$B$63&lt;1,Z14&gt;5),Assumptions!$B$66,MAX(Assumptions!$B$66,INDEX(Assumptions!$B$44:$F$44,Z14))),0)))+(1-Assumptions!$B$32)*Assumptions!$B$33*IF(Assumptions!$B$66=0,0,IF(Z16=0,Assumptions!$B$67,IF(Z16&gt;=1,Z17*IF(OR(Assumptions!$B$63&lt;1,Z16&gt;5),Assumptions!$B$66,MAX(Assumptions!$B$66,INDEX(Assumptions!$B$44:$F$44,Z16))),0)))</f>
        <v>0.002456184422400001</v>
      </c>
    </row>
    <row r="22">
      <c r="A22" s="13" t="inlineStr">
        <is>
          <t>Development R&amp;D, risk-adjusted</t>
        </is>
      </c>
      <c r="C22" s="53">
        <f>0</f>
        <v>0</v>
      </c>
      <c r="D22" s="53">
        <f>0</f>
        <v>0</v>
      </c>
      <c r="E22" s="53">
        <f>0</f>
        <v>0</v>
      </c>
      <c r="F22" s="53">
        <f>0</f>
        <v>0</v>
      </c>
      <c r="G22" s="53">
        <f>0</f>
        <v>0</v>
      </c>
      <c r="H22" s="53">
        <f>0</f>
        <v>0</v>
      </c>
      <c r="I22" s="53">
        <f>0</f>
        <v>0</v>
      </c>
      <c r="J22" s="53">
        <f>0</f>
        <v>0</v>
      </c>
      <c r="K22" s="53">
        <f>0</f>
        <v>0</v>
      </c>
      <c r="L22" s="53">
        <f>0</f>
        <v>0</v>
      </c>
      <c r="M22" s="53">
        <f>0</f>
        <v>0</v>
      </c>
      <c r="N22" s="53">
        <f>0</f>
        <v>0</v>
      </c>
      <c r="O22" s="53">
        <f>0</f>
        <v>0</v>
      </c>
      <c r="P22" s="53">
        <f>0</f>
        <v>0</v>
      </c>
      <c r="Q22" s="53">
        <f>0</f>
        <v>0</v>
      </c>
      <c r="R22" s="53">
        <f>0</f>
        <v>0</v>
      </c>
      <c r="S22" s="53">
        <f>0</f>
        <v>0</v>
      </c>
      <c r="T22" s="53">
        <f>0</f>
        <v>0</v>
      </c>
      <c r="U22" s="53">
        <f>0</f>
        <v>0</v>
      </c>
      <c r="V22" s="53">
        <f>0</f>
        <v>0</v>
      </c>
      <c r="W22" s="53">
        <f>0</f>
        <v>0</v>
      </c>
      <c r="X22" s="53">
        <f>0</f>
        <v>0</v>
      </c>
      <c r="Y22" s="53">
        <f>0</f>
        <v>0</v>
      </c>
      <c r="Z22" s="53">
        <f>0</f>
        <v>0</v>
      </c>
    </row>
    <row r="23">
      <c r="A23" s="22" t="inlineStr">
        <is>
          <t>Program contribution (pre-tax)</t>
        </is>
      </c>
      <c r="C23" s="57">
        <f>C19-C20-C21-C22</f>
        <v>0.1839999999999975</v>
      </c>
      <c r="D23" s="57">
        <f>D19-D20-D21-D22</f>
        <v>32.67119999999999</v>
      </c>
      <c r="E23" s="57">
        <f>E19-E20-E21-E22</f>
        <v>85.61599999999997</v>
      </c>
      <c r="F23" s="57">
        <f>F19-F20-F21-F22</f>
        <v>145.0224</v>
      </c>
      <c r="G23" s="57">
        <f>G19-G20-G21-G22</f>
        <v>197.11759999999998</v>
      </c>
      <c r="H23" s="57">
        <f>H19-H20-H21-H22</f>
        <v>269.8712</v>
      </c>
      <c r="I23" s="57">
        <f>I19-I20-I21-I22</f>
        <v>293.56816000000003</v>
      </c>
      <c r="J23" s="57">
        <f>J19-J20-J21-J22</f>
        <v>294.75199999999995</v>
      </c>
      <c r="K23" s="57">
        <f>K19-K20-K21-K22</f>
        <v>294.75199999999995</v>
      </c>
      <c r="L23" s="57">
        <f>L19-L20-L21-L22</f>
        <v>294.75199999999995</v>
      </c>
      <c r="M23" s="57">
        <f>M19-M20-M21-M22</f>
        <v>294.75199999999995</v>
      </c>
      <c r="N23" s="57">
        <f>N19-N20-N21-N22</f>
        <v>294.75199999999995</v>
      </c>
      <c r="O23" s="57">
        <f>O19-O20-O21-O22</f>
        <v>294.75199999999995</v>
      </c>
      <c r="P23" s="57">
        <f>P19-P20-P21-P22</f>
        <v>117.9008</v>
      </c>
      <c r="Q23" s="57">
        <f>Q19-Q20-Q21-Q22</f>
        <v>47.16032</v>
      </c>
      <c r="R23" s="57">
        <f>R19-R20-R21-R22</f>
        <v>18.864128</v>
      </c>
      <c r="S23" s="57">
        <f>S19-S20-S21-S22</f>
        <v>7.545651200000002</v>
      </c>
      <c r="T23" s="57">
        <f>T19-T20-T21-T22</f>
        <v>3.0182604800000004</v>
      </c>
      <c r="U23" s="57">
        <f>U19-U20-U21-U22</f>
        <v>1.2073041920000003</v>
      </c>
      <c r="V23" s="57">
        <f>V19-V20-V21-V22</f>
        <v>0.48292167680000025</v>
      </c>
      <c r="W23" s="57">
        <f>W19-W20-W21-W22</f>
        <v>0.1931686707200001</v>
      </c>
      <c r="X23" s="57">
        <f>X19-X20-X21-X22</f>
        <v>0.07726746828800003</v>
      </c>
      <c r="Y23" s="57">
        <f>Y19-Y20-Y21-Y22</f>
        <v>0.030906987315200016</v>
      </c>
      <c r="Z23" s="57">
        <f>Z19-Z20-Z21-Z22</f>
        <v>0.012362794926080004</v>
      </c>
    </row>
    <row r="25">
      <c r="A25" s="30" t="inlineStr">
        <is>
          <t>Aficamten — non-obstructive HCM (sNDA Q4 2026)</t>
        </is>
      </c>
    </row>
    <row r="26">
      <c r="A26" s="13" t="inlineStr">
        <is>
          <t>Years since launch</t>
        </is>
      </c>
      <c r="C26" s="64">
        <f>C$2-Assumptions!$B$73+1</f>
        <v>0.0</v>
      </c>
      <c r="D26" s="64">
        <f>D$2-Assumptions!$B$73+1</f>
        <v>1.0</v>
      </c>
      <c r="E26" s="64">
        <f>E$2-Assumptions!$B$73+1</f>
        <v>2.0</v>
      </c>
      <c r="F26" s="64">
        <f>F$2-Assumptions!$B$73+1</f>
        <v>3.0</v>
      </c>
      <c r="G26" s="64">
        <f>G$2-Assumptions!$B$73+1</f>
        <v>4.0</v>
      </c>
      <c r="H26" s="64">
        <f>H$2-Assumptions!$B$73+1</f>
        <v>5.0</v>
      </c>
      <c r="I26" s="64">
        <f>I$2-Assumptions!$B$73+1</f>
        <v>6.0</v>
      </c>
      <c r="J26" s="64">
        <f>J$2-Assumptions!$B$73+1</f>
        <v>7.0</v>
      </c>
      <c r="K26" s="64">
        <f>K$2-Assumptions!$B$73+1</f>
        <v>8.0</v>
      </c>
      <c r="L26" s="64">
        <f>L$2-Assumptions!$B$73+1</f>
        <v>9.0</v>
      </c>
      <c r="M26" s="64">
        <f>M$2-Assumptions!$B$73+1</f>
        <v>10.0</v>
      </c>
      <c r="N26" s="64">
        <f>N$2-Assumptions!$B$73+1</f>
        <v>11.0</v>
      </c>
      <c r="O26" s="64">
        <f>O$2-Assumptions!$B$73+1</f>
        <v>12.0</v>
      </c>
      <c r="P26" s="64">
        <f>P$2-Assumptions!$B$73+1</f>
        <v>13.0</v>
      </c>
      <c r="Q26" s="64">
        <f>Q$2-Assumptions!$B$73+1</f>
        <v>14.0</v>
      </c>
      <c r="R26" s="64">
        <f>R$2-Assumptions!$B$73+1</f>
        <v>15.0</v>
      </c>
      <c r="S26" s="64">
        <f>S$2-Assumptions!$B$73+1</f>
        <v>16.0</v>
      </c>
      <c r="T26" s="64">
        <f>T$2-Assumptions!$B$73+1</f>
        <v>17.0</v>
      </c>
      <c r="U26" s="64">
        <f>U$2-Assumptions!$B$73+1</f>
        <v>18.0</v>
      </c>
      <c r="V26" s="64">
        <f>V$2-Assumptions!$B$73+1</f>
        <v>19.0</v>
      </c>
      <c r="W26" s="64">
        <f>W$2-Assumptions!$B$73+1</f>
        <v>20.0</v>
      </c>
      <c r="X26" s="64">
        <f>X$2-Assumptions!$B$73+1</f>
        <v>21.0</v>
      </c>
      <c r="Y26" s="64">
        <f>Y$2-Assumptions!$B$73+1</f>
        <v>22.0</v>
      </c>
      <c r="Z26" s="64">
        <f>Z$2-Assumptions!$B$73+1</f>
        <v>23.0</v>
      </c>
    </row>
    <row r="27">
      <c r="A27" s="13" t="inlineStr">
        <is>
          <t>Net sales, unrisked</t>
        </is>
      </c>
      <c r="C27" s="53">
        <f>IF(C$2&gt;Assumptions!$B$82,0*(1-Assumptions!$B$83),IF(C26&gt;=1,Assumptions!$B$74*CHOOSE(Assumptions!$B$81,INDEX(Assumptions!$B$42:$H$42,MIN(C26,7)),INDEX(Assumptions!$B$43:$H$43,MIN(C26,7))),0))</f>
        <v>0</v>
      </c>
      <c r="D27" s="53">
        <f>IF(D$2&gt;Assumptions!$B$82,C27*(1-Assumptions!$B$83),IF(D26&gt;=1,Assumptions!$B$74*CHOOSE(Assumptions!$B$81,INDEX(Assumptions!$B$42:$H$42,MIN(D26,7)),INDEX(Assumptions!$B$43:$H$43,MIN(D26,7))),0))</f>
        <v>150.0</v>
      </c>
      <c r="E27" s="53">
        <f>IF(E$2&gt;Assumptions!$B$82,D27*(1-Assumptions!$B$83),IF(E26&gt;=1,Assumptions!$B$74*CHOOSE(Assumptions!$B$81,INDEX(Assumptions!$B$42:$H$42,MIN(E26,7)),INDEX(Assumptions!$B$43:$H$43,MIN(E26,7))),0))</f>
        <v>375.0</v>
      </c>
      <c r="F27" s="53">
        <f>IF(F$2&gt;Assumptions!$B$82,E27*(1-Assumptions!$B$83),IF(F26&gt;=1,Assumptions!$B$74*CHOOSE(Assumptions!$B$81,INDEX(Assumptions!$B$42:$H$42,MIN(F26,7)),INDEX(Assumptions!$B$43:$H$43,MIN(F26,7))),0))</f>
        <v>675.0</v>
      </c>
      <c r="G27" s="53">
        <f>IF(G$2&gt;Assumptions!$B$82,F27*(1-Assumptions!$B$83),IF(G26&gt;=1,Assumptions!$B$74*CHOOSE(Assumptions!$B$81,INDEX(Assumptions!$B$42:$H$42,MIN(G26,7)),INDEX(Assumptions!$B$43:$H$43,MIN(G26,7))),0))</f>
        <v>975.0</v>
      </c>
      <c r="H27" s="53">
        <f>IF(H$2&gt;Assumptions!$B$82,G27*(1-Assumptions!$B$83),IF(H26&gt;=1,Assumptions!$B$74*CHOOSE(Assumptions!$B$81,INDEX(Assumptions!$B$42:$H$42,MIN(H26,7)),INDEX(Assumptions!$B$43:$H$43,MIN(H26,7))),0))</f>
        <v>1230.0</v>
      </c>
      <c r="I27" s="53">
        <f>IF(I$2&gt;Assumptions!$B$82,H27*(1-Assumptions!$B$83),IF(I26&gt;=1,Assumptions!$B$74*CHOOSE(Assumptions!$B$81,INDEX(Assumptions!$B$42:$H$42,MIN(I26,7)),INDEX(Assumptions!$B$43:$H$43,MIN(I26,7))),0))</f>
        <v>1395.0</v>
      </c>
      <c r="J27" s="53">
        <f>IF(J$2&gt;Assumptions!$B$82,I27*(1-Assumptions!$B$83),IF(J26&gt;=1,Assumptions!$B$74*CHOOSE(Assumptions!$B$81,INDEX(Assumptions!$B$42:$H$42,MIN(J26,7)),INDEX(Assumptions!$B$43:$H$43,MIN(J26,7))),0))</f>
        <v>1500.0</v>
      </c>
      <c r="K27" s="53">
        <f>IF(K$2&gt;Assumptions!$B$82,J27*(1-Assumptions!$B$83),IF(K26&gt;=1,Assumptions!$B$74*CHOOSE(Assumptions!$B$81,INDEX(Assumptions!$B$42:$H$42,MIN(K26,7)),INDEX(Assumptions!$B$43:$H$43,MIN(K26,7))),0))</f>
        <v>1500.0</v>
      </c>
      <c r="L27" s="53">
        <f>IF(L$2&gt;Assumptions!$B$82,K27*(1-Assumptions!$B$83),IF(L26&gt;=1,Assumptions!$B$74*CHOOSE(Assumptions!$B$81,INDEX(Assumptions!$B$42:$H$42,MIN(L26,7)),INDEX(Assumptions!$B$43:$H$43,MIN(L26,7))),0))</f>
        <v>1500.0</v>
      </c>
      <c r="M27" s="53">
        <f>IF(M$2&gt;Assumptions!$B$82,L27*(1-Assumptions!$B$83),IF(M26&gt;=1,Assumptions!$B$74*CHOOSE(Assumptions!$B$81,INDEX(Assumptions!$B$42:$H$42,MIN(M26,7)),INDEX(Assumptions!$B$43:$H$43,MIN(M26,7))),0))</f>
        <v>1500.0</v>
      </c>
      <c r="N27" s="53">
        <f>IF(N$2&gt;Assumptions!$B$82,M27*(1-Assumptions!$B$83),IF(N26&gt;=1,Assumptions!$B$74*CHOOSE(Assumptions!$B$81,INDEX(Assumptions!$B$42:$H$42,MIN(N26,7)),INDEX(Assumptions!$B$43:$H$43,MIN(N26,7))),0))</f>
        <v>1500.0</v>
      </c>
      <c r="O27" s="53">
        <f>IF(O$2&gt;Assumptions!$B$82,N27*(1-Assumptions!$B$83),IF(O26&gt;=1,Assumptions!$B$74*CHOOSE(Assumptions!$B$81,INDEX(Assumptions!$B$42:$H$42,MIN(O26,7)),INDEX(Assumptions!$B$43:$H$43,MIN(O26,7))),0))</f>
        <v>1500.0</v>
      </c>
      <c r="P27" s="53">
        <f>IF(P$2&gt;Assumptions!$B$82,O27*(1-Assumptions!$B$83),IF(P26&gt;=1,Assumptions!$B$74*CHOOSE(Assumptions!$B$81,INDEX(Assumptions!$B$42:$H$42,MIN(P26,7)),INDEX(Assumptions!$B$43:$H$43,MIN(P26,7))),0))</f>
        <v>600.0</v>
      </c>
      <c r="Q27" s="53">
        <f>IF(Q$2&gt;Assumptions!$B$82,P27*(1-Assumptions!$B$83),IF(Q26&gt;=1,Assumptions!$B$74*CHOOSE(Assumptions!$B$81,INDEX(Assumptions!$B$42:$H$42,MIN(Q26,7)),INDEX(Assumptions!$B$43:$H$43,MIN(Q26,7))),0))</f>
        <v>240.0</v>
      </c>
      <c r="R27" s="53">
        <f>IF(R$2&gt;Assumptions!$B$82,Q27*(1-Assumptions!$B$83),IF(R26&gt;=1,Assumptions!$B$74*CHOOSE(Assumptions!$B$81,INDEX(Assumptions!$B$42:$H$42,MIN(R26,7)),INDEX(Assumptions!$B$43:$H$43,MIN(R26,7))),0))</f>
        <v>96.0</v>
      </c>
      <c r="S27" s="53">
        <f>IF(S$2&gt;Assumptions!$B$82,R27*(1-Assumptions!$B$83),IF(S26&gt;=1,Assumptions!$B$74*CHOOSE(Assumptions!$B$81,INDEX(Assumptions!$B$42:$H$42,MIN(S26,7)),INDEX(Assumptions!$B$43:$H$43,MIN(S26,7))),0))</f>
        <v>38.400000000000006</v>
      </c>
      <c r="T27" s="53">
        <f>IF(T$2&gt;Assumptions!$B$82,S27*(1-Assumptions!$B$83),IF(T26&gt;=1,Assumptions!$B$74*CHOOSE(Assumptions!$B$81,INDEX(Assumptions!$B$42:$H$42,MIN(T26,7)),INDEX(Assumptions!$B$43:$H$43,MIN(T26,7))),0))</f>
        <v>15.360000000000003</v>
      </c>
      <c r="U27" s="53">
        <f>IF(U$2&gt;Assumptions!$B$82,T27*(1-Assumptions!$B$83),IF(U26&gt;=1,Assumptions!$B$74*CHOOSE(Assumptions!$B$81,INDEX(Assumptions!$B$42:$H$42,MIN(U26,7)),INDEX(Assumptions!$B$43:$H$43,MIN(U26,7))),0))</f>
        <v>6.144000000000002</v>
      </c>
      <c r="V27" s="53">
        <f>IF(V$2&gt;Assumptions!$B$82,U27*(1-Assumptions!$B$83),IF(V26&gt;=1,Assumptions!$B$74*CHOOSE(Assumptions!$B$81,INDEX(Assumptions!$B$42:$H$42,MIN(V26,7)),INDEX(Assumptions!$B$43:$H$43,MIN(V26,7))),0))</f>
        <v>2.457600000000001</v>
      </c>
      <c r="W27" s="53">
        <f>IF(W$2&gt;Assumptions!$B$82,V27*(1-Assumptions!$B$83),IF(W26&gt;=1,Assumptions!$B$74*CHOOSE(Assumptions!$B$81,INDEX(Assumptions!$B$42:$H$42,MIN(W26,7)),INDEX(Assumptions!$B$43:$H$43,MIN(W26,7))),0))</f>
        <v>0.9830400000000005</v>
      </c>
      <c r="X27" s="53">
        <f>IF(X$2&gt;Assumptions!$B$82,W27*(1-Assumptions!$B$83),IF(X26&gt;=1,Assumptions!$B$74*CHOOSE(Assumptions!$B$81,INDEX(Assumptions!$B$42:$H$42,MIN(X26,7)),INDEX(Assumptions!$B$43:$H$43,MIN(X26,7))),0))</f>
        <v>0.39321600000000023</v>
      </c>
      <c r="Y27" s="53">
        <f>IF(Y$2&gt;Assumptions!$B$82,X27*(1-Assumptions!$B$83),IF(Y26&gt;=1,Assumptions!$B$74*CHOOSE(Assumptions!$B$81,INDEX(Assumptions!$B$42:$H$42,MIN(Y26,7)),INDEX(Assumptions!$B$43:$H$43,MIN(Y26,7))),0))</f>
        <v>0.1572864000000001</v>
      </c>
      <c r="Z27" s="53">
        <f>IF(Z$2&gt;Assumptions!$B$82,Y27*(1-Assumptions!$B$83),IF(Z26&gt;=1,Assumptions!$B$74*CHOOSE(Assumptions!$B$81,INDEX(Assumptions!$B$42:$H$42,MIN(Z26,7)),INDEX(Assumptions!$B$43:$H$43,MIN(Z26,7))),0))</f>
        <v>0.06291456000000005</v>
      </c>
    </row>
    <row r="28">
      <c r="A28" s="13" t="inlineStr">
        <is>
          <t>Product net sales, risk-adjusted</t>
        </is>
      </c>
      <c r="C28" s="53">
        <f>C27*MIN(1,Assumptions!$B$75*Assumptions!$B$37)</f>
        <v>0.0</v>
      </c>
      <c r="D28" s="53">
        <f>D27*MIN(1,Assumptions!$B$75*Assumptions!$B$37)</f>
        <v>122.99999999999999</v>
      </c>
      <c r="E28" s="53">
        <f>E27*MIN(1,Assumptions!$B$75*Assumptions!$B$37)</f>
        <v>307.5</v>
      </c>
      <c r="F28" s="53">
        <f>F27*MIN(1,Assumptions!$B$75*Assumptions!$B$37)</f>
        <v>553.5</v>
      </c>
      <c r="G28" s="53">
        <f>G27*MIN(1,Assumptions!$B$75*Assumptions!$B$37)</f>
        <v>799.5</v>
      </c>
      <c r="H28" s="53">
        <f>H27*MIN(1,Assumptions!$B$75*Assumptions!$B$37)</f>
        <v>1008.5999999999999</v>
      </c>
      <c r="I28" s="53">
        <f>I27*MIN(1,Assumptions!$B$75*Assumptions!$B$37)</f>
        <v>1143.8999999999999</v>
      </c>
      <c r="J28" s="53">
        <f>J27*MIN(1,Assumptions!$B$75*Assumptions!$B$37)</f>
        <v>1230.0</v>
      </c>
      <c r="K28" s="53">
        <f>K27*MIN(1,Assumptions!$B$75*Assumptions!$B$37)</f>
        <v>1230.0</v>
      </c>
      <c r="L28" s="53">
        <f>L27*MIN(1,Assumptions!$B$75*Assumptions!$B$37)</f>
        <v>1230.0</v>
      </c>
      <c r="M28" s="53">
        <f>M27*MIN(1,Assumptions!$B$75*Assumptions!$B$37)</f>
        <v>1230.0</v>
      </c>
      <c r="N28" s="53">
        <f>N27*MIN(1,Assumptions!$B$75*Assumptions!$B$37)</f>
        <v>1230.0</v>
      </c>
      <c r="O28" s="53">
        <f>O27*MIN(1,Assumptions!$B$75*Assumptions!$B$37)</f>
        <v>1230.0</v>
      </c>
      <c r="P28" s="53">
        <f>P27*MIN(1,Assumptions!$B$75*Assumptions!$B$37)</f>
        <v>491.99999999999994</v>
      </c>
      <c r="Q28" s="53">
        <f>Q27*MIN(1,Assumptions!$B$75*Assumptions!$B$37)</f>
        <v>196.79999999999998</v>
      </c>
      <c r="R28" s="53">
        <f>R27*MIN(1,Assumptions!$B$75*Assumptions!$B$37)</f>
        <v>78.72</v>
      </c>
      <c r="S28" s="53">
        <f>S27*MIN(1,Assumptions!$B$75*Assumptions!$B$37)</f>
        <v>31.488000000000003</v>
      </c>
      <c r="T28" s="53">
        <f>T27*MIN(1,Assumptions!$B$75*Assumptions!$B$37)</f>
        <v>12.595200000000002</v>
      </c>
      <c r="U28" s="53">
        <f>U27*MIN(1,Assumptions!$B$75*Assumptions!$B$37)</f>
        <v>5.038080000000002</v>
      </c>
      <c r="V28" s="53">
        <f>V27*MIN(1,Assumptions!$B$75*Assumptions!$B$37)</f>
        <v>2.0152320000000006</v>
      </c>
      <c r="W28" s="53">
        <f>W27*MIN(1,Assumptions!$B$75*Assumptions!$B$37)</f>
        <v>0.8060928000000004</v>
      </c>
      <c r="X28" s="53">
        <f>X27*MIN(1,Assumptions!$B$75*Assumptions!$B$37)</f>
        <v>0.3224371200000002</v>
      </c>
      <c r="Y28" s="53">
        <f>Y27*MIN(1,Assumptions!$B$75*Assumptions!$B$37)</f>
        <v>0.1289748480000001</v>
      </c>
      <c r="Z28" s="53">
        <f>Z27*MIN(1,Assumptions!$B$75*Assumptions!$B$37)</f>
        <v>0.05158993920000004</v>
      </c>
    </row>
    <row r="29">
      <c r="A29" s="13" t="inlineStr">
        <is>
          <t>Company revenue, risk-adjusted (incl. milestones)</t>
        </is>
      </c>
      <c r="C29" s="53">
        <f>C28*Assumptions!$B$76</f>
        <v>0.0</v>
      </c>
      <c r="D29" s="53">
        <f>D28*Assumptions!$B$76</f>
        <v>122.99999999999999</v>
      </c>
      <c r="E29" s="53">
        <f>E28*Assumptions!$B$76</f>
        <v>307.5</v>
      </c>
      <c r="F29" s="53">
        <f>F28*Assumptions!$B$76</f>
        <v>553.5</v>
      </c>
      <c r="G29" s="53">
        <f>G28*Assumptions!$B$76</f>
        <v>799.5</v>
      </c>
      <c r="H29" s="53">
        <f>H28*Assumptions!$B$76</f>
        <v>1008.5999999999999</v>
      </c>
      <c r="I29" s="53">
        <f>I28*Assumptions!$B$76</f>
        <v>1143.8999999999999</v>
      </c>
      <c r="J29" s="53">
        <f>J28*Assumptions!$B$76</f>
        <v>1230.0</v>
      </c>
      <c r="K29" s="53">
        <f>K28*Assumptions!$B$76</f>
        <v>1230.0</v>
      </c>
      <c r="L29" s="53">
        <f>L28*Assumptions!$B$76</f>
        <v>1230.0</v>
      </c>
      <c r="M29" s="53">
        <f>M28*Assumptions!$B$76</f>
        <v>1230.0</v>
      </c>
      <c r="N29" s="53">
        <f>N28*Assumptions!$B$76</f>
        <v>1230.0</v>
      </c>
      <c r="O29" s="53">
        <f>O28*Assumptions!$B$76</f>
        <v>1230.0</v>
      </c>
      <c r="P29" s="53">
        <f>P28*Assumptions!$B$76</f>
        <v>491.99999999999994</v>
      </c>
      <c r="Q29" s="53">
        <f>Q28*Assumptions!$B$76</f>
        <v>196.79999999999998</v>
      </c>
      <c r="R29" s="53">
        <f>R28*Assumptions!$B$76</f>
        <v>78.72</v>
      </c>
      <c r="S29" s="53">
        <f>S28*Assumptions!$B$76</f>
        <v>31.488000000000003</v>
      </c>
      <c r="T29" s="53">
        <f>T28*Assumptions!$B$76</f>
        <v>12.595200000000002</v>
      </c>
      <c r="U29" s="53">
        <f>U28*Assumptions!$B$76</f>
        <v>5.038080000000002</v>
      </c>
      <c r="V29" s="53">
        <f>V28*Assumptions!$B$76</f>
        <v>2.0152320000000006</v>
      </c>
      <c r="W29" s="53">
        <f>W28*Assumptions!$B$76</f>
        <v>0.8060928000000004</v>
      </c>
      <c r="X29" s="53">
        <f>X28*Assumptions!$B$76</f>
        <v>0.3224371200000002</v>
      </c>
      <c r="Y29" s="53">
        <f>Y28*Assumptions!$B$76</f>
        <v>0.1289748480000001</v>
      </c>
      <c r="Z29" s="53">
        <f>Z28*Assumptions!$B$76</f>
        <v>0.05158993920000004</v>
      </c>
    </row>
    <row r="30">
      <c r="A30" s="13" t="inlineStr">
        <is>
          <t>COGS + royalties, risk-adjusted</t>
        </is>
      </c>
      <c r="C30" s="53">
        <f>C28*(Assumptions!$B$77+Assumptions!$B$78)</f>
        <v>0.0</v>
      </c>
      <c r="D30" s="53">
        <f>D28*(Assumptions!$B$77+Assumptions!$B$78)</f>
        <v>11.684999999999999</v>
      </c>
      <c r="E30" s="53">
        <f>E28*(Assumptions!$B$77+Assumptions!$B$78)</f>
        <v>29.2125</v>
      </c>
      <c r="F30" s="53">
        <f>F28*(Assumptions!$B$77+Assumptions!$B$78)</f>
        <v>52.5825</v>
      </c>
      <c r="G30" s="53">
        <f>G28*(Assumptions!$B$77+Assumptions!$B$78)</f>
        <v>75.9525</v>
      </c>
      <c r="H30" s="53">
        <f>H28*(Assumptions!$B$77+Assumptions!$B$78)</f>
        <v>95.817</v>
      </c>
      <c r="I30" s="53">
        <f>I28*(Assumptions!$B$77+Assumptions!$B$78)</f>
        <v>108.67049999999999</v>
      </c>
      <c r="J30" s="53">
        <f>J28*(Assumptions!$B$77+Assumptions!$B$78)</f>
        <v>116.85</v>
      </c>
      <c r="K30" s="53">
        <f>K28*(Assumptions!$B$77+Assumptions!$B$78)</f>
        <v>116.85</v>
      </c>
      <c r="L30" s="53">
        <f>L28*(Assumptions!$B$77+Assumptions!$B$78)</f>
        <v>116.85</v>
      </c>
      <c r="M30" s="53">
        <f>M28*(Assumptions!$B$77+Assumptions!$B$78)</f>
        <v>116.85</v>
      </c>
      <c r="N30" s="53">
        <f>N28*(Assumptions!$B$77+Assumptions!$B$78)</f>
        <v>116.85</v>
      </c>
      <c r="O30" s="53">
        <f>O28*(Assumptions!$B$77+Assumptions!$B$78)</f>
        <v>116.85</v>
      </c>
      <c r="P30" s="53">
        <f>P28*(Assumptions!$B$77+Assumptions!$B$78)</f>
        <v>46.739999999999995</v>
      </c>
      <c r="Q30" s="53">
        <f>Q28*(Assumptions!$B$77+Assumptions!$B$78)</f>
        <v>18.695999999999998</v>
      </c>
      <c r="R30" s="53">
        <f>R28*(Assumptions!$B$77+Assumptions!$B$78)</f>
        <v>7.4784</v>
      </c>
      <c r="S30" s="53">
        <f>S28*(Assumptions!$B$77+Assumptions!$B$78)</f>
        <v>2.9913600000000002</v>
      </c>
      <c r="T30" s="53">
        <f>T28*(Assumptions!$B$77+Assumptions!$B$78)</f>
        <v>1.1965440000000003</v>
      </c>
      <c r="U30" s="53">
        <f>U28*(Assumptions!$B$77+Assumptions!$B$78)</f>
        <v>0.47861760000000014</v>
      </c>
      <c r="V30" s="53">
        <f>V28*(Assumptions!$B$77+Assumptions!$B$78)</f>
        <v>0.19144704000000007</v>
      </c>
      <c r="W30" s="53">
        <f>W28*(Assumptions!$B$77+Assumptions!$B$78)</f>
        <v>0.07657881600000004</v>
      </c>
      <c r="X30" s="53">
        <f>X28*(Assumptions!$B$77+Assumptions!$B$78)</f>
        <v>0.03063152640000002</v>
      </c>
      <c r="Y30" s="53">
        <f>Y28*(Assumptions!$B$77+Assumptions!$B$78)</f>
        <v>0.012252610560000009</v>
      </c>
      <c r="Z30" s="53">
        <f>Z28*(Assumptions!$B$77+Assumptions!$B$78)</f>
        <v>0.004901044224000004</v>
      </c>
    </row>
    <row r="31">
      <c r="A31" s="13" t="inlineStr">
        <is>
          <t>Commercial SG&amp;A, risk-adjusted</t>
        </is>
      </c>
      <c r="C31" s="53">
        <f>MIN(1,Assumptions!$B$75*Assumptions!$B$37)*IF(Assumptions!$B$79=0,0,IF(C26=0,Assumptions!$B$80,IF(C26&gt;=1,C27*IF(OR(Assumptions!$B$76&lt;1,C26&gt;5),Assumptions!$B$79,MAX(Assumptions!$B$79,INDEX(Assumptions!$B$44:$F$44,C26))),0)))</f>
        <v>32.8</v>
      </c>
      <c r="D31" s="53">
        <f>MIN(1,Assumptions!$B$75*Assumptions!$B$37)*IF(Assumptions!$B$79=0,0,IF(D26=0,Assumptions!$B$80,IF(D26&gt;=1,D27*IF(OR(Assumptions!$B$76&lt;1,D26&gt;5),Assumptions!$B$79,MAX(Assumptions!$B$79,INDEX(Assumptions!$B$44:$F$44,D26))),0)))</f>
        <v>110.69999999999999</v>
      </c>
      <c r="E31" s="53">
        <f>MIN(1,Assumptions!$B$75*Assumptions!$B$37)*IF(Assumptions!$B$79=0,0,IF(E26=0,Assumptions!$B$80,IF(E26&gt;=1,E27*IF(OR(Assumptions!$B$76&lt;1,E26&gt;5),Assumptions!$B$79,MAX(Assumptions!$B$79,INDEX(Assumptions!$B$44:$F$44,E26))),0)))</f>
        <v>169.125</v>
      </c>
      <c r="F31" s="53">
        <f>MIN(1,Assumptions!$B$75*Assumptions!$B$37)*IF(Assumptions!$B$79=0,0,IF(F26=0,Assumptions!$B$80,IF(F26&gt;=1,F27*IF(OR(Assumptions!$B$76&lt;1,F26&gt;5),Assumptions!$B$79,MAX(Assumptions!$B$79,INDEX(Assumptions!$B$44:$F$44,F26))),0)))</f>
        <v>221.39999999999998</v>
      </c>
      <c r="G31" s="53">
        <f>MIN(1,Assumptions!$B$75*Assumptions!$B$37)*IF(Assumptions!$B$79=0,0,IF(G26=0,Assumptions!$B$80,IF(G26&gt;=1,G27*IF(OR(Assumptions!$B$76&lt;1,G26&gt;5),Assumptions!$B$79,MAX(Assumptions!$B$79,INDEX(Assumptions!$B$44:$F$44,G26))),0)))</f>
        <v>255.83999999999997</v>
      </c>
      <c r="H31" s="53">
        <f>MIN(1,Assumptions!$B$75*Assumptions!$B$37)*IF(Assumptions!$B$79=0,0,IF(H26=0,Assumptions!$B$80,IF(H26&gt;=1,H27*IF(OR(Assumptions!$B$76&lt;1,H26&gt;5),Assumptions!$B$79,MAX(Assumptions!$B$79,INDEX(Assumptions!$B$44:$F$44,H26))),0)))</f>
        <v>282.408</v>
      </c>
      <c r="I31" s="53">
        <f>MIN(1,Assumptions!$B$75*Assumptions!$B$37)*IF(Assumptions!$B$79=0,0,IF(I26=0,Assumptions!$B$80,IF(I26&gt;=1,I27*IF(OR(Assumptions!$B$76&lt;1,I26&gt;5),Assumptions!$B$79,MAX(Assumptions!$B$79,INDEX(Assumptions!$B$44:$F$44,I26))),0)))</f>
        <v>285.97499999999997</v>
      </c>
      <c r="J31" s="53">
        <f>MIN(1,Assumptions!$B$75*Assumptions!$B$37)*IF(Assumptions!$B$79=0,0,IF(J26=0,Assumptions!$B$80,IF(J26&gt;=1,J27*IF(OR(Assumptions!$B$76&lt;1,J26&gt;5),Assumptions!$B$79,MAX(Assumptions!$B$79,INDEX(Assumptions!$B$44:$F$44,J26))),0)))</f>
        <v>307.5</v>
      </c>
      <c r="K31" s="53">
        <f>MIN(1,Assumptions!$B$75*Assumptions!$B$37)*IF(Assumptions!$B$79=0,0,IF(K26=0,Assumptions!$B$80,IF(K26&gt;=1,K27*IF(OR(Assumptions!$B$76&lt;1,K26&gt;5),Assumptions!$B$79,MAX(Assumptions!$B$79,INDEX(Assumptions!$B$44:$F$44,K26))),0)))</f>
        <v>307.5</v>
      </c>
      <c r="L31" s="53">
        <f>MIN(1,Assumptions!$B$75*Assumptions!$B$37)*IF(Assumptions!$B$79=0,0,IF(L26=0,Assumptions!$B$80,IF(L26&gt;=1,L27*IF(OR(Assumptions!$B$76&lt;1,L26&gt;5),Assumptions!$B$79,MAX(Assumptions!$B$79,INDEX(Assumptions!$B$44:$F$44,L26))),0)))</f>
        <v>307.5</v>
      </c>
      <c r="M31" s="53">
        <f>MIN(1,Assumptions!$B$75*Assumptions!$B$37)*IF(Assumptions!$B$79=0,0,IF(M26=0,Assumptions!$B$80,IF(M26&gt;=1,M27*IF(OR(Assumptions!$B$76&lt;1,M26&gt;5),Assumptions!$B$79,MAX(Assumptions!$B$79,INDEX(Assumptions!$B$44:$F$44,M26))),0)))</f>
        <v>307.5</v>
      </c>
      <c r="N31" s="53">
        <f>MIN(1,Assumptions!$B$75*Assumptions!$B$37)*IF(Assumptions!$B$79=0,0,IF(N26=0,Assumptions!$B$80,IF(N26&gt;=1,N27*IF(OR(Assumptions!$B$76&lt;1,N26&gt;5),Assumptions!$B$79,MAX(Assumptions!$B$79,INDEX(Assumptions!$B$44:$F$44,N26))),0)))</f>
        <v>307.5</v>
      </c>
      <c r="O31" s="53">
        <f>MIN(1,Assumptions!$B$75*Assumptions!$B$37)*IF(Assumptions!$B$79=0,0,IF(O26=0,Assumptions!$B$80,IF(O26&gt;=1,O27*IF(OR(Assumptions!$B$76&lt;1,O26&gt;5),Assumptions!$B$79,MAX(Assumptions!$B$79,INDEX(Assumptions!$B$44:$F$44,O26))),0)))</f>
        <v>307.5</v>
      </c>
      <c r="P31" s="53">
        <f>MIN(1,Assumptions!$B$75*Assumptions!$B$37)*IF(Assumptions!$B$79=0,0,IF(P26=0,Assumptions!$B$80,IF(P26&gt;=1,P27*IF(OR(Assumptions!$B$76&lt;1,P26&gt;5),Assumptions!$B$79,MAX(Assumptions!$B$79,INDEX(Assumptions!$B$44:$F$44,P26))),0)))</f>
        <v>122.99999999999999</v>
      </c>
      <c r="Q31" s="53">
        <f>MIN(1,Assumptions!$B$75*Assumptions!$B$37)*IF(Assumptions!$B$79=0,0,IF(Q26=0,Assumptions!$B$80,IF(Q26&gt;=1,Q27*IF(OR(Assumptions!$B$76&lt;1,Q26&gt;5),Assumptions!$B$79,MAX(Assumptions!$B$79,INDEX(Assumptions!$B$44:$F$44,Q26))),0)))</f>
        <v>49.199999999999996</v>
      </c>
      <c r="R31" s="53">
        <f>MIN(1,Assumptions!$B$75*Assumptions!$B$37)*IF(Assumptions!$B$79=0,0,IF(R26=0,Assumptions!$B$80,IF(R26&gt;=1,R27*IF(OR(Assumptions!$B$76&lt;1,R26&gt;5),Assumptions!$B$79,MAX(Assumptions!$B$79,INDEX(Assumptions!$B$44:$F$44,R26))),0)))</f>
        <v>19.68</v>
      </c>
      <c r="S31" s="53">
        <f>MIN(1,Assumptions!$B$75*Assumptions!$B$37)*IF(Assumptions!$B$79=0,0,IF(S26=0,Assumptions!$B$80,IF(S26&gt;=1,S27*IF(OR(Assumptions!$B$76&lt;1,S26&gt;5),Assumptions!$B$79,MAX(Assumptions!$B$79,INDEX(Assumptions!$B$44:$F$44,S26))),0)))</f>
        <v>7.872000000000001</v>
      </c>
      <c r="T31" s="53">
        <f>MIN(1,Assumptions!$B$75*Assumptions!$B$37)*IF(Assumptions!$B$79=0,0,IF(T26=0,Assumptions!$B$80,IF(T26&gt;=1,T27*IF(OR(Assumptions!$B$76&lt;1,T26&gt;5),Assumptions!$B$79,MAX(Assumptions!$B$79,INDEX(Assumptions!$B$44:$F$44,T26))),0)))</f>
        <v>3.1488000000000005</v>
      </c>
      <c r="U31" s="53">
        <f>MIN(1,Assumptions!$B$75*Assumptions!$B$37)*IF(Assumptions!$B$79=0,0,IF(U26=0,Assumptions!$B$80,IF(U26&gt;=1,U27*IF(OR(Assumptions!$B$76&lt;1,U26&gt;5),Assumptions!$B$79,MAX(Assumptions!$B$79,INDEX(Assumptions!$B$44:$F$44,U26))),0)))</f>
        <v>1.2595200000000004</v>
      </c>
      <c r="V31" s="53">
        <f>MIN(1,Assumptions!$B$75*Assumptions!$B$37)*IF(Assumptions!$B$79=0,0,IF(V26=0,Assumptions!$B$80,IF(V26&gt;=1,V27*IF(OR(Assumptions!$B$76&lt;1,V26&gt;5),Assumptions!$B$79,MAX(Assumptions!$B$79,INDEX(Assumptions!$B$44:$F$44,V26))),0)))</f>
        <v>0.5038080000000001</v>
      </c>
      <c r="W31" s="53">
        <f>MIN(1,Assumptions!$B$75*Assumptions!$B$37)*IF(Assumptions!$B$79=0,0,IF(W26=0,Assumptions!$B$80,IF(W26&gt;=1,W27*IF(OR(Assumptions!$B$76&lt;1,W26&gt;5),Assumptions!$B$79,MAX(Assumptions!$B$79,INDEX(Assumptions!$B$44:$F$44,W26))),0)))</f>
        <v>0.2015232000000001</v>
      </c>
      <c r="X31" s="53">
        <f>MIN(1,Assumptions!$B$75*Assumptions!$B$37)*IF(Assumptions!$B$79=0,0,IF(X26=0,Assumptions!$B$80,IF(X26&gt;=1,X27*IF(OR(Assumptions!$B$76&lt;1,X26&gt;5),Assumptions!$B$79,MAX(Assumptions!$B$79,INDEX(Assumptions!$B$44:$F$44,X26))),0)))</f>
        <v>0.08060928000000005</v>
      </c>
      <c r="Y31" s="53">
        <f>MIN(1,Assumptions!$B$75*Assumptions!$B$37)*IF(Assumptions!$B$79=0,0,IF(Y26=0,Assumptions!$B$80,IF(Y26&gt;=1,Y27*IF(OR(Assumptions!$B$76&lt;1,Y26&gt;5),Assumptions!$B$79,MAX(Assumptions!$B$79,INDEX(Assumptions!$B$44:$F$44,Y26))),0)))</f>
        <v>0.03224371200000002</v>
      </c>
      <c r="Z31" s="53">
        <f>MIN(1,Assumptions!$B$75*Assumptions!$B$37)*IF(Assumptions!$B$79=0,0,IF(Z26=0,Assumptions!$B$80,IF(Z26&gt;=1,Z27*IF(OR(Assumptions!$B$76&lt;1,Z26&gt;5),Assumptions!$B$79,MAX(Assumptions!$B$79,INDEX(Assumptions!$B$44:$F$44,Z26))),0)))</f>
        <v>0.01289748480000001</v>
      </c>
    </row>
    <row r="32">
      <c r="A32" s="13" t="inlineStr">
        <is>
          <t>Development R&amp;D, risk-adjusted</t>
        </is>
      </c>
      <c r="C32" s="53">
        <f>IFERROR(INDEX(Assumptions!$B$85:$I$85,MATCH(C$2,Assumptions!$B$84:$I$84,0))*INDEX(Assumptions!$B$86:$I$86,MATCH(C$2,Assumptions!$B$84:$I$84,0)),0)</f>
        <v>10.0</v>
      </c>
      <c r="D32" s="53">
        <f>IFERROR(INDEX(Assumptions!$B$85:$I$85,MATCH(D$2,Assumptions!$B$84:$I$84,0))*INDEX(Assumptions!$B$86:$I$86,MATCH(D$2,Assumptions!$B$84:$I$84,0)),0)</f>
        <v>0.0</v>
      </c>
      <c r="E32" s="53">
        <f>IFERROR(INDEX(Assumptions!$B$85:$I$85,MATCH(E$2,Assumptions!$B$84:$I$84,0))*INDEX(Assumptions!$B$86:$I$86,MATCH(E$2,Assumptions!$B$84:$I$84,0)),0)</f>
        <v>0.0</v>
      </c>
      <c r="F32" s="53">
        <f>IFERROR(INDEX(Assumptions!$B$85:$I$85,MATCH(F$2,Assumptions!$B$84:$I$84,0))*INDEX(Assumptions!$B$86:$I$86,MATCH(F$2,Assumptions!$B$84:$I$84,0)),0)</f>
        <v>0.0</v>
      </c>
      <c r="G32" s="53">
        <f>IFERROR(INDEX(Assumptions!$B$85:$I$85,MATCH(G$2,Assumptions!$B$84:$I$84,0))*INDEX(Assumptions!$B$86:$I$86,MATCH(G$2,Assumptions!$B$84:$I$84,0)),0)</f>
        <v>0.0</v>
      </c>
      <c r="H32" s="53">
        <f>IFERROR(INDEX(Assumptions!$B$85:$I$85,MATCH(H$2,Assumptions!$B$84:$I$84,0))*INDEX(Assumptions!$B$86:$I$86,MATCH(H$2,Assumptions!$B$84:$I$84,0)),0)</f>
        <v>0.0</v>
      </c>
      <c r="I32" s="53">
        <f>IFERROR(INDEX(Assumptions!$B$85:$I$85,MATCH(I$2,Assumptions!$B$84:$I$84,0))*INDEX(Assumptions!$B$86:$I$86,MATCH(I$2,Assumptions!$B$84:$I$84,0)),0)</f>
        <v>0.0</v>
      </c>
      <c r="J32" s="53">
        <f>IFERROR(INDEX(Assumptions!$B$85:$I$85,MATCH(J$2,Assumptions!$B$84:$I$84,0))*INDEX(Assumptions!$B$86:$I$86,MATCH(J$2,Assumptions!$B$84:$I$84,0)),0)</f>
        <v>0.0</v>
      </c>
      <c r="K32" s="53">
        <f>IFERROR(INDEX(Assumptions!$B$85:$I$85,MATCH(K$2,Assumptions!$B$84:$I$84,0))*INDEX(Assumptions!$B$86:$I$86,MATCH(K$2,Assumptions!$B$84:$I$84,0)),0)</f>
        <v>0</v>
      </c>
      <c r="L32" s="53">
        <f>IFERROR(INDEX(Assumptions!$B$85:$I$85,MATCH(L$2,Assumptions!$B$84:$I$84,0))*INDEX(Assumptions!$B$86:$I$86,MATCH(L$2,Assumptions!$B$84:$I$84,0)),0)</f>
        <v>0</v>
      </c>
      <c r="M32" s="53">
        <f>IFERROR(INDEX(Assumptions!$B$85:$I$85,MATCH(M$2,Assumptions!$B$84:$I$84,0))*INDEX(Assumptions!$B$86:$I$86,MATCH(M$2,Assumptions!$B$84:$I$84,0)),0)</f>
        <v>0</v>
      </c>
      <c r="N32" s="53">
        <f>IFERROR(INDEX(Assumptions!$B$85:$I$85,MATCH(N$2,Assumptions!$B$84:$I$84,0))*INDEX(Assumptions!$B$86:$I$86,MATCH(N$2,Assumptions!$B$84:$I$84,0)),0)</f>
        <v>0</v>
      </c>
      <c r="O32" s="53">
        <f>IFERROR(INDEX(Assumptions!$B$85:$I$85,MATCH(O$2,Assumptions!$B$84:$I$84,0))*INDEX(Assumptions!$B$86:$I$86,MATCH(O$2,Assumptions!$B$84:$I$84,0)),0)</f>
        <v>0</v>
      </c>
      <c r="P32" s="53">
        <f>IFERROR(INDEX(Assumptions!$B$85:$I$85,MATCH(P$2,Assumptions!$B$84:$I$84,0))*INDEX(Assumptions!$B$86:$I$86,MATCH(P$2,Assumptions!$B$84:$I$84,0)),0)</f>
        <v>0</v>
      </c>
      <c r="Q32" s="53">
        <f>IFERROR(INDEX(Assumptions!$B$85:$I$85,MATCH(Q$2,Assumptions!$B$84:$I$84,0))*INDEX(Assumptions!$B$86:$I$86,MATCH(Q$2,Assumptions!$B$84:$I$84,0)),0)</f>
        <v>0</v>
      </c>
      <c r="R32" s="53">
        <f>IFERROR(INDEX(Assumptions!$B$85:$I$85,MATCH(R$2,Assumptions!$B$84:$I$84,0))*INDEX(Assumptions!$B$86:$I$86,MATCH(R$2,Assumptions!$B$84:$I$84,0)),0)</f>
        <v>0</v>
      </c>
      <c r="S32" s="53">
        <f>IFERROR(INDEX(Assumptions!$B$85:$I$85,MATCH(S$2,Assumptions!$B$84:$I$84,0))*INDEX(Assumptions!$B$86:$I$86,MATCH(S$2,Assumptions!$B$84:$I$84,0)),0)</f>
        <v>0</v>
      </c>
      <c r="T32" s="53">
        <f>IFERROR(INDEX(Assumptions!$B$85:$I$85,MATCH(T$2,Assumptions!$B$84:$I$84,0))*INDEX(Assumptions!$B$86:$I$86,MATCH(T$2,Assumptions!$B$84:$I$84,0)),0)</f>
        <v>0</v>
      </c>
      <c r="U32" s="53">
        <f>IFERROR(INDEX(Assumptions!$B$85:$I$85,MATCH(U$2,Assumptions!$B$84:$I$84,0))*INDEX(Assumptions!$B$86:$I$86,MATCH(U$2,Assumptions!$B$84:$I$84,0)),0)</f>
        <v>0</v>
      </c>
      <c r="V32" s="53">
        <f>IFERROR(INDEX(Assumptions!$B$85:$I$85,MATCH(V$2,Assumptions!$B$84:$I$84,0))*INDEX(Assumptions!$B$86:$I$86,MATCH(V$2,Assumptions!$B$84:$I$84,0)),0)</f>
        <v>0</v>
      </c>
      <c r="W32" s="53">
        <f>IFERROR(INDEX(Assumptions!$B$85:$I$85,MATCH(W$2,Assumptions!$B$84:$I$84,0))*INDEX(Assumptions!$B$86:$I$86,MATCH(W$2,Assumptions!$B$84:$I$84,0)),0)</f>
        <v>0</v>
      </c>
      <c r="X32" s="53">
        <f>IFERROR(INDEX(Assumptions!$B$85:$I$85,MATCH(X$2,Assumptions!$B$84:$I$84,0))*INDEX(Assumptions!$B$86:$I$86,MATCH(X$2,Assumptions!$B$84:$I$84,0)),0)</f>
        <v>0</v>
      </c>
      <c r="Y32" s="53">
        <f>IFERROR(INDEX(Assumptions!$B$85:$I$85,MATCH(Y$2,Assumptions!$B$84:$I$84,0))*INDEX(Assumptions!$B$86:$I$86,MATCH(Y$2,Assumptions!$B$84:$I$84,0)),0)</f>
        <v>0</v>
      </c>
      <c r="Z32" s="53">
        <f>IFERROR(INDEX(Assumptions!$B$85:$I$85,MATCH(Z$2,Assumptions!$B$84:$I$84,0))*INDEX(Assumptions!$B$86:$I$86,MATCH(Z$2,Assumptions!$B$84:$I$84,0)),0)</f>
        <v>0</v>
      </c>
    </row>
    <row r="33">
      <c r="A33" s="22" t="inlineStr">
        <is>
          <t>Program contribution (pre-tax)</t>
        </is>
      </c>
      <c r="C33" s="57">
        <f>C29-C30-C31-C32</f>
        <v>-42.8</v>
      </c>
      <c r="D33" s="57">
        <f>D29-D30-D31-D32</f>
        <v>0.6149999999999949</v>
      </c>
      <c r="E33" s="57">
        <f>E29-E30-E31-E32</f>
        <v>109.16250000000002</v>
      </c>
      <c r="F33" s="57">
        <f>F29-F30-F31-F32</f>
        <v>279.51750000000004</v>
      </c>
      <c r="G33" s="57">
        <f>G29-G30-G31-G32</f>
        <v>467.70750000000004</v>
      </c>
      <c r="H33" s="57">
        <f>H29-H30-H31-H32</f>
        <v>630.3749999999999</v>
      </c>
      <c r="I33" s="57">
        <f>I29-I30-I31-I32</f>
        <v>749.2545</v>
      </c>
      <c r="J33" s="57">
        <f>J29-J30-J31-J32</f>
        <v>805.6500000000001</v>
      </c>
      <c r="K33" s="57">
        <f>K29-K30-K31-K32</f>
        <v>805.6500000000001</v>
      </c>
      <c r="L33" s="57">
        <f>L29-L30-L31-L32</f>
        <v>805.6500000000001</v>
      </c>
      <c r="M33" s="57">
        <f>M29-M30-M31-M32</f>
        <v>805.6500000000001</v>
      </c>
      <c r="N33" s="57">
        <f>N29-N30-N31-N32</f>
        <v>805.6500000000001</v>
      </c>
      <c r="O33" s="57">
        <f>O29-O30-O31-O32</f>
        <v>805.6500000000001</v>
      </c>
      <c r="P33" s="57">
        <f>P29-P30-P31-P32</f>
        <v>322.25999999999993</v>
      </c>
      <c r="Q33" s="57">
        <f>Q29-Q30-Q31-Q32</f>
        <v>128.904</v>
      </c>
      <c r="R33" s="57">
        <f>R29-R30-R31-R32</f>
        <v>51.561600000000006</v>
      </c>
      <c r="S33" s="57">
        <f>S29-S30-S31-S32</f>
        <v>20.624640000000003</v>
      </c>
      <c r="T33" s="57">
        <f>T29-T30-T31-T32</f>
        <v>8.249856000000001</v>
      </c>
      <c r="U33" s="57">
        <f>U29-U30-U31-U32</f>
        <v>3.2999424000000017</v>
      </c>
      <c r="V33" s="57">
        <f>V29-V30-V31-V32</f>
        <v>1.3199769600000004</v>
      </c>
      <c r="W33" s="57">
        <f>W29-W30-W31-W32</f>
        <v>0.5279907840000002</v>
      </c>
      <c r="X33" s="57">
        <f>X29-X30-X31-X32</f>
        <v>0.21119631360000013</v>
      </c>
      <c r="Y33" s="57">
        <f>Y29-Y30-Y31-Y32</f>
        <v>0.08447852544000005</v>
      </c>
      <c r="Z33" s="57">
        <f>Z29-Z30-Z31-Z32</f>
        <v>0.03379141017600002</v>
      </c>
    </row>
    <row r="35">
      <c r="A35" s="30" t="inlineStr">
        <is>
          <t>Omecamtiv mecarbil — HFrEF (COMET-HF)</t>
        </is>
      </c>
    </row>
    <row r="36">
      <c r="A36" s="13" t="inlineStr">
        <is>
          <t>Years since launch</t>
        </is>
      </c>
      <c r="C36" s="64">
        <f>C$2-Assumptions!$B$89+1</f>
        <v>-2.0</v>
      </c>
      <c r="D36" s="64">
        <f>D$2-Assumptions!$B$89+1</f>
        <v>-1.0</v>
      </c>
      <c r="E36" s="64">
        <f>E$2-Assumptions!$B$89+1</f>
        <v>0.0</v>
      </c>
      <c r="F36" s="64">
        <f>F$2-Assumptions!$B$89+1</f>
        <v>1.0</v>
      </c>
      <c r="G36" s="64">
        <f>G$2-Assumptions!$B$89+1</f>
        <v>2.0</v>
      </c>
      <c r="H36" s="64">
        <f>H$2-Assumptions!$B$89+1</f>
        <v>3.0</v>
      </c>
      <c r="I36" s="64">
        <f>I$2-Assumptions!$B$89+1</f>
        <v>4.0</v>
      </c>
      <c r="J36" s="64">
        <f>J$2-Assumptions!$B$89+1</f>
        <v>5.0</v>
      </c>
      <c r="K36" s="64">
        <f>K$2-Assumptions!$B$89+1</f>
        <v>6.0</v>
      </c>
      <c r="L36" s="64">
        <f>L$2-Assumptions!$B$89+1</f>
        <v>7.0</v>
      </c>
      <c r="M36" s="64">
        <f>M$2-Assumptions!$B$89+1</f>
        <v>8.0</v>
      </c>
      <c r="N36" s="64">
        <f>N$2-Assumptions!$B$89+1</f>
        <v>9.0</v>
      </c>
      <c r="O36" s="64">
        <f>O$2-Assumptions!$B$89+1</f>
        <v>10.0</v>
      </c>
      <c r="P36" s="64">
        <f>P$2-Assumptions!$B$89+1</f>
        <v>11.0</v>
      </c>
      <c r="Q36" s="64">
        <f>Q$2-Assumptions!$B$89+1</f>
        <v>12.0</v>
      </c>
      <c r="R36" s="64">
        <f>R$2-Assumptions!$B$89+1</f>
        <v>13.0</v>
      </c>
      <c r="S36" s="64">
        <f>S$2-Assumptions!$B$89+1</f>
        <v>14.0</v>
      </c>
      <c r="T36" s="64">
        <f>T$2-Assumptions!$B$89+1</f>
        <v>15.0</v>
      </c>
      <c r="U36" s="64">
        <f>U$2-Assumptions!$B$89+1</f>
        <v>16.0</v>
      </c>
      <c r="V36" s="64">
        <f>V$2-Assumptions!$B$89+1</f>
        <v>17.0</v>
      </c>
      <c r="W36" s="64">
        <f>W$2-Assumptions!$B$89+1</f>
        <v>18.0</v>
      </c>
      <c r="X36" s="64">
        <f>X$2-Assumptions!$B$89+1</f>
        <v>19.0</v>
      </c>
      <c r="Y36" s="64">
        <f>Y$2-Assumptions!$B$89+1</f>
        <v>20.0</v>
      </c>
      <c r="Z36" s="64">
        <f>Z$2-Assumptions!$B$89+1</f>
        <v>21.0</v>
      </c>
    </row>
    <row r="37">
      <c r="A37" s="13" t="inlineStr">
        <is>
          <t>Net sales, unrisked</t>
        </is>
      </c>
      <c r="C37" s="53">
        <f>IF(C$2&gt;Assumptions!$B$98,0*(1-Assumptions!$B$99),IF(C36&gt;=1,Assumptions!$B$90*CHOOSE(Assumptions!$B$97,INDEX(Assumptions!$B$42:$H$42,MIN(C36,7)),INDEX(Assumptions!$B$43:$H$43,MIN(C36,7))),0))</f>
        <v>0</v>
      </c>
      <c r="D37" s="53">
        <f>IF(D$2&gt;Assumptions!$B$98,C37*(1-Assumptions!$B$99),IF(D36&gt;=1,Assumptions!$B$90*CHOOSE(Assumptions!$B$97,INDEX(Assumptions!$B$42:$H$42,MIN(D36,7)),INDEX(Assumptions!$B$43:$H$43,MIN(D36,7))),0))</f>
        <v>0</v>
      </c>
      <c r="E37" s="53">
        <f>IF(E$2&gt;Assumptions!$B$98,D37*(1-Assumptions!$B$99),IF(E36&gt;=1,Assumptions!$B$90*CHOOSE(Assumptions!$B$97,INDEX(Assumptions!$B$42:$H$42,MIN(E36,7)),INDEX(Assumptions!$B$43:$H$43,MIN(E36,7))),0))</f>
        <v>0</v>
      </c>
      <c r="F37" s="53">
        <f>IF(F$2&gt;Assumptions!$B$98,E37*(1-Assumptions!$B$99),IF(F36&gt;=1,Assumptions!$B$90*CHOOSE(Assumptions!$B$97,INDEX(Assumptions!$B$42:$H$42,MIN(F36,7)),INDEX(Assumptions!$B$43:$H$43,MIN(F36,7))),0))</f>
        <v>100.0</v>
      </c>
      <c r="G37" s="53">
        <f>IF(G$2&gt;Assumptions!$B$98,F37*(1-Assumptions!$B$99),IF(G36&gt;=1,Assumptions!$B$90*CHOOSE(Assumptions!$B$97,INDEX(Assumptions!$B$42:$H$42,MIN(G36,7)),INDEX(Assumptions!$B$43:$H$43,MIN(G36,7))),0))</f>
        <v>250.0</v>
      </c>
      <c r="H37" s="53">
        <f>IF(H$2&gt;Assumptions!$B$98,G37*(1-Assumptions!$B$99),IF(H36&gt;=1,Assumptions!$B$90*CHOOSE(Assumptions!$B$97,INDEX(Assumptions!$B$42:$H$42,MIN(H36,7)),INDEX(Assumptions!$B$43:$H$43,MIN(H36,7))),0))</f>
        <v>450.0</v>
      </c>
      <c r="I37" s="53">
        <f>IF(I$2&gt;Assumptions!$B$98,H37*(1-Assumptions!$B$99),IF(I36&gt;=1,Assumptions!$B$90*CHOOSE(Assumptions!$B$97,INDEX(Assumptions!$B$42:$H$42,MIN(I36,7)),INDEX(Assumptions!$B$43:$H$43,MIN(I36,7))),0))</f>
        <v>650.0</v>
      </c>
      <c r="J37" s="53">
        <f>IF(J$2&gt;Assumptions!$B$98,I37*(1-Assumptions!$B$99),IF(J36&gt;=1,Assumptions!$B$90*CHOOSE(Assumptions!$B$97,INDEX(Assumptions!$B$42:$H$42,MIN(J36,7)),INDEX(Assumptions!$B$43:$H$43,MIN(J36,7))),0))</f>
        <v>820.0</v>
      </c>
      <c r="K37" s="53">
        <f>IF(K$2&gt;Assumptions!$B$98,J37*(1-Assumptions!$B$99),IF(K36&gt;=1,Assumptions!$B$90*CHOOSE(Assumptions!$B$97,INDEX(Assumptions!$B$42:$H$42,MIN(K36,7)),INDEX(Assumptions!$B$43:$H$43,MIN(K36,7))),0))</f>
        <v>930.0</v>
      </c>
      <c r="L37" s="53">
        <f>IF(L$2&gt;Assumptions!$B$98,K37*(1-Assumptions!$B$99),IF(L36&gt;=1,Assumptions!$B$90*CHOOSE(Assumptions!$B$97,INDEX(Assumptions!$B$42:$H$42,MIN(L36,7)),INDEX(Assumptions!$B$43:$H$43,MIN(L36,7))),0))</f>
        <v>1000.0</v>
      </c>
      <c r="M37" s="53">
        <f>IF(M$2&gt;Assumptions!$B$98,L37*(1-Assumptions!$B$99),IF(M36&gt;=1,Assumptions!$B$90*CHOOSE(Assumptions!$B$97,INDEX(Assumptions!$B$42:$H$42,MIN(M36,7)),INDEX(Assumptions!$B$43:$H$43,MIN(M36,7))),0))</f>
        <v>1000.0</v>
      </c>
      <c r="N37" s="53">
        <f>IF(N$2&gt;Assumptions!$B$98,M37*(1-Assumptions!$B$99),IF(N36&gt;=1,Assumptions!$B$90*CHOOSE(Assumptions!$B$97,INDEX(Assumptions!$B$42:$H$42,MIN(N36,7)),INDEX(Assumptions!$B$43:$H$43,MIN(N36,7))),0))</f>
        <v>1000.0</v>
      </c>
      <c r="O37" s="53">
        <f>IF(O$2&gt;Assumptions!$B$98,N37*(1-Assumptions!$B$99),IF(O36&gt;=1,Assumptions!$B$90*CHOOSE(Assumptions!$B$97,INDEX(Assumptions!$B$42:$H$42,MIN(O36,7)),INDEX(Assumptions!$B$43:$H$43,MIN(O36,7))),0))</f>
        <v>1000.0</v>
      </c>
      <c r="P37" s="53">
        <f>IF(P$2&gt;Assumptions!$B$98,O37*(1-Assumptions!$B$99),IF(P36&gt;=1,Assumptions!$B$90*CHOOSE(Assumptions!$B$97,INDEX(Assumptions!$B$42:$H$42,MIN(P36,7)),INDEX(Assumptions!$B$43:$H$43,MIN(P36,7))),0))</f>
        <v>1000.0</v>
      </c>
      <c r="Q37" s="53">
        <f>IF(Q$2&gt;Assumptions!$B$98,P37*(1-Assumptions!$B$99),IF(Q36&gt;=1,Assumptions!$B$90*CHOOSE(Assumptions!$B$97,INDEX(Assumptions!$B$42:$H$42,MIN(Q36,7)),INDEX(Assumptions!$B$43:$H$43,MIN(Q36,7))),0))</f>
        <v>400.0</v>
      </c>
      <c r="R37" s="53">
        <f>IF(R$2&gt;Assumptions!$B$98,Q37*(1-Assumptions!$B$99),IF(R36&gt;=1,Assumptions!$B$90*CHOOSE(Assumptions!$B$97,INDEX(Assumptions!$B$42:$H$42,MIN(R36,7)),INDEX(Assumptions!$B$43:$H$43,MIN(R36,7))),0))</f>
        <v>160.0</v>
      </c>
      <c r="S37" s="53">
        <f>IF(S$2&gt;Assumptions!$B$98,R37*(1-Assumptions!$B$99),IF(S36&gt;=1,Assumptions!$B$90*CHOOSE(Assumptions!$B$97,INDEX(Assumptions!$B$42:$H$42,MIN(S36,7)),INDEX(Assumptions!$B$43:$H$43,MIN(S36,7))),0))</f>
        <v>64.0</v>
      </c>
      <c r="T37" s="53">
        <f>IF(T$2&gt;Assumptions!$B$98,S37*(1-Assumptions!$B$99),IF(T36&gt;=1,Assumptions!$B$90*CHOOSE(Assumptions!$B$97,INDEX(Assumptions!$B$42:$H$42,MIN(T36,7)),INDEX(Assumptions!$B$43:$H$43,MIN(T36,7))),0))</f>
        <v>25.6</v>
      </c>
      <c r="U37" s="53">
        <f>IF(U$2&gt;Assumptions!$B$98,T37*(1-Assumptions!$B$99),IF(U36&gt;=1,Assumptions!$B$90*CHOOSE(Assumptions!$B$97,INDEX(Assumptions!$B$42:$H$42,MIN(U36,7)),INDEX(Assumptions!$B$43:$H$43,MIN(U36,7))),0))</f>
        <v>10.240000000000002</v>
      </c>
      <c r="V37" s="53">
        <f>IF(V$2&gt;Assumptions!$B$98,U37*(1-Assumptions!$B$99),IF(V36&gt;=1,Assumptions!$B$90*CHOOSE(Assumptions!$B$97,INDEX(Assumptions!$B$42:$H$42,MIN(V36,7)),INDEX(Assumptions!$B$43:$H$43,MIN(V36,7))),0))</f>
        <v>4.096000000000001</v>
      </c>
      <c r="W37" s="53">
        <f>IF(W$2&gt;Assumptions!$B$98,V37*(1-Assumptions!$B$99),IF(W36&gt;=1,Assumptions!$B$90*CHOOSE(Assumptions!$B$97,INDEX(Assumptions!$B$42:$H$42,MIN(W36,7)),INDEX(Assumptions!$B$43:$H$43,MIN(W36,7))),0))</f>
        <v>1.6384000000000005</v>
      </c>
      <c r="X37" s="53">
        <f>IF(X$2&gt;Assumptions!$B$98,W37*(1-Assumptions!$B$99),IF(X36&gt;=1,Assumptions!$B$90*CHOOSE(Assumptions!$B$97,INDEX(Assumptions!$B$42:$H$42,MIN(X36,7)),INDEX(Assumptions!$B$43:$H$43,MIN(X36,7))),0))</f>
        <v>0.6553600000000003</v>
      </c>
      <c r="Y37" s="53">
        <f>IF(Y$2&gt;Assumptions!$B$98,X37*(1-Assumptions!$B$99),IF(Y36&gt;=1,Assumptions!$B$90*CHOOSE(Assumptions!$B$97,INDEX(Assumptions!$B$42:$H$42,MIN(Y36,7)),INDEX(Assumptions!$B$43:$H$43,MIN(Y36,7))),0))</f>
        <v>0.2621440000000001</v>
      </c>
      <c r="Z37" s="53">
        <f>IF(Z$2&gt;Assumptions!$B$98,Y37*(1-Assumptions!$B$99),IF(Z36&gt;=1,Assumptions!$B$90*CHOOSE(Assumptions!$B$97,INDEX(Assumptions!$B$42:$H$42,MIN(Z36,7)),INDEX(Assumptions!$B$43:$H$43,MIN(Z36,7))),0))</f>
        <v>0.10485760000000005</v>
      </c>
    </row>
    <row r="38">
      <c r="A38" s="13" t="inlineStr">
        <is>
          <t>Product net sales, risk-adjusted</t>
        </is>
      </c>
      <c r="C38" s="53">
        <f>C37*MIN(1,Assumptions!$B$91*Assumptions!$B$37)</f>
        <v>0.0</v>
      </c>
      <c r="D38" s="53">
        <f>D37*MIN(1,Assumptions!$B$91*Assumptions!$B$37)</f>
        <v>0.0</v>
      </c>
      <c r="E38" s="53">
        <f>E37*MIN(1,Assumptions!$B$91*Assumptions!$B$37)</f>
        <v>0.0</v>
      </c>
      <c r="F38" s="53">
        <f>F37*MIN(1,Assumptions!$B$91*Assumptions!$B$37)</f>
        <v>30.0</v>
      </c>
      <c r="G38" s="53">
        <f>G37*MIN(1,Assumptions!$B$91*Assumptions!$B$37)</f>
        <v>75.0</v>
      </c>
      <c r="H38" s="53">
        <f>H37*MIN(1,Assumptions!$B$91*Assumptions!$B$37)</f>
        <v>135.0</v>
      </c>
      <c r="I38" s="53">
        <f>I37*MIN(1,Assumptions!$B$91*Assumptions!$B$37)</f>
        <v>195.0</v>
      </c>
      <c r="J38" s="53">
        <f>J37*MIN(1,Assumptions!$B$91*Assumptions!$B$37)</f>
        <v>246.0</v>
      </c>
      <c r="K38" s="53">
        <f>K37*MIN(1,Assumptions!$B$91*Assumptions!$B$37)</f>
        <v>279.0</v>
      </c>
      <c r="L38" s="53">
        <f>L37*MIN(1,Assumptions!$B$91*Assumptions!$B$37)</f>
        <v>300.0</v>
      </c>
      <c r="M38" s="53">
        <f>M37*MIN(1,Assumptions!$B$91*Assumptions!$B$37)</f>
        <v>300.0</v>
      </c>
      <c r="N38" s="53">
        <f>N37*MIN(1,Assumptions!$B$91*Assumptions!$B$37)</f>
        <v>300.0</v>
      </c>
      <c r="O38" s="53">
        <f>O37*MIN(1,Assumptions!$B$91*Assumptions!$B$37)</f>
        <v>300.0</v>
      </c>
      <c r="P38" s="53">
        <f>P37*MIN(1,Assumptions!$B$91*Assumptions!$B$37)</f>
        <v>300.0</v>
      </c>
      <c r="Q38" s="53">
        <f>Q37*MIN(1,Assumptions!$B$91*Assumptions!$B$37)</f>
        <v>120.0</v>
      </c>
      <c r="R38" s="53">
        <f>R37*MIN(1,Assumptions!$B$91*Assumptions!$B$37)</f>
        <v>48.0</v>
      </c>
      <c r="S38" s="53">
        <f>S37*MIN(1,Assumptions!$B$91*Assumptions!$B$37)</f>
        <v>19.2</v>
      </c>
      <c r="T38" s="53">
        <f>T37*MIN(1,Assumptions!$B$91*Assumptions!$B$37)</f>
        <v>7.68</v>
      </c>
      <c r="U38" s="53">
        <f>U37*MIN(1,Assumptions!$B$91*Assumptions!$B$37)</f>
        <v>3.0720000000000005</v>
      </c>
      <c r="V38" s="53">
        <f>V37*MIN(1,Assumptions!$B$91*Assumptions!$B$37)</f>
        <v>1.2288000000000003</v>
      </c>
      <c r="W38" s="53">
        <f>W37*MIN(1,Assumptions!$B$91*Assumptions!$B$37)</f>
        <v>0.4915200000000001</v>
      </c>
      <c r="X38" s="53">
        <f>X37*MIN(1,Assumptions!$B$91*Assumptions!$B$37)</f>
        <v>0.1966080000000001</v>
      </c>
      <c r="Y38" s="53">
        <f>Y37*MIN(1,Assumptions!$B$91*Assumptions!$B$37)</f>
        <v>0.07864320000000002</v>
      </c>
      <c r="Z38" s="53">
        <f>Z37*MIN(1,Assumptions!$B$91*Assumptions!$B$37)</f>
        <v>0.03145728000000001</v>
      </c>
    </row>
    <row r="39">
      <c r="A39" s="13" t="inlineStr">
        <is>
          <t>Company revenue, risk-adjusted (incl. milestones)</t>
        </is>
      </c>
      <c r="C39" s="53">
        <f>C38*Assumptions!$B$92</f>
        <v>0.0</v>
      </c>
      <c r="D39" s="53">
        <f>D38*Assumptions!$B$92</f>
        <v>0.0</v>
      </c>
      <c r="E39" s="53">
        <f>E38*Assumptions!$B$92</f>
        <v>0.0</v>
      </c>
      <c r="F39" s="53">
        <f>F38*Assumptions!$B$92</f>
        <v>30.0</v>
      </c>
      <c r="G39" s="53">
        <f>G38*Assumptions!$B$92</f>
        <v>75.0</v>
      </c>
      <c r="H39" s="53">
        <f>H38*Assumptions!$B$92</f>
        <v>135.0</v>
      </c>
      <c r="I39" s="53">
        <f>I38*Assumptions!$B$92</f>
        <v>195.0</v>
      </c>
      <c r="J39" s="53">
        <f>J38*Assumptions!$B$92</f>
        <v>246.0</v>
      </c>
      <c r="K39" s="53">
        <f>K38*Assumptions!$B$92</f>
        <v>279.0</v>
      </c>
      <c r="L39" s="53">
        <f>L38*Assumptions!$B$92</f>
        <v>300.0</v>
      </c>
      <c r="M39" s="53">
        <f>M38*Assumptions!$B$92</f>
        <v>300.0</v>
      </c>
      <c r="N39" s="53">
        <f>N38*Assumptions!$B$92</f>
        <v>300.0</v>
      </c>
      <c r="O39" s="53">
        <f>O38*Assumptions!$B$92</f>
        <v>300.0</v>
      </c>
      <c r="P39" s="53">
        <f>P38*Assumptions!$B$92</f>
        <v>300.0</v>
      </c>
      <c r="Q39" s="53">
        <f>Q38*Assumptions!$B$92</f>
        <v>120.0</v>
      </c>
      <c r="R39" s="53">
        <f>R38*Assumptions!$B$92</f>
        <v>48.0</v>
      </c>
      <c r="S39" s="53">
        <f>S38*Assumptions!$B$92</f>
        <v>19.2</v>
      </c>
      <c r="T39" s="53">
        <f>T38*Assumptions!$B$92</f>
        <v>7.68</v>
      </c>
      <c r="U39" s="53">
        <f>U38*Assumptions!$B$92</f>
        <v>3.0720000000000005</v>
      </c>
      <c r="V39" s="53">
        <f>V38*Assumptions!$B$92</f>
        <v>1.2288000000000003</v>
      </c>
      <c r="W39" s="53">
        <f>W38*Assumptions!$B$92</f>
        <v>0.4915200000000001</v>
      </c>
      <c r="X39" s="53">
        <f>X38*Assumptions!$B$92</f>
        <v>0.1966080000000001</v>
      </c>
      <c r="Y39" s="53">
        <f>Y38*Assumptions!$B$92</f>
        <v>0.07864320000000002</v>
      </c>
      <c r="Z39" s="53">
        <f>Z38*Assumptions!$B$92</f>
        <v>0.03145728000000001</v>
      </c>
    </row>
    <row r="40">
      <c r="A40" s="13" t="inlineStr">
        <is>
          <t>COGS + royalties, risk-adjusted</t>
        </is>
      </c>
      <c r="C40" s="53">
        <f>C38*(Assumptions!$B$93+Assumptions!$B$94)</f>
        <v>0.0</v>
      </c>
      <c r="D40" s="53">
        <f>D38*(Assumptions!$B$93+Assumptions!$B$94)</f>
        <v>0.0</v>
      </c>
      <c r="E40" s="53">
        <f>E38*(Assumptions!$B$93+Assumptions!$B$94)</f>
        <v>0.0</v>
      </c>
      <c r="F40" s="53">
        <f>F38*(Assumptions!$B$93+Assumptions!$B$94)</f>
        <v>3.3</v>
      </c>
      <c r="G40" s="53">
        <f>G38*(Assumptions!$B$93+Assumptions!$B$94)</f>
        <v>8.25</v>
      </c>
      <c r="H40" s="53">
        <f>H38*(Assumptions!$B$93+Assumptions!$B$94)</f>
        <v>14.85</v>
      </c>
      <c r="I40" s="53">
        <f>I38*(Assumptions!$B$93+Assumptions!$B$94)</f>
        <v>21.45</v>
      </c>
      <c r="J40" s="53">
        <f>J38*(Assumptions!$B$93+Assumptions!$B$94)</f>
        <v>27.06</v>
      </c>
      <c r="K40" s="53">
        <f>K38*(Assumptions!$B$93+Assumptions!$B$94)</f>
        <v>30.69</v>
      </c>
      <c r="L40" s="53">
        <f>L38*(Assumptions!$B$93+Assumptions!$B$94)</f>
        <v>33.0</v>
      </c>
      <c r="M40" s="53">
        <f>M38*(Assumptions!$B$93+Assumptions!$B$94)</f>
        <v>33.0</v>
      </c>
      <c r="N40" s="53">
        <f>N38*(Assumptions!$B$93+Assumptions!$B$94)</f>
        <v>33.0</v>
      </c>
      <c r="O40" s="53">
        <f>O38*(Assumptions!$B$93+Assumptions!$B$94)</f>
        <v>33.0</v>
      </c>
      <c r="P40" s="53">
        <f>P38*(Assumptions!$B$93+Assumptions!$B$94)</f>
        <v>33.0</v>
      </c>
      <c r="Q40" s="53">
        <f>Q38*(Assumptions!$B$93+Assumptions!$B$94)</f>
        <v>13.2</v>
      </c>
      <c r="R40" s="53">
        <f>R38*(Assumptions!$B$93+Assumptions!$B$94)</f>
        <v>5.28</v>
      </c>
      <c r="S40" s="53">
        <f>S38*(Assumptions!$B$93+Assumptions!$B$94)</f>
        <v>2.112</v>
      </c>
      <c r="T40" s="53">
        <f>T38*(Assumptions!$B$93+Assumptions!$B$94)</f>
        <v>0.8448</v>
      </c>
      <c r="U40" s="53">
        <f>U38*(Assumptions!$B$93+Assumptions!$B$94)</f>
        <v>0.33792000000000005</v>
      </c>
      <c r="V40" s="53">
        <f>V38*(Assumptions!$B$93+Assumptions!$B$94)</f>
        <v>0.13516800000000004</v>
      </c>
      <c r="W40" s="53">
        <f>W38*(Assumptions!$B$93+Assumptions!$B$94)</f>
        <v>0.05406720000000002</v>
      </c>
      <c r="X40" s="53">
        <f>X38*(Assumptions!$B$93+Assumptions!$B$94)</f>
        <v>0.02162688000000001</v>
      </c>
      <c r="Y40" s="53">
        <f>Y38*(Assumptions!$B$93+Assumptions!$B$94)</f>
        <v>0.008650752000000003</v>
      </c>
      <c r="Z40" s="53">
        <f>Z38*(Assumptions!$B$93+Assumptions!$B$94)</f>
        <v>0.003460300800000001</v>
      </c>
    </row>
    <row r="41">
      <c r="A41" s="13" t="inlineStr">
        <is>
          <t>Commercial SG&amp;A, risk-adjusted</t>
        </is>
      </c>
      <c r="C41" s="53">
        <f>MIN(1,Assumptions!$B$91*Assumptions!$B$37)*IF(Assumptions!$B$95=0,0,IF(C36=0,Assumptions!$B$96,IF(C36&gt;=1,C37*IF(OR(Assumptions!$B$92&lt;1,C36&gt;5),Assumptions!$B$95,MAX(Assumptions!$B$95,INDEX(Assumptions!$B$44:$F$44,C36))),0)))</f>
        <v>0.0</v>
      </c>
      <c r="D41" s="53">
        <f>MIN(1,Assumptions!$B$91*Assumptions!$B$37)*IF(Assumptions!$B$95=0,0,IF(D36=0,Assumptions!$B$96,IF(D36&gt;=1,D37*IF(OR(Assumptions!$B$92&lt;1,D36&gt;5),Assumptions!$B$95,MAX(Assumptions!$B$95,INDEX(Assumptions!$B$44:$F$44,D36))),0)))</f>
        <v>0.0</v>
      </c>
      <c r="E41" s="53">
        <f>MIN(1,Assumptions!$B$91*Assumptions!$B$37)*IF(Assumptions!$B$95=0,0,IF(E36=0,Assumptions!$B$96,IF(E36&gt;=1,E37*IF(OR(Assumptions!$B$92&lt;1,E36&gt;5),Assumptions!$B$95,MAX(Assumptions!$B$95,INDEX(Assumptions!$B$44:$F$44,E36))),0)))</f>
        <v>12.0</v>
      </c>
      <c r="F41" s="53">
        <f>MIN(1,Assumptions!$B$91*Assumptions!$B$37)*IF(Assumptions!$B$95=0,0,IF(F36=0,Assumptions!$B$96,IF(F36&gt;=1,F37*IF(OR(Assumptions!$B$92&lt;1,F36&gt;5),Assumptions!$B$95,MAX(Assumptions!$B$95,INDEX(Assumptions!$B$44:$F$44,F36))),0)))</f>
        <v>27.0</v>
      </c>
      <c r="G41" s="53">
        <f>MIN(1,Assumptions!$B$91*Assumptions!$B$37)*IF(Assumptions!$B$95=0,0,IF(G36=0,Assumptions!$B$96,IF(G36&gt;=1,G37*IF(OR(Assumptions!$B$92&lt;1,G36&gt;5),Assumptions!$B$95,MAX(Assumptions!$B$95,INDEX(Assumptions!$B$44:$F$44,G36))),0)))</f>
        <v>41.25</v>
      </c>
      <c r="H41" s="53">
        <f>MIN(1,Assumptions!$B$91*Assumptions!$B$37)*IF(Assumptions!$B$95=0,0,IF(H36=0,Assumptions!$B$96,IF(H36&gt;=1,H37*IF(OR(Assumptions!$B$92&lt;1,H36&gt;5),Assumptions!$B$95,MAX(Assumptions!$B$95,INDEX(Assumptions!$B$44:$F$44,H36))),0)))</f>
        <v>54.0</v>
      </c>
      <c r="I41" s="53">
        <f>MIN(1,Assumptions!$B$91*Assumptions!$B$37)*IF(Assumptions!$B$95=0,0,IF(I36=0,Assumptions!$B$96,IF(I36&gt;=1,I37*IF(OR(Assumptions!$B$92&lt;1,I36&gt;5),Assumptions!$B$95,MAX(Assumptions!$B$95,INDEX(Assumptions!$B$44:$F$44,I36))),0)))</f>
        <v>62.4</v>
      </c>
      <c r="J41" s="53">
        <f>MIN(1,Assumptions!$B$91*Assumptions!$B$37)*IF(Assumptions!$B$95=0,0,IF(J36=0,Assumptions!$B$96,IF(J36&gt;=1,J37*IF(OR(Assumptions!$B$92&lt;1,J36&gt;5),Assumptions!$B$95,MAX(Assumptions!$B$95,INDEX(Assumptions!$B$44:$F$44,J36))),0)))</f>
        <v>73.8</v>
      </c>
      <c r="K41" s="53">
        <f>MIN(1,Assumptions!$B$91*Assumptions!$B$37)*IF(Assumptions!$B$95=0,0,IF(K36=0,Assumptions!$B$96,IF(K36&gt;=1,K37*IF(OR(Assumptions!$B$92&lt;1,K36&gt;5),Assumptions!$B$95,MAX(Assumptions!$B$95,INDEX(Assumptions!$B$44:$F$44,K36))),0)))</f>
        <v>83.7</v>
      </c>
      <c r="L41" s="53">
        <f>MIN(1,Assumptions!$B$91*Assumptions!$B$37)*IF(Assumptions!$B$95=0,0,IF(L36=0,Assumptions!$B$96,IF(L36&gt;=1,L37*IF(OR(Assumptions!$B$92&lt;1,L36&gt;5),Assumptions!$B$95,MAX(Assumptions!$B$95,INDEX(Assumptions!$B$44:$F$44,L36))),0)))</f>
        <v>90.0</v>
      </c>
      <c r="M41" s="53">
        <f>MIN(1,Assumptions!$B$91*Assumptions!$B$37)*IF(Assumptions!$B$95=0,0,IF(M36=0,Assumptions!$B$96,IF(M36&gt;=1,M37*IF(OR(Assumptions!$B$92&lt;1,M36&gt;5),Assumptions!$B$95,MAX(Assumptions!$B$95,INDEX(Assumptions!$B$44:$F$44,M36))),0)))</f>
        <v>90.0</v>
      </c>
      <c r="N41" s="53">
        <f>MIN(1,Assumptions!$B$91*Assumptions!$B$37)*IF(Assumptions!$B$95=0,0,IF(N36=0,Assumptions!$B$96,IF(N36&gt;=1,N37*IF(OR(Assumptions!$B$92&lt;1,N36&gt;5),Assumptions!$B$95,MAX(Assumptions!$B$95,INDEX(Assumptions!$B$44:$F$44,N36))),0)))</f>
        <v>90.0</v>
      </c>
      <c r="O41" s="53">
        <f>MIN(1,Assumptions!$B$91*Assumptions!$B$37)*IF(Assumptions!$B$95=0,0,IF(O36=0,Assumptions!$B$96,IF(O36&gt;=1,O37*IF(OR(Assumptions!$B$92&lt;1,O36&gt;5),Assumptions!$B$95,MAX(Assumptions!$B$95,INDEX(Assumptions!$B$44:$F$44,O36))),0)))</f>
        <v>90.0</v>
      </c>
      <c r="P41" s="53">
        <f>MIN(1,Assumptions!$B$91*Assumptions!$B$37)*IF(Assumptions!$B$95=0,0,IF(P36=0,Assumptions!$B$96,IF(P36&gt;=1,P37*IF(OR(Assumptions!$B$92&lt;1,P36&gt;5),Assumptions!$B$95,MAX(Assumptions!$B$95,INDEX(Assumptions!$B$44:$F$44,P36))),0)))</f>
        <v>90.0</v>
      </c>
      <c r="Q41" s="53">
        <f>MIN(1,Assumptions!$B$91*Assumptions!$B$37)*IF(Assumptions!$B$95=0,0,IF(Q36=0,Assumptions!$B$96,IF(Q36&gt;=1,Q37*IF(OR(Assumptions!$B$92&lt;1,Q36&gt;5),Assumptions!$B$95,MAX(Assumptions!$B$95,INDEX(Assumptions!$B$44:$F$44,Q36))),0)))</f>
        <v>36.0</v>
      </c>
      <c r="R41" s="53">
        <f>MIN(1,Assumptions!$B$91*Assumptions!$B$37)*IF(Assumptions!$B$95=0,0,IF(R36=0,Assumptions!$B$96,IF(R36&gt;=1,R37*IF(OR(Assumptions!$B$92&lt;1,R36&gt;5),Assumptions!$B$95,MAX(Assumptions!$B$95,INDEX(Assumptions!$B$44:$F$44,R36))),0)))</f>
        <v>14.399999999999999</v>
      </c>
      <c r="S41" s="53">
        <f>MIN(1,Assumptions!$B$91*Assumptions!$B$37)*IF(Assumptions!$B$95=0,0,IF(S36=0,Assumptions!$B$96,IF(S36&gt;=1,S37*IF(OR(Assumptions!$B$92&lt;1,S36&gt;5),Assumptions!$B$95,MAX(Assumptions!$B$95,INDEX(Assumptions!$B$44:$F$44,S36))),0)))</f>
        <v>5.76</v>
      </c>
      <c r="T41" s="53">
        <f>MIN(1,Assumptions!$B$91*Assumptions!$B$37)*IF(Assumptions!$B$95=0,0,IF(T36=0,Assumptions!$B$96,IF(T36&gt;=1,T37*IF(OR(Assumptions!$B$92&lt;1,T36&gt;5),Assumptions!$B$95,MAX(Assumptions!$B$95,INDEX(Assumptions!$B$44:$F$44,T36))),0)))</f>
        <v>2.304</v>
      </c>
      <c r="U41" s="53">
        <f>MIN(1,Assumptions!$B$91*Assumptions!$B$37)*IF(Assumptions!$B$95=0,0,IF(U36=0,Assumptions!$B$96,IF(U36&gt;=1,U37*IF(OR(Assumptions!$B$92&lt;1,U36&gt;5),Assumptions!$B$95,MAX(Assumptions!$B$95,INDEX(Assumptions!$B$44:$F$44,U36))),0)))</f>
        <v>0.9216000000000001</v>
      </c>
      <c r="V41" s="53">
        <f>MIN(1,Assumptions!$B$91*Assumptions!$B$37)*IF(Assumptions!$B$95=0,0,IF(V36=0,Assumptions!$B$96,IF(V36&gt;=1,V37*IF(OR(Assumptions!$B$92&lt;1,V36&gt;5),Assumptions!$B$95,MAX(Assumptions!$B$95,INDEX(Assumptions!$B$44:$F$44,V36))),0)))</f>
        <v>0.3686400000000001</v>
      </c>
      <c r="W41" s="53">
        <f>MIN(1,Assumptions!$B$91*Assumptions!$B$37)*IF(Assumptions!$B$95=0,0,IF(W36=0,Assumptions!$B$96,IF(W36&gt;=1,W37*IF(OR(Assumptions!$B$92&lt;1,W36&gt;5),Assumptions!$B$95,MAX(Assumptions!$B$95,INDEX(Assumptions!$B$44:$F$44,W36))),0)))</f>
        <v>0.14745600000000003</v>
      </c>
      <c r="X41" s="53">
        <f>MIN(1,Assumptions!$B$91*Assumptions!$B$37)*IF(Assumptions!$B$95=0,0,IF(X36=0,Assumptions!$B$96,IF(X36&gt;=1,X37*IF(OR(Assumptions!$B$92&lt;1,X36&gt;5),Assumptions!$B$95,MAX(Assumptions!$B$95,INDEX(Assumptions!$B$44:$F$44,X36))),0)))</f>
        <v>0.058982400000000025</v>
      </c>
      <c r="Y41" s="53">
        <f>MIN(1,Assumptions!$B$91*Assumptions!$B$37)*IF(Assumptions!$B$95=0,0,IF(Y36=0,Assumptions!$B$96,IF(Y36&gt;=1,Y37*IF(OR(Assumptions!$B$92&lt;1,Y36&gt;5),Assumptions!$B$95,MAX(Assumptions!$B$95,INDEX(Assumptions!$B$44:$F$44,Y36))),0)))</f>
        <v>0.023592960000000007</v>
      </c>
      <c r="Z41" s="53">
        <f>MIN(1,Assumptions!$B$91*Assumptions!$B$37)*IF(Assumptions!$B$95=0,0,IF(Z36=0,Assumptions!$B$96,IF(Z36&gt;=1,Z37*IF(OR(Assumptions!$B$92&lt;1,Z36&gt;5),Assumptions!$B$95,MAX(Assumptions!$B$95,INDEX(Assumptions!$B$44:$F$44,Z36))),0)))</f>
        <v>0.009437184000000003</v>
      </c>
    </row>
    <row r="42">
      <c r="A42" s="13" t="inlineStr">
        <is>
          <t>Development R&amp;D, risk-adjusted</t>
        </is>
      </c>
      <c r="C42" s="53">
        <f>IFERROR(INDEX(Assumptions!$B$101:$I$101,MATCH(C$2,Assumptions!$B$100:$I$100,0))*INDEX(Assumptions!$B$102:$I$102,MATCH(C$2,Assumptions!$B$100:$I$100,0)),0)</f>
        <v>80.0</v>
      </c>
      <c r="D42" s="53">
        <f>IFERROR(INDEX(Assumptions!$B$101:$I$101,MATCH(D$2,Assumptions!$B$100:$I$100,0))*INDEX(Assumptions!$B$102:$I$102,MATCH(D$2,Assumptions!$B$100:$I$100,0)),0)</f>
        <v>60.0</v>
      </c>
      <c r="E42" s="53">
        <f>IFERROR(INDEX(Assumptions!$B$101:$I$101,MATCH(E$2,Assumptions!$B$100:$I$100,0))*INDEX(Assumptions!$B$102:$I$102,MATCH(E$2,Assumptions!$B$100:$I$100,0)),0)</f>
        <v>7.0</v>
      </c>
      <c r="F42" s="53">
        <f>IFERROR(INDEX(Assumptions!$B$101:$I$101,MATCH(F$2,Assumptions!$B$100:$I$100,0))*INDEX(Assumptions!$B$102:$I$102,MATCH(F$2,Assumptions!$B$100:$I$100,0)),0)</f>
        <v>0.0</v>
      </c>
      <c r="G42" s="53">
        <f>IFERROR(INDEX(Assumptions!$B$101:$I$101,MATCH(G$2,Assumptions!$B$100:$I$100,0))*INDEX(Assumptions!$B$102:$I$102,MATCH(G$2,Assumptions!$B$100:$I$100,0)),0)</f>
        <v>0.0</v>
      </c>
      <c r="H42" s="53">
        <f>IFERROR(INDEX(Assumptions!$B$101:$I$101,MATCH(H$2,Assumptions!$B$100:$I$100,0))*INDEX(Assumptions!$B$102:$I$102,MATCH(H$2,Assumptions!$B$100:$I$100,0)),0)</f>
        <v>0.0</v>
      </c>
      <c r="I42" s="53">
        <f>IFERROR(INDEX(Assumptions!$B$101:$I$101,MATCH(I$2,Assumptions!$B$100:$I$100,0))*INDEX(Assumptions!$B$102:$I$102,MATCH(I$2,Assumptions!$B$100:$I$100,0)),0)</f>
        <v>0.0</v>
      </c>
      <c r="J42" s="53">
        <f>IFERROR(INDEX(Assumptions!$B$101:$I$101,MATCH(J$2,Assumptions!$B$100:$I$100,0))*INDEX(Assumptions!$B$102:$I$102,MATCH(J$2,Assumptions!$B$100:$I$100,0)),0)</f>
        <v>0.0</v>
      </c>
      <c r="K42" s="53">
        <f>IFERROR(INDEX(Assumptions!$B$101:$I$101,MATCH(K$2,Assumptions!$B$100:$I$100,0))*INDEX(Assumptions!$B$102:$I$102,MATCH(K$2,Assumptions!$B$100:$I$100,0)),0)</f>
        <v>0</v>
      </c>
      <c r="L42" s="53">
        <f>IFERROR(INDEX(Assumptions!$B$101:$I$101,MATCH(L$2,Assumptions!$B$100:$I$100,0))*INDEX(Assumptions!$B$102:$I$102,MATCH(L$2,Assumptions!$B$100:$I$100,0)),0)</f>
        <v>0</v>
      </c>
      <c r="M42" s="53">
        <f>IFERROR(INDEX(Assumptions!$B$101:$I$101,MATCH(M$2,Assumptions!$B$100:$I$100,0))*INDEX(Assumptions!$B$102:$I$102,MATCH(M$2,Assumptions!$B$100:$I$100,0)),0)</f>
        <v>0</v>
      </c>
      <c r="N42" s="53">
        <f>IFERROR(INDEX(Assumptions!$B$101:$I$101,MATCH(N$2,Assumptions!$B$100:$I$100,0))*INDEX(Assumptions!$B$102:$I$102,MATCH(N$2,Assumptions!$B$100:$I$100,0)),0)</f>
        <v>0</v>
      </c>
      <c r="O42" s="53">
        <f>IFERROR(INDEX(Assumptions!$B$101:$I$101,MATCH(O$2,Assumptions!$B$100:$I$100,0))*INDEX(Assumptions!$B$102:$I$102,MATCH(O$2,Assumptions!$B$100:$I$100,0)),0)</f>
        <v>0</v>
      </c>
      <c r="P42" s="53">
        <f>IFERROR(INDEX(Assumptions!$B$101:$I$101,MATCH(P$2,Assumptions!$B$100:$I$100,0))*INDEX(Assumptions!$B$102:$I$102,MATCH(P$2,Assumptions!$B$100:$I$100,0)),0)</f>
        <v>0</v>
      </c>
      <c r="Q42" s="53">
        <f>IFERROR(INDEX(Assumptions!$B$101:$I$101,MATCH(Q$2,Assumptions!$B$100:$I$100,0))*INDEX(Assumptions!$B$102:$I$102,MATCH(Q$2,Assumptions!$B$100:$I$100,0)),0)</f>
        <v>0</v>
      </c>
      <c r="R42" s="53">
        <f>IFERROR(INDEX(Assumptions!$B$101:$I$101,MATCH(R$2,Assumptions!$B$100:$I$100,0))*INDEX(Assumptions!$B$102:$I$102,MATCH(R$2,Assumptions!$B$100:$I$100,0)),0)</f>
        <v>0</v>
      </c>
      <c r="S42" s="53">
        <f>IFERROR(INDEX(Assumptions!$B$101:$I$101,MATCH(S$2,Assumptions!$B$100:$I$100,0))*INDEX(Assumptions!$B$102:$I$102,MATCH(S$2,Assumptions!$B$100:$I$100,0)),0)</f>
        <v>0</v>
      </c>
      <c r="T42" s="53">
        <f>IFERROR(INDEX(Assumptions!$B$101:$I$101,MATCH(T$2,Assumptions!$B$100:$I$100,0))*INDEX(Assumptions!$B$102:$I$102,MATCH(T$2,Assumptions!$B$100:$I$100,0)),0)</f>
        <v>0</v>
      </c>
      <c r="U42" s="53">
        <f>IFERROR(INDEX(Assumptions!$B$101:$I$101,MATCH(U$2,Assumptions!$B$100:$I$100,0))*INDEX(Assumptions!$B$102:$I$102,MATCH(U$2,Assumptions!$B$100:$I$100,0)),0)</f>
        <v>0</v>
      </c>
      <c r="V42" s="53">
        <f>IFERROR(INDEX(Assumptions!$B$101:$I$101,MATCH(V$2,Assumptions!$B$100:$I$100,0))*INDEX(Assumptions!$B$102:$I$102,MATCH(V$2,Assumptions!$B$100:$I$100,0)),0)</f>
        <v>0</v>
      </c>
      <c r="W42" s="53">
        <f>IFERROR(INDEX(Assumptions!$B$101:$I$101,MATCH(W$2,Assumptions!$B$100:$I$100,0))*INDEX(Assumptions!$B$102:$I$102,MATCH(W$2,Assumptions!$B$100:$I$100,0)),0)</f>
        <v>0</v>
      </c>
      <c r="X42" s="53">
        <f>IFERROR(INDEX(Assumptions!$B$101:$I$101,MATCH(X$2,Assumptions!$B$100:$I$100,0))*INDEX(Assumptions!$B$102:$I$102,MATCH(X$2,Assumptions!$B$100:$I$100,0)),0)</f>
        <v>0</v>
      </c>
      <c r="Y42" s="53">
        <f>IFERROR(INDEX(Assumptions!$B$101:$I$101,MATCH(Y$2,Assumptions!$B$100:$I$100,0))*INDEX(Assumptions!$B$102:$I$102,MATCH(Y$2,Assumptions!$B$100:$I$100,0)),0)</f>
        <v>0</v>
      </c>
      <c r="Z42" s="53">
        <f>IFERROR(INDEX(Assumptions!$B$101:$I$101,MATCH(Z$2,Assumptions!$B$100:$I$100,0))*INDEX(Assumptions!$B$102:$I$102,MATCH(Z$2,Assumptions!$B$100:$I$100,0)),0)</f>
        <v>0</v>
      </c>
    </row>
    <row r="43">
      <c r="A43" s="22" t="inlineStr">
        <is>
          <t>Program contribution (pre-tax)</t>
        </is>
      </c>
      <c r="C43" s="57">
        <f>C39-C40-C41-C42</f>
        <v>-80.0</v>
      </c>
      <c r="D43" s="57">
        <f>D39-D40-D41-D42</f>
        <v>-60.0</v>
      </c>
      <c r="E43" s="57">
        <f>E39-E40-E41-E42</f>
        <v>-19.0</v>
      </c>
      <c r="F43" s="57">
        <f>F39-F40-F41-F42</f>
        <v>-0.3000000000000007</v>
      </c>
      <c r="G43" s="57">
        <f>G39-G40-G41-G42</f>
        <v>25.5</v>
      </c>
      <c r="H43" s="57">
        <f>H39-H40-H41-H42</f>
        <v>66.15</v>
      </c>
      <c r="I43" s="57">
        <f>I39-I40-I41-I42</f>
        <v>111.15</v>
      </c>
      <c r="J43" s="57">
        <f>J39-J40-J41-J42</f>
        <v>145.14</v>
      </c>
      <c r="K43" s="57">
        <f>K39-K40-K41-K42</f>
        <v>164.61</v>
      </c>
      <c r="L43" s="57">
        <f>L39-L40-L41-L42</f>
        <v>177.0</v>
      </c>
      <c r="M43" s="57">
        <f>M39-M40-M41-M42</f>
        <v>177.0</v>
      </c>
      <c r="N43" s="57">
        <f>N39-N40-N41-N42</f>
        <v>177.0</v>
      </c>
      <c r="O43" s="57">
        <f>O39-O40-O41-O42</f>
        <v>177.0</v>
      </c>
      <c r="P43" s="57">
        <f>P39-P40-P41-P42</f>
        <v>177.0</v>
      </c>
      <c r="Q43" s="57">
        <f>Q39-Q40-Q41-Q42</f>
        <v>70.8</v>
      </c>
      <c r="R43" s="57">
        <f>R39-R40-R41-R42</f>
        <v>28.32</v>
      </c>
      <c r="S43" s="57">
        <f>S39-S40-S41-S42</f>
        <v>11.328000000000001</v>
      </c>
      <c r="T43" s="57">
        <f>T39-T40-T41-T42</f>
        <v>4.5312</v>
      </c>
      <c r="U43" s="57">
        <f>U39-U40-U41-U42</f>
        <v>1.8124800000000003</v>
      </c>
      <c r="V43" s="57">
        <f>V39-V40-V41-V42</f>
        <v>0.7249920000000003</v>
      </c>
      <c r="W43" s="57">
        <f>W39-W40-W41-W42</f>
        <v>0.28999680000000005</v>
      </c>
      <c r="X43" s="57">
        <f>X39-X40-X41-X42</f>
        <v>0.11599872000000006</v>
      </c>
      <c r="Y43" s="57">
        <f>Y39-Y40-Y41-Y42</f>
        <v>0.046399488000000016</v>
      </c>
      <c r="Z43" s="57">
        <f>Z39-Z40-Z41-Z42</f>
        <v>0.018559795200000007</v>
      </c>
    </row>
    <row r="45">
      <c r="A45" s="30" t="inlineStr">
        <is>
          <t>Ulacamten — HFpEF (Phase 2)</t>
        </is>
      </c>
    </row>
    <row r="46">
      <c r="A46" s="13" t="inlineStr">
        <is>
          <t>Years since launch</t>
        </is>
      </c>
      <c r="C46" s="64">
        <f>C$2-Assumptions!$B$105+1</f>
        <v>-4.0</v>
      </c>
      <c r="D46" s="64">
        <f>D$2-Assumptions!$B$105+1</f>
        <v>-3.0</v>
      </c>
      <c r="E46" s="64">
        <f>E$2-Assumptions!$B$105+1</f>
        <v>-2.0</v>
      </c>
      <c r="F46" s="64">
        <f>F$2-Assumptions!$B$105+1</f>
        <v>-1.0</v>
      </c>
      <c r="G46" s="64">
        <f>G$2-Assumptions!$B$105+1</f>
        <v>0.0</v>
      </c>
      <c r="H46" s="64">
        <f>H$2-Assumptions!$B$105+1</f>
        <v>1.0</v>
      </c>
      <c r="I46" s="64">
        <f>I$2-Assumptions!$B$105+1</f>
        <v>2.0</v>
      </c>
      <c r="J46" s="64">
        <f>J$2-Assumptions!$B$105+1</f>
        <v>3.0</v>
      </c>
      <c r="K46" s="64">
        <f>K$2-Assumptions!$B$105+1</f>
        <v>4.0</v>
      </c>
      <c r="L46" s="64">
        <f>L$2-Assumptions!$B$105+1</f>
        <v>5.0</v>
      </c>
      <c r="M46" s="64">
        <f>M$2-Assumptions!$B$105+1</f>
        <v>6.0</v>
      </c>
      <c r="N46" s="64">
        <f>N$2-Assumptions!$B$105+1</f>
        <v>7.0</v>
      </c>
      <c r="O46" s="64">
        <f>O$2-Assumptions!$B$105+1</f>
        <v>8.0</v>
      </c>
      <c r="P46" s="64">
        <f>P$2-Assumptions!$B$105+1</f>
        <v>9.0</v>
      </c>
      <c r="Q46" s="64">
        <f>Q$2-Assumptions!$B$105+1</f>
        <v>10.0</v>
      </c>
      <c r="R46" s="64">
        <f>R$2-Assumptions!$B$105+1</f>
        <v>11.0</v>
      </c>
      <c r="S46" s="64">
        <f>S$2-Assumptions!$B$105+1</f>
        <v>12.0</v>
      </c>
      <c r="T46" s="64">
        <f>T$2-Assumptions!$B$105+1</f>
        <v>13.0</v>
      </c>
      <c r="U46" s="64">
        <f>U$2-Assumptions!$B$105+1</f>
        <v>14.0</v>
      </c>
      <c r="V46" s="64">
        <f>V$2-Assumptions!$B$105+1</f>
        <v>15.0</v>
      </c>
      <c r="W46" s="64">
        <f>W$2-Assumptions!$B$105+1</f>
        <v>16.0</v>
      </c>
      <c r="X46" s="64">
        <f>X$2-Assumptions!$B$105+1</f>
        <v>17.0</v>
      </c>
      <c r="Y46" s="64">
        <f>Y$2-Assumptions!$B$105+1</f>
        <v>18.0</v>
      </c>
      <c r="Z46" s="64">
        <f>Z$2-Assumptions!$B$105+1</f>
        <v>19.0</v>
      </c>
    </row>
    <row r="47">
      <c r="A47" s="13" t="inlineStr">
        <is>
          <t>Net sales, unrisked</t>
        </is>
      </c>
      <c r="C47" s="53">
        <f>IF(C$2&gt;Assumptions!$B$114,0*(1-Assumptions!$B$115),IF(C46&gt;=1,Assumptions!$B$106*CHOOSE(Assumptions!$B$113,INDEX(Assumptions!$B$42:$H$42,MIN(C46,7)),INDEX(Assumptions!$B$43:$H$43,MIN(C46,7))),0))</f>
        <v>0</v>
      </c>
      <c r="D47" s="53">
        <f>IF(D$2&gt;Assumptions!$B$114,C47*(1-Assumptions!$B$115),IF(D46&gt;=1,Assumptions!$B$106*CHOOSE(Assumptions!$B$113,INDEX(Assumptions!$B$42:$H$42,MIN(D46,7)),INDEX(Assumptions!$B$43:$H$43,MIN(D46,7))),0))</f>
        <v>0</v>
      </c>
      <c r="E47" s="53">
        <f>IF(E$2&gt;Assumptions!$B$114,D47*(1-Assumptions!$B$115),IF(E46&gt;=1,Assumptions!$B$106*CHOOSE(Assumptions!$B$113,INDEX(Assumptions!$B$42:$H$42,MIN(E46,7)),INDEX(Assumptions!$B$43:$H$43,MIN(E46,7))),0))</f>
        <v>0</v>
      </c>
      <c r="F47" s="53">
        <f>IF(F$2&gt;Assumptions!$B$114,E47*(1-Assumptions!$B$115),IF(F46&gt;=1,Assumptions!$B$106*CHOOSE(Assumptions!$B$113,INDEX(Assumptions!$B$42:$H$42,MIN(F46,7)),INDEX(Assumptions!$B$43:$H$43,MIN(F46,7))),0))</f>
        <v>0</v>
      </c>
      <c r="G47" s="53">
        <f>IF(G$2&gt;Assumptions!$B$114,F47*(1-Assumptions!$B$115),IF(G46&gt;=1,Assumptions!$B$106*CHOOSE(Assumptions!$B$113,INDEX(Assumptions!$B$42:$H$42,MIN(G46,7)),INDEX(Assumptions!$B$43:$H$43,MIN(G46,7))),0))</f>
        <v>0</v>
      </c>
      <c r="H47" s="53">
        <f>IF(H$2&gt;Assumptions!$B$114,G47*(1-Assumptions!$B$115),IF(H46&gt;=1,Assumptions!$B$106*CHOOSE(Assumptions!$B$113,INDEX(Assumptions!$B$42:$H$42,MIN(H46,7)),INDEX(Assumptions!$B$43:$H$43,MIN(H46,7))),0))</f>
        <v>150.0</v>
      </c>
      <c r="I47" s="53">
        <f>IF(I$2&gt;Assumptions!$B$114,H47*(1-Assumptions!$B$115),IF(I46&gt;=1,Assumptions!$B$106*CHOOSE(Assumptions!$B$113,INDEX(Assumptions!$B$42:$H$42,MIN(I46,7)),INDEX(Assumptions!$B$43:$H$43,MIN(I46,7))),0))</f>
        <v>375.0</v>
      </c>
      <c r="J47" s="53">
        <f>IF(J$2&gt;Assumptions!$B$114,I47*(1-Assumptions!$B$115),IF(J46&gt;=1,Assumptions!$B$106*CHOOSE(Assumptions!$B$113,INDEX(Assumptions!$B$42:$H$42,MIN(J46,7)),INDEX(Assumptions!$B$43:$H$43,MIN(J46,7))),0))</f>
        <v>675.0</v>
      </c>
      <c r="K47" s="53">
        <f>IF(K$2&gt;Assumptions!$B$114,J47*(1-Assumptions!$B$115),IF(K46&gt;=1,Assumptions!$B$106*CHOOSE(Assumptions!$B$113,INDEX(Assumptions!$B$42:$H$42,MIN(K46,7)),INDEX(Assumptions!$B$43:$H$43,MIN(K46,7))),0))</f>
        <v>975.0</v>
      </c>
      <c r="L47" s="53">
        <f>IF(L$2&gt;Assumptions!$B$114,K47*(1-Assumptions!$B$115),IF(L46&gt;=1,Assumptions!$B$106*CHOOSE(Assumptions!$B$113,INDEX(Assumptions!$B$42:$H$42,MIN(L46,7)),INDEX(Assumptions!$B$43:$H$43,MIN(L46,7))),0))</f>
        <v>1230.0</v>
      </c>
      <c r="M47" s="53">
        <f>IF(M$2&gt;Assumptions!$B$114,L47*(1-Assumptions!$B$115),IF(M46&gt;=1,Assumptions!$B$106*CHOOSE(Assumptions!$B$113,INDEX(Assumptions!$B$42:$H$42,MIN(M46,7)),INDEX(Assumptions!$B$43:$H$43,MIN(M46,7))),0))</f>
        <v>1395.0</v>
      </c>
      <c r="N47" s="53">
        <f>IF(N$2&gt;Assumptions!$B$114,M47*(1-Assumptions!$B$115),IF(N46&gt;=1,Assumptions!$B$106*CHOOSE(Assumptions!$B$113,INDEX(Assumptions!$B$42:$H$42,MIN(N46,7)),INDEX(Assumptions!$B$43:$H$43,MIN(N46,7))),0))</f>
        <v>1500.0</v>
      </c>
      <c r="O47" s="53">
        <f>IF(O$2&gt;Assumptions!$B$114,N47*(1-Assumptions!$B$115),IF(O46&gt;=1,Assumptions!$B$106*CHOOSE(Assumptions!$B$113,INDEX(Assumptions!$B$42:$H$42,MIN(O46,7)),INDEX(Assumptions!$B$43:$H$43,MIN(O46,7))),0))</f>
        <v>1500.0</v>
      </c>
      <c r="P47" s="53">
        <f>IF(P$2&gt;Assumptions!$B$114,O47*(1-Assumptions!$B$115),IF(P46&gt;=1,Assumptions!$B$106*CHOOSE(Assumptions!$B$113,INDEX(Assumptions!$B$42:$H$42,MIN(P46,7)),INDEX(Assumptions!$B$43:$H$43,MIN(P46,7))),0))</f>
        <v>1500.0</v>
      </c>
      <c r="Q47" s="53">
        <f>IF(Q$2&gt;Assumptions!$B$114,P47*(1-Assumptions!$B$115),IF(Q46&gt;=1,Assumptions!$B$106*CHOOSE(Assumptions!$B$113,INDEX(Assumptions!$B$42:$H$42,MIN(Q46,7)),INDEX(Assumptions!$B$43:$H$43,MIN(Q46,7))),0))</f>
        <v>1500.0</v>
      </c>
      <c r="R47" s="53">
        <f>IF(R$2&gt;Assumptions!$B$114,Q47*(1-Assumptions!$B$115),IF(R46&gt;=1,Assumptions!$B$106*CHOOSE(Assumptions!$B$113,INDEX(Assumptions!$B$42:$H$42,MIN(R46,7)),INDEX(Assumptions!$B$43:$H$43,MIN(R46,7))),0))</f>
        <v>1500.0</v>
      </c>
      <c r="S47" s="53">
        <f>IF(S$2&gt;Assumptions!$B$114,R47*(1-Assumptions!$B$115),IF(S46&gt;=1,Assumptions!$B$106*CHOOSE(Assumptions!$B$113,INDEX(Assumptions!$B$42:$H$42,MIN(S46,7)),INDEX(Assumptions!$B$43:$H$43,MIN(S46,7))),0))</f>
        <v>1500.0</v>
      </c>
      <c r="T47" s="53">
        <f>IF(T$2&gt;Assumptions!$B$114,S47*(1-Assumptions!$B$115),IF(T46&gt;=1,Assumptions!$B$106*CHOOSE(Assumptions!$B$113,INDEX(Assumptions!$B$42:$H$42,MIN(T46,7)),INDEX(Assumptions!$B$43:$H$43,MIN(T46,7))),0))</f>
        <v>1500.0</v>
      </c>
      <c r="U47" s="53">
        <f>IF(U$2&gt;Assumptions!$B$114,T47*(1-Assumptions!$B$115),IF(U46&gt;=1,Assumptions!$B$106*CHOOSE(Assumptions!$B$113,INDEX(Assumptions!$B$42:$H$42,MIN(U46,7)),INDEX(Assumptions!$B$43:$H$43,MIN(U46,7))),0))</f>
        <v>1500.0</v>
      </c>
      <c r="V47" s="53">
        <f>IF(V$2&gt;Assumptions!$B$114,U47*(1-Assumptions!$B$115),IF(V46&gt;=1,Assumptions!$B$106*CHOOSE(Assumptions!$B$113,INDEX(Assumptions!$B$42:$H$42,MIN(V46,7)),INDEX(Assumptions!$B$43:$H$43,MIN(V46,7))),0))</f>
        <v>600.0</v>
      </c>
      <c r="W47" s="53">
        <f>IF(W$2&gt;Assumptions!$B$114,V47*(1-Assumptions!$B$115),IF(W46&gt;=1,Assumptions!$B$106*CHOOSE(Assumptions!$B$113,INDEX(Assumptions!$B$42:$H$42,MIN(W46,7)),INDEX(Assumptions!$B$43:$H$43,MIN(W46,7))),0))</f>
        <v>240.0</v>
      </c>
      <c r="X47" s="53">
        <f>IF(X$2&gt;Assumptions!$B$114,W47*(1-Assumptions!$B$115),IF(X46&gt;=1,Assumptions!$B$106*CHOOSE(Assumptions!$B$113,INDEX(Assumptions!$B$42:$H$42,MIN(X46,7)),INDEX(Assumptions!$B$43:$H$43,MIN(X46,7))),0))</f>
        <v>96.0</v>
      </c>
      <c r="Y47" s="53">
        <f>IF(Y$2&gt;Assumptions!$B$114,X47*(1-Assumptions!$B$115),IF(Y46&gt;=1,Assumptions!$B$106*CHOOSE(Assumptions!$B$113,INDEX(Assumptions!$B$42:$H$42,MIN(Y46,7)),INDEX(Assumptions!$B$43:$H$43,MIN(Y46,7))),0))</f>
        <v>38.400000000000006</v>
      </c>
      <c r="Z47" s="53">
        <f>IF(Z$2&gt;Assumptions!$B$114,Y47*(1-Assumptions!$B$115),IF(Z46&gt;=1,Assumptions!$B$106*CHOOSE(Assumptions!$B$113,INDEX(Assumptions!$B$42:$H$42,MIN(Z46,7)),INDEX(Assumptions!$B$43:$H$43,MIN(Z46,7))),0))</f>
        <v>15.360000000000003</v>
      </c>
    </row>
    <row r="48">
      <c r="A48" s="13" t="inlineStr">
        <is>
          <t>Product net sales, risk-adjusted</t>
        </is>
      </c>
      <c r="C48" s="53">
        <f>C47*MIN(1,Assumptions!$B$107*Assumptions!$B$37)</f>
        <v>0.0</v>
      </c>
      <c r="D48" s="53">
        <f>D47*MIN(1,Assumptions!$B$107*Assumptions!$B$37)</f>
        <v>0.0</v>
      </c>
      <c r="E48" s="53">
        <f>E47*MIN(1,Assumptions!$B$107*Assumptions!$B$37)</f>
        <v>0.0</v>
      </c>
      <c r="F48" s="53">
        <f>F47*MIN(1,Assumptions!$B$107*Assumptions!$B$37)</f>
        <v>0.0</v>
      </c>
      <c r="G48" s="53">
        <f>G47*MIN(1,Assumptions!$B$107*Assumptions!$B$37)</f>
        <v>0.0</v>
      </c>
      <c r="H48" s="53">
        <f>H47*MIN(1,Assumptions!$B$107*Assumptions!$B$37)</f>
        <v>15.0</v>
      </c>
      <c r="I48" s="53">
        <f>I47*MIN(1,Assumptions!$B$107*Assumptions!$B$37)</f>
        <v>37.5</v>
      </c>
      <c r="J48" s="53">
        <f>J47*MIN(1,Assumptions!$B$107*Assumptions!$B$37)</f>
        <v>67.5</v>
      </c>
      <c r="K48" s="53">
        <f>K47*MIN(1,Assumptions!$B$107*Assumptions!$B$37)</f>
        <v>97.5</v>
      </c>
      <c r="L48" s="53">
        <f>L47*MIN(1,Assumptions!$B$107*Assumptions!$B$37)</f>
        <v>123.0</v>
      </c>
      <c r="M48" s="53">
        <f>M47*MIN(1,Assumptions!$B$107*Assumptions!$B$37)</f>
        <v>139.5</v>
      </c>
      <c r="N48" s="53">
        <f>N47*MIN(1,Assumptions!$B$107*Assumptions!$B$37)</f>
        <v>150.0</v>
      </c>
      <c r="O48" s="53">
        <f>O47*MIN(1,Assumptions!$B$107*Assumptions!$B$37)</f>
        <v>150.0</v>
      </c>
      <c r="P48" s="53">
        <f>P47*MIN(1,Assumptions!$B$107*Assumptions!$B$37)</f>
        <v>150.0</v>
      </c>
      <c r="Q48" s="53">
        <f>Q47*MIN(1,Assumptions!$B$107*Assumptions!$B$37)</f>
        <v>150.0</v>
      </c>
      <c r="R48" s="53">
        <f>R47*MIN(1,Assumptions!$B$107*Assumptions!$B$37)</f>
        <v>150.0</v>
      </c>
      <c r="S48" s="53">
        <f>S47*MIN(1,Assumptions!$B$107*Assumptions!$B$37)</f>
        <v>150.0</v>
      </c>
      <c r="T48" s="53">
        <f>T47*MIN(1,Assumptions!$B$107*Assumptions!$B$37)</f>
        <v>150.0</v>
      </c>
      <c r="U48" s="53">
        <f>U47*MIN(1,Assumptions!$B$107*Assumptions!$B$37)</f>
        <v>150.0</v>
      </c>
      <c r="V48" s="53">
        <f>V47*MIN(1,Assumptions!$B$107*Assumptions!$B$37)</f>
        <v>60.0</v>
      </c>
      <c r="W48" s="53">
        <f>W47*MIN(1,Assumptions!$B$107*Assumptions!$B$37)</f>
        <v>24.0</v>
      </c>
      <c r="X48" s="53">
        <f>X47*MIN(1,Assumptions!$B$107*Assumptions!$B$37)</f>
        <v>9.600000000000001</v>
      </c>
      <c r="Y48" s="53">
        <f>Y47*MIN(1,Assumptions!$B$107*Assumptions!$B$37)</f>
        <v>3.8400000000000007</v>
      </c>
      <c r="Z48" s="53">
        <f>Z47*MIN(1,Assumptions!$B$107*Assumptions!$B$37)</f>
        <v>1.5360000000000005</v>
      </c>
    </row>
    <row r="49">
      <c r="A49" s="13" t="inlineStr">
        <is>
          <t>Company revenue, risk-adjusted (incl. milestones)</t>
        </is>
      </c>
      <c r="C49" s="53">
        <f>C48*Assumptions!$B$108</f>
        <v>0.0</v>
      </c>
      <c r="D49" s="53">
        <f>D48*Assumptions!$B$108</f>
        <v>0.0</v>
      </c>
      <c r="E49" s="53">
        <f>E48*Assumptions!$B$108</f>
        <v>0.0</v>
      </c>
      <c r="F49" s="53">
        <f>F48*Assumptions!$B$108</f>
        <v>0.0</v>
      </c>
      <c r="G49" s="53">
        <f>G48*Assumptions!$B$108</f>
        <v>0.0</v>
      </c>
      <c r="H49" s="53">
        <f>H48*Assumptions!$B$108</f>
        <v>15.0</v>
      </c>
      <c r="I49" s="53">
        <f>I48*Assumptions!$B$108</f>
        <v>37.5</v>
      </c>
      <c r="J49" s="53">
        <f>J48*Assumptions!$B$108</f>
        <v>67.5</v>
      </c>
      <c r="K49" s="53">
        <f>K48*Assumptions!$B$108</f>
        <v>97.5</v>
      </c>
      <c r="L49" s="53">
        <f>L48*Assumptions!$B$108</f>
        <v>123.0</v>
      </c>
      <c r="M49" s="53">
        <f>M48*Assumptions!$B$108</f>
        <v>139.5</v>
      </c>
      <c r="N49" s="53">
        <f>N48*Assumptions!$B$108</f>
        <v>150.0</v>
      </c>
      <c r="O49" s="53">
        <f>O48*Assumptions!$B$108</f>
        <v>150.0</v>
      </c>
      <c r="P49" s="53">
        <f>P48*Assumptions!$B$108</f>
        <v>150.0</v>
      </c>
      <c r="Q49" s="53">
        <f>Q48*Assumptions!$B$108</f>
        <v>150.0</v>
      </c>
      <c r="R49" s="53">
        <f>R48*Assumptions!$B$108</f>
        <v>150.0</v>
      </c>
      <c r="S49" s="53">
        <f>S48*Assumptions!$B$108</f>
        <v>150.0</v>
      </c>
      <c r="T49" s="53">
        <f>T48*Assumptions!$B$108</f>
        <v>150.0</v>
      </c>
      <c r="U49" s="53">
        <f>U48*Assumptions!$B$108</f>
        <v>150.0</v>
      </c>
      <c r="V49" s="53">
        <f>V48*Assumptions!$B$108</f>
        <v>60.0</v>
      </c>
      <c r="W49" s="53">
        <f>W48*Assumptions!$B$108</f>
        <v>24.0</v>
      </c>
      <c r="X49" s="53">
        <f>X48*Assumptions!$B$108</f>
        <v>9.600000000000001</v>
      </c>
      <c r="Y49" s="53">
        <f>Y48*Assumptions!$B$108</f>
        <v>3.8400000000000007</v>
      </c>
      <c r="Z49" s="53">
        <f>Z48*Assumptions!$B$108</f>
        <v>1.5360000000000005</v>
      </c>
    </row>
    <row r="50">
      <c r="A50" s="13" t="inlineStr">
        <is>
          <t>COGS + royalties, risk-adjusted</t>
        </is>
      </c>
      <c r="C50" s="53">
        <f>C48*(Assumptions!$B$109+Assumptions!$B$110)</f>
        <v>0.0</v>
      </c>
      <c r="D50" s="53">
        <f>D48*(Assumptions!$B$109+Assumptions!$B$110)</f>
        <v>0.0</v>
      </c>
      <c r="E50" s="53">
        <f>E48*(Assumptions!$B$109+Assumptions!$B$110)</f>
        <v>0.0</v>
      </c>
      <c r="F50" s="53">
        <f>F48*(Assumptions!$B$109+Assumptions!$B$110)</f>
        <v>0.0</v>
      </c>
      <c r="G50" s="53">
        <f>G48*(Assumptions!$B$109+Assumptions!$B$110)</f>
        <v>0.0</v>
      </c>
      <c r="H50" s="53">
        <f>H48*(Assumptions!$B$109+Assumptions!$B$110)</f>
        <v>1.425</v>
      </c>
      <c r="I50" s="53">
        <f>I48*(Assumptions!$B$109+Assumptions!$B$110)</f>
        <v>3.5625</v>
      </c>
      <c r="J50" s="53">
        <f>J48*(Assumptions!$B$109+Assumptions!$B$110)</f>
        <v>6.4125</v>
      </c>
      <c r="K50" s="53">
        <f>K48*(Assumptions!$B$109+Assumptions!$B$110)</f>
        <v>9.2625</v>
      </c>
      <c r="L50" s="53">
        <f>L48*(Assumptions!$B$109+Assumptions!$B$110)</f>
        <v>11.685</v>
      </c>
      <c r="M50" s="53">
        <f>M48*(Assumptions!$B$109+Assumptions!$B$110)</f>
        <v>13.2525</v>
      </c>
      <c r="N50" s="53">
        <f>N48*(Assumptions!$B$109+Assumptions!$B$110)</f>
        <v>14.25</v>
      </c>
      <c r="O50" s="53">
        <f>O48*(Assumptions!$B$109+Assumptions!$B$110)</f>
        <v>14.25</v>
      </c>
      <c r="P50" s="53">
        <f>P48*(Assumptions!$B$109+Assumptions!$B$110)</f>
        <v>14.25</v>
      </c>
      <c r="Q50" s="53">
        <f>Q48*(Assumptions!$B$109+Assumptions!$B$110)</f>
        <v>14.25</v>
      </c>
      <c r="R50" s="53">
        <f>R48*(Assumptions!$B$109+Assumptions!$B$110)</f>
        <v>14.25</v>
      </c>
      <c r="S50" s="53">
        <f>S48*(Assumptions!$B$109+Assumptions!$B$110)</f>
        <v>14.25</v>
      </c>
      <c r="T50" s="53">
        <f>T48*(Assumptions!$B$109+Assumptions!$B$110)</f>
        <v>14.25</v>
      </c>
      <c r="U50" s="53">
        <f>U48*(Assumptions!$B$109+Assumptions!$B$110)</f>
        <v>14.25</v>
      </c>
      <c r="V50" s="53">
        <f>V48*(Assumptions!$B$109+Assumptions!$B$110)</f>
        <v>5.7</v>
      </c>
      <c r="W50" s="53">
        <f>W48*(Assumptions!$B$109+Assumptions!$B$110)</f>
        <v>2.2800000000000002</v>
      </c>
      <c r="X50" s="53">
        <f>X48*(Assumptions!$B$109+Assumptions!$B$110)</f>
        <v>0.9120000000000001</v>
      </c>
      <c r="Y50" s="53">
        <f>Y48*(Assumptions!$B$109+Assumptions!$B$110)</f>
        <v>0.36480000000000007</v>
      </c>
      <c r="Z50" s="53">
        <f>Z48*(Assumptions!$B$109+Assumptions!$B$110)</f>
        <v>0.14592000000000005</v>
      </c>
    </row>
    <row r="51">
      <c r="A51" s="13" t="inlineStr">
        <is>
          <t>Commercial SG&amp;A, risk-adjusted</t>
        </is>
      </c>
      <c r="C51" s="53">
        <f>MIN(1,Assumptions!$B$107*Assumptions!$B$37)*IF(Assumptions!$B$111=0,0,IF(C46=0,Assumptions!$B$112,IF(C46&gt;=1,C47*IF(OR(Assumptions!$B$108&lt;1,C46&gt;5),Assumptions!$B$111,MAX(Assumptions!$B$111,INDEX(Assumptions!$B$44:$F$44,C46))),0)))</f>
        <v>0.0</v>
      </c>
      <c r="D51" s="53">
        <f>MIN(1,Assumptions!$B$107*Assumptions!$B$37)*IF(Assumptions!$B$111=0,0,IF(D46=0,Assumptions!$B$112,IF(D46&gt;=1,D47*IF(OR(Assumptions!$B$108&lt;1,D46&gt;5),Assumptions!$B$111,MAX(Assumptions!$B$111,INDEX(Assumptions!$B$44:$F$44,D46))),0)))</f>
        <v>0.0</v>
      </c>
      <c r="E51" s="53">
        <f>MIN(1,Assumptions!$B$107*Assumptions!$B$37)*IF(Assumptions!$B$111=0,0,IF(E46=0,Assumptions!$B$112,IF(E46&gt;=1,E47*IF(OR(Assumptions!$B$108&lt;1,E46&gt;5),Assumptions!$B$111,MAX(Assumptions!$B$111,INDEX(Assumptions!$B$44:$F$44,E46))),0)))</f>
        <v>0.0</v>
      </c>
      <c r="F51" s="53">
        <f>MIN(1,Assumptions!$B$107*Assumptions!$B$37)*IF(Assumptions!$B$111=0,0,IF(F46=0,Assumptions!$B$112,IF(F46&gt;=1,F47*IF(OR(Assumptions!$B$108&lt;1,F46&gt;5),Assumptions!$B$111,MAX(Assumptions!$B$111,INDEX(Assumptions!$B$44:$F$44,F46))),0)))</f>
        <v>0.0</v>
      </c>
      <c r="G51" s="53">
        <f>MIN(1,Assumptions!$B$107*Assumptions!$B$37)*IF(Assumptions!$B$111=0,0,IF(G46=0,Assumptions!$B$112,IF(G46&gt;=1,G47*IF(OR(Assumptions!$B$108&lt;1,G46&gt;5),Assumptions!$B$111,MAX(Assumptions!$B$111,INDEX(Assumptions!$B$44:$F$44,G46))),0)))</f>
        <v>4.0</v>
      </c>
      <c r="H51" s="53">
        <f>MIN(1,Assumptions!$B$107*Assumptions!$B$37)*IF(Assumptions!$B$111=0,0,IF(H46=0,Assumptions!$B$112,IF(H46&gt;=1,H47*IF(OR(Assumptions!$B$108&lt;1,H46&gt;5),Assumptions!$B$111,MAX(Assumptions!$B$111,INDEX(Assumptions!$B$44:$F$44,H46))),0)))</f>
        <v>13.5</v>
      </c>
      <c r="I51" s="53">
        <f>MIN(1,Assumptions!$B$107*Assumptions!$B$37)*IF(Assumptions!$B$111=0,0,IF(I46=0,Assumptions!$B$112,IF(I46&gt;=1,I47*IF(OR(Assumptions!$B$108&lt;1,I46&gt;5),Assumptions!$B$111,MAX(Assumptions!$B$111,INDEX(Assumptions!$B$44:$F$44,I46))),0)))</f>
        <v>20.625000000000004</v>
      </c>
      <c r="J51" s="53">
        <f>MIN(1,Assumptions!$B$107*Assumptions!$B$37)*IF(Assumptions!$B$111=0,0,IF(J46=0,Assumptions!$B$112,IF(J46&gt;=1,J47*IF(OR(Assumptions!$B$108&lt;1,J46&gt;5),Assumptions!$B$111,MAX(Assumptions!$B$111,INDEX(Assumptions!$B$44:$F$44,J46))),0)))</f>
        <v>27.0</v>
      </c>
      <c r="K51" s="53">
        <f>MIN(1,Assumptions!$B$107*Assumptions!$B$37)*IF(Assumptions!$B$111=0,0,IF(K46=0,Assumptions!$B$112,IF(K46&gt;=1,K47*IF(OR(Assumptions!$B$108&lt;1,K46&gt;5),Assumptions!$B$111,MAX(Assumptions!$B$111,INDEX(Assumptions!$B$44:$F$44,K46))),0)))</f>
        <v>31.200000000000003</v>
      </c>
      <c r="L51" s="53">
        <f>MIN(1,Assumptions!$B$107*Assumptions!$B$37)*IF(Assumptions!$B$111=0,0,IF(L46=0,Assumptions!$B$112,IF(L46&gt;=1,L47*IF(OR(Assumptions!$B$108&lt;1,L46&gt;5),Assumptions!$B$111,MAX(Assumptions!$B$111,INDEX(Assumptions!$B$44:$F$44,L46))),0)))</f>
        <v>36.9</v>
      </c>
      <c r="M51" s="53">
        <f>MIN(1,Assumptions!$B$107*Assumptions!$B$37)*IF(Assumptions!$B$111=0,0,IF(M46=0,Assumptions!$B$112,IF(M46&gt;=1,M47*IF(OR(Assumptions!$B$108&lt;1,M46&gt;5),Assumptions!$B$111,MAX(Assumptions!$B$111,INDEX(Assumptions!$B$44:$F$44,M46))),0)))</f>
        <v>41.85</v>
      </c>
      <c r="N51" s="53">
        <f>MIN(1,Assumptions!$B$107*Assumptions!$B$37)*IF(Assumptions!$B$111=0,0,IF(N46=0,Assumptions!$B$112,IF(N46&gt;=1,N47*IF(OR(Assumptions!$B$108&lt;1,N46&gt;5),Assumptions!$B$111,MAX(Assumptions!$B$111,INDEX(Assumptions!$B$44:$F$44,N46))),0)))</f>
        <v>45.0</v>
      </c>
      <c r="O51" s="53">
        <f>MIN(1,Assumptions!$B$107*Assumptions!$B$37)*IF(Assumptions!$B$111=0,0,IF(O46=0,Assumptions!$B$112,IF(O46&gt;=1,O47*IF(OR(Assumptions!$B$108&lt;1,O46&gt;5),Assumptions!$B$111,MAX(Assumptions!$B$111,INDEX(Assumptions!$B$44:$F$44,O46))),0)))</f>
        <v>45.0</v>
      </c>
      <c r="P51" s="53">
        <f>MIN(1,Assumptions!$B$107*Assumptions!$B$37)*IF(Assumptions!$B$111=0,0,IF(P46=0,Assumptions!$B$112,IF(P46&gt;=1,P47*IF(OR(Assumptions!$B$108&lt;1,P46&gt;5),Assumptions!$B$111,MAX(Assumptions!$B$111,INDEX(Assumptions!$B$44:$F$44,P46))),0)))</f>
        <v>45.0</v>
      </c>
      <c r="Q51" s="53">
        <f>MIN(1,Assumptions!$B$107*Assumptions!$B$37)*IF(Assumptions!$B$111=0,0,IF(Q46=0,Assumptions!$B$112,IF(Q46&gt;=1,Q47*IF(OR(Assumptions!$B$108&lt;1,Q46&gt;5),Assumptions!$B$111,MAX(Assumptions!$B$111,INDEX(Assumptions!$B$44:$F$44,Q46))),0)))</f>
        <v>45.0</v>
      </c>
      <c r="R51" s="53">
        <f>MIN(1,Assumptions!$B$107*Assumptions!$B$37)*IF(Assumptions!$B$111=0,0,IF(R46=0,Assumptions!$B$112,IF(R46&gt;=1,R47*IF(OR(Assumptions!$B$108&lt;1,R46&gt;5),Assumptions!$B$111,MAX(Assumptions!$B$111,INDEX(Assumptions!$B$44:$F$44,R46))),0)))</f>
        <v>45.0</v>
      </c>
      <c r="S51" s="53">
        <f>MIN(1,Assumptions!$B$107*Assumptions!$B$37)*IF(Assumptions!$B$111=0,0,IF(S46=0,Assumptions!$B$112,IF(S46&gt;=1,S47*IF(OR(Assumptions!$B$108&lt;1,S46&gt;5),Assumptions!$B$111,MAX(Assumptions!$B$111,INDEX(Assumptions!$B$44:$F$44,S46))),0)))</f>
        <v>45.0</v>
      </c>
      <c r="T51" s="53">
        <f>MIN(1,Assumptions!$B$107*Assumptions!$B$37)*IF(Assumptions!$B$111=0,0,IF(T46=0,Assumptions!$B$112,IF(T46&gt;=1,T47*IF(OR(Assumptions!$B$108&lt;1,T46&gt;5),Assumptions!$B$111,MAX(Assumptions!$B$111,INDEX(Assumptions!$B$44:$F$44,T46))),0)))</f>
        <v>45.0</v>
      </c>
      <c r="U51" s="53">
        <f>MIN(1,Assumptions!$B$107*Assumptions!$B$37)*IF(Assumptions!$B$111=0,0,IF(U46=0,Assumptions!$B$112,IF(U46&gt;=1,U47*IF(OR(Assumptions!$B$108&lt;1,U46&gt;5),Assumptions!$B$111,MAX(Assumptions!$B$111,INDEX(Assumptions!$B$44:$F$44,U46))),0)))</f>
        <v>45.0</v>
      </c>
      <c r="V51" s="53">
        <f>MIN(1,Assumptions!$B$107*Assumptions!$B$37)*IF(Assumptions!$B$111=0,0,IF(V46=0,Assumptions!$B$112,IF(V46&gt;=1,V47*IF(OR(Assumptions!$B$108&lt;1,V46&gt;5),Assumptions!$B$111,MAX(Assumptions!$B$111,INDEX(Assumptions!$B$44:$F$44,V46))),0)))</f>
        <v>18.0</v>
      </c>
      <c r="W51" s="53">
        <f>MIN(1,Assumptions!$B$107*Assumptions!$B$37)*IF(Assumptions!$B$111=0,0,IF(W46=0,Assumptions!$B$112,IF(W46&gt;=1,W47*IF(OR(Assumptions!$B$108&lt;1,W46&gt;5),Assumptions!$B$111,MAX(Assumptions!$B$111,INDEX(Assumptions!$B$44:$F$44,W46))),0)))</f>
        <v>7.2</v>
      </c>
      <c r="X51" s="53">
        <f>MIN(1,Assumptions!$B$107*Assumptions!$B$37)*IF(Assumptions!$B$111=0,0,IF(X46=0,Assumptions!$B$112,IF(X46&gt;=1,X47*IF(OR(Assumptions!$B$108&lt;1,X46&gt;5),Assumptions!$B$111,MAX(Assumptions!$B$111,INDEX(Assumptions!$B$44:$F$44,X46))),0)))</f>
        <v>2.88</v>
      </c>
      <c r="Y51" s="53">
        <f>MIN(1,Assumptions!$B$107*Assumptions!$B$37)*IF(Assumptions!$B$111=0,0,IF(Y46=0,Assumptions!$B$112,IF(Y46&gt;=1,Y47*IF(OR(Assumptions!$B$108&lt;1,Y46&gt;5),Assumptions!$B$111,MAX(Assumptions!$B$111,INDEX(Assumptions!$B$44:$F$44,Y46))),0)))</f>
        <v>1.1520000000000001</v>
      </c>
      <c r="Z51" s="53">
        <f>MIN(1,Assumptions!$B$107*Assumptions!$B$37)*IF(Assumptions!$B$111=0,0,IF(Z46=0,Assumptions!$B$112,IF(Z46&gt;=1,Z47*IF(OR(Assumptions!$B$108&lt;1,Z46&gt;5),Assumptions!$B$111,MAX(Assumptions!$B$111,INDEX(Assumptions!$B$44:$F$44,Z46))),0)))</f>
        <v>0.4608000000000001</v>
      </c>
    </row>
    <row r="52">
      <c r="A52" s="13" t="inlineStr">
        <is>
          <t>Development R&amp;D, risk-adjusted</t>
        </is>
      </c>
      <c r="C52" s="53">
        <f>IFERROR(INDEX(Assumptions!$B$117:$I$117,MATCH(C$2,Assumptions!$B$116:$I$116,0))*INDEX(Assumptions!$B$118:$I$118,MATCH(C$2,Assumptions!$B$116:$I$116,0)),0)</f>
        <v>30.0</v>
      </c>
      <c r="D52" s="53">
        <f>IFERROR(INDEX(Assumptions!$B$117:$I$117,MATCH(D$2,Assumptions!$B$116:$I$116,0))*INDEX(Assumptions!$B$118:$I$118,MATCH(D$2,Assumptions!$B$116:$I$116,0)),0)</f>
        <v>21.0</v>
      </c>
      <c r="E52" s="53">
        <f>IFERROR(INDEX(Assumptions!$B$117:$I$117,MATCH(E$2,Assumptions!$B$116:$I$116,0))*INDEX(Assumptions!$B$118:$I$118,MATCH(E$2,Assumptions!$B$116:$I$116,0)),0)</f>
        <v>42.0</v>
      </c>
      <c r="F52" s="53">
        <f>IFERROR(INDEX(Assumptions!$B$117:$I$117,MATCH(F$2,Assumptions!$B$116:$I$116,0))*INDEX(Assumptions!$B$118:$I$118,MATCH(F$2,Assumptions!$B$116:$I$116,0)),0)</f>
        <v>42.0</v>
      </c>
      <c r="G52" s="53">
        <f>IFERROR(INDEX(Assumptions!$B$117:$I$117,MATCH(G$2,Assumptions!$B$116:$I$116,0))*INDEX(Assumptions!$B$118:$I$118,MATCH(G$2,Assumptions!$B$116:$I$116,0)),0)</f>
        <v>12.0</v>
      </c>
      <c r="H52" s="53">
        <f>IFERROR(INDEX(Assumptions!$B$117:$I$117,MATCH(H$2,Assumptions!$B$116:$I$116,0))*INDEX(Assumptions!$B$118:$I$118,MATCH(H$2,Assumptions!$B$116:$I$116,0)),0)</f>
        <v>0.0</v>
      </c>
      <c r="I52" s="53">
        <f>IFERROR(INDEX(Assumptions!$B$117:$I$117,MATCH(I$2,Assumptions!$B$116:$I$116,0))*INDEX(Assumptions!$B$118:$I$118,MATCH(I$2,Assumptions!$B$116:$I$116,0)),0)</f>
        <v>0.0</v>
      </c>
      <c r="J52" s="53">
        <f>IFERROR(INDEX(Assumptions!$B$117:$I$117,MATCH(J$2,Assumptions!$B$116:$I$116,0))*INDEX(Assumptions!$B$118:$I$118,MATCH(J$2,Assumptions!$B$116:$I$116,0)),0)</f>
        <v>0.0</v>
      </c>
      <c r="K52" s="53">
        <f>IFERROR(INDEX(Assumptions!$B$117:$I$117,MATCH(K$2,Assumptions!$B$116:$I$116,0))*INDEX(Assumptions!$B$118:$I$118,MATCH(K$2,Assumptions!$B$116:$I$116,0)),0)</f>
        <v>0</v>
      </c>
      <c r="L52" s="53">
        <f>IFERROR(INDEX(Assumptions!$B$117:$I$117,MATCH(L$2,Assumptions!$B$116:$I$116,0))*INDEX(Assumptions!$B$118:$I$118,MATCH(L$2,Assumptions!$B$116:$I$116,0)),0)</f>
        <v>0</v>
      </c>
      <c r="M52" s="53">
        <f>IFERROR(INDEX(Assumptions!$B$117:$I$117,MATCH(M$2,Assumptions!$B$116:$I$116,0))*INDEX(Assumptions!$B$118:$I$118,MATCH(M$2,Assumptions!$B$116:$I$116,0)),0)</f>
        <v>0</v>
      </c>
      <c r="N52" s="53">
        <f>IFERROR(INDEX(Assumptions!$B$117:$I$117,MATCH(N$2,Assumptions!$B$116:$I$116,0))*INDEX(Assumptions!$B$118:$I$118,MATCH(N$2,Assumptions!$B$116:$I$116,0)),0)</f>
        <v>0</v>
      </c>
      <c r="O52" s="53">
        <f>IFERROR(INDEX(Assumptions!$B$117:$I$117,MATCH(O$2,Assumptions!$B$116:$I$116,0))*INDEX(Assumptions!$B$118:$I$118,MATCH(O$2,Assumptions!$B$116:$I$116,0)),0)</f>
        <v>0</v>
      </c>
      <c r="P52" s="53">
        <f>IFERROR(INDEX(Assumptions!$B$117:$I$117,MATCH(P$2,Assumptions!$B$116:$I$116,0))*INDEX(Assumptions!$B$118:$I$118,MATCH(P$2,Assumptions!$B$116:$I$116,0)),0)</f>
        <v>0</v>
      </c>
      <c r="Q52" s="53">
        <f>IFERROR(INDEX(Assumptions!$B$117:$I$117,MATCH(Q$2,Assumptions!$B$116:$I$116,0))*INDEX(Assumptions!$B$118:$I$118,MATCH(Q$2,Assumptions!$B$116:$I$116,0)),0)</f>
        <v>0</v>
      </c>
      <c r="R52" s="53">
        <f>IFERROR(INDEX(Assumptions!$B$117:$I$117,MATCH(R$2,Assumptions!$B$116:$I$116,0))*INDEX(Assumptions!$B$118:$I$118,MATCH(R$2,Assumptions!$B$116:$I$116,0)),0)</f>
        <v>0</v>
      </c>
      <c r="S52" s="53">
        <f>IFERROR(INDEX(Assumptions!$B$117:$I$117,MATCH(S$2,Assumptions!$B$116:$I$116,0))*INDEX(Assumptions!$B$118:$I$118,MATCH(S$2,Assumptions!$B$116:$I$116,0)),0)</f>
        <v>0</v>
      </c>
      <c r="T52" s="53">
        <f>IFERROR(INDEX(Assumptions!$B$117:$I$117,MATCH(T$2,Assumptions!$B$116:$I$116,0))*INDEX(Assumptions!$B$118:$I$118,MATCH(T$2,Assumptions!$B$116:$I$116,0)),0)</f>
        <v>0</v>
      </c>
      <c r="U52" s="53">
        <f>IFERROR(INDEX(Assumptions!$B$117:$I$117,MATCH(U$2,Assumptions!$B$116:$I$116,0))*INDEX(Assumptions!$B$118:$I$118,MATCH(U$2,Assumptions!$B$116:$I$116,0)),0)</f>
        <v>0</v>
      </c>
      <c r="V52" s="53">
        <f>IFERROR(INDEX(Assumptions!$B$117:$I$117,MATCH(V$2,Assumptions!$B$116:$I$116,0))*INDEX(Assumptions!$B$118:$I$118,MATCH(V$2,Assumptions!$B$116:$I$116,0)),0)</f>
        <v>0</v>
      </c>
      <c r="W52" s="53">
        <f>IFERROR(INDEX(Assumptions!$B$117:$I$117,MATCH(W$2,Assumptions!$B$116:$I$116,0))*INDEX(Assumptions!$B$118:$I$118,MATCH(W$2,Assumptions!$B$116:$I$116,0)),0)</f>
        <v>0</v>
      </c>
      <c r="X52" s="53">
        <f>IFERROR(INDEX(Assumptions!$B$117:$I$117,MATCH(X$2,Assumptions!$B$116:$I$116,0))*INDEX(Assumptions!$B$118:$I$118,MATCH(X$2,Assumptions!$B$116:$I$116,0)),0)</f>
        <v>0</v>
      </c>
      <c r="Y52" s="53">
        <f>IFERROR(INDEX(Assumptions!$B$117:$I$117,MATCH(Y$2,Assumptions!$B$116:$I$116,0))*INDEX(Assumptions!$B$118:$I$118,MATCH(Y$2,Assumptions!$B$116:$I$116,0)),0)</f>
        <v>0</v>
      </c>
      <c r="Z52" s="53">
        <f>IFERROR(INDEX(Assumptions!$B$117:$I$117,MATCH(Z$2,Assumptions!$B$116:$I$116,0))*INDEX(Assumptions!$B$118:$I$118,MATCH(Z$2,Assumptions!$B$116:$I$116,0)),0)</f>
        <v>0</v>
      </c>
    </row>
    <row r="53">
      <c r="A53" s="22" t="inlineStr">
        <is>
          <t>Program contribution (pre-tax)</t>
        </is>
      </c>
      <c r="C53" s="57">
        <f>C49-C50-C51-C52</f>
        <v>-30.0</v>
      </c>
      <c r="D53" s="57">
        <f>D49-D50-D51-D52</f>
        <v>-21.0</v>
      </c>
      <c r="E53" s="57">
        <f>E49-E50-E51-E52</f>
        <v>-42.0</v>
      </c>
      <c r="F53" s="57">
        <f>F49-F50-F51-F52</f>
        <v>-42.0</v>
      </c>
      <c r="G53" s="57">
        <f>G49-G50-G51-G52</f>
        <v>-16.0</v>
      </c>
      <c r="H53" s="57">
        <f>H49-H50-H51-H52</f>
        <v>0.07499999999999929</v>
      </c>
      <c r="I53" s="57">
        <f>I49-I50-I51-I52</f>
        <v>13.312499999999996</v>
      </c>
      <c r="J53" s="57">
        <f>J49-J50-J51-J52</f>
        <v>34.0875</v>
      </c>
      <c r="K53" s="57">
        <f>K49-K50-K51-K52</f>
        <v>57.037499999999994</v>
      </c>
      <c r="L53" s="57">
        <f>L49-L50-L51-L52</f>
        <v>74.41499999999999</v>
      </c>
      <c r="M53" s="57">
        <f>M49-M50-M51-M52</f>
        <v>84.39750000000001</v>
      </c>
      <c r="N53" s="57">
        <f>N49-N50-N51-N52</f>
        <v>90.75</v>
      </c>
      <c r="O53" s="57">
        <f>O49-O50-O51-O52</f>
        <v>90.75</v>
      </c>
      <c r="P53" s="57">
        <f>P49-P50-P51-P52</f>
        <v>90.75</v>
      </c>
      <c r="Q53" s="57">
        <f>Q49-Q50-Q51-Q52</f>
        <v>90.75</v>
      </c>
      <c r="R53" s="57">
        <f>R49-R50-R51-R52</f>
        <v>90.75</v>
      </c>
      <c r="S53" s="57">
        <f>S49-S50-S51-S52</f>
        <v>90.75</v>
      </c>
      <c r="T53" s="57">
        <f>T49-T50-T51-T52</f>
        <v>90.75</v>
      </c>
      <c r="U53" s="57">
        <f>U49-U50-U51-U52</f>
        <v>90.75</v>
      </c>
      <c r="V53" s="57">
        <f>V49-V50-V51-V52</f>
        <v>36.3</v>
      </c>
      <c r="W53" s="57">
        <f>W49-W50-W51-W52</f>
        <v>14.52</v>
      </c>
      <c r="X53" s="57">
        <f>X49-X50-X51-X52</f>
        <v>5.808000000000001</v>
      </c>
      <c r="Y53" s="57">
        <f>Y49-Y50-Y51-Y52</f>
        <v>2.3232000000000004</v>
      </c>
      <c r="Z53" s="57">
        <f>Z49-Z50-Z51-Z52</f>
        <v>0.9292800000000003</v>
      </c>
    </row>
    <row r="55">
      <c r="A55" s="30" t="inlineStr">
        <is>
          <t>Company totals (risk-adjusted)</t>
        </is>
      </c>
    </row>
    <row r="56">
      <c r="A56" s="22" t="inlineStr">
        <is>
          <t>Revenue</t>
        </is>
      </c>
      <c r="C56" s="57">
        <f>C7+C19+C29+C39+C49</f>
        <v>339.95743749230263</v>
      </c>
      <c r="D56" s="57">
        <f>D7+D19+D29+D39+D49</f>
        <v>788.0466503367553</v>
      </c>
      <c r="E56" s="57">
        <f>E7+E19+E29+E39+E49</f>
        <v>1362.2902990524854</v>
      </c>
      <c r="F56" s="57">
        <f>F7+F19+F29+F39+F49</f>
        <v>2062.6163165959797</v>
      </c>
      <c r="G56" s="57">
        <f>G7+G19+G29+G39+G49</f>
        <v>2794.1228427192464</v>
      </c>
      <c r="H56" s="57">
        <f>H7+H19+H29+H39+H49</f>
        <v>3519.208</v>
      </c>
      <c r="I56" s="57">
        <f>I7+I19+I29+I39+I49</f>
        <v>3765.232</v>
      </c>
      <c r="J56" s="57">
        <f>J7+J19+J29+J39+J49</f>
        <v>3933.9</v>
      </c>
      <c r="K56" s="57">
        <f>K7+K19+K29+K39+K49</f>
        <v>3996.9</v>
      </c>
      <c r="L56" s="57">
        <f>L7+L19+L29+L39+L49</f>
        <v>4043.4</v>
      </c>
      <c r="M56" s="57">
        <f>M7+M19+M29+M39+M49</f>
        <v>4059.9</v>
      </c>
      <c r="N56" s="57">
        <f>N7+N19+N29+N39+N49</f>
        <v>4070.4</v>
      </c>
      <c r="O56" s="57">
        <f>O7+O19+O29+O39+O49</f>
        <v>4070.4</v>
      </c>
      <c r="P56" s="57">
        <f>P7+P19+P29+P39+P49</f>
        <v>1898.16</v>
      </c>
      <c r="Q56" s="57">
        <f>Q7+Q19+Q29+Q39+Q49</f>
        <v>849.264</v>
      </c>
      <c r="R56" s="57">
        <f>R7+R19+R29+R39+R49</f>
        <v>429.7056</v>
      </c>
      <c r="S56" s="57">
        <f>S7+S19+S29+S39+S49</f>
        <v>261.88224</v>
      </c>
      <c r="T56" s="57">
        <f>T7+T19+T29+T39+T49</f>
        <v>194.75289600000002</v>
      </c>
      <c r="U56" s="57">
        <f>U7+U19+U29+U39+U49</f>
        <v>167.9011584</v>
      </c>
      <c r="V56" s="57">
        <f>V7+V19+V29+V39+V49</f>
        <v>67.16046336000001</v>
      </c>
      <c r="W56" s="57">
        <f>W7+W19+W29+W39+W49</f>
        <v>26.864185344</v>
      </c>
      <c r="X56" s="57">
        <f>X7+X19+X29+X39+X49</f>
        <v>10.745674137600002</v>
      </c>
      <c r="Y56" s="57">
        <f>Y7+Y19+Y29+Y39+Y49</f>
        <v>4.298269655040001</v>
      </c>
      <c r="Z56" s="57">
        <f>Z7+Z19+Z29+Z39+Z49</f>
        <v>1.7193078620160005</v>
      </c>
    </row>
    <row r="57">
      <c r="A57" s="13" t="inlineStr">
        <is>
          <t>Cost of sales (COGS + royalties)</t>
        </is>
      </c>
      <c r="C57" s="53">
        <f>C8+C20+C30+C40+C50</f>
        <v>32.29595656176875</v>
      </c>
      <c r="D57" s="53">
        <f>D8+D20+D30+D40+D50</f>
        <v>74.86443178199175</v>
      </c>
      <c r="E57" s="53">
        <f>E8+E20+E30+E40+E50</f>
        <v>129.4175784099861</v>
      </c>
      <c r="F57" s="53">
        <f>F8+F20+F30+F40+F50</f>
        <v>196.3985500766181</v>
      </c>
      <c r="G57" s="53">
        <f>G8+G20+G30+G40+G50</f>
        <v>266.56667005832844</v>
      </c>
      <c r="H57" s="53">
        <f>H8+H20+H30+H40+H50</f>
        <v>336.34976</v>
      </c>
      <c r="I57" s="53">
        <f>I8+I20+I30+I40+I50</f>
        <v>360.62203999999997</v>
      </c>
      <c r="J57" s="53">
        <f>J8+J20+J30+J40+J50</f>
        <v>377.4105</v>
      </c>
      <c r="K57" s="53">
        <f>K8+K20+K30+K40+K50</f>
        <v>383.8905</v>
      </c>
      <c r="L57" s="53">
        <f>L8+L20+L30+L40+L50</f>
        <v>388.623</v>
      </c>
      <c r="M57" s="53">
        <f>M8+M20+M30+M40+M50</f>
        <v>390.1905</v>
      </c>
      <c r="N57" s="53">
        <f>N8+N20+N30+N40+N50</f>
        <v>391.188</v>
      </c>
      <c r="O57" s="53">
        <f>O8+O20+O30+O40+O50</f>
        <v>391.188</v>
      </c>
      <c r="P57" s="53">
        <f>P8+P20+P30+P40+P50</f>
        <v>184.8252</v>
      </c>
      <c r="Q57" s="53">
        <f>Q8+Q20+Q30+Q40+Q50</f>
        <v>82.48008</v>
      </c>
      <c r="R57" s="53">
        <f>R8+R20+R30+R40+R50</f>
        <v>41.542032000000006</v>
      </c>
      <c r="S57" s="53">
        <f>S8+S20+S30+S40+S50</f>
        <v>25.166812800000002</v>
      </c>
      <c r="T57" s="53">
        <f>T8+T20+T30+T40+T50</f>
        <v>18.61672512</v>
      </c>
      <c r="U57" s="53">
        <f>U8+U20+U30+U40+U50</f>
        <v>15.996690048</v>
      </c>
      <c r="V57" s="53">
        <f>V8+V20+V30+V40+V50</f>
        <v>6.398676019200001</v>
      </c>
      <c r="W57" s="53">
        <f>W8+W20+W30+W40+W50</f>
        <v>2.5594704076800006</v>
      </c>
      <c r="X57" s="53">
        <f>X8+X20+X30+X40+X50</f>
        <v>1.0237881630720003</v>
      </c>
      <c r="Y57" s="53">
        <f>Y8+Y20+Y30+Y40+Y50</f>
        <v>0.4095152652288001</v>
      </c>
      <c r="Z57" s="53">
        <f>Z8+Z20+Z30+Z40+Z50</f>
        <v>0.16380610609152005</v>
      </c>
    </row>
    <row r="58">
      <c r="A58" s="13" t="inlineStr">
        <is>
          <t>Program development R&amp;D</t>
        </is>
      </c>
      <c r="C58" s="53">
        <f>C10+C22+C32+C42+C52</f>
        <v>120.0</v>
      </c>
      <c r="D58" s="53">
        <f>D10+D22+D32+D42+D52</f>
        <v>81.0</v>
      </c>
      <c r="E58" s="53">
        <f>E10+E22+E32+E42+E52</f>
        <v>49.0</v>
      </c>
      <c r="F58" s="53">
        <f>F10+F22+F32+F42+F52</f>
        <v>42.0</v>
      </c>
      <c r="G58" s="53">
        <f>G10+G22+G32+G42+G52</f>
        <v>12.0</v>
      </c>
      <c r="H58" s="53">
        <f>H10+H22+H32+H42+H52</f>
        <v>0.0</v>
      </c>
      <c r="I58" s="53">
        <f>I10+I22+I32+I42+I52</f>
        <v>0.0</v>
      </c>
      <c r="J58" s="53">
        <f>J10+J22+J32+J42+J52</f>
        <v>0.0</v>
      </c>
      <c r="K58" s="53">
        <f>K10+K22+K32+K42+K52</f>
        <v>0.0</v>
      </c>
      <c r="L58" s="53">
        <f>L10+L22+L32+L42+L52</f>
        <v>0.0</v>
      </c>
      <c r="M58" s="53">
        <f>M10+M22+M32+M42+M52</f>
        <v>0.0</v>
      </c>
      <c r="N58" s="53">
        <f>N10+N22+N32+N42+N52</f>
        <v>0.0</v>
      </c>
      <c r="O58" s="53">
        <f>O10+O22+O32+O42+O52</f>
        <v>0.0</v>
      </c>
      <c r="P58" s="53">
        <f>P10+P22+P32+P42+P52</f>
        <v>0.0</v>
      </c>
      <c r="Q58" s="53">
        <f>Q10+Q22+Q32+Q42+Q52</f>
        <v>0.0</v>
      </c>
      <c r="R58" s="53">
        <f>R10+R22+R32+R42+R52</f>
        <v>0.0</v>
      </c>
      <c r="S58" s="53">
        <f>S10+S22+S32+S42+S52</f>
        <v>0.0</v>
      </c>
      <c r="T58" s="53">
        <f>T10+T22+T32+T42+T52</f>
        <v>0.0</v>
      </c>
      <c r="U58" s="53">
        <f>U10+U22+U32+U42+U52</f>
        <v>0.0</v>
      </c>
      <c r="V58" s="53">
        <f>V10+V22+V32+V42+V52</f>
        <v>0.0</v>
      </c>
      <c r="W58" s="53">
        <f>W10+W22+W32+W42+W52</f>
        <v>0.0</v>
      </c>
      <c r="X58" s="53">
        <f>X10+X22+X32+X42+X52</f>
        <v>0.0</v>
      </c>
      <c r="Y58" s="53">
        <f>Y10+Y22+Y32+Y42+Y52</f>
        <v>0.0</v>
      </c>
      <c r="Z58" s="53">
        <f>Z10+Z22+Z32+Z42+Z52</f>
        <v>0.0</v>
      </c>
    </row>
    <row r="59">
      <c r="A59" s="13" t="inlineStr">
        <is>
          <t>Platform / unallocated R&amp;D</t>
        </is>
      </c>
      <c r="C59" s="53">
        <f>IF(C$2&gt;Assumptions!$B$25,Assumptions!$B$23*C56,MAX(Assumptions!$B$20*(1+Assumptions!$B$21)^(C$2-2027)*Assumptions!$B$38,Assumptions!$B$23*C56))</f>
        <v>260.0</v>
      </c>
      <c r="D59" s="53">
        <f>IF(D$2&gt;Assumptions!$B$25,Assumptions!$B$23*D56,MAX(Assumptions!$B$20*(1+Assumptions!$B$21)^(D$2-2027)*Assumptions!$B$38,Assumptions!$B$23*D56))</f>
        <v>267.8</v>
      </c>
      <c r="E59" s="53">
        <f>IF(E$2&gt;Assumptions!$B$25,Assumptions!$B$23*E56,MAX(Assumptions!$B$20*(1+Assumptions!$B$21)^(E$2-2027)*Assumptions!$B$38,Assumptions!$B$23*E56))</f>
        <v>275.834</v>
      </c>
      <c r="F59" s="53">
        <f>IF(F$2&gt;Assumptions!$B$25,Assumptions!$B$23*F56,MAX(Assumptions!$B$20*(1+Assumptions!$B$21)^(F$2-2027)*Assumptions!$B$38,Assumptions!$B$23*F56))</f>
        <v>284.10902</v>
      </c>
      <c r="G59" s="53">
        <f>IF(G$2&gt;Assumptions!$B$25,Assumptions!$B$23*G56,MAX(Assumptions!$B$20*(1+Assumptions!$B$21)^(G$2-2027)*Assumptions!$B$38,Assumptions!$B$23*G56))</f>
        <v>335.29474112630953</v>
      </c>
      <c r="H59" s="53">
        <f>IF(H$2&gt;Assumptions!$B$25,Assumptions!$B$23*H56,MAX(Assumptions!$B$20*(1+Assumptions!$B$21)^(H$2-2027)*Assumptions!$B$38,Assumptions!$B$23*H56))</f>
        <v>422.30496</v>
      </c>
      <c r="I59" s="53">
        <f>IF(I$2&gt;Assumptions!$B$25,Assumptions!$B$23*I56,MAX(Assumptions!$B$20*(1+Assumptions!$B$21)^(I$2-2027)*Assumptions!$B$38,Assumptions!$B$23*I56))</f>
        <v>451.82784</v>
      </c>
      <c r="J59" s="53">
        <f>IF(J$2&gt;Assumptions!$B$25,Assumptions!$B$23*J56,MAX(Assumptions!$B$20*(1+Assumptions!$B$21)^(J$2-2027)*Assumptions!$B$38,Assumptions!$B$23*J56))</f>
        <v>472.068</v>
      </c>
      <c r="K59" s="53">
        <f>IF(K$2&gt;Assumptions!$B$25,Assumptions!$B$23*K56,MAX(Assumptions!$B$20*(1+Assumptions!$B$21)^(K$2-2027)*Assumptions!$B$38,Assumptions!$B$23*K56))</f>
        <v>479.628</v>
      </c>
      <c r="L59" s="53">
        <f>IF(L$2&gt;Assumptions!$B$25,Assumptions!$B$23*L56,MAX(Assumptions!$B$20*(1+Assumptions!$B$21)^(L$2-2027)*Assumptions!$B$38,Assumptions!$B$23*L56))</f>
        <v>485.20799999999997</v>
      </c>
      <c r="M59" s="53">
        <f>IF(M$2&gt;Assumptions!$B$25,Assumptions!$B$23*M56,MAX(Assumptions!$B$20*(1+Assumptions!$B$21)^(M$2-2027)*Assumptions!$B$38,Assumptions!$B$23*M56))</f>
        <v>487.188</v>
      </c>
      <c r="N59" s="53">
        <f>IF(N$2&gt;Assumptions!$B$25,Assumptions!$B$23*N56,MAX(Assumptions!$B$20*(1+Assumptions!$B$21)^(N$2-2027)*Assumptions!$B$38,Assumptions!$B$23*N56))</f>
        <v>488.448</v>
      </c>
      <c r="O59" s="53">
        <f>IF(O$2&gt;Assumptions!$B$25,Assumptions!$B$23*O56,MAX(Assumptions!$B$20*(1+Assumptions!$B$21)^(O$2-2027)*Assumptions!$B$38,Assumptions!$B$23*O56))</f>
        <v>488.448</v>
      </c>
      <c r="P59" s="53">
        <f>IF(P$2&gt;Assumptions!$B$25,Assumptions!$B$23*P56,MAX(Assumptions!$B$20*(1+Assumptions!$B$21)^(P$2-2027)*Assumptions!$B$38,Assumptions!$B$23*P56))</f>
        <v>381.81876549740684</v>
      </c>
      <c r="Q59" s="53">
        <f>IF(Q$2&gt;Assumptions!$B$25,Assumptions!$B$23*Q56,MAX(Assumptions!$B$20*(1+Assumptions!$B$21)^(Q$2-2027)*Assumptions!$B$38,Assumptions!$B$23*Q56))</f>
        <v>101.91168</v>
      </c>
      <c r="R59" s="53">
        <f>IF(R$2&gt;Assumptions!$B$25,Assumptions!$B$23*R56,MAX(Assumptions!$B$20*(1+Assumptions!$B$21)^(R$2-2027)*Assumptions!$B$38,Assumptions!$B$23*R56))</f>
        <v>51.564672</v>
      </c>
      <c r="S59" s="53">
        <f>IF(S$2&gt;Assumptions!$B$25,Assumptions!$B$23*S56,MAX(Assumptions!$B$20*(1+Assumptions!$B$21)^(S$2-2027)*Assumptions!$B$38,Assumptions!$B$23*S56))</f>
        <v>31.425868800000003</v>
      </c>
      <c r="T59" s="53">
        <f>IF(T$2&gt;Assumptions!$B$25,Assumptions!$B$23*T56,MAX(Assumptions!$B$20*(1+Assumptions!$B$21)^(T$2-2027)*Assumptions!$B$38,Assumptions!$B$23*T56))</f>
        <v>23.370347520000003</v>
      </c>
      <c r="U59" s="53">
        <f>IF(U$2&gt;Assumptions!$B$25,Assumptions!$B$23*U56,MAX(Assumptions!$B$20*(1+Assumptions!$B$21)^(U$2-2027)*Assumptions!$B$38,Assumptions!$B$23*U56))</f>
        <v>20.148139008</v>
      </c>
      <c r="V59" s="53">
        <f>IF(V$2&gt;Assumptions!$B$25,Assumptions!$B$23*V56,MAX(Assumptions!$B$20*(1+Assumptions!$B$21)^(V$2-2027)*Assumptions!$B$38,Assumptions!$B$23*V56))</f>
        <v>8.0592556032</v>
      </c>
      <c r="W59" s="53">
        <f>IF(W$2&gt;Assumptions!$B$25,Assumptions!$B$23*W56,MAX(Assumptions!$B$20*(1+Assumptions!$B$21)^(W$2-2027)*Assumptions!$B$38,Assumptions!$B$23*W56))</f>
        <v>3.22370224128</v>
      </c>
      <c r="X59" s="53">
        <f>IF(X$2&gt;Assumptions!$B$25,Assumptions!$B$23*X56,MAX(Assumptions!$B$20*(1+Assumptions!$B$21)^(X$2-2027)*Assumptions!$B$38,Assumptions!$B$23*X56))</f>
        <v>1.2894808965120002</v>
      </c>
      <c r="Y59" s="53">
        <f>IF(Y$2&gt;Assumptions!$B$25,Assumptions!$B$23*Y56,MAX(Assumptions!$B$20*(1+Assumptions!$B$21)^(Y$2-2027)*Assumptions!$B$38,Assumptions!$B$23*Y56))</f>
        <v>0.5157923586048001</v>
      </c>
      <c r="Z59" s="53">
        <f>IF(Z$2&gt;Assumptions!$B$25,Assumptions!$B$23*Z56,MAX(Assumptions!$B$20*(1+Assumptions!$B$21)^(Z$2-2027)*Assumptions!$B$38,Assumptions!$B$23*Z56))</f>
        <v>0.20631694344192006</v>
      </c>
    </row>
    <row r="60">
      <c r="A60" s="13" t="inlineStr">
        <is>
          <t>Total R&amp;D</t>
        </is>
      </c>
      <c r="C60" s="53">
        <f>C58+C59</f>
        <v>380.0</v>
      </c>
      <c r="D60" s="53">
        <f>D58+D59</f>
        <v>348.8</v>
      </c>
      <c r="E60" s="53">
        <f>E58+E59</f>
        <v>324.834</v>
      </c>
      <c r="F60" s="53">
        <f>F58+F59</f>
        <v>326.10902</v>
      </c>
      <c r="G60" s="53">
        <f>G58+G59</f>
        <v>347.29474112630953</v>
      </c>
      <c r="H60" s="53">
        <f>H58+H59</f>
        <v>422.30496</v>
      </c>
      <c r="I60" s="53">
        <f>I58+I59</f>
        <v>451.82784</v>
      </c>
      <c r="J60" s="53">
        <f>J58+J59</f>
        <v>472.068</v>
      </c>
      <c r="K60" s="53">
        <f>K58+K59</f>
        <v>479.628</v>
      </c>
      <c r="L60" s="53">
        <f>L58+L59</f>
        <v>485.20799999999997</v>
      </c>
      <c r="M60" s="53">
        <f>M58+M59</f>
        <v>487.188</v>
      </c>
      <c r="N60" s="53">
        <f>N58+N59</f>
        <v>488.448</v>
      </c>
      <c r="O60" s="53">
        <f>O58+O59</f>
        <v>488.448</v>
      </c>
      <c r="P60" s="53">
        <f>P58+P59</f>
        <v>381.81876549740684</v>
      </c>
      <c r="Q60" s="53">
        <f>Q58+Q59</f>
        <v>101.91168</v>
      </c>
      <c r="R60" s="53">
        <f>R58+R59</f>
        <v>51.564672</v>
      </c>
      <c r="S60" s="53">
        <f>S58+S59</f>
        <v>31.425868800000003</v>
      </c>
      <c r="T60" s="53">
        <f>T58+T59</f>
        <v>23.370347520000003</v>
      </c>
      <c r="U60" s="53">
        <f>U58+U59</f>
        <v>20.148139008</v>
      </c>
      <c r="V60" s="53">
        <f>V58+V59</f>
        <v>8.0592556032</v>
      </c>
      <c r="W60" s="53">
        <f>W58+W59</f>
        <v>3.22370224128</v>
      </c>
      <c r="X60" s="53">
        <f>X58+X59</f>
        <v>1.2894808965120002</v>
      </c>
      <c r="Y60" s="53">
        <f>Y58+Y59</f>
        <v>0.5157923586048001</v>
      </c>
      <c r="Z60" s="53">
        <f>Z58+Z59</f>
        <v>0.20631694344192006</v>
      </c>
    </row>
    <row r="61">
      <c r="A61" s="13" t="inlineStr">
        <is>
          <t>Commercial SG&amp;A</t>
        </is>
      </c>
      <c r="C61" s="53">
        <f>C9+C21+C31+C41+C51</f>
        <v>232.65659062076645</v>
      </c>
      <c r="D61" s="53">
        <f>D9+D21+D31+D41+D51</f>
        <v>391.6386601347021</v>
      </c>
      <c r="E61" s="53">
        <f>E9+E21+E31+E41+E51</f>
        <v>533.1938956967954</v>
      </c>
      <c r="F61" s="53">
        <f>F9+F21+F31+F41+F51</f>
        <v>673.3301686468744</v>
      </c>
      <c r="G61" s="53">
        <f>G9+G21+G31+G41+G51</f>
        <v>791.0677106798116</v>
      </c>
      <c r="H61" s="53">
        <f>H9+H21+H31+H41+H51</f>
        <v>906.38704</v>
      </c>
      <c r="I61" s="53">
        <f>I9+I21+I31+I41+I51</f>
        <v>927.3248</v>
      </c>
      <c r="J61" s="53">
        <f>J9+J21+J31+J41+J51</f>
        <v>966.8599999999999</v>
      </c>
      <c r="K61" s="53">
        <f>K9+K21+K31+K41+K51</f>
        <v>980.96</v>
      </c>
      <c r="L61" s="53">
        <f>L9+L21+L31+L41+L51</f>
        <v>992.9599999999999</v>
      </c>
      <c r="M61" s="53">
        <f>M9+M21+M31+M41+M51</f>
        <v>997.91</v>
      </c>
      <c r="N61" s="53">
        <f>N9+N21+N31+N41+N51</f>
        <v>1001.06</v>
      </c>
      <c r="O61" s="53">
        <f>O9+O21+O31+O41+O51</f>
        <v>1001.06</v>
      </c>
      <c r="P61" s="53">
        <f>P9+P21+P31+P41+P51</f>
        <v>481.424</v>
      </c>
      <c r="Q61" s="53">
        <f>Q9+Q21+Q31+Q41+Q51</f>
        <v>219.5696</v>
      </c>
      <c r="R61" s="53">
        <f>R9+R21+R31+R41+R51</f>
        <v>114.82784</v>
      </c>
      <c r="S61" s="53">
        <f>S9+S21+S31+S41+S51</f>
        <v>72.93113600000001</v>
      </c>
      <c r="T61" s="53">
        <f>T9+T21+T31+T41+T51</f>
        <v>56.1724544</v>
      </c>
      <c r="U61" s="53">
        <f>U9+U21+U31+U41+U51</f>
        <v>49.46898176</v>
      </c>
      <c r="V61" s="53">
        <f>V9+V21+V31+V41+V51</f>
        <v>19.787592704</v>
      </c>
      <c r="W61" s="53">
        <f>W9+W21+W31+W41+W51</f>
        <v>7.9150370816</v>
      </c>
      <c r="X61" s="53">
        <f>X9+X21+X31+X41+X51</f>
        <v>3.16601483264</v>
      </c>
      <c r="Y61" s="53">
        <f>Y9+Y21+Y31+Y41+Y51</f>
        <v>1.2664059330560002</v>
      </c>
      <c r="Z61" s="53">
        <f>Z9+Z21+Z31+Z41+Z51</f>
        <v>0.5065623732224002</v>
      </c>
    </row>
    <row r="62">
      <c r="A62" s="13" t="inlineStr">
        <is>
          <t>Corporate G&amp;A</t>
        </is>
      </c>
      <c r="C62" s="53">
        <f>IF(C$2&gt;Assumptions!$B$25,Assumptions!$B$22*C56,MAX(Assumptions!$B$19*(1+Assumptions!$B$21)^(C$2-2027)*Assumptions!$B$38,Assumptions!$B$22*C56))</f>
        <v>150.0</v>
      </c>
      <c r="D62" s="53">
        <f>IF(D$2&gt;Assumptions!$B$25,Assumptions!$B$22*D56,MAX(Assumptions!$B$19*(1+Assumptions!$B$21)^(D$2-2027)*Assumptions!$B$38,Assumptions!$B$22*D56))</f>
        <v>154.5</v>
      </c>
      <c r="E62" s="53">
        <f>IF(E$2&gt;Assumptions!$B$25,Assumptions!$B$22*E56,MAX(Assumptions!$B$19*(1+Assumptions!$B$21)^(E$2-2027)*Assumptions!$B$38,Assumptions!$B$22*E56))</f>
        <v>159.135</v>
      </c>
      <c r="F62" s="53">
        <f>IF(F$2&gt;Assumptions!$B$25,Assumptions!$B$22*F56,MAX(Assumptions!$B$19*(1+Assumptions!$B$21)^(F$2-2027)*Assumptions!$B$38,Assumptions!$B$22*F56))</f>
        <v>165.0093053276784</v>
      </c>
      <c r="G62" s="53">
        <f>IF(G$2&gt;Assumptions!$B$25,Assumptions!$B$22*G56,MAX(Assumptions!$B$19*(1+Assumptions!$B$21)^(G$2-2027)*Assumptions!$B$38,Assumptions!$B$22*G56))</f>
        <v>223.5298274175397</v>
      </c>
      <c r="H62" s="53">
        <f>IF(H$2&gt;Assumptions!$B$25,Assumptions!$B$22*H56,MAX(Assumptions!$B$19*(1+Assumptions!$B$21)^(H$2-2027)*Assumptions!$B$38,Assumptions!$B$22*H56))</f>
        <v>281.53664000000003</v>
      </c>
      <c r="I62" s="53">
        <f>IF(I$2&gt;Assumptions!$B$25,Assumptions!$B$22*I56,MAX(Assumptions!$B$19*(1+Assumptions!$B$21)^(I$2-2027)*Assumptions!$B$38,Assumptions!$B$22*I56))</f>
        <v>301.21856</v>
      </c>
      <c r="J62" s="53">
        <f>IF(J$2&gt;Assumptions!$B$25,Assumptions!$B$22*J56,MAX(Assumptions!$B$19*(1+Assumptions!$B$21)^(J$2-2027)*Assumptions!$B$38,Assumptions!$B$22*J56))</f>
        <v>314.712</v>
      </c>
      <c r="K62" s="53">
        <f>IF(K$2&gt;Assumptions!$B$25,Assumptions!$B$22*K56,MAX(Assumptions!$B$19*(1+Assumptions!$B$21)^(K$2-2027)*Assumptions!$B$38,Assumptions!$B$22*K56))</f>
        <v>319.752</v>
      </c>
      <c r="L62" s="53">
        <f>IF(L$2&gt;Assumptions!$B$25,Assumptions!$B$22*L56,MAX(Assumptions!$B$19*(1+Assumptions!$B$21)^(L$2-2027)*Assumptions!$B$38,Assumptions!$B$22*L56))</f>
        <v>323.47200000000004</v>
      </c>
      <c r="M62" s="53">
        <f>IF(M$2&gt;Assumptions!$B$25,Assumptions!$B$22*M56,MAX(Assumptions!$B$19*(1+Assumptions!$B$21)^(M$2-2027)*Assumptions!$B$38,Assumptions!$B$22*M56))</f>
        <v>324.79200000000003</v>
      </c>
      <c r="N62" s="53">
        <f>IF(N$2&gt;Assumptions!$B$25,Assumptions!$B$22*N56,MAX(Assumptions!$B$19*(1+Assumptions!$B$21)^(N$2-2027)*Assumptions!$B$38,Assumptions!$B$22*N56))</f>
        <v>325.632</v>
      </c>
      <c r="O62" s="53">
        <f>IF(O$2&gt;Assumptions!$B$25,Assumptions!$B$22*O56,MAX(Assumptions!$B$19*(1+Assumptions!$B$21)^(O$2-2027)*Assumptions!$B$38,Assumptions!$B$22*O56))</f>
        <v>325.632</v>
      </c>
      <c r="P62" s="53">
        <f>IF(P$2&gt;Assumptions!$B$25,Assumptions!$B$22*P56,MAX(Assumptions!$B$19*(1+Assumptions!$B$21)^(P$2-2027)*Assumptions!$B$38,Assumptions!$B$22*P56))</f>
        <v>220.28005701773472</v>
      </c>
      <c r="Q62" s="53">
        <f>IF(Q$2&gt;Assumptions!$B$25,Assumptions!$B$22*Q56,MAX(Assumptions!$B$19*(1+Assumptions!$B$21)^(Q$2-2027)*Assumptions!$B$38,Assumptions!$B$22*Q56))</f>
        <v>67.94112</v>
      </c>
      <c r="R62" s="53">
        <f>IF(R$2&gt;Assumptions!$B$25,Assumptions!$B$22*R56,MAX(Assumptions!$B$19*(1+Assumptions!$B$21)^(R$2-2027)*Assumptions!$B$38,Assumptions!$B$22*R56))</f>
        <v>34.376448</v>
      </c>
      <c r="S62" s="53">
        <f>IF(S$2&gt;Assumptions!$B$25,Assumptions!$B$22*S56,MAX(Assumptions!$B$19*(1+Assumptions!$B$21)^(S$2-2027)*Assumptions!$B$38,Assumptions!$B$22*S56))</f>
        <v>20.950579200000004</v>
      </c>
      <c r="T62" s="53">
        <f>IF(T$2&gt;Assumptions!$B$25,Assumptions!$B$22*T56,MAX(Assumptions!$B$19*(1+Assumptions!$B$21)^(T$2-2027)*Assumptions!$B$38,Assumptions!$B$22*T56))</f>
        <v>15.580231680000002</v>
      </c>
      <c r="U62" s="53">
        <f>IF(U$2&gt;Assumptions!$B$25,Assumptions!$B$22*U56,MAX(Assumptions!$B$19*(1+Assumptions!$B$21)^(U$2-2027)*Assumptions!$B$38,Assumptions!$B$22*U56))</f>
        <v>13.432092672000001</v>
      </c>
      <c r="V62" s="53">
        <f>IF(V$2&gt;Assumptions!$B$25,Assumptions!$B$22*V56,MAX(Assumptions!$B$19*(1+Assumptions!$B$21)^(V$2-2027)*Assumptions!$B$38,Assumptions!$B$22*V56))</f>
        <v>5.372837068800001</v>
      </c>
      <c r="W62" s="53">
        <f>IF(W$2&gt;Assumptions!$B$25,Assumptions!$B$22*W56,MAX(Assumptions!$B$19*(1+Assumptions!$B$21)^(W$2-2027)*Assumptions!$B$38,Assumptions!$B$22*W56))</f>
        <v>2.14913482752</v>
      </c>
      <c r="X62" s="53">
        <f>IF(X$2&gt;Assumptions!$B$25,Assumptions!$B$22*X56,MAX(Assumptions!$B$19*(1+Assumptions!$B$21)^(X$2-2027)*Assumptions!$B$38,Assumptions!$B$22*X56))</f>
        <v>0.8596539310080001</v>
      </c>
      <c r="Y62" s="53">
        <f>IF(Y$2&gt;Assumptions!$B$25,Assumptions!$B$22*Y56,MAX(Assumptions!$B$19*(1+Assumptions!$B$21)^(Y$2-2027)*Assumptions!$B$38,Assumptions!$B$22*Y56))</f>
        <v>0.3438615724032001</v>
      </c>
      <c r="Z62" s="53">
        <f>IF(Z$2&gt;Assumptions!$B$25,Assumptions!$B$22*Z56,MAX(Assumptions!$B$19*(1+Assumptions!$B$21)^(Z$2-2027)*Assumptions!$B$38,Assumptions!$B$22*Z56))</f>
        <v>0.13754462896128003</v>
      </c>
    </row>
    <row r="63">
      <c r="A63" s="13" t="inlineStr">
        <is>
          <t>Total G&amp;A incl. SG&amp;A</t>
        </is>
      </c>
      <c r="C63" s="53">
        <f>C61+C62</f>
        <v>382.65659062076645</v>
      </c>
      <c r="D63" s="53">
        <f>D61+D62</f>
        <v>546.1386601347021</v>
      </c>
      <c r="E63" s="53">
        <f>E61+E62</f>
        <v>692.3288956967954</v>
      </c>
      <c r="F63" s="53">
        <f>F61+F62</f>
        <v>838.3394739745528</v>
      </c>
      <c r="G63" s="53">
        <f>G61+G62</f>
        <v>1014.5975380973514</v>
      </c>
      <c r="H63" s="53">
        <f>H61+H62</f>
        <v>1187.9236799999999</v>
      </c>
      <c r="I63" s="53">
        <f>I61+I62</f>
        <v>1228.5433600000001</v>
      </c>
      <c r="J63" s="53">
        <f>J61+J62</f>
        <v>1281.572</v>
      </c>
      <c r="K63" s="53">
        <f>K61+K62</f>
        <v>1300.712</v>
      </c>
      <c r="L63" s="53">
        <f>L61+L62</f>
        <v>1316.432</v>
      </c>
      <c r="M63" s="53">
        <f>M61+M62</f>
        <v>1322.702</v>
      </c>
      <c r="N63" s="53">
        <f>N61+N62</f>
        <v>1326.692</v>
      </c>
      <c r="O63" s="53">
        <f>O61+O62</f>
        <v>1326.692</v>
      </c>
      <c r="P63" s="53">
        <f>P61+P62</f>
        <v>701.7040570177347</v>
      </c>
      <c r="Q63" s="53">
        <f>Q61+Q62</f>
        <v>287.51072</v>
      </c>
      <c r="R63" s="53">
        <f>R61+R62</f>
        <v>149.204288</v>
      </c>
      <c r="S63" s="53">
        <f>S61+S62</f>
        <v>93.88171520000002</v>
      </c>
      <c r="T63" s="53">
        <f>T61+T62</f>
        <v>71.75268608</v>
      </c>
      <c r="U63" s="53">
        <f>U61+U62</f>
        <v>62.901074432</v>
      </c>
      <c r="V63" s="53">
        <f>V61+V62</f>
        <v>25.1604297728</v>
      </c>
      <c r="W63" s="53">
        <f>W61+W62</f>
        <v>10.06417190912</v>
      </c>
      <c r="X63" s="53">
        <f>X61+X62</f>
        <v>4.025668763648</v>
      </c>
      <c r="Y63" s="53">
        <f>Y61+Y62</f>
        <v>1.6102675054592004</v>
      </c>
      <c r="Z63" s="53">
        <f>Z61+Z62</f>
        <v>0.6441070021836802</v>
      </c>
    </row>
    <row r="64">
      <c r="A64" s="22" t="inlineStr">
        <is>
          <t>Operating income (EBIT)</t>
        </is>
      </c>
      <c r="C64" s="65">
        <f>C56-C57-C60-C63</f>
        <v>-454.99510969023254</v>
      </c>
      <c r="D64" s="65">
        <f>D56-D57-D60-D63</f>
        <v>-181.75644157993867</v>
      </c>
      <c r="E64" s="65">
        <f>E56-E57-E60-E63</f>
        <v>215.70982494570376</v>
      </c>
      <c r="F64" s="65">
        <f>F56-F57-F60-F63</f>
        <v>701.769272544809</v>
      </c>
      <c r="G64" s="65">
        <f>G56-G57-G60-G63</f>
        <v>1165.6638934372572</v>
      </c>
      <c r="H64" s="65">
        <f>H56-H57-H60-H63</f>
        <v>1572.6296000000002</v>
      </c>
      <c r="I64" s="65">
        <f>I56-I57-I60-I63</f>
        <v>1724.2387599999997</v>
      </c>
      <c r="J64" s="65">
        <f>J56-J57-J60-J63</f>
        <v>1802.8495000000005</v>
      </c>
      <c r="K64" s="65">
        <f>K56-K57-K60-K63</f>
        <v>1832.6695</v>
      </c>
      <c r="L64" s="65">
        <f>L56-L57-L60-L63</f>
        <v>1853.137</v>
      </c>
      <c r="M64" s="65">
        <f>M56-M57-M60-M63</f>
        <v>1859.8194999999998</v>
      </c>
      <c r="N64" s="65">
        <f>N56-N57-N60-N63</f>
        <v>1864.0720000000001</v>
      </c>
      <c r="O64" s="65">
        <f>O56-O57-O60-O63</f>
        <v>1864.0720000000001</v>
      </c>
      <c r="P64" s="65">
        <f>P56-P57-P60-P63</f>
        <v>629.8119774848586</v>
      </c>
      <c r="Q64" s="65">
        <f>Q56-Q57-Q60-Q63</f>
        <v>377.3615199999999</v>
      </c>
      <c r="R64" s="65">
        <f>R56-R57-R60-R63</f>
        <v>187.39460799999998</v>
      </c>
      <c r="S64" s="65">
        <f>S56-S57-S60-S63</f>
        <v>111.40784320000002</v>
      </c>
      <c r="T64" s="65">
        <f>T56-T57-T60-T63</f>
        <v>81.01313728000001</v>
      </c>
      <c r="U64" s="65">
        <f>U56-U57-U60-U63</f>
        <v>68.85525491199999</v>
      </c>
      <c r="V64" s="65">
        <f>V56-V57-V60-V63</f>
        <v>27.542101964800004</v>
      </c>
      <c r="W64" s="65">
        <f>W56-W57-W60-W63</f>
        <v>11.016840785920001</v>
      </c>
      <c r="X64" s="65">
        <f>X56-X57-X60-X63</f>
        <v>4.406736314368001</v>
      </c>
      <c r="Y64" s="65">
        <f>Y56-Y57-Y60-Y63</f>
        <v>1.7626945257472009</v>
      </c>
      <c r="Z64" s="65">
        <f>Z56-Z57-Z60-Z63</f>
        <v>0.7050778102988801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3" t="inlineStr">
        <is>
          <t>CYTK — risk-adjusted NPV (rNPV), $mm except per share</t>
        </is>
      </c>
    </row>
    <row r="3">
      <c r="A3" s="13" t="inlineStr">
        <is>
          <t>Scenario</t>
        </is>
      </c>
      <c r="B3" s="66" t="str">
        <f>Assumptions!$C$4</f>
        <v>Base</v>
      </c>
    </row>
    <row r="4">
      <c r="A4" s="13" t="inlineStr">
        <is>
          <t>Valuation date</t>
        </is>
      </c>
      <c r="B4" s="67">
        <f>Assumptions!$B$13</f>
        <v>46311</v>
      </c>
    </row>
    <row r="5">
      <c r="A5" s="13" t="inlineStr">
        <is>
          <t>Discount rate</t>
        </is>
      </c>
      <c r="B5" s="68">
        <f>Assumptions!$B$14</f>
        <v>0.1</v>
      </c>
    </row>
    <row r="7">
      <c r="A7" s="28" t="inlineStr">
        <is>
          <t>Period</t>
        </is>
      </c>
      <c r="B7" s="69" t="inlineStr"/>
      <c r="C7" s="70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3">
        <f>SUM('Quarterly Model'!H2:I2)</f>
        <v>96.0</v>
      </c>
      <c r="D8" s="71">
        <f>'Yearly Model'!H2</f>
        <v>339.95743749230263</v>
      </c>
      <c r="E8" s="71">
        <f>'Yearly Model'!I2</f>
        <v>788.0466503367553</v>
      </c>
      <c r="F8" s="71">
        <f>'Yearly Model'!J2</f>
        <v>1362.2902990524854</v>
      </c>
      <c r="G8" s="71">
        <f>'Yearly Model'!K2</f>
        <v>2062.6163165959797</v>
      </c>
      <c r="H8" s="71">
        <f>'Yearly Model'!L2</f>
        <v>2794.1228427192464</v>
      </c>
      <c r="I8" s="71">
        <f>'Yearly Model'!M2</f>
        <v>3519.208</v>
      </c>
      <c r="J8" s="71">
        <f>'Yearly Model'!N2</f>
        <v>3765.232</v>
      </c>
      <c r="K8" s="71">
        <f>'Yearly Model'!O2</f>
        <v>3933.9</v>
      </c>
      <c r="L8" s="71">
        <f>'Yearly Model'!P2</f>
        <v>3996.9</v>
      </c>
      <c r="M8" s="71">
        <f>'Yearly Model'!Q2</f>
        <v>4043.4</v>
      </c>
      <c r="N8" s="71">
        <f>'Yearly Model'!R2</f>
        <v>4059.9</v>
      </c>
      <c r="O8" s="71">
        <f>'Yearly Model'!S2</f>
        <v>4070.4</v>
      </c>
      <c r="P8" s="71">
        <f>'Yearly Model'!T2</f>
        <v>4070.4</v>
      </c>
      <c r="Q8" s="71">
        <f>'Yearly Model'!U2</f>
        <v>1898.16</v>
      </c>
      <c r="R8" s="71">
        <f>'Yearly Model'!V2</f>
        <v>849.264</v>
      </c>
      <c r="S8" s="71">
        <f>'Yearly Model'!W2</f>
        <v>429.7056</v>
      </c>
      <c r="T8" s="71">
        <f>'Yearly Model'!X2</f>
        <v>261.88224</v>
      </c>
      <c r="U8" s="71">
        <f>'Yearly Model'!Y2</f>
        <v>194.75289600000002</v>
      </c>
      <c r="V8" s="71">
        <f>'Yearly Model'!Z2</f>
        <v>167.9011584</v>
      </c>
      <c r="W8" s="71">
        <f>'Yearly Model'!AA2</f>
        <v>67.16046336000001</v>
      </c>
      <c r="X8" s="71">
        <f>'Yearly Model'!AB2</f>
        <v>26.864185344</v>
      </c>
      <c r="Y8" s="71">
        <f>'Yearly Model'!AC2</f>
        <v>10.745674137600002</v>
      </c>
      <c r="Z8" s="71">
        <f>'Yearly Model'!AD2</f>
        <v>4.298269655040001</v>
      </c>
      <c r="AA8" s="71">
        <f>'Yearly Model'!AE2</f>
        <v>1.7193078620160005</v>
      </c>
    </row>
    <row r="9">
      <c r="A9" s="13" t="inlineStr">
        <is>
          <t>Operating income (EBIT)</t>
        </is>
      </c>
      <c r="C9" s="53">
        <f>SUM('Quarterly Model'!H8:I8)</f>
        <v>-332.84</v>
      </c>
      <c r="D9" s="71">
        <f>'Yearly Model'!H8</f>
        <v>-454.99510969023254</v>
      </c>
      <c r="E9" s="71">
        <f>'Yearly Model'!I8</f>
        <v>-181.7564415799386</v>
      </c>
      <c r="F9" s="71">
        <f>'Yearly Model'!J8</f>
        <v>215.70982494570376</v>
      </c>
      <c r="G9" s="71">
        <f>'Yearly Model'!K8</f>
        <v>701.7692725448089</v>
      </c>
      <c r="H9" s="71">
        <f>'Yearly Model'!L8</f>
        <v>1165.6638934372572</v>
      </c>
      <c r="I9" s="71">
        <f>'Yearly Model'!M8</f>
        <v>1572.6296000000002</v>
      </c>
      <c r="J9" s="71">
        <f>'Yearly Model'!N8</f>
        <v>1724.2387599999997</v>
      </c>
      <c r="K9" s="71">
        <f>'Yearly Model'!O8</f>
        <v>1802.8495000000003</v>
      </c>
      <c r="L9" s="71">
        <f>'Yearly Model'!P8</f>
        <v>1832.6695000000002</v>
      </c>
      <c r="M9" s="71">
        <f>'Yearly Model'!Q8</f>
        <v>1853.1370000000002</v>
      </c>
      <c r="N9" s="71">
        <f>'Yearly Model'!R8</f>
        <v>1859.8195</v>
      </c>
      <c r="O9" s="71">
        <f>'Yearly Model'!S8</f>
        <v>1864.0720000000001</v>
      </c>
      <c r="P9" s="71">
        <f>'Yearly Model'!T8</f>
        <v>1864.0720000000001</v>
      </c>
      <c r="Q9" s="71">
        <f>'Yearly Model'!U8</f>
        <v>629.8119774848585</v>
      </c>
      <c r="R9" s="71">
        <f>'Yearly Model'!V8</f>
        <v>377.36152</v>
      </c>
      <c r="S9" s="71">
        <f>'Yearly Model'!W8</f>
        <v>187.394608</v>
      </c>
      <c r="T9" s="71">
        <f>'Yearly Model'!X8</f>
        <v>111.4078432</v>
      </c>
      <c r="U9" s="71">
        <f>'Yearly Model'!Y8</f>
        <v>81.01313728</v>
      </c>
      <c r="V9" s="71">
        <f>'Yearly Model'!Z8</f>
        <v>68.855254912</v>
      </c>
      <c r="W9" s="71">
        <f>'Yearly Model'!AA8</f>
        <v>27.542101964800004</v>
      </c>
      <c r="X9" s="71">
        <f>'Yearly Model'!AB8</f>
        <v>11.01684078592</v>
      </c>
      <c r="Y9" s="71">
        <f>'Yearly Model'!AC8</f>
        <v>4.406736314368001</v>
      </c>
      <c r="Z9" s="71">
        <f>'Yearly Model'!AD8</f>
        <v>1.7626945257472006</v>
      </c>
      <c r="AA9" s="71">
        <f>'Yearly Model'!AE8</f>
        <v>0.7050778102988801</v>
      </c>
    </row>
    <row r="10">
      <c r="A10" s="13" t="inlineStr">
        <is>
          <t>Taxes on EBIT (after tax-loss pool)</t>
        </is>
      </c>
      <c r="C10" s="53" t="n">
        <v>0</v>
      </c>
      <c r="D10" s="53">
        <f>IF(D9&gt;0,MAX(0,D9-'Yearly Model'!G21)*Assumptions!$B$15,0)</f>
        <v>0</v>
      </c>
      <c r="E10" s="53">
        <f>IF(E9&gt;0,MAX(0,E9-'Yearly Model'!H21)*Assumptions!$B$15,0)</f>
        <v>0</v>
      </c>
      <c r="F10" s="53">
        <f>IF(F9&gt;0,MAX(0,F9-'Yearly Model'!I21)*Assumptions!$B$15,0)</f>
        <v>0.0</v>
      </c>
      <c r="G10" s="53">
        <f>IF(G9&gt;0,MAX(0,G9-'Yearly Model'!J21)*Assumptions!$B$15,0)</f>
        <v>0.0</v>
      </c>
      <c r="H10" s="53">
        <f>IF(H9&gt;0,MAX(0,H9-'Yearly Model'!K21)*Assumptions!$B$15,0)</f>
        <v>0.0</v>
      </c>
      <c r="I10" s="53">
        <f>IF(I9&gt;0,MAX(0,I9-'Yearly Model'!L21)*Assumptions!$B$15,0)</f>
        <v>0.0</v>
      </c>
      <c r="J10" s="53">
        <f>IF(J9&gt;0,MAX(0,J9-'Yearly Model'!M21)*Assumptions!$B$15,0)</f>
        <v>232.9387184364211</v>
      </c>
      <c r="K10" s="53">
        <f>IF(K9&gt;0,MAX(0,K9-'Yearly Model'!N21)*Assumptions!$B$15,0)</f>
        <v>378.59839500000004</v>
      </c>
      <c r="L10" s="53">
        <f>IF(L9&gt;0,MAX(0,L9-'Yearly Model'!O21)*Assumptions!$B$15,0)</f>
        <v>384.86059500000005</v>
      </c>
      <c r="M10" s="53">
        <f>IF(M9&gt;0,MAX(0,M9-'Yearly Model'!P21)*Assumptions!$B$15,0)</f>
        <v>389.15877</v>
      </c>
      <c r="N10" s="53">
        <f>IF(N9&gt;0,MAX(0,N9-'Yearly Model'!Q21)*Assumptions!$B$15,0)</f>
        <v>390.562095</v>
      </c>
      <c r="O10" s="53">
        <f>IF(O9&gt;0,MAX(0,O9-'Yearly Model'!R21)*Assumptions!$B$15,0)</f>
        <v>391.45512</v>
      </c>
      <c r="P10" s="53">
        <f>IF(P9&gt;0,MAX(0,P9-'Yearly Model'!S21)*Assumptions!$B$15,0)</f>
        <v>391.45512</v>
      </c>
      <c r="Q10" s="53">
        <f>IF(Q9&gt;0,MAX(0,Q9-'Yearly Model'!T21)*Assumptions!$B$15,0)</f>
        <v>132.26051527182028</v>
      </c>
      <c r="R10" s="53">
        <f>IF(R9&gt;0,MAX(0,R9-'Yearly Model'!U21)*Assumptions!$B$15,0)</f>
        <v>79.24591919999999</v>
      </c>
      <c r="S10" s="53">
        <f>IF(S9&gt;0,MAX(0,S9-'Yearly Model'!V21)*Assumptions!$B$15,0)</f>
        <v>39.35286768</v>
      </c>
      <c r="T10" s="53">
        <f>IF(T9&gt;0,MAX(0,T9-'Yearly Model'!W21)*Assumptions!$B$15,0)</f>
        <v>23.395647072</v>
      </c>
      <c r="U10" s="53">
        <f>IF(U9&gt;0,MAX(0,U9-'Yearly Model'!X21)*Assumptions!$B$15,0)</f>
        <v>17.0127588288</v>
      </c>
      <c r="V10" s="53">
        <f>IF(V9&gt;0,MAX(0,V9-'Yearly Model'!Y21)*Assumptions!$B$15,0)</f>
        <v>14.45960353152</v>
      </c>
      <c r="W10" s="53">
        <f>IF(W9&gt;0,MAX(0,W9-'Yearly Model'!Z21)*Assumptions!$B$15,0)</f>
        <v>5.783841412608001</v>
      </c>
      <c r="X10" s="53">
        <f>IF(X9&gt;0,MAX(0,X9-'Yearly Model'!AA21)*Assumptions!$B$15,0)</f>
        <v>2.3135365650432</v>
      </c>
      <c r="Y10" s="53">
        <f>IF(Y9&gt;0,MAX(0,Y9-'Yearly Model'!AB21)*Assumptions!$B$15,0)</f>
        <v>0.9254146260172803</v>
      </c>
      <c r="Z10" s="53">
        <f>IF(Z9&gt;0,MAX(0,Z9-'Yearly Model'!AC21)*Assumptions!$B$15,0)</f>
        <v>0.37016585040691213</v>
      </c>
      <c r="AA10" s="53">
        <f>IF(AA9&gt;0,MAX(0,AA9-'Yearly Model'!AD21)*Assumptions!$B$15,0)</f>
        <v>0.14806634016276482</v>
      </c>
    </row>
    <row r="11">
      <c r="A11" s="22" t="inlineStr">
        <is>
          <t>Unlevered free cash flow</t>
        </is>
      </c>
      <c r="C11" s="57">
        <f>C9-C10</f>
        <v>-332.84</v>
      </c>
      <c r="D11" s="57">
        <f>D9-D10</f>
        <v>-454.99510969023254</v>
      </c>
      <c r="E11" s="57">
        <f>E9-E10</f>
        <v>-181.7564415799386</v>
      </c>
      <c r="F11" s="57">
        <f>F9-F10</f>
        <v>215.70982494570376</v>
      </c>
      <c r="G11" s="57">
        <f>G9-G10</f>
        <v>701.7692725448089</v>
      </c>
      <c r="H11" s="57">
        <f>H9-H10</f>
        <v>1165.6638934372572</v>
      </c>
      <c r="I11" s="57">
        <f>I9-I10</f>
        <v>1572.6296000000002</v>
      </c>
      <c r="J11" s="57">
        <f>J9-J10</f>
        <v>1491.3000415635786</v>
      </c>
      <c r="K11" s="57">
        <f>K9-K10</f>
        <v>1424.2511050000003</v>
      </c>
      <c r="L11" s="57">
        <f>L9-L10</f>
        <v>1447.808905</v>
      </c>
      <c r="M11" s="57">
        <f>M9-M10</f>
        <v>1463.9782300000002</v>
      </c>
      <c r="N11" s="57">
        <f>N9-N10</f>
        <v>1469.257405</v>
      </c>
      <c r="O11" s="57">
        <f>O9-O10</f>
        <v>1472.61688</v>
      </c>
      <c r="P11" s="57">
        <f>P9-P10</f>
        <v>1472.61688</v>
      </c>
      <c r="Q11" s="57">
        <f>Q9-Q10</f>
        <v>497.55146221303823</v>
      </c>
      <c r="R11" s="57">
        <f>R9-R10</f>
        <v>298.1156008</v>
      </c>
      <c r="S11" s="57">
        <f>S9-S10</f>
        <v>148.04174032</v>
      </c>
      <c r="T11" s="57">
        <f>T9-T10</f>
        <v>88.012196128</v>
      </c>
      <c r="U11" s="57">
        <f>U9-U10</f>
        <v>64.00037845119999</v>
      </c>
      <c r="V11" s="57">
        <f>V9-V10</f>
        <v>54.395651380480004</v>
      </c>
      <c r="W11" s="57">
        <f>W9-W10</f>
        <v>21.758260552192002</v>
      </c>
      <c r="X11" s="57">
        <f>X9-X10</f>
        <v>8.703304220876799</v>
      </c>
      <c r="Y11" s="57">
        <f>Y9-Y10</f>
        <v>3.481321688350721</v>
      </c>
      <c r="Z11" s="57">
        <f>Z9-Z10</f>
        <v>1.3925286753402886</v>
      </c>
      <c r="AA11" s="57">
        <f>AA9-AA10</f>
        <v>0.5570114701361153</v>
      </c>
    </row>
    <row r="12">
      <c r="A12" s="13" t="inlineStr">
        <is>
          <t>Cash-flow date (mid-period)</t>
        </is>
      </c>
      <c r="C12" s="72">
        <f>DATE(2026,10,1)</f>
        <v>46296</v>
      </c>
      <c r="D12" s="72">
        <f>DATE(D7,7,1)</f>
        <v>46569</v>
      </c>
      <c r="E12" s="72">
        <f>DATE(E7,7,1)</f>
        <v>46935</v>
      </c>
      <c r="F12" s="72">
        <f>DATE(F7,7,1)</f>
        <v>47300</v>
      </c>
      <c r="G12" s="72">
        <f>DATE(G7,7,1)</f>
        <v>47665</v>
      </c>
      <c r="H12" s="72">
        <f>DATE(H7,7,1)</f>
        <v>48030</v>
      </c>
      <c r="I12" s="72">
        <f>DATE(I7,7,1)</f>
        <v>48396</v>
      </c>
      <c r="J12" s="72">
        <f>DATE(J7,7,1)</f>
        <v>48761</v>
      </c>
      <c r="K12" s="72">
        <f>DATE(K7,7,1)</f>
        <v>49126</v>
      </c>
      <c r="L12" s="72">
        <f>DATE(L7,7,1)</f>
        <v>49491</v>
      </c>
      <c r="M12" s="72">
        <f>DATE(M7,7,1)</f>
        <v>49857</v>
      </c>
      <c r="N12" s="72">
        <f>DATE(N7,7,1)</f>
        <v>50222</v>
      </c>
      <c r="O12" s="72">
        <f>DATE(O7,7,1)</f>
        <v>50587</v>
      </c>
      <c r="P12" s="72">
        <f>DATE(P7,7,1)</f>
        <v>50952</v>
      </c>
      <c r="Q12" s="72">
        <f>DATE(Q7,7,1)</f>
        <v>51318</v>
      </c>
      <c r="R12" s="72">
        <f>DATE(R7,7,1)</f>
        <v>51683</v>
      </c>
      <c r="S12" s="72">
        <f>DATE(S7,7,1)</f>
        <v>52048</v>
      </c>
      <c r="T12" s="72">
        <f>DATE(T7,7,1)</f>
        <v>52413</v>
      </c>
      <c r="U12" s="72">
        <f>DATE(U7,7,1)</f>
        <v>52779</v>
      </c>
      <c r="V12" s="72">
        <f>DATE(V7,7,1)</f>
        <v>53144</v>
      </c>
      <c r="W12" s="72">
        <f>DATE(W7,7,1)</f>
        <v>53509</v>
      </c>
      <c r="X12" s="72">
        <f>DATE(X7,7,1)</f>
        <v>53874</v>
      </c>
      <c r="Y12" s="72">
        <f>DATE(Y7,7,1)</f>
        <v>54240</v>
      </c>
      <c r="Z12" s="72">
        <f>DATE(Z7,7,1)</f>
        <v>54605</v>
      </c>
      <c r="AA12" s="72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3">
        <f>1/(1+$B$5)^C13</f>
        <v>1.0</v>
      </c>
      <c r="D14" s="73">
        <f>1/(1+$B$5)^D13</f>
        <v>0.9348924125494857</v>
      </c>
      <c r="E14" s="73">
        <f>1/(1+$B$5)^E13</f>
        <v>0.8497358761739511</v>
      </c>
      <c r="F14" s="73">
        <f>1/(1+$B$5)^F13</f>
        <v>0.7725375559772492</v>
      </c>
      <c r="G14" s="73">
        <f>1/(1+$B$5)^G13</f>
        <v>0.7023526864400937</v>
      </c>
      <c r="H14" s="73">
        <f>1/(1+$B$5)^H13</f>
        <v>0.6385440970900113</v>
      </c>
      <c r="I14" s="73">
        <f>1/(1+$B$5)^I13</f>
        <v>0.5803810369332361</v>
      </c>
      <c r="J14" s="73">
        <f>1/(1+$B$5)^J13</f>
        <v>0.5276535455073076</v>
      </c>
      <c r="K14" s="73">
        <f>1/(1+$B$5)^K13</f>
        <v>0.47971633525038826</v>
      </c>
      <c r="L14" s="73">
        <f>1/(1+$B$5)^L13</f>
        <v>0.4361342101564176</v>
      </c>
      <c r="M14" s="73">
        <f>1/(1+$B$5)^M13</f>
        <v>0.3964080574641321</v>
      </c>
      <c r="N14" s="73">
        <f>1/(1+$B$5)^N13</f>
        <v>0.3603944713525766</v>
      </c>
      <c r="O14" s="73">
        <f>1/(1+$B$5)^O13</f>
        <v>0.3276527117344363</v>
      </c>
      <c r="P14" s="73">
        <f>1/(1+$B$5)^P13</f>
        <v>0.2978855338818506</v>
      </c>
      <c r="Q14" s="73">
        <f>1/(1+$B$5)^Q13</f>
        <v>0.2707520370631323</v>
      </c>
      <c r="R14" s="73">
        <f>1/(1+$B$5)^R13</f>
        <v>0.24615427317299127</v>
      </c>
      <c r="S14" s="73">
        <f>1/(1+$B$5)^S13</f>
        <v>0.22379121080147268</v>
      </c>
      <c r="T14" s="73">
        <f>1/(1+$B$5)^T13</f>
        <v>0.20345982779991154</v>
      </c>
      <c r="U14" s="73">
        <f>1/(1+$B$5)^U13</f>
        <v>0.18492728438162162</v>
      </c>
      <c r="V14" s="73">
        <f>1/(1+$B$5)^V13</f>
        <v>0.16812668067276218</v>
      </c>
      <c r="W14" s="73">
        <f>1/(1+$B$5)^W13</f>
        <v>0.15285240816984674</v>
      </c>
      <c r="X14" s="73">
        <f>1/(1+$B$5)^X13</f>
        <v>0.13896580001359982</v>
      </c>
      <c r="Y14" s="73">
        <f>1/(1+$B$5)^Y13</f>
        <v>0.12630782349677042</v>
      </c>
      <c r="Z14" s="73">
        <f>1/(1+$B$5)^Z13</f>
        <v>0.11483278510536311</v>
      </c>
      <c r="AA14" s="73">
        <f>1/(1+$B$5)^AA13</f>
        <v>0.10440025146495915</v>
      </c>
    </row>
    <row r="15">
      <c r="A15" s="22" t="inlineStr">
        <is>
          <t>PV of free cash flow</t>
        </is>
      </c>
      <c r="C15" s="57">
        <f>C11*C14</f>
        <v>-332.84</v>
      </c>
      <c r="D15" s="57">
        <f>D11*D14</f>
        <v>-425.3714757965194</v>
      </c>
      <c r="E15" s="57">
        <f>E11*E14</f>
        <v>-154.4449691361887</v>
      </c>
      <c r="F15" s="57">
        <f>F11*F14</f>
        <v>166.64394096383424</v>
      </c>
      <c r="G15" s="57">
        <f>G11*G14</f>
        <v>492.8895338329569</v>
      </c>
      <c r="H15" s="57">
        <f>H11*H14</f>
        <v>744.3277983453205</v>
      </c>
      <c r="I15" s="57">
        <f>I11*I14</f>
        <v>912.7243979599003</v>
      </c>
      <c r="J15" s="57">
        <f>J11*J14</f>
        <v>786.8897543462174</v>
      </c>
      <c r="K15" s="57">
        <f>K11*K14</f>
        <v>683.236520566916</v>
      </c>
      <c r="L15" s="57">
        <f>L11*L14</f>
        <v>631.438993239603</v>
      </c>
      <c r="M15" s="57">
        <f>M11*M14</f>
        <v>580.3327663240784</v>
      </c>
      <c r="N15" s="57">
        <f>N11*N14</f>
        <v>529.5122457558335</v>
      </c>
      <c r="O15" s="57">
        <f>O11*O14</f>
        <v>482.5069140779049</v>
      </c>
      <c r="P15" s="57">
        <f>P11*P14</f>
        <v>438.6712655022251</v>
      </c>
      <c r="Q15" s="57">
        <f>Q11*Q14</f>
        <v>134.71307193792018</v>
      </c>
      <c r="R15" s="57">
        <f>R11*R14</f>
        <v>73.38242903645362</v>
      </c>
      <c r="S15" s="57">
        <f>S11*S14</f>
        <v>33.13044031537</v>
      </c>
      <c r="T15" s="57">
        <f>T11*T14</f>
        <v>17.90694626849492</v>
      </c>
      <c r="U15" s="57">
        <f>U11*U14</f>
        <v>11.835416186376468</v>
      </c>
      <c r="V15" s="57">
        <f>V11*V14</f>
        <v>9.145360309632856</v>
      </c>
      <c r="W15" s="57">
        <f>W11*W14</f>
        <v>3.3258025229895267</v>
      </c>
      <c r="X15" s="57">
        <f>X11*X14</f>
        <v>1.2094616338158843</v>
      </c>
      <c r="Y15" s="57">
        <f>Y11*Y14</f>
        <v>0.43971816534768166</v>
      </c>
      <c r="Z15" s="57">
        <f>Z11*Z14</f>
        <v>0.1599079461284073</v>
      </c>
      <c r="AA15" s="57">
        <f>AA11*AA14</f>
        <v>0.058152137551077024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3">
        <f>SUM(C15:AA15)</f>
        <v>5821.824392442161</v>
      </c>
    </row>
    <row r="19">
      <c r="A19" s="13" t="inlineStr">
        <is>
          <t>Cash &amp; investments (Main; incl. post-quarter financing)</t>
        </is>
      </c>
      <c r="C19" s="71">
        <f>Main!C7</f>
        <v>1704.003</v>
      </c>
    </row>
    <row r="20">
      <c r="A20" s="13" t="inlineStr">
        <is>
          <t>Debt, convertibles &amp; preferred at face (Main)</t>
        </is>
      </c>
      <c r="C20" s="71">
        <f>Main!C8</f>
        <v>1166.06</v>
      </c>
    </row>
    <row r="21">
      <c r="A21" s="13" t="inlineStr">
        <is>
          <t>Equity value, all claims treated as debt</t>
        </is>
      </c>
      <c r="C21" s="53">
        <f>C18+C19-C20</f>
        <v>6359.7673924421615</v>
      </c>
    </row>
    <row r="22">
      <c r="A22" s="13" t="inlineStr">
        <is>
          <t>Basic shares incl. pre-funded / as-converted (Main)</t>
        </is>
      </c>
      <c r="C22" s="74">
        <f>Main!C4</f>
        <v>139.023418</v>
      </c>
    </row>
    <row r="23">
      <c r="A23" s="13" t="inlineStr">
        <is>
          <t>Value / share before conversions</t>
        </is>
      </c>
      <c r="C23" s="54">
        <f>C21/C22</f>
        <v>45.746015196102874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2027 convertible notes</t>
        </is>
      </c>
      <c r="B26" s="75" t="n">
        <v>140.5</v>
      </c>
      <c r="C26" s="76" t="n">
        <v>2.751</v>
      </c>
      <c r="D26" s="77" t="n">
        <v>51.08</v>
      </c>
      <c r="E26" s="78">
        <f>IF(AND(C26&gt;0,$C$23&gt;D26),1,0)</f>
        <v>0</v>
      </c>
    </row>
    <row r="27">
      <c r="A27" s="13" t="inlineStr">
        <is>
          <t>2031 convertible notes</t>
        </is>
      </c>
      <c r="B27" s="75" t="n">
        <v>750</v>
      </c>
      <c r="C27" s="76" t="n">
        <v>10.962</v>
      </c>
      <c r="D27" s="77" t="n">
        <v>68.42</v>
      </c>
      <c r="E27" s="78">
        <f>IF(AND(C27&gt;0,$C$23&gt;D27),1,0)</f>
        <v>0</v>
      </c>
    </row>
    <row r="28">
      <c r="A28" s="13" t="inlineStr">
        <is>
          <t>—</t>
        </is>
      </c>
      <c r="B28" s="64" t="n">
        <v>0</v>
      </c>
      <c r="C28" s="64" t="n">
        <v>0</v>
      </c>
      <c r="D28" s="64" t="n">
        <v>0</v>
      </c>
      <c r="E28" s="78">
        <f>IF(AND(C28&gt;0,$C$23&gt;D28),1,0)</f>
        <v>0</v>
      </c>
    </row>
    <row r="29">
      <c r="A29" s="13" t="inlineStr">
        <is>
          <t>—</t>
        </is>
      </c>
      <c r="B29" s="64" t="n">
        <v>0</v>
      </c>
      <c r="C29" s="64" t="n">
        <v>0</v>
      </c>
      <c r="D29" s="64" t="n">
        <v>0</v>
      </c>
      <c r="E29" s="78">
        <f>IF(AND(C29&gt;0,$C$23&gt;D29),1,0)</f>
        <v>0</v>
      </c>
    </row>
    <row r="30">
      <c r="A30" s="13" t="inlineStr">
        <is>
          <t>—</t>
        </is>
      </c>
      <c r="B30" s="64" t="n">
        <v>0</v>
      </c>
      <c r="C30" s="64" t="n">
        <v>0</v>
      </c>
      <c r="D30" s="64" t="n">
        <v>0</v>
      </c>
      <c r="E30" s="78">
        <f>IF(AND(C30&gt;0,$C$23&gt;D30),1,0)</f>
        <v>0</v>
      </c>
    </row>
    <row r="31">
      <c r="A31" s="22" t="inlineStr">
        <is>
          <t>Equity value (rNPV) after conversions</t>
        </is>
      </c>
      <c r="C31" s="57">
        <f>C21+SUMPRODUCT(B26:B30,E26:E30)</f>
        <v>6359.7673924421615</v>
      </c>
    </row>
    <row r="32">
      <c r="A32" s="13" t="inlineStr">
        <is>
          <t>Shares after conversions (mm)</t>
        </is>
      </c>
      <c r="C32" s="18">
        <f>C22+SUMPRODUCT(C26:C30,E26:E30)</f>
        <v>139.023418</v>
      </c>
    </row>
    <row r="33">
      <c r="A33" s="13" t="inlineStr">
        <is>
          <t>Value / share before options &amp; warrants</t>
        </is>
      </c>
      <c r="C33" s="54">
        <f>C31/C32</f>
        <v>45.746015196102874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 (strike assumed)</t>
        </is>
      </c>
      <c r="B36" s="76" t="n">
        <v>10.776</v>
      </c>
      <c r="C36" s="77" t="n">
        <v>45</v>
      </c>
      <c r="D36" s="73">
        <f>IF(AND(B36&gt;0,$C$33&gt;C36),B36*(1-C36/$C$33),0)</f>
        <v>0.17573245929165474</v>
      </c>
    </row>
    <row r="37">
      <c r="A37" s="13" t="inlineStr">
        <is>
          <t>RSUs / PSUs</t>
        </is>
      </c>
      <c r="B37" s="76" t="n">
        <v>2.941</v>
      </c>
      <c r="C37" s="77" t="n">
        <v>0</v>
      </c>
      <c r="D37" s="73">
        <f>IF(AND(B37&gt;0,$C$33&gt;C37),B37*(1-C37/$C$33),0)</f>
        <v>2.941</v>
      </c>
    </row>
    <row r="38">
      <c r="A38" s="13" t="inlineStr">
        <is>
          <t>—</t>
        </is>
      </c>
      <c r="B38" s="64" t="n">
        <v>0</v>
      </c>
      <c r="C38" s="64" t="n">
        <v>0</v>
      </c>
      <c r="D38" s="73">
        <f>IF(AND(B38&gt;0,$C$33&gt;C38),B38*(1-C38/$C$33),0)</f>
        <v>0</v>
      </c>
    </row>
    <row r="39">
      <c r="A39" s="13" t="inlineStr">
        <is>
          <t>—</t>
        </is>
      </c>
      <c r="B39" s="64" t="n">
        <v>0</v>
      </c>
      <c r="C39" s="64" t="n">
        <v>0</v>
      </c>
      <c r="D39" s="73">
        <f>IF(AND(B39&gt;0,$C$33&gt;C39),B39*(1-C39/$C$33),0)</f>
        <v>0</v>
      </c>
    </row>
    <row r="40">
      <c r="A40" s="13" t="inlineStr">
        <is>
          <t>—</t>
        </is>
      </c>
      <c r="B40" s="64" t="n">
        <v>0</v>
      </c>
      <c r="C40" s="64" t="n">
        <v>0</v>
      </c>
      <c r="D40" s="73">
        <f>IF(AND(B40&gt;0,$C$33&gt;C40),B40*(1-C40/$C$33),0)</f>
        <v>0</v>
      </c>
    </row>
    <row r="41">
      <c r="A41" s="13" t="inlineStr">
        <is>
          <t>—</t>
        </is>
      </c>
      <c r="B41" s="64" t="n">
        <v>0</v>
      </c>
      <c r="C41" s="64" t="n">
        <v>0</v>
      </c>
      <c r="D41" s="73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142.14015045929165</v>
      </c>
    </row>
    <row r="43">
      <c r="A43" s="22" t="inlineStr">
        <is>
          <t>rNPV / share, diluted</t>
        </is>
      </c>
      <c r="C43" s="79">
        <f>C31/C42</f>
        <v>44.74293415260998</v>
      </c>
    </row>
    <row r="44">
      <c r="A44" s="13" t="inlineStr">
        <is>
          <t>Current price (Main)</t>
        </is>
      </c>
      <c r="C44" s="80">
        <f>Main!C3</f>
        <v>63.95</v>
      </c>
    </row>
    <row r="45">
      <c r="A45" s="22" t="inlineStr">
        <is>
          <t>Upside / (downside) to rNPV</t>
        </is>
      </c>
      <c r="C45" s="59">
        <f>C43/C44-1</f>
        <v>-0.30034504843455856</v>
      </c>
    </row>
    <row r="46">
      <c r="A46" s="13" t="inlineStr">
        <is>
          <t>Net cash / share</t>
        </is>
      </c>
      <c r="C46" s="54">
        <f>(C19-C20)/C22</f>
        <v>3.8694416216985834</v>
      </c>
    </row>
    <row r="47">
      <c r="A47" s="13" t="inlineStr">
        <is>
          <t>Est. cash &amp; investments at 12/31/2026</t>
        </is>
      </c>
      <c r="C47" s="71">
        <f>'Quarterly Model'!I20</f>
        <v>1335.1629999999998</v>
      </c>
    </row>
    <row r="48">
      <c r="A48" s="13" t="inlineStr">
        <is>
          <t>Liquidation value / share (12/31/2026E cash − debt − wind-down)</t>
        </is>
      </c>
      <c r="C48" s="54">
        <f>MAX(0,C47-C20-Assumptions!$B$27)/C22</f>
        <v>0.4970601427739307</v>
      </c>
    </row>
    <row r="49">
      <c r="A49" s="13" t="inlineStr">
        <is>
          <t>Market-implied value of pipeline (market cap − net cash)</t>
        </is>
      </c>
      <c r="C49" s="53">
        <f>Main!C5-(C19-C20)</f>
        <v>8352.6045811</v>
      </c>
    </row>
    <row r="51">
      <c r="A51" s="30" t="inlineStr">
        <is>
          <t>Sum of the parts (PV)</t>
        </is>
      </c>
      <c r="B51" s="81" t="inlineStr">
        <is>
          <t>$mm</t>
        </is>
      </c>
      <c r="C51" s="81" t="inlineStr">
        <is>
          <t>$ / share</t>
        </is>
      </c>
    </row>
    <row r="52">
      <c r="A52" s="13" t="inlineStr">
        <is>
          <t>MYQORZO (aficamten) — obstructive HCM</t>
        </is>
      </c>
      <c r="B52" s="53">
        <f>SUMPRODUCT(Pipeline!C11:Z11,$D$14:$AA$14)</f>
        <v>6640.423770980124</v>
      </c>
      <c r="C52" s="54">
        <f>B52/$C$42</f>
        <v>46.71743873580543</v>
      </c>
    </row>
    <row r="53">
      <c r="A53" s="13" t="inlineStr">
        <is>
          <t>MAPLE-HCM label — first-line use (incremental)</t>
        </is>
      </c>
      <c r="B53" s="53">
        <f>SUMPRODUCT(Pipeline!C23:Z23,$D$14:$AA$14)</f>
        <v>1360.8913904164335</v>
      </c>
      <c r="C53" s="54">
        <f>B53/$C$42</f>
        <v>9.574292597967856</v>
      </c>
    </row>
    <row r="54">
      <c r="A54" s="13" t="inlineStr">
        <is>
          <t>Aficamten — non-obstructive HCM (sNDA Q4 2026)</t>
        </is>
      </c>
      <c r="B54" s="53">
        <f>SUMPRODUCT(Pipeline!C33:Z33,$D$14:$AA$14)</f>
        <v>3289.668991101908</v>
      </c>
      <c r="C54" s="54">
        <f>B54/$C$42</f>
        <v>23.143840642296603</v>
      </c>
    </row>
    <row r="55">
      <c r="A55" s="13" t="inlineStr">
        <is>
          <t>Omecamtiv mecarbil — HFrEF (COMET-HF)</t>
        </is>
      </c>
      <c r="B55" s="53">
        <f>SUMPRODUCT(Pipeline!C43:Z43,$D$14:$AA$14)</f>
        <v>434.0608006781023</v>
      </c>
      <c r="C55" s="54">
        <f>B55/$C$42</f>
        <v>3.0537522246567166</v>
      </c>
    </row>
    <row r="56">
      <c r="A56" s="13" t="inlineStr">
        <is>
          <t>Ulacamten — HFpEF (Phase 2)</t>
        </is>
      </c>
      <c r="B56" s="53">
        <f>SUMPRODUCT(Pipeline!C53:Z53,$D$14:$AA$14)</f>
        <v>173.31126926208412</v>
      </c>
      <c r="C56" s="54">
        <f>B56/$C$42</f>
        <v>1.2192984790157497</v>
      </c>
    </row>
    <row r="57">
      <c r="A57" s="13" t="inlineStr">
        <is>
          <t>Corporate G&amp;A + platform R&amp;D (2027+)</t>
        </is>
      </c>
      <c r="B57" s="53">
        <f>-SUMPRODUCT(Pipeline!C59:Z59,$D$14:$AA$14)-SUMPRODUCT(Pipeline!C62:Z62,$D$14:$AA$14)</f>
        <v>-4655.576919068602</v>
      </c>
      <c r="C57" s="54">
        <f>B57/$C$42</f>
        <v>-32.75342613628329</v>
      </c>
    </row>
    <row r="58">
      <c r="A58" s="13" t="inlineStr">
        <is>
          <t>2H 2026 operating result</t>
        </is>
      </c>
      <c r="B58" s="53">
        <f>C11*C14</f>
        <v>-332.84</v>
      </c>
      <c r="C58" s="54">
        <f>B58/$C$42</f>
        <v>-2.341632529053246</v>
      </c>
    </row>
    <row r="59">
      <c r="A59" s="13" t="inlineStr">
        <is>
          <t>Taxes</t>
        </is>
      </c>
      <c r="B59" s="53">
        <f>-SUMPRODUCT(D10:AA10,D14:AA14)</f>
        <v>-1088.1149109278867</v>
      </c>
      <c r="C59" s="54">
        <f>B59/$C$42</f>
        <v>-7.655225546138129</v>
      </c>
    </row>
    <row r="60">
      <c r="A60" s="13" t="inlineStr">
        <is>
          <t>Net cash (cash − all claims at face)</t>
        </is>
      </c>
      <c r="B60" s="53">
        <f>C19-C20</f>
        <v>537.943</v>
      </c>
      <c r="C60" s="54">
        <f>B60/$C$42</f>
        <v>3.7845956843422974</v>
      </c>
    </row>
    <row r="61">
      <c r="A61" s="13" t="inlineStr">
        <is>
          <t>Add back converted claims</t>
        </is>
      </c>
      <c r="B61" s="53">
        <f>SUMPRODUCT(B26:B30,E26:E30)</f>
        <v>0.0</v>
      </c>
      <c r="C61" s="54">
        <f>B61/$C$42</f>
        <v>0.0</v>
      </c>
    </row>
    <row r="62">
      <c r="A62" s="22" t="inlineStr">
        <is>
          <t>Equity value</t>
        </is>
      </c>
      <c r="B62" s="65">
        <f>SUM(B52:B61)</f>
        <v>6359.767392442163</v>
      </c>
      <c r="C62" s="82">
        <f>B62/$C$42</f>
        <v>44.74293415260999</v>
      </c>
    </row>
    <row r="63">
      <c r="A63" s="25" t="inlineStr">
        <is>
          <t>Check vs. equity value above (should be 0)</t>
        </is>
      </c>
      <c r="B63" s="83">
        <f>ROUND(B62-C31,6)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3" t="inlineStr">
        <is>
          <t>CYTK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7" t="n">
        <v>61.95</v>
      </c>
    </row>
    <row r="5">
      <c r="A5" s="13" t="inlineStr">
        <is>
          <t>Pricing date</t>
        </is>
      </c>
      <c r="B5" s="84">
        <f>DATE(2026,10,16)</f>
        <v>46311</v>
      </c>
    </row>
    <row r="6">
      <c r="A6" s="13" t="inlineStr">
        <is>
          <t>PDUFA date</t>
        </is>
      </c>
      <c r="B6" s="67">
        <f>Assumptions!$B$30</f>
        <v>46340</v>
      </c>
    </row>
    <row r="7">
      <c r="A7" s="13" t="inlineStr">
        <is>
          <t>Expiry (first monthly after the PDUFA date)</t>
        </is>
      </c>
      <c r="B7" s="84">
        <f>DATE(2026,11,20)</f>
        <v>46346</v>
      </c>
    </row>
    <row r="8">
      <c r="A8" s="13" t="inlineStr">
        <is>
          <t>Years to expiry (T)</t>
        </is>
      </c>
      <c r="B8" s="73">
        <f>(B7-B5)/365</f>
        <v>0.0958904109589041</v>
      </c>
    </row>
    <row r="9">
      <c r="A9" s="13" t="inlineStr">
        <is>
          <t>Risk-free rate</t>
        </is>
      </c>
      <c r="B9" s="85" t="n">
        <v>0.04</v>
      </c>
    </row>
    <row r="10">
      <c r="A10" s="13" t="inlineStr">
        <is>
          <t>Reference IV for wide quotes (theo prices)</t>
        </is>
      </c>
      <c r="B10" s="85" t="n">
        <v>0.5611</v>
      </c>
    </row>
    <row r="11">
      <c r="A11" s="13" t="inlineStr">
        <is>
          <t>Contract multiplier</t>
        </is>
      </c>
      <c r="B11" s="86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80">
        <f>NPV!C43</f>
        <v>44.74293415260998</v>
      </c>
    </row>
    <row r="15">
      <c r="A15" s="13" t="inlineStr">
        <is>
          <t>Model value / share if approved</t>
        </is>
      </c>
      <c r="B15" s="80">
        <f>Assumptions!$D$134</f>
        <v>44.933311964398264</v>
      </c>
    </row>
    <row r="16">
      <c r="A16" s="13" t="inlineStr">
        <is>
          <t>Model value / share if CRL</t>
        </is>
      </c>
      <c r="B16" s="80">
        <f>Assumptions!$D$133</f>
        <v>42.39369304168151</v>
      </c>
    </row>
    <row r="17">
      <c r="A17" s="13" t="inlineStr">
        <is>
          <t>Model probability of approval</t>
        </is>
      </c>
      <c r="B17" s="68">
        <f>Assumptions!$B$32</f>
        <v>0.92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4">
        <f>MAX(0,B19*(NPV!C47-NPV!C20)/NPV!C22)</f>
        <v>0.608181709357771</v>
      </c>
    </row>
    <row r="21">
      <c r="A21" s="22" t="inlineStr">
        <is>
          <t>Price if approved (center of outcome)</t>
        </is>
      </c>
      <c r="B21" s="58">
        <f>IF(B14&gt;0,B4*(1+B18*(B15/B14-1)),B4+B18*(B15-B14))</f>
        <v>62.21359257978159</v>
      </c>
    </row>
    <row r="22">
      <c r="A22" s="22" t="inlineStr">
        <is>
          <t>Price if CRL (center of outcome)</t>
        </is>
      </c>
      <c r="B22" s="58">
        <f>MAX(B20,IF(B14&gt;0,B4*(1+B18*(B16/B14-1)),B4+B18*(B16-B14)))</f>
        <v>58.69729676141435</v>
      </c>
    </row>
    <row r="23">
      <c r="A23" s="13" t="inlineStr">
        <is>
          <t>Model expected price after the decision</t>
        </is>
      </c>
      <c r="B23" s="54">
        <f>B17*B21+(1-B17)*B22</f>
        <v>61.93228891431221</v>
      </c>
    </row>
    <row r="24">
      <c r="A24" s="13" t="inlineStr">
        <is>
          <t>Non-event volatility (6-month realized, 3 largest days removed)</t>
        </is>
      </c>
      <c r="B24" s="26" t="n">
        <v>0.346</v>
      </c>
    </row>
    <row r="25">
      <c r="A25" s="13" t="inlineStr">
        <is>
          <t>Model fair ATM straddle, % of spot (jump + non-event volatility)</t>
        </is>
      </c>
      <c r="B25" s="59">
        <f>(B17*((B21*NORMSDIST(((LN(B21/62.5)+$B$24^2*$B$8/2)/($B$24*SQRT($B$8))))-62.5*NORMSDIST((((LN(B21/62.5)+$B$24^2*$B$8/2)/($B$24*SQRT($B$8)))-$B$24*SQRT($B$8))))+(62.5*NORMSDIST(-(((LN(B21/62.5)+$B$24^2*$B$8/2)/($B$24*SQRT($B$8)))-$B$24*SQRT($B$8)))-B21*NORMSDIST(-((LN(B21/62.5)+$B$24^2*$B$8/2)/($B$24*SQRT($B$8))))))+(1-B17)*((B22*NORMSDIST(((LN(B22/62.5)+$B$24^2*$B$8/2)/($B$24*SQRT($B$8))))-62.5*NORMSDIST((((LN(B22/62.5)+$B$24^2*$B$8/2)/($B$24*SQRT($B$8)))-$B$24*SQRT($B$8))))+(62.5*NORMSDIST(-(((LN(B22/62.5)+$B$24^2*$B$8/2)/($B$24*SQRT($B$8)))-$B$24*SQRT($B$8)))-B22*NORMSDIST(-((LN(B22/62.5)+$B$24^2*$B$8/2)/($B$24*SQRT($B$8)))))))/B4</f>
        <v>0.08700091917440206</v>
      </c>
    </row>
    <row r="26">
      <c r="A26" s="13" t="inlineStr">
        <is>
          <t>Market ATM straddle, % of spot</t>
        </is>
      </c>
      <c r="B26" s="59">
        <f>($G$41+$G$42)/B4</f>
        <v>0.13886387312423915</v>
      </c>
    </row>
    <row r="27">
      <c r="A27" s="22" t="inlineStr">
        <is>
          <t>Options richness (market straddle ÷ model straddle)</t>
        </is>
      </c>
      <c r="B27" s="87">
        <f>B26/B25</f>
        <v>1.5961196093327772</v>
      </c>
    </row>
    <row r="28">
      <c r="A28" s="30" t="inlineStr">
        <is>
          <t>Market snapshot — 11/20/2026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8" t="n">
        <v>52.5</v>
      </c>
      <c r="B30" s="77" t="n">
        <v>8.5</v>
      </c>
      <c r="C30" s="77" t="n">
        <v>12.6</v>
      </c>
      <c r="D30" s="54">
        <f>(B30+C30)/2</f>
        <v>10.55</v>
      </c>
      <c r="E30" s="85" t="n">
        <v>0.5218</v>
      </c>
      <c r="F30" s="77" t="n">
        <v>0.05</v>
      </c>
      <c r="G30" s="77" t="n">
        <v>2.85</v>
      </c>
      <c r="H30" s="54">
        <f>(F30+G30)/2</f>
        <v>1.45</v>
      </c>
      <c r="I30" s="85" t="n">
        <v>0.6908</v>
      </c>
      <c r="J30" s="89" t="n">
        <v>0</v>
      </c>
      <c r="K30" s="89" t="n">
        <v>0</v>
      </c>
    </row>
    <row r="31">
      <c r="A31" s="88" t="n">
        <v>55</v>
      </c>
      <c r="B31" s="77" t="n">
        <v>6.7</v>
      </c>
      <c r="C31" s="77" t="n">
        <v>10.6</v>
      </c>
      <c r="D31" s="54">
        <f>(B31+C31)/2</f>
        <v>8.65</v>
      </c>
      <c r="E31" s="85" t="n">
        <v>0.5387999999999999</v>
      </c>
      <c r="F31" s="77" t="n">
        <v>1.2</v>
      </c>
      <c r="G31" s="77" t="n">
        <v>2</v>
      </c>
      <c r="H31" s="54">
        <f>(F31+G31)/2</f>
        <v>1.6</v>
      </c>
      <c r="I31" s="85" t="n">
        <v>0.5981</v>
      </c>
      <c r="J31" s="89" t="n">
        <v>22</v>
      </c>
      <c r="K31" s="89" t="n">
        <v>164</v>
      </c>
    </row>
    <row r="32">
      <c r="A32" s="88" t="n">
        <v>57.5</v>
      </c>
      <c r="B32" s="77" t="n">
        <v>4.8</v>
      </c>
      <c r="C32" s="77" t="n">
        <v>8.800000000000001</v>
      </c>
      <c r="D32" s="54">
        <f>(B32+C32)/2</f>
        <v>6.800000000000001</v>
      </c>
      <c r="E32" s="85" t="n">
        <v>0.524</v>
      </c>
      <c r="F32" s="77" t="n">
        <v>0.45</v>
      </c>
      <c r="G32" s="77" t="n">
        <v>3.7</v>
      </c>
      <c r="H32" s="54">
        <f>(F32+G32)/2</f>
        <v>2.075</v>
      </c>
      <c r="I32" s="85" t="n">
        <v>0.5484</v>
      </c>
      <c r="J32" s="89" t="n">
        <v>0</v>
      </c>
      <c r="K32" s="89" t="n">
        <v>2</v>
      </c>
    </row>
    <row r="33">
      <c r="A33" s="88" t="n">
        <v>60</v>
      </c>
      <c r="B33" s="77" t="n">
        <v>4.6</v>
      </c>
      <c r="C33" s="77" t="n">
        <v>6.2</v>
      </c>
      <c r="D33" s="54">
        <f>(B33+C33)/2</f>
        <v>5.4</v>
      </c>
      <c r="E33" s="85" t="n">
        <v>0.5417999999999999</v>
      </c>
      <c r="F33" s="77" t="n">
        <v>2.6</v>
      </c>
      <c r="G33" s="77" t="n">
        <v>4.6</v>
      </c>
      <c r="H33" s="54">
        <f>(F33+G33)/2</f>
        <v>3.5999999999999996</v>
      </c>
      <c r="I33" s="85" t="n">
        <v>0.6217</v>
      </c>
      <c r="J33" s="89" t="n">
        <v>22</v>
      </c>
      <c r="K33" s="89" t="n">
        <v>313</v>
      </c>
    </row>
    <row r="34">
      <c r="A34" s="88" t="n">
        <v>62.5</v>
      </c>
      <c r="B34" s="77" t="n">
        <v>2.25</v>
      </c>
      <c r="C34" s="77" t="n">
        <v>5</v>
      </c>
      <c r="D34" s="54">
        <f>(B34+C34)/2</f>
        <v>3.625</v>
      </c>
      <c r="E34" s="85" t="n">
        <v>0.4765</v>
      </c>
      <c r="F34" s="77" t="n">
        <v>2.3</v>
      </c>
      <c r="G34" s="77" t="n">
        <v>6.2</v>
      </c>
      <c r="H34" s="54">
        <f>(F34+G34)/2</f>
        <v>4.25</v>
      </c>
      <c r="I34" s="85" t="n">
        <v>0.5427</v>
      </c>
      <c r="J34" s="89" t="n">
        <v>0</v>
      </c>
      <c r="K34" s="89" t="n">
        <v>0</v>
      </c>
    </row>
    <row r="35">
      <c r="A35" s="88" t="n">
        <v>65</v>
      </c>
      <c r="B35" s="77" t="n">
        <v>1.95</v>
      </c>
      <c r="C35" s="77" t="n">
        <v>4.3</v>
      </c>
      <c r="D35" s="54">
        <f>(B35+C35)/2</f>
        <v>3.125</v>
      </c>
      <c r="E35" s="85" t="n">
        <v>0.5469000000000001</v>
      </c>
      <c r="F35" s="77" t="n">
        <v>4</v>
      </c>
      <c r="G35" s="77" t="n">
        <v>6.6</v>
      </c>
      <c r="H35" s="54">
        <f>(F35+G35)/2</f>
        <v>5.3</v>
      </c>
      <c r="I35" s="85" t="n">
        <v>0.4867</v>
      </c>
      <c r="J35" s="89" t="n">
        <v>318</v>
      </c>
      <c r="K35" s="89" t="n">
        <v>124</v>
      </c>
    </row>
    <row r="36">
      <c r="A36" s="88" t="n">
        <v>67.5</v>
      </c>
      <c r="B36" s="77" t="n">
        <v>2</v>
      </c>
      <c r="C36" s="77" t="n">
        <v>2.8</v>
      </c>
      <c r="D36" s="54">
        <f>(B36+C36)/2</f>
        <v>2.4</v>
      </c>
      <c r="E36" s="85" t="n">
        <v>0.5611</v>
      </c>
      <c r="F36" s="77" t="n">
        <v>5.6</v>
      </c>
      <c r="G36" s="77" t="n">
        <v>9.5</v>
      </c>
      <c r="H36" s="54">
        <f>(F36+G36)/2</f>
        <v>7.55</v>
      </c>
      <c r="I36" s="85" t="n">
        <v>0.5628</v>
      </c>
      <c r="J36" s="89" t="n">
        <v>5</v>
      </c>
      <c r="K36" s="89" t="n">
        <v>0</v>
      </c>
    </row>
    <row r="37">
      <c r="A37" s="88" t="n">
        <v>70</v>
      </c>
      <c r="B37" s="77" t="n">
        <v>1.4</v>
      </c>
      <c r="C37" s="77" t="n">
        <v>2.1</v>
      </c>
      <c r="D37" s="54">
        <f>(B37+C37)/2</f>
        <v>1.75</v>
      </c>
      <c r="E37" s="85" t="n">
        <v>0.5615</v>
      </c>
      <c r="F37" s="77" t="n">
        <v>7.5</v>
      </c>
      <c r="G37" s="77" t="n">
        <v>11.6</v>
      </c>
      <c r="H37" s="54">
        <f>(F37+G37)/2</f>
        <v>9.55</v>
      </c>
      <c r="I37" s="85" t="n">
        <v>0.5837</v>
      </c>
      <c r="J37" s="89" t="n">
        <v>2702</v>
      </c>
      <c r="K37" s="89" t="n">
        <v>353</v>
      </c>
    </row>
    <row r="39">
      <c r="A39" s="30" t="inlineStr">
        <is>
          <t>Legs (premium = mid when the market is tight, else Black-Scholes at the reference IV)</t>
        </is>
      </c>
    </row>
    <row r="40">
      <c r="A40" s="29" t="inlineStr">
        <is>
          <t>Leg</t>
        </is>
      </c>
      <c r="B40" s="29" t="inlineStr">
        <is>
          <t>Type</t>
        </is>
      </c>
      <c r="C40" s="29" t="inlineStr">
        <is>
          <t>Strike</t>
        </is>
      </c>
      <c r="D40" s="29" t="inlineStr">
        <is>
          <t>Mid</t>
        </is>
      </c>
      <c r="E40" s="29" t="inlineStr">
        <is>
          <t>Spread % of mid</t>
        </is>
      </c>
      <c r="F40" s="29" t="inlineStr">
        <is>
          <t>BS value</t>
        </is>
      </c>
      <c r="G40" s="29" t="inlineStr">
        <is>
          <t>Premium used</t>
        </is>
      </c>
      <c r="H40" s="29" t="inlineStr">
        <is>
          <t>Source</t>
        </is>
      </c>
      <c r="I40" s="29" t="inlineStr">
        <is>
          <t>d1</t>
        </is>
      </c>
      <c r="J40" s="29" t="inlineStr">
        <is>
          <t>Delta</t>
        </is>
      </c>
      <c r="K40" s="29" t="inlineStr">
        <is>
          <t>E[payoff] if approved</t>
        </is>
      </c>
      <c r="L40" s="29" t="inlineStr">
        <is>
          <t>E[payoff] if CRL</t>
        </is>
      </c>
    </row>
    <row r="41">
      <c r="A41" s="13" t="inlineStr">
        <is>
          <t>Nov-26 $62.50 call</t>
        </is>
      </c>
      <c r="B41" s="90" t="inlineStr">
        <is>
          <t>C</t>
        </is>
      </c>
      <c r="C41" s="11">
        <f>A34</f>
        <v>62.5</v>
      </c>
      <c r="D41" s="54">
        <f>(B34+C34)/2</f>
        <v>3.625</v>
      </c>
      <c r="E41" s="56">
        <f>IF(B34&gt;0,(C34-B34)/D41,9.99)</f>
        <v>0.7586206896551724</v>
      </c>
      <c r="F41" s="54">
        <f>IF(B41="C",$B$4*NORMSDIST((LN($B$4/C41)+($B$9+$B$10^2/2)*$B$8)/($B$10*SQRT($B$8)))-C41*EXP(-$B$9*$B$8)*NORMSDIST((LN($B$4/C41)+($B$9+$B$10^2/2)*$B$8)/($B$10*SQRT($B$8))-$B$10*SQRT($B$8)),C41*EXP(-$B$9*$B$8)*NORMSDIST(-((LN($B$4/C41)+($B$9+$B$10^2/2)*$B$8)/($B$10*SQRT($B$8))-$B$10*SQRT($B$8)))-$B$4*NORMSDIST(-(LN($B$4/C41)+($B$9+$B$10^2/2)*$B$8)/($B$10*SQRT($B$8))))</f>
        <v>4.145941903070668</v>
      </c>
      <c r="G41" s="58">
        <f>IF(AND(B34&gt;0,E41&lt;=0.6),D41,F41)</f>
        <v>4.145941903070668</v>
      </c>
      <c r="H41" s="52" t="str">
        <f>IF(AND(B34&gt;0,E41&lt;=0.6),"market","theo")</f>
        <v>theo</v>
      </c>
      <c r="I41" s="73">
        <f>(LN($B$4/C41)+($B$9+$B$10^2/2)*$B$8)/($B$10*SQRT($B$8))</f>
        <v>0.05807965440549297</v>
      </c>
      <c r="J41" s="11">
        <f>IF(B41="C",NORMSDIST(I41),NORMSDIST(I41)-1)</f>
        <v>0.5231574097678483</v>
      </c>
      <c r="K41" s="54">
        <f>IF(B41="C",($B$21*NORMSDIST(((LN($B$21/C41)+$B$24^2*$B$8/2)/($B$24*SQRT($B$8))))-C41*NORMSDIST((((LN($B$21/C41)+$B$24^2*$B$8/2)/($B$24*SQRT($B$8)))-$B$24*SQRT($B$8)))),(C41*NORMSDIST(-(((LN($B$21/C41)+$B$24^2*$B$8/2)/($B$24*SQRT($B$8)))-$B$24*SQRT($B$8)))-$B$21*NORMSDIST(-((LN($B$21/C41)+$B$24^2*$B$8/2)/($B$24*SQRT($B$8))))))</f>
        <v>2.523337400093208</v>
      </c>
      <c r="L41" s="54">
        <f>IF(B41="C",($B$22*NORMSDIST(((LN($B$22/C41)+$B$24^2*$B$8/2)/($B$24*SQRT($B$8))))-C41*NORMSDIST((((LN($B$22/C41)+$B$24^2*$B$8/2)/($B$24*SQRT($B$8)))-$B$24*SQRT($B$8)))),(C41*NORMSDIST(-(((LN($B$22/C41)+$B$24^2*$B$8/2)/($B$24*SQRT($B$8)))-$B$24*SQRT($B$8)))-$B$22*NORMSDIST(-((LN($B$22/C41)+$B$24^2*$B$8/2)/($B$24*SQRT($B$8))))))</f>
        <v>1.1190940062182229</v>
      </c>
    </row>
    <row r="42">
      <c r="A42" s="13" t="inlineStr">
        <is>
          <t>Nov-26 $62.50 put</t>
        </is>
      </c>
      <c r="B42" s="90" t="inlineStr">
        <is>
          <t>P</t>
        </is>
      </c>
      <c r="C42" s="11">
        <f>A34</f>
        <v>62.5</v>
      </c>
      <c r="D42" s="54">
        <f>(F34+G34)/2</f>
        <v>4.25</v>
      </c>
      <c r="E42" s="56">
        <f>IF(F34&gt;0,(G34-F34)/D42,9.99)</f>
        <v>0.9176470588235295</v>
      </c>
      <c r="F42" s="54">
        <f>IF(B42="C",$B$4*NORMSDIST((LN($B$4/C42)+($B$9+$B$10^2/2)*$B$8)/($B$10*SQRT($B$8)))-C42*EXP(-$B$9*$B$8)*NORMSDIST((LN($B$4/C42)+($B$9+$B$10^2/2)*$B$8)/($B$10*SQRT($B$8))-$B$10*SQRT($B$8)),C42*EXP(-$B$9*$B$8)*NORMSDIST(-((LN($B$4/C42)+($B$9+$B$10^2/2)*$B$8)/($B$10*SQRT($B$8))-$B$10*SQRT($B$8)))-$B$4*NORMSDIST(-(LN($B$4/C42)+($B$9+$B$10^2/2)*$B$8)/($B$10*SQRT($B$8))))</f>
        <v>4.456675036975948</v>
      </c>
      <c r="G42" s="58">
        <f>IF(AND(F34&gt;0,E42&lt;=0.6),D42,F42)</f>
        <v>4.456675036975948</v>
      </c>
      <c r="H42" s="52" t="str">
        <f>IF(AND(F34&gt;0,E42&lt;=0.6),"market","theo")</f>
        <v>theo</v>
      </c>
      <c r="I42" s="73">
        <f>(LN($B$4/C42)+($B$9+$B$10^2/2)*$B$8)/($B$10*SQRT($B$8))</f>
        <v>0.05807965440549297</v>
      </c>
      <c r="J42" s="11">
        <f>IF(B42="C",NORMSDIST(I42),NORMSDIST(I42)-1)</f>
        <v>-0.4768425902321517</v>
      </c>
      <c r="K42" s="54">
        <f>IF(B42="C",($B$21*NORMSDIST(((LN($B$21/C42)+$B$24^2*$B$8/2)/($B$24*SQRT($B$8))))-C42*NORMSDIST((((LN($B$21/C42)+$B$24^2*$B$8/2)/($B$24*SQRT($B$8)))-$B$24*SQRT($B$8)))),(C42*NORMSDIST(-(((LN($B$21/C42)+$B$24^2*$B$8/2)/($B$24*SQRT($B$8)))-$B$24*SQRT($B$8)))-$B$21*NORMSDIST(-((LN($B$21/C42)+$B$24^2*$B$8/2)/($B$24*SQRT($B$8))))))</f>
        <v>2.809744820311618</v>
      </c>
      <c r="L42" s="54">
        <f>IF(B42="C",($B$22*NORMSDIST(((LN($B$22/C42)+$B$24^2*$B$8/2)/($B$24*SQRT($B$8))))-C42*NORMSDIST((((LN($B$22/C42)+$B$24^2*$B$8/2)/($B$24*SQRT($B$8)))-$B$24*SQRT($B$8)))),(C42*NORMSDIST(-(((LN($B$22/C42)+$B$24^2*$B$8/2)/($B$24*SQRT($B$8)))-$B$24*SQRT($B$8)))-$B$22*NORMSDIST(-((LN($B$22/C42)+$B$24^2*$B$8/2)/($B$24*SQRT($B$8))))))</f>
        <v>4.9217972448038765</v>
      </c>
    </row>
    <row r="43">
      <c r="A43" s="13" t="inlineStr">
        <is>
          <t>Nov-26 $70 call</t>
        </is>
      </c>
      <c r="B43" s="90" t="inlineStr">
        <is>
          <t>C</t>
        </is>
      </c>
      <c r="C43" s="11">
        <f>A37</f>
        <v>70</v>
      </c>
      <c r="D43" s="54">
        <f>(B37+C37)/2</f>
        <v>1.75</v>
      </c>
      <c r="E43" s="56">
        <f>IF(B37&gt;0,(C37-B37)/D43,9.99)</f>
        <v>0.4000000000000001</v>
      </c>
      <c r="F43" s="54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1.68114613972066</v>
      </c>
      <c r="G43" s="58">
        <f>IF(AND(B37&gt;0,E43&lt;=0.6),D43,F43)</f>
        <v>1.75</v>
      </c>
      <c r="H43" s="52" t="str">
        <f>IF(AND(B37&gt;0,E43&lt;=0.6),"market","theo")</f>
        <v>market</v>
      </c>
      <c r="I43" s="73">
        <f>(LN($B$4/C43)+($B$9+$B$10^2/2)*$B$8)/($B$10*SQRT($B$8))</f>
        <v>-0.5941671980777359</v>
      </c>
      <c r="J43" s="11">
        <f>IF(B43="C",NORMSDIST(I43),NORMSDIST(I43)-1)</f>
        <v>0.276200144823618</v>
      </c>
      <c r="K43" s="54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0.4841479254323815</v>
      </c>
      <c r="L43" s="54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0.14376319200608378</v>
      </c>
    </row>
    <row r="44">
      <c r="A44" s="13" t="inlineStr">
        <is>
          <t>Nov-26 $52.50 put</t>
        </is>
      </c>
      <c r="B44" s="90" t="inlineStr">
        <is>
          <t>P</t>
        </is>
      </c>
      <c r="C44" s="11">
        <f>A30</f>
        <v>52.5</v>
      </c>
      <c r="D44" s="54">
        <f>(F30+G30)/2</f>
        <v>1.45</v>
      </c>
      <c r="E44" s="56">
        <f>IF(F30&gt;0,(G30-F30)/D44,9.99)</f>
        <v>1.931034482758621</v>
      </c>
      <c r="F44" s="54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0.8624572467418457</v>
      </c>
      <c r="G44" s="58">
        <f>IF(AND(F30&gt;0,E44&lt;=0.6),D44,F44)</f>
        <v>0.8624572467418457</v>
      </c>
      <c r="H44" s="52" t="str">
        <f>IF(AND(F30&gt;0,E44&lt;=0.6),"market","theo")</f>
        <v>theo</v>
      </c>
      <c r="I44" s="73">
        <f>(LN($B$4/C44)+($B$9+$B$10^2/2)*$B$8)/($B$10*SQRT($B$8))</f>
        <v>1.0615453495814666</v>
      </c>
      <c r="J44" s="11">
        <f>IF(B44="C",NORMSDIST(I44),NORMSDIST(I44)-1)</f>
        <v>-0.1442210674525587</v>
      </c>
      <c r="K44" s="54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0.14747023691903838</v>
      </c>
      <c r="L44" s="54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0.45725158741880634</v>
      </c>
    </row>
    <row r="46">
      <c r="A46" s="30" t="inlineStr">
        <is>
          <t>Strategies (+ = credit received, − = debit paid; per share unless noted)</t>
        </is>
      </c>
    </row>
    <row r="47">
      <c r="A47" s="29" t="inlineStr">
        <is>
          <t>Metric</t>
        </is>
      </c>
      <c r="B47" s="29" t="inlineStr">
        <is>
          <t>Long straddle</t>
        </is>
      </c>
      <c r="C47" s="29" t="inlineStr">
        <is>
          <t>Bull call spread</t>
        </is>
      </c>
      <c r="D47" s="29" t="inlineStr">
        <is>
          <t>Bear put spread</t>
        </is>
      </c>
      <c r="E47" s="29" t="inlineStr">
        <is>
          <t>Iron butterfly</t>
        </is>
      </c>
    </row>
    <row r="48" ht="50" customHeight="1" s="9">
      <c r="A48" s="13" t="inlineStr">
        <is>
          <t>Structure</t>
        </is>
      </c>
      <c r="B48" s="91" t="inlineStr">
        <is>
          <t>Buy $62.50 call + $62.50 put</t>
        </is>
      </c>
      <c r="C48" s="91" t="inlineStr">
        <is>
          <t>Buy $62.50 / sell $70 call</t>
        </is>
      </c>
      <c r="D48" s="91" t="inlineStr">
        <is>
          <t>Buy $62.50 / sell $52.50 put</t>
        </is>
      </c>
      <c r="E48" s="91" t="inlineStr">
        <is>
          <t>Sell $62.50 straddle, buy $52.50 put + $70 call</t>
        </is>
      </c>
    </row>
    <row r="49">
      <c r="A49" s="13" t="inlineStr">
        <is>
          <t>Net premium</t>
        </is>
      </c>
      <c r="B49" s="54">
        <f>-$G$41-$G$42</f>
        <v>-8.602616940046616</v>
      </c>
      <c r="C49" s="54">
        <f>-$G$41+$G$43</f>
        <v>-2.3959419030706677</v>
      </c>
      <c r="D49" s="54">
        <f>-$G$42+$G$44</f>
        <v>-3.5942177902341026</v>
      </c>
      <c r="E49" s="54">
        <f>$G$41+$G$42-$G$43-$G$44</f>
        <v>5.99015969330477</v>
      </c>
    </row>
    <row r="50">
      <c r="A50" s="13" t="inlineStr">
        <is>
          <t>Net premium / contract</t>
        </is>
      </c>
      <c r="B50" s="92">
        <f>B49*$B$11</f>
        <v>-860.2616940046616</v>
      </c>
      <c r="C50" s="92">
        <f>C49*$B$11</f>
        <v>-239.59419030706675</v>
      </c>
      <c r="D50" s="92">
        <f>D49*$B$11</f>
        <v>-359.42177902341024</v>
      </c>
      <c r="E50" s="92">
        <f>E49*$B$11</f>
        <v>599.015969330477</v>
      </c>
    </row>
    <row r="51">
      <c r="A51" s="13" t="inlineStr">
        <is>
          <t>Max profit / contract</t>
        </is>
      </c>
      <c r="B51" s="93" t="str">
        <f>"Unlimited"</f>
        <v>Unlimited</v>
      </c>
      <c r="C51" s="93">
        <f>(70.0-62.5+C49)*$B$11</f>
        <v>510.40580969293325</v>
      </c>
      <c r="D51" s="93">
        <f>(62.5-52.5+D49)*$B$11</f>
        <v>640.5782209765897</v>
      </c>
      <c r="E51" s="93">
        <f>E49*$B$11</f>
        <v>599.015969330477</v>
      </c>
    </row>
    <row r="52">
      <c r="A52" s="13" t="inlineStr">
        <is>
          <t>Max loss / contract</t>
        </is>
      </c>
      <c r="B52" s="92">
        <f>B49*$B$11</f>
        <v>-860.2616940046616</v>
      </c>
      <c r="C52" s="92">
        <f>C49*$B$11</f>
        <v>-239.59419030706675</v>
      </c>
      <c r="D52" s="92">
        <f>D49*$B$11</f>
        <v>-359.42177902341024</v>
      </c>
      <c r="E52" s="92">
        <f>-(MAX(70.0-62.5,62.5-52.5)-E49)*$B$11</f>
        <v>-400.98403066952295</v>
      </c>
    </row>
    <row r="53">
      <c r="A53" s="13" t="inlineStr">
        <is>
          <t>Breakeven (low)</t>
        </is>
      </c>
      <c r="B53" s="94">
        <f>62.5+B49</f>
        <v>53.897383059953384</v>
      </c>
      <c r="C53" s="94" t="str">
        <f>"—"</f>
        <v>—</v>
      </c>
      <c r="D53" s="94">
        <f>62.5+D49</f>
        <v>58.905782209765896</v>
      </c>
      <c r="E53" s="94">
        <f>62.5-E49</f>
        <v>56.50984030669523</v>
      </c>
    </row>
    <row r="54">
      <c r="A54" s="13" t="inlineStr">
        <is>
          <t>Breakeven (high)</t>
        </is>
      </c>
      <c r="B54" s="94">
        <f>62.5-B49</f>
        <v>71.10261694004662</v>
      </c>
      <c r="C54" s="94">
        <f>62.5-C49</f>
        <v>64.89594190307066</v>
      </c>
      <c r="D54" s="94" t="str">
        <f>"—"</f>
        <v>—</v>
      </c>
      <c r="E54" s="94">
        <f>62.5+E49</f>
        <v>68.49015969330478</v>
      </c>
    </row>
    <row r="55">
      <c r="A55" s="13" t="inlineStr">
        <is>
          <t>Prob. of profit (market-implied, lognormal)</t>
        </is>
      </c>
      <c r="B55" s="55">
        <f>(1-NORMSDIST((LN($B$4/B53)+($B$9-IF((($E$34+$I$34)/2)&gt;0,(($E$34+$I$34)/2),$B$10)^2/2)*$B$8)/(IF((($E$34+$I$34)/2)&gt;0,(($E$34+$I$34)/2),$B$10)*SQRT($B$8))))+NORMSDIST((LN($B$4/B54)+($B$9-IF((($E$34+$I$34)/2)&gt;0,(($E$34+$I$34)/2),$B$10)^2/2)*$B$8)/(IF((($E$34+$I$34)/2)&gt;0,(($E$34+$I$34)/2),$B$10)*SQRT($B$8)))</f>
        <v>0.3806439432200147</v>
      </c>
      <c r="C55" s="55">
        <f>NORMSDIST((LN($B$4/C54)+($B$9-IF((($E$34+$I$34)/2)&gt;0,(($E$34+$I$34)/2),$B$10)^2/2)*$B$8)/(IF((($E$34+$I$34)/2)&gt;0,(($E$34+$I$34)/2),$B$10)*SQRT($B$8)))</f>
        <v>0.3635460978660855</v>
      </c>
      <c r="D55" s="55">
        <f>1-NORMSDIST((LN($B$4/D53)+($B$9-IF((($E$34+$I$34)/2)&gt;0,(($E$34+$I$34)/2),$B$10)^2/2)*$B$8)/(IF((($E$34+$I$34)/2)&gt;0,(($E$34+$I$34)/2),$B$10)*SQRT($B$8)))</f>
        <v>0.39561454747531033</v>
      </c>
      <c r="E55" s="55">
        <f>MAX(0,NORMSDIST((LN($B$4/E53)+($B$9-IF((($E$34+$I$34)/2)&gt;0,(($E$34+$I$34)/2),$B$10)^2/2)*$B$8)/(IF((($E$34+$I$34)/2)&gt;0,(($E$34+$I$34)/2),$B$10)*SQRT($B$8)))-NORMSDIST((LN($B$4/E54)+($B$9-IF((($E$34+$I$34)/2)&gt;0,(($E$34+$I$34)/2),$B$10)^2/2)*$B$8)/(IF((($E$34+$I$34)/2)&gt;0,(($E$34+$I$34)/2),$B$10)*SQRT($B$8))))</f>
        <v>0.45628887268166746</v>
      </c>
    </row>
    <row r="56">
      <c r="A56" s="13" t="inlineStr">
        <is>
          <t>Expected P/L if approved</t>
        </is>
      </c>
      <c r="B56" s="92">
        <f>((1)*$K$41+(1)*$K$42+B49)*$B$11</f>
        <v>-326.953471964179</v>
      </c>
      <c r="C56" s="92">
        <f>((1)*$K$41+(-1)*$K$43+C49)*$B$11</f>
        <v>-35.67524284098411</v>
      </c>
      <c r="D56" s="92">
        <f>((1)*$K$42+(-1)*$K$44+D49)*$B$11</f>
        <v>-93.1943206841523</v>
      </c>
      <c r="E56" s="92">
        <f>((-1)*$K$41+(-1)*$K$42+(1)*$K$43+(1)*$K$44+E49)*$B$11</f>
        <v>128.8695635251364</v>
      </c>
    </row>
    <row r="57">
      <c r="A57" s="13" t="inlineStr">
        <is>
          <t>Expected P/L if CRL</t>
        </is>
      </c>
      <c r="B57" s="92">
        <f>((1)*$L$41+(1)*$L$42+B49)*$B$11</f>
        <v>-256.17256890245164</v>
      </c>
      <c r="C57" s="92">
        <f>((1)*$L$41+(-1)*$L$43+C49)*$B$11</f>
        <v>-142.06110888585286</v>
      </c>
      <c r="D57" s="92">
        <f>((1)*$L$42+(-1)*$L$44+D49)*$B$11</f>
        <v>87.03278671509676</v>
      </c>
      <c r="E57" s="92">
        <f>((-1)*$L$41+(-1)*$L$42+(1)*$L$43+(1)*$L$44+E49)*$B$11</f>
        <v>55.028322170756105</v>
      </c>
    </row>
    <row r="58">
      <c r="A58" s="22" t="inlineStr">
        <is>
          <t>Model expected P/L</t>
        </is>
      </c>
      <c r="B58" s="95">
        <f>$B$17*B56+(1-$B$17)*B57</f>
        <v>-321.2909997192408</v>
      </c>
      <c r="C58" s="95">
        <f>$B$17*C56+(1-$B$17)*C57</f>
        <v>-44.186112124573604</v>
      </c>
      <c r="D58" s="95">
        <f>$B$17*D56+(1-$B$17)*D57</f>
        <v>-78.77615209221239</v>
      </c>
      <c r="E58" s="95">
        <f>$B$17*E56+(1-$B$17)*E57</f>
        <v>122.962264216786</v>
      </c>
    </row>
    <row r="59">
      <c r="A59" s="13" t="inlineStr">
        <is>
          <t>Expected P/L ÷ max loss</t>
        </is>
      </c>
      <c r="B59" s="55">
        <f>B58/-B52</f>
        <v>-0.373480537327633</v>
      </c>
      <c r="C59" s="55">
        <f>C58/-C52</f>
        <v>-0.18442063252011312</v>
      </c>
      <c r="D59" s="55">
        <f>D58/-D52</f>
        <v>-0.21917467635449395</v>
      </c>
      <c r="E59" s="55">
        <f>E58/-E52</f>
        <v>0.30665127489360594</v>
      </c>
    </row>
    <row r="61">
      <c r="A61" s="30" t="inlineStr">
        <is>
          <t>Payoff at expiry per contract ($)</t>
        </is>
      </c>
    </row>
    <row r="62">
      <c r="A62" s="29" t="inlineStr">
        <is>
          <t>Price at expiry</t>
        </is>
      </c>
      <c r="B62" s="29" t="inlineStr">
        <is>
          <t>Long straddle</t>
        </is>
      </c>
      <c r="C62" s="29" t="inlineStr">
        <is>
          <t>Bull call spread</t>
        </is>
      </c>
      <c r="D62" s="29" t="inlineStr">
        <is>
          <t>Bear put spread</t>
        </is>
      </c>
      <c r="E62" s="29" t="inlineStr">
        <is>
          <t>Iron butterfly</t>
        </is>
      </c>
    </row>
    <row r="63">
      <c r="A63" s="96" t="n">
        <v>36.1</v>
      </c>
      <c r="B63" s="53">
        <f>(MAX($A63-62.5,0)+MAX(62.5-$A63,0)-$G$41-$G$42)*$B$11</f>
        <v>1779.7383059953384</v>
      </c>
      <c r="C63" s="53">
        <f>(MAX($A63-62.5,0)-MAX($A63-70.0,0)-$G$41+$G$43)*$B$11</f>
        <v>-239.59419030706675</v>
      </c>
      <c r="D63" s="53">
        <f>(MAX(62.5-$A63,0)-MAX(52.5-$A63,0)-$G$42+$G$44)*$B$11</f>
        <v>640.5782209765897</v>
      </c>
      <c r="E63" s="53">
        <f>($G$41+$G$42-$G$43-$G$44-MAX($A63-62.5,0)-MAX(62.5-$A63,0)+MAX($A63-70.0,0)+MAX(52.5-$A63,0))*$B$11</f>
        <v>-400.9840306695231</v>
      </c>
    </row>
    <row r="64">
      <c r="A64" s="96" t="n">
        <v>37.9</v>
      </c>
      <c r="B64" s="53">
        <f>(MAX($A64-62.5,0)+MAX(62.5-$A64,0)-$G$41-$G$42)*$B$11</f>
        <v>1599.7383059953386</v>
      </c>
      <c r="C64" s="53">
        <f>(MAX($A64-62.5,0)-MAX($A64-70.0,0)-$G$41+$G$43)*$B$11</f>
        <v>-239.59419030706675</v>
      </c>
      <c r="D64" s="53">
        <f>(MAX(62.5-$A64,0)-MAX(52.5-$A64,0)-$G$42+$G$44)*$B$11</f>
        <v>640.5782209765897</v>
      </c>
      <c r="E64" s="53">
        <f>($G$41+$G$42-$G$43-$G$44-MAX($A64-62.5,0)-MAX(62.5-$A64,0)+MAX($A64-70.0,0)+MAX(52.5-$A64,0))*$B$11</f>
        <v>-400.9840306695231</v>
      </c>
    </row>
    <row r="65">
      <c r="A65" s="96" t="n">
        <v>39.6</v>
      </c>
      <c r="B65" s="53">
        <f>(MAX($A65-62.5,0)+MAX(62.5-$A65,0)-$G$41-$G$42)*$B$11</f>
        <v>1429.7383059953384</v>
      </c>
      <c r="C65" s="53">
        <f>(MAX($A65-62.5,0)-MAX($A65-70.0,0)-$G$41+$G$43)*$B$11</f>
        <v>-239.59419030706675</v>
      </c>
      <c r="D65" s="53">
        <f>(MAX(62.5-$A65,0)-MAX(52.5-$A65,0)-$G$42+$G$44)*$B$11</f>
        <v>640.5782209765897</v>
      </c>
      <c r="E65" s="53">
        <f>($G$41+$G$42-$G$43-$G$44-MAX($A65-62.5,0)-MAX(62.5-$A65,0)+MAX($A65-70.0,0)+MAX(52.5-$A65,0))*$B$11</f>
        <v>-400.9840306695231</v>
      </c>
    </row>
    <row r="66">
      <c r="A66" s="96" t="n">
        <v>41.3</v>
      </c>
      <c r="B66" s="53">
        <f>(MAX($A66-62.5,0)+MAX(62.5-$A66,0)-$G$41-$G$42)*$B$11</f>
        <v>1259.7383059953386</v>
      </c>
      <c r="C66" s="53">
        <f>(MAX($A66-62.5,0)-MAX($A66-70.0,0)-$G$41+$G$43)*$B$11</f>
        <v>-239.59419030706675</v>
      </c>
      <c r="D66" s="53">
        <f>(MAX(62.5-$A66,0)-MAX(52.5-$A66,0)-$G$42+$G$44)*$B$11</f>
        <v>640.5782209765897</v>
      </c>
      <c r="E66" s="53">
        <f>($G$41+$G$42-$G$43-$G$44-MAX($A66-62.5,0)-MAX(62.5-$A66,0)+MAX($A66-70.0,0)+MAX(52.5-$A66,0))*$B$11</f>
        <v>-400.98403066952295</v>
      </c>
    </row>
    <row r="67">
      <c r="A67" s="96" t="n">
        <v>43</v>
      </c>
      <c r="B67" s="53">
        <f>(MAX($A67-62.5,0)+MAX(62.5-$A67,0)-$G$41-$G$42)*$B$11</f>
        <v>1089.7383059953384</v>
      </c>
      <c r="C67" s="53">
        <f>(MAX($A67-62.5,0)-MAX($A67-70.0,0)-$G$41+$G$43)*$B$11</f>
        <v>-239.59419030706675</v>
      </c>
      <c r="D67" s="53">
        <f>(MAX(62.5-$A67,0)-MAX(52.5-$A67,0)-$G$42+$G$44)*$B$11</f>
        <v>640.5782209765897</v>
      </c>
      <c r="E67" s="53">
        <f>($G$41+$G$42-$G$43-$G$44-MAX($A67-62.5,0)-MAX(62.5-$A67,0)+MAX($A67-70.0,0)+MAX(52.5-$A67,0))*$B$11</f>
        <v>-400.98403066952295</v>
      </c>
    </row>
    <row r="68">
      <c r="A68" s="96" t="n">
        <v>44.7</v>
      </c>
      <c r="B68" s="53">
        <f>(MAX($A68-62.5,0)+MAX(62.5-$A68,0)-$G$41-$G$42)*$B$11</f>
        <v>919.7383059953381</v>
      </c>
      <c r="C68" s="53">
        <f>(MAX($A68-62.5,0)-MAX($A68-70.0,0)-$G$41+$G$43)*$B$11</f>
        <v>-239.59419030706675</v>
      </c>
      <c r="D68" s="53">
        <f>(MAX(62.5-$A68,0)-MAX(52.5-$A68,0)-$G$42+$G$44)*$B$11</f>
        <v>640.5782209765897</v>
      </c>
      <c r="E68" s="53">
        <f>($G$41+$G$42-$G$43-$G$44-MAX($A68-62.5,0)-MAX(62.5-$A68,0)+MAX($A68-70.0,0)+MAX(52.5-$A68,0))*$B$11</f>
        <v>-400.98403066952295</v>
      </c>
    </row>
    <row r="69">
      <c r="A69" s="96" t="n">
        <v>46.5</v>
      </c>
      <c r="B69" s="53">
        <f>(MAX($A69-62.5,0)+MAX(62.5-$A69,0)-$G$41-$G$42)*$B$11</f>
        <v>739.7383059953384</v>
      </c>
      <c r="C69" s="53">
        <f>(MAX($A69-62.5,0)-MAX($A69-70.0,0)-$G$41+$G$43)*$B$11</f>
        <v>-239.59419030706675</v>
      </c>
      <c r="D69" s="53">
        <f>(MAX(62.5-$A69,0)-MAX(52.5-$A69,0)-$G$42+$G$44)*$B$11</f>
        <v>640.5782209765897</v>
      </c>
      <c r="E69" s="53">
        <f>($G$41+$G$42-$G$43-$G$44-MAX($A69-62.5,0)-MAX(62.5-$A69,0)+MAX($A69-70.0,0)+MAX(52.5-$A69,0))*$B$11</f>
        <v>-400.98403066952295</v>
      </c>
    </row>
    <row r="70">
      <c r="A70" s="96" t="n">
        <v>48.2</v>
      </c>
      <c r="B70" s="53">
        <f>(MAX($A70-62.5,0)+MAX(62.5-$A70,0)-$G$41-$G$42)*$B$11</f>
        <v>569.7383059953381</v>
      </c>
      <c r="C70" s="53">
        <f>(MAX($A70-62.5,0)-MAX($A70-70.0,0)-$G$41+$G$43)*$B$11</f>
        <v>-239.59419030706675</v>
      </c>
      <c r="D70" s="53">
        <f>(MAX(62.5-$A70,0)-MAX(52.5-$A70,0)-$G$42+$G$44)*$B$11</f>
        <v>640.5782209765897</v>
      </c>
      <c r="E70" s="53">
        <f>($G$41+$G$42-$G$43-$G$44-MAX($A70-62.5,0)-MAX(62.5-$A70,0)+MAX($A70-70.0,0)+MAX(52.5-$A70,0))*$B$11</f>
        <v>-400.98403066952295</v>
      </c>
    </row>
    <row r="71">
      <c r="A71" s="96" t="n">
        <v>49.9</v>
      </c>
      <c r="B71" s="53">
        <f>(MAX($A71-62.5,0)+MAX(62.5-$A71,0)-$G$41-$G$42)*$B$11</f>
        <v>399.7383059953386</v>
      </c>
      <c r="C71" s="53">
        <f>(MAX($A71-62.5,0)-MAX($A71-70.0,0)-$G$41+$G$43)*$B$11</f>
        <v>-239.59419030706675</v>
      </c>
      <c r="D71" s="53">
        <f>(MAX(62.5-$A71,0)-MAX(52.5-$A71,0)-$G$42+$G$44)*$B$11</f>
        <v>640.5782209765897</v>
      </c>
      <c r="E71" s="53">
        <f>($G$41+$G$42-$G$43-$G$44-MAX($A71-62.5,0)-MAX(62.5-$A71,0)+MAX($A71-70.0,0)+MAX(52.5-$A71,0))*$B$11</f>
        <v>-400.98403066952295</v>
      </c>
    </row>
    <row r="72">
      <c r="A72" s="96" t="n">
        <v>51.6</v>
      </c>
      <c r="B72" s="53">
        <f>(MAX($A72-62.5,0)+MAX(62.5-$A72,0)-$G$41-$G$42)*$B$11</f>
        <v>229.73830599533827</v>
      </c>
      <c r="C72" s="53">
        <f>(MAX($A72-62.5,0)-MAX($A72-70.0,0)-$G$41+$G$43)*$B$11</f>
        <v>-239.59419030706675</v>
      </c>
      <c r="D72" s="53">
        <f>(MAX(62.5-$A72,0)-MAX(52.5-$A72,0)-$G$42+$G$44)*$B$11</f>
        <v>640.5782209765897</v>
      </c>
      <c r="E72" s="53">
        <f>($G$41+$G$42-$G$43-$G$44-MAX($A72-62.5,0)-MAX(62.5-$A72,0)+MAX($A72-70.0,0)+MAX(52.5-$A72,0))*$B$11</f>
        <v>-400.98403066952295</v>
      </c>
    </row>
    <row r="73">
      <c r="A73" s="96" t="n">
        <v>53.3</v>
      </c>
      <c r="B73" s="53">
        <f>(MAX($A73-62.5,0)+MAX(62.5-$A73,0)-$G$41-$G$42)*$B$11</f>
        <v>59.73830599533869</v>
      </c>
      <c r="C73" s="53">
        <f>(MAX($A73-62.5,0)-MAX($A73-70.0,0)-$G$41+$G$43)*$B$11</f>
        <v>-239.59419030706675</v>
      </c>
      <c r="D73" s="53">
        <f>(MAX(62.5-$A73,0)-MAX(52.5-$A73,0)-$G$42+$G$44)*$B$11</f>
        <v>560.57822097659</v>
      </c>
      <c r="E73" s="53">
        <f>($G$41+$G$42-$G$43-$G$44-MAX($A73-62.5,0)-MAX(62.5-$A73,0)+MAX($A73-70.0,0)+MAX(52.5-$A73,0))*$B$11</f>
        <v>-320.98403066952324</v>
      </c>
    </row>
    <row r="74">
      <c r="A74" s="96" t="n">
        <v>55.1</v>
      </c>
      <c r="B74" s="53">
        <f>(MAX($A74-62.5,0)+MAX(62.5-$A74,0)-$G$41-$G$42)*$B$11</f>
        <v>-120.26169400466173</v>
      </c>
      <c r="C74" s="53">
        <f>(MAX($A74-62.5,0)-MAX($A74-70.0,0)-$G$41+$G$43)*$B$11</f>
        <v>-239.59419030706675</v>
      </c>
      <c r="D74" s="53">
        <f>(MAX(62.5-$A74,0)-MAX(52.5-$A74,0)-$G$42+$G$44)*$B$11</f>
        <v>380.5782209765896</v>
      </c>
      <c r="E74" s="53">
        <f>($G$41+$G$42-$G$43-$G$44-MAX($A74-62.5,0)-MAX(62.5-$A74,0)+MAX($A74-70.0,0)+MAX(52.5-$A74,0))*$B$11</f>
        <v>-140.98403066952284</v>
      </c>
    </row>
    <row r="75">
      <c r="A75" s="96" t="n">
        <v>56.8</v>
      </c>
      <c r="B75" s="53">
        <f>(MAX($A75-62.5,0)+MAX(62.5-$A75,0)-$G$41-$G$42)*$B$11</f>
        <v>-290.2616940046613</v>
      </c>
      <c r="C75" s="53">
        <f>(MAX($A75-62.5,0)-MAX($A75-70.0,0)-$G$41+$G$43)*$B$11</f>
        <v>-239.59419030706675</v>
      </c>
      <c r="D75" s="53">
        <f>(MAX(62.5-$A75,0)-MAX(52.5-$A75,0)-$G$42+$G$44)*$B$11</f>
        <v>210.57822097659002</v>
      </c>
      <c r="E75" s="53">
        <f>($G$41+$G$42-$G$43-$G$44-MAX($A75-62.5,0)-MAX(62.5-$A75,0)+MAX($A75-70.0,0)+MAX(52.5-$A75,0))*$B$11</f>
        <v>29.015969330476743</v>
      </c>
    </row>
    <row r="76">
      <c r="A76" s="96" t="n">
        <v>58.5</v>
      </c>
      <c r="B76" s="53">
        <f>(MAX($A76-62.5,0)+MAX(62.5-$A76,0)-$G$41-$G$42)*$B$11</f>
        <v>-460.2616940046616</v>
      </c>
      <c r="C76" s="53">
        <f>(MAX($A76-62.5,0)-MAX($A76-70.0,0)-$G$41+$G$43)*$B$11</f>
        <v>-239.59419030706675</v>
      </c>
      <c r="D76" s="53">
        <f>(MAX(62.5-$A76,0)-MAX(52.5-$A76,0)-$G$42+$G$44)*$B$11</f>
        <v>40.57822097658974</v>
      </c>
      <c r="E76" s="53">
        <f>($G$41+$G$42-$G$43-$G$44-MAX($A76-62.5,0)-MAX(62.5-$A76,0)+MAX($A76-70.0,0)+MAX(52.5-$A76,0))*$B$11</f>
        <v>199.01596933047702</v>
      </c>
    </row>
    <row r="77">
      <c r="A77" s="96" t="n">
        <v>60.2</v>
      </c>
      <c r="B77" s="53">
        <f>(MAX($A77-62.5,0)+MAX(62.5-$A77,0)-$G$41-$G$42)*$B$11</f>
        <v>-630.2616940046619</v>
      </c>
      <c r="C77" s="53">
        <f>(MAX($A77-62.5,0)-MAX($A77-70.0,0)-$G$41+$G$43)*$B$11</f>
        <v>-239.59419030706675</v>
      </c>
      <c r="D77" s="53">
        <f>(MAX(62.5-$A77,0)-MAX(52.5-$A77,0)-$G$42+$G$44)*$B$11</f>
        <v>-129.42177902341055</v>
      </c>
      <c r="E77" s="53">
        <f>($G$41+$G$42-$G$43-$G$44-MAX($A77-62.5,0)-MAX(62.5-$A77,0)+MAX($A77-70.0,0)+MAX(52.5-$A77,0))*$B$11</f>
        <v>369.01596933047733</v>
      </c>
    </row>
    <row r="78">
      <c r="A78" s="96" t="n">
        <v>62</v>
      </c>
      <c r="B78" s="53">
        <f>(MAX($A78-62.5,0)+MAX(62.5-$A78,0)-$G$41-$G$42)*$B$11</f>
        <v>-810.2616940046616</v>
      </c>
      <c r="C78" s="53">
        <f>(MAX($A78-62.5,0)-MAX($A78-70.0,0)-$G$41+$G$43)*$B$11</f>
        <v>-239.59419030706675</v>
      </c>
      <c r="D78" s="53">
        <f>(MAX(62.5-$A78,0)-MAX(52.5-$A78,0)-$G$42+$G$44)*$B$11</f>
        <v>-309.42177902341024</v>
      </c>
      <c r="E78" s="53">
        <f>($G$41+$G$42-$G$43-$G$44-MAX($A78-62.5,0)-MAX(62.5-$A78,0)+MAX($A78-70.0,0)+MAX(52.5-$A78,0))*$B$11</f>
        <v>549.015969330477</v>
      </c>
    </row>
    <row r="79">
      <c r="A79" s="96" t="n">
        <v>63.7</v>
      </c>
      <c r="B79" s="53">
        <f>(MAX($A79-62.5,0)+MAX(62.5-$A79,0)-$G$41-$G$42)*$B$11</f>
        <v>-740.2616940046613</v>
      </c>
      <c r="C79" s="53">
        <f>(MAX($A79-62.5,0)-MAX($A79-70.0,0)-$G$41+$G$43)*$B$11</f>
        <v>-119.59419030706648</v>
      </c>
      <c r="D79" s="53">
        <f>(MAX(62.5-$A79,0)-MAX(52.5-$A79,0)-$G$42+$G$44)*$B$11</f>
        <v>-359.42177902341024</v>
      </c>
      <c r="E79" s="53">
        <f>($G$41+$G$42-$G$43-$G$44-MAX($A79-62.5,0)-MAX(62.5-$A79,0)+MAX($A79-70.0,0)+MAX(52.5-$A79,0))*$B$11</f>
        <v>479.01596933047676</v>
      </c>
    </row>
    <row r="80">
      <c r="A80" s="96" t="n">
        <v>65.40000000000001</v>
      </c>
      <c r="B80" s="53">
        <f>(MAX($A80-62.5,0)+MAX(62.5-$A80,0)-$G$41-$G$42)*$B$11</f>
        <v>-570.261694004661</v>
      </c>
      <c r="C80" s="53">
        <f>(MAX($A80-62.5,0)-MAX($A80-70.0,0)-$G$41+$G$43)*$B$11</f>
        <v>50.4058096929338</v>
      </c>
      <c r="D80" s="53">
        <f>(MAX(62.5-$A80,0)-MAX(52.5-$A80,0)-$G$42+$G$44)*$B$11</f>
        <v>-359.42177902341024</v>
      </c>
      <c r="E80" s="53">
        <f>($G$41+$G$42-$G$43-$G$44-MAX($A80-62.5,0)-MAX(62.5-$A80,0)+MAX($A80-70.0,0)+MAX(52.5-$A80,0))*$B$11</f>
        <v>309.0159693304765</v>
      </c>
    </row>
    <row r="81">
      <c r="A81" s="96" t="n">
        <v>67.09999999999999</v>
      </c>
      <c r="B81" s="53">
        <f>(MAX($A81-62.5,0)+MAX(62.5-$A81,0)-$G$41-$G$42)*$B$11</f>
        <v>-400.26169400466216</v>
      </c>
      <c r="C81" s="53">
        <f>(MAX($A81-62.5,0)-MAX($A81-70.0,0)-$G$41+$G$43)*$B$11</f>
        <v>220.40580969293268</v>
      </c>
      <c r="D81" s="53">
        <f>(MAX(62.5-$A81,0)-MAX(52.5-$A81,0)-$G$42+$G$44)*$B$11</f>
        <v>-359.42177902341024</v>
      </c>
      <c r="E81" s="53">
        <f>($G$41+$G$42-$G$43-$G$44-MAX($A81-62.5,0)-MAX(62.5-$A81,0)+MAX($A81-70.0,0)+MAX(52.5-$A81,0))*$B$11</f>
        <v>139.0159693304776</v>
      </c>
    </row>
    <row r="82">
      <c r="A82" s="96" t="n">
        <v>68.8</v>
      </c>
      <c r="B82" s="53">
        <f>(MAX($A82-62.5,0)+MAX(62.5-$A82,0)-$G$41-$G$42)*$B$11</f>
        <v>-230.26169400466188</v>
      </c>
      <c r="C82" s="53">
        <f>(MAX($A82-62.5,0)-MAX($A82-70.0,0)-$G$41+$G$43)*$B$11</f>
        <v>390.40580969293296</v>
      </c>
      <c r="D82" s="53">
        <f>(MAX(62.5-$A82,0)-MAX(52.5-$A82,0)-$G$42+$G$44)*$B$11</f>
        <v>-359.42177902341024</v>
      </c>
      <c r="E82" s="53">
        <f>($G$41+$G$42-$G$43-$G$44-MAX($A82-62.5,0)-MAX(62.5-$A82,0)+MAX($A82-70.0,0)+MAX(52.5-$A82,0))*$B$11</f>
        <v>-30.98403066952269</v>
      </c>
    </row>
    <row r="83">
      <c r="A83" s="96" t="n">
        <v>70.59999999999999</v>
      </c>
      <c r="B83" s="53">
        <f>(MAX($A83-62.5,0)+MAX(62.5-$A83,0)-$G$41-$G$42)*$B$11</f>
        <v>-50.26169400466216</v>
      </c>
      <c r="C83" s="53">
        <f>(MAX($A83-62.5,0)-MAX($A83-70.0,0)-$G$41+$G$43)*$B$11</f>
        <v>510.40580969293325</v>
      </c>
      <c r="D83" s="53">
        <f>(MAX(62.5-$A83,0)-MAX(52.5-$A83,0)-$G$42+$G$44)*$B$11</f>
        <v>-359.42177902341024</v>
      </c>
      <c r="E83" s="53">
        <f>($G$41+$G$42-$G$43-$G$44-MAX($A83-62.5,0)-MAX(62.5-$A83,0)+MAX($A83-70.0,0)+MAX(52.5-$A83,0))*$B$11</f>
        <v>-150.98403066952298</v>
      </c>
    </row>
    <row r="84">
      <c r="A84" s="96" t="n">
        <v>72.3</v>
      </c>
      <c r="B84" s="53">
        <f>(MAX($A84-62.5,0)+MAX(62.5-$A84,0)-$G$41-$G$42)*$B$11</f>
        <v>119.73830599533812</v>
      </c>
      <c r="C84" s="53">
        <f>(MAX($A84-62.5,0)-MAX($A84-70.0,0)-$G$41+$G$43)*$B$11</f>
        <v>510.40580969293325</v>
      </c>
      <c r="D84" s="53">
        <f>(MAX(62.5-$A84,0)-MAX(52.5-$A84,0)-$G$42+$G$44)*$B$11</f>
        <v>-359.42177902341024</v>
      </c>
      <c r="E84" s="53">
        <f>($G$41+$G$42-$G$43-$G$44-MAX($A84-62.5,0)-MAX(62.5-$A84,0)+MAX($A84-70.0,0)+MAX(52.5-$A84,0))*$B$11</f>
        <v>-150.98403066952298</v>
      </c>
    </row>
    <row r="85">
      <c r="A85" s="96" t="n">
        <v>74</v>
      </c>
      <c r="B85" s="53">
        <f>(MAX($A85-62.5,0)+MAX(62.5-$A85,0)-$G$41-$G$42)*$B$11</f>
        <v>289.7383059953384</v>
      </c>
      <c r="C85" s="53">
        <f>(MAX($A85-62.5,0)-MAX($A85-70.0,0)-$G$41+$G$43)*$B$11</f>
        <v>510.40580969293325</v>
      </c>
      <c r="D85" s="53">
        <f>(MAX(62.5-$A85,0)-MAX(52.5-$A85,0)-$G$42+$G$44)*$B$11</f>
        <v>-359.42177902341024</v>
      </c>
      <c r="E85" s="53">
        <f>($G$41+$G$42-$G$43-$G$44-MAX($A85-62.5,0)-MAX(62.5-$A85,0)+MAX($A85-70.0,0)+MAX(52.5-$A85,0))*$B$11</f>
        <v>-150.98403066952298</v>
      </c>
    </row>
    <row r="86">
      <c r="A86" s="96" t="n">
        <v>75.7</v>
      </c>
      <c r="B86" s="53">
        <f>(MAX($A86-62.5,0)+MAX(62.5-$A86,0)-$G$41-$G$42)*$B$11</f>
        <v>459.7383059953387</v>
      </c>
      <c r="C86" s="53">
        <f>(MAX($A86-62.5,0)-MAX($A86-70.0,0)-$G$41+$G$43)*$B$11</f>
        <v>510.40580969293325</v>
      </c>
      <c r="D86" s="53">
        <f>(MAX(62.5-$A86,0)-MAX(52.5-$A86,0)-$G$42+$G$44)*$B$11</f>
        <v>-359.42177902341024</v>
      </c>
      <c r="E86" s="53">
        <f>($G$41+$G$42-$G$43-$G$44-MAX($A86-62.5,0)-MAX(62.5-$A86,0)+MAX($A86-70.0,0)+MAX(52.5-$A86,0))*$B$11</f>
        <v>-150.98403066952298</v>
      </c>
    </row>
    <row r="87">
      <c r="A87" s="96" t="n">
        <v>77.40000000000001</v>
      </c>
      <c r="B87" s="53">
        <f>(MAX($A87-62.5,0)+MAX(62.5-$A87,0)-$G$41-$G$42)*$B$11</f>
        <v>629.738305995339</v>
      </c>
      <c r="C87" s="53">
        <f>(MAX($A87-62.5,0)-MAX($A87-70.0,0)-$G$41+$G$43)*$B$11</f>
        <v>510.40580969293325</v>
      </c>
      <c r="D87" s="53">
        <f>(MAX(62.5-$A87,0)-MAX(52.5-$A87,0)-$G$42+$G$44)*$B$11</f>
        <v>-359.42177902341024</v>
      </c>
      <c r="E87" s="53">
        <f>($G$41+$G$42-$G$43-$G$44-MAX($A87-62.5,0)-MAX(62.5-$A87,0)+MAX($A87-70.0,0)+MAX(52.5-$A87,0))*$B$11</f>
        <v>-150.98403066952298</v>
      </c>
    </row>
    <row r="88">
      <c r="A88" s="96" t="n">
        <v>79.2</v>
      </c>
      <c r="B88" s="53">
        <f>(MAX($A88-62.5,0)+MAX(62.5-$A88,0)-$G$41-$G$42)*$B$11</f>
        <v>809.7383059953387</v>
      </c>
      <c r="C88" s="53">
        <f>(MAX($A88-62.5,0)-MAX($A88-70.0,0)-$G$41+$G$43)*$B$11</f>
        <v>510.40580969293325</v>
      </c>
      <c r="D88" s="53">
        <f>(MAX(62.5-$A88,0)-MAX(52.5-$A88,0)-$G$42+$G$44)*$B$11</f>
        <v>-359.42177902341024</v>
      </c>
      <c r="E88" s="53">
        <f>($G$41+$G$42-$G$43-$G$44-MAX($A88-62.5,0)-MAX(62.5-$A88,0)+MAX($A88-70.0,0)+MAX(52.5-$A88,0))*$B$11</f>
        <v>-150.98403066952298</v>
      </c>
    </row>
    <row r="89">
      <c r="A89" s="96" t="n">
        <v>80.90000000000001</v>
      </c>
      <c r="B89" s="53">
        <f>(MAX($A89-62.5,0)+MAX(62.5-$A89,0)-$G$41-$G$42)*$B$11</f>
        <v>979.738305995339</v>
      </c>
      <c r="C89" s="53">
        <f>(MAX($A89-62.5,0)-MAX($A89-70.0,0)-$G$41+$G$43)*$B$11</f>
        <v>510.40580969293325</v>
      </c>
      <c r="D89" s="53">
        <f>(MAX(62.5-$A89,0)-MAX(52.5-$A89,0)-$G$42+$G$44)*$B$11</f>
        <v>-359.42177902341024</v>
      </c>
      <c r="E89" s="53">
        <f>($G$41+$G$42-$G$43-$G$44-MAX($A89-62.5,0)-MAX(62.5-$A89,0)+MAX($A89-70.0,0)+MAX(52.5-$A89,0))*$B$11</f>
        <v>-150.98403066952298</v>
      </c>
    </row>
    <row r="90">
      <c r="A90" s="96" t="n">
        <v>82.59999999999999</v>
      </c>
      <c r="B90" s="53">
        <f>(MAX($A90-62.5,0)+MAX(62.5-$A90,0)-$G$41-$G$42)*$B$11</f>
        <v>1149.738305995338</v>
      </c>
      <c r="C90" s="53">
        <f>(MAX($A90-62.5,0)-MAX($A90-70.0,0)-$G$41+$G$43)*$B$11</f>
        <v>510.40580969293325</v>
      </c>
      <c r="D90" s="53">
        <f>(MAX(62.5-$A90,0)-MAX(52.5-$A90,0)-$G$42+$G$44)*$B$11</f>
        <v>-359.42177902341024</v>
      </c>
      <c r="E90" s="53">
        <f>($G$41+$G$42-$G$43-$G$44-MAX($A90-62.5,0)-MAX(62.5-$A90,0)+MAX($A90-70.0,0)+MAX(52.5-$A90,0))*$B$11</f>
        <v>-150.98403066952298</v>
      </c>
    </row>
    <row r="91">
      <c r="A91" s="96" t="n">
        <v>84.3</v>
      </c>
      <c r="B91" s="53">
        <f>(MAX($A91-62.5,0)+MAX(62.5-$A91,0)-$G$41-$G$42)*$B$11</f>
        <v>1319.7383059953381</v>
      </c>
      <c r="C91" s="53">
        <f>(MAX($A91-62.5,0)-MAX($A91-70.0,0)-$G$41+$G$43)*$B$11</f>
        <v>510.40580969293325</v>
      </c>
      <c r="D91" s="53">
        <f>(MAX(62.5-$A91,0)-MAX(52.5-$A91,0)-$G$42+$G$44)*$B$11</f>
        <v>-359.42177902341024</v>
      </c>
      <c r="E91" s="53">
        <f>($G$41+$G$42-$G$43-$G$44-MAX($A91-62.5,0)-MAX(62.5-$A91,0)+MAX($A91-70.0,0)+MAX(52.5-$A91,0))*$B$11</f>
        <v>-150.98403066952298</v>
      </c>
    </row>
    <row r="92">
      <c r="A92" s="96" t="n">
        <v>86</v>
      </c>
      <c r="B92" s="53">
        <f>(MAX($A92-62.5,0)+MAX(62.5-$A92,0)-$G$41-$G$42)*$B$11</f>
        <v>1489.7383059953384</v>
      </c>
      <c r="C92" s="53">
        <f>(MAX($A92-62.5,0)-MAX($A92-70.0,0)-$G$41+$G$43)*$B$11</f>
        <v>510.40580969293325</v>
      </c>
      <c r="D92" s="53">
        <f>(MAX(62.5-$A92,0)-MAX(52.5-$A92,0)-$G$42+$G$44)*$B$11</f>
        <v>-359.42177902341024</v>
      </c>
      <c r="E92" s="53">
        <f>($G$41+$G$42-$G$43-$G$44-MAX($A92-62.5,0)-MAX(62.5-$A92,0)+MAX($A92-70.0,0)+MAX(52.5-$A92,0))*$B$11</f>
        <v>-150.98403066952315</v>
      </c>
    </row>
    <row r="93">
      <c r="A93" s="96" t="n">
        <v>87.8</v>
      </c>
      <c r="B93" s="53">
        <f>(MAX($A93-62.5,0)+MAX(62.5-$A93,0)-$G$41-$G$42)*$B$11</f>
        <v>1669.7383059953381</v>
      </c>
      <c r="C93" s="53">
        <f>(MAX($A93-62.5,0)-MAX($A93-70.0,0)-$G$41+$G$43)*$B$11</f>
        <v>510.40580969293325</v>
      </c>
      <c r="D93" s="53">
        <f>(MAX(62.5-$A93,0)-MAX(52.5-$A93,0)-$G$42+$G$44)*$B$11</f>
        <v>-359.42177902341024</v>
      </c>
      <c r="E93" s="53">
        <f>($G$41+$G$42-$G$43-$G$44-MAX($A93-62.5,0)-MAX(62.5-$A93,0)+MAX($A93-70.0,0)+MAX(52.5-$A93,0))*$B$11</f>
        <v>-150.98403066952315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2026-10-19T00:51:31Z</dcterms:modified>
  <cp:lastModifiedBy>Wang, Eric</cp:lastModifiedBy>
</cp:coreProperties>
</file>