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Quince Therapeutics, Inc.</t>
        </is>
      </c>
      <c r="C2" s="10" t="n"/>
    </row>
    <row r="3">
      <c r="B3" t="inlineStr">
        <is>
          <t>Price</t>
        </is>
      </c>
      <c r="C3" s="11">
        <f>INDEX([1]Pharma!$F$1:$F$1000,MATCH("QNCX",[1]Pharma!$B$1:$B$1000,0))</f>
        <v>40.27</v>
      </c>
      <c r="F3" s="1" t="n"/>
    </row>
    <row r="4">
      <c r="B4" t="inlineStr">
        <is>
          <t>Shares</t>
        </is>
      </c>
      <c r="C4" s="21" t="n">
        <v>1.017063</v>
      </c>
      <c r="F4" s="1" t="n"/>
    </row>
    <row r="5">
      <c r="B5" t="inlineStr">
        <is>
          <t>Market Cap.</t>
        </is>
      </c>
      <c r="C5" s="13">
        <f>C3*C4</f>
        <v>40.95712701000001</v>
      </c>
      <c r="F5" s="1" t="n"/>
    </row>
    <row r="6"/>
    <row r="7">
      <c r="B7" t="inlineStr">
        <is>
          <t>Cash</t>
        </is>
      </c>
      <c r="C7" s="21" t="n">
        <v>115.981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-75.02387298999999</v>
      </c>
    </row>
    <row r="10"/>
    <row r="11">
      <c r="B11" s="14" t="inlineStr">
        <is>
          <t>Net Cash / Share</t>
        </is>
      </c>
      <c r="C11" s="11">
        <f>(C7-C8)/C4</f>
        <v>114.03521709078001</v>
      </c>
    </row>
    <row r="12">
      <c r="B12" s="14" t="inlineStr">
        <is>
          <t>Upside</t>
        </is>
      </c>
      <c r="C12" s="15">
        <f>IFERROR(C11/C3-1,"")</f>
        <v>1.8317660067241124</v>
      </c>
    </row>
    <row r="13">
      <c r="B13" s="14" t="inlineStr">
        <is>
          <t>Cash / Share</t>
        </is>
      </c>
      <c r="C13" s="11">
        <f>IFERROR((C7-C8)/C4,"")</f>
        <v>114.03521709078001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-46.923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2.4717302815250513</v>
      </c>
    </row>
    <row r="19">
      <c r="B19" s="14" t="inlineStr">
        <is>
          <t>Implied Pipeline Value</t>
        </is>
      </c>
      <c r="C19" s="13">
        <f>C9</f>
        <v>-75.02387298999999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10.085</v>
      </c>
      <c r="C5" s="23" t="n">
        <v>30.214</v>
      </c>
      <c r="D5" s="23" t="n">
        <v>61.307</v>
      </c>
      <c r="E5" s="23" t="n">
        <v>60.795</v>
      </c>
      <c r="F5" s="23" t="n">
        <v>25.178</v>
      </c>
      <c r="G5" s="23" t="n">
        <v>9.446999999999999</v>
      </c>
      <c r="H5" s="23" t="n">
        <v>18.59</v>
      </c>
      <c r="I5" s="23" t="n">
        <v>35.382</v>
      </c>
      <c r="J5" s="1" t="n"/>
      <c r="K5" s="1" t="n"/>
    </row>
    <row r="6">
      <c r="A6" s="19" t="inlineStr">
        <is>
          <t>SG&amp;A &amp; Other</t>
        </is>
      </c>
      <c r="B6" s="23" t="n">
        <v>2.034</v>
      </c>
      <c r="C6" s="23" t="n">
        <v>8.954000000000001</v>
      </c>
      <c r="D6" s="23" t="n">
        <v>17.586</v>
      </c>
      <c r="E6" s="23" t="n">
        <v>29.523</v>
      </c>
      <c r="F6" s="23" t="n">
        <v>26.837</v>
      </c>
      <c r="G6" s="23" t="n">
        <v>25.173</v>
      </c>
      <c r="H6" s="23" t="n">
        <v>38.695</v>
      </c>
      <c r="I6" s="23" t="n">
        <v>22.686</v>
      </c>
      <c r="J6" s="1" t="n"/>
      <c r="K6" s="1" t="n"/>
    </row>
    <row r="7">
      <c r="A7" s="2" t="inlineStr">
        <is>
          <t>Operating Expense</t>
        </is>
      </c>
      <c r="B7" s="23">
        <f>SUM(B5:B6)</f>
        <v>12.119</v>
      </c>
      <c r="C7" s="23">
        <f>SUM(C5:C6)</f>
        <v>39.168</v>
      </c>
      <c r="D7" s="23">
        <f>SUM(D5:D6)</f>
        <v>78.893</v>
      </c>
      <c r="E7" s="23">
        <f>SUM(E5:E6)</f>
        <v>90.318</v>
      </c>
      <c r="F7" s="23">
        <f>SUM(F5:F6)</f>
        <v>52.015</v>
      </c>
      <c r="G7" s="23">
        <f>SUM(G5:G6)</f>
        <v>34.62</v>
      </c>
      <c r="H7" s="23">
        <f>SUM(H5:H6)</f>
        <v>57.285</v>
      </c>
      <c r="I7" s="23">
        <f>SUM(I5:I6)</f>
        <v>58.068</v>
      </c>
      <c r="J7" s="1" t="n"/>
      <c r="K7" s="1" t="n"/>
    </row>
    <row r="8">
      <c r="A8" s="2" t="inlineStr">
        <is>
          <t>Operating Income</t>
        </is>
      </c>
      <c r="B8" s="23">
        <f>B4-B7</f>
        <v>-12.119</v>
      </c>
      <c r="C8" s="23">
        <f>C4-C7</f>
        <v>-39.168</v>
      </c>
      <c r="D8" s="23">
        <f>D4-D7</f>
        <v>-78.893</v>
      </c>
      <c r="E8" s="23">
        <f>E4-E7</f>
        <v>-90.318</v>
      </c>
      <c r="F8" s="23">
        <f>F4-F7</f>
        <v>-52.015</v>
      </c>
      <c r="G8" s="23">
        <f>G4-G7</f>
        <v>-34.62</v>
      </c>
      <c r="H8" s="23">
        <f>H4-H7</f>
        <v>-57.285</v>
      </c>
      <c r="I8" s="23">
        <f>I4-I7</f>
        <v>-58.068</v>
      </c>
      <c r="J8" s="1" t="n"/>
      <c r="K8" s="1" t="n"/>
    </row>
    <row r="9">
      <c r="A9" s="19" t="inlineStr">
        <is>
          <t>Interest &amp; Other</t>
        </is>
      </c>
      <c r="B9" s="23" t="n">
        <v>-0.357</v>
      </c>
      <c r="C9" s="23" t="n">
        <v>2.188</v>
      </c>
      <c r="D9" s="23" t="n">
        <v>2.044</v>
      </c>
      <c r="E9" s="23" t="n">
        <v>0.373</v>
      </c>
      <c r="F9" s="23" t="n">
        <v>0.07099999999999999</v>
      </c>
      <c r="G9" s="23" t="n">
        <v>3.033</v>
      </c>
      <c r="H9" s="23" t="n">
        <v>0.542</v>
      </c>
      <c r="I9" s="23" t="n">
        <v>-22.698</v>
      </c>
    </row>
    <row r="10">
      <c r="A10" s="2" t="inlineStr">
        <is>
          <t>Pretax</t>
        </is>
      </c>
      <c r="B10" s="23">
        <f>B8+B9</f>
        <v>-12.475999999999999</v>
      </c>
      <c r="C10" s="23">
        <f>C8+C9</f>
        <v>-36.98</v>
      </c>
      <c r="D10" s="23">
        <f>D8+D9</f>
        <v>-76.849</v>
      </c>
      <c r="E10" s="23">
        <f>E8+E9</f>
        <v>-89.945</v>
      </c>
      <c r="F10" s="23">
        <f>F8+F9</f>
        <v>-51.944</v>
      </c>
      <c r="G10" s="23">
        <f>G8+G9</f>
        <v>-31.586999999999996</v>
      </c>
      <c r="H10" s="23">
        <f>H8+H9</f>
        <v>-56.742999999999995</v>
      </c>
      <c r="I10" s="23">
        <f>I8+I9</f>
        <v>-80.76599999999999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-0.284</v>
      </c>
      <c r="G11" s="23" t="n">
        <v>-0.197</v>
      </c>
      <c r="H11" s="23" t="n">
        <v>0.08699999999999999</v>
      </c>
      <c r="I11" s="23" t="n">
        <v>3.214</v>
      </c>
    </row>
    <row r="12">
      <c r="A12" s="2" t="inlineStr">
        <is>
          <t>Net Income</t>
        </is>
      </c>
      <c r="B12" s="23" t="n">
        <v>-12.476</v>
      </c>
      <c r="C12" s="23" t="n">
        <v>-36.98</v>
      </c>
      <c r="D12" s="23" t="n">
        <v>-76.849</v>
      </c>
      <c r="E12" s="23" t="n">
        <v>-89.94499999999999</v>
      </c>
      <c r="F12" s="23" t="n">
        <v>-51.66</v>
      </c>
      <c r="G12" s="23" t="n">
        <v>-31.39</v>
      </c>
      <c r="H12" s="23" t="n">
        <v>-56.83</v>
      </c>
      <c r="I12" s="23" t="n">
        <v>-83.98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-3.7108863771564544</v>
      </c>
      <c r="C13" s="11">
        <f>IFERROR(C12/C14,0)</f>
        <v>-1.9430432955023118</v>
      </c>
      <c r="D13" s="11">
        <f>IFERROR(D12/D14,0)</f>
        <v>-2.633979983548122</v>
      </c>
      <c r="E13" s="11">
        <f>IFERROR(E12/E14,0)</f>
        <v>-3.0265150240586824</v>
      </c>
      <c r="F13" s="11">
        <f>IFERROR(F12/F14,0)</f>
        <v>-1.5422276621787026</v>
      </c>
      <c r="G13" s="11">
        <f>IFERROR(G12/G14,0)</f>
        <v>-0.8429787576872465</v>
      </c>
      <c r="H13" s="11">
        <f>IFERROR(H12/H14,0)</f>
        <v>-1.313623965604919</v>
      </c>
      <c r="I13" s="11">
        <f>IFERROR(I12/I14,0)</f>
        <v>-1.6763478851029003</v>
      </c>
    </row>
    <row r="14">
      <c r="A14" s="2" t="inlineStr">
        <is>
          <t>Shares</t>
        </is>
      </c>
      <c r="B14" s="23" t="n">
        <v>3.362</v>
      </c>
      <c r="C14" s="23" t="n">
        <v>19.032</v>
      </c>
      <c r="D14" s="23" t="n">
        <v>29.176</v>
      </c>
      <c r="E14" s="23" t="n">
        <v>29.719</v>
      </c>
      <c r="F14" s="23" t="n">
        <v>33.497</v>
      </c>
      <c r="G14" s="23" t="n">
        <v>37.237</v>
      </c>
      <c r="H14" s="23" t="n">
        <v>43.262</v>
      </c>
      <c r="I14" s="23" t="n">
        <v>50.097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2026-10-21T01:06:20Z</dcterms:modified>
  <cp:lastModifiedBy>Wang, Eric</cp:lastModifiedBy>
</cp:coreProperties>
</file>