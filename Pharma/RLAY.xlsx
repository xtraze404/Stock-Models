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Relay Therapeutics, Inc.</t>
        </is>
      </c>
      <c r="C2" s="10" t="n"/>
    </row>
    <row r="3">
      <c r="B3" t="inlineStr">
        <is>
          <t>Price</t>
        </is>
      </c>
      <c r="C3" s="11">
        <f>INDEX([1]Pharma!$F$1:$F$1000,MATCH("RLAY",[1]Pharma!$B$1:$B$1000,0))</f>
        <v>18.45</v>
      </c>
      <c r="F3" s="1" t="n"/>
    </row>
    <row r="4">
      <c r="B4" t="inlineStr">
        <is>
          <t>Shares</t>
        </is>
      </c>
      <c r="C4" s="21" t="n">
        <v>219.141631</v>
      </c>
      <c r="F4" s="1" t="n"/>
    </row>
    <row r="5">
      <c r="B5" t="inlineStr">
        <is>
          <t>Market Cap.</t>
        </is>
      </c>
      <c r="C5" s="13">
        <f>C3*C4</f>
        <v>4043.16309195</v>
      </c>
      <c r="F5" s="1" t="n"/>
    </row>
    <row r="6"/>
    <row r="7">
      <c r="B7" t="inlineStr">
        <is>
          <t>Cash</t>
        </is>
      </c>
      <c r="C7" s="21" t="n">
        <v>121.189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3921.97409195</v>
      </c>
    </row>
    <row r="10"/>
    <row r="11">
      <c r="B11" s="14" t="inlineStr">
        <is>
          <t>Net Cash / Share</t>
        </is>
      </c>
      <c r="C11" s="11">
        <f>(C7-C8)/C4</f>
        <v>0.5530167839263732</v>
      </c>
    </row>
    <row r="12">
      <c r="B12" s="14" t="inlineStr">
        <is>
          <t>Upside</t>
        </is>
      </c>
      <c r="C12" s="15">
        <f>IFERROR(C11/C3-1,"")</f>
        <v>-0.9700261905730962</v>
      </c>
    </row>
    <row r="13">
      <c r="B13" s="14" t="inlineStr">
        <is>
          <t>Cash / Share</t>
        </is>
      </c>
      <c r="C13" s="11">
        <f>IFERROR((C7-C8)/C4,"")</f>
        <v>0.5530167839263732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-212.205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0.5710939893027968</v>
      </c>
    </row>
    <row r="19">
      <c r="B19" s="14" t="inlineStr">
        <is>
          <t>Implied Pipeline Value</t>
        </is>
      </c>
      <c r="C19" s="13">
        <f>C9</f>
        <v>3921.97409195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82.654</v>
      </c>
      <c r="D2" s="23" t="n">
        <v>3.029</v>
      </c>
      <c r="E2" s="23" t="n">
        <v>1.381</v>
      </c>
      <c r="F2" s="23" t="n">
        <v>25.546</v>
      </c>
      <c r="G2" s="23" t="n">
        <v>10.007</v>
      </c>
      <c r="H2" s="23" t="n">
        <v>15.355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82.654</v>
      </c>
      <c r="D4" s="23">
        <f>D2-D3</f>
        <v>3.029</v>
      </c>
      <c r="E4" s="23">
        <f>E2-E3</f>
        <v>1.381</v>
      </c>
      <c r="F4" s="23">
        <f>F2-F3</f>
        <v>25.546</v>
      </c>
      <c r="G4" s="23">
        <f>G2-G3</f>
        <v>10.007</v>
      </c>
      <c r="H4" s="23">
        <f>H2-H3</f>
        <v>15.355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70.306</v>
      </c>
      <c r="C5" s="23" t="n">
        <v>99.86199999999999</v>
      </c>
      <c r="D5" s="23" t="n">
        <v>172.65</v>
      </c>
      <c r="E5" s="23" t="n">
        <v>246.355</v>
      </c>
      <c r="F5" s="23" t="n">
        <v>330.018</v>
      </c>
      <c r="G5" s="23" t="n">
        <v>319.089</v>
      </c>
      <c r="H5" s="23" t="n">
        <v>261.383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13.742</v>
      </c>
      <c r="C6" s="23" t="n">
        <v>38.588</v>
      </c>
      <c r="D6" s="23" t="n">
        <v>195.077</v>
      </c>
      <c r="E6" s="23" t="n">
        <v>54.301</v>
      </c>
      <c r="F6" s="23" t="n">
        <v>68.52800000000001</v>
      </c>
      <c r="G6" s="23" t="n">
        <v>63.386</v>
      </c>
      <c r="H6" s="23" t="n">
        <v>56.71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84.048</v>
      </c>
      <c r="C7" s="23">
        <f>SUM(C5:C6)</f>
        <v>138.45</v>
      </c>
      <c r="D7" s="23">
        <f>SUM(D5:D6)</f>
        <v>367.727</v>
      </c>
      <c r="E7" s="23">
        <f>SUM(E5:E6)</f>
        <v>300.656</v>
      </c>
      <c r="F7" s="23">
        <f>SUM(F5:F6)</f>
        <v>398.546</v>
      </c>
      <c r="G7" s="23">
        <f>SUM(G5:G6)</f>
        <v>382.475</v>
      </c>
      <c r="H7" s="23">
        <f>SUM(H5:H6)</f>
        <v>318.09299999999996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-84.048</v>
      </c>
      <c r="C8" s="23">
        <f>C4-C7</f>
        <v>-55.79599999999999</v>
      </c>
      <c r="D8" s="23">
        <f>D4-D7</f>
        <v>-364.698</v>
      </c>
      <c r="E8" s="23">
        <f>E4-E7</f>
        <v>-299.27500000000003</v>
      </c>
      <c r="F8" s="23">
        <f>F4-F7</f>
        <v>-373.0</v>
      </c>
      <c r="G8" s="23">
        <f>G4-G7</f>
        <v>-372.468</v>
      </c>
      <c r="H8" s="23">
        <f>H4-H7</f>
        <v>-302.73799999999994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8.743</v>
      </c>
      <c r="C9" s="23" t="n">
        <v>3.384</v>
      </c>
      <c r="D9" s="23" t="n">
        <v>0.826</v>
      </c>
      <c r="E9" s="23" t="n">
        <v>8.766</v>
      </c>
      <c r="F9" s="23" t="n">
        <v>31.027</v>
      </c>
      <c r="G9" s="23" t="n">
        <v>34.76</v>
      </c>
      <c r="H9" s="23" t="n">
        <v>26.259</v>
      </c>
    </row>
    <row r="10">
      <c r="A10" s="2" t="inlineStr">
        <is>
          <t>Pretax</t>
        </is>
      </c>
      <c r="B10" s="23">
        <f>B8+B9</f>
        <v>-75.305</v>
      </c>
      <c r="C10" s="23">
        <f>C8+C9</f>
        <v>-52.41199999999999</v>
      </c>
      <c r="D10" s="23">
        <f>D8+D9</f>
        <v>-363.87199999999996</v>
      </c>
      <c r="E10" s="23">
        <f>E8+E9</f>
        <v>-290.509</v>
      </c>
      <c r="F10" s="23">
        <f>F8+F9</f>
        <v>-341.973</v>
      </c>
      <c r="G10" s="23">
        <f>G8+G9</f>
        <v>-337.708</v>
      </c>
      <c r="H10" s="23">
        <f>H8+H9</f>
        <v>-276.4789999999999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-75.30500000000001</v>
      </c>
      <c r="C12" s="23" t="n">
        <v>-52.412</v>
      </c>
      <c r="D12" s="23" t="n">
        <v>-363.872</v>
      </c>
      <c r="E12" s="23" t="n">
        <v>-290.509</v>
      </c>
      <c r="F12" s="23" t="n">
        <v>-341.973</v>
      </c>
      <c r="G12" s="23" t="n">
        <v>-337.708</v>
      </c>
      <c r="H12" s="23" t="n">
        <v>-276.479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-21.827536231884057</v>
      </c>
      <c r="C13" s="11">
        <f>IFERROR(C12/C14,0)</f>
        <v>-1.229751290473956</v>
      </c>
      <c r="D13" s="11">
        <f>IFERROR(D12/D14,0)</f>
        <v>-3.824715935966028</v>
      </c>
      <c r="E13" s="11">
        <f>IFERROR(E12/E14,0)</f>
        <v>-2.5884224031933285</v>
      </c>
      <c r="F13" s="11">
        <f>IFERROR(F12/F14,0)</f>
        <v>-2.7898626985486676</v>
      </c>
      <c r="G13" s="11">
        <f>IFERROR(G12/G14,0)</f>
        <v>-2.3637763529971725</v>
      </c>
      <c r="H13" s="11">
        <f>IFERROR(H12/H14,0)</f>
        <v>-1.6113050522475478</v>
      </c>
    </row>
    <row r="14">
      <c r="A14" s="2" t="inlineStr">
        <is>
          <t>Shares</t>
        </is>
      </c>
      <c r="B14" s="23" t="n">
        <v>3.45</v>
      </c>
      <c r="C14" s="23" t="n">
        <v>42.62</v>
      </c>
      <c r="D14" s="23" t="n">
        <v>95.137</v>
      </c>
      <c r="E14" s="23" t="n">
        <v>112.234</v>
      </c>
      <c r="F14" s="23" t="n">
        <v>122.577</v>
      </c>
      <c r="G14" s="23" t="n">
        <v>142.868</v>
      </c>
      <c r="H14" s="23" t="n">
        <v>171.587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-0.963353255740799</v>
      </c>
      <c r="E16" s="15">
        <f>IFERROR(E2/D2-1,"")</f>
        <v>-0.5440739517992736</v>
      </c>
      <c r="F16" s="15">
        <f>IFERROR(F2/E2-1,"")</f>
        <v>17.498189717595945</v>
      </c>
      <c r="G16" s="15">
        <f>IFERROR(G2/F2-1,"")</f>
        <v>-0.6082752681437407</v>
      </c>
      <c r="H16" s="15">
        <f>IFERROR(H2/G2-1,"")</f>
        <v>0.5344259018686921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-0.6750550487574708</v>
      </c>
      <c r="D18" s="15">
        <f>IFERROR(D8/D2,"")</f>
        <v>-120.40211290855068</v>
      </c>
      <c r="E18" s="15">
        <f>IFERROR(E8/E2,"")</f>
        <v>-216.70890658942798</v>
      </c>
      <c r="F18" s="15">
        <f>IFERROR(F8/F2,"")</f>
        <v>-14.601111720034448</v>
      </c>
      <c r="G18" s="15">
        <f>IFERROR(G8/G2,"")</f>
        <v>-37.220745478165284</v>
      </c>
      <c r="H18" s="15">
        <f>IFERROR(H8/H2,"")</f>
        <v>-19.715923152067727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2026-10-21T01:04:12Z</dcterms:modified>
  <cp:lastModifiedBy>Wang, Eric</cp:lastModifiedBy>
</cp:coreProperties>
</file>