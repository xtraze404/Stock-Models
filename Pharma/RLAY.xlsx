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Relay Therapeutics, Inc.</t>
        </is>
      </c>
      <c r="C2" s="10" t="n"/>
    </row>
    <row r="3">
      <c r="B3" t="inlineStr">
        <is>
          <t>Price</t>
        </is>
      </c>
      <c r="C3" s="11">
        <f>INDEX([1]Pharma!$F$1:$F$1000,MATCH("RLAY",[1]Pharma!$B$1:$B$1000,0))</f>
        <v>18.45</v>
      </c>
      <c r="F3" s="1" t="n"/>
    </row>
    <row r="4">
      <c r="B4" t="inlineStr">
        <is>
          <t>Shares</t>
        </is>
      </c>
      <c r="C4" s="21" t="n">
        <v>219.141631</v>
      </c>
      <c r="F4" s="1" t="n"/>
    </row>
    <row r="5">
      <c r="B5" t="inlineStr">
        <is>
          <t>Market Cap.</t>
        </is>
      </c>
      <c r="C5" s="13">
        <f>C3*C4</f>
        <v>4043.16309195</v>
      </c>
      <c r="F5" s="1" t="n"/>
    </row>
    <row r="6"/>
    <row r="7">
      <c r="B7" t="inlineStr">
        <is>
          <t>Cash</t>
        </is>
      </c>
      <c r="C7" s="21" t="n">
        <v>121.189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3921.97409195</v>
      </c>
    </row>
    <row r="10"/>
    <row r="11">
      <c r="B11" s="14" t="inlineStr">
        <is>
          <t>rNPV / Share</t>
        </is>
      </c>
      <c r="C11" s="11">
        <f>NPV!B27</f>
        <v>0.09941138712932078</v>
      </c>
    </row>
    <row r="12">
      <c r="B12" s="14" t="inlineStr">
        <is>
          <t>Upside</t>
        </is>
      </c>
      <c r="C12" s="15">
        <f>IFERROR(C11/C3-1,"")</f>
        <v>-0.9946118489360801</v>
      </c>
    </row>
    <row r="13">
      <c r="B13" s="14" t="inlineStr">
        <is>
          <t>Cash / Share</t>
        </is>
      </c>
      <c r="C13" s="11">
        <f>IFERROR((C7-C8)/C4,"")</f>
        <v>0.5530167839263732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-212.205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0.5710939893027968</v>
      </c>
    </row>
    <row r="19">
      <c r="B19" s="14" t="inlineStr">
        <is>
          <t>Implied Pipeline Value</t>
        </is>
      </c>
      <c r="C19" s="13">
        <f>C9</f>
        <v>3921.97409195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82.654</v>
      </c>
      <c r="D2" s="23" t="n">
        <v>3.029</v>
      </c>
      <c r="E2" s="23" t="n">
        <v>1.381</v>
      </c>
      <c r="F2" s="23" t="n">
        <v>25.546</v>
      </c>
      <c r="G2" s="23" t="n">
        <v>10.007</v>
      </c>
      <c r="H2" s="23" t="n">
        <v>15.355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82.654</v>
      </c>
      <c r="D4" s="23">
        <f>D2-D3</f>
        <v>3.029</v>
      </c>
      <c r="E4" s="23">
        <f>E2-E3</f>
        <v>1.381</v>
      </c>
      <c r="F4" s="23">
        <f>F2-F3</f>
        <v>25.546</v>
      </c>
      <c r="G4" s="23">
        <f>G2-G3</f>
        <v>10.007</v>
      </c>
      <c r="H4" s="23">
        <f>H2-H3</f>
        <v>15.355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70.306</v>
      </c>
      <c r="C5" s="23" t="n">
        <v>99.86199999999999</v>
      </c>
      <c r="D5" s="23" t="n">
        <v>172.65</v>
      </c>
      <c r="E5" s="23" t="n">
        <v>246.355</v>
      </c>
      <c r="F5" s="23" t="n">
        <v>330.018</v>
      </c>
      <c r="G5" s="23" t="n">
        <v>319.089</v>
      </c>
      <c r="H5" s="23" t="n">
        <v>261.383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13.742</v>
      </c>
      <c r="C6" s="23" t="n">
        <v>38.588</v>
      </c>
      <c r="D6" s="23" t="n">
        <v>195.077</v>
      </c>
      <c r="E6" s="23" t="n">
        <v>54.301</v>
      </c>
      <c r="F6" s="23" t="n">
        <v>68.52800000000001</v>
      </c>
      <c r="G6" s="23" t="n">
        <v>63.386</v>
      </c>
      <c r="H6" s="23" t="n">
        <v>56.71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84.048</v>
      </c>
      <c r="C7" s="23">
        <f>SUM(C5:C6)</f>
        <v>138.45</v>
      </c>
      <c r="D7" s="23">
        <f>SUM(D5:D6)</f>
        <v>367.727</v>
      </c>
      <c r="E7" s="23">
        <f>SUM(E5:E6)</f>
        <v>300.656</v>
      </c>
      <c r="F7" s="23">
        <f>SUM(F5:F6)</f>
        <v>398.546</v>
      </c>
      <c r="G7" s="23">
        <f>SUM(G5:G6)</f>
        <v>382.475</v>
      </c>
      <c r="H7" s="23">
        <f>SUM(H5:H6)</f>
        <v>318.09299999999996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-84.048</v>
      </c>
      <c r="C8" s="23">
        <f>C4-C7</f>
        <v>-55.79599999999999</v>
      </c>
      <c r="D8" s="23">
        <f>D4-D7</f>
        <v>-364.698</v>
      </c>
      <c r="E8" s="23">
        <f>E4-E7</f>
        <v>-299.27500000000003</v>
      </c>
      <c r="F8" s="23">
        <f>F4-F7</f>
        <v>-373.0</v>
      </c>
      <c r="G8" s="23">
        <f>G4-G7</f>
        <v>-372.468</v>
      </c>
      <c r="H8" s="23">
        <f>H4-H7</f>
        <v>-302.73799999999994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8.743</v>
      </c>
      <c r="C9" s="23" t="n">
        <v>3.384</v>
      </c>
      <c r="D9" s="23" t="n">
        <v>0.826</v>
      </c>
      <c r="E9" s="23" t="n">
        <v>8.766</v>
      </c>
      <c r="F9" s="23" t="n">
        <v>31.027</v>
      </c>
      <c r="G9" s="23" t="n">
        <v>34.76</v>
      </c>
      <c r="H9" s="23" t="n">
        <v>26.259</v>
      </c>
    </row>
    <row r="10">
      <c r="A10" s="2" t="inlineStr">
        <is>
          <t>Pretax</t>
        </is>
      </c>
      <c r="B10" s="23">
        <f>B8+B9</f>
        <v>-75.305</v>
      </c>
      <c r="C10" s="23">
        <f>C8+C9</f>
        <v>-52.41199999999999</v>
      </c>
      <c r="D10" s="23">
        <f>D8+D9</f>
        <v>-363.87199999999996</v>
      </c>
      <c r="E10" s="23">
        <f>E8+E9</f>
        <v>-290.509</v>
      </c>
      <c r="F10" s="23">
        <f>F8+F9</f>
        <v>-341.973</v>
      </c>
      <c r="G10" s="23">
        <f>G8+G9</f>
        <v>-337.708</v>
      </c>
      <c r="H10" s="23">
        <f>H8+H9</f>
        <v>-276.4789999999999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-75.30500000000001</v>
      </c>
      <c r="C12" s="23" t="n">
        <v>-52.412</v>
      </c>
      <c r="D12" s="23" t="n">
        <v>-363.872</v>
      </c>
      <c r="E12" s="23" t="n">
        <v>-290.509</v>
      </c>
      <c r="F12" s="23" t="n">
        <v>-341.973</v>
      </c>
      <c r="G12" s="23" t="n">
        <v>-337.708</v>
      </c>
      <c r="H12" s="23" t="n">
        <v>-276.479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-21.827536231884057</v>
      </c>
      <c r="C13" s="11">
        <f>IFERROR(C12/C14,0)</f>
        <v>-1.229751290473956</v>
      </c>
      <c r="D13" s="11">
        <f>IFERROR(D12/D14,0)</f>
        <v>-3.824715935966028</v>
      </c>
      <c r="E13" s="11">
        <f>IFERROR(E12/E14,0)</f>
        <v>-2.5884224031933285</v>
      </c>
      <c r="F13" s="11">
        <f>IFERROR(F12/F14,0)</f>
        <v>-2.7898626985486676</v>
      </c>
      <c r="G13" s="11">
        <f>IFERROR(G12/G14,0)</f>
        <v>-2.3637763529971725</v>
      </c>
      <c r="H13" s="11">
        <f>IFERROR(H12/H14,0)</f>
        <v>-1.6113050522475478</v>
      </c>
    </row>
    <row r="14">
      <c r="A14" s="2" t="inlineStr">
        <is>
          <t>Shares</t>
        </is>
      </c>
      <c r="B14" s="23" t="n">
        <v>3.45</v>
      </c>
      <c r="C14" s="23" t="n">
        <v>42.62</v>
      </c>
      <c r="D14" s="23" t="n">
        <v>95.137</v>
      </c>
      <c r="E14" s="23" t="n">
        <v>112.234</v>
      </c>
      <c r="F14" s="23" t="n">
        <v>122.577</v>
      </c>
      <c r="G14" s="23" t="n">
        <v>142.868</v>
      </c>
      <c r="H14" s="23" t="n">
        <v>171.587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-0.963353255740799</v>
      </c>
      <c r="E16" s="15">
        <f>IFERROR(E2/D2-1,"")</f>
        <v>-0.5440739517992736</v>
      </c>
      <c r="F16" s="15">
        <f>IFERROR(F2/E2-1,"")</f>
        <v>17.498189717595945</v>
      </c>
      <c r="G16" s="15">
        <f>IFERROR(G2/F2-1,"")</f>
        <v>-0.6082752681437407</v>
      </c>
      <c r="H16" s="15">
        <f>IFERROR(H2/G2-1,"")</f>
        <v>0.5344259018686921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-0.6750550487574708</v>
      </c>
      <c r="D18" s="15">
        <f>IFERROR(D8/D2,"")</f>
        <v>-120.40211290855068</v>
      </c>
      <c r="E18" s="15">
        <f>IFERROR(E8/E2,"")</f>
        <v>-216.70890658942798</v>
      </c>
      <c r="F18" s="15">
        <f>IFERROR(F8/F2,"")</f>
        <v>-14.601111720034448</v>
      </c>
      <c r="G18" s="15">
        <f>IFERROR(G8/G2,"")</f>
        <v>-37.220745478165284</v>
      </c>
      <c r="H18" s="15">
        <f>IFERROR(H8/H2,"")</f>
        <v>-19.715923152067727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Relay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1-PRODUCT(Pipeline!AG4:AG5)</f>
        <v>0.4683752400000001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310.435</v>
      </c>
    </row>
    <row r="19">
      <c r="A19" s="14" t="inlineStr">
        <is>
          <t>Years of full burn (until the first launch, max 4)</t>
        </is>
      </c>
      <c r="B19" s="39">
        <f>MIN(4,MAX(1,MIN(Pipeline!I4:I5)-2026))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1738.3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-99.40382648450823</v>
      </c>
      <c r="C29" s="42">
        <f>NPV!B25</f>
        <v>21.785173515491763</v>
      </c>
      <c r="D29" s="43">
        <f>NPV!B27</f>
        <v>0.09941138712932078</v>
      </c>
      <c r="E29" s="44">
        <f>NPV!B29</f>
        <v>-0.9946118489360801</v>
      </c>
    </row>
    <row r="30">
      <c r="A30" s="45" t="n">
        <v>1</v>
      </c>
      <c r="B30" s="46">
        <f t="dataTable" ref="B30:E32" r1="B4"/>
        <v>-501.01987458712705</v>
      </c>
      <c r="C30" s="46">
        <v>-379.830874587127</v>
      </c>
      <c r="D30" s="47">
        <v>-1.733266622384165</v>
      </c>
      <c r="E30" s="48">
        <v>-1.0939439903731254</v>
      </c>
    </row>
    <row r="31">
      <c r="A31" s="45" t="n">
        <v>2</v>
      </c>
      <c r="B31" s="46">
        <v>-99.40382648450823</v>
      </c>
      <c r="C31" s="46">
        <v>21.785173515491763</v>
      </c>
      <c r="D31" s="47">
        <v>0.09941138712932078</v>
      </c>
      <c r="E31" s="48">
        <v>-0.9946118489360801</v>
      </c>
    </row>
    <row r="32">
      <c r="A32" s="45" t="n">
        <v>3</v>
      </c>
      <c r="B32" s="46">
        <v>523.5311607050509</v>
      </c>
      <c r="C32" s="46">
        <v>644.7201607050508</v>
      </c>
      <c r="D32" s="47">
        <v>2.942025017168239</v>
      </c>
      <c r="E32" s="48">
        <v>-0.8405406494759762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0.09941138712932078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-2.0961146284701795</v>
      </c>
      <c r="C37" s="47">
        <v>-1.5317212988937539</v>
      </c>
      <c r="D37" s="47">
        <v>-0.967327969317329</v>
      </c>
      <c r="E37" s="47">
        <v>0.16145868983552084</v>
      </c>
      <c r="F37" s="47">
        <v>1.2766165705945058</v>
      </c>
    </row>
    <row r="38">
      <c r="A38" s="50" t="n">
        <v>0.8</v>
      </c>
      <c r="B38" s="47">
        <v>-1.9412372676428409</v>
      </c>
      <c r="C38" s="47">
        <v>-1.1887128282076067</v>
      </c>
      <c r="D38" s="47">
        <v>-0.4361883887723742</v>
      </c>
      <c r="E38" s="47">
        <v>1.0688604900980927</v>
      </c>
      <c r="F38" s="47">
        <v>2.3977163651936952</v>
      </c>
    </row>
    <row r="39">
      <c r="A39" s="50" t="n">
        <v>1</v>
      </c>
      <c r="B39" s="47">
        <v>-1.7818997114587627</v>
      </c>
      <c r="C39" s="47">
        <v>-0.841244162164721</v>
      </c>
      <c r="D39" s="47">
        <v>0.09941138712932078</v>
      </c>
      <c r="E39" s="47">
        <v>1.8805344676096074</v>
      </c>
      <c r="F39" s="47">
        <v>3.490425216195985</v>
      </c>
    </row>
    <row r="40">
      <c r="A40" s="50" t="n">
        <v>1.2</v>
      </c>
      <c r="B40" s="47">
        <v>-1.618101959917945</v>
      </c>
      <c r="C40" s="47">
        <v>-0.489315300765095</v>
      </c>
      <c r="D40" s="47">
        <v>0.639471358387755</v>
      </c>
      <c r="E40" s="47">
        <v>2.6671115508152545</v>
      </c>
      <c r="F40" s="47">
        <v>4.56898813705774</v>
      </c>
    </row>
    <row r="41">
      <c r="A41" s="50" t="n">
        <v>1.4</v>
      </c>
      <c r="B41" s="47">
        <v>-1.4498440130203878</v>
      </c>
      <c r="C41" s="47">
        <v>-0.13292624400872938</v>
      </c>
      <c r="D41" s="47">
        <v>1.1729003870802157</v>
      </c>
      <c r="E41" s="47">
        <v>3.445167735547279</v>
      </c>
      <c r="F41" s="47">
        <v>5.640106085052448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Relay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Breast cancer</t>
        </is>
      </c>
      <c r="C4" s="14" t="inlineStr">
        <is>
          <t>RLY-5836, Palbociclib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755.3253622623151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52.656000000000006</v>
      </c>
      <c r="Q4" s="23">
        <f>IF(Q$3&lt;$I4,0,$G4*Assumptions!$E$11*INDEX(Assumptions!$B$24:$G$24,MIN(6,Q$3-$I4+1))*IF(Q$3&gt;$J4,(1-Assumptions!$B$26)^(Q$3-$J4),1)*IF($H4&gt;=1,1,MIN(0.97,$H4*Assumptions!$E$12)))</f>
        <v>131.64000000000001</v>
      </c>
      <c r="R4" s="23">
        <f>IF(R$3&lt;$I4,0,$G4*Assumptions!$E$11*INDEX(Assumptions!$B$24:$G$24,MIN(6,R$3-$I4+1))*IF(R$3&gt;$J4,(1-Assumptions!$B$26)^(R$3-$J4),1)*IF($H4&gt;=1,1,MIN(0.97,$H4*Assumptions!$E$12)))</f>
        <v>236.95200000000003</v>
      </c>
      <c r="S4" s="23">
        <f>IF(S$3&lt;$I4,0,$G4*Assumptions!$E$11*INDEX(Assumptions!$B$24:$G$24,MIN(6,S$3-$I4+1))*IF(S$3&gt;$J4,(1-Assumptions!$B$26)^(S$3-$J4),1)*IF($H4&gt;=1,1,MIN(0.97,$H4*Assumptions!$E$12)))</f>
        <v>342.264</v>
      </c>
      <c r="T4" s="23">
        <f>IF(T$3&lt;$I4,0,$G4*Assumptions!$E$11*INDEX(Assumptions!$B$24:$G$24,MIN(6,T$3-$I4+1))*IF(T$3&gt;$J4,(1-Assumptions!$B$26)^(T$3-$J4),1)*IF($H4&gt;=1,1,MIN(0.97,$H4*Assumptions!$E$12)))</f>
        <v>447.576</v>
      </c>
      <c r="U4" s="23">
        <f>IF(U$3&lt;$I4,0,$G4*Assumptions!$E$11*INDEX(Assumptions!$B$24:$G$24,MIN(6,U$3-$I4+1))*IF(U$3&gt;$J4,(1-Assumptions!$B$26)^(U$3-$J4),1)*IF($H4&gt;=1,1,MIN(0.97,$H4*Assumptions!$E$12)))</f>
        <v>526.5600000000001</v>
      </c>
      <c r="V4" s="23">
        <f>IF(V$3&lt;$I4,0,$G4*Assumptions!$E$11*INDEX(Assumptions!$B$24:$G$24,MIN(6,V$3-$I4+1))*IF(V$3&gt;$J4,(1-Assumptions!$B$26)^(V$3-$J4),1)*IF($H4&gt;=1,1,MIN(0.97,$H4*Assumptions!$E$12)))</f>
        <v>526.5600000000001</v>
      </c>
      <c r="W4" s="23">
        <f>IF(W$3&lt;$I4,0,$G4*Assumptions!$E$11*INDEX(Assumptions!$B$24:$G$24,MIN(6,W$3-$I4+1))*IF(W$3&gt;$J4,(1-Assumptions!$B$26)^(W$3-$J4),1)*IF($H4&gt;=1,1,MIN(0.97,$H4*Assumptions!$E$12)))</f>
        <v>526.5600000000001</v>
      </c>
      <c r="X4" s="23">
        <f>IF(X$3&lt;$I4,0,$G4*Assumptions!$E$11*INDEX(Assumptions!$B$24:$G$24,MIN(6,X$3-$I4+1))*IF(X$3&gt;$J4,(1-Assumptions!$B$26)^(X$3-$J4),1)*IF($H4&gt;=1,1,MIN(0.97,$H4*Assumptions!$E$12)))</f>
        <v>526.5600000000001</v>
      </c>
      <c r="Y4" s="23">
        <f>IF(Y$3&lt;$I4,0,$G4*Assumptions!$E$11*INDEX(Assumptions!$B$24:$G$24,MIN(6,Y$3-$I4+1))*IF(Y$3&gt;$J4,(1-Assumptions!$B$26)^(Y$3-$J4),1)*IF($H4&gt;=1,1,MIN(0.97,$H4*Assumptions!$E$12)))</f>
        <v>526.5600000000001</v>
      </c>
      <c r="Z4" s="23">
        <f>IF(Z$3&lt;$I4,0,$G4*Assumptions!$E$11*INDEX(Assumptions!$B$24:$G$24,MIN(6,Z$3-$I4+1))*IF(Z$3&gt;$J4,(1-Assumptions!$B$26)^(Z$3-$J4),1)*IF($H4&gt;=1,1,MIN(0.97,$H4*Assumptions!$E$12)))</f>
        <v>526.5600000000001</v>
      </c>
      <c r="AA4" s="23">
        <f>IF(AA$3&lt;$I4,0,$G4*Assumptions!$E$11*INDEX(Assumptions!$B$24:$G$24,MIN(6,AA$3-$I4+1))*IF(AA$3&gt;$J4,(1-Assumptions!$B$26)^(AA$3-$J4),1)*IF($H4&gt;=1,1,MIN(0.97,$H4*Assumptions!$E$12)))</f>
        <v>526.5600000000001</v>
      </c>
      <c r="AB4" s="23">
        <f>IF(AB$3&lt;$I4,0,$G4*Assumptions!$E$11*INDEX(Assumptions!$B$24:$G$24,MIN(6,AB$3-$I4+1))*IF(AB$3&gt;$J4,(1-Assumptions!$B$26)^(AB$3-$J4),1)*IF($H4&gt;=1,1,MIN(0.97,$H4*Assumptions!$E$12)))</f>
        <v>526.5600000000001</v>
      </c>
      <c r="AC4" s="23">
        <f>IF(AC$3&lt;$I4,0,$G4*Assumptions!$E$11*INDEX(Assumptions!$B$24:$G$24,MIN(6,AC$3-$I4+1))*IF(AC$3&gt;$J4,(1-Assumptions!$B$26)^(AC$3-$J4),1)*IF($H4&gt;=1,1,MIN(0.97,$H4*Assumptions!$E$12)))</f>
        <v>263.28000000000003</v>
      </c>
      <c r="AD4" s="23">
        <f>IF(AD$3&lt;$I4,0,$G4*Assumptions!$E$11*INDEX(Assumptions!$B$24:$G$24,MIN(6,AD$3-$I4+1))*IF(AD$3&gt;$J4,(1-Assumptions!$B$26)^(AD$3-$J4),1)*IF($H4&gt;=1,1,MIN(0.97,$H4*Assumptions!$E$12)))</f>
        <v>131.64000000000001</v>
      </c>
      <c r="AE4" s="23">
        <f>IF(AE$3&lt;$I4,0,$G4*Assumptions!$E$11*INDEX(Assumptions!$B$24:$G$24,MIN(6,AE$3-$I4+1))*IF(AE$3&gt;$J4,(1-Assumptions!$B$26)^(AE$3-$J4),1)*IF($H4&gt;=1,1,MIN(0.97,$H4*Assumptions!$E$12)))</f>
        <v>65.82000000000001</v>
      </c>
      <c r="AF4" s="23">
        <f>IF(AF$3&lt;$I4,0,$G4*Assumptions!$E$11*INDEX(Assumptions!$B$24:$G$24,MIN(6,AF$3-$I4+1))*IF(AF$3&gt;$J4,(1-Assumptions!$B$26)^(AF$3-$J4),1)*IF($H4&gt;=1,1,MIN(0.97,$H4*Assumptions!$E$12)))</f>
        <v>32.910000000000004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Melanoma</t>
        </is>
      </c>
      <c r="C5" s="14" t="inlineStr">
        <is>
          <t>RLY-8161</t>
        </is>
      </c>
      <c r="D5" s="14" t="inlineStr">
        <is>
          <t>Phase 1</t>
        </is>
      </c>
      <c r="E5" s="14" t="inlineStr">
        <is>
          <t>Oncology / area</t>
        </is>
      </c>
      <c r="F5" s="14" t="inlineStr">
        <is>
          <t>Owned</t>
        </is>
      </c>
      <c r="G5" s="40" t="n">
        <v>1500</v>
      </c>
      <c r="H5" s="27" t="n">
        <v>0.0527</v>
      </c>
      <c r="I5" s="26" t="n">
        <v>2033</v>
      </c>
      <c r="J5" s="39">
        <f>I5+Assumptions!$B$25</f>
        <v>2045.0</v>
      </c>
      <c r="K5" s="53">
        <f>Assumptions!$E$13</f>
        <v>0.4</v>
      </c>
      <c r="L5" s="23">
        <f>K5*SUMPRODUCT(M5:AF5,NPV!$C$15:$V$15)</f>
        <v>69.22180286367352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0</v>
      </c>
      <c r="T5" s="23">
        <f>IF(T$3&lt;$I5,0,$G5*Assumptions!$E$11*INDEX(Assumptions!$B$24:$G$24,MIN(6,T$3-$I5+1))*IF(T$3&gt;$J5,(1-Assumptions!$B$26)^(T$3-$J5),1)*IF($H5&gt;=1,1,MIN(0.97,$H5*Assumptions!$E$12)))</f>
        <v>7.904999999999999</v>
      </c>
      <c r="U5" s="23">
        <f>IF(U$3&lt;$I5,0,$G5*Assumptions!$E$11*INDEX(Assumptions!$B$24:$G$24,MIN(6,U$3-$I5+1))*IF(U$3&gt;$J5,(1-Assumptions!$B$26)^(U$3-$J5),1)*IF($H5&gt;=1,1,MIN(0.97,$H5*Assumptions!$E$12)))</f>
        <v>19.7625</v>
      </c>
      <c r="V5" s="23">
        <f>IF(V$3&lt;$I5,0,$G5*Assumptions!$E$11*INDEX(Assumptions!$B$24:$G$24,MIN(6,V$3-$I5+1))*IF(V$3&gt;$J5,(1-Assumptions!$B$26)^(V$3-$J5),1)*IF($H5&gt;=1,1,MIN(0.97,$H5*Assumptions!$E$12)))</f>
        <v>35.5725</v>
      </c>
      <c r="W5" s="23">
        <f>IF(W$3&lt;$I5,0,$G5*Assumptions!$E$11*INDEX(Assumptions!$B$24:$G$24,MIN(6,W$3-$I5+1))*IF(W$3&gt;$J5,(1-Assumptions!$B$26)^(W$3-$J5),1)*IF($H5&gt;=1,1,MIN(0.97,$H5*Assumptions!$E$12)))</f>
        <v>51.3825</v>
      </c>
      <c r="X5" s="23">
        <f>IF(X$3&lt;$I5,0,$G5*Assumptions!$E$11*INDEX(Assumptions!$B$24:$G$24,MIN(6,X$3-$I5+1))*IF(X$3&gt;$J5,(1-Assumptions!$B$26)^(X$3-$J5),1)*IF($H5&gt;=1,1,MIN(0.97,$H5*Assumptions!$E$12)))</f>
        <v>67.1925</v>
      </c>
      <c r="Y5" s="23">
        <f>IF(Y$3&lt;$I5,0,$G5*Assumptions!$E$11*INDEX(Assumptions!$B$24:$G$24,MIN(6,Y$3-$I5+1))*IF(Y$3&gt;$J5,(1-Assumptions!$B$26)^(Y$3-$J5),1)*IF($H5&gt;=1,1,MIN(0.97,$H5*Assumptions!$E$12)))</f>
        <v>79.05</v>
      </c>
      <c r="Z5" s="23">
        <f>IF(Z$3&lt;$I5,0,$G5*Assumptions!$E$11*INDEX(Assumptions!$B$24:$G$24,MIN(6,Z$3-$I5+1))*IF(Z$3&gt;$J5,(1-Assumptions!$B$26)^(Z$3-$J5),1)*IF($H5&gt;=1,1,MIN(0.97,$H5*Assumptions!$E$12)))</f>
        <v>79.05</v>
      </c>
      <c r="AA5" s="23">
        <f>IF(AA$3&lt;$I5,0,$G5*Assumptions!$E$11*INDEX(Assumptions!$B$24:$G$24,MIN(6,AA$3-$I5+1))*IF(AA$3&gt;$J5,(1-Assumptions!$B$26)^(AA$3-$J5),1)*IF($H5&gt;=1,1,MIN(0.97,$H5*Assumptions!$E$12)))</f>
        <v>79.05</v>
      </c>
      <c r="AB5" s="23">
        <f>IF(AB$3&lt;$I5,0,$G5*Assumptions!$E$11*INDEX(Assumptions!$B$24:$G$24,MIN(6,AB$3-$I5+1))*IF(AB$3&gt;$J5,(1-Assumptions!$B$26)^(AB$3-$J5),1)*IF($H5&gt;=1,1,MIN(0.97,$H5*Assumptions!$E$12)))</f>
        <v>79.05</v>
      </c>
      <c r="AC5" s="23">
        <f>IF(AC$3&lt;$I5,0,$G5*Assumptions!$E$11*INDEX(Assumptions!$B$24:$G$24,MIN(6,AC$3-$I5+1))*IF(AC$3&gt;$J5,(1-Assumptions!$B$26)^(AC$3-$J5),1)*IF($H5&gt;=1,1,MIN(0.97,$H5*Assumptions!$E$12)))</f>
        <v>79.05</v>
      </c>
      <c r="AD5" s="23">
        <f>IF(AD$3&lt;$I5,0,$G5*Assumptions!$E$11*INDEX(Assumptions!$B$24:$G$24,MIN(6,AD$3-$I5+1))*IF(AD$3&gt;$J5,(1-Assumptions!$B$26)^(AD$3-$J5),1)*IF($H5&gt;=1,1,MIN(0.97,$H5*Assumptions!$E$12)))</f>
        <v>79.05</v>
      </c>
      <c r="AE5" s="23">
        <f>IF(AE$3&lt;$I5,0,$G5*Assumptions!$E$11*INDEX(Assumptions!$B$24:$G$24,MIN(6,AE$3-$I5+1))*IF(AE$3&gt;$J5,(1-Assumptions!$B$26)^(AE$3-$J5),1)*IF($H5&gt;=1,1,MIN(0.97,$H5*Assumptions!$E$12)))</f>
        <v>79.05</v>
      </c>
      <c r="AF5" s="23">
        <f>IF(AF$3&lt;$I5,0,$G5*Assumptions!$E$11*INDEX(Assumptions!$B$24:$G$24,MIN(6,AF$3-$I5+1))*IF(AF$3&gt;$J5,(1-Assumptions!$B$26)^(AF$3-$J5),1)*IF($H5&gt;=1,1,MIN(0.97,$H5*Assumptions!$E$12)))</f>
        <v>79.05</v>
      </c>
      <c r="AG5" s="35">
        <f>IF(F5="Owned",1-IF(H5&gt;=1,1,MIN(0.97,H5*Assumptions!$E$12)),1)</f>
        <v>0.9473</v>
      </c>
    </row>
    <row r="6">
      <c r="B6" s="24" t="inlineStr">
        <is>
          <t>Risked revenue</t>
        </is>
      </c>
      <c r="L6" s="54">
        <f>SUM(L4:L5)</f>
        <v>824.5471651259886</v>
      </c>
      <c r="M6" s="54">
        <f>SUM(M4:M5)</f>
        <v>0.0</v>
      </c>
      <c r="N6" s="54">
        <f>SUM(N4:N5)</f>
        <v>0.0</v>
      </c>
      <c r="O6" s="54">
        <f>SUM(O4:O5)</f>
        <v>0.0</v>
      </c>
      <c r="P6" s="54">
        <f>SUM(P4:P5)</f>
        <v>52.656000000000006</v>
      </c>
      <c r="Q6" s="54">
        <f>SUM(Q4:Q5)</f>
        <v>131.64000000000001</v>
      </c>
      <c r="R6" s="54">
        <f>SUM(R4:R5)</f>
        <v>236.95200000000003</v>
      </c>
      <c r="S6" s="54">
        <f>SUM(S4:S5)</f>
        <v>342.264</v>
      </c>
      <c r="T6" s="54">
        <f>SUM(T4:T5)</f>
        <v>455.481</v>
      </c>
      <c r="U6" s="54">
        <f>SUM(U4:U5)</f>
        <v>546.3225000000001</v>
      </c>
      <c r="V6" s="54">
        <f>SUM(V4:V5)</f>
        <v>562.1325</v>
      </c>
      <c r="W6" s="54">
        <f>SUM(W4:W5)</f>
        <v>577.9425000000001</v>
      </c>
      <c r="X6" s="54">
        <f>SUM(X4:X5)</f>
        <v>593.7525</v>
      </c>
      <c r="Y6" s="54">
        <f>SUM(Y4:Y5)</f>
        <v>605.61</v>
      </c>
      <c r="Z6" s="54">
        <f>SUM(Z4:Z5)</f>
        <v>605.61</v>
      </c>
      <c r="AA6" s="54">
        <f>SUM(AA4:AA5)</f>
        <v>605.61</v>
      </c>
      <c r="AB6" s="54">
        <f>SUM(AB4:AB5)</f>
        <v>605.61</v>
      </c>
      <c r="AC6" s="54">
        <f>SUM(AC4:AC5)</f>
        <v>342.33000000000004</v>
      </c>
      <c r="AD6" s="54">
        <f>SUM(AD4:AD5)</f>
        <v>210.69</v>
      </c>
      <c r="AE6" s="54">
        <f>SUM(AE4:AE5)</f>
        <v>144.87</v>
      </c>
      <c r="AF6" s="54">
        <f>SUM(AF4:AF5)</f>
        <v>111.96000000000001</v>
      </c>
    </row>
    <row r="7">
      <c r="B7" s="24" t="inlineStr">
        <is>
          <t>Risked contribution (revenue x share)</t>
        </is>
      </c>
      <c r="M7" s="55">
        <f>SUMPRODUCT(M4:M5,$K$4:$K$5)</f>
        <v>0.0</v>
      </c>
      <c r="N7" s="55">
        <f>SUMPRODUCT(N4:N5,$K$4:$K$5)</f>
        <v>0.0</v>
      </c>
      <c r="O7" s="55">
        <f>SUMPRODUCT(O4:O5,$K$4:$K$5)</f>
        <v>0.0</v>
      </c>
      <c r="P7" s="55">
        <f>SUMPRODUCT(P4:P5,$K$4:$K$5)</f>
        <v>21.062400000000004</v>
      </c>
      <c r="Q7" s="55">
        <f>SUMPRODUCT(Q4:Q5,$K$4:$K$5)</f>
        <v>52.656000000000006</v>
      </c>
      <c r="R7" s="55">
        <f>SUMPRODUCT(R4:R5,$K$4:$K$5)</f>
        <v>94.78080000000001</v>
      </c>
      <c r="S7" s="55">
        <f>SUMPRODUCT(S4:S5,$K$4:$K$5)</f>
        <v>136.90560000000002</v>
      </c>
      <c r="T7" s="55">
        <f>SUMPRODUCT(T4:T5,$K$4:$K$5)</f>
        <v>182.19240000000002</v>
      </c>
      <c r="U7" s="55">
        <f>SUMPRODUCT(U4:U5,$K$4:$K$5)</f>
        <v>218.52900000000002</v>
      </c>
      <c r="V7" s="55">
        <f>SUMPRODUCT(V4:V5,$K$4:$K$5)</f>
        <v>224.853</v>
      </c>
      <c r="W7" s="55">
        <f>SUMPRODUCT(W4:W5,$K$4:$K$5)</f>
        <v>231.17700000000002</v>
      </c>
      <c r="X7" s="55">
        <f>SUMPRODUCT(X4:X5,$K$4:$K$5)</f>
        <v>237.50100000000003</v>
      </c>
      <c r="Y7" s="55">
        <f>SUMPRODUCT(Y4:Y5,$K$4:$K$5)</f>
        <v>242.24400000000003</v>
      </c>
      <c r="Z7" s="55">
        <f>SUMPRODUCT(Z4:Z5,$K$4:$K$5)</f>
        <v>242.24400000000003</v>
      </c>
      <c r="AA7" s="55">
        <f>SUMPRODUCT(AA4:AA5,$K$4:$K$5)</f>
        <v>242.24400000000003</v>
      </c>
      <c r="AB7" s="55">
        <f>SUMPRODUCT(AB4:AB5,$K$4:$K$5)</f>
        <v>242.24400000000003</v>
      </c>
      <c r="AC7" s="55">
        <f>SUMPRODUCT(AC4:AC5,$K$4:$K$5)</f>
        <v>136.93200000000002</v>
      </c>
      <c r="AD7" s="55">
        <f>SUMPRODUCT(AD4:AD5,$K$4:$K$5)</f>
        <v>84.27600000000001</v>
      </c>
      <c r="AE7" s="55">
        <f>SUMPRODUCT(AE4:AE5,$K$4:$K$5)</f>
        <v>57.94800000000001</v>
      </c>
      <c r="AF7" s="55">
        <f>SUMPRODUCT(AF4:AF5,$K$4:$K$5)</f>
        <v>44.784000000000006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Relay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Pipeline!M6</f>
        <v>0.0</v>
      </c>
      <c r="D4" s="57">
        <f>Pipeline!N6</f>
        <v>0.0</v>
      </c>
      <c r="E4" s="57">
        <f>Pipeline!O6</f>
        <v>0.0</v>
      </c>
      <c r="F4" s="57">
        <f>Pipeline!P6</f>
        <v>52.656000000000006</v>
      </c>
      <c r="G4" s="57">
        <f>Pipeline!Q6</f>
        <v>131.64000000000001</v>
      </c>
      <c r="H4" s="57">
        <f>Pipeline!R6</f>
        <v>236.95200000000003</v>
      </c>
      <c r="I4" s="57">
        <f>Pipeline!S6</f>
        <v>342.264</v>
      </c>
      <c r="J4" s="57">
        <f>Pipeline!T6</f>
        <v>455.481</v>
      </c>
      <c r="K4" s="57">
        <f>Pipeline!U6</f>
        <v>546.3225000000001</v>
      </c>
      <c r="L4" s="57">
        <f>Pipeline!V6</f>
        <v>562.1325</v>
      </c>
      <c r="M4" s="57">
        <f>Pipeline!W6</f>
        <v>577.9425000000001</v>
      </c>
      <c r="N4" s="57">
        <f>Pipeline!X6</f>
        <v>593.7525</v>
      </c>
      <c r="O4" s="57">
        <f>Pipeline!Y6</f>
        <v>605.61</v>
      </c>
      <c r="P4" s="57">
        <f>Pipeline!Z6</f>
        <v>605.61</v>
      </c>
      <c r="Q4" s="57">
        <f>Pipeline!AA6</f>
        <v>605.61</v>
      </c>
      <c r="R4" s="57">
        <f>Pipeline!AB6</f>
        <v>605.61</v>
      </c>
      <c r="S4" s="57">
        <f>Pipeline!AC6</f>
        <v>342.33000000000004</v>
      </c>
      <c r="T4" s="57">
        <f>Pipeline!AD6</f>
        <v>210.69</v>
      </c>
      <c r="U4" s="57">
        <f>Pipeline!AE6</f>
        <v>144.87</v>
      </c>
      <c r="V4" s="57">
        <f>Pipeline!AF6</f>
        <v>111.96000000000001</v>
      </c>
    </row>
    <row r="5">
      <c r="A5" s="14" t="inlineStr">
        <is>
          <t>Risked contribution</t>
        </is>
      </c>
      <c r="C5" s="57">
        <f>Pipeline!M7</f>
        <v>0.0</v>
      </c>
      <c r="D5" s="57">
        <f>Pipeline!N7</f>
        <v>0.0</v>
      </c>
      <c r="E5" s="57">
        <f>Pipeline!O7</f>
        <v>0.0</v>
      </c>
      <c r="F5" s="57">
        <f>Pipeline!P7</f>
        <v>21.062400000000004</v>
      </c>
      <c r="G5" s="57">
        <f>Pipeline!Q7</f>
        <v>52.656000000000006</v>
      </c>
      <c r="H5" s="57">
        <f>Pipeline!R7</f>
        <v>94.78080000000001</v>
      </c>
      <c r="I5" s="57">
        <f>Pipeline!S7</f>
        <v>136.90560000000002</v>
      </c>
      <c r="J5" s="57">
        <f>Pipeline!T7</f>
        <v>182.19240000000002</v>
      </c>
      <c r="K5" s="57">
        <f>Pipeline!U7</f>
        <v>218.52900000000002</v>
      </c>
      <c r="L5" s="57">
        <f>Pipeline!V7</f>
        <v>224.853</v>
      </c>
      <c r="M5" s="57">
        <f>Pipeline!W7</f>
        <v>231.17700000000002</v>
      </c>
      <c r="N5" s="57">
        <f>Pipeline!X7</f>
        <v>237.50100000000003</v>
      </c>
      <c r="O5" s="57">
        <f>Pipeline!Y7</f>
        <v>242.24400000000003</v>
      </c>
      <c r="P5" s="57">
        <f>Pipeline!Z7</f>
        <v>242.24400000000003</v>
      </c>
      <c r="Q5" s="57">
        <f>Pipeline!AA7</f>
        <v>242.24400000000003</v>
      </c>
      <c r="R5" s="57">
        <f>Pipeline!AB7</f>
        <v>242.24400000000003</v>
      </c>
      <c r="S5" s="57">
        <f>Pipeline!AC7</f>
        <v>136.93200000000002</v>
      </c>
      <c r="T5" s="57">
        <f>Pipeline!AD7</f>
        <v>84.27600000000001</v>
      </c>
      <c r="U5" s="57">
        <f>Pipeline!AE7</f>
        <v>57.94800000000001</v>
      </c>
      <c r="V5" s="57">
        <f>Pipeline!AF7</f>
        <v>44.784000000000006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-310.435</v>
      </c>
      <c r="D6" s="23">
        <f>-IF(D3-2026&lt;Assumptions!$B$19,Assumptions!$B$18,Assumptions!$B$18*Assumptions!$B$20*Assumptions!$B$16)</f>
        <v>-310.435</v>
      </c>
      <c r="E6" s="23">
        <f>-IF(E3-2026&lt;Assumptions!$B$19,Assumptions!$B$18,Assumptions!$B$18*Assumptions!$B$20*Assumptions!$B$16)</f>
        <v>-310.435</v>
      </c>
      <c r="F6" s="23">
        <f>-IF(F3-2026&lt;Assumptions!$B$19,Assumptions!$B$18,Assumptions!$B$18*Assumptions!$B$20*Assumptions!$B$16)</f>
        <v>-43.62002028882001</v>
      </c>
      <c r="G6" s="23">
        <f>-IF(G3-2026&lt;Assumptions!$B$19,Assumptions!$B$18,Assumptions!$B$18*Assumptions!$B$20*Assumptions!$B$16)</f>
        <v>-43.62002028882001</v>
      </c>
      <c r="H6" s="23">
        <f>-IF(H3-2026&lt;Assumptions!$B$19,Assumptions!$B$18,Assumptions!$B$18*Assumptions!$B$20*Assumptions!$B$16)</f>
        <v>-43.62002028882001</v>
      </c>
      <c r="I6" s="23">
        <f>-IF(I3-2026&lt;Assumptions!$B$19,Assumptions!$B$18,Assumptions!$B$18*Assumptions!$B$20*Assumptions!$B$16)</f>
        <v>-43.62002028882001</v>
      </c>
      <c r="J6" s="23">
        <f>-IF(J3-2026&lt;Assumptions!$B$19,Assumptions!$B$18,Assumptions!$B$18*Assumptions!$B$20*Assumptions!$B$16)</f>
        <v>-43.62002028882001</v>
      </c>
      <c r="K6" s="23">
        <f>-IF(K3-2026&lt;Assumptions!$B$19,Assumptions!$B$18,Assumptions!$B$18*Assumptions!$B$20*Assumptions!$B$16)</f>
        <v>-43.62002028882001</v>
      </c>
      <c r="L6" s="23">
        <f>-IF(L3-2026&lt;Assumptions!$B$19,Assumptions!$B$18,Assumptions!$B$18*Assumptions!$B$20*Assumptions!$B$16)</f>
        <v>-43.62002028882001</v>
      </c>
      <c r="M6" s="23">
        <f>-IF(M3-2026&lt;Assumptions!$B$19,Assumptions!$B$18,Assumptions!$B$18*Assumptions!$B$20*Assumptions!$B$16)</f>
        <v>-43.62002028882001</v>
      </c>
      <c r="N6" s="23">
        <f>-IF(N3-2026&lt;Assumptions!$B$19,Assumptions!$B$18,Assumptions!$B$18*Assumptions!$B$20*Assumptions!$B$16)</f>
        <v>-43.62002028882001</v>
      </c>
      <c r="O6" s="23">
        <f>-IF(O3-2026&lt;Assumptions!$B$19,Assumptions!$B$18,Assumptions!$B$18*Assumptions!$B$20*Assumptions!$B$16)</f>
        <v>-43.62002028882001</v>
      </c>
      <c r="P6" s="23">
        <f>-IF(P3-2026&lt;Assumptions!$B$19,Assumptions!$B$18,Assumptions!$B$18*Assumptions!$B$20*Assumptions!$B$16)</f>
        <v>-43.62002028882001</v>
      </c>
      <c r="Q6" s="23">
        <f>-IF(Q3-2026&lt;Assumptions!$B$19,Assumptions!$B$18,Assumptions!$B$18*Assumptions!$B$20*Assumptions!$B$16)</f>
        <v>-43.62002028882001</v>
      </c>
      <c r="R6" s="23">
        <f>-IF(R3-2026&lt;Assumptions!$B$19,Assumptions!$B$18,Assumptions!$B$18*Assumptions!$B$20*Assumptions!$B$16)</f>
        <v>-43.62002028882001</v>
      </c>
      <c r="S6" s="23">
        <f>-IF(S3-2026&lt;Assumptions!$B$19,Assumptions!$B$18,Assumptions!$B$18*Assumptions!$B$20*Assumptions!$B$16)</f>
        <v>-43.62002028882001</v>
      </c>
      <c r="T6" s="23">
        <f>-IF(T3-2026&lt;Assumptions!$B$19,Assumptions!$B$18,Assumptions!$B$18*Assumptions!$B$20*Assumptions!$B$16)</f>
        <v>-43.62002028882001</v>
      </c>
      <c r="U6" s="23">
        <f>-IF(U3-2026&lt;Assumptions!$B$19,Assumptions!$B$18,Assumptions!$B$18*Assumptions!$B$20*Assumptions!$B$16)</f>
        <v>-43.62002028882001</v>
      </c>
      <c r="V6" s="23">
        <f>-IF(V3-2026&lt;Assumptions!$B$19,Assumptions!$B$18,Assumptions!$B$18*Assumptions!$B$20*Assumptions!$B$16)</f>
        <v>-43.62002028882001</v>
      </c>
    </row>
    <row r="7">
      <c r="A7" s="14" t="inlineStr">
        <is>
          <t>Pre-tax cash flow</t>
        </is>
      </c>
      <c r="C7" s="23">
        <f>C5+C6</f>
        <v>-310.435</v>
      </c>
      <c r="D7" s="23">
        <f>D5+D6</f>
        <v>-310.435</v>
      </c>
      <c r="E7" s="23">
        <f>E5+E6</f>
        <v>-310.435</v>
      </c>
      <c r="F7" s="23">
        <f>F5+F6</f>
        <v>-22.557620288820004</v>
      </c>
      <c r="G7" s="23">
        <f>G5+G6</f>
        <v>9.035979711179998</v>
      </c>
      <c r="H7" s="23">
        <f>H5+H6</f>
        <v>51.160779711180005</v>
      </c>
      <c r="I7" s="23">
        <f>I5+I6</f>
        <v>93.28557971118002</v>
      </c>
      <c r="J7" s="23">
        <f>J5+J6</f>
        <v>138.57237971118002</v>
      </c>
      <c r="K7" s="23">
        <f>K5+K6</f>
        <v>174.90897971118002</v>
      </c>
      <c r="L7" s="23">
        <f>L5+L6</f>
        <v>181.23297971118</v>
      </c>
      <c r="M7" s="23">
        <f>M5+M6</f>
        <v>187.55697971118002</v>
      </c>
      <c r="N7" s="23">
        <f>N5+N6</f>
        <v>193.88097971118003</v>
      </c>
      <c r="O7" s="23">
        <f>O5+O6</f>
        <v>198.62397971118003</v>
      </c>
      <c r="P7" s="23">
        <f>P5+P6</f>
        <v>198.62397971118003</v>
      </c>
      <c r="Q7" s="23">
        <f>Q5+Q6</f>
        <v>198.62397971118003</v>
      </c>
      <c r="R7" s="23">
        <f>R5+R6</f>
        <v>198.62397971118003</v>
      </c>
      <c r="S7" s="23">
        <f>S5+S6</f>
        <v>93.31197971118002</v>
      </c>
      <c r="T7" s="23">
        <f>T5+T6</f>
        <v>40.65597971118</v>
      </c>
      <c r="U7" s="23">
        <f>U5+U6</f>
        <v>14.32797971118</v>
      </c>
      <c r="V7" s="23">
        <f>V5+V6</f>
        <v>1.1639797111799979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9.035979711179998</v>
      </c>
      <c r="H8" s="23">
        <f>MIN(G17,MAX(0,H7))</f>
        <v>51.160779711180005</v>
      </c>
      <c r="I8" s="23">
        <f>MIN(H17,MAX(0,I7))</f>
        <v>93.28557971118002</v>
      </c>
      <c r="J8" s="23">
        <f>MIN(I17,MAX(0,J7))</f>
        <v>138.57237971118002</v>
      </c>
      <c r="K8" s="23">
        <f>MIN(J17,MAX(0,K7))</f>
        <v>174.90897971118002</v>
      </c>
      <c r="L8" s="23">
        <f>MIN(K17,MAX(0,L7))</f>
        <v>181.23297971118</v>
      </c>
      <c r="M8" s="23">
        <f>MIN(L17,MAX(0,M7))</f>
        <v>187.55697971118002</v>
      </c>
      <c r="N8" s="23">
        <f>MIN(M17,MAX(0,N7))</f>
        <v>193.88097971118003</v>
      </c>
      <c r="O8" s="23">
        <f>MIN(N17,MAX(0,O7))</f>
        <v>198.62397971118003</v>
      </c>
      <c r="P8" s="23">
        <f>MIN(O17,MAX(0,P7))</f>
        <v>198.62397971118003</v>
      </c>
      <c r="Q8" s="23">
        <f>MIN(P17,MAX(0,Q7))</f>
        <v>198.62397971118003</v>
      </c>
      <c r="R8" s="23">
        <f>MIN(Q17,MAX(0,R7))</f>
        <v>198.62397971118003</v>
      </c>
      <c r="S8" s="23">
        <f>MIN(R17,MAX(0,S7))</f>
        <v>93.31197971118002</v>
      </c>
      <c r="T8" s="23">
        <f>MIN(S17,MAX(0,T7))</f>
        <v>40.65597971118</v>
      </c>
      <c r="U8" s="23">
        <f>MIN(T17,MAX(0,U7))</f>
        <v>14.32797971118</v>
      </c>
      <c r="V8" s="23">
        <f>MIN(U17,MAX(0,V7))</f>
        <v>1.1639797111799979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-310.435</v>
      </c>
      <c r="D11" s="55">
        <f>D7-D10</f>
        <v>-310.435</v>
      </c>
      <c r="E11" s="55">
        <f>E7-E10</f>
        <v>-310.435</v>
      </c>
      <c r="F11" s="55">
        <f>F7-F10</f>
        <v>-22.557620288820004</v>
      </c>
      <c r="G11" s="55">
        <f>G7-G10</f>
        <v>9.035979711179998</v>
      </c>
      <c r="H11" s="55">
        <f>H7-H10</f>
        <v>51.160779711180005</v>
      </c>
      <c r="I11" s="55">
        <f>I7-I10</f>
        <v>93.28557971118002</v>
      </c>
      <c r="J11" s="55">
        <f>J7-J10</f>
        <v>138.57237971118002</v>
      </c>
      <c r="K11" s="55">
        <f>K7-K10</f>
        <v>174.90897971118002</v>
      </c>
      <c r="L11" s="55">
        <f>L7-L10</f>
        <v>181.23297971118</v>
      </c>
      <c r="M11" s="55">
        <f>M7-M10</f>
        <v>187.55697971118002</v>
      </c>
      <c r="N11" s="55">
        <f>N7-N10</f>
        <v>193.88097971118003</v>
      </c>
      <c r="O11" s="55">
        <f>O7-O10</f>
        <v>198.62397971118003</v>
      </c>
      <c r="P11" s="55">
        <f>P7-P10</f>
        <v>198.62397971118003</v>
      </c>
      <c r="Q11" s="55">
        <f>Q7-Q10</f>
        <v>198.62397971118003</v>
      </c>
      <c r="R11" s="55">
        <f>R7-R10</f>
        <v>198.62397971118003</v>
      </c>
      <c r="S11" s="55">
        <f>S7-S10</f>
        <v>93.31197971118002</v>
      </c>
      <c r="T11" s="55">
        <f>T7-T10</f>
        <v>40.65597971118</v>
      </c>
      <c r="U11" s="55">
        <f>U7-U10</f>
        <v>14.32797971118</v>
      </c>
      <c r="V11" s="55">
        <f>V7-V10</f>
        <v>1.1639797111799979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-152.08345658636637</v>
      </c>
      <c r="D16" s="55">
        <f>D11*D15</f>
        <v>-277.0453487724373</v>
      </c>
      <c r="E16" s="55">
        <f>E11*E15</f>
        <v>-247.36191854681894</v>
      </c>
      <c r="F16" s="55">
        <f>F11*F15</f>
        <v>-16.04860987834227</v>
      </c>
      <c r="G16" s="55">
        <f>G11*G15</f>
        <v>5.739860830232541</v>
      </c>
      <c r="H16" s="55">
        <f>H11*H15</f>
        <v>29.01651478061017</v>
      </c>
      <c r="I16" s="55">
        <f>I11*I15</f>
        <v>47.239423053519</v>
      </c>
      <c r="J16" s="55">
        <f>J11*J15</f>
        <v>62.653988439283864</v>
      </c>
      <c r="K16" s="55">
        <f>K11*K15</f>
        <v>70.60998694323405</v>
      </c>
      <c r="L16" s="55">
        <f>L11*L15</f>
        <v>65.32406961558736</v>
      </c>
      <c r="M16" s="55">
        <f>M11*M15</f>
        <v>60.3602750284452</v>
      </c>
      <c r="N16" s="55">
        <f>N11*N15</f>
        <v>55.71025705367497</v>
      </c>
      <c r="O16" s="55">
        <f>O11*O15</f>
        <v>50.95814537138795</v>
      </c>
      <c r="P16" s="55">
        <f>P11*P15</f>
        <v>45.49834408159637</v>
      </c>
      <c r="Q16" s="55">
        <f>Q11*Q15</f>
        <v>40.62352150142534</v>
      </c>
      <c r="R16" s="55">
        <f>R11*R15</f>
        <v>36.271001340558335</v>
      </c>
      <c r="S16" s="55">
        <f>S11*S15</f>
        <v>15.214134346592118</v>
      </c>
      <c r="T16" s="55">
        <f>T11*T15</f>
        <v>5.918562684945467</v>
      </c>
      <c r="U16" s="55">
        <f>U11*U15</f>
        <v>1.8623390763809997</v>
      </c>
      <c r="V16" s="55">
        <f>V11*V15</f>
        <v>0.13508315198289725</v>
      </c>
    </row>
    <row r="17">
      <c r="A17" s="14" t="inlineStr">
        <is>
          <t>Tax-loss carryforward, end of year</t>
        </is>
      </c>
      <c r="C17" s="23">
        <f>Assumptions!$B$21-C8+MAX(0,-C7)</f>
        <v>2048.735</v>
      </c>
      <c r="D17" s="23">
        <f>C17-D8+MAX(0,-D7)</f>
        <v>2359.17</v>
      </c>
      <c r="E17" s="23">
        <f>D17-E8+MAX(0,-E7)</f>
        <v>2669.605</v>
      </c>
      <c r="F17" s="23">
        <f>E17-F8+MAX(0,-F7)</f>
        <v>2692.16262028882</v>
      </c>
      <c r="G17" s="23">
        <f>F17-G8+MAX(0,-G7)</f>
        <v>2683.12664057764</v>
      </c>
      <c r="H17" s="23">
        <f>G17-H8+MAX(0,-H7)</f>
        <v>2631.96586086646</v>
      </c>
      <c r="I17" s="23">
        <f>H17-I8+MAX(0,-I7)</f>
        <v>2538.6802811552798</v>
      </c>
      <c r="J17" s="23">
        <f>I17-J8+MAX(0,-J7)</f>
        <v>2400.1079014440998</v>
      </c>
      <c r="K17" s="23">
        <f>J17-K8+MAX(0,-K7)</f>
        <v>2225.1989217329196</v>
      </c>
      <c r="L17" s="23">
        <f>K17-L8+MAX(0,-L7)</f>
        <v>2043.9659420217397</v>
      </c>
      <c r="M17" s="23">
        <f>L17-M8+MAX(0,-M7)</f>
        <v>1856.4089623105597</v>
      </c>
      <c r="N17" s="23">
        <f>M17-N8+MAX(0,-N7)</f>
        <v>1662.5279825993796</v>
      </c>
      <c r="O17" s="23">
        <f>N17-O8+MAX(0,-O7)</f>
        <v>1463.9040028881996</v>
      </c>
      <c r="P17" s="23">
        <f>O17-P8+MAX(0,-P7)</f>
        <v>1265.2800231770195</v>
      </c>
      <c r="Q17" s="23">
        <f>P17-Q8+MAX(0,-Q7)</f>
        <v>1066.6560434658395</v>
      </c>
      <c r="R17" s="23">
        <f>Q17-R8+MAX(0,-R7)</f>
        <v>868.0320637546595</v>
      </c>
      <c r="S17" s="23">
        <f>R17-S8+MAX(0,-S7)</f>
        <v>774.7200840434795</v>
      </c>
      <c r="T17" s="23">
        <f>S17-T8+MAX(0,-T7)</f>
        <v>734.0641043322995</v>
      </c>
      <c r="U17" s="23">
        <f>T17-U8+MAX(0,-U7)</f>
        <v>719.7361246211195</v>
      </c>
      <c r="V17" s="23">
        <f>U17-V8+MAX(0,-V7)</f>
        <v>718.5721449099395</v>
      </c>
    </row>
    <row r="19">
      <c r="A19" s="14" t="inlineStr">
        <is>
          <t>PV of risked pipeline contribution</t>
        </is>
      </c>
      <c r="B19" s="23">
        <f>SUMPRODUCT(C5:V5,C15:V15)</f>
        <v>824.5471651259886</v>
      </c>
    </row>
    <row r="20">
      <c r="A20" s="14" t="inlineStr">
        <is>
          <t>PV of corporate burn</t>
        </is>
      </c>
      <c r="B20" s="23">
        <f>SUMPRODUCT(C6:V6,C15:V15)</f>
        <v>-923.9509916104969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-99.40382648450823</v>
      </c>
    </row>
    <row r="23">
      <c r="A23" s="14" t="inlineStr">
        <is>
          <t>Cash &amp; investments</t>
        </is>
      </c>
      <c r="B23" s="57">
        <f>Main!C7</f>
        <v>121.189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21.785173515491763</v>
      </c>
    </row>
    <row r="26">
      <c r="A26" s="14" t="inlineStr">
        <is>
          <t>Shares (mm)</t>
        </is>
      </c>
      <c r="B26" s="57">
        <f>Main!C4</f>
        <v>219.141631</v>
      </c>
    </row>
    <row r="27">
      <c r="A27" s="24" t="inlineStr">
        <is>
          <t>rNPV / share</t>
        </is>
      </c>
      <c r="B27" s="60">
        <f>B25/B26</f>
        <v>0.09941138712932078</v>
      </c>
    </row>
    <row r="28">
      <c r="A28" s="14" t="inlineStr">
        <is>
          <t>Price</t>
        </is>
      </c>
      <c r="B28" s="61">
        <f>Main!C3</f>
        <v>18.45</v>
      </c>
    </row>
    <row r="29">
      <c r="A29" s="14" t="inlineStr">
        <is>
          <t>Upside</t>
        </is>
      </c>
      <c r="B29" s="62">
        <f>B27/B28-1</f>
        <v>-0.9946118489360801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2026-10-21T06:22:04Z</dcterms:modified>
  <cp:lastModifiedBy>Wang, Eric</cp:lastModifiedBy>
</cp:coreProperties>
</file>