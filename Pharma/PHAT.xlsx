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Phathom Pharmaceuticals, Inc.</t>
        </is>
      </c>
      <c r="C2" s="10" t="n"/>
    </row>
    <row r="3">
      <c r="B3" t="inlineStr">
        <is>
          <t>Price</t>
        </is>
      </c>
      <c r="C3" s="11">
        <f>INDEX([1]Pharma!$F$1:$F$1000,MATCH("PHAT",[1]Pharma!$B$1:$B$1000,0))</f>
        <v>7.31</v>
      </c>
      <c r="F3" s="1" t="n"/>
    </row>
    <row r="4">
      <c r="B4" t="inlineStr">
        <is>
          <t>Shares</t>
        </is>
      </c>
      <c r="C4" s="21" t="n">
        <v>80.90093400000001</v>
      </c>
      <c r="F4" s="1" t="n"/>
    </row>
    <row r="5">
      <c r="B5" t="inlineStr">
        <is>
          <t>Market Cap.</t>
        </is>
      </c>
      <c r="C5" s="13">
        <f>C3*C4</f>
        <v>591.38582754</v>
      </c>
      <c r="F5" s="1" t="n"/>
    </row>
    <row r="6"/>
    <row r="7">
      <c r="B7" t="inlineStr">
        <is>
          <t>Cash</t>
        </is>
      </c>
      <c r="C7" s="21" t="n">
        <v>182.478</v>
      </c>
    </row>
    <row r="8">
      <c r="B8" t="inlineStr">
        <is>
          <t>Debt</t>
        </is>
      </c>
      <c r="C8" s="21" t="n">
        <v>164.587</v>
      </c>
    </row>
    <row r="9">
      <c r="B9" t="inlineStr">
        <is>
          <t>Enterprise V.</t>
        </is>
      </c>
      <c r="C9" s="13">
        <f>C5-C7+C8</f>
        <v>573.49482754</v>
      </c>
    </row>
    <row r="10"/>
    <row r="11">
      <c r="B11" s="14" t="inlineStr">
        <is>
          <t>Net Cash / Share</t>
        </is>
      </c>
      <c r="C11" s="11">
        <f>(C7-C8)/C4</f>
        <v>0.22114701419887214</v>
      </c>
    </row>
    <row r="12">
      <c r="B12" s="14" t="inlineStr">
        <is>
          <t>Upside</t>
        </is>
      </c>
      <c r="C12" s="15">
        <f>IFERROR(C11/C3-1,"")</f>
        <v>-0.9697473304789505</v>
      </c>
    </row>
    <row r="13">
      <c r="B13" s="14" t="inlineStr">
        <is>
          <t>Cash / Share</t>
        </is>
      </c>
      <c r="C13" s="11">
        <f>IFERROR((C7-C8)/C4,"")</f>
        <v>0.22114701419887214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-36.693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0.4875861881012733</v>
      </c>
    </row>
    <row r="19">
      <c r="B19" s="14" t="inlineStr">
        <is>
          <t>Implied Pipeline Value</t>
        </is>
      </c>
      <c r="C19" s="13">
        <f>C9</f>
        <v>573.49482754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0.6820000000000001</v>
      </c>
      <c r="H2" s="23" t="n">
        <v>55.252</v>
      </c>
      <c r="I2" s="23" t="n">
        <v>175.11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0.167</v>
      </c>
      <c r="H3" s="23" t="n">
        <v>7.973</v>
      </c>
      <c r="I3" s="23" t="n">
        <v>22.599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0.515</v>
      </c>
      <c r="H4" s="23">
        <f>H2-H3</f>
        <v>47.279</v>
      </c>
      <c r="I4" s="23">
        <f>I2-I3</f>
        <v>152.51100000000002</v>
      </c>
      <c r="J4" s="1" t="n"/>
      <c r="K4" s="1" t="n"/>
    </row>
    <row r="5">
      <c r="A5" s="2" t="inlineStr">
        <is>
          <t>Research &amp; Dev.</t>
        </is>
      </c>
      <c r="B5" s="23" t="n">
        <v>0.02</v>
      </c>
      <c r="C5" s="23" t="n">
        <v>20.374</v>
      </c>
      <c r="D5" s="23" t="n">
        <v>98.148</v>
      </c>
      <c r="E5" s="23" t="n">
        <v>72.33799999999999</v>
      </c>
      <c r="F5" s="23" t="n">
        <v>71.441</v>
      </c>
      <c r="G5" s="23" t="n">
        <v>49.899</v>
      </c>
      <c r="H5" s="23" t="n">
        <v>34.082</v>
      </c>
      <c r="I5" s="23" t="n">
        <v>32.78</v>
      </c>
      <c r="J5" s="1" t="n"/>
      <c r="K5" s="1" t="n"/>
    </row>
    <row r="6">
      <c r="A6" s="19" t="inlineStr">
        <is>
          <t>SG&amp;A &amp; Other</t>
        </is>
      </c>
      <c r="B6" s="23" t="n">
        <v>1.205</v>
      </c>
      <c r="C6" s="23" t="n">
        <v>85.84099999999999</v>
      </c>
      <c r="D6" s="23" t="n">
        <v>27.517</v>
      </c>
      <c r="E6" s="23" t="n">
        <v>62.742</v>
      </c>
      <c r="F6" s="23" t="n">
        <v>100.999</v>
      </c>
      <c r="G6" s="23" t="n">
        <v>117.928</v>
      </c>
      <c r="H6" s="23" t="n">
        <v>290.664</v>
      </c>
      <c r="I6" s="23" t="n">
        <v>279.717</v>
      </c>
      <c r="J6" s="1" t="n"/>
      <c r="K6" s="1" t="n"/>
    </row>
    <row r="7">
      <c r="A7" s="2" t="inlineStr">
        <is>
          <t>Operating Expense</t>
        </is>
      </c>
      <c r="B7" s="23">
        <f>SUM(B5:B6)</f>
        <v>1.225</v>
      </c>
      <c r="C7" s="23">
        <f>SUM(C5:C6)</f>
        <v>106.21499999999999</v>
      </c>
      <c r="D7" s="23">
        <f>SUM(D5:D6)</f>
        <v>125.66499999999999</v>
      </c>
      <c r="E7" s="23">
        <f>SUM(E5:E6)</f>
        <v>135.07999999999998</v>
      </c>
      <c r="F7" s="23">
        <f>SUM(F5:F6)</f>
        <v>172.44</v>
      </c>
      <c r="G7" s="23">
        <f>SUM(G5:G6)</f>
        <v>167.827</v>
      </c>
      <c r="H7" s="23">
        <f>SUM(H5:H6)</f>
        <v>324.746</v>
      </c>
      <c r="I7" s="23">
        <f>SUM(I5:I6)</f>
        <v>312.49699999999996</v>
      </c>
      <c r="J7" s="1" t="n"/>
      <c r="K7" s="1" t="n"/>
    </row>
    <row r="8">
      <c r="A8" s="2" t="inlineStr">
        <is>
          <t>Operating Income</t>
        </is>
      </c>
      <c r="B8" s="23">
        <f>B4-B7</f>
        <v>-1.225</v>
      </c>
      <c r="C8" s="23">
        <f>C4-C7</f>
        <v>-106.21499999999999</v>
      </c>
      <c r="D8" s="23">
        <f>D4-D7</f>
        <v>-125.66499999999999</v>
      </c>
      <c r="E8" s="23">
        <f>E4-E7</f>
        <v>-135.07999999999998</v>
      </c>
      <c r="F8" s="23">
        <f>F4-F7</f>
        <v>-172.44</v>
      </c>
      <c r="G8" s="23">
        <f>G4-G7</f>
        <v>-167.312</v>
      </c>
      <c r="H8" s="23">
        <f>H4-H7</f>
        <v>-277.467</v>
      </c>
      <c r="I8" s="23">
        <f>I4-I7</f>
        <v>-159.98599999999993</v>
      </c>
      <c r="J8" s="1" t="n"/>
      <c r="K8" s="1" t="n"/>
    </row>
    <row r="9">
      <c r="A9" s="19" t="inlineStr">
        <is>
          <t>Interest &amp; Other</t>
        </is>
      </c>
      <c r="B9" s="23" t="n">
        <v>-0.063</v>
      </c>
      <c r="C9" s="23" t="n">
        <v>-148.916</v>
      </c>
      <c r="D9" s="23" t="n">
        <v>-3.403</v>
      </c>
      <c r="E9" s="23" t="n">
        <v>-8.803000000000001</v>
      </c>
      <c r="F9" s="23" t="n">
        <v>-25.283</v>
      </c>
      <c r="G9" s="23" t="n">
        <v>167.11</v>
      </c>
      <c r="H9" s="23" t="n">
        <v>277.133</v>
      </c>
      <c r="I9" s="23" t="n">
        <v>159.765</v>
      </c>
    </row>
    <row r="10">
      <c r="A10" s="2" t="inlineStr">
        <is>
          <t>Pretax</t>
        </is>
      </c>
      <c r="B10" s="23">
        <f>B8+B9</f>
        <v>-1.288</v>
      </c>
      <c r="C10" s="23">
        <f>C8+C9</f>
        <v>-255.13099999999997</v>
      </c>
      <c r="D10" s="23">
        <f>D8+D9</f>
        <v>-129.06799999999998</v>
      </c>
      <c r="E10" s="23">
        <f>E8+E9</f>
        <v>-143.88299999999998</v>
      </c>
      <c r="F10" s="23">
        <f>F8+F9</f>
        <v>-197.723</v>
      </c>
      <c r="G10" s="23">
        <f>G8+G9</f>
        <v>-0.20199999999999818</v>
      </c>
      <c r="H10" s="23">
        <f>H8+H9</f>
        <v>-0.3340000000000032</v>
      </c>
      <c r="I10" s="23">
        <f>I8+I9</f>
        <v>-0.2209999999999468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-1.288</v>
      </c>
      <c r="C12" s="23" t="n">
        <v>-255.131</v>
      </c>
      <c r="D12" s="23" t="n">
        <v>-129.068</v>
      </c>
      <c r="E12" s="23" t="n">
        <v>-143.883</v>
      </c>
      <c r="F12" s="23" t="n">
        <v>-197.723</v>
      </c>
      <c r="G12" s="23" t="n">
        <v>-0.202</v>
      </c>
      <c r="H12" s="23" t="n">
        <v>-0.334</v>
      </c>
      <c r="I12" s="23" t="n">
        <v>-0.221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-0.2128222075346993</v>
      </c>
      <c r="C13" s="11">
        <f>IFERROR(C12/C14,0)</f>
        <v>-22.444884314242984</v>
      </c>
      <c r="D13" s="11">
        <f>IFERROR(D12/D14,0)</f>
        <v>-3.8843144336102085</v>
      </c>
      <c r="E13" s="11">
        <f>IFERROR(E12/E14,0)</f>
        <v>-3.888414452882199</v>
      </c>
      <c r="F13" s="11">
        <f>IFERROR(F12/F14,0)</f>
        <v>-5.054527327572984</v>
      </c>
      <c r="G13" s="11">
        <f>IFERROR(G12/G14,0)</f>
        <v>-0.003938466337811227</v>
      </c>
      <c r="H13" s="11">
        <f>IFERROR(H12/H14,0)</f>
        <v>-0.005286817778903381</v>
      </c>
      <c r="I13" s="11">
        <f>IFERROR(I12/I14,0)</f>
        <v>-0.00303076015853207</v>
      </c>
    </row>
    <row r="14">
      <c r="A14" s="2" t="inlineStr">
        <is>
          <t>Shares</t>
        </is>
      </c>
      <c r="B14" s="23" t="n">
        <v>6.052</v>
      </c>
      <c r="C14" s="23" t="n">
        <v>11.367</v>
      </c>
      <c r="D14" s="23" t="n">
        <v>33.228</v>
      </c>
      <c r="E14" s="23" t="n">
        <v>37.003</v>
      </c>
      <c r="F14" s="23" t="n">
        <v>39.118</v>
      </c>
      <c r="G14" s="23" t="n">
        <v>51.289</v>
      </c>
      <c r="H14" s="23" t="n">
        <v>63.176</v>
      </c>
      <c r="I14" s="23" t="n">
        <v>72.919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80.01466275659824</v>
      </c>
      <c r="I16" s="15">
        <f>IFERROR(I2/H2-1,"")</f>
        <v>2.169297039021212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0.7551319648093842</v>
      </c>
      <c r="H17" s="15">
        <f>IFERROR(H4/H2,"")</f>
        <v>0.8556975313110838</v>
      </c>
      <c r="I17" s="15">
        <f>IFERROR(I4/I2,"")</f>
        <v>0.8709439780709269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-245.32551319648093</v>
      </c>
      <c r="H18" s="15">
        <f>IFERROR(H8/H2,"")</f>
        <v>-5.02184536306378</v>
      </c>
      <c r="I18" s="15">
        <f>IFERROR(I8/I2,"")</f>
        <v>-0.9136314316715203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2026-10-21T01:05:05Z</dcterms:modified>
  <cp:lastModifiedBy>Wang, Eric</cp:lastModifiedBy>
</cp:coreProperties>
</file>