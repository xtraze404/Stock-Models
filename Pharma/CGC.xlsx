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Canopy Growth Corporation</t>
        </is>
      </c>
      <c r="C2" s="10" t="n"/>
    </row>
    <row r="3">
      <c r="B3" t="inlineStr">
        <is>
          <t>Price</t>
        </is>
      </c>
      <c r="C3" s="11">
        <f>INDEX([1]Pharma!$F$1:$F$1000,MATCH("CGC",[1]Pharma!$B$1:$B$1000,0))</f>
        <v>0.72</v>
      </c>
      <c r="F3" s="1" t="n"/>
    </row>
    <row r="4">
      <c r="B4" t="inlineStr">
        <is>
          <t>Shares</t>
        </is>
      </c>
      <c r="C4" s="51" t="n">
        <v>423.037675</v>
      </c>
      <c r="F4" s="1" t="n"/>
    </row>
    <row r="5">
      <c r="B5" t="inlineStr">
        <is>
          <t>Market Cap.</t>
        </is>
      </c>
      <c r="C5" s="13">
        <f>C3*C4</f>
        <v>304.58712599999996</v>
      </c>
      <c r="F5" s="1" t="n"/>
    </row>
    <row r="6"/>
    <row r="7">
      <c r="B7" t="inlineStr">
        <is>
          <t>Cash</t>
        </is>
      </c>
      <c r="C7" s="51">
        <f>(336.625)/1.4161</f>
        <v>237.7127321516842</v>
      </c>
    </row>
    <row r="8">
      <c r="B8" t="inlineStr">
        <is>
          <t>Debt</t>
        </is>
      </c>
      <c r="C8" s="51">
        <f>(28.824+211.379)/1.4161</f>
        <v>169.6229079867241</v>
      </c>
    </row>
    <row r="9">
      <c r="B9" t="inlineStr">
        <is>
          <t>Enterprise V.</t>
        </is>
      </c>
      <c r="C9" s="13">
        <f>C5-C7+C8</f>
        <v>236.49730183503985</v>
      </c>
    </row>
    <row r="10"/>
    <row r="11">
      <c r="B11" s="14" t="inlineStr">
        <is>
          <t>NPV / Share</t>
        </is>
      </c>
      <c r="C11" s="11">
        <f>NPV!B28</f>
        <v>0.05682294859749763</v>
      </c>
    </row>
    <row r="12">
      <c r="B12" s="14" t="inlineStr">
        <is>
          <t>Upside</t>
        </is>
      </c>
      <c r="C12" s="15">
        <f>IFERROR(C11/C3-1,"")</f>
        <v>-0.921079238059031</v>
      </c>
    </row>
    <row r="13">
      <c r="B13" s="14" t="inlineStr">
        <is>
          <t>Cash / Share</t>
        </is>
      </c>
      <c r="C13" s="11">
        <f>IFERROR((C7-C8)/C4,"")</f>
        <v>0.16095451584769632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16" t="n">
        <v>2036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28.172</v>
      </c>
      <c r="C2" s="52" t="n">
        <v>55.044</v>
      </c>
      <c r="D2" s="52" t="n">
        <v>178.964</v>
      </c>
      <c r="E2" s="52" t="n">
        <v>310.448</v>
      </c>
      <c r="F2" s="52" t="n">
        <v>428.782</v>
      </c>
      <c r="G2" s="52" t="n">
        <v>379.629</v>
      </c>
      <c r="H2" s="52" t="n">
        <v>269.225</v>
      </c>
      <c r="I2" s="52" t="n">
        <v>242.874</v>
      </c>
      <c r="J2" s="52" t="n">
        <v>221.714</v>
      </c>
      <c r="K2" s="52" t="n">
        <v>244.917</v>
      </c>
      <c r="L2" s="52">
        <f>K2*(1+NPV!C5)</f>
        <v>270.5598099</v>
      </c>
      <c r="M2" s="52">
        <f>L2*(1+NPV!D5)</f>
        <v>296.49146456886</v>
      </c>
      <c r="N2" s="52">
        <f>M2*(1+NPV!E5)</f>
        <v>322.28292763674455</v>
      </c>
      <c r="O2" s="52">
        <f>N2*(1+NPV!F5)</f>
        <v>347.46396704942885</v>
      </c>
      <c r="P2" s="52">
        <f>O2*(1+NPV!G5)</f>
        <v>371.53549854446425</v>
      </c>
      <c r="Q2" s="52">
        <f>P2*(1+NPV!H5)</f>
        <v>393.984499000962</v>
      </c>
      <c r="R2" s="52">
        <f>Q2*(1+NPV!I5)</f>
        <v>414.3009663327783</v>
      </c>
      <c r="S2" s="52">
        <f>R2*(1+NPV!J5)</f>
        <v>431.9962209392583</v>
      </c>
      <c r="T2" s="52">
        <f>S2*(1+NPV!K5)</f>
        <v>446.6216929970574</v>
      </c>
      <c r="U2" s="52">
        <f>T2*(1+NPV!L5)</f>
        <v>457.78723532198376</v>
      </c>
    </row>
    <row r="3" customFormat="1" s="1">
      <c r="A3" s="5" t="inlineStr">
        <is>
          <t>Cost of Sales</t>
        </is>
      </c>
      <c r="B3" s="52" t="n">
        <v>0</v>
      </c>
      <c r="C3" s="52" t="n">
        <v>31.748</v>
      </c>
      <c r="D3" s="52" t="n">
        <v>139.888</v>
      </c>
      <c r="E3" s="52" t="n">
        <v>303.973</v>
      </c>
      <c r="F3" s="52" t="n">
        <v>338.739</v>
      </c>
      <c r="G3" s="52" t="n">
        <v>468.267</v>
      </c>
      <c r="H3" s="52" t="n">
        <v>280.193</v>
      </c>
      <c r="I3" s="52" t="n">
        <v>152.718</v>
      </c>
      <c r="J3" s="52" t="n">
        <v>133.807</v>
      </c>
      <c r="K3" s="52" t="n">
        <v>151.778</v>
      </c>
      <c r="L3" s="52">
        <f>L2*(1-Assumptions!$B$19)</f>
        <v>167.66591419502998</v>
      </c>
      <c r="M3" s="52">
        <f>M2*(1-Assumptions!$B$19)</f>
        <v>183.7357605933225</v>
      </c>
      <c r="N3" s="52">
        <f>N2*(1-Assumptions!$B$19)</f>
        <v>199.71873025649057</v>
      </c>
      <c r="O3" s="52">
        <f>O2*(1-Assumptions!$B$19)</f>
        <v>215.32342038053102</v>
      </c>
      <c r="P3" s="52">
        <f>P2*(1-Assumptions!$B$19)</f>
        <v>230.24054844800446</v>
      </c>
      <c r="Q3" s="52">
        <f>Q2*(1-Assumptions!$B$19)</f>
        <v>244.1521940308961</v>
      </c>
      <c r="R3" s="52">
        <f>R2*(1-Assumptions!$B$19)</f>
        <v>256.74230883642264</v>
      </c>
      <c r="S3" s="52">
        <f>S2*(1-Assumptions!$B$19)</f>
        <v>267.70805811605834</v>
      </c>
      <c r="T3" s="52">
        <f>T2*(1-Assumptions!$B$19)</f>
        <v>276.7714631502764</v>
      </c>
      <c r="U3" s="52">
        <f>U2*(1-Assumptions!$B$19)</f>
        <v>283.6907497290333</v>
      </c>
    </row>
    <row r="4" customFormat="1" s="1">
      <c r="A4" s="5" t="inlineStr">
        <is>
          <t>Gross Margin</t>
        </is>
      </c>
      <c r="B4" s="52">
        <f>B2-B3</f>
        <v>28.172</v>
      </c>
      <c r="C4" s="52">
        <f>C2-C3</f>
        <v>23.295999999999996</v>
      </c>
      <c r="D4" s="52">
        <f>D2-D3</f>
        <v>39.07599999999999</v>
      </c>
      <c r="E4" s="52">
        <f>E2-E3</f>
        <v>6.474999999999966</v>
      </c>
      <c r="F4" s="52">
        <f>F2-F3</f>
        <v>90.043</v>
      </c>
      <c r="G4" s="52">
        <f>G2-G3</f>
        <v>-88.63799999999998</v>
      </c>
      <c r="H4" s="52">
        <f>H2-H3</f>
        <v>-10.967999999999961</v>
      </c>
      <c r="I4" s="52">
        <f>I2-I3</f>
        <v>90.156</v>
      </c>
      <c r="J4" s="52">
        <f>J2-J3</f>
        <v>87.90700000000001</v>
      </c>
      <c r="K4" s="52">
        <f>K2-K3</f>
        <v>93.13900000000001</v>
      </c>
      <c r="L4" s="52">
        <f>L2-L3</f>
        <v>102.89389570497002</v>
      </c>
      <c r="M4" s="52">
        <f>M2-M3</f>
        <v>112.7557039755375</v>
      </c>
      <c r="N4" s="52">
        <f>N2-N3</f>
        <v>122.56419738025397</v>
      </c>
      <c r="O4" s="52">
        <f>O2-O3</f>
        <v>132.14054666889783</v>
      </c>
      <c r="P4" s="52">
        <f>P2-P3</f>
        <v>141.2949500964598</v>
      </c>
      <c r="Q4" s="52">
        <f>Q2-Q3</f>
        <v>149.83230497006588</v>
      </c>
      <c r="R4" s="52">
        <f>R2-R3</f>
        <v>157.55865749635564</v>
      </c>
      <c r="S4" s="52">
        <f>S2-S3</f>
        <v>164.28816282319997</v>
      </c>
      <c r="T4" s="52">
        <f>T2-T3</f>
        <v>169.85022984678096</v>
      </c>
      <c r="U4" s="52">
        <f>U2-U3</f>
        <v>174.09648559295044</v>
      </c>
    </row>
    <row r="5">
      <c r="A5" s="2" t="inlineStr">
        <is>
          <t>Research &amp; Dev.</t>
        </is>
      </c>
      <c r="B5" s="52" t="n">
        <v>0.572</v>
      </c>
      <c r="C5" s="52" t="n">
        <v>1.45</v>
      </c>
      <c r="D5" s="52" t="n">
        <v>10.761</v>
      </c>
      <c r="E5" s="52" t="n">
        <v>43.649</v>
      </c>
      <c r="F5" s="52" t="n">
        <v>40.662</v>
      </c>
      <c r="G5" s="52" t="n">
        <v>22.782</v>
      </c>
      <c r="H5" s="52" t="n">
        <v>15.336</v>
      </c>
      <c r="I5" s="52" t="n">
        <v>3.256</v>
      </c>
      <c r="J5" s="52" t="n">
        <v>1.936</v>
      </c>
      <c r="K5" s="52" t="n">
        <v>1.846</v>
      </c>
      <c r="L5" s="52">
        <f>L7*Assumptions!$B$20</f>
        <v>1.8419619867656636</v>
      </c>
      <c r="M5" s="52">
        <f>M7*Assumptions!$B$20</f>
        <v>1.847089048783305</v>
      </c>
      <c r="N5" s="52">
        <f>N7*Assumptions!$B$20</f>
        <v>1.8214393319001814</v>
      </c>
      <c r="O5" s="52">
        <f>O7*Assumptions!$B$20</f>
        <v>1.7628702506001572</v>
      </c>
      <c r="P5" s="52">
        <f>P7*Assumptions!$B$20</f>
        <v>1.6701969648017996</v>
      </c>
      <c r="Q5" s="52">
        <f>Q7*Assumptions!$B$20</f>
        <v>1.5433342027735226</v>
      </c>
      <c r="R5" s="52">
        <f>R7*Assumptions!$B$20</f>
        <v>1.383393185283713</v>
      </c>
      <c r="S5" s="52">
        <f>S7*Assumptions!$B$20</f>
        <v>1.1927234221720135</v>
      </c>
      <c r="T5" s="52">
        <f>T7*Assumptions!$B$20</f>
        <v>0.9748920841776794</v>
      </c>
      <c r="U5" s="52">
        <f>U7*Assumptions!$B$20</f>
        <v>0.7345974429041281</v>
      </c>
    </row>
    <row r="6">
      <c r="A6" s="18" t="inlineStr">
        <is>
          <t>SG&amp;A &amp; Other</t>
        </is>
      </c>
      <c r="B6" s="52" t="n">
        <v>37.545</v>
      </c>
      <c r="C6" s="52" t="n">
        <v>106.301</v>
      </c>
      <c r="D6" s="52" t="n">
        <v>478.461</v>
      </c>
      <c r="E6" s="52" t="n">
        <v>1141.389</v>
      </c>
      <c r="F6" s="52" t="n">
        <v>927.465</v>
      </c>
      <c r="G6" s="52" t="n">
        <v>608.02</v>
      </c>
      <c r="H6" s="52" t="n">
        <v>1831.272</v>
      </c>
      <c r="I6" s="52" t="n">
        <v>248.41</v>
      </c>
      <c r="J6" s="52" t="n">
        <v>168.693</v>
      </c>
      <c r="K6" s="52" t="n">
        <v>205.451</v>
      </c>
      <c r="L6" s="52">
        <f>L7-L5</f>
        <v>205.12005899814037</v>
      </c>
      <c r="M6" s="52">
        <f>M7-M5</f>
        <v>205.69100632012734</v>
      </c>
      <c r="N6" s="52">
        <f>N7-N5</f>
        <v>202.83466537598537</v>
      </c>
      <c r="O6" s="52">
        <f>O7-O5</f>
        <v>196.3124388055973</v>
      </c>
      <c r="P6" s="52">
        <f>P7-P5</f>
        <v>185.99238335000715</v>
      </c>
      <c r="Q6" s="52">
        <f>Q7-Q5</f>
        <v>171.8650031875099</v>
      </c>
      <c r="R6" s="52">
        <f>R7-R5</f>
        <v>154.05404336344807</v>
      </c>
      <c r="S6" s="52">
        <f>S7-S5</f>
        <v>132.82114423760478</v>
      </c>
      <c r="T6" s="52">
        <f>T7-T5</f>
        <v>108.56354434028067</v>
      </c>
      <c r="U6" s="52">
        <f>U7-U5</f>
        <v>81.80444108564959</v>
      </c>
    </row>
    <row r="7">
      <c r="A7" s="2" t="inlineStr">
        <is>
          <t>Operating Expense</t>
        </is>
      </c>
      <c r="B7" s="52">
        <f>SUM(B5:B6)</f>
        <v>38.117000000000004</v>
      </c>
      <c r="C7" s="52">
        <f>SUM(C5:C6)</f>
        <v>107.751</v>
      </c>
      <c r="D7" s="52">
        <f>SUM(D5:D6)</f>
        <v>489.22200000000004</v>
      </c>
      <c r="E7" s="52">
        <f>SUM(E5:E6)</f>
        <v>1185.038</v>
      </c>
      <c r="F7" s="52">
        <f>SUM(F5:F6)</f>
        <v>968.1270000000001</v>
      </c>
      <c r="G7" s="52">
        <f>SUM(G5:G6)</f>
        <v>630.802</v>
      </c>
      <c r="H7" s="52">
        <f>SUM(H5:H6)</f>
        <v>1846.608</v>
      </c>
      <c r="I7" s="52">
        <f>SUM(I5:I6)</f>
        <v>251.666</v>
      </c>
      <c r="J7" s="52">
        <f>SUM(J5:J6)</f>
        <v>170.62900000000002</v>
      </c>
      <c r="K7" s="52">
        <f>SUM(K5:K6)</f>
        <v>207.297</v>
      </c>
      <c r="L7" s="52">
        <f>L4-L2*NPV!C6</f>
        <v>206.96202098490602</v>
      </c>
      <c r="M7" s="52">
        <f>M4-M2*NPV!D6</f>
        <v>207.53809536891066</v>
      </c>
      <c r="N7" s="52">
        <f>N4-N2*NPV!E6</f>
        <v>204.65610470788556</v>
      </c>
      <c r="O7" s="52">
        <f>O4-O2*NPV!F6</f>
        <v>198.07530905619745</v>
      </c>
      <c r="P7" s="52">
        <f>P4-P2*NPV!G6</f>
        <v>187.66258031480893</v>
      </c>
      <c r="Q7" s="52">
        <f>Q4-Q2*NPV!H6</f>
        <v>173.40833739028344</v>
      </c>
      <c r="R7" s="52">
        <f>R4-R2*NPV!I6</f>
        <v>155.4374365487318</v>
      </c>
      <c r="S7" s="52">
        <f>S4-S2*NPV!J6</f>
        <v>134.0138676597768</v>
      </c>
      <c r="T7" s="52">
        <f>T4-T2*NPV!K6</f>
        <v>109.53843642445835</v>
      </c>
      <c r="U7" s="52">
        <f>U4-U2*NPV!L6</f>
        <v>82.53903852855372</v>
      </c>
    </row>
    <row r="8">
      <c r="A8" s="2" t="inlineStr">
        <is>
          <t>Operating Income</t>
        </is>
      </c>
      <c r="B8" s="52">
        <f>B4-B7</f>
        <v>-9.945000000000004</v>
      </c>
      <c r="C8" s="52">
        <f>C4-C7</f>
        <v>-84.45500000000001</v>
      </c>
      <c r="D8" s="52">
        <f>D4-D7</f>
        <v>-450.1460000000001</v>
      </c>
      <c r="E8" s="52">
        <f>E4-E7</f>
        <v>-1178.563</v>
      </c>
      <c r="F8" s="52">
        <f>F4-F7</f>
        <v>-878.0840000000001</v>
      </c>
      <c r="G8" s="52">
        <f>G4-G7</f>
        <v>-719.44</v>
      </c>
      <c r="H8" s="52">
        <f>H4-H7</f>
        <v>-1857.576</v>
      </c>
      <c r="I8" s="52">
        <f>I4-I7</f>
        <v>-161.51</v>
      </c>
      <c r="J8" s="52">
        <f>J4-J7</f>
        <v>-82.72200000000001</v>
      </c>
      <c r="K8" s="52">
        <f>K4-K7</f>
        <v>-114.15799999999999</v>
      </c>
      <c r="L8" s="52">
        <f>L4-L7</f>
        <v>-104.068125279936</v>
      </c>
      <c r="M8" s="52">
        <f>M4-M7</f>
        <v>-94.78239139337316</v>
      </c>
      <c r="N8" s="52">
        <f>N4-N7</f>
        <v>-82.09190732763159</v>
      </c>
      <c r="O8" s="52">
        <f>O4-O7</f>
        <v>-65.93476238729963</v>
      </c>
      <c r="P8" s="52">
        <f>P4-P7</f>
        <v>-46.36763021834915</v>
      </c>
      <c r="Q8" s="52">
        <f>Q4-Q7</f>
        <v>-23.576032420217558</v>
      </c>
      <c r="R8" s="52">
        <f>R4-R7</f>
        <v>2.12122094762384</v>
      </c>
      <c r="S8" s="52">
        <f>S4-S7</f>
        <v>30.274295163423176</v>
      </c>
      <c r="T8" s="52">
        <f>T4-T7</f>
        <v>60.31179342232261</v>
      </c>
      <c r="U8" s="52">
        <f>U4-U7</f>
        <v>91.55744706439673</v>
      </c>
    </row>
    <row r="9">
      <c r="A9" s="18" t="inlineStr">
        <is>
          <t>Interest &amp; Other</t>
        </is>
      </c>
      <c r="B9" s="52" t="n">
        <v>2.689</v>
      </c>
      <c r="C9" s="52" t="n">
        <v>36.665</v>
      </c>
      <c r="D9" s="52" t="n">
        <v>-66.886</v>
      </c>
      <c r="E9" s="52" t="n">
        <v>159.609</v>
      </c>
      <c r="F9" s="52" t="n">
        <v>-363.396</v>
      </c>
      <c r="G9" s="52" t="n">
        <v>465.121</v>
      </c>
      <c r="H9" s="52" t="n">
        <v>-569.468</v>
      </c>
      <c r="I9" s="52" t="n">
        <v>-355.785</v>
      </c>
      <c r="J9" s="52" t="n">
        <v>-266.235</v>
      </c>
      <c r="K9" s="52" t="n">
        <v>-74.82599999999999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-7.256000000000004</v>
      </c>
      <c r="C10" s="52">
        <f>C8+C9</f>
        <v>-47.79000000000001</v>
      </c>
      <c r="D10" s="52">
        <f>D8+D9</f>
        <v>-517.032</v>
      </c>
      <c r="E10" s="52">
        <f>E8+E9</f>
        <v>-1018.9540000000001</v>
      </c>
      <c r="F10" s="52">
        <f>F8+F9</f>
        <v>-1241.48</v>
      </c>
      <c r="G10" s="52">
        <f>G8+G9</f>
        <v>-254.31900000000007</v>
      </c>
      <c r="H10" s="52">
        <f>H8+H9</f>
        <v>-2427.044</v>
      </c>
      <c r="I10" s="52">
        <f>I8+I9</f>
        <v>-517.2950000000001</v>
      </c>
      <c r="J10" s="52">
        <f>J8+J9</f>
        <v>-348.957</v>
      </c>
      <c r="K10" s="52">
        <f>K8+K9</f>
        <v>-188.98399999999998</v>
      </c>
      <c r="L10" s="52">
        <f>L8+L9</f>
        <v>-104.068125279936</v>
      </c>
      <c r="M10" s="52">
        <f>M8+M9</f>
        <v>-94.78239139337316</v>
      </c>
      <c r="N10" s="52">
        <f>N8+N9</f>
        <v>-82.09190732763159</v>
      </c>
      <c r="O10" s="52">
        <f>O8+O9</f>
        <v>-65.93476238729963</v>
      </c>
      <c r="P10" s="52">
        <f>P8+P9</f>
        <v>-46.36763021834915</v>
      </c>
      <c r="Q10" s="52">
        <f>Q8+Q9</f>
        <v>-23.576032420217558</v>
      </c>
      <c r="R10" s="52">
        <f>R8+R9</f>
        <v>2.12122094762384</v>
      </c>
      <c r="S10" s="52">
        <f>S8+S9</f>
        <v>30.274295163423176</v>
      </c>
      <c r="T10" s="52">
        <f>T8+T9</f>
        <v>60.31179342232261</v>
      </c>
      <c r="U10" s="52">
        <f>U8+U9</f>
        <v>91.55744706439673</v>
      </c>
    </row>
    <row r="11">
      <c r="A11" s="2" t="inlineStr">
        <is>
          <t>Taxes</t>
        </is>
      </c>
      <c r="B11" s="52" t="n">
        <v>-1.909</v>
      </c>
      <c r="C11" s="52" t="n">
        <v>-0.277</v>
      </c>
      <c r="D11" s="52" t="n">
        <v>2.904</v>
      </c>
      <c r="E11" s="52" t="n">
        <v>-85.88</v>
      </c>
      <c r="F11" s="52" t="n">
        <v>-9.279999999999999</v>
      </c>
      <c r="G11" s="52" t="n">
        <v>-6.319</v>
      </c>
      <c r="H11" s="52" t="n">
        <v>-4.045</v>
      </c>
      <c r="I11" s="52" t="n">
        <v>8.705</v>
      </c>
      <c r="J11" s="52" t="n">
        <v>5.043</v>
      </c>
      <c r="K11" s="52" t="n">
        <v>0.016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0.3606075610960528</v>
      </c>
      <c r="S11" s="52">
        <f>MAX(0,S10)*Assumptions!$E$14</f>
        <v>5.14663017778194</v>
      </c>
      <c r="T11" s="52">
        <f>MAX(0,T10)*Assumptions!$E$14</f>
        <v>10.253004881794844</v>
      </c>
      <c r="U11" s="52">
        <f>MAX(0,U10)*Assumptions!$E$14</f>
        <v>15.564766000947445</v>
      </c>
    </row>
    <row r="12">
      <c r="A12" s="2" t="inlineStr">
        <is>
          <t>Net Income</t>
        </is>
      </c>
      <c r="B12" s="52" t="n">
        <v>-5.347</v>
      </c>
      <c r="C12" s="52" t="n">
        <v>-47.513</v>
      </c>
      <c r="D12" s="52" t="n">
        <v>-519.936</v>
      </c>
      <c r="E12" s="52" t="n">
        <v>-933.074</v>
      </c>
      <c r="F12" s="52" t="n">
        <v>-1232.201</v>
      </c>
      <c r="G12" s="52" t="n">
        <v>-248</v>
      </c>
      <c r="H12" s="52" t="n">
        <v>-2423</v>
      </c>
      <c r="I12" s="52" t="n">
        <v>-526</v>
      </c>
      <c r="J12" s="52" t="n">
        <v>-354</v>
      </c>
      <c r="K12" s="52" t="n">
        <v>-189</v>
      </c>
      <c r="L12" s="52">
        <f>L10-L11</f>
        <v>-104.068125279936</v>
      </c>
      <c r="M12" s="52">
        <f>M10-M11</f>
        <v>-94.78239139337316</v>
      </c>
      <c r="N12" s="52">
        <f>N10-N11</f>
        <v>-82.09190732763159</v>
      </c>
      <c r="O12" s="52">
        <f>O10-O11</f>
        <v>-65.93476238729963</v>
      </c>
      <c r="P12" s="52">
        <f>P10-P11</f>
        <v>-46.36763021834915</v>
      </c>
      <c r="Q12" s="52">
        <f>Q10-Q11</f>
        <v>-23.576032420217558</v>
      </c>
      <c r="R12" s="52">
        <f>R10-R11</f>
        <v>1.760613386527787</v>
      </c>
      <c r="S12" s="52">
        <f>S10-S11</f>
        <v>25.127664985641236</v>
      </c>
      <c r="T12" s="52">
        <f>T10-T11</f>
        <v>50.058788540527765</v>
      </c>
      <c r="U12" s="52">
        <f>U10-U11</f>
        <v>75.99268106344928</v>
      </c>
    </row>
    <row r="13">
      <c r="A13" s="2" t="inlineStr">
        <is>
          <t>Earnings per Share</t>
        </is>
      </c>
      <c r="B13" s="11">
        <f>IFERROR(B12/B14,0)</f>
        <v>-0.0449365492898563</v>
      </c>
      <c r="C13" s="11">
        <f>IFERROR(C12/C14,0)</f>
        <v>-0.26797780058882587</v>
      </c>
      <c r="D13" s="11">
        <f>IFERROR(D12/D14,0)</f>
        <v>-1.9473477230081238</v>
      </c>
      <c r="E13" s="11">
        <f>IFERROR(E12/E14,0)</f>
        <v>-2.6809543785448713</v>
      </c>
      <c r="F13" s="11">
        <f>IFERROR(F12/F14,0)</f>
        <v>-3.3153806415506564</v>
      </c>
      <c r="G13" s="11">
        <f>IFERROR(G12/G14,0)</f>
        <v>-6.337524276806706</v>
      </c>
      <c r="H13" s="11">
        <f>IFERROR(H12/H14,0)</f>
        <v>-52.25135857845252</v>
      </c>
      <c r="I13" s="11">
        <f>IFERROR(I12/I14,0)</f>
        <v>-7.033213884580414</v>
      </c>
      <c r="J13" s="11">
        <f>IFERROR(J12/J14,0)</f>
        <v>-3.291369916507057</v>
      </c>
      <c r="K13" s="11">
        <f>IFERROR(K12/K14,0)</f>
        <v>-0.6341366849749868</v>
      </c>
      <c r="L13" s="11">
        <f>IFERROR(L12/L14,0)</f>
        <v>-0.2460020263678312</v>
      </c>
      <c r="M13" s="11">
        <f>IFERROR(M12/M14,0)</f>
        <v>-0.22405189181642785</v>
      </c>
      <c r="N13" s="11">
        <f>IFERROR(N12/N14,0)</f>
        <v>-0.1940534193027408</v>
      </c>
      <c r="O13" s="11">
        <f>IFERROR(O12/O14,0)</f>
        <v>-0.15586026087936408</v>
      </c>
      <c r="P13" s="11">
        <f>IFERROR(P12/P14,0)</f>
        <v>-0.10960638486477392</v>
      </c>
      <c r="Q13" s="11">
        <f>IFERROR(Q12/Q14,0)</f>
        <v>-0.05573033754078182</v>
      </c>
      <c r="R13" s="11">
        <f>IFERROR(R12/R14,0)</f>
        <v>0.004161835908652314</v>
      </c>
      <c r="S13" s="11">
        <f>IFERROR(S12/S14,0)</f>
        <v>0.05939817295384208</v>
      </c>
      <c r="T13" s="11">
        <f>IFERROR(T12/T14,0)</f>
        <v>0.11833175033530469</v>
      </c>
      <c r="U13" s="11">
        <f>IFERROR(U12/U14,0)</f>
        <v>0.17963572881174067</v>
      </c>
    </row>
    <row r="14">
      <c r="A14" s="2" t="inlineStr">
        <is>
          <t>Shares</t>
        </is>
      </c>
      <c r="B14" s="52" t="n">
        <v>118.99</v>
      </c>
      <c r="C14" s="52" t="n">
        <v>177.302</v>
      </c>
      <c r="D14" s="52" t="n">
        <v>266.997</v>
      </c>
      <c r="E14" s="52" t="n">
        <v>348.038</v>
      </c>
      <c r="F14" s="52" t="n">
        <v>371.662</v>
      </c>
      <c r="G14" s="52" t="n">
        <v>39.132</v>
      </c>
      <c r="H14" s="52" t="n">
        <v>46.372</v>
      </c>
      <c r="I14" s="52" t="n">
        <v>74.788</v>
      </c>
      <c r="J14" s="52" t="n">
        <v>107.554</v>
      </c>
      <c r="K14" s="52" t="n">
        <v>298.043</v>
      </c>
      <c r="L14" s="52">
        <f>Main!$C$4</f>
        <v>423.037675</v>
      </c>
      <c r="M14" s="52">
        <f>Main!$C$4</f>
        <v>423.037675</v>
      </c>
      <c r="N14" s="52">
        <f>Main!$C$4</f>
        <v>423.037675</v>
      </c>
      <c r="O14" s="52">
        <f>Main!$C$4</f>
        <v>423.037675</v>
      </c>
      <c r="P14" s="52">
        <f>Main!$C$4</f>
        <v>423.037675</v>
      </c>
      <c r="Q14" s="52">
        <f>Main!$C$4</f>
        <v>423.037675</v>
      </c>
      <c r="R14" s="52">
        <f>Main!$C$4</f>
        <v>423.037675</v>
      </c>
      <c r="S14" s="52">
        <f>Main!$C$4</f>
        <v>423.037675</v>
      </c>
      <c r="T14" s="52">
        <f>Main!$C$4</f>
        <v>423.037675</v>
      </c>
      <c r="U14" s="52">
        <f>Main!$C$4</f>
        <v>423.037675</v>
      </c>
    </row>
    <row r="15"/>
    <row r="16" customFormat="1" s="4">
      <c r="A16" s="3" t="inlineStr">
        <is>
          <t>Revenue Change</t>
        </is>
      </c>
      <c r="C16" s="15">
        <f>IFERROR(C2/B2-1,"")</f>
        <v>0.9538548913815135</v>
      </c>
      <c r="D16" s="15">
        <f>IFERROR(D2/C2-1,"")</f>
        <v>2.251289877189158</v>
      </c>
      <c r="E16" s="15">
        <f>IFERROR(E2/D2-1,"")</f>
        <v>0.7346952459712568</v>
      </c>
      <c r="F16" s="15">
        <f>IFERROR(F2/E2-1,"")</f>
        <v>0.3811717260217493</v>
      </c>
      <c r="G16" s="15">
        <f>IFERROR(G2/F2-1,"")</f>
        <v>-0.11463400982317351</v>
      </c>
      <c r="H16" s="15">
        <f>IFERROR(H2/G2-1,"")</f>
        <v>-0.29082077501982195</v>
      </c>
      <c r="I16" s="15">
        <f>IFERROR(I2/H2-1,"")</f>
        <v>-0.0978772402265764</v>
      </c>
      <c r="J16" s="15">
        <f>IFERROR(J2/I2-1,"")</f>
        <v>-0.08712336437823731</v>
      </c>
      <c r="K16" s="15">
        <f>IFERROR(K2/J2-1,"")</f>
        <v>0.10465284104747563</v>
      </c>
      <c r="L16" s="15">
        <f>IFERROR(L2/K2-1,"")</f>
        <v>0.10470000000000002</v>
      </c>
      <c r="M16" s="15">
        <f>IFERROR(M2/L2-1,"")</f>
        <v>0.0958444444444444</v>
      </c>
      <c r="N16" s="15">
        <f>IFERROR(N2/M2-1,"")</f>
        <v>0.086988888888889</v>
      </c>
      <c r="O16" s="15">
        <f>IFERROR(O2/N2-1,"")</f>
        <v>0.07813333333333339</v>
      </c>
      <c r="P16" s="15">
        <f>IFERROR(P2/O2-1,"")</f>
        <v>0.06927777777777777</v>
      </c>
      <c r="Q16" s="15">
        <f>IFERROR(Q2/P2-1,"")</f>
        <v>0.060422222222222155</v>
      </c>
      <c r="R16" s="15">
        <f>IFERROR(R2/Q2-1,"")</f>
        <v>0.05156666666666676</v>
      </c>
      <c r="S16" s="15">
        <f>IFERROR(S2/R2-1,"")</f>
        <v>0.042711111111111144</v>
      </c>
      <c r="T16" s="15">
        <f>IFERROR(T2/S2-1,"")</f>
        <v>0.03385555555555553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0.4232250563185814</v>
      </c>
      <c r="D17" s="15">
        <f>IFERROR(D4/D2,"")</f>
        <v>0.218345589057017</v>
      </c>
      <c r="E17" s="15">
        <f>IFERROR(E4/E2,"")</f>
        <v>0.020856955110034422</v>
      </c>
      <c r="F17" s="15">
        <f>IFERROR(F4/F2,"")</f>
        <v>0.2099971547313087</v>
      </c>
      <c r="G17" s="15">
        <f>IFERROR(G4/G2,"")</f>
        <v>-0.23348585065945957</v>
      </c>
      <c r="H17" s="15">
        <f>IFERROR(H4/H2,"")</f>
        <v>-0.040739158696257625</v>
      </c>
      <c r="I17" s="15">
        <f>IFERROR(I4/I2,"")</f>
        <v>0.3712048222535142</v>
      </c>
      <c r="J17" s="15">
        <f>IFERROR(J4/J2,"")</f>
        <v>0.3964882686704494</v>
      </c>
      <c r="K17" s="15">
        <f>IFERROR(K4/K2,"")</f>
        <v>0.38028801594009404</v>
      </c>
      <c r="L17" s="15">
        <f>IFERROR(L4/L2,"")</f>
        <v>0.3803000000000001</v>
      </c>
      <c r="M17" s="15">
        <f>IFERROR(M4/M2,"")</f>
        <v>0.38030000000000014</v>
      </c>
      <c r="N17" s="15">
        <f>IFERROR(N4/N2,"")</f>
        <v>0.3803000000000001</v>
      </c>
      <c r="O17" s="15">
        <f>IFERROR(O4/O2,"")</f>
        <v>0.3803000000000001</v>
      </c>
      <c r="P17" s="15">
        <f>IFERROR(P4/P2,"")</f>
        <v>0.3803000000000001</v>
      </c>
      <c r="Q17" s="15">
        <f>IFERROR(Q4/Q2,"")</f>
        <v>0.3803000000000001</v>
      </c>
      <c r="R17" s="15">
        <f>IFERROR(R4/R2,"")</f>
        <v>0.38030000000000014</v>
      </c>
      <c r="S17" s="15">
        <f>IFERROR(S4/S2,"")</f>
        <v>0.3803000000000001</v>
      </c>
      <c r="T17" s="15">
        <f>IFERROR(T4/T2,"")</f>
        <v>0.3803000000000001</v>
      </c>
      <c r="U17" s="15">
        <f>IFERROR(U4/U2,"")</f>
        <v>0.3803</v>
      </c>
    </row>
    <row r="18">
      <c r="A18" s="14" t="inlineStr">
        <is>
          <t>Operating Margin</t>
        </is>
      </c>
      <c r="B18" s="15">
        <f>IFERROR(B8/B2,"")</f>
        <v>-0.3530100809314214</v>
      </c>
      <c r="C18" s="15">
        <f>IFERROR(C8/C2,"")</f>
        <v>-1.5343180001453385</v>
      </c>
      <c r="D18" s="15">
        <f>IFERROR(D8/D2,"")</f>
        <v>-2.515287990880848</v>
      </c>
      <c r="E18" s="15">
        <f>IFERROR(E8/E2,"")</f>
        <v>-3.796329820130908</v>
      </c>
      <c r="F18" s="15">
        <f>IFERROR(F8/F2,"")</f>
        <v>-2.04785648651296</v>
      </c>
      <c r="G18" s="15">
        <f>IFERROR(G8/G2,"")</f>
        <v>-1.895113387017325</v>
      </c>
      <c r="H18" s="15">
        <f>IFERROR(H8/H2,"")</f>
        <v>-6.8997158510539505</v>
      </c>
      <c r="I18" s="15">
        <f>IFERROR(I8/I2,"")</f>
        <v>-0.6649950179928688</v>
      </c>
      <c r="J18" s="15">
        <f>IFERROR(J8/J2,"")</f>
        <v>-0.37310228492562497</v>
      </c>
      <c r="K18" s="15">
        <f>IFERROR(K8/K2,"")</f>
        <v>-0.4661089266976159</v>
      </c>
      <c r="L18" s="15">
        <f>IFERROR(L8/L2,"")</f>
        <v>-0.38464</v>
      </c>
      <c r="M18" s="15">
        <f>IFERROR(M8/M2,"")</f>
        <v>-0.31967999999999996</v>
      </c>
      <c r="N18" s="15">
        <f>IFERROR(N8/N2,"")</f>
        <v>-0.25472000000000006</v>
      </c>
      <c r="O18" s="15">
        <f>IFERROR(O8/O2,"")</f>
        <v>-0.18976000000000004</v>
      </c>
      <c r="P18" s="15">
        <f>IFERROR(P8/P2,"")</f>
        <v>-0.12480000000000002</v>
      </c>
      <c r="Q18" s="15">
        <f>IFERROR(Q8/Q2,"")</f>
        <v>-0.059839999999999983</v>
      </c>
      <c r="R18" s="15">
        <f>IFERROR(R8/R2,"")</f>
        <v>0.005120000000000037</v>
      </c>
      <c r="S18" s="15">
        <f>IFERROR(S8/S2,"")</f>
        <v>0.07007999999999989</v>
      </c>
      <c r="T18" s="15">
        <f>IFERROR(T8/T2,"")</f>
        <v>0.13503999999999997</v>
      </c>
      <c r="U18" s="15">
        <f>IFERROR(U8/U2,"")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Canopy Growth Corporation: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0.0547</v>
      </c>
      <c r="C12" s="53" t="n">
        <v>0.1047</v>
      </c>
      <c r="D12" s="53" t="n">
        <v>0.1547</v>
      </c>
      <c r="E12" s="54">
        <f>CHOOSE($B$4,B12,C12,D12)</f>
        <v>0.1047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-0.4496</v>
      </c>
    </row>
    <row r="19">
      <c r="A19" s="14" t="inlineStr">
        <is>
          <t>Gross margin (forecast)</t>
        </is>
      </c>
      <c r="B19" s="53" t="n">
        <v>0.3803</v>
      </c>
    </row>
    <row r="20">
      <c r="A20" s="14" t="inlineStr">
        <is>
          <t>R&amp;D share of operating expense (forecast)</t>
        </is>
      </c>
      <c r="B20" s="53" t="n">
        <v>0.0089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0.7507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(CAD)</t>
        </is>
      </c>
      <c r="B24" s="32" t="n">
        <v>1.4161</v>
      </c>
    </row>
    <row r="25">
      <c r="A25" s="14" t="inlineStr">
        <is>
          <t>Base revenue, FY2026</t>
        </is>
      </c>
      <c r="B25" s="55">
        <f>'Yearly Model'!K2</f>
        <v>244.917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-44.0515761036302</v>
      </c>
      <c r="C29" s="56">
        <f>NPV!B26</f>
        <v>24.03824806132991</v>
      </c>
      <c r="D29" s="35">
        <f>NPV!B28</f>
        <v>0.05682294859749763</v>
      </c>
      <c r="E29" s="57">
        <f>NPV!B30</f>
        <v>-0.921079238059031</v>
      </c>
    </row>
    <row r="30">
      <c r="A30" s="58" t="n">
        <v>1</v>
      </c>
      <c r="B30" s="59">
        <f t="dataTable" ref="B30:E32" r1="B4"/>
        <v>-174.35097025504396</v>
      </c>
      <c r="C30" s="59">
        <v>-106.26114609008386</v>
      </c>
      <c r="D30" s="39">
        <v>-0.25118601100973775</v>
      </c>
      <c r="E30" s="60">
        <v>-1.348869459735747</v>
      </c>
    </row>
    <row r="31">
      <c r="A31" s="58" t="n">
        <v>2</v>
      </c>
      <c r="B31" s="59">
        <v>-44.0515761036302</v>
      </c>
      <c r="C31" s="59">
        <v>24.03824806132991</v>
      </c>
      <c r="D31" s="39">
        <v>0.05682294859749763</v>
      </c>
      <c r="E31" s="60">
        <v>-0.921079238059031</v>
      </c>
    </row>
    <row r="32">
      <c r="A32" s="58" t="n">
        <v>3</v>
      </c>
      <c r="B32" s="59">
        <v>233.47492034646524</v>
      </c>
      <c r="C32" s="59">
        <v>301.5647445114253</v>
      </c>
      <c r="D32" s="39">
        <v>0.7128555264290003</v>
      </c>
      <c r="E32" s="60">
        <v>-0.009922879959721742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0.05682294859749763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0.20099913027379732</v>
      </c>
      <c r="C37" s="39">
        <v>0.2578154571329958</v>
      </c>
      <c r="D37" s="39">
        <v>0.3222145870098988</v>
      </c>
      <c r="E37" s="39">
        <v>0.3957186055368135</v>
      </c>
      <c r="F37" s="39">
        <v>0.48028454548323846</v>
      </c>
    </row>
    <row r="38">
      <c r="A38" s="62" t="n">
        <v>0.115</v>
      </c>
      <c r="B38" s="39">
        <v>0.08034523293744344</v>
      </c>
      <c r="C38" s="39">
        <v>0.123191415817202</v>
      </c>
      <c r="D38" s="39">
        <v>0.17120294491901794</v>
      </c>
      <c r="E38" s="39">
        <v>0.22529591893950082</v>
      </c>
      <c r="F38" s="39">
        <v>0.286615514748068</v>
      </c>
    </row>
    <row r="39">
      <c r="A39" s="62" t="n">
        <v>0.125</v>
      </c>
      <c r="B39" s="39">
        <v>-0.012701161987296644</v>
      </c>
      <c r="C39" s="39">
        <v>0.020241171828502217</v>
      </c>
      <c r="D39" s="39">
        <v>0.05682294859749763</v>
      </c>
      <c r="E39" s="39">
        <v>0.0976226487079107</v>
      </c>
      <c r="F39" s="39">
        <v>0.14334734815053934</v>
      </c>
    </row>
    <row r="40">
      <c r="A40" s="62" t="n">
        <v>0.135</v>
      </c>
      <c r="B40" s="39">
        <v>-0.08542680570390317</v>
      </c>
      <c r="C40" s="39">
        <v>-0.05970611046758749</v>
      </c>
      <c r="D40" s="39">
        <v>-0.03134940791112626</v>
      </c>
      <c r="E40" s="39">
        <v>2.312773385951763e-05</v>
      </c>
      <c r="F40" s="39">
        <v>0.03486732473580744</v>
      </c>
    </row>
    <row r="41">
      <c r="A41" s="62" t="n">
        <v>0.145</v>
      </c>
      <c r="B41" s="39">
        <v>-0.14284526042055692</v>
      </c>
      <c r="C41" s="39">
        <v>-0.12251369255905228</v>
      </c>
      <c r="D41" s="39">
        <v>-0.10022860099161546</v>
      </c>
      <c r="E41" s="39">
        <v>-0.07573238826976629</v>
      </c>
      <c r="F41" s="39">
        <v>-0.04872058929480063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Canopy Growth Corporation: free-cash-flow DCF ($mm)</t>
        </is>
      </c>
    </row>
    <row r="3">
      <c r="A3" s="20" t="inlineStr">
        <is>
          <t>Fiscal year</t>
        </is>
      </c>
      <c r="B3" s="43">
        <f>'Yearly Model'!K1</f>
        <v>2026</v>
      </c>
      <c r="C3" s="43">
        <f>'Yearly Model'!L1</f>
        <v>2027</v>
      </c>
      <c r="D3" s="43">
        <f>'Yearly Model'!M1</f>
        <v>2028</v>
      </c>
      <c r="E3" s="43">
        <f>'Yearly Model'!N1</f>
        <v>2029</v>
      </c>
      <c r="F3" s="43">
        <f>'Yearly Model'!O1</f>
        <v>2030</v>
      </c>
      <c r="G3" s="43">
        <f>'Yearly Model'!P1</f>
        <v>2031</v>
      </c>
      <c r="H3" s="43">
        <f>'Yearly Model'!Q1</f>
        <v>2032</v>
      </c>
      <c r="I3" s="43">
        <f>'Yearly Model'!R1</f>
        <v>2033</v>
      </c>
      <c r="J3" s="43">
        <f>'Yearly Model'!S1</f>
        <v>2034</v>
      </c>
      <c r="K3" s="43">
        <f>'Yearly Model'!T1</f>
        <v>2035</v>
      </c>
      <c r="L3" s="43">
        <f>'Yearly Model'!U1</f>
        <v>2036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0.1047</v>
      </c>
      <c r="D5" s="63">
        <f>Assumptions!$E$12+(Assumptions!$E$11-Assumptions!$E$12)*(D4-1)/(Assumptions!$B$21-1)</f>
        <v>0.09584444444444445</v>
      </c>
      <c r="E5" s="63">
        <f>Assumptions!$E$12+(Assumptions!$E$11-Assumptions!$E$12)*(E4-1)/(Assumptions!$B$21-1)</f>
        <v>0.0869888888888889</v>
      </c>
      <c r="F5" s="63">
        <f>Assumptions!$E$12+(Assumptions!$E$11-Assumptions!$E$12)*(F4-1)/(Assumptions!$B$21-1)</f>
        <v>0.07813333333333333</v>
      </c>
      <c r="G5" s="63">
        <f>Assumptions!$E$12+(Assumptions!$E$11-Assumptions!$E$12)*(G4-1)/(Assumptions!$B$21-1)</f>
        <v>0.06927777777777779</v>
      </c>
      <c r="H5" s="63">
        <f>Assumptions!$E$12+(Assumptions!$E$11-Assumptions!$E$12)*(H4-1)/(Assumptions!$B$21-1)</f>
        <v>0.060422222222222224</v>
      </c>
      <c r="I5" s="63">
        <f>Assumptions!$E$12+(Assumptions!$E$11-Assumptions!$E$12)*(I4-1)/(Assumptions!$B$21-1)</f>
        <v>0.05156666666666667</v>
      </c>
      <c r="J5" s="63">
        <f>Assumptions!$E$12+(Assumptions!$E$11-Assumptions!$E$12)*(J4-1)/(Assumptions!$B$21-1)</f>
        <v>0.042711111111111116</v>
      </c>
      <c r="K5" s="63">
        <f>Assumptions!$E$12+(Assumptions!$E$11-Assumptions!$E$12)*(K4-1)/(Assumptions!$B$21-1)</f>
        <v>0.03385555555555557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-0.4661089266976159</v>
      </c>
      <c r="C6" s="63">
        <f>Assumptions!$B$18+(Assumptions!$E$13-Assumptions!$B$18)*C4/Assumptions!$B$21</f>
        <v>-0.38464</v>
      </c>
      <c r="D6" s="63">
        <f>Assumptions!$B$18+(Assumptions!$E$13-Assumptions!$B$18)*D4/Assumptions!$B$21</f>
        <v>-0.31968</v>
      </c>
      <c r="E6" s="63">
        <f>Assumptions!$B$18+(Assumptions!$E$13-Assumptions!$B$18)*E4/Assumptions!$B$21</f>
        <v>-0.25472</v>
      </c>
      <c r="F6" s="63">
        <f>Assumptions!$B$18+(Assumptions!$E$13-Assumptions!$B$18)*F4/Assumptions!$B$21</f>
        <v>-0.18976000000000004</v>
      </c>
      <c r="G6" s="63">
        <f>Assumptions!$B$18+(Assumptions!$E$13-Assumptions!$B$18)*G4/Assumptions!$B$21</f>
        <v>-0.12480000000000002</v>
      </c>
      <c r="H6" s="63">
        <f>Assumptions!$B$18+(Assumptions!$E$13-Assumptions!$B$18)*H4/Assumptions!$B$21</f>
        <v>-0.059840000000000004</v>
      </c>
      <c r="I6" s="63">
        <f>Assumptions!$B$18+(Assumptions!$E$13-Assumptions!$B$18)*I4/Assumptions!$B$21</f>
        <v>0.005120000000000013</v>
      </c>
      <c r="J6" s="63">
        <f>Assumptions!$B$18+(Assumptions!$E$13-Assumptions!$B$18)*J4/Assumptions!$B$21</f>
        <v>0.07007999999999992</v>
      </c>
      <c r="K6" s="63">
        <f>Assumptions!$B$18+(Assumptions!$E$13-Assumptions!$B$18)*K4/Assumptions!$B$21</f>
        <v>0.13503999999999994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Model'!K2</f>
        <v>244.917</v>
      </c>
      <c r="C7" s="55">
        <f>'Yearly Model'!L2</f>
        <v>270.5598099</v>
      </c>
      <c r="D7" s="55">
        <f>'Yearly Model'!M2</f>
        <v>296.49146456886</v>
      </c>
      <c r="E7" s="55">
        <f>'Yearly Model'!N2</f>
        <v>322.28292763674455</v>
      </c>
      <c r="F7" s="55">
        <f>'Yearly Model'!O2</f>
        <v>347.46396704942885</v>
      </c>
      <c r="G7" s="55">
        <f>'Yearly Model'!P2</f>
        <v>371.53549854446425</v>
      </c>
      <c r="H7" s="55">
        <f>'Yearly Model'!Q2</f>
        <v>393.984499000962</v>
      </c>
      <c r="I7" s="55">
        <f>'Yearly Model'!R2</f>
        <v>414.3009663327783</v>
      </c>
      <c r="J7" s="55">
        <f>'Yearly Model'!S2</f>
        <v>431.9962209392583</v>
      </c>
      <c r="K7" s="55">
        <f>'Yearly Model'!T2</f>
        <v>446.6216929970574</v>
      </c>
      <c r="L7" s="55">
        <f>'Yearly Model'!U2</f>
        <v>457.78723532198376</v>
      </c>
    </row>
    <row r="8">
      <c r="A8" s="14" t="inlineStr">
        <is>
          <t>Operating income</t>
        </is>
      </c>
      <c r="B8" s="55">
        <f>'Yearly Model'!K8</f>
        <v>-114.15799999999999</v>
      </c>
      <c r="C8" s="55">
        <f>'Yearly Model'!L8</f>
        <v>-104.068125279936</v>
      </c>
      <c r="D8" s="55">
        <f>'Yearly Model'!M8</f>
        <v>-94.78239139337316</v>
      </c>
      <c r="E8" s="55">
        <f>'Yearly Model'!N8</f>
        <v>-82.09190732763159</v>
      </c>
      <c r="F8" s="55">
        <f>'Yearly Model'!O8</f>
        <v>-65.93476238729963</v>
      </c>
      <c r="G8" s="55">
        <f>'Yearly Model'!P8</f>
        <v>-46.36763021834915</v>
      </c>
      <c r="H8" s="55">
        <f>'Yearly Model'!Q8</f>
        <v>-23.576032420217558</v>
      </c>
      <c r="I8" s="55">
        <f>'Yearly Model'!R8</f>
        <v>2.12122094762384</v>
      </c>
      <c r="J8" s="55">
        <f>'Yearly Model'!S8</f>
        <v>30.274295163423176</v>
      </c>
      <c r="K8" s="55">
        <f>'Yearly Model'!T8</f>
        <v>60.31179342232261</v>
      </c>
      <c r="L8" s="55">
        <f>'Yearly Model'!U8</f>
        <v>91.55744706439673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0.3606075610960528</v>
      </c>
      <c r="J9" s="52">
        <f>MAX(0,J8)*Assumptions!$E$14</f>
        <v>5.14663017778194</v>
      </c>
      <c r="K9" s="52">
        <f>MAX(0,K8)*Assumptions!$E$14</f>
        <v>10.253004881794844</v>
      </c>
      <c r="L9" s="52">
        <f>MAX(0,L8)*Assumptions!$E$14</f>
        <v>15.564766000947445</v>
      </c>
    </row>
    <row r="10">
      <c r="A10" s="14" t="inlineStr">
        <is>
          <t>NOPAT</t>
        </is>
      </c>
      <c r="C10" s="52">
        <f>C8-C9</f>
        <v>-104.068125279936</v>
      </c>
      <c r="D10" s="52">
        <f>D8-D9</f>
        <v>-94.78239139337316</v>
      </c>
      <c r="E10" s="52">
        <f>E8-E9</f>
        <v>-82.09190732763159</v>
      </c>
      <c r="F10" s="52">
        <f>F8-F9</f>
        <v>-65.93476238729963</v>
      </c>
      <c r="G10" s="52">
        <f>G8-G9</f>
        <v>-46.36763021834915</v>
      </c>
      <c r="H10" s="52">
        <f>H8-H9</f>
        <v>-23.576032420217558</v>
      </c>
      <c r="I10" s="52">
        <f>I8-I9</f>
        <v>1.760613386527787</v>
      </c>
      <c r="J10" s="52">
        <f>J8-J9</f>
        <v>25.127664985641236</v>
      </c>
      <c r="K10" s="52">
        <f>K8-K9</f>
        <v>50.058788540527765</v>
      </c>
      <c r="L10" s="52">
        <f>L8-L9</f>
        <v>75.99268106344928</v>
      </c>
    </row>
    <row r="11">
      <c r="A11" s="14" t="inlineStr">
        <is>
          <t>Reinvestment</t>
        </is>
      </c>
      <c r="C11" s="52">
        <f>(C7-B7)*Assumptions!$E$15</f>
        <v>6.410702475000001</v>
      </c>
      <c r="D11" s="52">
        <f>(D7-C7)*Assumptions!$E$15</f>
        <v>6.482913667215001</v>
      </c>
      <c r="E11" s="52">
        <f>(E7-D7)*Assumptions!$E$15</f>
        <v>6.447865766971134</v>
      </c>
      <c r="F11" s="52">
        <f>(F7-E7)*Assumptions!$E$15</f>
        <v>6.295259853171075</v>
      </c>
      <c r="G11" s="52">
        <f>(G7-F7)*Assumptions!$E$15</f>
        <v>6.01788287375885</v>
      </c>
      <c r="H11" s="52">
        <f>(H7-G7)*Assumptions!$E$15</f>
        <v>5.612250114124436</v>
      </c>
      <c r="I11" s="52">
        <f>(I7-H7)*Assumptions!$E$15</f>
        <v>5.079116832954071</v>
      </c>
      <c r="J11" s="52">
        <f>(J7-I7)*Assumptions!$E$15</f>
        <v>4.423813651620009</v>
      </c>
      <c r="K11" s="52">
        <f>(K7-J7)*Assumptions!$E$15</f>
        <v>3.656368014449768</v>
      </c>
      <c r="L11" s="52">
        <f>(L7-K7)*Assumptions!$E$15</f>
        <v>2.7913855812315944</v>
      </c>
    </row>
    <row r="12">
      <c r="A12" s="20" t="inlineStr">
        <is>
          <t>Free cash flow</t>
        </is>
      </c>
      <c r="C12" s="64">
        <f>C10-C11</f>
        <v>-110.47882775493599</v>
      </c>
      <c r="D12" s="64">
        <f>D10-D11</f>
        <v>-101.26530506058816</v>
      </c>
      <c r="E12" s="64">
        <f>E10-E11</f>
        <v>-88.53977309460272</v>
      </c>
      <c r="F12" s="64">
        <f>F10-F11</f>
        <v>-72.2300222404707</v>
      </c>
      <c r="G12" s="64">
        <f>G10-G11</f>
        <v>-52.385513092108</v>
      </c>
      <c r="H12" s="64">
        <f>H10-H11</f>
        <v>-29.188282534341994</v>
      </c>
      <c r="I12" s="64">
        <f>I10-I11</f>
        <v>-3.318503446426284</v>
      </c>
      <c r="J12" s="64">
        <f>J10-J11</f>
        <v>20.703851334021227</v>
      </c>
      <c r="K12" s="64">
        <f>K10-K11</f>
        <v>46.402420526078</v>
      </c>
      <c r="L12" s="64">
        <f>L10-L11</f>
        <v>73.20129548221769</v>
      </c>
    </row>
    <row r="13">
      <c r="A13" s="14" t="inlineStr">
        <is>
          <t>Year fraction</t>
        </is>
      </c>
      <c r="C13" s="46">
        <f>Assumptions!$B$22</f>
        <v>0.7507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0.37535</v>
      </c>
      <c r="D14" s="11">
        <f>C14+C13/2+D13/2</f>
        <v>1.2507000000000001</v>
      </c>
      <c r="E14" s="11">
        <f>D14+D13/2+E13/2</f>
        <v>2.2507</v>
      </c>
      <c r="F14" s="11">
        <f>E14+E13/2+F13/2</f>
        <v>3.2507</v>
      </c>
      <c r="G14" s="11">
        <f>F14+F13/2+G13/2</f>
        <v>4.2507</v>
      </c>
      <c r="H14" s="11">
        <f>G14+G13/2+H13/2</f>
        <v>5.2507</v>
      </c>
      <c r="I14" s="11">
        <f>H14+H13/2+I13/2</f>
        <v>6.2507</v>
      </c>
      <c r="J14" s="11">
        <f>I14+I13/2+J13/2</f>
        <v>7.2507</v>
      </c>
      <c r="K14" s="11">
        <f>J14+J13/2+K13/2</f>
        <v>8.2507</v>
      </c>
      <c r="L14" s="11">
        <f>K14+K13/2+L13/2</f>
        <v>9.2507</v>
      </c>
    </row>
    <row r="15">
      <c r="A15" s="14" t="inlineStr">
        <is>
          <t>Discount factor</t>
        </is>
      </c>
      <c r="C15" s="65">
        <f>1/(1+Assumptions!$E$10)^C14</f>
        <v>0.9567531498583901</v>
      </c>
      <c r="D15" s="65">
        <f>1/(1+Assumptions!$E$10)^D14</f>
        <v>0.8630253252820081</v>
      </c>
      <c r="E15" s="65">
        <f>1/(1+Assumptions!$E$10)^E14</f>
        <v>0.7671336224728962</v>
      </c>
      <c r="F15" s="65">
        <f>1/(1+Assumptions!$E$10)^F14</f>
        <v>0.681896553309241</v>
      </c>
      <c r="G15" s="65">
        <f>1/(1+Assumptions!$E$10)^G14</f>
        <v>0.6061302696082143</v>
      </c>
      <c r="H15" s="65">
        <f>1/(1+Assumptions!$E$10)^H14</f>
        <v>0.5387824618739683</v>
      </c>
      <c r="I15" s="65">
        <f>1/(1+Assumptions!$E$10)^I14</f>
        <v>0.4789177438879718</v>
      </c>
      <c r="J15" s="65">
        <f>1/(1+Assumptions!$E$10)^J14</f>
        <v>0.42570466123375267</v>
      </c>
      <c r="K15" s="65">
        <f>1/(1+Assumptions!$E$10)^K14</f>
        <v>0.37840414331889133</v>
      </c>
      <c r="L15" s="65">
        <f>1/(1+Assumptions!$E$10)^L14</f>
        <v>0.33635923850568117</v>
      </c>
    </row>
    <row r="16">
      <c r="A16" s="20" t="inlineStr">
        <is>
          <t>PV of free cash flow</t>
        </is>
      </c>
      <c r="C16" s="64">
        <f>C12*C13*C15</f>
        <v>-79.3497155119112</v>
      </c>
      <c r="D16" s="64">
        <f>D12*D13*D15</f>
        <v>-87.39452283969588</v>
      </c>
      <c r="E16" s="64">
        <f>E12*E13*E15</f>
        <v>-67.92183686699086</v>
      </c>
      <c r="F16" s="64">
        <f>F12*F13*F15</f>
        <v>-49.2534032112268</v>
      </c>
      <c r="G16" s="64">
        <f>G12*G13*G15</f>
        <v>-31.75244517408406</v>
      </c>
      <c r="H16" s="64">
        <f>H12*H13*H15</f>
        <v>-15.72613472172573</v>
      </c>
      <c r="I16" s="64">
        <f>I12*I13*I15</f>
        <v>-1.5892901836469349</v>
      </c>
      <c r="J16" s="64">
        <f>J12*J13*J15</f>
        <v>8.813726018383484</v>
      </c>
      <c r="K16" s="64">
        <f>K12*K13*K15</f>
        <v>17.558868187093484</v>
      </c>
      <c r="L16" s="64">
        <f>L12*L13*L15</f>
        <v>24.6219320060281</v>
      </c>
    </row>
    <row r="19">
      <c r="A19" s="14" t="inlineStr">
        <is>
          <t>PV of forecast free cash flow</t>
        </is>
      </c>
      <c r="B19" s="52">
        <f>SUM(C16:L16)</f>
        <v>-281.9928222977764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75.0313278692731</v>
      </c>
    </row>
    <row r="21">
      <c r="A21" s="14" t="inlineStr">
        <is>
          <t>Terminal value</t>
        </is>
      </c>
      <c r="B21" s="52">
        <f>B20/(Assumptions!$E$10-Assumptions!$E$11)</f>
        <v>750.3132786927309</v>
      </c>
    </row>
    <row r="22">
      <c r="A22" s="14" t="inlineStr">
        <is>
          <t>PV of terminal value</t>
        </is>
      </c>
      <c r="B22" s="52">
        <f>B21/(1+Assumptions!$E$10)^(L14+0.5)</f>
        <v>237.9412461941462</v>
      </c>
    </row>
    <row r="23">
      <c r="A23" s="20" t="inlineStr">
        <is>
          <t>Enterprise value</t>
        </is>
      </c>
      <c r="B23" s="66">
        <f>B19+B22</f>
        <v>-44.0515761036302</v>
      </c>
    </row>
    <row r="24">
      <c r="A24" s="14" t="inlineStr">
        <is>
          <t>Cash &amp; investments</t>
        </is>
      </c>
      <c r="B24" s="55">
        <f>Main!C7</f>
        <v>237.7127321516842</v>
      </c>
    </row>
    <row r="25">
      <c r="A25" s="14" t="inlineStr">
        <is>
          <t>Debt</t>
        </is>
      </c>
      <c r="B25" s="55">
        <f>Main!C8</f>
        <v>169.6229079867241</v>
      </c>
    </row>
    <row r="26">
      <c r="A26" s="20" t="inlineStr">
        <is>
          <t>Equity value</t>
        </is>
      </c>
      <c r="B26" s="66">
        <f>B23+B24-B25</f>
        <v>24.03824806132991</v>
      </c>
    </row>
    <row r="27">
      <c r="A27" s="14" t="inlineStr">
        <is>
          <t>Shares (mm)</t>
        </is>
      </c>
      <c r="B27" s="55">
        <f>Main!C4</f>
        <v>423.037675</v>
      </c>
    </row>
    <row r="28">
      <c r="A28" s="20" t="inlineStr">
        <is>
          <t>NPV / share</t>
        </is>
      </c>
      <c r="B28" s="49">
        <f>B26/B27</f>
        <v>0.05682294859749763</v>
      </c>
    </row>
    <row r="29">
      <c r="A29" s="14" t="inlineStr">
        <is>
          <t>Price</t>
        </is>
      </c>
      <c r="B29" s="50">
        <f>Main!C3</f>
        <v>0.72</v>
      </c>
    </row>
    <row r="30">
      <c r="A30" s="14" t="inlineStr">
        <is>
          <t>Upside</t>
        </is>
      </c>
      <c r="B30" s="63">
        <f>B28/B29-1</f>
        <v>-0.921079238059031</v>
      </c>
    </row>
    <row r="31">
      <c r="A31" s="14" t="inlineStr">
        <is>
          <t>Terminal value, % of EV</t>
        </is>
      </c>
      <c r="B31" s="63">
        <f>IFERROR(B22/B23,0)</f>
        <v>-5.401424131440736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2026-10-21T06:26:00Z</dcterms:modified>
  <cp:lastModifiedBy>Wang, Eric</cp:lastModifiedBy>
</cp:coreProperties>
</file>