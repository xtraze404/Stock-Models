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Valion Bio Inc</t>
        </is>
      </c>
      <c r="C2" s="10" t="n"/>
    </row>
    <row r="3">
      <c r="B3" t="inlineStr">
        <is>
          <t>Price</t>
        </is>
      </c>
      <c r="C3" s="11">
        <f>INDEX([1]Pharma!$F$1:$F$1000,MATCH("VBIO",[1]Pharma!$B$1:$B$1000,0))</f>
        <v>1.19</v>
      </c>
      <c r="F3" s="1" t="n"/>
    </row>
    <row r="4">
      <c r="B4" t="inlineStr">
        <is>
          <t>Shares</t>
        </is>
      </c>
      <c r="C4" s="21" t="n">
        <v>22.189739</v>
      </c>
      <c r="F4" s="1" t="n"/>
    </row>
    <row r="5">
      <c r="B5" t="inlineStr">
        <is>
          <t>Market Cap.</t>
        </is>
      </c>
      <c r="C5" s="13">
        <f>C3*C4</f>
        <v>26.405789409999997</v>
      </c>
      <c r="F5" s="1" t="n"/>
    </row>
    <row r="6"/>
    <row r="7">
      <c r="B7" t="inlineStr">
        <is>
          <t>Cash</t>
        </is>
      </c>
      <c r="C7" s="21" t="n">
        <v>2.108</v>
      </c>
    </row>
    <row r="8">
      <c r="B8" t="inlineStr">
        <is>
          <t>Debt</t>
        </is>
      </c>
      <c r="C8" s="21" t="n">
        <v>7.388</v>
      </c>
    </row>
    <row r="9">
      <c r="B9" t="inlineStr">
        <is>
          <t>Enterprise V.</t>
        </is>
      </c>
      <c r="C9" s="13">
        <f>C5-C7+C8</f>
        <v>31.685789409999998</v>
      </c>
    </row>
    <row r="10"/>
    <row r="11">
      <c r="B11" s="14" t="inlineStr">
        <is>
          <t>Net Cash / Share</t>
        </is>
      </c>
      <c r="C11" s="11">
        <f>(C7-C8)/C4</f>
        <v>-0.23794781903473491</v>
      </c>
    </row>
    <row r="12">
      <c r="B12" s="14" t="inlineStr">
        <is>
          <t>Upside</t>
        </is>
      </c>
      <c r="C12" s="15">
        <f>IFERROR(C11/C3-1,"")</f>
        <v>-1.199956150449357</v>
      </c>
    </row>
    <row r="13">
      <c r="B13" s="14" t="inlineStr">
        <is>
          <t>Cash / Share</t>
        </is>
      </c>
      <c r="C13" s="11">
        <f>IFERROR((C7-C8)/C4,"")</f>
        <v>-0.23794781903473491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-14.575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31.685789409999998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1.257</v>
      </c>
      <c r="C2" s="23" t="n">
        <v>1.84</v>
      </c>
      <c r="D2" s="23" t="n">
        <v>1.176</v>
      </c>
      <c r="E2" s="23" t="n">
        <v>0.78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1.295</v>
      </c>
      <c r="C3" s="23" t="n">
        <v>1.541</v>
      </c>
      <c r="D3" s="23" t="n">
        <v>0.889</v>
      </c>
      <c r="E3" s="23" t="n">
        <v>0.778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-0.038000000000000034</v>
      </c>
      <c r="C4" s="23">
        <f>C2-C3</f>
        <v>0.29900000000000015</v>
      </c>
      <c r="D4" s="23">
        <f>D2-D3</f>
        <v>0.2869999999999999</v>
      </c>
      <c r="E4" s="23">
        <f>E2-E3</f>
        <v>0.0020000000000000018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0.878</v>
      </c>
      <c r="C5" s="23" t="n">
        <v>1.73</v>
      </c>
      <c r="D5" s="23" t="n">
        <v>1.655</v>
      </c>
      <c r="E5" s="23" t="n">
        <v>1.313</v>
      </c>
      <c r="F5" s="23" t="n">
        <v>3.131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4.717</v>
      </c>
      <c r="C6" s="23" t="n">
        <v>8.667</v>
      </c>
      <c r="D6" s="23" t="n">
        <v>6.877</v>
      </c>
      <c r="E6" s="23" t="n">
        <v>3.165</v>
      </c>
      <c r="F6" s="23" t="n">
        <v>4.767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5.595</v>
      </c>
      <c r="C7" s="23">
        <f>SUM(C5:C6)</f>
        <v>10.397</v>
      </c>
      <c r="D7" s="23">
        <f>SUM(D5:D6)</f>
        <v>8.532</v>
      </c>
      <c r="E7" s="23">
        <f>SUM(E5:E6)</f>
        <v>4.478</v>
      </c>
      <c r="F7" s="23">
        <f>SUM(F5:F6)</f>
        <v>7.898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-5.633</v>
      </c>
      <c r="C8" s="23">
        <f>C4-C7</f>
        <v>-10.098</v>
      </c>
      <c r="D8" s="23">
        <f>D4-D7</f>
        <v>-8.245000000000001</v>
      </c>
      <c r="E8" s="23">
        <f>E4-E7</f>
        <v>-4.476</v>
      </c>
      <c r="F8" s="23">
        <f>F4-F7</f>
        <v>-7.898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-2.861</v>
      </c>
      <c r="C9" s="23" t="n">
        <v>0.002</v>
      </c>
      <c r="D9" s="23" t="n">
        <v>0.001</v>
      </c>
      <c r="E9" s="23" t="n">
        <v>-1.179</v>
      </c>
      <c r="F9" s="23" t="n">
        <v>-0.98</v>
      </c>
    </row>
    <row r="10">
      <c r="A10" s="2" t="inlineStr">
        <is>
          <t>Pretax</t>
        </is>
      </c>
      <c r="B10" s="23">
        <f>B8+B9</f>
        <v>-8.494</v>
      </c>
      <c r="C10" s="23">
        <f>C8+C9</f>
        <v>-10.096</v>
      </c>
      <c r="D10" s="23">
        <f>D8+D9</f>
        <v>-8.244000000000002</v>
      </c>
      <c r="E10" s="23">
        <f>E8+E9</f>
        <v>-5.655</v>
      </c>
      <c r="F10" s="23">
        <f>F8+F9</f>
        <v>-8.878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-8.494</v>
      </c>
      <c r="C12" s="23" t="n">
        <v>-10.096</v>
      </c>
      <c r="D12" s="23" t="n">
        <v>-8.244</v>
      </c>
      <c r="E12" s="23" t="n">
        <v>-5.655</v>
      </c>
      <c r="F12" s="23" t="n">
        <v>-8.878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-7.354112554112554</v>
      </c>
      <c r="C13" s="11">
        <f>IFERROR(C12/C14,0)</f>
        <v>-8.76388888888889</v>
      </c>
      <c r="D13" s="11">
        <f>IFERROR(D12/D14,0)</f>
        <v>-7.15625</v>
      </c>
      <c r="E13" s="11">
        <f>IFERROR(E12/E14,0)</f>
        <v>-4.921671018276762</v>
      </c>
      <c r="F13" s="11">
        <f>IFERROR(F12/F14,0)</f>
        <v>-7.679930795847752</v>
      </c>
    </row>
    <row r="14">
      <c r="A14" s="2" t="inlineStr">
        <is>
          <t>Shares</t>
        </is>
      </c>
      <c r="B14" s="23" t="n">
        <v>1.155</v>
      </c>
      <c r="C14" s="23" t="n">
        <v>1.152</v>
      </c>
      <c r="D14" s="23" t="n">
        <v>1.152</v>
      </c>
      <c r="E14" s="23" t="n">
        <v>1.149</v>
      </c>
      <c r="F14" s="23" t="n">
        <v>1.156</v>
      </c>
    </row>
    <row r="15"/>
    <row r="16" customFormat="1" s="4">
      <c r="A16" s="3" t="inlineStr">
        <is>
          <t>Revenue Change</t>
        </is>
      </c>
      <c r="C16" s="15">
        <f>IFERROR(C2/B2-1,"")</f>
        <v>0.4638027048528244</v>
      </c>
      <c r="D16" s="15">
        <f>IFERROR(D2/C2-1,"")</f>
        <v>-0.36086956521739133</v>
      </c>
      <c r="E16" s="15">
        <f>IFERROR(E2/D2-1,"")</f>
        <v>-0.33673469387755095</v>
      </c>
      <c r="F16" s="15">
        <f>IFERROR(F2/E2-1,"")</f>
        <v>-1.0</v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-0.03023070803500401</v>
      </c>
      <c r="C17" s="15">
        <f>IFERROR(C4/C2,"")</f>
        <v>0.1625000000000001</v>
      </c>
      <c r="D17" s="15">
        <f>IFERROR(D4/D2,"")</f>
        <v>0.24404761904761899</v>
      </c>
      <c r="E17" s="15">
        <f>IFERROR(E4/E2,"")</f>
        <v>0.0025641025641025663</v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-4.481304693715195</v>
      </c>
      <c r="C18" s="15">
        <f>IFERROR(C8/C2,"")</f>
        <v>-5.488043478260869</v>
      </c>
      <c r="D18" s="15">
        <f>IFERROR(D8/D2,"")</f>
        <v>-7.0110544217687085</v>
      </c>
      <c r="E18" s="15">
        <f>IFERROR(E8/E2,"")</f>
        <v>-5.7384615384615385</v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2026-10-21T01:06:24Z</dcterms:modified>
  <cp:lastModifiedBy>Wang, Eric</cp:lastModifiedBy>
</cp:coreProperties>
</file>