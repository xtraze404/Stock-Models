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Novavax, Inc.</t>
        </is>
      </c>
      <c r="C2" s="10" t="n"/>
    </row>
    <row r="3">
      <c r="B3" t="inlineStr">
        <is>
          <t>Price</t>
        </is>
      </c>
      <c r="C3" s="11">
        <f>INDEX([1]Pharma!$F$1:$F$1000,MATCH("NVAX",[1]Pharma!$B$1:$B$1000,0))</f>
        <v>11.43</v>
      </c>
      <c r="F3" s="1" t="n"/>
    </row>
    <row r="4">
      <c r="B4" t="inlineStr">
        <is>
          <t>Shares</t>
        </is>
      </c>
      <c r="C4" s="51" t="n">
        <v>164.945726</v>
      </c>
      <c r="F4" s="1" t="n"/>
    </row>
    <row r="5">
      <c r="B5" t="inlineStr">
        <is>
          <t>Market Cap.</t>
        </is>
      </c>
      <c r="C5" s="13">
        <f>C3*C4</f>
        <v>1885.32964818</v>
      </c>
      <c r="F5" s="1" t="n"/>
    </row>
    <row r="6"/>
    <row r="7">
      <c r="B7" t="inlineStr">
        <is>
          <t>Cash</t>
        </is>
      </c>
      <c r="C7" s="51">
        <f>191.458+527.882</f>
        <v>719.3399999999999</v>
      </c>
    </row>
    <row r="8">
      <c r="B8" t="inlineStr">
        <is>
          <t>Debt</t>
        </is>
      </c>
      <c r="C8" s="51" t="n">
        <v>291.49</v>
      </c>
    </row>
    <row r="9">
      <c r="B9" t="inlineStr">
        <is>
          <t>Enterprise V.</t>
        </is>
      </c>
      <c r="C9" s="13">
        <f>C5-C7+C8</f>
        <v>1457.4796481800001</v>
      </c>
    </row>
    <row r="10"/>
    <row r="11">
      <c r="B11" s="14" t="inlineStr">
        <is>
          <t>NPV / Share</t>
        </is>
      </c>
      <c r="C11" s="11">
        <f>NPV!B28</f>
        <v>3.183496572136895</v>
      </c>
    </row>
    <row r="12">
      <c r="B12" s="14" t="inlineStr">
        <is>
          <t>Upside</t>
        </is>
      </c>
      <c r="C12" s="15">
        <f>IFERROR(C11/C3-1,"")</f>
        <v>-0.7214788650798867</v>
      </c>
    </row>
    <row r="13">
      <c r="B13" s="14" t="inlineStr">
        <is>
          <t>Cash / Share</t>
        </is>
      </c>
      <c r="C13" s="11">
        <f>IFERROR((C7-C8)/C4,"")</f>
        <v>2.5938835177820847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0.343</v>
      </c>
      <c r="D2" s="52" t="n">
        <v>14.688</v>
      </c>
      <c r="E2" s="52" t="n">
        <v>22.076</v>
      </c>
      <c r="F2" s="52" t="n">
        <v>20.915</v>
      </c>
      <c r="G2" s="52" t="n">
        <v>30.659</v>
      </c>
      <c r="H2" s="52" t="n">
        <v>36.25</v>
      </c>
      <c r="I2" s="52" t="n">
        <v>15.353</v>
      </c>
      <c r="J2" s="52" t="n">
        <v>31.176</v>
      </c>
      <c r="K2" s="52" t="n">
        <v>34.288</v>
      </c>
      <c r="L2" s="52" t="n">
        <v>18.662</v>
      </c>
      <c r="M2" s="52" t="n">
        <v>475.598</v>
      </c>
      <c r="N2" s="52" t="n">
        <v>1146.29</v>
      </c>
      <c r="O2" s="52" t="n">
        <v>1981.872</v>
      </c>
      <c r="P2" s="52" t="n">
        <v>983.705</v>
      </c>
      <c r="Q2" s="52" t="n">
        <v>682.162</v>
      </c>
      <c r="R2" s="52" t="n">
        <v>1123.479</v>
      </c>
      <c r="S2" s="52">
        <f>R2*(1+NPV!C5)</f>
        <v>1011.1311000000001</v>
      </c>
      <c r="T2" s="52">
        <f>S2*(1+NPV!D5)</f>
        <v>924.0614775</v>
      </c>
      <c r="U2" s="52">
        <f>T2*(1+NPV!E5)</f>
        <v>857.3237041250001</v>
      </c>
      <c r="V2" s="52">
        <f>U2*(1+NPV!F5)</f>
        <v>807.3131547177084</v>
      </c>
      <c r="W2" s="52">
        <f>V2*(1+NPV!G5)</f>
        <v>771.432570063588</v>
      </c>
      <c r="X2" s="52">
        <f>W2*(1+NPV!H5)</f>
        <v>747.861019311645</v>
      </c>
      <c r="Y2" s="52">
        <f>X2*(1+NPV!I5)</f>
        <v>735.3966689897842</v>
      </c>
      <c r="Z2" s="52">
        <f>Y2*(1+NPV!J5)</f>
        <v>733.3539004648126</v>
      </c>
      <c r="AA2" s="52">
        <f>Z2*(1+NPV!K5)</f>
        <v>741.5022771366438</v>
      </c>
      <c r="AB2" s="52">
        <f>AA2*(1+NPV!L5)</f>
        <v>760.0398340650598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902.639</v>
      </c>
      <c r="P3" s="52" t="n">
        <v>343.768</v>
      </c>
      <c r="Q3" s="52" t="n">
        <v>202.739</v>
      </c>
      <c r="R3" s="52" t="n">
        <v>73.04000000000001</v>
      </c>
      <c r="S3" s="52">
        <f>S2*(1-Assumptions!$B$19)</f>
        <v>65.72352149999995</v>
      </c>
      <c r="T3" s="52">
        <f>T2*(1-Assumptions!$B$19)</f>
        <v>60.063996037499955</v>
      </c>
      <c r="U3" s="52">
        <f>U2*(1-Assumptions!$B$19)</f>
        <v>55.72604076812496</v>
      </c>
      <c r="V3" s="52">
        <f>V2*(1-Assumptions!$B$19)</f>
        <v>52.475355056651</v>
      </c>
      <c r="W3" s="52">
        <f>W2*(1-Assumptions!$B$19)</f>
        <v>50.14311705413318</v>
      </c>
      <c r="X3" s="52">
        <f>X2*(1-Assumptions!$B$19)</f>
        <v>48.61096625525688</v>
      </c>
      <c r="Y3" s="52">
        <f>Y2*(1-Assumptions!$B$19)</f>
        <v>47.80078348433593</v>
      </c>
      <c r="Z3" s="52">
        <f>Z2*(1-Assumptions!$B$19)</f>
        <v>47.66800353021278</v>
      </c>
      <c r="AA3" s="52">
        <f>AA2*(1-Assumptions!$B$19)</f>
        <v>48.1976480138818</v>
      </c>
      <c r="AB3" s="52">
        <f>AB2*(1-Assumptions!$B$19)</f>
        <v>49.40258921422885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0.343</v>
      </c>
      <c r="D4" s="52">
        <f>D2-D3</f>
        <v>14.688</v>
      </c>
      <c r="E4" s="52">
        <f>E2-E3</f>
        <v>22.076</v>
      </c>
      <c r="F4" s="52">
        <f>F2-F3</f>
        <v>20.915</v>
      </c>
      <c r="G4" s="52">
        <f>G2-G3</f>
        <v>30.659</v>
      </c>
      <c r="H4" s="52">
        <f>H2-H3</f>
        <v>36.25</v>
      </c>
      <c r="I4" s="52">
        <f>I2-I3</f>
        <v>15.353</v>
      </c>
      <c r="J4" s="52">
        <f>J2-J3</f>
        <v>31.176</v>
      </c>
      <c r="K4" s="52">
        <f>K2-K3</f>
        <v>34.288</v>
      </c>
      <c r="L4" s="52">
        <f>L2-L3</f>
        <v>18.662</v>
      </c>
      <c r="M4" s="52">
        <f>M2-M3</f>
        <v>475.598</v>
      </c>
      <c r="N4" s="52">
        <f>N2-N3</f>
        <v>1146.29</v>
      </c>
      <c r="O4" s="52">
        <f>O2-O3</f>
        <v>1079.2330000000002</v>
      </c>
      <c r="P4" s="52">
        <f>P2-P3</f>
        <v>639.9370000000001</v>
      </c>
      <c r="Q4" s="52">
        <f>Q2-Q3</f>
        <v>479.423</v>
      </c>
      <c r="R4" s="52">
        <f>R2-R3</f>
        <v>1050.439</v>
      </c>
      <c r="S4" s="52">
        <f>S2-S3</f>
        <v>945.4075785000001</v>
      </c>
      <c r="T4" s="52">
        <f>T2-T3</f>
        <v>863.9974814625001</v>
      </c>
      <c r="U4" s="52">
        <f>U2-U3</f>
        <v>801.597663356875</v>
      </c>
      <c r="V4" s="52">
        <f>V2-V3</f>
        <v>754.8377996610574</v>
      </c>
      <c r="W4" s="52">
        <f>W2-W3</f>
        <v>721.2894530094547</v>
      </c>
      <c r="X4" s="52">
        <f>X2-X3</f>
        <v>699.2500530563881</v>
      </c>
      <c r="Y4" s="52">
        <f>Y2-Y3</f>
        <v>687.5958855054482</v>
      </c>
      <c r="Z4" s="52">
        <f>Z2-Z3</f>
        <v>685.6858969345998</v>
      </c>
      <c r="AA4" s="52">
        <f>AA2-AA3</f>
        <v>693.304629122762</v>
      </c>
      <c r="AB4" s="52">
        <f>AB2-AB3</f>
        <v>710.6372448508309</v>
      </c>
    </row>
    <row r="5">
      <c r="A5" s="2" t="inlineStr">
        <is>
          <t>Research &amp; Dev.</t>
        </is>
      </c>
      <c r="B5" s="52" t="n">
        <v>25.78</v>
      </c>
      <c r="C5" s="52" t="n">
        <v>28.032</v>
      </c>
      <c r="D5" s="52" t="n">
        <v>18.364</v>
      </c>
      <c r="E5" s="52" t="n">
        <v>26.907</v>
      </c>
      <c r="F5" s="52" t="n">
        <v>58.53</v>
      </c>
      <c r="G5" s="52" t="n">
        <v>94.422</v>
      </c>
      <c r="H5" s="52" t="n">
        <v>162.644</v>
      </c>
      <c r="I5" s="52" t="n">
        <v>237.939</v>
      </c>
      <c r="J5" s="52" t="n">
        <v>168.435</v>
      </c>
      <c r="K5" s="52" t="n">
        <v>173.797</v>
      </c>
      <c r="L5" s="52" t="n">
        <v>113.842</v>
      </c>
      <c r="M5" s="52" t="n">
        <v>747.027</v>
      </c>
      <c r="N5" s="52" t="n">
        <v>2534.508</v>
      </c>
      <c r="O5" s="52" t="n">
        <v>1235.278</v>
      </c>
      <c r="P5" s="52" t="n">
        <v>737.502</v>
      </c>
      <c r="Q5" s="52" t="n">
        <v>391.169</v>
      </c>
      <c r="R5" s="52" t="n">
        <v>342.32</v>
      </c>
      <c r="S5" s="52">
        <f>S7*Assumptions!$B$20</f>
        <v>720.1530984580128</v>
      </c>
      <c r="T5" s="52">
        <f>T7*Assumptions!$B$20</f>
        <v>628.2396215951991</v>
      </c>
      <c r="U5" s="52">
        <f>U7*Assumptions!$B$20</f>
        <v>555.1259322843848</v>
      </c>
      <c r="V5" s="52">
        <f>V7*Assumptions!$B$20</f>
        <v>496.6209734354525</v>
      </c>
      <c r="W5" s="52">
        <f>W7*Assumptions!$B$20</f>
        <v>449.587322385934</v>
      </c>
      <c r="X5" s="52">
        <f>X7*Assumptions!$B$20</f>
        <v>411.6510399874291</v>
      </c>
      <c r="Y5" s="52">
        <f>Y7*Assumptions!$B$20</f>
        <v>380.9946121952417</v>
      </c>
      <c r="Z5" s="52">
        <f>Z7*Assumptions!$B$20</f>
        <v>356.20681552765177</v>
      </c>
      <c r="AA5" s="52">
        <f>AA7*Assumptions!$B$20</f>
        <v>336.17152986312936</v>
      </c>
      <c r="AB5" s="52">
        <f>AB7*Assumptions!$B$20</f>
        <v>319.9828504600627</v>
      </c>
    </row>
    <row r="6">
      <c r="A6" s="18" t="inlineStr">
        <is>
          <t>SG&amp;A &amp; Other</t>
        </is>
      </c>
      <c r="B6" s="52" t="n">
        <v>11.603</v>
      </c>
      <c r="C6" s="52" t="n">
        <v>10.805</v>
      </c>
      <c r="D6" s="52" t="n">
        <v>17.903</v>
      </c>
      <c r="E6" s="52" t="n">
        <v>24.834</v>
      </c>
      <c r="F6" s="52" t="n">
        <v>14.819</v>
      </c>
      <c r="G6" s="52" t="n">
        <v>19.928</v>
      </c>
      <c r="H6" s="52" t="n">
        <v>30.842</v>
      </c>
      <c r="I6" s="52" t="n">
        <v>46.527</v>
      </c>
      <c r="J6" s="52" t="n">
        <v>34.451</v>
      </c>
      <c r="K6" s="52" t="n">
        <v>34.409</v>
      </c>
      <c r="L6" s="52" t="n">
        <v>25.401</v>
      </c>
      <c r="M6" s="52" t="n">
        <v>145.29</v>
      </c>
      <c r="N6" s="52" t="n">
        <v>298.358</v>
      </c>
      <c r="O6" s="52" t="n">
        <v>488.691</v>
      </c>
      <c r="P6" s="52" t="n">
        <v>468.946</v>
      </c>
      <c r="Q6" s="52" t="n">
        <v>337.185</v>
      </c>
      <c r="R6" s="52" t="n">
        <v>255.324</v>
      </c>
      <c r="S6" s="52">
        <f>S7-S5</f>
        <v>537.0974225929873</v>
      </c>
      <c r="T6" s="52">
        <f>T7-T5</f>
        <v>468.54742727910104</v>
      </c>
      <c r="U6" s="52">
        <f>U7-U5</f>
        <v>414.01850256963894</v>
      </c>
      <c r="V6" s="52">
        <f>V7-V5</f>
        <v>370.3849159420833</v>
      </c>
      <c r="W6" s="52">
        <f>W7-W5</f>
        <v>335.30674602526364</v>
      </c>
      <c r="X6" s="52">
        <f>X7-X5</f>
        <v>307.0134851302893</v>
      </c>
      <c r="Y6" s="52">
        <f>Y7-Y5</f>
        <v>284.1496130059484</v>
      </c>
      <c r="Z6" s="52">
        <f>Z7-Z5</f>
        <v>265.66262498850006</v>
      </c>
      <c r="AA6" s="52">
        <f>AA7-AA5</f>
        <v>250.72010746775294</v>
      </c>
      <c r="AB6" s="52">
        <f>AB7-AB5</f>
        <v>238.64642757775624</v>
      </c>
    </row>
    <row r="7">
      <c r="A7" s="2" t="inlineStr">
        <is>
          <t>Operating Expense</t>
        </is>
      </c>
      <c r="B7" s="52">
        <f>SUM(B5:B6)</f>
        <v>37.383</v>
      </c>
      <c r="C7" s="52">
        <f>SUM(C5:C6)</f>
        <v>38.837</v>
      </c>
      <c r="D7" s="52">
        <f>SUM(D5:D6)</f>
        <v>36.266999999999996</v>
      </c>
      <c r="E7" s="52">
        <f>SUM(E5:E6)</f>
        <v>51.741</v>
      </c>
      <c r="F7" s="52">
        <f>SUM(F5:F6)</f>
        <v>73.349</v>
      </c>
      <c r="G7" s="52">
        <f>SUM(G5:G6)</f>
        <v>114.35</v>
      </c>
      <c r="H7" s="52">
        <f>SUM(H5:H6)</f>
        <v>193.486</v>
      </c>
      <c r="I7" s="52">
        <f>SUM(I5:I6)</f>
        <v>284.466</v>
      </c>
      <c r="J7" s="52">
        <f>SUM(J5:J6)</f>
        <v>202.886</v>
      </c>
      <c r="K7" s="52">
        <f>SUM(K5:K6)</f>
        <v>208.206</v>
      </c>
      <c r="L7" s="52">
        <f>SUM(L5:L6)</f>
        <v>139.243</v>
      </c>
      <c r="M7" s="52">
        <f>SUM(M5:M6)</f>
        <v>892.317</v>
      </c>
      <c r="N7" s="52">
        <f>SUM(N5:N6)</f>
        <v>2832.866</v>
      </c>
      <c r="O7" s="52">
        <f>SUM(O5:O6)</f>
        <v>1723.969</v>
      </c>
      <c r="P7" s="52">
        <f>SUM(P5:P6)</f>
        <v>1206.4479999999999</v>
      </c>
      <c r="Q7" s="52">
        <f>SUM(Q5:Q6)</f>
        <v>728.354</v>
      </c>
      <c r="R7" s="52">
        <f>SUM(R5:R6)</f>
        <v>597.644</v>
      </c>
      <c r="S7" s="52">
        <f>S4-S2*NPV!C6</f>
        <v>1257.250521051</v>
      </c>
      <c r="T7" s="52">
        <f>T4-T2*NPV!D6</f>
        <v>1096.7870488743001</v>
      </c>
      <c r="U7" s="52">
        <f>U4-U2*NPV!E6</f>
        <v>969.1444348540238</v>
      </c>
      <c r="V7" s="52">
        <f>V4-V2*NPV!F6</f>
        <v>867.0058893775358</v>
      </c>
      <c r="W7" s="52">
        <f>W4-W2*NPV!G6</f>
        <v>784.8940684111976</v>
      </c>
      <c r="X7" s="52">
        <f>X4-X2*NPV!H6</f>
        <v>718.6645251177184</v>
      </c>
      <c r="Y7" s="52">
        <f>Y4-Y2*NPV!I6</f>
        <v>665.1442252011901</v>
      </c>
      <c r="Z7" s="52">
        <f>Z4-Z2*NPV!J6</f>
        <v>621.8694405161518</v>
      </c>
      <c r="AA7" s="52">
        <f>AA4-AA2*NPV!K6</f>
        <v>586.8916373308823</v>
      </c>
      <c r="AB7" s="52">
        <f>AB4-AB2*NPV!L6</f>
        <v>558.629278037819</v>
      </c>
    </row>
    <row r="8">
      <c r="A8" s="2" t="inlineStr">
        <is>
          <t>Operating Income</t>
        </is>
      </c>
      <c r="B8" s="52">
        <f>B4-B7</f>
        <v>-37.383</v>
      </c>
      <c r="C8" s="52">
        <f>C4-C7</f>
        <v>-38.494</v>
      </c>
      <c r="D8" s="52">
        <f>D4-D7</f>
        <v>-21.578999999999994</v>
      </c>
      <c r="E8" s="52">
        <f>E4-E7</f>
        <v>-29.665</v>
      </c>
      <c r="F8" s="52">
        <f>F4-F7</f>
        <v>-52.434000000000005</v>
      </c>
      <c r="G8" s="52">
        <f>G4-G7</f>
        <v>-83.691</v>
      </c>
      <c r="H8" s="52">
        <f>H4-H7</f>
        <v>-157.236</v>
      </c>
      <c r="I8" s="52">
        <f>I4-I7</f>
        <v>-269.113</v>
      </c>
      <c r="J8" s="52">
        <f>J4-J7</f>
        <v>-171.71</v>
      </c>
      <c r="K8" s="52">
        <f>K4-K7</f>
        <v>-173.918</v>
      </c>
      <c r="L8" s="52">
        <f>L4-L7</f>
        <v>-120.58099999999999</v>
      </c>
      <c r="M8" s="52">
        <f>M4-M7</f>
        <v>-416.719</v>
      </c>
      <c r="N8" s="52">
        <f>N4-N7</f>
        <v>-1686.576</v>
      </c>
      <c r="O8" s="52">
        <f>O4-O7</f>
        <v>-644.7359999999999</v>
      </c>
      <c r="P8" s="52">
        <f>P4-P7</f>
        <v>-566.5109999999997</v>
      </c>
      <c r="Q8" s="52">
        <f>Q4-Q7</f>
        <v>-248.93100000000004</v>
      </c>
      <c r="R8" s="52">
        <f>R4-R7</f>
        <v>452.7950000000001</v>
      </c>
      <c r="S8" s="52">
        <f>S4-S7</f>
        <v>-311.84294255099996</v>
      </c>
      <c r="T8" s="52">
        <f>T4-T7</f>
        <v>-232.78956741180002</v>
      </c>
      <c r="U8" s="52">
        <f>U4-U7</f>
        <v>-167.5467714971487</v>
      </c>
      <c r="V8" s="52">
        <f>V4-V7</f>
        <v>-112.16808971647845</v>
      </c>
      <c r="W8" s="52">
        <f>W4-W7</f>
        <v>-63.604615401742876</v>
      </c>
      <c r="X8" s="52">
        <f>X4-X7</f>
        <v>-19.414472061330343</v>
      </c>
      <c r="Y8" s="52">
        <f>Y4-Y7</f>
        <v>22.451660304258098</v>
      </c>
      <c r="Z8" s="52">
        <f>Z4-Z7</f>
        <v>63.816456418447956</v>
      </c>
      <c r="AA8" s="52">
        <f>AA4-AA7</f>
        <v>106.41299179187968</v>
      </c>
      <c r="AB8" s="52">
        <f>AB4-AB7</f>
        <v>152.007966813012</v>
      </c>
    </row>
    <row r="9">
      <c r="A9" s="18" t="inlineStr">
        <is>
          <t>Interest &amp; Other</t>
        </is>
      </c>
      <c r="B9" s="52" t="n">
        <v>-2.963</v>
      </c>
      <c r="C9" s="52" t="n">
        <v>3.236</v>
      </c>
      <c r="D9" s="52" t="n">
        <v>2.627</v>
      </c>
      <c r="E9" s="52" t="n">
        <v>1.158</v>
      </c>
      <c r="F9" s="52" t="n">
        <v>0.476</v>
      </c>
      <c r="G9" s="52" t="n">
        <v>0.744</v>
      </c>
      <c r="H9" s="52" t="n">
        <v>0.299</v>
      </c>
      <c r="I9" s="52" t="n">
        <v>-10.853</v>
      </c>
      <c r="J9" s="52" t="n">
        <v>-12.059</v>
      </c>
      <c r="K9" s="52" t="n">
        <v>-10.83</v>
      </c>
      <c r="L9" s="52" t="n">
        <v>-12.113</v>
      </c>
      <c r="M9" s="52" t="n">
        <v>-1.54</v>
      </c>
      <c r="N9" s="52" t="n">
        <v>-27.96</v>
      </c>
      <c r="O9" s="52" t="n">
        <v>-8.911</v>
      </c>
      <c r="P9" s="52" t="n">
        <v>23.48</v>
      </c>
      <c r="Q9" s="52" t="n">
        <v>72.316</v>
      </c>
      <c r="R9" s="52" t="n">
        <v>-10.628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-40.346000000000004</v>
      </c>
      <c r="C10" s="52">
        <f>C8+C9</f>
        <v>-35.258</v>
      </c>
      <c r="D10" s="52">
        <f>D8+D9</f>
        <v>-18.951999999999995</v>
      </c>
      <c r="E10" s="52">
        <f>E8+E9</f>
        <v>-28.506999999999998</v>
      </c>
      <c r="F10" s="52">
        <f>F8+F9</f>
        <v>-51.958000000000006</v>
      </c>
      <c r="G10" s="52">
        <f>G8+G9</f>
        <v>-82.947</v>
      </c>
      <c r="H10" s="52">
        <f>H8+H9</f>
        <v>-156.93699999999998</v>
      </c>
      <c r="I10" s="52">
        <f>I8+I9</f>
        <v>-279.966</v>
      </c>
      <c r="J10" s="52">
        <f>J8+J9</f>
        <v>-183.769</v>
      </c>
      <c r="K10" s="52">
        <f>K8+K9</f>
        <v>-184.74800000000002</v>
      </c>
      <c r="L10" s="52">
        <f>L8+L9</f>
        <v>-132.694</v>
      </c>
      <c r="M10" s="52">
        <f>M8+M9</f>
        <v>-418.259</v>
      </c>
      <c r="N10" s="52">
        <f>N8+N9</f>
        <v>-1714.536</v>
      </c>
      <c r="O10" s="52">
        <f>O8+O9</f>
        <v>-653.6469999999998</v>
      </c>
      <c r="P10" s="52">
        <f>P8+P9</f>
        <v>-543.0309999999997</v>
      </c>
      <c r="Q10" s="52">
        <f>Q8+Q9</f>
        <v>-176.61500000000004</v>
      </c>
      <c r="R10" s="52">
        <f>R8+R9</f>
        <v>442.1670000000001</v>
      </c>
      <c r="S10" s="52">
        <f>S8+S9</f>
        <v>-311.84294255099996</v>
      </c>
      <c r="T10" s="52">
        <f>T8+T9</f>
        <v>-232.78956741180002</v>
      </c>
      <c r="U10" s="52">
        <f>U8+U9</f>
        <v>-167.5467714971487</v>
      </c>
      <c r="V10" s="52">
        <f>V8+V9</f>
        <v>-112.16808971647845</v>
      </c>
      <c r="W10" s="52">
        <f>W8+W9</f>
        <v>-63.604615401742876</v>
      </c>
      <c r="X10" s="52">
        <f>X8+X9</f>
        <v>-19.414472061330343</v>
      </c>
      <c r="Y10" s="52">
        <f>Y8+Y9</f>
        <v>22.451660304258098</v>
      </c>
      <c r="Z10" s="52">
        <f>Z8+Z9</f>
        <v>63.816456418447956</v>
      </c>
      <c r="AA10" s="52">
        <f>AA8+AA9</f>
        <v>106.41299179187968</v>
      </c>
      <c r="AB10" s="52">
        <f>AB8+AB9</f>
        <v>152.007966813012</v>
      </c>
    </row>
    <row r="11">
      <c r="A11" s="2" t="inlineStr">
        <is>
          <t>Taxes</t>
        </is>
      </c>
      <c r="B11" s="52" t="n">
        <v>0</v>
      </c>
      <c r="C11" s="52" t="n">
        <v>0.45</v>
      </c>
      <c r="D11" s="52" t="n">
        <v>0.412</v>
      </c>
      <c r="E11" s="52" t="n">
        <v>0</v>
      </c>
      <c r="F11" s="52" t="n">
        <v>0.025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29.215</v>
      </c>
      <c r="O11" s="52" t="n">
        <v>4.292</v>
      </c>
      <c r="P11" s="52" t="n">
        <v>2.031</v>
      </c>
      <c r="Q11" s="52" t="n">
        <v>10.884</v>
      </c>
      <c r="R11" s="52" t="n">
        <v>1.865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3.8167822517238768</v>
      </c>
      <c r="Z11" s="52">
        <f>MAX(0,Z10)*Assumptions!$E$14</f>
        <v>10.848797591136153</v>
      </c>
      <c r="AA11" s="52">
        <f>MAX(0,AA10)*Assumptions!$E$14</f>
        <v>18.090208604619548</v>
      </c>
      <c r="AB11" s="52">
        <f>MAX(0,AB10)*Assumptions!$E$14</f>
        <v>25.84135435821204</v>
      </c>
    </row>
    <row r="12">
      <c r="A12" s="2" t="inlineStr">
        <is>
          <t>Net Income</t>
        </is>
      </c>
      <c r="B12" s="52" t="n">
        <v>-40.346</v>
      </c>
      <c r="C12" s="52" t="n">
        <v>-35.708</v>
      </c>
      <c r="D12" s="52" t="n">
        <v>-19.364</v>
      </c>
      <c r="E12" s="52" t="n">
        <v>-28.507</v>
      </c>
      <c r="F12" s="52" t="n">
        <v>-51.983</v>
      </c>
      <c r="G12" s="52" t="n">
        <v>-82.947</v>
      </c>
      <c r="H12" s="52" t="n">
        <v>-156.937</v>
      </c>
      <c r="I12" s="52" t="n">
        <v>-279.966</v>
      </c>
      <c r="J12" s="52" t="n">
        <v>-183.769</v>
      </c>
      <c r="K12" s="52" t="n">
        <v>-184.748</v>
      </c>
      <c r="L12" s="52" t="n">
        <v>-132.694</v>
      </c>
      <c r="M12" s="52" t="n">
        <v>-418.259</v>
      </c>
      <c r="N12" s="52" t="n">
        <v>-1743.751</v>
      </c>
      <c r="O12" s="52" t="n">
        <v>-657.939</v>
      </c>
      <c r="P12" s="52" t="n">
        <v>-545.062</v>
      </c>
      <c r="Q12" s="52" t="n">
        <v>-187.499</v>
      </c>
      <c r="R12" s="52" t="n">
        <v>440.302</v>
      </c>
      <c r="S12" s="52">
        <f>S10-S11</f>
        <v>-311.84294255099996</v>
      </c>
      <c r="T12" s="52">
        <f>T10-T11</f>
        <v>-232.78956741180002</v>
      </c>
      <c r="U12" s="52">
        <f>U10-U11</f>
        <v>-167.5467714971487</v>
      </c>
      <c r="V12" s="52">
        <f>V10-V11</f>
        <v>-112.16808971647845</v>
      </c>
      <c r="W12" s="52">
        <f>W10-W11</f>
        <v>-63.604615401742876</v>
      </c>
      <c r="X12" s="52">
        <f>X10-X11</f>
        <v>-19.414472061330343</v>
      </c>
      <c r="Y12" s="52">
        <f>Y10-Y11</f>
        <v>18.634878052534223</v>
      </c>
      <c r="Z12" s="52">
        <f>Z10-Z11</f>
        <v>52.9676588273118</v>
      </c>
      <c r="AA12" s="52">
        <f>AA10-AA11</f>
        <v>88.32278318726013</v>
      </c>
      <c r="AB12" s="52">
        <f>AB10-AB11</f>
        <v>126.16661245479995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-0.34082926084300547</v>
      </c>
      <c r="D13" s="11">
        <f>IFERROR(D12/D14,0)</f>
        <v>-0.17044274271631019</v>
      </c>
      <c r="E13" s="11">
        <f>IFERROR(E12/E14,0)</f>
        <v>-0.21641133868788243</v>
      </c>
      <c r="F13" s="11">
        <f>IFERROR(F12/F14,0)</f>
        <v>-0.3063987551426988</v>
      </c>
      <c r="G13" s="11">
        <f>IFERROR(G12/G14,0)</f>
        <v>-0.3672691367645496</v>
      </c>
      <c r="H13" s="11">
        <f>IFERROR(H12/H14,0)</f>
        <v>-0.5984297306366494</v>
      </c>
      <c r="I13" s="11">
        <f>IFERROR(I12/I14,0)</f>
        <v>-1.03384022274577</v>
      </c>
      <c r="J13" s="11">
        <f>IFERROR(J12/J14,0)</f>
        <v>-12.558532085013328</v>
      </c>
      <c r="K13" s="11">
        <f>IFERROR(K12/K14,0)</f>
        <v>-9.99286023366508</v>
      </c>
      <c r="L13" s="11">
        <f>IFERROR(L12/L14,0)</f>
        <v>-5.505975103734439</v>
      </c>
      <c r="M13" s="11">
        <f>IFERROR(M12/M14,0)</f>
        <v>-7.267244674566494</v>
      </c>
      <c r="N13" s="11">
        <f>IFERROR(N12/N14,0)</f>
        <v>-23.43751344086021</v>
      </c>
      <c r="O13" s="11">
        <f>IFERROR(O12/O14,0)</f>
        <v>-8.415371628103294</v>
      </c>
      <c r="P13" s="11">
        <f>IFERROR(P12/P14,0)</f>
        <v>-5.409078278818673</v>
      </c>
      <c r="Q13" s="11">
        <f>IFERROR(Q12/Q14,0)</f>
        <v>-1.2320060450752348</v>
      </c>
      <c r="R13" s="11">
        <f>IFERROR(R12/R14,0)</f>
        <v>2.5435838778068547</v>
      </c>
      <c r="S13" s="11">
        <f>IFERROR(S12/S14,0)</f>
        <v>-1.8905791020677913</v>
      </c>
      <c r="T13" s="11">
        <f>IFERROR(T12/T14,0)</f>
        <v>-1.4113100900341002</v>
      </c>
      <c r="U13" s="11">
        <f>IFERROR(U12/U14,0)</f>
        <v>-1.0157690990862576</v>
      </c>
      <c r="V13" s="11">
        <f>IFERROR(V12/V14,0)</f>
        <v>-0.6800302889720128</v>
      </c>
      <c r="W13" s="11">
        <f>IFERROR(W12/W14,0)</f>
        <v>-0.3856093573576006</v>
      </c>
      <c r="X13" s="11">
        <f>IFERROR(X12/X14,0)</f>
        <v>-0.11770218320982953</v>
      </c>
      <c r="Y13" s="11">
        <f>IFERROR(Y12/Y14,0)</f>
        <v>0.11297581637571029</v>
      </c>
      <c r="Z13" s="11">
        <f>IFERROR(Z12/Z14,0)</f>
        <v>0.3211217417498396</v>
      </c>
      <c r="AA13" s="11">
        <f>IFERROR(AA12/AA14,0)</f>
        <v>0.5354657276009693</v>
      </c>
      <c r="AB13" s="11">
        <f>IFERROR(AB12/AB14,0)</f>
        <v>0.7648977364518068</v>
      </c>
    </row>
    <row r="14">
      <c r="A14" s="2" t="inlineStr">
        <is>
          <t>Shares</t>
        </is>
      </c>
      <c r="B14" s="52" t="n"/>
      <c r="C14" s="52" t="n">
        <v>104.768</v>
      </c>
      <c r="D14" s="52" t="n">
        <v>113.61</v>
      </c>
      <c r="E14" s="52" t="n">
        <v>131.726</v>
      </c>
      <c r="F14" s="52" t="n">
        <v>169.658</v>
      </c>
      <c r="G14" s="52" t="n">
        <v>225.848</v>
      </c>
      <c r="H14" s="52" t="n">
        <v>262.248</v>
      </c>
      <c r="I14" s="52" t="n">
        <v>270.802</v>
      </c>
      <c r="J14" s="52" t="n">
        <v>14.633</v>
      </c>
      <c r="K14" s="52" t="n">
        <v>18.488</v>
      </c>
      <c r="L14" s="52" t="n">
        <v>24.1</v>
      </c>
      <c r="M14" s="52" t="n">
        <v>57.554</v>
      </c>
      <c r="N14" s="52" t="n">
        <v>74.40000000000001</v>
      </c>
      <c r="O14" s="52" t="n">
        <v>78.18300000000001</v>
      </c>
      <c r="P14" s="52" t="n">
        <v>100.768</v>
      </c>
      <c r="Q14" s="52" t="n">
        <v>152.19</v>
      </c>
      <c r="R14" s="52" t="n">
        <v>173.103</v>
      </c>
      <c r="S14" s="52">
        <f>Main!$C$4</f>
        <v>164.945726</v>
      </c>
      <c r="T14" s="52">
        <f>Main!$C$4</f>
        <v>164.945726</v>
      </c>
      <c r="U14" s="52">
        <f>Main!$C$4</f>
        <v>164.945726</v>
      </c>
      <c r="V14" s="52">
        <f>Main!$C$4</f>
        <v>164.945726</v>
      </c>
      <c r="W14" s="52">
        <f>Main!$C$4</f>
        <v>164.945726</v>
      </c>
      <c r="X14" s="52">
        <f>Main!$C$4</f>
        <v>164.945726</v>
      </c>
      <c r="Y14" s="52">
        <f>Main!$C$4</f>
        <v>164.945726</v>
      </c>
      <c r="Z14" s="52">
        <f>Main!$C$4</f>
        <v>164.945726</v>
      </c>
      <c r="AA14" s="52">
        <f>Main!$C$4</f>
        <v>164.945726</v>
      </c>
      <c r="AB14" s="52">
        <f>Main!$C$4</f>
        <v>164.945726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41.82215743440233</v>
      </c>
      <c r="E16" s="15">
        <f>IFERROR(E2/D2-1,"")</f>
        <v>0.502995642701525</v>
      </c>
      <c r="F16" s="15">
        <f>IFERROR(F2/E2-1,"")</f>
        <v>-0.05259104910309842</v>
      </c>
      <c r="G16" s="15">
        <f>IFERROR(G2/F2-1,"")</f>
        <v>0.4658857279464499</v>
      </c>
      <c r="H16" s="15">
        <f>IFERROR(H2/G2-1,"")</f>
        <v>0.1823608075932026</v>
      </c>
      <c r="I16" s="15">
        <f>IFERROR(I2/H2-1,"")</f>
        <v>-0.5764689655172414</v>
      </c>
      <c r="J16" s="15">
        <f>IFERROR(J2/I2-1,"")</f>
        <v>1.0306129095290824</v>
      </c>
      <c r="K16" s="15">
        <f>IFERROR(K2/J2-1,"")</f>
        <v>0.09982037464716442</v>
      </c>
      <c r="L16" s="15">
        <f>IFERROR(L2/K2-1,"")</f>
        <v>-0.45572795146990197</v>
      </c>
      <c r="M16" s="15">
        <f>IFERROR(M2/L2-1,"")</f>
        <v>24.484835494587934</v>
      </c>
      <c r="N16" s="15">
        <f>IFERROR(N2/M2-1,"")</f>
        <v>1.4102077805205235</v>
      </c>
      <c r="O16" s="15">
        <f>IFERROR(O2/N2-1,"")</f>
        <v>0.7289446824102104</v>
      </c>
      <c r="P16" s="15">
        <f>IFERROR(P2/O2-1,"")</f>
        <v>-0.5036485706443201</v>
      </c>
      <c r="Q16" s="15">
        <f>IFERROR(Q2/P2-1,"")</f>
        <v>-0.30653803731809837</v>
      </c>
      <c r="R16" s="15">
        <f>IFERROR(R2/Q2-1,"")</f>
        <v>0.6469387037096759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-0.05833333333333335</v>
      </c>
      <c r="W16" s="15">
        <f>IFERROR(W2/V2-1,"")</f>
        <v>-0.04444444444444451</v>
      </c>
      <c r="X16" s="15">
        <f>IFERROR(X2/W2-1,"")</f>
        <v>-0.030555555555555558</v>
      </c>
      <c r="Y16" s="15">
        <f>IFERROR(Y2/X2-1,"")</f>
        <v>-0.01666666666666672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0.5445523222488637</v>
      </c>
      <c r="P17" s="15">
        <f>IFERROR(P4/P2,"")</f>
        <v>0.6505375087043372</v>
      </c>
      <c r="Q17" s="15">
        <f>IFERROR(Q4/Q2,"")</f>
        <v>0.7027993350553094</v>
      </c>
      <c r="R17" s="15">
        <f>IFERROR(R4/R2,"")</f>
        <v>0.9349876588703483</v>
      </c>
      <c r="S17" s="15">
        <f>IFERROR(S4/S2,"")</f>
        <v>0.935</v>
      </c>
      <c r="T17" s="15">
        <f>IFERROR(T4/T2,"")</f>
        <v>0.935</v>
      </c>
      <c r="U17" s="15">
        <f>IFERROR(U4/U2,"")</f>
        <v>0.9349999999999999</v>
      </c>
      <c r="V17" s="15">
        <f>IFERROR(V4/V2,"")</f>
        <v>0.935</v>
      </c>
      <c r="W17" s="15">
        <f>IFERROR(W4/W2,"")</f>
        <v>0.935</v>
      </c>
      <c r="X17" s="15">
        <f>IFERROR(X4/X2,"")</f>
        <v>0.935</v>
      </c>
      <c r="Y17" s="15">
        <f>IFERROR(Y4/Y2,"")</f>
        <v>0.935</v>
      </c>
      <c r="Z17" s="15">
        <f>IFERROR(Z4/Z2,"")</f>
        <v>0.935</v>
      </c>
      <c r="AA17" s="15">
        <f>IFERROR(AA4/AA2,"")</f>
        <v>0.935</v>
      </c>
      <c r="AB17" s="15">
        <f>IFERROR(AB4/AB2,"")</f>
        <v>0.9349999999999999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-112.22740524781341</v>
      </c>
      <c r="D18" s="15">
        <f>IFERROR(D8/D2,"")</f>
        <v>-1.4691584967320257</v>
      </c>
      <c r="E18" s="15">
        <f>IFERROR(E8/E2,"")</f>
        <v>-1.343766986772966</v>
      </c>
      <c r="F18" s="15">
        <f>IFERROR(F8/F2,"")</f>
        <v>-2.5070045421945975</v>
      </c>
      <c r="G18" s="15">
        <f>IFERROR(G8/G2,"")</f>
        <v>-2.7297367820215923</v>
      </c>
      <c r="H18" s="15">
        <f>IFERROR(H8/H2,"")</f>
        <v>-4.337544827586207</v>
      </c>
      <c r="I18" s="15">
        <f>IFERROR(I8/I2,"")</f>
        <v>-17.528365791701948</v>
      </c>
      <c r="J18" s="15">
        <f>IFERROR(J8/J2,"")</f>
        <v>-5.507762381318964</v>
      </c>
      <c r="K18" s="15">
        <f>IFERROR(K8/K2,"")</f>
        <v>-5.072270181987868</v>
      </c>
      <c r="L18" s="15">
        <f>IFERROR(L8/L2,"")</f>
        <v>-6.461311756510556</v>
      </c>
      <c r="M18" s="15">
        <f>IFERROR(M8/M2,"")</f>
        <v>-0.8762000681247608</v>
      </c>
      <c r="N18" s="15">
        <f>IFERROR(N8/N2,"")</f>
        <v>-1.471334479058528</v>
      </c>
      <c r="O18" s="15">
        <f>IFERROR(O8/O2,"")</f>
        <v>-0.32531667029959543</v>
      </c>
      <c r="P18" s="15">
        <f>IFERROR(P8/P2,"")</f>
        <v>-0.5758952124874832</v>
      </c>
      <c r="Q18" s="15">
        <f>IFERROR(Q8/Q2,"")</f>
        <v>-0.3649147856374293</v>
      </c>
      <c r="R18" s="15">
        <f>IFERROR(R8/R2,"")</f>
        <v>0.4030293401122763</v>
      </c>
      <c r="S18" s="15">
        <f>IFERROR(S8/S2,"")</f>
        <v>-0.30840999999999996</v>
      </c>
      <c r="T18" s="15">
        <f>IFERROR(T8/T2,"")</f>
        <v>-0.25192000000000003</v>
      </c>
      <c r="U18" s="15">
        <f>IFERROR(U8/U2,"")</f>
        <v>-0.19542999999999994</v>
      </c>
      <c r="V18" s="15">
        <f>IFERROR(V8/V2,"")</f>
        <v>-0.13894000000000006</v>
      </c>
      <c r="W18" s="15">
        <f>IFERROR(W8/W2,"")</f>
        <v>-0.08245000000000006</v>
      </c>
      <c r="X18" s="15">
        <f>IFERROR(X8/X2,"")</f>
        <v>-0.025960000000000052</v>
      </c>
      <c r="Y18" s="15">
        <f>IFERROR(Y8/Y2,"")</f>
        <v>0.03052999999999998</v>
      </c>
      <c r="Z18" s="15">
        <f>IFERROR(Z8/Z2,"")</f>
        <v>0.08701999999999996</v>
      </c>
      <c r="AA18" s="15">
        <f>IFERROR(AA8/AA2,"")</f>
        <v>0.1435099999999999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Novavax,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-0.3649</v>
      </c>
    </row>
    <row r="19">
      <c r="A19" s="14" t="inlineStr">
        <is>
          <t>Gross margin (forecast)</t>
        </is>
      </c>
      <c r="B19" s="53" t="n">
        <v>0.9350000000000001</v>
      </c>
    </row>
    <row r="20">
      <c r="A20" s="14" t="inlineStr">
        <is>
          <t>R&amp;D share of operating expense (forecast)</t>
        </is>
      </c>
      <c r="B20" s="53" t="n">
        <v>0.5728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1123.479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97.25415330963165</v>
      </c>
      <c r="C29" s="56">
        <f>NPV!B26</f>
        <v>525.1041533096316</v>
      </c>
      <c r="D29" s="35">
        <f>NPV!B28</f>
        <v>3.183496572136895</v>
      </c>
      <c r="E29" s="57">
        <f>NPV!B30</f>
        <v>-0.7214788650798867</v>
      </c>
    </row>
    <row r="30">
      <c r="A30" s="58" t="n">
        <v>1</v>
      </c>
      <c r="B30" s="59">
        <f t="dataTable" ref="B30:E32" r1="B4"/>
        <v>-219.02876942718675</v>
      </c>
      <c r="C30" s="59">
        <v>208.8212305728132</v>
      </c>
      <c r="D30" s="39">
        <v>1.2659996450760609</v>
      </c>
      <c r="E30" s="60">
        <v>-0.8892388761963201</v>
      </c>
    </row>
    <row r="31">
      <c r="A31" s="58" t="n">
        <v>2</v>
      </c>
      <c r="B31" s="59">
        <v>97.25415330963165</v>
      </c>
      <c r="C31" s="59">
        <v>525.1041533096316</v>
      </c>
      <c r="D31" s="39">
        <v>3.183496572136895</v>
      </c>
      <c r="E31" s="60">
        <v>-0.7214788650798867</v>
      </c>
    </row>
    <row r="32">
      <c r="A32" s="58" t="n">
        <v>3</v>
      </c>
      <c r="B32" s="59">
        <v>817.9701724225711</v>
      </c>
      <c r="C32" s="59">
        <v>1245.820172422571</v>
      </c>
      <c r="D32" s="39">
        <v>7.552909691170603</v>
      </c>
      <c r="E32" s="60">
        <v>-0.3392030016473663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3.183496572136895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4.157962128636285</v>
      </c>
      <c r="C37" s="39">
        <v>4.560461739177247</v>
      </c>
      <c r="D37" s="39">
        <v>5.02788808957044</v>
      </c>
      <c r="E37" s="39">
        <v>5.576508849124951</v>
      </c>
      <c r="F37" s="39">
        <v>6.228507669031855</v>
      </c>
    </row>
    <row r="38">
      <c r="A38" s="62" t="n">
        <v>0.1</v>
      </c>
      <c r="B38" s="39">
        <v>3.3380308035906623</v>
      </c>
      <c r="C38" s="39">
        <v>3.6309779974529537</v>
      </c>
      <c r="D38" s="39">
        <v>3.9654617212725163</v>
      </c>
      <c r="E38" s="39">
        <v>4.350411619324511</v>
      </c>
      <c r="F38" s="39">
        <v>4.797505286953373</v>
      </c>
    </row>
    <row r="39">
      <c r="A39" s="62" t="n">
        <v>0.11</v>
      </c>
      <c r="B39" s="39">
        <v>2.7171695471142474</v>
      </c>
      <c r="C39" s="39">
        <v>2.936396502779904</v>
      </c>
      <c r="D39" s="39">
        <v>3.183496572136895</v>
      </c>
      <c r="E39" s="39">
        <v>3.4637197779998505</v>
      </c>
      <c r="F39" s="39">
        <v>3.7837164476613774</v>
      </c>
    </row>
    <row r="40">
      <c r="A40" s="62" t="n">
        <v>0.12</v>
      </c>
      <c r="B40" s="39">
        <v>2.2367947571211317</v>
      </c>
      <c r="C40" s="39">
        <v>2.4044243287112375</v>
      </c>
      <c r="D40" s="39">
        <v>2.591475109766563</v>
      </c>
      <c r="E40" s="39">
        <v>2.8012038808802666</v>
      </c>
      <c r="F40" s="39">
        <v>3.037633970347649</v>
      </c>
    </row>
    <row r="41">
      <c r="A41" s="62" t="n">
        <v>0.13</v>
      </c>
      <c r="B41" s="39">
        <v>1.8588353512077045</v>
      </c>
      <c r="C41" s="39">
        <v>1.9892012639243741</v>
      </c>
      <c r="D41" s="39">
        <v>2.1335166980658804</v>
      </c>
      <c r="E41" s="39">
        <v>2.293890955342878</v>
      </c>
      <c r="F41" s="39">
        <v>2.4728776074439303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Novavax,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0.4030293401122763</v>
      </c>
      <c r="C6" s="63">
        <f>Assumptions!$B$18+(Assumptions!$E$13-Assumptions!$B$18)*C4/Assumptions!$B$21</f>
        <v>-0.30841</v>
      </c>
      <c r="D6" s="63">
        <f>Assumptions!$B$18+(Assumptions!$E$13-Assumptions!$B$18)*D4/Assumptions!$B$21</f>
        <v>-0.25192000000000003</v>
      </c>
      <c r="E6" s="63">
        <f>Assumptions!$B$18+(Assumptions!$E$13-Assumptions!$B$18)*E4/Assumptions!$B$21</f>
        <v>-0.19543000000000002</v>
      </c>
      <c r="F6" s="63">
        <f>Assumptions!$B$18+(Assumptions!$E$13-Assumptions!$B$18)*F4/Assumptions!$B$21</f>
        <v>-0.13894</v>
      </c>
      <c r="G6" s="63">
        <f>Assumptions!$B$18+(Assumptions!$E$13-Assumptions!$B$18)*G4/Assumptions!$B$21</f>
        <v>-0.08245000000000002</v>
      </c>
      <c r="H6" s="63">
        <f>Assumptions!$B$18+(Assumptions!$E$13-Assumptions!$B$18)*H4/Assumptions!$B$21</f>
        <v>-0.02596000000000004</v>
      </c>
      <c r="I6" s="63">
        <f>Assumptions!$B$18+(Assumptions!$E$13-Assumptions!$B$18)*I4/Assumptions!$B$21</f>
        <v>0.03053</v>
      </c>
      <c r="J6" s="63">
        <f>Assumptions!$B$18+(Assumptions!$E$13-Assumptions!$B$18)*J4/Assumptions!$B$21</f>
        <v>0.08701999999999999</v>
      </c>
      <c r="K6" s="63">
        <f>Assumptions!$B$18+(Assumptions!$E$13-Assumptions!$B$18)*K4/Assumptions!$B$21</f>
        <v>0.14350999999999992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Model'!R2</f>
        <v>1123.479</v>
      </c>
      <c r="C7" s="55">
        <f>'Yearly Model'!S2</f>
        <v>1011.1311000000001</v>
      </c>
      <c r="D7" s="55">
        <f>'Yearly Model'!T2</f>
        <v>924.0614775</v>
      </c>
      <c r="E7" s="55">
        <f>'Yearly Model'!U2</f>
        <v>857.3237041250001</v>
      </c>
      <c r="F7" s="55">
        <f>'Yearly Model'!V2</f>
        <v>807.3131547177084</v>
      </c>
      <c r="G7" s="55">
        <f>'Yearly Model'!W2</f>
        <v>771.432570063588</v>
      </c>
      <c r="H7" s="55">
        <f>'Yearly Model'!X2</f>
        <v>747.861019311645</v>
      </c>
      <c r="I7" s="55">
        <f>'Yearly Model'!Y2</f>
        <v>735.3966689897842</v>
      </c>
      <c r="J7" s="55">
        <f>'Yearly Model'!Z2</f>
        <v>733.3539004648126</v>
      </c>
      <c r="K7" s="55">
        <f>'Yearly Model'!AA2</f>
        <v>741.5022771366438</v>
      </c>
      <c r="L7" s="55">
        <f>'Yearly Model'!AB2</f>
        <v>760.0398340650598</v>
      </c>
    </row>
    <row r="8">
      <c r="A8" s="14" t="inlineStr">
        <is>
          <t>Operating income</t>
        </is>
      </c>
      <c r="B8" s="55">
        <f>'Yearly Model'!R8</f>
        <v>452.7950000000001</v>
      </c>
      <c r="C8" s="55">
        <f>'Yearly Model'!S8</f>
        <v>-311.84294255099996</v>
      </c>
      <c r="D8" s="55">
        <f>'Yearly Model'!T8</f>
        <v>-232.78956741180002</v>
      </c>
      <c r="E8" s="55">
        <f>'Yearly Model'!U8</f>
        <v>-167.5467714971487</v>
      </c>
      <c r="F8" s="55">
        <f>'Yearly Model'!V8</f>
        <v>-112.16808971647845</v>
      </c>
      <c r="G8" s="55">
        <f>'Yearly Model'!W8</f>
        <v>-63.604615401742876</v>
      </c>
      <c r="H8" s="55">
        <f>'Yearly Model'!X8</f>
        <v>-19.414472061330343</v>
      </c>
      <c r="I8" s="55">
        <f>'Yearly Model'!Y8</f>
        <v>22.451660304258098</v>
      </c>
      <c r="J8" s="55">
        <f>'Yearly Model'!Z8</f>
        <v>63.816456418447956</v>
      </c>
      <c r="K8" s="55">
        <f>'Yearly Model'!AA8</f>
        <v>106.41299179187968</v>
      </c>
      <c r="L8" s="55">
        <f>'Yearly Model'!AB8</f>
        <v>152.007966813012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3.8167822517238768</v>
      </c>
      <c r="J9" s="52">
        <f>MAX(0,J8)*Assumptions!$E$14</f>
        <v>10.848797591136153</v>
      </c>
      <c r="K9" s="52">
        <f>MAX(0,K8)*Assumptions!$E$14</f>
        <v>18.090208604619548</v>
      </c>
      <c r="L9" s="52">
        <f>MAX(0,L8)*Assumptions!$E$14</f>
        <v>25.84135435821204</v>
      </c>
    </row>
    <row r="10">
      <c r="A10" s="14" t="inlineStr">
        <is>
          <t>NOPAT</t>
        </is>
      </c>
      <c r="C10" s="52">
        <f>C8-C9</f>
        <v>-311.84294255099996</v>
      </c>
      <c r="D10" s="52">
        <f>D8-D9</f>
        <v>-232.78956741180002</v>
      </c>
      <c r="E10" s="52">
        <f>E8-E9</f>
        <v>-167.5467714971487</v>
      </c>
      <c r="F10" s="52">
        <f>F8-F9</f>
        <v>-112.16808971647845</v>
      </c>
      <c r="G10" s="52">
        <f>G8-G9</f>
        <v>-63.604615401742876</v>
      </c>
      <c r="H10" s="52">
        <f>H8-H9</f>
        <v>-19.414472061330343</v>
      </c>
      <c r="I10" s="52">
        <f>I8-I9</f>
        <v>18.634878052534223</v>
      </c>
      <c r="J10" s="52">
        <f>J8-J9</f>
        <v>52.9676588273118</v>
      </c>
      <c r="K10" s="52">
        <f>K8-K9</f>
        <v>88.32278318726013</v>
      </c>
      <c r="L10" s="52">
        <f>L8-L9</f>
        <v>126.16661245479995</v>
      </c>
    </row>
    <row r="11">
      <c r="A11" s="14" t="inlineStr">
        <is>
          <t>Reinvestment</t>
        </is>
      </c>
      <c r="C11" s="52">
        <f>(C7-B7)*Assumptions!$E$15</f>
        <v>-28.086974999999995</v>
      </c>
      <c r="D11" s="52">
        <f>(D7-C7)*Assumptions!$E$15</f>
        <v>-21.76740562500001</v>
      </c>
      <c r="E11" s="52">
        <f>(E7-D7)*Assumptions!$E$15</f>
        <v>-16.68444334374999</v>
      </c>
      <c r="F11" s="52">
        <f>(F7-E7)*Assumptions!$E$15</f>
        <v>-12.502637351822926</v>
      </c>
      <c r="G11" s="52">
        <f>(G7-F7)*Assumptions!$E$15</f>
        <v>-8.970146163530103</v>
      </c>
      <c r="H11" s="52">
        <f>(H7-G7)*Assumptions!$E$15</f>
        <v>-5.892887687985734</v>
      </c>
      <c r="I11" s="52">
        <f>(I7-H7)*Assumptions!$E$15</f>
        <v>-3.116087580465205</v>
      </c>
      <c r="J11" s="52">
        <f>(J7-I7)*Assumptions!$E$15</f>
        <v>-0.5106921312429051</v>
      </c>
      <c r="K11" s="52">
        <f>(K7-J7)*Assumptions!$E$15</f>
        <v>2.037094167957804</v>
      </c>
      <c r="L11" s="52">
        <f>(L7-K7)*Assumptions!$E$15</f>
        <v>4.634389232104013</v>
      </c>
    </row>
    <row r="12">
      <c r="A12" s="20" t="inlineStr">
        <is>
          <t>Free cash flow</t>
        </is>
      </c>
      <c r="C12" s="64">
        <f>C10-C11</f>
        <v>-283.75596755099997</v>
      </c>
      <c r="D12" s="64">
        <f>D10-D11</f>
        <v>-211.0221617868</v>
      </c>
      <c r="E12" s="64">
        <f>E10-E11</f>
        <v>-150.86232815339872</v>
      </c>
      <c r="F12" s="64">
        <f>F10-F11</f>
        <v>-99.66545236465552</v>
      </c>
      <c r="G12" s="64">
        <f>G10-G11</f>
        <v>-54.63446923821277</v>
      </c>
      <c r="H12" s="64">
        <f>H10-H11</f>
        <v>-13.52158437334461</v>
      </c>
      <c r="I12" s="64">
        <f>I10-I11</f>
        <v>21.750965632999428</v>
      </c>
      <c r="J12" s="64">
        <f>J10-J11</f>
        <v>53.47835095855471</v>
      </c>
      <c r="K12" s="64">
        <f>K10-K11</f>
        <v>86.28568901930232</v>
      </c>
      <c r="L12" s="64">
        <f>L10-L11</f>
        <v>121.53222322269593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-139.32788494620277</v>
      </c>
      <c r="D16" s="64">
        <f>D12*D13*D15</f>
        <v>-190.0287295216576</v>
      </c>
      <c r="E16" s="64">
        <f>E12*E13*E15</f>
        <v>-122.39087053178373</v>
      </c>
      <c r="F16" s="64">
        <f>F12*F13*F15</f>
        <v>-72.843345189798</v>
      </c>
      <c r="G16" s="64">
        <f>G12*G13*G15</f>
        <v>-35.97402142703628</v>
      </c>
      <c r="H16" s="64">
        <f>H12*H13*H15</f>
        <v>-8.020969488636382</v>
      </c>
      <c r="I16" s="64">
        <f>I12*I13*I15</f>
        <v>11.623979764870356</v>
      </c>
      <c r="J16" s="64">
        <f>J12*J13*J15</f>
        <v>25.747278538373187</v>
      </c>
      <c r="K16" s="64">
        <f>K12*K13*K15</f>
        <v>37.42562975930414</v>
      </c>
      <c r="L16" s="64">
        <f>L12*L13*L15</f>
        <v>47.48963256110869</v>
      </c>
    </row>
    <row r="19">
      <c r="A19" s="14" t="inlineStr">
        <is>
          <t>PV of forecast free cash flow</t>
        </is>
      </c>
      <c r="B19" s="52">
        <f>SUM(C16:L16)</f>
        <v>-446.29930048145843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124.5705288032633</v>
      </c>
    </row>
    <row r="21">
      <c r="A21" s="14" t="inlineStr">
        <is>
          <t>Terminal value</t>
        </is>
      </c>
      <c r="B21" s="52">
        <f>B20/(Assumptions!$E$10-Assumptions!$E$11)</f>
        <v>1465.5356329795684</v>
      </c>
    </row>
    <row r="22">
      <c r="A22" s="14" t="inlineStr">
        <is>
          <t>PV of terminal value</t>
        </is>
      </c>
      <c r="B22" s="52">
        <f>B21/(1+Assumptions!$E$10)^(L14+0.5)</f>
        <v>543.5534537910901</v>
      </c>
    </row>
    <row r="23">
      <c r="A23" s="20" t="inlineStr">
        <is>
          <t>Enterprise value</t>
        </is>
      </c>
      <c r="B23" s="66">
        <f>B19+B22</f>
        <v>97.25415330963165</v>
      </c>
    </row>
    <row r="24">
      <c r="A24" s="14" t="inlineStr">
        <is>
          <t>Cash &amp; investments</t>
        </is>
      </c>
      <c r="B24" s="55">
        <f>Main!C7</f>
        <v>719.3399999999999</v>
      </c>
    </row>
    <row r="25">
      <c r="A25" s="14" t="inlineStr">
        <is>
          <t>Debt</t>
        </is>
      </c>
      <c r="B25" s="55">
        <f>Main!C8</f>
        <v>291.49</v>
      </c>
    </row>
    <row r="26">
      <c r="A26" s="20" t="inlineStr">
        <is>
          <t>Equity value</t>
        </is>
      </c>
      <c r="B26" s="66">
        <f>B23+B24-B25</f>
        <v>525.1041533096316</v>
      </c>
    </row>
    <row r="27">
      <c r="A27" s="14" t="inlineStr">
        <is>
          <t>Shares (mm)</t>
        </is>
      </c>
      <c r="B27" s="55">
        <f>Main!C4</f>
        <v>164.945726</v>
      </c>
    </row>
    <row r="28">
      <c r="A28" s="20" t="inlineStr">
        <is>
          <t>NPV / share</t>
        </is>
      </c>
      <c r="B28" s="49">
        <f>B26/B27</f>
        <v>3.183496572136895</v>
      </c>
    </row>
    <row r="29">
      <c r="A29" s="14" t="inlineStr">
        <is>
          <t>Price</t>
        </is>
      </c>
      <c r="B29" s="50">
        <f>Main!C3</f>
        <v>11.43</v>
      </c>
    </row>
    <row r="30">
      <c r="A30" s="14" t="inlineStr">
        <is>
          <t>Upside</t>
        </is>
      </c>
      <c r="B30" s="63">
        <f>B28/B29-1</f>
        <v>-0.7214788650798867</v>
      </c>
    </row>
    <row r="31">
      <c r="A31" s="14" t="inlineStr">
        <is>
          <t>Terminal value, % of EV</t>
        </is>
      </c>
      <c r="B31" s="63">
        <f>IFERROR(B22/B23,0)</f>
        <v>5.588999906878618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2026-10-21T01:04:30Z</dcterms:modified>
  <cp:lastModifiedBy>Wang, Eric</cp:lastModifiedBy>
</cp:coreProperties>
</file>