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Arrowhead Pharmaceuticals, Inc.</t>
        </is>
      </c>
      <c r="C2" s="10" t="n"/>
    </row>
    <row r="3">
      <c r="B3" t="inlineStr">
        <is>
          <t>Price</t>
        </is>
      </c>
      <c r="C3" s="11">
        <f>INDEX([1]Pharma!$F$1:$F$1000,MATCH("ARWR",[1]Pharma!$B$1:$B$1000,0))</f>
        <v>58.92</v>
      </c>
      <c r="F3" s="1" t="n"/>
    </row>
    <row r="4">
      <c r="B4" t="inlineStr">
        <is>
          <t>Shares</t>
        </is>
      </c>
      <c r="C4" s="21" t="n">
        <v>141.254467</v>
      </c>
      <c r="F4" s="1" t="n"/>
    </row>
    <row r="5">
      <c r="B5" t="inlineStr">
        <is>
          <t>Market Cap.</t>
        </is>
      </c>
      <c r="C5" s="13">
        <f>C3*C4</f>
        <v>8322.71319564</v>
      </c>
      <c r="F5" s="1" t="n"/>
    </row>
    <row r="6"/>
    <row r="7">
      <c r="B7" t="inlineStr">
        <is>
          <t>Cash</t>
        </is>
      </c>
      <c r="C7" s="21">
        <f>54.759+1547.201</f>
        <v>1601.96</v>
      </c>
    </row>
    <row r="8">
      <c r="B8" t="inlineStr">
        <is>
          <t>Debt</t>
        </is>
      </c>
      <c r="C8" s="21">
        <f>40+682.707+141.366</f>
        <v>864.073</v>
      </c>
    </row>
    <row r="9">
      <c r="B9" t="inlineStr">
        <is>
          <t>Enterprise V.</t>
        </is>
      </c>
      <c r="C9" s="13">
        <f>C5-C7+C8</f>
        <v>7584.826195640001</v>
      </c>
    </row>
    <row r="10"/>
    <row r="11">
      <c r="B11" s="14" t="inlineStr">
        <is>
          <t>Net Cash / Share</t>
        </is>
      </c>
      <c r="C11" s="11">
        <f>(C7-C8)/C4</f>
        <v>5.223813559113851</v>
      </c>
    </row>
    <row r="12">
      <c r="B12" s="14" t="inlineStr">
        <is>
          <t>Upside</t>
        </is>
      </c>
      <c r="C12" s="15">
        <f>IFERROR(C11/C3-1,"")</f>
        <v>-0.9113405709586923</v>
      </c>
    </row>
    <row r="13">
      <c r="B13" s="14" t="inlineStr">
        <is>
          <t>Cash / Share</t>
        </is>
      </c>
      <c r="C13" s="11">
        <f>IFERROR((C7-C8)/C4,"")</f>
        <v>5.223813559113851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-59.055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12.49491152315638</v>
      </c>
    </row>
    <row r="19">
      <c r="B19" s="14" t="inlineStr">
        <is>
          <t>Implied Pipeline Value</t>
        </is>
      </c>
      <c r="C19" s="13">
        <f>C9</f>
        <v>7584.826195640001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2003</v>
      </c>
      <c r="C1" s="17" t="n">
        <v>2004</v>
      </c>
      <c r="D1" s="17" t="n">
        <v>2005</v>
      </c>
      <c r="E1" s="17" t="n">
        <v>2006</v>
      </c>
      <c r="F1" s="17" t="n">
        <v>2007</v>
      </c>
      <c r="G1" s="17" t="n">
        <v>2008</v>
      </c>
      <c r="H1" s="17" t="n">
        <v>2009</v>
      </c>
      <c r="I1" s="17" t="n">
        <v>2010</v>
      </c>
      <c r="J1" s="17" t="n">
        <v>2011</v>
      </c>
      <c r="K1" s="17" t="n">
        <v>2012</v>
      </c>
      <c r="L1" s="17" t="n">
        <v>2013</v>
      </c>
      <c r="M1" s="17" t="n">
        <v>2014</v>
      </c>
      <c r="N1" s="17" t="n">
        <v>2015</v>
      </c>
      <c r="O1" s="17" t="n">
        <v>2016</v>
      </c>
      <c r="P1" s="17" t="n">
        <v>2017</v>
      </c>
      <c r="Q1" s="17" t="n">
        <v>2018</v>
      </c>
      <c r="R1" s="17" t="n">
        <v>2019</v>
      </c>
      <c r="S1" s="17" t="n">
        <v>2020</v>
      </c>
      <c r="T1" s="17" t="n">
        <v>2021</v>
      </c>
      <c r="U1" s="17" t="n">
        <v>2022</v>
      </c>
      <c r="V1" s="17" t="n">
        <v>2023</v>
      </c>
      <c r="W1" s="17" t="n">
        <v>2024</v>
      </c>
      <c r="X1" s="17" t="n">
        <v>2025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0.296</v>
      </c>
      <c r="K2" s="23" t="n">
        <v>0.147</v>
      </c>
      <c r="L2" s="23" t="n">
        <v>0.29</v>
      </c>
      <c r="M2" s="23" t="n">
        <v>0.175</v>
      </c>
      <c r="N2" s="23" t="n">
        <v>0.382</v>
      </c>
      <c r="O2" s="23" t="n">
        <v>0.158</v>
      </c>
      <c r="P2" s="23" t="n">
        <v>31.408</v>
      </c>
      <c r="Q2" s="23" t="n">
        <v>16.142</v>
      </c>
      <c r="R2" s="23" t="n">
        <v>168.796</v>
      </c>
      <c r="S2" s="23" t="n">
        <v>87.992</v>
      </c>
      <c r="T2" s="23" t="n">
        <v>138.287</v>
      </c>
      <c r="U2" s="23" t="n">
        <v>243.231</v>
      </c>
      <c r="V2" s="23" t="n">
        <v>240.735</v>
      </c>
      <c r="W2" s="23" t="n">
        <v>3.551</v>
      </c>
      <c r="X2" s="23" t="n">
        <v>829.448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0.296</v>
      </c>
      <c r="K4" s="23">
        <f>K2-K3</f>
        <v>0.147</v>
      </c>
      <c r="L4" s="23">
        <f>L2-L3</f>
        <v>0.29</v>
      </c>
      <c r="M4" s="23">
        <f>M2-M3</f>
        <v>0.175</v>
      </c>
      <c r="N4" s="23">
        <f>N2-N3</f>
        <v>0.382</v>
      </c>
      <c r="O4" s="23">
        <f>O2-O3</f>
        <v>0.158</v>
      </c>
      <c r="P4" s="23">
        <f>P2-P3</f>
        <v>31.408</v>
      </c>
      <c r="Q4" s="23">
        <f>Q2-Q3</f>
        <v>16.142</v>
      </c>
      <c r="R4" s="23">
        <f>R2-R3</f>
        <v>168.796</v>
      </c>
      <c r="S4" s="23">
        <f>S2-S3</f>
        <v>87.992</v>
      </c>
      <c r="T4" s="23">
        <f>T2-T3</f>
        <v>138.287</v>
      </c>
      <c r="U4" s="23">
        <f>U2-U3</f>
        <v>243.231</v>
      </c>
      <c r="V4" s="23">
        <f>V2-V3</f>
        <v>240.735</v>
      </c>
      <c r="W4" s="23">
        <f>W2-W3</f>
        <v>3.551</v>
      </c>
      <c r="X4" s="23">
        <f>X2-X3</f>
        <v>829.448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0.53</v>
      </c>
      <c r="J5" s="23" t="n">
        <v>3.278</v>
      </c>
      <c r="K5" s="23" t="n">
        <v>5.391</v>
      </c>
      <c r="L5" s="23" t="n">
        <v>8.706</v>
      </c>
      <c r="M5" s="23" t="n">
        <v>23.138</v>
      </c>
      <c r="N5" s="23" t="n">
        <v>47.267</v>
      </c>
      <c r="O5" s="23" t="n">
        <v>62.118</v>
      </c>
      <c r="P5" s="23" t="n">
        <v>50.904</v>
      </c>
      <c r="Q5" s="23" t="n">
        <v>52.969</v>
      </c>
      <c r="R5" s="23" t="n">
        <v>81.04900000000001</v>
      </c>
      <c r="S5" s="23" t="n">
        <v>128.875</v>
      </c>
      <c r="T5" s="23" t="n">
        <v>206.342</v>
      </c>
      <c r="U5" s="23" t="n">
        <v>297.307</v>
      </c>
      <c r="V5" s="23" t="n">
        <v>353.188</v>
      </c>
      <c r="W5" s="23" t="n">
        <v>505.87</v>
      </c>
      <c r="X5" s="23" t="n">
        <v>607.159</v>
      </c>
    </row>
    <row r="6">
      <c r="A6" s="19" t="inlineStr">
        <is>
          <t>SG&amp;A &amp; Other</t>
        </is>
      </c>
      <c r="B6" s="23" t="n">
        <v>0.095</v>
      </c>
      <c r="C6" s="23" t="n">
        <v>0.751</v>
      </c>
      <c r="D6" s="23" t="n">
        <v>6.733</v>
      </c>
      <c r="E6" s="23" t="n">
        <v>19.962</v>
      </c>
      <c r="F6" s="23" t="n">
        <v>30.713</v>
      </c>
      <c r="G6" s="23" t="n">
        <v>27.242</v>
      </c>
      <c r="H6" s="23" t="n">
        <v>19.308</v>
      </c>
      <c r="I6" s="23" t="n">
        <v>5.303</v>
      </c>
      <c r="J6" s="23" t="n">
        <v>6.849</v>
      </c>
      <c r="K6" s="23" t="n">
        <v>15.845</v>
      </c>
      <c r="L6" s="23" t="n">
        <v>16.174</v>
      </c>
      <c r="M6" s="23" t="n">
        <v>30.313</v>
      </c>
      <c r="N6" s="23" t="n">
        <v>49.089</v>
      </c>
      <c r="O6" s="23" t="n">
        <v>19.783</v>
      </c>
      <c r="P6" s="23" t="n">
        <v>17.499</v>
      </c>
      <c r="Q6" s="23" t="n">
        <v>19.11</v>
      </c>
      <c r="R6" s="23" t="n">
        <v>26.556</v>
      </c>
      <c r="S6" s="23" t="n">
        <v>52.276</v>
      </c>
      <c r="T6" s="23" t="n">
        <v>80.98099999999999</v>
      </c>
      <c r="U6" s="23" t="n">
        <v>124.431</v>
      </c>
      <c r="V6" s="23" t="n">
        <v>92.54900000000001</v>
      </c>
      <c r="W6" s="23" t="n">
        <v>98.761</v>
      </c>
      <c r="X6" s="23" t="n">
        <v>123.943</v>
      </c>
    </row>
    <row r="7">
      <c r="A7" s="2" t="inlineStr">
        <is>
          <t>Operating Expense</t>
        </is>
      </c>
      <c r="B7" s="23">
        <f>SUM(B5:B6)</f>
        <v>0.095</v>
      </c>
      <c r="C7" s="23">
        <f>SUM(C5:C6)</f>
        <v>0.751</v>
      </c>
      <c r="D7" s="23">
        <f>SUM(D5:D6)</f>
        <v>6.733</v>
      </c>
      <c r="E7" s="23">
        <f>SUM(E5:E6)</f>
        <v>19.962</v>
      </c>
      <c r="F7" s="23">
        <f>SUM(F5:F6)</f>
        <v>30.713</v>
      </c>
      <c r="G7" s="23">
        <f>SUM(G5:G6)</f>
        <v>27.242</v>
      </c>
      <c r="H7" s="23">
        <f>SUM(H5:H6)</f>
        <v>19.308</v>
      </c>
      <c r="I7" s="23">
        <f>SUM(I5:I6)</f>
        <v>5.833</v>
      </c>
      <c r="J7" s="23">
        <f>SUM(J5:J6)</f>
        <v>10.127</v>
      </c>
      <c r="K7" s="23">
        <f>SUM(K5:K6)</f>
        <v>21.236</v>
      </c>
      <c r="L7" s="23">
        <f>SUM(L5:L6)</f>
        <v>24.88</v>
      </c>
      <c r="M7" s="23">
        <f>SUM(M5:M6)</f>
        <v>53.451</v>
      </c>
      <c r="N7" s="23">
        <f>SUM(N5:N6)</f>
        <v>96.356</v>
      </c>
      <c r="O7" s="23">
        <f>SUM(O5:O6)</f>
        <v>81.90100000000001</v>
      </c>
      <c r="P7" s="23">
        <f>SUM(P5:P6)</f>
        <v>68.403</v>
      </c>
      <c r="Q7" s="23">
        <f>SUM(Q5:Q6)</f>
        <v>72.07900000000001</v>
      </c>
      <c r="R7" s="23">
        <f>SUM(R5:R6)</f>
        <v>107.605</v>
      </c>
      <c r="S7" s="23">
        <f>SUM(S5:S6)</f>
        <v>181.151</v>
      </c>
      <c r="T7" s="23">
        <f>SUM(T5:T6)</f>
        <v>287.323</v>
      </c>
      <c r="U7" s="23">
        <f>SUM(U5:U6)</f>
        <v>421.738</v>
      </c>
      <c r="V7" s="23">
        <f>SUM(V5:V6)</f>
        <v>445.73699999999997</v>
      </c>
      <c r="W7" s="23">
        <f>SUM(W5:W6)</f>
        <v>604.631</v>
      </c>
      <c r="X7" s="23">
        <f>SUM(X5:X6)</f>
        <v>731.102</v>
      </c>
    </row>
    <row r="8">
      <c r="A8" s="2" t="inlineStr">
        <is>
          <t>Operating Income</t>
        </is>
      </c>
      <c r="B8" s="23">
        <f>B4-B7</f>
        <v>-0.095</v>
      </c>
      <c r="C8" s="23">
        <f>C4-C7</f>
        <v>-0.751</v>
      </c>
      <c r="D8" s="23">
        <f>D4-D7</f>
        <v>-6.733</v>
      </c>
      <c r="E8" s="23">
        <f>E4-E7</f>
        <v>-19.962</v>
      </c>
      <c r="F8" s="23">
        <f>F4-F7</f>
        <v>-30.713</v>
      </c>
      <c r="G8" s="23">
        <f>G4-G7</f>
        <v>-27.242</v>
      </c>
      <c r="H8" s="23">
        <f>H4-H7</f>
        <v>-19.308</v>
      </c>
      <c r="I8" s="23">
        <f>I4-I7</f>
        <v>-5.833</v>
      </c>
      <c r="J8" s="23">
        <f>J4-J7</f>
        <v>-9.831000000000001</v>
      </c>
      <c r="K8" s="23">
        <f>K4-K7</f>
        <v>-21.089000000000002</v>
      </c>
      <c r="L8" s="23">
        <f>L4-L7</f>
        <v>-24.59</v>
      </c>
      <c r="M8" s="23">
        <f>M4-M7</f>
        <v>-53.276</v>
      </c>
      <c r="N8" s="23">
        <f>N4-N7</f>
        <v>-95.97399999999999</v>
      </c>
      <c r="O8" s="23">
        <f>O4-O7</f>
        <v>-81.74300000000001</v>
      </c>
      <c r="P8" s="23">
        <f>P4-P7</f>
        <v>-36.995000000000005</v>
      </c>
      <c r="Q8" s="23">
        <f>Q4-Q7</f>
        <v>-55.93700000000001</v>
      </c>
      <c r="R8" s="23">
        <f>R4-R7</f>
        <v>61.19099999999999</v>
      </c>
      <c r="S8" s="23">
        <f>S4-S7</f>
        <v>-93.159</v>
      </c>
      <c r="T8" s="23">
        <f>T4-T7</f>
        <v>-149.03599999999997</v>
      </c>
      <c r="U8" s="23">
        <f>U4-U7</f>
        <v>-178.507</v>
      </c>
      <c r="V8" s="23">
        <f>V4-V7</f>
        <v>-205.00199999999995</v>
      </c>
      <c r="W8" s="23">
        <f>W4-W7</f>
        <v>-601.0799999999999</v>
      </c>
      <c r="X8" s="23">
        <f>X4-X7</f>
        <v>98.346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0.059</v>
      </c>
      <c r="J9" s="23" t="n">
        <v>6.701</v>
      </c>
      <c r="K9" s="23" t="n">
        <v>-0.037</v>
      </c>
      <c r="L9" s="23" t="n">
        <v>-6.554</v>
      </c>
      <c r="M9" s="23" t="n">
        <v>-5.349</v>
      </c>
      <c r="N9" s="23" t="n">
        <v>4.035</v>
      </c>
      <c r="O9" s="23" t="n">
        <v>0.022</v>
      </c>
      <c r="P9" s="23" t="n">
        <v>2.618</v>
      </c>
      <c r="Q9" s="23" t="n">
        <v>1.488</v>
      </c>
      <c r="R9" s="23" t="n">
        <v>6.958</v>
      </c>
      <c r="S9" s="23" t="n">
        <v>8.608000000000001</v>
      </c>
      <c r="T9" s="23" t="n">
        <v>8.19</v>
      </c>
      <c r="U9" s="23" t="n">
        <v>6.229</v>
      </c>
      <c r="V9" s="23" t="n">
        <v>2.511</v>
      </c>
      <c r="W9" s="23" t="n">
        <v>-1.18</v>
      </c>
      <c r="X9" s="23" t="n">
        <v>-78.55800000000001</v>
      </c>
    </row>
    <row r="10">
      <c r="A10" s="2" t="inlineStr">
        <is>
          <t>Pretax</t>
        </is>
      </c>
      <c r="B10" s="23">
        <f>B8+B9</f>
        <v>-0.095</v>
      </c>
      <c r="C10" s="23">
        <f>C8+C9</f>
        <v>-0.751</v>
      </c>
      <c r="D10" s="23">
        <f>D8+D9</f>
        <v>-6.733</v>
      </c>
      <c r="E10" s="23">
        <f>E8+E9</f>
        <v>-19.962</v>
      </c>
      <c r="F10" s="23">
        <f>F8+F9</f>
        <v>-30.713</v>
      </c>
      <c r="G10" s="23">
        <f>G8+G9</f>
        <v>-27.242</v>
      </c>
      <c r="H10" s="23">
        <f>H8+H9</f>
        <v>-19.308</v>
      </c>
      <c r="I10" s="23">
        <f>I8+I9</f>
        <v>-5.774</v>
      </c>
      <c r="J10" s="23">
        <f>J8+J9</f>
        <v>-3.1300000000000017</v>
      </c>
      <c r="K10" s="23">
        <f>K8+K9</f>
        <v>-21.126</v>
      </c>
      <c r="L10" s="23">
        <f>L8+L9</f>
        <v>-31.144</v>
      </c>
      <c r="M10" s="23">
        <f>M8+M9</f>
        <v>-58.625</v>
      </c>
      <c r="N10" s="23">
        <f>N8+N9</f>
        <v>-91.939</v>
      </c>
      <c r="O10" s="23">
        <f>O8+O9</f>
        <v>-81.721</v>
      </c>
      <c r="P10" s="23">
        <f>P8+P9</f>
        <v>-34.377</v>
      </c>
      <c r="Q10" s="23">
        <f>Q8+Q9</f>
        <v>-54.44900000000001</v>
      </c>
      <c r="R10" s="23">
        <f>R8+R9</f>
        <v>68.14899999999999</v>
      </c>
      <c r="S10" s="23">
        <f>S8+S9</f>
        <v>-84.551</v>
      </c>
      <c r="T10" s="23">
        <f>T8+T9</f>
        <v>-140.84599999999998</v>
      </c>
      <c r="U10" s="23">
        <f>U8+U9</f>
        <v>-172.278</v>
      </c>
      <c r="V10" s="23">
        <f>V8+V9</f>
        <v>-202.49099999999996</v>
      </c>
      <c r="W10" s="23">
        <f>W8+W9</f>
        <v>-602.2599999999999</v>
      </c>
      <c r="X10" s="23">
        <f>X8+X9</f>
        <v>19.787999999999997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0.005</v>
      </c>
      <c r="N11" s="23" t="n">
        <v>0.002</v>
      </c>
      <c r="O11" s="23" t="n">
        <v>0.002</v>
      </c>
      <c r="P11" s="23" t="n">
        <v>0.002</v>
      </c>
      <c r="Q11" s="23" t="n">
        <v>0.002</v>
      </c>
      <c r="R11" s="23" t="n">
        <v>0.174</v>
      </c>
      <c r="S11" s="23" t="n">
        <v>0.002</v>
      </c>
      <c r="T11" s="23" t="n">
        <v>0.002</v>
      </c>
      <c r="U11" s="23" t="n">
        <v>3.785</v>
      </c>
      <c r="V11" s="23" t="n">
        <v>2.784</v>
      </c>
      <c r="W11" s="23" t="n">
        <v>-2.767</v>
      </c>
      <c r="X11" s="23" t="n">
        <v>21.419</v>
      </c>
    </row>
    <row r="12">
      <c r="A12" s="2" t="inlineStr">
        <is>
          <t>Net Income</t>
        </is>
      </c>
      <c r="B12" s="23" t="n">
        <v>-0.095</v>
      </c>
      <c r="C12" s="23" t="n">
        <v>-0.751</v>
      </c>
      <c r="D12" s="23" t="n">
        <v>-6.733</v>
      </c>
      <c r="E12" s="23" t="n">
        <v>-19.962</v>
      </c>
      <c r="F12" s="23" t="n">
        <v>-30.713</v>
      </c>
      <c r="G12" s="23" t="n">
        <v>-27.242</v>
      </c>
      <c r="H12" s="23" t="n">
        <v>-19.308</v>
      </c>
      <c r="I12" s="23" t="n">
        <v>-5.774</v>
      </c>
      <c r="J12" s="23" t="n">
        <v>-3.129</v>
      </c>
      <c r="K12" s="23" t="n">
        <v>-21.126</v>
      </c>
      <c r="L12" s="23" t="n">
        <v>-31.143</v>
      </c>
      <c r="M12" s="23" t="n">
        <v>-58.63</v>
      </c>
      <c r="N12" s="23" t="n">
        <v>-91.941</v>
      </c>
      <c r="O12" s="23" t="n">
        <v>-81.723</v>
      </c>
      <c r="P12" s="23" t="n">
        <v>-34.38</v>
      </c>
      <c r="Q12" s="23" t="n">
        <v>-54.45</v>
      </c>
      <c r="R12" s="23" t="n">
        <v>67.97499999999999</v>
      </c>
      <c r="S12" s="23" t="n">
        <v>-84.553</v>
      </c>
      <c r="T12" s="23" t="n">
        <v>-140.848</v>
      </c>
      <c r="U12" s="23" t="n">
        <v>-176.063</v>
      </c>
      <c r="V12" s="23" t="n">
        <v>-205.275</v>
      </c>
      <c r="W12" s="23" t="n">
        <v>-599.4930000000001</v>
      </c>
      <c r="X12" s="23" t="n">
        <v>-1.631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-0.8974199564811937</v>
      </c>
      <c r="J13" s="11">
        <f>IFERROR(J12/J14,0)</f>
        <v>-0.3996168582375479</v>
      </c>
      <c r="K13" s="11">
        <f>IFERROR(K12/K14,0)</f>
        <v>-1.8981132075471698</v>
      </c>
      <c r="L13" s="11">
        <f>IFERROR(L12/L14,0)</f>
        <v>-1.2975168735938674</v>
      </c>
      <c r="M13" s="11">
        <f>IFERROR(M12/M14,0)</f>
        <v>-1.2492276223552725</v>
      </c>
      <c r="N13" s="11">
        <f>IFERROR(N12/N14,0)</f>
        <v>-1.6029324592907703</v>
      </c>
      <c r="O13" s="11">
        <f>IFERROR(O12/O14,0)</f>
        <v>-1.3386021522988976</v>
      </c>
      <c r="P13" s="11">
        <f>IFERROR(P12/P14,0)</f>
        <v>-0.46522957008890514</v>
      </c>
      <c r="Q13" s="11">
        <f>IFERROR(Q12/Q14,0)</f>
        <v>-0.6510198713503431</v>
      </c>
      <c r="R13" s="11">
        <f>IFERROR(R12/R14,0)</f>
        <v>0.6893456920331007</v>
      </c>
      <c r="S13" s="11">
        <f>IFERROR(S12/S14,0)</f>
        <v>-0.83946903357757</v>
      </c>
      <c r="T13" s="11">
        <f>IFERROR(T12/T14,0)</f>
        <v>-1.357636512603017</v>
      </c>
      <c r="U13" s="11">
        <f>IFERROR(U12/U14,0)</f>
        <v>-1.6700149868153964</v>
      </c>
      <c r="V13" s="11">
        <f>IFERROR(V12/V14,0)</f>
        <v>-1.9229508196721312</v>
      </c>
      <c r="W13" s="11">
        <f>IFERROR(W12/W14,0)</f>
        <v>-5.004783610498898</v>
      </c>
      <c r="X13" s="11">
        <f>IFERROR(X12/X14,0)</f>
        <v>-0.012193663182762899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>
        <v>6.434</v>
      </c>
      <c r="J14" s="23" t="n">
        <v>7.83</v>
      </c>
      <c r="K14" s="23" t="n">
        <v>11.13</v>
      </c>
      <c r="L14" s="23" t="n">
        <v>24.002</v>
      </c>
      <c r="M14" s="23" t="n">
        <v>46.933</v>
      </c>
      <c r="N14" s="23" t="n">
        <v>57.358</v>
      </c>
      <c r="O14" s="23" t="n">
        <v>61.051</v>
      </c>
      <c r="P14" s="23" t="n">
        <v>73.899</v>
      </c>
      <c r="Q14" s="23" t="n">
        <v>83.63800000000001</v>
      </c>
      <c r="R14" s="23" t="n">
        <v>98.608</v>
      </c>
      <c r="S14" s="23" t="n">
        <v>100.722</v>
      </c>
      <c r="T14" s="23" t="n">
        <v>103.745</v>
      </c>
      <c r="U14" s="23" t="n">
        <v>105.426</v>
      </c>
      <c r="V14" s="23" t="n">
        <v>106.75</v>
      </c>
      <c r="W14" s="23" t="n">
        <v>119.784</v>
      </c>
      <c r="X14" s="23" t="n">
        <v>133.758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-0.5033783783783784</v>
      </c>
      <c r="L16" s="15">
        <f>IFERROR(L2/K2-1,"")</f>
        <v>0.9727891156462585</v>
      </c>
      <c r="M16" s="15">
        <f>IFERROR(M2/L2-1,"")</f>
        <v>-0.39655172413793105</v>
      </c>
      <c r="N16" s="15">
        <f>IFERROR(N2/M2-1,"")</f>
        <v>1.1828571428571428</v>
      </c>
      <c r="O16" s="15">
        <f>IFERROR(O2/N2-1,"")</f>
        <v>-0.5863874345549738</v>
      </c>
      <c r="P16" s="15">
        <f>IFERROR(P2/O2-1,"")</f>
        <v>197.78481012658227</v>
      </c>
      <c r="Q16" s="15">
        <f>IFERROR(Q2/P2-1,"")</f>
        <v>-0.4860545084055018</v>
      </c>
      <c r="R16" s="15">
        <f>IFERROR(R2/Q2-1,"")</f>
        <v>9.456944616528311</v>
      </c>
      <c r="S16" s="15">
        <f>IFERROR(S2/R2-1,"")</f>
        <v>-0.4787080262565463</v>
      </c>
      <c r="T16" s="15">
        <f>IFERROR(T2/S2-1,"")</f>
        <v>0.5715860532775707</v>
      </c>
      <c r="U16" s="15">
        <f>IFERROR(U2/T2-1,"")</f>
        <v>0.7588855062297972</v>
      </c>
      <c r="V16" s="15">
        <f>IFERROR(V2/U2-1,"")</f>
        <v>-0.010261849846442184</v>
      </c>
      <c r="W16" s="15">
        <f>IFERROR(W2/V2-1,"")</f>
        <v>-0.985249340561198</v>
      </c>
      <c r="X16" s="15">
        <f>IFERROR(X2/W2-1,"")</f>
        <v>232.58152633061107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-33.212837837837846</v>
      </c>
      <c r="K18" s="15">
        <f>IFERROR(K8/K2,"")</f>
        <v>-143.46258503401364</v>
      </c>
      <c r="L18" s="15">
        <f>IFERROR(L8/L2,"")</f>
        <v>-84.79310344827587</v>
      </c>
      <c r="M18" s="15">
        <f>IFERROR(M8/M2,"")</f>
        <v>-304.43428571428575</v>
      </c>
      <c r="N18" s="15">
        <f>IFERROR(N8/N2,"")</f>
        <v>-251.24083769633503</v>
      </c>
      <c r="O18" s="15">
        <f>IFERROR(O8/O2,"")</f>
        <v>-517.3607594936709</v>
      </c>
      <c r="P18" s="15">
        <f>IFERROR(P8/P2,"")</f>
        <v>-1.1778846153846154</v>
      </c>
      <c r="Q18" s="15">
        <f>IFERROR(Q8/Q2,"")</f>
        <v>-3.4653078924544674</v>
      </c>
      <c r="R18" s="15">
        <f>IFERROR(R8/R2,"")</f>
        <v>0.3625145145619564</v>
      </c>
      <c r="S18" s="15">
        <f>IFERROR(S8/S2,"")</f>
        <v>-1.058721247386126</v>
      </c>
      <c r="T18" s="15">
        <f>IFERROR(T8/T2,"")</f>
        <v>-1.0777296492078068</v>
      </c>
      <c r="U18" s="15">
        <f>IFERROR(U8/U2,"")</f>
        <v>-0.7338990506966628</v>
      </c>
      <c r="V18" s="15">
        <f>IFERROR(V8/V2,"")</f>
        <v>-0.8515670758302696</v>
      </c>
      <c r="W18" s="15">
        <f>IFERROR(W8/W2,"")</f>
        <v>-169.27062799211487</v>
      </c>
      <c r="X18" s="15">
        <f>IFERROR(X8/X2,"")</f>
        <v>0.1185680114968027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2026-10-21T01:03:58Z</dcterms:modified>
  <cp:lastModifiedBy>Wang, Eric</cp:lastModifiedBy>
</cp:coreProperties>
</file>