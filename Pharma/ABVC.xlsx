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ABVC Biopharma Inc</t>
        </is>
      </c>
      <c r="C2" s="10" t="n"/>
    </row>
    <row r="3">
      <c r="B3" t="inlineStr">
        <is>
          <t>Price</t>
        </is>
      </c>
      <c r="C3" s="11">
        <f>INDEX([1]Pharma!$F$1:$F$1000,MATCH("ABVC",[1]Pharma!$B$1:$B$1000,0))</f>
        <v>0.93</v>
      </c>
      <c r="F3" s="1" t="n"/>
    </row>
    <row r="4">
      <c r="B4" t="inlineStr">
        <is>
          <t>Shares</t>
        </is>
      </c>
      <c r="C4" s="21" t="n">
        <v>26.654365</v>
      </c>
      <c r="F4" s="1" t="n"/>
    </row>
    <row r="5">
      <c r="B5" t="inlineStr">
        <is>
          <t>Market Cap.</t>
        </is>
      </c>
      <c r="C5" s="13">
        <f>C3*C4</f>
        <v>24.78855945</v>
      </c>
      <c r="F5" s="1" t="n"/>
    </row>
    <row r="6"/>
    <row r="7">
      <c r="B7" t="inlineStr">
        <is>
          <t>Cash</t>
        </is>
      </c>
      <c r="C7" s="21">
        <f>0.031944+0.06242</f>
        <v>0.094364</v>
      </c>
    </row>
    <row r="8">
      <c r="B8" t="inlineStr">
        <is>
          <t>Debt</t>
        </is>
      </c>
      <c r="C8" s="21" t="n">
        <v>0.059462</v>
      </c>
    </row>
    <row r="9">
      <c r="B9" t="inlineStr">
        <is>
          <t>Enterprise V.</t>
        </is>
      </c>
      <c r="C9" s="13">
        <f>C5-C7+C8</f>
        <v>24.753657450000002</v>
      </c>
    </row>
    <row r="10"/>
    <row r="11">
      <c r="B11" s="14" t="inlineStr">
        <is>
          <t>Net Cash / Share</t>
        </is>
      </c>
      <c r="C11" s="11">
        <f>(C7-C8)/C4</f>
        <v>0.0013094290559913923</v>
      </c>
    </row>
    <row r="12">
      <c r="B12" s="14" t="inlineStr">
        <is>
          <t>Upside</t>
        </is>
      </c>
      <c r="C12" s="15">
        <f>IFERROR(C11/C3-1,"")</f>
        <v>-0.9985920117677511</v>
      </c>
    </row>
    <row r="13">
      <c r="B13" s="14" t="inlineStr">
        <is>
          <t>Cash / Share</t>
        </is>
      </c>
      <c r="C13" s="11">
        <f>IFERROR((C7-C8)/C4,"")</f>
        <v>0.0013094290559913923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-2.691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0.012969899665551841</v>
      </c>
    </row>
    <row r="19">
      <c r="B19" s="14" t="inlineStr">
        <is>
          <t>Implied Pipeline Value</t>
        </is>
      </c>
      <c r="C19" s="13">
        <f>C9</f>
        <v>24.753657450000002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0.015</v>
      </c>
      <c r="C2" s="23" t="n">
        <v>0.003</v>
      </c>
      <c r="D2" s="23" t="n">
        <v>0.006</v>
      </c>
      <c r="E2" s="23" t="n">
        <v>0.008</v>
      </c>
      <c r="F2" s="23" t="n">
        <v>0</v>
      </c>
      <c r="G2" s="23" t="n">
        <v>0.05</v>
      </c>
      <c r="H2" s="23" t="n">
        <v>0</v>
      </c>
      <c r="I2" s="23" t="n">
        <v>0</v>
      </c>
      <c r="J2" s="23" t="n">
        <v>0.007</v>
      </c>
      <c r="K2" s="23" t="n">
        <v>0.702</v>
      </c>
      <c r="L2" s="23" t="n">
        <v>0.483</v>
      </c>
      <c r="M2" s="23" t="n">
        <v>0.356</v>
      </c>
      <c r="N2" s="23" t="n">
        <v>0.97</v>
      </c>
      <c r="O2" s="23" t="n">
        <v>0.152</v>
      </c>
      <c r="P2" s="23" t="n">
        <v>0.51</v>
      </c>
      <c r="Q2" s="23" t="n">
        <v>0.296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0.001</v>
      </c>
      <c r="H3" s="23" t="n">
        <v>0</v>
      </c>
      <c r="I3" s="23" t="n">
        <v>0</v>
      </c>
      <c r="J3" s="23" t="n">
        <v>0.185</v>
      </c>
      <c r="K3" s="23" t="n">
        <v>0.02</v>
      </c>
      <c r="L3" s="23" t="n">
        <v>0.019</v>
      </c>
      <c r="M3" s="23" t="n">
        <v>0.005</v>
      </c>
      <c r="N3" s="23" t="n">
        <v>0.286</v>
      </c>
      <c r="O3" s="23" t="n">
        <v>0.302</v>
      </c>
      <c r="P3" s="23" t="n">
        <v>0.001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0.015</v>
      </c>
      <c r="C4" s="23">
        <f>C2-C3</f>
        <v>0.003</v>
      </c>
      <c r="D4" s="23">
        <f>D2-D3</f>
        <v>0.006</v>
      </c>
      <c r="E4" s="23">
        <f>E2-E3</f>
        <v>0.008</v>
      </c>
      <c r="F4" s="23">
        <f>F2-F3</f>
        <v>0.0</v>
      </c>
      <c r="G4" s="23">
        <f>G2-G3</f>
        <v>0.049</v>
      </c>
      <c r="H4" s="23">
        <f>H2-H3</f>
        <v>0.0</v>
      </c>
      <c r="I4" s="23">
        <f>I2-I3</f>
        <v>0.0</v>
      </c>
      <c r="J4" s="23">
        <f>J2-J3</f>
        <v>-0.178</v>
      </c>
      <c r="K4" s="23">
        <f>K2-K3</f>
        <v>0.6819999999999999</v>
      </c>
      <c r="L4" s="23">
        <f>L2-L3</f>
        <v>0.46399999999999997</v>
      </c>
      <c r="M4" s="23">
        <f>M2-M3</f>
        <v>0.351</v>
      </c>
      <c r="N4" s="23">
        <f>N2-N3</f>
        <v>0.6839999999999999</v>
      </c>
      <c r="O4" s="23">
        <f>O2-O3</f>
        <v>-0.15</v>
      </c>
      <c r="P4" s="23">
        <f>P2-P3</f>
        <v>0.509</v>
      </c>
      <c r="Q4" s="23">
        <f>Q2-Q3</f>
        <v>0.296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10</v>
      </c>
      <c r="I5" s="23" t="n">
        <v>3.172</v>
      </c>
      <c r="J5" s="23" t="n">
        <v>0.989</v>
      </c>
      <c r="K5" s="23" t="n">
        <v>1.049</v>
      </c>
      <c r="L5" s="23" t="n">
        <v>0.55</v>
      </c>
      <c r="M5" s="23" t="n">
        <v>1.004</v>
      </c>
      <c r="N5" s="23" t="n">
        <v>2.693</v>
      </c>
      <c r="O5" s="23" t="n">
        <v>1.063</v>
      </c>
      <c r="P5" s="23" t="n">
        <v>0.179</v>
      </c>
      <c r="Q5" s="23" t="n">
        <v>0.121</v>
      </c>
    </row>
    <row r="6">
      <c r="A6" s="19" t="inlineStr">
        <is>
          <t>SG&amp;A &amp; Other</t>
        </is>
      </c>
      <c r="B6" s="23" t="n">
        <v>1.904</v>
      </c>
      <c r="C6" s="23" t="n">
        <v>1.891</v>
      </c>
      <c r="D6" s="23" t="n">
        <v>1.149</v>
      </c>
      <c r="E6" s="23" t="n">
        <v>0.185</v>
      </c>
      <c r="F6" s="23" t="n">
        <v>0</v>
      </c>
      <c r="G6" s="23" t="n">
        <v>-49.915</v>
      </c>
      <c r="H6" s="23" t="n">
        <v>0.997</v>
      </c>
      <c r="I6" s="23" t="n">
        <v>0.967</v>
      </c>
      <c r="J6" s="23" t="n">
        <v>1.618</v>
      </c>
      <c r="K6" s="23" t="n">
        <v>3.092</v>
      </c>
      <c r="L6" s="23" t="n">
        <v>8.42</v>
      </c>
      <c r="M6" s="23" t="n">
        <v>11.053</v>
      </c>
      <c r="N6" s="23" t="n">
        <v>13.104</v>
      </c>
      <c r="O6" s="23" t="n">
        <v>5.554</v>
      </c>
      <c r="P6" s="23" t="n">
        <v>5.035</v>
      </c>
      <c r="Q6" s="23" t="n">
        <v>7.326</v>
      </c>
    </row>
    <row r="7">
      <c r="A7" s="2" t="inlineStr">
        <is>
          <t>Operating Expense</t>
        </is>
      </c>
      <c r="B7" s="23">
        <f>SUM(B5:B6)</f>
        <v>1.904</v>
      </c>
      <c r="C7" s="23">
        <f>SUM(C5:C6)</f>
        <v>1.891</v>
      </c>
      <c r="D7" s="23">
        <f>SUM(D5:D6)</f>
        <v>1.149</v>
      </c>
      <c r="E7" s="23">
        <f>SUM(E5:E6)</f>
        <v>0.185</v>
      </c>
      <c r="F7" s="23">
        <f>SUM(F5:F6)</f>
        <v>0.0</v>
      </c>
      <c r="G7" s="23">
        <f>SUM(G5:G6)</f>
        <v>-49.915</v>
      </c>
      <c r="H7" s="23">
        <f>SUM(H5:H6)</f>
        <v>10.997</v>
      </c>
      <c r="I7" s="23">
        <f>SUM(I5:I6)</f>
        <v>4.139</v>
      </c>
      <c r="J7" s="23">
        <f>SUM(J5:J6)</f>
        <v>2.607</v>
      </c>
      <c r="K7" s="23">
        <f>SUM(K5:K6)</f>
        <v>4.141</v>
      </c>
      <c r="L7" s="23">
        <f>SUM(L5:L6)</f>
        <v>8.97</v>
      </c>
      <c r="M7" s="23">
        <f>SUM(M5:M6)</f>
        <v>12.057</v>
      </c>
      <c r="N7" s="23">
        <f>SUM(N5:N6)</f>
        <v>15.796999999999999</v>
      </c>
      <c r="O7" s="23">
        <f>SUM(O5:O6)</f>
        <v>6.617</v>
      </c>
      <c r="P7" s="23">
        <f>SUM(P5:P6)</f>
        <v>5.214</v>
      </c>
      <c r="Q7" s="23">
        <f>SUM(Q5:Q6)</f>
        <v>7.446999999999999</v>
      </c>
    </row>
    <row r="8">
      <c r="A8" s="2" t="inlineStr">
        <is>
          <t>Operating Income</t>
        </is>
      </c>
      <c r="B8" s="23">
        <f>B4-B7</f>
        <v>-1.889</v>
      </c>
      <c r="C8" s="23">
        <f>C4-C7</f>
        <v>-1.8880000000000001</v>
      </c>
      <c r="D8" s="23">
        <f>D4-D7</f>
        <v>-1.143</v>
      </c>
      <c r="E8" s="23">
        <f>E4-E7</f>
        <v>-0.177</v>
      </c>
      <c r="F8" s="23">
        <f>F4-F7</f>
        <v>0.0</v>
      </c>
      <c r="G8" s="23">
        <f>G4-G7</f>
        <v>49.964</v>
      </c>
      <c r="H8" s="23">
        <f>H4-H7</f>
        <v>-10.997</v>
      </c>
      <c r="I8" s="23">
        <f>I4-I7</f>
        <v>-4.139</v>
      </c>
      <c r="J8" s="23">
        <f>J4-J7</f>
        <v>-2.785</v>
      </c>
      <c r="K8" s="23">
        <f>K4-K7</f>
        <v>-3.459</v>
      </c>
      <c r="L8" s="23">
        <f>L4-L7</f>
        <v>-8.506</v>
      </c>
      <c r="M8" s="23">
        <f>M4-M7</f>
        <v>-11.706</v>
      </c>
      <c r="N8" s="23">
        <f>N4-N7</f>
        <v>-15.113</v>
      </c>
      <c r="O8" s="23">
        <f>O4-O7</f>
        <v>-6.767</v>
      </c>
      <c r="P8" s="23">
        <f>P4-P7</f>
        <v>-4.705</v>
      </c>
      <c r="Q8" s="23">
        <f>Q4-Q7</f>
        <v>-7.150999999999999</v>
      </c>
    </row>
    <row r="9">
      <c r="A9" s="19" t="inlineStr">
        <is>
          <t>Interest &amp; Other</t>
        </is>
      </c>
      <c r="B9" s="23" t="n">
        <v>-0.012</v>
      </c>
      <c r="C9" s="23" t="n">
        <v>0.669</v>
      </c>
      <c r="D9" s="23" t="n">
        <v>0.141</v>
      </c>
      <c r="E9" s="23" t="n">
        <v>-0.049</v>
      </c>
      <c r="F9" s="23" t="n">
        <v>-0.023</v>
      </c>
      <c r="G9" s="23" t="n">
        <v>-49.997</v>
      </c>
      <c r="H9" s="23" t="n">
        <v>-0.01</v>
      </c>
      <c r="I9" s="23" t="n">
        <v>-0.103</v>
      </c>
      <c r="J9" s="23" t="n">
        <v>-3.645</v>
      </c>
      <c r="K9" s="23" t="n">
        <v>-0.552</v>
      </c>
      <c r="L9" s="23" t="n">
        <v>-2.308</v>
      </c>
      <c r="M9" s="23" t="n">
        <v>-0.308</v>
      </c>
      <c r="N9" s="23" t="n">
        <v>-0.511</v>
      </c>
      <c r="O9" s="23" t="n">
        <v>-0.765</v>
      </c>
      <c r="P9" s="23" t="n">
        <v>-0.308</v>
      </c>
      <c r="Q9" s="23" t="n">
        <v>-0.733</v>
      </c>
    </row>
    <row r="10">
      <c r="A10" s="2" t="inlineStr">
        <is>
          <t>Pretax</t>
        </is>
      </c>
      <c r="B10" s="23">
        <f>B8+B9</f>
        <v>-1.901</v>
      </c>
      <c r="C10" s="23">
        <f>C8+C9</f>
        <v>-1.219</v>
      </c>
      <c r="D10" s="23">
        <f>D8+D9</f>
        <v>-1.002</v>
      </c>
      <c r="E10" s="23">
        <f>E8+E9</f>
        <v>-0.22599999999999998</v>
      </c>
      <c r="F10" s="23">
        <f>F8+F9</f>
        <v>-0.023</v>
      </c>
      <c r="G10" s="23">
        <f>G8+G9</f>
        <v>-0.03300000000000125</v>
      </c>
      <c r="H10" s="23">
        <f>H8+H9</f>
        <v>-11.007</v>
      </c>
      <c r="I10" s="23">
        <f>I8+I9</f>
        <v>-4.242</v>
      </c>
      <c r="J10" s="23">
        <f>J8+J9</f>
        <v>-6.43</v>
      </c>
      <c r="K10" s="23">
        <f>K8+K9</f>
        <v>-4.011</v>
      </c>
      <c r="L10" s="23">
        <f>L8+L9</f>
        <v>-10.814</v>
      </c>
      <c r="M10" s="23">
        <f>M8+M9</f>
        <v>-12.014</v>
      </c>
      <c r="N10" s="23">
        <f>N8+N9</f>
        <v>-15.623999999999999</v>
      </c>
      <c r="O10" s="23">
        <f>O8+O9</f>
        <v>-7.532</v>
      </c>
      <c r="P10" s="23">
        <f>P8+P9</f>
        <v>-5.013</v>
      </c>
      <c r="Q10" s="23">
        <f>Q8+Q9</f>
        <v>-7.883999999999999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0.068</v>
      </c>
      <c r="E11" s="23" t="n">
        <v>0</v>
      </c>
      <c r="F11" s="23" t="n">
        <v>0</v>
      </c>
      <c r="G11" s="23" t="n">
        <v>0</v>
      </c>
      <c r="H11" s="23" t="n">
        <v>0.001</v>
      </c>
      <c r="I11" s="23" t="n">
        <v>0.001</v>
      </c>
      <c r="J11" s="23" t="n">
        <v>-0.365</v>
      </c>
      <c r="K11" s="23" t="n">
        <v>-0.077</v>
      </c>
      <c r="L11" s="23" t="n">
        <v>-0.22</v>
      </c>
      <c r="M11" s="23" t="n">
        <v>0.825</v>
      </c>
      <c r="N11" s="23" t="n">
        <v>0.798</v>
      </c>
      <c r="O11" s="23" t="n">
        <v>0.256</v>
      </c>
      <c r="P11" s="23" t="n">
        <v>-0.111</v>
      </c>
      <c r="Q11" s="23" t="n">
        <v>0.024</v>
      </c>
    </row>
    <row r="12">
      <c r="A12" s="2" t="inlineStr">
        <is>
          <t>Net Income</t>
        </is>
      </c>
      <c r="B12" s="23" t="n">
        <v>-1.901</v>
      </c>
      <c r="C12" s="23" t="n">
        <v>-1.219</v>
      </c>
      <c r="D12" s="23" t="n">
        <v>-1.07</v>
      </c>
      <c r="E12" s="23" t="n">
        <v>-0.226</v>
      </c>
      <c r="F12" s="23" t="n">
        <v>-0.023</v>
      </c>
      <c r="G12" s="23" t="n">
        <v>-0.032</v>
      </c>
      <c r="H12" s="23" t="n">
        <v>-11.008</v>
      </c>
      <c r="I12" s="23" t="n">
        <v>-4.243</v>
      </c>
      <c r="J12" s="23" t="n">
        <v>-6.065</v>
      </c>
      <c r="K12" s="23" t="n">
        <v>-3.933</v>
      </c>
      <c r="L12" s="23" t="n">
        <v>-10.594</v>
      </c>
      <c r="M12" s="23" t="n">
        <v>-12.839</v>
      </c>
      <c r="N12" s="23" t="n">
        <v>-16.423</v>
      </c>
      <c r="O12" s="23" t="n">
        <v>-7.788</v>
      </c>
      <c r="P12" s="23" t="n">
        <v>-4.903</v>
      </c>
      <c r="Q12" s="23" t="n">
        <v>-7.909</v>
      </c>
    </row>
    <row r="13">
      <c r="A13" s="2" t="inlineStr">
        <is>
          <t>Earnings per Share</t>
        </is>
      </c>
      <c r="B13" s="11">
        <f>IFERROR(B12/B14,0)</f>
        <v>-0.2369733233607579</v>
      </c>
      <c r="C13" s="11">
        <f>IFERROR(C12/C14,0)</f>
        <v>-0.10271317829457365</v>
      </c>
      <c r="D13" s="11">
        <f>IFERROR(D12/D14,0)</f>
        <v>-0.09097865827735738</v>
      </c>
      <c r="E13" s="11">
        <f>IFERROR(E12/E14,0)</f>
        <v>-0.0101902786545225</v>
      </c>
      <c r="F13" s="11">
        <f>IFERROR(F12/F14,0)</f>
        <v>-0.005080627347028938</v>
      </c>
      <c r="G13" s="11">
        <f>IFERROR(G12/G14,0)</f>
        <v>-0.015748031496062992</v>
      </c>
      <c r="H13" s="11">
        <f>IFERROR(H12/H14,0)</f>
        <v>-5.446808510638298</v>
      </c>
      <c r="I13" s="11">
        <f>IFERROR(I12/I14,0)</f>
        <v>-1.9095409540954098</v>
      </c>
      <c r="J13" s="11">
        <f>IFERROR(J12/J14,0)</f>
        <v>-2.722172351885099</v>
      </c>
      <c r="K13" s="11">
        <f>IFERROR(K12/K14,0)</f>
        <v>-1.7983539094650207</v>
      </c>
      <c r="L13" s="11">
        <f>IFERROR(L12/L14,0)</f>
        <v>-4.299512987012987</v>
      </c>
      <c r="M13" s="11">
        <f>IFERROR(M12/M14,0)</f>
        <v>-4.099297573435504</v>
      </c>
      <c r="N13" s="11">
        <f>IFERROR(N12/N14,0)</f>
        <v>-5.187302590018951</v>
      </c>
      <c r="O13" s="11">
        <f>IFERROR(O12/O14,0)</f>
        <v>-1.7961254612546125</v>
      </c>
      <c r="P13" s="11">
        <f>IFERROR(P12/P14,0)</f>
        <v>-0.41999314716463937</v>
      </c>
      <c r="Q13" s="11">
        <f>IFERROR(Q12/Q14,0)</f>
        <v>-0.3933064796857128</v>
      </c>
    </row>
    <row r="14">
      <c r="A14" s="2" t="inlineStr">
        <is>
          <t>Shares</t>
        </is>
      </c>
      <c r="B14" s="23" t="n">
        <v>8.022</v>
      </c>
      <c r="C14" s="23" t="n">
        <v>11.868</v>
      </c>
      <c r="D14" s="23" t="n">
        <v>11.761</v>
      </c>
      <c r="E14" s="23" t="n">
        <v>22.178</v>
      </c>
      <c r="F14" s="23" t="n">
        <v>4.527</v>
      </c>
      <c r="G14" s="23" t="n">
        <v>2.032</v>
      </c>
      <c r="H14" s="23" t="n">
        <v>2.021</v>
      </c>
      <c r="I14" s="23" t="n">
        <v>2.222</v>
      </c>
      <c r="J14" s="23" t="n">
        <v>2.228</v>
      </c>
      <c r="K14" s="23" t="n">
        <v>2.187</v>
      </c>
      <c r="L14" s="23" t="n">
        <v>2.464</v>
      </c>
      <c r="M14" s="23" t="n">
        <v>3.132</v>
      </c>
      <c r="N14" s="23" t="n">
        <v>3.166</v>
      </c>
      <c r="O14" s="23" t="n">
        <v>4.336</v>
      </c>
      <c r="P14" s="23" t="n">
        <v>11.674</v>
      </c>
      <c r="Q14" s="23" t="n">
        <v>20.109</v>
      </c>
    </row>
    <row r="15"/>
    <row r="16" customFormat="1" s="4">
      <c r="A16" s="3" t="inlineStr">
        <is>
          <t>Revenue Change</t>
        </is>
      </c>
      <c r="C16" s="15">
        <f>IFERROR(C2/B2-1,"")</f>
        <v>-0.8</v>
      </c>
      <c r="D16" s="15">
        <f>IFERROR(D2/C2-1,"")</f>
        <v>1.0</v>
      </c>
      <c r="E16" s="15">
        <f>IFERROR(E2/D2-1,"")</f>
        <v>0.33333333333333326</v>
      </c>
      <c r="F16" s="15">
        <f>IFERROR(F2/E2-1,"")</f>
        <v>-1.0</v>
      </c>
      <c r="G16" s="15">
        <f>IFERROR(G2/F2-1,"")</f>
        <v/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>99.28571428571428</v>
      </c>
      <c r="L16" s="15">
        <f>IFERROR(L2/K2-1,"")</f>
        <v>-0.31196581196581197</v>
      </c>
      <c r="M16" s="15">
        <f>IFERROR(M2/L2-1,"")</f>
        <v>-0.2629399585921325</v>
      </c>
      <c r="N16" s="15">
        <f>IFERROR(N2/M2-1,"")</f>
        <v>1.7247191011235956</v>
      </c>
      <c r="O16" s="15">
        <f>IFERROR(O2/N2-1,"")</f>
        <v>-0.843298969072165</v>
      </c>
      <c r="P16" s="15">
        <f>IFERROR(P2/O2-1,"")</f>
        <v>2.355263157894737</v>
      </c>
      <c r="Q16" s="15">
        <f>IFERROR(Q2/P2-1,"")</f>
        <v>-0.41960784313725497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>0.98</v>
      </c>
      <c r="H17" s="15">
        <f>IFERROR(H4/H2,"")</f>
        <v/>
      </c>
      <c r="I17" s="15">
        <f>IFERROR(I4/I2,"")</f>
        <v/>
      </c>
      <c r="J17" s="15">
        <f>IFERROR(J4/J2,"")</f>
        <v>-25.428571428571427</v>
      </c>
      <c r="K17" s="15">
        <f>IFERROR(K4/K2,"")</f>
        <v>0.9715099715099715</v>
      </c>
      <c r="L17" s="15">
        <f>IFERROR(L4/L2,"")</f>
        <v>0.9606625258799172</v>
      </c>
      <c r="M17" s="15">
        <f>IFERROR(M4/M2,"")</f>
        <v>0.9859550561797753</v>
      </c>
      <c r="N17" s="15">
        <f>IFERROR(N4/N2,"")</f>
        <v>0.7051546391752577</v>
      </c>
      <c r="O17" s="15">
        <f>IFERROR(O4/O2,"")</f>
        <v>-0.9868421052631579</v>
      </c>
      <c r="P17" s="15">
        <f>IFERROR(P4/P2,"")</f>
        <v>0.9980392156862745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>-125.93333333333334</v>
      </c>
      <c r="C18" s="15">
        <f>IFERROR(C8/C2,"")</f>
        <v>-629.3333333333334</v>
      </c>
      <c r="D18" s="15">
        <f>IFERROR(D8/D2,"")</f>
        <v>-190.5</v>
      </c>
      <c r="E18" s="15">
        <f>IFERROR(E8/E2,"")</f>
        <v>-22.125</v>
      </c>
      <c r="F18" s="15">
        <f>IFERROR(F8/F2,"")</f>
        <v/>
      </c>
      <c r="G18" s="15">
        <f>IFERROR(G8/G2,"")</f>
        <v>999.28</v>
      </c>
      <c r="H18" s="15">
        <f>IFERROR(H8/H2,"")</f>
        <v/>
      </c>
      <c r="I18" s="15">
        <f>IFERROR(I8/I2,"")</f>
        <v/>
      </c>
      <c r="J18" s="15">
        <f>IFERROR(J8/J2,"")</f>
        <v>-397.8571428571429</v>
      </c>
      <c r="K18" s="15">
        <f>IFERROR(K8/K2,"")</f>
        <v>-4.927350427350428</v>
      </c>
      <c r="L18" s="15">
        <f>IFERROR(L8/L2,"")</f>
        <v>-17.610766045548655</v>
      </c>
      <c r="M18" s="15">
        <f>IFERROR(M8/M2,"")</f>
        <v>-32.88202247191011</v>
      </c>
      <c r="N18" s="15">
        <f>IFERROR(N8/N2,"")</f>
        <v>-15.58041237113402</v>
      </c>
      <c r="O18" s="15">
        <f>IFERROR(O8/O2,"")</f>
        <v>-44.51973684210527</v>
      </c>
      <c r="P18" s="15">
        <f>IFERROR(P8/P2,"")</f>
        <v>-9.22549019607843</v>
      </c>
      <c r="Q18" s="15">
        <f>IFERROR(Q8/Q2,"")</f>
        <v>-24.158783783783782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2026-10-21T01:06:25Z</dcterms:modified>
  <cp:lastModifiedBy>Wang, Eric</cp:lastModifiedBy>
</cp:coreProperties>
</file>