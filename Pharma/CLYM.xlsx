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Climb Bio Inc</t>
        </is>
      </c>
      <c r="C2" s="10" t="n"/>
    </row>
    <row r="3">
      <c r="B3" t="inlineStr">
        <is>
          <t>Price</t>
        </is>
      </c>
      <c r="C3" s="11">
        <f>INDEX([1]Pharma!$F$1:$F$1000,MATCH("CLYM",[1]Pharma!$B$1:$B$1000,0))</f>
        <v>10.8</v>
      </c>
      <c r="F3" s="1" t="n"/>
    </row>
    <row r="4">
      <c r="B4" t="inlineStr">
        <is>
          <t>Shares</t>
        </is>
      </c>
      <c r="C4" s="21" t="n">
        <v>57.436255</v>
      </c>
      <c r="F4" s="1" t="n"/>
    </row>
    <row r="5">
      <c r="B5" t="inlineStr">
        <is>
          <t>Market Cap.</t>
        </is>
      </c>
      <c r="C5" s="13">
        <f>C3*C4</f>
        <v>620.3115540000001</v>
      </c>
      <c r="F5" s="1" t="n"/>
    </row>
    <row r="6"/>
    <row r="7">
      <c r="B7" t="inlineStr">
        <is>
          <t>Cash</t>
        </is>
      </c>
      <c r="C7" s="21">
        <f>44.107+139.016</f>
        <v>183.123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437.1885540000001</v>
      </c>
    </row>
    <row r="10"/>
    <row r="11">
      <c r="B11" s="14" t="inlineStr">
        <is>
          <t>Net Cash / Share</t>
        </is>
      </c>
      <c r="C11" s="11">
        <f>(C7-C8)/C4</f>
        <v>3.188282383661678</v>
      </c>
    </row>
    <row r="12">
      <c r="B12" s="14" t="inlineStr">
        <is>
          <t>Upside</t>
        </is>
      </c>
      <c r="C12" s="15">
        <f>IFERROR(C11/C3-1,"")</f>
        <v>-0.7047886681794743</v>
      </c>
    </row>
    <row r="13">
      <c r="B13" s="14" t="inlineStr">
        <is>
          <t>Cash / Share</t>
        </is>
      </c>
      <c r="C13" s="11">
        <f>IFERROR((C7-C8)/C4,"")</f>
        <v>3.188282383661678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-52.699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3.4748856714548664</v>
      </c>
    </row>
    <row r="19">
      <c r="B19" s="14" t="inlineStr">
        <is>
          <t>Implied Pipeline Value</t>
        </is>
      </c>
      <c r="C19" s="13">
        <f>C9</f>
        <v>437.1885540000001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8.769</v>
      </c>
      <c r="C5" s="23" t="n">
        <v>23.322</v>
      </c>
      <c r="D5" s="23" t="n">
        <v>26.214</v>
      </c>
      <c r="E5" s="23" t="n">
        <v>15.411</v>
      </c>
      <c r="F5" s="23" t="n">
        <v>14.336</v>
      </c>
      <c r="G5" s="23" t="n">
        <v>46.713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12.156</v>
      </c>
      <c r="C6" s="23" t="n">
        <v>12.35</v>
      </c>
      <c r="D6" s="23" t="n">
        <v>18.921</v>
      </c>
      <c r="E6" s="23" t="n">
        <v>24.864</v>
      </c>
      <c r="F6" s="23" t="n">
        <v>67.684</v>
      </c>
      <c r="G6" s="23" t="n">
        <v>21.17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20.925</v>
      </c>
      <c r="C7" s="23">
        <f>SUM(C5:C6)</f>
        <v>35.672</v>
      </c>
      <c r="D7" s="23">
        <f>SUM(D5:D6)</f>
        <v>45.135</v>
      </c>
      <c r="E7" s="23">
        <f>SUM(E5:E6)</f>
        <v>40.275</v>
      </c>
      <c r="F7" s="23">
        <f>SUM(F5:F6)</f>
        <v>82.02</v>
      </c>
      <c r="G7" s="23">
        <f>SUM(G5:G6)</f>
        <v>67.88300000000001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-20.925</v>
      </c>
      <c r="C8" s="23">
        <f>C4-C7</f>
        <v>-35.672</v>
      </c>
      <c r="D8" s="23">
        <f>D4-D7</f>
        <v>-45.135</v>
      </c>
      <c r="E8" s="23">
        <f>E4-E7</f>
        <v>-40.275</v>
      </c>
      <c r="F8" s="23">
        <f>F4-F7</f>
        <v>-82.02</v>
      </c>
      <c r="G8" s="23">
        <f>G4-G7</f>
        <v>-67.88300000000001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0.257</v>
      </c>
      <c r="C9" s="23" t="n">
        <v>-11.808</v>
      </c>
      <c r="D9" s="23" t="n">
        <v>-0.109</v>
      </c>
      <c r="E9" s="23" t="n">
        <v>5.156</v>
      </c>
      <c r="F9" s="23" t="n">
        <v>8.122999999999999</v>
      </c>
      <c r="G9" s="23" t="n">
        <v>8.032</v>
      </c>
    </row>
    <row r="10">
      <c r="A10" s="2" t="inlineStr">
        <is>
          <t>Pretax</t>
        </is>
      </c>
      <c r="B10" s="23">
        <f>B8+B9</f>
        <v>-20.668</v>
      </c>
      <c r="C10" s="23">
        <f>C8+C9</f>
        <v>-47.48</v>
      </c>
      <c r="D10" s="23">
        <f>D8+D9</f>
        <v>-45.244</v>
      </c>
      <c r="E10" s="23">
        <f>E8+E9</f>
        <v>-35.119</v>
      </c>
      <c r="F10" s="23">
        <f>F8+F9</f>
        <v>-73.89699999999999</v>
      </c>
      <c r="G10" s="23">
        <f>G8+G9</f>
        <v>-59.85100000000001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-20.668</v>
      </c>
      <c r="C12" s="23" t="n">
        <v>-47.48</v>
      </c>
      <c r="D12" s="23" t="n">
        <v>-45.244</v>
      </c>
      <c r="E12" s="23" t="n">
        <v>-35.119</v>
      </c>
      <c r="F12" s="23" t="n">
        <v>-73.89700000000001</v>
      </c>
      <c r="G12" s="23" t="n">
        <v>-59.851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-9.446069469835464</v>
      </c>
      <c r="C13" s="11">
        <f>IFERROR(C12/C14,0)</f>
        <v>-3.872441073321915</v>
      </c>
      <c r="D13" s="11">
        <f>IFERROR(D12/D14,0)</f>
        <v>-1.7195196108239585</v>
      </c>
      <c r="E13" s="11">
        <f>IFERROR(E12/E14,0)</f>
        <v>-1.3013302701300626</v>
      </c>
      <c r="F13" s="11">
        <f>IFERROR(F12/F14,0)</f>
        <v>-1.534310570354837</v>
      </c>
      <c r="G13" s="11">
        <f>IFERROR(G12/G14,0)</f>
        <v>-0.8826018993688433</v>
      </c>
    </row>
    <row r="14">
      <c r="A14" s="2" t="inlineStr">
        <is>
          <t>Shares</t>
        </is>
      </c>
      <c r="B14" s="23" t="n">
        <v>2.188</v>
      </c>
      <c r="C14" s="23" t="n">
        <v>12.261</v>
      </c>
      <c r="D14" s="23" t="n">
        <v>26.312</v>
      </c>
      <c r="E14" s="23" t="n">
        <v>26.987</v>
      </c>
      <c r="F14" s="23" t="n">
        <v>48.163</v>
      </c>
      <c r="G14" s="23" t="n">
        <v>67.812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2026-10-21T01:05:03Z</dcterms:modified>
  <cp:lastModifiedBy>Wang, Eric</cp:lastModifiedBy>
</cp:coreProperties>
</file>