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Climb Bio Inc</t>
        </is>
      </c>
      <c r="C2" s="10" t="n"/>
    </row>
    <row r="3">
      <c r="B3" t="inlineStr">
        <is>
          <t>Price</t>
        </is>
      </c>
      <c r="C3" s="11">
        <f>INDEX([1]Pharma!$F$1:$F$1000,MATCH("CLYM",[1]Pharma!$B$1:$B$1000,0))</f>
        <v>10.8</v>
      </c>
      <c r="F3" s="1" t="n"/>
    </row>
    <row r="4">
      <c r="B4" t="inlineStr">
        <is>
          <t>Shares</t>
        </is>
      </c>
      <c r="C4" s="21" t="n">
        <v>57.436255</v>
      </c>
      <c r="F4" s="1" t="n"/>
    </row>
    <row r="5">
      <c r="B5" t="inlineStr">
        <is>
          <t>Market Cap.</t>
        </is>
      </c>
      <c r="C5" s="13">
        <f>C3*C4</f>
        <v>620.3115540000001</v>
      </c>
      <c r="F5" s="1" t="n"/>
    </row>
    <row r="6"/>
    <row r="7">
      <c r="B7" t="inlineStr">
        <is>
          <t>Cash</t>
        </is>
      </c>
      <c r="C7" s="21">
        <f>44.107+139.016</f>
        <v>183.123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437.1885540000001</v>
      </c>
    </row>
    <row r="10"/>
    <row r="11">
      <c r="B11" s="14" t="inlineStr">
        <is>
          <t>rNPV / Share</t>
        </is>
      </c>
      <c r="C11" s="11">
        <f>NPV!B27</f>
        <v>9.15969046939613</v>
      </c>
    </row>
    <row r="12">
      <c r="B12" s="14" t="inlineStr">
        <is>
          <t>Upside</t>
        </is>
      </c>
      <c r="C12" s="15">
        <f>IFERROR(C11/C3-1,"")</f>
        <v>-0.15188051209295095</v>
      </c>
    </row>
    <row r="13">
      <c r="B13" s="14" t="inlineStr">
        <is>
          <t>Cash / Share</t>
        </is>
      </c>
      <c r="C13" s="11">
        <f>IFERROR((C7-C8)/C4,"")</f>
        <v>3.188282383661678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-52.699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3.4748856714548664</v>
      </c>
    </row>
    <row r="19">
      <c r="B19" s="14" t="inlineStr">
        <is>
          <t>Implied Pipeline Value</t>
        </is>
      </c>
      <c r="C19" s="13">
        <f>C9</f>
        <v>437.1885540000001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8.769</v>
      </c>
      <c r="C5" s="23" t="n">
        <v>23.322</v>
      </c>
      <c r="D5" s="23" t="n">
        <v>26.214</v>
      </c>
      <c r="E5" s="23" t="n">
        <v>15.411</v>
      </c>
      <c r="F5" s="23" t="n">
        <v>14.336</v>
      </c>
      <c r="G5" s="23" t="n">
        <v>46.713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12.156</v>
      </c>
      <c r="C6" s="23" t="n">
        <v>12.35</v>
      </c>
      <c r="D6" s="23" t="n">
        <v>18.921</v>
      </c>
      <c r="E6" s="23" t="n">
        <v>24.864</v>
      </c>
      <c r="F6" s="23" t="n">
        <v>67.684</v>
      </c>
      <c r="G6" s="23" t="n">
        <v>21.17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20.925</v>
      </c>
      <c r="C7" s="23">
        <f>SUM(C5:C6)</f>
        <v>35.672</v>
      </c>
      <c r="D7" s="23">
        <f>SUM(D5:D6)</f>
        <v>45.135</v>
      </c>
      <c r="E7" s="23">
        <f>SUM(E5:E6)</f>
        <v>40.275</v>
      </c>
      <c r="F7" s="23">
        <f>SUM(F5:F6)</f>
        <v>82.02</v>
      </c>
      <c r="G7" s="23">
        <f>SUM(G5:G6)</f>
        <v>67.88300000000001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-20.925</v>
      </c>
      <c r="C8" s="23">
        <f>C4-C7</f>
        <v>-35.672</v>
      </c>
      <c r="D8" s="23">
        <f>D4-D7</f>
        <v>-45.135</v>
      </c>
      <c r="E8" s="23">
        <f>E4-E7</f>
        <v>-40.275</v>
      </c>
      <c r="F8" s="23">
        <f>F4-F7</f>
        <v>-82.02</v>
      </c>
      <c r="G8" s="23">
        <f>G4-G7</f>
        <v>-67.88300000000001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0.257</v>
      </c>
      <c r="C9" s="23" t="n">
        <v>-11.808</v>
      </c>
      <c r="D9" s="23" t="n">
        <v>-0.109</v>
      </c>
      <c r="E9" s="23" t="n">
        <v>5.156</v>
      </c>
      <c r="F9" s="23" t="n">
        <v>8.122999999999999</v>
      </c>
      <c r="G9" s="23" t="n">
        <v>8.032</v>
      </c>
    </row>
    <row r="10">
      <c r="A10" s="2" t="inlineStr">
        <is>
          <t>Pretax</t>
        </is>
      </c>
      <c r="B10" s="23">
        <f>B8+B9</f>
        <v>-20.668</v>
      </c>
      <c r="C10" s="23">
        <f>C8+C9</f>
        <v>-47.48</v>
      </c>
      <c r="D10" s="23">
        <f>D8+D9</f>
        <v>-45.244</v>
      </c>
      <c r="E10" s="23">
        <f>E8+E9</f>
        <v>-35.119</v>
      </c>
      <c r="F10" s="23">
        <f>F8+F9</f>
        <v>-73.89699999999999</v>
      </c>
      <c r="G10" s="23">
        <f>G8+G9</f>
        <v>-59.85100000000001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-20.668</v>
      </c>
      <c r="C12" s="23" t="n">
        <v>-47.48</v>
      </c>
      <c r="D12" s="23" t="n">
        <v>-45.244</v>
      </c>
      <c r="E12" s="23" t="n">
        <v>-35.119</v>
      </c>
      <c r="F12" s="23" t="n">
        <v>-73.89700000000001</v>
      </c>
      <c r="G12" s="23" t="n">
        <v>-59.851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-9.446069469835464</v>
      </c>
      <c r="C13" s="11">
        <f>IFERROR(C12/C14,0)</f>
        <v>-3.872441073321915</v>
      </c>
      <c r="D13" s="11">
        <f>IFERROR(D12/D14,0)</f>
        <v>-1.7195196108239585</v>
      </c>
      <c r="E13" s="11">
        <f>IFERROR(E12/E14,0)</f>
        <v>-1.3013302701300626</v>
      </c>
      <c r="F13" s="11">
        <f>IFERROR(F12/F14,0)</f>
        <v>-1.534310570354837</v>
      </c>
      <c r="G13" s="11">
        <f>IFERROR(G12/G14,0)</f>
        <v>-0.8826018993688433</v>
      </c>
    </row>
    <row r="14">
      <c r="A14" s="2" t="inlineStr">
        <is>
          <t>Shares</t>
        </is>
      </c>
      <c r="B14" s="23" t="n">
        <v>2.188</v>
      </c>
      <c r="C14" s="23" t="n">
        <v>12.261</v>
      </c>
      <c r="D14" s="23" t="n">
        <v>26.312</v>
      </c>
      <c r="E14" s="23" t="n">
        <v>26.987</v>
      </c>
      <c r="F14" s="23" t="n">
        <v>48.163</v>
      </c>
      <c r="G14" s="23" t="n">
        <v>67.812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Climb Bio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0.45976559385999993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64.758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282.3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342.97531752130584</v>
      </c>
      <c r="C29" s="42">
        <f>NPV!B25</f>
        <v>526.0983175213058</v>
      </c>
      <c r="D29" s="43">
        <f>NPV!B27</f>
        <v>9.15969046939613</v>
      </c>
      <c r="E29" s="44">
        <f>NPV!B29</f>
        <v>-0.15188051209295095</v>
      </c>
    </row>
    <row r="30">
      <c r="A30" s="45" t="n">
        <v>1</v>
      </c>
      <c r="B30" s="46">
        <f t="dataTable" ref="B30:E32" r1="B4"/>
        <v>26.83410263076999</v>
      </c>
      <c r="C30" s="46">
        <v>209.95710263076998</v>
      </c>
      <c r="D30" s="47">
        <v>3.6554803691635183</v>
      </c>
      <c r="E30" s="48">
        <v>-0.6615295954478224</v>
      </c>
    </row>
    <row r="31">
      <c r="A31" s="45" t="n">
        <v>2</v>
      </c>
      <c r="B31" s="46">
        <v>342.97531752130584</v>
      </c>
      <c r="C31" s="46">
        <v>526.0983175213058</v>
      </c>
      <c r="D31" s="47">
        <v>9.15969046939613</v>
      </c>
      <c r="E31" s="48">
        <v>-0.15188051209295095</v>
      </c>
    </row>
    <row r="32">
      <c r="A32" s="45" t="n">
        <v>3</v>
      </c>
      <c r="B32" s="46">
        <v>857.8392457192903</v>
      </c>
      <c r="C32" s="46">
        <v>1040.9622457192902</v>
      </c>
      <c r="D32" s="47">
        <v>18.123783413791344</v>
      </c>
      <c r="E32" s="48">
        <v>0.6781280938695688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9.15969046939613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2.78803990694529</v>
      </c>
      <c r="C37" s="47">
        <v>4.24535534266727</v>
      </c>
      <c r="D37" s="47">
        <v>5.665538628885751</v>
      </c>
      <c r="E37" s="47">
        <v>8.462214970732932</v>
      </c>
      <c r="F37" s="47">
        <v>11.232887599666775</v>
      </c>
    </row>
    <row r="38">
      <c r="A38" s="50" t="n">
        <v>0.8</v>
      </c>
      <c r="B38" s="47">
        <v>3.641859929773611</v>
      </c>
      <c r="C38" s="47">
        <v>5.54472333261665</v>
      </c>
      <c r="D38" s="47">
        <v>7.413992827072598</v>
      </c>
      <c r="E38" s="47">
        <v>11.114996657897802</v>
      </c>
      <c r="F38" s="47">
        <v>14.791015164051693</v>
      </c>
    </row>
    <row r="39">
      <c r="A39" s="50" t="n">
        <v>1</v>
      </c>
      <c r="B39" s="47">
        <v>4.487964166068257</v>
      </c>
      <c r="C39" s="47">
        <v>6.838442969279539</v>
      </c>
      <c r="D39" s="47">
        <v>9.15969046939613</v>
      </c>
      <c r="E39" s="47">
        <v>13.766850412965395</v>
      </c>
      <c r="F39" s="47">
        <v>18.353094581411497</v>
      </c>
    </row>
    <row r="40">
      <c r="A40" s="50" t="n">
        <v>1.2</v>
      </c>
      <c r="B40" s="47">
        <v>5.332496703616394</v>
      </c>
      <c r="C40" s="47">
        <v>8.136421507756328</v>
      </c>
      <c r="D40" s="47">
        <v>10.907907010030971</v>
      </c>
      <c r="E40" s="47">
        <v>16.420864027932158</v>
      </c>
      <c r="F40" s="47">
        <v>21.917804097189798</v>
      </c>
    </row>
    <row r="41">
      <c r="A41" s="50" t="n">
        <v>1.4</v>
      </c>
      <c r="B41" s="47">
        <v>6.181181348869101</v>
      </c>
      <c r="C41" s="47">
        <v>9.432557425469245</v>
      </c>
      <c r="D41" s="47">
        <v>12.662916356766418</v>
      </c>
      <c r="E41" s="47">
        <v>19.08365819259096</v>
      </c>
      <c r="F41" s="47">
        <v>25.482118708481824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Climb Bio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Kidney disease</t>
        </is>
      </c>
      <c r="C4" s="14" t="inlineStr">
        <is>
          <t>budoprutug</t>
        </is>
      </c>
      <c r="D4" s="14" t="inlineStr">
        <is>
          <t>Phase 2</t>
        </is>
      </c>
      <c r="E4" s="14" t="inlineStr">
        <is>
          <t>Other / area</t>
        </is>
      </c>
      <c r="F4" s="14" t="inlineStr">
        <is>
          <t>Owned</t>
        </is>
      </c>
      <c r="G4" s="40" t="n">
        <v>1200</v>
      </c>
      <c r="H4" s="27" t="n">
        <v>0.2047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279.05759919011285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24.564</v>
      </c>
      <c r="S4" s="23">
        <f>IF(S$3&lt;$I4,0,$G4*Assumptions!$E$11*INDEX(Assumptions!$B$24:$G$24,MIN(6,S$3-$I4+1))*IF(S$3&gt;$J4,(1-Assumptions!$B$26)^(S$3-$J4),1)*IF($H4&gt;=1,1,MIN(0.97,$H4*Assumptions!$E$12)))</f>
        <v>61.41</v>
      </c>
      <c r="T4" s="23">
        <f>IF(T$3&lt;$I4,0,$G4*Assumptions!$E$11*INDEX(Assumptions!$B$24:$G$24,MIN(6,T$3-$I4+1))*IF(T$3&gt;$J4,(1-Assumptions!$B$26)^(T$3-$J4),1)*IF($H4&gt;=1,1,MIN(0.97,$H4*Assumptions!$E$12)))</f>
        <v>110.538</v>
      </c>
      <c r="U4" s="23">
        <f>IF(U$3&lt;$I4,0,$G4*Assumptions!$E$11*INDEX(Assumptions!$B$24:$G$24,MIN(6,U$3-$I4+1))*IF(U$3&gt;$J4,(1-Assumptions!$B$26)^(U$3-$J4),1)*IF($H4&gt;=1,1,MIN(0.97,$H4*Assumptions!$E$12)))</f>
        <v>159.666</v>
      </c>
      <c r="V4" s="23">
        <f>IF(V$3&lt;$I4,0,$G4*Assumptions!$E$11*INDEX(Assumptions!$B$24:$G$24,MIN(6,V$3-$I4+1))*IF(V$3&gt;$J4,(1-Assumptions!$B$26)^(V$3-$J4),1)*IF($H4&gt;=1,1,MIN(0.97,$H4*Assumptions!$E$12)))</f>
        <v>208.79399999999998</v>
      </c>
      <c r="W4" s="23">
        <f>IF(W$3&lt;$I4,0,$G4*Assumptions!$E$11*INDEX(Assumptions!$B$24:$G$24,MIN(6,W$3-$I4+1))*IF(W$3&gt;$J4,(1-Assumptions!$B$26)^(W$3-$J4),1)*IF($H4&gt;=1,1,MIN(0.97,$H4*Assumptions!$E$12)))</f>
        <v>245.64</v>
      </c>
      <c r="X4" s="23">
        <f>IF(X$3&lt;$I4,0,$G4*Assumptions!$E$11*INDEX(Assumptions!$B$24:$G$24,MIN(6,X$3-$I4+1))*IF(X$3&gt;$J4,(1-Assumptions!$B$26)^(X$3-$J4),1)*IF($H4&gt;=1,1,MIN(0.97,$H4*Assumptions!$E$12)))</f>
        <v>245.64</v>
      </c>
      <c r="Y4" s="23">
        <f>IF(Y$3&lt;$I4,0,$G4*Assumptions!$E$11*INDEX(Assumptions!$B$24:$G$24,MIN(6,Y$3-$I4+1))*IF(Y$3&gt;$J4,(1-Assumptions!$B$26)^(Y$3-$J4),1)*IF($H4&gt;=1,1,MIN(0.97,$H4*Assumptions!$E$12)))</f>
        <v>245.64</v>
      </c>
      <c r="Z4" s="23">
        <f>IF(Z$3&lt;$I4,0,$G4*Assumptions!$E$11*INDEX(Assumptions!$B$24:$G$24,MIN(6,Z$3-$I4+1))*IF(Z$3&gt;$J4,(1-Assumptions!$B$26)^(Z$3-$J4),1)*IF($H4&gt;=1,1,MIN(0.97,$H4*Assumptions!$E$12)))</f>
        <v>245.64</v>
      </c>
      <c r="AA4" s="23">
        <f>IF(AA$3&lt;$I4,0,$G4*Assumptions!$E$11*INDEX(Assumptions!$B$24:$G$24,MIN(6,AA$3-$I4+1))*IF(AA$3&gt;$J4,(1-Assumptions!$B$26)^(AA$3-$J4),1)*IF($H4&gt;=1,1,MIN(0.97,$H4*Assumptions!$E$12)))</f>
        <v>245.64</v>
      </c>
      <c r="AB4" s="23">
        <f>IF(AB$3&lt;$I4,0,$G4*Assumptions!$E$11*INDEX(Assumptions!$B$24:$G$24,MIN(6,AB$3-$I4+1))*IF(AB$3&gt;$J4,(1-Assumptions!$B$26)^(AB$3-$J4),1)*IF($H4&gt;=1,1,MIN(0.97,$H4*Assumptions!$E$12)))</f>
        <v>245.64</v>
      </c>
      <c r="AC4" s="23">
        <f>IF(AC$3&lt;$I4,0,$G4*Assumptions!$E$11*INDEX(Assumptions!$B$24:$G$24,MIN(6,AC$3-$I4+1))*IF(AC$3&gt;$J4,(1-Assumptions!$B$26)^(AC$3-$J4),1)*IF($H4&gt;=1,1,MIN(0.97,$H4*Assumptions!$E$12)))</f>
        <v>245.64</v>
      </c>
      <c r="AD4" s="23">
        <f>IF(AD$3&lt;$I4,0,$G4*Assumptions!$E$11*INDEX(Assumptions!$B$24:$G$24,MIN(6,AD$3-$I4+1))*IF(AD$3&gt;$J4,(1-Assumptions!$B$26)^(AD$3-$J4),1)*IF($H4&gt;=1,1,MIN(0.97,$H4*Assumptions!$E$12)))</f>
        <v>245.64</v>
      </c>
      <c r="AE4" s="23">
        <f>IF(AE$3&lt;$I4,0,$G4*Assumptions!$E$11*INDEX(Assumptions!$B$24:$G$24,MIN(6,AE$3-$I4+1))*IF(AE$3&gt;$J4,(1-Assumptions!$B$26)^(AE$3-$J4),1)*IF($H4&gt;=1,1,MIN(0.97,$H4*Assumptions!$E$12)))</f>
        <v>122.82</v>
      </c>
      <c r="AF4" s="23">
        <f>IF(AF$3&lt;$I4,0,$G4*Assumptions!$E$11*INDEX(Assumptions!$B$24:$G$24,MIN(6,AF$3-$I4+1))*IF(AF$3&gt;$J4,(1-Assumptions!$B$26)^(AF$3-$J4),1)*IF($H4&gt;=1,1,MIN(0.97,$H4*Assumptions!$E$12)))</f>
        <v>61.41</v>
      </c>
      <c r="AG4" s="35">
        <f>IF(F4="Owned",1-IF(H4&gt;=1,1,MIN(0.97,H4*Assumptions!$E$12)),1)</f>
        <v>0.7953</v>
      </c>
    </row>
    <row r="5">
      <c r="A5" s="39" t="n">
        <v>2</v>
      </c>
      <c r="B5" s="14" t="inlineStr">
        <is>
          <t>Lupus / Sjogren's</t>
        </is>
      </c>
      <c r="C5" s="14" t="inlineStr">
        <is>
          <t>Budoprutug</t>
        </is>
      </c>
      <c r="D5" s="14" t="inlineStr">
        <is>
          <t>Phase 1/2</t>
        </is>
      </c>
      <c r="E5" s="14" t="inlineStr">
        <is>
          <t>Autoimmune / area</t>
        </is>
      </c>
      <c r="F5" s="14" t="inlineStr">
        <is>
          <t>Owned</t>
        </is>
      </c>
      <c r="G5" s="40" t="n">
        <v>1500</v>
      </c>
      <c r="H5" s="27" t="n">
        <v>0.1434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215.9522765901462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21.51</v>
      </c>
      <c r="T5" s="23">
        <f>IF(T$3&lt;$I5,0,$G5*Assumptions!$E$11*INDEX(Assumptions!$B$24:$G$24,MIN(6,T$3-$I5+1))*IF(T$3&gt;$J5,(1-Assumptions!$B$26)^(T$3-$J5),1)*IF($H5&gt;=1,1,MIN(0.97,$H5*Assumptions!$E$12)))</f>
        <v>53.775</v>
      </c>
      <c r="U5" s="23">
        <f>IF(U$3&lt;$I5,0,$G5*Assumptions!$E$11*INDEX(Assumptions!$B$24:$G$24,MIN(6,U$3-$I5+1))*IF(U$3&gt;$J5,(1-Assumptions!$B$26)^(U$3-$J5),1)*IF($H5&gt;=1,1,MIN(0.97,$H5*Assumptions!$E$12)))</f>
        <v>96.795</v>
      </c>
      <c r="V5" s="23">
        <f>IF(V$3&lt;$I5,0,$G5*Assumptions!$E$11*INDEX(Assumptions!$B$24:$G$24,MIN(6,V$3-$I5+1))*IF(V$3&gt;$J5,(1-Assumptions!$B$26)^(V$3-$J5),1)*IF($H5&gt;=1,1,MIN(0.97,$H5*Assumptions!$E$12)))</f>
        <v>139.815</v>
      </c>
      <c r="W5" s="23">
        <f>IF(W$3&lt;$I5,0,$G5*Assumptions!$E$11*INDEX(Assumptions!$B$24:$G$24,MIN(6,W$3-$I5+1))*IF(W$3&gt;$J5,(1-Assumptions!$B$26)^(W$3-$J5),1)*IF($H5&gt;=1,1,MIN(0.97,$H5*Assumptions!$E$12)))</f>
        <v>182.835</v>
      </c>
      <c r="X5" s="23">
        <f>IF(X$3&lt;$I5,0,$G5*Assumptions!$E$11*INDEX(Assumptions!$B$24:$G$24,MIN(6,X$3-$I5+1))*IF(X$3&gt;$J5,(1-Assumptions!$B$26)^(X$3-$J5),1)*IF($H5&gt;=1,1,MIN(0.97,$H5*Assumptions!$E$12)))</f>
        <v>215.1</v>
      </c>
      <c r="Y5" s="23">
        <f>IF(Y$3&lt;$I5,0,$G5*Assumptions!$E$11*INDEX(Assumptions!$B$24:$G$24,MIN(6,Y$3-$I5+1))*IF(Y$3&gt;$J5,(1-Assumptions!$B$26)^(Y$3-$J5),1)*IF($H5&gt;=1,1,MIN(0.97,$H5*Assumptions!$E$12)))</f>
        <v>215.1</v>
      </c>
      <c r="Z5" s="23">
        <f>IF(Z$3&lt;$I5,0,$G5*Assumptions!$E$11*INDEX(Assumptions!$B$24:$G$24,MIN(6,Z$3-$I5+1))*IF(Z$3&gt;$J5,(1-Assumptions!$B$26)^(Z$3-$J5),1)*IF($H5&gt;=1,1,MIN(0.97,$H5*Assumptions!$E$12)))</f>
        <v>215.1</v>
      </c>
      <c r="AA5" s="23">
        <f>IF(AA$3&lt;$I5,0,$G5*Assumptions!$E$11*INDEX(Assumptions!$B$24:$G$24,MIN(6,AA$3-$I5+1))*IF(AA$3&gt;$J5,(1-Assumptions!$B$26)^(AA$3-$J5),1)*IF($H5&gt;=1,1,MIN(0.97,$H5*Assumptions!$E$12)))</f>
        <v>215.1</v>
      </c>
      <c r="AB5" s="23">
        <f>IF(AB$3&lt;$I5,0,$G5*Assumptions!$E$11*INDEX(Assumptions!$B$24:$G$24,MIN(6,AB$3-$I5+1))*IF(AB$3&gt;$J5,(1-Assumptions!$B$26)^(AB$3-$J5),1)*IF($H5&gt;=1,1,MIN(0.97,$H5*Assumptions!$E$12)))</f>
        <v>215.1</v>
      </c>
      <c r="AC5" s="23">
        <f>IF(AC$3&lt;$I5,0,$G5*Assumptions!$E$11*INDEX(Assumptions!$B$24:$G$24,MIN(6,AC$3-$I5+1))*IF(AC$3&gt;$J5,(1-Assumptions!$B$26)^(AC$3-$J5),1)*IF($H5&gt;=1,1,MIN(0.97,$H5*Assumptions!$E$12)))</f>
        <v>215.1</v>
      </c>
      <c r="AD5" s="23">
        <f>IF(AD$3&lt;$I5,0,$G5*Assumptions!$E$11*INDEX(Assumptions!$B$24:$G$24,MIN(6,AD$3-$I5+1))*IF(AD$3&gt;$J5,(1-Assumptions!$B$26)^(AD$3-$J5),1)*IF($H5&gt;=1,1,MIN(0.97,$H5*Assumptions!$E$12)))</f>
        <v>215.1</v>
      </c>
      <c r="AE5" s="23">
        <f>IF(AE$3&lt;$I5,0,$G5*Assumptions!$E$11*INDEX(Assumptions!$B$24:$G$24,MIN(6,AE$3-$I5+1))*IF(AE$3&gt;$J5,(1-Assumptions!$B$26)^(AE$3-$J5),1)*IF($H5&gt;=1,1,MIN(0.97,$H5*Assumptions!$E$12)))</f>
        <v>215.1</v>
      </c>
      <c r="AF5" s="23">
        <f>IF(AF$3&lt;$I5,0,$G5*Assumptions!$E$11*INDEX(Assumptions!$B$24:$G$24,MIN(6,AF$3-$I5+1))*IF(AF$3&gt;$J5,(1-Assumptions!$B$26)^(AF$3-$J5),1)*IF($H5&gt;=1,1,MIN(0.97,$H5*Assumptions!$E$12)))</f>
        <v>107.55</v>
      </c>
      <c r="AG5" s="35">
        <f>IF(F5="Owned",1-IF(H5&gt;=1,1,MIN(0.97,H5*Assumptions!$E$12)),1)</f>
        <v>0.8566</v>
      </c>
    </row>
    <row r="6">
      <c r="A6" s="39" t="n">
        <v>3</v>
      </c>
      <c r="B6" s="14" t="inlineStr">
        <is>
          <t>Rare autoimmune</t>
        </is>
      </c>
      <c r="C6" s="14" t="inlineStr">
        <is>
          <t>Budoprutug</t>
        </is>
      </c>
      <c r="D6" s="14" t="inlineStr">
        <is>
          <t>Phase 1/2</t>
        </is>
      </c>
      <c r="E6" s="14" t="inlineStr">
        <is>
          <t>Autoimmune / rare</t>
        </is>
      </c>
      <c r="F6" s="14" t="inlineStr">
        <is>
          <t>Owned</t>
        </is>
      </c>
      <c r="G6" s="40" t="n">
        <v>800</v>
      </c>
      <c r="H6" s="27" t="n">
        <v>0.207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166.25614599408743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16.56</v>
      </c>
      <c r="T6" s="23">
        <f>IF(T$3&lt;$I6,0,$G6*Assumptions!$E$11*INDEX(Assumptions!$B$24:$G$24,MIN(6,T$3-$I6+1))*IF(T$3&gt;$J6,(1-Assumptions!$B$26)^(T$3-$J6),1)*IF($H6&gt;=1,1,MIN(0.97,$H6*Assumptions!$E$12)))</f>
        <v>41.4</v>
      </c>
      <c r="U6" s="23">
        <f>IF(U$3&lt;$I6,0,$G6*Assumptions!$E$11*INDEX(Assumptions!$B$24:$G$24,MIN(6,U$3-$I6+1))*IF(U$3&gt;$J6,(1-Assumptions!$B$26)^(U$3-$J6),1)*IF($H6&gt;=1,1,MIN(0.97,$H6*Assumptions!$E$12)))</f>
        <v>74.52</v>
      </c>
      <c r="V6" s="23">
        <f>IF(V$3&lt;$I6,0,$G6*Assumptions!$E$11*INDEX(Assumptions!$B$24:$G$24,MIN(6,V$3-$I6+1))*IF(V$3&gt;$J6,(1-Assumptions!$B$26)^(V$3-$J6),1)*IF($H6&gt;=1,1,MIN(0.97,$H6*Assumptions!$E$12)))</f>
        <v>107.64</v>
      </c>
      <c r="W6" s="23">
        <f>IF(W$3&lt;$I6,0,$G6*Assumptions!$E$11*INDEX(Assumptions!$B$24:$G$24,MIN(6,W$3-$I6+1))*IF(W$3&gt;$J6,(1-Assumptions!$B$26)^(W$3-$J6),1)*IF($H6&gt;=1,1,MIN(0.97,$H6*Assumptions!$E$12)))</f>
        <v>140.76</v>
      </c>
      <c r="X6" s="23">
        <f>IF(X$3&lt;$I6,0,$G6*Assumptions!$E$11*INDEX(Assumptions!$B$24:$G$24,MIN(6,X$3-$I6+1))*IF(X$3&gt;$J6,(1-Assumptions!$B$26)^(X$3-$J6),1)*IF($H6&gt;=1,1,MIN(0.97,$H6*Assumptions!$E$12)))</f>
        <v>165.6</v>
      </c>
      <c r="Y6" s="23">
        <f>IF(Y$3&lt;$I6,0,$G6*Assumptions!$E$11*INDEX(Assumptions!$B$24:$G$24,MIN(6,Y$3-$I6+1))*IF(Y$3&gt;$J6,(1-Assumptions!$B$26)^(Y$3-$J6),1)*IF($H6&gt;=1,1,MIN(0.97,$H6*Assumptions!$E$12)))</f>
        <v>165.6</v>
      </c>
      <c r="Z6" s="23">
        <f>IF(Z$3&lt;$I6,0,$G6*Assumptions!$E$11*INDEX(Assumptions!$B$24:$G$24,MIN(6,Z$3-$I6+1))*IF(Z$3&gt;$J6,(1-Assumptions!$B$26)^(Z$3-$J6),1)*IF($H6&gt;=1,1,MIN(0.97,$H6*Assumptions!$E$12)))</f>
        <v>165.6</v>
      </c>
      <c r="AA6" s="23">
        <f>IF(AA$3&lt;$I6,0,$G6*Assumptions!$E$11*INDEX(Assumptions!$B$24:$G$24,MIN(6,AA$3-$I6+1))*IF(AA$3&gt;$J6,(1-Assumptions!$B$26)^(AA$3-$J6),1)*IF($H6&gt;=1,1,MIN(0.97,$H6*Assumptions!$E$12)))</f>
        <v>165.6</v>
      </c>
      <c r="AB6" s="23">
        <f>IF(AB$3&lt;$I6,0,$G6*Assumptions!$E$11*INDEX(Assumptions!$B$24:$G$24,MIN(6,AB$3-$I6+1))*IF(AB$3&gt;$J6,(1-Assumptions!$B$26)^(AB$3-$J6),1)*IF($H6&gt;=1,1,MIN(0.97,$H6*Assumptions!$E$12)))</f>
        <v>165.6</v>
      </c>
      <c r="AC6" s="23">
        <f>IF(AC$3&lt;$I6,0,$G6*Assumptions!$E$11*INDEX(Assumptions!$B$24:$G$24,MIN(6,AC$3-$I6+1))*IF(AC$3&gt;$J6,(1-Assumptions!$B$26)^(AC$3-$J6),1)*IF($H6&gt;=1,1,MIN(0.97,$H6*Assumptions!$E$12)))</f>
        <v>165.6</v>
      </c>
      <c r="AD6" s="23">
        <f>IF(AD$3&lt;$I6,0,$G6*Assumptions!$E$11*INDEX(Assumptions!$B$24:$G$24,MIN(6,AD$3-$I6+1))*IF(AD$3&gt;$J6,(1-Assumptions!$B$26)^(AD$3-$J6),1)*IF($H6&gt;=1,1,MIN(0.97,$H6*Assumptions!$E$12)))</f>
        <v>165.6</v>
      </c>
      <c r="AE6" s="23">
        <f>IF(AE$3&lt;$I6,0,$G6*Assumptions!$E$11*INDEX(Assumptions!$B$24:$G$24,MIN(6,AE$3-$I6+1))*IF(AE$3&gt;$J6,(1-Assumptions!$B$26)^(AE$3-$J6),1)*IF($H6&gt;=1,1,MIN(0.97,$H6*Assumptions!$E$12)))</f>
        <v>165.6</v>
      </c>
      <c r="AF6" s="23">
        <f>IF(AF$3&lt;$I6,0,$G6*Assumptions!$E$11*INDEX(Assumptions!$B$24:$G$24,MIN(6,AF$3-$I6+1))*IF(AF$3&gt;$J6,(1-Assumptions!$B$26)^(AF$3-$J6),1)*IF($H6&gt;=1,1,MIN(0.97,$H6*Assumptions!$E$12)))</f>
        <v>82.8</v>
      </c>
      <c r="AG6" s="35">
        <f>IF(F6="Owned",1-IF(H6&gt;=1,1,MIN(0.97,H6*Assumptions!$E$12)),1)</f>
        <v>0.793</v>
      </c>
    </row>
    <row r="7">
      <c r="B7" s="24" t="inlineStr">
        <is>
          <t>Risked revenue</t>
        </is>
      </c>
      <c r="L7" s="54">
        <f>SUM(L4:L6)</f>
        <v>661.2660217743464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24.564</v>
      </c>
      <c r="S7" s="54">
        <f>SUM(S4:S6)</f>
        <v>99.48</v>
      </c>
      <c r="T7" s="54">
        <f>SUM(T4:T6)</f>
        <v>205.713</v>
      </c>
      <c r="U7" s="54">
        <f>SUM(U4:U6)</f>
        <v>330.981</v>
      </c>
      <c r="V7" s="54">
        <f>SUM(V4:V6)</f>
        <v>456.24899999999997</v>
      </c>
      <c r="W7" s="54">
        <f>SUM(W4:W6)</f>
        <v>569.235</v>
      </c>
      <c r="X7" s="54">
        <f>SUM(X4:X6)</f>
        <v>626.34</v>
      </c>
      <c r="Y7" s="54">
        <f>SUM(Y4:Y6)</f>
        <v>626.34</v>
      </c>
      <c r="Z7" s="54">
        <f>SUM(Z4:Z6)</f>
        <v>626.34</v>
      </c>
      <c r="AA7" s="54">
        <f>SUM(AA4:AA6)</f>
        <v>626.34</v>
      </c>
      <c r="AB7" s="54">
        <f>SUM(AB4:AB6)</f>
        <v>626.34</v>
      </c>
      <c r="AC7" s="54">
        <f>SUM(AC4:AC6)</f>
        <v>626.34</v>
      </c>
      <c r="AD7" s="54">
        <f>SUM(AD4:AD6)</f>
        <v>626.34</v>
      </c>
      <c r="AE7" s="54">
        <f>SUM(AE4:AE6)</f>
        <v>503.52</v>
      </c>
      <c r="AF7" s="54">
        <f>SUM(AF4:AF6)</f>
        <v>251.76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9.825600000000001</v>
      </c>
      <c r="S8" s="55">
        <f>SUMPRODUCT(S4:S6,$K$4:$K$6)</f>
        <v>39.792</v>
      </c>
      <c r="T8" s="55">
        <f>SUMPRODUCT(T4:T6,$K$4:$K$6)</f>
        <v>82.2852</v>
      </c>
      <c r="U8" s="55">
        <f>SUMPRODUCT(U4:U6,$K$4:$K$6)</f>
        <v>132.3924</v>
      </c>
      <c r="V8" s="55">
        <f>SUMPRODUCT(V4:V6,$K$4:$K$6)</f>
        <v>182.49960000000002</v>
      </c>
      <c r="W8" s="55">
        <f>SUMPRODUCT(W4:W6,$K$4:$K$6)</f>
        <v>227.694</v>
      </c>
      <c r="X8" s="55">
        <f>SUMPRODUCT(X4:X6,$K$4:$K$6)</f>
        <v>250.536</v>
      </c>
      <c r="Y8" s="55">
        <f>SUMPRODUCT(Y4:Y6,$K$4:$K$6)</f>
        <v>250.536</v>
      </c>
      <c r="Z8" s="55">
        <f>SUMPRODUCT(Z4:Z6,$K$4:$K$6)</f>
        <v>250.536</v>
      </c>
      <c r="AA8" s="55">
        <f>SUMPRODUCT(AA4:AA6,$K$4:$K$6)</f>
        <v>250.536</v>
      </c>
      <c r="AB8" s="55">
        <f>SUMPRODUCT(AB4:AB6,$K$4:$K$6)</f>
        <v>250.536</v>
      </c>
      <c r="AC8" s="55">
        <f>SUMPRODUCT(AC4:AC6,$K$4:$K$6)</f>
        <v>250.536</v>
      </c>
      <c r="AD8" s="55">
        <f>SUMPRODUCT(AD4:AD6,$K$4:$K$6)</f>
        <v>250.536</v>
      </c>
      <c r="AE8" s="55">
        <f>SUMPRODUCT(AE4:AE6,$K$4:$K$6)</f>
        <v>201.40800000000002</v>
      </c>
      <c r="AF8" s="55">
        <f>SUMPRODUCT(AF4:AF6,$K$4:$K$6)</f>
        <v>100.70400000000001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Climb Bio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24.564</v>
      </c>
      <c r="I4" s="57">
        <f>Pipeline!S7</f>
        <v>99.48</v>
      </c>
      <c r="J4" s="57">
        <f>Pipeline!T7</f>
        <v>205.713</v>
      </c>
      <c r="K4" s="57">
        <f>Pipeline!U7</f>
        <v>330.981</v>
      </c>
      <c r="L4" s="57">
        <f>Pipeline!V7</f>
        <v>456.24899999999997</v>
      </c>
      <c r="M4" s="57">
        <f>Pipeline!W7</f>
        <v>569.235</v>
      </c>
      <c r="N4" s="57">
        <f>Pipeline!X7</f>
        <v>626.34</v>
      </c>
      <c r="O4" s="57">
        <f>Pipeline!Y7</f>
        <v>626.34</v>
      </c>
      <c r="P4" s="57">
        <f>Pipeline!Z7</f>
        <v>626.34</v>
      </c>
      <c r="Q4" s="57">
        <f>Pipeline!AA7</f>
        <v>626.34</v>
      </c>
      <c r="R4" s="57">
        <f>Pipeline!AB7</f>
        <v>626.34</v>
      </c>
      <c r="S4" s="57">
        <f>Pipeline!AC7</f>
        <v>626.34</v>
      </c>
      <c r="T4" s="57">
        <f>Pipeline!AD7</f>
        <v>626.34</v>
      </c>
      <c r="U4" s="57">
        <f>Pipeline!AE7</f>
        <v>503.52</v>
      </c>
      <c r="V4" s="57">
        <f>Pipeline!AF7</f>
        <v>251.76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9.825600000000001</v>
      </c>
      <c r="I5" s="57">
        <f>Pipeline!S8</f>
        <v>39.792</v>
      </c>
      <c r="J5" s="57">
        <f>Pipeline!T8</f>
        <v>82.2852</v>
      </c>
      <c r="K5" s="57">
        <f>Pipeline!U8</f>
        <v>132.3924</v>
      </c>
      <c r="L5" s="57">
        <f>Pipeline!V8</f>
        <v>182.49960000000002</v>
      </c>
      <c r="M5" s="57">
        <f>Pipeline!W8</f>
        <v>227.694</v>
      </c>
      <c r="N5" s="57">
        <f>Pipeline!X8</f>
        <v>250.536</v>
      </c>
      <c r="O5" s="57">
        <f>Pipeline!Y8</f>
        <v>250.536</v>
      </c>
      <c r="P5" s="57">
        <f>Pipeline!Z8</f>
        <v>250.536</v>
      </c>
      <c r="Q5" s="57">
        <f>Pipeline!AA8</f>
        <v>250.536</v>
      </c>
      <c r="R5" s="57">
        <f>Pipeline!AB8</f>
        <v>250.536</v>
      </c>
      <c r="S5" s="57">
        <f>Pipeline!AC8</f>
        <v>250.536</v>
      </c>
      <c r="T5" s="57">
        <f>Pipeline!AD8</f>
        <v>250.536</v>
      </c>
      <c r="U5" s="57">
        <f>Pipeline!AE8</f>
        <v>201.40800000000002</v>
      </c>
      <c r="V5" s="57">
        <f>Pipeline!AF8</f>
        <v>100.70400000000001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-64.758</v>
      </c>
      <c r="D6" s="23">
        <f>-IF(D3-2026&lt;Assumptions!$B$19,Assumptions!$B$18,Assumptions!$B$18*Assumptions!$B$20*Assumptions!$B$16)</f>
        <v>-64.758</v>
      </c>
      <c r="E6" s="23">
        <f>-IF(E3-2026&lt;Assumptions!$B$19,Assumptions!$B$18,Assumptions!$B$18*Assumptions!$B$20*Assumptions!$B$16)</f>
        <v>-64.758</v>
      </c>
      <c r="F6" s="23">
        <f>-IF(F3-2026&lt;Assumptions!$B$19,Assumptions!$B$18,Assumptions!$B$18*Assumptions!$B$20*Assumptions!$B$16)</f>
        <v>-64.758</v>
      </c>
      <c r="G6" s="23">
        <f>-IF(G3-2026&lt;Assumptions!$B$19,Assumptions!$B$18,Assumptions!$B$18*Assumptions!$B$20*Assumptions!$B$16)</f>
        <v>-8.932050098155763</v>
      </c>
      <c r="H6" s="23">
        <f>-IF(H3-2026&lt;Assumptions!$B$19,Assumptions!$B$18,Assumptions!$B$18*Assumptions!$B$20*Assumptions!$B$16)</f>
        <v>-8.932050098155763</v>
      </c>
      <c r="I6" s="23">
        <f>-IF(I3-2026&lt;Assumptions!$B$19,Assumptions!$B$18,Assumptions!$B$18*Assumptions!$B$20*Assumptions!$B$16)</f>
        <v>-8.932050098155763</v>
      </c>
      <c r="J6" s="23">
        <f>-IF(J3-2026&lt;Assumptions!$B$19,Assumptions!$B$18,Assumptions!$B$18*Assumptions!$B$20*Assumptions!$B$16)</f>
        <v>-8.932050098155763</v>
      </c>
      <c r="K6" s="23">
        <f>-IF(K3-2026&lt;Assumptions!$B$19,Assumptions!$B$18,Assumptions!$B$18*Assumptions!$B$20*Assumptions!$B$16)</f>
        <v>-8.932050098155763</v>
      </c>
      <c r="L6" s="23">
        <f>-IF(L3-2026&lt;Assumptions!$B$19,Assumptions!$B$18,Assumptions!$B$18*Assumptions!$B$20*Assumptions!$B$16)</f>
        <v>-8.932050098155763</v>
      </c>
      <c r="M6" s="23">
        <f>-IF(M3-2026&lt;Assumptions!$B$19,Assumptions!$B$18,Assumptions!$B$18*Assumptions!$B$20*Assumptions!$B$16)</f>
        <v>-8.932050098155763</v>
      </c>
      <c r="N6" s="23">
        <f>-IF(N3-2026&lt;Assumptions!$B$19,Assumptions!$B$18,Assumptions!$B$18*Assumptions!$B$20*Assumptions!$B$16)</f>
        <v>-8.932050098155763</v>
      </c>
      <c r="O6" s="23">
        <f>-IF(O3-2026&lt;Assumptions!$B$19,Assumptions!$B$18,Assumptions!$B$18*Assumptions!$B$20*Assumptions!$B$16)</f>
        <v>-8.932050098155763</v>
      </c>
      <c r="P6" s="23">
        <f>-IF(P3-2026&lt;Assumptions!$B$19,Assumptions!$B$18,Assumptions!$B$18*Assumptions!$B$20*Assumptions!$B$16)</f>
        <v>-8.932050098155763</v>
      </c>
      <c r="Q6" s="23">
        <f>-IF(Q3-2026&lt;Assumptions!$B$19,Assumptions!$B$18,Assumptions!$B$18*Assumptions!$B$20*Assumptions!$B$16)</f>
        <v>-8.932050098155763</v>
      </c>
      <c r="R6" s="23">
        <f>-IF(R3-2026&lt;Assumptions!$B$19,Assumptions!$B$18,Assumptions!$B$18*Assumptions!$B$20*Assumptions!$B$16)</f>
        <v>-8.932050098155763</v>
      </c>
      <c r="S6" s="23">
        <f>-IF(S3-2026&lt;Assumptions!$B$19,Assumptions!$B$18,Assumptions!$B$18*Assumptions!$B$20*Assumptions!$B$16)</f>
        <v>-8.932050098155763</v>
      </c>
      <c r="T6" s="23">
        <f>-IF(T3-2026&lt;Assumptions!$B$19,Assumptions!$B$18,Assumptions!$B$18*Assumptions!$B$20*Assumptions!$B$16)</f>
        <v>-8.932050098155763</v>
      </c>
      <c r="U6" s="23">
        <f>-IF(U3-2026&lt;Assumptions!$B$19,Assumptions!$B$18,Assumptions!$B$18*Assumptions!$B$20*Assumptions!$B$16)</f>
        <v>-8.932050098155763</v>
      </c>
      <c r="V6" s="23">
        <f>-IF(V3-2026&lt;Assumptions!$B$19,Assumptions!$B$18,Assumptions!$B$18*Assumptions!$B$20*Assumptions!$B$16)</f>
        <v>-8.932050098155763</v>
      </c>
    </row>
    <row r="7">
      <c r="A7" s="14" t="inlineStr">
        <is>
          <t>Pre-tax cash flow</t>
        </is>
      </c>
      <c r="C7" s="23">
        <f>C5+C6</f>
        <v>-64.758</v>
      </c>
      <c r="D7" s="23">
        <f>D5+D6</f>
        <v>-64.758</v>
      </c>
      <c r="E7" s="23">
        <f>E5+E6</f>
        <v>-64.758</v>
      </c>
      <c r="F7" s="23">
        <f>F5+F6</f>
        <v>-64.758</v>
      </c>
      <c r="G7" s="23">
        <f>G5+G6</f>
        <v>-8.932050098155763</v>
      </c>
      <c r="H7" s="23">
        <f>H5+H6</f>
        <v>0.8935499018442385</v>
      </c>
      <c r="I7" s="23">
        <f>I5+I6</f>
        <v>30.85994990184424</v>
      </c>
      <c r="J7" s="23">
        <f>J5+J6</f>
        <v>73.35314990184423</v>
      </c>
      <c r="K7" s="23">
        <f>K5+K6</f>
        <v>123.46034990184424</v>
      </c>
      <c r="L7" s="23">
        <f>L5+L6</f>
        <v>173.56754990184425</v>
      </c>
      <c r="M7" s="23">
        <f>M5+M6</f>
        <v>218.76194990184422</v>
      </c>
      <c r="N7" s="23">
        <f>N5+N6</f>
        <v>241.60394990184423</v>
      </c>
      <c r="O7" s="23">
        <f>O5+O6</f>
        <v>241.60394990184423</v>
      </c>
      <c r="P7" s="23">
        <f>P5+P6</f>
        <v>241.60394990184423</v>
      </c>
      <c r="Q7" s="23">
        <f>Q5+Q6</f>
        <v>241.60394990184423</v>
      </c>
      <c r="R7" s="23">
        <f>R5+R6</f>
        <v>241.60394990184423</v>
      </c>
      <c r="S7" s="23">
        <f>S5+S6</f>
        <v>241.60394990184423</v>
      </c>
      <c r="T7" s="23">
        <f>T5+T6</f>
        <v>241.60394990184423</v>
      </c>
      <c r="U7" s="23">
        <f>U5+U6</f>
        <v>192.47594990184425</v>
      </c>
      <c r="V7" s="23">
        <f>V5+V6</f>
        <v>91.77194990184424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0.8935499018442385</v>
      </c>
      <c r="I8" s="23">
        <f>MIN(H17,MAX(0,I7))</f>
        <v>30.85994990184424</v>
      </c>
      <c r="J8" s="23">
        <f>MIN(I17,MAX(0,J7))</f>
        <v>73.35314990184423</v>
      </c>
      <c r="K8" s="23">
        <f>MIN(J17,MAX(0,K7))</f>
        <v>123.46034990184424</v>
      </c>
      <c r="L8" s="23">
        <f>MIN(K17,MAX(0,L7))</f>
        <v>173.56754990184425</v>
      </c>
      <c r="M8" s="23">
        <f>MIN(L17,MAX(0,M7))</f>
        <v>148.12950058893443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70.63244931290978</v>
      </c>
      <c r="N9" s="23">
        <f>MAX(0,N7)-N8</f>
        <v>241.60394990184423</v>
      </c>
      <c r="O9" s="23">
        <f>MAX(0,O7)-O8</f>
        <v>241.60394990184423</v>
      </c>
      <c r="P9" s="23">
        <f>MAX(0,P7)-P8</f>
        <v>241.60394990184423</v>
      </c>
      <c r="Q9" s="23">
        <f>MAX(0,Q7)-Q8</f>
        <v>241.60394990184423</v>
      </c>
      <c r="R9" s="23">
        <f>MAX(0,R7)-R8</f>
        <v>241.60394990184423</v>
      </c>
      <c r="S9" s="23">
        <f>MAX(0,S7)-S8</f>
        <v>241.60394990184423</v>
      </c>
      <c r="T9" s="23">
        <f>MAX(0,T7)-T8</f>
        <v>241.60394990184423</v>
      </c>
      <c r="U9" s="23">
        <f>MAX(0,U7)-U8</f>
        <v>192.47594990184425</v>
      </c>
      <c r="V9" s="23">
        <f>MAX(0,V7)-V8</f>
        <v>91.77194990184424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14.832814355711054</v>
      </c>
      <c r="N10" s="23">
        <f>N9*Assumptions!$E$15</f>
        <v>50.73682947938729</v>
      </c>
      <c r="O10" s="23">
        <f>O9*Assumptions!$E$15</f>
        <v>50.73682947938729</v>
      </c>
      <c r="P10" s="23">
        <f>P9*Assumptions!$E$15</f>
        <v>50.73682947938729</v>
      </c>
      <c r="Q10" s="23">
        <f>Q9*Assumptions!$E$15</f>
        <v>50.73682947938729</v>
      </c>
      <c r="R10" s="23">
        <f>R9*Assumptions!$E$15</f>
        <v>50.73682947938729</v>
      </c>
      <c r="S10" s="23">
        <f>S9*Assumptions!$E$15</f>
        <v>50.73682947938729</v>
      </c>
      <c r="T10" s="23">
        <f>T9*Assumptions!$E$15</f>
        <v>50.73682947938729</v>
      </c>
      <c r="U10" s="23">
        <f>U9*Assumptions!$E$15</f>
        <v>40.41994947938729</v>
      </c>
      <c r="V10" s="23">
        <f>V9*Assumptions!$E$15</f>
        <v>19.27210947938729</v>
      </c>
    </row>
    <row r="11">
      <c r="A11" s="24" t="inlineStr">
        <is>
          <t>Free cash flow</t>
        </is>
      </c>
      <c r="C11" s="55">
        <f>C7-C10</f>
        <v>-64.758</v>
      </c>
      <c r="D11" s="55">
        <f>D7-D10</f>
        <v>-64.758</v>
      </c>
      <c r="E11" s="55">
        <f>E7-E10</f>
        <v>-64.758</v>
      </c>
      <c r="F11" s="55">
        <f>F7-F10</f>
        <v>-64.758</v>
      </c>
      <c r="G11" s="55">
        <f>G7-G10</f>
        <v>-8.932050098155763</v>
      </c>
      <c r="H11" s="55">
        <f>H7-H10</f>
        <v>0.8935499018442385</v>
      </c>
      <c r="I11" s="55">
        <f>I7-I10</f>
        <v>30.85994990184424</v>
      </c>
      <c r="J11" s="55">
        <f>J7-J10</f>
        <v>73.35314990184423</v>
      </c>
      <c r="K11" s="55">
        <f>K7-K10</f>
        <v>123.46034990184424</v>
      </c>
      <c r="L11" s="55">
        <f>L7-L10</f>
        <v>173.56754990184425</v>
      </c>
      <c r="M11" s="55">
        <f>M7-M10</f>
        <v>203.92913554613315</v>
      </c>
      <c r="N11" s="55">
        <f>N7-N10</f>
        <v>190.86712042245694</v>
      </c>
      <c r="O11" s="55">
        <f>O7-O10</f>
        <v>190.86712042245694</v>
      </c>
      <c r="P11" s="55">
        <f>P7-P10</f>
        <v>190.86712042245694</v>
      </c>
      <c r="Q11" s="55">
        <f>Q7-Q10</f>
        <v>190.86712042245694</v>
      </c>
      <c r="R11" s="55">
        <f>R7-R10</f>
        <v>190.86712042245694</v>
      </c>
      <c r="S11" s="55">
        <f>S7-S10</f>
        <v>190.86712042245694</v>
      </c>
      <c r="T11" s="55">
        <f>T7-T10</f>
        <v>190.86712042245694</v>
      </c>
      <c r="U11" s="55">
        <f>U7-U10</f>
        <v>152.05600042245695</v>
      </c>
      <c r="V11" s="55">
        <f>V7-V10</f>
        <v>72.49984042245694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-31.72522583349143</v>
      </c>
      <c r="D16" s="55">
        <f>D11*D15</f>
        <v>-57.7927833388809</v>
      </c>
      <c r="E16" s="55">
        <f>E11*E15</f>
        <v>-51.60069940971508</v>
      </c>
      <c r="F16" s="55">
        <f>F11*F15</f>
        <v>-46.07205304438846</v>
      </c>
      <c r="G16" s="55">
        <f>G11*G15</f>
        <v>-5.6738423647239316</v>
      </c>
      <c r="H16" s="55">
        <f>H11*H15</f>
        <v>0.5067886783674295</v>
      </c>
      <c r="I16" s="55">
        <f>I11*I15</f>
        <v>15.627348121082727</v>
      </c>
      <c r="J16" s="55">
        <f>J11*J15</f>
        <v>33.1658257981436</v>
      </c>
      <c r="K16" s="55">
        <f>K11*K15</f>
        <v>49.84040104156591</v>
      </c>
      <c r="L16" s="55">
        <f>L11*L15</f>
        <v>62.561122875449655</v>
      </c>
      <c r="M16" s="55">
        <f>M11*M15</f>
        <v>65.62922225999112</v>
      </c>
      <c r="N16" s="55">
        <f>N11*N15</f>
        <v>54.84424701004671</v>
      </c>
      <c r="O16" s="55">
        <f>O11*O15</f>
        <v>48.9680776875417</v>
      </c>
      <c r="P16" s="55">
        <f>P11*P15</f>
        <v>43.72149793530508</v>
      </c>
      <c r="Q16" s="55">
        <f>Q11*Q15</f>
        <v>39.03705172795097</v>
      </c>
      <c r="R16" s="55">
        <f>R11*R15</f>
        <v>34.85451047138479</v>
      </c>
      <c r="S16" s="55">
        <f>S11*S15</f>
        <v>31.120098635164986</v>
      </c>
      <c r="T16" s="55">
        <f>T11*T15</f>
        <v>27.78580235282588</v>
      </c>
      <c r="U16" s="55">
        <f>U11*U15</f>
        <v>19.764114487402896</v>
      </c>
      <c r="V16" s="55">
        <f>V11*V15</f>
        <v>8.413812430282197</v>
      </c>
    </row>
    <row r="17">
      <c r="A17" s="14" t="inlineStr">
        <is>
          <t>Tax-loss carryforward, end of year</t>
        </is>
      </c>
      <c r="C17" s="23">
        <f>Assumptions!$B$21-C8+MAX(0,-C7)</f>
        <v>347.058</v>
      </c>
      <c r="D17" s="23">
        <f>C17-D8+MAX(0,-D7)</f>
        <v>411.816</v>
      </c>
      <c r="E17" s="23">
        <f>D17-E8+MAX(0,-E7)</f>
        <v>476.57399999999996</v>
      </c>
      <c r="F17" s="23">
        <f>E17-F8+MAX(0,-F7)</f>
        <v>541.332</v>
      </c>
      <c r="G17" s="23">
        <f>F17-G8+MAX(0,-G7)</f>
        <v>550.2640500981557</v>
      </c>
      <c r="H17" s="23">
        <f>G17-H8+MAX(0,-H7)</f>
        <v>549.3705001963115</v>
      </c>
      <c r="I17" s="23">
        <f>H17-I8+MAX(0,-I7)</f>
        <v>518.5105502944672</v>
      </c>
      <c r="J17" s="23">
        <f>I17-J8+MAX(0,-J7)</f>
        <v>445.15740039262295</v>
      </c>
      <c r="K17" s="23">
        <f>J17-K8+MAX(0,-K7)</f>
        <v>321.6970504907787</v>
      </c>
      <c r="L17" s="23">
        <f>K17-L8+MAX(0,-L7)</f>
        <v>148.12950058893443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661.2660217743464</v>
      </c>
    </row>
    <row r="20">
      <c r="A20" s="14" t="inlineStr">
        <is>
          <t>PV of corporate burn</t>
        </is>
      </c>
      <c r="B20" s="23">
        <f>SUMPRODUCT(C6:V6,C15:V15)</f>
        <v>-231.50837547192015</v>
      </c>
    </row>
    <row r="21">
      <c r="A21" s="14" t="inlineStr">
        <is>
          <t>PV of taxes</t>
        </is>
      </c>
      <c r="B21" s="23">
        <f>-SUMPRODUCT(C10:V10,C15:V15)</f>
        <v>-86.78232878112037</v>
      </c>
    </row>
    <row r="22">
      <c r="A22" s="24" t="inlineStr">
        <is>
          <t>Pipeline rNPV (operations)</t>
        </is>
      </c>
      <c r="B22" s="54">
        <f>SUM(C16:V16)</f>
        <v>342.97531752130584</v>
      </c>
    </row>
    <row r="23">
      <c r="A23" s="14" t="inlineStr">
        <is>
          <t>Cash &amp; investments</t>
        </is>
      </c>
      <c r="B23" s="57">
        <f>Main!C7</f>
        <v>183.123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526.0983175213058</v>
      </c>
    </row>
    <row r="26">
      <c r="A26" s="14" t="inlineStr">
        <is>
          <t>Shares (mm)</t>
        </is>
      </c>
      <c r="B26" s="57">
        <f>Main!C4</f>
        <v>57.436255</v>
      </c>
    </row>
    <row r="27">
      <c r="A27" s="24" t="inlineStr">
        <is>
          <t>rNPV / share</t>
        </is>
      </c>
      <c r="B27" s="60">
        <f>B25/B26</f>
        <v>9.15969046939613</v>
      </c>
    </row>
    <row r="28">
      <c r="A28" s="14" t="inlineStr">
        <is>
          <t>Price</t>
        </is>
      </c>
      <c r="B28" s="61">
        <f>Main!C3</f>
        <v>10.8</v>
      </c>
    </row>
    <row r="29">
      <c r="A29" s="14" t="inlineStr">
        <is>
          <t>Upside</t>
        </is>
      </c>
      <c r="B29" s="62">
        <f>B27/B28-1</f>
        <v>-0.15188051209295095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2026-10-21T06:24:46Z</dcterms:modified>
  <cp:lastModifiedBy>Wang, Eric</cp:lastModifiedBy>
</cp:coreProperties>
</file>