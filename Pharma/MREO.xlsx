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Mereo BioPharma Group PLC</t>
        </is>
      </c>
      <c r="C2" s="10" t="n"/>
    </row>
    <row r="3">
      <c r="B3" t="inlineStr">
        <is>
          <t>Price</t>
        </is>
      </c>
      <c r="C3" s="11">
        <f>INDEX([1]Pharma!$F$1:$F$1000,MATCH("MREO",[1]Pharma!$B$1:$B$1000,0))</f>
        <v>0.2951</v>
      </c>
      <c r="F3" s="1" t="n"/>
    </row>
    <row r="4">
      <c r="B4" t="inlineStr">
        <is>
          <t>Shares</t>
        </is>
      </c>
      <c r="C4" s="21">
        <f>798.454864/5</f>
        <v>159.6909728</v>
      </c>
      <c r="F4" s="1" t="n"/>
    </row>
    <row r="5">
      <c r="B5" t="inlineStr">
        <is>
          <t>Market Cap.</t>
        </is>
      </c>
      <c r="C5" s="13">
        <f>C3*C4</f>
        <v>47.12480607328</v>
      </c>
      <c r="F5" s="1" t="n"/>
    </row>
    <row r="6"/>
    <row r="7">
      <c r="B7" t="inlineStr">
        <is>
          <t>Cash</t>
        </is>
      </c>
      <c r="C7" s="21" t="n">
        <v>30.118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17.00680607328</v>
      </c>
    </row>
    <row r="10"/>
    <row r="11">
      <c r="B11" s="14" t="inlineStr">
        <is>
          <t>Net Cash / Share</t>
        </is>
      </c>
      <c r="C11" s="11">
        <f>(C7-C8)/C4</f>
        <v>0.1886017692291245</v>
      </c>
    </row>
    <row r="12">
      <c r="B12" s="14" t="inlineStr">
        <is>
          <t>Upside</t>
        </is>
      </c>
      <c r="C12" s="15">
        <f>IFERROR(C11/C3-1,"")</f>
        <v>-0.3608886166413944</v>
      </c>
    </row>
    <row r="13">
      <c r="B13" s="14" t="inlineStr">
        <is>
          <t>Cash / Share</t>
        </is>
      </c>
      <c r="C13" s="11">
        <f>IFERROR((C7-C8)/C4,"")</f>
        <v>0.1886017692291245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-25.346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1.1882742839106761</v>
      </c>
    </row>
    <row r="19">
      <c r="B19" s="14" t="inlineStr">
        <is>
          <t>Implied Pipeline Value</t>
        </is>
      </c>
      <c r="C19" s="13">
        <f>C9</f>
        <v>17.00680607328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48.626</v>
      </c>
      <c r="H2" s="23" t="n">
        <v>0</v>
      </c>
      <c r="I2" s="23" t="n">
        <v>10</v>
      </c>
      <c r="J2" s="23" t="n">
        <v>0</v>
      </c>
      <c r="K2" s="23" t="n">
        <v>0.5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23.881</v>
      </c>
      <c r="H3" s="23" t="n">
        <v>-1.248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24.744999999999997</v>
      </c>
      <c r="H4" s="23">
        <f>H2-H3</f>
        <v>1.248</v>
      </c>
      <c r="I4" s="23">
        <f>I2-I3</f>
        <v>10.0</v>
      </c>
      <c r="J4" s="23">
        <f>J2-J3</f>
        <v>0.0</v>
      </c>
      <c r="K4" s="23">
        <f>K2-K3</f>
        <v>0.5</v>
      </c>
    </row>
    <row r="5">
      <c r="A5" s="2" t="inlineStr">
        <is>
          <t>Research &amp; Dev.</t>
        </is>
      </c>
      <c r="B5" s="23" t="n">
        <v>32.755</v>
      </c>
      <c r="C5" s="23" t="n">
        <v>46.149</v>
      </c>
      <c r="D5" s="23" t="n">
        <v>30.275</v>
      </c>
      <c r="E5" s="23" t="n">
        <v>31.482</v>
      </c>
      <c r="F5" s="23" t="n">
        <v>21.799</v>
      </c>
      <c r="G5" s="23" t="n">
        <v>31.417</v>
      </c>
      <c r="H5" s="23" t="n">
        <v>33.288</v>
      </c>
      <c r="I5" s="23" t="n">
        <v>17.418</v>
      </c>
      <c r="J5" s="23" t="n">
        <v>20.93</v>
      </c>
      <c r="K5" s="23" t="n">
        <v>17.766</v>
      </c>
    </row>
    <row r="6">
      <c r="A6" s="19" t="inlineStr">
        <is>
          <t>SG&amp;A &amp; Other</t>
        </is>
      </c>
      <c r="B6" s="23" t="n">
        <v>15.491</v>
      </c>
      <c r="C6" s="23" t="n">
        <v>14.265</v>
      </c>
      <c r="D6" s="23" t="n">
        <v>15.702</v>
      </c>
      <c r="E6" s="23" t="n">
        <v>21.215</v>
      </c>
      <c r="F6" s="23" t="n">
        <v>28.3</v>
      </c>
      <c r="G6" s="23" t="n">
        <v>21.247</v>
      </c>
      <c r="H6" s="23" t="n">
        <v>22.387</v>
      </c>
      <c r="I6" s="23" t="n">
        <v>20.998</v>
      </c>
      <c r="J6" s="23" t="n">
        <v>26.434</v>
      </c>
      <c r="K6" s="23" t="n">
        <v>22.841</v>
      </c>
    </row>
    <row r="7">
      <c r="A7" s="2" t="inlineStr">
        <is>
          <t>Operating Expense</t>
        </is>
      </c>
      <c r="B7" s="23">
        <f>SUM(B5:B6)</f>
        <v>48.246</v>
      </c>
      <c r="C7" s="23">
        <f>SUM(C5:C6)</f>
        <v>60.414</v>
      </c>
      <c r="D7" s="23">
        <f>SUM(D5:D6)</f>
        <v>45.977</v>
      </c>
      <c r="E7" s="23">
        <f>SUM(E5:E6)</f>
        <v>52.697</v>
      </c>
      <c r="F7" s="23">
        <f>SUM(F5:F6)</f>
        <v>50.099000000000004</v>
      </c>
      <c r="G7" s="23">
        <f>SUM(G5:G6)</f>
        <v>52.664</v>
      </c>
      <c r="H7" s="23">
        <f>SUM(H5:H6)</f>
        <v>55.675</v>
      </c>
      <c r="I7" s="23">
        <f>SUM(I5:I6)</f>
        <v>38.416</v>
      </c>
      <c r="J7" s="23">
        <f>SUM(J5:J6)</f>
        <v>47.364000000000004</v>
      </c>
      <c r="K7" s="23">
        <f>SUM(K5:K6)</f>
        <v>40.607</v>
      </c>
    </row>
    <row r="8">
      <c r="A8" s="2" t="inlineStr">
        <is>
          <t>Operating Income</t>
        </is>
      </c>
      <c r="B8" s="23">
        <f>B4-B7</f>
        <v>-48.246</v>
      </c>
      <c r="C8" s="23">
        <f>C4-C7</f>
        <v>-60.414</v>
      </c>
      <c r="D8" s="23">
        <f>D4-D7</f>
        <v>-45.977</v>
      </c>
      <c r="E8" s="23">
        <f>E4-E7</f>
        <v>-52.697</v>
      </c>
      <c r="F8" s="23">
        <f>F4-F7</f>
        <v>-50.099000000000004</v>
      </c>
      <c r="G8" s="23">
        <f>G4-G7</f>
        <v>-27.919000000000004</v>
      </c>
      <c r="H8" s="23">
        <f>H4-H7</f>
        <v>-54.427</v>
      </c>
      <c r="I8" s="23">
        <f>I4-I7</f>
        <v>-28.415999999999997</v>
      </c>
      <c r="J8" s="23">
        <f>J4-J7</f>
        <v>-47.364000000000004</v>
      </c>
      <c r="K8" s="23">
        <f>K4-K7</f>
        <v>-40.107</v>
      </c>
    </row>
    <row r="9">
      <c r="A9" s="19" t="inlineStr">
        <is>
          <t>Interest &amp; Other</t>
        </is>
      </c>
      <c r="B9" s="23" t="n">
        <v>3.278</v>
      </c>
      <c r="C9" s="23" t="n">
        <v>-2.196</v>
      </c>
      <c r="D9" s="23" t="n">
        <v>-3.771</v>
      </c>
      <c r="E9" s="23" t="n">
        <v>-2.135</v>
      </c>
      <c r="F9" s="23" t="n">
        <v>-171.867</v>
      </c>
      <c r="G9" s="23" t="n">
        <v>46.91</v>
      </c>
      <c r="H9" s="23" t="n">
        <v>11.488</v>
      </c>
      <c r="I9" s="23" t="n">
        <v>57.35</v>
      </c>
      <c r="J9" s="23" t="n">
        <v>90.617</v>
      </c>
      <c r="K9" s="23" t="n">
        <v>81.985</v>
      </c>
    </row>
    <row r="10">
      <c r="A10" s="2" t="inlineStr">
        <is>
          <t>Pretax</t>
        </is>
      </c>
      <c r="B10" s="23">
        <f>B8+B9</f>
        <v>-44.968</v>
      </c>
      <c r="C10" s="23">
        <f>C8+C9</f>
        <v>-62.61</v>
      </c>
      <c r="D10" s="23">
        <f>D8+D9</f>
        <v>-49.748</v>
      </c>
      <c r="E10" s="23">
        <f>E8+E9</f>
        <v>-54.832</v>
      </c>
      <c r="F10" s="23">
        <f>F8+F9</f>
        <v>-221.966</v>
      </c>
      <c r="G10" s="23">
        <f>G8+G9</f>
        <v>18.990999999999993</v>
      </c>
      <c r="H10" s="23">
        <f>H8+H9</f>
        <v>-42.939</v>
      </c>
      <c r="I10" s="23">
        <f>I8+I9</f>
        <v>28.934000000000005</v>
      </c>
      <c r="J10" s="23">
        <f>J8+J9</f>
        <v>43.253</v>
      </c>
      <c r="K10" s="23">
        <f>K8+K9</f>
        <v>41.878</v>
      </c>
    </row>
    <row r="11">
      <c r="A11" s="2" t="inlineStr">
        <is>
          <t>Taxes</t>
        </is>
      </c>
      <c r="B11" s="23" t="n">
        <v>-7.109</v>
      </c>
      <c r="C11" s="23" t="n">
        <v>-10.871</v>
      </c>
      <c r="D11" s="23" t="n">
        <v>-7.037</v>
      </c>
      <c r="E11" s="23" t="n">
        <v>-8.367000000000001</v>
      </c>
      <c r="F11" s="23" t="n">
        <v>-3.763</v>
      </c>
      <c r="G11" s="23" t="n">
        <v>2.022</v>
      </c>
      <c r="H11" s="23" t="n">
        <v>-0.718</v>
      </c>
      <c r="I11" s="23" t="n">
        <v>-0.532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-37.859</v>
      </c>
      <c r="C12" s="23" t="n">
        <v>-51.74</v>
      </c>
      <c r="D12" s="23" t="n">
        <v>-42.712</v>
      </c>
      <c r="E12" s="23" t="n">
        <v>-46.465</v>
      </c>
      <c r="F12" s="23" t="n">
        <v>-218.203</v>
      </c>
      <c r="G12" s="23" t="n">
        <v>16.969</v>
      </c>
      <c r="H12" s="23" t="n">
        <v>-42.22</v>
      </c>
      <c r="I12" s="23" t="n">
        <v>29.466</v>
      </c>
      <c r="J12" s="23" t="n">
        <v>43.253</v>
      </c>
      <c r="K12" s="23" t="n">
        <v>41.878</v>
      </c>
    </row>
    <row r="13">
      <c r="A13" s="2" t="inlineStr">
        <is>
          <t>Earnings per Share</t>
        </is>
      </c>
      <c r="B13" s="11">
        <f>IFERROR(B12/B14,0)</f>
        <v>-0.6525951079930361</v>
      </c>
      <c r="C13" s="11">
        <f>IFERROR(C12/C14,0)</f>
        <v>-0.5788313736896864</v>
      </c>
      <c r="D13" s="11">
        <f>IFERROR(D12/D14,0)</f>
        <v>-0.47788046275369783</v>
      </c>
      <c r="E13" s="11">
        <f>IFERROR(E12/E14,0)</f>
        <v>-0.5196032385042046</v>
      </c>
      <c r="F13" s="11">
        <f>IFERROR(F12/F14,0)</f>
        <v>-0.6437559189622161</v>
      </c>
      <c r="G13" s="11">
        <f>IFERROR(G12/G14,0)</f>
        <v>0.030559577579437978</v>
      </c>
      <c r="H13" s="11">
        <f>IFERROR(H12/H14,0)</f>
        <v>-0.06999383285035046</v>
      </c>
      <c r="I13" s="11">
        <f>IFERROR(I12/I14,0)</f>
        <v>0.04468241909215806</v>
      </c>
      <c r="J13" s="11">
        <f>IFERROR(J12/J14,0)</f>
        <v>0.05847971401685181</v>
      </c>
      <c r="K13" s="11">
        <f>IFERROR(K12/K14,0)</f>
        <v>0.0525366318747491</v>
      </c>
    </row>
    <row r="14">
      <c r="A14" s="2" t="inlineStr">
        <is>
          <t>Shares</t>
        </is>
      </c>
      <c r="B14" s="23" t="n">
        <v>58.013</v>
      </c>
      <c r="C14" s="23" t="n">
        <v>89.387</v>
      </c>
      <c r="D14" s="23" t="n">
        <v>89.378</v>
      </c>
      <c r="E14" s="23" t="n">
        <v>89.42400000000001</v>
      </c>
      <c r="F14" s="23" t="n">
        <v>338.953</v>
      </c>
      <c r="G14" s="23" t="n">
        <v>555.276</v>
      </c>
      <c r="H14" s="23" t="n">
        <v>603.196</v>
      </c>
      <c r="I14" s="23" t="n">
        <v>659.454</v>
      </c>
      <c r="J14" s="23" t="n">
        <v>739.624</v>
      </c>
      <c r="K14" s="23" t="n">
        <v>797.12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-1.0</v>
      </c>
      <c r="I16" s="15">
        <f>IFERROR(I2/H2-1,"")</f>
        <v/>
      </c>
      <c r="J16" s="15">
        <f>IFERROR(J2/I2-1,"")</f>
        <v>-1.0</v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0.5088841360588985</v>
      </c>
      <c r="H17" s="15">
        <f>IFERROR(H4/H2,"")</f>
        <v/>
      </c>
      <c r="I17" s="15">
        <f>IFERROR(I4/I2,"")</f>
        <v>1.0</v>
      </c>
      <c r="J17" s="15">
        <f>IFERROR(J4/J2,"")</f>
        <v/>
      </c>
      <c r="K17" s="15">
        <f>IFERROR(K4/K2,"")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-0.5741578579360836</v>
      </c>
      <c r="H18" s="15">
        <f>IFERROR(H8/H2,"")</f>
        <v/>
      </c>
      <c r="I18" s="15">
        <f>IFERROR(I8/I2,"")</f>
        <v>-2.8415999999999997</v>
      </c>
      <c r="J18" s="15">
        <f>IFERROR(J8/J2,"")</f>
        <v/>
      </c>
      <c r="K18" s="15">
        <f>IFERROR(K8/K2,"")</f>
        <v>-80.214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2026-10-21T01:06:13Z</dcterms:modified>
  <cp:lastModifiedBy>Wang, Eric</cp:lastModifiedBy>
</cp:coreProperties>
</file>