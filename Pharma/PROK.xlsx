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Prokidney Corp</t>
        </is>
      </c>
      <c r="C2" s="10" t="n"/>
    </row>
    <row r="3">
      <c r="B3" t="inlineStr">
        <is>
          <t>Price</t>
        </is>
      </c>
      <c r="C3" s="11">
        <f>INDEX([1]Pharma!$F$1:$F$1000,MATCH("PROK",[1]Pharma!$B$1:$B$1000,0))</f>
        <v>1.44</v>
      </c>
      <c r="F3" s="1" t="n"/>
    </row>
    <row r="4">
      <c r="B4" t="inlineStr">
        <is>
          <t>Shares</t>
        </is>
      </c>
      <c r="C4" s="21" t="n">
        <v>302.322655</v>
      </c>
      <c r="F4" s="1" t="n"/>
    </row>
    <row r="5">
      <c r="B5" t="inlineStr">
        <is>
          <t>Market Cap.</t>
        </is>
      </c>
      <c r="C5" s="13">
        <f>C3*C4</f>
        <v>435.3446232</v>
      </c>
      <c r="F5" s="1" t="n"/>
    </row>
    <row r="6"/>
    <row r="7">
      <c r="B7" t="inlineStr">
        <is>
          <t>Cash</t>
        </is>
      </c>
      <c r="C7" s="21" t="n">
        <v>74.86799999999999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360.4766232</v>
      </c>
    </row>
    <row r="10"/>
    <row r="11">
      <c r="B11" s="14" t="inlineStr">
        <is>
          <t>Net Cash / Share</t>
        </is>
      </c>
      <c r="C11" s="11">
        <f>(C7-C8)/C4</f>
        <v>0.24764270477844275</v>
      </c>
    </row>
    <row r="12">
      <c r="B12" s="14" t="inlineStr">
        <is>
          <t>Upside</t>
        </is>
      </c>
      <c r="C12" s="15">
        <f>IFERROR(C11/C3-1,"")</f>
        <v>-0.8280258994594147</v>
      </c>
    </row>
    <row r="13">
      <c r="B13" s="14" t="inlineStr">
        <is>
          <t>Cash / Share</t>
        </is>
      </c>
      <c r="C13" s="11">
        <f>IFERROR((C7-C8)/C4,"")</f>
        <v>0.24764270477844275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-141.167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0.5303505776845863</v>
      </c>
    </row>
    <row r="19">
      <c r="B19" s="14" t="inlineStr">
        <is>
          <t>Implied Pipeline Value</t>
        </is>
      </c>
      <c r="C19" s="13">
        <f>C9</f>
        <v>360.4766232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0.076</v>
      </c>
      <c r="G2" s="23" t="n">
        <v>0.893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0.076</v>
      </c>
      <c r="G4" s="23">
        <f>G2-G3</f>
        <v>0.893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21.042</v>
      </c>
      <c r="C5" s="23" t="n">
        <v>46.255</v>
      </c>
      <c r="D5" s="23" t="n">
        <v>82.06999999999999</v>
      </c>
      <c r="E5" s="23" t="n">
        <v>106.707</v>
      </c>
      <c r="F5" s="23" t="n">
        <v>127.668</v>
      </c>
      <c r="G5" s="23" t="n">
        <v>114.123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5.982</v>
      </c>
      <c r="C6" s="23" t="n">
        <v>8.855</v>
      </c>
      <c r="D6" s="23" t="n">
        <v>70.937</v>
      </c>
      <c r="E6" s="23" t="n">
        <v>44.815</v>
      </c>
      <c r="F6" s="23" t="n">
        <v>56.084</v>
      </c>
      <c r="G6" s="23" t="n">
        <v>51.777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27.024</v>
      </c>
      <c r="C7" s="23">
        <f>SUM(C5:C6)</f>
        <v>55.11</v>
      </c>
      <c r="D7" s="23">
        <f>SUM(D5:D6)</f>
        <v>153.007</v>
      </c>
      <c r="E7" s="23">
        <f>SUM(E5:E6)</f>
        <v>151.522</v>
      </c>
      <c r="F7" s="23">
        <f>SUM(F5:F6)</f>
        <v>183.752</v>
      </c>
      <c r="G7" s="23">
        <f>SUM(G5:G6)</f>
        <v>165.9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-27.024</v>
      </c>
      <c r="C8" s="23">
        <f>C4-C7</f>
        <v>-55.11</v>
      </c>
      <c r="D8" s="23">
        <f>D4-D7</f>
        <v>-153.007</v>
      </c>
      <c r="E8" s="23">
        <f>E4-E7</f>
        <v>-151.522</v>
      </c>
      <c r="F8" s="23">
        <f>F4-F7</f>
        <v>-183.67600000000002</v>
      </c>
      <c r="G8" s="23">
        <f>G4-G7</f>
        <v>-165.007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0.043</v>
      </c>
      <c r="C9" s="23" t="n">
        <v>0.002</v>
      </c>
      <c r="D9" s="23" t="n">
        <v>5.768</v>
      </c>
      <c r="E9" s="23" t="n">
        <v>122.05</v>
      </c>
      <c r="F9" s="23" t="n">
        <v>121.892</v>
      </c>
      <c r="G9" s="23" t="n">
        <v>96.435</v>
      </c>
    </row>
    <row r="10">
      <c r="A10" s="2" t="inlineStr">
        <is>
          <t>Pretax</t>
        </is>
      </c>
      <c r="B10" s="23">
        <f>B8+B9</f>
        <v>-26.981</v>
      </c>
      <c r="C10" s="23">
        <f>C8+C9</f>
        <v>-55.108</v>
      </c>
      <c r="D10" s="23">
        <f>D8+D9</f>
        <v>-147.239</v>
      </c>
      <c r="E10" s="23">
        <f>E8+E9</f>
        <v>-29.471999999999994</v>
      </c>
      <c r="F10" s="23">
        <f>F8+F9</f>
        <v>-61.78400000000002</v>
      </c>
      <c r="G10" s="23">
        <f>G8+G9</f>
        <v>-68.572</v>
      </c>
      <c r="I10" s="1" t="n"/>
      <c r="J10" s="1" t="n"/>
      <c r="K10" s="1" t="n"/>
    </row>
    <row r="11">
      <c r="A11" s="2" t="inlineStr">
        <is>
          <t>Taxes</t>
        </is>
      </c>
      <c r="B11" s="23" t="n">
        <v>-0.232</v>
      </c>
      <c r="C11" s="23" t="n">
        <v>0.038</v>
      </c>
      <c r="D11" s="23" t="n">
        <v>0.896</v>
      </c>
      <c r="E11" s="23" t="n">
        <v>5.996</v>
      </c>
      <c r="F11" s="23" t="n">
        <v>-0.598</v>
      </c>
      <c r="G11" s="23" t="n">
        <v>0.414</v>
      </c>
    </row>
    <row r="12">
      <c r="A12" s="2" t="inlineStr">
        <is>
          <t>Net Income</t>
        </is>
      </c>
      <c r="B12" s="23" t="n">
        <v>-26.749</v>
      </c>
      <c r="C12" s="23" t="n">
        <v>-55.146</v>
      </c>
      <c r="D12" s="23" t="n">
        <v>-148.135</v>
      </c>
      <c r="E12" s="23" t="n">
        <v>-35.468</v>
      </c>
      <c r="F12" s="23" t="n">
        <v>-61.186</v>
      </c>
      <c r="G12" s="23" t="n">
        <v>-68.986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-2.4071335716607085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</row>
    <row r="14">
      <c r="A14" s="2" t="inlineStr">
        <is>
          <t>Shares</t>
        </is>
      </c>
      <c r="B14" s="23" t="n"/>
      <c r="C14" s="23" t="n"/>
      <c r="D14" s="23" t="n">
        <v>61.54</v>
      </c>
      <c r="E14" s="23" t="n"/>
      <c r="F14" s="23" t="n"/>
      <c r="G14" s="23" t="n"/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10.75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-2416.789473684211</v>
      </c>
      <c r="G18" s="15">
        <f>IFERROR(G8/G2,"")</f>
        <v>-184.77827547592386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2026-10-21T01:05:17Z</dcterms:modified>
  <cp:lastModifiedBy>Wang, Eric</cp:lastModifiedBy>
</cp:coreProperties>
</file>