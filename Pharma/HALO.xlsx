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Halozyme Therapeutics, Inc.</t>
        </is>
      </c>
      <c r="C2" s="10" t="n"/>
    </row>
    <row r="3">
      <c r="B3" t="inlineStr">
        <is>
          <t>Price</t>
        </is>
      </c>
      <c r="C3" s="11">
        <f>INDEX([1]Pharma!$F$1:$F$1000,MATCH("HALO",[1]Pharma!$B$1:$B$1000,0))</f>
        <v>124.37</v>
      </c>
      <c r="F3" s="1" t="n"/>
    </row>
    <row r="4">
      <c r="B4" t="inlineStr">
        <is>
          <t>Shares</t>
        </is>
      </c>
      <c r="C4" s="57" t="n">
        <v>113.498</v>
      </c>
      <c r="F4" s="1" t="n"/>
    </row>
    <row r="5">
      <c r="B5" t="inlineStr">
        <is>
          <t>Market Cap.</t>
        </is>
      </c>
      <c r="C5" s="13">
        <f>C3*C4</f>
        <v>14115.746260000002</v>
      </c>
      <c r="F5" s="1" t="n"/>
    </row>
    <row r="6"/>
    <row r="7">
      <c r="B7" t="inlineStr">
        <is>
          <t>Cash</t>
        </is>
      </c>
      <c r="C7" s="57">
        <f>163.138+67.865</f>
        <v>231.003</v>
      </c>
    </row>
    <row r="8">
      <c r="B8" t="inlineStr">
        <is>
          <t>Debt</t>
        </is>
      </c>
      <c r="C8" s="57">
        <f>208.97+1937.684</f>
        <v>2146.654</v>
      </c>
    </row>
    <row r="9">
      <c r="B9" t="inlineStr">
        <is>
          <t>Enterprise V.</t>
        </is>
      </c>
      <c r="C9" s="13">
        <f>C5-C7+C8</f>
        <v>16031.397260000002</v>
      </c>
    </row>
    <row r="10"/>
    <row r="11">
      <c r="B11" s="14" t="inlineStr">
        <is>
          <t>NPV / Share</t>
        </is>
      </c>
      <c r="C11" s="11">
        <f>NPV!B28</f>
        <v>64.59378115326906</v>
      </c>
    </row>
    <row r="12">
      <c r="B12" s="14" t="inlineStr">
        <is>
          <t>Upside</t>
        </is>
      </c>
      <c r="C12" s="15">
        <f>IFERROR(C11/C3-1,"")</f>
        <v>-0.4806321367430324</v>
      </c>
    </row>
    <row r="13">
      <c r="B13" s="14" t="inlineStr">
        <is>
          <t>Cash / Share</t>
        </is>
      </c>
      <c r="C13" s="11">
        <f>IFERROR((C7-C8)/C4,"")</f>
        <v>-16.878279793476537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13.671</v>
      </c>
      <c r="C2" s="58" t="n">
        <v>13.624</v>
      </c>
      <c r="D2" s="58" t="n">
        <v>56.086</v>
      </c>
      <c r="E2" s="58" t="n">
        <v>42.325</v>
      </c>
      <c r="F2" s="58" t="n">
        <v>54.799</v>
      </c>
      <c r="G2" s="58" t="n">
        <v>75.334</v>
      </c>
      <c r="H2" s="58" t="n">
        <v>135.057</v>
      </c>
      <c r="I2" s="58" t="n">
        <v>146.691</v>
      </c>
      <c r="J2" s="58" t="n">
        <v>316.613</v>
      </c>
      <c r="K2" s="58" t="n">
        <v>151.862</v>
      </c>
      <c r="L2" s="58" t="n">
        <v>195.992</v>
      </c>
      <c r="M2" s="58" t="n">
        <v>267.594</v>
      </c>
      <c r="N2" s="58" t="n">
        <v>443.31</v>
      </c>
      <c r="O2" s="58" t="n">
        <v>660.116</v>
      </c>
      <c r="P2" s="58" t="n">
        <v>829.253</v>
      </c>
      <c r="Q2" s="58" t="n">
        <v>1015.324</v>
      </c>
      <c r="R2" s="58" t="n">
        <v>1396.611</v>
      </c>
      <c r="S2" s="58">
        <f>R2*(1+NPV!C5)</f>
        <v>1871.4587400000003</v>
      </c>
      <c r="T2" s="58">
        <f>S2*(1+NPV!D5)</f>
        <v>2096.0337888000004</v>
      </c>
      <c r="U2" s="58">
        <f>T2*(1+NPV!E5)</f>
        <v>2221.7958161280003</v>
      </c>
      <c r="V2" s="58">
        <f>U2*(1+NPV!F5)</f>
        <v>1955.1803181926402</v>
      </c>
      <c r="W2" s="58">
        <f>V2*(1+NPV!G5)</f>
        <v>1759.6622863733762</v>
      </c>
      <c r="X2" s="58">
        <f>W2*(1+NPV!H5)</f>
        <v>1759.6622863733762</v>
      </c>
      <c r="Y2" s="58">
        <f>X2*(1+NPV!I5)</f>
        <v>1812.4521549645776</v>
      </c>
      <c r="Z2" s="58">
        <f>Y2*(1+NPV!J5)</f>
        <v>1866.825719613515</v>
      </c>
      <c r="AA2" s="58">
        <f>Z2*(1+NPV!K5)</f>
        <v>1913.4963626038527</v>
      </c>
      <c r="AB2" s="58">
        <f>AA2*(1+NPV!L5)</f>
        <v>1961.3337716689489</v>
      </c>
    </row>
    <row r="3" customFormat="1" s="1">
      <c r="A3" s="5" t="inlineStr">
        <is>
          <t>Cost of Sales</t>
        </is>
      </c>
      <c r="B3" s="58" t="n">
        <v>0.312</v>
      </c>
      <c r="C3" s="58" t="n">
        <v>0.985</v>
      </c>
      <c r="D3" s="58" t="n">
        <v>0.258</v>
      </c>
      <c r="E3" s="58" t="n">
        <v>1.094</v>
      </c>
      <c r="F3" s="58" t="n">
        <v>6.246</v>
      </c>
      <c r="G3" s="58" t="n">
        <v>22.732</v>
      </c>
      <c r="H3" s="58" t="n">
        <v>29.245</v>
      </c>
      <c r="I3" s="58" t="n">
        <v>33.206</v>
      </c>
      <c r="J3" s="58" t="n">
        <v>31.152</v>
      </c>
      <c r="K3" s="58" t="n">
        <v>10.136</v>
      </c>
      <c r="L3" s="58" t="n">
        <v>45.546</v>
      </c>
      <c r="M3" s="58" t="n">
        <v>43.367</v>
      </c>
      <c r="N3" s="58" t="n">
        <v>81.413</v>
      </c>
      <c r="O3" s="58" t="n">
        <v>139.304</v>
      </c>
      <c r="P3" s="58" t="n">
        <v>192.361</v>
      </c>
      <c r="Q3" s="58" t="n">
        <v>159.417</v>
      </c>
      <c r="R3" s="58" t="n">
        <v>228.774</v>
      </c>
      <c r="S3" s="58">
        <f>S2*(1-Assumptions!$B$19)</f>
        <v>306.54494161199995</v>
      </c>
      <c r="T3" s="58">
        <f>T2*(1-Assumptions!$B$19)</f>
        <v>343.33033460543993</v>
      </c>
      <c r="U3" s="58">
        <f>U2*(1-Assumptions!$B$19)</f>
        <v>363.93015468176634</v>
      </c>
      <c r="V3" s="58">
        <f>V2*(1-Assumptions!$B$19)</f>
        <v>320.2585361199544</v>
      </c>
      <c r="W3" s="58">
        <f>W2*(1-Assumptions!$B$19)</f>
        <v>288.23268250795894</v>
      </c>
      <c r="X3" s="58">
        <f>X2*(1-Assumptions!$B$19)</f>
        <v>288.23268250795894</v>
      </c>
      <c r="Y3" s="58">
        <f>Y2*(1-Assumptions!$B$19)</f>
        <v>296.8796629831977</v>
      </c>
      <c r="Z3" s="58">
        <f>Z2*(1-Assumptions!$B$19)</f>
        <v>305.7860528726937</v>
      </c>
      <c r="AA3" s="58">
        <f>AA2*(1-Assumptions!$B$19)</f>
        <v>313.43070419451095</v>
      </c>
      <c r="AB3" s="58">
        <f>AB2*(1-Assumptions!$B$19)</f>
        <v>321.26647179937373</v>
      </c>
    </row>
    <row r="4" customFormat="1" s="1">
      <c r="A4" s="5" t="inlineStr">
        <is>
          <t>Gross Margin</t>
        </is>
      </c>
      <c r="B4" s="58">
        <f>B2-B3</f>
        <v>13.359</v>
      </c>
      <c r="C4" s="58">
        <f>C2-C3</f>
        <v>12.639000000000001</v>
      </c>
      <c r="D4" s="58">
        <f>D2-D3</f>
        <v>55.827999999999996</v>
      </c>
      <c r="E4" s="58">
        <f>E2-E3</f>
        <v>41.231</v>
      </c>
      <c r="F4" s="58">
        <f>F2-F3</f>
        <v>48.553</v>
      </c>
      <c r="G4" s="58">
        <f>G2-G3</f>
        <v>52.602000000000004</v>
      </c>
      <c r="H4" s="58">
        <f>H2-H3</f>
        <v>105.81199999999998</v>
      </c>
      <c r="I4" s="58">
        <f>I2-I3</f>
        <v>113.485</v>
      </c>
      <c r="J4" s="58">
        <f>J2-J3</f>
        <v>285.461</v>
      </c>
      <c r="K4" s="58">
        <f>K2-K3</f>
        <v>141.726</v>
      </c>
      <c r="L4" s="58">
        <f>L2-L3</f>
        <v>150.446</v>
      </c>
      <c r="M4" s="58">
        <f>M2-M3</f>
        <v>224.227</v>
      </c>
      <c r="N4" s="58">
        <f>N2-N3</f>
        <v>361.897</v>
      </c>
      <c r="O4" s="58">
        <f>O2-O3</f>
        <v>520.812</v>
      </c>
      <c r="P4" s="58">
        <f>P2-P3</f>
        <v>636.892</v>
      </c>
      <c r="Q4" s="58">
        <f>Q2-Q3</f>
        <v>855.9069999999999</v>
      </c>
      <c r="R4" s="58">
        <f>R2-R3</f>
        <v>1167.837</v>
      </c>
      <c r="S4" s="58">
        <f>S2-S3</f>
        <v>1564.9137983880003</v>
      </c>
      <c r="T4" s="58">
        <f>T2-T3</f>
        <v>1752.7034541945604</v>
      </c>
      <c r="U4" s="58">
        <f>U2-U3</f>
        <v>1857.8656614462338</v>
      </c>
      <c r="V4" s="58">
        <f>V2-V3</f>
        <v>1634.9217820726858</v>
      </c>
      <c r="W4" s="58">
        <f>W2-W3</f>
        <v>1471.4296038654172</v>
      </c>
      <c r="X4" s="58">
        <f>X2-X3</f>
        <v>1471.4296038654172</v>
      </c>
      <c r="Y4" s="58">
        <f>Y2-Y3</f>
        <v>1515.57249198138</v>
      </c>
      <c r="Z4" s="58">
        <f>Z2-Z3</f>
        <v>1561.0396667408213</v>
      </c>
      <c r="AA4" s="58">
        <f>AA2-AA3</f>
        <v>1600.0656584093417</v>
      </c>
      <c r="AB4" s="58">
        <f>AB2-AB3</f>
        <v>1640.0672998695752</v>
      </c>
    </row>
    <row r="5">
      <c r="A5" s="2" t="inlineStr">
        <is>
          <t>Research &amp; Dev.</t>
        </is>
      </c>
      <c r="B5" s="58" t="n">
        <v>56.614</v>
      </c>
      <c r="C5" s="58" t="n">
        <v>51.774</v>
      </c>
      <c r="D5" s="58" t="n">
        <v>57.563</v>
      </c>
      <c r="E5" s="58" t="n">
        <v>70.044</v>
      </c>
      <c r="F5" s="58" t="n">
        <v>96.64</v>
      </c>
      <c r="G5" s="58" t="n">
        <v>79.696</v>
      </c>
      <c r="H5" s="58" t="n">
        <v>93.236</v>
      </c>
      <c r="I5" s="58" t="n">
        <v>150.842</v>
      </c>
      <c r="J5" s="58" t="n">
        <v>150.643</v>
      </c>
      <c r="K5" s="58" t="n">
        <v>150.252</v>
      </c>
      <c r="L5" s="58" t="n">
        <v>140.804</v>
      </c>
      <c r="M5" s="58" t="n">
        <v>34.236</v>
      </c>
      <c r="N5" s="58" t="n">
        <v>35.672</v>
      </c>
      <c r="O5" s="58" t="n">
        <v>66.607</v>
      </c>
      <c r="P5" s="58" t="n">
        <v>76.363</v>
      </c>
      <c r="Q5" s="58" t="n">
        <v>79.048</v>
      </c>
      <c r="R5" s="58" t="n">
        <v>81.48999999999999</v>
      </c>
      <c r="S5" s="58">
        <f>S7*Assumptions!$B$20</f>
        <v>74.45396479546082</v>
      </c>
      <c r="T5" s="58">
        <f>T7*Assumptions!$B$20</f>
        <v>84.61042826978651</v>
      </c>
      <c r="U5" s="58">
        <f>U7*Assumptions!$B$20</f>
        <v>90.98236092677631</v>
      </c>
      <c r="V5" s="58">
        <f>V7*Assumptions!$B$20</f>
        <v>81.20434774106947</v>
      </c>
      <c r="W5" s="58">
        <f>W7*Assumptions!$B$20</f>
        <v>74.10979607991821</v>
      </c>
      <c r="X5" s="58">
        <f>X7*Assumptions!$B$20</f>
        <v>75.13567919287387</v>
      </c>
      <c r="Y5" s="58">
        <f>Y7*Assumptions!$B$20</f>
        <v>78.44640917500446</v>
      </c>
      <c r="Z5" s="58">
        <f>Z7*Assumptions!$B$20</f>
        <v>81.88816084478925</v>
      </c>
      <c r="AA5" s="58">
        <f>AA7*Assumptions!$B$20</f>
        <v>85.05093324530704</v>
      </c>
      <c r="AB5" s="58">
        <f>AB7*Assumptions!$B$20</f>
        <v>88.32066416532271</v>
      </c>
    </row>
    <row r="6">
      <c r="A6" s="18" t="inlineStr">
        <is>
          <t>SG&amp;A &amp; Other</t>
        </is>
      </c>
      <c r="B6" s="58" t="n">
        <v>15.203</v>
      </c>
      <c r="C6" s="58" t="n">
        <v>15.123</v>
      </c>
      <c r="D6" s="58" t="n">
        <v>18.104</v>
      </c>
      <c r="E6" s="58" t="n">
        <v>24.812</v>
      </c>
      <c r="F6" s="58" t="n">
        <v>32.347</v>
      </c>
      <c r="G6" s="58" t="n">
        <v>35.942</v>
      </c>
      <c r="H6" s="58" t="n">
        <v>40.028</v>
      </c>
      <c r="I6" s="58" t="n">
        <v>45.853</v>
      </c>
      <c r="J6" s="58" t="n">
        <v>53.816</v>
      </c>
      <c r="K6" s="58" t="n">
        <v>60.804</v>
      </c>
      <c r="L6" s="58" t="n">
        <v>77.252</v>
      </c>
      <c r="M6" s="58" t="n">
        <v>45.736</v>
      </c>
      <c r="N6" s="58" t="n">
        <v>50.323</v>
      </c>
      <c r="O6" s="58" t="n">
        <v>186.674</v>
      </c>
      <c r="P6" s="58" t="n">
        <v>222.955</v>
      </c>
      <c r="Q6" s="58" t="n">
        <v>225.384</v>
      </c>
      <c r="R6" s="58" t="n">
        <v>617.341</v>
      </c>
      <c r="S6" s="58">
        <f>S7-S5</f>
        <v>564.0877572925393</v>
      </c>
      <c r="T6" s="58">
        <f>T7-T5</f>
        <v>641.0364694127736</v>
      </c>
      <c r="U6" s="58">
        <f>U7-U5</f>
        <v>689.3123296973773</v>
      </c>
      <c r="V6" s="58">
        <f>V7-V5</f>
        <v>615.230881599149</v>
      </c>
      <c r="W6" s="58">
        <f>W7-W5</f>
        <v>561.4802217581454</v>
      </c>
      <c r="X6" s="58">
        <f>X7-X5</f>
        <v>569.2526500770564</v>
      </c>
      <c r="Y6" s="58">
        <f>Y7-Y5</f>
        <v>594.3358307478469</v>
      </c>
      <c r="Z6" s="58">
        <f>Z7-Z5</f>
        <v>620.4116748738151</v>
      </c>
      <c r="AA6" s="58">
        <f>AA7-AA5</f>
        <v>644.3738801792816</v>
      </c>
      <c r="AB6" s="58">
        <f>AB7-AB5</f>
        <v>669.1464384532255</v>
      </c>
    </row>
    <row r="7">
      <c r="A7" s="2" t="inlineStr">
        <is>
          <t>Operating Expense</t>
        </is>
      </c>
      <c r="B7" s="58">
        <f>SUM(B5:B6)</f>
        <v>71.817</v>
      </c>
      <c r="C7" s="58">
        <f>SUM(C5:C6)</f>
        <v>66.897</v>
      </c>
      <c r="D7" s="58">
        <f>SUM(D5:D6)</f>
        <v>75.667</v>
      </c>
      <c r="E7" s="58">
        <f>SUM(E5:E6)</f>
        <v>94.856</v>
      </c>
      <c r="F7" s="58">
        <f>SUM(F5:F6)</f>
        <v>128.987</v>
      </c>
      <c r="G7" s="58">
        <f>SUM(G5:G6)</f>
        <v>115.638</v>
      </c>
      <c r="H7" s="58">
        <f>SUM(H5:H6)</f>
        <v>133.264</v>
      </c>
      <c r="I7" s="58">
        <f>SUM(I5:I6)</f>
        <v>196.69500000000002</v>
      </c>
      <c r="J7" s="58">
        <f>SUM(J5:J6)</f>
        <v>204.459</v>
      </c>
      <c r="K7" s="58">
        <f>SUM(K5:K6)</f>
        <v>211.056</v>
      </c>
      <c r="L7" s="58">
        <f>SUM(L5:L6)</f>
        <v>218.05599999999998</v>
      </c>
      <c r="M7" s="58">
        <f>SUM(M5:M6)</f>
        <v>79.972</v>
      </c>
      <c r="N7" s="58">
        <f>SUM(N5:N6)</f>
        <v>85.995</v>
      </c>
      <c r="O7" s="58">
        <f>SUM(O5:O6)</f>
        <v>253.281</v>
      </c>
      <c r="P7" s="58">
        <f>SUM(P5:P6)</f>
        <v>299.318</v>
      </c>
      <c r="Q7" s="58">
        <f>SUM(Q5:Q6)</f>
        <v>304.432</v>
      </c>
      <c r="R7" s="58">
        <f>SUM(R5:R6)</f>
        <v>698.831</v>
      </c>
      <c r="S7" s="58">
        <f>S4-S2*NPV!C6</f>
        <v>638.5417220880001</v>
      </c>
      <c r="T7" s="58">
        <f>T4-T2*NPV!D6</f>
        <v>725.6468976825602</v>
      </c>
      <c r="U7" s="58">
        <f>U4-U2*NPV!E6</f>
        <v>780.2946906241536</v>
      </c>
      <c r="V7" s="58">
        <f>V4-V2*NPV!F6</f>
        <v>696.4352293402185</v>
      </c>
      <c r="W7" s="58">
        <f>W4-W2*NPV!G6</f>
        <v>635.5900178380635</v>
      </c>
      <c r="X7" s="58">
        <f>X4-X2*NPV!H6</f>
        <v>644.3883292699303</v>
      </c>
      <c r="Y7" s="58">
        <f>Y4-Y2*NPV!I6</f>
        <v>672.7822399228513</v>
      </c>
      <c r="Z7" s="58">
        <f>Z4-Z2*NPV!J6</f>
        <v>702.2998357186043</v>
      </c>
      <c r="AA7" s="58">
        <f>AA4-AA2*NPV!K6</f>
        <v>729.4248134245887</v>
      </c>
      <c r="AB7" s="58">
        <f>AB4-AB2*NPV!L6</f>
        <v>757.4671026185482</v>
      </c>
    </row>
    <row r="8">
      <c r="A8" s="2" t="inlineStr">
        <is>
          <t>Operating Income</t>
        </is>
      </c>
      <c r="B8" s="58">
        <f>B4-B7</f>
        <v>-58.45799999999999</v>
      </c>
      <c r="C8" s="58">
        <f>C4-C7</f>
        <v>-54.258</v>
      </c>
      <c r="D8" s="58">
        <f>D4-D7</f>
        <v>-19.839000000000006</v>
      </c>
      <c r="E8" s="58">
        <f>E4-E7</f>
        <v>-53.62499999999999</v>
      </c>
      <c r="F8" s="58">
        <f>F4-F7</f>
        <v>-80.434</v>
      </c>
      <c r="G8" s="58">
        <f>G4-G7</f>
        <v>-63.036</v>
      </c>
      <c r="H8" s="58">
        <f>H4-H7</f>
        <v>-27.452000000000027</v>
      </c>
      <c r="I8" s="58">
        <f>I4-I7</f>
        <v>-83.21000000000002</v>
      </c>
      <c r="J8" s="58">
        <f>J4-J7</f>
        <v>81.00200000000001</v>
      </c>
      <c r="K8" s="58">
        <f>K4-K7</f>
        <v>-69.33000000000001</v>
      </c>
      <c r="L8" s="58">
        <f>L4-L7</f>
        <v>-67.60999999999999</v>
      </c>
      <c r="M8" s="58">
        <f>M4-M7</f>
        <v>144.255</v>
      </c>
      <c r="N8" s="58">
        <f>N4-N7</f>
        <v>275.902</v>
      </c>
      <c r="O8" s="58">
        <f>O4-O7</f>
        <v>267.531</v>
      </c>
      <c r="P8" s="58">
        <f>P4-P7</f>
        <v>337.57400000000007</v>
      </c>
      <c r="Q8" s="58">
        <f>Q4-Q7</f>
        <v>551.4749999999999</v>
      </c>
      <c r="R8" s="58">
        <f>R4-R7</f>
        <v>469.006</v>
      </c>
      <c r="S8" s="58">
        <f>S4-S7</f>
        <v>926.3720763000001</v>
      </c>
      <c r="T8" s="58">
        <f>T4-T7</f>
        <v>1027.0565565120003</v>
      </c>
      <c r="U8" s="58">
        <f>U4-U7</f>
        <v>1077.5709708220802</v>
      </c>
      <c r="V8" s="58">
        <f>V4-V7</f>
        <v>938.4865527324673</v>
      </c>
      <c r="W8" s="58">
        <f>W4-W7</f>
        <v>835.8395860273537</v>
      </c>
      <c r="X8" s="58">
        <f>X4-X7</f>
        <v>827.0412745954869</v>
      </c>
      <c r="Y8" s="58">
        <f>Y4-Y7</f>
        <v>842.7902520585286</v>
      </c>
      <c r="Z8" s="58">
        <f>Z4-Z7</f>
        <v>858.739831022217</v>
      </c>
      <c r="AA8" s="58">
        <f>AA4-AA7</f>
        <v>870.640844984753</v>
      </c>
      <c r="AB8" s="58">
        <f>AB4-AB7</f>
        <v>882.600197251027</v>
      </c>
    </row>
    <row r="9">
      <c r="A9" s="18" t="inlineStr">
        <is>
          <t>Interest &amp; Other</t>
        </is>
      </c>
      <c r="B9" s="58" t="n">
        <v>0.098</v>
      </c>
      <c r="C9" s="58" t="n">
        <v>1.016</v>
      </c>
      <c r="D9" s="58" t="n">
        <v>0.06900000000000001</v>
      </c>
      <c r="E9" s="58" t="n">
        <v>0.073</v>
      </c>
      <c r="F9" s="58" t="n">
        <v>-3.045</v>
      </c>
      <c r="G9" s="58" t="n">
        <v>-5.339</v>
      </c>
      <c r="H9" s="58" t="n">
        <v>-4.779</v>
      </c>
      <c r="I9" s="58" t="n">
        <v>-18.651</v>
      </c>
      <c r="J9" s="58" t="n">
        <v>-19.392</v>
      </c>
      <c r="K9" s="58" t="n">
        <v>-10.463</v>
      </c>
      <c r="L9" s="58" t="n">
        <v>-4.641</v>
      </c>
      <c r="M9" s="58" t="n">
        <v>-14.953</v>
      </c>
      <c r="N9" s="58" t="n">
        <v>-27.384</v>
      </c>
      <c r="O9" s="58" t="n">
        <v>-18.613</v>
      </c>
      <c r="P9" s="58" t="n">
        <v>10.755</v>
      </c>
      <c r="Q9" s="58" t="n">
        <v>5.657</v>
      </c>
      <c r="R9" s="58" t="n">
        <v>-2.131</v>
      </c>
      <c r="S9" s="58" t="n">
        <v>0</v>
      </c>
      <c r="T9" s="58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</row>
    <row r="10">
      <c r="A10" s="2" t="inlineStr">
        <is>
          <t>Pretax</t>
        </is>
      </c>
      <c r="B10" s="58">
        <f>B8+B9</f>
        <v>-58.35999999999999</v>
      </c>
      <c r="C10" s="58">
        <f>C8+C9</f>
        <v>-53.242000000000004</v>
      </c>
      <c r="D10" s="58">
        <f>D8+D9</f>
        <v>-19.770000000000007</v>
      </c>
      <c r="E10" s="58">
        <f>E8+E9</f>
        <v>-53.55199999999999</v>
      </c>
      <c r="F10" s="58">
        <f>F8+F9</f>
        <v>-83.479</v>
      </c>
      <c r="G10" s="58">
        <f>G8+G9</f>
        <v>-68.375</v>
      </c>
      <c r="H10" s="58">
        <f>H8+H9</f>
        <v>-32.23100000000002</v>
      </c>
      <c r="I10" s="58">
        <f>I8+I9</f>
        <v>-101.86100000000002</v>
      </c>
      <c r="J10" s="58">
        <f>J8+J9</f>
        <v>61.610000000000014</v>
      </c>
      <c r="K10" s="58">
        <f>K8+K9</f>
        <v>-79.793</v>
      </c>
      <c r="L10" s="58">
        <f>L8+L9</f>
        <v>-72.25099999999999</v>
      </c>
      <c r="M10" s="58">
        <f>M8+M9</f>
        <v>129.302</v>
      </c>
      <c r="N10" s="58">
        <f>N8+N9</f>
        <v>248.51799999999997</v>
      </c>
      <c r="O10" s="58">
        <f>O8+O9</f>
        <v>248.918</v>
      </c>
      <c r="P10" s="58">
        <f>P8+P9</f>
        <v>348.32900000000006</v>
      </c>
      <c r="Q10" s="58">
        <f>Q8+Q9</f>
        <v>557.132</v>
      </c>
      <c r="R10" s="58">
        <f>R8+R9</f>
        <v>466.875</v>
      </c>
      <c r="S10" s="58">
        <f>S8+S9</f>
        <v>926.3720763000001</v>
      </c>
      <c r="T10" s="58">
        <f>T8+T9</f>
        <v>1027.0565565120003</v>
      </c>
      <c r="U10" s="58">
        <f>U8+U9</f>
        <v>1077.5709708220802</v>
      </c>
      <c r="V10" s="58">
        <f>V8+V9</f>
        <v>938.4865527324673</v>
      </c>
      <c r="W10" s="58">
        <f>W8+W9</f>
        <v>835.8395860273537</v>
      </c>
      <c r="X10" s="58">
        <f>X8+X9</f>
        <v>827.0412745954869</v>
      </c>
      <c r="Y10" s="58">
        <f>Y8+Y9</f>
        <v>842.7902520585286</v>
      </c>
      <c r="Z10" s="58">
        <f>Z8+Z9</f>
        <v>858.739831022217</v>
      </c>
      <c r="AA10" s="58">
        <f>AA8+AA9</f>
        <v>870.640844984753</v>
      </c>
      <c r="AB10" s="58">
        <f>AB8+AB9</f>
        <v>882.600197251027</v>
      </c>
    </row>
    <row r="11">
      <c r="A11" s="2" t="inlineStr">
        <is>
          <t>Taxes</t>
        </is>
      </c>
      <c r="B11" s="58" t="n">
        <v>0</v>
      </c>
      <c r="C11" s="58" t="n">
        <v>0</v>
      </c>
      <c r="D11" s="58" t="n">
        <v>0</v>
      </c>
      <c r="E11" s="58" t="n">
        <v>0</v>
      </c>
      <c r="F11" s="58" t="n">
        <v>0</v>
      </c>
      <c r="G11" s="58" t="n">
        <v>0</v>
      </c>
      <c r="H11" s="58" t="n">
        <v>0</v>
      </c>
      <c r="I11" s="58" t="n">
        <v>1.162</v>
      </c>
      <c r="J11" s="58" t="n">
        <v>-1.361</v>
      </c>
      <c r="K11" s="58" t="n">
        <v>0.537</v>
      </c>
      <c r="L11" s="58" t="n">
        <v>-0.011</v>
      </c>
      <c r="M11" s="58" t="n">
        <v>0.217</v>
      </c>
      <c r="N11" s="58" t="n">
        <v>-154.192</v>
      </c>
      <c r="O11" s="58" t="n">
        <v>46.789</v>
      </c>
      <c r="P11" s="58" t="n">
        <v>66.735</v>
      </c>
      <c r="Q11" s="58" t="n">
        <v>113.041</v>
      </c>
      <c r="R11" s="58" t="n">
        <v>149.986</v>
      </c>
      <c r="S11" s="58">
        <f>MAX(0,S10)*Assumptions!$E$14</f>
        <v>157.48325297100004</v>
      </c>
      <c r="T11" s="58">
        <f>MAX(0,T10)*Assumptions!$E$14</f>
        <v>174.59961460704005</v>
      </c>
      <c r="U11" s="58">
        <f>MAX(0,U10)*Assumptions!$E$14</f>
        <v>183.18706503975363</v>
      </c>
      <c r="V11" s="58">
        <f>MAX(0,V10)*Assumptions!$E$14</f>
        <v>159.54271396451946</v>
      </c>
      <c r="W11" s="58">
        <f>MAX(0,W10)*Assumptions!$E$14</f>
        <v>142.09272962465013</v>
      </c>
      <c r="X11" s="58">
        <f>MAX(0,X10)*Assumptions!$E$14</f>
        <v>140.5970166812328</v>
      </c>
      <c r="Y11" s="58">
        <f>MAX(0,Y10)*Assumptions!$E$14</f>
        <v>143.27434284994987</v>
      </c>
      <c r="Z11" s="58">
        <f>MAX(0,Z10)*Assumptions!$E$14</f>
        <v>145.9857712737769</v>
      </c>
      <c r="AA11" s="58">
        <f>MAX(0,AA10)*Assumptions!$E$14</f>
        <v>148.00894364740802</v>
      </c>
      <c r="AB11" s="58">
        <f>MAX(0,AB10)*Assumptions!$E$14</f>
        <v>150.0420335326746</v>
      </c>
    </row>
    <row r="12">
      <c r="A12" s="2" t="inlineStr">
        <is>
          <t>Net Income</t>
        </is>
      </c>
      <c r="B12" s="58" t="n">
        <v>-58.361</v>
      </c>
      <c r="C12" s="58" t="n">
        <v>-53.242</v>
      </c>
      <c r="D12" s="58" t="n">
        <v>-19.77</v>
      </c>
      <c r="E12" s="58" t="n">
        <v>-53.552</v>
      </c>
      <c r="F12" s="58" t="n">
        <v>-83.479</v>
      </c>
      <c r="G12" s="58" t="n">
        <v>-68.375</v>
      </c>
      <c r="H12" s="58" t="n">
        <v>-32.231</v>
      </c>
      <c r="I12" s="58" t="n">
        <v>-103.023</v>
      </c>
      <c r="J12" s="58" t="n">
        <v>62.971</v>
      </c>
      <c r="K12" s="58" t="n">
        <v>-80.33</v>
      </c>
      <c r="L12" s="58" t="n">
        <v>-72.23999999999999</v>
      </c>
      <c r="M12" s="58" t="n">
        <v>129.085</v>
      </c>
      <c r="N12" s="58" t="n">
        <v>402.71</v>
      </c>
      <c r="O12" s="58" t="n">
        <v>202.129</v>
      </c>
      <c r="P12" s="58" t="n">
        <v>281.594</v>
      </c>
      <c r="Q12" s="58" t="n">
        <v>444.091</v>
      </c>
      <c r="R12" s="58" t="n">
        <v>316.889</v>
      </c>
      <c r="S12" s="58">
        <f>S10-S11</f>
        <v>768.888823329</v>
      </c>
      <c r="T12" s="58">
        <f>T10-T11</f>
        <v>852.4569419049602</v>
      </c>
      <c r="U12" s="58">
        <f>U10-U11</f>
        <v>894.3839057823266</v>
      </c>
      <c r="V12" s="58">
        <f>V10-V11</f>
        <v>778.9438387679479</v>
      </c>
      <c r="W12" s="58">
        <f>W10-W11</f>
        <v>693.7468564027035</v>
      </c>
      <c r="X12" s="58">
        <f>X10-X11</f>
        <v>686.4442579142542</v>
      </c>
      <c r="Y12" s="58">
        <f>Y10-Y11</f>
        <v>699.5159092085787</v>
      </c>
      <c r="Z12" s="58">
        <f>Z10-Z11</f>
        <v>712.7540597484401</v>
      </c>
      <c r="AA12" s="58">
        <f>AA10-AA11</f>
        <v>722.631901337345</v>
      </c>
      <c r="AB12" s="58">
        <f>AB10-AB11</f>
        <v>732.5581637183524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-0.19275393405222002</v>
      </c>
      <c r="E13" s="11">
        <f>IFERROR(E12/E14,0)</f>
        <v>-0.48211600961495177</v>
      </c>
      <c r="F13" s="11">
        <f>IFERROR(F12/F14,0)</f>
        <v>-0.740029254022428</v>
      </c>
      <c r="G13" s="11">
        <f>IFERROR(G12/G14,0)</f>
        <v>-0.5572988833645774</v>
      </c>
      <c r="H13" s="11">
        <f>IFERROR(H12/H14,0)</f>
        <v>-0.25438028791514083</v>
      </c>
      <c r="I13" s="11">
        <f>IFERROR(I12/I14,0)</f>
        <v>-0.8050936200806477</v>
      </c>
      <c r="J13" s="11">
        <f>IFERROR(J12/J14,0)</f>
        <v>0.45280725975781627</v>
      </c>
      <c r="K13" s="11">
        <f>IFERROR(K12/K14,0)</f>
        <v>-0.5594050097841907</v>
      </c>
      <c r="L13" s="11">
        <f>IFERROR(L12/L14,0)</f>
        <v>-0.5005231103936145</v>
      </c>
      <c r="M13" s="11">
        <f>IFERROR(M12/M14,0)</f>
        <v>0.9125000883623281</v>
      </c>
      <c r="N13" s="11">
        <f>IFERROR(N12/N14,0)</f>
        <v>2.7433308809504346</v>
      </c>
      <c r="O13" s="11">
        <f>IFERROR(O12/O14,0)</f>
        <v>1.4375355598543467</v>
      </c>
      <c r="P13" s="11">
        <f>IFERROR(P12/P14,0)</f>
        <v>2.0983628546092685</v>
      </c>
      <c r="Q13" s="11">
        <f>IFERROR(Q12/Q14,0)</f>
        <v>3.4312878600568673</v>
      </c>
      <c r="R13" s="11">
        <f>IFERROR(R12/R14,0)</f>
        <v>2.557536479855372</v>
      </c>
      <c r="S13" s="11">
        <f>IFERROR(S12/S14,0)</f>
        <v>6.77447024025974</v>
      </c>
      <c r="T13" s="11">
        <f>IFERROR(T12/T14,0)</f>
        <v>7.510766197685952</v>
      </c>
      <c r="U13" s="11">
        <f>IFERROR(U12/U14,0)</f>
        <v>7.880173269857853</v>
      </c>
      <c r="V13" s="11">
        <f>IFERROR(V12/V14,0)</f>
        <v>6.863062245748364</v>
      </c>
      <c r="W13" s="11">
        <f>IFERROR(W12/W14,0)</f>
        <v>6.112414812619637</v>
      </c>
      <c r="X13" s="11">
        <f>IFERROR(X12/X14,0)</f>
        <v>6.048073604065747</v>
      </c>
      <c r="Y13" s="11">
        <f>IFERROR(Y12/Y14,0)</f>
        <v>6.163244367377211</v>
      </c>
      <c r="Z13" s="11">
        <f>IFERROR(Z12/Z14,0)</f>
        <v>6.2798821102437055</v>
      </c>
      <c r="AA13" s="11">
        <f>IFERROR(AA12/AA14,0)</f>
        <v>6.366913085141103</v>
      </c>
      <c r="AB13" s="11">
        <f>IFERROR(AB12/AB14,0)</f>
        <v>6.45437068246447</v>
      </c>
    </row>
    <row r="14">
      <c r="A14" s="2" t="inlineStr">
        <is>
          <t>Shares</t>
        </is>
      </c>
      <c r="B14" s="58" t="n"/>
      <c r="C14" s="58" t="n"/>
      <c r="D14" s="58" t="n">
        <v>102.566</v>
      </c>
      <c r="E14" s="58" t="n">
        <v>111.077</v>
      </c>
      <c r="F14" s="58" t="n">
        <v>112.805</v>
      </c>
      <c r="G14" s="58" t="n">
        <v>122.69</v>
      </c>
      <c r="H14" s="58" t="n">
        <v>126.704</v>
      </c>
      <c r="I14" s="58" t="n">
        <v>127.964</v>
      </c>
      <c r="J14" s="58" t="n">
        <v>139.068</v>
      </c>
      <c r="K14" s="58" t="n">
        <v>143.599</v>
      </c>
      <c r="L14" s="58" t="n">
        <v>144.329</v>
      </c>
      <c r="M14" s="58" t="n">
        <v>141.463</v>
      </c>
      <c r="N14" s="58" t="n">
        <v>146.796</v>
      </c>
      <c r="O14" s="58" t="n">
        <v>140.608</v>
      </c>
      <c r="P14" s="58" t="n">
        <v>134.197</v>
      </c>
      <c r="Q14" s="58" t="n">
        <v>129.424</v>
      </c>
      <c r="R14" s="58" t="n">
        <v>123.904</v>
      </c>
      <c r="S14" s="58">
        <f>Main!$C$4</f>
        <v>113.498</v>
      </c>
      <c r="T14" s="58">
        <f>Main!$C$4</f>
        <v>113.498</v>
      </c>
      <c r="U14" s="58">
        <f>Main!$C$4</f>
        <v>113.498</v>
      </c>
      <c r="V14" s="58">
        <f>Main!$C$4</f>
        <v>113.498</v>
      </c>
      <c r="W14" s="58">
        <f>Main!$C$4</f>
        <v>113.498</v>
      </c>
      <c r="X14" s="58">
        <f>Main!$C$4</f>
        <v>113.498</v>
      </c>
      <c r="Y14" s="58">
        <f>Main!$C$4</f>
        <v>113.498</v>
      </c>
      <c r="Z14" s="58">
        <f>Main!$C$4</f>
        <v>113.498</v>
      </c>
      <c r="AA14" s="58">
        <f>Main!$C$4</f>
        <v>113.498</v>
      </c>
      <c r="AB14" s="58">
        <f>Main!$C$4</f>
        <v>113.498</v>
      </c>
    </row>
    <row r="15"/>
    <row r="16" customFormat="1" s="4">
      <c r="A16" s="3" t="inlineStr">
        <is>
          <t>Revenue Change</t>
        </is>
      </c>
      <c r="C16" s="15">
        <f>IFERROR(C2/B2-1,"")</f>
        <v>-0.003437934313510249</v>
      </c>
      <c r="D16" s="15">
        <f>IFERROR(D2/C2-1,"")</f>
        <v>3.1167058132706984</v>
      </c>
      <c r="E16" s="15">
        <f>IFERROR(E2/D2-1,"")</f>
        <v>-0.24535534714545515</v>
      </c>
      <c r="F16" s="15">
        <f>IFERROR(F2/E2-1,"")</f>
        <v>0.29471943295924374</v>
      </c>
      <c r="G16" s="15">
        <f>IFERROR(G2/F2-1,"")</f>
        <v>0.3747331155678024</v>
      </c>
      <c r="H16" s="15">
        <f>IFERROR(H2/G2-1,"")</f>
        <v>0.7927761701223881</v>
      </c>
      <c r="I16" s="15">
        <f>IFERROR(I2/H2-1,"")</f>
        <v>0.08614140696150518</v>
      </c>
      <c r="J16" s="15">
        <f>IFERROR(J2/I2-1,"")</f>
        <v>1.1583669073085603</v>
      </c>
      <c r="K16" s="15">
        <f>IFERROR(K2/J2-1,"")</f>
        <v>-0.5203545021840543</v>
      </c>
      <c r="L16" s="15">
        <f>IFERROR(L2/K2-1,"")</f>
        <v>0.2905927750194255</v>
      </c>
      <c r="M16" s="15">
        <f>IFERROR(M2/L2-1,"")</f>
        <v>0.3653312380097147</v>
      </c>
      <c r="N16" s="15">
        <f>IFERROR(N2/M2-1,"")</f>
        <v>0.6566514944281263</v>
      </c>
      <c r="O16" s="15">
        <f>IFERROR(O2/N2-1,"")</f>
        <v>0.48906183032189654</v>
      </c>
      <c r="P16" s="15">
        <f>IFERROR(P2/O2-1,"")</f>
        <v>0.25622314865872076</v>
      </c>
      <c r="Q16" s="15">
        <f>IFERROR(Q2/P2-1,"")</f>
        <v>0.22438387319672026</v>
      </c>
      <c r="R16" s="15">
        <f>IFERROR(R2/Q2-1,"")</f>
        <v>0.3755323423852881</v>
      </c>
      <c r="S16" s="15">
        <f>IFERROR(S2/R2-1,"")</f>
        <v>0.3400000000000001</v>
      </c>
      <c r="T16" s="15">
        <f>IFERROR(T2/S2-1,"")</f>
        <v>0.1200000000000001</v>
      </c>
      <c r="U16" s="15">
        <f>IFERROR(U2/T2-1,"")</f>
        <v>0.06000000000000005</v>
      </c>
      <c r="V16" s="15">
        <f>IFERROR(V2/U2-1,"")</f>
        <v>-0.12</v>
      </c>
      <c r="W16" s="15">
        <f>IFERROR(W2/V2-1,"")</f>
        <v>-0.09999999999999998</v>
      </c>
      <c r="X16" s="15">
        <f>IFERROR(X2/W2-1,"")</f>
        <v>0.0</v>
      </c>
      <c r="Y16" s="15">
        <f>IFERROR(Y2/X2-1,"")</f>
        <v>0.030000000000000027</v>
      </c>
      <c r="Z16" s="15">
        <f>IFERROR(Z2/Y2-1,"")</f>
        <v>0.030000000000000027</v>
      </c>
      <c r="AA16" s="15">
        <f>IFERROR(AA2/Z2-1,"")</f>
        <v>0.02499999999999991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0.9771779679613781</v>
      </c>
      <c r="C17" s="15">
        <f>IFERROR(C4/C2,"")</f>
        <v>0.927701115678215</v>
      </c>
      <c r="D17" s="15">
        <f>IFERROR(D4/D2,"")</f>
        <v>0.9953999215490497</v>
      </c>
      <c r="E17" s="15">
        <f>IFERROR(E4/E2,"")</f>
        <v>0.9741523922031896</v>
      </c>
      <c r="F17" s="15">
        <f>IFERROR(F4/F2,"")</f>
        <v>0.8860198178798883</v>
      </c>
      <c r="G17" s="15">
        <f>IFERROR(G4/G2,"")</f>
        <v>0.6982504579605491</v>
      </c>
      <c r="H17" s="15">
        <f>IFERROR(H4/H2,"")</f>
        <v>0.7834617976113788</v>
      </c>
      <c r="I17" s="15">
        <f>IFERROR(I4/I2,"")</f>
        <v>0.7736330108868301</v>
      </c>
      <c r="J17" s="15">
        <f>IFERROR(J4/J2,"")</f>
        <v>0.9016085884028767</v>
      </c>
      <c r="K17" s="15">
        <f>IFERROR(K4/K2,"")</f>
        <v>0.9332551922139838</v>
      </c>
      <c r="L17" s="15">
        <f>IFERROR(L4/L2,"")</f>
        <v>0.7676129637944407</v>
      </c>
      <c r="M17" s="15">
        <f>IFERROR(M4/M2,"")</f>
        <v>0.8379373229594087</v>
      </c>
      <c r="N17" s="15">
        <f>IFERROR(N4/N2,"")</f>
        <v>0.8163519884505199</v>
      </c>
      <c r="O17" s="15">
        <f>IFERROR(O4/O2,"")</f>
        <v>0.7889704233801332</v>
      </c>
      <c r="P17" s="15">
        <f>IFERROR(P4/P2,"")</f>
        <v>0.7680309869243765</v>
      </c>
      <c r="Q17" s="15">
        <f>IFERROR(Q4/Q2,"")</f>
        <v>0.8429890360121498</v>
      </c>
      <c r="R17" s="15">
        <f>IFERROR(R4/R2,"")</f>
        <v>0.8361934711956299</v>
      </c>
      <c r="S17" s="15">
        <f>IFERROR(S4/S2,"")</f>
        <v>0.8362</v>
      </c>
      <c r="T17" s="15">
        <f>IFERROR(T4/T2,"")</f>
        <v>0.8362</v>
      </c>
      <c r="U17" s="15">
        <f>IFERROR(U4/U2,"")</f>
        <v>0.8361999999999999</v>
      </c>
      <c r="V17" s="15">
        <f>IFERROR(V4/V2,"")</f>
        <v>0.8362</v>
      </c>
      <c r="W17" s="15">
        <f>IFERROR(W4/W2,"")</f>
        <v>0.8362</v>
      </c>
      <c r="X17" s="15">
        <f>IFERROR(X4/X2,"")</f>
        <v>0.8362</v>
      </c>
      <c r="Y17" s="15">
        <f>IFERROR(Y4/Y2,"")</f>
        <v>0.8362</v>
      </c>
      <c r="Z17" s="15">
        <f>IFERROR(Z4/Z2,"")</f>
        <v>0.8362</v>
      </c>
      <c r="AA17" s="15">
        <f>IFERROR(AA4/AA2,"")</f>
        <v>0.8362</v>
      </c>
      <c r="AB17" s="15">
        <f>IFERROR(AB4/AB2,"")</f>
        <v>0.8362</v>
      </c>
    </row>
    <row r="18">
      <c r="A18" s="14" t="inlineStr">
        <is>
          <t>Operating Margin</t>
        </is>
      </c>
      <c r="B18" s="15">
        <f>IFERROR(B8/B2,"")</f>
        <v>-4.276058810621022</v>
      </c>
      <c r="C18" s="15">
        <f>IFERROR(C8/C2,"")</f>
        <v>-3.9825308279506753</v>
      </c>
      <c r="D18" s="15">
        <f>IFERROR(D8/D2,"")</f>
        <v>-0.35372463716435487</v>
      </c>
      <c r="E18" s="15">
        <f>IFERROR(E8/E2,"")</f>
        <v>-1.2669816893089187</v>
      </c>
      <c r="F18" s="15">
        <f>IFERROR(F8/F2,"")</f>
        <v>-1.4678005073085274</v>
      </c>
      <c r="G18" s="15">
        <f>IFERROR(G8/G2,"")</f>
        <v>-0.8367536570472828</v>
      </c>
      <c r="H18" s="15">
        <f>IFERROR(H8/H2,"")</f>
        <v>-0.2032623262770536</v>
      </c>
      <c r="I18" s="15">
        <f>IFERROR(I8/I2,"")</f>
        <v>-0.5672467976903833</v>
      </c>
      <c r="J18" s="15">
        <f>IFERROR(J8/J2,"")</f>
        <v>0.2558391474765724</v>
      </c>
      <c r="K18" s="15">
        <f>IFERROR(K8/K2,"")</f>
        <v>-0.45653290487416215</v>
      </c>
      <c r="L18" s="15">
        <f>IFERROR(L8/L2,"")</f>
        <v>-0.3449630597167231</v>
      </c>
      <c r="M18" s="15">
        <f>IFERROR(M8/M2,"")</f>
        <v>0.5390815937577076</v>
      </c>
      <c r="N18" s="15">
        <f>IFERROR(N8/N2,"")</f>
        <v>0.6223680945613679</v>
      </c>
      <c r="O18" s="15">
        <f>IFERROR(O8/O2,"")</f>
        <v>0.40527876918602185</v>
      </c>
      <c r="P18" s="15">
        <f>IFERROR(P8/P2,"")</f>
        <v>0.40708203648343755</v>
      </c>
      <c r="Q18" s="15">
        <f>IFERROR(Q8/Q2,"")</f>
        <v>0.5431517426949426</v>
      </c>
      <c r="R18" s="15">
        <f>IFERROR(R8/R2,"")</f>
        <v>0.335817203215498</v>
      </c>
      <c r="S18" s="15">
        <f>IFERROR(S8/S2,"")</f>
        <v>0.495</v>
      </c>
      <c r="T18" s="15">
        <f>IFERROR(T8/T2,"")</f>
        <v>0.49000000000000005</v>
      </c>
      <c r="U18" s="15">
        <f>IFERROR(U8/U2,"")</f>
        <v>0.48500000000000004</v>
      </c>
      <c r="V18" s="15">
        <f>IFERROR(V8/V2,"")</f>
        <v>0.48</v>
      </c>
      <c r="W18" s="15">
        <f>IFERROR(W8/W2,"")</f>
        <v>0.475</v>
      </c>
      <c r="X18" s="15">
        <f>IFERROR(X8/X2,"")</f>
        <v>0.4700000000000001</v>
      </c>
      <c r="Y18" s="15">
        <f>IFERROR(Y8/Y2,"")</f>
        <v>0.465</v>
      </c>
      <c r="Z18" s="15">
        <f>IFERROR(Z8/Z2,"")</f>
        <v>0.46</v>
      </c>
      <c r="AA18" s="15">
        <f>IFERROR(AA8/AA2,"")</f>
        <v>0.455</v>
      </c>
      <c r="AB18" s="15">
        <f>IFERROR(AB8/AB2,"")</f>
        <v>0.45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Halozyme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0.105</v>
      </c>
      <c r="C10" s="59" t="n">
        <v>0.095</v>
      </c>
      <c r="D10" s="59" t="n">
        <v>0.08500000000000001</v>
      </c>
      <c r="E10" s="60">
        <f>IF(ISNUMBER($B$6),$B$6,CHOOSE($B$4,B10,C10,D10))</f>
        <v>0.095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0.29</v>
      </c>
      <c r="C12" s="59" t="n">
        <v>0.34</v>
      </c>
      <c r="D12" s="59" t="n">
        <v>0.39</v>
      </c>
      <c r="E12" s="60">
        <f>CHOOSE($B$4,B12,C12,D12)</f>
        <v>0.34</v>
      </c>
    </row>
    <row r="13">
      <c r="A13" s="14" t="inlineStr">
        <is>
          <t>Operating margin, year 10</t>
        </is>
      </c>
      <c r="B13" s="59" t="n">
        <v>0.38</v>
      </c>
      <c r="C13" s="59" t="n">
        <v>0.45</v>
      </c>
      <c r="D13" s="59" t="n">
        <v>0.52</v>
      </c>
      <c r="E13" s="60">
        <f>CHOOSE($B$4,B13,C13,D13)</f>
        <v>0.45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0.5</v>
      </c>
    </row>
    <row r="19">
      <c r="A19" s="14" t="inlineStr">
        <is>
          <t>Gross margin (forecast)</t>
        </is>
      </c>
      <c r="B19" s="59" t="n">
        <v>0.8362000000000001</v>
      </c>
    </row>
    <row r="20">
      <c r="A20" s="14" t="inlineStr">
        <is>
          <t>R&amp;D share of operating expense (forecast)</t>
        </is>
      </c>
      <c r="B20" s="59" t="n">
        <v>0.1166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61">
        <f>'Yearly Model'!R2</f>
        <v>1396.611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9246.915973333733</v>
      </c>
      <c r="C29" s="62">
        <f>NPV!B26</f>
        <v>7331.264973333733</v>
      </c>
      <c r="D29" s="35">
        <f>NPV!B28</f>
        <v>64.59378115326906</v>
      </c>
      <c r="E29" s="63">
        <f>NPV!B30</f>
        <v>-0.4806321367430324</v>
      </c>
    </row>
    <row r="30">
      <c r="A30" s="64" t="n">
        <v>1</v>
      </c>
      <c r="B30" s="65">
        <f t="dataTable" ref="B30:E32" r1="B4"/>
        <v>5963.112504019435</v>
      </c>
      <c r="C30" s="65">
        <v>4047.4615040194344</v>
      </c>
      <c r="D30" s="39">
        <v>35.66108216902002</v>
      </c>
      <c r="E30" s="66">
        <v>-0.7132662043176006</v>
      </c>
    </row>
    <row r="31">
      <c r="A31" s="64" t="n">
        <v>2</v>
      </c>
      <c r="B31" s="65">
        <v>9246.915973333733</v>
      </c>
      <c r="C31" s="65">
        <v>7331.264973333733</v>
      </c>
      <c r="D31" s="39">
        <v>64.59378115326906</v>
      </c>
      <c r="E31" s="66">
        <v>-0.4806321367430324</v>
      </c>
    </row>
    <row r="32">
      <c r="A32" s="64" t="n">
        <v>3</v>
      </c>
      <c r="B32" s="65">
        <v>15259.92671238078</v>
      </c>
      <c r="C32" s="65">
        <v>13344.27571238078</v>
      </c>
      <c r="D32" s="39">
        <v>117.57278288939699</v>
      </c>
      <c r="E32" s="66">
        <v>-0.0546531889571682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64.59378115326906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0.075</v>
      </c>
      <c r="B37" s="39">
        <f t="dataTable" ref="B37:F41" dt2D="1" r1="B7" r2="B6"/>
        <v>82.98297460096977</v>
      </c>
      <c r="C37" s="39">
        <v>88.02307931559743</v>
      </c>
      <c r="D37" s="39">
        <v>94.07120497315063</v>
      </c>
      <c r="E37" s="39">
        <v>101.46335855460454</v>
      </c>
      <c r="F37" s="39">
        <v>110.70355053142193</v>
      </c>
    </row>
    <row r="38">
      <c r="A38" s="68" t="n">
        <v>0.08500000000000001</v>
      </c>
      <c r="B38" s="39">
        <v>69.60854863604007</v>
      </c>
      <c r="C38" s="39">
        <v>72.96687212954033</v>
      </c>
      <c r="D38" s="39">
        <v>76.88491620529066</v>
      </c>
      <c r="E38" s="39">
        <v>81.51533193117739</v>
      </c>
      <c r="F38" s="39">
        <v>87.07183080224144</v>
      </c>
    </row>
    <row r="39">
      <c r="A39" s="68" t="n">
        <v>0.095</v>
      </c>
      <c r="B39" s="39">
        <v>59.57610694423339</v>
      </c>
      <c r="C39" s="39">
        <v>61.91768824178338</v>
      </c>
      <c r="D39" s="39">
        <v>64.59378115326906</v>
      </c>
      <c r="E39" s="39">
        <v>67.68158066652178</v>
      </c>
      <c r="F39" s="39">
        <v>71.2840134319833</v>
      </c>
    </row>
    <row r="40">
      <c r="A40" s="68" t="n">
        <v>0.105</v>
      </c>
      <c r="B40" s="39">
        <v>51.76965070639383</v>
      </c>
      <c r="C40" s="39">
        <v>53.4595678748259</v>
      </c>
      <c r="D40" s="39">
        <v>55.36072468931199</v>
      </c>
      <c r="E40" s="39">
        <v>57.51536907906286</v>
      </c>
      <c r="F40" s="39">
        <v>59.977819810206725</v>
      </c>
    </row>
    <row r="41">
      <c r="A41" s="68" t="n">
        <v>0.115</v>
      </c>
      <c r="B41" s="39">
        <v>45.51991140396918</v>
      </c>
      <c r="C41" s="39">
        <v>46.77306190215138</v>
      </c>
      <c r="D41" s="39">
        <v>48.16545134457604</v>
      </c>
      <c r="E41" s="39">
        <v>49.72165130963891</v>
      </c>
      <c r="F41" s="39">
        <v>51.472376270334614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0.34</v>
      </c>
      <c r="C46" s="59" t="n">
        <v>0.12</v>
      </c>
      <c r="D46" s="59" t="n">
        <v>0.06</v>
      </c>
      <c r="E46" s="59" t="n">
        <v>-0.12</v>
      </c>
      <c r="F46" s="59" t="n">
        <v>-0.1</v>
      </c>
      <c r="G46" s="59" t="n">
        <v>0</v>
      </c>
      <c r="H46" s="59" t="n">
        <v>0.03</v>
      </c>
      <c r="I46" s="59" t="n">
        <v>0.03</v>
      </c>
      <c r="J46" s="59" t="n">
        <v>0.025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Halozyme Therapeutics, Inc.: free-cash-flow DCF ($mm)</t>
        </is>
      </c>
    </row>
    <row r="3">
      <c r="A3" s="20" t="inlineStr">
        <is>
          <t>Fiscal year</t>
        </is>
      </c>
      <c r="B3" s="44">
        <f>'Yearly Model'!R1</f>
        <v>2025</v>
      </c>
      <c r="C3" s="44">
        <f>'Yearly Model'!S1</f>
        <v>2026</v>
      </c>
      <c r="D3" s="44">
        <f>'Yearly Model'!T1</f>
        <v>2027</v>
      </c>
      <c r="E3" s="44">
        <f>'Yearly Model'!U1</f>
        <v>2028</v>
      </c>
      <c r="F3" s="44">
        <f>'Yearly Model'!V1</f>
        <v>2029</v>
      </c>
      <c r="G3" s="44">
        <f>'Yearly Model'!W1</f>
        <v>2030</v>
      </c>
      <c r="H3" s="44">
        <f>'Yearly Model'!X1</f>
        <v>2031</v>
      </c>
      <c r="I3" s="44">
        <f>'Yearly Model'!Y1</f>
        <v>2032</v>
      </c>
      <c r="J3" s="44">
        <f>'Yearly Model'!Z1</f>
        <v>2033</v>
      </c>
      <c r="K3" s="44">
        <f>'Yearly Model'!AA1</f>
        <v>2034</v>
      </c>
      <c r="L3" s="44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0.34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0.12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0.06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-0.12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-0.1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0.03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0.025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0.335817203215498</v>
      </c>
      <c r="C6" s="69">
        <f>Assumptions!$B$18+(Assumptions!$E$13-Assumptions!$B$18)*C4/Assumptions!$B$21</f>
        <v>0.495</v>
      </c>
      <c r="D6" s="69">
        <f>Assumptions!$B$18+(Assumptions!$E$13-Assumptions!$B$18)*D4/Assumptions!$B$21</f>
        <v>0.49</v>
      </c>
      <c r="E6" s="69">
        <f>Assumptions!$B$18+(Assumptions!$E$13-Assumptions!$B$18)*E4/Assumptions!$B$21</f>
        <v>0.485</v>
      </c>
      <c r="F6" s="69">
        <f>Assumptions!$B$18+(Assumptions!$E$13-Assumptions!$B$18)*F4/Assumptions!$B$21</f>
        <v>0.48</v>
      </c>
      <c r="G6" s="69">
        <f>Assumptions!$B$18+(Assumptions!$E$13-Assumptions!$B$18)*G4/Assumptions!$B$21</f>
        <v>0.475</v>
      </c>
      <c r="H6" s="69">
        <f>Assumptions!$B$18+(Assumptions!$E$13-Assumptions!$B$18)*H4/Assumptions!$B$21</f>
        <v>0.47000000000000003</v>
      </c>
      <c r="I6" s="69">
        <f>Assumptions!$B$18+(Assumptions!$E$13-Assumptions!$B$18)*I4/Assumptions!$B$21</f>
        <v>0.465</v>
      </c>
      <c r="J6" s="69">
        <f>Assumptions!$B$18+(Assumptions!$E$13-Assumptions!$B$18)*J4/Assumptions!$B$21</f>
        <v>0.46</v>
      </c>
      <c r="K6" s="69">
        <f>Assumptions!$B$18+(Assumptions!$E$13-Assumptions!$B$18)*K4/Assumptions!$B$21</f>
        <v>0.455</v>
      </c>
      <c r="L6" s="69">
        <f>Assumptions!$B$18+(Assumptions!$E$13-Assumptions!$B$18)*L4/Assumptions!$B$21</f>
        <v>0.45</v>
      </c>
    </row>
    <row r="7">
      <c r="A7" s="14" t="inlineStr">
        <is>
          <t>Revenue</t>
        </is>
      </c>
      <c r="B7" s="61">
        <f>'Yearly Model'!R2</f>
        <v>1396.611</v>
      </c>
      <c r="C7" s="61">
        <f>'Yearly Model'!S2</f>
        <v>1871.4587400000003</v>
      </c>
      <c r="D7" s="61">
        <f>'Yearly Model'!T2</f>
        <v>2096.0337888000004</v>
      </c>
      <c r="E7" s="61">
        <f>'Yearly Model'!U2</f>
        <v>2221.7958161280003</v>
      </c>
      <c r="F7" s="61">
        <f>'Yearly Model'!V2</f>
        <v>1955.1803181926402</v>
      </c>
      <c r="G7" s="61">
        <f>'Yearly Model'!W2</f>
        <v>1759.6622863733762</v>
      </c>
      <c r="H7" s="61">
        <f>'Yearly Model'!X2</f>
        <v>1759.6622863733762</v>
      </c>
      <c r="I7" s="61">
        <f>'Yearly Model'!Y2</f>
        <v>1812.4521549645776</v>
      </c>
      <c r="J7" s="61">
        <f>'Yearly Model'!Z2</f>
        <v>1866.825719613515</v>
      </c>
      <c r="K7" s="61">
        <f>'Yearly Model'!AA2</f>
        <v>1913.4963626038527</v>
      </c>
      <c r="L7" s="61">
        <f>'Yearly Model'!AB2</f>
        <v>1961.3337716689489</v>
      </c>
    </row>
    <row r="8">
      <c r="A8" s="14" t="inlineStr">
        <is>
          <t>Operating income</t>
        </is>
      </c>
      <c r="B8" s="61">
        <f>'Yearly Model'!R8</f>
        <v>469.006</v>
      </c>
      <c r="C8" s="61">
        <f>'Yearly Model'!S8</f>
        <v>926.3720763000001</v>
      </c>
      <c r="D8" s="61">
        <f>'Yearly Model'!T8</f>
        <v>1027.0565565120003</v>
      </c>
      <c r="E8" s="61">
        <f>'Yearly Model'!U8</f>
        <v>1077.5709708220802</v>
      </c>
      <c r="F8" s="61">
        <f>'Yearly Model'!V8</f>
        <v>938.4865527324673</v>
      </c>
      <c r="G8" s="61">
        <f>'Yearly Model'!W8</f>
        <v>835.8395860273537</v>
      </c>
      <c r="H8" s="61">
        <f>'Yearly Model'!X8</f>
        <v>827.0412745954869</v>
      </c>
      <c r="I8" s="61">
        <f>'Yearly Model'!Y8</f>
        <v>842.7902520585286</v>
      </c>
      <c r="J8" s="61">
        <f>'Yearly Model'!Z8</f>
        <v>858.739831022217</v>
      </c>
      <c r="K8" s="61">
        <f>'Yearly Model'!AA8</f>
        <v>870.640844984753</v>
      </c>
      <c r="L8" s="61">
        <f>'Yearly Model'!AB8</f>
        <v>882.600197251027</v>
      </c>
    </row>
    <row r="9">
      <c r="A9" s="14" t="inlineStr">
        <is>
          <t>Tax on operating income</t>
        </is>
      </c>
      <c r="C9" s="58">
        <f>MAX(0,C8)*Assumptions!$E$14</f>
        <v>157.48325297100004</v>
      </c>
      <c r="D9" s="58">
        <f>MAX(0,D8)*Assumptions!$E$14</f>
        <v>174.59961460704005</v>
      </c>
      <c r="E9" s="58">
        <f>MAX(0,E8)*Assumptions!$E$14</f>
        <v>183.18706503975363</v>
      </c>
      <c r="F9" s="58">
        <f>MAX(0,F8)*Assumptions!$E$14</f>
        <v>159.54271396451946</v>
      </c>
      <c r="G9" s="58">
        <f>MAX(0,G8)*Assumptions!$E$14</f>
        <v>142.09272962465013</v>
      </c>
      <c r="H9" s="58">
        <f>MAX(0,H8)*Assumptions!$E$14</f>
        <v>140.5970166812328</v>
      </c>
      <c r="I9" s="58">
        <f>MAX(0,I8)*Assumptions!$E$14</f>
        <v>143.27434284994987</v>
      </c>
      <c r="J9" s="58">
        <f>MAX(0,J8)*Assumptions!$E$14</f>
        <v>145.9857712737769</v>
      </c>
      <c r="K9" s="58">
        <f>MAX(0,K8)*Assumptions!$E$14</f>
        <v>148.00894364740802</v>
      </c>
      <c r="L9" s="58">
        <f>MAX(0,L8)*Assumptions!$E$14</f>
        <v>150.0420335326746</v>
      </c>
    </row>
    <row r="10">
      <c r="A10" s="14" t="inlineStr">
        <is>
          <t>NOPAT</t>
        </is>
      </c>
      <c r="C10" s="58">
        <f>C8-C9</f>
        <v>768.888823329</v>
      </c>
      <c r="D10" s="58">
        <f>D8-D9</f>
        <v>852.4569419049602</v>
      </c>
      <c r="E10" s="58">
        <f>E8-E9</f>
        <v>894.3839057823266</v>
      </c>
      <c r="F10" s="58">
        <f>F8-F9</f>
        <v>778.9438387679479</v>
      </c>
      <c r="G10" s="58">
        <f>G8-G9</f>
        <v>693.7468564027035</v>
      </c>
      <c r="H10" s="58">
        <f>H8-H9</f>
        <v>686.4442579142542</v>
      </c>
      <c r="I10" s="58">
        <f>I8-I9</f>
        <v>699.5159092085787</v>
      </c>
      <c r="J10" s="58">
        <f>J8-J9</f>
        <v>712.7540597484401</v>
      </c>
      <c r="K10" s="58">
        <f>K8-K9</f>
        <v>722.631901337345</v>
      </c>
      <c r="L10" s="58">
        <f>L8-L9</f>
        <v>732.5581637183524</v>
      </c>
    </row>
    <row r="11">
      <c r="A11" s="14" t="inlineStr">
        <is>
          <t>Reinvestment</t>
        </is>
      </c>
      <c r="C11" s="58">
        <f>(C7-B7)*Assumptions!$E$15</f>
        <v>118.71193500000004</v>
      </c>
      <c r="D11" s="58">
        <f>(D7-C7)*Assumptions!$E$15</f>
        <v>56.143762200000026</v>
      </c>
      <c r="E11" s="58">
        <f>(E7-D7)*Assumptions!$E$15</f>
        <v>31.440506831999983</v>
      </c>
      <c r="F11" s="58">
        <f>(F7-E7)*Assumptions!$E$15</f>
        <v>-66.65387448384001</v>
      </c>
      <c r="G11" s="58">
        <f>(G7-F7)*Assumptions!$E$15</f>
        <v>-48.879507954816006</v>
      </c>
      <c r="H11" s="58">
        <f>(H7-G7)*Assumptions!$E$15</f>
        <v>0.0</v>
      </c>
      <c r="I11" s="58">
        <f>(I7-H7)*Assumptions!$E$15</f>
        <v>13.197467147800353</v>
      </c>
      <c r="J11" s="58">
        <f>(J7-I7)*Assumptions!$E$15</f>
        <v>13.593391162234354</v>
      </c>
      <c r="K11" s="58">
        <f>(K7-J7)*Assumptions!$E$15</f>
        <v>11.66766074758442</v>
      </c>
      <c r="L11" s="58">
        <f>(L7-K7)*Assumptions!$E$15</f>
        <v>11.959352266274038</v>
      </c>
    </row>
    <row r="12">
      <c r="A12" s="20" t="inlineStr">
        <is>
          <t>Free cash flow</t>
        </is>
      </c>
      <c r="C12" s="70">
        <f>C10-C11</f>
        <v>650.176888329</v>
      </c>
      <c r="D12" s="70">
        <f>D10-D11</f>
        <v>796.3131797049602</v>
      </c>
      <c r="E12" s="70">
        <f>E10-E11</f>
        <v>862.9433989503266</v>
      </c>
      <c r="F12" s="70">
        <f>F10-F11</f>
        <v>845.5977132517879</v>
      </c>
      <c r="G12" s="70">
        <f>G10-G11</f>
        <v>742.6263643575196</v>
      </c>
      <c r="H12" s="70">
        <f>H10-H11</f>
        <v>686.4442579142542</v>
      </c>
      <c r="I12" s="70">
        <f>I10-I11</f>
        <v>686.3184420607784</v>
      </c>
      <c r="J12" s="70">
        <f>J10-J11</f>
        <v>699.1606685862057</v>
      </c>
      <c r="K12" s="70">
        <f>K10-K11</f>
        <v>710.9642405897605</v>
      </c>
      <c r="L12" s="70">
        <f>L10-L11</f>
        <v>720.5988114520783</v>
      </c>
    </row>
    <row r="13">
      <c r="A13" s="14" t="inlineStr">
        <is>
          <t>Year fraction</t>
        </is>
      </c>
      <c r="C13" s="47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71">
        <f>1/(1+Assumptions!$E$10)^C14</f>
        <v>0.9773850037537266</v>
      </c>
      <c r="D15" s="71">
        <f>1/(1+Assumptions!$E$10)^D14</f>
        <v>0.9129022614872813</v>
      </c>
      <c r="E15" s="71">
        <f>1/(1+Assumptions!$E$10)^E14</f>
        <v>0.8337006954221746</v>
      </c>
      <c r="F15" s="71">
        <f>1/(1+Assumptions!$E$10)^F14</f>
        <v>0.7613704981024426</v>
      </c>
      <c r="G15" s="71">
        <f>1/(1+Assumptions!$E$10)^G14</f>
        <v>0.6953155233812262</v>
      </c>
      <c r="H15" s="71">
        <f>1/(1+Assumptions!$E$10)^H14</f>
        <v>0.6349913455536312</v>
      </c>
      <c r="I15" s="71">
        <f>1/(1+Assumptions!$E$10)^I14</f>
        <v>0.5799007721950971</v>
      </c>
      <c r="J15" s="71">
        <f>1/(1+Assumptions!$E$10)^J14</f>
        <v>0.5295897462968923</v>
      </c>
      <c r="K15" s="71">
        <f>1/(1+Assumptions!$E$10)^K14</f>
        <v>0.48364360392410255</v>
      </c>
      <c r="L15" s="71">
        <f>1/(1+Assumptions!$E$10)^L14</f>
        <v>0.44168365655169184</v>
      </c>
    </row>
    <row r="16">
      <c r="A16" s="20" t="inlineStr">
        <is>
          <t>PV of free cash flow</t>
        </is>
      </c>
      <c r="C16" s="70">
        <f>C12*C13*C15</f>
        <v>320.34201009581705</v>
      </c>
      <c r="D16" s="70">
        <f>D12*D13*D15</f>
        <v>726.956102604786</v>
      </c>
      <c r="E16" s="70">
        <f>E12*E13*E15</f>
        <v>719.4365118148623</v>
      </c>
      <c r="F16" s="70">
        <f>F12*F13*F15</f>
        <v>643.8131521328003</v>
      </c>
      <c r="G16" s="70">
        <f>G12*G13*G15</f>
        <v>516.3596392099458</v>
      </c>
      <c r="H16" s="70">
        <f>H12*H13*H15</f>
        <v>435.88616298053614</v>
      </c>
      <c r="I16" s="70">
        <f>I12*I13*I15</f>
        <v>397.9965945227813</v>
      </c>
      <c r="J16" s="70">
        <f>J12*J13*J15</f>
        <v>370.26832109733425</v>
      </c>
      <c r="K16" s="70">
        <f>K12*K13*K15</f>
        <v>343.85330757999446</v>
      </c>
      <c r="L16" s="70">
        <f>L12*L13*L15</f>
        <v>318.27671794895707</v>
      </c>
    </row>
    <row r="19">
      <c r="A19" s="14" t="inlineStr">
        <is>
          <t>PV of forecast free cash flow</t>
        </is>
      </c>
      <c r="B19" s="58">
        <f>SUM(C16:L16)</f>
        <v>4793.188519987814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738.6137817383802</v>
      </c>
    </row>
    <row r="21">
      <c r="A21" s="14" t="inlineStr">
        <is>
          <t>Terminal value</t>
        </is>
      </c>
      <c r="B21" s="58">
        <f>B20/(Assumptions!$E$10-Assumptions!$E$11)</f>
        <v>10551.625453405431</v>
      </c>
    </row>
    <row r="22">
      <c r="A22" s="14" t="inlineStr">
        <is>
          <t>PV of terminal value</t>
        </is>
      </c>
      <c r="B22" s="58">
        <f>B21/(1+Assumptions!$E$10)^(L14+0.5)</f>
        <v>4453.727453345918</v>
      </c>
    </row>
    <row r="23">
      <c r="A23" s="20" t="inlineStr">
        <is>
          <t>Enterprise value</t>
        </is>
      </c>
      <c r="B23" s="72">
        <f>B19+B22</f>
        <v>9246.915973333733</v>
      </c>
    </row>
    <row r="24">
      <c r="A24" s="14" t="inlineStr">
        <is>
          <t>Cash &amp; investments</t>
        </is>
      </c>
      <c r="B24" s="61">
        <f>Main!C7</f>
        <v>231.003</v>
      </c>
    </row>
    <row r="25">
      <c r="A25" s="14" t="inlineStr">
        <is>
          <t>Debt</t>
        </is>
      </c>
      <c r="B25" s="61">
        <f>Main!C8</f>
        <v>2146.654</v>
      </c>
    </row>
    <row r="26">
      <c r="A26" s="20" t="inlineStr">
        <is>
          <t>Equity value</t>
        </is>
      </c>
      <c r="B26" s="72">
        <f>B23+B24-B25</f>
        <v>7331.264973333733</v>
      </c>
    </row>
    <row r="27">
      <c r="A27" s="14" t="inlineStr">
        <is>
          <t>Shares (mm)</t>
        </is>
      </c>
      <c r="B27" s="61">
        <f>Main!C4</f>
        <v>113.498</v>
      </c>
    </row>
    <row r="28">
      <c r="A28" s="20" t="inlineStr">
        <is>
          <t>NPV / share</t>
        </is>
      </c>
      <c r="B28" s="50">
        <f>B26/B27</f>
        <v>64.59378115326906</v>
      </c>
    </row>
    <row r="29">
      <c r="A29" s="14" t="inlineStr">
        <is>
          <t>Price</t>
        </is>
      </c>
      <c r="B29" s="51">
        <f>Main!C3</f>
        <v>124.37</v>
      </c>
    </row>
    <row r="30">
      <c r="A30" s="14" t="inlineStr">
        <is>
          <t>Upside</t>
        </is>
      </c>
      <c r="B30" s="69">
        <f>B28/B29-1</f>
        <v>-0.4806321367430324</v>
      </c>
    </row>
    <row r="31">
      <c r="A31" s="14" t="inlineStr">
        <is>
          <t>Terminal value, % of EV</t>
        </is>
      </c>
      <c r="B31" s="69">
        <f>IFERROR(B22/B23,0)</f>
        <v>0.4816446333231082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HALO: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124.37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46374</v>
      </c>
    </row>
    <row r="7">
      <c r="A7" s="14" t="inlineStr">
        <is>
          <t>Long expiry</t>
        </is>
      </c>
      <c r="B7" s="31" t="n">
        <v>46738</v>
      </c>
    </row>
    <row r="8">
      <c r="A8" s="14" t="inlineStr">
        <is>
          <t>Years to near expiry</t>
        </is>
      </c>
      <c r="B8" s="71">
        <f>(B6-B5)/365</f>
        <v>0.16164383561643836</v>
      </c>
    </row>
    <row r="9">
      <c r="A9" s="14" t="inlineStr">
        <is>
          <t>Years to long expiry</t>
        </is>
      </c>
      <c r="B9" s="71">
        <f>(B7-B5)/365</f>
        <v>1.158904109589041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</v>
      </c>
    </row>
    <row r="12">
      <c r="A12" s="14" t="inlineStr">
        <is>
          <t>ATM implied volatility, near</t>
        </is>
      </c>
      <c r="B12" s="59" t="n">
        <v>0.3826</v>
      </c>
    </row>
    <row r="13">
      <c r="A13" s="14" t="inlineStr">
        <is>
          <t>ATM implied volatility, long</t>
        </is>
      </c>
      <c r="B13" s="59" t="n">
        <v>0.3633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125</v>
      </c>
    </row>
    <row r="18">
      <c r="A18" s="14" t="inlineStr">
        <is>
          <t>ATM call (theo)</t>
        </is>
      </c>
      <c r="B18" s="52" t="n">
        <v>7.7084</v>
      </c>
    </row>
    <row r="19">
      <c r="A19" s="14" t="inlineStr">
        <is>
          <t>ATM put (theo)</t>
        </is>
      </c>
      <c r="B19" s="52" t="n">
        <v>7.5328</v>
      </c>
    </row>
    <row r="20">
      <c r="A20" s="14" t="inlineStr">
        <is>
          <t>Straddle, % of spot (expected move)</t>
        </is>
      </c>
      <c r="B20" s="69">
        <f>(B18+B19)/B4</f>
        <v>0.1225472380799228</v>
      </c>
    </row>
    <row r="21">
      <c r="A21" s="14" t="inlineStr">
        <is>
          <t>Expected range, low</t>
        </is>
      </c>
      <c r="B21" s="53">
        <f>B4*(1-B20)</f>
        <v>109.1288</v>
      </c>
    </row>
    <row r="22">
      <c r="A22" s="14" t="inlineStr">
        <is>
          <t>Expected range, high</t>
        </is>
      </c>
      <c r="B22" s="53">
        <f>B4*(1+B20)</f>
        <v>139.6112</v>
      </c>
    </row>
    <row r="23">
      <c r="A23" s="14" t="inlineStr">
        <is>
          <t>1-SD move by long expiry (ATM IV)</t>
        </is>
      </c>
      <c r="B23" s="69">
        <f>B13*SQRT(B9)</f>
        <v>0.3911012007561172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130.2710341316224</v>
      </c>
    </row>
    <row r="28">
      <c r="A28" s="14" t="inlineStr">
        <is>
          <t>Bear</t>
        </is>
      </c>
      <c r="B28" s="51">
        <f>Assumptions!D30</f>
        <v>35.66108216902002</v>
      </c>
      <c r="C28" s="69">
        <f>B28/$B$4-1</f>
        <v>-0.7132662043176006</v>
      </c>
      <c r="D28" s="69">
        <f>IF(B28&gt;0,(B28/$B$4)^(1/$B$9)-1,"")</f>
        <v>-0.6596959466902282</v>
      </c>
      <c r="E28" s="69">
        <f>IF(B28&gt;0,NORMSDIST((LN($B$27/B28)-$B$13^2*$B$9/2)/($B$13*SQRT($B$9))),1)</f>
        <v>0.9990866084556275</v>
      </c>
    </row>
    <row r="29">
      <c r="A29" s="14" t="inlineStr">
        <is>
          <t>Base (reviewed)</t>
        </is>
      </c>
      <c r="B29" s="51">
        <f>Assumptions!D31</f>
        <v>64.59378115326906</v>
      </c>
      <c r="C29" s="69">
        <f>B29/$B$4-1</f>
        <v>-0.4806321367430324</v>
      </c>
      <c r="D29" s="69">
        <f>IF(B29&gt;0,(B29/$B$4)^(1/$B$9)-1,"")</f>
        <v>-0.4318173767725594</v>
      </c>
      <c r="E29" s="69">
        <f>IF(B29&gt;0,NORMSDIST((LN($B$27/B29)-$B$13^2*$B$9/2)/($B$13*SQRT($B$9))),1)</f>
        <v>0.9449896709850295</v>
      </c>
    </row>
    <row r="30">
      <c r="A30" s="14" t="inlineStr">
        <is>
          <t>Bull</t>
        </is>
      </c>
      <c r="B30" s="51">
        <f>Assumptions!D32</f>
        <v>117.57278288939699</v>
      </c>
      <c r="C30" s="69">
        <f>B30/$B$4-1</f>
        <v>-0.0546531889571682</v>
      </c>
      <c r="D30" s="69">
        <f>IF(B30&gt;0,(B30/$B$4)^(1/$B$9)-1,"")</f>
        <v>-0.0473398441481353</v>
      </c>
      <c r="E30" s="69">
        <f>IF(B30&gt;0,NORMSDIST((LN($B$27/B30)-$B$13^2*$B$9/2)/($B$13*SQRT($B$9))),1)</f>
        <v>0.5265826721571967</v>
      </c>
    </row>
    <row r="32">
      <c r="A32" s="27" t="inlineStr">
        <is>
          <t>Chain, 2027-12-17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45</v>
      </c>
      <c r="B34" s="52" t="n">
        <v>79.5</v>
      </c>
      <c r="C34" s="52" t="n">
        <v>84.5</v>
      </c>
      <c r="D34" s="59" t="n">
        <v>0.5847</v>
      </c>
      <c r="E34" s="52" t="n">
        <v>0</v>
      </c>
      <c r="F34" s="52" t="n">
        <v>5</v>
      </c>
      <c r="G34" s="59" t="n">
        <v>0.7572</v>
      </c>
      <c r="H34" s="55" t="n">
        <v>1</v>
      </c>
      <c r="I34" s="55" t="n">
        <v>0</v>
      </c>
    </row>
    <row r="35">
      <c r="A35" s="11" t="n">
        <v>65</v>
      </c>
      <c r="B35" s="52" t="n">
        <v>61.5</v>
      </c>
      <c r="C35" s="52" t="n">
        <v>66</v>
      </c>
      <c r="D35" s="59" t="n">
        <v>0.4548</v>
      </c>
      <c r="E35" s="52" t="n">
        <v>0</v>
      </c>
      <c r="F35" s="52" t="n">
        <v>5</v>
      </c>
      <c r="G35" s="59" t="n">
        <v>0.5246</v>
      </c>
      <c r="H35" s="55" t="n">
        <v>1</v>
      </c>
      <c r="I35" s="55" t="n">
        <v>0</v>
      </c>
    </row>
    <row r="36">
      <c r="A36" s="11" t="n">
        <v>105</v>
      </c>
      <c r="B36" s="52" t="n">
        <v>30.5</v>
      </c>
      <c r="C36" s="52" t="n">
        <v>35.5</v>
      </c>
      <c r="D36" s="59" t="n">
        <v>0.3826</v>
      </c>
      <c r="E36" s="52" t="n">
        <v>5.5</v>
      </c>
      <c r="F36" s="52" t="n">
        <v>10.5</v>
      </c>
      <c r="G36" s="59" t="n">
        <v>0.366</v>
      </c>
      <c r="H36" s="55" t="n">
        <v>342</v>
      </c>
      <c r="I36" s="55" t="n">
        <v>0</v>
      </c>
    </row>
    <row r="37">
      <c r="A37" s="11" t="n">
        <v>110</v>
      </c>
      <c r="B37" s="52" t="n">
        <v>27.5</v>
      </c>
      <c r="C37" s="52" t="n">
        <v>32.5</v>
      </c>
      <c r="D37" s="59" t="n">
        <v>0.3796</v>
      </c>
      <c r="E37" s="52" t="n">
        <v>7.9</v>
      </c>
      <c r="F37" s="52" t="n">
        <v>12.5</v>
      </c>
      <c r="G37" s="59" t="n">
        <v>0.3728</v>
      </c>
      <c r="H37" s="55" t="n">
        <v>4</v>
      </c>
      <c r="I37" s="55" t="n">
        <v>77</v>
      </c>
    </row>
    <row r="38">
      <c r="A38" s="11" t="n">
        <v>115</v>
      </c>
      <c r="B38" s="52" t="n">
        <v>26.5</v>
      </c>
      <c r="C38" s="52" t="n">
        <v>28.7</v>
      </c>
      <c r="D38" s="59" t="n">
        <v>0.3855</v>
      </c>
      <c r="E38" s="52" t="n">
        <v>9.5</v>
      </c>
      <c r="F38" s="52" t="n">
        <v>14.5</v>
      </c>
      <c r="G38" s="59" t="n">
        <v>0.3658</v>
      </c>
      <c r="H38" s="55" t="n">
        <v>30</v>
      </c>
      <c r="I38" s="55" t="n">
        <v>4</v>
      </c>
    </row>
    <row r="39">
      <c r="A39" s="11" t="n">
        <v>120</v>
      </c>
      <c r="B39" s="52" t="n">
        <v>22</v>
      </c>
      <c r="C39" s="52" t="n">
        <v>27</v>
      </c>
      <c r="D39" s="59" t="n">
        <v>0.3724</v>
      </c>
      <c r="E39" s="52" t="n">
        <v>12.6</v>
      </c>
      <c r="F39" s="52" t="n">
        <v>16.5</v>
      </c>
      <c r="G39" s="59" t="n">
        <v>0.3702</v>
      </c>
      <c r="H39" s="55" t="n">
        <v>424</v>
      </c>
      <c r="I39" s="55" t="n">
        <v>5</v>
      </c>
    </row>
    <row r="40">
      <c r="A40" s="11" t="n">
        <v>125</v>
      </c>
      <c r="B40" s="52" t="n">
        <v>19.5</v>
      </c>
      <c r="C40" s="52" t="n">
        <v>24.5</v>
      </c>
      <c r="D40" s="59" t="n">
        <v>0.3684</v>
      </c>
      <c r="E40" s="52" t="n">
        <v>14</v>
      </c>
      <c r="F40" s="52" t="n">
        <v>19</v>
      </c>
      <c r="G40" s="59" t="n">
        <v>0.3582</v>
      </c>
      <c r="H40" s="55" t="n">
        <v>24</v>
      </c>
      <c r="I40" s="55" t="n">
        <v>18</v>
      </c>
    </row>
    <row r="41">
      <c r="A41" s="11" t="n">
        <v>130</v>
      </c>
      <c r="B41" s="52" t="n">
        <v>18.5</v>
      </c>
      <c r="C41" s="52" t="n">
        <v>22.5</v>
      </c>
      <c r="D41" s="59" t="n">
        <v>0.3803</v>
      </c>
      <c r="E41" s="52" t="n">
        <v>17</v>
      </c>
      <c r="F41" s="52" t="n">
        <v>22</v>
      </c>
      <c r="G41" s="59" t="n">
        <v>0.3628</v>
      </c>
      <c r="H41" s="55" t="n">
        <v>27</v>
      </c>
      <c r="I41" s="55" t="n">
        <v>20</v>
      </c>
    </row>
    <row r="42">
      <c r="A42" s="11" t="n">
        <v>135</v>
      </c>
      <c r="B42" s="52" t="n">
        <v>15.5</v>
      </c>
      <c r="C42" s="52" t="n">
        <v>20.5</v>
      </c>
      <c r="D42" s="59" t="n">
        <v>0.3695</v>
      </c>
      <c r="E42" s="52" t="n">
        <v>20</v>
      </c>
      <c r="F42" s="52" t="n">
        <v>24.5</v>
      </c>
      <c r="G42" s="59" t="n">
        <v>0.3585</v>
      </c>
      <c r="H42" s="55" t="n">
        <v>1004</v>
      </c>
      <c r="I42" s="55" t="n">
        <v>0</v>
      </c>
    </row>
    <row r="43">
      <c r="A43" s="11" t="n">
        <v>140</v>
      </c>
      <c r="B43" s="52" t="n">
        <v>13.5</v>
      </c>
      <c r="C43" s="52" t="n">
        <v>18.5</v>
      </c>
      <c r="D43" s="59" t="n">
        <v>0.3651</v>
      </c>
      <c r="E43" s="52" t="n">
        <v>23</v>
      </c>
      <c r="F43" s="52" t="n">
        <v>28</v>
      </c>
      <c r="G43" s="59" t="n">
        <v>0.3601</v>
      </c>
      <c r="H43" s="55" t="n">
        <v>252</v>
      </c>
      <c r="I43" s="55" t="n">
        <v>0</v>
      </c>
    </row>
    <row r="44">
      <c r="A44" s="11" t="n">
        <v>155</v>
      </c>
      <c r="B44" s="52" t="n">
        <v>9</v>
      </c>
      <c r="C44" s="52" t="n">
        <v>13.5</v>
      </c>
      <c r="D44" s="59" t="n">
        <v>0.3583</v>
      </c>
      <c r="E44" s="52" t="n">
        <v>33.5</v>
      </c>
      <c r="F44" s="52" t="n">
        <v>38.5</v>
      </c>
      <c r="G44" s="59" t="n">
        <v>0.3574</v>
      </c>
      <c r="H44" s="55" t="n">
        <v>1</v>
      </c>
      <c r="I44" s="55" t="n">
        <v>0</v>
      </c>
    </row>
    <row r="46">
      <c r="A46" s="27" t="inlineStr">
        <is>
          <t>Strategies, 2027-12-17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(mid)</t>
        </is>
      </c>
      <c r="B48" s="30" t="n">
        <v>125</v>
      </c>
      <c r="C48" s="52" t="n">
        <v>22</v>
      </c>
    </row>
    <row r="49">
      <c r="A49" s="14" t="inlineStr">
        <is>
          <t>Upper call (theo)</t>
        </is>
      </c>
      <c r="B49" s="30" t="n">
        <v>155</v>
      </c>
      <c r="C49" s="52" t="n">
        <v>11.3266</v>
      </c>
    </row>
    <row r="50">
      <c r="A50" s="14" t="inlineStr">
        <is>
          <t>ATM put (mid)</t>
        </is>
      </c>
      <c r="B50" s="30" t="n">
        <v>125</v>
      </c>
      <c r="C50" s="52" t="n">
        <v>16.5</v>
      </c>
    </row>
    <row r="51">
      <c r="A51" s="14" t="inlineStr">
        <is>
          <t>Lower put (theo)</t>
        </is>
      </c>
      <c r="B51" s="30" t="n">
        <v>45</v>
      </c>
      <c r="C51" s="52" t="n">
        <v>0.0281</v>
      </c>
    </row>
    <row r="52">
      <c r="A52" s="14" t="inlineStr">
        <is>
          <t>Short-put strike (theo)</t>
        </is>
      </c>
      <c r="B52" s="30" t="n">
        <v>110</v>
      </c>
      <c r="C52" s="52" t="n">
        <v>9.7173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-2200.0</v>
      </c>
      <c r="C55" s="73" t="str">
        <f>"Unlimited"</f>
        <v>Unlimited</v>
      </c>
      <c r="D55" s="73">
        <f>B55</f>
        <v>-2200.0</v>
      </c>
      <c r="E55" s="53">
        <f>$B$48+$C$48</f>
        <v>147.0</v>
      </c>
      <c r="F55" s="73">
        <f>(MAX($B$28-$B$48,0)-$C$48)*$B$14</f>
        <v>-2200.0</v>
      </c>
      <c r="G55" s="73">
        <f>(MAX($B$4-$B$48,0)-$C$48)*$B$14</f>
        <v>-2200.0</v>
      </c>
      <c r="H55" s="73">
        <f>(MAX($B$29-$B$48,0)-$C$48)*$B$14</f>
        <v>-2200.0</v>
      </c>
      <c r="I55" s="73">
        <f>(MAX($B$30-$B$48,0)-$C$48)*$B$14</f>
        <v>-2200.0</v>
      </c>
      <c r="J55" s="69">
        <f>NORMSDIST((LN($B$27/(E55))-$B$13^2*$B$9/2)/($B$13*SQRT($B$9)))</f>
        <v>0.30696855067873585</v>
      </c>
    </row>
    <row r="56">
      <c r="A56" s="14" t="inlineStr">
        <is>
          <t>Bull call spread (ATM / upper)</t>
        </is>
      </c>
      <c r="B56" s="73">
        <f>-($C$48-$C$49)*$B$14</f>
        <v>-1067.3400000000001</v>
      </c>
      <c r="C56" s="73">
        <f>($B$49-$B$48)*$B$14+B56</f>
        <v>1932.6599999999999</v>
      </c>
      <c r="D56" s="73">
        <f>B56</f>
        <v>-1067.3400000000001</v>
      </c>
      <c r="E56" s="53">
        <f>$B$48+$C$48-$C$49</f>
        <v>135.67340000000002</v>
      </c>
      <c r="F56" s="73">
        <f>(MAX($B$28-$B$48,0)-MAX($B$28-$B$49,0)-$C$48+$C$49)*$B$14</f>
        <v>-1067.3400000000001</v>
      </c>
      <c r="G56" s="73">
        <f>(MAX($B$4-$B$48,0)-MAX($B$4-$B$49,0)-$C$48+$C$49)*$B$14</f>
        <v>-1067.3400000000001</v>
      </c>
      <c r="H56" s="73">
        <f>(MAX($B$29-$B$48,0)-MAX($B$29-$B$49,0)-$C$48+$C$49)*$B$14</f>
        <v>-1067.3400000000001</v>
      </c>
      <c r="I56" s="73">
        <f>(MAX($B$30-$B$48,0)-MAX($B$30-$B$49,0)-$C$48+$C$49)*$B$14</f>
        <v>-1067.3400000000001</v>
      </c>
      <c r="J56" s="69">
        <f>NORMSDIST((LN($B$27/(E56))-$B$13^2*$B$9/2)/($B$13*SQRT($B$9)))</f>
        <v>0.3823001247263064</v>
      </c>
    </row>
    <row r="57">
      <c r="A57" s="14" t="inlineStr">
        <is>
          <t>Cash-secured put (~10% below spot)</t>
        </is>
      </c>
      <c r="B57" s="73">
        <f>$C$52*$B$14</f>
        <v>971.73</v>
      </c>
      <c r="C57" s="73">
        <f>B57</f>
        <v>971.73</v>
      </c>
      <c r="D57" s="73">
        <f>-($B$52*$B$14-B57)</f>
        <v>-10028.27</v>
      </c>
      <c r="E57" s="53">
        <f>$B$52-$C$52</f>
        <v>100.2827</v>
      </c>
      <c r="F57" s="73">
        <f>($C$52-MAX($B$52-$B$28,0))*$B$14</f>
        <v>-6462.1617830979985</v>
      </c>
      <c r="G57" s="73">
        <f>($C$52-MAX($B$52-$B$4,0))*$B$14</f>
        <v>971.73</v>
      </c>
      <c r="H57" s="73">
        <f>($C$52-MAX($B$52-$B$29,0))*$B$14</f>
        <v>-3568.8918846730935</v>
      </c>
      <c r="I57" s="73">
        <f>($C$52-MAX($B$52-$B$30,0))*$B$14</f>
        <v>971.73</v>
      </c>
      <c r="J57" s="69">
        <f>NORMSDIST((LN($B$27/(E57))-$B$13^2*$B$9/2)/($B$13*SQRT($B$9)))</f>
        <v>0.6820329639728252</v>
      </c>
    </row>
    <row r="58">
      <c r="A58" s="14" t="inlineStr">
        <is>
          <t>Covered call (100 shares + upper call, incl. dividends)</t>
        </is>
      </c>
      <c r="B58" s="73">
        <f>$C$49*$B$14</f>
        <v>1132.6599999999999</v>
      </c>
      <c r="C58" s="73">
        <f>($B$49-$B$4)*$B$14+B58+$B$4*$B$11*$B$9*$B$14</f>
        <v>4195.66</v>
      </c>
      <c r="D58" s="73">
        <f>-($B$4*$B$14-B58-$B$4*$B$11*$B$9*$B$14)</f>
        <v>-11304.34</v>
      </c>
      <c r="E58" s="53">
        <f>$B$4-$C$49-$B$4*$B$11*$B$9</f>
        <v>113.0434</v>
      </c>
      <c r="F58" s="73">
        <f>($B$28-$B$4+$C$49-MAX($B$28-$B$49,0)+$B$4*$B$11*$B$9)*$B$14</f>
        <v>-7738.231783097998</v>
      </c>
      <c r="G58" s="73">
        <f>($B$4-$B$4+$C$49-MAX($B$4-$B$49,0)+$B$4*$B$11*$B$9)*$B$14</f>
        <v>1132.6599999999999</v>
      </c>
      <c r="H58" s="73">
        <f>($B$29-$B$4+$C$49-MAX($B$29-$B$49,0)+$B$4*$B$11*$B$9)*$B$14</f>
        <v>-4844.961884673095</v>
      </c>
      <c r="I58" s="73">
        <f>($B$30-$B$4+$C$49-MAX($B$30-$B$49,0)+$B$4*$B$11*$B$9)*$B$14</f>
        <v>452.93828893969845</v>
      </c>
      <c r="J58" s="69">
        <f>NORMSDIST((LN($B$27/(E58))-$B$13^2*$B$9/2)/($B$13*SQRT($B$9)))</f>
        <v>0.5663666463712455</v>
      </c>
    </row>
    <row r="59">
      <c r="A59" s="14" t="inlineStr">
        <is>
          <t>Bear put spread (ATM / lower)</t>
        </is>
      </c>
      <c r="B59" s="73">
        <f>-($C$50-$C$51)*$B$14</f>
        <v>-1647.19</v>
      </c>
      <c r="C59" s="73">
        <f>($B$50-$B$51)*$B$14+B59</f>
        <v>6352.8099999999995</v>
      </c>
      <c r="D59" s="73">
        <f>B59</f>
        <v>-1647.19</v>
      </c>
      <c r="E59" s="53">
        <f>$B$50-$C$50+$C$51</f>
        <v>108.5281</v>
      </c>
      <c r="F59" s="73">
        <f>(MAX($B$50-$B$28,0)-MAX($B$51-$B$28,0)-$C$50+$C$51)*$B$14</f>
        <v>6352.81</v>
      </c>
      <c r="G59" s="73">
        <f>(MAX($B$50-$B$4,0)-MAX($B$51-$B$4,0)-$C$50+$C$51)*$B$14</f>
        <v>-1584.1900000000005</v>
      </c>
      <c r="H59" s="73">
        <f>(MAX($B$50-$B$29,0)-MAX($B$51-$B$29,0)-$C$50+$C$51)*$B$14</f>
        <v>4393.431884673094</v>
      </c>
      <c r="I59" s="73">
        <f>(MAX($B$50-$B$30,0)-MAX($B$51-$B$30,0)-$C$50+$C$51)*$B$14</f>
        <v>-904.4682889396989</v>
      </c>
      <c r="J59" s="69">
        <f>1-NORMSDIST((LN($B$27/(E59))-$B$13^2*$B$9/2)/($B$13*SQRT($B$9)))</f>
        <v>0.39305832454347267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2026-10-21T06:21:20Z</dcterms:modified>
  <cp:lastModifiedBy>Wang, Eric</cp:lastModifiedBy>
</cp:coreProperties>
</file>