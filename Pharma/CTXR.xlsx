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Citius Pharmaceuticals Inc</t>
        </is>
      </c>
      <c r="C2" s="10" t="n"/>
    </row>
    <row r="3">
      <c r="B3" t="inlineStr">
        <is>
          <t>Price</t>
        </is>
      </c>
      <c r="C3" s="11">
        <f>INDEX([1]Pharma!$F$1:$F$1000,MATCH("CTXR",[1]Pharma!$B$1:$B$1000,0))</f>
        <v>0.4175</v>
      </c>
      <c r="F3" s="1" t="n"/>
    </row>
    <row r="4">
      <c r="B4" t="inlineStr">
        <is>
          <t>Shares</t>
        </is>
      </c>
      <c r="C4" s="21" t="n">
        <v>27.45257</v>
      </c>
      <c r="F4" s="1" t="n"/>
    </row>
    <row r="5">
      <c r="B5" t="inlineStr">
        <is>
          <t>Market Cap.</t>
        </is>
      </c>
      <c r="C5" s="13">
        <f>C3*C4</f>
        <v>11.461447975</v>
      </c>
      <c r="F5" s="1" t="n"/>
    </row>
    <row r="6"/>
    <row r="7">
      <c r="B7" t="inlineStr">
        <is>
          <t>Cash</t>
        </is>
      </c>
      <c r="C7" s="21" t="n">
        <v>17.007523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-5.546075024999999</v>
      </c>
    </row>
    <row r="10"/>
    <row r="11">
      <c r="B11" s="14" t="inlineStr">
        <is>
          <t>Net Cash / Share</t>
        </is>
      </c>
      <c r="C11" s="11">
        <f>(C7-C8)/C4</f>
        <v>0.6195238915700788</v>
      </c>
    </row>
    <row r="12">
      <c r="B12" s="14" t="inlineStr">
        <is>
          <t>Upside</t>
        </is>
      </c>
      <c r="C12" s="15">
        <f>IFERROR(C11/C3-1,"")</f>
        <v>0.48388956064689537</v>
      </c>
    </row>
    <row r="13">
      <c r="B13" s="14" t="inlineStr">
        <is>
          <t>Cash / Share</t>
        </is>
      </c>
      <c r="C13" s="11">
        <f>IFERROR((C7-C8)/C4,"")</f>
        <v>0.6195238915700788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-34.867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0.48778280322367856</v>
      </c>
    </row>
    <row r="19">
      <c r="B19" s="14" t="inlineStr">
        <is>
          <t>Implied Pipeline Value</t>
        </is>
      </c>
      <c r="C19" s="13">
        <f>C9</f>
        <v>-5.546075024999999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0.05</v>
      </c>
      <c r="J2" s="23" t="n">
        <v>0.075</v>
      </c>
      <c r="K2" s="23" t="n">
        <v>0.09</v>
      </c>
      <c r="L2" s="23" t="n">
        <v>0.09</v>
      </c>
      <c r="M2" s="23" t="n">
        <v>0.09</v>
      </c>
      <c r="N2" s="23" t="n">
        <v>0.09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0.045</v>
      </c>
      <c r="I3" s="23" t="n">
        <v>0.05</v>
      </c>
      <c r="J3" s="23" t="n">
        <v>0.075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-0.045</v>
      </c>
      <c r="I4" s="23">
        <f>I2-I3</f>
        <v>0.0</v>
      </c>
      <c r="J4" s="23">
        <f>J2-J3</f>
        <v>0.0</v>
      </c>
      <c r="K4" s="23">
        <f>K2-K3</f>
        <v>0.09</v>
      </c>
      <c r="L4" s="23">
        <f>L2-L3</f>
        <v>0.09</v>
      </c>
      <c r="M4" s="23">
        <f>M2-M3</f>
        <v>0.09</v>
      </c>
      <c r="N4" s="23">
        <f>N2-N3</f>
        <v>0.09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0.706</v>
      </c>
      <c r="E5" s="23" t="n">
        <v>0.492</v>
      </c>
      <c r="F5" s="23" t="n">
        <v>0.001</v>
      </c>
      <c r="G5" s="23" t="n">
        <v>1.797</v>
      </c>
      <c r="H5" s="23" t="n">
        <v>2.933</v>
      </c>
      <c r="I5" s="23" t="n">
        <v>2.936</v>
      </c>
      <c r="J5" s="23" t="n">
        <v>6.563</v>
      </c>
      <c r="K5" s="23" t="n">
        <v>8.597</v>
      </c>
      <c r="L5" s="23" t="n">
        <v>8.813000000000001</v>
      </c>
      <c r="M5" s="23" t="n">
        <v>12.241</v>
      </c>
      <c r="N5" s="23" t="n">
        <v>17.655</v>
      </c>
      <c r="O5" s="23" t="n">
        <v>14.82</v>
      </c>
      <c r="P5" s="23" t="n">
        <v>11.907</v>
      </c>
      <c r="Q5" s="23" t="n">
        <v>9.156000000000001</v>
      </c>
    </row>
    <row r="6">
      <c r="A6" s="19" t="inlineStr">
        <is>
          <t>SG&amp;A &amp; Other</t>
        </is>
      </c>
      <c r="B6" s="23" t="n">
        <v>0.015</v>
      </c>
      <c r="C6" s="23" t="n">
        <v>0.026</v>
      </c>
      <c r="D6" s="23" t="n">
        <v>0.31</v>
      </c>
      <c r="E6" s="23" t="n">
        <v>0.6899999999999999</v>
      </c>
      <c r="F6" s="23" t="n">
        <v>0.653</v>
      </c>
      <c r="G6" s="23" t="n">
        <v>1.433</v>
      </c>
      <c r="H6" s="23" t="n">
        <v>4.471</v>
      </c>
      <c r="I6" s="23" t="n">
        <v>7.05</v>
      </c>
      <c r="J6" s="23" t="n">
        <v>7.226</v>
      </c>
      <c r="K6" s="23" t="n">
        <v>7.091</v>
      </c>
      <c r="L6" s="23" t="n">
        <v>8.988</v>
      </c>
      <c r="M6" s="23" t="n">
        <v>11.381</v>
      </c>
      <c r="N6" s="23" t="n">
        <v>15.751</v>
      </c>
      <c r="O6" s="23" t="n">
        <v>21.912</v>
      </c>
      <c r="P6" s="23" t="n">
        <v>30.089</v>
      </c>
      <c r="Q6" s="23" t="n">
        <v>29.369</v>
      </c>
    </row>
    <row r="7">
      <c r="A7" s="2" t="inlineStr">
        <is>
          <t>Operating Expense</t>
        </is>
      </c>
      <c r="B7" s="23">
        <f>SUM(B5:B6)</f>
        <v>0.015</v>
      </c>
      <c r="C7" s="23">
        <f>SUM(C5:C6)</f>
        <v>0.026</v>
      </c>
      <c r="D7" s="23">
        <f>SUM(D5:D6)</f>
        <v>1.016</v>
      </c>
      <c r="E7" s="23">
        <f>SUM(E5:E6)</f>
        <v>1.182</v>
      </c>
      <c r="F7" s="23">
        <f>SUM(F5:F6)</f>
        <v>0.654</v>
      </c>
      <c r="G7" s="23">
        <f>SUM(G5:G6)</f>
        <v>3.23</v>
      </c>
      <c r="H7" s="23">
        <f>SUM(H5:H6)</f>
        <v>7.404</v>
      </c>
      <c r="I7" s="23">
        <f>SUM(I5:I6)</f>
        <v>9.986</v>
      </c>
      <c r="J7" s="23">
        <f>SUM(J5:J6)</f>
        <v>13.789</v>
      </c>
      <c r="K7" s="23">
        <f>SUM(K5:K6)</f>
        <v>15.687999999999999</v>
      </c>
      <c r="L7" s="23">
        <f>SUM(L5:L6)</f>
        <v>17.801000000000002</v>
      </c>
      <c r="M7" s="23">
        <f>SUM(M5:M6)</f>
        <v>23.622</v>
      </c>
      <c r="N7" s="23">
        <f>SUM(N5:N6)</f>
        <v>33.406</v>
      </c>
      <c r="O7" s="23">
        <f>SUM(O5:O6)</f>
        <v>36.732</v>
      </c>
      <c r="P7" s="23">
        <f>SUM(P5:P6)</f>
        <v>41.995999999999995</v>
      </c>
      <c r="Q7" s="23">
        <f>SUM(Q5:Q6)</f>
        <v>38.525</v>
      </c>
    </row>
    <row r="8">
      <c r="A8" s="2" t="inlineStr">
        <is>
          <t>Operating Income</t>
        </is>
      </c>
      <c r="B8" s="23">
        <f>B4-B7</f>
        <v>-0.015</v>
      </c>
      <c r="C8" s="23">
        <f>C4-C7</f>
        <v>-0.026</v>
      </c>
      <c r="D8" s="23">
        <f>D4-D7</f>
        <v>-1.016</v>
      </c>
      <c r="E8" s="23">
        <f>E4-E7</f>
        <v>-1.182</v>
      </c>
      <c r="F8" s="23">
        <f>F4-F7</f>
        <v>-0.654</v>
      </c>
      <c r="G8" s="23">
        <f>G4-G7</f>
        <v>-3.23</v>
      </c>
      <c r="H8" s="23">
        <f>H4-H7</f>
        <v>-7.449</v>
      </c>
      <c r="I8" s="23">
        <f>I4-I7</f>
        <v>-9.986</v>
      </c>
      <c r="J8" s="23">
        <f>J4-J7</f>
        <v>-13.789</v>
      </c>
      <c r="K8" s="23">
        <f>K4-K7</f>
        <v>-15.597999999999999</v>
      </c>
      <c r="L8" s="23">
        <f>L4-L7</f>
        <v>-17.711000000000002</v>
      </c>
      <c r="M8" s="23">
        <f>M4-M7</f>
        <v>-23.532</v>
      </c>
      <c r="N8" s="23">
        <f>N4-N7</f>
        <v>-33.315999999999995</v>
      </c>
      <c r="O8" s="23">
        <f>O4-O7</f>
        <v>-36.732</v>
      </c>
      <c r="P8" s="23">
        <f>P4-P7</f>
        <v>-41.995999999999995</v>
      </c>
      <c r="Q8" s="23">
        <f>Q4-Q7</f>
        <v>-38.525</v>
      </c>
    </row>
    <row r="9">
      <c r="A9" s="19" t="inlineStr">
        <is>
          <t>Interest &amp; Other</t>
        </is>
      </c>
      <c r="B9" s="23" t="n">
        <v>0</v>
      </c>
      <c r="C9" s="23" t="n">
        <v>-0.001</v>
      </c>
      <c r="D9" s="23" t="n">
        <v>-0.033</v>
      </c>
      <c r="E9" s="23" t="n">
        <v>-0.105</v>
      </c>
      <c r="F9" s="23" t="n">
        <v>-0.08400000000000001</v>
      </c>
      <c r="G9" s="23" t="n">
        <v>0.328</v>
      </c>
      <c r="H9" s="23" t="n">
        <v>-0.846</v>
      </c>
      <c r="I9" s="23" t="n">
        <v>-0.399</v>
      </c>
      <c r="J9" s="23" t="n">
        <v>1.253</v>
      </c>
      <c r="K9" s="23" t="n">
        <v>0.036</v>
      </c>
      <c r="L9" s="23" t="n">
        <v>0.163</v>
      </c>
      <c r="M9" s="23" t="n">
        <v>0.479</v>
      </c>
      <c r="N9" s="23" t="n">
        <v>0.251</v>
      </c>
      <c r="O9" s="23" t="n">
        <v>4.765</v>
      </c>
      <c r="P9" s="23" t="n">
        <v>2.386</v>
      </c>
      <c r="Q9" s="23" t="n">
        <v>2.149</v>
      </c>
    </row>
    <row r="10">
      <c r="A10" s="2" t="inlineStr">
        <is>
          <t>Pretax</t>
        </is>
      </c>
      <c r="B10" s="23">
        <f>B8+B9</f>
        <v>-0.015</v>
      </c>
      <c r="C10" s="23">
        <f>C8+C9</f>
        <v>-0.027</v>
      </c>
      <c r="D10" s="23">
        <f>D8+D9</f>
        <v>-1.049</v>
      </c>
      <c r="E10" s="23">
        <f>E8+E9</f>
        <v>-1.287</v>
      </c>
      <c r="F10" s="23">
        <f>F8+F9</f>
        <v>-0.738</v>
      </c>
      <c r="G10" s="23">
        <f>G8+G9</f>
        <v>-2.902</v>
      </c>
      <c r="H10" s="23">
        <f>H8+H9</f>
        <v>-8.295</v>
      </c>
      <c r="I10" s="23">
        <f>I8+I9</f>
        <v>-10.385000000000002</v>
      </c>
      <c r="J10" s="23">
        <f>J8+J9</f>
        <v>-12.536</v>
      </c>
      <c r="K10" s="23">
        <f>K8+K9</f>
        <v>-15.562</v>
      </c>
      <c r="L10" s="23">
        <f>L8+L9</f>
        <v>-17.548000000000002</v>
      </c>
      <c r="M10" s="23">
        <f>M8+M9</f>
        <v>-23.053</v>
      </c>
      <c r="N10" s="23">
        <f>N8+N9</f>
        <v>-33.065</v>
      </c>
      <c r="O10" s="23">
        <f>O8+O9</f>
        <v>-31.967</v>
      </c>
      <c r="P10" s="23">
        <f>P8+P9</f>
        <v>-39.60999999999999</v>
      </c>
      <c r="Q10" s="23">
        <f>Q8+Q9</f>
        <v>-36.376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0.001</v>
      </c>
      <c r="M11" s="23" t="n">
        <v>0.001</v>
      </c>
      <c r="N11" s="23" t="n">
        <v>0.576</v>
      </c>
      <c r="O11" s="23" t="n">
        <v>0.576</v>
      </c>
      <c r="P11" s="23" t="n">
        <v>0.576</v>
      </c>
      <c r="Q11" s="23" t="n">
        <v>1.057</v>
      </c>
    </row>
    <row r="12">
      <c r="A12" s="2" t="inlineStr">
        <is>
          <t>Net Income</t>
        </is>
      </c>
      <c r="B12" s="23" t="n">
        <v>-0.015</v>
      </c>
      <c r="C12" s="23" t="n">
        <v>-0.026</v>
      </c>
      <c r="D12" s="23" t="n">
        <v>-1.049</v>
      </c>
      <c r="E12" s="23" t="n">
        <v>-1.288</v>
      </c>
      <c r="F12" s="23" t="n">
        <v>-0.738</v>
      </c>
      <c r="G12" s="23" t="n">
        <v>-2.902</v>
      </c>
      <c r="H12" s="23" t="n">
        <v>-8.295999999999999</v>
      </c>
      <c r="I12" s="23" t="n">
        <v>-10.385</v>
      </c>
      <c r="J12" s="23" t="n">
        <v>-12.537</v>
      </c>
      <c r="K12" s="23" t="n">
        <v>-15.562</v>
      </c>
      <c r="L12" s="23" t="n">
        <v>-17.548</v>
      </c>
      <c r="M12" s="23" t="n">
        <v>-23.054</v>
      </c>
      <c r="N12" s="23" t="n">
        <v>-33.641</v>
      </c>
      <c r="O12" s="23" t="n">
        <v>-32.543</v>
      </c>
      <c r="P12" s="23" t="n">
        <v>-40.186</v>
      </c>
      <c r="Q12" s="23" t="n">
        <v>-37.434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-0.3132530120481927</v>
      </c>
      <c r="D13" s="11">
        <f>IFERROR(D12/D14,0)</f>
        <v>-12.638554216867469</v>
      </c>
      <c r="E13" s="11">
        <f>IFERROR(E12/E14,0)</f>
        <v>-15.518072289156626</v>
      </c>
      <c r="F13" s="11">
        <f>IFERROR(F12/F14,0)</f>
        <v>-8.292134831460675</v>
      </c>
      <c r="G13" s="11">
        <f>IFERROR(G12/G14,0)</f>
        <v>-32.977272727272734</v>
      </c>
      <c r="H13" s="11">
        <f>IFERROR(H12/H14,0)</f>
        <v>-54.94039735099337</v>
      </c>
      <c r="I13" s="11">
        <f>IFERROR(I12/I14,0)</f>
        <v>-45.54824561403508</v>
      </c>
      <c r="J13" s="11">
        <f>IFERROR(J12/J14,0)</f>
        <v>-28.046979865771814</v>
      </c>
      <c r="K13" s="11">
        <f>IFERROR(K12/K14,0)</f>
        <v>-18.526190476190475</v>
      </c>
      <c r="L13" s="11">
        <f>IFERROR(L12/L14,0)</f>
        <v>-10.752450980392156</v>
      </c>
      <c r="M13" s="11">
        <f>IFERROR(M12/M14,0)</f>
        <v>-5.094806629834253</v>
      </c>
      <c r="N13" s="11">
        <f>IFERROR(N12/N14,0)</f>
        <v>-5.526696237884015</v>
      </c>
      <c r="O13" s="11">
        <f>IFERROR(O12/O14,0)</f>
        <v>-5.377230667547918</v>
      </c>
      <c r="P13" s="11">
        <f>IFERROR(P12/P14,0)</f>
        <v>-5.973836777166642</v>
      </c>
      <c r="Q13" s="11">
        <f>IFERROR(Q12/Q14,0)</f>
        <v>-3.383099864437415</v>
      </c>
    </row>
    <row r="14">
      <c r="A14" s="2" t="inlineStr">
        <is>
          <t>Shares</t>
        </is>
      </c>
      <c r="B14" s="23" t="n"/>
      <c r="C14" s="23" t="n">
        <v>0.083</v>
      </c>
      <c r="D14" s="23" t="n">
        <v>0.083</v>
      </c>
      <c r="E14" s="23" t="n">
        <v>0.083</v>
      </c>
      <c r="F14" s="23" t="n">
        <v>0.089</v>
      </c>
      <c r="G14" s="23" t="n">
        <v>0.08799999999999999</v>
      </c>
      <c r="H14" s="23" t="n">
        <v>0.151</v>
      </c>
      <c r="I14" s="23" t="n">
        <v>0.228</v>
      </c>
      <c r="J14" s="23" t="n">
        <v>0.447</v>
      </c>
      <c r="K14" s="23" t="n">
        <v>0.84</v>
      </c>
      <c r="L14" s="23" t="n">
        <v>1.632</v>
      </c>
      <c r="M14" s="23" t="n">
        <v>4.525</v>
      </c>
      <c r="N14" s="23" t="n">
        <v>6.087</v>
      </c>
      <c r="O14" s="23" t="n">
        <v>6.052</v>
      </c>
      <c r="P14" s="23" t="n">
        <v>6.727</v>
      </c>
      <c r="Q14" s="23" t="n">
        <v>11.065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0.4999999999999998</v>
      </c>
      <c r="K16" s="15">
        <f>IFERROR(K2/J2-1,"")</f>
        <v>0.19999999999999996</v>
      </c>
      <c r="L16" s="15">
        <f>IFERROR(L2/K2-1,"")</f>
        <v>0.0</v>
      </c>
      <c r="M16" s="15">
        <f>IFERROR(M2/L2-1,"")</f>
        <v>0.0</v>
      </c>
      <c r="N16" s="15">
        <f>IFERROR(N2/M2-1,"")</f>
        <v>0.0</v>
      </c>
      <c r="O16" s="15">
        <f>IFERROR(O2/N2-1,"")</f>
        <v>-1.0</v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0.0</v>
      </c>
      <c r="J17" s="15">
        <f>IFERROR(J4/J2,"")</f>
        <v>0.0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-199.72</v>
      </c>
      <c r="J18" s="15">
        <f>IFERROR(J8/J2,"")</f>
        <v>-183.85333333333332</v>
      </c>
      <c r="K18" s="15">
        <f>IFERROR(K8/K2,"")</f>
        <v>-173.3111111111111</v>
      </c>
      <c r="L18" s="15">
        <f>IFERROR(L8/L2,"")</f>
        <v>-196.78888888888892</v>
      </c>
      <c r="M18" s="15">
        <f>IFERROR(M8/M2,"")</f>
        <v>-261.4666666666667</v>
      </c>
      <c r="N18" s="15">
        <f>IFERROR(N8/N2,"")</f>
        <v>-370.17777777777775</v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2026-10-21T01:06:33Z</dcterms:modified>
  <cp:lastModifiedBy>Wang, Eric</cp:lastModifiedBy>
</cp:coreProperties>
</file>