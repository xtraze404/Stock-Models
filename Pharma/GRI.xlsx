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GRI Bio Inc</t>
        </is>
      </c>
      <c r="C2" s="10" t="n"/>
    </row>
    <row r="3">
      <c r="B3" t="inlineStr">
        <is>
          <t>Price</t>
        </is>
      </c>
      <c r="C3" s="11">
        <f>INDEX([1]Pharma!$F$1:$F$1000,MATCH("GRI",[1]Pharma!$B$1:$B$1000,0))</f>
        <v>1.46</v>
      </c>
      <c r="F3" s="1" t="n"/>
    </row>
    <row r="4">
      <c r="B4" t="inlineStr">
        <is>
          <t>Shares</t>
        </is>
      </c>
      <c r="C4" s="21" t="n">
        <v>2.186115</v>
      </c>
      <c r="F4" s="1" t="n"/>
    </row>
    <row r="5">
      <c r="B5" t="inlineStr">
        <is>
          <t>Market Cap.</t>
        </is>
      </c>
      <c r="C5" s="13">
        <f>C3*C4</f>
        <v>3.1917279</v>
      </c>
      <c r="F5" s="1" t="n"/>
    </row>
    <row r="6"/>
    <row r="7">
      <c r="B7" t="inlineStr">
        <is>
          <t>Cash</t>
        </is>
      </c>
      <c r="C7" s="21" t="n">
        <v>10.947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-7.755272099999999</v>
      </c>
    </row>
    <row r="10"/>
    <row r="11">
      <c r="B11" s="14" t="inlineStr">
        <is>
          <t>Net Cash / Share</t>
        </is>
      </c>
      <c r="C11" s="11">
        <f>(C7-C8)/C4</f>
        <v>5.007513328438805</v>
      </c>
    </row>
    <row r="12">
      <c r="B12" s="14" t="inlineStr">
        <is>
          <t>Upside</t>
        </is>
      </c>
      <c r="C12" s="15">
        <f>IFERROR(C11/C3-1,"")</f>
        <v>2.42980364961562</v>
      </c>
    </row>
    <row r="13">
      <c r="B13" s="14" t="inlineStr">
        <is>
          <t>Cash / Share</t>
        </is>
      </c>
      <c r="C13" s="11">
        <f>IFERROR((C7-C8)/C4,"")</f>
        <v>5.007513328438805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-10.415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1.0510801728276524</v>
      </c>
    </row>
    <row r="19">
      <c r="B19" s="14" t="inlineStr">
        <is>
          <t>Implied Pipeline Value</t>
        </is>
      </c>
      <c r="C19" s="13">
        <f>C9</f>
        <v>-7.755272099999999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3.707</v>
      </c>
      <c r="C5" s="23" t="n">
        <v>5.187</v>
      </c>
      <c r="D5" s="23" t="n">
        <v>0.242</v>
      </c>
      <c r="E5" s="23" t="n">
        <v>3.232</v>
      </c>
      <c r="F5" s="23" t="n">
        <v>3.768</v>
      </c>
      <c r="G5" s="23" t="n">
        <v>6.819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1.181</v>
      </c>
      <c r="C6" s="23" t="n">
        <v>4.072</v>
      </c>
      <c r="D6" s="23" t="n">
        <v>1.997</v>
      </c>
      <c r="E6" s="23" t="n">
        <v>8.154999999999999</v>
      </c>
      <c r="F6" s="23" t="n">
        <v>4.467</v>
      </c>
      <c r="G6" s="23" t="n">
        <v>5.158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4.888</v>
      </c>
      <c r="C7" s="23">
        <f>SUM(C5:C6)</f>
        <v>9.259</v>
      </c>
      <c r="D7" s="23">
        <f>SUM(D5:D6)</f>
        <v>2.239</v>
      </c>
      <c r="E7" s="23">
        <f>SUM(E5:E6)</f>
        <v>11.387</v>
      </c>
      <c r="F7" s="23">
        <f>SUM(F5:F6)</f>
        <v>8.235</v>
      </c>
      <c r="G7" s="23">
        <f>SUM(G5:G6)</f>
        <v>11.977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-4.788</v>
      </c>
      <c r="C8" s="23">
        <f>C4-C7</f>
        <v>-9.259</v>
      </c>
      <c r="D8" s="23">
        <f>D4-D7</f>
        <v>-2.239</v>
      </c>
      <c r="E8" s="23">
        <f>E4-E7</f>
        <v>-11.387</v>
      </c>
      <c r="F8" s="23">
        <f>F4-F7</f>
        <v>-8.235</v>
      </c>
      <c r="G8" s="23">
        <f>G4-G7</f>
        <v>-11.977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-0.034</v>
      </c>
      <c r="C9" s="23" t="n">
        <v>-0.044</v>
      </c>
      <c r="D9" s="23" t="n">
        <v>-0.978</v>
      </c>
      <c r="E9" s="23" t="n">
        <v>-1.65</v>
      </c>
      <c r="F9" s="23" t="n">
        <v>0.03</v>
      </c>
      <c r="G9" s="23" t="n">
        <v>0.024</v>
      </c>
    </row>
    <row r="10">
      <c r="A10" s="2" t="inlineStr">
        <is>
          <t>Pretax</t>
        </is>
      </c>
      <c r="B10" s="23">
        <f>B8+B9</f>
        <v>-4.822</v>
      </c>
      <c r="C10" s="23">
        <f>C8+C9</f>
        <v>-9.303</v>
      </c>
      <c r="D10" s="23">
        <f>D8+D9</f>
        <v>-3.2169999999999996</v>
      </c>
      <c r="E10" s="23">
        <f>E8+E9</f>
        <v>-13.037</v>
      </c>
      <c r="F10" s="23">
        <f>F8+F9</f>
        <v>-8.205</v>
      </c>
      <c r="G10" s="23">
        <f>G8+G9</f>
        <v>-11.953000000000001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0.002</v>
      </c>
      <c r="G11" s="23" t="n">
        <v>0.003</v>
      </c>
    </row>
    <row r="12">
      <c r="A12" s="2" t="inlineStr">
        <is>
          <t>Net Income</t>
        </is>
      </c>
      <c r="B12" s="23" t="n">
        <v>-4.822</v>
      </c>
      <c r="C12" s="23" t="n">
        <v>-9.303000000000001</v>
      </c>
      <c r="D12" s="23" t="n">
        <v>-3.217</v>
      </c>
      <c r="E12" s="23" t="n">
        <v>-13.037</v>
      </c>
      <c r="F12" s="23" t="n">
        <v>-8.207000000000001</v>
      </c>
      <c r="G12" s="23" t="n">
        <v>-11.956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-71.97014925373134</v>
      </c>
      <c r="C13" s="11">
        <f>IFERROR(C12/C14,0)</f>
        <v>-95.90721649484537</v>
      </c>
      <c r="D13" s="11">
        <f>IFERROR(D12/D14,0)</f>
        <v>-33.16494845360825</v>
      </c>
      <c r="E13" s="11">
        <f>IFERROR(E12/E14,0)</f>
        <v>-133.03061224489795</v>
      </c>
      <c r="F13" s="11">
        <f>IFERROR(F12/F14,0)</f>
        <v>-83.74489795918367</v>
      </c>
      <c r="G13" s="11">
        <f>IFERROR(G12/G14,0)</f>
        <v>-121.99999999999999</v>
      </c>
    </row>
    <row r="14">
      <c r="A14" s="2" t="inlineStr">
        <is>
          <t>Shares</t>
        </is>
      </c>
      <c r="B14" s="23" t="n">
        <v>0.067</v>
      </c>
      <c r="C14" s="23" t="n">
        <v>0.097</v>
      </c>
      <c r="D14" s="23" t="n">
        <v>0.097</v>
      </c>
      <c r="E14" s="23" t="n">
        <v>0.098</v>
      </c>
      <c r="F14" s="23" t="n">
        <v>0.098</v>
      </c>
      <c r="G14" s="23" t="n">
        <v>0.098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-47.88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2026-10-21T01:06:50Z</dcterms:modified>
  <cp:lastModifiedBy>Wang, Eric</cp:lastModifiedBy>
</cp:coreProperties>
</file>