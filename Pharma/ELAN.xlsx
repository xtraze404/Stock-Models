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Elanco Animal Health Incorporated</t>
        </is>
      </c>
      <c r="C2" s="10" t="n"/>
    </row>
    <row r="3">
      <c r="B3" t="inlineStr">
        <is>
          <t>Price</t>
        </is>
      </c>
      <c r="C3" s="11">
        <f>INDEX([1]Pharma!$F$1:$F$1000,MATCH("ELAN",[1]Pharma!$B$1:$B$1000,0))</f>
        <v>22.7</v>
      </c>
      <c r="F3" s="1" t="n"/>
    </row>
    <row r="4">
      <c r="B4" t="inlineStr">
        <is>
          <t>Shares</t>
        </is>
      </c>
      <c r="C4" s="51" t="n">
        <v>499.62183</v>
      </c>
      <c r="F4" s="1" t="n"/>
    </row>
    <row r="5">
      <c r="B5" t="inlineStr">
        <is>
          <t>Market Cap.</t>
        </is>
      </c>
      <c r="C5" s="13">
        <f>C3*C4</f>
        <v>11341.415540999998</v>
      </c>
      <c r="F5" s="1" t="n"/>
    </row>
    <row r="6"/>
    <row r="7">
      <c r="B7" t="inlineStr">
        <is>
          <t>Cash</t>
        </is>
      </c>
      <c r="C7" s="51" t="n">
        <v>530</v>
      </c>
    </row>
    <row r="8">
      <c r="B8" t="inlineStr">
        <is>
          <t>Debt</t>
        </is>
      </c>
      <c r="C8" s="51">
        <f>73+3845</f>
        <v>3918.0</v>
      </c>
    </row>
    <row r="9">
      <c r="B9" t="inlineStr">
        <is>
          <t>Enterprise V.</t>
        </is>
      </c>
      <c r="C9" s="13">
        <f>C5-C7+C8</f>
        <v>14729.415540999998</v>
      </c>
    </row>
    <row r="10"/>
    <row r="11">
      <c r="B11" s="14" t="inlineStr">
        <is>
          <t>NPV / Share</t>
        </is>
      </c>
      <c r="C11" s="11">
        <f>NPV!B28</f>
        <v>18.889598233038516</v>
      </c>
    </row>
    <row r="12">
      <c r="B12" s="14" t="inlineStr">
        <is>
          <t>Upside</t>
        </is>
      </c>
      <c r="C12" s="15">
        <f>IFERROR(C11/C3-1,"")</f>
        <v>-0.16785910867671738</v>
      </c>
    </row>
    <row r="13">
      <c r="B13" s="14" t="inlineStr">
        <is>
          <t>Cash / Share</t>
        </is>
      </c>
      <c r="C13" s="11">
        <f>IFERROR((C7-C8)/C4,"")</f>
        <v>-6.781128838986079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2913.5</v>
      </c>
      <c r="C2" s="52" t="n">
        <v>2889</v>
      </c>
      <c r="D2" s="52" t="n">
        <v>3066.8</v>
      </c>
      <c r="E2" s="52" t="n">
        <v>3071</v>
      </c>
      <c r="F2" s="52" t="n">
        <v>3273</v>
      </c>
      <c r="G2" s="52" t="n">
        <v>4764</v>
      </c>
      <c r="H2" s="52" t="n">
        <v>4411</v>
      </c>
      <c r="I2" s="52" t="n">
        <v>4417</v>
      </c>
      <c r="J2" s="52" t="n">
        <v>4439</v>
      </c>
      <c r="K2" s="52" t="n">
        <v>4715</v>
      </c>
      <c r="L2" s="52">
        <f>K2*(1+NPV!C5)</f>
        <v>5008.273</v>
      </c>
      <c r="M2" s="52">
        <f>L2*(1+NPV!D5)</f>
        <v>5299.086718866667</v>
      </c>
      <c r="N2" s="52">
        <f>M2*(1+NPV!E5)</f>
        <v>5584.884129237543</v>
      </c>
      <c r="O2" s="52">
        <f>N2*(1+NPV!F5)</f>
        <v>5863.011358873573</v>
      </c>
      <c r="P2" s="52">
        <f>O2*(1+NPV!G5)</f>
        <v>6130.755544262133</v>
      </c>
      <c r="Q2" s="52">
        <f>P2*(1+NPV!H5)</f>
        <v>6385.386257867154</v>
      </c>
      <c r="R2" s="52">
        <f>Q2*(1+NPV!I5)</f>
        <v>6624.199703911387</v>
      </c>
      <c r="S2" s="52">
        <f>R2*(1+NPV!J5)</f>
        <v>6844.564747394838</v>
      </c>
      <c r="T2" s="52">
        <f>S2*(1+NPV!K5)</f>
        <v>7043.969733702274</v>
      </c>
      <c r="U2" s="52">
        <f>T2*(1+NPV!L5)</f>
        <v>7220.068977044831</v>
      </c>
    </row>
    <row r="3" customFormat="1" s="1">
      <c r="A3" s="5" t="inlineStr">
        <is>
          <t>Cost of Sales</t>
        </is>
      </c>
      <c r="B3" s="52" t="n">
        <v>1409</v>
      </c>
      <c r="C3" s="52" t="n">
        <v>1493.9</v>
      </c>
      <c r="D3" s="52" t="n">
        <v>1573.8</v>
      </c>
      <c r="E3" s="52" t="n">
        <v>1470</v>
      </c>
      <c r="F3" s="52" t="n">
        <v>1667</v>
      </c>
      <c r="G3" s="52" t="n">
        <v>2132</v>
      </c>
      <c r="H3" s="52" t="n">
        <v>1913</v>
      </c>
      <c r="I3" s="52" t="n">
        <v>1931</v>
      </c>
      <c r="J3" s="52" t="n">
        <v>2003</v>
      </c>
      <c r="K3" s="52" t="n">
        <v>2122</v>
      </c>
      <c r="L3" s="52">
        <f>L2*(1-Assumptions!$B$19)</f>
        <v>2254.2236773</v>
      </c>
      <c r="M3" s="52">
        <f>M2*(1-Assumptions!$B$19)</f>
        <v>2385.1189321618867</v>
      </c>
      <c r="N3" s="52">
        <f>N2*(1-Assumptions!$B$19)</f>
        <v>2513.7563465698177</v>
      </c>
      <c r="O3" s="52">
        <f>O2*(1-Assumptions!$B$19)</f>
        <v>2638.941412628995</v>
      </c>
      <c r="P3" s="52">
        <f>P2*(1-Assumptions!$B$19)</f>
        <v>2759.4530704723857</v>
      </c>
      <c r="Q3" s="52">
        <f>Q2*(1-Assumptions!$B$19)</f>
        <v>2874.062354666006</v>
      </c>
      <c r="R3" s="52">
        <f>R2*(1-Assumptions!$B$19)</f>
        <v>2981.552286730515</v>
      </c>
      <c r="S3" s="52">
        <f>S2*(1-Assumptions!$B$19)</f>
        <v>3080.7385928024164</v>
      </c>
      <c r="T3" s="52">
        <f>T2*(1-Assumptions!$B$19)</f>
        <v>3170.4907771393932</v>
      </c>
      <c r="U3" s="52">
        <f>U2*(1-Assumptions!$B$19)</f>
        <v>3249.753046567878</v>
      </c>
    </row>
    <row r="4" customFormat="1" s="1">
      <c r="A4" s="5" t="inlineStr">
        <is>
          <t>Gross Margin</t>
        </is>
      </c>
      <c r="B4" s="52">
        <f>B2-B3</f>
        <v>1504.5</v>
      </c>
      <c r="C4" s="52">
        <f>C2-C3</f>
        <v>1395.1</v>
      </c>
      <c r="D4" s="52">
        <f>D2-D3</f>
        <v>1493.0000000000002</v>
      </c>
      <c r="E4" s="52">
        <f>E2-E3</f>
        <v>1601.0</v>
      </c>
      <c r="F4" s="52">
        <f>F2-F3</f>
        <v>1606.0</v>
      </c>
      <c r="G4" s="52">
        <f>G2-G3</f>
        <v>2632.0</v>
      </c>
      <c r="H4" s="52">
        <f>H2-H3</f>
        <v>2498.0</v>
      </c>
      <c r="I4" s="52">
        <f>I2-I3</f>
        <v>2486.0</v>
      </c>
      <c r="J4" s="52">
        <f>J2-J3</f>
        <v>2436.0</v>
      </c>
      <c r="K4" s="52">
        <f>K2-K3</f>
        <v>2593.0</v>
      </c>
      <c r="L4" s="52">
        <f>L2-L3</f>
        <v>2754.0493227</v>
      </c>
      <c r="M4" s="52">
        <f>M2-M3</f>
        <v>2913.9677867047803</v>
      </c>
      <c r="N4" s="52">
        <f>N2-N3</f>
        <v>3071.127782667725</v>
      </c>
      <c r="O4" s="52">
        <f>O2-O3</f>
        <v>3224.069946244578</v>
      </c>
      <c r="P4" s="52">
        <f>P2-P3</f>
        <v>3371.3024737897476</v>
      </c>
      <c r="Q4" s="52">
        <f>Q2-Q3</f>
        <v>3511.3239032011484</v>
      </c>
      <c r="R4" s="52">
        <f>R2-R3</f>
        <v>3642.647417180872</v>
      </c>
      <c r="S4" s="52">
        <f>S2-S3</f>
        <v>3763.826154592422</v>
      </c>
      <c r="T4" s="52">
        <f>T2-T3</f>
        <v>3873.478956562881</v>
      </c>
      <c r="U4" s="52">
        <f>U2-U3</f>
        <v>3970.315930476953</v>
      </c>
    </row>
    <row r="5">
      <c r="A5" s="2" t="inlineStr">
        <is>
          <t>Research &amp; Dev.</t>
        </is>
      </c>
      <c r="B5" s="52" t="n">
        <v>265.8</v>
      </c>
      <c r="C5" s="52" t="n">
        <v>251.7</v>
      </c>
      <c r="D5" s="52" t="n">
        <v>246.6</v>
      </c>
      <c r="E5" s="52" t="n">
        <v>270</v>
      </c>
      <c r="F5" s="52" t="n">
        <v>329</v>
      </c>
      <c r="G5" s="52" t="n">
        <v>369</v>
      </c>
      <c r="H5" s="52" t="n">
        <v>321</v>
      </c>
      <c r="I5" s="52" t="n">
        <v>327</v>
      </c>
      <c r="J5" s="52" t="n">
        <v>344</v>
      </c>
      <c r="K5" s="52" t="n">
        <v>368</v>
      </c>
      <c r="L5" s="52">
        <f>L7*Assumptions!$B$20</f>
        <v>379.84443742338107</v>
      </c>
      <c r="M5" s="52">
        <f>M7*Assumptions!$B$20</f>
        <v>399.41672196883593</v>
      </c>
      <c r="N5" s="52">
        <f>N7*Assumptions!$B$20</f>
        <v>418.34061013461474</v>
      </c>
      <c r="O5" s="52">
        <f>O7*Assumptions!$B$20</f>
        <v>436.425609725699</v>
      </c>
      <c r="P5" s="52">
        <f>P7*Assumptions!$B$20</f>
        <v>453.4818412086443</v>
      </c>
      <c r="Q5" s="52">
        <f>Q7*Assumptions!$B$20</f>
        <v>469.3232208617801</v>
      </c>
      <c r="R5" s="52">
        <f>R7*Assumptions!$B$20</f>
        <v>483.7707295962061</v>
      </c>
      <c r="S5" s="52">
        <f>S7*Assumptions!$B$20</f>
        <v>496.65569049609013</v>
      </c>
      <c r="T5" s="52">
        <f>T7*Assumptions!$B$20</f>
        <v>507.8229738949301</v>
      </c>
      <c r="U5" s="52">
        <f>U7*Assumptions!$B$20</f>
        <v>517.1340470484168</v>
      </c>
    </row>
    <row r="6">
      <c r="A6" s="18" t="inlineStr">
        <is>
          <t>SG&amp;A &amp; Other</t>
        </is>
      </c>
      <c r="B6" s="52" t="n">
        <v>1261.1</v>
      </c>
      <c r="C6" s="52" t="n">
        <v>1376</v>
      </c>
      <c r="D6" s="52" t="n">
        <v>1132.3</v>
      </c>
      <c r="E6" s="52" t="n">
        <v>1253</v>
      </c>
      <c r="F6" s="52" t="n">
        <v>1952</v>
      </c>
      <c r="G6" s="52" t="n">
        <v>2834</v>
      </c>
      <c r="H6" s="52" t="n">
        <v>2249</v>
      </c>
      <c r="I6" s="52" t="n">
        <v>3354</v>
      </c>
      <c r="J6" s="52" t="n">
        <v>1604</v>
      </c>
      <c r="K6" s="52" t="n">
        <v>1430</v>
      </c>
      <c r="L6" s="52">
        <f>L7-L5</f>
        <v>1475.7707918066192</v>
      </c>
      <c r="M6" s="52">
        <f>M7-M5</f>
        <v>1551.8129896522485</v>
      </c>
      <c r="N6" s="52">
        <f>N7-N5</f>
        <v>1625.3360392772795</v>
      </c>
      <c r="O6" s="52">
        <f>O7-O5</f>
        <v>1695.5998408150876</v>
      </c>
      <c r="P6" s="52">
        <f>P7-P5</f>
        <v>1761.866674710478</v>
      </c>
      <c r="Q6" s="52">
        <f>Q7-Q5</f>
        <v>1823.4135688880006</v>
      </c>
      <c r="R6" s="52">
        <f>R7-R5</f>
        <v>1879.5449987682593</v>
      </c>
      <c r="S6" s="52">
        <f>S7-S5</f>
        <v>1929.6056211604325</v>
      </c>
      <c r="T6" s="52">
        <f>T7-T5</f>
        <v>1972.9927266176744</v>
      </c>
      <c r="U6" s="52">
        <f>U7-U5</f>
        <v>2009.1680880195695</v>
      </c>
    </row>
    <row r="7">
      <c r="A7" s="2" t="inlineStr">
        <is>
          <t>Operating Expense</t>
        </is>
      </c>
      <c r="B7" s="52">
        <f>SUM(B5:B6)</f>
        <v>1526.8999999999999</v>
      </c>
      <c r="C7" s="52">
        <f>SUM(C5:C6)</f>
        <v>1627.7</v>
      </c>
      <c r="D7" s="52">
        <f>SUM(D5:D6)</f>
        <v>1378.8999999999999</v>
      </c>
      <c r="E7" s="52">
        <f>SUM(E5:E6)</f>
        <v>1523.0</v>
      </c>
      <c r="F7" s="52">
        <f>SUM(F5:F6)</f>
        <v>2281.0</v>
      </c>
      <c r="G7" s="52">
        <f>SUM(G5:G6)</f>
        <v>3203.0</v>
      </c>
      <c r="H7" s="52">
        <f>SUM(H5:H6)</f>
        <v>2570.0</v>
      </c>
      <c r="I7" s="52">
        <f>SUM(I5:I6)</f>
        <v>3681.0</v>
      </c>
      <c r="J7" s="52">
        <f>SUM(J5:J6)</f>
        <v>1948.0</v>
      </c>
      <c r="K7" s="52">
        <f>SUM(K5:K6)</f>
        <v>1798.0</v>
      </c>
      <c r="L7" s="52">
        <f>L4-L2*NPV!C6</f>
        <v>1855.6152292300003</v>
      </c>
      <c r="M7" s="52">
        <f>M4-M2*NPV!D6</f>
        <v>1951.2297116210843</v>
      </c>
      <c r="N7" s="52">
        <f>N4-N2*NPV!E6</f>
        <v>2043.6766494118942</v>
      </c>
      <c r="O7" s="52">
        <f>O4-O2*NPV!F6</f>
        <v>2132.0254505407866</v>
      </c>
      <c r="P7" s="52">
        <f>P4-P2*NPV!G6</f>
        <v>2215.3485159191223</v>
      </c>
      <c r="Q7" s="52">
        <f>Q4-Q2*NPV!H6</f>
        <v>2292.7367897497807</v>
      </c>
      <c r="R7" s="52">
        <f>R4-R2*NPV!I6</f>
        <v>2363.3157283644655</v>
      </c>
      <c r="S7" s="52">
        <f>S4-S2*NPV!J6</f>
        <v>2426.2613116565226</v>
      </c>
      <c r="T7" s="52">
        <f>T4-T2*NPV!K6</f>
        <v>2480.8157005126045</v>
      </c>
      <c r="U7" s="52">
        <f>U4-U2*NPV!L6</f>
        <v>2526.3021350679865</v>
      </c>
    </row>
    <row r="8">
      <c r="A8" s="2" t="inlineStr">
        <is>
          <t>Operating Income</t>
        </is>
      </c>
      <c r="B8" s="52">
        <f>B4-B7</f>
        <v>-22.399999999999864</v>
      </c>
      <c r="C8" s="52">
        <f>C4-C7</f>
        <v>-232.60000000000014</v>
      </c>
      <c r="D8" s="52">
        <f>D4-D7</f>
        <v>114.10000000000036</v>
      </c>
      <c r="E8" s="52">
        <f>E4-E7</f>
        <v>78.0</v>
      </c>
      <c r="F8" s="52">
        <f>F4-F7</f>
        <v>-675.0</v>
      </c>
      <c r="G8" s="52">
        <f>G4-G7</f>
        <v>-571.0</v>
      </c>
      <c r="H8" s="52">
        <f>H4-H7</f>
        <v>-72.0</v>
      </c>
      <c r="I8" s="52">
        <f>I4-I7</f>
        <v>-1195.0</v>
      </c>
      <c r="J8" s="52">
        <f>J4-J7</f>
        <v>488.0</v>
      </c>
      <c r="K8" s="52">
        <f>K4-K7</f>
        <v>795.0</v>
      </c>
      <c r="L8" s="52">
        <f>L4-L7</f>
        <v>898.4340934699999</v>
      </c>
      <c r="M8" s="52">
        <f>M4-M7</f>
        <v>962.738075083696</v>
      </c>
      <c r="N8" s="52">
        <f>N4-N7</f>
        <v>1027.4511332558309</v>
      </c>
      <c r="O8" s="52">
        <f>O4-O7</f>
        <v>1092.0444957037917</v>
      </c>
      <c r="P8" s="52">
        <f>P4-P7</f>
        <v>1155.9539578706253</v>
      </c>
      <c r="Q8" s="52">
        <f>Q4-Q7</f>
        <v>1218.5871134513677</v>
      </c>
      <c r="R8" s="52">
        <f>R4-R7</f>
        <v>1279.3316888164063</v>
      </c>
      <c r="S8" s="52">
        <f>S4-S7</f>
        <v>1337.5648429358994</v>
      </c>
      <c r="T8" s="52">
        <f>T4-T7</f>
        <v>1392.6632560502767</v>
      </c>
      <c r="U8" s="52">
        <f>U4-U7</f>
        <v>1444.0137954089664</v>
      </c>
    </row>
    <row r="9">
      <c r="A9" s="18" t="inlineStr">
        <is>
          <t>Interest &amp; Other</t>
        </is>
      </c>
      <c r="B9" s="52" t="n">
        <v>0</v>
      </c>
      <c r="C9" s="52" t="n">
        <v>-0</v>
      </c>
      <c r="D9" s="52" t="n">
        <v>-0</v>
      </c>
      <c r="E9" s="52" t="n">
        <v>0</v>
      </c>
      <c r="F9" s="52" t="n">
        <v>-2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-1019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-22.399999999999864</v>
      </c>
      <c r="C10" s="52">
        <f>C8+C9</f>
        <v>-232.60000000000014</v>
      </c>
      <c r="D10" s="52">
        <f>D8+D9</f>
        <v>114.10000000000036</v>
      </c>
      <c r="E10" s="52">
        <f>E8+E9</f>
        <v>78.0</v>
      </c>
      <c r="F10" s="52">
        <f>F8+F9</f>
        <v>-677.0</v>
      </c>
      <c r="G10" s="52">
        <f>G8+G9</f>
        <v>-571.0</v>
      </c>
      <c r="H10" s="52">
        <f>H8+H9</f>
        <v>-72.0</v>
      </c>
      <c r="I10" s="52">
        <f>I8+I9</f>
        <v>-1195.0</v>
      </c>
      <c r="J10" s="52">
        <f>J8+J9</f>
        <v>488.0</v>
      </c>
      <c r="K10" s="52">
        <f>K8+K9</f>
        <v>-224.0</v>
      </c>
      <c r="L10" s="52">
        <f>L8+L9</f>
        <v>898.4340934699999</v>
      </c>
      <c r="M10" s="52">
        <f>M8+M9</f>
        <v>962.738075083696</v>
      </c>
      <c r="N10" s="52">
        <f>N8+N9</f>
        <v>1027.4511332558309</v>
      </c>
      <c r="O10" s="52">
        <f>O8+O9</f>
        <v>1092.0444957037917</v>
      </c>
      <c r="P10" s="52">
        <f>P8+P9</f>
        <v>1155.9539578706253</v>
      </c>
      <c r="Q10" s="52">
        <f>Q8+Q9</f>
        <v>1218.5871134513677</v>
      </c>
      <c r="R10" s="52">
        <f>R8+R9</f>
        <v>1279.3316888164063</v>
      </c>
      <c r="S10" s="52">
        <f>S8+S9</f>
        <v>1337.5648429358994</v>
      </c>
      <c r="T10" s="52">
        <f>T8+T9</f>
        <v>1392.6632560502767</v>
      </c>
      <c r="U10" s="52">
        <f>U8+U9</f>
        <v>1444.0137954089664</v>
      </c>
    </row>
    <row r="11">
      <c r="A11" s="2" t="inlineStr">
        <is>
          <t>Taxes</t>
        </is>
      </c>
      <c r="B11" s="52" t="n">
        <v>25.5</v>
      </c>
      <c r="C11" s="52" t="n">
        <v>78.09999999999999</v>
      </c>
      <c r="D11" s="52" t="n">
        <v>27.6</v>
      </c>
      <c r="E11" s="52" t="n">
        <v>10</v>
      </c>
      <c r="F11" s="52" t="n">
        <v>-103</v>
      </c>
      <c r="G11" s="52" t="n">
        <v>-88</v>
      </c>
      <c r="H11" s="52" t="n">
        <v>6</v>
      </c>
      <c r="I11" s="52" t="n">
        <v>36</v>
      </c>
      <c r="J11" s="52" t="n">
        <v>150</v>
      </c>
      <c r="K11" s="52" t="n">
        <v>8</v>
      </c>
      <c r="L11" s="52">
        <f>MAX(0,L10)*Assumptions!$E$14</f>
        <v>152.7337958899</v>
      </c>
      <c r="M11" s="52">
        <f>MAX(0,M10)*Assumptions!$E$14</f>
        <v>163.66547276422833</v>
      </c>
      <c r="N11" s="52">
        <f>MAX(0,N10)*Assumptions!$E$14</f>
        <v>174.66669265349125</v>
      </c>
      <c r="O11" s="52">
        <f>MAX(0,O10)*Assumptions!$E$14</f>
        <v>185.6475642696446</v>
      </c>
      <c r="P11" s="52">
        <f>MAX(0,P10)*Assumptions!$E$14</f>
        <v>196.51217283800634</v>
      </c>
      <c r="Q11" s="52">
        <f>MAX(0,Q10)*Assumptions!$E$14</f>
        <v>207.15980928673252</v>
      </c>
      <c r="R11" s="52">
        <f>MAX(0,R10)*Assumptions!$E$14</f>
        <v>217.4863870987891</v>
      </c>
      <c r="S11" s="52">
        <f>MAX(0,S10)*Assumptions!$E$14</f>
        <v>227.3860232991029</v>
      </c>
      <c r="T11" s="52">
        <f>MAX(0,T10)*Assumptions!$E$14</f>
        <v>236.75275352854706</v>
      </c>
      <c r="U11" s="52">
        <f>MAX(0,U10)*Assumptions!$E$14</f>
        <v>245.48234521952432</v>
      </c>
    </row>
    <row r="12">
      <c r="A12" s="2" t="inlineStr">
        <is>
          <t>Net Income</t>
        </is>
      </c>
      <c r="B12" s="52" t="n">
        <v>-47.9</v>
      </c>
      <c r="C12" s="52" t="n">
        <v>-310.7</v>
      </c>
      <c r="D12" s="52" t="n">
        <v>86.5</v>
      </c>
      <c r="E12" s="52" t="n">
        <v>68</v>
      </c>
      <c r="F12" s="52" t="n">
        <v>-574</v>
      </c>
      <c r="G12" s="52" t="n">
        <v>-483</v>
      </c>
      <c r="H12" s="52" t="n">
        <v>-78</v>
      </c>
      <c r="I12" s="52" t="n">
        <v>-1231</v>
      </c>
      <c r="J12" s="52" t="n">
        <v>338</v>
      </c>
      <c r="K12" s="52" t="n">
        <v>-232</v>
      </c>
      <c r="L12" s="52">
        <f>L10-L11</f>
        <v>745.7002975800999</v>
      </c>
      <c r="M12" s="52">
        <f>M10-M11</f>
        <v>799.0726023194677</v>
      </c>
      <c r="N12" s="52">
        <f>N10-N11</f>
        <v>852.7844406023396</v>
      </c>
      <c r="O12" s="52">
        <f>O10-O11</f>
        <v>906.3969314341471</v>
      </c>
      <c r="P12" s="52">
        <f>P10-P11</f>
        <v>959.441785032619</v>
      </c>
      <c r="Q12" s="52">
        <f>Q10-Q11</f>
        <v>1011.4273041646352</v>
      </c>
      <c r="R12" s="52">
        <f>R10-R11</f>
        <v>1061.8453017176173</v>
      </c>
      <c r="S12" s="52">
        <f>S10-S11</f>
        <v>1110.1788196367966</v>
      </c>
      <c r="T12" s="52">
        <f>T10-T11</f>
        <v>1155.9105025217295</v>
      </c>
      <c r="U12" s="52">
        <f>U10-U11</f>
        <v>1198.531450189442</v>
      </c>
    </row>
    <row r="13">
      <c r="A13" s="2" t="inlineStr">
        <is>
          <t>Earnings per Share</t>
        </is>
      </c>
      <c r="B13" s="11">
        <f>IFERROR(B12/B14,0)</f>
        <v>-0.16331401295601772</v>
      </c>
      <c r="C13" s="11">
        <f>IFERROR(C12/C14,0)</f>
        <v>-1.059324923286737</v>
      </c>
      <c r="D13" s="11">
        <f>IFERROR(D12/D14,0)</f>
        <v>0.27574115396876</v>
      </c>
      <c r="E13" s="11">
        <f>IFERROR(E12/E14,0)</f>
        <v>0.18363489062921953</v>
      </c>
      <c r="F13" s="11">
        <f>IFERROR(F12/F14,0)</f>
        <v>-1.3004077933846852</v>
      </c>
      <c r="G13" s="11">
        <f>IFERROR(G12/G14,0)</f>
        <v>-0.9913793103448276</v>
      </c>
      <c r="H13" s="11">
        <f>IFERROR(H12/H14,0)</f>
        <v>-0.15973786606594306</v>
      </c>
      <c r="I13" s="11">
        <f>IFERROR(I12/I14,0)</f>
        <v>-2.500507820434694</v>
      </c>
      <c r="J13" s="11">
        <f>IFERROR(J12/J14,0)</f>
        <v>0.6796702191835914</v>
      </c>
      <c r="K13" s="11">
        <f>IFERROR(K12/K14,0)</f>
        <v>-0.4673650282030621</v>
      </c>
      <c r="L13" s="11">
        <f>IFERROR(L12/L14,0)</f>
        <v>1.4925294548881098</v>
      </c>
      <c r="M13" s="11">
        <f>IFERROR(M12/M14,0)</f>
        <v>1.599354860694273</v>
      </c>
      <c r="N13" s="11">
        <f>IFERROR(N12/N14,0)</f>
        <v>1.7068598475817993</v>
      </c>
      <c r="O13" s="11">
        <f>IFERROR(O12/O14,0)</f>
        <v>1.814165989172545</v>
      </c>
      <c r="P13" s="11">
        <f>IFERROR(P12/P14,0)</f>
        <v>1.920335996993204</v>
      </c>
      <c r="Q13" s="11">
        <f>IFERROR(Q12/Q14,0)</f>
        <v>2.024385732233988</v>
      </c>
      <c r="R13" s="11">
        <f>IFERROR(R12/R14,0)</f>
        <v>2.1252980513634028</v>
      </c>
      <c r="S13" s="11">
        <f>IFERROR(S12/S14,0)</f>
        <v>2.2220382556879</v>
      </c>
      <c r="T13" s="11">
        <f>IFERROR(T12/T14,0)</f>
        <v>2.3135708512210718</v>
      </c>
      <c r="U13" s="11">
        <f>IFERROR(U12/U14,0)</f>
        <v>2.3988772672111667</v>
      </c>
    </row>
    <row r="14">
      <c r="A14" s="2" t="inlineStr">
        <is>
          <t>Shares</t>
        </is>
      </c>
      <c r="B14" s="52" t="n">
        <v>293.3</v>
      </c>
      <c r="C14" s="52" t="n">
        <v>293.3</v>
      </c>
      <c r="D14" s="52" t="n">
        <v>313.7</v>
      </c>
      <c r="E14" s="52" t="n">
        <v>370.3</v>
      </c>
      <c r="F14" s="52" t="n">
        <v>441.4</v>
      </c>
      <c r="G14" s="52" t="n">
        <v>487.2</v>
      </c>
      <c r="H14" s="52" t="n">
        <v>488.3</v>
      </c>
      <c r="I14" s="52" t="n">
        <v>492.3</v>
      </c>
      <c r="J14" s="52" t="n">
        <v>497.3</v>
      </c>
      <c r="K14" s="52" t="n">
        <v>496.4</v>
      </c>
      <c r="L14" s="52">
        <f>Main!$C$4</f>
        <v>499.62183</v>
      </c>
      <c r="M14" s="52">
        <f>Main!$C$4</f>
        <v>499.62183</v>
      </c>
      <c r="N14" s="52">
        <f>Main!$C$4</f>
        <v>499.62183</v>
      </c>
      <c r="O14" s="52">
        <f>Main!$C$4</f>
        <v>499.62183</v>
      </c>
      <c r="P14" s="52">
        <f>Main!$C$4</f>
        <v>499.62183</v>
      </c>
      <c r="Q14" s="52">
        <f>Main!$C$4</f>
        <v>499.62183</v>
      </c>
      <c r="R14" s="52">
        <f>Main!$C$4</f>
        <v>499.62183</v>
      </c>
      <c r="S14" s="52">
        <f>Main!$C$4</f>
        <v>499.62183</v>
      </c>
      <c r="T14" s="52">
        <f>Main!$C$4</f>
        <v>499.62183</v>
      </c>
      <c r="U14" s="52">
        <f>Main!$C$4</f>
        <v>499.62183</v>
      </c>
    </row>
    <row r="15"/>
    <row r="16" customFormat="1" s="4">
      <c r="A16" s="3" t="inlineStr">
        <is>
          <t>Revenue Change</t>
        </is>
      </c>
      <c r="C16" s="15">
        <f>IFERROR(C2/B2-1,"")</f>
        <v>-0.008409129912476443</v>
      </c>
      <c r="D16" s="15">
        <f>IFERROR(D2/C2-1,"")</f>
        <v>0.061543786777431775</v>
      </c>
      <c r="E16" s="15">
        <f>IFERROR(E2/D2-1,"")</f>
        <v>0.001369505673666227</v>
      </c>
      <c r="F16" s="15">
        <f>IFERROR(F2/E2-1,"")</f>
        <v>0.0657766199934875</v>
      </c>
      <c r="G16" s="15">
        <f>IFERROR(G2/F2-1,"")</f>
        <v>0.45554537121906513</v>
      </c>
      <c r="H16" s="15">
        <f>IFERROR(H2/G2-1,"")</f>
        <v>-0.0740973971452561</v>
      </c>
      <c r="I16" s="15">
        <f>IFERROR(I2/H2-1,"")</f>
        <v>0.0013602357742008575</v>
      </c>
      <c r="J16" s="15">
        <f>IFERROR(J2/I2-1,"")</f>
        <v>0.00498075616934579</v>
      </c>
      <c r="K16" s="15">
        <f>IFERROR(K2/J2-1,"")</f>
        <v>0.06217616580310881</v>
      </c>
      <c r="L16" s="15">
        <f>IFERROR(L2/K2-1,"")</f>
        <v>0.06220000000000003</v>
      </c>
      <c r="M16" s="15">
        <f>IFERROR(M2/L2-1,"")</f>
        <v>0.05806666666666671</v>
      </c>
      <c r="N16" s="15">
        <f>IFERROR(N2/M2-1,"")</f>
        <v>0.05393333333333339</v>
      </c>
      <c r="O16" s="15">
        <f>IFERROR(O2/N2-1,"")</f>
        <v>0.049800000000000066</v>
      </c>
      <c r="P16" s="15">
        <f>IFERROR(P2/O2-1,"")</f>
        <v>0.045666666666666744</v>
      </c>
      <c r="Q16" s="15">
        <f>IFERROR(Q2/P2-1,"")</f>
        <v>0.04153333333333342</v>
      </c>
      <c r="R16" s="15">
        <f>IFERROR(R2/Q2-1,"")</f>
        <v>0.0374000000000001</v>
      </c>
      <c r="S16" s="15">
        <f>IFERROR(S2/R2-1,"")</f>
        <v>0.033266666666666556</v>
      </c>
      <c r="T16" s="15">
        <f>IFERROR(T2/S2-1,"")</f>
        <v>0.029133333333333233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0.5163892225845204</v>
      </c>
      <c r="C17" s="15">
        <f>IFERROR(C4/C2,"")</f>
        <v>0.4829006576670128</v>
      </c>
      <c r="D17" s="15">
        <f>IFERROR(D4/D2,"")</f>
        <v>0.4868266597104474</v>
      </c>
      <c r="E17" s="15">
        <f>IFERROR(E4/E2,"")</f>
        <v>0.5213285574731358</v>
      </c>
      <c r="F17" s="15">
        <f>IFERROR(F4/F2,"")</f>
        <v>0.49068133211121295</v>
      </c>
      <c r="G17" s="15">
        <f>IFERROR(G4/G2,"")</f>
        <v>0.5524769101595298</v>
      </c>
      <c r="H17" s="15">
        <f>IFERROR(H4/H2,"")</f>
        <v>0.566311493992292</v>
      </c>
      <c r="I17" s="15">
        <f>IFERROR(I4/I2,"")</f>
        <v>0.5628254471360652</v>
      </c>
      <c r="J17" s="15">
        <f>IFERROR(J4/J2,"")</f>
        <v>0.5487722460013517</v>
      </c>
      <c r="K17" s="15">
        <f>IFERROR(K4/K2,"")</f>
        <v>0.5499469777306468</v>
      </c>
      <c r="L17" s="15">
        <f>IFERROR(L4/L2,"")</f>
        <v>0.5499</v>
      </c>
      <c r="M17" s="15">
        <f>IFERROR(M4/M2,"")</f>
        <v>0.5499</v>
      </c>
      <c r="N17" s="15">
        <f>IFERROR(N4/N2,"")</f>
        <v>0.5499</v>
      </c>
      <c r="O17" s="15">
        <f>IFERROR(O4/O2,"")</f>
        <v>0.5499</v>
      </c>
      <c r="P17" s="15">
        <f>IFERROR(P4/P2,"")</f>
        <v>0.5499</v>
      </c>
      <c r="Q17" s="15">
        <f>IFERROR(Q4/Q2,"")</f>
        <v>0.5499</v>
      </c>
      <c r="R17" s="15">
        <f>IFERROR(R4/R2,"")</f>
        <v>0.5499</v>
      </c>
      <c r="S17" s="15">
        <f>IFERROR(S4/S2,"")</f>
        <v>0.5499</v>
      </c>
      <c r="T17" s="15">
        <f>IFERROR(T4/T2,"")</f>
        <v>0.5499</v>
      </c>
      <c r="U17" s="15">
        <f>IFERROR(U4/U2,"")</f>
        <v>0.5499</v>
      </c>
    </row>
    <row r="18">
      <c r="A18" s="14" t="inlineStr">
        <is>
          <t>Operating Margin</t>
        </is>
      </c>
      <c r="B18" s="15">
        <f>IFERROR(B8/B2,"")</f>
        <v>-0.007688347348549807</v>
      </c>
      <c r="C18" s="15">
        <f>IFERROR(C8/C2,"")</f>
        <v>-0.08051228798892356</v>
      </c>
      <c r="D18" s="15">
        <f>IFERROR(D8/D2,"")</f>
        <v>0.03720490413460296</v>
      </c>
      <c r="E18" s="15">
        <f>IFERROR(E8/E2,"")</f>
        <v>0.025398892868772387</v>
      </c>
      <c r="F18" s="15">
        <f>IFERROR(F8/F2,"")</f>
        <v>-0.20623281393217233</v>
      </c>
      <c r="G18" s="15">
        <f>IFERROR(G8/G2,"")</f>
        <v>-0.11985726280436608</v>
      </c>
      <c r="H18" s="15">
        <f>IFERROR(H8/H2,"")</f>
        <v>-0.01632282929041034</v>
      </c>
      <c r="I18" s="15">
        <f>IFERROR(I8/I2,"")</f>
        <v>-0.2705456191985511</v>
      </c>
      <c r="J18" s="15">
        <f>IFERROR(J8/J2,"")</f>
        <v>0.10993466997071412</v>
      </c>
      <c r="K18" s="15">
        <f>IFERROR(K8/K2,"")</f>
        <v>0.16861081654294804</v>
      </c>
      <c r="L18" s="15">
        <f>IFERROR(L8/L2,"")</f>
        <v>0.17938999999999997</v>
      </c>
      <c r="M18" s="15">
        <f>IFERROR(M8/M2,"")</f>
        <v>0.18167999999999998</v>
      </c>
      <c r="N18" s="15">
        <f>IFERROR(N8/N2,"")</f>
        <v>0.18397000000000002</v>
      </c>
      <c r="O18" s="15">
        <f>IFERROR(O8/O2,"")</f>
        <v>0.18625999999999998</v>
      </c>
      <c r="P18" s="15">
        <f>IFERROR(P8/P2,"")</f>
        <v>0.18855000000000002</v>
      </c>
      <c r="Q18" s="15">
        <f>IFERROR(Q8/Q2,"")</f>
        <v>0.19084</v>
      </c>
      <c r="R18" s="15">
        <f>IFERROR(R8/R2,"")</f>
        <v>0.19313000000000002</v>
      </c>
      <c r="S18" s="15">
        <f>IFERROR(S8/S2,"")</f>
        <v>0.19542</v>
      </c>
      <c r="T18" s="15">
        <f>IFERROR(T8/T2,"")</f>
        <v>0.19771</v>
      </c>
      <c r="U18" s="15">
        <f>IFERROR(U8/U2,"")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Elanco Animal Health Incorporated: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0.0122</v>
      </c>
      <c r="C12" s="53" t="n">
        <v>0.0622</v>
      </c>
      <c r="D12" s="53" t="n">
        <v>0.1122</v>
      </c>
      <c r="E12" s="54">
        <f>CHOOSE($B$4,B12,C12,D12)</f>
        <v>0.0622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0.1771</v>
      </c>
    </row>
    <row r="19">
      <c r="A19" s="14" t="inlineStr">
        <is>
          <t>Gross margin (forecast)</t>
        </is>
      </c>
      <c r="B19" s="53" t="n">
        <v>0.5499000000000001</v>
      </c>
    </row>
    <row r="20">
      <c r="A20" s="14" t="inlineStr">
        <is>
          <t>R&amp;D share of operating expense (forecast)</t>
        </is>
      </c>
      <c r="B20" s="53" t="n">
        <v>0.2047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4715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12825.655637155469</v>
      </c>
      <c r="C29" s="56">
        <f>NPV!B26</f>
        <v>9437.655637155469</v>
      </c>
      <c r="D29" s="35">
        <f>NPV!B28</f>
        <v>18.889598233038516</v>
      </c>
      <c r="E29" s="57">
        <f>NPV!B30</f>
        <v>-0.16785910867671738</v>
      </c>
    </row>
    <row r="30">
      <c r="A30" s="58" t="n">
        <v>1</v>
      </c>
      <c r="B30" s="59">
        <f t="dataTable" ref="B30:E32" r1="B4"/>
        <v>7169.85167205327</v>
      </c>
      <c r="C30" s="59">
        <v>3781.85167205327</v>
      </c>
      <c r="D30" s="39">
        <v>7.569428405586821</v>
      </c>
      <c r="E30" s="60">
        <v>-0.6665450041591708</v>
      </c>
    </row>
    <row r="31">
      <c r="A31" s="58" t="n">
        <v>2</v>
      </c>
      <c r="B31" s="59">
        <v>12825.655637155469</v>
      </c>
      <c r="C31" s="59">
        <v>9437.655637155469</v>
      </c>
      <c r="D31" s="39">
        <v>18.889598233038516</v>
      </c>
      <c r="E31" s="60">
        <v>-0.16785910867671738</v>
      </c>
    </row>
    <row r="32">
      <c r="A32" s="58" t="n">
        <v>3</v>
      </c>
      <c r="B32" s="59">
        <v>24110.564420209088</v>
      </c>
      <c r="C32" s="59">
        <v>20722.564420209088</v>
      </c>
      <c r="D32" s="39">
        <v>41.476499175804804</v>
      </c>
      <c r="E32" s="60">
        <v>0.8271585540002118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18.889598233038516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24.501164741621825</v>
      </c>
      <c r="C37" s="39">
        <v>26.745973404459654</v>
      </c>
      <c r="D37" s="39">
        <v>29.43677204530864</v>
      </c>
      <c r="E37" s="39">
        <v>32.72219602235642</v>
      </c>
      <c r="F37" s="39">
        <v>36.82519814466238</v>
      </c>
    </row>
    <row r="38">
      <c r="A38" s="62" t="n">
        <v>0.08500000000000001</v>
      </c>
      <c r="B38" s="39">
        <v>19.90130641361866</v>
      </c>
      <c r="C38" s="39">
        <v>21.459144977063993</v>
      </c>
      <c r="D38" s="39">
        <v>23.274258368622124</v>
      </c>
      <c r="E38" s="39">
        <v>25.416790660134357</v>
      </c>
      <c r="F38" s="39">
        <v>27.984943379182564</v>
      </c>
    </row>
    <row r="39">
      <c r="A39" s="62" t="n">
        <v>0.095</v>
      </c>
      <c r="B39" s="39">
        <v>16.467093765523966</v>
      </c>
      <c r="C39" s="39">
        <v>17.59849898733656</v>
      </c>
      <c r="D39" s="39">
        <v>18.889598233038516</v>
      </c>
      <c r="E39" s="39">
        <v>20.377226421483012</v>
      </c>
      <c r="F39" s="39">
        <v>22.11049664126276</v>
      </c>
    </row>
    <row r="40">
      <c r="A40" s="62" t="n">
        <v>0.105</v>
      </c>
      <c r="B40" s="39">
        <v>13.808445729624765</v>
      </c>
      <c r="C40" s="39">
        <v>14.65905999834813</v>
      </c>
      <c r="D40" s="39">
        <v>15.614384675625226</v>
      </c>
      <c r="E40" s="39">
        <v>16.695347375436175</v>
      </c>
      <c r="F40" s="39">
        <v>17.92885491922364</v>
      </c>
    </row>
    <row r="41">
      <c r="A41" s="62" t="n">
        <v>0.115</v>
      </c>
      <c r="B41" s="39">
        <v>11.691481159687049</v>
      </c>
      <c r="C41" s="39">
        <v>12.348651184146203</v>
      </c>
      <c r="D41" s="39">
        <v>13.077468868298428</v>
      </c>
      <c r="E41" s="39">
        <v>13.890565777692476</v>
      </c>
      <c r="F41" s="39">
        <v>14.80373127747774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Elanco Animal Health Incorporated: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0.0622</v>
      </c>
      <c r="D5" s="63">
        <f>Assumptions!$E$12+(Assumptions!$E$11-Assumptions!$E$12)*(D4-1)/(Assumptions!$B$21-1)</f>
        <v>0.05806666666666667</v>
      </c>
      <c r="E5" s="63">
        <f>Assumptions!$E$12+(Assumptions!$E$11-Assumptions!$E$12)*(E4-1)/(Assumptions!$B$21-1)</f>
        <v>0.05393333333333333</v>
      </c>
      <c r="F5" s="63">
        <f>Assumptions!$E$12+(Assumptions!$E$11-Assumptions!$E$12)*(F4-1)/(Assumptions!$B$21-1)</f>
        <v>0.0498</v>
      </c>
      <c r="G5" s="63">
        <f>Assumptions!$E$12+(Assumptions!$E$11-Assumptions!$E$12)*(G4-1)/(Assumptions!$B$21-1)</f>
        <v>0.04566666666666667</v>
      </c>
      <c r="H5" s="63">
        <f>Assumptions!$E$12+(Assumptions!$E$11-Assumptions!$E$12)*(H4-1)/(Assumptions!$B$21-1)</f>
        <v>0.04153333333333333</v>
      </c>
      <c r="I5" s="63">
        <f>Assumptions!$E$12+(Assumptions!$E$11-Assumptions!$E$12)*(I4-1)/(Assumptions!$B$21-1)</f>
        <v>0.0374</v>
      </c>
      <c r="J5" s="63">
        <f>Assumptions!$E$12+(Assumptions!$E$11-Assumptions!$E$12)*(J4-1)/(Assumptions!$B$21-1)</f>
        <v>0.03326666666666667</v>
      </c>
      <c r="K5" s="63">
        <f>Assumptions!$E$12+(Assumptions!$E$11-Assumptions!$E$12)*(K4-1)/(Assumptions!$B$21-1)</f>
        <v>0.029133333333333337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0.16861081654294804</v>
      </c>
      <c r="C6" s="63">
        <f>Assumptions!$B$18+(Assumptions!$E$13-Assumptions!$B$18)*C4/Assumptions!$B$21</f>
        <v>0.17939</v>
      </c>
      <c r="D6" s="63">
        <f>Assumptions!$B$18+(Assumptions!$E$13-Assumptions!$B$18)*D4/Assumptions!$B$21</f>
        <v>0.18168</v>
      </c>
      <c r="E6" s="63">
        <f>Assumptions!$B$18+(Assumptions!$E$13-Assumptions!$B$18)*E4/Assumptions!$B$21</f>
        <v>0.18397000000000002</v>
      </c>
      <c r="F6" s="63">
        <f>Assumptions!$B$18+(Assumptions!$E$13-Assumptions!$B$18)*F4/Assumptions!$B$21</f>
        <v>0.18626</v>
      </c>
      <c r="G6" s="63">
        <f>Assumptions!$B$18+(Assumptions!$E$13-Assumptions!$B$18)*G4/Assumptions!$B$21</f>
        <v>0.18855</v>
      </c>
      <c r="H6" s="63">
        <f>Assumptions!$B$18+(Assumptions!$E$13-Assumptions!$B$18)*H4/Assumptions!$B$21</f>
        <v>0.19084</v>
      </c>
      <c r="I6" s="63">
        <f>Assumptions!$B$18+(Assumptions!$E$13-Assumptions!$B$18)*I4/Assumptions!$B$21</f>
        <v>0.19313000000000002</v>
      </c>
      <c r="J6" s="63">
        <f>Assumptions!$B$18+(Assumptions!$E$13-Assumptions!$B$18)*J4/Assumptions!$B$21</f>
        <v>0.19542</v>
      </c>
      <c r="K6" s="63">
        <f>Assumptions!$B$18+(Assumptions!$E$13-Assumptions!$B$18)*K4/Assumptions!$B$21</f>
        <v>0.19771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Model'!K2</f>
        <v>4715</v>
      </c>
      <c r="C7" s="55">
        <f>'Yearly Model'!L2</f>
        <v>5008.273</v>
      </c>
      <c r="D7" s="55">
        <f>'Yearly Model'!M2</f>
        <v>5299.086718866667</v>
      </c>
      <c r="E7" s="55">
        <f>'Yearly Model'!N2</f>
        <v>5584.884129237543</v>
      </c>
      <c r="F7" s="55">
        <f>'Yearly Model'!O2</f>
        <v>5863.011358873573</v>
      </c>
      <c r="G7" s="55">
        <f>'Yearly Model'!P2</f>
        <v>6130.755544262133</v>
      </c>
      <c r="H7" s="55">
        <f>'Yearly Model'!Q2</f>
        <v>6385.386257867154</v>
      </c>
      <c r="I7" s="55">
        <f>'Yearly Model'!R2</f>
        <v>6624.199703911387</v>
      </c>
      <c r="J7" s="55">
        <f>'Yearly Model'!S2</f>
        <v>6844.564747394838</v>
      </c>
      <c r="K7" s="55">
        <f>'Yearly Model'!T2</f>
        <v>7043.969733702274</v>
      </c>
      <c r="L7" s="55">
        <f>'Yearly Model'!U2</f>
        <v>7220.068977044831</v>
      </c>
    </row>
    <row r="8">
      <c r="A8" s="14" t="inlineStr">
        <is>
          <t>Operating income</t>
        </is>
      </c>
      <c r="B8" s="55">
        <f>'Yearly Model'!K8</f>
        <v>795.0</v>
      </c>
      <c r="C8" s="55">
        <f>'Yearly Model'!L8</f>
        <v>898.4340934699999</v>
      </c>
      <c r="D8" s="55">
        <f>'Yearly Model'!M8</f>
        <v>962.738075083696</v>
      </c>
      <c r="E8" s="55">
        <f>'Yearly Model'!N8</f>
        <v>1027.4511332558309</v>
      </c>
      <c r="F8" s="55">
        <f>'Yearly Model'!O8</f>
        <v>1092.0444957037917</v>
      </c>
      <c r="G8" s="55">
        <f>'Yearly Model'!P8</f>
        <v>1155.9539578706253</v>
      </c>
      <c r="H8" s="55">
        <f>'Yearly Model'!Q8</f>
        <v>1218.5871134513677</v>
      </c>
      <c r="I8" s="55">
        <f>'Yearly Model'!R8</f>
        <v>1279.3316888164063</v>
      </c>
      <c r="J8" s="55">
        <f>'Yearly Model'!S8</f>
        <v>1337.5648429358994</v>
      </c>
      <c r="K8" s="55">
        <f>'Yearly Model'!T8</f>
        <v>1392.6632560502767</v>
      </c>
      <c r="L8" s="55">
        <f>'Yearly Model'!U8</f>
        <v>1444.0137954089664</v>
      </c>
    </row>
    <row r="9">
      <c r="A9" s="14" t="inlineStr">
        <is>
          <t>Tax on operating income</t>
        </is>
      </c>
      <c r="C9" s="52">
        <f>MAX(0,C8)*Assumptions!$E$14</f>
        <v>152.7337958899</v>
      </c>
      <c r="D9" s="52">
        <f>MAX(0,D8)*Assumptions!$E$14</f>
        <v>163.66547276422833</v>
      </c>
      <c r="E9" s="52">
        <f>MAX(0,E8)*Assumptions!$E$14</f>
        <v>174.66669265349125</v>
      </c>
      <c r="F9" s="52">
        <f>MAX(0,F8)*Assumptions!$E$14</f>
        <v>185.6475642696446</v>
      </c>
      <c r="G9" s="52">
        <f>MAX(0,G8)*Assumptions!$E$14</f>
        <v>196.51217283800634</v>
      </c>
      <c r="H9" s="52">
        <f>MAX(0,H8)*Assumptions!$E$14</f>
        <v>207.15980928673252</v>
      </c>
      <c r="I9" s="52">
        <f>MAX(0,I8)*Assumptions!$E$14</f>
        <v>217.4863870987891</v>
      </c>
      <c r="J9" s="52">
        <f>MAX(0,J8)*Assumptions!$E$14</f>
        <v>227.3860232991029</v>
      </c>
      <c r="K9" s="52">
        <f>MAX(0,K8)*Assumptions!$E$14</f>
        <v>236.75275352854706</v>
      </c>
      <c r="L9" s="52">
        <f>MAX(0,L8)*Assumptions!$E$14</f>
        <v>245.48234521952432</v>
      </c>
    </row>
    <row r="10">
      <c r="A10" s="14" t="inlineStr">
        <is>
          <t>NOPAT</t>
        </is>
      </c>
      <c r="C10" s="52">
        <f>C8-C9</f>
        <v>745.7002975800999</v>
      </c>
      <c r="D10" s="52">
        <f>D8-D9</f>
        <v>799.0726023194677</v>
      </c>
      <c r="E10" s="52">
        <f>E8-E9</f>
        <v>852.7844406023396</v>
      </c>
      <c r="F10" s="52">
        <f>F8-F9</f>
        <v>906.3969314341471</v>
      </c>
      <c r="G10" s="52">
        <f>G8-G9</f>
        <v>959.441785032619</v>
      </c>
      <c r="H10" s="52">
        <f>H8-H9</f>
        <v>1011.4273041646352</v>
      </c>
      <c r="I10" s="52">
        <f>I8-I9</f>
        <v>1061.8453017176173</v>
      </c>
      <c r="J10" s="52">
        <f>J8-J9</f>
        <v>1110.1788196367966</v>
      </c>
      <c r="K10" s="52">
        <f>K8-K9</f>
        <v>1155.9105025217295</v>
      </c>
      <c r="L10" s="52">
        <f>L8-L9</f>
        <v>1198.531450189442</v>
      </c>
    </row>
    <row r="11">
      <c r="A11" s="14" t="inlineStr">
        <is>
          <t>Reinvestment</t>
        </is>
      </c>
      <c r="C11" s="52">
        <f>(C7-B7)*Assumptions!$E$15</f>
        <v>73.31825000000003</v>
      </c>
      <c r="D11" s="52">
        <f>(D7-C7)*Assumptions!$E$15</f>
        <v>72.70342971666673</v>
      </c>
      <c r="E11" s="52">
        <f>(E7-D7)*Assumptions!$E$15</f>
        <v>71.44935259271892</v>
      </c>
      <c r="F11" s="52">
        <f>(F7-E7)*Assumptions!$E$15</f>
        <v>69.53180740900757</v>
      </c>
      <c r="G11" s="52">
        <f>(G7-F7)*Assumptions!$E$15</f>
        <v>66.93604634714006</v>
      </c>
      <c r="H11" s="52">
        <f>(H7-G7)*Assumptions!$E$15</f>
        <v>63.657678401255225</v>
      </c>
      <c r="I11" s="52">
        <f>(I7-H7)*Assumptions!$E$15</f>
        <v>59.70336151105812</v>
      </c>
      <c r="J11" s="52">
        <f>(J7-I7)*Assumptions!$E$15</f>
        <v>55.091260870862925</v>
      </c>
      <c r="K11" s="52">
        <f>(K7-J7)*Assumptions!$E$15</f>
        <v>49.85124657685901</v>
      </c>
      <c r="L11" s="52">
        <f>(L7-K7)*Assumptions!$E$15</f>
        <v>44.02481083563907</v>
      </c>
    </row>
    <row r="12">
      <c r="A12" s="20" t="inlineStr">
        <is>
          <t>Free cash flow</t>
        </is>
      </c>
      <c r="C12" s="64">
        <f>C10-C11</f>
        <v>672.3820475800999</v>
      </c>
      <c r="D12" s="64">
        <f>D10-D11</f>
        <v>726.369172602801</v>
      </c>
      <c r="E12" s="64">
        <f>E10-E11</f>
        <v>781.3350880096207</v>
      </c>
      <c r="F12" s="64">
        <f>F10-F11</f>
        <v>836.8651240251395</v>
      </c>
      <c r="G12" s="64">
        <f>G10-G11</f>
        <v>892.505738685479</v>
      </c>
      <c r="H12" s="64">
        <f>H10-H11</f>
        <v>947.76962576338</v>
      </c>
      <c r="I12" s="64">
        <f>I10-I11</f>
        <v>1002.1419402065592</v>
      </c>
      <c r="J12" s="64">
        <f>J10-J11</f>
        <v>1055.0875587659336</v>
      </c>
      <c r="K12" s="64">
        <f>K10-K11</f>
        <v>1106.0592559448705</v>
      </c>
      <c r="L12" s="64">
        <f>L10-L11</f>
        <v>1154.506639353803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331.282487182409</v>
      </c>
      <c r="D16" s="64">
        <f>D12*D13*D15</f>
        <v>663.1040603437424</v>
      </c>
      <c r="E16" s="64">
        <f>E12*E13*E15</f>
        <v>651.3996062313668</v>
      </c>
      <c r="F16" s="64">
        <f>F12*F13*F15</f>
        <v>637.1644163235828</v>
      </c>
      <c r="G16" s="64">
        <f>G12*G13*G15</f>
        <v>620.5730948148416</v>
      </c>
      <c r="H16" s="64">
        <f>H12*H13*H15</f>
        <v>601.8255099383501</v>
      </c>
      <c r="I16" s="64">
        <f>I12*I13*I15</f>
        <v>581.1428849748764</v>
      </c>
      <c r="J16" s="64">
        <f>J12*J13*J15</f>
        <v>558.7635525678583</v>
      </c>
      <c r="K16" s="64">
        <f>K12*K13*K15</f>
        <v>534.9384846987886</v>
      </c>
      <c r="L16" s="64">
        <f>L12*L13*L15</f>
        <v>509.9267139829931</v>
      </c>
    </row>
    <row r="19">
      <c r="A19" s="14" t="inlineStr">
        <is>
          <t>PV of forecast free cash flow</t>
        </is>
      </c>
      <c r="B19" s="52">
        <f>SUM(C16:L16)</f>
        <v>5690.120811058809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1183.3693053376478</v>
      </c>
    </row>
    <row r="21">
      <c r="A21" s="14" t="inlineStr">
        <is>
          <t>Terminal value</t>
        </is>
      </c>
      <c r="B21" s="52">
        <f>B20/(Assumptions!$E$10-Assumptions!$E$11)</f>
        <v>16905.275790537824</v>
      </c>
    </row>
    <row r="22">
      <c r="A22" s="14" t="inlineStr">
        <is>
          <t>PV of terminal value</t>
        </is>
      </c>
      <c r="B22" s="52">
        <f>B21/(1+Assumptions!$E$10)^(L14+0.5)</f>
        <v>7135.53482609666</v>
      </c>
    </row>
    <row r="23">
      <c r="A23" s="20" t="inlineStr">
        <is>
          <t>Enterprise value</t>
        </is>
      </c>
      <c r="B23" s="66">
        <f>B19+B22</f>
        <v>12825.655637155469</v>
      </c>
    </row>
    <row r="24">
      <c r="A24" s="14" t="inlineStr">
        <is>
          <t>Cash &amp; investments</t>
        </is>
      </c>
      <c r="B24" s="55">
        <f>Main!C7</f>
        <v>530</v>
      </c>
    </row>
    <row r="25">
      <c r="A25" s="14" t="inlineStr">
        <is>
          <t>Debt</t>
        </is>
      </c>
      <c r="B25" s="55">
        <f>Main!C8</f>
        <v>3918.0</v>
      </c>
    </row>
    <row r="26">
      <c r="A26" s="20" t="inlineStr">
        <is>
          <t>Equity value</t>
        </is>
      </c>
      <c r="B26" s="66">
        <f>B23+B24-B25</f>
        <v>9437.655637155469</v>
      </c>
    </row>
    <row r="27">
      <c r="A27" s="14" t="inlineStr">
        <is>
          <t>Shares (mm)</t>
        </is>
      </c>
      <c r="B27" s="55">
        <f>Main!C4</f>
        <v>499.62183</v>
      </c>
    </row>
    <row r="28">
      <c r="A28" s="20" t="inlineStr">
        <is>
          <t>NPV / share</t>
        </is>
      </c>
      <c r="B28" s="49">
        <f>B26/B27</f>
        <v>18.889598233038516</v>
      </c>
    </row>
    <row r="29">
      <c r="A29" s="14" t="inlineStr">
        <is>
          <t>Price</t>
        </is>
      </c>
      <c r="B29" s="50">
        <f>Main!C3</f>
        <v>22.7</v>
      </c>
    </row>
    <row r="30">
      <c r="A30" s="14" t="inlineStr">
        <is>
          <t>Upside</t>
        </is>
      </c>
      <c r="B30" s="63">
        <f>B28/B29-1</f>
        <v>-0.16785910867671738</v>
      </c>
    </row>
    <row r="31">
      <c r="A31" s="14" t="inlineStr">
        <is>
          <t>Terminal value, % of EV</t>
        </is>
      </c>
      <c r="B31" s="63">
        <f>IFERROR(B22/B23,0)</f>
        <v>0.5563485429489677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2026-10-21T01:03:53Z</dcterms:modified>
  <cp:lastModifiedBy>Wang, Eric</cp:lastModifiedBy>
</cp:coreProperties>
</file>