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  <sheet name="Assumptions" sheetId="4" state="visible" r:id="rId4"/>
    <sheet name="NPV" sheetId="5" state="visible" r:id="rId5"/>
  </sheets>
  <externalReferences>
    <externalReference r:id="rId6"/>
  </externalReferences>
  <definedNames/>
  <calcPr calcId="191029" fullCalcOnLoad="1"/>
</workbook>
</file>

<file path=xl/styles.xml><?xml version="1.0" encoding="utf-8"?>
<styleSheet xmlns="http://schemas.openxmlformats.org/spreadsheetml/2006/main">
  <numFmts count="11">
    <numFmt numFmtId="164" formatCode="#,##0.0"/>
    <numFmt numFmtId="165" formatCode="0.0%"/>
    <numFmt numFmtId="166" formatCode="#,##0.0;(#,##0.0);&quot;-&quot;"/>
    <numFmt numFmtId="167" formatCode="0.0%;(0.0%);&quot;-&quot;"/>
    <numFmt numFmtId="168" formatCode="yyyy-mm-dd"/>
    <numFmt numFmtId="169" formatCode="0.0000"/>
    <numFmt numFmtId="170" formatCode="#,##0;(#,##0);&quot;-&quot;"/>
    <numFmt numFmtId="171" formatCode="$#,##0.00;($#,##0.00);&quot;-&quot;"/>
    <numFmt numFmtId="172" formatCode="[=1]&quot;Bear&quot;;[=2]&quot;Base&quot;;&quot;Bull&quot;"/>
    <numFmt numFmtId="173" formatCode="0.000"/>
    <numFmt numFmtId="174" formatCode="yyyy-mm-dd h:mm:ss"/>
  </numFmts>
  <fonts count="11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  <font>
      <name val="Aptos Narrow"/>
      <i val="1"/>
      <color rgb="00000000"/>
      <sz val="12"/>
    </font>
    <font>
      <name val="Aptos Narrow"/>
      <color rgb="000000FF"/>
      <sz val="12"/>
    </font>
    <font>
      <name val="Aptos Narrow"/>
      <color rgb="00008000"/>
      <sz val="12"/>
    </font>
    <font>
      <name val="Aptos Narrow"/>
      <b val="1"/>
      <color rgb="00008000"/>
      <sz val="12"/>
    </font>
    <font>
      <name val="Aptos Narrow"/>
      <i val="1"/>
      <color rgb="00008000"/>
      <sz val="12"/>
    </font>
    <font>
      <name val="Aptos Narrow"/>
      <sz val="12"/>
    </font>
    <font>
      <name val="Aptos Narrow"/>
      <b val="1"/>
      <color rgb="000000FF"/>
      <sz val="12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</borders>
  <cellStyleXfs count="1">
    <xf numFmtId="0" fontId="0" fillId="0" borderId="0"/>
  </cellStyleXfs>
  <cellXfs count="67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0" fontId="3" fillId="0" borderId="1" pivotButton="0" quotePrefix="0" xfId="0"/>
    <xf numFmtId="166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0" fontId="3" fillId="0" borderId="0" pivotButton="0" quotePrefix="0" xfId="0"/>
    <xf numFmtId="0" fontId="4" fillId="0" borderId="0" pivotButton="0" quotePrefix="0" xfId="0"/>
    <xf numFmtId="1" fontId="5" fillId="0" borderId="0" pivotButton="0" quotePrefix="0" xfId="0"/>
    <xf numFmtId="167" fontId="5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right"/>
    </xf>
    <xf numFmtId="167" fontId="3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1" fontId="2" fillId="0" borderId="0" pivotButton="0" quotePrefix="0" xfId="0"/>
    <xf numFmtId="2" fontId="5" fillId="0" borderId="0" pivotButton="0" quotePrefix="0" xfId="0"/>
    <xf numFmtId="168" fontId="2" fillId="0" borderId="0" pivotButton="0" quotePrefix="0" xfId="0"/>
    <xf numFmtId="169" fontId="2" fillId="0" borderId="0" pivotButton="0" quotePrefix="0" xfId="0"/>
    <xf numFmtId="166" fontId="6" fillId="0" borderId="0" pivotButton="0" quotePrefix="0" xfId="0"/>
    <xf numFmtId="170" fontId="8" fillId="0" borderId="0" pivotButton="0" quotePrefix="0" xfId="0"/>
    <xf numFmtId="171" fontId="8" fillId="0" borderId="0" pivotButton="0" quotePrefix="0" xfId="0"/>
    <xf numFmtId="167" fontId="8" fillId="0" borderId="0" pivotButton="0" quotePrefix="0" xfId="0"/>
    <xf numFmtId="172" fontId="2" fillId="0" borderId="0" pivotButton="0" quotePrefix="0" xfId="0"/>
    <xf numFmtId="170" fontId="9" fillId="0" borderId="0" pivotButton="0" quotePrefix="0" xfId="0"/>
    <xf numFmtId="171" fontId="9" fillId="0" borderId="0" pivotButton="0" quotePrefix="0" xfId="0"/>
    <xf numFmtId="167" fontId="9" fillId="0" borderId="0" pivotButton="0" quotePrefix="0" xfId="0"/>
    <xf numFmtId="167" fontId="10" fillId="2" borderId="0" pivotButton="0" quotePrefix="0" xfId="0"/>
    <xf numFmtId="167" fontId="10" fillId="2" borderId="0" applyAlignment="1" pivotButton="0" quotePrefix="0" xfId="0">
      <alignment horizontal="right"/>
    </xf>
    <xf numFmtId="1" fontId="7" fillId="2" borderId="0" pivotButton="0" quotePrefix="0" xfId="0"/>
    <xf numFmtId="167" fontId="2" fillId="0" borderId="0" pivotButton="0" quotePrefix="0" xfId="0"/>
    <xf numFmtId="166" fontId="3" fillId="0" borderId="0" pivotButton="0" quotePrefix="0" xfId="0"/>
    <xf numFmtId="2" fontId="6" fillId="0" borderId="0" pivotButton="0" quotePrefix="0" xfId="0"/>
    <xf numFmtId="173" fontId="2" fillId="0" borderId="0" pivotButton="0" quotePrefix="0" xfId="0"/>
    <xf numFmtId="166" fontId="3" fillId="0" borderId="6" pivotButton="0" quotePrefix="0" xfId="0"/>
    <xf numFmtId="171" fontId="3" fillId="0" borderId="6" pivotButton="0" quotePrefix="0" xfId="0"/>
    <xf numFmtId="171" fontId="6" fillId="0" borderId="0" pivotButton="0" quotePrefix="0" xfId="0"/>
    <xf numFmtId="164" fontId="2" fillId="0" borderId="0" pivotButton="0" quotePrefix="0" xfId="0"/>
    <xf numFmtId="166" fontId="2" fillId="0" borderId="0" pivotButton="0" quotePrefix="0" xfId="0"/>
    <xf numFmtId="167" fontId="5" fillId="0" borderId="0" pivotButton="0" quotePrefix="0" xfId="0"/>
    <xf numFmtId="167" fontId="3" fillId="0" borderId="0" pivotButton="0" quotePrefix="0" xfId="0"/>
    <xf numFmtId="166" fontId="6" fillId="0" borderId="0" pivotButton="0" quotePrefix="0" xfId="0"/>
    <xf numFmtId="170" fontId="8" fillId="0" borderId="0" pivotButton="0" quotePrefix="0" xfId="0"/>
    <xf numFmtId="167" fontId="8" fillId="0" borderId="0" pivotButton="0" quotePrefix="0" xfId="0"/>
    <xf numFmtId="172" fontId="2" fillId="0" borderId="0" pivotButton="0" quotePrefix="0" xfId="0"/>
    <xf numFmtId="170" fontId="9" fillId="0" borderId="0" pivotButton="0" quotePrefix="0" xfId="0"/>
    <xf numFmtId="167" fontId="9" fillId="0" borderId="0" pivotButton="0" quotePrefix="0" xfId="0"/>
    <xf numFmtId="167" fontId="10" fillId="2" borderId="0" pivotButton="0" quotePrefix="0" xfId="0"/>
    <xf numFmtId="167" fontId="10" fillId="2" borderId="0" applyAlignment="1" pivotButton="0" quotePrefix="0" xfId="0">
      <alignment horizontal="right"/>
    </xf>
    <xf numFmtId="167" fontId="2" fillId="0" borderId="0" pivotButton="0" quotePrefix="0" xfId="0"/>
    <xf numFmtId="166" fontId="3" fillId="0" borderId="0" pivotButton="0" quotePrefix="0" xfId="0"/>
    <xf numFmtId="173" fontId="2" fillId="0" borderId="0" pivotButton="0" quotePrefix="0" xfId="0"/>
    <xf numFmtId="166" fontId="3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Compugen Ltd.</t>
        </is>
      </c>
      <c r="C2" s="10" t="n"/>
    </row>
    <row r="3">
      <c r="B3" t="inlineStr">
        <is>
          <t>Price</t>
        </is>
      </c>
      <c r="C3" s="11">
        <f>INDEX([1]Pharma!$F$1:$F$1000,MATCH("CGEN",[1]Pharma!$B$1:$B$1000,0))</f>
        <v>2.14</v>
      </c>
      <c r="F3" s="1" t="n"/>
    </row>
    <row r="4">
      <c r="B4" t="inlineStr">
        <is>
          <t>Shares</t>
        </is>
      </c>
      <c r="C4" s="51" t="n">
        <v>94.553191</v>
      </c>
      <c r="F4" s="1" t="n"/>
    </row>
    <row r="5">
      <c r="B5" t="inlineStr">
        <is>
          <t>Market Cap.</t>
        </is>
      </c>
      <c r="C5" s="13">
        <f>C3*C4</f>
        <v>202.34382874000002</v>
      </c>
      <c r="F5" s="1" t="n"/>
    </row>
    <row r="6"/>
    <row r="7">
      <c r="B7" t="inlineStr">
        <is>
          <t>Cash</t>
        </is>
      </c>
      <c r="C7" s="51">
        <f>90.597+9.284</f>
        <v>99.881</v>
      </c>
    </row>
    <row r="8">
      <c r="B8" t="inlineStr">
        <is>
          <t>Debt</t>
        </is>
      </c>
      <c r="C8" s="51" t="n">
        <v>0</v>
      </c>
    </row>
    <row r="9">
      <c r="B9" t="inlineStr">
        <is>
          <t>Enterprise V.</t>
        </is>
      </c>
      <c r="C9" s="13">
        <f>C5-C7+C8</f>
        <v>102.46282874000002</v>
      </c>
    </row>
    <row r="10"/>
    <row r="11">
      <c r="B11" s="14" t="inlineStr">
        <is>
          <t>NPV / Share</t>
        </is>
      </c>
      <c r="C11" s="11">
        <f>NPV!B28</f>
        <v>6.089539333120438</v>
      </c>
    </row>
    <row r="12">
      <c r="B12" s="14" t="inlineStr">
        <is>
          <t>Upside</t>
        </is>
      </c>
      <c r="C12" s="15">
        <f>IFERROR(C11/C3-1,"")</f>
        <v>1.8455791276263729</v>
      </c>
    </row>
    <row r="13">
      <c r="B13" s="14" t="inlineStr">
        <is>
          <t>Cash / Share</t>
        </is>
      </c>
      <c r="C13" s="11">
        <f>IFERROR((C7-C8)/C4,"")</f>
        <v>1.0563472151881157</v>
      </c>
    </row>
    <row r="14">
      <c r="B14" s="14" t="inlineStr">
        <is>
          <t>Scenario</t>
        </is>
      </c>
      <c r="C14" s="14" t="str">
        <f>Assumptions!C4</f>
        <v>Base</v>
      </c>
    </row>
    <row r="15">
      <c r="B15" s="14" t="inlineStr">
        <is>
          <t>Model</t>
        </is>
      </c>
      <c r="C15" s="14" t="inlineStr">
        <is>
          <t>DCF</t>
        </is>
      </c>
    </row>
    <row r="16"/>
    <row r="17"/>
    <row r="18"/>
    <row r="19"/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6" t="n">
        <v>2009</v>
      </c>
      <c r="C1" s="16" t="n">
        <v>2010</v>
      </c>
      <c r="D1" s="16" t="n">
        <v>2011</v>
      </c>
      <c r="E1" s="16" t="n">
        <v>2012</v>
      </c>
      <c r="F1" s="16" t="n">
        <v>2013</v>
      </c>
      <c r="G1" s="16" t="n">
        <v>2014</v>
      </c>
      <c r="H1" s="16" t="n">
        <v>2015</v>
      </c>
      <c r="I1" s="16" t="n">
        <v>2016</v>
      </c>
      <c r="J1" s="16" t="n">
        <v>2017</v>
      </c>
      <c r="K1" s="16" t="n">
        <v>2018</v>
      </c>
      <c r="L1" s="16" t="n">
        <v>2019</v>
      </c>
      <c r="M1" s="16" t="n">
        <v>2020</v>
      </c>
      <c r="N1" s="16" t="n">
        <v>2021</v>
      </c>
      <c r="O1" s="16" t="n">
        <v>2022</v>
      </c>
      <c r="P1" s="16" t="n">
        <v>2023</v>
      </c>
      <c r="Q1" s="16" t="n">
        <v>2024</v>
      </c>
      <c r="R1" s="16" t="n">
        <v>2025</v>
      </c>
      <c r="S1" s="16" t="n">
        <v>2026</v>
      </c>
      <c r="T1" s="16" t="n">
        <v>2027</v>
      </c>
      <c r="U1" s="16" t="n">
        <v>2028</v>
      </c>
      <c r="V1" s="16" t="n">
        <v>2029</v>
      </c>
      <c r="W1" s="16" t="n">
        <v>2030</v>
      </c>
      <c r="X1" s="16" t="n">
        <v>2031</v>
      </c>
      <c r="Y1" s="16" t="n">
        <v>2032</v>
      </c>
      <c r="Z1" s="16" t="n">
        <v>2033</v>
      </c>
      <c r="AA1" s="16" t="n">
        <v>2034</v>
      </c>
      <c r="AB1" s="16" t="n">
        <v>2035</v>
      </c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52" t="n">
        <v>0.25</v>
      </c>
      <c r="C2" s="52" t="n">
        <v>1.115</v>
      </c>
      <c r="D2" s="52" t="n">
        <v>0</v>
      </c>
      <c r="E2" s="52" t="n">
        <v>0.242</v>
      </c>
      <c r="F2" s="52" t="n">
        <v>3.549</v>
      </c>
      <c r="G2" s="52" t="n">
        <v>12.367</v>
      </c>
      <c r="H2" s="52" t="n">
        <v>9.276999999999999</v>
      </c>
      <c r="I2" s="52" t="n">
        <v>0.712</v>
      </c>
      <c r="J2" s="52" t="n">
        <v>0</v>
      </c>
      <c r="K2" s="52" t="n">
        <v>17.8</v>
      </c>
      <c r="L2" s="52" t="n">
        <v>0</v>
      </c>
      <c r="M2" s="52" t="n">
        <v>2</v>
      </c>
      <c r="N2" s="52" t="n">
        <v>6</v>
      </c>
      <c r="O2" s="52" t="n">
        <v>7.5</v>
      </c>
      <c r="P2" s="52" t="n">
        <v>33.459</v>
      </c>
      <c r="Q2" s="52" t="n">
        <v>27.864</v>
      </c>
      <c r="R2" s="52" t="n">
        <v>72.764</v>
      </c>
      <c r="S2" s="52">
        <f>R2*(1+NPV!C5)</f>
        <v>98.23140000000001</v>
      </c>
      <c r="T2" s="52">
        <f>S2*(1+NPV!D5)</f>
        <v>129.065145</v>
      </c>
      <c r="U2" s="52">
        <f>T2*(1+NPV!E5)</f>
        <v>164.91657416666666</v>
      </c>
      <c r="V2" s="52">
        <f>U2*(1+NPV!F5)</f>
        <v>204.7714129236111</v>
      </c>
      <c r="W2" s="52">
        <f>V2*(1+NPV!G5)</f>
        <v>246.86331446902005</v>
      </c>
      <c r="X2" s="52">
        <f>W2*(1+NPV!H5)</f>
        <v>288.69293164293737</v>
      </c>
      <c r="Y2" s="52">
        <f>X2*(1+NPV!I5)</f>
        <v>327.18532252866237</v>
      </c>
      <c r="Z2" s="52">
        <f>Y2*(1+NPV!J5)</f>
        <v>358.99500666339344</v>
      </c>
      <c r="AA2" s="52">
        <f>Z2*(1+NPV!K5)</f>
        <v>380.93359040393415</v>
      </c>
      <c r="AB2" s="52">
        <f>AA2*(1+NPV!L5)</f>
        <v>390.4569301640325</v>
      </c>
    </row>
    <row r="3" customFormat="1" s="1">
      <c r="A3" s="5" t="inlineStr">
        <is>
          <t>Cost of Sales</t>
        </is>
      </c>
      <c r="B3" s="52" t="n">
        <v>0</v>
      </c>
      <c r="C3" s="52" t="n">
        <v>0.224</v>
      </c>
      <c r="D3" s="52" t="n">
        <v>0</v>
      </c>
      <c r="E3" s="52" t="n">
        <v>0.201</v>
      </c>
      <c r="F3" s="52" t="n">
        <v>2.509</v>
      </c>
      <c r="G3" s="52" t="n">
        <v>3.344</v>
      </c>
      <c r="H3" s="52" t="n">
        <v>1.633</v>
      </c>
      <c r="I3" s="52" t="n">
        <v>0.223</v>
      </c>
      <c r="J3" s="52" t="n">
        <v>0</v>
      </c>
      <c r="K3" s="52" t="n">
        <v>1.034</v>
      </c>
      <c r="L3" s="52" t="n">
        <v>0</v>
      </c>
      <c r="M3" s="52" t="n">
        <v>0.06</v>
      </c>
      <c r="N3" s="52" t="n">
        <v>0.68</v>
      </c>
      <c r="O3" s="52" t="n">
        <v>0.975</v>
      </c>
      <c r="P3" s="52" t="n">
        <v>2.004</v>
      </c>
      <c r="Q3" s="52" t="n">
        <v>7.93</v>
      </c>
      <c r="R3" s="52" t="n">
        <v>9.250999999999999</v>
      </c>
      <c r="S3" s="52">
        <f>S2*(1-Assumptions!$B$19)</f>
        <v>12.48521094</v>
      </c>
      <c r="T3" s="52">
        <f>T2*(1-Assumptions!$B$19)</f>
        <v>16.4041799295</v>
      </c>
      <c r="U3" s="52">
        <f>U2*(1-Assumptions!$B$19)</f>
        <v>20.96089657658333</v>
      </c>
      <c r="V3" s="52">
        <f>V2*(1-Assumptions!$B$19)</f>
        <v>26.02644658259097</v>
      </c>
      <c r="W3" s="52">
        <f>W2*(1-Assumptions!$B$19)</f>
        <v>31.376327269012446</v>
      </c>
      <c r="X3" s="52">
        <f>X2*(1-Assumptions!$B$19)</f>
        <v>36.69287161181734</v>
      </c>
      <c r="Y3" s="52">
        <f>Y2*(1-Assumptions!$B$19)</f>
        <v>41.58525449339298</v>
      </c>
      <c r="Z3" s="52">
        <f>Z2*(1-Assumptions!$B$19)</f>
        <v>45.6282653469173</v>
      </c>
      <c r="AA3" s="52">
        <f>AA2*(1-Assumptions!$B$19)</f>
        <v>48.416659340340026</v>
      </c>
      <c r="AB3" s="52">
        <f>AB2*(1-Assumptions!$B$19)</f>
        <v>49.62707582384853</v>
      </c>
    </row>
    <row r="4" customFormat="1" s="1">
      <c r="A4" s="5" t="inlineStr">
        <is>
          <t>Gross Margin</t>
        </is>
      </c>
      <c r="B4" s="52">
        <f>B2-B3</f>
        <v>0.25</v>
      </c>
      <c r="C4" s="52">
        <f>C2-C3</f>
        <v>0.891</v>
      </c>
      <c r="D4" s="52">
        <f>D2-D3</f>
        <v>0.0</v>
      </c>
      <c r="E4" s="52">
        <f>E2-E3</f>
        <v>0.04099999999999998</v>
      </c>
      <c r="F4" s="52">
        <f>F2-F3</f>
        <v>1.04</v>
      </c>
      <c r="G4" s="52">
        <f>G2-G3</f>
        <v>9.023000000000001</v>
      </c>
      <c r="H4" s="52">
        <f>H2-H3</f>
        <v>7.643999999999999</v>
      </c>
      <c r="I4" s="52">
        <f>I2-I3</f>
        <v>0.489</v>
      </c>
      <c r="J4" s="52">
        <f>J2-J3</f>
        <v>0.0</v>
      </c>
      <c r="K4" s="52">
        <f>K2-K3</f>
        <v>16.766000000000002</v>
      </c>
      <c r="L4" s="52">
        <f>L2-L3</f>
        <v>0.0</v>
      </c>
      <c r="M4" s="52">
        <f>M2-M3</f>
        <v>1.94</v>
      </c>
      <c r="N4" s="52">
        <f>N2-N3</f>
        <v>5.32</v>
      </c>
      <c r="O4" s="52">
        <f>O2-O3</f>
        <v>6.525</v>
      </c>
      <c r="P4" s="52">
        <f>P2-P3</f>
        <v>31.455000000000002</v>
      </c>
      <c r="Q4" s="52">
        <f>Q2-Q3</f>
        <v>19.934</v>
      </c>
      <c r="R4" s="52">
        <f>R2-R3</f>
        <v>63.513</v>
      </c>
      <c r="S4" s="52">
        <f>S2-S3</f>
        <v>85.74618906</v>
      </c>
      <c r="T4" s="52">
        <f>T2-T3</f>
        <v>112.6609650705</v>
      </c>
      <c r="U4" s="52">
        <f>U2-U3</f>
        <v>143.95567759008333</v>
      </c>
      <c r="V4" s="52">
        <f>V2-V3</f>
        <v>178.74496634102013</v>
      </c>
      <c r="W4" s="52">
        <f>W2-W3</f>
        <v>215.4869872000076</v>
      </c>
      <c r="X4" s="52">
        <f>X2-X3</f>
        <v>252.00006003112003</v>
      </c>
      <c r="Y4" s="52">
        <f>Y2-Y3</f>
        <v>285.6000680352694</v>
      </c>
      <c r="Z4" s="52">
        <f>Z2-Z3</f>
        <v>313.3667413164761</v>
      </c>
      <c r="AA4" s="52">
        <f>AA2-AA3</f>
        <v>332.51693106359414</v>
      </c>
      <c r="AB4" s="52">
        <f>AB2-AB3</f>
        <v>340.82985434018394</v>
      </c>
    </row>
    <row r="5">
      <c r="A5" s="2" t="inlineStr">
        <is>
          <t>Research &amp; Dev.</t>
        </is>
      </c>
      <c r="B5" s="52" t="n">
        <v>5.051</v>
      </c>
      <c r="C5" s="52" t="n">
        <v>5.227</v>
      </c>
      <c r="D5" s="52" t="n">
        <v>6.778</v>
      </c>
      <c r="E5" s="52" t="n">
        <v>9.442</v>
      </c>
      <c r="F5" s="52" t="n">
        <v>12.275</v>
      </c>
      <c r="G5" s="52" t="n">
        <v>15.074</v>
      </c>
      <c r="H5" s="52" t="n">
        <v>21.245</v>
      </c>
      <c r="I5" s="52" t="n">
        <v>24.549</v>
      </c>
      <c r="J5" s="52" t="n">
        <v>28.583</v>
      </c>
      <c r="K5" s="52" t="n">
        <v>30.318</v>
      </c>
      <c r="L5" s="52" t="n">
        <v>19.816</v>
      </c>
      <c r="M5" s="52" t="n">
        <v>22.76</v>
      </c>
      <c r="N5" s="52" t="n">
        <v>28.694</v>
      </c>
      <c r="O5" s="52" t="n">
        <v>30.648</v>
      </c>
      <c r="P5" s="52" t="n">
        <v>34.472</v>
      </c>
      <c r="Q5" s="52" t="n">
        <v>24.81</v>
      </c>
      <c r="R5" s="52" t="n">
        <v>22.757</v>
      </c>
      <c r="S5" s="52">
        <f>S7*Assumptions!$B$20</f>
        <v>32.325316226910005</v>
      </c>
      <c r="T5" s="52">
        <f>T7*Assumptions!$B$20</f>
        <v>44.57516459607749</v>
      </c>
      <c r="U5" s="52">
        <f>U7*Assumptions!$B$20</f>
        <v>59.644692975075536</v>
      </c>
      <c r="V5" s="52">
        <f>V7*Assumptions!$B$20</f>
        <v>77.39585372571648</v>
      </c>
      <c r="W5" s="52">
        <f>W7*Assumptions!$B$20</f>
        <v>97.32797241074984</v>
      </c>
      <c r="X5" s="52">
        <f>X7*Assumptions!$B$20</f>
        <v>118.52429768137299</v>
      </c>
      <c r="Y5" s="52">
        <f>Y7*Assumptions!$B$20</f>
        <v>139.65946390301266</v>
      </c>
      <c r="Z5" s="52">
        <f>Z7*Assumptions!$B$20</f>
        <v>159.08777561486679</v>
      </c>
      <c r="AA5" s="52">
        <f>AA7*Assumptions!$B$20</f>
        <v>175.0176334628656</v>
      </c>
      <c r="AB5" s="52">
        <f>AB7*Assumptions!$B$20</f>
        <v>185.75609709331584</v>
      </c>
    </row>
    <row r="6">
      <c r="A6" s="18" t="inlineStr">
        <is>
          <t>SG&amp;A &amp; Other</t>
        </is>
      </c>
      <c r="B6" s="52" t="n">
        <v>2.828</v>
      </c>
      <c r="C6" s="52" t="n">
        <v>3.542</v>
      </c>
      <c r="D6" s="52" t="n">
        <v>5.201</v>
      </c>
      <c r="E6" s="52" t="n">
        <v>4.141</v>
      </c>
      <c r="F6" s="52" t="n">
        <v>5.808</v>
      </c>
      <c r="G6" s="52" t="n">
        <v>6.286</v>
      </c>
      <c r="H6" s="52" t="n">
        <v>7.317</v>
      </c>
      <c r="I6" s="52" t="n">
        <v>8.523</v>
      </c>
      <c r="J6" s="52" t="n">
        <v>8.821999999999999</v>
      </c>
      <c r="K6" s="52" t="n">
        <v>9.675000000000001</v>
      </c>
      <c r="L6" s="52" t="n">
        <v>9.063000000000001</v>
      </c>
      <c r="M6" s="52" t="n">
        <v>10.676</v>
      </c>
      <c r="N6" s="52" t="n">
        <v>11.7</v>
      </c>
      <c r="O6" s="52" t="n">
        <v>11.251</v>
      </c>
      <c r="P6" s="52" t="n">
        <v>9.975</v>
      </c>
      <c r="Q6" s="52" t="n">
        <v>10.015</v>
      </c>
      <c r="R6" s="52" t="n">
        <v>9.43</v>
      </c>
      <c r="S6" s="52">
        <f>S7-S5</f>
        <v>13.396488903090003</v>
      </c>
      <c r="T6" s="52">
        <f>T7-T5</f>
        <v>18.473158736422505</v>
      </c>
      <c r="U6" s="52">
        <f>U7-U5</f>
        <v>24.718380539882794</v>
      </c>
      <c r="V6" s="52">
        <f>V7-V5</f>
        <v>32.074943623246014</v>
      </c>
      <c r="W6" s="52">
        <f>W7-W5</f>
        <v>40.33535490289917</v>
      </c>
      <c r="X6" s="52">
        <f>X7-X5</f>
        <v>49.119687723680755</v>
      </c>
      <c r="Y6" s="52">
        <f>Y7-Y5</f>
        <v>57.87867457366721</v>
      </c>
      <c r="Z6" s="52">
        <f>Z7-Z5</f>
        <v>65.93029456174821</v>
      </c>
      <c r="AA6" s="52">
        <f>AA7-AA5</f>
        <v>72.53206026113102</v>
      </c>
      <c r="AB6" s="52">
        <f>AB7-AB5</f>
        <v>76.9823712140616</v>
      </c>
    </row>
    <row r="7">
      <c r="A7" s="2" t="inlineStr">
        <is>
          <t>Operating Expense</t>
        </is>
      </c>
      <c r="B7" s="52">
        <f>SUM(B5:B6)</f>
        <v>7.879</v>
      </c>
      <c r="C7" s="52">
        <f>SUM(C5:C6)</f>
        <v>8.769</v>
      </c>
      <c r="D7" s="52">
        <f>SUM(D5:D6)</f>
        <v>11.979</v>
      </c>
      <c r="E7" s="52">
        <f>SUM(E5:E6)</f>
        <v>13.583</v>
      </c>
      <c r="F7" s="52">
        <f>SUM(F5:F6)</f>
        <v>18.083</v>
      </c>
      <c r="G7" s="52">
        <f>SUM(G5:G6)</f>
        <v>21.36</v>
      </c>
      <c r="H7" s="52">
        <f>SUM(H5:H6)</f>
        <v>28.562</v>
      </c>
      <c r="I7" s="52">
        <f>SUM(I5:I6)</f>
        <v>33.072</v>
      </c>
      <c r="J7" s="52">
        <f>SUM(J5:J6)</f>
        <v>37.405</v>
      </c>
      <c r="K7" s="52">
        <f>SUM(K5:K6)</f>
        <v>39.993</v>
      </c>
      <c r="L7" s="52">
        <f>SUM(L5:L6)</f>
        <v>28.878999999999998</v>
      </c>
      <c r="M7" s="52">
        <f>SUM(M5:M6)</f>
        <v>33.436</v>
      </c>
      <c r="N7" s="52">
        <f>SUM(N5:N6)</f>
        <v>40.394</v>
      </c>
      <c r="O7" s="52">
        <f>SUM(O5:O6)</f>
        <v>41.899</v>
      </c>
      <c r="P7" s="52">
        <f>SUM(P5:P6)</f>
        <v>44.447</v>
      </c>
      <c r="Q7" s="52">
        <f>SUM(Q5:Q6)</f>
        <v>34.825</v>
      </c>
      <c r="R7" s="52">
        <f>SUM(R5:R6)</f>
        <v>32.187</v>
      </c>
      <c r="S7" s="52">
        <f>S4-S2*NPV!C6</f>
        <v>45.72180513000001</v>
      </c>
      <c r="T7" s="52">
        <f>T4-T2*NPV!D6</f>
        <v>63.0483233325</v>
      </c>
      <c r="U7" s="52">
        <f>U4-U2*NPV!E6</f>
        <v>84.36307351495833</v>
      </c>
      <c r="V7" s="52">
        <f>V4-V2*NPV!F6</f>
        <v>109.47079734896249</v>
      </c>
      <c r="W7" s="52">
        <f>W4-W2*NPV!G6</f>
        <v>137.663327313649</v>
      </c>
      <c r="X7" s="52">
        <f>X4-X2*NPV!H6</f>
        <v>167.64398540505374</v>
      </c>
      <c r="Y7" s="52">
        <f>Y4-Y2*NPV!I6</f>
        <v>197.53813847667988</v>
      </c>
      <c r="Z7" s="52">
        <f>Z4-Z2*NPV!J6</f>
        <v>225.018070176615</v>
      </c>
      <c r="AA7" s="52">
        <f>AA4-AA2*NPV!K6</f>
        <v>247.54969372399663</v>
      </c>
      <c r="AB7" s="52">
        <f>AB4-AB2*NPV!L6</f>
        <v>262.73846830737745</v>
      </c>
    </row>
    <row r="8">
      <c r="A8" s="2" t="inlineStr">
        <is>
          <t>Operating Income</t>
        </is>
      </c>
      <c r="B8" s="52">
        <f>B4-B7</f>
        <v>-7.629</v>
      </c>
      <c r="C8" s="52">
        <f>C4-C7</f>
        <v>-7.878</v>
      </c>
      <c r="D8" s="52">
        <f>D4-D7</f>
        <v>-11.979</v>
      </c>
      <c r="E8" s="52">
        <f>E4-E7</f>
        <v>-13.542</v>
      </c>
      <c r="F8" s="52">
        <f>F4-F7</f>
        <v>-17.043</v>
      </c>
      <c r="G8" s="52">
        <f>G4-G7</f>
        <v>-12.336999999999998</v>
      </c>
      <c r="H8" s="52">
        <f>H4-H7</f>
        <v>-20.918000000000003</v>
      </c>
      <c r="I8" s="52">
        <f>I4-I7</f>
        <v>-32.583000000000006</v>
      </c>
      <c r="J8" s="52">
        <f>J4-J7</f>
        <v>-37.405</v>
      </c>
      <c r="K8" s="52">
        <f>K4-K7</f>
        <v>-23.227</v>
      </c>
      <c r="L8" s="52">
        <f>L4-L7</f>
        <v>-28.878999999999998</v>
      </c>
      <c r="M8" s="52">
        <f>M4-M7</f>
        <v>-31.496</v>
      </c>
      <c r="N8" s="52">
        <f>N4-N7</f>
        <v>-35.074</v>
      </c>
      <c r="O8" s="52">
        <f>O4-O7</f>
        <v>-35.374</v>
      </c>
      <c r="P8" s="52">
        <f>P4-P7</f>
        <v>-12.992</v>
      </c>
      <c r="Q8" s="52">
        <f>Q4-Q7</f>
        <v>-14.891000000000002</v>
      </c>
      <c r="R8" s="52">
        <f>R4-R7</f>
        <v>31.326</v>
      </c>
      <c r="S8" s="52">
        <f>S4-S7</f>
        <v>40.02438393</v>
      </c>
      <c r="T8" s="52">
        <f>T4-T7</f>
        <v>49.612641738</v>
      </c>
      <c r="U8" s="52">
        <f>U4-U7</f>
        <v>59.592604075124996</v>
      </c>
      <c r="V8" s="52">
        <f>V4-V7</f>
        <v>69.27416899205764</v>
      </c>
      <c r="W8" s="52">
        <f>W4-W7</f>
        <v>77.8236598863586</v>
      </c>
      <c r="X8" s="52">
        <f>X4-X7</f>
        <v>84.35607462606629</v>
      </c>
      <c r="Y8" s="52">
        <f>Y4-Y7</f>
        <v>88.0619295585895</v>
      </c>
      <c r="Z8" s="52">
        <f>Z4-Z7</f>
        <v>88.34867113986112</v>
      </c>
      <c r="AA8" s="52">
        <f>AA4-AA7</f>
        <v>84.96723733959752</v>
      </c>
      <c r="AB8" s="52">
        <f>AB4-AB7</f>
        <v>78.0913860328065</v>
      </c>
    </row>
    <row r="9">
      <c r="A9" s="18" t="inlineStr">
        <is>
          <t>Interest &amp; Other</t>
        </is>
      </c>
      <c r="B9" s="52" t="n">
        <v>3.798</v>
      </c>
      <c r="C9" s="52" t="n">
        <v>0.675</v>
      </c>
      <c r="D9" s="52" t="n">
        <v>-0.025</v>
      </c>
      <c r="E9" s="52" t="n">
        <v>-0.08599999999999999</v>
      </c>
      <c r="F9" s="52" t="n">
        <v>3.46</v>
      </c>
      <c r="G9" s="52" t="n">
        <v>1.603</v>
      </c>
      <c r="H9" s="52" t="n">
        <v>1.145</v>
      </c>
      <c r="I9" s="52" t="n">
        <v>1.097</v>
      </c>
      <c r="J9" s="52" t="n">
        <v>0.339</v>
      </c>
      <c r="K9" s="52" t="n">
        <v>0.628</v>
      </c>
      <c r="L9" s="52" t="n">
        <v>0.82</v>
      </c>
      <c r="M9" s="52" t="n">
        <v>1.798</v>
      </c>
      <c r="N9" s="52" t="n">
        <v>0.871</v>
      </c>
      <c r="O9" s="52" t="n">
        <v>1.738</v>
      </c>
      <c r="P9" s="52" t="n">
        <v>3.208</v>
      </c>
      <c r="Q9" s="52" t="n">
        <v>5.182</v>
      </c>
      <c r="R9" s="52" t="n">
        <v>4.071</v>
      </c>
      <c r="S9" s="52" t="n">
        <v>0</v>
      </c>
      <c r="T9" s="52" t="n">
        <v>0</v>
      </c>
      <c r="U9" s="52" t="n">
        <v>0</v>
      </c>
      <c r="V9" s="52" t="n">
        <v>0</v>
      </c>
      <c r="W9" s="52" t="n">
        <v>0</v>
      </c>
      <c r="X9" s="52" t="n">
        <v>0</v>
      </c>
      <c r="Y9" s="52" t="n">
        <v>0</v>
      </c>
      <c r="Z9" s="52" t="n">
        <v>0</v>
      </c>
      <c r="AA9" s="52" t="n">
        <v>0</v>
      </c>
      <c r="AB9" s="52" t="n">
        <v>0</v>
      </c>
    </row>
    <row r="10">
      <c r="A10" s="2" t="inlineStr">
        <is>
          <t>Pretax</t>
        </is>
      </c>
      <c r="B10" s="52">
        <f>B8+B9</f>
        <v>-3.8309999999999995</v>
      </c>
      <c r="C10" s="52">
        <f>C8+C9</f>
        <v>-7.203</v>
      </c>
      <c r="D10" s="52">
        <f>D8+D9</f>
        <v>-12.004</v>
      </c>
      <c r="E10" s="52">
        <f>E8+E9</f>
        <v>-13.628</v>
      </c>
      <c r="F10" s="52">
        <f>F8+F9</f>
        <v>-13.582999999999998</v>
      </c>
      <c r="G10" s="52">
        <f>G8+G9</f>
        <v>-10.733999999999998</v>
      </c>
      <c r="H10" s="52">
        <f>H8+H9</f>
        <v>-19.773000000000003</v>
      </c>
      <c r="I10" s="52">
        <f>I8+I9</f>
        <v>-31.486000000000004</v>
      </c>
      <c r="J10" s="52">
        <f>J8+J9</f>
        <v>-37.066</v>
      </c>
      <c r="K10" s="52">
        <f>K8+K9</f>
        <v>-22.599</v>
      </c>
      <c r="L10" s="52">
        <f>L8+L9</f>
        <v>-28.058999999999997</v>
      </c>
      <c r="M10" s="52">
        <f>M8+M9</f>
        <v>-29.698</v>
      </c>
      <c r="N10" s="52">
        <f>N8+N9</f>
        <v>-34.202999999999996</v>
      </c>
      <c r="O10" s="52">
        <f>O8+O9</f>
        <v>-33.636</v>
      </c>
      <c r="P10" s="52">
        <f>P8+P9</f>
        <v>-9.784</v>
      </c>
      <c r="Q10" s="52">
        <f>Q8+Q9</f>
        <v>-9.709000000000001</v>
      </c>
      <c r="R10" s="52">
        <f>R8+R9</f>
        <v>35.397</v>
      </c>
      <c r="S10" s="52">
        <f>S8+S9</f>
        <v>40.02438393</v>
      </c>
      <c r="T10" s="52">
        <f>T8+T9</f>
        <v>49.612641738</v>
      </c>
      <c r="U10" s="52">
        <f>U8+U9</f>
        <v>59.592604075124996</v>
      </c>
      <c r="V10" s="52">
        <f>V8+V9</f>
        <v>69.27416899205764</v>
      </c>
      <c r="W10" s="52">
        <f>W8+W9</f>
        <v>77.8236598863586</v>
      </c>
      <c r="X10" s="52">
        <f>X8+X9</f>
        <v>84.35607462606629</v>
      </c>
      <c r="Y10" s="52">
        <f>Y8+Y9</f>
        <v>88.0619295585895</v>
      </c>
      <c r="Z10" s="52">
        <f>Z8+Z9</f>
        <v>88.34867113986112</v>
      </c>
      <c r="AA10" s="52">
        <f>AA8+AA9</f>
        <v>84.96723733959752</v>
      </c>
      <c r="AB10" s="52">
        <f>AB8+AB9</f>
        <v>78.0913860328065</v>
      </c>
    </row>
    <row r="11">
      <c r="A11" s="2" t="inlineStr">
        <is>
          <t>Taxes</t>
        </is>
      </c>
      <c r="B11" s="52" t="n">
        <v>0</v>
      </c>
      <c r="C11" s="52" t="n">
        <v>0</v>
      </c>
      <c r="D11" s="52" t="n">
        <v>0</v>
      </c>
      <c r="E11" s="52" t="n">
        <v>0</v>
      </c>
      <c r="F11" s="52" t="n">
        <v>0.5</v>
      </c>
      <c r="G11" s="52" t="n">
        <v>0.36</v>
      </c>
      <c r="H11" s="52" t="n">
        <v>0.39</v>
      </c>
      <c r="I11" s="52" t="n">
        <v>0.02</v>
      </c>
      <c r="J11" s="52" t="n">
        <v>0</v>
      </c>
      <c r="K11" s="52" t="n">
        <v>0</v>
      </c>
      <c r="L11" s="52" t="n">
        <v>-0.722</v>
      </c>
      <c r="M11" s="52" t="n">
        <v>0</v>
      </c>
      <c r="N11" s="52" t="n">
        <v>0</v>
      </c>
      <c r="O11" s="52" t="n">
        <v>0.058</v>
      </c>
      <c r="P11" s="52" t="n">
        <v>8.970000000000001</v>
      </c>
      <c r="Q11" s="52" t="n">
        <v>4.522</v>
      </c>
      <c r="R11" s="52" t="n">
        <v>0.054</v>
      </c>
      <c r="S11" s="52">
        <f>MAX(0,S10)*Assumptions!$E$14</f>
        <v>6.8041452681</v>
      </c>
      <c r="T11" s="52">
        <f>MAX(0,T10)*Assumptions!$E$14</f>
        <v>8.43414909546</v>
      </c>
      <c r="U11" s="52">
        <f>MAX(0,U10)*Assumptions!$E$14</f>
        <v>10.13074269277125</v>
      </c>
      <c r="V11" s="52">
        <f>MAX(0,V10)*Assumptions!$E$14</f>
        <v>11.7766087286498</v>
      </c>
      <c r="W11" s="52">
        <f>MAX(0,W10)*Assumptions!$E$14</f>
        <v>13.230022180680963</v>
      </c>
      <c r="X11" s="52">
        <f>MAX(0,X10)*Assumptions!$E$14</f>
        <v>14.34053268643127</v>
      </c>
      <c r="Y11" s="52">
        <f>MAX(0,Y10)*Assumptions!$E$14</f>
        <v>14.970528024960215</v>
      </c>
      <c r="Z11" s="52">
        <f>MAX(0,Z10)*Assumptions!$E$14</f>
        <v>15.019274093776392</v>
      </c>
      <c r="AA11" s="52">
        <f>MAX(0,AA10)*Assumptions!$E$14</f>
        <v>14.44443034773158</v>
      </c>
      <c r="AB11" s="52">
        <f>MAX(0,AB10)*Assumptions!$E$14</f>
        <v>13.275535625577106</v>
      </c>
    </row>
    <row r="12">
      <c r="A12" s="2" t="inlineStr">
        <is>
          <t>Net Income</t>
        </is>
      </c>
      <c r="B12" s="52" t="n">
        <v>-3.831</v>
      </c>
      <c r="C12" s="52" t="n">
        <v>-7.203</v>
      </c>
      <c r="D12" s="52" t="n">
        <v>-12.004</v>
      </c>
      <c r="E12" s="52" t="n">
        <v>-13.628</v>
      </c>
      <c r="F12" s="52" t="n">
        <v>-14.083</v>
      </c>
      <c r="G12" s="52" t="n">
        <v>-11.094</v>
      </c>
      <c r="H12" s="52" t="n">
        <v>-20.163</v>
      </c>
      <c r="I12" s="52" t="n">
        <v>-31.506</v>
      </c>
      <c r="J12" s="52" t="n">
        <v>-37.066</v>
      </c>
      <c r="K12" s="52" t="n">
        <v>-22.599</v>
      </c>
      <c r="L12" s="52" t="n">
        <v>-27.337</v>
      </c>
      <c r="M12" s="52" t="n">
        <v>-29.698</v>
      </c>
      <c r="N12" s="52" t="n">
        <v>-34.203</v>
      </c>
      <c r="O12" s="52" t="n">
        <v>-33.694</v>
      </c>
      <c r="P12" s="52" t="n">
        <v>-18.754</v>
      </c>
      <c r="Q12" s="52" t="n">
        <v>-14.231</v>
      </c>
      <c r="R12" s="52" t="n">
        <v>35.343</v>
      </c>
      <c r="S12" s="52">
        <f>S10-S11</f>
        <v>33.2202386619</v>
      </c>
      <c r="T12" s="52">
        <f>T10-T11</f>
        <v>41.17849264254</v>
      </c>
      <c r="U12" s="52">
        <f>U10-U11</f>
        <v>49.461861382353746</v>
      </c>
      <c r="V12" s="52">
        <f>V10-V11</f>
        <v>57.49756026340784</v>
      </c>
      <c r="W12" s="52">
        <f>W10-W11</f>
        <v>64.59363770567764</v>
      </c>
      <c r="X12" s="52">
        <f>X10-X11</f>
        <v>70.01554193963501</v>
      </c>
      <c r="Y12" s="52">
        <f>Y10-Y11</f>
        <v>73.09140153362928</v>
      </c>
      <c r="Z12" s="52">
        <f>Z10-Z11</f>
        <v>73.32939704608474</v>
      </c>
      <c r="AA12" s="52">
        <f>AA10-AA11</f>
        <v>70.52280699186593</v>
      </c>
      <c r="AB12" s="52">
        <f>AB10-AB11</f>
        <v>64.81585040722939</v>
      </c>
    </row>
    <row r="13">
      <c r="A13" s="2" t="inlineStr">
        <is>
          <t>Earnings per Share</t>
        </is>
      </c>
      <c r="B13" s="11">
        <f>IFERROR(B12/B14,0)</f>
        <v>0</v>
      </c>
      <c r="C13" s="11">
        <f>IFERROR(C12/C14,0)</f>
        <v>-0.21641028722509315</v>
      </c>
      <c r="D13" s="11">
        <f>IFERROR(D12/D14,0)</f>
        <v>-0.3502056772763077</v>
      </c>
      <c r="E13" s="11">
        <f>IFERROR(E12/E14,0)</f>
        <v>-0.3759551987641038</v>
      </c>
      <c r="F13" s="11">
        <f>IFERROR(F12/F14,0)</f>
        <v>-0.3623195863027091</v>
      </c>
      <c r="G13" s="11">
        <f>IFERROR(G12/G14,0)</f>
        <v>-0.2292764585529171</v>
      </c>
      <c r="H13" s="11">
        <f>IFERROR(H12/H14,0)</f>
        <v>-0.3997660447687214</v>
      </c>
      <c r="I13" s="11">
        <f>IFERROR(I12/I14,0)</f>
        <v>-0.6195139216611609</v>
      </c>
      <c r="J13" s="11">
        <f>IFERROR(J12/J14,0)</f>
        <v>-0.7242282141461509</v>
      </c>
      <c r="K13" s="11">
        <f>IFERROR(K12/K14,0)</f>
        <v>-0.40883188306167123</v>
      </c>
      <c r="L13" s="11">
        <f>IFERROR(L12/L14,0)</f>
        <v>-0.42957713280010057</v>
      </c>
      <c r="M13" s="11">
        <f>IFERROR(M12/M14,0)</f>
        <v>-0.37313264062519635</v>
      </c>
      <c r="N13" s="11">
        <f>IFERROR(N12/N14,0)</f>
        <v>-0.4061921048881289</v>
      </c>
      <c r="O13" s="11">
        <f>IFERROR(O12/O14,0)</f>
        <v>-0.3892739960256944</v>
      </c>
      <c r="P13" s="11">
        <f>IFERROR(P12/P14,0)</f>
        <v>-0.21400613923978412</v>
      </c>
      <c r="Q13" s="11">
        <f>IFERROR(Q12/Q14,0)</f>
        <v>-0.15895585738539897</v>
      </c>
      <c r="R13" s="11">
        <f>IFERROR(R12/R14,0)</f>
        <v>0.3767307999786815</v>
      </c>
      <c r="S13" s="11">
        <f>IFERROR(S12/S14,0)</f>
        <v>0.351339159583731</v>
      </c>
      <c r="T13" s="11">
        <f>IFERROR(T12/T14,0)</f>
        <v>0.4355061125598606</v>
      </c>
      <c r="U13" s="11">
        <f>IFERROR(U12/U14,0)</f>
        <v>0.5231114979752904</v>
      </c>
      <c r="V13" s="11">
        <f>IFERROR(V12/V14,0)</f>
        <v>0.6080975126837109</v>
      </c>
      <c r="W13" s="11">
        <f>IFERROR(W12/W14,0)</f>
        <v>0.6831460368765094</v>
      </c>
      <c r="X13" s="11">
        <f>IFERROR(X12/X14,0)</f>
        <v>0.7404884086845362</v>
      </c>
      <c r="Y13" s="11">
        <f>IFERROR(Y12/Y14,0)</f>
        <v>0.773018877106213</v>
      </c>
      <c r="Z13" s="11">
        <f>IFERROR(Z12/Z14,0)</f>
        <v>0.7755359313688814</v>
      </c>
      <c r="AA13" s="11">
        <f>IFERROR(AA12/AA14,0)</f>
        <v>0.7458532731260855</v>
      </c>
      <c r="AB13" s="11">
        <f>IFERROR(AB12/AB14,0)</f>
        <v>0.6854961712210156</v>
      </c>
    </row>
    <row r="14">
      <c r="A14" s="2" t="inlineStr">
        <is>
          <t>Shares</t>
        </is>
      </c>
      <c r="B14" s="52" t="n"/>
      <c r="C14" s="52" t="n">
        <v>33.284</v>
      </c>
      <c r="D14" s="52" t="n">
        <v>34.277</v>
      </c>
      <c r="E14" s="52" t="n">
        <v>36.249</v>
      </c>
      <c r="F14" s="52" t="n">
        <v>38.869</v>
      </c>
      <c r="G14" s="52" t="n">
        <v>48.387</v>
      </c>
      <c r="H14" s="52" t="n">
        <v>50.437</v>
      </c>
      <c r="I14" s="52" t="n">
        <v>50.856</v>
      </c>
      <c r="J14" s="52" t="n">
        <v>51.18</v>
      </c>
      <c r="K14" s="52" t="n">
        <v>55.277</v>
      </c>
      <c r="L14" s="52" t="n">
        <v>63.637</v>
      </c>
      <c r="M14" s="52" t="n">
        <v>79.59099999999999</v>
      </c>
      <c r="N14" s="52" t="n">
        <v>84.20399999999999</v>
      </c>
      <c r="O14" s="52" t="n">
        <v>86.556</v>
      </c>
      <c r="P14" s="52" t="n">
        <v>87.633</v>
      </c>
      <c r="Q14" s="52" t="n">
        <v>89.52800000000001</v>
      </c>
      <c r="R14" s="52" t="n">
        <v>93.815</v>
      </c>
      <c r="S14" s="52">
        <f>Main!$C$4</f>
        <v>94.553191</v>
      </c>
      <c r="T14" s="52">
        <f>Main!$C$4</f>
        <v>94.553191</v>
      </c>
      <c r="U14" s="52">
        <f>Main!$C$4</f>
        <v>94.553191</v>
      </c>
      <c r="V14" s="52">
        <f>Main!$C$4</f>
        <v>94.553191</v>
      </c>
      <c r="W14" s="52">
        <f>Main!$C$4</f>
        <v>94.553191</v>
      </c>
      <c r="X14" s="52">
        <f>Main!$C$4</f>
        <v>94.553191</v>
      </c>
      <c r="Y14" s="52">
        <f>Main!$C$4</f>
        <v>94.553191</v>
      </c>
      <c r="Z14" s="52">
        <f>Main!$C$4</f>
        <v>94.553191</v>
      </c>
      <c r="AA14" s="52">
        <f>Main!$C$4</f>
        <v>94.553191</v>
      </c>
      <c r="AB14" s="52">
        <f>Main!$C$4</f>
        <v>94.553191</v>
      </c>
    </row>
    <row r="15"/>
    <row r="16" customFormat="1" s="4">
      <c r="A16" s="3" t="inlineStr">
        <is>
          <t>Revenue Change</t>
        </is>
      </c>
      <c r="C16" s="15">
        <f>IFERROR(C2/B2-1,"")</f>
        <v>3.46</v>
      </c>
      <c r="D16" s="15">
        <f>IFERROR(D2/C2-1,"")</f>
        <v>-1.0</v>
      </c>
      <c r="E16" s="15">
        <f>IFERROR(E2/D2-1,"")</f>
        <v/>
      </c>
      <c r="F16" s="15">
        <f>IFERROR(F2/E2-1,"")</f>
        <v>13.665289256198347</v>
      </c>
      <c r="G16" s="15">
        <f>IFERROR(G2/F2-1,"")</f>
        <v>2.4846435615666387</v>
      </c>
      <c r="H16" s="15">
        <f>IFERROR(H2/G2-1,"")</f>
        <v>-0.24985849438020546</v>
      </c>
      <c r="I16" s="15">
        <f>IFERROR(I2/H2-1,"")</f>
        <v>-0.9232510509863102</v>
      </c>
      <c r="J16" s="15">
        <f>IFERROR(J2/I2-1,"")</f>
        <v>-1.0</v>
      </c>
      <c r="K16" s="15">
        <f>IFERROR(K2/J2-1,"")</f>
        <v/>
      </c>
      <c r="L16" s="15">
        <f>IFERROR(L2/K2-1,"")</f>
        <v>-1.0</v>
      </c>
      <c r="M16" s="15">
        <f>IFERROR(M2/L2-1,"")</f>
        <v/>
      </c>
      <c r="N16" s="15">
        <f>IFERROR(N2/M2-1,"")</f>
        <v>2.0</v>
      </c>
      <c r="O16" s="15">
        <f>IFERROR(O2/N2-1,"")</f>
        <v>0.25</v>
      </c>
      <c r="P16" s="15">
        <f>IFERROR(P2/O2-1,"")</f>
        <v>3.4612000000000007</v>
      </c>
      <c r="Q16" s="15">
        <f>IFERROR(Q2/P2-1,"")</f>
        <v>-0.1672195821751995</v>
      </c>
      <c r="R16" s="15">
        <f>IFERROR(R2/Q2-1,"")</f>
        <v>1.6113982199253516</v>
      </c>
      <c r="S16" s="15">
        <f>IFERROR(S2/R2-1,"")</f>
        <v>0.3500000000000001</v>
      </c>
      <c r="T16" s="15">
        <f>IFERROR(T2/S2-1,"")</f>
        <v>0.3138888888888889</v>
      </c>
      <c r="U16" s="15">
        <f>IFERROR(U2/T2-1,"")</f>
        <v>0.2777777777777777</v>
      </c>
      <c r="V16" s="15">
        <f>IFERROR(V2/U2-1,"")</f>
        <v>0.2416666666666667</v>
      </c>
      <c r="W16" s="15">
        <f>IFERROR(W2/V2-1,"")</f>
        <v>0.2055555555555555</v>
      </c>
      <c r="X16" s="15">
        <f>IFERROR(X2/W2-1,"")</f>
        <v>0.1694444444444445</v>
      </c>
      <c r="Y16" s="15">
        <f>IFERROR(Y2/X2-1,"")</f>
        <v>0.1333333333333333</v>
      </c>
      <c r="Z16" s="15">
        <f>IFERROR(Z2/Y2-1,"")</f>
        <v>0.09722222222222232</v>
      </c>
      <c r="AA16" s="15">
        <f>IFERROR(AA2/Z2-1,"")</f>
        <v>0.061111111111111116</v>
      </c>
      <c r="AB16" s="15">
        <f>IFERROR(AB2/AA2-1,"")</f>
        <v>0.02499999999999991</v>
      </c>
    </row>
    <row r="17" customFormat="1" s="4">
      <c r="A17" s="3" t="inlineStr">
        <is>
          <t>Gross Margin</t>
        </is>
      </c>
      <c r="B17" s="15">
        <f>IFERROR(B4/B2,"")</f>
        <v>1.0</v>
      </c>
      <c r="C17" s="15">
        <f>IFERROR(C4/C2,"")</f>
        <v>0.799103139013453</v>
      </c>
      <c r="D17" s="15">
        <f>IFERROR(D4/D2,"")</f>
        <v/>
      </c>
      <c r="E17" s="15">
        <f>IFERROR(E4/E2,"")</f>
        <v>0.16942148760330572</v>
      </c>
      <c r="F17" s="15">
        <f>IFERROR(F4/F2,"")</f>
        <v>0.29304029304029305</v>
      </c>
      <c r="G17" s="15">
        <f>IFERROR(G4/G2,"")</f>
        <v>0.7296029756610335</v>
      </c>
      <c r="H17" s="15">
        <f>IFERROR(H4/H2,"")</f>
        <v>0.8239732672200064</v>
      </c>
      <c r="I17" s="15">
        <f>IFERROR(I4/I2,"")</f>
        <v>0.6867977528089888</v>
      </c>
      <c r="J17" s="15">
        <f>IFERROR(J4/J2,"")</f>
        <v/>
      </c>
      <c r="K17" s="15">
        <f>IFERROR(K4/K2,"")</f>
        <v>0.9419101123595506</v>
      </c>
      <c r="L17" s="15">
        <f>IFERROR(L4/L2,"")</f>
        <v/>
      </c>
      <c r="M17" s="15">
        <f>IFERROR(M4/M2,"")</f>
        <v>0.97</v>
      </c>
      <c r="N17" s="15">
        <f>IFERROR(N4/N2,"")</f>
        <v>0.8866666666666667</v>
      </c>
      <c r="O17" s="15">
        <f>IFERROR(O4/O2,"")</f>
        <v>0.87</v>
      </c>
      <c r="P17" s="15">
        <f>IFERROR(P4/P2,"")</f>
        <v>0.9401058011297408</v>
      </c>
      <c r="Q17" s="15">
        <f>IFERROR(Q4/Q2,"")</f>
        <v>0.715403387884008</v>
      </c>
      <c r="R17" s="15">
        <f>IFERROR(R4/R2,"")</f>
        <v>0.8728629542081249</v>
      </c>
      <c r="S17" s="15">
        <f>IFERROR(S4/S2,"")</f>
        <v>0.8729</v>
      </c>
      <c r="T17" s="15">
        <f>IFERROR(T4/T2,"")</f>
        <v>0.8729</v>
      </c>
      <c r="U17" s="15">
        <f>IFERROR(U4/U2,"")</f>
        <v>0.8729</v>
      </c>
      <c r="V17" s="15">
        <f>IFERROR(V4/V2,"")</f>
        <v>0.8729</v>
      </c>
      <c r="W17" s="15">
        <f>IFERROR(W4/W2,"")</f>
        <v>0.8729</v>
      </c>
      <c r="X17" s="15">
        <f>IFERROR(X4/X2,"")</f>
        <v>0.8729</v>
      </c>
      <c r="Y17" s="15">
        <f>IFERROR(Y4/Y2,"")</f>
        <v>0.8729</v>
      </c>
      <c r="Z17" s="15">
        <f>IFERROR(Z4/Z2,"")</f>
        <v>0.8729</v>
      </c>
      <c r="AA17" s="15">
        <f>IFERROR(AA4/AA2,"")</f>
        <v>0.8729000000000001</v>
      </c>
      <c r="AB17" s="15">
        <f>IFERROR(AB4/AB2,"")</f>
        <v>0.8729</v>
      </c>
    </row>
    <row r="18">
      <c r="A18" s="14" t="inlineStr">
        <is>
          <t>Operating Margin</t>
        </is>
      </c>
      <c r="B18" s="15">
        <f>IFERROR(B8/B2,"")</f>
        <v>-30.516</v>
      </c>
      <c r="C18" s="15">
        <f>IFERROR(C8/C2,"")</f>
        <v>-7.0654708520179375</v>
      </c>
      <c r="D18" s="15">
        <f>IFERROR(D8/D2,"")</f>
        <v/>
      </c>
      <c r="E18" s="15">
        <f>IFERROR(E8/E2,"")</f>
        <v>-55.95867768595041</v>
      </c>
      <c r="F18" s="15">
        <f>IFERROR(F8/F2,"")</f>
        <v>-4.802197802197802</v>
      </c>
      <c r="G18" s="15">
        <f>IFERROR(G8/G2,"")</f>
        <v>-0.9975741893749492</v>
      </c>
      <c r="H18" s="15">
        <f>IFERROR(H8/H2,"")</f>
        <v>-2.254823757680285</v>
      </c>
      <c r="I18" s="15">
        <f>IFERROR(I8/I2,"")</f>
        <v>-45.76264044943821</v>
      </c>
      <c r="J18" s="15">
        <f>IFERROR(J8/J2,"")</f>
        <v/>
      </c>
      <c r="K18" s="15">
        <f>IFERROR(K8/K2,"")</f>
        <v>-1.304887640449438</v>
      </c>
      <c r="L18" s="15">
        <f>IFERROR(L8/L2,"")</f>
        <v/>
      </c>
      <c r="M18" s="15">
        <f>IFERROR(M8/M2,"")</f>
        <v>-15.748</v>
      </c>
      <c r="N18" s="15">
        <f>IFERROR(N8/N2,"")</f>
        <v>-5.845666666666666</v>
      </c>
      <c r="O18" s="15">
        <f>IFERROR(O8/O2,"")</f>
        <v>-4.7165333333333335</v>
      </c>
      <c r="P18" s="15">
        <f>IFERROR(P8/P2,"")</f>
        <v>-0.3882961236139753</v>
      </c>
      <c r="Q18" s="15">
        <f>IFERROR(Q8/Q2,"")</f>
        <v>-0.5344171691070916</v>
      </c>
      <c r="R18" s="15">
        <f>IFERROR(R8/R2,"")</f>
        <v>0.43051508987961085</v>
      </c>
      <c r="S18" s="15">
        <f>IFERROR(S8/S2,"")</f>
        <v>0.40745</v>
      </c>
      <c r="T18" s="15">
        <f>IFERROR(T8/T2,"")</f>
        <v>0.3844</v>
      </c>
      <c r="U18" s="15">
        <f>IFERROR(U8/U2,"")</f>
        <v>0.36135</v>
      </c>
      <c r="V18" s="15">
        <f>IFERROR(V8/V2,"")</f>
        <v>0.3383</v>
      </c>
      <c r="W18" s="15">
        <f>IFERROR(W8/W2,"")</f>
        <v>0.3152500000000001</v>
      </c>
      <c r="X18" s="15">
        <f>IFERROR(X8/X2,"")</f>
        <v>0.29219999999999996</v>
      </c>
      <c r="Y18" s="15">
        <f>IFERROR(Y8/Y2,"")</f>
        <v>0.26915000000000006</v>
      </c>
      <c r="Z18" s="15">
        <f>IFERROR(Z8/Z2,"")</f>
        <v>0.24609999999999999</v>
      </c>
      <c r="AA18" s="15">
        <f>IFERROR(AA8/AA2,"")</f>
        <v>0.22305000000000003</v>
      </c>
      <c r="AB18" s="15">
        <f>IFERROR(AB8/AB2,"")</f>
        <v>0.2</v>
      </c>
    </row>
    <row r="19">
      <c r="A19" s="14" t="inlineStr">
        <is>
          <t>Actual / Estimate</t>
        </is>
      </c>
      <c r="B19" s="19" t="inlineStr">
        <is>
          <t>A</t>
        </is>
      </c>
      <c r="C19" s="19" t="inlineStr">
        <is>
          <t>A</t>
        </is>
      </c>
      <c r="D19" s="19" t="inlineStr">
        <is>
          <t>A</t>
        </is>
      </c>
      <c r="E19" s="19" t="inlineStr">
        <is>
          <t>A</t>
        </is>
      </c>
      <c r="F19" s="19" t="inlineStr">
        <is>
          <t>A</t>
        </is>
      </c>
      <c r="G19" s="19" t="inlineStr">
        <is>
          <t>A</t>
        </is>
      </c>
      <c r="H19" s="19" t="inlineStr">
        <is>
          <t>A</t>
        </is>
      </c>
      <c r="I19" s="19" t="inlineStr">
        <is>
          <t>A</t>
        </is>
      </c>
      <c r="J19" s="19" t="inlineStr">
        <is>
          <t>A</t>
        </is>
      </c>
      <c r="K19" s="19" t="inlineStr">
        <is>
          <t>A</t>
        </is>
      </c>
      <c r="L19" s="19" t="inlineStr">
        <is>
          <t>A</t>
        </is>
      </c>
      <c r="M19" s="19" t="inlineStr">
        <is>
          <t>A</t>
        </is>
      </c>
      <c r="N19" s="19" t="inlineStr">
        <is>
          <t>A</t>
        </is>
      </c>
      <c r="O19" s="19" t="inlineStr">
        <is>
          <t>A</t>
        </is>
      </c>
      <c r="P19" s="19" t="inlineStr">
        <is>
          <t>A</t>
        </is>
      </c>
      <c r="Q19" s="19" t="inlineStr">
        <is>
          <t>A</t>
        </is>
      </c>
      <c r="R19" s="19" t="inlineStr">
        <is>
          <t>A</t>
        </is>
      </c>
      <c r="S19" s="19" t="inlineStr">
        <is>
          <t>E</t>
        </is>
      </c>
      <c r="T19" s="19" t="inlineStr">
        <is>
          <t>E</t>
        </is>
      </c>
      <c r="U19" s="19" t="inlineStr">
        <is>
          <t>E</t>
        </is>
      </c>
      <c r="V19" s="19" t="inlineStr">
        <is>
          <t>E</t>
        </is>
      </c>
      <c r="W19" s="19" t="inlineStr">
        <is>
          <t>E</t>
        </is>
      </c>
      <c r="X19" s="19" t="inlineStr">
        <is>
          <t>E</t>
        </is>
      </c>
      <c r="Y19" s="19" t="inlineStr">
        <is>
          <t>E</t>
        </is>
      </c>
      <c r="Z19" s="19" t="inlineStr">
        <is>
          <t>E</t>
        </is>
      </c>
      <c r="AA19" s="19" t="inlineStr">
        <is>
          <t>E</t>
        </is>
      </c>
      <c r="AB19" s="19" t="inlineStr">
        <is>
          <t>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44" customWidth="1" style="9" min="1" max="1"/>
    <col width="14" customWidth="1" style="9" min="2" max="2"/>
    <col width="14" customWidth="1" style="9" min="3" max="3"/>
    <col width="14" customWidth="1" style="9" min="4" max="4"/>
    <col width="14" customWidth="1" style="9" min="5" max="5"/>
    <col width="14" customWidth="1" style="9" min="6" max="6"/>
  </cols>
  <sheetData>
    <row r="1">
      <c r="A1" s="20" t="inlineStr">
        <is>
          <t>Compugen Ltd.: basic DCF assumptions</t>
        </is>
      </c>
    </row>
    <row r="2">
      <c r="A2" s="21" t="inlineStr">
        <is>
          <t>Blue = input, black = formula, green = link. $mm unless noted.</t>
        </is>
      </c>
    </row>
    <row r="4">
      <c r="A4" s="20" t="inlineStr">
        <is>
          <t>Scenario (1 Bear, 2 Base, 3 Bull)</t>
        </is>
      </c>
      <c r="B4" s="22" t="n">
        <v>2</v>
      </c>
      <c r="C4" s="20" t="str">
        <f>CHOOSE($B$4,"Bear","Base","Bull")</f>
        <v>Base</v>
      </c>
    </row>
    <row r="6">
      <c r="A6" s="14" t="inlineStr">
        <is>
          <t>Discount rate override (blank = scenario)</t>
        </is>
      </c>
      <c r="B6" s="53" t="n"/>
    </row>
    <row r="7">
      <c r="A7" s="14" t="inlineStr">
        <is>
          <t>Terminal growth override (blank = scenario)</t>
        </is>
      </c>
      <c r="B7" s="53" t="n"/>
    </row>
    <row r="9">
      <c r="A9" s="24" t="inlineStr">
        <is>
          <t>Parameter</t>
        </is>
      </c>
      <c r="B9" s="25" t="inlineStr">
        <is>
          <t>Bear</t>
        </is>
      </c>
      <c r="C9" s="25" t="inlineStr">
        <is>
          <t>Base</t>
        </is>
      </c>
      <c r="D9" s="25" t="inlineStr">
        <is>
          <t>Bull</t>
        </is>
      </c>
      <c r="E9" s="25" t="inlineStr">
        <is>
          <t>Live</t>
        </is>
      </c>
    </row>
    <row r="10">
      <c r="A10" s="14" t="inlineStr">
        <is>
          <t>Discount rate</t>
        </is>
      </c>
      <c r="B10" s="53" t="n">
        <v>0.135</v>
      </c>
      <c r="C10" s="53" t="n">
        <v>0.125</v>
      </c>
      <c r="D10" s="53" t="n">
        <v>0.115</v>
      </c>
      <c r="E10" s="54">
        <f>IF(ISNUMBER($B$6),$B$6,CHOOSE($B$4,B10,C10,D10))</f>
        <v>0.125</v>
      </c>
    </row>
    <row r="11">
      <c r="A11" s="14" t="inlineStr">
        <is>
          <t>Terminal growth</t>
        </is>
      </c>
      <c r="B11" s="53" t="n">
        <v>0.02</v>
      </c>
      <c r="C11" s="53" t="n">
        <v>0.025</v>
      </c>
      <c r="D11" s="53" t="n">
        <v>0.03</v>
      </c>
      <c r="E11" s="54">
        <f>IF(ISNUMBER($B$7),$B$7,CHOOSE($B$4,B11,C11,D11))</f>
        <v>0.025</v>
      </c>
    </row>
    <row r="12">
      <c r="A12" s="14" t="inlineStr">
        <is>
          <t>Revenue growth, first forecast year</t>
        </is>
      </c>
      <c r="B12" s="53" t="n">
        <v>0.3</v>
      </c>
      <c r="C12" s="53" t="n">
        <v>0.35</v>
      </c>
      <c r="D12" s="53" t="n">
        <v>0.4</v>
      </c>
      <c r="E12" s="54">
        <f>CHOOSE($B$4,B12,C12,D12)</f>
        <v>0.35</v>
      </c>
    </row>
    <row r="13">
      <c r="A13" s="14" t="inlineStr">
        <is>
          <t>Operating margin, year 10</t>
        </is>
      </c>
      <c r="B13" s="53" t="n">
        <v>0.15</v>
      </c>
      <c r="C13" s="53" t="n">
        <v>0.2</v>
      </c>
      <c r="D13" s="53" t="n">
        <v>0.25</v>
      </c>
      <c r="E13" s="54">
        <f>CHOOSE($B$4,B13,C13,D13)</f>
        <v>0.2</v>
      </c>
    </row>
    <row r="14">
      <c r="A14" s="14" t="inlineStr">
        <is>
          <t>Tax rate on operating income</t>
        </is>
      </c>
      <c r="B14" s="53" t="n">
        <v>0.17</v>
      </c>
      <c r="C14" s="53" t="n">
        <v>0.17</v>
      </c>
      <c r="D14" s="53" t="n">
        <v>0.17</v>
      </c>
      <c r="E14" s="54">
        <f>CHOOSE($B$4,B14,C14,D14)</f>
        <v>0.17</v>
      </c>
    </row>
    <row r="15">
      <c r="A15" s="14" t="inlineStr">
        <is>
          <t>Reinvestment, % of revenue increase</t>
        </is>
      </c>
      <c r="B15" s="53" t="n">
        <v>0.25</v>
      </c>
      <c r="C15" s="53" t="n">
        <v>0.25</v>
      </c>
      <c r="D15" s="53" t="n">
        <v>0.25</v>
      </c>
      <c r="E15" s="54">
        <f>CHOOSE($B$4,B15,C15,D15)</f>
        <v>0.25</v>
      </c>
    </row>
    <row r="17">
      <c r="A17" s="27" t="inlineStr">
        <is>
          <t>Single inputs</t>
        </is>
      </c>
      <c r="B17" s="28" t="n"/>
      <c r="C17" s="28" t="n"/>
      <c r="D17" s="28" t="n"/>
      <c r="E17" s="28" t="n"/>
    </row>
    <row r="18">
      <c r="A18" s="14" t="inlineStr">
        <is>
          <t>Starting operating margin (TTM)</t>
        </is>
      </c>
      <c r="B18" s="53" t="n">
        <v>0.4305</v>
      </c>
    </row>
    <row r="19">
      <c r="A19" s="14" t="inlineStr">
        <is>
          <t>Gross margin (forecast)</t>
        </is>
      </c>
      <c r="B19" s="53" t="n">
        <v>0.8729</v>
      </c>
    </row>
    <row r="20">
      <c r="A20" s="14" t="inlineStr">
        <is>
          <t>R&amp;D share of operating expense (forecast)</t>
        </is>
      </c>
      <c r="B20" s="53" t="n">
        <v>0.707</v>
      </c>
    </row>
    <row r="21">
      <c r="A21" s="14" t="inlineStr">
        <is>
          <t>Forecast years</t>
        </is>
      </c>
      <c r="B21" s="29" t="n">
        <v>10</v>
      </c>
    </row>
    <row r="22">
      <c r="A22" s="14" t="inlineStr">
        <is>
          <t>First forecast year, fraction after balance sheet date</t>
        </is>
      </c>
      <c r="B22" s="30" t="n">
        <v>1</v>
      </c>
    </row>
    <row r="23">
      <c r="A23" s="14" t="inlineStr">
        <is>
          <t>Balance sheet date</t>
        </is>
      </c>
      <c r="B23" s="31" t="n">
        <v>46022</v>
      </c>
    </row>
    <row r="24">
      <c r="A24" s="14" t="inlineStr">
        <is>
          <t>Reporting currency per USD (USD)</t>
        </is>
      </c>
      <c r="B24" s="32" t="n">
        <v>1</v>
      </c>
    </row>
    <row r="25">
      <c r="A25" s="14" t="inlineStr">
        <is>
          <t>Base revenue, FY2025</t>
        </is>
      </c>
      <c r="B25" s="55">
        <f>'Yearly Model'!R2</f>
        <v>72.764</v>
      </c>
    </row>
    <row r="27">
      <c r="A27" s="27" t="inlineStr">
        <is>
          <t>Scenario summary</t>
        </is>
      </c>
      <c r="B27" s="28" t="n"/>
      <c r="C27" s="28" t="n"/>
      <c r="D27" s="28" t="n"/>
      <c r="E27" s="28" t="n"/>
    </row>
    <row r="28">
      <c r="A28" s="24" t="inlineStr">
        <is>
          <t>Scenario</t>
        </is>
      </c>
      <c r="B28" s="25" t="inlineStr">
        <is>
          <t>Enterprise value</t>
        </is>
      </c>
      <c r="C28" s="25" t="inlineStr">
        <is>
          <t>Equity value</t>
        </is>
      </c>
      <c r="D28" s="25" t="inlineStr">
        <is>
          <t>NPV / share</t>
        </is>
      </c>
      <c r="E28" s="25" t="inlineStr">
        <is>
          <t>Upside</t>
        </is>
      </c>
    </row>
    <row r="29">
      <c r="A29" s="21" t="inlineStr">
        <is>
          <t>Live</t>
        </is>
      </c>
      <c r="B29" s="56">
        <f>NPV!B23</f>
        <v>475.9043756665494</v>
      </c>
      <c r="C29" s="56">
        <f>NPV!B26</f>
        <v>575.7853756665494</v>
      </c>
      <c r="D29" s="35">
        <f>NPV!B28</f>
        <v>6.089539333120438</v>
      </c>
      <c r="E29" s="57">
        <f>NPV!B30</f>
        <v>1.8455791276263729</v>
      </c>
    </row>
    <row r="30">
      <c r="A30" s="58" t="n">
        <v>1</v>
      </c>
      <c r="B30" s="59">
        <f t="dataTable" ref="B30:E32" r1="B4"/>
        <v>303.6232488213711</v>
      </c>
      <c r="C30" s="59">
        <v>403.5042488213711</v>
      </c>
      <c r="D30" s="39">
        <v>4.267484201790409</v>
      </c>
      <c r="E30" s="60">
        <v>0.9941514961637423</v>
      </c>
    </row>
    <row r="31">
      <c r="A31" s="58" t="n">
        <v>2</v>
      </c>
      <c r="B31" s="59">
        <v>475.9043756665494</v>
      </c>
      <c r="C31" s="59">
        <v>575.7853756665494</v>
      </c>
      <c r="D31" s="39">
        <v>6.089539333120438</v>
      </c>
      <c r="E31" s="60">
        <v>1.8455791276263729</v>
      </c>
    </row>
    <row r="32">
      <c r="A32" s="58" t="n">
        <v>3</v>
      </c>
      <c r="B32" s="59">
        <v>769.4949318225129</v>
      </c>
      <c r="C32" s="59">
        <v>869.3759318225128</v>
      </c>
      <c r="D32" s="39">
        <v>9.194569983603333</v>
      </c>
      <c r="E32" s="60">
        <v>3.296528029721183</v>
      </c>
    </row>
    <row r="35">
      <c r="A35" s="27" t="inlineStr">
        <is>
          <t>NPV / share: discount rate (rows) x terminal growth (columns)</t>
        </is>
      </c>
      <c r="B35" s="28" t="n"/>
      <c r="C35" s="28" t="n"/>
      <c r="D35" s="28" t="n"/>
      <c r="E35" s="28" t="n"/>
      <c r="F35" s="28" t="n"/>
    </row>
    <row r="36">
      <c r="A36" s="35">
        <f>NPV!B28</f>
        <v>6.089539333120438</v>
      </c>
      <c r="B36" s="61" t="n">
        <v>0.015</v>
      </c>
      <c r="C36" s="61" t="n">
        <v>0.02</v>
      </c>
      <c r="D36" s="61" t="n">
        <v>0.025</v>
      </c>
      <c r="E36" s="61" t="n">
        <v>0.03</v>
      </c>
      <c r="F36" s="61" t="n">
        <v>0.035</v>
      </c>
    </row>
    <row r="37">
      <c r="A37" s="62" t="n">
        <v>0.105</v>
      </c>
      <c r="B37" s="39">
        <f t="dataTable" ref="B37:F41" dt2D="1" r1="B7" r2="B6"/>
        <v>6.907113997685736</v>
      </c>
      <c r="C37" s="39">
        <v>7.1362341619561525</v>
      </c>
      <c r="D37" s="39">
        <v>7.393111406242771</v>
      </c>
      <c r="E37" s="39">
        <v>7.683287671144891</v>
      </c>
      <c r="F37" s="39">
        <v>8.013888215759449</v>
      </c>
    </row>
    <row r="38">
      <c r="A38" s="62" t="n">
        <v>0.115</v>
      </c>
      <c r="B38" s="39">
        <v>6.296628759974307</v>
      </c>
      <c r="C38" s="39">
        <v>6.473002495033392</v>
      </c>
      <c r="D38" s="39">
        <v>6.668231542746171</v>
      </c>
      <c r="E38" s="39">
        <v>6.8856354660764</v>
      </c>
      <c r="F38" s="39">
        <v>7.129363642719998</v>
      </c>
    </row>
    <row r="39">
      <c r="A39" s="62" t="n">
        <v>0.125</v>
      </c>
      <c r="B39" s="39">
        <v>5.798557304451724</v>
      </c>
      <c r="C39" s="39">
        <v>5.937420776624848</v>
      </c>
      <c r="D39" s="39">
        <v>6.089539333120438</v>
      </c>
      <c r="E39" s="39">
        <v>6.256999292438565</v>
      </c>
      <c r="F39" s="39">
        <v>6.442350536338073</v>
      </c>
    </row>
    <row r="40">
      <c r="A40" s="62" t="n">
        <v>0.135</v>
      </c>
      <c r="B40" s="39">
        <v>5.384673605596735</v>
      </c>
      <c r="C40" s="39">
        <v>5.496069991483445</v>
      </c>
      <c r="D40" s="39">
        <v>5.6170504118884175</v>
      </c>
      <c r="E40" s="39">
        <v>5.748978415120557</v>
      </c>
      <c r="F40" s="39">
        <v>5.893490206125112</v>
      </c>
    </row>
    <row r="41">
      <c r="A41" s="62" t="n">
        <v>0.145</v>
      </c>
      <c r="B41" s="39">
        <v>5.035451712875315</v>
      </c>
      <c r="C41" s="39">
        <v>5.126240467005063</v>
      </c>
      <c r="D41" s="39">
        <v>5.224123906950189</v>
      </c>
      <c r="E41" s="39">
        <v>5.330022622597909</v>
      </c>
      <c r="F41" s="39">
        <v>5.445024538762273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cols>
    <col width="38" customWidth="1" style="9" min="1" max="1"/>
    <col width="13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</cols>
  <sheetData>
    <row r="1">
      <c r="A1" s="20" t="inlineStr">
        <is>
          <t>Compugen Ltd.: free-cash-flow DCF ($mm)</t>
        </is>
      </c>
    </row>
    <row r="3">
      <c r="A3" s="20" t="inlineStr">
        <is>
          <t>Fiscal year</t>
        </is>
      </c>
      <c r="B3" s="43">
        <f>'Yearly Model'!R1</f>
        <v>2025</v>
      </c>
      <c r="C3" s="43">
        <f>'Yearly Model'!S1</f>
        <v>2026</v>
      </c>
      <c r="D3" s="43">
        <f>'Yearly Model'!T1</f>
        <v>2027</v>
      </c>
      <c r="E3" s="43">
        <f>'Yearly Model'!U1</f>
        <v>2028</v>
      </c>
      <c r="F3" s="43">
        <f>'Yearly Model'!V1</f>
        <v>2029</v>
      </c>
      <c r="G3" s="43">
        <f>'Yearly Model'!W1</f>
        <v>2030</v>
      </c>
      <c r="H3" s="43">
        <f>'Yearly Model'!X1</f>
        <v>2031</v>
      </c>
      <c r="I3" s="43">
        <f>'Yearly Model'!Y1</f>
        <v>2032</v>
      </c>
      <c r="J3" s="43">
        <f>'Yearly Model'!Z1</f>
        <v>2033</v>
      </c>
      <c r="K3" s="43">
        <f>'Yearly Model'!AA1</f>
        <v>2034</v>
      </c>
      <c r="L3" s="43">
        <f>'Yearly Model'!AB1</f>
        <v>2035</v>
      </c>
    </row>
    <row r="4">
      <c r="A4" s="14" t="inlineStr">
        <is>
          <t>Period</t>
        </is>
      </c>
      <c r="B4" s="19" t="inlineStr">
        <is>
          <t>Actual</t>
        </is>
      </c>
      <c r="C4" s="29" t="n">
        <v>1</v>
      </c>
      <c r="D4" s="29" t="n">
        <v>2</v>
      </c>
      <c r="E4" s="29" t="n">
        <v>3</v>
      </c>
      <c r="F4" s="29" t="n">
        <v>4</v>
      </c>
      <c r="G4" s="29" t="n">
        <v>5</v>
      </c>
      <c r="H4" s="29" t="n">
        <v>6</v>
      </c>
      <c r="I4" s="29" t="n">
        <v>7</v>
      </c>
      <c r="J4" s="29" t="n">
        <v>8</v>
      </c>
      <c r="K4" s="29" t="n">
        <v>9</v>
      </c>
      <c r="L4" s="29" t="n">
        <v>10</v>
      </c>
    </row>
    <row r="5">
      <c r="A5" s="14" t="inlineStr">
        <is>
          <t>Revenue growth</t>
        </is>
      </c>
      <c r="C5" s="63">
        <f>Assumptions!$E$12+(Assumptions!$E$11-Assumptions!$E$12)*(C4-1)/(Assumptions!$B$21-1)</f>
        <v>0.35</v>
      </c>
      <c r="D5" s="63">
        <f>Assumptions!$E$12+(Assumptions!$E$11-Assumptions!$E$12)*(D4-1)/(Assumptions!$B$21-1)</f>
        <v>0.3138888888888889</v>
      </c>
      <c r="E5" s="63">
        <f>Assumptions!$E$12+(Assumptions!$E$11-Assumptions!$E$12)*(E4-1)/(Assumptions!$B$21-1)</f>
        <v>0.2777777777777778</v>
      </c>
      <c r="F5" s="63">
        <f>Assumptions!$E$12+(Assumptions!$E$11-Assumptions!$E$12)*(F4-1)/(Assumptions!$B$21-1)</f>
        <v>0.24166666666666664</v>
      </c>
      <c r="G5" s="63">
        <f>Assumptions!$E$12+(Assumptions!$E$11-Assumptions!$E$12)*(G4-1)/(Assumptions!$B$21-1)</f>
        <v>0.20555555555555555</v>
      </c>
      <c r="H5" s="63">
        <f>Assumptions!$E$12+(Assumptions!$E$11-Assumptions!$E$12)*(H4-1)/(Assumptions!$B$21-1)</f>
        <v>0.16944444444444445</v>
      </c>
      <c r="I5" s="63">
        <f>Assumptions!$E$12+(Assumptions!$E$11-Assumptions!$E$12)*(I4-1)/(Assumptions!$B$21-1)</f>
        <v>0.13333333333333333</v>
      </c>
      <c r="J5" s="63">
        <f>Assumptions!$E$12+(Assumptions!$E$11-Assumptions!$E$12)*(J4-1)/(Assumptions!$B$21-1)</f>
        <v>0.09722222222222227</v>
      </c>
      <c r="K5" s="63">
        <f>Assumptions!$E$12+(Assumptions!$E$11-Assumptions!$E$12)*(K4-1)/(Assumptions!$B$21-1)</f>
        <v>0.061111111111111116</v>
      </c>
      <c r="L5" s="63">
        <f>Assumptions!$E$12+(Assumptions!$E$11-Assumptions!$E$12)*(L4-1)/(Assumptions!$B$21-1)</f>
        <v>0.025000000000000022</v>
      </c>
    </row>
    <row r="6">
      <c r="A6" s="14" t="inlineStr">
        <is>
          <t>Operating margin</t>
        </is>
      </c>
      <c r="B6" s="63">
        <f>IFERROR(B8/B7,0)</f>
        <v>0.43051508987961085</v>
      </c>
      <c r="C6" s="63">
        <f>Assumptions!$B$18+(Assumptions!$E$13-Assumptions!$B$18)*C4/Assumptions!$B$21</f>
        <v>0.40745</v>
      </c>
      <c r="D6" s="63">
        <f>Assumptions!$B$18+(Assumptions!$E$13-Assumptions!$B$18)*D4/Assumptions!$B$21</f>
        <v>0.3844</v>
      </c>
      <c r="E6" s="63">
        <f>Assumptions!$B$18+(Assumptions!$E$13-Assumptions!$B$18)*E4/Assumptions!$B$21</f>
        <v>0.36135</v>
      </c>
      <c r="F6" s="63">
        <f>Assumptions!$B$18+(Assumptions!$E$13-Assumptions!$B$18)*F4/Assumptions!$B$21</f>
        <v>0.3383</v>
      </c>
      <c r="G6" s="63">
        <f>Assumptions!$B$18+(Assumptions!$E$13-Assumptions!$B$18)*G4/Assumptions!$B$21</f>
        <v>0.31525000000000003</v>
      </c>
      <c r="H6" s="63">
        <f>Assumptions!$B$18+(Assumptions!$E$13-Assumptions!$B$18)*H4/Assumptions!$B$21</f>
        <v>0.2922</v>
      </c>
      <c r="I6" s="63">
        <f>Assumptions!$B$18+(Assumptions!$E$13-Assumptions!$B$18)*I4/Assumptions!$B$21</f>
        <v>0.26915</v>
      </c>
      <c r="J6" s="63">
        <f>Assumptions!$B$18+(Assumptions!$E$13-Assumptions!$B$18)*J4/Assumptions!$B$21</f>
        <v>0.2461</v>
      </c>
      <c r="K6" s="63">
        <f>Assumptions!$B$18+(Assumptions!$E$13-Assumptions!$B$18)*K4/Assumptions!$B$21</f>
        <v>0.22305</v>
      </c>
      <c r="L6" s="63">
        <f>Assumptions!$B$18+(Assumptions!$E$13-Assumptions!$B$18)*L4/Assumptions!$B$21</f>
        <v>0.2</v>
      </c>
    </row>
    <row r="7">
      <c r="A7" s="14" t="inlineStr">
        <is>
          <t>Revenue</t>
        </is>
      </c>
      <c r="B7" s="55">
        <f>'Yearly Model'!R2</f>
        <v>72.764</v>
      </c>
      <c r="C7" s="55">
        <f>'Yearly Model'!S2</f>
        <v>98.23140000000001</v>
      </c>
      <c r="D7" s="55">
        <f>'Yearly Model'!T2</f>
        <v>129.065145</v>
      </c>
      <c r="E7" s="55">
        <f>'Yearly Model'!U2</f>
        <v>164.91657416666666</v>
      </c>
      <c r="F7" s="55">
        <f>'Yearly Model'!V2</f>
        <v>204.7714129236111</v>
      </c>
      <c r="G7" s="55">
        <f>'Yearly Model'!W2</f>
        <v>246.86331446902005</v>
      </c>
      <c r="H7" s="55">
        <f>'Yearly Model'!X2</f>
        <v>288.69293164293737</v>
      </c>
      <c r="I7" s="55">
        <f>'Yearly Model'!Y2</f>
        <v>327.18532252866237</v>
      </c>
      <c r="J7" s="55">
        <f>'Yearly Model'!Z2</f>
        <v>358.99500666339344</v>
      </c>
      <c r="K7" s="55">
        <f>'Yearly Model'!AA2</f>
        <v>380.93359040393415</v>
      </c>
      <c r="L7" s="55">
        <f>'Yearly Model'!AB2</f>
        <v>390.4569301640325</v>
      </c>
    </row>
    <row r="8">
      <c r="A8" s="14" t="inlineStr">
        <is>
          <t>Operating income</t>
        </is>
      </c>
      <c r="B8" s="55">
        <f>'Yearly Model'!R8</f>
        <v>31.326</v>
      </c>
      <c r="C8" s="55">
        <f>'Yearly Model'!S8</f>
        <v>40.02438393</v>
      </c>
      <c r="D8" s="55">
        <f>'Yearly Model'!T8</f>
        <v>49.612641738</v>
      </c>
      <c r="E8" s="55">
        <f>'Yearly Model'!U8</f>
        <v>59.592604075124996</v>
      </c>
      <c r="F8" s="55">
        <f>'Yearly Model'!V8</f>
        <v>69.27416899205764</v>
      </c>
      <c r="G8" s="55">
        <f>'Yearly Model'!W8</f>
        <v>77.8236598863586</v>
      </c>
      <c r="H8" s="55">
        <f>'Yearly Model'!X8</f>
        <v>84.35607462606629</v>
      </c>
      <c r="I8" s="55">
        <f>'Yearly Model'!Y8</f>
        <v>88.0619295585895</v>
      </c>
      <c r="J8" s="55">
        <f>'Yearly Model'!Z8</f>
        <v>88.34867113986112</v>
      </c>
      <c r="K8" s="55">
        <f>'Yearly Model'!AA8</f>
        <v>84.96723733959752</v>
      </c>
      <c r="L8" s="55">
        <f>'Yearly Model'!AB8</f>
        <v>78.0913860328065</v>
      </c>
    </row>
    <row r="9">
      <c r="A9" s="14" t="inlineStr">
        <is>
          <t>Tax on operating income</t>
        </is>
      </c>
      <c r="C9" s="52">
        <f>MAX(0,C8)*Assumptions!$E$14</f>
        <v>6.8041452681</v>
      </c>
      <c r="D9" s="52">
        <f>MAX(0,D8)*Assumptions!$E$14</f>
        <v>8.43414909546</v>
      </c>
      <c r="E9" s="52">
        <f>MAX(0,E8)*Assumptions!$E$14</f>
        <v>10.13074269277125</v>
      </c>
      <c r="F9" s="52">
        <f>MAX(0,F8)*Assumptions!$E$14</f>
        <v>11.7766087286498</v>
      </c>
      <c r="G9" s="52">
        <f>MAX(0,G8)*Assumptions!$E$14</f>
        <v>13.230022180680963</v>
      </c>
      <c r="H9" s="52">
        <f>MAX(0,H8)*Assumptions!$E$14</f>
        <v>14.34053268643127</v>
      </c>
      <c r="I9" s="52">
        <f>MAX(0,I8)*Assumptions!$E$14</f>
        <v>14.970528024960215</v>
      </c>
      <c r="J9" s="52">
        <f>MAX(0,J8)*Assumptions!$E$14</f>
        <v>15.019274093776392</v>
      </c>
      <c r="K9" s="52">
        <f>MAX(0,K8)*Assumptions!$E$14</f>
        <v>14.44443034773158</v>
      </c>
      <c r="L9" s="52">
        <f>MAX(0,L8)*Assumptions!$E$14</f>
        <v>13.275535625577106</v>
      </c>
    </row>
    <row r="10">
      <c r="A10" s="14" t="inlineStr">
        <is>
          <t>NOPAT</t>
        </is>
      </c>
      <c r="C10" s="52">
        <f>C8-C9</f>
        <v>33.2202386619</v>
      </c>
      <c r="D10" s="52">
        <f>D8-D9</f>
        <v>41.17849264254</v>
      </c>
      <c r="E10" s="52">
        <f>E8-E9</f>
        <v>49.461861382353746</v>
      </c>
      <c r="F10" s="52">
        <f>F8-F9</f>
        <v>57.49756026340784</v>
      </c>
      <c r="G10" s="52">
        <f>G8-G9</f>
        <v>64.59363770567764</v>
      </c>
      <c r="H10" s="52">
        <f>H8-H9</f>
        <v>70.01554193963501</v>
      </c>
      <c r="I10" s="52">
        <f>I8-I9</f>
        <v>73.09140153362928</v>
      </c>
      <c r="J10" s="52">
        <f>J8-J9</f>
        <v>73.32939704608474</v>
      </c>
      <c r="K10" s="52">
        <f>K8-K9</f>
        <v>70.52280699186593</v>
      </c>
      <c r="L10" s="52">
        <f>L8-L9</f>
        <v>64.81585040722939</v>
      </c>
    </row>
    <row r="11">
      <c r="A11" s="14" t="inlineStr">
        <is>
          <t>Reinvestment</t>
        </is>
      </c>
      <c r="C11" s="52">
        <f>(C7-B7)*Assumptions!$E$15</f>
        <v>6.366850000000003</v>
      </c>
      <c r="D11" s="52">
        <f>(D7-C7)*Assumptions!$E$15</f>
        <v>7.708436249999998</v>
      </c>
      <c r="E11" s="52">
        <f>(E7-D7)*Assumptions!$E$15</f>
        <v>8.962857291666666</v>
      </c>
      <c r="F11" s="52">
        <f>(F7-E7)*Assumptions!$E$15</f>
        <v>9.963709689236111</v>
      </c>
      <c r="G11" s="52">
        <f>(G7-F7)*Assumptions!$E$15</f>
        <v>10.522975386352236</v>
      </c>
      <c r="H11" s="52">
        <f>(H7-G7)*Assumptions!$E$15</f>
        <v>10.457404293479328</v>
      </c>
      <c r="I11" s="52">
        <f>(I7-H7)*Assumptions!$E$15</f>
        <v>9.62309772143125</v>
      </c>
      <c r="J11" s="52">
        <f>(J7-I7)*Assumptions!$E$15</f>
        <v>7.952421033682768</v>
      </c>
      <c r="K11" s="52">
        <f>(K7-J7)*Assumptions!$E$15</f>
        <v>5.484645935135177</v>
      </c>
      <c r="L11" s="52">
        <f>(L7-K7)*Assumptions!$E$15</f>
        <v>2.3808349400245845</v>
      </c>
    </row>
    <row r="12">
      <c r="A12" s="20" t="inlineStr">
        <is>
          <t>Free cash flow</t>
        </is>
      </c>
      <c r="C12" s="64">
        <f>C10-C11</f>
        <v>26.853388661899995</v>
      </c>
      <c r="D12" s="64">
        <f>D10-D11</f>
        <v>33.47005639254</v>
      </c>
      <c r="E12" s="64">
        <f>E10-E11</f>
        <v>40.49900409068708</v>
      </c>
      <c r="F12" s="64">
        <f>F10-F11</f>
        <v>47.53385057417173</v>
      </c>
      <c r="G12" s="64">
        <f>G10-G11</f>
        <v>54.0706623193254</v>
      </c>
      <c r="H12" s="64">
        <f>H10-H11</f>
        <v>59.558137646155686</v>
      </c>
      <c r="I12" s="64">
        <f>I10-I11</f>
        <v>63.46830381219803</v>
      </c>
      <c r="J12" s="64">
        <f>J10-J11</f>
        <v>65.37697601240197</v>
      </c>
      <c r="K12" s="64">
        <f>K10-K11</f>
        <v>65.03816105673076</v>
      </c>
      <c r="L12" s="64">
        <f>L10-L11</f>
        <v>62.435015467204806</v>
      </c>
    </row>
    <row r="13">
      <c r="A13" s="14" t="inlineStr">
        <is>
          <t>Year fraction</t>
        </is>
      </c>
      <c r="C13" s="46">
        <f>Assumptions!$B$22</f>
        <v>1</v>
      </c>
      <c r="D13" s="11" t="n">
        <v>1</v>
      </c>
      <c r="E13" s="11" t="n">
        <v>1</v>
      </c>
      <c r="F13" s="11" t="n">
        <v>1</v>
      </c>
      <c r="G13" s="11" t="n">
        <v>1</v>
      </c>
      <c r="H13" s="11" t="n">
        <v>1</v>
      </c>
      <c r="I13" s="11" t="n">
        <v>1</v>
      </c>
      <c r="J13" s="11" t="n">
        <v>1</v>
      </c>
      <c r="K13" s="11" t="n">
        <v>1</v>
      </c>
      <c r="L13" s="11" t="n">
        <v>1</v>
      </c>
    </row>
    <row r="14">
      <c r="A14" s="14" t="inlineStr">
        <is>
          <t>Discount time (mid-period)</t>
        </is>
      </c>
      <c r="C14" s="11">
        <f>C13/2</f>
        <v>0.5</v>
      </c>
      <c r="D14" s="11">
        <f>C14+C13/2+D13/2</f>
        <v>1.5</v>
      </c>
      <c r="E14" s="11">
        <f>D14+D13/2+E13/2</f>
        <v>2.5</v>
      </c>
      <c r="F14" s="11">
        <f>E14+E13/2+F13/2</f>
        <v>3.5</v>
      </c>
      <c r="G14" s="11">
        <f>F14+F13/2+G13/2</f>
        <v>4.5</v>
      </c>
      <c r="H14" s="11">
        <f>G14+G13/2+H13/2</f>
        <v>5.5</v>
      </c>
      <c r="I14" s="11">
        <f>H14+H13/2+I13/2</f>
        <v>6.5</v>
      </c>
      <c r="J14" s="11">
        <f>I14+I13/2+J13/2</f>
        <v>7.5</v>
      </c>
      <c r="K14" s="11">
        <f>J14+J13/2+K13/2</f>
        <v>8.5</v>
      </c>
      <c r="L14" s="11">
        <f>K14+K13/2+L13/2</f>
        <v>9.5</v>
      </c>
    </row>
    <row r="15">
      <c r="A15" s="14" t="inlineStr">
        <is>
          <t>Discount factor</t>
        </is>
      </c>
      <c r="C15" s="65">
        <f>1/(1+Assumptions!$E$10)^C14</f>
        <v>0.9428090415820635</v>
      </c>
      <c r="D15" s="65">
        <f>1/(1+Assumptions!$E$10)^D14</f>
        <v>0.8380524814062785</v>
      </c>
      <c r="E15" s="65">
        <f>1/(1+Assumptions!$E$10)^E14</f>
        <v>0.7449355390278032</v>
      </c>
      <c r="F15" s="65">
        <f>1/(1+Assumptions!$E$10)^F14</f>
        <v>0.6621649235802695</v>
      </c>
      <c r="G15" s="65">
        <f>1/(1+Assumptions!$E$10)^G14</f>
        <v>0.5885910431824618</v>
      </c>
      <c r="H15" s="65">
        <f>1/(1+Assumptions!$E$10)^H14</f>
        <v>0.5231920383844104</v>
      </c>
      <c r="I15" s="65">
        <f>1/(1+Assumptions!$E$10)^I14</f>
        <v>0.4650595896750315</v>
      </c>
      <c r="J15" s="65">
        <f>1/(1+Assumptions!$E$10)^J14</f>
        <v>0.41338630193336134</v>
      </c>
      <c r="K15" s="65">
        <f>1/(1+Assumptions!$E$10)^K14</f>
        <v>0.3674544906074323</v>
      </c>
      <c r="L15" s="65">
        <f>1/(1+Assumptions!$E$10)^L14</f>
        <v>0.3266262138732731</v>
      </c>
    </row>
    <row r="16">
      <c r="A16" s="20" t="inlineStr">
        <is>
          <t>PV of free cash flow</t>
        </is>
      </c>
      <c r="C16" s="64">
        <f>C12*C13*C15</f>
        <v>25.317617627556583</v>
      </c>
      <c r="D16" s="64">
        <f>D12*D13*D15</f>
        <v>28.049663812576224</v>
      </c>
      <c r="E16" s="64">
        <f>E12*E13*E15</f>
        <v>30.169147442385185</v>
      </c>
      <c r="F16" s="64">
        <f>F12*F13*F15</f>
        <v>31.47524853292237</v>
      </c>
      <c r="G16" s="64">
        <f>G12*G13*G15</f>
        <v>31.825507540098368</v>
      </c>
      <c r="H16" s="64">
        <f>H12*H13*H15</f>
        <v>31.160343437471486</v>
      </c>
      <c r="I16" s="64">
        <f>I12*I13*I15</f>
        <v>29.516543328271055</v>
      </c>
      <c r="J16" s="64">
        <f>J12*J13*J15</f>
        <v>27.02594634535292</v>
      </c>
      <c r="K16" s="64">
        <f>K12*K13*K15</f>
        <v>23.89856434114514</v>
      </c>
      <c r="L16" s="64">
        <f>L12*L13*L15</f>
        <v>20.39291271517235</v>
      </c>
    </row>
    <row r="19">
      <c r="A19" s="14" t="inlineStr">
        <is>
          <t>PV of forecast free cash flow</t>
        </is>
      </c>
      <c r="B19" s="52">
        <f>SUM(C16:L16)</f>
        <v>278.8314951229517</v>
      </c>
    </row>
    <row r="20">
      <c r="A20" s="14" t="inlineStr">
        <is>
          <t>Terminal free cash flow (year 11)</t>
        </is>
      </c>
      <c r="B20" s="52">
        <f>L10*(1+Assumptions!$E$11)-L7*Assumptions!$E$11*Assumptions!$E$15</f>
        <v>63.995890853884916</v>
      </c>
    </row>
    <row r="21">
      <c r="A21" s="14" t="inlineStr">
        <is>
          <t>Terminal value</t>
        </is>
      </c>
      <c r="B21" s="52">
        <f>B20/(Assumptions!$E$10-Assumptions!$E$11)</f>
        <v>639.9589085388491</v>
      </c>
    </row>
    <row r="22">
      <c r="A22" s="14" t="inlineStr">
        <is>
          <t>PV of terminal value</t>
        </is>
      </c>
      <c r="B22" s="52">
        <f>B21/(1+Assumptions!$E$10)^(L14+0.5)</f>
        <v>197.07288054359773</v>
      </c>
    </row>
    <row r="23">
      <c r="A23" s="20" t="inlineStr">
        <is>
          <t>Enterprise value</t>
        </is>
      </c>
      <c r="B23" s="66">
        <f>B19+B22</f>
        <v>475.9043756665494</v>
      </c>
    </row>
    <row r="24">
      <c r="A24" s="14" t="inlineStr">
        <is>
          <t>Cash &amp; investments</t>
        </is>
      </c>
      <c r="B24" s="55">
        <f>Main!C7</f>
        <v>99.881</v>
      </c>
    </row>
    <row r="25">
      <c r="A25" s="14" t="inlineStr">
        <is>
          <t>Debt</t>
        </is>
      </c>
      <c r="B25" s="55">
        <f>Main!C8</f>
        <v>0</v>
      </c>
    </row>
    <row r="26">
      <c r="A26" s="20" t="inlineStr">
        <is>
          <t>Equity value</t>
        </is>
      </c>
      <c r="B26" s="66">
        <f>B23+B24-B25</f>
        <v>575.7853756665494</v>
      </c>
    </row>
    <row r="27">
      <c r="A27" s="14" t="inlineStr">
        <is>
          <t>Shares (mm)</t>
        </is>
      </c>
      <c r="B27" s="55">
        <f>Main!C4</f>
        <v>94.553191</v>
      </c>
    </row>
    <row r="28">
      <c r="A28" s="20" t="inlineStr">
        <is>
          <t>NPV / share</t>
        </is>
      </c>
      <c r="B28" s="49">
        <f>B26/B27</f>
        <v>6.089539333120438</v>
      </c>
    </row>
    <row r="29">
      <c r="A29" s="14" t="inlineStr">
        <is>
          <t>Price</t>
        </is>
      </c>
      <c r="B29" s="50">
        <f>Main!C3</f>
        <v>2.14</v>
      </c>
    </row>
    <row r="30">
      <c r="A30" s="14" t="inlineStr">
        <is>
          <t>Upside</t>
        </is>
      </c>
      <c r="B30" s="63">
        <f>B28/B29-1</f>
        <v>1.8455791276263729</v>
      </c>
    </row>
    <row r="31">
      <c r="A31" s="14" t="inlineStr">
        <is>
          <t>Terminal value, % of EV</t>
        </is>
      </c>
      <c r="B31" s="63">
        <f>IFERROR(B22/B23,0)</f>
        <v>0.414101846127341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2026-10-21T01:05:38Z</dcterms:modified>
  <cp:lastModifiedBy>Wang, Eric</cp:lastModifiedBy>
</cp:coreProperties>
</file>