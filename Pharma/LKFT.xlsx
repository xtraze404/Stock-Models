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Lakefront Biotherapeutics NV</t>
        </is>
      </c>
      <c r="C2" s="10" t="n"/>
    </row>
    <row r="3">
      <c r="B3" t="inlineStr">
        <is>
          <t>Price</t>
        </is>
      </c>
      <c r="C3" s="11">
        <f>INDEX([1]Pharma!$F$1:$F$1000,MATCH("LKFT",[1]Pharma!$B$1:$B$1000,0))</f>
        <v>30.75</v>
      </c>
      <c r="F3" s="1" t="n"/>
    </row>
    <row r="4">
      <c r="B4" t="inlineStr">
        <is>
          <t>Shares</t>
        </is>
      </c>
      <c r="C4" s="21" t="n">
        <v>65.897071</v>
      </c>
      <c r="F4" s="1" t="n"/>
    </row>
    <row r="5">
      <c r="B5" t="inlineStr">
        <is>
          <t>Market Cap.</t>
        </is>
      </c>
      <c r="C5" s="13">
        <f>C3*C4</f>
        <v>2026.33493325</v>
      </c>
      <c r="F5" s="1" t="n"/>
    </row>
    <row r="6"/>
    <row r="7">
      <c r="B7" t="inlineStr">
        <is>
          <t>Cash</t>
        </is>
      </c>
      <c r="C7" s="21">
        <f>(87.868+2910.18)/0.88865</f>
        <v>3373.710684746525</v>
      </c>
    </row>
    <row r="8">
      <c r="B8" t="inlineStr">
        <is>
          <t>Debt</t>
        </is>
      </c>
      <c r="C8" s="21" t="n"/>
    </row>
    <row r="9">
      <c r="B9" t="inlineStr">
        <is>
          <t>Enterprise V.</t>
        </is>
      </c>
      <c r="C9" s="13">
        <f>C5-C7+C8</f>
        <v>-1347.3757514965253</v>
      </c>
    </row>
    <row r="10"/>
    <row r="11">
      <c r="B11" s="14" t="inlineStr">
        <is>
          <t>Net Cash / Share</t>
        </is>
      </c>
      <c r="C11" s="11">
        <f>(C7-C8)/C4</f>
        <v>51.19667131709883</v>
      </c>
    </row>
    <row r="12">
      <c r="B12" s="14" t="inlineStr">
        <is>
          <t>Upside</t>
        </is>
      </c>
      <c r="C12" s="15">
        <f>IFERROR(C11/C3-1,"")</f>
        <v>0.6649324005560595</v>
      </c>
    </row>
    <row r="13">
      <c r="B13" s="14" t="inlineStr">
        <is>
          <t>Cash / Share</t>
        </is>
      </c>
      <c r="C13" s="11">
        <f>IFERROR((C7-C8)/C4,"")</f>
        <v>51.19667131709883</v>
      </c>
    </row>
    <row r="14">
      <c r="B14" s="14" t="inlineStr">
        <is>
          <t>Scenario</t>
        </is>
      </c>
      <c r="C14" s="14" t="inlineStr">
        <is>
          <t>revenue jump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-289.716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11.64488908015617</v>
      </c>
    </row>
    <row r="19">
      <c r="B19" s="14" t="inlineStr">
        <is>
          <t>Implied Pipeline Value</t>
        </is>
      </c>
      <c r="C19" s="13">
        <f>C9</f>
        <v>-1347.3757514965253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2015</v>
      </c>
      <c r="C1" s="17" t="n">
        <v>2016</v>
      </c>
      <c r="D1" s="17" t="n">
        <v>2017</v>
      </c>
      <c r="E1" s="17" t="n">
        <v>2018</v>
      </c>
      <c r="F1" s="17" t="n">
        <v>2019</v>
      </c>
      <c r="G1" s="17" t="n">
        <v>2020</v>
      </c>
      <c r="H1" s="17" t="n">
        <v>2021</v>
      </c>
      <c r="I1" s="17" t="n">
        <v>2022</v>
      </c>
      <c r="J1" s="17" t="n">
        <v>2023</v>
      </c>
      <c r="K1" s="17" t="n">
        <v>2024</v>
      </c>
      <c r="L1" s="17" t="n">
        <v>2025</v>
      </c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68.17</v>
      </c>
      <c r="C2" s="23" t="n">
        <v>170.609</v>
      </c>
      <c r="D2" s="23" t="n">
        <v>175.455</v>
      </c>
      <c r="E2" s="23" t="n">
        <v>346.217</v>
      </c>
      <c r="F2" s="23" t="n">
        <v>996.79</v>
      </c>
      <c r="G2" s="23" t="n">
        <v>596.703</v>
      </c>
      <c r="H2" s="23" t="n">
        <v>263.753</v>
      </c>
      <c r="I2" s="23" t="n">
        <v>271.478</v>
      </c>
      <c r="J2" s="23" t="n">
        <v>269.762</v>
      </c>
      <c r="K2" s="23" t="n">
        <v>310.188</v>
      </c>
      <c r="L2" s="23" t="n">
        <v>1251.615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1.833</v>
      </c>
      <c r="I3" s="23" t="n">
        <v>13.593</v>
      </c>
      <c r="J3" s="23" t="n">
        <v>0</v>
      </c>
      <c r="K3" s="23" t="n">
        <v>39.231</v>
      </c>
      <c r="L3" s="23" t="n">
        <v>33.462</v>
      </c>
    </row>
    <row r="4" customFormat="1" s="1">
      <c r="A4" s="5" t="inlineStr">
        <is>
          <t>Gross Margin</t>
        </is>
      </c>
      <c r="B4" s="23">
        <f>B2-B3</f>
        <v>68.17</v>
      </c>
      <c r="C4" s="23">
        <f>C2-C3</f>
        <v>170.609</v>
      </c>
      <c r="D4" s="23">
        <f>D2-D3</f>
        <v>175.455</v>
      </c>
      <c r="E4" s="23">
        <f>E2-E3</f>
        <v>346.217</v>
      </c>
      <c r="F4" s="23">
        <f>F2-F3</f>
        <v>996.79</v>
      </c>
      <c r="G4" s="23">
        <f>G2-G3</f>
        <v>596.703</v>
      </c>
      <c r="H4" s="23">
        <f>H2-H3</f>
        <v>261.91999999999996</v>
      </c>
      <c r="I4" s="23">
        <f>I2-I3</f>
        <v>257.885</v>
      </c>
      <c r="J4" s="23">
        <f>J2-J3</f>
        <v>269.762</v>
      </c>
      <c r="K4" s="23">
        <f>K2-K3</f>
        <v>270.957</v>
      </c>
      <c r="L4" s="23">
        <f>L2-L3</f>
        <v>1218.153</v>
      </c>
    </row>
    <row r="5">
      <c r="A5" s="2" t="inlineStr">
        <is>
          <t>Research &amp; Dev.</t>
        </is>
      </c>
      <c r="B5" s="23" t="n">
        <v>145.967</v>
      </c>
      <c r="C5" s="23" t="n">
        <v>157.062</v>
      </c>
      <c r="D5" s="23" t="n">
        <v>245.881</v>
      </c>
      <c r="E5" s="23" t="n">
        <v>355.845</v>
      </c>
      <c r="F5" s="23" t="n">
        <v>472.728</v>
      </c>
      <c r="G5" s="23" t="n">
        <v>589.284</v>
      </c>
      <c r="H5" s="23" t="n">
        <v>360.663</v>
      </c>
      <c r="I5" s="23" t="n">
        <v>303.603</v>
      </c>
      <c r="J5" s="23" t="n">
        <v>271.529</v>
      </c>
      <c r="K5" s="23" t="n">
        <v>377.493</v>
      </c>
      <c r="L5" s="23" t="n">
        <v>516.9880000000001</v>
      </c>
    </row>
    <row r="6">
      <c r="A6" s="19" t="inlineStr">
        <is>
          <t>SG&amp;A &amp; Other</t>
        </is>
      </c>
      <c r="B6" s="23" t="n">
        <v>22.854</v>
      </c>
      <c r="C6" s="23" t="n">
        <v>26.478</v>
      </c>
      <c r="D6" s="23" t="n">
        <v>30.628</v>
      </c>
      <c r="E6" s="23" t="n">
        <v>43.351</v>
      </c>
      <c r="F6" s="23" t="n">
        <v>109.108</v>
      </c>
      <c r="G6" s="23" t="n">
        <v>208.434</v>
      </c>
      <c r="H6" s="23" t="n">
        <v>94.32299999999999</v>
      </c>
      <c r="I6" s="23" t="n">
        <v>101.76</v>
      </c>
      <c r="J6" s="23" t="n">
        <v>97.556</v>
      </c>
      <c r="K6" s="23" t="n">
        <v>105.401</v>
      </c>
      <c r="L6" s="23" t="n">
        <v>369.158</v>
      </c>
    </row>
    <row r="7">
      <c r="A7" s="2" t="inlineStr">
        <is>
          <t>Operating Expense</t>
        </is>
      </c>
      <c r="B7" s="23">
        <f>SUM(B5:B6)</f>
        <v>168.82100000000003</v>
      </c>
      <c r="C7" s="23">
        <f>SUM(C5:C6)</f>
        <v>183.54000000000002</v>
      </c>
      <c r="D7" s="23">
        <f>SUM(D5:D6)</f>
        <v>276.509</v>
      </c>
      <c r="E7" s="23">
        <f>SUM(E5:E6)</f>
        <v>399.196</v>
      </c>
      <c r="F7" s="23">
        <f>SUM(F5:F6)</f>
        <v>581.836</v>
      </c>
      <c r="G7" s="23">
        <f>SUM(G5:G6)</f>
        <v>797.718</v>
      </c>
      <c r="H7" s="23">
        <f>SUM(H5:H6)</f>
        <v>454.986</v>
      </c>
      <c r="I7" s="23">
        <f>SUM(I5:I6)</f>
        <v>405.363</v>
      </c>
      <c r="J7" s="23">
        <f>SUM(J5:J6)</f>
        <v>369.085</v>
      </c>
      <c r="K7" s="23">
        <f>SUM(K5:K6)</f>
        <v>482.894</v>
      </c>
      <c r="L7" s="23">
        <f>SUM(L5:L6)</f>
        <v>886.1460000000001</v>
      </c>
    </row>
    <row r="8">
      <c r="A8" s="2" t="inlineStr">
        <is>
          <t>Operating Income</t>
        </is>
      </c>
      <c r="B8" s="23">
        <f>B4-B7</f>
        <v>-100.65100000000002</v>
      </c>
      <c r="C8" s="23">
        <f>C4-C7</f>
        <v>-12.931000000000012</v>
      </c>
      <c r="D8" s="23">
        <f>D4-D7</f>
        <v>-101.054</v>
      </c>
      <c r="E8" s="23">
        <f>E4-E7</f>
        <v>-52.97900000000004</v>
      </c>
      <c r="F8" s="23">
        <f>F4-F7</f>
        <v>414.95399999999995</v>
      </c>
      <c r="G8" s="23">
        <f>G4-G7</f>
        <v>-201.015</v>
      </c>
      <c r="H8" s="23">
        <f>H4-H7</f>
        <v>-193.06600000000003</v>
      </c>
      <c r="I8" s="23">
        <f>I4-I7</f>
        <v>-147.478</v>
      </c>
      <c r="J8" s="23">
        <f>J4-J7</f>
        <v>-99.32299999999998</v>
      </c>
      <c r="K8" s="23">
        <f>K4-K7</f>
        <v>-211.937</v>
      </c>
      <c r="L8" s="23">
        <f>L4-L7</f>
        <v>332.00699999999995</v>
      </c>
    </row>
    <row r="9">
      <c r="A9" s="19" t="inlineStr">
        <is>
          <t>Interest &amp; Other</t>
        </is>
      </c>
      <c r="B9" s="23" t="n">
        <v>-33.966</v>
      </c>
      <c r="C9" s="23" t="n">
        <v>73.97499999999999</v>
      </c>
      <c r="D9" s="23" t="n">
        <v>-28.925</v>
      </c>
      <c r="E9" s="23" t="n">
        <v>20.979</v>
      </c>
      <c r="F9" s="23" t="n">
        <v>-246.518</v>
      </c>
      <c r="G9" s="23" t="n">
        <v>-141.313</v>
      </c>
      <c r="H9" s="23" t="n">
        <v>78.46299999999999</v>
      </c>
      <c r="I9" s="23" t="n">
        <v>-97.184</v>
      </c>
      <c r="J9" s="23" t="n">
        <v>348.363</v>
      </c>
      <c r="K9" s="23" t="n">
        <v>293.273</v>
      </c>
      <c r="L9" s="23" t="n">
        <v>8.129</v>
      </c>
    </row>
    <row r="10">
      <c r="A10" s="2" t="inlineStr">
        <is>
          <t>Pretax</t>
        </is>
      </c>
      <c r="B10" s="23">
        <f>B8+B9</f>
        <v>-134.61700000000002</v>
      </c>
      <c r="C10" s="23">
        <f>C8+C9</f>
        <v>61.04399999999998</v>
      </c>
      <c r="D10" s="23">
        <f>D8+D9</f>
        <v>-129.979</v>
      </c>
      <c r="E10" s="23">
        <f>E8+E9</f>
        <v>-32.00000000000004</v>
      </c>
      <c r="F10" s="23">
        <f>F8+F9</f>
        <v>168.43599999999995</v>
      </c>
      <c r="G10" s="23">
        <f>G8+G9</f>
        <v>-342.328</v>
      </c>
      <c r="H10" s="23">
        <f>H8+H9</f>
        <v>-114.60300000000004</v>
      </c>
      <c r="I10" s="23">
        <f>I8+I9</f>
        <v>-244.662</v>
      </c>
      <c r="J10" s="23">
        <f>J8+J9</f>
        <v>249.04000000000002</v>
      </c>
      <c r="K10" s="23">
        <f>K8+K9</f>
        <v>81.33600000000001</v>
      </c>
      <c r="L10" s="23">
        <f>L8+L9</f>
        <v>340.13599999999997</v>
      </c>
    </row>
    <row r="11">
      <c r="A11" s="2" t="inlineStr">
        <is>
          <t>Taxes</t>
        </is>
      </c>
      <c r="B11" s="23" t="n">
        <v>-1.371</v>
      </c>
      <c r="C11" s="23" t="n">
        <v>0.264</v>
      </c>
      <c r="D11" s="23" t="n">
        <v>0.223</v>
      </c>
      <c r="E11" s="23" t="n">
        <v>0.925</v>
      </c>
      <c r="F11" s="23" t="n">
        <v>-0.186</v>
      </c>
      <c r="G11" s="23" t="n">
        <v>1.38</v>
      </c>
      <c r="H11" s="23" t="n">
        <v>1.563</v>
      </c>
      <c r="I11" s="23" t="n">
        <v>0.644</v>
      </c>
      <c r="J11" s="23" t="n">
        <v>10.818</v>
      </c>
      <c r="K11" s="23" t="n">
        <v>-2.029</v>
      </c>
      <c r="L11" s="23" t="n">
        <v>-20.954</v>
      </c>
    </row>
    <row r="12">
      <c r="A12" s="2" t="inlineStr">
        <is>
          <t>Net Income</t>
        </is>
      </c>
      <c r="B12" s="23" t="n">
        <v>-133.247</v>
      </c>
      <c r="C12" s="23" t="n">
        <v>60.78</v>
      </c>
      <c r="D12" s="23" t="n">
        <v>-130.202</v>
      </c>
      <c r="E12" s="23" t="n">
        <v>-32.925</v>
      </c>
      <c r="F12" s="23" t="n">
        <v>168.621</v>
      </c>
      <c r="G12" s="23" t="n">
        <v>-343.708</v>
      </c>
      <c r="H12" s="23" t="n">
        <v>-116.166</v>
      </c>
      <c r="I12" s="23" t="n">
        <v>-245.306</v>
      </c>
      <c r="J12" s="23" t="n">
        <v>238.223</v>
      </c>
      <c r="K12" s="23" t="n">
        <v>83.36499999999999</v>
      </c>
      <c r="L12" s="23" t="n">
        <v>361.092</v>
      </c>
    </row>
    <row r="13">
      <c r="A13" s="2" t="inlineStr">
        <is>
          <t>Earnings per Share</t>
        </is>
      </c>
      <c r="B13" s="11">
        <f>IFERROR(B12/B14,0)</f>
        <v>-3.732408963585434</v>
      </c>
      <c r="C13" s="11">
        <f>IFERROR(C12/C14,0)</f>
        <v>1.284772131563372</v>
      </c>
      <c r="D13" s="11">
        <f>IFERROR(D12/D14,0)</f>
        <v>-2.6314598112330483</v>
      </c>
      <c r="E13" s="11">
        <f>IFERROR(E12/E14,0)</f>
        <v>-0.6318001266478613</v>
      </c>
      <c r="F13" s="11">
        <f>IFERROR(F12/F14,0)</f>
        <v>2.9267365570868193</v>
      </c>
      <c r="G13" s="11">
        <f>IFERROR(G12/G14,0)</f>
        <v>-5.28172109104879</v>
      </c>
      <c r="H13" s="11">
        <f>IFERROR(H12/H14,0)</f>
        <v>-1.7735267175572518</v>
      </c>
      <c r="I13" s="11">
        <f>IFERROR(I12/I14,0)</f>
        <v>-3.7337859023729436</v>
      </c>
      <c r="J13" s="11">
        <f>IFERROR(J12/J14,0)</f>
        <v>3.6157944265679074</v>
      </c>
      <c r="K13" s="11">
        <f>IFERROR(K12/K14,0)</f>
        <v>1.2650803526715935</v>
      </c>
      <c r="L13" s="11">
        <f>IFERROR(L12/L14,0)</f>
        <v>5.479642472343202</v>
      </c>
    </row>
    <row r="14">
      <c r="A14" s="2" t="inlineStr">
        <is>
          <t>Shares</t>
        </is>
      </c>
      <c r="B14" s="23" t="n">
        <v>35.7</v>
      </c>
      <c r="C14" s="23" t="n">
        <v>47.308</v>
      </c>
      <c r="D14" s="23" t="n">
        <v>49.479</v>
      </c>
      <c r="E14" s="23" t="n">
        <v>52.113</v>
      </c>
      <c r="F14" s="23" t="n">
        <v>57.614</v>
      </c>
      <c r="G14" s="23" t="n">
        <v>65.075</v>
      </c>
      <c r="H14" s="23" t="n">
        <v>65.5</v>
      </c>
      <c r="I14" s="23" t="n">
        <v>65.699</v>
      </c>
      <c r="J14" s="23" t="n">
        <v>65.884</v>
      </c>
      <c r="K14" s="23" t="n">
        <v>65.89700000000001</v>
      </c>
      <c r="L14" s="23" t="n">
        <v>65.89700000000001</v>
      </c>
    </row>
    <row r="15"/>
    <row r="16" customFormat="1" s="4">
      <c r="A16" s="3" t="inlineStr">
        <is>
          <t>Revenue Change</t>
        </is>
      </c>
      <c r="C16" s="15">
        <f>IFERROR(C2/B2-1,"")</f>
        <v>1.5026991345166496</v>
      </c>
      <c r="D16" s="15">
        <f>IFERROR(D2/C2-1,"")</f>
        <v>0.02840412873881215</v>
      </c>
      <c r="E16" s="15">
        <f>IFERROR(E2/D2-1,"")</f>
        <v>0.9732524009005157</v>
      </c>
      <c r="F16" s="15">
        <f>IFERROR(F2/E2-1,"")</f>
        <v>1.8790902815286366</v>
      </c>
      <c r="G16" s="15">
        <f>IFERROR(G2/F2-1,"")</f>
        <v>-0.4013754150824146</v>
      </c>
      <c r="H16" s="15">
        <f>IFERROR(H2/G2-1,"")</f>
        <v>-0.5579827820540537</v>
      </c>
      <c r="I16" s="15">
        <f>IFERROR(I2/H2-1,"")</f>
        <v>0.029288766383700038</v>
      </c>
      <c r="J16" s="15">
        <f>IFERROR(J2/I2-1,"")</f>
        <v>-0.00632095418413281</v>
      </c>
      <c r="K16" s="15">
        <f>IFERROR(K2/J2-1,"")</f>
        <v>0.14985802299805018</v>
      </c>
      <c r="L16" s="15">
        <f>IFERROR(L2/K2-1,"")</f>
        <v>3.0350206971256144</v>
      </c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>0.9930503160153628</v>
      </c>
      <c r="I17" s="15">
        <f>IFERROR(I4/I2,"")</f>
        <v>0.949929644391074</v>
      </c>
      <c r="J17" s="15">
        <f>IFERROR(J4/J2,"")</f>
        <v>1.0</v>
      </c>
      <c r="K17" s="15">
        <f>IFERROR(K4/K2,"")</f>
        <v>0.8735250880111416</v>
      </c>
      <c r="L17" s="15">
        <f>IFERROR(L4/L2,"")</f>
        <v>0.9732649416953296</v>
      </c>
    </row>
    <row r="18">
      <c r="A18" s="14" t="inlineStr">
        <is>
          <t>Operating Margin</t>
        </is>
      </c>
      <c r="B18" s="15">
        <f>IFERROR(B8/B2,"")</f>
        <v>-1.4764705882352944</v>
      </c>
      <c r="C18" s="15">
        <f>IFERROR(C8/C2,"")</f>
        <v>-0.07579318793264136</v>
      </c>
      <c r="D18" s="15">
        <f>IFERROR(D8/D2,"")</f>
        <v>-0.5759539483058334</v>
      </c>
      <c r="E18" s="15">
        <f>IFERROR(E8/E2,"")</f>
        <v>-0.15302252633463997</v>
      </c>
      <c r="F18" s="15">
        <f>IFERROR(F8/F2,"")</f>
        <v>0.41629029183679606</v>
      </c>
      <c r="G18" s="15">
        <f>IFERROR(G8/G2,"")</f>
        <v>-0.33687613435829883</v>
      </c>
      <c r="H18" s="15">
        <f>IFERROR(H8/H2,"")</f>
        <v>-0.7319954654544215</v>
      </c>
      <c r="I18" s="15">
        <f>IFERROR(I8/I2,"")</f>
        <v>-0.5432410729414539</v>
      </c>
      <c r="J18" s="15">
        <f>IFERROR(J8/J2,"")</f>
        <v>-0.368187513437771</v>
      </c>
      <c r="K18" s="15">
        <f>IFERROR(K8/K2,"")</f>
        <v>-0.6832533818200576</v>
      </c>
      <c r="L18" s="15">
        <f>IFERROR(L8/L2,"")</f>
        <v>0.2652628803585767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2026-10-21T06:22:39Z</dcterms:modified>
  <cp:lastModifiedBy>Wang, Eric</cp:lastModifiedBy>
</cp:coreProperties>
</file>