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Veru Inc.</t>
        </is>
      </c>
      <c r="C2" s="10" t="n"/>
    </row>
    <row r="3">
      <c r="B3" t="inlineStr">
        <is>
          <t>Price</t>
        </is>
      </c>
      <c r="C3" s="11">
        <f>INDEX([1]Pharma!$F$1:$F$1000,MATCH("VERU",[1]Pharma!$B$1:$B$1000,0))</f>
        <v>2.38</v>
      </c>
      <c r="F3" s="1" t="n"/>
    </row>
    <row r="4">
      <c r="B4" t="inlineStr">
        <is>
          <t>Shares</t>
        </is>
      </c>
      <c r="C4" s="21" t="n">
        <v>17.05032</v>
      </c>
      <c r="F4" s="1" t="n"/>
    </row>
    <row r="5">
      <c r="B5" t="inlineStr">
        <is>
          <t>Market Cap.</t>
        </is>
      </c>
      <c r="C5" s="13">
        <f>C3*C4</f>
        <v>40.5797616</v>
      </c>
      <c r="F5" s="1" t="n"/>
    </row>
    <row r="6"/>
    <row r="7">
      <c r="B7" t="inlineStr">
        <is>
          <t>Cash</t>
        </is>
      </c>
      <c r="C7" s="21" t="n">
        <v>23.880142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16.6996196</v>
      </c>
    </row>
    <row r="10"/>
    <row r="11">
      <c r="B11" s="14" t="inlineStr">
        <is>
          <t>rNPV / Share</t>
        </is>
      </c>
      <c r="C11" s="11">
        <f>NPV!B27</f>
        <v>40.28773143121935</v>
      </c>
    </row>
    <row r="12">
      <c r="B12" s="14" t="inlineStr">
        <is>
          <t>Upside</t>
        </is>
      </c>
      <c r="C12" s="15">
        <f>IFERROR(C11/C3-1,"")</f>
        <v>15.927618248411491</v>
      </c>
    </row>
    <row r="13">
      <c r="B13" s="14" t="inlineStr">
        <is>
          <t>Cash / Share</t>
        </is>
      </c>
      <c r="C13" s="11">
        <f>IFERROR((C7-C8)/C4,"")</f>
        <v>1.4005685523790756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-26.043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0.9169505049341474</v>
      </c>
    </row>
    <row r="19">
      <c r="B19" s="14" t="inlineStr">
        <is>
          <t>Implied Pipeline Value</t>
        </is>
      </c>
      <c r="C19" s="13">
        <f>C9</f>
        <v>16.6996196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2009</v>
      </c>
      <c r="C1" s="17" t="n">
        <v>2010</v>
      </c>
      <c r="D1" s="17" t="n">
        <v>2011</v>
      </c>
      <c r="E1" s="17" t="n">
        <v>2012</v>
      </c>
      <c r="F1" s="17" t="n">
        <v>2013</v>
      </c>
      <c r="G1" s="17" t="n">
        <v>2014</v>
      </c>
      <c r="H1" s="17" t="n">
        <v>2015</v>
      </c>
      <c r="I1" s="17" t="n">
        <v>2016</v>
      </c>
      <c r="J1" s="17" t="n">
        <v>2017</v>
      </c>
      <c r="K1" s="17" t="n">
        <v>2018</v>
      </c>
      <c r="L1" s="17" t="n">
        <v>2019</v>
      </c>
      <c r="M1" s="17" t="n">
        <v>2020</v>
      </c>
      <c r="N1" s="17" t="n">
        <v>2021</v>
      </c>
      <c r="O1" s="17" t="n">
        <v>2022</v>
      </c>
      <c r="P1" s="17" t="n">
        <v>2023</v>
      </c>
      <c r="Q1" s="17" t="n">
        <v>2024</v>
      </c>
      <c r="R1" s="17" t="n">
        <v>2025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27.543</v>
      </c>
      <c r="C2" s="23" t="n">
        <v>22.222</v>
      </c>
      <c r="D2" s="23" t="n">
        <v>18.565</v>
      </c>
      <c r="E2" s="23" t="n">
        <v>35.034</v>
      </c>
      <c r="F2" s="23" t="n">
        <v>31.457</v>
      </c>
      <c r="G2" s="23" t="n">
        <v>24.491</v>
      </c>
      <c r="H2" s="23" t="n">
        <v>32.605</v>
      </c>
      <c r="I2" s="23" t="n">
        <v>22.127</v>
      </c>
      <c r="J2" s="23" t="n">
        <v>13.656</v>
      </c>
      <c r="K2" s="23" t="n">
        <v>15.864</v>
      </c>
      <c r="L2" s="23" t="n">
        <v>31.803</v>
      </c>
      <c r="M2" s="23" t="n">
        <v>42.592</v>
      </c>
      <c r="N2" s="23" t="n">
        <v>61.26</v>
      </c>
      <c r="O2" s="23" t="n">
        <v>39.354</v>
      </c>
      <c r="P2" s="23" t="n">
        <v>16.297</v>
      </c>
      <c r="Q2" s="23" t="n">
        <v>16.886</v>
      </c>
      <c r="R2" s="23" t="n">
        <v>0</v>
      </c>
    </row>
    <row r="3" customFormat="1" s="1">
      <c r="A3" s="5" t="inlineStr">
        <is>
          <t>Cost of Sales</t>
        </is>
      </c>
      <c r="B3" s="23" t="n">
        <v>14.026</v>
      </c>
      <c r="C3" s="23" t="n">
        <v>9.297000000000001</v>
      </c>
      <c r="D3" s="23" t="n">
        <v>8.699999999999999</v>
      </c>
      <c r="E3" s="23" t="n">
        <v>14.413</v>
      </c>
      <c r="F3" s="23" t="n">
        <v>13.952</v>
      </c>
      <c r="G3" s="23" t="n">
        <v>11.369</v>
      </c>
      <c r="H3" s="23" t="n">
        <v>13.635</v>
      </c>
      <c r="I3" s="23" t="n">
        <v>8.778</v>
      </c>
      <c r="J3" s="23" t="n">
        <v>6.636</v>
      </c>
      <c r="K3" s="23" t="n">
        <v>7.092</v>
      </c>
      <c r="L3" s="23" t="n">
        <v>10.147</v>
      </c>
      <c r="M3" s="23" t="n">
        <v>11.805</v>
      </c>
      <c r="N3" s="23" t="n">
        <v>13.332</v>
      </c>
      <c r="O3" s="23" t="n">
        <v>8.763</v>
      </c>
      <c r="P3" s="23" t="n">
        <v>8.731</v>
      </c>
      <c r="Q3" s="23" t="n">
        <v>11.032</v>
      </c>
      <c r="R3" s="23" t="n">
        <v>0</v>
      </c>
    </row>
    <row r="4" customFormat="1" s="1">
      <c r="A4" s="5" t="inlineStr">
        <is>
          <t>Gross Margin</t>
        </is>
      </c>
      <c r="B4" s="23">
        <f>B2-B3</f>
        <v>13.517</v>
      </c>
      <c r="C4" s="23">
        <f>C2-C3</f>
        <v>12.925</v>
      </c>
      <c r="D4" s="23">
        <f>D2-D3</f>
        <v>9.865000000000002</v>
      </c>
      <c r="E4" s="23">
        <f>E2-E3</f>
        <v>20.621</v>
      </c>
      <c r="F4" s="23">
        <f>F2-F3</f>
        <v>17.505000000000003</v>
      </c>
      <c r="G4" s="23">
        <f>G2-G3</f>
        <v>13.122</v>
      </c>
      <c r="H4" s="23">
        <f>H2-H3</f>
        <v>18.97</v>
      </c>
      <c r="I4" s="23">
        <f>I2-I3</f>
        <v>13.348999999999998</v>
      </c>
      <c r="J4" s="23">
        <f>J2-J3</f>
        <v>7.0200000000000005</v>
      </c>
      <c r="K4" s="23">
        <f>K2-K3</f>
        <v>8.772000000000002</v>
      </c>
      <c r="L4" s="23">
        <f>L2-L3</f>
        <v>21.656</v>
      </c>
      <c r="M4" s="23">
        <f>M2-M3</f>
        <v>30.787</v>
      </c>
      <c r="N4" s="23">
        <f>N2-N3</f>
        <v>47.928</v>
      </c>
      <c r="O4" s="23">
        <f>O2-O3</f>
        <v>30.591</v>
      </c>
      <c r="P4" s="23">
        <f>P2-P3</f>
        <v>7.566000000000001</v>
      </c>
      <c r="Q4" s="23">
        <f>Q2-Q3</f>
        <v>5.853999999999999</v>
      </c>
      <c r="R4" s="23">
        <f>R2-R3</f>
        <v>0.0</v>
      </c>
    </row>
    <row r="5">
      <c r="A5" s="2" t="inlineStr">
        <is>
          <t>Research &amp; Dev.</t>
        </is>
      </c>
      <c r="B5" s="23" t="n">
        <v>0.106</v>
      </c>
      <c r="C5" s="23" t="n">
        <v>0</v>
      </c>
      <c r="D5" s="23" t="n">
        <v>0.011</v>
      </c>
      <c r="E5" s="23" t="n">
        <v>0.005</v>
      </c>
      <c r="F5" s="23" t="n">
        <v>0.005</v>
      </c>
      <c r="G5" s="23" t="n">
        <v>0.006</v>
      </c>
      <c r="H5" s="23" t="n">
        <v>0.22</v>
      </c>
      <c r="I5" s="23" t="n">
        <v>0.099</v>
      </c>
      <c r="J5" s="23" t="n">
        <v>3.076</v>
      </c>
      <c r="K5" s="23" t="n">
        <v>10.851</v>
      </c>
      <c r="L5" s="23" t="n">
        <v>13.744</v>
      </c>
      <c r="M5" s="23" t="n">
        <v>16.935</v>
      </c>
      <c r="N5" s="23" t="n">
        <v>32.694</v>
      </c>
      <c r="O5" s="23" t="n">
        <v>70.911</v>
      </c>
      <c r="P5" s="23" t="n">
        <v>51.202</v>
      </c>
      <c r="Q5" s="23" t="n">
        <v>12.782</v>
      </c>
      <c r="R5" s="23" t="n">
        <v>15.588</v>
      </c>
    </row>
    <row r="6">
      <c r="A6" s="19" t="inlineStr">
        <is>
          <t>SG&amp;A &amp; Other</t>
        </is>
      </c>
      <c r="B6" s="23" t="n">
        <v>8.694000000000001</v>
      </c>
      <c r="C6" s="23" t="n">
        <v>8.574999999999999</v>
      </c>
      <c r="D6" s="23" t="n">
        <v>6.559</v>
      </c>
      <c r="E6" s="23" t="n">
        <v>9.676</v>
      </c>
      <c r="F6" s="23" t="n">
        <v>7.71</v>
      </c>
      <c r="G6" s="23" t="n">
        <v>9.192</v>
      </c>
      <c r="H6" s="23" t="n">
        <v>12.132</v>
      </c>
      <c r="I6" s="23" t="n">
        <v>10.232</v>
      </c>
      <c r="J6" s="23" t="n">
        <v>12.437</v>
      </c>
      <c r="K6" s="23" t="n">
        <v>18.794</v>
      </c>
      <c r="L6" s="23" t="n">
        <v>14.349</v>
      </c>
      <c r="M6" s="23" t="n">
        <v>28.598</v>
      </c>
      <c r="N6" s="23" t="n">
        <v>2.26</v>
      </c>
      <c r="O6" s="23" t="n">
        <v>43.169</v>
      </c>
      <c r="P6" s="23" t="n">
        <v>50.146</v>
      </c>
      <c r="Q6" s="23" t="n">
        <v>29.241</v>
      </c>
      <c r="R6" s="23" t="n">
        <v>9.162000000000001</v>
      </c>
    </row>
    <row r="7">
      <c r="A7" s="2" t="inlineStr">
        <is>
          <t>Operating Expense</t>
        </is>
      </c>
      <c r="B7" s="23">
        <f>SUM(B5:B6)</f>
        <v>8.8</v>
      </c>
      <c r="C7" s="23">
        <f>SUM(C5:C6)</f>
        <v>8.575</v>
      </c>
      <c r="D7" s="23">
        <f>SUM(D5:D6)</f>
        <v>6.57</v>
      </c>
      <c r="E7" s="23">
        <f>SUM(E5:E6)</f>
        <v>9.681000000000001</v>
      </c>
      <c r="F7" s="23">
        <f>SUM(F5:F6)</f>
        <v>7.715</v>
      </c>
      <c r="G7" s="23">
        <f>SUM(G5:G6)</f>
        <v>9.198</v>
      </c>
      <c r="H7" s="23">
        <f>SUM(H5:H6)</f>
        <v>12.352</v>
      </c>
      <c r="I7" s="23">
        <f>SUM(I5:I6)</f>
        <v>10.331</v>
      </c>
      <c r="J7" s="23">
        <f>SUM(J5:J6)</f>
        <v>15.513</v>
      </c>
      <c r="K7" s="23">
        <f>SUM(K5:K6)</f>
        <v>29.645000000000003</v>
      </c>
      <c r="L7" s="23">
        <f>SUM(L5:L6)</f>
        <v>28.093</v>
      </c>
      <c r="M7" s="23">
        <f>SUM(M5:M6)</f>
        <v>45.533</v>
      </c>
      <c r="N7" s="23">
        <f>SUM(N5:N6)</f>
        <v>34.954</v>
      </c>
      <c r="O7" s="23">
        <f>SUM(O5:O6)</f>
        <v>114.08</v>
      </c>
      <c r="P7" s="23">
        <f>SUM(P5:P6)</f>
        <v>101.348</v>
      </c>
      <c r="Q7" s="23">
        <f>SUM(Q5:Q6)</f>
        <v>42.022999999999996</v>
      </c>
      <c r="R7" s="23">
        <f>SUM(R5:R6)</f>
        <v>24.75</v>
      </c>
    </row>
    <row r="8">
      <c r="A8" s="2" t="inlineStr">
        <is>
          <t>Operating Income</t>
        </is>
      </c>
      <c r="B8" s="23">
        <f>B4-B7</f>
        <v>4.716999999999999</v>
      </c>
      <c r="C8" s="23">
        <f>C4-C7</f>
        <v>4.350000000000001</v>
      </c>
      <c r="D8" s="23">
        <f>D4-D7</f>
        <v>3.2950000000000017</v>
      </c>
      <c r="E8" s="23">
        <f>E4-E7</f>
        <v>10.939999999999998</v>
      </c>
      <c r="F8" s="23">
        <f>F4-F7</f>
        <v>9.790000000000003</v>
      </c>
      <c r="G8" s="23">
        <f>G4-G7</f>
        <v>3.9239999999999995</v>
      </c>
      <c r="H8" s="23">
        <f>H4-H7</f>
        <v>6.6179999999999986</v>
      </c>
      <c r="I8" s="23">
        <f>I4-I7</f>
        <v>3.017999999999999</v>
      </c>
      <c r="J8" s="23">
        <f>J4-J7</f>
        <v>-8.492999999999999</v>
      </c>
      <c r="K8" s="23">
        <f>K4-K7</f>
        <v>-20.873</v>
      </c>
      <c r="L8" s="23">
        <f>L4-L7</f>
        <v>-6.437000000000001</v>
      </c>
      <c r="M8" s="23">
        <f>M4-M7</f>
        <v>-14.746000000000002</v>
      </c>
      <c r="N8" s="23">
        <f>N4-N7</f>
        <v>12.973999999999997</v>
      </c>
      <c r="O8" s="23">
        <f>O4-O7</f>
        <v>-83.489</v>
      </c>
      <c r="P8" s="23">
        <f>P4-P7</f>
        <v>-93.782</v>
      </c>
      <c r="Q8" s="23">
        <f>Q4-Q7</f>
        <v>-36.169</v>
      </c>
      <c r="R8" s="23">
        <f>R4-R7</f>
        <v>-24.75</v>
      </c>
    </row>
    <row r="9">
      <c r="A9" s="19" t="inlineStr">
        <is>
          <t>Interest &amp; Other</t>
        </is>
      </c>
      <c r="B9" s="23" t="n">
        <v>0.332</v>
      </c>
      <c r="C9" s="23" t="n">
        <v>-0.125</v>
      </c>
      <c r="D9" s="23" t="n">
        <v>-0.063</v>
      </c>
      <c r="E9" s="23" t="n">
        <v>-0.148</v>
      </c>
      <c r="F9" s="23" t="n">
        <v>0.144</v>
      </c>
      <c r="G9" s="23" t="n">
        <v>0.033</v>
      </c>
      <c r="H9" s="23" t="n">
        <v>0.06900000000000001</v>
      </c>
      <c r="I9" s="23" t="n">
        <v>-0.205</v>
      </c>
      <c r="J9" s="23" t="n">
        <v>-0.108</v>
      </c>
      <c r="K9" s="23" t="n">
        <v>-2.2</v>
      </c>
      <c r="L9" s="23" t="n">
        <v>-5.885</v>
      </c>
      <c r="M9" s="23" t="n">
        <v>-5.305</v>
      </c>
      <c r="N9" s="23" t="n">
        <v>-8.707000000000001</v>
      </c>
      <c r="O9" s="23" t="n">
        <v>-0.316</v>
      </c>
      <c r="P9" s="23" t="n">
        <v>1.11</v>
      </c>
      <c r="Q9" s="23" t="n">
        <v>-1.632</v>
      </c>
      <c r="R9" s="23" t="n">
        <v>2.024</v>
      </c>
    </row>
    <row r="10">
      <c r="A10" s="2" t="inlineStr">
        <is>
          <t>Pretax</t>
        </is>
      </c>
      <c r="B10" s="23">
        <f>B8+B9</f>
        <v>5.048999999999999</v>
      </c>
      <c r="C10" s="23">
        <f>C8+C9</f>
        <v>4.225000000000001</v>
      </c>
      <c r="D10" s="23">
        <f>D8+D9</f>
        <v>3.2320000000000015</v>
      </c>
      <c r="E10" s="23">
        <f>E8+E9</f>
        <v>10.791999999999998</v>
      </c>
      <c r="F10" s="23">
        <f>F8+F9</f>
        <v>9.934000000000003</v>
      </c>
      <c r="G10" s="23">
        <f>G8+G9</f>
        <v>3.9569999999999994</v>
      </c>
      <c r="H10" s="23">
        <f>H8+H9</f>
        <v>6.6869999999999985</v>
      </c>
      <c r="I10" s="23">
        <f>I8+I9</f>
        <v>2.812999999999999</v>
      </c>
      <c r="J10" s="23">
        <f>J8+J9</f>
        <v>-8.600999999999999</v>
      </c>
      <c r="K10" s="23">
        <f>K8+K9</f>
        <v>-23.073</v>
      </c>
      <c r="L10" s="23">
        <f>L8+L9</f>
        <v>-12.322000000000001</v>
      </c>
      <c r="M10" s="23">
        <f>M8+M9</f>
        <v>-20.051000000000002</v>
      </c>
      <c r="N10" s="23">
        <f>N8+N9</f>
        <v>4.266999999999996</v>
      </c>
      <c r="O10" s="23">
        <f>O8+O9</f>
        <v>-83.805</v>
      </c>
      <c r="P10" s="23">
        <f>P8+P9</f>
        <v>-92.672</v>
      </c>
      <c r="Q10" s="23">
        <f>Q8+Q9</f>
        <v>-37.800999999999995</v>
      </c>
      <c r="R10" s="23">
        <f>R8+R9</f>
        <v>-22.726</v>
      </c>
    </row>
    <row r="11">
      <c r="A11" s="2" t="inlineStr">
        <is>
          <t>Taxes</t>
        </is>
      </c>
      <c r="B11" s="23" t="n">
        <v>-1.485</v>
      </c>
      <c r="C11" s="23" t="n">
        <v>-2.513</v>
      </c>
      <c r="D11" s="23" t="n">
        <v>-2.167</v>
      </c>
      <c r="E11" s="23" t="n">
        <v>-4.507</v>
      </c>
      <c r="F11" s="23" t="n">
        <v>-4.409</v>
      </c>
      <c r="G11" s="23" t="n">
        <v>1.524</v>
      </c>
      <c r="H11" s="23" t="n">
        <v>2.341</v>
      </c>
      <c r="I11" s="23" t="n">
        <v>2.469</v>
      </c>
      <c r="J11" s="23" t="n">
        <v>-1.99</v>
      </c>
      <c r="K11" s="23" t="n">
        <v>0.866</v>
      </c>
      <c r="L11" s="23" t="n">
        <v>-0.304</v>
      </c>
      <c r="M11" s="23" t="n">
        <v>-1.078</v>
      </c>
      <c r="N11" s="23" t="n">
        <v>-3.129</v>
      </c>
      <c r="O11" s="23" t="n">
        <v>0.236</v>
      </c>
      <c r="P11" s="23" t="n">
        <v>0.48</v>
      </c>
      <c r="Q11" s="23" t="n">
        <v>0</v>
      </c>
      <c r="R11" s="23" t="n">
        <v>0</v>
      </c>
    </row>
    <row r="12">
      <c r="A12" s="2" t="inlineStr">
        <is>
          <t>Net Income</t>
        </is>
      </c>
      <c r="B12" s="23" t="n">
        <v>6.535</v>
      </c>
      <c r="C12" s="23" t="n">
        <v>6.737</v>
      </c>
      <c r="D12" s="23" t="n">
        <v>5.399</v>
      </c>
      <c r="E12" s="23" t="n">
        <v>15.299</v>
      </c>
      <c r="F12" s="23" t="n">
        <v>14.343</v>
      </c>
      <c r="G12" s="23" t="n">
        <v>2.433</v>
      </c>
      <c r="H12" s="23" t="n">
        <v>4.346</v>
      </c>
      <c r="I12" s="23" t="n">
        <v>0.345</v>
      </c>
      <c r="J12" s="23" t="n">
        <v>-6.612</v>
      </c>
      <c r="K12" s="23" t="n">
        <v>-23.938</v>
      </c>
      <c r="L12" s="23" t="n">
        <v>-12.017</v>
      </c>
      <c r="M12" s="23" t="n">
        <v>-18.974</v>
      </c>
      <c r="N12" s="23" t="n">
        <v>7.394</v>
      </c>
      <c r="O12" s="23" t="n">
        <v>-84.041</v>
      </c>
      <c r="P12" s="23" t="n">
        <v>-93.15300000000001</v>
      </c>
      <c r="Q12" s="23" t="n">
        <v>-37.801</v>
      </c>
      <c r="R12" s="23" t="n">
        <v>-22.726</v>
      </c>
    </row>
    <row r="13">
      <c r="A13" s="2" t="inlineStr">
        <is>
          <t>Earnings per Share</t>
        </is>
      </c>
      <c r="B13" s="11">
        <f>IFERROR(B12/B14,0)</f>
        <v>0.23501276656956882</v>
      </c>
      <c r="C13" s="11">
        <f>IFERROR(C12/C14,0)</f>
        <v>0.23601331231389033</v>
      </c>
      <c r="D13" s="11">
        <f>IFERROR(D12/D14,0)</f>
        <v>0.18635877256566913</v>
      </c>
      <c r="E13" s="11">
        <f>IFERROR(E12/E14,0)</f>
        <v>0.5287733729651263</v>
      </c>
      <c r="F13" s="11">
        <f>IFERROR(F12/F14,0)</f>
        <v>0.4993037666225719</v>
      </c>
      <c r="G13" s="11">
        <f>IFERROR(G12/G14,0)</f>
        <v>0.08428893123159535</v>
      </c>
      <c r="H13" s="11">
        <f>IFERROR(H12/H14,0)</f>
        <v>0.15029221565169276</v>
      </c>
      <c r="I13" s="11">
        <f>IFERROR(I12/I14,0)</f>
        <v>0.011926573789193486</v>
      </c>
      <c r="J13" s="11">
        <f>IFERROR(J12/J14,0)</f>
        <v>-0.19087759815242494</v>
      </c>
      <c r="K13" s="11">
        <f>IFERROR(K12/K14,0)</f>
        <v>-0.44443206713452893</v>
      </c>
      <c r="L13" s="11">
        <f>IFERROR(L12/L14,0)</f>
        <v>-0.18977306823744927</v>
      </c>
      <c r="M13" s="11">
        <f>IFERROR(M12/M14,0)</f>
        <v>-0.28424190673078364</v>
      </c>
      <c r="N13" s="11">
        <f>IFERROR(N12/N14,0)</f>
        <v>0.08823178444428534</v>
      </c>
      <c r="O13" s="11">
        <f>IFERROR(O12/O14,0)</f>
        <v>-1.0488998165320818</v>
      </c>
      <c r="P13" s="11">
        <f>IFERROR(P12/P14,0)</f>
        <v>-1.0962658726889718</v>
      </c>
      <c r="Q13" s="11">
        <f>IFERROR(Q12/Q14,0)</f>
        <v>-2.8025652431791226</v>
      </c>
      <c r="R13" s="11">
        <f>IFERROR(R12/R14,0)</f>
        <v>-1.5516864672948243</v>
      </c>
    </row>
    <row r="14">
      <c r="A14" s="2" t="inlineStr">
        <is>
          <t>Shares</t>
        </is>
      </c>
      <c r="B14" s="23" t="n">
        <v>27.807</v>
      </c>
      <c r="C14" s="23" t="n">
        <v>28.545</v>
      </c>
      <c r="D14" s="23" t="n">
        <v>28.971</v>
      </c>
      <c r="E14" s="23" t="n">
        <v>28.933</v>
      </c>
      <c r="F14" s="23" t="n">
        <v>28.726</v>
      </c>
      <c r="G14" s="23" t="n">
        <v>28.865</v>
      </c>
      <c r="H14" s="23" t="n">
        <v>28.917</v>
      </c>
      <c r="I14" s="23" t="n">
        <v>28.927</v>
      </c>
      <c r="J14" s="23" t="n">
        <v>34.64</v>
      </c>
      <c r="K14" s="23" t="n">
        <v>53.862</v>
      </c>
      <c r="L14" s="23" t="n">
        <v>63.323</v>
      </c>
      <c r="M14" s="23" t="n">
        <v>66.753</v>
      </c>
      <c r="N14" s="23" t="n">
        <v>83.80200000000001</v>
      </c>
      <c r="O14" s="23" t="n">
        <v>80.123</v>
      </c>
      <c r="P14" s="23" t="n">
        <v>84.973</v>
      </c>
      <c r="Q14" s="23" t="n">
        <v>13.488</v>
      </c>
      <c r="R14" s="23" t="n">
        <v>14.646</v>
      </c>
    </row>
    <row r="15"/>
    <row r="16" customFormat="1" s="4">
      <c r="A16" s="3" t="inlineStr">
        <is>
          <t>Revenue Change</t>
        </is>
      </c>
      <c r="C16" s="15">
        <f>IFERROR(C2/B2-1,"")</f>
        <v>-0.19318883200813264</v>
      </c>
      <c r="D16" s="15">
        <f>IFERROR(D2/C2-1,"")</f>
        <v>-0.16456664566645662</v>
      </c>
      <c r="E16" s="15">
        <f>IFERROR(E2/D2-1,"")</f>
        <v>0.8870993805548073</v>
      </c>
      <c r="F16" s="15">
        <f>IFERROR(F2/E2-1,"")</f>
        <v>-0.10210081634983159</v>
      </c>
      <c r="G16" s="15">
        <f>IFERROR(G2/F2-1,"")</f>
        <v>-0.22144514734399345</v>
      </c>
      <c r="H16" s="15">
        <f>IFERROR(H2/G2-1,"")</f>
        <v>0.33130537748560696</v>
      </c>
      <c r="I16" s="15">
        <f>IFERROR(I2/H2-1,"")</f>
        <v>-0.32136175433215763</v>
      </c>
      <c r="J16" s="15">
        <f>IFERROR(J2/I2-1,"")</f>
        <v>-0.3828354499028336</v>
      </c>
      <c r="K16" s="15">
        <f>IFERROR(K2/J2-1,"")</f>
        <v>0.16168717047451664</v>
      </c>
      <c r="L16" s="15">
        <f>IFERROR(L2/K2-1,"")</f>
        <v>1.004727685325265</v>
      </c>
      <c r="M16" s="15">
        <f>IFERROR(M2/L2-1,"")</f>
        <v>0.33924472534037653</v>
      </c>
      <c r="N16" s="15">
        <f>IFERROR(N2/M2-1,"")</f>
        <v>0.43829827197595783</v>
      </c>
      <c r="O16" s="15">
        <f>IFERROR(O2/N2-1,"")</f>
        <v>-0.357590597453477</v>
      </c>
      <c r="P16" s="15">
        <f>IFERROR(P2/O2-1,"")</f>
        <v>-0.5858870762819535</v>
      </c>
      <c r="Q16" s="15">
        <f>IFERROR(Q2/P2-1,"")</f>
        <v>0.036141621157268045</v>
      </c>
      <c r="R16" s="15">
        <f>IFERROR(R2/Q2-1,"")</f>
        <v>-1.0</v>
      </c>
    </row>
    <row r="17" customFormat="1" s="4">
      <c r="A17" s="3" t="inlineStr">
        <is>
          <t>Gross Margin</t>
        </is>
      </c>
      <c r="B17" s="15">
        <f>IFERROR(B4/B2,"")</f>
        <v>0.4907599026976001</v>
      </c>
      <c r="C17" s="15">
        <f>IFERROR(C4/C2,"")</f>
        <v>0.581630816308163</v>
      </c>
      <c r="D17" s="15">
        <f>IFERROR(D4/D2,"")</f>
        <v>0.5313762456234852</v>
      </c>
      <c r="E17" s="15">
        <f>IFERROR(E4/E2,"")</f>
        <v>0.588599646058115</v>
      </c>
      <c r="F17" s="15">
        <f>IFERROR(F4/F2,"")</f>
        <v>0.5564739167752806</v>
      </c>
      <c r="G17" s="15">
        <f>IFERROR(G4/G2,"")</f>
        <v>0.5357886570576946</v>
      </c>
      <c r="H17" s="15">
        <f>IFERROR(H4/H2,"")</f>
        <v>0.5818126054286152</v>
      </c>
      <c r="I17" s="15">
        <f>IFERROR(I4/I2,"")</f>
        <v>0.6032900980702309</v>
      </c>
      <c r="J17" s="15">
        <f>IFERROR(J4/J2,"")</f>
        <v>0.5140597539543058</v>
      </c>
      <c r="K17" s="15">
        <f>IFERROR(K4/K2,"")</f>
        <v>0.5529500756429653</v>
      </c>
      <c r="L17" s="15">
        <f>IFERROR(L4/L2,"")</f>
        <v>0.6809420494921862</v>
      </c>
      <c r="M17" s="15">
        <f>IFERROR(M4/M2,"")</f>
        <v>0.7228352742299023</v>
      </c>
      <c r="N17" s="15">
        <f>IFERROR(N4/N2,"")</f>
        <v>0.7823702252693437</v>
      </c>
      <c r="O17" s="15">
        <f>IFERROR(O4/O2,"")</f>
        <v>0.777328861106876</v>
      </c>
      <c r="P17" s="15">
        <f>IFERROR(P4/P2,"")</f>
        <v>0.4642572252561821</v>
      </c>
      <c r="Q17" s="15">
        <f>IFERROR(Q4/Q2,"")</f>
        <v>0.34667772118915074</v>
      </c>
      <c r="R17" s="15">
        <f>IFERROR(R4/R2,"")</f>
        <v/>
      </c>
    </row>
    <row r="18">
      <c r="A18" s="14" t="inlineStr">
        <is>
          <t>Operating Margin</t>
        </is>
      </c>
      <c r="B18" s="15">
        <f>IFERROR(B8/B2,"")</f>
        <v>0.17125948516864534</v>
      </c>
      <c r="C18" s="15">
        <f>IFERROR(C8/C2,"")</f>
        <v>0.19575195751957525</v>
      </c>
      <c r="D18" s="15">
        <f>IFERROR(D8/D2,"")</f>
        <v>0.1774845138701859</v>
      </c>
      <c r="E18" s="15">
        <f>IFERROR(E8/E2,"")</f>
        <v>0.31226808243420673</v>
      </c>
      <c r="F18" s="15">
        <f>IFERROR(F8/F2,"")</f>
        <v>0.3112184887306483</v>
      </c>
      <c r="G18" s="15">
        <f>IFERROR(G8/G2,"")</f>
        <v>0.1602221224123147</v>
      </c>
      <c r="H18" s="15">
        <f>IFERROR(H8/H2,"")</f>
        <v>0.2029750038337678</v>
      </c>
      <c r="I18" s="15">
        <f>IFERROR(I8/I2,"")</f>
        <v>0.1363944502191892</v>
      </c>
      <c r="J18" s="15">
        <f>IFERROR(J8/J2,"")</f>
        <v>-0.6219244288224954</v>
      </c>
      <c r="K18" s="15">
        <f>IFERROR(K8/K2,"")</f>
        <v>-1.3157463439233485</v>
      </c>
      <c r="L18" s="15">
        <f>IFERROR(L8/L2,"")</f>
        <v>-0.20240228909222405</v>
      </c>
      <c r="M18" s="15">
        <f>IFERROR(M8/M2,"")</f>
        <v>-0.34621525169045836</v>
      </c>
      <c r="N18" s="15">
        <f>IFERROR(N8/N2,"")</f>
        <v>0.21178583088475347</v>
      </c>
      <c r="O18" s="15">
        <f>IFERROR(O8/O2,"")</f>
        <v>-2.1214870152970473</v>
      </c>
      <c r="P18" s="15">
        <f>IFERROR(P8/P2,"")</f>
        <v>-5.754556053261336</v>
      </c>
      <c r="Q18" s="15">
        <f>IFERROR(Q8/Q2,"")</f>
        <v>-2.141951912827194</v>
      </c>
      <c r="R18" s="15">
        <f>IFERROR(R8/R2,"")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Veru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0.12729999999999997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19.19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299.3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663.0385709763478</v>
      </c>
      <c r="C29" s="42">
        <f>NPV!B25</f>
        <v>686.9187129763478</v>
      </c>
      <c r="D29" s="43">
        <f>NPV!B27</f>
        <v>40.28773143121935</v>
      </c>
      <c r="E29" s="44">
        <f>NPV!B29</f>
        <v>15.927618248411491</v>
      </c>
    </row>
    <row r="30">
      <c r="A30" s="45" t="n">
        <v>1</v>
      </c>
      <c r="B30" s="46">
        <f t="dataTable" ref="B30:E32" r1="B4"/>
        <v>241.65019453770628</v>
      </c>
      <c r="C30" s="46">
        <v>265.53033653770626</v>
      </c>
      <c r="D30" s="47">
        <v>15.573334490948339</v>
      </c>
      <c r="E30" s="48">
        <v>5.543417853339639</v>
      </c>
    </row>
    <row r="31">
      <c r="A31" s="45" t="n">
        <v>2</v>
      </c>
      <c r="B31" s="46">
        <v>663.0385709763478</v>
      </c>
      <c r="C31" s="46">
        <v>686.9187129763478</v>
      </c>
      <c r="D31" s="47">
        <v>40.28773143121935</v>
      </c>
      <c r="E31" s="48">
        <v>15.927618248411491</v>
      </c>
    </row>
    <row r="32">
      <c r="A32" s="45" t="n">
        <v>3</v>
      </c>
      <c r="B32" s="46">
        <v>1337.9394143325949</v>
      </c>
      <c r="C32" s="46">
        <v>1361.8195563325949</v>
      </c>
      <c r="D32" s="47">
        <v>79.87061570296598</v>
      </c>
      <c r="E32" s="48">
        <v>32.559082228136965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40.28773143121935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11.803077790911576</v>
      </c>
      <c r="C37" s="47">
        <v>17.987794561950622</v>
      </c>
      <c r="D37" s="47">
        <v>24.119534795705952</v>
      </c>
      <c r="E37" s="47">
        <v>36.31268179100945</v>
      </c>
      <c r="F37" s="47">
        <v>48.4459204297085</v>
      </c>
    </row>
    <row r="38">
      <c r="A38" s="50" t="n">
        <v>0.8</v>
      </c>
      <c r="B38" s="47">
        <v>15.901585981810452</v>
      </c>
      <c r="C38" s="47">
        <v>24.084462759098063</v>
      </c>
      <c r="D38" s="47">
        <v>32.22048848054568</v>
      </c>
      <c r="E38" s="47">
        <v>48.411238810030305</v>
      </c>
      <c r="F38" s="47">
        <v>64.58133644213663</v>
      </c>
    </row>
    <row r="39">
      <c r="A39" s="50" t="n">
        <v>1</v>
      </c>
      <c r="B39" s="47">
        <v>19.96753212070749</v>
      </c>
      <c r="C39" s="47">
        <v>30.15141001357589</v>
      </c>
      <c r="D39" s="47">
        <v>40.28773143121935</v>
      </c>
      <c r="E39" s="47">
        <v>60.50979582905113</v>
      </c>
      <c r="F39" s="47">
        <v>80.66632351121117</v>
      </c>
    </row>
    <row r="40">
      <c r="A40" s="50" t="n">
        <v>1.2</v>
      </c>
      <c r="B40" s="47">
        <v>24.014318685882273</v>
      </c>
      <c r="C40" s="47">
        <v>36.208636931974766</v>
      </c>
      <c r="D40" s="47">
        <v>48.341875570673835</v>
      </c>
      <c r="E40" s="47">
        <v>72.57233226751002</v>
      </c>
      <c r="F40" s="47">
        <v>96.75131058028572</v>
      </c>
    </row>
    <row r="41">
      <c r="A41" s="50" t="n">
        <v>1.4</v>
      </c>
      <c r="B41" s="47">
        <v>28.047259509998195</v>
      </c>
      <c r="C41" s="47">
        <v>42.24057463164608</v>
      </c>
      <c r="D41" s="47">
        <v>56.396019710128314</v>
      </c>
      <c r="E41" s="47">
        <v>84.62748961778864</v>
      </c>
      <c r="F41" s="47">
        <v>112.83629764936032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Veru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Obesity</t>
        </is>
      </c>
      <c r="C4" s="14" t="inlineStr">
        <is>
          <t>Enobosarm</t>
        </is>
      </c>
      <c r="D4" s="14" t="inlineStr">
        <is>
          <t>Phase 2</t>
        </is>
      </c>
      <c r="E4" s="14" t="inlineStr">
        <is>
          <t>Metabolic / chronic</t>
        </is>
      </c>
      <c r="F4" s="14" t="inlineStr">
        <is>
          <t>Owned</t>
        </is>
      </c>
      <c r="G4" s="40" t="n">
        <v>6000</v>
      </c>
      <c r="H4" s="27" t="n">
        <v>0.1273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867.709633045954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76.38</v>
      </c>
      <c r="S4" s="23">
        <f>IF(S$3&lt;$I4,0,$G4*Assumptions!$E$11*INDEX(Assumptions!$B$24:$G$24,MIN(6,S$3-$I4+1))*IF(S$3&gt;$J4,(1-Assumptions!$B$26)^(S$3-$J4),1)*IF($H4&gt;=1,1,MIN(0.97,$H4*Assumptions!$E$12)))</f>
        <v>190.95</v>
      </c>
      <c r="T4" s="23">
        <f>IF(T$3&lt;$I4,0,$G4*Assumptions!$E$11*INDEX(Assumptions!$B$24:$G$24,MIN(6,T$3-$I4+1))*IF(T$3&gt;$J4,(1-Assumptions!$B$26)^(T$3-$J4),1)*IF($H4&gt;=1,1,MIN(0.97,$H4*Assumptions!$E$12)))</f>
        <v>343.71</v>
      </c>
      <c r="U4" s="23">
        <f>IF(U$3&lt;$I4,0,$G4*Assumptions!$E$11*INDEX(Assumptions!$B$24:$G$24,MIN(6,U$3-$I4+1))*IF(U$3&gt;$J4,(1-Assumptions!$B$26)^(U$3-$J4),1)*IF($H4&gt;=1,1,MIN(0.97,$H4*Assumptions!$E$12)))</f>
        <v>496.46999999999997</v>
      </c>
      <c r="V4" s="23">
        <f>IF(V$3&lt;$I4,0,$G4*Assumptions!$E$11*INDEX(Assumptions!$B$24:$G$24,MIN(6,V$3-$I4+1))*IF(V$3&gt;$J4,(1-Assumptions!$B$26)^(V$3-$J4),1)*IF($H4&gt;=1,1,MIN(0.97,$H4*Assumptions!$E$12)))</f>
        <v>649.23</v>
      </c>
      <c r="W4" s="23">
        <f>IF(W$3&lt;$I4,0,$G4*Assumptions!$E$11*INDEX(Assumptions!$B$24:$G$24,MIN(6,W$3-$I4+1))*IF(W$3&gt;$J4,(1-Assumptions!$B$26)^(W$3-$J4),1)*IF($H4&gt;=1,1,MIN(0.97,$H4*Assumptions!$E$12)))</f>
        <v>763.8</v>
      </c>
      <c r="X4" s="23">
        <f>IF(X$3&lt;$I4,0,$G4*Assumptions!$E$11*INDEX(Assumptions!$B$24:$G$24,MIN(6,X$3-$I4+1))*IF(X$3&gt;$J4,(1-Assumptions!$B$26)^(X$3-$J4),1)*IF($H4&gt;=1,1,MIN(0.97,$H4*Assumptions!$E$12)))</f>
        <v>763.8</v>
      </c>
      <c r="Y4" s="23">
        <f>IF(Y$3&lt;$I4,0,$G4*Assumptions!$E$11*INDEX(Assumptions!$B$24:$G$24,MIN(6,Y$3-$I4+1))*IF(Y$3&gt;$J4,(1-Assumptions!$B$26)^(Y$3-$J4),1)*IF($H4&gt;=1,1,MIN(0.97,$H4*Assumptions!$E$12)))</f>
        <v>763.8</v>
      </c>
      <c r="Z4" s="23">
        <f>IF(Z$3&lt;$I4,0,$G4*Assumptions!$E$11*INDEX(Assumptions!$B$24:$G$24,MIN(6,Z$3-$I4+1))*IF(Z$3&gt;$J4,(1-Assumptions!$B$26)^(Z$3-$J4),1)*IF($H4&gt;=1,1,MIN(0.97,$H4*Assumptions!$E$12)))</f>
        <v>763.8</v>
      </c>
      <c r="AA4" s="23">
        <f>IF(AA$3&lt;$I4,0,$G4*Assumptions!$E$11*INDEX(Assumptions!$B$24:$G$24,MIN(6,AA$3-$I4+1))*IF(AA$3&gt;$J4,(1-Assumptions!$B$26)^(AA$3-$J4),1)*IF($H4&gt;=1,1,MIN(0.97,$H4*Assumptions!$E$12)))</f>
        <v>763.8</v>
      </c>
      <c r="AB4" s="23">
        <f>IF(AB$3&lt;$I4,0,$G4*Assumptions!$E$11*INDEX(Assumptions!$B$24:$G$24,MIN(6,AB$3-$I4+1))*IF(AB$3&gt;$J4,(1-Assumptions!$B$26)^(AB$3-$J4),1)*IF($H4&gt;=1,1,MIN(0.97,$H4*Assumptions!$E$12)))</f>
        <v>763.8</v>
      </c>
      <c r="AC4" s="23">
        <f>IF(AC$3&lt;$I4,0,$G4*Assumptions!$E$11*INDEX(Assumptions!$B$24:$G$24,MIN(6,AC$3-$I4+1))*IF(AC$3&gt;$J4,(1-Assumptions!$B$26)^(AC$3-$J4),1)*IF($H4&gt;=1,1,MIN(0.97,$H4*Assumptions!$E$12)))</f>
        <v>763.8</v>
      </c>
      <c r="AD4" s="23">
        <f>IF(AD$3&lt;$I4,0,$G4*Assumptions!$E$11*INDEX(Assumptions!$B$24:$G$24,MIN(6,AD$3-$I4+1))*IF(AD$3&gt;$J4,(1-Assumptions!$B$26)^(AD$3-$J4),1)*IF($H4&gt;=1,1,MIN(0.97,$H4*Assumptions!$E$12)))</f>
        <v>763.8</v>
      </c>
      <c r="AE4" s="23">
        <f>IF(AE$3&lt;$I4,0,$G4*Assumptions!$E$11*INDEX(Assumptions!$B$24:$G$24,MIN(6,AE$3-$I4+1))*IF(AE$3&gt;$J4,(1-Assumptions!$B$26)^(AE$3-$J4),1)*IF($H4&gt;=1,1,MIN(0.97,$H4*Assumptions!$E$12)))</f>
        <v>381.9</v>
      </c>
      <c r="AF4" s="23">
        <f>IF(AF$3&lt;$I4,0,$G4*Assumptions!$E$11*INDEX(Assumptions!$B$24:$G$24,MIN(6,AF$3-$I4+1))*IF(AF$3&gt;$J4,(1-Assumptions!$B$26)^(AF$3-$J4),1)*IF($H4&gt;=1,1,MIN(0.97,$H4*Assumptions!$E$12)))</f>
        <v>190.95</v>
      </c>
      <c r="AG4" s="35">
        <f>IF(F4="Owned",1-IF(H4&gt;=1,1,MIN(0.97,H4*Assumptions!$E$12)),1)</f>
        <v>0.8727</v>
      </c>
    </row>
    <row r="5">
      <c r="B5" s="24" t="inlineStr">
        <is>
          <t>Risked revenue</t>
        </is>
      </c>
      <c r="L5" s="54">
        <f>SUM(L4:L4)</f>
        <v>867.709633045954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76.38</v>
      </c>
      <c r="S5" s="54">
        <f>SUM(S4:S4)</f>
        <v>190.95</v>
      </c>
      <c r="T5" s="54">
        <f>SUM(T4:T4)</f>
        <v>343.71</v>
      </c>
      <c r="U5" s="54">
        <f>SUM(U4:U4)</f>
        <v>496.46999999999997</v>
      </c>
      <c r="V5" s="54">
        <f>SUM(V4:V4)</f>
        <v>649.23</v>
      </c>
      <c r="W5" s="54">
        <f>SUM(W4:W4)</f>
        <v>763.8</v>
      </c>
      <c r="X5" s="54">
        <f>SUM(X4:X4)</f>
        <v>763.8</v>
      </c>
      <c r="Y5" s="54">
        <f>SUM(Y4:Y4)</f>
        <v>763.8</v>
      </c>
      <c r="Z5" s="54">
        <f>SUM(Z4:Z4)</f>
        <v>763.8</v>
      </c>
      <c r="AA5" s="54">
        <f>SUM(AA4:AA4)</f>
        <v>763.8</v>
      </c>
      <c r="AB5" s="54">
        <f>SUM(AB4:AB4)</f>
        <v>763.8</v>
      </c>
      <c r="AC5" s="54">
        <f>SUM(AC4:AC4)</f>
        <v>763.8</v>
      </c>
      <c r="AD5" s="54">
        <f>SUM(AD4:AD4)</f>
        <v>763.8</v>
      </c>
      <c r="AE5" s="54">
        <f>SUM(AE4:AE4)</f>
        <v>381.9</v>
      </c>
      <c r="AF5" s="54">
        <f>SUM(AF4:AF4)</f>
        <v>190.95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30.552</v>
      </c>
      <c r="S6" s="55">
        <f>SUMPRODUCT(S4:S4,$K$4:$K$4)</f>
        <v>76.38</v>
      </c>
      <c r="T6" s="55">
        <f>SUMPRODUCT(T4:T4,$K$4:$K$4)</f>
        <v>137.484</v>
      </c>
      <c r="U6" s="55">
        <f>SUMPRODUCT(U4:U4,$K$4:$K$4)</f>
        <v>198.588</v>
      </c>
      <c r="V6" s="55">
        <f>SUMPRODUCT(V4:V4,$K$4:$K$4)</f>
        <v>259.692</v>
      </c>
      <c r="W6" s="55">
        <f>SUMPRODUCT(W4:W4,$K$4:$K$4)</f>
        <v>305.52</v>
      </c>
      <c r="X6" s="55">
        <f>SUMPRODUCT(X4:X4,$K$4:$K$4)</f>
        <v>305.52</v>
      </c>
      <c r="Y6" s="55">
        <f>SUMPRODUCT(Y4:Y4,$K$4:$K$4)</f>
        <v>305.52</v>
      </c>
      <c r="Z6" s="55">
        <f>SUMPRODUCT(Z4:Z4,$K$4:$K$4)</f>
        <v>305.52</v>
      </c>
      <c r="AA6" s="55">
        <f>SUMPRODUCT(AA4:AA4,$K$4:$K$4)</f>
        <v>305.52</v>
      </c>
      <c r="AB6" s="55">
        <f>SUMPRODUCT(AB4:AB4,$K$4:$K$4)</f>
        <v>305.52</v>
      </c>
      <c r="AC6" s="55">
        <f>SUMPRODUCT(AC4:AC4,$K$4:$K$4)</f>
        <v>305.52</v>
      </c>
      <c r="AD6" s="55">
        <f>SUMPRODUCT(AD4:AD4,$K$4:$K$4)</f>
        <v>305.52</v>
      </c>
      <c r="AE6" s="55">
        <f>SUMPRODUCT(AE4:AE4,$K$4:$K$4)</f>
        <v>152.76</v>
      </c>
      <c r="AF6" s="55">
        <f>SUMPRODUCT(AF4:AF4,$K$4:$K$4)</f>
        <v>76.38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Veru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76.38</v>
      </c>
      <c r="I4" s="57">
        <f>Pipeline!S5</f>
        <v>190.95</v>
      </c>
      <c r="J4" s="57">
        <f>Pipeline!T5</f>
        <v>343.71</v>
      </c>
      <c r="K4" s="57">
        <f>Pipeline!U5</f>
        <v>496.46999999999997</v>
      </c>
      <c r="L4" s="57">
        <f>Pipeline!V5</f>
        <v>649.23</v>
      </c>
      <c r="M4" s="57">
        <f>Pipeline!W5</f>
        <v>763.8</v>
      </c>
      <c r="N4" s="57">
        <f>Pipeline!X5</f>
        <v>763.8</v>
      </c>
      <c r="O4" s="57">
        <f>Pipeline!Y5</f>
        <v>763.8</v>
      </c>
      <c r="P4" s="57">
        <f>Pipeline!Z5</f>
        <v>763.8</v>
      </c>
      <c r="Q4" s="57">
        <f>Pipeline!AA5</f>
        <v>763.8</v>
      </c>
      <c r="R4" s="57">
        <f>Pipeline!AB5</f>
        <v>763.8</v>
      </c>
      <c r="S4" s="57">
        <f>Pipeline!AC5</f>
        <v>763.8</v>
      </c>
      <c r="T4" s="57">
        <f>Pipeline!AD5</f>
        <v>763.8</v>
      </c>
      <c r="U4" s="57">
        <f>Pipeline!AE5</f>
        <v>381.9</v>
      </c>
      <c r="V4" s="57">
        <f>Pipeline!AF5</f>
        <v>190.95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30.552</v>
      </c>
      <c r="I5" s="57">
        <f>Pipeline!S6</f>
        <v>76.38</v>
      </c>
      <c r="J5" s="57">
        <f>Pipeline!T6</f>
        <v>137.484</v>
      </c>
      <c r="K5" s="57">
        <f>Pipeline!U6</f>
        <v>198.588</v>
      </c>
      <c r="L5" s="57">
        <f>Pipeline!V6</f>
        <v>259.692</v>
      </c>
      <c r="M5" s="57">
        <f>Pipeline!W6</f>
        <v>305.52</v>
      </c>
      <c r="N5" s="57">
        <f>Pipeline!X6</f>
        <v>305.52</v>
      </c>
      <c r="O5" s="57">
        <f>Pipeline!Y6</f>
        <v>305.52</v>
      </c>
      <c r="P5" s="57">
        <f>Pipeline!Z6</f>
        <v>305.52</v>
      </c>
      <c r="Q5" s="57">
        <f>Pipeline!AA6</f>
        <v>305.52</v>
      </c>
      <c r="R5" s="57">
        <f>Pipeline!AB6</f>
        <v>305.52</v>
      </c>
      <c r="S5" s="57">
        <f>Pipeline!AC6</f>
        <v>305.52</v>
      </c>
      <c r="T5" s="57">
        <f>Pipeline!AD6</f>
        <v>305.52</v>
      </c>
      <c r="U5" s="57">
        <f>Pipeline!AE6</f>
        <v>152.76</v>
      </c>
      <c r="V5" s="57">
        <f>Pipeline!AF6</f>
        <v>76.38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-19.19</v>
      </c>
      <c r="D6" s="23">
        <f>-IF(D3-2026&lt;Assumptions!$B$19,Assumptions!$B$18,Assumptions!$B$18*Assumptions!$B$20*Assumptions!$B$16)</f>
        <v>-19.19</v>
      </c>
      <c r="E6" s="23">
        <f>-IF(E3-2026&lt;Assumptions!$B$19,Assumptions!$B$18,Assumptions!$B$18*Assumptions!$B$20*Assumptions!$B$16)</f>
        <v>-19.19</v>
      </c>
      <c r="F6" s="23">
        <f>-IF(F3-2026&lt;Assumptions!$B$19,Assumptions!$B$18,Assumptions!$B$18*Assumptions!$B$20*Assumptions!$B$16)</f>
        <v>-19.19</v>
      </c>
      <c r="G6" s="23">
        <f>-IF(G3-2026&lt;Assumptions!$B$19,Assumptions!$B$18,Assumptions!$B$18*Assumptions!$B$20*Assumptions!$B$16)</f>
        <v>-0.7328660999999999</v>
      </c>
      <c r="H6" s="23">
        <f>-IF(H3-2026&lt;Assumptions!$B$19,Assumptions!$B$18,Assumptions!$B$18*Assumptions!$B$20*Assumptions!$B$16)</f>
        <v>-0.7328660999999999</v>
      </c>
      <c r="I6" s="23">
        <f>-IF(I3-2026&lt;Assumptions!$B$19,Assumptions!$B$18,Assumptions!$B$18*Assumptions!$B$20*Assumptions!$B$16)</f>
        <v>-0.7328660999999999</v>
      </c>
      <c r="J6" s="23">
        <f>-IF(J3-2026&lt;Assumptions!$B$19,Assumptions!$B$18,Assumptions!$B$18*Assumptions!$B$20*Assumptions!$B$16)</f>
        <v>-0.7328660999999999</v>
      </c>
      <c r="K6" s="23">
        <f>-IF(K3-2026&lt;Assumptions!$B$19,Assumptions!$B$18,Assumptions!$B$18*Assumptions!$B$20*Assumptions!$B$16)</f>
        <v>-0.7328660999999999</v>
      </c>
      <c r="L6" s="23">
        <f>-IF(L3-2026&lt;Assumptions!$B$19,Assumptions!$B$18,Assumptions!$B$18*Assumptions!$B$20*Assumptions!$B$16)</f>
        <v>-0.7328660999999999</v>
      </c>
      <c r="M6" s="23">
        <f>-IF(M3-2026&lt;Assumptions!$B$19,Assumptions!$B$18,Assumptions!$B$18*Assumptions!$B$20*Assumptions!$B$16)</f>
        <v>-0.7328660999999999</v>
      </c>
      <c r="N6" s="23">
        <f>-IF(N3-2026&lt;Assumptions!$B$19,Assumptions!$B$18,Assumptions!$B$18*Assumptions!$B$20*Assumptions!$B$16)</f>
        <v>-0.7328660999999999</v>
      </c>
      <c r="O6" s="23">
        <f>-IF(O3-2026&lt;Assumptions!$B$19,Assumptions!$B$18,Assumptions!$B$18*Assumptions!$B$20*Assumptions!$B$16)</f>
        <v>-0.7328660999999999</v>
      </c>
      <c r="P6" s="23">
        <f>-IF(P3-2026&lt;Assumptions!$B$19,Assumptions!$B$18,Assumptions!$B$18*Assumptions!$B$20*Assumptions!$B$16)</f>
        <v>-0.7328660999999999</v>
      </c>
      <c r="Q6" s="23">
        <f>-IF(Q3-2026&lt;Assumptions!$B$19,Assumptions!$B$18,Assumptions!$B$18*Assumptions!$B$20*Assumptions!$B$16)</f>
        <v>-0.7328660999999999</v>
      </c>
      <c r="R6" s="23">
        <f>-IF(R3-2026&lt;Assumptions!$B$19,Assumptions!$B$18,Assumptions!$B$18*Assumptions!$B$20*Assumptions!$B$16)</f>
        <v>-0.7328660999999999</v>
      </c>
      <c r="S6" s="23">
        <f>-IF(S3-2026&lt;Assumptions!$B$19,Assumptions!$B$18,Assumptions!$B$18*Assumptions!$B$20*Assumptions!$B$16)</f>
        <v>-0.7328660999999999</v>
      </c>
      <c r="T6" s="23">
        <f>-IF(T3-2026&lt;Assumptions!$B$19,Assumptions!$B$18,Assumptions!$B$18*Assumptions!$B$20*Assumptions!$B$16)</f>
        <v>-0.7328660999999999</v>
      </c>
      <c r="U6" s="23">
        <f>-IF(U3-2026&lt;Assumptions!$B$19,Assumptions!$B$18,Assumptions!$B$18*Assumptions!$B$20*Assumptions!$B$16)</f>
        <v>-0.7328660999999999</v>
      </c>
      <c r="V6" s="23">
        <f>-IF(V3-2026&lt;Assumptions!$B$19,Assumptions!$B$18,Assumptions!$B$18*Assumptions!$B$20*Assumptions!$B$16)</f>
        <v>-0.7328660999999999</v>
      </c>
    </row>
    <row r="7">
      <c r="A7" s="14" t="inlineStr">
        <is>
          <t>Pre-tax cash flow</t>
        </is>
      </c>
      <c r="C7" s="23">
        <f>C5+C6</f>
        <v>-19.19</v>
      </c>
      <c r="D7" s="23">
        <f>D5+D6</f>
        <v>-19.19</v>
      </c>
      <c r="E7" s="23">
        <f>E5+E6</f>
        <v>-19.19</v>
      </c>
      <c r="F7" s="23">
        <f>F5+F6</f>
        <v>-19.19</v>
      </c>
      <c r="G7" s="23">
        <f>G5+G6</f>
        <v>-0.7328660999999999</v>
      </c>
      <c r="H7" s="23">
        <f>H5+H6</f>
        <v>29.8191339</v>
      </c>
      <c r="I7" s="23">
        <f>I5+I6</f>
        <v>75.6471339</v>
      </c>
      <c r="J7" s="23">
        <f>J5+J6</f>
        <v>136.7511339</v>
      </c>
      <c r="K7" s="23">
        <f>K5+K6</f>
        <v>197.8551339</v>
      </c>
      <c r="L7" s="23">
        <f>L5+L6</f>
        <v>258.9591339</v>
      </c>
      <c r="M7" s="23">
        <f>M5+M6</f>
        <v>304.78713389999996</v>
      </c>
      <c r="N7" s="23">
        <f>N5+N6</f>
        <v>304.78713389999996</v>
      </c>
      <c r="O7" s="23">
        <f>O5+O6</f>
        <v>304.78713389999996</v>
      </c>
      <c r="P7" s="23">
        <f>P5+P6</f>
        <v>304.78713389999996</v>
      </c>
      <c r="Q7" s="23">
        <f>Q5+Q6</f>
        <v>304.78713389999996</v>
      </c>
      <c r="R7" s="23">
        <f>R5+R6</f>
        <v>304.78713389999996</v>
      </c>
      <c r="S7" s="23">
        <f>S5+S6</f>
        <v>304.78713389999996</v>
      </c>
      <c r="T7" s="23">
        <f>T5+T6</f>
        <v>304.78713389999996</v>
      </c>
      <c r="U7" s="23">
        <f>U5+U6</f>
        <v>152.0271339</v>
      </c>
      <c r="V7" s="23">
        <f>V5+V6</f>
        <v>75.6471339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29.8191339</v>
      </c>
      <c r="I8" s="23">
        <f>MIN(H17,MAX(0,I7))</f>
        <v>75.6471339</v>
      </c>
      <c r="J8" s="23">
        <f>MIN(I17,MAX(0,J7))</f>
        <v>136.7511339</v>
      </c>
      <c r="K8" s="23">
        <f>MIN(J17,MAX(0,K7))</f>
        <v>134.5754644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63.27966950000001</v>
      </c>
      <c r="L9" s="23">
        <f>MAX(0,L7)-L8</f>
        <v>258.9591339</v>
      </c>
      <c r="M9" s="23">
        <f>MAX(0,M7)-M8</f>
        <v>304.78713389999996</v>
      </c>
      <c r="N9" s="23">
        <f>MAX(0,N7)-N8</f>
        <v>304.78713389999996</v>
      </c>
      <c r="O9" s="23">
        <f>MAX(0,O7)-O8</f>
        <v>304.78713389999996</v>
      </c>
      <c r="P9" s="23">
        <f>MAX(0,P7)-P8</f>
        <v>304.78713389999996</v>
      </c>
      <c r="Q9" s="23">
        <f>MAX(0,Q7)-Q8</f>
        <v>304.78713389999996</v>
      </c>
      <c r="R9" s="23">
        <f>MAX(0,R7)-R8</f>
        <v>304.78713389999996</v>
      </c>
      <c r="S9" s="23">
        <f>MAX(0,S7)-S8</f>
        <v>304.78713389999996</v>
      </c>
      <c r="T9" s="23">
        <f>MAX(0,T7)-T8</f>
        <v>304.78713389999996</v>
      </c>
      <c r="U9" s="23">
        <f>MAX(0,U7)-U8</f>
        <v>152.0271339</v>
      </c>
      <c r="V9" s="23">
        <f>MAX(0,V7)-V8</f>
        <v>75.6471339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13.288730595000002</v>
      </c>
      <c r="L10" s="23">
        <f>L9*Assumptions!$E$15</f>
        <v>54.381418118999996</v>
      </c>
      <c r="M10" s="23">
        <f>M9*Assumptions!$E$15</f>
        <v>64.00529811899999</v>
      </c>
      <c r="N10" s="23">
        <f>N9*Assumptions!$E$15</f>
        <v>64.00529811899999</v>
      </c>
      <c r="O10" s="23">
        <f>O9*Assumptions!$E$15</f>
        <v>64.00529811899999</v>
      </c>
      <c r="P10" s="23">
        <f>P9*Assumptions!$E$15</f>
        <v>64.00529811899999</v>
      </c>
      <c r="Q10" s="23">
        <f>Q9*Assumptions!$E$15</f>
        <v>64.00529811899999</v>
      </c>
      <c r="R10" s="23">
        <f>R9*Assumptions!$E$15</f>
        <v>64.00529811899999</v>
      </c>
      <c r="S10" s="23">
        <f>S9*Assumptions!$E$15</f>
        <v>64.00529811899999</v>
      </c>
      <c r="T10" s="23">
        <f>T9*Assumptions!$E$15</f>
        <v>64.00529811899999</v>
      </c>
      <c r="U10" s="23">
        <f>U9*Assumptions!$E$15</f>
        <v>31.925698118999996</v>
      </c>
      <c r="V10" s="23">
        <f>V9*Assumptions!$E$15</f>
        <v>15.885898119</v>
      </c>
    </row>
    <row r="11">
      <c r="A11" s="24" t="inlineStr">
        <is>
          <t>Free cash flow</t>
        </is>
      </c>
      <c r="C11" s="55">
        <f>C7-C10</f>
        <v>-19.19</v>
      </c>
      <c r="D11" s="55">
        <f>D7-D10</f>
        <v>-19.19</v>
      </c>
      <c r="E11" s="55">
        <f>E7-E10</f>
        <v>-19.19</v>
      </c>
      <c r="F11" s="55">
        <f>F7-F10</f>
        <v>-19.19</v>
      </c>
      <c r="G11" s="55">
        <f>G7-G10</f>
        <v>-0.7328660999999999</v>
      </c>
      <c r="H11" s="55">
        <f>H7-H10</f>
        <v>29.8191339</v>
      </c>
      <c r="I11" s="55">
        <f>I7-I10</f>
        <v>75.6471339</v>
      </c>
      <c r="J11" s="55">
        <f>J7-J10</f>
        <v>136.7511339</v>
      </c>
      <c r="K11" s="55">
        <f>K7-K10</f>
        <v>184.566403305</v>
      </c>
      <c r="L11" s="55">
        <f>L7-L10</f>
        <v>204.577715781</v>
      </c>
      <c r="M11" s="55">
        <f>M7-M10</f>
        <v>240.78183578099998</v>
      </c>
      <c r="N11" s="55">
        <f>N7-N10</f>
        <v>240.78183578099998</v>
      </c>
      <c r="O11" s="55">
        <f>O7-O10</f>
        <v>240.78183578099998</v>
      </c>
      <c r="P11" s="55">
        <f>P7-P10</f>
        <v>240.78183578099998</v>
      </c>
      <c r="Q11" s="55">
        <f>Q7-Q10</f>
        <v>240.78183578099998</v>
      </c>
      <c r="R11" s="55">
        <f>R7-R10</f>
        <v>240.78183578099998</v>
      </c>
      <c r="S11" s="55">
        <f>S7-S10</f>
        <v>240.78183578099998</v>
      </c>
      <c r="T11" s="55">
        <f>T7-T10</f>
        <v>240.78183578099998</v>
      </c>
      <c r="U11" s="55">
        <f>U7-U10</f>
        <v>120.10143578099999</v>
      </c>
      <c r="V11" s="55">
        <f>V7-V10</f>
        <v>59.761235780999996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-9.401264457591349</v>
      </c>
      <c r="D16" s="55">
        <f>D11*D15</f>
        <v>-17.125969181770973</v>
      </c>
      <c r="E16" s="55">
        <f>E11*E15</f>
        <v>-15.291043912295507</v>
      </c>
      <c r="F16" s="55">
        <f>F11*F15</f>
        <v>-13.652717778835274</v>
      </c>
      <c r="G16" s="55">
        <f>G11*G15</f>
        <v>-0.46553329640510616</v>
      </c>
      <c r="H16" s="55">
        <f>H11*H15</f>
        <v>16.91231729537664</v>
      </c>
      <c r="I16" s="55">
        <f>I11*I15</f>
        <v>38.307388689144005</v>
      </c>
      <c r="J16" s="55">
        <f>J11*J15</f>
        <v>61.830532031617366</v>
      </c>
      <c r="K16" s="55">
        <f>K11*K15</f>
        <v>74.50864643453586</v>
      </c>
      <c r="L16" s="55">
        <f>L11*L15</f>
        <v>73.73850481724156</v>
      </c>
      <c r="M16" s="55">
        <f>M11*M15</f>
        <v>77.48929339753468</v>
      </c>
      <c r="N16" s="55">
        <f>N11*N15</f>
        <v>69.18686910494166</v>
      </c>
      <c r="O16" s="55">
        <f>O11*O15</f>
        <v>61.77399027226934</v>
      </c>
      <c r="P16" s="55">
        <f>P11*P15</f>
        <v>55.155348457383326</v>
      </c>
      <c r="Q16" s="55">
        <f>Q11*Q15</f>
        <v>49.2458468369494</v>
      </c>
      <c r="R16" s="55">
        <f>R11*R15</f>
        <v>43.969506104419104</v>
      </c>
      <c r="S16" s="55">
        <f>S11*S15</f>
        <v>39.25848759323134</v>
      </c>
      <c r="T16" s="55">
        <f>T11*T15</f>
        <v>35.05222106538512</v>
      </c>
      <c r="U16" s="55">
        <f>U11*U15</f>
        <v>15.61068632794699</v>
      </c>
      <c r="V16" s="55">
        <f>V11*V15</f>
        <v>6.935461175269756</v>
      </c>
    </row>
    <row r="17">
      <c r="A17" s="14" t="inlineStr">
        <is>
          <t>Tax-loss carryforward, end of year</t>
        </is>
      </c>
      <c r="C17" s="23">
        <f>Assumptions!$B$21-C8+MAX(0,-C7)</f>
        <v>318.49</v>
      </c>
      <c r="D17" s="23">
        <f>C17-D8+MAX(0,-D7)</f>
        <v>337.68</v>
      </c>
      <c r="E17" s="23">
        <f>D17-E8+MAX(0,-E7)</f>
        <v>356.87</v>
      </c>
      <c r="F17" s="23">
        <f>E17-F8+MAX(0,-F7)</f>
        <v>376.06</v>
      </c>
      <c r="G17" s="23">
        <f>F17-G8+MAX(0,-G7)</f>
        <v>376.7928661</v>
      </c>
      <c r="H17" s="23">
        <f>G17-H8+MAX(0,-H7)</f>
        <v>346.97373220000003</v>
      </c>
      <c r="I17" s="23">
        <f>H17-I8+MAX(0,-I7)</f>
        <v>271.3265983</v>
      </c>
      <c r="J17" s="23">
        <f>I17-J8+MAX(0,-J7)</f>
        <v>134.5754644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867.7096330459541</v>
      </c>
    </row>
    <row r="20">
      <c r="A20" s="14" t="inlineStr">
        <is>
          <t>PV of corporate burn</t>
        </is>
      </c>
      <c r="B20" s="23">
        <f>SUMPRODUCT(C6:V6,C15:V15)</f>
        <v>-59.10721282404732</v>
      </c>
    </row>
    <row r="21">
      <c r="A21" s="14" t="inlineStr">
        <is>
          <t>PV of taxes</t>
        </is>
      </c>
      <c r="B21" s="23">
        <f>-SUMPRODUCT(C10:V10,C15:V15)</f>
        <v>-145.56384924555877</v>
      </c>
    </row>
    <row r="22">
      <c r="A22" s="24" t="inlineStr">
        <is>
          <t>Pipeline rNPV (operations)</t>
        </is>
      </c>
      <c r="B22" s="54">
        <f>SUM(C16:V16)</f>
        <v>663.0385709763478</v>
      </c>
    </row>
    <row r="23">
      <c r="A23" s="14" t="inlineStr">
        <is>
          <t>Cash &amp; investments</t>
        </is>
      </c>
      <c r="B23" s="57">
        <f>Main!C7</f>
        <v>23.880142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686.9187129763478</v>
      </c>
    </row>
    <row r="26">
      <c r="A26" s="14" t="inlineStr">
        <is>
          <t>Shares (mm)</t>
        </is>
      </c>
      <c r="B26" s="57">
        <f>Main!C4</f>
        <v>17.05032</v>
      </c>
    </row>
    <row r="27">
      <c r="A27" s="24" t="inlineStr">
        <is>
          <t>rNPV / share</t>
        </is>
      </c>
      <c r="B27" s="60">
        <f>B25/B26</f>
        <v>40.28773143121935</v>
      </c>
    </row>
    <row r="28">
      <c r="A28" s="14" t="inlineStr">
        <is>
          <t>Price</t>
        </is>
      </c>
      <c r="B28" s="61">
        <f>Main!C3</f>
        <v>2.38</v>
      </c>
    </row>
    <row r="29">
      <c r="A29" s="14" t="inlineStr">
        <is>
          <t>Upside</t>
        </is>
      </c>
      <c r="B29" s="62">
        <f>B27/B28-1</f>
        <v>15.927618248411491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2026-10-21T06:29:39Z</dcterms:modified>
  <cp:lastModifiedBy>Wang, Eric</cp:lastModifiedBy>
</cp:coreProperties>
</file>