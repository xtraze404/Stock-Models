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Anavex Life Sciences Corp</t>
        </is>
      </c>
      <c r="C2" s="10" t="n"/>
    </row>
    <row r="3">
      <c r="B3" t="inlineStr">
        <is>
          <t>Price</t>
        </is>
      </c>
      <c r="C3" s="11">
        <f>INDEX([1]Pharma!$F$1:$F$1000,MATCH("AVXL",[1]Pharma!$B$1:$B$1000,0))</f>
        <v>1.36</v>
      </c>
      <c r="F3" s="1" t="n"/>
    </row>
    <row r="4">
      <c r="B4" t="inlineStr">
        <is>
          <t>Shares</t>
        </is>
      </c>
      <c r="C4" s="21" t="n">
        <v>92.696842</v>
      </c>
      <c r="F4" s="1" t="n"/>
    </row>
    <row r="5">
      <c r="B5" t="inlineStr">
        <is>
          <t>Market Cap.</t>
        </is>
      </c>
      <c r="C5" s="13">
        <f>C3*C4</f>
        <v>126.06770512000001</v>
      </c>
      <c r="F5" s="1" t="n"/>
    </row>
    <row r="6"/>
    <row r="7">
      <c r="B7" t="inlineStr">
        <is>
          <t>Cash</t>
        </is>
      </c>
      <c r="C7" s="21" t="n">
        <v>118.326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7.74170512000002</v>
      </c>
    </row>
    <row r="10"/>
    <row r="11">
      <c r="B11" s="14" t="inlineStr">
        <is>
          <t>rNPV / Share</t>
        </is>
      </c>
      <c r="C11" s="11">
        <f>NPV!B27</f>
        <v>4.175861288010105</v>
      </c>
    </row>
    <row r="12">
      <c r="B12" s="14" t="inlineStr">
        <is>
          <t>Upside</t>
        </is>
      </c>
      <c r="C12" s="15">
        <f>IFERROR(C11/C3-1,"")</f>
        <v>2.0704862411839007</v>
      </c>
    </row>
    <row r="13">
      <c r="B13" s="14" t="inlineStr">
        <is>
          <t>Cash / Share</t>
        </is>
      </c>
      <c r="C13" s="11">
        <f>IFERROR((C7-C8)/C4,"")</f>
        <v>1.2764836152670658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-29.291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4.039670888668874</v>
      </c>
    </row>
    <row r="19">
      <c r="B19" s="14" t="inlineStr">
        <is>
          <t>Implied Pipeline Value</t>
        </is>
      </c>
      <c r="C19" s="13">
        <f>C9</f>
        <v>7.74170512000002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2004</v>
      </c>
      <c r="C1" s="17" t="n">
        <v>2005</v>
      </c>
      <c r="D1" s="17" t="n">
        <v>2006</v>
      </c>
      <c r="E1" s="17" t="n">
        <v>2007</v>
      </c>
      <c r="F1" s="17" t="n">
        <v>2008</v>
      </c>
      <c r="G1" s="17" t="n">
        <v>2009</v>
      </c>
      <c r="H1" s="17" t="n">
        <v>2010</v>
      </c>
      <c r="I1" s="17" t="n">
        <v>2011</v>
      </c>
      <c r="J1" s="17" t="n">
        <v>2012</v>
      </c>
      <c r="K1" s="17" t="n">
        <v>2013</v>
      </c>
      <c r="L1" s="17" t="n">
        <v>2014</v>
      </c>
      <c r="M1" s="17" t="n">
        <v>2015</v>
      </c>
      <c r="N1" s="17" t="n">
        <v>2016</v>
      </c>
      <c r="O1" s="17" t="n">
        <v>2017</v>
      </c>
      <c r="P1" s="17" t="n">
        <v>2018</v>
      </c>
      <c r="Q1" s="17" t="n">
        <v>2019</v>
      </c>
      <c r="R1" s="17" t="n">
        <v>2020</v>
      </c>
      <c r="S1" s="17" t="n">
        <v>2021</v>
      </c>
      <c r="T1" s="17" t="n">
        <v>2022</v>
      </c>
      <c r="U1" s="17" t="n">
        <v>2023</v>
      </c>
      <c r="V1" s="17" t="n">
        <v>2024</v>
      </c>
      <c r="W1" s="17" t="n">
        <v>2025</v>
      </c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</v>
      </c>
      <c r="T2" s="23" t="n">
        <v>0</v>
      </c>
      <c r="U2" s="23" t="n">
        <v>0</v>
      </c>
      <c r="V2" s="23" t="n">
        <v>0</v>
      </c>
      <c r="W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0.0</v>
      </c>
      <c r="T4" s="23">
        <f>T2-T3</f>
        <v>0.0</v>
      </c>
      <c r="U4" s="23">
        <f>U2-U3</f>
        <v>0.0</v>
      </c>
      <c r="V4" s="23">
        <f>V2-V3</f>
        <v>0.0</v>
      </c>
      <c r="W4" s="23">
        <f>W2-W3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2.729</v>
      </c>
      <c r="I5" s="23" t="n">
        <v>2.597</v>
      </c>
      <c r="J5" s="23" t="n">
        <v>2.654</v>
      </c>
      <c r="K5" s="23" t="n">
        <v>0.264</v>
      </c>
      <c r="L5" s="23" t="n">
        <v>0.732</v>
      </c>
      <c r="M5" s="23" t="n">
        <v>2.272</v>
      </c>
      <c r="N5" s="23" t="n">
        <v>7.254</v>
      </c>
      <c r="O5" s="23" t="n">
        <v>10.672</v>
      </c>
      <c r="P5" s="23" t="n">
        <v>13.344</v>
      </c>
      <c r="Q5" s="23" t="n">
        <v>22.26</v>
      </c>
      <c r="R5" s="23" t="n">
        <v>25.232</v>
      </c>
      <c r="S5" s="23" t="n">
        <v>32.984</v>
      </c>
      <c r="T5" s="23" t="n">
        <v>37.916</v>
      </c>
      <c r="U5" s="23" t="n">
        <v>43.717</v>
      </c>
      <c r="V5" s="23" t="n">
        <v>41.838</v>
      </c>
      <c r="W5" s="23" t="n">
        <v>37.592</v>
      </c>
    </row>
    <row r="6">
      <c r="A6" s="19" t="inlineStr">
        <is>
          <t>SG&amp;A &amp; Other</t>
        </is>
      </c>
      <c r="B6" s="23" t="n">
        <v>0.014</v>
      </c>
      <c r="C6" s="23" t="n">
        <v>0.092</v>
      </c>
      <c r="D6" s="23" t="n">
        <v>0.026</v>
      </c>
      <c r="E6" s="23" t="n">
        <v>1.58</v>
      </c>
      <c r="F6" s="23" t="n">
        <v>5.351</v>
      </c>
      <c r="G6" s="23" t="n">
        <v>5.499</v>
      </c>
      <c r="H6" s="23" t="n">
        <v>2.919</v>
      </c>
      <c r="I6" s="23" t="n">
        <v>3.583</v>
      </c>
      <c r="J6" s="23" t="n">
        <v>1.668</v>
      </c>
      <c r="K6" s="23" t="n">
        <v>1.874</v>
      </c>
      <c r="L6" s="23" t="n">
        <v>2.237</v>
      </c>
      <c r="M6" s="23" t="n">
        <v>4.837</v>
      </c>
      <c r="N6" s="23" t="n">
        <v>8.335000000000001</v>
      </c>
      <c r="O6" s="23" t="n">
        <v>5.008</v>
      </c>
      <c r="P6" s="23" t="n">
        <v>5.989</v>
      </c>
      <c r="Q6" s="23" t="n">
        <v>6.847</v>
      </c>
      <c r="R6" s="23" t="n">
        <v>5.857</v>
      </c>
      <c r="S6" s="23" t="n">
        <v>9.018000000000001</v>
      </c>
      <c r="T6" s="23" t="n">
        <v>13.07</v>
      </c>
      <c r="U6" s="23" t="n">
        <v>12.046</v>
      </c>
      <c r="V6" s="23" t="n">
        <v>11.039</v>
      </c>
      <c r="W6" s="23" t="n">
        <v>13.816</v>
      </c>
    </row>
    <row r="7">
      <c r="A7" s="2" t="inlineStr">
        <is>
          <t>Operating Expense</t>
        </is>
      </c>
      <c r="B7" s="23">
        <f>SUM(B5:B6)</f>
        <v>0.014</v>
      </c>
      <c r="C7" s="23">
        <f>SUM(C5:C6)</f>
        <v>0.092</v>
      </c>
      <c r="D7" s="23">
        <f>SUM(D5:D6)</f>
        <v>0.026</v>
      </c>
      <c r="E7" s="23">
        <f>SUM(E5:E6)</f>
        <v>1.58</v>
      </c>
      <c r="F7" s="23">
        <f>SUM(F5:F6)</f>
        <v>5.351</v>
      </c>
      <c r="G7" s="23">
        <f>SUM(G5:G6)</f>
        <v>5.499</v>
      </c>
      <c r="H7" s="23">
        <f>SUM(H5:H6)</f>
        <v>5.648</v>
      </c>
      <c r="I7" s="23">
        <f>SUM(I5:I6)</f>
        <v>6.18</v>
      </c>
      <c r="J7" s="23">
        <f>SUM(J5:J6)</f>
        <v>4.322</v>
      </c>
      <c r="K7" s="23">
        <f>SUM(K5:K6)</f>
        <v>2.138</v>
      </c>
      <c r="L7" s="23">
        <f>SUM(L5:L6)</f>
        <v>2.9690000000000003</v>
      </c>
      <c r="M7" s="23">
        <f>SUM(M5:M6)</f>
        <v>7.109</v>
      </c>
      <c r="N7" s="23">
        <f>SUM(N5:N6)</f>
        <v>15.589</v>
      </c>
      <c r="O7" s="23">
        <f>SUM(O5:O6)</f>
        <v>15.68</v>
      </c>
      <c r="P7" s="23">
        <f>SUM(P5:P6)</f>
        <v>19.333</v>
      </c>
      <c r="Q7" s="23">
        <f>SUM(Q5:Q6)</f>
        <v>29.107000000000003</v>
      </c>
      <c r="R7" s="23">
        <f>SUM(R5:R6)</f>
        <v>31.089</v>
      </c>
      <c r="S7" s="23">
        <f>SUM(S5:S6)</f>
        <v>42.002</v>
      </c>
      <c r="T7" s="23">
        <f>SUM(T5:T6)</f>
        <v>50.986</v>
      </c>
      <c r="U7" s="23">
        <f>SUM(U5:U6)</f>
        <v>55.763</v>
      </c>
      <c r="V7" s="23">
        <f>SUM(V5:V6)</f>
        <v>52.877</v>
      </c>
      <c r="W7" s="23">
        <f>SUM(W5:W6)</f>
        <v>51.408</v>
      </c>
    </row>
    <row r="8">
      <c r="A8" s="2" t="inlineStr">
        <is>
          <t>Operating Income</t>
        </is>
      </c>
      <c r="B8" s="23">
        <f>B4-B7</f>
        <v>-0.014</v>
      </c>
      <c r="C8" s="23">
        <f>C4-C7</f>
        <v>-0.092</v>
      </c>
      <c r="D8" s="23">
        <f>D4-D7</f>
        <v>-0.026</v>
      </c>
      <c r="E8" s="23">
        <f>E4-E7</f>
        <v>-1.58</v>
      </c>
      <c r="F8" s="23">
        <f>F4-F7</f>
        <v>-5.351</v>
      </c>
      <c r="G8" s="23">
        <f>G4-G7</f>
        <v>-5.499</v>
      </c>
      <c r="H8" s="23">
        <f>H4-H7</f>
        <v>-5.648</v>
      </c>
      <c r="I8" s="23">
        <f>I4-I7</f>
        <v>-6.18</v>
      </c>
      <c r="J8" s="23">
        <f>J4-J7</f>
        <v>-4.322</v>
      </c>
      <c r="K8" s="23">
        <f>K4-K7</f>
        <v>-2.138</v>
      </c>
      <c r="L8" s="23">
        <f>L4-L7</f>
        <v>-2.9690000000000003</v>
      </c>
      <c r="M8" s="23">
        <f>M4-M7</f>
        <v>-7.109</v>
      </c>
      <c r="N8" s="23">
        <f>N4-N7</f>
        <v>-15.589</v>
      </c>
      <c r="O8" s="23">
        <f>O4-O7</f>
        <v>-15.68</v>
      </c>
      <c r="P8" s="23">
        <f>P4-P7</f>
        <v>-19.333</v>
      </c>
      <c r="Q8" s="23">
        <f>Q4-Q7</f>
        <v>-29.107000000000003</v>
      </c>
      <c r="R8" s="23">
        <f>R4-R7</f>
        <v>-31.089</v>
      </c>
      <c r="S8" s="23">
        <f>S4-S7</f>
        <v>-42.002</v>
      </c>
      <c r="T8" s="23">
        <f>T4-T7</f>
        <v>-50.986</v>
      </c>
      <c r="U8" s="23">
        <f>U4-U7</f>
        <v>-55.763</v>
      </c>
      <c r="V8" s="23">
        <f>V4-V7</f>
        <v>-52.877</v>
      </c>
      <c r="W8" s="23">
        <f>W4-W7</f>
        <v>-51.408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-3.135</v>
      </c>
      <c r="I9" s="23" t="n">
        <v>-1.127</v>
      </c>
      <c r="J9" s="23" t="n">
        <v>-3.98</v>
      </c>
      <c r="K9" s="23" t="n">
        <v>-1.563</v>
      </c>
      <c r="L9" s="23" t="n">
        <v>-8.398999999999999</v>
      </c>
      <c r="M9" s="23" t="n">
        <v>-4.999</v>
      </c>
      <c r="N9" s="23" t="n">
        <v>0.852</v>
      </c>
      <c r="O9" s="23" t="n">
        <v>2.22</v>
      </c>
      <c r="P9" s="23" t="n">
        <v>2.081</v>
      </c>
      <c r="Q9" s="23" t="n">
        <v>2.812</v>
      </c>
      <c r="R9" s="23" t="n">
        <v>4.808</v>
      </c>
      <c r="S9" s="23" t="n">
        <v>4.093</v>
      </c>
      <c r="T9" s="23" t="n">
        <v>3.008</v>
      </c>
      <c r="U9" s="23" t="n">
        <v>8.257999999999999</v>
      </c>
      <c r="V9" s="23" t="n">
        <v>9.875</v>
      </c>
      <c r="W9" s="23" t="n">
        <v>5.031</v>
      </c>
    </row>
    <row r="10">
      <c r="A10" s="2" t="inlineStr">
        <is>
          <t>Pretax</t>
        </is>
      </c>
      <c r="B10" s="23">
        <f>B8+B9</f>
        <v>-0.014</v>
      </c>
      <c r="C10" s="23">
        <f>C8+C9</f>
        <v>-0.092</v>
      </c>
      <c r="D10" s="23">
        <f>D8+D9</f>
        <v>-0.026</v>
      </c>
      <c r="E10" s="23">
        <f>E8+E9</f>
        <v>-1.58</v>
      </c>
      <c r="F10" s="23">
        <f>F8+F9</f>
        <v>-5.351</v>
      </c>
      <c r="G10" s="23">
        <f>G8+G9</f>
        <v>-5.499</v>
      </c>
      <c r="H10" s="23">
        <f>H8+H9</f>
        <v>-8.783</v>
      </c>
      <c r="I10" s="23">
        <f>I8+I9</f>
        <v>-7.3069999999999995</v>
      </c>
      <c r="J10" s="23">
        <f>J8+J9</f>
        <v>-8.302</v>
      </c>
      <c r="K10" s="23">
        <f>K8+K9</f>
        <v>-3.7009999999999996</v>
      </c>
      <c r="L10" s="23">
        <f>L8+L9</f>
        <v>-11.367999999999999</v>
      </c>
      <c r="M10" s="23">
        <f>M8+M9</f>
        <v>-12.108</v>
      </c>
      <c r="N10" s="23">
        <f>N8+N9</f>
        <v>-14.737</v>
      </c>
      <c r="O10" s="23">
        <f>O8+O9</f>
        <v>-13.459999999999999</v>
      </c>
      <c r="P10" s="23">
        <f>P8+P9</f>
        <v>-17.252</v>
      </c>
      <c r="Q10" s="23">
        <f>Q8+Q9</f>
        <v>-26.295</v>
      </c>
      <c r="R10" s="23">
        <f>R8+R9</f>
        <v>-26.281</v>
      </c>
      <c r="S10" s="23">
        <f>S8+S9</f>
        <v>-37.909000000000006</v>
      </c>
      <c r="T10" s="23">
        <f>T8+T9</f>
        <v>-47.977999999999994</v>
      </c>
      <c r="U10" s="23">
        <f>U8+U9</f>
        <v>-47.504999999999995</v>
      </c>
      <c r="V10" s="23">
        <f>V8+V9</f>
        <v>-43.002</v>
      </c>
      <c r="W10" s="23">
        <f>W8+W9</f>
        <v>-46.377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-1.4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</row>
    <row r="12">
      <c r="A12" s="2" t="inlineStr">
        <is>
          <t>Net Income</t>
        </is>
      </c>
      <c r="B12" s="23" t="n">
        <v>-0.014</v>
      </c>
      <c r="C12" s="23" t="n">
        <v>-0.092</v>
      </c>
      <c r="D12" s="23" t="n">
        <v>-0.026</v>
      </c>
      <c r="E12" s="23" t="n">
        <v>-1.58</v>
      </c>
      <c r="F12" s="23" t="n">
        <v>-5.351</v>
      </c>
      <c r="G12" s="23" t="n">
        <v>-5.499</v>
      </c>
      <c r="H12" s="23" t="n">
        <v>-8.782999999999999</v>
      </c>
      <c r="I12" s="23" t="n">
        <v>-7.307</v>
      </c>
      <c r="J12" s="23" t="n">
        <v>-8.302</v>
      </c>
      <c r="K12" s="23" t="n">
        <v>-3.7</v>
      </c>
      <c r="L12" s="23" t="n">
        <v>-9.968</v>
      </c>
      <c r="M12" s="23" t="n">
        <v>-12.108</v>
      </c>
      <c r="N12" s="23" t="n">
        <v>-14.737</v>
      </c>
      <c r="O12" s="23" t="n">
        <v>-13.46</v>
      </c>
      <c r="P12" s="23" t="n">
        <v>-17.253</v>
      </c>
      <c r="Q12" s="23" t="n">
        <v>-26.295</v>
      </c>
      <c r="R12" s="23" t="n">
        <v>-26.28</v>
      </c>
      <c r="S12" s="23" t="n">
        <v>-37.909</v>
      </c>
      <c r="T12" s="23" t="n">
        <v>-47.978</v>
      </c>
      <c r="U12" s="23" t="n">
        <v>-47.505</v>
      </c>
      <c r="V12" s="23" t="n">
        <v>-43.002</v>
      </c>
      <c r="W12" s="23" t="n">
        <v>-46.377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-0.40963574460146446</v>
      </c>
      <c r="I13" s="11">
        <f>IFERROR(I12/I14,0)</f>
        <v>-0.29031745401088643</v>
      </c>
      <c r="J13" s="11">
        <f>IFERROR(J12/J14,0)</f>
        <v>-0.29472114736057364</v>
      </c>
      <c r="K13" s="11">
        <f>IFERROR(K12/K14,0)</f>
        <v>-0.11595838034348753</v>
      </c>
      <c r="L13" s="11">
        <f>IFERROR(L12/L14,0)</f>
        <v>-1.0166241713411526</v>
      </c>
      <c r="M13" s="11">
        <f>IFERROR(M12/M14,0)</f>
        <v>-0.6514931396287329</v>
      </c>
      <c r="N13" s="11">
        <f>IFERROR(N12/N14,0)</f>
        <v>-0.419224532756806</v>
      </c>
      <c r="O13" s="11">
        <f>IFERROR(O12/O14,0)</f>
        <v>-0.3295707744668348</v>
      </c>
      <c r="P13" s="11">
        <f>IFERROR(P12/P14,0)</f>
        <v>-0.3863534575420996</v>
      </c>
      <c r="Q13" s="11">
        <f>IFERROR(Q12/Q14,0)</f>
        <v>-0.5376640902956693</v>
      </c>
      <c r="R13" s="11">
        <f>IFERROR(R12/R14,0)</f>
        <v>-0.4515851877309047</v>
      </c>
      <c r="S13" s="11">
        <f>IFERROR(S12/S14,0)</f>
        <v>-0.5430855407360715</v>
      </c>
      <c r="T13" s="11">
        <f>IFERROR(T12/T14,0)</f>
        <v>-0.6238200494083995</v>
      </c>
      <c r="U13" s="11">
        <f>IFERROR(U12/U14,0)</f>
        <v>-0.5953902842532712</v>
      </c>
      <c r="V13" s="11">
        <f>IFERROR(V12/V14,0)</f>
        <v>-0.5151914506158048</v>
      </c>
      <c r="W13" s="11">
        <f>IFERROR(W12/W14,0)</f>
        <v>-0.5437629706058226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>
        <v>21.441</v>
      </c>
      <c r="I14" s="23" t="n">
        <v>25.169</v>
      </c>
      <c r="J14" s="23" t="n">
        <v>28.169</v>
      </c>
      <c r="K14" s="23" t="n">
        <v>31.908</v>
      </c>
      <c r="L14" s="23" t="n">
        <v>9.805</v>
      </c>
      <c r="M14" s="23" t="n">
        <v>18.585</v>
      </c>
      <c r="N14" s="23" t="n">
        <v>35.153</v>
      </c>
      <c r="O14" s="23" t="n">
        <v>40.841</v>
      </c>
      <c r="P14" s="23" t="n">
        <v>44.656</v>
      </c>
      <c r="Q14" s="23" t="n">
        <v>48.906</v>
      </c>
      <c r="R14" s="23" t="n">
        <v>58.195</v>
      </c>
      <c r="S14" s="23" t="n">
        <v>69.803</v>
      </c>
      <c r="T14" s="23" t="n">
        <v>76.91</v>
      </c>
      <c r="U14" s="23" t="n">
        <v>79.788</v>
      </c>
      <c r="V14" s="23" t="n">
        <v>83.468</v>
      </c>
      <c r="W14" s="23" t="n">
        <v>85.289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/>
      </c>
      <c r="U16" s="15">
        <f>IFERROR(U2/T2-1,"")</f>
        <v/>
      </c>
      <c r="V16" s="15">
        <f>IFERROR(V2/U2-1,"")</f>
        <v/>
      </c>
      <c r="W16" s="15">
        <f>IFERROR(W2/V2-1,"")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/>
      </c>
      <c r="T17" s="15">
        <f>IFERROR(T4/T2,"")</f>
        <v/>
      </c>
      <c r="U17" s="15">
        <f>IFERROR(U4/U2,"")</f>
        <v/>
      </c>
      <c r="V17" s="15">
        <f>IFERROR(V4/V2,"")</f>
        <v/>
      </c>
      <c r="W17" s="15">
        <f>IFERROR(W4/W2,"")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/>
      </c>
      <c r="T18" s="15">
        <f>IFERROR(T8/T2,"")</f>
        <v/>
      </c>
      <c r="U18" s="15">
        <f>IFERROR(U8/U2,"")</f>
        <v/>
      </c>
      <c r="V18" s="15">
        <f>IFERROR(V8/V2,"")</f>
        <v/>
      </c>
      <c r="W18" s="15">
        <f>IFERROR(W8/W2,"")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Anavex Life Sciences Corp: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0.12729999999999997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17.373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383.5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268.7631540285892</v>
      </c>
      <c r="C29" s="42">
        <f>NPV!B25</f>
        <v>387.0891540285892</v>
      </c>
      <c r="D29" s="43">
        <f>NPV!B27</f>
        <v>4.175861288010105</v>
      </c>
      <c r="E29" s="44">
        <f>NPV!B29</f>
        <v>2.0704862411839007</v>
      </c>
    </row>
    <row r="30">
      <c r="A30" s="45" t="n">
        <v>1</v>
      </c>
      <c r="B30" s="46">
        <f t="dataTable" ref="B30:E32" r1="B4"/>
        <v>86.04083334516282</v>
      </c>
      <c r="C30" s="46">
        <v>204.36683334516283</v>
      </c>
      <c r="D30" s="47">
        <v>2.2046795655148945</v>
      </c>
      <c r="E30" s="48">
        <v>0.6210879158197753</v>
      </c>
    </row>
    <row r="31">
      <c r="A31" s="45" t="n">
        <v>2</v>
      </c>
      <c r="B31" s="46">
        <v>268.7631540285892</v>
      </c>
      <c r="C31" s="46">
        <v>387.0891540285892</v>
      </c>
      <c r="D31" s="47">
        <v>4.175861288010105</v>
      </c>
      <c r="E31" s="48">
        <v>2.0704862411839007</v>
      </c>
    </row>
    <row r="32">
      <c r="A32" s="45" t="n">
        <v>3</v>
      </c>
      <c r="B32" s="46">
        <v>555.2457367658027</v>
      </c>
      <c r="C32" s="46">
        <v>673.5717367658027</v>
      </c>
      <c r="D32" s="47">
        <v>7.266393571053938</v>
      </c>
      <c r="E32" s="48">
        <v>4.342936449304366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4.175861288010105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1.8835141242116056</v>
      </c>
      <c r="C37" s="47">
        <v>2.4094874426135346</v>
      </c>
      <c r="D37" s="47">
        <v>2.905228319461974</v>
      </c>
      <c r="E37" s="47">
        <v>3.87020988215955</v>
      </c>
      <c r="F37" s="47">
        <v>4.819283382943321</v>
      </c>
    </row>
    <row r="38">
      <c r="A38" s="50" t="n">
        <v>0.8</v>
      </c>
      <c r="B38" s="47">
        <v>2.2342285164731885</v>
      </c>
      <c r="C38" s="47">
        <v>2.8990974863517494</v>
      </c>
      <c r="D38" s="47">
        <v>3.5452632816757808</v>
      </c>
      <c r="E38" s="47">
        <v>4.813373517323285</v>
      </c>
      <c r="F38" s="47">
        <v>6.069637361635295</v>
      </c>
    </row>
    <row r="39">
      <c r="A39" s="50" t="n">
        <v>1</v>
      </c>
      <c r="B39" s="47">
        <v>2.564071118596816</v>
      </c>
      <c r="C39" s="47">
        <v>3.378489785967998</v>
      </c>
      <c r="D39" s="47">
        <v>4.175861288010105</v>
      </c>
      <c r="E39" s="47">
        <v>5.750467789221893</v>
      </c>
      <c r="F39" s="47">
        <v>7.310889637401846</v>
      </c>
    </row>
    <row r="40">
      <c r="A40" s="50" t="n">
        <v>1.2</v>
      </c>
      <c r="B40" s="47">
        <v>2.8868358201312962</v>
      </c>
      <c r="C40" s="47">
        <v>3.852262609911508</v>
      </c>
      <c r="D40" s="47">
        <v>4.801553786083208</v>
      </c>
      <c r="E40" s="47">
        <v>6.6815031852747175</v>
      </c>
      <c r="F40" s="47">
        <v>8.552141913168393</v>
      </c>
    </row>
    <row r="41">
      <c r="A41" s="50" t="n">
        <v>1.4</v>
      </c>
      <c r="B41" s="47">
        <v>3.205659826929939</v>
      </c>
      <c r="C41" s="47">
        <v>4.322704566852701</v>
      </c>
      <c r="D41" s="47">
        <v>5.424313345475601</v>
      </c>
      <c r="E41" s="47">
        <v>7.610982339725656</v>
      </c>
      <c r="F41" s="47">
        <v>9.787593152340197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Anavex Life Sciences Corp: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Schizophrenia / psychosis</t>
        </is>
      </c>
      <c r="C4" s="14" t="inlineStr">
        <is>
          <t>ANAVEX3-71 oral capsules</t>
        </is>
      </c>
      <c r="D4" s="14" t="inlineStr">
        <is>
          <t>Phase 2</t>
        </is>
      </c>
      <c r="E4" s="14" t="inlineStr">
        <is>
          <t>Psychiatry / chronic</t>
        </is>
      </c>
      <c r="F4" s="14" t="inlineStr">
        <is>
          <t>Owned</t>
        </is>
      </c>
      <c r="G4" s="40" t="n">
        <v>2500</v>
      </c>
      <c r="H4" s="27" t="n">
        <v>0.1273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361.54568043581423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31.825</v>
      </c>
      <c r="S4" s="23">
        <f>IF(S$3&lt;$I4,0,$G4*Assumptions!$E$11*INDEX(Assumptions!$B$24:$G$24,MIN(6,S$3-$I4+1))*IF(S$3&gt;$J4,(1-Assumptions!$B$26)^(S$3-$J4),1)*IF($H4&gt;=1,1,MIN(0.97,$H4*Assumptions!$E$12)))</f>
        <v>79.5625</v>
      </c>
      <c r="T4" s="23">
        <f>IF(T$3&lt;$I4,0,$G4*Assumptions!$E$11*INDEX(Assumptions!$B$24:$G$24,MIN(6,T$3-$I4+1))*IF(T$3&gt;$J4,(1-Assumptions!$B$26)^(T$3-$J4),1)*IF($H4&gt;=1,1,MIN(0.97,$H4*Assumptions!$E$12)))</f>
        <v>143.2125</v>
      </c>
      <c r="U4" s="23">
        <f>IF(U$3&lt;$I4,0,$G4*Assumptions!$E$11*INDEX(Assumptions!$B$24:$G$24,MIN(6,U$3-$I4+1))*IF(U$3&gt;$J4,(1-Assumptions!$B$26)^(U$3-$J4),1)*IF($H4&gt;=1,1,MIN(0.97,$H4*Assumptions!$E$12)))</f>
        <v>206.86249999999998</v>
      </c>
      <c r="V4" s="23">
        <f>IF(V$3&lt;$I4,0,$G4*Assumptions!$E$11*INDEX(Assumptions!$B$24:$G$24,MIN(6,V$3-$I4+1))*IF(V$3&gt;$J4,(1-Assumptions!$B$26)^(V$3-$J4),1)*IF($H4&gt;=1,1,MIN(0.97,$H4*Assumptions!$E$12)))</f>
        <v>270.5125</v>
      </c>
      <c r="W4" s="23">
        <f>IF(W$3&lt;$I4,0,$G4*Assumptions!$E$11*INDEX(Assumptions!$B$24:$G$24,MIN(6,W$3-$I4+1))*IF(W$3&gt;$J4,(1-Assumptions!$B$26)^(W$3-$J4),1)*IF($H4&gt;=1,1,MIN(0.97,$H4*Assumptions!$E$12)))</f>
        <v>318.25</v>
      </c>
      <c r="X4" s="23">
        <f>IF(X$3&lt;$I4,0,$G4*Assumptions!$E$11*INDEX(Assumptions!$B$24:$G$24,MIN(6,X$3-$I4+1))*IF(X$3&gt;$J4,(1-Assumptions!$B$26)^(X$3-$J4),1)*IF($H4&gt;=1,1,MIN(0.97,$H4*Assumptions!$E$12)))</f>
        <v>318.25</v>
      </c>
      <c r="Y4" s="23">
        <f>IF(Y$3&lt;$I4,0,$G4*Assumptions!$E$11*INDEX(Assumptions!$B$24:$G$24,MIN(6,Y$3-$I4+1))*IF(Y$3&gt;$J4,(1-Assumptions!$B$26)^(Y$3-$J4),1)*IF($H4&gt;=1,1,MIN(0.97,$H4*Assumptions!$E$12)))</f>
        <v>318.25</v>
      </c>
      <c r="Z4" s="23">
        <f>IF(Z$3&lt;$I4,0,$G4*Assumptions!$E$11*INDEX(Assumptions!$B$24:$G$24,MIN(6,Z$3-$I4+1))*IF(Z$3&gt;$J4,(1-Assumptions!$B$26)^(Z$3-$J4),1)*IF($H4&gt;=1,1,MIN(0.97,$H4*Assumptions!$E$12)))</f>
        <v>318.25</v>
      </c>
      <c r="AA4" s="23">
        <f>IF(AA$3&lt;$I4,0,$G4*Assumptions!$E$11*INDEX(Assumptions!$B$24:$G$24,MIN(6,AA$3-$I4+1))*IF(AA$3&gt;$J4,(1-Assumptions!$B$26)^(AA$3-$J4),1)*IF($H4&gt;=1,1,MIN(0.97,$H4*Assumptions!$E$12)))</f>
        <v>318.25</v>
      </c>
      <c r="AB4" s="23">
        <f>IF(AB$3&lt;$I4,0,$G4*Assumptions!$E$11*INDEX(Assumptions!$B$24:$G$24,MIN(6,AB$3-$I4+1))*IF(AB$3&gt;$J4,(1-Assumptions!$B$26)^(AB$3-$J4),1)*IF($H4&gt;=1,1,MIN(0.97,$H4*Assumptions!$E$12)))</f>
        <v>318.25</v>
      </c>
      <c r="AC4" s="23">
        <f>IF(AC$3&lt;$I4,0,$G4*Assumptions!$E$11*INDEX(Assumptions!$B$24:$G$24,MIN(6,AC$3-$I4+1))*IF(AC$3&gt;$J4,(1-Assumptions!$B$26)^(AC$3-$J4),1)*IF($H4&gt;=1,1,MIN(0.97,$H4*Assumptions!$E$12)))</f>
        <v>318.25</v>
      </c>
      <c r="AD4" s="23">
        <f>IF(AD$3&lt;$I4,0,$G4*Assumptions!$E$11*INDEX(Assumptions!$B$24:$G$24,MIN(6,AD$3-$I4+1))*IF(AD$3&gt;$J4,(1-Assumptions!$B$26)^(AD$3-$J4),1)*IF($H4&gt;=1,1,MIN(0.97,$H4*Assumptions!$E$12)))</f>
        <v>318.25</v>
      </c>
      <c r="AE4" s="23">
        <f>IF(AE$3&lt;$I4,0,$G4*Assumptions!$E$11*INDEX(Assumptions!$B$24:$G$24,MIN(6,AE$3-$I4+1))*IF(AE$3&gt;$J4,(1-Assumptions!$B$26)^(AE$3-$J4),1)*IF($H4&gt;=1,1,MIN(0.97,$H4*Assumptions!$E$12)))</f>
        <v>159.125</v>
      </c>
      <c r="AF4" s="23">
        <f>IF(AF$3&lt;$I4,0,$G4*Assumptions!$E$11*INDEX(Assumptions!$B$24:$G$24,MIN(6,AF$3-$I4+1))*IF(AF$3&gt;$J4,(1-Assumptions!$B$26)^(AF$3-$J4),1)*IF($H4&gt;=1,1,MIN(0.97,$H4*Assumptions!$E$12)))</f>
        <v>79.5625</v>
      </c>
      <c r="AG4" s="35">
        <f>IF(F4="Owned",1-IF(H4&gt;=1,1,MIN(0.97,H4*Assumptions!$E$12)),1)</f>
        <v>0.8727</v>
      </c>
    </row>
    <row r="5">
      <c r="B5" s="24" t="inlineStr">
        <is>
          <t>Risked revenue</t>
        </is>
      </c>
      <c r="L5" s="54">
        <f>SUM(L4:L4)</f>
        <v>361.54568043581423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31.825</v>
      </c>
      <c r="S5" s="54">
        <f>SUM(S4:S4)</f>
        <v>79.5625</v>
      </c>
      <c r="T5" s="54">
        <f>SUM(T4:T4)</f>
        <v>143.2125</v>
      </c>
      <c r="U5" s="54">
        <f>SUM(U4:U4)</f>
        <v>206.86249999999998</v>
      </c>
      <c r="V5" s="54">
        <f>SUM(V4:V4)</f>
        <v>270.5125</v>
      </c>
      <c r="W5" s="54">
        <f>SUM(W4:W4)</f>
        <v>318.25</v>
      </c>
      <c r="X5" s="54">
        <f>SUM(X4:X4)</f>
        <v>318.25</v>
      </c>
      <c r="Y5" s="54">
        <f>SUM(Y4:Y4)</f>
        <v>318.25</v>
      </c>
      <c r="Z5" s="54">
        <f>SUM(Z4:Z4)</f>
        <v>318.25</v>
      </c>
      <c r="AA5" s="54">
        <f>SUM(AA4:AA4)</f>
        <v>318.25</v>
      </c>
      <c r="AB5" s="54">
        <f>SUM(AB4:AB4)</f>
        <v>318.25</v>
      </c>
      <c r="AC5" s="54">
        <f>SUM(AC4:AC4)</f>
        <v>318.25</v>
      </c>
      <c r="AD5" s="54">
        <f>SUM(AD4:AD4)</f>
        <v>318.25</v>
      </c>
      <c r="AE5" s="54">
        <f>SUM(AE4:AE4)</f>
        <v>159.125</v>
      </c>
      <c r="AF5" s="54">
        <f>SUM(AF4:AF4)</f>
        <v>79.5625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12.73</v>
      </c>
      <c r="S6" s="55">
        <f>SUMPRODUCT(S4:S4,$K$4:$K$4)</f>
        <v>31.825000000000003</v>
      </c>
      <c r="T6" s="55">
        <f>SUMPRODUCT(T4:T4,$K$4:$K$4)</f>
        <v>57.285000000000004</v>
      </c>
      <c r="U6" s="55">
        <f>SUMPRODUCT(U4:U4,$K$4:$K$4)</f>
        <v>82.745</v>
      </c>
      <c r="V6" s="55">
        <f>SUMPRODUCT(V4:V4,$K$4:$K$4)</f>
        <v>108.205</v>
      </c>
      <c r="W6" s="55">
        <f>SUMPRODUCT(W4:W4,$K$4:$K$4)</f>
        <v>127.30000000000001</v>
      </c>
      <c r="X6" s="55">
        <f>SUMPRODUCT(X4:X4,$K$4:$K$4)</f>
        <v>127.30000000000001</v>
      </c>
      <c r="Y6" s="55">
        <f>SUMPRODUCT(Y4:Y4,$K$4:$K$4)</f>
        <v>127.30000000000001</v>
      </c>
      <c r="Z6" s="55">
        <f>SUMPRODUCT(Z4:Z4,$K$4:$K$4)</f>
        <v>127.30000000000001</v>
      </c>
      <c r="AA6" s="55">
        <f>SUMPRODUCT(AA4:AA4,$K$4:$K$4)</f>
        <v>127.30000000000001</v>
      </c>
      <c r="AB6" s="55">
        <f>SUMPRODUCT(AB4:AB4,$K$4:$K$4)</f>
        <v>127.30000000000001</v>
      </c>
      <c r="AC6" s="55">
        <f>SUMPRODUCT(AC4:AC4,$K$4:$K$4)</f>
        <v>127.30000000000001</v>
      </c>
      <c r="AD6" s="55">
        <f>SUMPRODUCT(AD4:AD4,$K$4:$K$4)</f>
        <v>127.30000000000001</v>
      </c>
      <c r="AE6" s="55">
        <f>SUMPRODUCT(AE4:AE4,$K$4:$K$4)</f>
        <v>63.650000000000006</v>
      </c>
      <c r="AF6" s="55">
        <f>SUMPRODUCT(AF4:AF4,$K$4:$K$4)</f>
        <v>31.825000000000003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Anavex Life Sciences Corp: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31.825</v>
      </c>
      <c r="I4" s="57">
        <f>Pipeline!S5</f>
        <v>79.5625</v>
      </c>
      <c r="J4" s="57">
        <f>Pipeline!T5</f>
        <v>143.2125</v>
      </c>
      <c r="K4" s="57">
        <f>Pipeline!U5</f>
        <v>206.86249999999998</v>
      </c>
      <c r="L4" s="57">
        <f>Pipeline!V5</f>
        <v>270.5125</v>
      </c>
      <c r="M4" s="57">
        <f>Pipeline!W5</f>
        <v>318.25</v>
      </c>
      <c r="N4" s="57">
        <f>Pipeline!X5</f>
        <v>318.25</v>
      </c>
      <c r="O4" s="57">
        <f>Pipeline!Y5</f>
        <v>318.25</v>
      </c>
      <c r="P4" s="57">
        <f>Pipeline!Z5</f>
        <v>318.25</v>
      </c>
      <c r="Q4" s="57">
        <f>Pipeline!AA5</f>
        <v>318.25</v>
      </c>
      <c r="R4" s="57">
        <f>Pipeline!AB5</f>
        <v>318.25</v>
      </c>
      <c r="S4" s="57">
        <f>Pipeline!AC5</f>
        <v>318.25</v>
      </c>
      <c r="T4" s="57">
        <f>Pipeline!AD5</f>
        <v>318.25</v>
      </c>
      <c r="U4" s="57">
        <f>Pipeline!AE5</f>
        <v>159.125</v>
      </c>
      <c r="V4" s="57">
        <f>Pipeline!AF5</f>
        <v>79.5625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12.73</v>
      </c>
      <c r="I5" s="57">
        <f>Pipeline!S6</f>
        <v>31.825000000000003</v>
      </c>
      <c r="J5" s="57">
        <f>Pipeline!T6</f>
        <v>57.285000000000004</v>
      </c>
      <c r="K5" s="57">
        <f>Pipeline!U6</f>
        <v>82.745</v>
      </c>
      <c r="L5" s="57">
        <f>Pipeline!V6</f>
        <v>108.205</v>
      </c>
      <c r="M5" s="57">
        <f>Pipeline!W6</f>
        <v>127.30000000000001</v>
      </c>
      <c r="N5" s="57">
        <f>Pipeline!X6</f>
        <v>127.30000000000001</v>
      </c>
      <c r="O5" s="57">
        <f>Pipeline!Y6</f>
        <v>127.30000000000001</v>
      </c>
      <c r="P5" s="57">
        <f>Pipeline!Z6</f>
        <v>127.30000000000001</v>
      </c>
      <c r="Q5" s="57">
        <f>Pipeline!AA6</f>
        <v>127.30000000000001</v>
      </c>
      <c r="R5" s="57">
        <f>Pipeline!AB6</f>
        <v>127.30000000000001</v>
      </c>
      <c r="S5" s="57">
        <f>Pipeline!AC6</f>
        <v>127.30000000000001</v>
      </c>
      <c r="T5" s="57">
        <f>Pipeline!AD6</f>
        <v>127.30000000000001</v>
      </c>
      <c r="U5" s="57">
        <f>Pipeline!AE6</f>
        <v>63.650000000000006</v>
      </c>
      <c r="V5" s="57">
        <f>Pipeline!AF6</f>
        <v>31.825000000000003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-17.373</v>
      </c>
      <c r="D6" s="23">
        <f>-IF(D3-2026&lt;Assumptions!$B$19,Assumptions!$B$18,Assumptions!$B$18*Assumptions!$B$20*Assumptions!$B$16)</f>
        <v>-17.373</v>
      </c>
      <c r="E6" s="23">
        <f>-IF(E3-2026&lt;Assumptions!$B$19,Assumptions!$B$18,Assumptions!$B$18*Assumptions!$B$20*Assumptions!$B$16)</f>
        <v>-17.373</v>
      </c>
      <c r="F6" s="23">
        <f>-IF(F3-2026&lt;Assumptions!$B$19,Assumptions!$B$18,Assumptions!$B$18*Assumptions!$B$20*Assumptions!$B$16)</f>
        <v>-17.373</v>
      </c>
      <c r="G6" s="23">
        <f>-IF(G3-2026&lt;Assumptions!$B$19,Assumptions!$B$18,Assumptions!$B$18*Assumptions!$B$20*Assumptions!$B$16)</f>
        <v>-0.6634748699999998</v>
      </c>
      <c r="H6" s="23">
        <f>-IF(H3-2026&lt;Assumptions!$B$19,Assumptions!$B$18,Assumptions!$B$18*Assumptions!$B$20*Assumptions!$B$16)</f>
        <v>-0.6634748699999998</v>
      </c>
      <c r="I6" s="23">
        <f>-IF(I3-2026&lt;Assumptions!$B$19,Assumptions!$B$18,Assumptions!$B$18*Assumptions!$B$20*Assumptions!$B$16)</f>
        <v>-0.6634748699999998</v>
      </c>
      <c r="J6" s="23">
        <f>-IF(J3-2026&lt;Assumptions!$B$19,Assumptions!$B$18,Assumptions!$B$18*Assumptions!$B$20*Assumptions!$B$16)</f>
        <v>-0.6634748699999998</v>
      </c>
      <c r="K6" s="23">
        <f>-IF(K3-2026&lt;Assumptions!$B$19,Assumptions!$B$18,Assumptions!$B$18*Assumptions!$B$20*Assumptions!$B$16)</f>
        <v>-0.6634748699999998</v>
      </c>
      <c r="L6" s="23">
        <f>-IF(L3-2026&lt;Assumptions!$B$19,Assumptions!$B$18,Assumptions!$B$18*Assumptions!$B$20*Assumptions!$B$16)</f>
        <v>-0.6634748699999998</v>
      </c>
      <c r="M6" s="23">
        <f>-IF(M3-2026&lt;Assumptions!$B$19,Assumptions!$B$18,Assumptions!$B$18*Assumptions!$B$20*Assumptions!$B$16)</f>
        <v>-0.6634748699999998</v>
      </c>
      <c r="N6" s="23">
        <f>-IF(N3-2026&lt;Assumptions!$B$19,Assumptions!$B$18,Assumptions!$B$18*Assumptions!$B$20*Assumptions!$B$16)</f>
        <v>-0.6634748699999998</v>
      </c>
      <c r="O6" s="23">
        <f>-IF(O3-2026&lt;Assumptions!$B$19,Assumptions!$B$18,Assumptions!$B$18*Assumptions!$B$20*Assumptions!$B$16)</f>
        <v>-0.6634748699999998</v>
      </c>
      <c r="P6" s="23">
        <f>-IF(P3-2026&lt;Assumptions!$B$19,Assumptions!$B$18,Assumptions!$B$18*Assumptions!$B$20*Assumptions!$B$16)</f>
        <v>-0.6634748699999998</v>
      </c>
      <c r="Q6" s="23">
        <f>-IF(Q3-2026&lt;Assumptions!$B$19,Assumptions!$B$18,Assumptions!$B$18*Assumptions!$B$20*Assumptions!$B$16)</f>
        <v>-0.6634748699999998</v>
      </c>
      <c r="R6" s="23">
        <f>-IF(R3-2026&lt;Assumptions!$B$19,Assumptions!$B$18,Assumptions!$B$18*Assumptions!$B$20*Assumptions!$B$16)</f>
        <v>-0.6634748699999998</v>
      </c>
      <c r="S6" s="23">
        <f>-IF(S3-2026&lt;Assumptions!$B$19,Assumptions!$B$18,Assumptions!$B$18*Assumptions!$B$20*Assumptions!$B$16)</f>
        <v>-0.6634748699999998</v>
      </c>
      <c r="T6" s="23">
        <f>-IF(T3-2026&lt;Assumptions!$B$19,Assumptions!$B$18,Assumptions!$B$18*Assumptions!$B$20*Assumptions!$B$16)</f>
        <v>-0.6634748699999998</v>
      </c>
      <c r="U6" s="23">
        <f>-IF(U3-2026&lt;Assumptions!$B$19,Assumptions!$B$18,Assumptions!$B$18*Assumptions!$B$20*Assumptions!$B$16)</f>
        <v>-0.6634748699999998</v>
      </c>
      <c r="V6" s="23">
        <f>-IF(V3-2026&lt;Assumptions!$B$19,Assumptions!$B$18,Assumptions!$B$18*Assumptions!$B$20*Assumptions!$B$16)</f>
        <v>-0.6634748699999998</v>
      </c>
    </row>
    <row r="7">
      <c r="A7" s="14" t="inlineStr">
        <is>
          <t>Pre-tax cash flow</t>
        </is>
      </c>
      <c r="C7" s="23">
        <f>C5+C6</f>
        <v>-17.373</v>
      </c>
      <c r="D7" s="23">
        <f>D5+D6</f>
        <v>-17.373</v>
      </c>
      <c r="E7" s="23">
        <f>E5+E6</f>
        <v>-17.373</v>
      </c>
      <c r="F7" s="23">
        <f>F5+F6</f>
        <v>-17.373</v>
      </c>
      <c r="G7" s="23">
        <f>G5+G6</f>
        <v>-0.6634748699999998</v>
      </c>
      <c r="H7" s="23">
        <f>H5+H6</f>
        <v>12.06652513</v>
      </c>
      <c r="I7" s="23">
        <f>I5+I6</f>
        <v>31.161525130000005</v>
      </c>
      <c r="J7" s="23">
        <f>J5+J6</f>
        <v>56.62152513</v>
      </c>
      <c r="K7" s="23">
        <f>K5+K6</f>
        <v>82.08152513</v>
      </c>
      <c r="L7" s="23">
        <f>L5+L6</f>
        <v>107.54152513</v>
      </c>
      <c r="M7" s="23">
        <f>M5+M6</f>
        <v>126.63652513000001</v>
      </c>
      <c r="N7" s="23">
        <f>N5+N6</f>
        <v>126.63652513000001</v>
      </c>
      <c r="O7" s="23">
        <f>O5+O6</f>
        <v>126.63652513000001</v>
      </c>
      <c r="P7" s="23">
        <f>P5+P6</f>
        <v>126.63652513000001</v>
      </c>
      <c r="Q7" s="23">
        <f>Q5+Q6</f>
        <v>126.63652513000001</v>
      </c>
      <c r="R7" s="23">
        <f>R5+R6</f>
        <v>126.63652513000001</v>
      </c>
      <c r="S7" s="23">
        <f>S5+S6</f>
        <v>126.63652513000001</v>
      </c>
      <c r="T7" s="23">
        <f>T5+T6</f>
        <v>126.63652513000001</v>
      </c>
      <c r="U7" s="23">
        <f>U5+U6</f>
        <v>62.986525130000004</v>
      </c>
      <c r="V7" s="23">
        <f>V5+V6</f>
        <v>31.161525130000005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12.06652513</v>
      </c>
      <c r="I8" s="23">
        <f>MIN(H17,MAX(0,I7))</f>
        <v>31.161525130000005</v>
      </c>
      <c r="J8" s="23">
        <f>MIN(I17,MAX(0,J7))</f>
        <v>56.62152513</v>
      </c>
      <c r="K8" s="23">
        <f>MIN(J17,MAX(0,K7))</f>
        <v>82.08152513</v>
      </c>
      <c r="L8" s="23">
        <f>MIN(K17,MAX(0,L7))</f>
        <v>107.54152513</v>
      </c>
      <c r="M8" s="23">
        <f>MIN(L17,MAX(0,M7))</f>
        <v>126.63652513000001</v>
      </c>
      <c r="N8" s="23">
        <f>MIN(M17,MAX(0,N7))</f>
        <v>37.54632408999994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89.09020104000007</v>
      </c>
      <c r="O9" s="23">
        <f>MAX(0,O7)-O8</f>
        <v>126.63652513000001</v>
      </c>
      <c r="P9" s="23">
        <f>MAX(0,P7)-P8</f>
        <v>126.63652513000001</v>
      </c>
      <c r="Q9" s="23">
        <f>MAX(0,Q7)-Q8</f>
        <v>126.63652513000001</v>
      </c>
      <c r="R9" s="23">
        <f>MAX(0,R7)-R8</f>
        <v>126.63652513000001</v>
      </c>
      <c r="S9" s="23">
        <f>MAX(0,S7)-S8</f>
        <v>126.63652513000001</v>
      </c>
      <c r="T9" s="23">
        <f>MAX(0,T7)-T8</f>
        <v>126.63652513000001</v>
      </c>
      <c r="U9" s="23">
        <f>MAX(0,U7)-U8</f>
        <v>62.986525130000004</v>
      </c>
      <c r="V9" s="23">
        <f>MAX(0,V7)-V8</f>
        <v>31.161525130000005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18.708942218400015</v>
      </c>
      <c r="O10" s="23">
        <f>O9*Assumptions!$E$15</f>
        <v>26.5936702773</v>
      </c>
      <c r="P10" s="23">
        <f>P9*Assumptions!$E$15</f>
        <v>26.5936702773</v>
      </c>
      <c r="Q10" s="23">
        <f>Q9*Assumptions!$E$15</f>
        <v>26.5936702773</v>
      </c>
      <c r="R10" s="23">
        <f>R9*Assumptions!$E$15</f>
        <v>26.5936702773</v>
      </c>
      <c r="S10" s="23">
        <f>S9*Assumptions!$E$15</f>
        <v>26.5936702773</v>
      </c>
      <c r="T10" s="23">
        <f>T9*Assumptions!$E$15</f>
        <v>26.5936702773</v>
      </c>
      <c r="U10" s="23">
        <f>U9*Assumptions!$E$15</f>
        <v>13.2271702773</v>
      </c>
      <c r="V10" s="23">
        <f>V9*Assumptions!$E$15</f>
        <v>6.543920277300001</v>
      </c>
    </row>
    <row r="11">
      <c r="A11" s="24" t="inlineStr">
        <is>
          <t>Free cash flow</t>
        </is>
      </c>
      <c r="C11" s="55">
        <f>C7-C10</f>
        <v>-17.373</v>
      </c>
      <c r="D11" s="55">
        <f>D7-D10</f>
        <v>-17.373</v>
      </c>
      <c r="E11" s="55">
        <f>E7-E10</f>
        <v>-17.373</v>
      </c>
      <c r="F11" s="55">
        <f>F7-F10</f>
        <v>-17.373</v>
      </c>
      <c r="G11" s="55">
        <f>G7-G10</f>
        <v>-0.6634748699999998</v>
      </c>
      <c r="H11" s="55">
        <f>H7-H10</f>
        <v>12.06652513</v>
      </c>
      <c r="I11" s="55">
        <f>I7-I10</f>
        <v>31.161525130000005</v>
      </c>
      <c r="J11" s="55">
        <f>J7-J10</f>
        <v>56.62152513</v>
      </c>
      <c r="K11" s="55">
        <f>K7-K10</f>
        <v>82.08152513</v>
      </c>
      <c r="L11" s="55">
        <f>L7-L10</f>
        <v>107.54152513</v>
      </c>
      <c r="M11" s="55">
        <f>M7-M10</f>
        <v>126.63652513000001</v>
      </c>
      <c r="N11" s="55">
        <f>N7-N10</f>
        <v>107.9275829116</v>
      </c>
      <c r="O11" s="55">
        <f>O7-O10</f>
        <v>100.0428548527</v>
      </c>
      <c r="P11" s="55">
        <f>P7-P10</f>
        <v>100.0428548527</v>
      </c>
      <c r="Q11" s="55">
        <f>Q7-Q10</f>
        <v>100.0428548527</v>
      </c>
      <c r="R11" s="55">
        <f>R7-R10</f>
        <v>100.0428548527</v>
      </c>
      <c r="S11" s="55">
        <f>S7-S10</f>
        <v>100.0428548527</v>
      </c>
      <c r="T11" s="55">
        <f>T7-T10</f>
        <v>100.0428548527</v>
      </c>
      <c r="U11" s="55">
        <f>U7-U10</f>
        <v>49.7593548527</v>
      </c>
      <c r="V11" s="55">
        <f>V7-V10</f>
        <v>24.617604852700005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-8.51110825543171</v>
      </c>
      <c r="D16" s="55">
        <f>D11*D15</f>
        <v>-15.504401385873221</v>
      </c>
      <c r="E16" s="55">
        <f>E11*E15</f>
        <v>-13.843215523101085</v>
      </c>
      <c r="F16" s="55">
        <f>F11*F15</f>
        <v>-12.360013859911684</v>
      </c>
      <c r="G16" s="55">
        <f>G11*G15</f>
        <v>-0.421454401169667</v>
      </c>
      <c r="H16" s="55">
        <f>H11*H15</f>
        <v>6.843689770989487</v>
      </c>
      <c r="I16" s="55">
        <f>I11*I15</f>
        <v>15.780064541234903</v>
      </c>
      <c r="J16" s="55">
        <f>J11*J15</f>
        <v>25.600804347184226</v>
      </c>
      <c r="K16" s="55">
        <f>K11*K15</f>
        <v>33.13595120891084</v>
      </c>
      <c r="L16" s="55">
        <f>L11*L15</f>
        <v>38.76253695852683</v>
      </c>
      <c r="M16" s="55">
        <f>M11*M15</f>
        <v>40.75463092476838</v>
      </c>
      <c r="N16" s="55">
        <f>N11*N15</f>
        <v>31.012187972971837</v>
      </c>
      <c r="O16" s="55">
        <f>O11*O15</f>
        <v>25.66658038151069</v>
      </c>
      <c r="P16" s="55">
        <f>P11*P15</f>
        <v>22.916589626348827</v>
      </c>
      <c r="Q16" s="55">
        <f>Q11*Q15</f>
        <v>20.461240737811455</v>
      </c>
      <c r="R16" s="55">
        <f>R11*R15</f>
        <v>18.26896494447451</v>
      </c>
      <c r="S16" s="55">
        <f>S11*S15</f>
        <v>16.31157584328081</v>
      </c>
      <c r="T16" s="55">
        <f>T11*T15</f>
        <v>14.563907002929295</v>
      </c>
      <c r="U16" s="55">
        <f>U11*U15</f>
        <v>6.467680219101865</v>
      </c>
      <c r="V16" s="55">
        <f>V11*V15</f>
        <v>2.8569429740325947</v>
      </c>
    </row>
    <row r="17">
      <c r="A17" s="14" t="inlineStr">
        <is>
          <t>Tax-loss carryforward, end of year</t>
        </is>
      </c>
      <c r="C17" s="23">
        <f>Assumptions!$B$21-C8+MAX(0,-C7)</f>
        <v>400.873</v>
      </c>
      <c r="D17" s="23">
        <f>C17-D8+MAX(0,-D7)</f>
        <v>418.246</v>
      </c>
      <c r="E17" s="23">
        <f>D17-E8+MAX(0,-E7)</f>
        <v>435.61899999999997</v>
      </c>
      <c r="F17" s="23">
        <f>E17-F8+MAX(0,-F7)</f>
        <v>452.99199999999996</v>
      </c>
      <c r="G17" s="23">
        <f>F17-G8+MAX(0,-G7)</f>
        <v>453.65547487</v>
      </c>
      <c r="H17" s="23">
        <f>G17-H8+MAX(0,-H7)</f>
        <v>441.58894974</v>
      </c>
      <c r="I17" s="23">
        <f>H17-I8+MAX(0,-I7)</f>
        <v>410.42742460999995</v>
      </c>
      <c r="J17" s="23">
        <f>I17-J8+MAX(0,-J7)</f>
        <v>353.80589947999994</v>
      </c>
      <c r="K17" s="23">
        <f>J17-K8+MAX(0,-K7)</f>
        <v>271.72437434999995</v>
      </c>
      <c r="L17" s="23">
        <f>K17-L8+MAX(0,-L7)</f>
        <v>164.18284921999995</v>
      </c>
      <c r="M17" s="23">
        <f>L17-M8+MAX(0,-M7)</f>
        <v>37.54632408999994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361.54568043581423</v>
      </c>
    </row>
    <row r="20">
      <c r="A20" s="14" t="inlineStr">
        <is>
          <t>PV of corporate burn</t>
        </is>
      </c>
      <c r="B20" s="23">
        <f>SUMPRODUCT(C6:V6,C15:V15)</f>
        <v>-53.51066224034258</v>
      </c>
    </row>
    <row r="21">
      <c r="A21" s="14" t="inlineStr">
        <is>
          <t>PV of taxes</t>
        </is>
      </c>
      <c r="B21" s="23">
        <f>-SUMPRODUCT(C10:V10,C15:V15)</f>
        <v>-39.27186416688245</v>
      </c>
    </row>
    <row r="22">
      <c r="A22" s="24" t="inlineStr">
        <is>
          <t>Pipeline rNPV (operations)</t>
        </is>
      </c>
      <c r="B22" s="54">
        <f>SUM(C16:V16)</f>
        <v>268.7631540285892</v>
      </c>
    </row>
    <row r="23">
      <c r="A23" s="14" t="inlineStr">
        <is>
          <t>Cash &amp; investments</t>
        </is>
      </c>
      <c r="B23" s="57">
        <f>Main!C7</f>
        <v>118.326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387.0891540285892</v>
      </c>
    </row>
    <row r="26">
      <c r="A26" s="14" t="inlineStr">
        <is>
          <t>Shares (mm)</t>
        </is>
      </c>
      <c r="B26" s="57">
        <f>Main!C4</f>
        <v>92.696842</v>
      </c>
    </row>
    <row r="27">
      <c r="A27" s="24" t="inlineStr">
        <is>
          <t>rNPV / share</t>
        </is>
      </c>
      <c r="B27" s="60">
        <f>B25/B26</f>
        <v>4.175861288010105</v>
      </c>
    </row>
    <row r="28">
      <c r="A28" s="14" t="inlineStr">
        <is>
          <t>Price</t>
        </is>
      </c>
      <c r="B28" s="61">
        <f>Main!C3</f>
        <v>1.36</v>
      </c>
    </row>
    <row r="29">
      <c r="A29" s="14" t="inlineStr">
        <is>
          <t>Upside</t>
        </is>
      </c>
      <c r="B29" s="62">
        <f>B27/B28-1</f>
        <v>2.0704862411839007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2026-10-21T06:27:46Z</dcterms:modified>
  <cp:lastModifiedBy>Wang, Eric</cp:lastModifiedBy>
</cp:coreProperties>
</file>