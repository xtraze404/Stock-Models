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Anavex Life Sciences Corp</t>
        </is>
      </c>
      <c r="C2" s="10" t="n"/>
    </row>
    <row r="3">
      <c r="B3" t="inlineStr">
        <is>
          <t>Price</t>
        </is>
      </c>
      <c r="C3" s="11">
        <f>INDEX([1]Pharma!$F$1:$F$1000,MATCH("AVXL",[1]Pharma!$B$1:$B$1000,0))</f>
        <v>1.36</v>
      </c>
      <c r="F3" s="1" t="n"/>
    </row>
    <row r="4">
      <c r="B4" t="inlineStr">
        <is>
          <t>Shares</t>
        </is>
      </c>
      <c r="C4" s="21" t="n">
        <v>92.696842</v>
      </c>
      <c r="F4" s="1" t="n"/>
    </row>
    <row r="5">
      <c r="B5" t="inlineStr">
        <is>
          <t>Market Cap.</t>
        </is>
      </c>
      <c r="C5" s="13">
        <f>C3*C4</f>
        <v>126.06770512000001</v>
      </c>
      <c r="F5" s="1" t="n"/>
    </row>
    <row r="6"/>
    <row r="7">
      <c r="B7" t="inlineStr">
        <is>
          <t>Cash</t>
        </is>
      </c>
      <c r="C7" s="21" t="n">
        <v>118.326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7.74170512000002</v>
      </c>
    </row>
    <row r="10"/>
    <row r="11">
      <c r="B11" s="14" t="inlineStr">
        <is>
          <t>Net Cash / Share</t>
        </is>
      </c>
      <c r="C11" s="11">
        <f>(C7-C8)/C4</f>
        <v>1.2764836152670658</v>
      </c>
    </row>
    <row r="12">
      <c r="B12" s="14" t="inlineStr">
        <is>
          <t>Upside</t>
        </is>
      </c>
      <c r="C12" s="15">
        <f>IFERROR(C11/C3-1,"")</f>
        <v>-0.061409106421275284</v>
      </c>
    </row>
    <row r="13">
      <c r="B13" s="14" t="inlineStr">
        <is>
          <t>Cash / Share</t>
        </is>
      </c>
      <c r="C13" s="11">
        <f>IFERROR((C7-C8)/C4,"")</f>
        <v>1.2764836152670658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-29.291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4.039670888668874</v>
      </c>
    </row>
    <row r="19">
      <c r="B19" s="14" t="inlineStr">
        <is>
          <t>Implied Pipeline Value</t>
        </is>
      </c>
      <c r="C19" s="13">
        <f>C9</f>
        <v>7.74170512000002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2004</v>
      </c>
      <c r="C1" s="17" t="n">
        <v>2005</v>
      </c>
      <c r="D1" s="17" t="n">
        <v>2006</v>
      </c>
      <c r="E1" s="17" t="n">
        <v>2007</v>
      </c>
      <c r="F1" s="17" t="n">
        <v>2008</v>
      </c>
      <c r="G1" s="17" t="n">
        <v>2009</v>
      </c>
      <c r="H1" s="17" t="n">
        <v>2010</v>
      </c>
      <c r="I1" s="17" t="n">
        <v>2011</v>
      </c>
      <c r="J1" s="17" t="n">
        <v>2012</v>
      </c>
      <c r="K1" s="17" t="n">
        <v>2013</v>
      </c>
      <c r="L1" s="17" t="n">
        <v>2014</v>
      </c>
      <c r="M1" s="17" t="n">
        <v>2015</v>
      </c>
      <c r="N1" s="17" t="n">
        <v>2016</v>
      </c>
      <c r="O1" s="17" t="n">
        <v>2017</v>
      </c>
      <c r="P1" s="17" t="n">
        <v>2018</v>
      </c>
      <c r="Q1" s="17" t="n">
        <v>2019</v>
      </c>
      <c r="R1" s="17" t="n">
        <v>2020</v>
      </c>
      <c r="S1" s="17" t="n">
        <v>2021</v>
      </c>
      <c r="T1" s="17" t="n">
        <v>2022</v>
      </c>
      <c r="U1" s="17" t="n">
        <v>2023</v>
      </c>
      <c r="V1" s="17" t="n">
        <v>2024</v>
      </c>
      <c r="W1" s="17" t="n">
        <v>2025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  <c r="W4" s="23">
        <f>W2-W3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2.729</v>
      </c>
      <c r="I5" s="23" t="n">
        <v>2.597</v>
      </c>
      <c r="J5" s="23" t="n">
        <v>2.654</v>
      </c>
      <c r="K5" s="23" t="n">
        <v>0.264</v>
      </c>
      <c r="L5" s="23" t="n">
        <v>0.732</v>
      </c>
      <c r="M5" s="23" t="n">
        <v>2.272</v>
      </c>
      <c r="N5" s="23" t="n">
        <v>7.254</v>
      </c>
      <c r="O5" s="23" t="n">
        <v>10.672</v>
      </c>
      <c r="P5" s="23" t="n">
        <v>13.344</v>
      </c>
      <c r="Q5" s="23" t="n">
        <v>22.26</v>
      </c>
      <c r="R5" s="23" t="n">
        <v>25.232</v>
      </c>
      <c r="S5" s="23" t="n">
        <v>32.984</v>
      </c>
      <c r="T5" s="23" t="n">
        <v>37.916</v>
      </c>
      <c r="U5" s="23" t="n">
        <v>43.717</v>
      </c>
      <c r="V5" s="23" t="n">
        <v>41.838</v>
      </c>
      <c r="W5" s="23" t="n">
        <v>37.592</v>
      </c>
    </row>
    <row r="6">
      <c r="A6" s="19" t="inlineStr">
        <is>
          <t>SG&amp;A &amp; Other</t>
        </is>
      </c>
      <c r="B6" s="23" t="n">
        <v>0.014</v>
      </c>
      <c r="C6" s="23" t="n">
        <v>0.092</v>
      </c>
      <c r="D6" s="23" t="n">
        <v>0.026</v>
      </c>
      <c r="E6" s="23" t="n">
        <v>1.58</v>
      </c>
      <c r="F6" s="23" t="n">
        <v>5.351</v>
      </c>
      <c r="G6" s="23" t="n">
        <v>5.499</v>
      </c>
      <c r="H6" s="23" t="n">
        <v>2.919</v>
      </c>
      <c r="I6" s="23" t="n">
        <v>3.583</v>
      </c>
      <c r="J6" s="23" t="n">
        <v>1.668</v>
      </c>
      <c r="K6" s="23" t="n">
        <v>1.874</v>
      </c>
      <c r="L6" s="23" t="n">
        <v>2.237</v>
      </c>
      <c r="M6" s="23" t="n">
        <v>4.837</v>
      </c>
      <c r="N6" s="23" t="n">
        <v>8.335000000000001</v>
      </c>
      <c r="O6" s="23" t="n">
        <v>5.008</v>
      </c>
      <c r="P6" s="23" t="n">
        <v>5.989</v>
      </c>
      <c r="Q6" s="23" t="n">
        <v>6.847</v>
      </c>
      <c r="R6" s="23" t="n">
        <v>5.857</v>
      </c>
      <c r="S6" s="23" t="n">
        <v>9.018000000000001</v>
      </c>
      <c r="T6" s="23" t="n">
        <v>13.07</v>
      </c>
      <c r="U6" s="23" t="n">
        <v>12.046</v>
      </c>
      <c r="V6" s="23" t="n">
        <v>11.039</v>
      </c>
      <c r="W6" s="23" t="n">
        <v>13.816</v>
      </c>
    </row>
    <row r="7">
      <c r="A7" s="2" t="inlineStr">
        <is>
          <t>Operating Expense</t>
        </is>
      </c>
      <c r="B7" s="23">
        <f>SUM(B5:B6)</f>
        <v>0.014</v>
      </c>
      <c r="C7" s="23">
        <f>SUM(C5:C6)</f>
        <v>0.092</v>
      </c>
      <c r="D7" s="23">
        <f>SUM(D5:D6)</f>
        <v>0.026</v>
      </c>
      <c r="E7" s="23">
        <f>SUM(E5:E6)</f>
        <v>1.58</v>
      </c>
      <c r="F7" s="23">
        <f>SUM(F5:F6)</f>
        <v>5.351</v>
      </c>
      <c r="G7" s="23">
        <f>SUM(G5:G6)</f>
        <v>5.499</v>
      </c>
      <c r="H7" s="23">
        <f>SUM(H5:H6)</f>
        <v>5.648</v>
      </c>
      <c r="I7" s="23">
        <f>SUM(I5:I6)</f>
        <v>6.18</v>
      </c>
      <c r="J7" s="23">
        <f>SUM(J5:J6)</f>
        <v>4.322</v>
      </c>
      <c r="K7" s="23">
        <f>SUM(K5:K6)</f>
        <v>2.138</v>
      </c>
      <c r="L7" s="23">
        <f>SUM(L5:L6)</f>
        <v>2.9690000000000003</v>
      </c>
      <c r="M7" s="23">
        <f>SUM(M5:M6)</f>
        <v>7.109</v>
      </c>
      <c r="N7" s="23">
        <f>SUM(N5:N6)</f>
        <v>15.589</v>
      </c>
      <c r="O7" s="23">
        <f>SUM(O5:O6)</f>
        <v>15.68</v>
      </c>
      <c r="P7" s="23">
        <f>SUM(P5:P6)</f>
        <v>19.333</v>
      </c>
      <c r="Q7" s="23">
        <f>SUM(Q5:Q6)</f>
        <v>29.107000000000003</v>
      </c>
      <c r="R7" s="23">
        <f>SUM(R5:R6)</f>
        <v>31.089</v>
      </c>
      <c r="S7" s="23">
        <f>SUM(S5:S6)</f>
        <v>42.002</v>
      </c>
      <c r="T7" s="23">
        <f>SUM(T5:T6)</f>
        <v>50.986</v>
      </c>
      <c r="U7" s="23">
        <f>SUM(U5:U6)</f>
        <v>55.763</v>
      </c>
      <c r="V7" s="23">
        <f>SUM(V5:V6)</f>
        <v>52.877</v>
      </c>
      <c r="W7" s="23">
        <f>SUM(W5:W6)</f>
        <v>51.408</v>
      </c>
    </row>
    <row r="8">
      <c r="A8" s="2" t="inlineStr">
        <is>
          <t>Operating Income</t>
        </is>
      </c>
      <c r="B8" s="23">
        <f>B4-B7</f>
        <v>-0.014</v>
      </c>
      <c r="C8" s="23">
        <f>C4-C7</f>
        <v>-0.092</v>
      </c>
      <c r="D8" s="23">
        <f>D4-D7</f>
        <v>-0.026</v>
      </c>
      <c r="E8" s="23">
        <f>E4-E7</f>
        <v>-1.58</v>
      </c>
      <c r="F8" s="23">
        <f>F4-F7</f>
        <v>-5.351</v>
      </c>
      <c r="G8" s="23">
        <f>G4-G7</f>
        <v>-5.499</v>
      </c>
      <c r="H8" s="23">
        <f>H4-H7</f>
        <v>-5.648</v>
      </c>
      <c r="I8" s="23">
        <f>I4-I7</f>
        <v>-6.18</v>
      </c>
      <c r="J8" s="23">
        <f>J4-J7</f>
        <v>-4.322</v>
      </c>
      <c r="K8" s="23">
        <f>K4-K7</f>
        <v>-2.138</v>
      </c>
      <c r="L8" s="23">
        <f>L4-L7</f>
        <v>-2.9690000000000003</v>
      </c>
      <c r="M8" s="23">
        <f>M4-M7</f>
        <v>-7.109</v>
      </c>
      <c r="N8" s="23">
        <f>N4-N7</f>
        <v>-15.589</v>
      </c>
      <c r="O8" s="23">
        <f>O4-O7</f>
        <v>-15.68</v>
      </c>
      <c r="P8" s="23">
        <f>P4-P7</f>
        <v>-19.333</v>
      </c>
      <c r="Q8" s="23">
        <f>Q4-Q7</f>
        <v>-29.107000000000003</v>
      </c>
      <c r="R8" s="23">
        <f>R4-R7</f>
        <v>-31.089</v>
      </c>
      <c r="S8" s="23">
        <f>S4-S7</f>
        <v>-42.002</v>
      </c>
      <c r="T8" s="23">
        <f>T4-T7</f>
        <v>-50.986</v>
      </c>
      <c r="U8" s="23">
        <f>U4-U7</f>
        <v>-55.763</v>
      </c>
      <c r="V8" s="23">
        <f>V4-V7</f>
        <v>-52.877</v>
      </c>
      <c r="W8" s="23">
        <f>W4-W7</f>
        <v>-51.408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-3.135</v>
      </c>
      <c r="I9" s="23" t="n">
        <v>-1.127</v>
      </c>
      <c r="J9" s="23" t="n">
        <v>-3.98</v>
      </c>
      <c r="K9" s="23" t="n">
        <v>-1.563</v>
      </c>
      <c r="L9" s="23" t="n">
        <v>-8.398999999999999</v>
      </c>
      <c r="M9" s="23" t="n">
        <v>-4.999</v>
      </c>
      <c r="N9" s="23" t="n">
        <v>0.852</v>
      </c>
      <c r="O9" s="23" t="n">
        <v>2.22</v>
      </c>
      <c r="P9" s="23" t="n">
        <v>2.081</v>
      </c>
      <c r="Q9" s="23" t="n">
        <v>2.812</v>
      </c>
      <c r="R9" s="23" t="n">
        <v>4.808</v>
      </c>
      <c r="S9" s="23" t="n">
        <v>4.093</v>
      </c>
      <c r="T9" s="23" t="n">
        <v>3.008</v>
      </c>
      <c r="U9" s="23" t="n">
        <v>8.257999999999999</v>
      </c>
      <c r="V9" s="23" t="n">
        <v>9.875</v>
      </c>
      <c r="W9" s="23" t="n">
        <v>5.031</v>
      </c>
    </row>
    <row r="10">
      <c r="A10" s="2" t="inlineStr">
        <is>
          <t>Pretax</t>
        </is>
      </c>
      <c r="B10" s="23">
        <f>B8+B9</f>
        <v>-0.014</v>
      </c>
      <c r="C10" s="23">
        <f>C8+C9</f>
        <v>-0.092</v>
      </c>
      <c r="D10" s="23">
        <f>D8+D9</f>
        <v>-0.026</v>
      </c>
      <c r="E10" s="23">
        <f>E8+E9</f>
        <v>-1.58</v>
      </c>
      <c r="F10" s="23">
        <f>F8+F9</f>
        <v>-5.351</v>
      </c>
      <c r="G10" s="23">
        <f>G8+G9</f>
        <v>-5.499</v>
      </c>
      <c r="H10" s="23">
        <f>H8+H9</f>
        <v>-8.783</v>
      </c>
      <c r="I10" s="23">
        <f>I8+I9</f>
        <v>-7.3069999999999995</v>
      </c>
      <c r="J10" s="23">
        <f>J8+J9</f>
        <v>-8.302</v>
      </c>
      <c r="K10" s="23">
        <f>K8+K9</f>
        <v>-3.7009999999999996</v>
      </c>
      <c r="L10" s="23">
        <f>L8+L9</f>
        <v>-11.367999999999999</v>
      </c>
      <c r="M10" s="23">
        <f>M8+M9</f>
        <v>-12.108</v>
      </c>
      <c r="N10" s="23">
        <f>N8+N9</f>
        <v>-14.737</v>
      </c>
      <c r="O10" s="23">
        <f>O8+O9</f>
        <v>-13.459999999999999</v>
      </c>
      <c r="P10" s="23">
        <f>P8+P9</f>
        <v>-17.252</v>
      </c>
      <c r="Q10" s="23">
        <f>Q8+Q9</f>
        <v>-26.295</v>
      </c>
      <c r="R10" s="23">
        <f>R8+R9</f>
        <v>-26.281</v>
      </c>
      <c r="S10" s="23">
        <f>S8+S9</f>
        <v>-37.909000000000006</v>
      </c>
      <c r="T10" s="23">
        <f>T8+T9</f>
        <v>-47.977999999999994</v>
      </c>
      <c r="U10" s="23">
        <f>U8+U9</f>
        <v>-47.504999999999995</v>
      </c>
      <c r="V10" s="23">
        <f>V8+V9</f>
        <v>-43.002</v>
      </c>
      <c r="W10" s="23">
        <f>W8+W9</f>
        <v>-46.377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-1.4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</row>
    <row r="12">
      <c r="A12" s="2" t="inlineStr">
        <is>
          <t>Net Income</t>
        </is>
      </c>
      <c r="B12" s="23" t="n">
        <v>-0.014</v>
      </c>
      <c r="C12" s="23" t="n">
        <v>-0.092</v>
      </c>
      <c r="D12" s="23" t="n">
        <v>-0.026</v>
      </c>
      <c r="E12" s="23" t="n">
        <v>-1.58</v>
      </c>
      <c r="F12" s="23" t="n">
        <v>-5.351</v>
      </c>
      <c r="G12" s="23" t="n">
        <v>-5.499</v>
      </c>
      <c r="H12" s="23" t="n">
        <v>-8.782999999999999</v>
      </c>
      <c r="I12" s="23" t="n">
        <v>-7.307</v>
      </c>
      <c r="J12" s="23" t="n">
        <v>-8.302</v>
      </c>
      <c r="K12" s="23" t="n">
        <v>-3.7</v>
      </c>
      <c r="L12" s="23" t="n">
        <v>-9.968</v>
      </c>
      <c r="M12" s="23" t="n">
        <v>-12.108</v>
      </c>
      <c r="N12" s="23" t="n">
        <v>-14.737</v>
      </c>
      <c r="O12" s="23" t="n">
        <v>-13.46</v>
      </c>
      <c r="P12" s="23" t="n">
        <v>-17.253</v>
      </c>
      <c r="Q12" s="23" t="n">
        <v>-26.295</v>
      </c>
      <c r="R12" s="23" t="n">
        <v>-26.28</v>
      </c>
      <c r="S12" s="23" t="n">
        <v>-37.909</v>
      </c>
      <c r="T12" s="23" t="n">
        <v>-47.978</v>
      </c>
      <c r="U12" s="23" t="n">
        <v>-47.505</v>
      </c>
      <c r="V12" s="23" t="n">
        <v>-43.002</v>
      </c>
      <c r="W12" s="23" t="n">
        <v>-46.377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-0.40963574460146446</v>
      </c>
      <c r="I13" s="11">
        <f>IFERROR(I12/I14,0)</f>
        <v>-0.29031745401088643</v>
      </c>
      <c r="J13" s="11">
        <f>IFERROR(J12/J14,0)</f>
        <v>-0.29472114736057364</v>
      </c>
      <c r="K13" s="11">
        <f>IFERROR(K12/K14,0)</f>
        <v>-0.11595838034348753</v>
      </c>
      <c r="L13" s="11">
        <f>IFERROR(L12/L14,0)</f>
        <v>-1.0166241713411526</v>
      </c>
      <c r="M13" s="11">
        <f>IFERROR(M12/M14,0)</f>
        <v>-0.6514931396287329</v>
      </c>
      <c r="N13" s="11">
        <f>IFERROR(N12/N14,0)</f>
        <v>-0.419224532756806</v>
      </c>
      <c r="O13" s="11">
        <f>IFERROR(O12/O14,0)</f>
        <v>-0.3295707744668348</v>
      </c>
      <c r="P13" s="11">
        <f>IFERROR(P12/P14,0)</f>
        <v>-0.3863534575420996</v>
      </c>
      <c r="Q13" s="11">
        <f>IFERROR(Q12/Q14,0)</f>
        <v>-0.5376640902956693</v>
      </c>
      <c r="R13" s="11">
        <f>IFERROR(R12/R14,0)</f>
        <v>-0.4515851877309047</v>
      </c>
      <c r="S13" s="11">
        <f>IFERROR(S12/S14,0)</f>
        <v>-0.5430855407360715</v>
      </c>
      <c r="T13" s="11">
        <f>IFERROR(T12/T14,0)</f>
        <v>-0.6238200494083995</v>
      </c>
      <c r="U13" s="11">
        <f>IFERROR(U12/U14,0)</f>
        <v>-0.5953902842532712</v>
      </c>
      <c r="V13" s="11">
        <f>IFERROR(V12/V14,0)</f>
        <v>-0.5151914506158048</v>
      </c>
      <c r="W13" s="11">
        <f>IFERROR(W12/W14,0)</f>
        <v>-0.5437629706058226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21.441</v>
      </c>
      <c r="I14" s="23" t="n">
        <v>25.169</v>
      </c>
      <c r="J14" s="23" t="n">
        <v>28.169</v>
      </c>
      <c r="K14" s="23" t="n">
        <v>31.908</v>
      </c>
      <c r="L14" s="23" t="n">
        <v>9.805</v>
      </c>
      <c r="M14" s="23" t="n">
        <v>18.585</v>
      </c>
      <c r="N14" s="23" t="n">
        <v>35.153</v>
      </c>
      <c r="O14" s="23" t="n">
        <v>40.841</v>
      </c>
      <c r="P14" s="23" t="n">
        <v>44.656</v>
      </c>
      <c r="Q14" s="23" t="n">
        <v>48.906</v>
      </c>
      <c r="R14" s="23" t="n">
        <v>58.195</v>
      </c>
      <c r="S14" s="23" t="n">
        <v>69.803</v>
      </c>
      <c r="T14" s="23" t="n">
        <v>76.91</v>
      </c>
      <c r="U14" s="23" t="n">
        <v>79.788</v>
      </c>
      <c r="V14" s="23" t="n">
        <v>83.468</v>
      </c>
      <c r="W14" s="23" t="n">
        <v>85.289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2026-10-21T01:05:51Z</dcterms:modified>
  <cp:lastModifiedBy>Wang, Eric</cp:lastModifiedBy>
</cp:coreProperties>
</file>