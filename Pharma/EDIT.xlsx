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Editas Medicine, Inc.</t>
        </is>
      </c>
      <c r="C2" s="10" t="n"/>
    </row>
    <row r="3">
      <c r="B3" t="inlineStr">
        <is>
          <t>Price</t>
        </is>
      </c>
      <c r="C3" s="11">
        <f>INDEX([1]Pharma!$F$1:$F$1000,MATCH("EDIT",[1]Pharma!$B$1:$B$1000,0))</f>
        <v>2.58</v>
      </c>
      <c r="F3" s="1" t="n"/>
    </row>
    <row r="4">
      <c r="B4" t="inlineStr">
        <is>
          <t>Shares</t>
        </is>
      </c>
      <c r="C4" s="21" t="n">
        <v>153.580035</v>
      </c>
      <c r="F4" s="1" t="n"/>
    </row>
    <row r="5">
      <c r="B5" t="inlineStr">
        <is>
          <t>Market Cap.</t>
        </is>
      </c>
      <c r="C5" s="13">
        <f>C3*C4</f>
        <v>396.2364903</v>
      </c>
      <c r="F5" s="1" t="n"/>
    </row>
    <row r="6"/>
    <row r="7">
      <c r="B7" t="inlineStr">
        <is>
          <t>Cash</t>
        </is>
      </c>
      <c r="C7" s="21">
        <f>181.815+29.83</f>
        <v>211.64499999999998</v>
      </c>
    </row>
    <row r="8">
      <c r="B8" t="inlineStr">
        <is>
          <t>Debt</t>
        </is>
      </c>
      <c r="C8" s="21">
        <f>7.5+48.238</f>
        <v>55.738</v>
      </c>
    </row>
    <row r="9">
      <c r="B9" t="inlineStr">
        <is>
          <t>Enterprise V.</t>
        </is>
      </c>
      <c r="C9" s="13">
        <f>C5-C7+C8</f>
        <v>240.32949030000003</v>
      </c>
    </row>
    <row r="10"/>
    <row r="11">
      <c r="B11" s="14" t="inlineStr">
        <is>
          <t>rNPV / Share</t>
        </is>
      </c>
      <c r="C11" s="11">
        <f>NPV!B27</f>
        <v>0.7883247395964721</v>
      </c>
    </row>
    <row r="12">
      <c r="B12" s="14" t="inlineStr">
        <is>
          <t>Upside</t>
        </is>
      </c>
      <c r="C12" s="15">
        <f>IFERROR(C11/C3-1,"")</f>
        <v>-0.6944477753502046</v>
      </c>
    </row>
    <row r="13">
      <c r="B13" s="14" t="inlineStr">
        <is>
          <t>Cash / Share</t>
        </is>
      </c>
      <c r="C13" s="11">
        <f>IFERROR((C7-C8)/C4,"")</f>
        <v>1.0151514811153675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-119.859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1.3007533852276425</v>
      </c>
    </row>
    <row r="19">
      <c r="B19" s="14" t="inlineStr">
        <is>
          <t>Implied Pipeline Value</t>
        </is>
      </c>
      <c r="C19" s="13">
        <f>C9</f>
        <v>240.32949030000003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6.053</v>
      </c>
      <c r="E2" s="23" t="n">
        <v>13.728</v>
      </c>
      <c r="F2" s="23" t="n">
        <v>31.937</v>
      </c>
      <c r="G2" s="23" t="n">
        <v>20.531</v>
      </c>
      <c r="H2" s="23" t="n">
        <v>90.732</v>
      </c>
      <c r="I2" s="23" t="n">
        <v>25.544</v>
      </c>
      <c r="J2" s="23" t="n">
        <v>19.712</v>
      </c>
      <c r="K2" s="23" t="n">
        <v>78.123</v>
      </c>
      <c r="L2" s="23" t="n">
        <v>32.314</v>
      </c>
      <c r="M2" s="23" t="n">
        <v>40.52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6.053</v>
      </c>
      <c r="E4" s="23">
        <f>E2-E3</f>
        <v>13.728</v>
      </c>
      <c r="F4" s="23">
        <f>F2-F3</f>
        <v>31.937</v>
      </c>
      <c r="G4" s="23">
        <f>G2-G3</f>
        <v>20.531</v>
      </c>
      <c r="H4" s="23">
        <f>H2-H3</f>
        <v>90.732</v>
      </c>
      <c r="I4" s="23">
        <f>I2-I3</f>
        <v>25.544</v>
      </c>
      <c r="J4" s="23">
        <f>J2-J3</f>
        <v>19.712</v>
      </c>
      <c r="K4" s="23">
        <f>K2-K3</f>
        <v>78.123</v>
      </c>
      <c r="L4" s="23">
        <f>L2-L3</f>
        <v>32.314</v>
      </c>
      <c r="M4" s="23">
        <f>M2-M3</f>
        <v>40.52</v>
      </c>
    </row>
    <row r="5">
      <c r="A5" s="2" t="inlineStr">
        <is>
          <t>Research &amp; Dev.</t>
        </is>
      </c>
      <c r="B5" s="23" t="n">
        <v>5.073</v>
      </c>
      <c r="C5" s="23" t="n">
        <v>18.846</v>
      </c>
      <c r="D5" s="23" t="n">
        <v>56.979</v>
      </c>
      <c r="E5" s="23" t="n">
        <v>83.15900000000001</v>
      </c>
      <c r="F5" s="23" t="n">
        <v>90.654</v>
      </c>
      <c r="G5" s="23" t="n">
        <v>96.898</v>
      </c>
      <c r="H5" s="23" t="n">
        <v>157.996</v>
      </c>
      <c r="I5" s="23" t="n">
        <v>142.507</v>
      </c>
      <c r="J5" s="23" t="n">
        <v>174.958</v>
      </c>
      <c r="K5" s="23" t="n">
        <v>177.651</v>
      </c>
      <c r="L5" s="23" t="n">
        <v>199.247</v>
      </c>
      <c r="M5" s="23" t="n">
        <v>89.953</v>
      </c>
    </row>
    <row r="6">
      <c r="A6" s="19" t="inlineStr">
        <is>
          <t>SG&amp;A &amp; Other</t>
        </is>
      </c>
      <c r="B6" s="23" t="n">
        <v>7.65</v>
      </c>
      <c r="C6" s="23" t="n">
        <v>16.466</v>
      </c>
      <c r="D6" s="23" t="n">
        <v>46.262</v>
      </c>
      <c r="E6" s="23" t="n">
        <v>50.502</v>
      </c>
      <c r="F6" s="23" t="n">
        <v>55.01</v>
      </c>
      <c r="G6" s="23" t="n">
        <v>64.55500000000001</v>
      </c>
      <c r="H6" s="23" t="n">
        <v>67.57599999999999</v>
      </c>
      <c r="I6" s="23" t="n">
        <v>76.18300000000001</v>
      </c>
      <c r="J6" s="23" t="n">
        <v>70.70399999999999</v>
      </c>
      <c r="K6" s="23" t="n">
        <v>69.65300000000001</v>
      </c>
      <c r="L6" s="23" t="n">
        <v>84.21899999999999</v>
      </c>
      <c r="M6" s="23" t="n">
        <v>110.577</v>
      </c>
    </row>
    <row r="7">
      <c r="A7" s="2" t="inlineStr">
        <is>
          <t>Operating Expense</t>
        </is>
      </c>
      <c r="B7" s="23">
        <f>SUM(B5:B6)</f>
        <v>12.723</v>
      </c>
      <c r="C7" s="23">
        <f>SUM(C5:C6)</f>
        <v>35.312</v>
      </c>
      <c r="D7" s="23">
        <f>SUM(D5:D6)</f>
        <v>103.241</v>
      </c>
      <c r="E7" s="23">
        <f>SUM(E5:E6)</f>
        <v>133.661</v>
      </c>
      <c r="F7" s="23">
        <f>SUM(F5:F6)</f>
        <v>145.664</v>
      </c>
      <c r="G7" s="23">
        <f>SUM(G5:G6)</f>
        <v>161.453</v>
      </c>
      <c r="H7" s="23">
        <f>SUM(H5:H6)</f>
        <v>225.572</v>
      </c>
      <c r="I7" s="23">
        <f>SUM(I5:I6)</f>
        <v>218.69</v>
      </c>
      <c r="J7" s="23">
        <f>SUM(J5:J6)</f>
        <v>245.66199999999998</v>
      </c>
      <c r="K7" s="23">
        <f>SUM(K5:K6)</f>
        <v>247.30400000000003</v>
      </c>
      <c r="L7" s="23">
        <f>SUM(L5:L6)</f>
        <v>283.466</v>
      </c>
      <c r="M7" s="23">
        <f>SUM(M5:M6)</f>
        <v>200.53</v>
      </c>
    </row>
    <row r="8">
      <c r="A8" s="2" t="inlineStr">
        <is>
          <t>Operating Income</t>
        </is>
      </c>
      <c r="B8" s="23">
        <f>B4-B7</f>
        <v>-12.723</v>
      </c>
      <c r="C8" s="23">
        <f>C4-C7</f>
        <v>-35.312</v>
      </c>
      <c r="D8" s="23">
        <f>D4-D7</f>
        <v>-97.188</v>
      </c>
      <c r="E8" s="23">
        <f>E4-E7</f>
        <v>-119.933</v>
      </c>
      <c r="F8" s="23">
        <f>F4-F7</f>
        <v>-113.72699999999999</v>
      </c>
      <c r="G8" s="23">
        <f>G4-G7</f>
        <v>-140.922</v>
      </c>
      <c r="H8" s="23">
        <f>H4-H7</f>
        <v>-134.84</v>
      </c>
      <c r="I8" s="23">
        <f>I4-I7</f>
        <v>-193.146</v>
      </c>
      <c r="J8" s="23">
        <f>J4-J7</f>
        <v>-225.95</v>
      </c>
      <c r="K8" s="23">
        <f>K4-K7</f>
        <v>-169.18100000000004</v>
      </c>
      <c r="L8" s="23">
        <f>L4-L7</f>
        <v>-251.15200000000002</v>
      </c>
      <c r="M8" s="23">
        <f>M4-M7</f>
        <v>-160.01</v>
      </c>
    </row>
    <row r="9">
      <c r="A9" s="19" t="inlineStr">
        <is>
          <t>Interest &amp; Other</t>
        </is>
      </c>
      <c r="B9" s="23" t="n">
        <v>-0.962</v>
      </c>
      <c r="C9" s="23" t="n">
        <v>-37.588</v>
      </c>
      <c r="D9" s="23" t="n">
        <v>0.005</v>
      </c>
      <c r="E9" s="23" t="n">
        <v>-0.391</v>
      </c>
      <c r="F9" s="23" t="n">
        <v>3.773</v>
      </c>
      <c r="G9" s="23" t="n">
        <v>7.176</v>
      </c>
      <c r="H9" s="23" t="n">
        <v>18.864</v>
      </c>
      <c r="I9" s="23" t="n">
        <v>0.644</v>
      </c>
      <c r="J9" s="23" t="n">
        <v>5.518</v>
      </c>
      <c r="K9" s="23" t="n">
        <v>15.962</v>
      </c>
      <c r="L9" s="23" t="n">
        <v>14.059</v>
      </c>
      <c r="M9" s="23" t="n">
        <v>-0.05</v>
      </c>
    </row>
    <row r="10">
      <c r="A10" s="2" t="inlineStr">
        <is>
          <t>Pretax</t>
        </is>
      </c>
      <c r="B10" s="23">
        <f>B8+B9</f>
        <v>-13.685</v>
      </c>
      <c r="C10" s="23">
        <f>C8+C9</f>
        <v>-72.9</v>
      </c>
      <c r="D10" s="23">
        <f>D8+D9</f>
        <v>-97.183</v>
      </c>
      <c r="E10" s="23">
        <f>E8+E9</f>
        <v>-120.32400000000001</v>
      </c>
      <c r="F10" s="23">
        <f>F8+F9</f>
        <v>-109.954</v>
      </c>
      <c r="G10" s="23">
        <f>G8+G9</f>
        <v>-133.746</v>
      </c>
      <c r="H10" s="23">
        <f>H8+H9</f>
        <v>-115.976</v>
      </c>
      <c r="I10" s="23">
        <f>I8+I9</f>
        <v>-192.50199999999998</v>
      </c>
      <c r="J10" s="23">
        <f>J8+J9</f>
        <v>-220.432</v>
      </c>
      <c r="K10" s="23">
        <f>K8+K9</f>
        <v>-153.21900000000005</v>
      </c>
      <c r="L10" s="23">
        <f>L8+L9</f>
        <v>-237.09300000000002</v>
      </c>
      <c r="M10" s="23">
        <f>M8+M9</f>
        <v>-160.06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</row>
    <row r="12">
      <c r="A12" s="2" t="inlineStr">
        <is>
          <t>Net Income</t>
        </is>
      </c>
      <c r="B12" s="23" t="n">
        <v>-13.685</v>
      </c>
      <c r="C12" s="23" t="n">
        <v>-72.90000000000001</v>
      </c>
      <c r="D12" s="23" t="n">
        <v>-97.18300000000001</v>
      </c>
      <c r="E12" s="23" t="n">
        <v>-120.324</v>
      </c>
      <c r="F12" s="23" t="n">
        <v>-109.954</v>
      </c>
      <c r="G12" s="23" t="n">
        <v>-133.746</v>
      </c>
      <c r="H12" s="23" t="n">
        <v>-115.976</v>
      </c>
      <c r="I12" s="23" t="n">
        <v>-192.502</v>
      </c>
      <c r="J12" s="23" t="n">
        <v>-220.432</v>
      </c>
      <c r="K12" s="23" t="n">
        <v>-153.219</v>
      </c>
      <c r="L12" s="23" t="n">
        <v>-237.093</v>
      </c>
      <c r="M12" s="23" t="n">
        <v>-160.06</v>
      </c>
    </row>
    <row r="13">
      <c r="A13" s="2" t="inlineStr">
        <is>
          <t>Earnings per Share</t>
        </is>
      </c>
      <c r="B13" s="11">
        <f>IFERROR(B12/B14,0)</f>
        <v>-12.186108637577917</v>
      </c>
      <c r="C13" s="11">
        <f>IFERROR(C12/C14,0)</f>
        <v>-28.3989092325672</v>
      </c>
      <c r="D13" s="11">
        <f>IFERROR(D12/D14,0)</f>
        <v>-3.0162321539416515</v>
      </c>
      <c r="E13" s="11">
        <f>IFERROR(E12/E14,0)</f>
        <v>-2.983930165658169</v>
      </c>
      <c r="F13" s="11">
        <f>IFERROR(F12/F14,0)</f>
        <v>-2.3345789630132914</v>
      </c>
      <c r="G13" s="11">
        <f>IFERROR(G12/G14,0)</f>
        <v>-2.6758297821259234</v>
      </c>
      <c r="H13" s="11">
        <f>IFERROR(H12/H14,0)</f>
        <v>-1.9788087153850091</v>
      </c>
      <c r="I13" s="11">
        <f>IFERROR(I12/I14,0)</f>
        <v>-2.8468625682130764</v>
      </c>
      <c r="J13" s="11">
        <f>IFERROR(J12/J14,0)</f>
        <v>-3.2102526760358256</v>
      </c>
      <c r="K13" s="11">
        <f>IFERROR(K12/K14,0)</f>
        <v>-2.0169417897480453</v>
      </c>
      <c r="L13" s="11">
        <f>IFERROR(L12/L14,0)</f>
        <v>-2.87950885374918</v>
      </c>
      <c r="M13" s="11">
        <f>IFERROR(M12/M14,0)</f>
        <v>-1.8035742455998018</v>
      </c>
    </row>
    <row r="14">
      <c r="A14" s="2" t="inlineStr">
        <is>
          <t>Shares</t>
        </is>
      </c>
      <c r="B14" s="23" t="n">
        <v>1.123</v>
      </c>
      <c r="C14" s="23" t="n">
        <v>2.567</v>
      </c>
      <c r="D14" s="23" t="n">
        <v>32.22</v>
      </c>
      <c r="E14" s="23" t="n">
        <v>40.324</v>
      </c>
      <c r="F14" s="23" t="n">
        <v>47.098</v>
      </c>
      <c r="G14" s="23" t="n">
        <v>49.983</v>
      </c>
      <c r="H14" s="23" t="n">
        <v>58.609</v>
      </c>
      <c r="I14" s="23" t="n">
        <v>67.619</v>
      </c>
      <c r="J14" s="23" t="n">
        <v>68.66500000000001</v>
      </c>
      <c r="K14" s="23" t="n">
        <v>75.96599999999999</v>
      </c>
      <c r="L14" s="23" t="n">
        <v>82.33799999999999</v>
      </c>
      <c r="M14" s="23" t="n">
        <v>88.746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1.2679662977036181</v>
      </c>
      <c r="F16" s="15">
        <f>IFERROR(F2/E2-1,"")</f>
        <v>1.3264131701631703</v>
      </c>
      <c r="G16" s="15">
        <f>IFERROR(G2/F2-1,"")</f>
        <v>-0.35714062059679996</v>
      </c>
      <c r="H16" s="15">
        <f>IFERROR(H2/G2-1,"")</f>
        <v>3.4192684233597976</v>
      </c>
      <c r="I16" s="15">
        <f>IFERROR(I2/H2-1,"")</f>
        <v>-0.71846757483578</v>
      </c>
      <c r="J16" s="15">
        <f>IFERROR(J2/I2-1,"")</f>
        <v>-0.22831193235202007</v>
      </c>
      <c r="K16" s="15">
        <f>IFERROR(K2/J2-1,"")</f>
        <v>2.9632203733766236</v>
      </c>
      <c r="L16" s="15">
        <f>IFERROR(L2/K2-1,"")</f>
        <v>-0.5863702110774036</v>
      </c>
      <c r="M16" s="15">
        <f>IFERROR(M2/L2-1,"")</f>
        <v>0.2539456582286317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-16.056170493969933</v>
      </c>
      <c r="E18" s="15">
        <f>IFERROR(E8/E2,"")</f>
        <v>-8.736378205128206</v>
      </c>
      <c r="F18" s="15">
        <f>IFERROR(F8/F2,"")</f>
        <v>-3.5609794282493654</v>
      </c>
      <c r="G18" s="15">
        <f>IFERROR(G8/G2,"")</f>
        <v>-6.863864400175345</v>
      </c>
      <c r="H18" s="15">
        <f>IFERROR(H8/H2,"")</f>
        <v>-1.4861349909623949</v>
      </c>
      <c r="I18" s="15">
        <f>IFERROR(I8/I2,"")</f>
        <v>-7.561305981835264</v>
      </c>
      <c r="J18" s="15">
        <f>IFERROR(J8/J2,"")</f>
        <v>-11.462560876623376</v>
      </c>
      <c r="K18" s="15">
        <f>IFERROR(K8/K2,"")</f>
        <v>-2.1655722386493097</v>
      </c>
      <c r="L18" s="15">
        <f>IFERROR(L8/L2,"")</f>
        <v>-7.772234944606054</v>
      </c>
      <c r="M18" s="15">
        <f>IFERROR(M8/M2,"")</f>
        <v>-3.9489141164856854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Editas Medicine,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0.20699999999999996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75.86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1627.1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-34.83605890140791</v>
      </c>
      <c r="C29" s="42">
        <f>NPV!B25</f>
        <v>121.07094109859207</v>
      </c>
      <c r="D29" s="43">
        <f>NPV!B27</f>
        <v>0.7883247395964721</v>
      </c>
      <c r="E29" s="44">
        <f>NPV!B29</f>
        <v>-0.6944477753502046</v>
      </c>
    </row>
    <row r="30">
      <c r="A30" s="45" t="n">
        <v>1</v>
      </c>
      <c r="B30" s="46">
        <f t="dataTable" ref="B30:E32" r1="B4"/>
        <v>-148.50675091113607</v>
      </c>
      <c r="C30" s="46">
        <v>7.400249088863916</v>
      </c>
      <c r="D30" s="47">
        <v>0.04818496811036614</v>
      </c>
      <c r="E30" s="48">
        <v>-0.9813236557711759</v>
      </c>
    </row>
    <row r="31">
      <c r="A31" s="45" t="n">
        <v>2</v>
      </c>
      <c r="B31" s="46">
        <v>-34.83605890140791</v>
      </c>
      <c r="C31" s="46">
        <v>121.07094109859207</v>
      </c>
      <c r="D31" s="47">
        <v>0.7883247395964721</v>
      </c>
      <c r="E31" s="48">
        <v>-0.6944477753502046</v>
      </c>
    </row>
    <row r="32">
      <c r="A32" s="45" t="n">
        <v>3</v>
      </c>
      <c r="B32" s="46">
        <v>160.231334951063</v>
      </c>
      <c r="C32" s="46">
        <v>316.138334951063</v>
      </c>
      <c r="D32" s="47">
        <v>2.0584598444131292</v>
      </c>
      <c r="E32" s="48">
        <v>-0.20214734712669413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0.7883247395964721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-0.09801833593633386</v>
      </c>
      <c r="C37" s="47">
        <v>0.10495744391611515</v>
      </c>
      <c r="D37" s="47">
        <v>0.30793322376856386</v>
      </c>
      <c r="E37" s="47">
        <v>0.7138847834734614</v>
      </c>
      <c r="F37" s="47">
        <v>1.1198363431783593</v>
      </c>
    </row>
    <row r="38">
      <c r="A38" s="50" t="n">
        <v>0.8</v>
      </c>
      <c r="B38" s="47">
        <v>0.006860235409320853</v>
      </c>
      <c r="C38" s="47">
        <v>0.27749460854591973</v>
      </c>
      <c r="D38" s="47">
        <v>0.5481289816825178</v>
      </c>
      <c r="E38" s="47">
        <v>1.089397727955715</v>
      </c>
      <c r="F38" s="47">
        <v>1.6306664742289119</v>
      </c>
    </row>
    <row r="39">
      <c r="A39" s="50" t="n">
        <v>1</v>
      </c>
      <c r="B39" s="47">
        <v>0.11173880675497556</v>
      </c>
      <c r="C39" s="47">
        <v>0.4500317731757238</v>
      </c>
      <c r="D39" s="47">
        <v>0.7883247395964721</v>
      </c>
      <c r="E39" s="47">
        <v>1.4649106724379684</v>
      </c>
      <c r="F39" s="47">
        <v>2.141496605279465</v>
      </c>
    </row>
    <row r="40">
      <c r="A40" s="50" t="n">
        <v>1.2</v>
      </c>
      <c r="B40" s="47">
        <v>0.21661737810063045</v>
      </c>
      <c r="C40" s="47">
        <v>0.6225689378055281</v>
      </c>
      <c r="D40" s="47">
        <v>1.0285204975104258</v>
      </c>
      <c r="E40" s="47">
        <v>1.8404236169202213</v>
      </c>
      <c r="F40" s="47">
        <v>2.6318618485264462</v>
      </c>
    </row>
    <row r="41">
      <c r="A41" s="50" t="n">
        <v>1.4</v>
      </c>
      <c r="B41" s="47">
        <v>0.32149594944628535</v>
      </c>
      <c r="C41" s="47">
        <v>0.7951061024353326</v>
      </c>
      <c r="D41" s="47">
        <v>1.2687162554243796</v>
      </c>
      <c r="E41" s="47">
        <v>2.2159365614024744</v>
      </c>
      <c r="F41" s="47">
        <v>3.0792540337895797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Editas Medicine,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Sickle cell / thalassemia</t>
        </is>
      </c>
      <c r="C4" s="14" t="inlineStr">
        <is>
          <t>EDIT-301</t>
        </is>
      </c>
      <c r="D4" s="14" t="inlineStr">
        <is>
          <t>Phase 1/2</t>
        </is>
      </c>
      <c r="E4" s="14" t="inlineStr">
        <is>
          <t>Hematology / rare</t>
        </is>
      </c>
      <c r="F4" s="14" t="inlineStr">
        <is>
          <t>Owned</t>
        </is>
      </c>
      <c r="G4" s="40" t="n">
        <v>1000</v>
      </c>
      <c r="H4" s="27" t="n">
        <v>0.207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207.8201824926093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20.7</v>
      </c>
      <c r="T4" s="23">
        <f>IF(T$3&lt;$I4,0,$G4*Assumptions!$E$11*INDEX(Assumptions!$B$24:$G$24,MIN(6,T$3-$I4+1))*IF(T$3&gt;$J4,(1-Assumptions!$B$26)^(T$3-$J4),1)*IF($H4&gt;=1,1,MIN(0.97,$H4*Assumptions!$E$12)))</f>
        <v>51.75</v>
      </c>
      <c r="U4" s="23">
        <f>IF(U$3&lt;$I4,0,$G4*Assumptions!$E$11*INDEX(Assumptions!$B$24:$G$24,MIN(6,U$3-$I4+1))*IF(U$3&gt;$J4,(1-Assumptions!$B$26)^(U$3-$J4),1)*IF($H4&gt;=1,1,MIN(0.97,$H4*Assumptions!$E$12)))</f>
        <v>93.14999999999999</v>
      </c>
      <c r="V4" s="23">
        <f>IF(V$3&lt;$I4,0,$G4*Assumptions!$E$11*INDEX(Assumptions!$B$24:$G$24,MIN(6,V$3-$I4+1))*IF(V$3&gt;$J4,(1-Assumptions!$B$26)^(V$3-$J4),1)*IF($H4&gt;=1,1,MIN(0.97,$H4*Assumptions!$E$12)))</f>
        <v>134.54999999999998</v>
      </c>
      <c r="W4" s="23">
        <f>IF(W$3&lt;$I4,0,$G4*Assumptions!$E$11*INDEX(Assumptions!$B$24:$G$24,MIN(6,W$3-$I4+1))*IF(W$3&gt;$J4,(1-Assumptions!$B$26)^(W$3-$J4),1)*IF($H4&gt;=1,1,MIN(0.97,$H4*Assumptions!$E$12)))</f>
        <v>175.95</v>
      </c>
      <c r="X4" s="23">
        <f>IF(X$3&lt;$I4,0,$G4*Assumptions!$E$11*INDEX(Assumptions!$B$24:$G$24,MIN(6,X$3-$I4+1))*IF(X$3&gt;$J4,(1-Assumptions!$B$26)^(X$3-$J4),1)*IF($H4&gt;=1,1,MIN(0.97,$H4*Assumptions!$E$12)))</f>
        <v>207.0</v>
      </c>
      <c r="Y4" s="23">
        <f>IF(Y$3&lt;$I4,0,$G4*Assumptions!$E$11*INDEX(Assumptions!$B$24:$G$24,MIN(6,Y$3-$I4+1))*IF(Y$3&gt;$J4,(1-Assumptions!$B$26)^(Y$3-$J4),1)*IF($H4&gt;=1,1,MIN(0.97,$H4*Assumptions!$E$12)))</f>
        <v>207.0</v>
      </c>
      <c r="Z4" s="23">
        <f>IF(Z$3&lt;$I4,0,$G4*Assumptions!$E$11*INDEX(Assumptions!$B$24:$G$24,MIN(6,Z$3-$I4+1))*IF(Z$3&gt;$J4,(1-Assumptions!$B$26)^(Z$3-$J4),1)*IF($H4&gt;=1,1,MIN(0.97,$H4*Assumptions!$E$12)))</f>
        <v>207.0</v>
      </c>
      <c r="AA4" s="23">
        <f>IF(AA$3&lt;$I4,0,$G4*Assumptions!$E$11*INDEX(Assumptions!$B$24:$G$24,MIN(6,AA$3-$I4+1))*IF(AA$3&gt;$J4,(1-Assumptions!$B$26)^(AA$3-$J4),1)*IF($H4&gt;=1,1,MIN(0.97,$H4*Assumptions!$E$12)))</f>
        <v>207.0</v>
      </c>
      <c r="AB4" s="23">
        <f>IF(AB$3&lt;$I4,0,$G4*Assumptions!$E$11*INDEX(Assumptions!$B$24:$G$24,MIN(6,AB$3-$I4+1))*IF(AB$3&gt;$J4,(1-Assumptions!$B$26)^(AB$3-$J4),1)*IF($H4&gt;=1,1,MIN(0.97,$H4*Assumptions!$E$12)))</f>
        <v>207.0</v>
      </c>
      <c r="AC4" s="23">
        <f>IF(AC$3&lt;$I4,0,$G4*Assumptions!$E$11*INDEX(Assumptions!$B$24:$G$24,MIN(6,AC$3-$I4+1))*IF(AC$3&gt;$J4,(1-Assumptions!$B$26)^(AC$3-$J4),1)*IF($H4&gt;=1,1,MIN(0.97,$H4*Assumptions!$E$12)))</f>
        <v>207.0</v>
      </c>
      <c r="AD4" s="23">
        <f>IF(AD$3&lt;$I4,0,$G4*Assumptions!$E$11*INDEX(Assumptions!$B$24:$G$24,MIN(6,AD$3-$I4+1))*IF(AD$3&gt;$J4,(1-Assumptions!$B$26)^(AD$3-$J4),1)*IF($H4&gt;=1,1,MIN(0.97,$H4*Assumptions!$E$12)))</f>
        <v>207.0</v>
      </c>
      <c r="AE4" s="23">
        <f>IF(AE$3&lt;$I4,0,$G4*Assumptions!$E$11*INDEX(Assumptions!$B$24:$G$24,MIN(6,AE$3-$I4+1))*IF(AE$3&gt;$J4,(1-Assumptions!$B$26)^(AE$3-$J4),1)*IF($H4&gt;=1,1,MIN(0.97,$H4*Assumptions!$E$12)))</f>
        <v>207.0</v>
      </c>
      <c r="AF4" s="23">
        <f>IF(AF$3&lt;$I4,0,$G4*Assumptions!$E$11*INDEX(Assumptions!$B$24:$G$24,MIN(6,AF$3-$I4+1))*IF(AF$3&gt;$J4,(1-Assumptions!$B$26)^(AF$3-$J4),1)*IF($H4&gt;=1,1,MIN(0.97,$H4*Assumptions!$E$12)))</f>
        <v>103.5</v>
      </c>
      <c r="AG4" s="35">
        <f>IF(F4="Owned",1-IF(H4&gt;=1,1,MIN(0.97,H4*Assumptions!$E$12)),1)</f>
        <v>0.793</v>
      </c>
    </row>
    <row r="5">
      <c r="B5" s="24" t="inlineStr">
        <is>
          <t>Risked revenue</t>
        </is>
      </c>
      <c r="L5" s="54">
        <f>SUM(L4:L4)</f>
        <v>207.8201824926093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20.7</v>
      </c>
      <c r="T5" s="54">
        <f>SUM(T4:T4)</f>
        <v>51.75</v>
      </c>
      <c r="U5" s="54">
        <f>SUM(U4:U4)</f>
        <v>93.14999999999999</v>
      </c>
      <c r="V5" s="54">
        <f>SUM(V4:V4)</f>
        <v>134.54999999999998</v>
      </c>
      <c r="W5" s="54">
        <f>SUM(W4:W4)</f>
        <v>175.95</v>
      </c>
      <c r="X5" s="54">
        <f>SUM(X4:X4)</f>
        <v>207.0</v>
      </c>
      <c r="Y5" s="54">
        <f>SUM(Y4:Y4)</f>
        <v>207.0</v>
      </c>
      <c r="Z5" s="54">
        <f>SUM(Z4:Z4)</f>
        <v>207.0</v>
      </c>
      <c r="AA5" s="54">
        <f>SUM(AA4:AA4)</f>
        <v>207.0</v>
      </c>
      <c r="AB5" s="54">
        <f>SUM(AB4:AB4)</f>
        <v>207.0</v>
      </c>
      <c r="AC5" s="54">
        <f>SUM(AC4:AC4)</f>
        <v>207.0</v>
      </c>
      <c r="AD5" s="54">
        <f>SUM(AD4:AD4)</f>
        <v>207.0</v>
      </c>
      <c r="AE5" s="54">
        <f>SUM(AE4:AE4)</f>
        <v>207.0</v>
      </c>
      <c r="AF5" s="54">
        <f>SUM(AF4:AF4)</f>
        <v>103.5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8.28</v>
      </c>
      <c r="T6" s="55">
        <f>SUMPRODUCT(T4:T4,$K$4:$K$4)</f>
        <v>20.700000000000003</v>
      </c>
      <c r="U6" s="55">
        <f>SUMPRODUCT(U4:U4,$K$4:$K$4)</f>
        <v>37.26</v>
      </c>
      <c r="V6" s="55">
        <f>SUMPRODUCT(V4:V4,$K$4:$K$4)</f>
        <v>53.81999999999999</v>
      </c>
      <c r="W6" s="55">
        <f>SUMPRODUCT(W4:W4,$K$4:$K$4)</f>
        <v>70.38</v>
      </c>
      <c r="X6" s="55">
        <f>SUMPRODUCT(X4:X4,$K$4:$K$4)</f>
        <v>82.80000000000001</v>
      </c>
      <c r="Y6" s="55">
        <f>SUMPRODUCT(Y4:Y4,$K$4:$K$4)</f>
        <v>82.80000000000001</v>
      </c>
      <c r="Z6" s="55">
        <f>SUMPRODUCT(Z4:Z4,$K$4:$K$4)</f>
        <v>82.80000000000001</v>
      </c>
      <c r="AA6" s="55">
        <f>SUMPRODUCT(AA4:AA4,$K$4:$K$4)</f>
        <v>82.80000000000001</v>
      </c>
      <c r="AB6" s="55">
        <f>SUMPRODUCT(AB4:AB4,$K$4:$K$4)</f>
        <v>82.80000000000001</v>
      </c>
      <c r="AC6" s="55">
        <f>SUMPRODUCT(AC4:AC4,$K$4:$K$4)</f>
        <v>82.80000000000001</v>
      </c>
      <c r="AD6" s="55">
        <f>SUMPRODUCT(AD4:AD4,$K$4:$K$4)</f>
        <v>82.80000000000001</v>
      </c>
      <c r="AE6" s="55">
        <f>SUMPRODUCT(AE4:AE4,$K$4:$K$4)</f>
        <v>82.80000000000001</v>
      </c>
      <c r="AF6" s="55">
        <f>SUMPRODUCT(AF4:AF4,$K$4:$K$4)</f>
        <v>41.400000000000006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Editas Medicine,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20.7</v>
      </c>
      <c r="J4" s="57">
        <f>Pipeline!T5</f>
        <v>51.75</v>
      </c>
      <c r="K4" s="57">
        <f>Pipeline!U5</f>
        <v>93.14999999999999</v>
      </c>
      <c r="L4" s="57">
        <f>Pipeline!V5</f>
        <v>134.54999999999998</v>
      </c>
      <c r="M4" s="57">
        <f>Pipeline!W5</f>
        <v>175.95</v>
      </c>
      <c r="N4" s="57">
        <f>Pipeline!X5</f>
        <v>207.0</v>
      </c>
      <c r="O4" s="57">
        <f>Pipeline!Y5</f>
        <v>207.0</v>
      </c>
      <c r="P4" s="57">
        <f>Pipeline!Z5</f>
        <v>207.0</v>
      </c>
      <c r="Q4" s="57">
        <f>Pipeline!AA5</f>
        <v>207.0</v>
      </c>
      <c r="R4" s="57">
        <f>Pipeline!AB5</f>
        <v>207.0</v>
      </c>
      <c r="S4" s="57">
        <f>Pipeline!AC5</f>
        <v>207.0</v>
      </c>
      <c r="T4" s="57">
        <f>Pipeline!AD5</f>
        <v>207.0</v>
      </c>
      <c r="U4" s="57">
        <f>Pipeline!AE5</f>
        <v>207.0</v>
      </c>
      <c r="V4" s="57">
        <f>Pipeline!AF5</f>
        <v>103.5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8.28</v>
      </c>
      <c r="J5" s="57">
        <f>Pipeline!T6</f>
        <v>20.700000000000003</v>
      </c>
      <c r="K5" s="57">
        <f>Pipeline!U6</f>
        <v>37.26</v>
      </c>
      <c r="L5" s="57">
        <f>Pipeline!V6</f>
        <v>53.81999999999999</v>
      </c>
      <c r="M5" s="57">
        <f>Pipeline!W6</f>
        <v>70.38</v>
      </c>
      <c r="N5" s="57">
        <f>Pipeline!X6</f>
        <v>82.80000000000001</v>
      </c>
      <c r="O5" s="57">
        <f>Pipeline!Y6</f>
        <v>82.80000000000001</v>
      </c>
      <c r="P5" s="57">
        <f>Pipeline!Z6</f>
        <v>82.80000000000001</v>
      </c>
      <c r="Q5" s="57">
        <f>Pipeline!AA6</f>
        <v>82.80000000000001</v>
      </c>
      <c r="R5" s="57">
        <f>Pipeline!AB6</f>
        <v>82.80000000000001</v>
      </c>
      <c r="S5" s="57">
        <f>Pipeline!AC6</f>
        <v>82.80000000000001</v>
      </c>
      <c r="T5" s="57">
        <f>Pipeline!AD6</f>
        <v>82.80000000000001</v>
      </c>
      <c r="U5" s="57">
        <f>Pipeline!AE6</f>
        <v>82.80000000000001</v>
      </c>
      <c r="V5" s="57">
        <f>Pipeline!AF6</f>
        <v>41.400000000000006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-75.86</v>
      </c>
      <c r="D6" s="23">
        <f>-IF(D3-2026&lt;Assumptions!$B$19,Assumptions!$B$18,Assumptions!$B$18*Assumptions!$B$20*Assumptions!$B$16)</f>
        <v>-75.86</v>
      </c>
      <c r="E6" s="23">
        <f>-IF(E3-2026&lt;Assumptions!$B$19,Assumptions!$B$18,Assumptions!$B$18*Assumptions!$B$20*Assumptions!$B$16)</f>
        <v>-75.86</v>
      </c>
      <c r="F6" s="23">
        <f>-IF(F3-2026&lt;Assumptions!$B$19,Assumptions!$B$18,Assumptions!$B$18*Assumptions!$B$20*Assumptions!$B$16)</f>
        <v>-75.86</v>
      </c>
      <c r="G6" s="23">
        <f>-IF(G3-2026&lt;Assumptions!$B$19,Assumptions!$B$18,Assumptions!$B$18*Assumptions!$B$20*Assumptions!$B$16)</f>
        <v>-4.710905999999999</v>
      </c>
      <c r="H6" s="23">
        <f>-IF(H3-2026&lt;Assumptions!$B$19,Assumptions!$B$18,Assumptions!$B$18*Assumptions!$B$20*Assumptions!$B$16)</f>
        <v>-4.710905999999999</v>
      </c>
      <c r="I6" s="23">
        <f>-IF(I3-2026&lt;Assumptions!$B$19,Assumptions!$B$18,Assumptions!$B$18*Assumptions!$B$20*Assumptions!$B$16)</f>
        <v>-4.710905999999999</v>
      </c>
      <c r="J6" s="23">
        <f>-IF(J3-2026&lt;Assumptions!$B$19,Assumptions!$B$18,Assumptions!$B$18*Assumptions!$B$20*Assumptions!$B$16)</f>
        <v>-4.710905999999999</v>
      </c>
      <c r="K6" s="23">
        <f>-IF(K3-2026&lt;Assumptions!$B$19,Assumptions!$B$18,Assumptions!$B$18*Assumptions!$B$20*Assumptions!$B$16)</f>
        <v>-4.710905999999999</v>
      </c>
      <c r="L6" s="23">
        <f>-IF(L3-2026&lt;Assumptions!$B$19,Assumptions!$B$18,Assumptions!$B$18*Assumptions!$B$20*Assumptions!$B$16)</f>
        <v>-4.710905999999999</v>
      </c>
      <c r="M6" s="23">
        <f>-IF(M3-2026&lt;Assumptions!$B$19,Assumptions!$B$18,Assumptions!$B$18*Assumptions!$B$20*Assumptions!$B$16)</f>
        <v>-4.710905999999999</v>
      </c>
      <c r="N6" s="23">
        <f>-IF(N3-2026&lt;Assumptions!$B$19,Assumptions!$B$18,Assumptions!$B$18*Assumptions!$B$20*Assumptions!$B$16)</f>
        <v>-4.710905999999999</v>
      </c>
      <c r="O6" s="23">
        <f>-IF(O3-2026&lt;Assumptions!$B$19,Assumptions!$B$18,Assumptions!$B$18*Assumptions!$B$20*Assumptions!$B$16)</f>
        <v>-4.710905999999999</v>
      </c>
      <c r="P6" s="23">
        <f>-IF(P3-2026&lt;Assumptions!$B$19,Assumptions!$B$18,Assumptions!$B$18*Assumptions!$B$20*Assumptions!$B$16)</f>
        <v>-4.710905999999999</v>
      </c>
      <c r="Q6" s="23">
        <f>-IF(Q3-2026&lt;Assumptions!$B$19,Assumptions!$B$18,Assumptions!$B$18*Assumptions!$B$20*Assumptions!$B$16)</f>
        <v>-4.710905999999999</v>
      </c>
      <c r="R6" s="23">
        <f>-IF(R3-2026&lt;Assumptions!$B$19,Assumptions!$B$18,Assumptions!$B$18*Assumptions!$B$20*Assumptions!$B$16)</f>
        <v>-4.710905999999999</v>
      </c>
      <c r="S6" s="23">
        <f>-IF(S3-2026&lt;Assumptions!$B$19,Assumptions!$B$18,Assumptions!$B$18*Assumptions!$B$20*Assumptions!$B$16)</f>
        <v>-4.710905999999999</v>
      </c>
      <c r="T6" s="23">
        <f>-IF(T3-2026&lt;Assumptions!$B$19,Assumptions!$B$18,Assumptions!$B$18*Assumptions!$B$20*Assumptions!$B$16)</f>
        <v>-4.710905999999999</v>
      </c>
      <c r="U6" s="23">
        <f>-IF(U3-2026&lt;Assumptions!$B$19,Assumptions!$B$18,Assumptions!$B$18*Assumptions!$B$20*Assumptions!$B$16)</f>
        <v>-4.710905999999999</v>
      </c>
      <c r="V6" s="23">
        <f>-IF(V3-2026&lt;Assumptions!$B$19,Assumptions!$B$18,Assumptions!$B$18*Assumptions!$B$20*Assumptions!$B$16)</f>
        <v>-4.710905999999999</v>
      </c>
    </row>
    <row r="7">
      <c r="A7" s="14" t="inlineStr">
        <is>
          <t>Pre-tax cash flow</t>
        </is>
      </c>
      <c r="C7" s="23">
        <f>C5+C6</f>
        <v>-75.86</v>
      </c>
      <c r="D7" s="23">
        <f>D5+D6</f>
        <v>-75.86</v>
      </c>
      <c r="E7" s="23">
        <f>E5+E6</f>
        <v>-75.86</v>
      </c>
      <c r="F7" s="23">
        <f>F5+F6</f>
        <v>-75.86</v>
      </c>
      <c r="G7" s="23">
        <f>G5+G6</f>
        <v>-4.710905999999999</v>
      </c>
      <c r="H7" s="23">
        <f>H5+H6</f>
        <v>-4.710905999999999</v>
      </c>
      <c r="I7" s="23">
        <f>I5+I6</f>
        <v>3.5690940000000007</v>
      </c>
      <c r="J7" s="23">
        <f>J5+J6</f>
        <v>15.989094000000005</v>
      </c>
      <c r="K7" s="23">
        <f>K5+K6</f>
        <v>32.549094</v>
      </c>
      <c r="L7" s="23">
        <f>L5+L6</f>
        <v>49.10909399999999</v>
      </c>
      <c r="M7" s="23">
        <f>M5+M6</f>
        <v>65.669094</v>
      </c>
      <c r="N7" s="23">
        <f>N5+N6</f>
        <v>78.08909400000002</v>
      </c>
      <c r="O7" s="23">
        <f>O5+O6</f>
        <v>78.08909400000002</v>
      </c>
      <c r="P7" s="23">
        <f>P5+P6</f>
        <v>78.08909400000002</v>
      </c>
      <c r="Q7" s="23">
        <f>Q5+Q6</f>
        <v>78.08909400000002</v>
      </c>
      <c r="R7" s="23">
        <f>R5+R6</f>
        <v>78.08909400000002</v>
      </c>
      <c r="S7" s="23">
        <f>S5+S6</f>
        <v>78.08909400000002</v>
      </c>
      <c r="T7" s="23">
        <f>T5+T6</f>
        <v>78.08909400000002</v>
      </c>
      <c r="U7" s="23">
        <f>U5+U6</f>
        <v>78.08909400000002</v>
      </c>
      <c r="V7" s="23">
        <f>V5+V6</f>
        <v>36.689094000000004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3.5690940000000007</v>
      </c>
      <c r="J8" s="23">
        <f>MIN(I17,MAX(0,J7))</f>
        <v>15.989094000000005</v>
      </c>
      <c r="K8" s="23">
        <f>MIN(J17,MAX(0,K7))</f>
        <v>32.549094</v>
      </c>
      <c r="L8" s="23">
        <f>MIN(K17,MAX(0,L7))</f>
        <v>49.10909399999999</v>
      </c>
      <c r="M8" s="23">
        <f>MIN(L17,MAX(0,M7))</f>
        <v>65.669094</v>
      </c>
      <c r="N8" s="23">
        <f>MIN(M17,MAX(0,N7))</f>
        <v>78.08909400000002</v>
      </c>
      <c r="O8" s="23">
        <f>MIN(N17,MAX(0,O7))</f>
        <v>78.08909400000002</v>
      </c>
      <c r="P8" s="23">
        <f>MIN(O17,MAX(0,P7))</f>
        <v>78.08909400000002</v>
      </c>
      <c r="Q8" s="23">
        <f>MIN(P17,MAX(0,Q7))</f>
        <v>78.08909400000002</v>
      </c>
      <c r="R8" s="23">
        <f>MIN(Q17,MAX(0,R7))</f>
        <v>78.08909400000002</v>
      </c>
      <c r="S8" s="23">
        <f>MIN(R17,MAX(0,S7))</f>
        <v>78.08909400000002</v>
      </c>
      <c r="T8" s="23">
        <f>MIN(S17,MAX(0,T7))</f>
        <v>78.08909400000002</v>
      </c>
      <c r="U8" s="23">
        <f>MIN(T17,MAX(0,U7))</f>
        <v>78.08909400000002</v>
      </c>
      <c r="V8" s="23">
        <f>MIN(U17,MAX(0,V7))</f>
        <v>36.689094000000004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-75.86</v>
      </c>
      <c r="D11" s="55">
        <f>D7-D10</f>
        <v>-75.86</v>
      </c>
      <c r="E11" s="55">
        <f>E7-E10</f>
        <v>-75.86</v>
      </c>
      <c r="F11" s="55">
        <f>F7-F10</f>
        <v>-75.86</v>
      </c>
      <c r="G11" s="55">
        <f>G7-G10</f>
        <v>-4.710905999999999</v>
      </c>
      <c r="H11" s="55">
        <f>H7-H10</f>
        <v>-4.710905999999999</v>
      </c>
      <c r="I11" s="55">
        <f>I7-I10</f>
        <v>3.5690940000000007</v>
      </c>
      <c r="J11" s="55">
        <f>J7-J10</f>
        <v>15.989094000000005</v>
      </c>
      <c r="K11" s="55">
        <f>K7-K10</f>
        <v>32.549094</v>
      </c>
      <c r="L11" s="55">
        <f>L7-L10</f>
        <v>49.10909399999999</v>
      </c>
      <c r="M11" s="55">
        <f>M7-M10</f>
        <v>65.669094</v>
      </c>
      <c r="N11" s="55">
        <f>N7-N10</f>
        <v>78.08909400000002</v>
      </c>
      <c r="O11" s="55">
        <f>O7-O10</f>
        <v>78.08909400000002</v>
      </c>
      <c r="P11" s="55">
        <f>P7-P10</f>
        <v>78.08909400000002</v>
      </c>
      <c r="Q11" s="55">
        <f>Q7-Q10</f>
        <v>78.08909400000002</v>
      </c>
      <c r="R11" s="55">
        <f>R7-R10</f>
        <v>78.08909400000002</v>
      </c>
      <c r="S11" s="55">
        <f>S7-S10</f>
        <v>78.08909400000002</v>
      </c>
      <c r="T11" s="55">
        <f>T7-T10</f>
        <v>78.08909400000002</v>
      </c>
      <c r="U11" s="55">
        <f>U7-U10</f>
        <v>78.08909400000002</v>
      </c>
      <c r="V11" s="55">
        <f>V7-V10</f>
        <v>36.689094000000004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-37.1641439162522</v>
      </c>
      <c r="D16" s="55">
        <f>D11*D15</f>
        <v>-67.70067858932495</v>
      </c>
      <c r="E16" s="55">
        <f>E11*E15</f>
        <v>-60.44703445475441</v>
      </c>
      <c r="F16" s="55">
        <f>F11*F15</f>
        <v>-53.97056647745929</v>
      </c>
      <c r="G16" s="55">
        <f>G11*G15</f>
        <v>-2.992475159151983</v>
      </c>
      <c r="H16" s="55">
        <f>H11*H15</f>
        <v>-2.671852820671413</v>
      </c>
      <c r="I16" s="55">
        <f>I11*I15</f>
        <v>1.8073741076142973</v>
      </c>
      <c r="J16" s="55">
        <f>J11*J15</f>
        <v>7.229294270031214</v>
      </c>
      <c r="K16" s="55">
        <f>K11*K15</f>
        <v>13.13992629851921</v>
      </c>
      <c r="L16" s="55">
        <f>L11*L15</f>
        <v>17.701004973415035</v>
      </c>
      <c r="M16" s="55">
        <f>M11*M15</f>
        <v>21.133868655875695</v>
      </c>
      <c r="N16" s="55">
        <f>N11*N15</f>
        <v>22.4383201813258</v>
      </c>
      <c r="O16" s="55">
        <f>O11*O15</f>
        <v>20.03421444761232</v>
      </c>
      <c r="P16" s="55">
        <f>P11*P15</f>
        <v>17.887691471082427</v>
      </c>
      <c r="Q16" s="55">
        <f>Q11*Q15</f>
        <v>15.971153099180738</v>
      </c>
      <c r="R16" s="55">
        <f>R11*R15</f>
        <v>14.259958124268515</v>
      </c>
      <c r="S16" s="55">
        <f>S11*S15</f>
        <v>12.732105468096886</v>
      </c>
      <c r="T16" s="55">
        <f>T11*T15</f>
        <v>11.367951310800791</v>
      </c>
      <c r="U16" s="55">
        <f>U11*U15</f>
        <v>10.149956527500706</v>
      </c>
      <c r="V16" s="55">
        <f>V11*V15</f>
        <v>4.2578735808827135</v>
      </c>
    </row>
    <row r="17">
      <c r="A17" s="14" t="inlineStr">
        <is>
          <t>Tax-loss carryforward, end of year</t>
        </is>
      </c>
      <c r="C17" s="23">
        <f>Assumptions!$B$21-C8+MAX(0,-C7)</f>
        <v>1702.9599999999998</v>
      </c>
      <c r="D17" s="23">
        <f>C17-D8+MAX(0,-D7)</f>
        <v>1778.8199999999997</v>
      </c>
      <c r="E17" s="23">
        <f>D17-E8+MAX(0,-E7)</f>
        <v>1854.6799999999996</v>
      </c>
      <c r="F17" s="23">
        <f>E17-F8+MAX(0,-F7)</f>
        <v>1930.5399999999995</v>
      </c>
      <c r="G17" s="23">
        <f>F17-G8+MAX(0,-G7)</f>
        <v>1935.2509059999995</v>
      </c>
      <c r="H17" s="23">
        <f>G17-H8+MAX(0,-H7)</f>
        <v>1939.9618119999996</v>
      </c>
      <c r="I17" s="23">
        <f>H17-I8+MAX(0,-I7)</f>
        <v>1936.3927179999996</v>
      </c>
      <c r="J17" s="23">
        <f>I17-J8+MAX(0,-J7)</f>
        <v>1920.4036239999996</v>
      </c>
      <c r="K17" s="23">
        <f>J17-K8+MAX(0,-K7)</f>
        <v>1887.8545299999996</v>
      </c>
      <c r="L17" s="23">
        <f>K17-L8+MAX(0,-L7)</f>
        <v>1838.7454359999997</v>
      </c>
      <c r="M17" s="23">
        <f>L17-M8+MAX(0,-M7)</f>
        <v>1773.0763419999996</v>
      </c>
      <c r="N17" s="23">
        <f>M17-N8+MAX(0,-N7)</f>
        <v>1694.9872479999997</v>
      </c>
      <c r="O17" s="23">
        <f>N17-O8+MAX(0,-O7)</f>
        <v>1616.8981539999997</v>
      </c>
      <c r="P17" s="23">
        <f>O17-P8+MAX(0,-P7)</f>
        <v>1538.8090599999998</v>
      </c>
      <c r="Q17" s="23">
        <f>P17-Q8+MAX(0,-Q7)</f>
        <v>1460.7199659999999</v>
      </c>
      <c r="R17" s="23">
        <f>Q17-R8+MAX(0,-R7)</f>
        <v>1382.630872</v>
      </c>
      <c r="S17" s="23">
        <f>R17-S8+MAX(0,-S7)</f>
        <v>1304.541778</v>
      </c>
      <c r="T17" s="23">
        <f>S17-T8+MAX(0,-T7)</f>
        <v>1226.452684</v>
      </c>
      <c r="U17" s="23">
        <f>T17-U8+MAX(0,-U7)</f>
        <v>1148.3635900000002</v>
      </c>
      <c r="V17" s="23">
        <f>U17-V8+MAX(0,-V7)</f>
        <v>1111.674496</v>
      </c>
    </row>
    <row r="19">
      <c r="A19" s="14" t="inlineStr">
        <is>
          <t>PV of risked pipeline contribution</t>
        </is>
      </c>
      <c r="B19" s="23">
        <f>SUMPRODUCT(C5:V5,C15:V15)</f>
        <v>207.8201824926093</v>
      </c>
    </row>
    <row r="20">
      <c r="A20" s="14" t="inlineStr">
        <is>
          <t>PV of corporate burn</t>
        </is>
      </c>
      <c r="B20" s="23">
        <f>SUMPRODUCT(C6:V6,C15:V15)</f>
        <v>-242.65624139401726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-34.83605890140791</v>
      </c>
    </row>
    <row r="23">
      <c r="A23" s="14" t="inlineStr">
        <is>
          <t>Cash &amp; investments</t>
        </is>
      </c>
      <c r="B23" s="57">
        <f>Main!C7</f>
        <v>211.64499999999998</v>
      </c>
    </row>
    <row r="24">
      <c r="A24" s="14" t="inlineStr">
        <is>
          <t>Debt</t>
        </is>
      </c>
      <c r="B24" s="57">
        <f>Main!C8</f>
        <v>55.738</v>
      </c>
    </row>
    <row r="25">
      <c r="A25" s="24" t="inlineStr">
        <is>
          <t>Equity value</t>
        </is>
      </c>
      <c r="B25" s="54">
        <f>B22+B23-B24</f>
        <v>121.07094109859207</v>
      </c>
    </row>
    <row r="26">
      <c r="A26" s="14" t="inlineStr">
        <is>
          <t>Shares (mm)</t>
        </is>
      </c>
      <c r="B26" s="57">
        <f>Main!C4</f>
        <v>153.580035</v>
      </c>
    </row>
    <row r="27">
      <c r="A27" s="24" t="inlineStr">
        <is>
          <t>rNPV / share</t>
        </is>
      </c>
      <c r="B27" s="60">
        <f>B25/B26</f>
        <v>0.7883247395964721</v>
      </c>
    </row>
    <row r="28">
      <c r="A28" s="14" t="inlineStr">
        <is>
          <t>Price</t>
        </is>
      </c>
      <c r="B28" s="61">
        <f>Main!C3</f>
        <v>2.58</v>
      </c>
    </row>
    <row r="29">
      <c r="A29" s="14" t="inlineStr">
        <is>
          <t>Upside</t>
        </is>
      </c>
      <c r="B29" s="62">
        <f>B27/B28-1</f>
        <v>-0.6944477753502046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2026-10-21T06:25:39Z</dcterms:modified>
  <cp:lastModifiedBy>Wang, Eric</cp:lastModifiedBy>
</cp:coreProperties>
</file>