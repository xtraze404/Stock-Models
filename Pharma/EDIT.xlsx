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Editas Medicine, Inc.</t>
        </is>
      </c>
      <c r="C2" s="10" t="n"/>
    </row>
    <row r="3">
      <c r="B3" t="inlineStr">
        <is>
          <t>Price</t>
        </is>
      </c>
      <c r="C3" s="11">
        <f>INDEX([1]Pharma!$F$1:$F$1000,MATCH("EDIT",[1]Pharma!$B$1:$B$1000,0))</f>
        <v>2.58</v>
      </c>
      <c r="F3" s="1" t="n"/>
    </row>
    <row r="4">
      <c r="B4" t="inlineStr">
        <is>
          <t>Shares</t>
        </is>
      </c>
      <c r="C4" s="21" t="n">
        <v>153.580035</v>
      </c>
      <c r="F4" s="1" t="n"/>
    </row>
    <row r="5">
      <c r="B5" t="inlineStr">
        <is>
          <t>Market Cap.</t>
        </is>
      </c>
      <c r="C5" s="13">
        <f>C3*C4</f>
        <v>396.2364903</v>
      </c>
      <c r="F5" s="1" t="n"/>
    </row>
    <row r="6"/>
    <row r="7">
      <c r="B7" t="inlineStr">
        <is>
          <t>Cash</t>
        </is>
      </c>
      <c r="C7" s="21">
        <f>181.815+29.83</f>
        <v>211.64499999999998</v>
      </c>
    </row>
    <row r="8">
      <c r="B8" t="inlineStr">
        <is>
          <t>Debt</t>
        </is>
      </c>
      <c r="C8" s="21">
        <f>7.5+48.238</f>
        <v>55.738</v>
      </c>
    </row>
    <row r="9">
      <c r="B9" t="inlineStr">
        <is>
          <t>Enterprise V.</t>
        </is>
      </c>
      <c r="C9" s="13">
        <f>C5-C7+C8</f>
        <v>240.32949030000003</v>
      </c>
    </row>
    <row r="10"/>
    <row r="11">
      <c r="B11" s="14" t="inlineStr">
        <is>
          <t>Net Cash / Share</t>
        </is>
      </c>
      <c r="C11" s="11">
        <f>(C7-C8)/C4</f>
        <v>1.0151514811153675</v>
      </c>
    </row>
    <row r="12">
      <c r="B12" s="14" t="inlineStr">
        <is>
          <t>Upside</t>
        </is>
      </c>
      <c r="C12" s="15">
        <f>IFERROR(C11/C3-1,"")</f>
        <v>-0.6065304336762142</v>
      </c>
    </row>
    <row r="13">
      <c r="B13" s="14" t="inlineStr">
        <is>
          <t>Cash / Share</t>
        </is>
      </c>
      <c r="C13" s="11">
        <f>IFERROR((C7-C8)/C4,"")</f>
        <v>1.0151514811153675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-119.859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1.3007533852276425</v>
      </c>
    </row>
    <row r="19">
      <c r="B19" s="14" t="inlineStr">
        <is>
          <t>Implied Pipeline Value</t>
        </is>
      </c>
      <c r="C19" s="13">
        <f>C9</f>
        <v>240.32949030000003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6.053</v>
      </c>
      <c r="E2" s="23" t="n">
        <v>13.728</v>
      </c>
      <c r="F2" s="23" t="n">
        <v>31.937</v>
      </c>
      <c r="G2" s="23" t="n">
        <v>20.531</v>
      </c>
      <c r="H2" s="23" t="n">
        <v>90.732</v>
      </c>
      <c r="I2" s="23" t="n">
        <v>25.544</v>
      </c>
      <c r="J2" s="23" t="n">
        <v>19.712</v>
      </c>
      <c r="K2" s="23" t="n">
        <v>78.123</v>
      </c>
      <c r="L2" s="23" t="n">
        <v>32.314</v>
      </c>
      <c r="M2" s="23" t="n">
        <v>40.52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6.053</v>
      </c>
      <c r="E4" s="23">
        <f>E2-E3</f>
        <v>13.728</v>
      </c>
      <c r="F4" s="23">
        <f>F2-F3</f>
        <v>31.937</v>
      </c>
      <c r="G4" s="23">
        <f>G2-G3</f>
        <v>20.531</v>
      </c>
      <c r="H4" s="23">
        <f>H2-H3</f>
        <v>90.732</v>
      </c>
      <c r="I4" s="23">
        <f>I2-I3</f>
        <v>25.544</v>
      </c>
      <c r="J4" s="23">
        <f>J2-J3</f>
        <v>19.712</v>
      </c>
      <c r="K4" s="23">
        <f>K2-K3</f>
        <v>78.123</v>
      </c>
      <c r="L4" s="23">
        <f>L2-L3</f>
        <v>32.314</v>
      </c>
      <c r="M4" s="23">
        <f>M2-M3</f>
        <v>40.52</v>
      </c>
    </row>
    <row r="5">
      <c r="A5" s="2" t="inlineStr">
        <is>
          <t>Research &amp; Dev.</t>
        </is>
      </c>
      <c r="B5" s="23" t="n">
        <v>5.073</v>
      </c>
      <c r="C5" s="23" t="n">
        <v>18.846</v>
      </c>
      <c r="D5" s="23" t="n">
        <v>56.979</v>
      </c>
      <c r="E5" s="23" t="n">
        <v>83.15900000000001</v>
      </c>
      <c r="F5" s="23" t="n">
        <v>90.654</v>
      </c>
      <c r="G5" s="23" t="n">
        <v>96.898</v>
      </c>
      <c r="H5" s="23" t="n">
        <v>157.996</v>
      </c>
      <c r="I5" s="23" t="n">
        <v>142.507</v>
      </c>
      <c r="J5" s="23" t="n">
        <v>174.958</v>
      </c>
      <c r="K5" s="23" t="n">
        <v>177.651</v>
      </c>
      <c r="L5" s="23" t="n">
        <v>199.247</v>
      </c>
      <c r="M5" s="23" t="n">
        <v>89.953</v>
      </c>
    </row>
    <row r="6">
      <c r="A6" s="19" t="inlineStr">
        <is>
          <t>SG&amp;A &amp; Other</t>
        </is>
      </c>
      <c r="B6" s="23" t="n">
        <v>7.65</v>
      </c>
      <c r="C6" s="23" t="n">
        <v>16.466</v>
      </c>
      <c r="D6" s="23" t="n">
        <v>46.262</v>
      </c>
      <c r="E6" s="23" t="n">
        <v>50.502</v>
      </c>
      <c r="F6" s="23" t="n">
        <v>55.01</v>
      </c>
      <c r="G6" s="23" t="n">
        <v>64.55500000000001</v>
      </c>
      <c r="H6" s="23" t="n">
        <v>67.57599999999999</v>
      </c>
      <c r="I6" s="23" t="n">
        <v>76.18300000000001</v>
      </c>
      <c r="J6" s="23" t="n">
        <v>70.70399999999999</v>
      </c>
      <c r="K6" s="23" t="n">
        <v>69.65300000000001</v>
      </c>
      <c r="L6" s="23" t="n">
        <v>84.21899999999999</v>
      </c>
      <c r="M6" s="23" t="n">
        <v>110.577</v>
      </c>
    </row>
    <row r="7">
      <c r="A7" s="2" t="inlineStr">
        <is>
          <t>Operating Expense</t>
        </is>
      </c>
      <c r="B7" s="23">
        <f>SUM(B5:B6)</f>
        <v>12.723</v>
      </c>
      <c r="C7" s="23">
        <f>SUM(C5:C6)</f>
        <v>35.312</v>
      </c>
      <c r="D7" s="23">
        <f>SUM(D5:D6)</f>
        <v>103.241</v>
      </c>
      <c r="E7" s="23">
        <f>SUM(E5:E6)</f>
        <v>133.661</v>
      </c>
      <c r="F7" s="23">
        <f>SUM(F5:F6)</f>
        <v>145.664</v>
      </c>
      <c r="G7" s="23">
        <f>SUM(G5:G6)</f>
        <v>161.453</v>
      </c>
      <c r="H7" s="23">
        <f>SUM(H5:H6)</f>
        <v>225.572</v>
      </c>
      <c r="I7" s="23">
        <f>SUM(I5:I6)</f>
        <v>218.69</v>
      </c>
      <c r="J7" s="23">
        <f>SUM(J5:J6)</f>
        <v>245.66199999999998</v>
      </c>
      <c r="K7" s="23">
        <f>SUM(K5:K6)</f>
        <v>247.30400000000003</v>
      </c>
      <c r="L7" s="23">
        <f>SUM(L5:L6)</f>
        <v>283.466</v>
      </c>
      <c r="M7" s="23">
        <f>SUM(M5:M6)</f>
        <v>200.53</v>
      </c>
    </row>
    <row r="8">
      <c r="A8" s="2" t="inlineStr">
        <is>
          <t>Operating Income</t>
        </is>
      </c>
      <c r="B8" s="23">
        <f>B4-B7</f>
        <v>-12.723</v>
      </c>
      <c r="C8" s="23">
        <f>C4-C7</f>
        <v>-35.312</v>
      </c>
      <c r="D8" s="23">
        <f>D4-D7</f>
        <v>-97.188</v>
      </c>
      <c r="E8" s="23">
        <f>E4-E7</f>
        <v>-119.933</v>
      </c>
      <c r="F8" s="23">
        <f>F4-F7</f>
        <v>-113.72699999999999</v>
      </c>
      <c r="G8" s="23">
        <f>G4-G7</f>
        <v>-140.922</v>
      </c>
      <c r="H8" s="23">
        <f>H4-H7</f>
        <v>-134.84</v>
      </c>
      <c r="I8" s="23">
        <f>I4-I7</f>
        <v>-193.146</v>
      </c>
      <c r="J8" s="23">
        <f>J4-J7</f>
        <v>-225.95</v>
      </c>
      <c r="K8" s="23">
        <f>K4-K7</f>
        <v>-169.18100000000004</v>
      </c>
      <c r="L8" s="23">
        <f>L4-L7</f>
        <v>-251.15200000000002</v>
      </c>
      <c r="M8" s="23">
        <f>M4-M7</f>
        <v>-160.01</v>
      </c>
    </row>
    <row r="9">
      <c r="A9" s="19" t="inlineStr">
        <is>
          <t>Interest &amp; Other</t>
        </is>
      </c>
      <c r="B9" s="23" t="n">
        <v>-0.962</v>
      </c>
      <c r="C9" s="23" t="n">
        <v>-37.588</v>
      </c>
      <c r="D9" s="23" t="n">
        <v>0.005</v>
      </c>
      <c r="E9" s="23" t="n">
        <v>-0.391</v>
      </c>
      <c r="F9" s="23" t="n">
        <v>3.773</v>
      </c>
      <c r="G9" s="23" t="n">
        <v>7.176</v>
      </c>
      <c r="H9" s="23" t="n">
        <v>18.864</v>
      </c>
      <c r="I9" s="23" t="n">
        <v>0.644</v>
      </c>
      <c r="J9" s="23" t="n">
        <v>5.518</v>
      </c>
      <c r="K9" s="23" t="n">
        <v>15.962</v>
      </c>
      <c r="L9" s="23" t="n">
        <v>14.059</v>
      </c>
      <c r="M9" s="23" t="n">
        <v>-0.05</v>
      </c>
    </row>
    <row r="10">
      <c r="A10" s="2" t="inlineStr">
        <is>
          <t>Pretax</t>
        </is>
      </c>
      <c r="B10" s="23">
        <f>B8+B9</f>
        <v>-13.685</v>
      </c>
      <c r="C10" s="23">
        <f>C8+C9</f>
        <v>-72.9</v>
      </c>
      <c r="D10" s="23">
        <f>D8+D9</f>
        <v>-97.183</v>
      </c>
      <c r="E10" s="23">
        <f>E8+E9</f>
        <v>-120.32400000000001</v>
      </c>
      <c r="F10" s="23">
        <f>F8+F9</f>
        <v>-109.954</v>
      </c>
      <c r="G10" s="23">
        <f>G8+G9</f>
        <v>-133.746</v>
      </c>
      <c r="H10" s="23">
        <f>H8+H9</f>
        <v>-115.976</v>
      </c>
      <c r="I10" s="23">
        <f>I8+I9</f>
        <v>-192.50199999999998</v>
      </c>
      <c r="J10" s="23">
        <f>J8+J9</f>
        <v>-220.432</v>
      </c>
      <c r="K10" s="23">
        <f>K8+K9</f>
        <v>-153.21900000000005</v>
      </c>
      <c r="L10" s="23">
        <f>L8+L9</f>
        <v>-237.09300000000002</v>
      </c>
      <c r="M10" s="23">
        <f>M8+M9</f>
        <v>-160.06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-13.685</v>
      </c>
      <c r="C12" s="23" t="n">
        <v>-72.90000000000001</v>
      </c>
      <c r="D12" s="23" t="n">
        <v>-97.18300000000001</v>
      </c>
      <c r="E12" s="23" t="n">
        <v>-120.324</v>
      </c>
      <c r="F12" s="23" t="n">
        <v>-109.954</v>
      </c>
      <c r="G12" s="23" t="n">
        <v>-133.746</v>
      </c>
      <c r="H12" s="23" t="n">
        <v>-115.976</v>
      </c>
      <c r="I12" s="23" t="n">
        <v>-192.502</v>
      </c>
      <c r="J12" s="23" t="n">
        <v>-220.432</v>
      </c>
      <c r="K12" s="23" t="n">
        <v>-153.219</v>
      </c>
      <c r="L12" s="23" t="n">
        <v>-237.093</v>
      </c>
      <c r="M12" s="23" t="n">
        <v>-160.06</v>
      </c>
    </row>
    <row r="13">
      <c r="A13" s="2" t="inlineStr">
        <is>
          <t>Earnings per Share</t>
        </is>
      </c>
      <c r="B13" s="11">
        <f>IFERROR(B12/B14,0)</f>
        <v>-12.186108637577917</v>
      </c>
      <c r="C13" s="11">
        <f>IFERROR(C12/C14,0)</f>
        <v>-28.3989092325672</v>
      </c>
      <c r="D13" s="11">
        <f>IFERROR(D12/D14,0)</f>
        <v>-3.0162321539416515</v>
      </c>
      <c r="E13" s="11">
        <f>IFERROR(E12/E14,0)</f>
        <v>-2.983930165658169</v>
      </c>
      <c r="F13" s="11">
        <f>IFERROR(F12/F14,0)</f>
        <v>-2.3345789630132914</v>
      </c>
      <c r="G13" s="11">
        <f>IFERROR(G12/G14,0)</f>
        <v>-2.6758297821259234</v>
      </c>
      <c r="H13" s="11">
        <f>IFERROR(H12/H14,0)</f>
        <v>-1.9788087153850091</v>
      </c>
      <c r="I13" s="11">
        <f>IFERROR(I12/I14,0)</f>
        <v>-2.8468625682130764</v>
      </c>
      <c r="J13" s="11">
        <f>IFERROR(J12/J14,0)</f>
        <v>-3.2102526760358256</v>
      </c>
      <c r="K13" s="11">
        <f>IFERROR(K12/K14,0)</f>
        <v>-2.0169417897480453</v>
      </c>
      <c r="L13" s="11">
        <f>IFERROR(L12/L14,0)</f>
        <v>-2.87950885374918</v>
      </c>
      <c r="M13" s="11">
        <f>IFERROR(M12/M14,0)</f>
        <v>-1.8035742455998018</v>
      </c>
    </row>
    <row r="14">
      <c r="A14" s="2" t="inlineStr">
        <is>
          <t>Shares</t>
        </is>
      </c>
      <c r="B14" s="23" t="n">
        <v>1.123</v>
      </c>
      <c r="C14" s="23" t="n">
        <v>2.567</v>
      </c>
      <c r="D14" s="23" t="n">
        <v>32.22</v>
      </c>
      <c r="E14" s="23" t="n">
        <v>40.324</v>
      </c>
      <c r="F14" s="23" t="n">
        <v>47.098</v>
      </c>
      <c r="G14" s="23" t="n">
        <v>49.983</v>
      </c>
      <c r="H14" s="23" t="n">
        <v>58.609</v>
      </c>
      <c r="I14" s="23" t="n">
        <v>67.619</v>
      </c>
      <c r="J14" s="23" t="n">
        <v>68.66500000000001</v>
      </c>
      <c r="K14" s="23" t="n">
        <v>75.96599999999999</v>
      </c>
      <c r="L14" s="23" t="n">
        <v>82.33799999999999</v>
      </c>
      <c r="M14" s="23" t="n">
        <v>88.746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1.2679662977036181</v>
      </c>
      <c r="F16" s="15">
        <f>IFERROR(F2/E2-1,"")</f>
        <v>1.3264131701631703</v>
      </c>
      <c r="G16" s="15">
        <f>IFERROR(G2/F2-1,"")</f>
        <v>-0.35714062059679996</v>
      </c>
      <c r="H16" s="15">
        <f>IFERROR(H2/G2-1,"")</f>
        <v>3.4192684233597976</v>
      </c>
      <c r="I16" s="15">
        <f>IFERROR(I2/H2-1,"")</f>
        <v>-0.71846757483578</v>
      </c>
      <c r="J16" s="15">
        <f>IFERROR(J2/I2-1,"")</f>
        <v>-0.22831193235202007</v>
      </c>
      <c r="K16" s="15">
        <f>IFERROR(K2/J2-1,"")</f>
        <v>2.9632203733766236</v>
      </c>
      <c r="L16" s="15">
        <f>IFERROR(L2/K2-1,"")</f>
        <v>-0.5863702110774036</v>
      </c>
      <c r="M16" s="15">
        <f>IFERROR(M2/L2-1,"")</f>
        <v>0.2539456582286317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-16.056170493969933</v>
      </c>
      <c r="E18" s="15">
        <f>IFERROR(E8/E2,"")</f>
        <v>-8.736378205128206</v>
      </c>
      <c r="F18" s="15">
        <f>IFERROR(F8/F2,"")</f>
        <v>-3.5609794282493654</v>
      </c>
      <c r="G18" s="15">
        <f>IFERROR(G8/G2,"")</f>
        <v>-6.863864400175345</v>
      </c>
      <c r="H18" s="15">
        <f>IFERROR(H8/H2,"")</f>
        <v>-1.4861349909623949</v>
      </c>
      <c r="I18" s="15">
        <f>IFERROR(I8/I2,"")</f>
        <v>-7.561305981835264</v>
      </c>
      <c r="J18" s="15">
        <f>IFERROR(J8/J2,"")</f>
        <v>-11.462560876623376</v>
      </c>
      <c r="K18" s="15">
        <f>IFERROR(K8/K2,"")</f>
        <v>-2.1655722386493097</v>
      </c>
      <c r="L18" s="15">
        <f>IFERROR(L8/L2,"")</f>
        <v>-7.772234944606054</v>
      </c>
      <c r="M18" s="15">
        <f>IFERROR(M8/M2,"")</f>
        <v>-3.9489141164856854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2026-10-21T01:05:18Z</dcterms:modified>
  <cp:lastModifiedBy>Wang, Eric</cp:lastModifiedBy>
</cp:coreProperties>
</file>