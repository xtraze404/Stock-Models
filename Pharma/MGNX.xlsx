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MacroGenics Inc</t>
        </is>
      </c>
      <c r="C2" s="10" t="n"/>
    </row>
    <row r="3">
      <c r="B3" t="inlineStr">
        <is>
          <t>Price</t>
        </is>
      </c>
      <c r="C3" s="11">
        <f>INDEX([1]Pharma!$F$1:$F$1000,MATCH("MGNX",[1]Pharma!$B$1:$B$1000,0))</f>
        <v>3.49</v>
      </c>
      <c r="F3" s="1" t="n"/>
    </row>
    <row r="4">
      <c r="B4" t="inlineStr">
        <is>
          <t>Shares</t>
        </is>
      </c>
      <c r="C4" s="51" t="n">
        <v>63.700187</v>
      </c>
      <c r="F4" s="1" t="n"/>
    </row>
    <row r="5">
      <c r="B5" t="inlineStr">
        <is>
          <t>Market Cap.</t>
        </is>
      </c>
      <c r="C5" s="13">
        <f>C3*C4</f>
        <v>222.31365263</v>
      </c>
      <c r="F5" s="1" t="n"/>
    </row>
    <row r="6"/>
    <row r="7">
      <c r="B7" t="inlineStr">
        <is>
          <t>Cash</t>
        </is>
      </c>
      <c r="C7" s="51" t="n">
        <v>113.907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108.40665263000001</v>
      </c>
    </row>
    <row r="10"/>
    <row r="11">
      <c r="B11" s="14" t="inlineStr">
        <is>
          <t>NPV / Share</t>
        </is>
      </c>
      <c r="C11" s="11">
        <f>NPV!B28</f>
        <v>7.86943944037508</v>
      </c>
    </row>
    <row r="12">
      <c r="B12" s="14" t="inlineStr">
        <is>
          <t>Upside</t>
        </is>
      </c>
      <c r="C12" s="15">
        <f>IFERROR(C11/C3-1,"")</f>
        <v>1.2548537078438624</v>
      </c>
    </row>
    <row r="13">
      <c r="B13" s="14" t="inlineStr">
        <is>
          <t>Cash / Share</t>
        </is>
      </c>
      <c r="C13" s="11">
        <f>IFERROR((C7-C8)/C4,"")</f>
        <v>1.7881737144664898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2011</v>
      </c>
      <c r="C1" s="16" t="n">
        <v>2012</v>
      </c>
      <c r="D1" s="16" t="n">
        <v>2013</v>
      </c>
      <c r="E1" s="16" t="n">
        <v>2014</v>
      </c>
      <c r="F1" s="16" t="n">
        <v>2015</v>
      </c>
      <c r="G1" s="16" t="n">
        <v>2016</v>
      </c>
      <c r="H1" s="16" t="n">
        <v>2017</v>
      </c>
      <c r="I1" s="16" t="n">
        <v>2018</v>
      </c>
      <c r="J1" s="16" t="n">
        <v>2019</v>
      </c>
      <c r="K1" s="16" t="n">
        <v>2020</v>
      </c>
      <c r="L1" s="16" t="n">
        <v>2021</v>
      </c>
      <c r="M1" s="16" t="n">
        <v>2022</v>
      </c>
      <c r="N1" s="16" t="n">
        <v>2023</v>
      </c>
      <c r="O1" s="16" t="n">
        <v>2024</v>
      </c>
      <c r="P1" s="16" t="n">
        <v>2025</v>
      </c>
      <c r="Q1" s="16" t="n">
        <v>2026</v>
      </c>
      <c r="R1" s="16" t="n">
        <v>2027</v>
      </c>
      <c r="S1" s="16" t="n">
        <v>2028</v>
      </c>
      <c r="T1" s="16" t="n">
        <v>2029</v>
      </c>
      <c r="U1" s="16" t="n">
        <v>2030</v>
      </c>
      <c r="V1" s="16" t="n">
        <v>2031</v>
      </c>
      <c r="W1" s="16" t="n">
        <v>2032</v>
      </c>
      <c r="X1" s="16" t="n">
        <v>2033</v>
      </c>
      <c r="Y1" s="16" t="n">
        <v>2034</v>
      </c>
      <c r="Z1" s="16" t="n">
        <v>2035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57.207</v>
      </c>
      <c r="C2" s="52" t="n">
        <v>63.826</v>
      </c>
      <c r="D2" s="52" t="n">
        <v>58.035</v>
      </c>
      <c r="E2" s="52" t="n">
        <v>47.797</v>
      </c>
      <c r="F2" s="52" t="n">
        <v>100.854</v>
      </c>
      <c r="G2" s="52" t="n">
        <v>91.88</v>
      </c>
      <c r="H2" s="52" t="n">
        <v>157.742</v>
      </c>
      <c r="I2" s="52" t="n">
        <v>60.121</v>
      </c>
      <c r="J2" s="52" t="n">
        <v>64.188</v>
      </c>
      <c r="K2" s="52" t="n">
        <v>104.883</v>
      </c>
      <c r="L2" s="52" t="n">
        <v>77.447</v>
      </c>
      <c r="M2" s="52" t="n">
        <v>151.941</v>
      </c>
      <c r="N2" s="52" t="n">
        <v>58.749</v>
      </c>
      <c r="O2" s="52" t="n">
        <v>149.962</v>
      </c>
      <c r="P2" s="52" t="n">
        <v>149.5</v>
      </c>
      <c r="Q2" s="52">
        <f>P2*(1+NPV!C5)</f>
        <v>201.82500000000002</v>
      </c>
      <c r="R2" s="52">
        <f>Q2*(1+NPV!D5)</f>
        <v>265.175625</v>
      </c>
      <c r="S2" s="52">
        <f>R2*(1+NPV!E5)</f>
        <v>338.83552083333336</v>
      </c>
      <c r="T2" s="52">
        <f>S2*(1+NPV!F5)</f>
        <v>420.7207717013889</v>
      </c>
      <c r="U2" s="52">
        <f>T2*(1+NPV!G5)</f>
        <v>507.20226366222994</v>
      </c>
      <c r="V2" s="52">
        <f>U2*(1+NPV!H5)</f>
        <v>593.1448694494411</v>
      </c>
      <c r="W2" s="52">
        <f>V2*(1+NPV!I5)</f>
        <v>672.2308520426999</v>
      </c>
      <c r="X2" s="52">
        <f>W2*(1+NPV!J5)</f>
        <v>737.5866293246291</v>
      </c>
      <c r="Y2" s="52">
        <f>X2*(1+NPV!K5)</f>
        <v>782.6613677833565</v>
      </c>
      <c r="Z2" s="52">
        <f>Y2*(1+NPV!L5)</f>
        <v>802.2279019779403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2.651</v>
      </c>
      <c r="M3" s="52" t="n">
        <v>3.351</v>
      </c>
      <c r="N3" s="52" t="n">
        <v>0.619</v>
      </c>
      <c r="O3" s="52" t="n">
        <v>0.847</v>
      </c>
      <c r="P3" s="52" t="n">
        <v>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  <c r="Z3" s="52">
        <f>Z2*(1-Assumptions!$B$19)</f>
        <v>0.0</v>
      </c>
    </row>
    <row r="4" customFormat="1" s="1">
      <c r="A4" s="5" t="inlineStr">
        <is>
          <t>Gross Margin</t>
        </is>
      </c>
      <c r="B4" s="52">
        <f>B2-B3</f>
        <v>57.207</v>
      </c>
      <c r="C4" s="52">
        <f>C2-C3</f>
        <v>63.826</v>
      </c>
      <c r="D4" s="52">
        <f>D2-D3</f>
        <v>58.035</v>
      </c>
      <c r="E4" s="52">
        <f>E2-E3</f>
        <v>47.797</v>
      </c>
      <c r="F4" s="52">
        <f>F2-F3</f>
        <v>100.854</v>
      </c>
      <c r="G4" s="52">
        <f>G2-G3</f>
        <v>91.88</v>
      </c>
      <c r="H4" s="52">
        <f>H2-H3</f>
        <v>157.742</v>
      </c>
      <c r="I4" s="52">
        <f>I2-I3</f>
        <v>60.121</v>
      </c>
      <c r="J4" s="52">
        <f>J2-J3</f>
        <v>64.188</v>
      </c>
      <c r="K4" s="52">
        <f>K2-K3</f>
        <v>104.883</v>
      </c>
      <c r="L4" s="52">
        <f>L2-L3</f>
        <v>74.796</v>
      </c>
      <c r="M4" s="52">
        <f>M2-M3</f>
        <v>148.59</v>
      </c>
      <c r="N4" s="52">
        <f>N2-N3</f>
        <v>58.13</v>
      </c>
      <c r="O4" s="52">
        <f>O2-O3</f>
        <v>149.11499999999998</v>
      </c>
      <c r="P4" s="52">
        <f>P2-P3</f>
        <v>149.5</v>
      </c>
      <c r="Q4" s="52">
        <f>Q2-Q3</f>
        <v>201.82500000000002</v>
      </c>
      <c r="R4" s="52">
        <f>R2-R3</f>
        <v>265.175625</v>
      </c>
      <c r="S4" s="52">
        <f>S2-S3</f>
        <v>338.83552083333336</v>
      </c>
      <c r="T4" s="52">
        <f>T2-T3</f>
        <v>420.7207717013889</v>
      </c>
      <c r="U4" s="52">
        <f>U2-U3</f>
        <v>507.20226366222994</v>
      </c>
      <c r="V4" s="52">
        <f>V2-V3</f>
        <v>593.1448694494411</v>
      </c>
      <c r="W4" s="52">
        <f>W2-W3</f>
        <v>672.2308520426999</v>
      </c>
      <c r="X4" s="52">
        <f>X2-X3</f>
        <v>737.5866293246291</v>
      </c>
      <c r="Y4" s="52">
        <f>Y2-Y3</f>
        <v>782.6613677833565</v>
      </c>
      <c r="Z4" s="52">
        <f>Z2-Z3</f>
        <v>802.2279019779403</v>
      </c>
    </row>
    <row r="5">
      <c r="A5" s="2" t="inlineStr">
        <is>
          <t>Research &amp; Dev.</t>
        </is>
      </c>
      <c r="B5" s="52" t="n">
        <v>41.089</v>
      </c>
      <c r="C5" s="52" t="n">
        <v>45.433</v>
      </c>
      <c r="D5" s="52" t="n">
        <v>46.582</v>
      </c>
      <c r="E5" s="52" t="n">
        <v>70.18600000000001</v>
      </c>
      <c r="F5" s="52" t="n">
        <v>98.271</v>
      </c>
      <c r="G5" s="52" t="n">
        <v>122.091</v>
      </c>
      <c r="H5" s="52" t="n">
        <v>147.232</v>
      </c>
      <c r="I5" s="52" t="n">
        <v>190.827</v>
      </c>
      <c r="J5" s="52" t="n">
        <v>195.309</v>
      </c>
      <c r="K5" s="52" t="n">
        <v>193.201</v>
      </c>
      <c r="L5" s="52" t="n">
        <v>214.577</v>
      </c>
      <c r="M5" s="52" t="n">
        <v>207.026</v>
      </c>
      <c r="N5" s="52" t="n">
        <v>166.583</v>
      </c>
      <c r="O5" s="52" t="n">
        <v>177.194</v>
      </c>
      <c r="P5" s="52" t="n">
        <v>147.172</v>
      </c>
      <c r="Q5" s="52">
        <f>Q7*Assumptions!$B$20</f>
        <v>157.04200695397503</v>
      </c>
      <c r="R5" s="52">
        <f>R7*Assumptions!$B$20</f>
        <v>199.01130901723505</v>
      </c>
      <c r="S5" s="52">
        <f>S7*Assumptions!$B$20</f>
        <v>244.9332227890614</v>
      </c>
      <c r="T5" s="52">
        <f>T7*Assumptions!$B$20</f>
        <v>292.5046532585467</v>
      </c>
      <c r="U5" s="52">
        <f>U7*Assumptions!$B$20</f>
        <v>338.621131910481</v>
      </c>
      <c r="V5" s="52">
        <f>V7*Assumptions!$B$20</f>
        <v>379.6152954415347</v>
      </c>
      <c r="W5" s="52">
        <f>W7*Assumptions!$B$20</f>
        <v>411.6629213187171</v>
      </c>
      <c r="X5" s="52">
        <f>X7*Assumptions!$B$20</f>
        <v>431.3127608772023</v>
      </c>
      <c r="Y5" s="52">
        <f>Y7*Assumptions!$B$20</f>
        <v>436.05280519972604</v>
      </c>
      <c r="Z5" s="52">
        <f>Z7*Assumptions!$B$20</f>
        <v>424.79571865535894</v>
      </c>
    </row>
    <row r="6">
      <c r="A6" s="18" t="inlineStr">
        <is>
          <t>SG&amp;A &amp; Other</t>
        </is>
      </c>
      <c r="B6" s="52" t="n">
        <v>10.869</v>
      </c>
      <c r="C6" s="52" t="n">
        <v>10.188</v>
      </c>
      <c r="D6" s="52" t="n">
        <v>11.087</v>
      </c>
      <c r="E6" s="52" t="n">
        <v>15.926</v>
      </c>
      <c r="F6" s="52" t="n">
        <v>22.765</v>
      </c>
      <c r="G6" s="52" t="n">
        <v>29.831</v>
      </c>
      <c r="H6" s="52" t="n">
        <v>32.653</v>
      </c>
      <c r="I6" s="52" t="n">
        <v>40.5</v>
      </c>
      <c r="J6" s="52" t="n">
        <v>46.064</v>
      </c>
      <c r="K6" s="52" t="n">
        <v>42.742</v>
      </c>
      <c r="L6" s="52" t="n">
        <v>63.014</v>
      </c>
      <c r="M6" s="52" t="n">
        <v>62.982</v>
      </c>
      <c r="N6" s="52" t="n">
        <v>59.791</v>
      </c>
      <c r="O6" s="52" t="n">
        <v>82.499</v>
      </c>
      <c r="P6" s="52" t="n">
        <v>75.169</v>
      </c>
      <c r="Q6" s="52">
        <f>Q7-Q5</f>
        <v>80.21740829602498</v>
      </c>
      <c r="R6" s="52">
        <f>R7-R5</f>
        <v>101.65542163276498</v>
      </c>
      <c r="S6" s="52">
        <f>S7-S5</f>
        <v>125.1124378682303</v>
      </c>
      <c r="T6" s="52">
        <f>T7-T5</f>
        <v>149.4120309211582</v>
      </c>
      <c r="U6" s="52">
        <f>U7-U5</f>
        <v>172.96843133242726</v>
      </c>
      <c r="V6" s="52">
        <f>V7-V5</f>
        <v>193.90834172651887</v>
      </c>
      <c r="W6" s="52">
        <f>W7-W5</f>
        <v>210.27834068266844</v>
      </c>
      <c r="X6" s="52">
        <f>X7-X5</f>
        <v>220.3155226659345</v>
      </c>
      <c r="Y6" s="52">
        <f>Y7-Y5</f>
        <v>222.73674790455863</v>
      </c>
      <c r="Z6" s="52">
        <f>Z7-Z5</f>
        <v>216.98660292699327</v>
      </c>
    </row>
    <row r="7">
      <c r="A7" s="2" t="inlineStr">
        <is>
          <t>Operating Expense</t>
        </is>
      </c>
      <c r="B7" s="52">
        <f>SUM(B5:B6)</f>
        <v>51.958</v>
      </c>
      <c r="C7" s="52">
        <f>SUM(C5:C6)</f>
        <v>55.621</v>
      </c>
      <c r="D7" s="52">
        <f>SUM(D5:D6)</f>
        <v>57.669</v>
      </c>
      <c r="E7" s="52">
        <f>SUM(E5:E6)</f>
        <v>86.11200000000001</v>
      </c>
      <c r="F7" s="52">
        <f>SUM(F5:F6)</f>
        <v>121.036</v>
      </c>
      <c r="G7" s="52">
        <f>SUM(G5:G6)</f>
        <v>151.922</v>
      </c>
      <c r="H7" s="52">
        <f>SUM(H5:H6)</f>
        <v>179.885</v>
      </c>
      <c r="I7" s="52">
        <f>SUM(I5:I6)</f>
        <v>231.327</v>
      </c>
      <c r="J7" s="52">
        <f>SUM(J5:J6)</f>
        <v>241.373</v>
      </c>
      <c r="K7" s="52">
        <f>SUM(K5:K6)</f>
        <v>235.94299999999998</v>
      </c>
      <c r="L7" s="52">
        <f>SUM(L5:L6)</f>
        <v>277.591</v>
      </c>
      <c r="M7" s="52">
        <f>SUM(M5:M6)</f>
        <v>270.00800000000004</v>
      </c>
      <c r="N7" s="52">
        <f>SUM(N5:N6)</f>
        <v>226.374</v>
      </c>
      <c r="O7" s="52">
        <f>SUM(O5:O6)</f>
        <v>259.693</v>
      </c>
      <c r="P7" s="52">
        <f>SUM(P5:P6)</f>
        <v>222.341</v>
      </c>
      <c r="Q7" s="52">
        <f>Q4-Q2*NPV!C6</f>
        <v>237.25941525000002</v>
      </c>
      <c r="R7" s="52">
        <f>R4-R2*NPV!D6</f>
        <v>300.66673065000003</v>
      </c>
      <c r="S7" s="52">
        <f>S4-S2*NPV!E6</f>
        <v>370.0456606572917</v>
      </c>
      <c r="T7" s="52">
        <f>T4-T2*NPV!F6</f>
        <v>441.9166841797049</v>
      </c>
      <c r="U7" s="52">
        <f>U4-U2*NPV!G6</f>
        <v>511.58956324290824</v>
      </c>
      <c r="V7" s="52">
        <f>V4-V2*NPV!H6</f>
        <v>573.5236371680536</v>
      </c>
      <c r="W7" s="52">
        <f>W4-W2*NPV!I6</f>
        <v>621.9412620013856</v>
      </c>
      <c r="X7" s="52">
        <f>X4-X2*NPV!J6</f>
        <v>651.6282835431368</v>
      </c>
      <c r="Y7" s="52">
        <f>Y4-Y2*NPV!K6</f>
        <v>658.7895531042847</v>
      </c>
      <c r="Z7" s="52">
        <f>Z4-Z2*NPV!L6</f>
        <v>641.7823215823522</v>
      </c>
    </row>
    <row r="8">
      <c r="A8" s="2" t="inlineStr">
        <is>
          <t>Operating Income</t>
        </is>
      </c>
      <c r="B8" s="52">
        <f>B4-B7</f>
        <v>5.249000000000002</v>
      </c>
      <c r="C8" s="52">
        <f>C4-C7</f>
        <v>8.204999999999998</v>
      </c>
      <c r="D8" s="52">
        <f>D4-D7</f>
        <v>0.36599999999999966</v>
      </c>
      <c r="E8" s="52">
        <f>E4-E7</f>
        <v>-38.31500000000001</v>
      </c>
      <c r="F8" s="52">
        <f>F4-F7</f>
        <v>-20.182000000000002</v>
      </c>
      <c r="G8" s="52">
        <f>G4-G7</f>
        <v>-60.042</v>
      </c>
      <c r="H8" s="52">
        <f>H4-H7</f>
        <v>-22.143</v>
      </c>
      <c r="I8" s="52">
        <f>I4-I7</f>
        <v>-171.206</v>
      </c>
      <c r="J8" s="52">
        <f>J4-J7</f>
        <v>-177.185</v>
      </c>
      <c r="K8" s="52">
        <f>K4-K7</f>
        <v>-131.06</v>
      </c>
      <c r="L8" s="52">
        <f>L4-L7</f>
        <v>-202.79500000000002</v>
      </c>
      <c r="M8" s="52">
        <f>M4-M7</f>
        <v>-121.41800000000003</v>
      </c>
      <c r="N8" s="52">
        <f>N4-N7</f>
        <v>-168.244</v>
      </c>
      <c r="O8" s="52">
        <f>O4-O7</f>
        <v>-110.578</v>
      </c>
      <c r="P8" s="52">
        <f>P4-P7</f>
        <v>-72.84100000000001</v>
      </c>
      <c r="Q8" s="52">
        <f>Q4-Q7</f>
        <v>-35.43441525</v>
      </c>
      <c r="R8" s="52">
        <f>R4-R7</f>
        <v>-35.49110565000001</v>
      </c>
      <c r="S8" s="52">
        <f>S4-S7</f>
        <v>-31.210139823958343</v>
      </c>
      <c r="T8" s="52">
        <f>T4-T7</f>
        <v>-21.19591247831596</v>
      </c>
      <c r="U8" s="52">
        <f>U4-U7</f>
        <v>-4.387299580678302</v>
      </c>
      <c r="V8" s="52">
        <f>V4-V7</f>
        <v>19.621232281387506</v>
      </c>
      <c r="W8" s="52">
        <f>W4-W7</f>
        <v>50.28959004131434</v>
      </c>
      <c r="X8" s="52">
        <f>X4-X7</f>
        <v>85.95834578149231</v>
      </c>
      <c r="Y8" s="52">
        <f>Y4-Y7</f>
        <v>123.8718146790718</v>
      </c>
      <c r="Z8" s="52">
        <f>Z4-Z7</f>
        <v>160.44558039558808</v>
      </c>
    </row>
    <row r="9">
      <c r="A9" s="18" t="inlineStr">
        <is>
          <t>Interest &amp; Other</t>
        </is>
      </c>
      <c r="B9" s="52" t="n">
        <v>1.467</v>
      </c>
      <c r="C9" s="52" t="n">
        <v>0.157</v>
      </c>
      <c r="D9" s="52" t="n">
        <v>-0.627</v>
      </c>
      <c r="E9" s="52" t="n">
        <v>0.002</v>
      </c>
      <c r="F9" s="52" t="n">
        <v>0.042</v>
      </c>
      <c r="G9" s="52" t="n">
        <v>1.514</v>
      </c>
      <c r="H9" s="52" t="n">
        <v>2.517</v>
      </c>
      <c r="I9" s="52" t="n">
        <v>-0.247</v>
      </c>
      <c r="J9" s="52" t="n">
        <v>25.374</v>
      </c>
      <c r="K9" s="52" t="n">
        <v>1.321</v>
      </c>
      <c r="L9" s="52" t="n">
        <v>0.68</v>
      </c>
      <c r="M9" s="52" t="n">
        <v>1.66</v>
      </c>
      <c r="N9" s="52" t="n">
        <v>168.235</v>
      </c>
      <c r="O9" s="52" t="n">
        <v>111.455</v>
      </c>
      <c r="P9" s="52" t="n">
        <v>72.09399999999999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</row>
    <row r="10">
      <c r="A10" s="2" t="inlineStr">
        <is>
          <t>Pretax</t>
        </is>
      </c>
      <c r="B10" s="52">
        <f>B8+B9</f>
        <v>6.716000000000003</v>
      </c>
      <c r="C10" s="52">
        <f>C8+C9</f>
        <v>8.361999999999998</v>
      </c>
      <c r="D10" s="52">
        <f>D8+D9</f>
        <v>-0.26100000000000034</v>
      </c>
      <c r="E10" s="52">
        <f>E8+E9</f>
        <v>-38.31300000000001</v>
      </c>
      <c r="F10" s="52">
        <f>F8+F9</f>
        <v>-20.14</v>
      </c>
      <c r="G10" s="52">
        <f>G8+G9</f>
        <v>-58.528</v>
      </c>
      <c r="H10" s="52">
        <f>H8+H9</f>
        <v>-19.626</v>
      </c>
      <c r="I10" s="52">
        <f>I8+I9</f>
        <v>-171.453</v>
      </c>
      <c r="J10" s="52">
        <f>J8+J9</f>
        <v>-151.811</v>
      </c>
      <c r="K10" s="52">
        <f>K8+K9</f>
        <v>-129.739</v>
      </c>
      <c r="L10" s="52">
        <f>L8+L9</f>
        <v>-202.115</v>
      </c>
      <c r="M10" s="52">
        <f>M8+M9</f>
        <v>-119.75800000000004</v>
      </c>
      <c r="N10" s="52">
        <f>N8+N9</f>
        <v>-0.00899999999998613</v>
      </c>
      <c r="O10" s="52">
        <f>O8+O9</f>
        <v>0.8769999999999953</v>
      </c>
      <c r="P10" s="52">
        <f>P8+P9</f>
        <v>-0.7470000000000141</v>
      </c>
      <c r="Q10" s="52">
        <f>Q8+Q9</f>
        <v>-35.43441525</v>
      </c>
      <c r="R10" s="52">
        <f>R8+R9</f>
        <v>-35.49110565000001</v>
      </c>
      <c r="S10" s="52">
        <f>S8+S9</f>
        <v>-31.210139823958343</v>
      </c>
      <c r="T10" s="52">
        <f>T8+T9</f>
        <v>-21.19591247831596</v>
      </c>
      <c r="U10" s="52">
        <f>U8+U9</f>
        <v>-4.387299580678302</v>
      </c>
      <c r="V10" s="52">
        <f>V8+V9</f>
        <v>19.621232281387506</v>
      </c>
      <c r="W10" s="52">
        <f>W8+W9</f>
        <v>50.28959004131434</v>
      </c>
      <c r="X10" s="52">
        <f>X8+X9</f>
        <v>85.95834578149231</v>
      </c>
      <c r="Y10" s="52">
        <f>Y8+Y9</f>
        <v>123.8718146790718</v>
      </c>
      <c r="Z10" s="52">
        <f>Z8+Z9</f>
        <v>160.44558039558808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0.944</v>
      </c>
      <c r="P11" s="52" t="n">
        <v>-0.672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3.3356094878358764</v>
      </c>
      <c r="W11" s="52">
        <f>MAX(0,W10)*Assumptions!$E$14</f>
        <v>8.54923030702344</v>
      </c>
      <c r="X11" s="52">
        <f>MAX(0,X10)*Assumptions!$E$14</f>
        <v>14.612918782853694</v>
      </c>
      <c r="Y11" s="52">
        <f>MAX(0,Y10)*Assumptions!$E$14</f>
        <v>21.05820849544221</v>
      </c>
      <c r="Z11" s="52">
        <f>MAX(0,Z10)*Assumptions!$E$14</f>
        <v>27.275748667249974</v>
      </c>
    </row>
    <row r="12">
      <c r="A12" s="2" t="inlineStr">
        <is>
          <t>Net Income</t>
        </is>
      </c>
      <c r="B12" s="52" t="n">
        <v>6.717</v>
      </c>
      <c r="C12" s="52" t="n">
        <v>8.362</v>
      </c>
      <c r="D12" s="52" t="n">
        <v>-0.261</v>
      </c>
      <c r="E12" s="52" t="n">
        <v>-38.313</v>
      </c>
      <c r="F12" s="52" t="n">
        <v>-20.14</v>
      </c>
      <c r="G12" s="52" t="n">
        <v>-58.528</v>
      </c>
      <c r="H12" s="52" t="n">
        <v>-19.626</v>
      </c>
      <c r="I12" s="52" t="n">
        <v>-171.453</v>
      </c>
      <c r="J12" s="52" t="n">
        <v>-151.811</v>
      </c>
      <c r="K12" s="52" t="n">
        <v>-129.739</v>
      </c>
      <c r="L12" s="52" t="n">
        <v>-202.115</v>
      </c>
      <c r="M12" s="52" t="n">
        <v>-119.758</v>
      </c>
      <c r="N12" s="52" t="n">
        <v>-0.008999999999999999</v>
      </c>
      <c r="O12" s="52" t="n">
        <v>-0.067</v>
      </c>
      <c r="P12" s="52" t="n">
        <v>-0.075</v>
      </c>
      <c r="Q12" s="52">
        <f>Q10-Q11</f>
        <v>-35.43441525</v>
      </c>
      <c r="R12" s="52">
        <f>R10-R11</f>
        <v>-35.49110565000001</v>
      </c>
      <c r="S12" s="52">
        <f>S10-S11</f>
        <v>-31.210139823958343</v>
      </c>
      <c r="T12" s="52">
        <f>T10-T11</f>
        <v>-21.19591247831596</v>
      </c>
      <c r="U12" s="52">
        <f>U10-U11</f>
        <v>-4.387299580678302</v>
      </c>
      <c r="V12" s="52">
        <f>V10-V11</f>
        <v>16.28562279355163</v>
      </c>
      <c r="W12" s="52">
        <f>W10-W11</f>
        <v>41.740359734290905</v>
      </c>
      <c r="X12" s="52">
        <f>X10-X11</f>
        <v>71.34542699863862</v>
      </c>
      <c r="Y12" s="52">
        <f>Y10-Y11</f>
        <v>102.81360618362959</v>
      </c>
      <c r="Z12" s="52">
        <f>Z10-Z11</f>
        <v>133.1698317283381</v>
      </c>
    </row>
    <row r="13">
      <c r="A13" s="2" t="inlineStr">
        <is>
          <t>Earnings per Share</t>
        </is>
      </c>
      <c r="B13" s="11">
        <f>IFERROR(B12/B14,0)</f>
        <v>1.637493905411994</v>
      </c>
      <c r="C13" s="11">
        <f>IFERROR(C12/C14,0)</f>
        <v>1.9298407569813063</v>
      </c>
      <c r="D13" s="11">
        <f>IFERROR(D12/D14,0)</f>
        <v>-0.009528677302763683</v>
      </c>
      <c r="E13" s="11">
        <f>IFERROR(E12/E14,0)</f>
        <v>-1.3990505751323719</v>
      </c>
      <c r="F13" s="11">
        <f>IFERROR(F12/F14,0)</f>
        <v>-0.6332935035532357</v>
      </c>
      <c r="G13" s="11">
        <f>IFERROR(G12/G14,0)</f>
        <v>-1.6874153092114745</v>
      </c>
      <c r="H13" s="11">
        <f>IFERROR(H12/H14,0)</f>
        <v>-0.5437318188114698</v>
      </c>
      <c r="I13" s="11">
        <f>IFERROR(I12/I14,0)</f>
        <v>-4.189444105070251</v>
      </c>
      <c r="J13" s="11">
        <f>IFERROR(J12/J14,0)</f>
        <v>-3.1572697211072525</v>
      </c>
      <c r="K13" s="11">
        <f>IFERROR(K12/K14,0)</f>
        <v>-2.4739521757370047</v>
      </c>
      <c r="L13" s="11">
        <f>IFERROR(L12/L14,0)</f>
        <v>-3.371674034531654</v>
      </c>
      <c r="M13" s="11">
        <f>IFERROR(M12/M14,0)</f>
        <v>-1.9494082984715055</v>
      </c>
      <c r="N13" s="11">
        <f>IFERROR(N12/N14,0)</f>
        <v>-0.00014532771399505885</v>
      </c>
      <c r="O13" s="11">
        <f>IFERROR(O12/O14,0)</f>
        <v>-0.0010699286181951742</v>
      </c>
      <c r="P13" s="11">
        <f>IFERROR(P12/P14,0)</f>
        <v>-0.0011875544295780222</v>
      </c>
      <c r="Q13" s="11">
        <f>IFERROR(Q12/Q14,0)</f>
        <v>-0.5562686220999634</v>
      </c>
      <c r="R13" s="11">
        <f>IFERROR(R12/R14,0)</f>
        <v>-0.5571585786710487</v>
      </c>
      <c r="S13" s="11">
        <f>IFERROR(S12/S14,0)</f>
        <v>-0.48995366095170717</v>
      </c>
      <c r="T13" s="11">
        <f>IFERROR(T12/T14,0)</f>
        <v>-0.3327449019626263</v>
      </c>
      <c r="U13" s="11">
        <f>IFERROR(U12/U14,0)</f>
        <v>-0.06887420253065038</v>
      </c>
      <c r="V13" s="11">
        <f>IFERROR(V12/V14,0)</f>
        <v>0.2556605178184427</v>
      </c>
      <c r="W13" s="11">
        <f>IFERROR(W12/W14,0)</f>
        <v>0.6552627503949228</v>
      </c>
      <c r="X13" s="11">
        <f>IFERROR(X12/X14,0)</f>
        <v>1.1200191138942592</v>
      </c>
      <c r="Y13" s="11">
        <f>IFERROR(Y12/Y14,0)</f>
        <v>1.6140236163455781</v>
      </c>
      <c r="Z13" s="11">
        <f>IFERROR(Z12/Z14,0)</f>
        <v>2.0905720689381666</v>
      </c>
    </row>
    <row r="14">
      <c r="A14" s="2" t="inlineStr">
        <is>
          <t>Shares</t>
        </is>
      </c>
      <c r="B14" s="52" t="n">
        <v>4.102</v>
      </c>
      <c r="C14" s="52" t="n">
        <v>4.333</v>
      </c>
      <c r="D14" s="52" t="n">
        <v>27.391</v>
      </c>
      <c r="E14" s="52" t="n">
        <v>27.385</v>
      </c>
      <c r="F14" s="52" t="n">
        <v>31.802</v>
      </c>
      <c r="G14" s="52" t="n">
        <v>34.685</v>
      </c>
      <c r="H14" s="52" t="n">
        <v>36.095</v>
      </c>
      <c r="I14" s="52" t="n">
        <v>40.925</v>
      </c>
      <c r="J14" s="52" t="n">
        <v>48.083</v>
      </c>
      <c r="K14" s="52" t="n">
        <v>52.442</v>
      </c>
      <c r="L14" s="52" t="n">
        <v>59.945</v>
      </c>
      <c r="M14" s="52" t="n">
        <v>61.433</v>
      </c>
      <c r="N14" s="52" t="n">
        <v>61.929</v>
      </c>
      <c r="O14" s="52" t="n">
        <v>62.621</v>
      </c>
      <c r="P14" s="52" t="n">
        <v>63.155</v>
      </c>
      <c r="Q14" s="52">
        <f>Main!$C$4</f>
        <v>63.700187</v>
      </c>
      <c r="R14" s="52">
        <f>Main!$C$4</f>
        <v>63.700187</v>
      </c>
      <c r="S14" s="52">
        <f>Main!$C$4</f>
        <v>63.700187</v>
      </c>
      <c r="T14" s="52">
        <f>Main!$C$4</f>
        <v>63.700187</v>
      </c>
      <c r="U14" s="52">
        <f>Main!$C$4</f>
        <v>63.700187</v>
      </c>
      <c r="V14" s="52">
        <f>Main!$C$4</f>
        <v>63.700187</v>
      </c>
      <c r="W14" s="52">
        <f>Main!$C$4</f>
        <v>63.700187</v>
      </c>
      <c r="X14" s="52">
        <f>Main!$C$4</f>
        <v>63.700187</v>
      </c>
      <c r="Y14" s="52">
        <f>Main!$C$4</f>
        <v>63.700187</v>
      </c>
      <c r="Z14" s="52">
        <f>Main!$C$4</f>
        <v>63.700187</v>
      </c>
    </row>
    <row r="15"/>
    <row r="16" customFormat="1" s="4">
      <c r="A16" s="3" t="inlineStr">
        <is>
          <t>Revenue Change</t>
        </is>
      </c>
      <c r="C16" s="15">
        <f>IFERROR(C2/B2-1,"")</f>
        <v>0.11570262380477914</v>
      </c>
      <c r="D16" s="15">
        <f>IFERROR(D2/C2-1,"")</f>
        <v>-0.09073105004230253</v>
      </c>
      <c r="E16" s="15">
        <f>IFERROR(E2/D2-1,"")</f>
        <v>-0.17641078659429654</v>
      </c>
      <c r="F16" s="15">
        <f>IFERROR(F2/E2-1,"")</f>
        <v>1.110048747829362</v>
      </c>
      <c r="G16" s="15">
        <f>IFERROR(G2/F2-1,"")</f>
        <v>-0.0889801098617804</v>
      </c>
      <c r="H16" s="15">
        <f>IFERROR(H2/G2-1,"")</f>
        <v>0.7168262951676099</v>
      </c>
      <c r="I16" s="15">
        <f>IFERROR(I2/H2-1,"")</f>
        <v>-0.618864982059312</v>
      </c>
      <c r="J16" s="15">
        <f>IFERROR(J2/I2-1,"")</f>
        <v>0.06764691206067774</v>
      </c>
      <c r="K16" s="15">
        <f>IFERROR(K2/J2-1,"")</f>
        <v>0.6339970087866891</v>
      </c>
      <c r="L16" s="15">
        <f>IFERROR(L2/K2-1,"")</f>
        <v>-0.26158672044087217</v>
      </c>
      <c r="M16" s="15">
        <f>IFERROR(M2/L2-1,"")</f>
        <v>0.9618706986713494</v>
      </c>
      <c r="N16" s="15">
        <f>IFERROR(N2/M2-1,"")</f>
        <v>-0.6133433372164195</v>
      </c>
      <c r="O16" s="15">
        <f>IFERROR(O2/N2-1,"")</f>
        <v>1.5525881291596448</v>
      </c>
      <c r="P16" s="15">
        <f>IFERROR(P2/O2-1,"")</f>
        <v>-0.003080780464384203</v>
      </c>
      <c r="Q16" s="15">
        <f>IFERROR(Q2/P2-1,"")</f>
        <v>0.3500000000000001</v>
      </c>
      <c r="R16" s="15">
        <f>IFERROR(R2/Q2-1,"")</f>
        <v>0.3138888888888889</v>
      </c>
      <c r="S16" s="15">
        <f>IFERROR(S2/R2-1,"")</f>
        <v>0.2777777777777777</v>
      </c>
      <c r="T16" s="15">
        <f>IFERROR(T2/S2-1,"")</f>
        <v>0.2416666666666667</v>
      </c>
      <c r="U16" s="15">
        <f>IFERROR(U2/T2-1,"")</f>
        <v>0.2055555555555555</v>
      </c>
      <c r="V16" s="15">
        <f>IFERROR(V2/U2-1,"")</f>
        <v>0.1694444444444445</v>
      </c>
      <c r="W16" s="15">
        <f>IFERROR(W2/V2-1,"")</f>
        <v>0.1333333333333333</v>
      </c>
      <c r="X16" s="15">
        <f>IFERROR(X2/W2-1,"")</f>
        <v>0.09722222222222232</v>
      </c>
      <c r="Y16" s="15">
        <f>IFERROR(Y2/X2-1,"")</f>
        <v>0.061111111111111116</v>
      </c>
      <c r="Z16" s="15">
        <f>IFERROR(Z2/Y2-1,"")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0.9657701395793252</v>
      </c>
      <c r="M17" s="15">
        <f>IFERROR(M4/M2,"")</f>
        <v>0.9779453866961518</v>
      </c>
      <c r="N17" s="15">
        <f>IFERROR(N4/N2,"")</f>
        <v>0.989463650445114</v>
      </c>
      <c r="O17" s="15">
        <f>IFERROR(O4/O2,"")</f>
        <v>0.994351902481962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</row>
    <row r="18">
      <c r="A18" s="14" t="inlineStr">
        <is>
          <t>Operating Margin</t>
        </is>
      </c>
      <c r="B18" s="15">
        <f>IFERROR(B8/B2,"")</f>
        <v>0.09175450556750052</v>
      </c>
      <c r="C18" s="15">
        <f>IFERROR(C8/C2,"")</f>
        <v>0.12855262745589568</v>
      </c>
      <c r="D18" s="15">
        <f>IFERROR(D8/D2,"")</f>
        <v>0.006306539157405009</v>
      </c>
      <c r="E18" s="15">
        <f>IFERROR(E8/E2,"")</f>
        <v>-0.8016193484946756</v>
      </c>
      <c r="F18" s="15">
        <f>IFERROR(F8/F2,"")</f>
        <v>-0.20011105161917228</v>
      </c>
      <c r="G18" s="15">
        <f>IFERROR(G8/G2,"")</f>
        <v>-0.6534828036569439</v>
      </c>
      <c r="H18" s="15">
        <f>IFERROR(H8/H2,"")</f>
        <v>-0.14037478921276517</v>
      </c>
      <c r="I18" s="15">
        <f>IFERROR(I8/I2,"")</f>
        <v>-2.8476904908434655</v>
      </c>
      <c r="J18" s="15">
        <f>IFERROR(J8/J2,"")</f>
        <v>-2.7604069296441702</v>
      </c>
      <c r="K18" s="15">
        <f>IFERROR(K8/K2,"")</f>
        <v>-1.249582868529695</v>
      </c>
      <c r="L18" s="15">
        <f>IFERROR(L8/L2,"")</f>
        <v>-2.618500393817708</v>
      </c>
      <c r="M18" s="15">
        <f>IFERROR(M8/M2,"")</f>
        <v>-0.7991128135263031</v>
      </c>
      <c r="N18" s="15">
        <f>IFERROR(N8/N2,"")</f>
        <v>-2.863776404704761</v>
      </c>
      <c r="O18" s="15">
        <f>IFERROR(O8/O2,"")</f>
        <v>-0.7373734679452129</v>
      </c>
      <c r="P18" s="15">
        <f>IFERROR(P8/P2,"")</f>
        <v>-0.4872307692307693</v>
      </c>
      <c r="Q18" s="15">
        <f>IFERROR(Q8/Q2,"")</f>
        <v>-0.17556999999999998</v>
      </c>
      <c r="R18" s="15">
        <f>IFERROR(R8/R2,"")</f>
        <v>-0.13384000000000001</v>
      </c>
      <c r="S18" s="15">
        <f>IFERROR(S8/S2,"")</f>
        <v>-0.09211000000000003</v>
      </c>
      <c r="T18" s="15">
        <f>IFERROR(T8/T2,"")</f>
        <v>-0.05037999999999997</v>
      </c>
      <c r="U18" s="15">
        <f>IFERROR(U8/U2,"")</f>
        <v>-0.008650000000000026</v>
      </c>
      <c r="V18" s="15">
        <f>IFERROR(V8/V2,"")</f>
        <v>0.03307999999999999</v>
      </c>
      <c r="W18" s="15">
        <f>IFERROR(W8/W2,"")</f>
        <v>0.07480999999999995</v>
      </c>
      <c r="X18" s="15">
        <f>IFERROR(X8/X2,"")</f>
        <v>0.11654000000000005</v>
      </c>
      <c r="Y18" s="15">
        <f>IFERROR(Y8/Y2,"")</f>
        <v>0.15826999999999997</v>
      </c>
      <c r="Z18" s="15">
        <f>IFERROR(Z8/Z2,"")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MacroGenics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-0.2173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0.6619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Model'!P2</f>
        <v>149.5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387.377763937068</v>
      </c>
      <c r="C29" s="56">
        <f>NPV!B26</f>
        <v>501.28476393706796</v>
      </c>
      <c r="D29" s="35">
        <f>NPV!B28</f>
        <v>7.86943944037508</v>
      </c>
      <c r="E29" s="57">
        <f>NPV!B30</f>
        <v>1.2548537078438624</v>
      </c>
    </row>
    <row r="30">
      <c r="A30" s="58" t="n">
        <v>1</v>
      </c>
      <c r="B30" s="59">
        <f t="dataTable" ref="B30:E32" r1="B4"/>
        <v>103.10671607083329</v>
      </c>
      <c r="C30" s="59">
        <v>217.01371607083328</v>
      </c>
      <c r="D30" s="39">
        <v>3.406798728406139</v>
      </c>
      <c r="E30" s="60">
        <v>-0.023839905900819747</v>
      </c>
    </row>
    <row r="31">
      <c r="A31" s="58" t="n">
        <v>2</v>
      </c>
      <c r="B31" s="59">
        <v>387.377763937068</v>
      </c>
      <c r="C31" s="59">
        <v>501.28476393706796</v>
      </c>
      <c r="D31" s="39">
        <v>7.86943944037508</v>
      </c>
      <c r="E31" s="60">
        <v>1.2548537078438624</v>
      </c>
    </row>
    <row r="32">
      <c r="A32" s="58" t="n">
        <v>3</v>
      </c>
      <c r="B32" s="59">
        <v>915.1924604106098</v>
      </c>
      <c r="C32" s="59">
        <v>1029.0994604106097</v>
      </c>
      <c r="D32" s="39">
        <v>16.155360115514412</v>
      </c>
      <c r="E32" s="60">
        <v>3.629043013041379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7.86943944037508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9.843824045447127</v>
      </c>
      <c r="C37" s="39">
        <v>10.533902405629373</v>
      </c>
      <c r="D37" s="39">
        <v>11.312623834764896</v>
      </c>
      <c r="E37" s="39">
        <v>12.197745341641633</v>
      </c>
      <c r="F37" s="39">
        <v>13.212097701001293</v>
      </c>
    </row>
    <row r="38">
      <c r="A38" s="62" t="n">
        <v>0.115</v>
      </c>
      <c r="B38" s="39">
        <v>8.260987522500704</v>
      </c>
      <c r="C38" s="39">
        <v>8.786648605386493</v>
      </c>
      <c r="D38" s="39">
        <v>9.37271454719907</v>
      </c>
      <c r="E38" s="39">
        <v>10.029868465484947</v>
      </c>
      <c r="F38" s="39">
        <v>10.771464530835352</v>
      </c>
    </row>
    <row r="39">
      <c r="A39" s="62" t="n">
        <v>0.125</v>
      </c>
      <c r="B39" s="39">
        <v>7.00913992980561</v>
      </c>
      <c r="C39" s="39">
        <v>7.417997787506642</v>
      </c>
      <c r="D39" s="39">
        <v>7.86943944037508</v>
      </c>
      <c r="E39" s="39">
        <v>8.37020827981607</v>
      </c>
      <c r="F39" s="39">
        <v>8.928546456017552</v>
      </c>
    </row>
    <row r="40">
      <c r="A40" s="62" t="n">
        <v>0.135</v>
      </c>
      <c r="B40" s="39">
        <v>6.002456721181596</v>
      </c>
      <c r="C40" s="39">
        <v>6.32593099624559</v>
      </c>
      <c r="D40" s="39">
        <v>6.680271238590682</v>
      </c>
      <c r="E40" s="39">
        <v>7.069903520879507</v>
      </c>
      <c r="F40" s="39">
        <v>7.500139321706864</v>
      </c>
    </row>
    <row r="41">
      <c r="A41" s="62" t="n">
        <v>0.145</v>
      </c>
      <c r="B41" s="39">
        <v>5.181777683897171</v>
      </c>
      <c r="C41" s="39">
        <v>5.441346169814349</v>
      </c>
      <c r="D41" s="39">
        <v>5.723811197177136</v>
      </c>
      <c r="E41" s="39">
        <v>6.032173530917017</v>
      </c>
      <c r="F41" s="39">
        <v>6.369979692465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MacroGenics Inc: free-cash-flow DCF ($mm)</t>
        </is>
      </c>
    </row>
    <row r="3">
      <c r="A3" s="20" t="inlineStr">
        <is>
          <t>Fiscal year</t>
        </is>
      </c>
      <c r="B3" s="43">
        <f>'Yearly Model'!P1</f>
        <v>2025</v>
      </c>
      <c r="C3" s="43">
        <f>'Yearly Model'!Q1</f>
        <v>2026</v>
      </c>
      <c r="D3" s="43">
        <f>'Yearly Model'!R1</f>
        <v>2027</v>
      </c>
      <c r="E3" s="43">
        <f>'Yearly Model'!S1</f>
        <v>2028</v>
      </c>
      <c r="F3" s="43">
        <f>'Yearly Model'!T1</f>
        <v>2029</v>
      </c>
      <c r="G3" s="43">
        <f>'Yearly Model'!U1</f>
        <v>2030</v>
      </c>
      <c r="H3" s="43">
        <f>'Yearly Model'!V1</f>
        <v>2031</v>
      </c>
      <c r="I3" s="43">
        <f>'Yearly Model'!W1</f>
        <v>2032</v>
      </c>
      <c r="J3" s="43">
        <f>'Yearly Model'!X1</f>
        <v>2033</v>
      </c>
      <c r="K3" s="43">
        <f>'Yearly Model'!Y1</f>
        <v>2034</v>
      </c>
      <c r="L3" s="43">
        <f>'Yearly Model'!Z1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-0.4872307692307693</v>
      </c>
      <c r="C6" s="63">
        <f>Assumptions!$B$18+(Assumptions!$E$13-Assumptions!$B$18)*C4/Assumptions!$B$21</f>
        <v>-0.17557</v>
      </c>
      <c r="D6" s="63">
        <f>Assumptions!$B$18+(Assumptions!$E$13-Assumptions!$B$18)*D4/Assumptions!$B$21</f>
        <v>-0.13384</v>
      </c>
      <c r="E6" s="63">
        <f>Assumptions!$B$18+(Assumptions!$E$13-Assumptions!$B$18)*E4/Assumptions!$B$21</f>
        <v>-0.09211</v>
      </c>
      <c r="F6" s="63">
        <f>Assumptions!$B$18+(Assumptions!$E$13-Assumptions!$B$18)*F4/Assumptions!$B$21</f>
        <v>-0.05037999999999998</v>
      </c>
      <c r="G6" s="63">
        <f>Assumptions!$B$18+(Assumptions!$E$13-Assumptions!$B$18)*G4/Assumptions!$B$21</f>
        <v>-0.008649999999999991</v>
      </c>
      <c r="H6" s="63">
        <f>Assumptions!$B$18+(Assumptions!$E$13-Assumptions!$B$18)*H4/Assumptions!$B$21</f>
        <v>0.03308</v>
      </c>
      <c r="I6" s="63">
        <f>Assumptions!$B$18+(Assumptions!$E$13-Assumptions!$B$18)*I4/Assumptions!$B$21</f>
        <v>0.07480999999999999</v>
      </c>
      <c r="J6" s="63">
        <f>Assumptions!$B$18+(Assumptions!$E$13-Assumptions!$B$18)*J4/Assumptions!$B$21</f>
        <v>0.11654000000000003</v>
      </c>
      <c r="K6" s="63">
        <f>Assumptions!$B$18+(Assumptions!$E$13-Assumptions!$B$18)*K4/Assumptions!$B$21</f>
        <v>0.15827000000000002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Model'!P2</f>
        <v>149.5</v>
      </c>
      <c r="C7" s="55">
        <f>'Yearly Model'!Q2</f>
        <v>201.82500000000002</v>
      </c>
      <c r="D7" s="55">
        <f>'Yearly Model'!R2</f>
        <v>265.175625</v>
      </c>
      <c r="E7" s="55">
        <f>'Yearly Model'!S2</f>
        <v>338.83552083333336</v>
      </c>
      <c r="F7" s="55">
        <f>'Yearly Model'!T2</f>
        <v>420.7207717013889</v>
      </c>
      <c r="G7" s="55">
        <f>'Yearly Model'!U2</f>
        <v>507.20226366222994</v>
      </c>
      <c r="H7" s="55">
        <f>'Yearly Model'!V2</f>
        <v>593.1448694494411</v>
      </c>
      <c r="I7" s="55">
        <f>'Yearly Model'!W2</f>
        <v>672.2308520426999</v>
      </c>
      <c r="J7" s="55">
        <f>'Yearly Model'!X2</f>
        <v>737.5866293246291</v>
      </c>
      <c r="K7" s="55">
        <f>'Yearly Model'!Y2</f>
        <v>782.6613677833565</v>
      </c>
      <c r="L7" s="55">
        <f>'Yearly Model'!Z2</f>
        <v>802.2279019779403</v>
      </c>
    </row>
    <row r="8">
      <c r="A8" s="14" t="inlineStr">
        <is>
          <t>Operating income</t>
        </is>
      </c>
      <c r="B8" s="55">
        <f>'Yearly Model'!P8</f>
        <v>-72.84100000000001</v>
      </c>
      <c r="C8" s="55">
        <f>'Yearly Model'!Q8</f>
        <v>-35.43441525</v>
      </c>
      <c r="D8" s="55">
        <f>'Yearly Model'!R8</f>
        <v>-35.49110565000001</v>
      </c>
      <c r="E8" s="55">
        <f>'Yearly Model'!S8</f>
        <v>-31.210139823958343</v>
      </c>
      <c r="F8" s="55">
        <f>'Yearly Model'!T8</f>
        <v>-21.19591247831596</v>
      </c>
      <c r="G8" s="55">
        <f>'Yearly Model'!U8</f>
        <v>-4.387299580678302</v>
      </c>
      <c r="H8" s="55">
        <f>'Yearly Model'!V8</f>
        <v>19.621232281387506</v>
      </c>
      <c r="I8" s="55">
        <f>'Yearly Model'!W8</f>
        <v>50.28959004131434</v>
      </c>
      <c r="J8" s="55">
        <f>'Yearly Model'!X8</f>
        <v>85.95834578149231</v>
      </c>
      <c r="K8" s="55">
        <f>'Yearly Model'!Y8</f>
        <v>123.8718146790718</v>
      </c>
      <c r="L8" s="55">
        <f>'Yearly Model'!Z8</f>
        <v>160.44558039558808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3.3356094878358764</v>
      </c>
      <c r="I9" s="52">
        <f>MAX(0,I8)*Assumptions!$E$14</f>
        <v>8.54923030702344</v>
      </c>
      <c r="J9" s="52">
        <f>MAX(0,J8)*Assumptions!$E$14</f>
        <v>14.612918782853694</v>
      </c>
      <c r="K9" s="52">
        <f>MAX(0,K8)*Assumptions!$E$14</f>
        <v>21.05820849544221</v>
      </c>
      <c r="L9" s="52">
        <f>MAX(0,L8)*Assumptions!$E$14</f>
        <v>27.275748667249974</v>
      </c>
    </row>
    <row r="10">
      <c r="A10" s="14" t="inlineStr">
        <is>
          <t>NOPAT</t>
        </is>
      </c>
      <c r="C10" s="52">
        <f>C8-C9</f>
        <v>-35.43441525</v>
      </c>
      <c r="D10" s="52">
        <f>D8-D9</f>
        <v>-35.49110565000001</v>
      </c>
      <c r="E10" s="52">
        <f>E8-E9</f>
        <v>-31.210139823958343</v>
      </c>
      <c r="F10" s="52">
        <f>F8-F9</f>
        <v>-21.19591247831596</v>
      </c>
      <c r="G10" s="52">
        <f>G8-G9</f>
        <v>-4.387299580678302</v>
      </c>
      <c r="H10" s="52">
        <f>H8-H9</f>
        <v>16.28562279355163</v>
      </c>
      <c r="I10" s="52">
        <f>I8-I9</f>
        <v>41.740359734290905</v>
      </c>
      <c r="J10" s="52">
        <f>J8-J9</f>
        <v>71.34542699863862</v>
      </c>
      <c r="K10" s="52">
        <f>K8-K9</f>
        <v>102.81360618362959</v>
      </c>
      <c r="L10" s="52">
        <f>L8-L9</f>
        <v>133.1698317283381</v>
      </c>
    </row>
    <row r="11">
      <c r="A11" s="14" t="inlineStr">
        <is>
          <t>Reinvestment</t>
        </is>
      </c>
      <c r="C11" s="52">
        <f>(C7-B7)*Assumptions!$E$15</f>
        <v>13.081250000000004</v>
      </c>
      <c r="D11" s="52">
        <f>(D7-C7)*Assumptions!$E$15</f>
        <v>15.837656250000002</v>
      </c>
      <c r="E11" s="52">
        <f>(E7-D7)*Assumptions!$E$15</f>
        <v>18.414973958333334</v>
      </c>
      <c r="F11" s="52">
        <f>(F7-E7)*Assumptions!$E$15</f>
        <v>20.471312717013888</v>
      </c>
      <c r="G11" s="52">
        <f>(G7-F7)*Assumptions!$E$15</f>
        <v>21.620372990210257</v>
      </c>
      <c r="H11" s="52">
        <f>(H7-G7)*Assumptions!$E$15</f>
        <v>21.48565144680279</v>
      </c>
      <c r="I11" s="52">
        <f>(I7-H7)*Assumptions!$E$15</f>
        <v>19.771495648314698</v>
      </c>
      <c r="J11" s="52">
        <f>(J7-I7)*Assumptions!$E$15</f>
        <v>16.338944320482312</v>
      </c>
      <c r="K11" s="52">
        <f>(K7-J7)*Assumptions!$E$15</f>
        <v>11.268684614681831</v>
      </c>
      <c r="L11" s="52">
        <f>(L7-K7)*Assumptions!$E$15</f>
        <v>4.891633548645956</v>
      </c>
    </row>
    <row r="12">
      <c r="A12" s="20" t="inlineStr">
        <is>
          <t>Free cash flow</t>
        </is>
      </c>
      <c r="C12" s="64">
        <f>C10-C11</f>
        <v>-48.515665250000005</v>
      </c>
      <c r="D12" s="64">
        <f>D10-D11</f>
        <v>-51.32876190000001</v>
      </c>
      <c r="E12" s="64">
        <f>E10-E11</f>
        <v>-49.62511378229168</v>
      </c>
      <c r="F12" s="64">
        <f>F10-F11</f>
        <v>-41.66722519532985</v>
      </c>
      <c r="G12" s="64">
        <f>G10-G11</f>
        <v>-26.00767257088856</v>
      </c>
      <c r="H12" s="64">
        <f>H10-H11</f>
        <v>-5.2000286532511595</v>
      </c>
      <c r="I12" s="64">
        <f>I10-I11</f>
        <v>21.968864085976207</v>
      </c>
      <c r="J12" s="64">
        <f>J10-J11</f>
        <v>55.0064826781563</v>
      </c>
      <c r="K12" s="64">
        <f>K10-K11</f>
        <v>91.54492156894776</v>
      </c>
      <c r="L12" s="64">
        <f>L10-L11</f>
        <v>128.27819817969214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-23.741365550420237</v>
      </c>
      <c r="D16" s="64">
        <f>D12*D13*D15</f>
        <v>-45.60353838997593</v>
      </c>
      <c r="E16" s="64">
        <f>E12*E13*E15</f>
        <v>-39.191036114071494</v>
      </c>
      <c r="F16" s="64">
        <f>F12*F13*F15</f>
        <v>-29.250095417723102</v>
      </c>
      <c r="G16" s="64">
        <f>G12*G13*G15</f>
        <v>-16.228623085255222</v>
      </c>
      <c r="H16" s="64">
        <f>H12*H13*H15</f>
        <v>-2.8842533061006774</v>
      </c>
      <c r="I16" s="64">
        <f>I12*I13*I15</f>
        <v>10.831353798899984</v>
      </c>
      <c r="J16" s="64">
        <f>J12*J13*J15</f>
        <v>24.10662948711831</v>
      </c>
      <c r="K16" s="64">
        <f>K12*K13*K15</f>
        <v>35.66188966573958</v>
      </c>
      <c r="L16" s="64">
        <f>L12*L13*L15</f>
        <v>44.41916841700381</v>
      </c>
    </row>
    <row r="19">
      <c r="A19" s="14" t="inlineStr">
        <is>
          <t>PV of forecast free cash flow</t>
        </is>
      </c>
      <c r="B19" s="52">
        <f>SUM(C16:L16)</f>
        <v>-41.87987049478496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131.4851531341844</v>
      </c>
    </row>
    <row r="21">
      <c r="A21" s="14" t="inlineStr">
        <is>
          <t>Terminal value</t>
        </is>
      </c>
      <c r="B21" s="52">
        <f>B20/(Assumptions!$E$10-Assumptions!$E$11)</f>
        <v>1314.8515313418438</v>
      </c>
    </row>
    <row r="22">
      <c r="A22" s="14" t="inlineStr">
        <is>
          <t>PV of terminal value</t>
        </is>
      </c>
      <c r="B22" s="52">
        <f>B21/(1+Assumptions!$E$10)^(L14+0.5)</f>
        <v>429.2576344318529</v>
      </c>
    </row>
    <row r="23">
      <c r="A23" s="20" t="inlineStr">
        <is>
          <t>Enterprise value</t>
        </is>
      </c>
      <c r="B23" s="66">
        <f>B19+B22</f>
        <v>387.377763937068</v>
      </c>
    </row>
    <row r="24">
      <c r="A24" s="14" t="inlineStr">
        <is>
          <t>Cash &amp; investments</t>
        </is>
      </c>
      <c r="B24" s="55">
        <f>Main!C7</f>
        <v>113.907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501.28476393706796</v>
      </c>
    </row>
    <row r="27">
      <c r="A27" s="14" t="inlineStr">
        <is>
          <t>Shares (mm)</t>
        </is>
      </c>
      <c r="B27" s="55">
        <f>Main!C4</f>
        <v>63.700187</v>
      </c>
    </row>
    <row r="28">
      <c r="A28" s="20" t="inlineStr">
        <is>
          <t>NPV / share</t>
        </is>
      </c>
      <c r="B28" s="49">
        <f>B26/B27</f>
        <v>7.86943944037508</v>
      </c>
    </row>
    <row r="29">
      <c r="A29" s="14" t="inlineStr">
        <is>
          <t>Price</t>
        </is>
      </c>
      <c r="B29" s="50">
        <f>Main!C3</f>
        <v>3.49</v>
      </c>
    </row>
    <row r="30">
      <c r="A30" s="14" t="inlineStr">
        <is>
          <t>Upside</t>
        </is>
      </c>
      <c r="B30" s="63">
        <f>B28/B29-1</f>
        <v>1.2548537078438624</v>
      </c>
    </row>
    <row r="31">
      <c r="A31" s="14" t="inlineStr">
        <is>
          <t>Terminal value, % of EV</t>
        </is>
      </c>
      <c r="B31" s="63">
        <f>IFERROR(B22/B23,0)</f>
        <v>1.1081111885957105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2026-10-21T06:26:48Z</dcterms:modified>
  <cp:lastModifiedBy>Wang, Eric</cp:lastModifiedBy>
</cp:coreProperties>
</file>