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Lisata Therapeutics, Inc.</t>
        </is>
      </c>
      <c r="C2" s="10" t="n"/>
    </row>
    <row r="3">
      <c r="B3" t="inlineStr">
        <is>
          <t>Price</t>
        </is>
      </c>
      <c r="C3" s="11">
        <f>INDEX([1]Pharma!$F$1:$F$1000,MATCH("LSTA",[1]Pharma!$B$1:$B$1000,0))</f>
        <v>1.04</v>
      </c>
      <c r="F3" s="1" t="n"/>
    </row>
    <row r="4">
      <c r="B4" t="inlineStr">
        <is>
          <t>Shares</t>
        </is>
      </c>
      <c r="C4" s="21" t="n">
        <v>9.010937</v>
      </c>
      <c r="F4" s="1" t="n"/>
    </row>
    <row r="5">
      <c r="B5" t="inlineStr">
        <is>
          <t>Market Cap.</t>
        </is>
      </c>
      <c r="C5" s="13">
        <f>C3*C4</f>
        <v>9.37137448</v>
      </c>
      <c r="F5" s="1" t="n"/>
    </row>
    <row r="6"/>
    <row r="7">
      <c r="B7" t="inlineStr">
        <is>
          <t>Cash</t>
        </is>
      </c>
      <c r="C7" s="21" t="n">
        <v>10.443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-1.0716255199999996</v>
      </c>
    </row>
    <row r="10"/>
    <row r="11">
      <c r="B11" s="14" t="inlineStr">
        <is>
          <t>Net Cash / Share</t>
        </is>
      </c>
      <c r="C11" s="11">
        <f>(C7-C8)/C4</f>
        <v>1.1589249819413896</v>
      </c>
    </row>
    <row r="12">
      <c r="B12" s="14" t="inlineStr">
        <is>
          <t>Upside</t>
        </is>
      </c>
      <c r="C12" s="15">
        <f>IFERROR(C11/C3-1,"")</f>
        <v>0.11435094417441305</v>
      </c>
    </row>
    <row r="13">
      <c r="B13" s="14" t="inlineStr">
        <is>
          <t>Cash / Share</t>
        </is>
      </c>
      <c r="C13" s="11">
        <f>IFERROR((C7-C8)/C4,"")</f>
        <v>1.1589249819413896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-12.323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0.8474397468148989</v>
      </c>
    </row>
    <row r="19">
      <c r="B19" s="14" t="inlineStr">
        <is>
          <t>Implied Pipeline Value</t>
        </is>
      </c>
      <c r="C19" s="13">
        <f>C9</f>
        <v>-1.0716255199999996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0.181</v>
      </c>
      <c r="C2" s="23" t="n">
        <v>10.05</v>
      </c>
      <c r="D2" s="23" t="n">
        <v>14.33</v>
      </c>
      <c r="E2" s="23" t="n">
        <v>14.668</v>
      </c>
      <c r="F2" s="23" t="n">
        <v>17.939</v>
      </c>
      <c r="G2" s="23" t="n">
        <v>22.488</v>
      </c>
      <c r="H2" s="23" t="n">
        <v>35.284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1</v>
      </c>
      <c r="Q2" s="23" t="n">
        <v>0.17</v>
      </c>
    </row>
    <row r="3" customFormat="1" s="1">
      <c r="A3" s="5" t="inlineStr">
        <is>
          <t>Cost of Sales</t>
        </is>
      </c>
      <c r="B3" s="23" t="n">
        <v>0</v>
      </c>
      <c r="C3" s="23" t="n">
        <v>8.647</v>
      </c>
      <c r="D3" s="23" t="n">
        <v>11.949</v>
      </c>
      <c r="E3" s="23" t="n">
        <v>12.947</v>
      </c>
      <c r="F3" s="23" t="n">
        <v>15.678</v>
      </c>
      <c r="G3" s="23" t="n">
        <v>20.159</v>
      </c>
      <c r="H3" s="23" t="n">
        <v>31.136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0.181</v>
      </c>
      <c r="C4" s="23">
        <f>C2-C3</f>
        <v>1.4030000000000005</v>
      </c>
      <c r="D4" s="23">
        <f>D2-D3</f>
        <v>2.3810000000000002</v>
      </c>
      <c r="E4" s="23">
        <f>E2-E3</f>
        <v>1.721</v>
      </c>
      <c r="F4" s="23">
        <f>F2-F3</f>
        <v>2.2609999999999992</v>
      </c>
      <c r="G4" s="23">
        <f>G2-G3</f>
        <v>2.3290000000000006</v>
      </c>
      <c r="H4" s="23">
        <f>H2-H3</f>
        <v>4.148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1.0</v>
      </c>
      <c r="Q4" s="23">
        <f>Q2-Q3</f>
        <v>0.17</v>
      </c>
    </row>
    <row r="5">
      <c r="A5" s="2" t="inlineStr">
        <is>
          <t>Research &amp; Dev.</t>
        </is>
      </c>
      <c r="B5" s="23" t="n">
        <v>6.008</v>
      </c>
      <c r="C5" s="23" t="n">
        <v>7.721</v>
      </c>
      <c r="D5" s="23" t="n">
        <v>10.451</v>
      </c>
      <c r="E5" s="23" t="n">
        <v>16.917</v>
      </c>
      <c r="F5" s="23" t="n">
        <v>29.194</v>
      </c>
      <c r="G5" s="23" t="n">
        <v>23.899</v>
      </c>
      <c r="H5" s="23" t="n">
        <v>16.699</v>
      </c>
      <c r="I5" s="23" t="n">
        <v>15.843</v>
      </c>
      <c r="J5" s="23" t="n">
        <v>7.594</v>
      </c>
      <c r="K5" s="23" t="n">
        <v>10.797</v>
      </c>
      <c r="L5" s="23" t="n">
        <v>9.253</v>
      </c>
      <c r="M5" s="23" t="n">
        <v>17.68</v>
      </c>
      <c r="N5" s="23" t="n">
        <v>13.067</v>
      </c>
      <c r="O5" s="23" t="n">
        <v>12.734</v>
      </c>
      <c r="P5" s="23" t="n">
        <v>11.334</v>
      </c>
      <c r="Q5" s="23" t="n">
        <v>7.949</v>
      </c>
    </row>
    <row r="6">
      <c r="A6" s="19" t="inlineStr">
        <is>
          <t>SG&amp;A &amp; Other</t>
        </is>
      </c>
      <c r="B6" s="23" t="n">
        <v>20.026</v>
      </c>
      <c r="C6" s="23" t="n">
        <v>27.687</v>
      </c>
      <c r="D6" s="23" t="n">
        <v>22.315</v>
      </c>
      <c r="E6" s="23" t="n">
        <v>21.613</v>
      </c>
      <c r="F6" s="23" t="n">
        <v>30.807</v>
      </c>
      <c r="G6" s="23" t="n">
        <v>92.279</v>
      </c>
      <c r="H6" s="23" t="n">
        <v>16.95</v>
      </c>
      <c r="I6" s="23" t="n">
        <v>11.75</v>
      </c>
      <c r="J6" s="23" t="n">
        <v>9.393000000000001</v>
      </c>
      <c r="K6" s="23" t="n">
        <v>9.295</v>
      </c>
      <c r="L6" s="23" t="n">
        <v>9.891999999999999</v>
      </c>
      <c r="M6" s="23" t="n">
        <v>11.37</v>
      </c>
      <c r="N6" s="23" t="n">
        <v>44.534</v>
      </c>
      <c r="O6" s="23" t="n">
        <v>12.974</v>
      </c>
      <c r="P6" s="23" t="n">
        <v>12.075</v>
      </c>
      <c r="Q6" s="23" t="n">
        <v>10.43</v>
      </c>
    </row>
    <row r="7">
      <c r="A7" s="2" t="inlineStr">
        <is>
          <t>Operating Expense</t>
        </is>
      </c>
      <c r="B7" s="23">
        <f>SUM(B5:B6)</f>
        <v>26.034</v>
      </c>
      <c r="C7" s="23">
        <f>SUM(C5:C6)</f>
        <v>35.408</v>
      </c>
      <c r="D7" s="23">
        <f>SUM(D5:D6)</f>
        <v>32.766000000000005</v>
      </c>
      <c r="E7" s="23">
        <f>SUM(E5:E6)</f>
        <v>38.53</v>
      </c>
      <c r="F7" s="23">
        <f>SUM(F5:F6)</f>
        <v>60.001</v>
      </c>
      <c r="G7" s="23">
        <f>SUM(G5:G6)</f>
        <v>116.178</v>
      </c>
      <c r="H7" s="23">
        <f>SUM(H5:H6)</f>
        <v>33.649</v>
      </c>
      <c r="I7" s="23">
        <f>SUM(I5:I6)</f>
        <v>27.593</v>
      </c>
      <c r="J7" s="23">
        <f>SUM(J5:J6)</f>
        <v>16.987000000000002</v>
      </c>
      <c r="K7" s="23">
        <f>SUM(K5:K6)</f>
        <v>20.092</v>
      </c>
      <c r="L7" s="23">
        <f>SUM(L5:L6)</f>
        <v>19.145</v>
      </c>
      <c r="M7" s="23">
        <f>SUM(M5:M6)</f>
        <v>29.049999999999997</v>
      </c>
      <c r="N7" s="23">
        <f>SUM(N5:N6)</f>
        <v>57.601</v>
      </c>
      <c r="O7" s="23">
        <f>SUM(O5:O6)</f>
        <v>25.708</v>
      </c>
      <c r="P7" s="23">
        <f>SUM(P5:P6)</f>
        <v>23.409</v>
      </c>
      <c r="Q7" s="23">
        <f>SUM(Q5:Q6)</f>
        <v>18.378999999999998</v>
      </c>
    </row>
    <row r="8">
      <c r="A8" s="2" t="inlineStr">
        <is>
          <t>Operating Income</t>
        </is>
      </c>
      <c r="B8" s="23">
        <f>B4-B7</f>
        <v>-25.852999999999998</v>
      </c>
      <c r="C8" s="23">
        <f>C4-C7</f>
        <v>-34.005</v>
      </c>
      <c r="D8" s="23">
        <f>D4-D7</f>
        <v>-30.385000000000005</v>
      </c>
      <c r="E8" s="23">
        <f>E4-E7</f>
        <v>-36.809</v>
      </c>
      <c r="F8" s="23">
        <f>F4-F7</f>
        <v>-57.739999999999995</v>
      </c>
      <c r="G8" s="23">
        <f>G4-G7</f>
        <v>-113.84899999999999</v>
      </c>
      <c r="H8" s="23">
        <f>H4-H7</f>
        <v>-29.501</v>
      </c>
      <c r="I8" s="23">
        <f>I4-I7</f>
        <v>-27.593</v>
      </c>
      <c r="J8" s="23">
        <f>J4-J7</f>
        <v>-16.987000000000002</v>
      </c>
      <c r="K8" s="23">
        <f>K4-K7</f>
        <v>-20.092</v>
      </c>
      <c r="L8" s="23">
        <f>L4-L7</f>
        <v>-19.145</v>
      </c>
      <c r="M8" s="23">
        <f>M4-M7</f>
        <v>-29.049999999999997</v>
      </c>
      <c r="N8" s="23">
        <f>N4-N7</f>
        <v>-57.601</v>
      </c>
      <c r="O8" s="23">
        <f>O4-O7</f>
        <v>-25.708</v>
      </c>
      <c r="P8" s="23">
        <f>P4-P7</f>
        <v>-22.409</v>
      </c>
      <c r="Q8" s="23">
        <f>Q4-Q7</f>
        <v>-18.208999999999996</v>
      </c>
    </row>
    <row r="9">
      <c r="A9" s="19" t="inlineStr">
        <is>
          <t>Interest &amp; Other</t>
        </is>
      </c>
      <c r="B9" s="23" t="n">
        <v>2.548</v>
      </c>
      <c r="C9" s="23" t="n">
        <v>-13.13</v>
      </c>
      <c r="D9" s="23" t="n">
        <v>-23.559</v>
      </c>
      <c r="E9" s="23" t="n">
        <v>-1.392</v>
      </c>
      <c r="F9" s="23" t="n">
        <v>2.764</v>
      </c>
      <c r="G9" s="23" t="n">
        <v>15.72</v>
      </c>
      <c r="H9" s="23" t="n">
        <v>-3.154</v>
      </c>
      <c r="I9" s="23" t="n">
        <v>39.045</v>
      </c>
      <c r="J9" s="23" t="n">
        <v>0.82</v>
      </c>
      <c r="K9" s="23" t="n">
        <v>0.731</v>
      </c>
      <c r="L9" s="23" t="n">
        <v>0.123</v>
      </c>
      <c r="M9" s="23" t="n">
        <v>0.076</v>
      </c>
      <c r="N9" s="23" t="n">
        <v>0.897</v>
      </c>
      <c r="O9" s="23" t="n">
        <v>2.378</v>
      </c>
      <c r="P9" s="23" t="n">
        <v>1.611</v>
      </c>
      <c r="Q9" s="23" t="n">
        <v>0.247</v>
      </c>
    </row>
    <row r="10">
      <c r="A10" s="2" t="inlineStr">
        <is>
          <t>Pretax</t>
        </is>
      </c>
      <c r="B10" s="23">
        <f>B8+B9</f>
        <v>-23.305</v>
      </c>
      <c r="C10" s="23">
        <f>C8+C9</f>
        <v>-47.135000000000005</v>
      </c>
      <c r="D10" s="23">
        <f>D8+D9</f>
        <v>-53.944</v>
      </c>
      <c r="E10" s="23">
        <f>E8+E9</f>
        <v>-38.201</v>
      </c>
      <c r="F10" s="23">
        <f>F8+F9</f>
        <v>-54.97599999999999</v>
      </c>
      <c r="G10" s="23">
        <f>G8+G9</f>
        <v>-98.12899999999999</v>
      </c>
      <c r="H10" s="23">
        <f>H8+H9</f>
        <v>-32.655</v>
      </c>
      <c r="I10" s="23">
        <f>I8+I9</f>
        <v>11.452000000000002</v>
      </c>
      <c r="J10" s="23">
        <f>J8+J9</f>
        <v>-16.167</v>
      </c>
      <c r="K10" s="23">
        <f>K8+K9</f>
        <v>-19.360999999999997</v>
      </c>
      <c r="L10" s="23">
        <f>L8+L9</f>
        <v>-19.022</v>
      </c>
      <c r="M10" s="23">
        <f>M8+M9</f>
        <v>-28.973999999999997</v>
      </c>
      <c r="N10" s="23">
        <f>N8+N9</f>
        <v>-56.704</v>
      </c>
      <c r="O10" s="23">
        <f>O8+O9</f>
        <v>-23.33</v>
      </c>
      <c r="P10" s="23">
        <f>P8+P9</f>
        <v>-20.798</v>
      </c>
      <c r="Q10" s="23">
        <f>Q8+Q9</f>
        <v>-17.961999999999996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-0.176</v>
      </c>
      <c r="E11" s="23" t="n">
        <v>0.78</v>
      </c>
      <c r="F11" s="23" t="n">
        <v>-0.104</v>
      </c>
      <c r="G11" s="23" t="n">
        <v>-17.244</v>
      </c>
      <c r="H11" s="23" t="n">
        <v>0</v>
      </c>
      <c r="I11" s="23" t="n">
        <v>-11.527</v>
      </c>
      <c r="J11" s="23" t="n">
        <v>0</v>
      </c>
      <c r="K11" s="23" t="n">
        <v>0</v>
      </c>
      <c r="L11" s="23" t="n">
        <v>-10.872</v>
      </c>
      <c r="M11" s="23" t="n">
        <v>-1.508</v>
      </c>
      <c r="N11" s="23" t="n">
        <v>-2.479</v>
      </c>
      <c r="O11" s="23" t="n">
        <v>-2.33</v>
      </c>
      <c r="P11" s="23" t="n">
        <v>-0.798</v>
      </c>
      <c r="Q11" s="23" t="n">
        <v>-0.962</v>
      </c>
    </row>
    <row r="12">
      <c r="A12" s="2" t="inlineStr">
        <is>
          <t>Net Income</t>
        </is>
      </c>
      <c r="B12" s="23" t="n">
        <v>-23.306</v>
      </c>
      <c r="C12" s="23" t="n">
        <v>-47.134</v>
      </c>
      <c r="D12" s="23" t="n">
        <v>-53.769</v>
      </c>
      <c r="E12" s="23" t="n">
        <v>-38.981</v>
      </c>
      <c r="F12" s="23" t="n">
        <v>-54.873</v>
      </c>
      <c r="G12" s="23" t="n">
        <v>-80.886</v>
      </c>
      <c r="H12" s="23" t="n">
        <v>-32.656</v>
      </c>
      <c r="I12" s="23" t="n">
        <v>22.979</v>
      </c>
      <c r="J12" s="23" t="n">
        <v>-16.167</v>
      </c>
      <c r="K12" s="23" t="n">
        <v>-19.361</v>
      </c>
      <c r="L12" s="23" t="n">
        <v>-8.15</v>
      </c>
      <c r="M12" s="23" t="n">
        <v>-27.466</v>
      </c>
      <c r="N12" s="23" t="n">
        <v>-54.225</v>
      </c>
      <c r="O12" s="23" t="n">
        <v>-21</v>
      </c>
      <c r="P12" s="23" t="n">
        <v>-20</v>
      </c>
      <c r="Q12" s="23" t="n">
        <v>-17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-4.987171655467318</v>
      </c>
      <c r="I13" s="11">
        <f>IFERROR(I12/I14,0)</f>
        <v>2.5620470509532836</v>
      </c>
      <c r="J13" s="11">
        <f>IFERROR(J12/J14,0)</f>
        <v>-1.6685932500774074</v>
      </c>
      <c r="K13" s="11">
        <f>IFERROR(K12/K14,0)</f>
        <v>-1.8751573849878937</v>
      </c>
      <c r="L13" s="11">
        <f>IFERROR(L12/L14,0)</f>
        <v>-0.5278497409326425</v>
      </c>
      <c r="M13" s="11">
        <f>IFERROR(M12/M14,0)</f>
        <v>-7.447396963123644</v>
      </c>
      <c r="N13" s="11">
        <f>IFERROR(N12/N14,0)</f>
        <v>-10.46814671814672</v>
      </c>
      <c r="O13" s="11">
        <f>IFERROR(O12/O14,0)</f>
        <v>-2.601263470828688</v>
      </c>
      <c r="P13" s="11">
        <f>IFERROR(P12/P14,0)</f>
        <v>-2.4012486492976346</v>
      </c>
      <c r="Q13" s="11">
        <f>IFERROR(Q12/Q14,0)</f>
        <v>-1.9569471624266146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>
        <v>6.548</v>
      </c>
      <c r="I14" s="23" t="n">
        <v>8.968999999999999</v>
      </c>
      <c r="J14" s="23" t="n">
        <v>9.689</v>
      </c>
      <c r="K14" s="23" t="n">
        <v>10.325</v>
      </c>
      <c r="L14" s="23" t="n">
        <v>15.44</v>
      </c>
      <c r="M14" s="23" t="n">
        <v>3.688</v>
      </c>
      <c r="N14" s="23" t="n">
        <v>5.18</v>
      </c>
      <c r="O14" s="23" t="n">
        <v>8.073</v>
      </c>
      <c r="P14" s="23" t="n">
        <v>8.329000000000001</v>
      </c>
      <c r="Q14" s="23" t="n">
        <v>8.686999999999999</v>
      </c>
    </row>
    <row r="15"/>
    <row r="16" customFormat="1" s="4">
      <c r="A16" s="3" t="inlineStr">
        <is>
          <t>Revenue Change</t>
        </is>
      </c>
      <c r="C16" s="15">
        <f>IFERROR(C2/B2-1,"")</f>
        <v>54.524861878453045</v>
      </c>
      <c r="D16" s="15">
        <f>IFERROR(D2/C2-1,"")</f>
        <v>0.42587064676616904</v>
      </c>
      <c r="E16" s="15">
        <f>IFERROR(E2/D2-1,"")</f>
        <v>0.023586880669923094</v>
      </c>
      <c r="F16" s="15">
        <f>IFERROR(F2/E2-1,"")</f>
        <v>0.22300245432233434</v>
      </c>
      <c r="G16" s="15">
        <f>IFERROR(G2/F2-1,"")</f>
        <v>0.25358158202798364</v>
      </c>
      <c r="H16" s="15">
        <f>IFERROR(H2/G2-1,"")</f>
        <v>0.5690145855567414</v>
      </c>
      <c r="I16" s="15">
        <f>IFERROR(I2/H2-1,"")</f>
        <v>-1.0</v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>-0.83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0.13960199004975127</v>
      </c>
      <c r="D17" s="15">
        <f>IFERROR(D4/D2,"")</f>
        <v>0.1661549197487788</v>
      </c>
      <c r="E17" s="15">
        <f>IFERROR(E4/E2,"")</f>
        <v>0.11733024270520863</v>
      </c>
      <c r="F17" s="15">
        <f>IFERROR(F4/F2,"")</f>
        <v>0.12603824070461003</v>
      </c>
      <c r="G17" s="15">
        <f>IFERROR(G4/G2,"")</f>
        <v>0.10356634649590896</v>
      </c>
      <c r="H17" s="15">
        <f>IFERROR(H4/H2,"")</f>
        <v>0.11756036730529418</v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>1.0</v>
      </c>
      <c r="Q17" s="15">
        <f>IFERROR(Q4/Q2,"")</f>
        <v>1.0</v>
      </c>
    </row>
    <row r="18">
      <c r="A18" s="14" t="inlineStr">
        <is>
          <t>Operating Margin</t>
        </is>
      </c>
      <c r="B18" s="15">
        <f>IFERROR(B8/B2,"")</f>
        <v>-142.8342541436464</v>
      </c>
      <c r="C18" s="15">
        <f>IFERROR(C8/C2,"")</f>
        <v>-3.3835820895522386</v>
      </c>
      <c r="D18" s="15">
        <f>IFERROR(D8/D2,"")</f>
        <v>-2.1203768318213543</v>
      </c>
      <c r="E18" s="15">
        <f>IFERROR(E8/E2,"")</f>
        <v>-2.509476411235342</v>
      </c>
      <c r="F18" s="15">
        <f>IFERROR(F8/F2,"")</f>
        <v>-3.218685545459613</v>
      </c>
      <c r="G18" s="15">
        <f>IFERROR(G8/G2,"")</f>
        <v>-5.062655638562789</v>
      </c>
      <c r="H18" s="15">
        <f>IFERROR(H8/H2,"")</f>
        <v>-0.8361013490533954</v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>-22.409</v>
      </c>
      <c r="Q18" s="15">
        <f>IFERROR(Q8/Q2,"")</f>
        <v>-107.11176470588232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2026-10-21T01:06:38Z</dcterms:modified>
  <cp:lastModifiedBy>Wang, Eric</cp:lastModifiedBy>
</cp:coreProperties>
</file>