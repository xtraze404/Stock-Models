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Lisata Therapeutics, Inc.</t>
        </is>
      </c>
      <c r="C2" s="10" t="n"/>
    </row>
    <row r="3">
      <c r="B3" t="inlineStr">
        <is>
          <t>Price</t>
        </is>
      </c>
      <c r="C3" s="11">
        <f>INDEX([1]Pharma!$F$1:$F$1000,MATCH("LSTA",[1]Pharma!$B$1:$B$1000,0))</f>
        <v>1.04</v>
      </c>
      <c r="F3" s="1" t="n"/>
    </row>
    <row r="4">
      <c r="B4" t="inlineStr">
        <is>
          <t>Shares</t>
        </is>
      </c>
      <c r="C4" s="21" t="n">
        <v>9.010937</v>
      </c>
      <c r="F4" s="1" t="n"/>
    </row>
    <row r="5">
      <c r="B5" t="inlineStr">
        <is>
          <t>Market Cap.</t>
        </is>
      </c>
      <c r="C5" s="13">
        <f>C3*C4</f>
        <v>9.37137448</v>
      </c>
      <c r="F5" s="1" t="n"/>
    </row>
    <row r="6"/>
    <row r="7">
      <c r="B7" t="inlineStr">
        <is>
          <t>Cash</t>
        </is>
      </c>
      <c r="C7" s="21" t="n">
        <v>10.443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-1.0716255199999996</v>
      </c>
    </row>
    <row r="10"/>
    <row r="11">
      <c r="B11" s="14" t="inlineStr">
        <is>
          <t>rNPV / Share</t>
        </is>
      </c>
      <c r="C11" s="11">
        <f>NPV!B27</f>
        <v>11.935745695692495</v>
      </c>
    </row>
    <row r="12">
      <c r="B12" s="14" t="inlineStr">
        <is>
          <t>Upside</t>
        </is>
      </c>
      <c r="C12" s="15">
        <f>IFERROR(C11/C3-1,"")</f>
        <v>10.476678553550475</v>
      </c>
    </row>
    <row r="13">
      <c r="B13" s="14" t="inlineStr">
        <is>
          <t>Cash / Share</t>
        </is>
      </c>
      <c r="C13" s="11">
        <f>IFERROR((C7-C8)/C4,"")</f>
        <v>1.1589249819413896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-12.323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0.8474397468148989</v>
      </c>
    </row>
    <row r="19">
      <c r="B19" s="14" t="inlineStr">
        <is>
          <t>Implied Pipeline Value</t>
        </is>
      </c>
      <c r="C19" s="13">
        <f>C9</f>
        <v>-1.0716255199999996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0.181</v>
      </c>
      <c r="C2" s="23" t="n">
        <v>10.05</v>
      </c>
      <c r="D2" s="23" t="n">
        <v>14.33</v>
      </c>
      <c r="E2" s="23" t="n">
        <v>14.668</v>
      </c>
      <c r="F2" s="23" t="n">
        <v>17.939</v>
      </c>
      <c r="G2" s="23" t="n">
        <v>22.488</v>
      </c>
      <c r="H2" s="23" t="n">
        <v>35.284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1</v>
      </c>
      <c r="Q2" s="23" t="n">
        <v>0.17</v>
      </c>
    </row>
    <row r="3" customFormat="1" s="1">
      <c r="A3" s="5" t="inlineStr">
        <is>
          <t>Cost of Sales</t>
        </is>
      </c>
      <c r="B3" s="23" t="n">
        <v>0</v>
      </c>
      <c r="C3" s="23" t="n">
        <v>8.647</v>
      </c>
      <c r="D3" s="23" t="n">
        <v>11.949</v>
      </c>
      <c r="E3" s="23" t="n">
        <v>12.947</v>
      </c>
      <c r="F3" s="23" t="n">
        <v>15.678</v>
      </c>
      <c r="G3" s="23" t="n">
        <v>20.159</v>
      </c>
      <c r="H3" s="23" t="n">
        <v>31.136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0.181</v>
      </c>
      <c r="C4" s="23">
        <f>C2-C3</f>
        <v>1.4030000000000005</v>
      </c>
      <c r="D4" s="23">
        <f>D2-D3</f>
        <v>2.3810000000000002</v>
      </c>
      <c r="E4" s="23">
        <f>E2-E3</f>
        <v>1.721</v>
      </c>
      <c r="F4" s="23">
        <f>F2-F3</f>
        <v>2.2609999999999992</v>
      </c>
      <c r="G4" s="23">
        <f>G2-G3</f>
        <v>2.3290000000000006</v>
      </c>
      <c r="H4" s="23">
        <f>H2-H3</f>
        <v>4.148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1.0</v>
      </c>
      <c r="Q4" s="23">
        <f>Q2-Q3</f>
        <v>0.17</v>
      </c>
    </row>
    <row r="5">
      <c r="A5" s="2" t="inlineStr">
        <is>
          <t>Research &amp; Dev.</t>
        </is>
      </c>
      <c r="B5" s="23" t="n">
        <v>6.008</v>
      </c>
      <c r="C5" s="23" t="n">
        <v>7.721</v>
      </c>
      <c r="D5" s="23" t="n">
        <v>10.451</v>
      </c>
      <c r="E5" s="23" t="n">
        <v>16.917</v>
      </c>
      <c r="F5" s="23" t="n">
        <v>29.194</v>
      </c>
      <c r="G5" s="23" t="n">
        <v>23.899</v>
      </c>
      <c r="H5" s="23" t="n">
        <v>16.699</v>
      </c>
      <c r="I5" s="23" t="n">
        <v>15.843</v>
      </c>
      <c r="J5" s="23" t="n">
        <v>7.594</v>
      </c>
      <c r="K5" s="23" t="n">
        <v>10.797</v>
      </c>
      <c r="L5" s="23" t="n">
        <v>9.253</v>
      </c>
      <c r="M5" s="23" t="n">
        <v>17.68</v>
      </c>
      <c r="N5" s="23" t="n">
        <v>13.067</v>
      </c>
      <c r="O5" s="23" t="n">
        <v>12.734</v>
      </c>
      <c r="P5" s="23" t="n">
        <v>11.334</v>
      </c>
      <c r="Q5" s="23" t="n">
        <v>7.949</v>
      </c>
    </row>
    <row r="6">
      <c r="A6" s="19" t="inlineStr">
        <is>
          <t>SG&amp;A &amp; Other</t>
        </is>
      </c>
      <c r="B6" s="23" t="n">
        <v>20.026</v>
      </c>
      <c r="C6" s="23" t="n">
        <v>27.687</v>
      </c>
      <c r="D6" s="23" t="n">
        <v>22.315</v>
      </c>
      <c r="E6" s="23" t="n">
        <v>21.613</v>
      </c>
      <c r="F6" s="23" t="n">
        <v>30.807</v>
      </c>
      <c r="G6" s="23" t="n">
        <v>92.279</v>
      </c>
      <c r="H6" s="23" t="n">
        <v>16.95</v>
      </c>
      <c r="I6" s="23" t="n">
        <v>11.75</v>
      </c>
      <c r="J6" s="23" t="n">
        <v>9.393000000000001</v>
      </c>
      <c r="K6" s="23" t="n">
        <v>9.295</v>
      </c>
      <c r="L6" s="23" t="n">
        <v>9.891999999999999</v>
      </c>
      <c r="M6" s="23" t="n">
        <v>11.37</v>
      </c>
      <c r="N6" s="23" t="n">
        <v>44.534</v>
      </c>
      <c r="O6" s="23" t="n">
        <v>12.974</v>
      </c>
      <c r="P6" s="23" t="n">
        <v>12.075</v>
      </c>
      <c r="Q6" s="23" t="n">
        <v>10.43</v>
      </c>
    </row>
    <row r="7">
      <c r="A7" s="2" t="inlineStr">
        <is>
          <t>Operating Expense</t>
        </is>
      </c>
      <c r="B7" s="23">
        <f>SUM(B5:B6)</f>
        <v>26.034</v>
      </c>
      <c r="C7" s="23">
        <f>SUM(C5:C6)</f>
        <v>35.408</v>
      </c>
      <c r="D7" s="23">
        <f>SUM(D5:D6)</f>
        <v>32.766000000000005</v>
      </c>
      <c r="E7" s="23">
        <f>SUM(E5:E6)</f>
        <v>38.53</v>
      </c>
      <c r="F7" s="23">
        <f>SUM(F5:F6)</f>
        <v>60.001</v>
      </c>
      <c r="G7" s="23">
        <f>SUM(G5:G6)</f>
        <v>116.178</v>
      </c>
      <c r="H7" s="23">
        <f>SUM(H5:H6)</f>
        <v>33.649</v>
      </c>
      <c r="I7" s="23">
        <f>SUM(I5:I6)</f>
        <v>27.593</v>
      </c>
      <c r="J7" s="23">
        <f>SUM(J5:J6)</f>
        <v>16.987000000000002</v>
      </c>
      <c r="K7" s="23">
        <f>SUM(K5:K6)</f>
        <v>20.092</v>
      </c>
      <c r="L7" s="23">
        <f>SUM(L5:L6)</f>
        <v>19.145</v>
      </c>
      <c r="M7" s="23">
        <f>SUM(M5:M6)</f>
        <v>29.049999999999997</v>
      </c>
      <c r="N7" s="23">
        <f>SUM(N5:N6)</f>
        <v>57.601</v>
      </c>
      <c r="O7" s="23">
        <f>SUM(O5:O6)</f>
        <v>25.708</v>
      </c>
      <c r="P7" s="23">
        <f>SUM(P5:P6)</f>
        <v>23.409</v>
      </c>
      <c r="Q7" s="23">
        <f>SUM(Q5:Q6)</f>
        <v>18.378999999999998</v>
      </c>
    </row>
    <row r="8">
      <c r="A8" s="2" t="inlineStr">
        <is>
          <t>Operating Income</t>
        </is>
      </c>
      <c r="B8" s="23">
        <f>B4-B7</f>
        <v>-25.852999999999998</v>
      </c>
      <c r="C8" s="23">
        <f>C4-C7</f>
        <v>-34.005</v>
      </c>
      <c r="D8" s="23">
        <f>D4-D7</f>
        <v>-30.385000000000005</v>
      </c>
      <c r="E8" s="23">
        <f>E4-E7</f>
        <v>-36.809</v>
      </c>
      <c r="F8" s="23">
        <f>F4-F7</f>
        <v>-57.739999999999995</v>
      </c>
      <c r="G8" s="23">
        <f>G4-G7</f>
        <v>-113.84899999999999</v>
      </c>
      <c r="H8" s="23">
        <f>H4-H7</f>
        <v>-29.501</v>
      </c>
      <c r="I8" s="23">
        <f>I4-I7</f>
        <v>-27.593</v>
      </c>
      <c r="J8" s="23">
        <f>J4-J7</f>
        <v>-16.987000000000002</v>
      </c>
      <c r="K8" s="23">
        <f>K4-K7</f>
        <v>-20.092</v>
      </c>
      <c r="L8" s="23">
        <f>L4-L7</f>
        <v>-19.145</v>
      </c>
      <c r="M8" s="23">
        <f>M4-M7</f>
        <v>-29.049999999999997</v>
      </c>
      <c r="N8" s="23">
        <f>N4-N7</f>
        <v>-57.601</v>
      </c>
      <c r="O8" s="23">
        <f>O4-O7</f>
        <v>-25.708</v>
      </c>
      <c r="P8" s="23">
        <f>P4-P7</f>
        <v>-22.409</v>
      </c>
      <c r="Q8" s="23">
        <f>Q4-Q7</f>
        <v>-18.208999999999996</v>
      </c>
    </row>
    <row r="9">
      <c r="A9" s="19" t="inlineStr">
        <is>
          <t>Interest &amp; Other</t>
        </is>
      </c>
      <c r="B9" s="23" t="n">
        <v>2.548</v>
      </c>
      <c r="C9" s="23" t="n">
        <v>-13.13</v>
      </c>
      <c r="D9" s="23" t="n">
        <v>-23.559</v>
      </c>
      <c r="E9" s="23" t="n">
        <v>-1.392</v>
      </c>
      <c r="F9" s="23" t="n">
        <v>2.764</v>
      </c>
      <c r="G9" s="23" t="n">
        <v>15.72</v>
      </c>
      <c r="H9" s="23" t="n">
        <v>-3.154</v>
      </c>
      <c r="I9" s="23" t="n">
        <v>39.045</v>
      </c>
      <c r="J9" s="23" t="n">
        <v>0.82</v>
      </c>
      <c r="K9" s="23" t="n">
        <v>0.731</v>
      </c>
      <c r="L9" s="23" t="n">
        <v>0.123</v>
      </c>
      <c r="M9" s="23" t="n">
        <v>0.076</v>
      </c>
      <c r="N9" s="23" t="n">
        <v>0.897</v>
      </c>
      <c r="O9" s="23" t="n">
        <v>2.378</v>
      </c>
      <c r="P9" s="23" t="n">
        <v>1.611</v>
      </c>
      <c r="Q9" s="23" t="n">
        <v>0.247</v>
      </c>
    </row>
    <row r="10">
      <c r="A10" s="2" t="inlineStr">
        <is>
          <t>Pretax</t>
        </is>
      </c>
      <c r="B10" s="23">
        <f>B8+B9</f>
        <v>-23.305</v>
      </c>
      <c r="C10" s="23">
        <f>C8+C9</f>
        <v>-47.135000000000005</v>
      </c>
      <c r="D10" s="23">
        <f>D8+D9</f>
        <v>-53.944</v>
      </c>
      <c r="E10" s="23">
        <f>E8+E9</f>
        <v>-38.201</v>
      </c>
      <c r="F10" s="23">
        <f>F8+F9</f>
        <v>-54.97599999999999</v>
      </c>
      <c r="G10" s="23">
        <f>G8+G9</f>
        <v>-98.12899999999999</v>
      </c>
      <c r="H10" s="23">
        <f>H8+H9</f>
        <v>-32.655</v>
      </c>
      <c r="I10" s="23">
        <f>I8+I9</f>
        <v>11.452000000000002</v>
      </c>
      <c r="J10" s="23">
        <f>J8+J9</f>
        <v>-16.167</v>
      </c>
      <c r="K10" s="23">
        <f>K8+K9</f>
        <v>-19.360999999999997</v>
      </c>
      <c r="L10" s="23">
        <f>L8+L9</f>
        <v>-19.022</v>
      </c>
      <c r="M10" s="23">
        <f>M8+M9</f>
        <v>-28.973999999999997</v>
      </c>
      <c r="N10" s="23">
        <f>N8+N9</f>
        <v>-56.704</v>
      </c>
      <c r="O10" s="23">
        <f>O8+O9</f>
        <v>-23.33</v>
      </c>
      <c r="P10" s="23">
        <f>P8+P9</f>
        <v>-20.798</v>
      </c>
      <c r="Q10" s="23">
        <f>Q8+Q9</f>
        <v>-17.961999999999996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-0.176</v>
      </c>
      <c r="E11" s="23" t="n">
        <v>0.78</v>
      </c>
      <c r="F11" s="23" t="n">
        <v>-0.104</v>
      </c>
      <c r="G11" s="23" t="n">
        <v>-17.244</v>
      </c>
      <c r="H11" s="23" t="n">
        <v>0</v>
      </c>
      <c r="I11" s="23" t="n">
        <v>-11.527</v>
      </c>
      <c r="J11" s="23" t="n">
        <v>0</v>
      </c>
      <c r="K11" s="23" t="n">
        <v>0</v>
      </c>
      <c r="L11" s="23" t="n">
        <v>-10.872</v>
      </c>
      <c r="M11" s="23" t="n">
        <v>-1.508</v>
      </c>
      <c r="N11" s="23" t="n">
        <v>-2.479</v>
      </c>
      <c r="O11" s="23" t="n">
        <v>-2.33</v>
      </c>
      <c r="P11" s="23" t="n">
        <v>-0.798</v>
      </c>
      <c r="Q11" s="23" t="n">
        <v>-0.962</v>
      </c>
    </row>
    <row r="12">
      <c r="A12" s="2" t="inlineStr">
        <is>
          <t>Net Income</t>
        </is>
      </c>
      <c r="B12" s="23" t="n">
        <v>-23.306</v>
      </c>
      <c r="C12" s="23" t="n">
        <v>-47.134</v>
      </c>
      <c r="D12" s="23" t="n">
        <v>-53.769</v>
      </c>
      <c r="E12" s="23" t="n">
        <v>-38.981</v>
      </c>
      <c r="F12" s="23" t="n">
        <v>-54.873</v>
      </c>
      <c r="G12" s="23" t="n">
        <v>-80.886</v>
      </c>
      <c r="H12" s="23" t="n">
        <v>-32.656</v>
      </c>
      <c r="I12" s="23" t="n">
        <v>22.979</v>
      </c>
      <c r="J12" s="23" t="n">
        <v>-16.167</v>
      </c>
      <c r="K12" s="23" t="n">
        <v>-19.361</v>
      </c>
      <c r="L12" s="23" t="n">
        <v>-8.15</v>
      </c>
      <c r="M12" s="23" t="n">
        <v>-27.466</v>
      </c>
      <c r="N12" s="23" t="n">
        <v>-54.225</v>
      </c>
      <c r="O12" s="23" t="n">
        <v>-21</v>
      </c>
      <c r="P12" s="23" t="n">
        <v>-20</v>
      </c>
      <c r="Q12" s="23" t="n">
        <v>-17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-4.987171655467318</v>
      </c>
      <c r="I13" s="11">
        <f>IFERROR(I12/I14,0)</f>
        <v>2.5620470509532836</v>
      </c>
      <c r="J13" s="11">
        <f>IFERROR(J12/J14,0)</f>
        <v>-1.6685932500774074</v>
      </c>
      <c r="K13" s="11">
        <f>IFERROR(K12/K14,0)</f>
        <v>-1.8751573849878937</v>
      </c>
      <c r="L13" s="11">
        <f>IFERROR(L12/L14,0)</f>
        <v>-0.5278497409326425</v>
      </c>
      <c r="M13" s="11">
        <f>IFERROR(M12/M14,0)</f>
        <v>-7.447396963123644</v>
      </c>
      <c r="N13" s="11">
        <f>IFERROR(N12/N14,0)</f>
        <v>-10.46814671814672</v>
      </c>
      <c r="O13" s="11">
        <f>IFERROR(O12/O14,0)</f>
        <v>-2.601263470828688</v>
      </c>
      <c r="P13" s="11">
        <f>IFERROR(P12/P14,0)</f>
        <v>-2.4012486492976346</v>
      </c>
      <c r="Q13" s="11">
        <f>IFERROR(Q12/Q14,0)</f>
        <v>-1.9569471624266146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>
        <v>6.548</v>
      </c>
      <c r="I14" s="23" t="n">
        <v>8.968999999999999</v>
      </c>
      <c r="J14" s="23" t="n">
        <v>9.689</v>
      </c>
      <c r="K14" s="23" t="n">
        <v>10.325</v>
      </c>
      <c r="L14" s="23" t="n">
        <v>15.44</v>
      </c>
      <c r="M14" s="23" t="n">
        <v>3.688</v>
      </c>
      <c r="N14" s="23" t="n">
        <v>5.18</v>
      </c>
      <c r="O14" s="23" t="n">
        <v>8.073</v>
      </c>
      <c r="P14" s="23" t="n">
        <v>8.329000000000001</v>
      </c>
      <c r="Q14" s="23" t="n">
        <v>8.686999999999999</v>
      </c>
    </row>
    <row r="15"/>
    <row r="16" customFormat="1" s="4">
      <c r="A16" s="3" t="inlineStr">
        <is>
          <t>Revenue Change</t>
        </is>
      </c>
      <c r="C16" s="15">
        <f>IFERROR(C2/B2-1,"")</f>
        <v>54.524861878453045</v>
      </c>
      <c r="D16" s="15">
        <f>IFERROR(D2/C2-1,"")</f>
        <v>0.42587064676616904</v>
      </c>
      <c r="E16" s="15">
        <f>IFERROR(E2/D2-1,"")</f>
        <v>0.023586880669923094</v>
      </c>
      <c r="F16" s="15">
        <f>IFERROR(F2/E2-1,"")</f>
        <v>0.22300245432233434</v>
      </c>
      <c r="G16" s="15">
        <f>IFERROR(G2/F2-1,"")</f>
        <v>0.25358158202798364</v>
      </c>
      <c r="H16" s="15">
        <f>IFERROR(H2/G2-1,"")</f>
        <v>0.5690145855567414</v>
      </c>
      <c r="I16" s="15">
        <f>IFERROR(I2/H2-1,"")</f>
        <v>-1.0</v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>-0.83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0.13960199004975127</v>
      </c>
      <c r="D17" s="15">
        <f>IFERROR(D4/D2,"")</f>
        <v>0.1661549197487788</v>
      </c>
      <c r="E17" s="15">
        <f>IFERROR(E4/E2,"")</f>
        <v>0.11733024270520863</v>
      </c>
      <c r="F17" s="15">
        <f>IFERROR(F4/F2,"")</f>
        <v>0.12603824070461003</v>
      </c>
      <c r="G17" s="15">
        <f>IFERROR(G4/G2,"")</f>
        <v>0.10356634649590896</v>
      </c>
      <c r="H17" s="15">
        <f>IFERROR(H4/H2,"")</f>
        <v>0.11756036730529418</v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>1.0</v>
      </c>
      <c r="Q17" s="15">
        <f>IFERROR(Q4/Q2,"")</f>
        <v>1.0</v>
      </c>
    </row>
    <row r="18">
      <c r="A18" s="14" t="inlineStr">
        <is>
          <t>Operating Margin</t>
        </is>
      </c>
      <c r="B18" s="15">
        <f>IFERROR(B8/B2,"")</f>
        <v>-142.8342541436464</v>
      </c>
      <c r="C18" s="15">
        <f>IFERROR(C8/C2,"")</f>
        <v>-3.3835820895522386</v>
      </c>
      <c r="D18" s="15">
        <f>IFERROR(D8/D2,"")</f>
        <v>-2.1203768318213543</v>
      </c>
      <c r="E18" s="15">
        <f>IFERROR(E8/E2,"")</f>
        <v>-2.509476411235342</v>
      </c>
      <c r="F18" s="15">
        <f>IFERROR(F8/F2,"")</f>
        <v>-3.218685545459613</v>
      </c>
      <c r="G18" s="15">
        <f>IFERROR(G8/G2,"")</f>
        <v>-5.062655638562789</v>
      </c>
      <c r="H18" s="15">
        <f>IFERROR(H8/H2,"")</f>
        <v>-0.8361013490533954</v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>-22.409</v>
      </c>
      <c r="Q18" s="15">
        <f>IFERROR(Q8/Q2,"")</f>
        <v>-107.11176470588232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Lisata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0.10799999999999998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16.426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515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97.10925251190625</v>
      </c>
      <c r="C29" s="42">
        <f>NPV!B25</f>
        <v>107.55225251190625</v>
      </c>
      <c r="D29" s="43">
        <f>NPV!B27</f>
        <v>11.935745695692495</v>
      </c>
      <c r="E29" s="44">
        <f>NPV!B29</f>
        <v>10.476678553550475</v>
      </c>
    </row>
    <row r="30">
      <c r="A30" s="45" t="n">
        <v>1</v>
      </c>
      <c r="B30" s="46">
        <f t="dataTable" ref="B30:E32" r1="B4"/>
        <v>10.00684437823187</v>
      </c>
      <c r="C30" s="46">
        <v>20.44984437823187</v>
      </c>
      <c r="D30" s="47">
        <v>2.269447048429244</v>
      </c>
      <c r="E30" s="48">
        <v>1.1821606234896578</v>
      </c>
    </row>
    <row r="31">
      <c r="A31" s="45" t="n">
        <v>2</v>
      </c>
      <c r="B31" s="46">
        <v>97.10925251190625</v>
      </c>
      <c r="C31" s="46">
        <v>107.55225251190625</v>
      </c>
      <c r="D31" s="47">
        <v>11.935745695692495</v>
      </c>
      <c r="E31" s="48">
        <v>10.476678553550475</v>
      </c>
    </row>
    <row r="32">
      <c r="A32" s="45" t="n">
        <v>3</v>
      </c>
      <c r="B32" s="46">
        <v>223.91126735695218</v>
      </c>
      <c r="C32" s="46">
        <v>234.3542673569522</v>
      </c>
      <c r="D32" s="47">
        <v>26.00775783439083</v>
      </c>
      <c r="E32" s="48">
        <v>24.00745945614503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11.935745695692495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0.6155487927310863</v>
      </c>
      <c r="C37" s="47">
        <v>3.0664232863017395</v>
      </c>
      <c r="D37" s="47">
        <v>5.517297779872389</v>
      </c>
      <c r="E37" s="47">
        <v>10.419046767013693</v>
      </c>
      <c r="F37" s="47">
        <v>14.997821990670287</v>
      </c>
    </row>
    <row r="38">
      <c r="A38" s="50" t="n">
        <v>0.8</v>
      </c>
      <c r="B38" s="47">
        <v>2.1908564215940394</v>
      </c>
      <c r="C38" s="47">
        <v>5.458689079688241</v>
      </c>
      <c r="D38" s="47">
        <v>8.726521737782445</v>
      </c>
      <c r="E38" s="47">
        <v>14.944879235327473</v>
      </c>
      <c r="F38" s="47">
        <v>20.578074844416676</v>
      </c>
    </row>
    <row r="39">
      <c r="A39" s="50" t="n">
        <v>1</v>
      </c>
      <c r="B39" s="47">
        <v>3.766164050456991</v>
      </c>
      <c r="C39" s="47">
        <v>7.850954873074743</v>
      </c>
      <c r="D39" s="47">
        <v>11.935745695692495</v>
      </c>
      <c r="E39" s="47">
        <v>19.13438428081373</v>
      </c>
      <c r="F39" s="47">
        <v>26.0198000006204</v>
      </c>
    </row>
    <row r="40">
      <c r="A40" s="50" t="n">
        <v>1.2</v>
      </c>
      <c r="B40" s="47">
        <v>5.341471679319942</v>
      </c>
      <c r="C40" s="47">
        <v>10.243220666461246</v>
      </c>
      <c r="D40" s="47">
        <v>14.838993724641846</v>
      </c>
      <c r="E40" s="47">
        <v>23.24090176692795</v>
      </c>
      <c r="F40" s="47">
        <v>31.37909120149046</v>
      </c>
    </row>
    <row r="41">
      <c r="A41" s="50" t="n">
        <v>1.4</v>
      </c>
      <c r="B41" s="47">
        <v>6.916779308182894</v>
      </c>
      <c r="C41" s="47">
        <v>12.611555324741389</v>
      </c>
      <c r="D41" s="47">
        <v>17.62862986876489</v>
      </c>
      <c r="E41" s="47">
        <v>27.282773491064273</v>
      </c>
      <c r="F41" s="47">
        <v>36.68842919274516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Lisata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Liver cancer</t>
        </is>
      </c>
      <c r="C4" s="14" t="inlineStr">
        <is>
          <t>certepetide</t>
        </is>
      </c>
      <c r="D4" s="14" t="inlineStr">
        <is>
          <t>Phase 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0.108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147.23117104314696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12.959999999999999</v>
      </c>
      <c r="S4" s="23">
        <f>IF(S$3&lt;$I4,0,$G4*Assumptions!$E$11*INDEX(Assumptions!$B$24:$G$24,MIN(6,S$3-$I4+1))*IF(S$3&gt;$J4,(1-Assumptions!$B$26)^(S$3-$J4),1)*IF($H4&gt;=1,1,MIN(0.97,$H4*Assumptions!$E$12)))</f>
        <v>32.4</v>
      </c>
      <c r="T4" s="23">
        <f>IF(T$3&lt;$I4,0,$G4*Assumptions!$E$11*INDEX(Assumptions!$B$24:$G$24,MIN(6,T$3-$I4+1))*IF(T$3&gt;$J4,(1-Assumptions!$B$26)^(T$3-$J4),1)*IF($H4&gt;=1,1,MIN(0.97,$H4*Assumptions!$E$12)))</f>
        <v>58.32</v>
      </c>
      <c r="U4" s="23">
        <f>IF(U$3&lt;$I4,0,$G4*Assumptions!$E$11*INDEX(Assumptions!$B$24:$G$24,MIN(6,U$3-$I4+1))*IF(U$3&gt;$J4,(1-Assumptions!$B$26)^(U$3-$J4),1)*IF($H4&gt;=1,1,MIN(0.97,$H4*Assumptions!$E$12)))</f>
        <v>84.24</v>
      </c>
      <c r="V4" s="23">
        <f>IF(V$3&lt;$I4,0,$G4*Assumptions!$E$11*INDEX(Assumptions!$B$24:$G$24,MIN(6,V$3-$I4+1))*IF(V$3&gt;$J4,(1-Assumptions!$B$26)^(V$3-$J4),1)*IF($H4&gt;=1,1,MIN(0.97,$H4*Assumptions!$E$12)))</f>
        <v>110.16</v>
      </c>
      <c r="W4" s="23">
        <f>IF(W$3&lt;$I4,0,$G4*Assumptions!$E$11*INDEX(Assumptions!$B$24:$G$24,MIN(6,W$3-$I4+1))*IF(W$3&gt;$J4,(1-Assumptions!$B$26)^(W$3-$J4),1)*IF($H4&gt;=1,1,MIN(0.97,$H4*Assumptions!$E$12)))</f>
        <v>129.6</v>
      </c>
      <c r="X4" s="23">
        <f>IF(X$3&lt;$I4,0,$G4*Assumptions!$E$11*INDEX(Assumptions!$B$24:$G$24,MIN(6,X$3-$I4+1))*IF(X$3&gt;$J4,(1-Assumptions!$B$26)^(X$3-$J4),1)*IF($H4&gt;=1,1,MIN(0.97,$H4*Assumptions!$E$12)))</f>
        <v>129.6</v>
      </c>
      <c r="Y4" s="23">
        <f>IF(Y$3&lt;$I4,0,$G4*Assumptions!$E$11*INDEX(Assumptions!$B$24:$G$24,MIN(6,Y$3-$I4+1))*IF(Y$3&gt;$J4,(1-Assumptions!$B$26)^(Y$3-$J4),1)*IF($H4&gt;=1,1,MIN(0.97,$H4*Assumptions!$E$12)))</f>
        <v>129.6</v>
      </c>
      <c r="Z4" s="23">
        <f>IF(Z$3&lt;$I4,0,$G4*Assumptions!$E$11*INDEX(Assumptions!$B$24:$G$24,MIN(6,Z$3-$I4+1))*IF(Z$3&gt;$J4,(1-Assumptions!$B$26)^(Z$3-$J4),1)*IF($H4&gt;=1,1,MIN(0.97,$H4*Assumptions!$E$12)))</f>
        <v>129.6</v>
      </c>
      <c r="AA4" s="23">
        <f>IF(AA$3&lt;$I4,0,$G4*Assumptions!$E$11*INDEX(Assumptions!$B$24:$G$24,MIN(6,AA$3-$I4+1))*IF(AA$3&gt;$J4,(1-Assumptions!$B$26)^(AA$3-$J4),1)*IF($H4&gt;=1,1,MIN(0.97,$H4*Assumptions!$E$12)))</f>
        <v>129.6</v>
      </c>
      <c r="AB4" s="23">
        <f>IF(AB$3&lt;$I4,0,$G4*Assumptions!$E$11*INDEX(Assumptions!$B$24:$G$24,MIN(6,AB$3-$I4+1))*IF(AB$3&gt;$J4,(1-Assumptions!$B$26)^(AB$3-$J4),1)*IF($H4&gt;=1,1,MIN(0.97,$H4*Assumptions!$E$12)))</f>
        <v>129.6</v>
      </c>
      <c r="AC4" s="23">
        <f>IF(AC$3&lt;$I4,0,$G4*Assumptions!$E$11*INDEX(Assumptions!$B$24:$G$24,MIN(6,AC$3-$I4+1))*IF(AC$3&gt;$J4,(1-Assumptions!$B$26)^(AC$3-$J4),1)*IF($H4&gt;=1,1,MIN(0.97,$H4*Assumptions!$E$12)))</f>
        <v>129.6</v>
      </c>
      <c r="AD4" s="23">
        <f>IF(AD$3&lt;$I4,0,$G4*Assumptions!$E$11*INDEX(Assumptions!$B$24:$G$24,MIN(6,AD$3-$I4+1))*IF(AD$3&gt;$J4,(1-Assumptions!$B$26)^(AD$3-$J4),1)*IF($H4&gt;=1,1,MIN(0.97,$H4*Assumptions!$E$12)))</f>
        <v>129.6</v>
      </c>
      <c r="AE4" s="23">
        <f>IF(AE$3&lt;$I4,0,$G4*Assumptions!$E$11*INDEX(Assumptions!$B$24:$G$24,MIN(6,AE$3-$I4+1))*IF(AE$3&gt;$J4,(1-Assumptions!$B$26)^(AE$3-$J4),1)*IF($H4&gt;=1,1,MIN(0.97,$H4*Assumptions!$E$12)))</f>
        <v>64.8</v>
      </c>
      <c r="AF4" s="23">
        <f>IF(AF$3&lt;$I4,0,$G4*Assumptions!$E$11*INDEX(Assumptions!$B$24:$G$24,MIN(6,AF$3-$I4+1))*IF(AF$3&gt;$J4,(1-Assumptions!$B$26)^(AF$3-$J4),1)*IF($H4&gt;=1,1,MIN(0.97,$H4*Assumptions!$E$12)))</f>
        <v>32.4</v>
      </c>
      <c r="AG4" s="35">
        <f>IF(F4="Owned",1-IF(H4&gt;=1,1,MIN(0.97,H4*Assumptions!$E$12)),1)</f>
        <v>0.892</v>
      </c>
    </row>
    <row r="5">
      <c r="B5" s="24" t="inlineStr">
        <is>
          <t>Risked revenue</t>
        </is>
      </c>
      <c r="L5" s="54">
        <f>SUM(L4:L4)</f>
        <v>147.23117104314696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12.959999999999999</v>
      </c>
      <c r="S5" s="54">
        <f>SUM(S4:S4)</f>
        <v>32.4</v>
      </c>
      <c r="T5" s="54">
        <f>SUM(T4:T4)</f>
        <v>58.32</v>
      </c>
      <c r="U5" s="54">
        <f>SUM(U4:U4)</f>
        <v>84.24</v>
      </c>
      <c r="V5" s="54">
        <f>SUM(V4:V4)</f>
        <v>110.16</v>
      </c>
      <c r="W5" s="54">
        <f>SUM(W4:W4)</f>
        <v>129.6</v>
      </c>
      <c r="X5" s="54">
        <f>SUM(X4:X4)</f>
        <v>129.6</v>
      </c>
      <c r="Y5" s="54">
        <f>SUM(Y4:Y4)</f>
        <v>129.6</v>
      </c>
      <c r="Z5" s="54">
        <f>SUM(Z4:Z4)</f>
        <v>129.6</v>
      </c>
      <c r="AA5" s="54">
        <f>SUM(AA4:AA4)</f>
        <v>129.6</v>
      </c>
      <c r="AB5" s="54">
        <f>SUM(AB4:AB4)</f>
        <v>129.6</v>
      </c>
      <c r="AC5" s="54">
        <f>SUM(AC4:AC4)</f>
        <v>129.6</v>
      </c>
      <c r="AD5" s="54">
        <f>SUM(AD4:AD4)</f>
        <v>129.6</v>
      </c>
      <c r="AE5" s="54">
        <f>SUM(AE4:AE4)</f>
        <v>64.8</v>
      </c>
      <c r="AF5" s="54">
        <f>SUM(AF4:AF4)</f>
        <v>32.4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5.184</v>
      </c>
      <c r="S6" s="55">
        <f>SUMPRODUCT(S4:S4,$K$4:$K$4)</f>
        <v>12.96</v>
      </c>
      <c r="T6" s="55">
        <f>SUMPRODUCT(T4:T4,$K$4:$K$4)</f>
        <v>23.328000000000003</v>
      </c>
      <c r="U6" s="55">
        <f>SUMPRODUCT(U4:U4,$K$4:$K$4)</f>
        <v>33.696</v>
      </c>
      <c r="V6" s="55">
        <f>SUMPRODUCT(V4:V4,$K$4:$K$4)</f>
        <v>44.064</v>
      </c>
      <c r="W6" s="55">
        <f>SUMPRODUCT(W4:W4,$K$4:$K$4)</f>
        <v>51.84</v>
      </c>
      <c r="X6" s="55">
        <f>SUMPRODUCT(X4:X4,$K$4:$K$4)</f>
        <v>51.84</v>
      </c>
      <c r="Y6" s="55">
        <f>SUMPRODUCT(Y4:Y4,$K$4:$K$4)</f>
        <v>51.84</v>
      </c>
      <c r="Z6" s="55">
        <f>SUMPRODUCT(Z4:Z4,$K$4:$K$4)</f>
        <v>51.84</v>
      </c>
      <c r="AA6" s="55">
        <f>SUMPRODUCT(AA4:AA4,$K$4:$K$4)</f>
        <v>51.84</v>
      </c>
      <c r="AB6" s="55">
        <f>SUMPRODUCT(AB4:AB4,$K$4:$K$4)</f>
        <v>51.84</v>
      </c>
      <c r="AC6" s="55">
        <f>SUMPRODUCT(AC4:AC4,$K$4:$K$4)</f>
        <v>51.84</v>
      </c>
      <c r="AD6" s="55">
        <f>SUMPRODUCT(AD4:AD4,$K$4:$K$4)</f>
        <v>51.84</v>
      </c>
      <c r="AE6" s="55">
        <f>SUMPRODUCT(AE4:AE4,$K$4:$K$4)</f>
        <v>25.92</v>
      </c>
      <c r="AF6" s="55">
        <f>SUMPRODUCT(AF4:AF4,$K$4:$K$4)</f>
        <v>12.96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Lisata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12.959999999999999</v>
      </c>
      <c r="I4" s="57">
        <f>Pipeline!S5</f>
        <v>32.4</v>
      </c>
      <c r="J4" s="57">
        <f>Pipeline!T5</f>
        <v>58.32</v>
      </c>
      <c r="K4" s="57">
        <f>Pipeline!U5</f>
        <v>84.24</v>
      </c>
      <c r="L4" s="57">
        <f>Pipeline!V5</f>
        <v>110.16</v>
      </c>
      <c r="M4" s="57">
        <f>Pipeline!W5</f>
        <v>129.6</v>
      </c>
      <c r="N4" s="57">
        <f>Pipeline!X5</f>
        <v>129.6</v>
      </c>
      <c r="O4" s="57">
        <f>Pipeline!Y5</f>
        <v>129.6</v>
      </c>
      <c r="P4" s="57">
        <f>Pipeline!Z5</f>
        <v>129.6</v>
      </c>
      <c r="Q4" s="57">
        <f>Pipeline!AA5</f>
        <v>129.6</v>
      </c>
      <c r="R4" s="57">
        <f>Pipeline!AB5</f>
        <v>129.6</v>
      </c>
      <c r="S4" s="57">
        <f>Pipeline!AC5</f>
        <v>129.6</v>
      </c>
      <c r="T4" s="57">
        <f>Pipeline!AD5</f>
        <v>129.6</v>
      </c>
      <c r="U4" s="57">
        <f>Pipeline!AE5</f>
        <v>64.8</v>
      </c>
      <c r="V4" s="57">
        <f>Pipeline!AF5</f>
        <v>32.4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5.184</v>
      </c>
      <c r="I5" s="57">
        <f>Pipeline!S6</f>
        <v>12.96</v>
      </c>
      <c r="J5" s="57">
        <f>Pipeline!T6</f>
        <v>23.328000000000003</v>
      </c>
      <c r="K5" s="57">
        <f>Pipeline!U6</f>
        <v>33.696</v>
      </c>
      <c r="L5" s="57">
        <f>Pipeline!V6</f>
        <v>44.064</v>
      </c>
      <c r="M5" s="57">
        <f>Pipeline!W6</f>
        <v>51.84</v>
      </c>
      <c r="N5" s="57">
        <f>Pipeline!X6</f>
        <v>51.84</v>
      </c>
      <c r="O5" s="57">
        <f>Pipeline!Y6</f>
        <v>51.84</v>
      </c>
      <c r="P5" s="57">
        <f>Pipeline!Z6</f>
        <v>51.84</v>
      </c>
      <c r="Q5" s="57">
        <f>Pipeline!AA6</f>
        <v>51.84</v>
      </c>
      <c r="R5" s="57">
        <f>Pipeline!AB6</f>
        <v>51.84</v>
      </c>
      <c r="S5" s="57">
        <f>Pipeline!AC6</f>
        <v>51.84</v>
      </c>
      <c r="T5" s="57">
        <f>Pipeline!AD6</f>
        <v>51.84</v>
      </c>
      <c r="U5" s="57">
        <f>Pipeline!AE6</f>
        <v>25.92</v>
      </c>
      <c r="V5" s="57">
        <f>Pipeline!AF6</f>
        <v>12.96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-16.426</v>
      </c>
      <c r="D6" s="23">
        <f>-IF(D3-2026&lt;Assumptions!$B$19,Assumptions!$B$18,Assumptions!$B$18*Assumptions!$B$20*Assumptions!$B$16)</f>
        <v>-16.426</v>
      </c>
      <c r="E6" s="23">
        <f>-IF(E3-2026&lt;Assumptions!$B$19,Assumptions!$B$18,Assumptions!$B$18*Assumptions!$B$20*Assumptions!$B$16)</f>
        <v>-16.426</v>
      </c>
      <c r="F6" s="23">
        <f>-IF(F3-2026&lt;Assumptions!$B$19,Assumptions!$B$18,Assumptions!$B$18*Assumptions!$B$20*Assumptions!$B$16)</f>
        <v>-16.426</v>
      </c>
      <c r="G6" s="23">
        <f>-IF(G3-2026&lt;Assumptions!$B$19,Assumptions!$B$18,Assumptions!$B$18*Assumptions!$B$20*Assumptions!$B$16)</f>
        <v>-0.5322023999999999</v>
      </c>
      <c r="H6" s="23">
        <f>-IF(H3-2026&lt;Assumptions!$B$19,Assumptions!$B$18,Assumptions!$B$18*Assumptions!$B$20*Assumptions!$B$16)</f>
        <v>-0.5322023999999999</v>
      </c>
      <c r="I6" s="23">
        <f>-IF(I3-2026&lt;Assumptions!$B$19,Assumptions!$B$18,Assumptions!$B$18*Assumptions!$B$20*Assumptions!$B$16)</f>
        <v>-0.5322023999999999</v>
      </c>
      <c r="J6" s="23">
        <f>-IF(J3-2026&lt;Assumptions!$B$19,Assumptions!$B$18,Assumptions!$B$18*Assumptions!$B$20*Assumptions!$B$16)</f>
        <v>-0.5322023999999999</v>
      </c>
      <c r="K6" s="23">
        <f>-IF(K3-2026&lt;Assumptions!$B$19,Assumptions!$B$18,Assumptions!$B$18*Assumptions!$B$20*Assumptions!$B$16)</f>
        <v>-0.5322023999999999</v>
      </c>
      <c r="L6" s="23">
        <f>-IF(L3-2026&lt;Assumptions!$B$19,Assumptions!$B$18,Assumptions!$B$18*Assumptions!$B$20*Assumptions!$B$16)</f>
        <v>-0.5322023999999999</v>
      </c>
      <c r="M6" s="23">
        <f>-IF(M3-2026&lt;Assumptions!$B$19,Assumptions!$B$18,Assumptions!$B$18*Assumptions!$B$20*Assumptions!$B$16)</f>
        <v>-0.5322023999999999</v>
      </c>
      <c r="N6" s="23">
        <f>-IF(N3-2026&lt;Assumptions!$B$19,Assumptions!$B$18,Assumptions!$B$18*Assumptions!$B$20*Assumptions!$B$16)</f>
        <v>-0.5322023999999999</v>
      </c>
      <c r="O6" s="23">
        <f>-IF(O3-2026&lt;Assumptions!$B$19,Assumptions!$B$18,Assumptions!$B$18*Assumptions!$B$20*Assumptions!$B$16)</f>
        <v>-0.5322023999999999</v>
      </c>
      <c r="P6" s="23">
        <f>-IF(P3-2026&lt;Assumptions!$B$19,Assumptions!$B$18,Assumptions!$B$18*Assumptions!$B$20*Assumptions!$B$16)</f>
        <v>-0.5322023999999999</v>
      </c>
      <c r="Q6" s="23">
        <f>-IF(Q3-2026&lt;Assumptions!$B$19,Assumptions!$B$18,Assumptions!$B$18*Assumptions!$B$20*Assumptions!$B$16)</f>
        <v>-0.5322023999999999</v>
      </c>
      <c r="R6" s="23">
        <f>-IF(R3-2026&lt;Assumptions!$B$19,Assumptions!$B$18,Assumptions!$B$18*Assumptions!$B$20*Assumptions!$B$16)</f>
        <v>-0.5322023999999999</v>
      </c>
      <c r="S6" s="23">
        <f>-IF(S3-2026&lt;Assumptions!$B$19,Assumptions!$B$18,Assumptions!$B$18*Assumptions!$B$20*Assumptions!$B$16)</f>
        <v>-0.5322023999999999</v>
      </c>
      <c r="T6" s="23">
        <f>-IF(T3-2026&lt;Assumptions!$B$19,Assumptions!$B$18,Assumptions!$B$18*Assumptions!$B$20*Assumptions!$B$16)</f>
        <v>-0.5322023999999999</v>
      </c>
      <c r="U6" s="23">
        <f>-IF(U3-2026&lt;Assumptions!$B$19,Assumptions!$B$18,Assumptions!$B$18*Assumptions!$B$20*Assumptions!$B$16)</f>
        <v>-0.5322023999999999</v>
      </c>
      <c r="V6" s="23">
        <f>-IF(V3-2026&lt;Assumptions!$B$19,Assumptions!$B$18,Assumptions!$B$18*Assumptions!$B$20*Assumptions!$B$16)</f>
        <v>-0.5322023999999999</v>
      </c>
    </row>
    <row r="7">
      <c r="A7" s="14" t="inlineStr">
        <is>
          <t>Pre-tax cash flow</t>
        </is>
      </c>
      <c r="C7" s="23">
        <f>C5+C6</f>
        <v>-16.426</v>
      </c>
      <c r="D7" s="23">
        <f>D5+D6</f>
        <v>-16.426</v>
      </c>
      <c r="E7" s="23">
        <f>E5+E6</f>
        <v>-16.426</v>
      </c>
      <c r="F7" s="23">
        <f>F5+F6</f>
        <v>-16.426</v>
      </c>
      <c r="G7" s="23">
        <f>G5+G6</f>
        <v>-0.5322023999999999</v>
      </c>
      <c r="H7" s="23">
        <f>H5+H6</f>
        <v>4.6517976</v>
      </c>
      <c r="I7" s="23">
        <f>I5+I6</f>
        <v>12.427797600000002</v>
      </c>
      <c r="J7" s="23">
        <f>J5+J6</f>
        <v>22.795797600000004</v>
      </c>
      <c r="K7" s="23">
        <f>K5+K6</f>
        <v>33.163797599999995</v>
      </c>
      <c r="L7" s="23">
        <f>L5+L6</f>
        <v>43.5317976</v>
      </c>
      <c r="M7" s="23">
        <f>M5+M6</f>
        <v>51.3077976</v>
      </c>
      <c r="N7" s="23">
        <f>N5+N6</f>
        <v>51.3077976</v>
      </c>
      <c r="O7" s="23">
        <f>O5+O6</f>
        <v>51.3077976</v>
      </c>
      <c r="P7" s="23">
        <f>P5+P6</f>
        <v>51.3077976</v>
      </c>
      <c r="Q7" s="23">
        <f>Q5+Q6</f>
        <v>51.3077976</v>
      </c>
      <c r="R7" s="23">
        <f>R5+R6</f>
        <v>51.3077976</v>
      </c>
      <c r="S7" s="23">
        <f>S5+S6</f>
        <v>51.3077976</v>
      </c>
      <c r="T7" s="23">
        <f>T5+T6</f>
        <v>51.3077976</v>
      </c>
      <c r="U7" s="23">
        <f>U5+U6</f>
        <v>25.387797600000003</v>
      </c>
      <c r="V7" s="23">
        <f>V5+V6</f>
        <v>12.427797600000002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4.6517976</v>
      </c>
      <c r="I8" s="23">
        <f>MIN(H17,MAX(0,I7))</f>
        <v>12.427797600000002</v>
      </c>
      <c r="J8" s="23">
        <f>MIN(I17,MAX(0,J7))</f>
        <v>22.795797600000004</v>
      </c>
      <c r="K8" s="23">
        <f>MIN(J17,MAX(0,K7))</f>
        <v>33.163797599999995</v>
      </c>
      <c r="L8" s="23">
        <f>MIN(K17,MAX(0,L7))</f>
        <v>43.5317976</v>
      </c>
      <c r="M8" s="23">
        <f>MIN(L17,MAX(0,M7))</f>
        <v>51.3077976</v>
      </c>
      <c r="N8" s="23">
        <f>MIN(M17,MAX(0,N7))</f>
        <v>51.3077976</v>
      </c>
      <c r="O8" s="23">
        <f>MIN(N17,MAX(0,O7))</f>
        <v>51.3077976</v>
      </c>
      <c r="P8" s="23">
        <f>MIN(O17,MAX(0,P7))</f>
        <v>51.3077976</v>
      </c>
      <c r="Q8" s="23">
        <f>MIN(P17,MAX(0,Q7))</f>
        <v>51.3077976</v>
      </c>
      <c r="R8" s="23">
        <f>MIN(Q17,MAX(0,R7))</f>
        <v>51.3077976</v>
      </c>
      <c r="S8" s="23">
        <f>MIN(R17,MAX(0,S7))</f>
        <v>51.3077976</v>
      </c>
      <c r="T8" s="23">
        <f>MIN(S17,MAX(0,T7))</f>
        <v>51.3077976</v>
      </c>
      <c r="U8" s="23">
        <f>MIN(T17,MAX(0,U7))</f>
        <v>25.387797600000003</v>
      </c>
      <c r="V8" s="23">
        <f>MIN(U17,MAX(0,V7))</f>
        <v>12.427797600000002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-16.426</v>
      </c>
      <c r="D11" s="55">
        <f>D7-D10</f>
        <v>-16.426</v>
      </c>
      <c r="E11" s="55">
        <f>E7-E10</f>
        <v>-16.426</v>
      </c>
      <c r="F11" s="55">
        <f>F7-F10</f>
        <v>-16.426</v>
      </c>
      <c r="G11" s="55">
        <f>G7-G10</f>
        <v>-0.5322023999999999</v>
      </c>
      <c r="H11" s="55">
        <f>H7-H10</f>
        <v>4.6517976</v>
      </c>
      <c r="I11" s="55">
        <f>I7-I10</f>
        <v>12.427797600000002</v>
      </c>
      <c r="J11" s="55">
        <f>J7-J10</f>
        <v>22.795797600000004</v>
      </c>
      <c r="K11" s="55">
        <f>K7-K10</f>
        <v>33.163797599999995</v>
      </c>
      <c r="L11" s="55">
        <f>L7-L10</f>
        <v>43.5317976</v>
      </c>
      <c r="M11" s="55">
        <f>M7-M10</f>
        <v>51.3077976</v>
      </c>
      <c r="N11" s="55">
        <f>N7-N10</f>
        <v>51.3077976</v>
      </c>
      <c r="O11" s="55">
        <f>O7-O10</f>
        <v>51.3077976</v>
      </c>
      <c r="P11" s="55">
        <f>P7-P10</f>
        <v>51.3077976</v>
      </c>
      <c r="Q11" s="55">
        <f>Q7-Q10</f>
        <v>51.3077976</v>
      </c>
      <c r="R11" s="55">
        <f>R7-R10</f>
        <v>51.3077976</v>
      </c>
      <c r="S11" s="55">
        <f>S7-S10</f>
        <v>51.3077976</v>
      </c>
      <c r="T11" s="55">
        <f>T7-T10</f>
        <v>51.3077976</v>
      </c>
      <c r="U11" s="55">
        <f>U7-U10</f>
        <v>25.387797600000003</v>
      </c>
      <c r="V11" s="55">
        <f>V7-V10</f>
        <v>12.427797600000002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-8.047168836914825</v>
      </c>
      <c r="D16" s="55">
        <f>D11*D15</f>
        <v>-14.659258456475765</v>
      </c>
      <c r="E16" s="55">
        <f>E11*E15</f>
        <v>-13.088623621853358</v>
      </c>
      <c r="F16" s="55">
        <f>F11*F15</f>
        <v>-11.6862710909405</v>
      </c>
      <c r="G16" s="55">
        <f>G11*G15</f>
        <v>-0.3380671279879215</v>
      </c>
      <c r="H16" s="55">
        <f>H11*H15</f>
        <v>2.638328707631295</v>
      </c>
      <c r="I16" s="55">
        <f>I11*I15</f>
        <v>6.293384146483983</v>
      </c>
      <c r="J16" s="55">
        <f>J11*J15</f>
        <v>10.306870981587279</v>
      </c>
      <c r="K16" s="55">
        <f>K11*K15</f>
        <v>13.388079442180732</v>
      </c>
      <c r="L16" s="55">
        <f>L11*L15</f>
        <v>15.69071027495023</v>
      </c>
      <c r="M16" s="55">
        <f>M11*M15</f>
        <v>16.512063582004863</v>
      </c>
      <c r="N16" s="55">
        <f>N11*N15</f>
        <v>14.74291391250434</v>
      </c>
      <c r="O16" s="55">
        <f>O11*O15</f>
        <v>13.163315993307446</v>
      </c>
      <c r="P16" s="55">
        <f>P11*P15</f>
        <v>11.752960708310217</v>
      </c>
      <c r="Q16" s="55">
        <f>Q11*Q15</f>
        <v>10.493714918134122</v>
      </c>
      <c r="R16" s="55">
        <f>R11*R15</f>
        <v>9.36938831976261</v>
      </c>
      <c r="S16" s="55">
        <f>S11*S15</f>
        <v>8.36552528550233</v>
      </c>
      <c r="T16" s="55">
        <f>T11*T15</f>
        <v>7.469219004912793</v>
      </c>
      <c r="U16" s="55">
        <f>U11*U15</f>
        <v>3.2998851538601115</v>
      </c>
      <c r="V16" s="55">
        <f>V11*V15</f>
        <v>1.4422812149462616</v>
      </c>
    </row>
    <row r="17">
      <c r="A17" s="14" t="inlineStr">
        <is>
          <t>Tax-loss carryforward, end of year</t>
        </is>
      </c>
      <c r="C17" s="23">
        <f>Assumptions!$B$21-C8+MAX(0,-C7)</f>
        <v>531.426</v>
      </c>
      <c r="D17" s="23">
        <f>C17-D8+MAX(0,-D7)</f>
        <v>547.8520000000001</v>
      </c>
      <c r="E17" s="23">
        <f>D17-E8+MAX(0,-E7)</f>
        <v>564.2780000000001</v>
      </c>
      <c r="F17" s="23">
        <f>E17-F8+MAX(0,-F7)</f>
        <v>580.7040000000002</v>
      </c>
      <c r="G17" s="23">
        <f>F17-G8+MAX(0,-G7)</f>
        <v>581.2362024000001</v>
      </c>
      <c r="H17" s="23">
        <f>G17-H8+MAX(0,-H7)</f>
        <v>576.5844048000001</v>
      </c>
      <c r="I17" s="23">
        <f>H17-I8+MAX(0,-I7)</f>
        <v>564.1566072000002</v>
      </c>
      <c r="J17" s="23">
        <f>I17-J8+MAX(0,-J7)</f>
        <v>541.3608096000002</v>
      </c>
      <c r="K17" s="23">
        <f>J17-K8+MAX(0,-K7)</f>
        <v>508.19701200000014</v>
      </c>
      <c r="L17" s="23">
        <f>K17-L8+MAX(0,-L7)</f>
        <v>464.66521440000014</v>
      </c>
      <c r="M17" s="23">
        <f>L17-M8+MAX(0,-M7)</f>
        <v>413.3574168000001</v>
      </c>
      <c r="N17" s="23">
        <f>M17-N8+MAX(0,-N7)</f>
        <v>362.0496192000001</v>
      </c>
      <c r="O17" s="23">
        <f>N17-O8+MAX(0,-O7)</f>
        <v>310.7418216000001</v>
      </c>
      <c r="P17" s="23">
        <f>O17-P8+MAX(0,-P7)</f>
        <v>259.4340240000001</v>
      </c>
      <c r="Q17" s="23">
        <f>P17-Q8+MAX(0,-Q7)</f>
        <v>208.12622640000006</v>
      </c>
      <c r="R17" s="23">
        <f>Q17-R8+MAX(0,-R7)</f>
        <v>156.81842880000005</v>
      </c>
      <c r="S17" s="23">
        <f>R17-S8+MAX(0,-S7)</f>
        <v>105.51063120000005</v>
      </c>
      <c r="T17" s="23">
        <f>S17-T8+MAX(0,-T7)</f>
        <v>54.20283360000005</v>
      </c>
      <c r="U17" s="23">
        <f>T17-U8+MAX(0,-U7)</f>
        <v>28.815036000000045</v>
      </c>
      <c r="V17" s="23">
        <f>U17-V8+MAX(0,-V7)</f>
        <v>16.387238400000044</v>
      </c>
    </row>
    <row r="19">
      <c r="A19" s="14" t="inlineStr">
        <is>
          <t>PV of risked pipeline contribution</t>
        </is>
      </c>
      <c r="B19" s="23">
        <f>SUMPRODUCT(C5:V5,C15:V15)</f>
        <v>147.231171043147</v>
      </c>
    </row>
    <row r="20">
      <c r="A20" s="14" t="inlineStr">
        <is>
          <t>PV of corporate burn</t>
        </is>
      </c>
      <c r="B20" s="23">
        <f>SUMPRODUCT(C6:V6,C15:V15)</f>
        <v>-50.12191853124072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97.10925251190625</v>
      </c>
    </row>
    <row r="23">
      <c r="A23" s="14" t="inlineStr">
        <is>
          <t>Cash &amp; investments</t>
        </is>
      </c>
      <c r="B23" s="57">
        <f>Main!C7</f>
        <v>10.443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107.55225251190625</v>
      </c>
    </row>
    <row r="26">
      <c r="A26" s="14" t="inlineStr">
        <is>
          <t>Shares (mm)</t>
        </is>
      </c>
      <c r="B26" s="57">
        <f>Main!C4</f>
        <v>9.010937</v>
      </c>
    </row>
    <row r="27">
      <c r="A27" s="24" t="inlineStr">
        <is>
          <t>rNPV / share</t>
        </is>
      </c>
      <c r="B27" s="60">
        <f>B25/B26</f>
        <v>11.935745695692495</v>
      </c>
    </row>
    <row r="28">
      <c r="A28" s="14" t="inlineStr">
        <is>
          <t>Price</t>
        </is>
      </c>
      <c r="B28" s="61">
        <f>Main!C3</f>
        <v>1.04</v>
      </c>
    </row>
    <row r="29">
      <c r="A29" s="14" t="inlineStr">
        <is>
          <t>Upside</t>
        </is>
      </c>
      <c r="B29" s="62">
        <f>B27/B28-1</f>
        <v>10.476678553550475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2026-10-21T06:30:58Z</dcterms:modified>
  <cp:lastModifiedBy>Wang, Eric</cp:lastModifiedBy>
</cp:coreProperties>
</file>