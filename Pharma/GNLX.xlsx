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Genelux Corporation</t>
        </is>
      </c>
      <c r="C2" s="10" t="n"/>
    </row>
    <row r="3">
      <c r="B3" t="inlineStr">
        <is>
          <t>Price</t>
        </is>
      </c>
      <c r="C3" s="11">
        <f>INDEX([1]Pharma!$F$1:$F$1000,MATCH("GNLX",[1]Pharma!$B$1:$B$1000,0))</f>
        <v>2.5</v>
      </c>
      <c r="F3" s="1" t="n"/>
    </row>
    <row r="4">
      <c r="B4" t="inlineStr">
        <is>
          <t>Shares</t>
        </is>
      </c>
      <c r="C4" s="21" t="n">
        <v>45.245335</v>
      </c>
      <c r="F4" s="1" t="n"/>
    </row>
    <row r="5">
      <c r="B5" t="inlineStr">
        <is>
          <t>Market Cap.</t>
        </is>
      </c>
      <c r="C5" s="13">
        <f>C3*C4</f>
        <v>113.1133375</v>
      </c>
      <c r="F5" s="1" t="n"/>
    </row>
    <row r="6"/>
    <row r="7">
      <c r="B7" t="inlineStr">
        <is>
          <t>Cash</t>
        </is>
      </c>
      <c r="C7" s="21">
        <f>9.184+9.5</f>
        <v>18.683999999999997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94.4293375</v>
      </c>
    </row>
    <row r="10"/>
    <row r="11">
      <c r="B11" s="14" t="inlineStr">
        <is>
          <t>rNPV / Share</t>
        </is>
      </c>
      <c r="C11" s="11">
        <f>NPV!B27</f>
        <v>18.286444376469127</v>
      </c>
    </row>
    <row r="12">
      <c r="B12" s="14" t="inlineStr">
        <is>
          <t>Upside</t>
        </is>
      </c>
      <c r="C12" s="15">
        <f>IFERROR(C11/C3-1,"")</f>
        <v>6.314577750587651</v>
      </c>
    </row>
    <row r="13">
      <c r="B13" s="14" t="inlineStr">
        <is>
          <t>Cash / Share</t>
        </is>
      </c>
      <c r="C13" s="11">
        <f>IFERROR((C7-C8)/C4,"")</f>
        <v>0.4129486498442325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-25.277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0.7391699964394508</v>
      </c>
    </row>
    <row r="19">
      <c r="B19" s="14" t="inlineStr">
        <is>
          <t>Implied Pipeline Value</t>
        </is>
      </c>
      <c r="C19" s="13">
        <f>C9</f>
        <v>94.4293375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11.068</v>
      </c>
      <c r="C2" s="23" t="n">
        <v>0.17</v>
      </c>
      <c r="D2" s="23" t="n">
        <v>0.008</v>
      </c>
      <c r="E2" s="23" t="n">
        <v>0.008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11.068</v>
      </c>
      <c r="C4" s="23">
        <f>C2-C3</f>
        <v>0.17</v>
      </c>
      <c r="D4" s="23">
        <f>D2-D3</f>
        <v>0.008</v>
      </c>
      <c r="E4" s="23">
        <f>E2-E3</f>
        <v>0.008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9.077999999999999</v>
      </c>
      <c r="C5" s="23" t="n">
        <v>12.767</v>
      </c>
      <c r="D5" s="23" t="n">
        <v>18.998</v>
      </c>
      <c r="E5" s="23" t="n">
        <v>19.851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5.003</v>
      </c>
      <c r="C6" s="23" t="n">
        <v>11.568</v>
      </c>
      <c r="D6" s="23" t="n">
        <v>12.706</v>
      </c>
      <c r="E6" s="23" t="n">
        <v>13.371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14.081</v>
      </c>
      <c r="C7" s="23">
        <f>SUM(C5:C6)</f>
        <v>24.335</v>
      </c>
      <c r="D7" s="23">
        <f>SUM(D5:D6)</f>
        <v>31.704</v>
      </c>
      <c r="E7" s="23">
        <f>SUM(E5:E6)</f>
        <v>33.222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-3.013</v>
      </c>
      <c r="C8" s="23">
        <f>C4-C7</f>
        <v>-24.165</v>
      </c>
      <c r="D8" s="23">
        <f>D4-D7</f>
        <v>-31.696</v>
      </c>
      <c r="E8" s="23">
        <f>E4-E7</f>
        <v>-33.214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-1.094</v>
      </c>
      <c r="C9" s="23" t="n">
        <v>-4.132</v>
      </c>
      <c r="D9" s="23" t="n">
        <v>1.827</v>
      </c>
      <c r="E9" s="23" t="n">
        <v>1.069</v>
      </c>
    </row>
    <row r="10">
      <c r="A10" s="2" t="inlineStr">
        <is>
          <t>Pretax</t>
        </is>
      </c>
      <c r="B10" s="23">
        <f>B8+B9</f>
        <v>-4.107</v>
      </c>
      <c r="C10" s="23">
        <f>C8+C9</f>
        <v>-28.296999999999997</v>
      </c>
      <c r="D10" s="23">
        <f>D8+D9</f>
        <v>-29.869</v>
      </c>
      <c r="E10" s="23">
        <f>E8+E9</f>
        <v>-32.144999999999996</v>
      </c>
      <c r="I10" s="1" t="n"/>
      <c r="J10" s="1" t="n"/>
      <c r="K10" s="1" t="n"/>
    </row>
    <row r="11">
      <c r="A11" s="2" t="inlineStr">
        <is>
          <t>Taxes</t>
        </is>
      </c>
      <c r="B11" s="23" t="n">
        <v>1.1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-5.207</v>
      </c>
      <c r="C12" s="23" t="n">
        <v>-28.297</v>
      </c>
      <c r="D12" s="23" t="n">
        <v>-29.869</v>
      </c>
      <c r="E12" s="23" t="n">
        <v>-32.145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-0.5711935059236507</v>
      </c>
      <c r="C13" s="11">
        <f>IFERROR(C12/C14,0)</f>
        <v>-1.1583364034549102</v>
      </c>
      <c r="D13" s="11">
        <f>IFERROR(D12/D14,0)</f>
        <v>-0.9496995326062764</v>
      </c>
      <c r="E13" s="11">
        <f>IFERROR(E12/E14,0)</f>
        <v>-0.8646474971084274</v>
      </c>
    </row>
    <row r="14">
      <c r="A14" s="2" t="inlineStr">
        <is>
          <t>Shares</t>
        </is>
      </c>
      <c r="B14" s="23" t="n">
        <v>9.116</v>
      </c>
      <c r="C14" s="23" t="n">
        <v>24.429</v>
      </c>
      <c r="D14" s="23" t="n">
        <v>31.451</v>
      </c>
      <c r="E14" s="23" t="n">
        <v>37.177</v>
      </c>
    </row>
    <row r="15"/>
    <row r="16" customFormat="1" s="4">
      <c r="A16" s="3" t="inlineStr">
        <is>
          <t>Revenue Change</t>
        </is>
      </c>
      <c r="C16" s="15">
        <f>IFERROR(C2/B2-1,"")</f>
        <v>-0.9846404047705096</v>
      </c>
      <c r="D16" s="15">
        <f>IFERROR(D2/C2-1,"")</f>
        <v>-0.9529411764705882</v>
      </c>
      <c r="E16" s="15">
        <f>IFERROR(E2/D2-1,"")</f>
        <v>0.0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-0.27222623780267435</v>
      </c>
      <c r="C18" s="15">
        <f>IFERROR(C8/C2,"")</f>
        <v>-142.1470588235294</v>
      </c>
      <c r="D18" s="15">
        <f>IFERROR(D8/D2,"")</f>
        <v>-3962.0</v>
      </c>
      <c r="E18" s="15">
        <f>IFERROR(E8/E2,"")</f>
        <v>-4151.75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Genelux Corporation: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0.4994096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36.422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95.5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808.6923017722117</v>
      </c>
      <c r="C29" s="42">
        <f>NPV!B25</f>
        <v>827.3763017722117</v>
      </c>
      <c r="D29" s="43">
        <f>NPV!B27</f>
        <v>18.286444376469127</v>
      </c>
      <c r="E29" s="44">
        <f>NPV!B29</f>
        <v>6.314577750587651</v>
      </c>
    </row>
    <row r="30">
      <c r="A30" s="45" t="n">
        <v>1</v>
      </c>
      <c r="B30" s="46">
        <f t="dataTable" ref="B30:E32" r1="B4"/>
        <v>282.9355441844492</v>
      </c>
      <c r="C30" s="46">
        <v>301.6195441844492</v>
      </c>
      <c r="D30" s="47">
        <v>6.666312542153776</v>
      </c>
      <c r="E30" s="48">
        <v>1.6665250168615104</v>
      </c>
    </row>
    <row r="31">
      <c r="A31" s="45" t="n">
        <v>2</v>
      </c>
      <c r="B31" s="46">
        <v>808.6923017722117</v>
      </c>
      <c r="C31" s="46">
        <v>827.3763017722117</v>
      </c>
      <c r="D31" s="47">
        <v>18.286444376469127</v>
      </c>
      <c r="E31" s="48">
        <v>6.314577750587651</v>
      </c>
    </row>
    <row r="32">
      <c r="A32" s="45" t="n">
        <v>3</v>
      </c>
      <c r="B32" s="46">
        <v>1630.2131128698077</v>
      </c>
      <c r="C32" s="46">
        <v>1648.8971128698076</v>
      </c>
      <c r="D32" s="47">
        <v>36.44347230205739</v>
      </c>
      <c r="E32" s="48">
        <v>13.577388920822955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18.286444376469127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4.667571090839254</v>
      </c>
      <c r="C37" s="47">
        <v>7.64555366711884</v>
      </c>
      <c r="D37" s="47">
        <v>10.61334556930536</v>
      </c>
      <c r="E37" s="47">
        <v>16.52441955737353</v>
      </c>
      <c r="F37" s="47">
        <v>22.432717091781775</v>
      </c>
    </row>
    <row r="38">
      <c r="A38" s="50" t="n">
        <v>0.8</v>
      </c>
      <c r="B38" s="47">
        <v>6.549307486322085</v>
      </c>
      <c r="C38" s="47">
        <v>10.50636335590411</v>
      </c>
      <c r="D38" s="47">
        <v>14.448800151439467</v>
      </c>
      <c r="E38" s="47">
        <v>22.327579357387286</v>
      </c>
      <c r="F38" s="47">
        <v>30.185988296309922</v>
      </c>
    </row>
    <row r="39">
      <c r="A39" s="50" t="n">
        <v>1</v>
      </c>
      <c r="B39" s="47">
        <v>8.425074161888778</v>
      </c>
      <c r="C39" s="47">
        <v>13.362207372751739</v>
      </c>
      <c r="D39" s="47">
        <v>18.286444376469127</v>
      </c>
      <c r="E39" s="47">
        <v>28.120519404277484</v>
      </c>
      <c r="F39" s="47">
        <v>37.943403676094704</v>
      </c>
    </row>
    <row r="40">
      <c r="A40" s="50" t="n">
        <v>1.2</v>
      </c>
      <c r="B40" s="47">
        <v>10.3050617916324</v>
      </c>
      <c r="C40" s="47">
        <v>16.219183423540777</v>
      </c>
      <c r="D40" s="47">
        <v>22.12826782800164</v>
      </c>
      <c r="E40" s="47">
        <v>33.917502104955446</v>
      </c>
      <c r="F40" s="47">
        <v>45.70496323113611</v>
      </c>
    </row>
    <row r="41">
      <c r="A41" s="50" t="n">
        <v>1.4</v>
      </c>
      <c r="B41" s="47">
        <v>12.186406895628325</v>
      </c>
      <c r="C41" s="47">
        <v>19.08033870083267</v>
      </c>
      <c r="D41" s="47">
        <v>25.96659100034595</v>
      </c>
      <c r="E41" s="47">
        <v>39.71862898089005</v>
      </c>
      <c r="F41" s="47">
        <v>53.47066696143415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Genelux Corporation: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Ovarian cancer</t>
        </is>
      </c>
      <c r="C4" s="14" t="inlineStr">
        <is>
          <t>olvimulogene nanivacirepvec, Olvi-Vec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Lung cancer</t>
        </is>
      </c>
      <c r="C5" s="14" t="inlineStr">
        <is>
          <t>Olvi-Vec, Etoposide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3000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368.0779276078674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32.4</v>
      </c>
      <c r="S5" s="23">
        <f>IF(S$3&lt;$I5,0,$G5*Assumptions!$E$11*INDEX(Assumptions!$B$24:$G$24,MIN(6,S$3-$I5+1))*IF(S$3&gt;$J5,(1-Assumptions!$B$26)^(S$3-$J5),1)*IF($H5&gt;=1,1,MIN(0.97,$H5*Assumptions!$E$12)))</f>
        <v>81.0</v>
      </c>
      <c r="T5" s="23">
        <f>IF(T$3&lt;$I5,0,$G5*Assumptions!$E$11*INDEX(Assumptions!$B$24:$G$24,MIN(6,T$3-$I5+1))*IF(T$3&gt;$J5,(1-Assumptions!$B$26)^(T$3-$J5),1)*IF($H5&gt;=1,1,MIN(0.97,$H5*Assumptions!$E$12)))</f>
        <v>145.8</v>
      </c>
      <c r="U5" s="23">
        <f>IF(U$3&lt;$I5,0,$G5*Assumptions!$E$11*INDEX(Assumptions!$B$24:$G$24,MIN(6,U$3-$I5+1))*IF(U$3&gt;$J5,(1-Assumptions!$B$26)^(U$3-$J5),1)*IF($H5&gt;=1,1,MIN(0.97,$H5*Assumptions!$E$12)))</f>
        <v>210.6</v>
      </c>
      <c r="V5" s="23">
        <f>IF(V$3&lt;$I5,0,$G5*Assumptions!$E$11*INDEX(Assumptions!$B$24:$G$24,MIN(6,V$3-$I5+1))*IF(V$3&gt;$J5,(1-Assumptions!$B$26)^(V$3-$J5),1)*IF($H5&gt;=1,1,MIN(0.97,$H5*Assumptions!$E$12)))</f>
        <v>275.4</v>
      </c>
      <c r="W5" s="23">
        <f>IF(W$3&lt;$I5,0,$G5*Assumptions!$E$11*INDEX(Assumptions!$B$24:$G$24,MIN(6,W$3-$I5+1))*IF(W$3&gt;$J5,(1-Assumptions!$B$26)^(W$3-$J5),1)*IF($H5&gt;=1,1,MIN(0.97,$H5*Assumptions!$E$12)))</f>
        <v>324.0</v>
      </c>
      <c r="X5" s="23">
        <f>IF(X$3&lt;$I5,0,$G5*Assumptions!$E$11*INDEX(Assumptions!$B$24:$G$24,MIN(6,X$3-$I5+1))*IF(X$3&gt;$J5,(1-Assumptions!$B$26)^(X$3-$J5),1)*IF($H5&gt;=1,1,MIN(0.97,$H5*Assumptions!$E$12)))</f>
        <v>324.0</v>
      </c>
      <c r="Y5" s="23">
        <f>IF(Y$3&lt;$I5,0,$G5*Assumptions!$E$11*INDEX(Assumptions!$B$24:$G$24,MIN(6,Y$3-$I5+1))*IF(Y$3&gt;$J5,(1-Assumptions!$B$26)^(Y$3-$J5),1)*IF($H5&gt;=1,1,MIN(0.97,$H5*Assumptions!$E$12)))</f>
        <v>324.0</v>
      </c>
      <c r="Z5" s="23">
        <f>IF(Z$3&lt;$I5,0,$G5*Assumptions!$E$11*INDEX(Assumptions!$B$24:$G$24,MIN(6,Z$3-$I5+1))*IF(Z$3&gt;$J5,(1-Assumptions!$B$26)^(Z$3-$J5),1)*IF($H5&gt;=1,1,MIN(0.97,$H5*Assumptions!$E$12)))</f>
        <v>324.0</v>
      </c>
      <c r="AA5" s="23">
        <f>IF(AA$3&lt;$I5,0,$G5*Assumptions!$E$11*INDEX(Assumptions!$B$24:$G$24,MIN(6,AA$3-$I5+1))*IF(AA$3&gt;$J5,(1-Assumptions!$B$26)^(AA$3-$J5),1)*IF($H5&gt;=1,1,MIN(0.97,$H5*Assumptions!$E$12)))</f>
        <v>324.0</v>
      </c>
      <c r="AB5" s="23">
        <f>IF(AB$3&lt;$I5,0,$G5*Assumptions!$E$11*INDEX(Assumptions!$B$24:$G$24,MIN(6,AB$3-$I5+1))*IF(AB$3&gt;$J5,(1-Assumptions!$B$26)^(AB$3-$J5),1)*IF($H5&gt;=1,1,MIN(0.97,$H5*Assumptions!$E$12)))</f>
        <v>324.0</v>
      </c>
      <c r="AC5" s="23">
        <f>IF(AC$3&lt;$I5,0,$G5*Assumptions!$E$11*INDEX(Assumptions!$B$24:$G$24,MIN(6,AC$3-$I5+1))*IF(AC$3&gt;$J5,(1-Assumptions!$B$26)^(AC$3-$J5),1)*IF($H5&gt;=1,1,MIN(0.97,$H5*Assumptions!$E$12)))</f>
        <v>324.0</v>
      </c>
      <c r="AD5" s="23">
        <f>IF(AD$3&lt;$I5,0,$G5*Assumptions!$E$11*INDEX(Assumptions!$B$24:$G$24,MIN(6,AD$3-$I5+1))*IF(AD$3&gt;$J5,(1-Assumptions!$B$26)^(AD$3-$J5),1)*IF($H5&gt;=1,1,MIN(0.97,$H5*Assumptions!$E$12)))</f>
        <v>324.0</v>
      </c>
      <c r="AE5" s="23">
        <f>IF(AE$3&lt;$I5,0,$G5*Assumptions!$E$11*INDEX(Assumptions!$B$24:$G$24,MIN(6,AE$3-$I5+1))*IF(AE$3&gt;$J5,(1-Assumptions!$B$26)^(AE$3-$J5),1)*IF($H5&gt;=1,1,MIN(0.97,$H5*Assumptions!$E$12)))</f>
        <v>162.0</v>
      </c>
      <c r="AF5" s="23">
        <f>IF(AF$3&lt;$I5,0,$G5*Assumptions!$E$11*INDEX(Assumptions!$B$24:$G$24,MIN(6,AF$3-$I5+1))*IF(AF$3&gt;$J5,(1-Assumptions!$B$26)^(AF$3-$J5),1)*IF($H5&gt;=1,1,MIN(0.97,$H5*Assumptions!$E$12)))</f>
        <v>81.0</v>
      </c>
      <c r="AG5" s="35">
        <f>IF(F5="Owned",1-IF(H5&gt;=1,1,MIN(0.97,H5*Assumptions!$E$12)),1)</f>
        <v>0.892</v>
      </c>
    </row>
    <row r="6">
      <c r="B6" s="24" t="inlineStr">
        <is>
          <t>Risked revenue</t>
        </is>
      </c>
      <c r="L6" s="54">
        <f>SUM(L4:L5)</f>
        <v>1123.4032898701826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52.656000000000006</v>
      </c>
      <c r="Q6" s="54">
        <f>SUM(Q4:Q5)</f>
        <v>131.64000000000001</v>
      </c>
      <c r="R6" s="54">
        <f>SUM(R4:R5)</f>
        <v>269.35200000000003</v>
      </c>
      <c r="S6" s="54">
        <f>SUM(S4:S5)</f>
        <v>423.264</v>
      </c>
      <c r="T6" s="54">
        <f>SUM(T4:T5)</f>
        <v>593.376</v>
      </c>
      <c r="U6" s="54">
        <f>SUM(U4:U5)</f>
        <v>737.1600000000001</v>
      </c>
      <c r="V6" s="54">
        <f>SUM(V4:V5)</f>
        <v>801.96</v>
      </c>
      <c r="W6" s="54">
        <f>SUM(W4:W5)</f>
        <v>850.5600000000001</v>
      </c>
      <c r="X6" s="54">
        <f>SUM(X4:X5)</f>
        <v>850.5600000000001</v>
      </c>
      <c r="Y6" s="54">
        <f>SUM(Y4:Y5)</f>
        <v>850.5600000000001</v>
      </c>
      <c r="Z6" s="54">
        <f>SUM(Z4:Z5)</f>
        <v>850.5600000000001</v>
      </c>
      <c r="AA6" s="54">
        <f>SUM(AA4:AA5)</f>
        <v>850.5600000000001</v>
      </c>
      <c r="AB6" s="54">
        <f>SUM(AB4:AB5)</f>
        <v>850.5600000000001</v>
      </c>
      <c r="AC6" s="54">
        <f>SUM(AC4:AC5)</f>
        <v>587.28</v>
      </c>
      <c r="AD6" s="54">
        <f>SUM(AD4:AD5)</f>
        <v>455.64</v>
      </c>
      <c r="AE6" s="54">
        <f>SUM(AE4:AE5)</f>
        <v>227.82</v>
      </c>
      <c r="AF6" s="54">
        <f>SUM(AF4:AF5)</f>
        <v>113.91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21.062400000000004</v>
      </c>
      <c r="Q7" s="55">
        <f>SUMPRODUCT(Q4:Q5,$K$4:$K$5)</f>
        <v>52.656000000000006</v>
      </c>
      <c r="R7" s="55">
        <f>SUMPRODUCT(R4:R5,$K$4:$K$5)</f>
        <v>107.74080000000001</v>
      </c>
      <c r="S7" s="55">
        <f>SUMPRODUCT(S4:S5,$K$4:$K$5)</f>
        <v>169.30560000000003</v>
      </c>
      <c r="T7" s="55">
        <f>SUMPRODUCT(T4:T5,$K$4:$K$5)</f>
        <v>237.35040000000004</v>
      </c>
      <c r="U7" s="55">
        <f>SUMPRODUCT(U4:U5,$K$4:$K$5)</f>
        <v>294.86400000000003</v>
      </c>
      <c r="V7" s="55">
        <f>SUMPRODUCT(V4:V5,$K$4:$K$5)</f>
        <v>320.784</v>
      </c>
      <c r="W7" s="55">
        <f>SUMPRODUCT(W4:W5,$K$4:$K$5)</f>
        <v>340.22400000000005</v>
      </c>
      <c r="X7" s="55">
        <f>SUMPRODUCT(X4:X5,$K$4:$K$5)</f>
        <v>340.22400000000005</v>
      </c>
      <c r="Y7" s="55">
        <f>SUMPRODUCT(Y4:Y5,$K$4:$K$5)</f>
        <v>340.22400000000005</v>
      </c>
      <c r="Z7" s="55">
        <f>SUMPRODUCT(Z4:Z5,$K$4:$K$5)</f>
        <v>340.22400000000005</v>
      </c>
      <c r="AA7" s="55">
        <f>SUMPRODUCT(AA4:AA5,$K$4:$K$5)</f>
        <v>340.22400000000005</v>
      </c>
      <c r="AB7" s="55">
        <f>SUMPRODUCT(AB4:AB5,$K$4:$K$5)</f>
        <v>340.22400000000005</v>
      </c>
      <c r="AC7" s="55">
        <f>SUMPRODUCT(AC4:AC5,$K$4:$K$5)</f>
        <v>234.912</v>
      </c>
      <c r="AD7" s="55">
        <f>SUMPRODUCT(AD4:AD5,$K$4:$K$5)</f>
        <v>182.256</v>
      </c>
      <c r="AE7" s="55">
        <f>SUMPRODUCT(AE4:AE5,$K$4:$K$5)</f>
        <v>91.128</v>
      </c>
      <c r="AF7" s="55">
        <f>SUMPRODUCT(AF4:AF5,$K$4:$K$5)</f>
        <v>45.564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Genelux Corporation: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52.656000000000006</v>
      </c>
      <c r="G4" s="57">
        <f>Pipeline!Q6</f>
        <v>131.64000000000001</v>
      </c>
      <c r="H4" s="57">
        <f>Pipeline!R6</f>
        <v>269.35200000000003</v>
      </c>
      <c r="I4" s="57">
        <f>Pipeline!S6</f>
        <v>423.264</v>
      </c>
      <c r="J4" s="57">
        <f>Pipeline!T6</f>
        <v>593.376</v>
      </c>
      <c r="K4" s="57">
        <f>Pipeline!U6</f>
        <v>737.1600000000001</v>
      </c>
      <c r="L4" s="57">
        <f>Pipeline!V6</f>
        <v>801.96</v>
      </c>
      <c r="M4" s="57">
        <f>Pipeline!W6</f>
        <v>850.5600000000001</v>
      </c>
      <c r="N4" s="57">
        <f>Pipeline!X6</f>
        <v>850.5600000000001</v>
      </c>
      <c r="O4" s="57">
        <f>Pipeline!Y6</f>
        <v>850.5600000000001</v>
      </c>
      <c r="P4" s="57">
        <f>Pipeline!Z6</f>
        <v>850.5600000000001</v>
      </c>
      <c r="Q4" s="57">
        <f>Pipeline!AA6</f>
        <v>850.5600000000001</v>
      </c>
      <c r="R4" s="57">
        <f>Pipeline!AB6</f>
        <v>850.5600000000001</v>
      </c>
      <c r="S4" s="57">
        <f>Pipeline!AC6</f>
        <v>587.28</v>
      </c>
      <c r="T4" s="57">
        <f>Pipeline!AD6</f>
        <v>455.64</v>
      </c>
      <c r="U4" s="57">
        <f>Pipeline!AE6</f>
        <v>227.82</v>
      </c>
      <c r="V4" s="57">
        <f>Pipeline!AF6</f>
        <v>113.91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21.062400000000004</v>
      </c>
      <c r="G5" s="57">
        <f>Pipeline!Q7</f>
        <v>52.656000000000006</v>
      </c>
      <c r="H5" s="57">
        <f>Pipeline!R7</f>
        <v>107.74080000000001</v>
      </c>
      <c r="I5" s="57">
        <f>Pipeline!S7</f>
        <v>169.30560000000003</v>
      </c>
      <c r="J5" s="57">
        <f>Pipeline!T7</f>
        <v>237.35040000000004</v>
      </c>
      <c r="K5" s="57">
        <f>Pipeline!U7</f>
        <v>294.86400000000003</v>
      </c>
      <c r="L5" s="57">
        <f>Pipeline!V7</f>
        <v>320.784</v>
      </c>
      <c r="M5" s="57">
        <f>Pipeline!W7</f>
        <v>340.22400000000005</v>
      </c>
      <c r="N5" s="57">
        <f>Pipeline!X7</f>
        <v>340.22400000000005</v>
      </c>
      <c r="O5" s="57">
        <f>Pipeline!Y7</f>
        <v>340.22400000000005</v>
      </c>
      <c r="P5" s="57">
        <f>Pipeline!Z7</f>
        <v>340.22400000000005</v>
      </c>
      <c r="Q5" s="57">
        <f>Pipeline!AA7</f>
        <v>340.22400000000005</v>
      </c>
      <c r="R5" s="57">
        <f>Pipeline!AB7</f>
        <v>340.22400000000005</v>
      </c>
      <c r="S5" s="57">
        <f>Pipeline!AC7</f>
        <v>234.912</v>
      </c>
      <c r="T5" s="57">
        <f>Pipeline!AD7</f>
        <v>182.256</v>
      </c>
      <c r="U5" s="57">
        <f>Pipeline!AE7</f>
        <v>91.128</v>
      </c>
      <c r="V5" s="57">
        <f>Pipeline!AF7</f>
        <v>45.564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-36.422</v>
      </c>
      <c r="D6" s="23">
        <f>-IF(D3-2026&lt;Assumptions!$B$19,Assumptions!$B$18,Assumptions!$B$18*Assumptions!$B$20*Assumptions!$B$16)</f>
        <v>-36.422</v>
      </c>
      <c r="E6" s="23">
        <f>-IF(E3-2026&lt;Assumptions!$B$19,Assumptions!$B$18,Assumptions!$B$18*Assumptions!$B$20*Assumptions!$B$16)</f>
        <v>-36.422</v>
      </c>
      <c r="F6" s="23">
        <f>-IF(F3-2026&lt;Assumptions!$B$19,Assumptions!$B$18,Assumptions!$B$18*Assumptions!$B$20*Assumptions!$B$16)</f>
        <v>-5.456848935359999</v>
      </c>
      <c r="G6" s="23">
        <f>-IF(G3-2026&lt;Assumptions!$B$19,Assumptions!$B$18,Assumptions!$B$18*Assumptions!$B$20*Assumptions!$B$16)</f>
        <v>-5.456848935359999</v>
      </c>
      <c r="H6" s="23">
        <f>-IF(H3-2026&lt;Assumptions!$B$19,Assumptions!$B$18,Assumptions!$B$18*Assumptions!$B$20*Assumptions!$B$16)</f>
        <v>-5.456848935359999</v>
      </c>
      <c r="I6" s="23">
        <f>-IF(I3-2026&lt;Assumptions!$B$19,Assumptions!$B$18,Assumptions!$B$18*Assumptions!$B$20*Assumptions!$B$16)</f>
        <v>-5.456848935359999</v>
      </c>
      <c r="J6" s="23">
        <f>-IF(J3-2026&lt;Assumptions!$B$19,Assumptions!$B$18,Assumptions!$B$18*Assumptions!$B$20*Assumptions!$B$16)</f>
        <v>-5.456848935359999</v>
      </c>
      <c r="K6" s="23">
        <f>-IF(K3-2026&lt;Assumptions!$B$19,Assumptions!$B$18,Assumptions!$B$18*Assumptions!$B$20*Assumptions!$B$16)</f>
        <v>-5.456848935359999</v>
      </c>
      <c r="L6" s="23">
        <f>-IF(L3-2026&lt;Assumptions!$B$19,Assumptions!$B$18,Assumptions!$B$18*Assumptions!$B$20*Assumptions!$B$16)</f>
        <v>-5.456848935359999</v>
      </c>
      <c r="M6" s="23">
        <f>-IF(M3-2026&lt;Assumptions!$B$19,Assumptions!$B$18,Assumptions!$B$18*Assumptions!$B$20*Assumptions!$B$16)</f>
        <v>-5.456848935359999</v>
      </c>
      <c r="N6" s="23">
        <f>-IF(N3-2026&lt;Assumptions!$B$19,Assumptions!$B$18,Assumptions!$B$18*Assumptions!$B$20*Assumptions!$B$16)</f>
        <v>-5.456848935359999</v>
      </c>
      <c r="O6" s="23">
        <f>-IF(O3-2026&lt;Assumptions!$B$19,Assumptions!$B$18,Assumptions!$B$18*Assumptions!$B$20*Assumptions!$B$16)</f>
        <v>-5.456848935359999</v>
      </c>
      <c r="P6" s="23">
        <f>-IF(P3-2026&lt;Assumptions!$B$19,Assumptions!$B$18,Assumptions!$B$18*Assumptions!$B$20*Assumptions!$B$16)</f>
        <v>-5.456848935359999</v>
      </c>
      <c r="Q6" s="23">
        <f>-IF(Q3-2026&lt;Assumptions!$B$19,Assumptions!$B$18,Assumptions!$B$18*Assumptions!$B$20*Assumptions!$B$16)</f>
        <v>-5.456848935359999</v>
      </c>
      <c r="R6" s="23">
        <f>-IF(R3-2026&lt;Assumptions!$B$19,Assumptions!$B$18,Assumptions!$B$18*Assumptions!$B$20*Assumptions!$B$16)</f>
        <v>-5.456848935359999</v>
      </c>
      <c r="S6" s="23">
        <f>-IF(S3-2026&lt;Assumptions!$B$19,Assumptions!$B$18,Assumptions!$B$18*Assumptions!$B$20*Assumptions!$B$16)</f>
        <v>-5.456848935359999</v>
      </c>
      <c r="T6" s="23">
        <f>-IF(T3-2026&lt;Assumptions!$B$19,Assumptions!$B$18,Assumptions!$B$18*Assumptions!$B$20*Assumptions!$B$16)</f>
        <v>-5.456848935359999</v>
      </c>
      <c r="U6" s="23">
        <f>-IF(U3-2026&lt;Assumptions!$B$19,Assumptions!$B$18,Assumptions!$B$18*Assumptions!$B$20*Assumptions!$B$16)</f>
        <v>-5.456848935359999</v>
      </c>
      <c r="V6" s="23">
        <f>-IF(V3-2026&lt;Assumptions!$B$19,Assumptions!$B$18,Assumptions!$B$18*Assumptions!$B$20*Assumptions!$B$16)</f>
        <v>-5.456848935359999</v>
      </c>
    </row>
    <row r="7">
      <c r="A7" s="14" t="inlineStr">
        <is>
          <t>Pre-tax cash flow</t>
        </is>
      </c>
      <c r="C7" s="23">
        <f>C5+C6</f>
        <v>-36.422</v>
      </c>
      <c r="D7" s="23">
        <f>D5+D6</f>
        <v>-36.422</v>
      </c>
      <c r="E7" s="23">
        <f>E5+E6</f>
        <v>-36.422</v>
      </c>
      <c r="F7" s="23">
        <f>F5+F6</f>
        <v>15.605551064640004</v>
      </c>
      <c r="G7" s="23">
        <f>G5+G6</f>
        <v>47.199151064640006</v>
      </c>
      <c r="H7" s="23">
        <f>H5+H6</f>
        <v>102.28395106464001</v>
      </c>
      <c r="I7" s="23">
        <f>I5+I6</f>
        <v>163.84875106464003</v>
      </c>
      <c r="J7" s="23">
        <f>J5+J6</f>
        <v>231.89355106464004</v>
      </c>
      <c r="K7" s="23">
        <f>K5+K6</f>
        <v>289.40715106464006</v>
      </c>
      <c r="L7" s="23">
        <f>L5+L6</f>
        <v>315.32715106464</v>
      </c>
      <c r="M7" s="23">
        <f>M5+M6</f>
        <v>334.7671510646401</v>
      </c>
      <c r="N7" s="23">
        <f>N5+N6</f>
        <v>334.7671510646401</v>
      </c>
      <c r="O7" s="23">
        <f>O5+O6</f>
        <v>334.7671510646401</v>
      </c>
      <c r="P7" s="23">
        <f>P5+P6</f>
        <v>334.7671510646401</v>
      </c>
      <c r="Q7" s="23">
        <f>Q5+Q6</f>
        <v>334.7671510646401</v>
      </c>
      <c r="R7" s="23">
        <f>R5+R6</f>
        <v>334.7671510646401</v>
      </c>
      <c r="S7" s="23">
        <f>S5+S6</f>
        <v>229.45515106464</v>
      </c>
      <c r="T7" s="23">
        <f>T5+T6</f>
        <v>176.79915106464</v>
      </c>
      <c r="U7" s="23">
        <f>U5+U6</f>
        <v>85.67115106464</v>
      </c>
      <c r="V7" s="23">
        <f>V5+V6</f>
        <v>40.10715106464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15.605551064640004</v>
      </c>
      <c r="G8" s="23">
        <f>MIN(F17,MAX(0,G7))</f>
        <v>47.199151064640006</v>
      </c>
      <c r="H8" s="23">
        <f>MIN(G17,MAX(0,H7))</f>
        <v>102.28395106464001</v>
      </c>
      <c r="I8" s="23">
        <f>MIN(H17,MAX(0,I7))</f>
        <v>39.67734680607998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124.17140425856005</v>
      </c>
      <c r="J9" s="23">
        <f>MAX(0,J7)-J8</f>
        <v>231.89355106464004</v>
      </c>
      <c r="K9" s="23">
        <f>MAX(0,K7)-K8</f>
        <v>289.40715106464006</v>
      </c>
      <c r="L9" s="23">
        <f>MAX(0,L7)-L8</f>
        <v>315.32715106464</v>
      </c>
      <c r="M9" s="23">
        <f>MAX(0,M7)-M8</f>
        <v>334.7671510646401</v>
      </c>
      <c r="N9" s="23">
        <f>MAX(0,N7)-N8</f>
        <v>334.7671510646401</v>
      </c>
      <c r="O9" s="23">
        <f>MAX(0,O7)-O8</f>
        <v>334.7671510646401</v>
      </c>
      <c r="P9" s="23">
        <f>MAX(0,P7)-P8</f>
        <v>334.7671510646401</v>
      </c>
      <c r="Q9" s="23">
        <f>MAX(0,Q7)-Q8</f>
        <v>334.7671510646401</v>
      </c>
      <c r="R9" s="23">
        <f>MAX(0,R7)-R8</f>
        <v>334.7671510646401</v>
      </c>
      <c r="S9" s="23">
        <f>MAX(0,S7)-S8</f>
        <v>229.45515106464</v>
      </c>
      <c r="T9" s="23">
        <f>MAX(0,T7)-T8</f>
        <v>176.79915106464</v>
      </c>
      <c r="U9" s="23">
        <f>MAX(0,U7)-U8</f>
        <v>85.67115106464</v>
      </c>
      <c r="V9" s="23">
        <f>MAX(0,V7)-V8</f>
        <v>40.10715106464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26.075994894297608</v>
      </c>
      <c r="J10" s="23">
        <f>J9*Assumptions!$E$15</f>
        <v>48.697645723574404</v>
      </c>
      <c r="K10" s="23">
        <f>K9*Assumptions!$E$15</f>
        <v>60.77550172357441</v>
      </c>
      <c r="L10" s="23">
        <f>L9*Assumptions!$E$15</f>
        <v>66.2187017235744</v>
      </c>
      <c r="M10" s="23">
        <f>M9*Assumptions!$E$15</f>
        <v>70.30110172357442</v>
      </c>
      <c r="N10" s="23">
        <f>N9*Assumptions!$E$15</f>
        <v>70.30110172357442</v>
      </c>
      <c r="O10" s="23">
        <f>O9*Assumptions!$E$15</f>
        <v>70.30110172357442</v>
      </c>
      <c r="P10" s="23">
        <f>P9*Assumptions!$E$15</f>
        <v>70.30110172357442</v>
      </c>
      <c r="Q10" s="23">
        <f>Q9*Assumptions!$E$15</f>
        <v>70.30110172357442</v>
      </c>
      <c r="R10" s="23">
        <f>R9*Assumptions!$E$15</f>
        <v>70.30110172357442</v>
      </c>
      <c r="S10" s="23">
        <f>S9*Assumptions!$E$15</f>
        <v>48.1855817235744</v>
      </c>
      <c r="T10" s="23">
        <f>T9*Assumptions!$E$15</f>
        <v>37.1278217235744</v>
      </c>
      <c r="U10" s="23">
        <f>U9*Assumptions!$E$15</f>
        <v>17.990941723574398</v>
      </c>
      <c r="V10" s="23">
        <f>V9*Assumptions!$E$15</f>
        <v>8.422501723574399</v>
      </c>
    </row>
    <row r="11">
      <c r="A11" s="24" t="inlineStr">
        <is>
          <t>Free cash flow</t>
        </is>
      </c>
      <c r="C11" s="55">
        <f>C7-C10</f>
        <v>-36.422</v>
      </c>
      <c r="D11" s="55">
        <f>D7-D10</f>
        <v>-36.422</v>
      </c>
      <c r="E11" s="55">
        <f>E7-E10</f>
        <v>-36.422</v>
      </c>
      <c r="F11" s="55">
        <f>F7-F10</f>
        <v>15.605551064640004</v>
      </c>
      <c r="G11" s="55">
        <f>G7-G10</f>
        <v>47.199151064640006</v>
      </c>
      <c r="H11" s="55">
        <f>H7-H10</f>
        <v>102.28395106464001</v>
      </c>
      <c r="I11" s="55">
        <f>I7-I10</f>
        <v>137.7727561703424</v>
      </c>
      <c r="J11" s="55">
        <f>J7-J10</f>
        <v>183.19590534106564</v>
      </c>
      <c r="K11" s="55">
        <f>K7-K10</f>
        <v>228.63164934106567</v>
      </c>
      <c r="L11" s="55">
        <f>L7-L10</f>
        <v>249.10844934106564</v>
      </c>
      <c r="M11" s="55">
        <f>M7-M10</f>
        <v>264.4660493410656</v>
      </c>
      <c r="N11" s="55">
        <f>N7-N10</f>
        <v>264.4660493410656</v>
      </c>
      <c r="O11" s="55">
        <f>O7-O10</f>
        <v>264.4660493410656</v>
      </c>
      <c r="P11" s="55">
        <f>P7-P10</f>
        <v>264.4660493410656</v>
      </c>
      <c r="Q11" s="55">
        <f>Q7-Q10</f>
        <v>264.4660493410656</v>
      </c>
      <c r="R11" s="55">
        <f>R7-R10</f>
        <v>264.4660493410656</v>
      </c>
      <c r="S11" s="55">
        <f>S7-S10</f>
        <v>181.26956934106562</v>
      </c>
      <c r="T11" s="55">
        <f>T7-T10</f>
        <v>139.6713293410656</v>
      </c>
      <c r="U11" s="55">
        <f>U7-U10</f>
        <v>67.6802093410656</v>
      </c>
      <c r="V11" s="55">
        <f>V7-V10</f>
        <v>31.6846493410656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-17.84329619981199</v>
      </c>
      <c r="D16" s="55">
        <f>D11*D15</f>
        <v>-32.50453619272862</v>
      </c>
      <c r="E16" s="55">
        <f>E11*E15</f>
        <v>-29.02190731493626</v>
      </c>
      <c r="F16" s="55">
        <f>F11*F15</f>
        <v>11.102563025989177</v>
      </c>
      <c r="G16" s="55">
        <f>G11*G15</f>
        <v>29.981979494814187</v>
      </c>
      <c r="H16" s="55">
        <f>H11*H15</f>
        <v>58.01169948232362</v>
      </c>
      <c r="I16" s="55">
        <f>I11*I15</f>
        <v>69.76754107259005</v>
      </c>
      <c r="J16" s="55">
        <f>J11*J15</f>
        <v>82.83002831651037</v>
      </c>
      <c r="K16" s="55">
        <f>K11*K15</f>
        <v>92.29759273331821</v>
      </c>
      <c r="L16" s="55">
        <f>L11*L15</f>
        <v>89.78927407428674</v>
      </c>
      <c r="M16" s="55">
        <f>M11*M15</f>
        <v>85.11143386129892</v>
      </c>
      <c r="N16" s="55">
        <f>N11*N15</f>
        <v>75.99235166187401</v>
      </c>
      <c r="O16" s="55">
        <f>O11*O15</f>
        <v>67.85031398381608</v>
      </c>
      <c r="P16" s="55">
        <f>P11*P15</f>
        <v>60.580637485550064</v>
      </c>
      <c r="Q16" s="55">
        <f>Q11*Q15</f>
        <v>54.08985489781256</v>
      </c>
      <c r="R16" s="55">
        <f>R11*R15</f>
        <v>48.29451330161835</v>
      </c>
      <c r="S16" s="55">
        <f>S11*S15</f>
        <v>29.55525742182319</v>
      </c>
      <c r="T16" s="55">
        <f>T11*T15</f>
        <v>20.332888885406394</v>
      </c>
      <c r="U16" s="55">
        <f>U11*U15</f>
        <v>8.797018218497488</v>
      </c>
      <c r="V16" s="55">
        <f>V11*V15</f>
        <v>3.677093562159264</v>
      </c>
    </row>
    <row r="17">
      <c r="A17" s="14" t="inlineStr">
        <is>
          <t>Tax-loss carryforward, end of year</t>
        </is>
      </c>
      <c r="C17" s="23">
        <f>Assumptions!$B$21-C8+MAX(0,-C7)</f>
        <v>131.922</v>
      </c>
      <c r="D17" s="23">
        <f>C17-D8+MAX(0,-D7)</f>
        <v>168.344</v>
      </c>
      <c r="E17" s="23">
        <f>D17-E8+MAX(0,-E7)</f>
        <v>204.766</v>
      </c>
      <c r="F17" s="23">
        <f>E17-F8+MAX(0,-F7)</f>
        <v>189.16044893536</v>
      </c>
      <c r="G17" s="23">
        <f>F17-G8+MAX(0,-G7)</f>
        <v>141.96129787072</v>
      </c>
      <c r="H17" s="23">
        <f>G17-H8+MAX(0,-H7)</f>
        <v>39.67734680607998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1123.4032898701826</v>
      </c>
    </row>
    <row r="20">
      <c r="A20" s="14" t="inlineStr">
        <is>
          <t>PV of corporate burn</t>
        </is>
      </c>
      <c r="B20" s="23">
        <f>SUMPRODUCT(C6:V6,C15:V15)</f>
        <v>-110.32693068144222</v>
      </c>
    </row>
    <row r="21">
      <c r="A21" s="14" t="inlineStr">
        <is>
          <t>PV of taxes</t>
        </is>
      </c>
      <c r="B21" s="23">
        <f>-SUMPRODUCT(C10:V10,C15:V15)</f>
        <v>-204.38405741652855</v>
      </c>
    </row>
    <row r="22">
      <c r="A22" s="24" t="inlineStr">
        <is>
          <t>Pipeline rNPV (operations)</t>
        </is>
      </c>
      <c r="B22" s="54">
        <f>SUM(C16:V16)</f>
        <v>808.6923017722117</v>
      </c>
    </row>
    <row r="23">
      <c r="A23" s="14" t="inlineStr">
        <is>
          <t>Cash &amp; investments</t>
        </is>
      </c>
      <c r="B23" s="57">
        <f>Main!C7</f>
        <v>18.683999999999997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827.3763017722117</v>
      </c>
    </row>
    <row r="26">
      <c r="A26" s="14" t="inlineStr">
        <is>
          <t>Shares (mm)</t>
        </is>
      </c>
      <c r="B26" s="57">
        <f>Main!C4</f>
        <v>45.245335</v>
      </c>
    </row>
    <row r="27">
      <c r="A27" s="24" t="inlineStr">
        <is>
          <t>rNPV / share</t>
        </is>
      </c>
      <c r="B27" s="60">
        <f>B25/B26</f>
        <v>18.286444376469127</v>
      </c>
    </row>
    <row r="28">
      <c r="A28" s="14" t="inlineStr">
        <is>
          <t>Price</t>
        </is>
      </c>
      <c r="B28" s="61">
        <f>Main!C3</f>
        <v>2.5</v>
      </c>
    </row>
    <row r="29">
      <c r="A29" s="14" t="inlineStr">
        <is>
          <t>Upside</t>
        </is>
      </c>
      <c r="B29" s="62">
        <f>B27/B28-1</f>
        <v>6.314577750587651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2026-10-21T06:28:01Z</dcterms:modified>
  <cp:lastModifiedBy>Wang, Eric</cp:lastModifiedBy>
</cp:coreProperties>
</file>