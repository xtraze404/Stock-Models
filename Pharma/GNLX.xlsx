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Genelux Corporation</t>
        </is>
      </c>
      <c r="C2" s="10" t="n"/>
    </row>
    <row r="3">
      <c r="B3" t="inlineStr">
        <is>
          <t>Price</t>
        </is>
      </c>
      <c r="C3" s="11">
        <f>INDEX([1]Pharma!$F$1:$F$1000,MATCH("GNLX",[1]Pharma!$B$1:$B$1000,0))</f>
        <v>2.5</v>
      </c>
      <c r="F3" s="1" t="n"/>
    </row>
    <row r="4">
      <c r="B4" t="inlineStr">
        <is>
          <t>Shares</t>
        </is>
      </c>
      <c r="C4" s="21" t="n">
        <v>45.245335</v>
      </c>
      <c r="F4" s="1" t="n"/>
    </row>
    <row r="5">
      <c r="B5" t="inlineStr">
        <is>
          <t>Market Cap.</t>
        </is>
      </c>
      <c r="C5" s="13">
        <f>C3*C4</f>
        <v>113.1133375</v>
      </c>
      <c r="F5" s="1" t="n"/>
    </row>
    <row r="6"/>
    <row r="7">
      <c r="B7" t="inlineStr">
        <is>
          <t>Cash</t>
        </is>
      </c>
      <c r="C7" s="21">
        <f>9.184+9.5</f>
        <v>18.683999999999997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94.4293375</v>
      </c>
    </row>
    <row r="10"/>
    <row r="11">
      <c r="B11" s="14" t="inlineStr">
        <is>
          <t>Net Cash / Share</t>
        </is>
      </c>
      <c r="C11" s="11">
        <f>(C7-C8)/C4</f>
        <v>0.4129486498442325</v>
      </c>
    </row>
    <row r="12">
      <c r="B12" s="14" t="inlineStr">
        <is>
          <t>Upside</t>
        </is>
      </c>
      <c r="C12" s="15">
        <f>IFERROR(C11/C3-1,"")</f>
        <v>-0.834820540062307</v>
      </c>
    </row>
    <row r="13">
      <c r="B13" s="14" t="inlineStr">
        <is>
          <t>Cash / Share</t>
        </is>
      </c>
      <c r="C13" s="11">
        <f>IFERROR((C7-C8)/C4,"")</f>
        <v>0.4129486498442325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-25.277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0.7391699964394508</v>
      </c>
    </row>
    <row r="19">
      <c r="B19" s="14" t="inlineStr">
        <is>
          <t>Implied Pipeline Value</t>
        </is>
      </c>
      <c r="C19" s="13">
        <f>C9</f>
        <v>94.4293375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11.068</v>
      </c>
      <c r="C2" s="23" t="n">
        <v>0.17</v>
      </c>
      <c r="D2" s="23" t="n">
        <v>0.008</v>
      </c>
      <c r="E2" s="23" t="n">
        <v>0.008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11.068</v>
      </c>
      <c r="C4" s="23">
        <f>C2-C3</f>
        <v>0.17</v>
      </c>
      <c r="D4" s="23">
        <f>D2-D3</f>
        <v>0.008</v>
      </c>
      <c r="E4" s="23">
        <f>E2-E3</f>
        <v>0.008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9.077999999999999</v>
      </c>
      <c r="C5" s="23" t="n">
        <v>12.767</v>
      </c>
      <c r="D5" s="23" t="n">
        <v>18.998</v>
      </c>
      <c r="E5" s="23" t="n">
        <v>19.851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5.003</v>
      </c>
      <c r="C6" s="23" t="n">
        <v>11.568</v>
      </c>
      <c r="D6" s="23" t="n">
        <v>12.706</v>
      </c>
      <c r="E6" s="23" t="n">
        <v>13.371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14.081</v>
      </c>
      <c r="C7" s="23">
        <f>SUM(C5:C6)</f>
        <v>24.335</v>
      </c>
      <c r="D7" s="23">
        <f>SUM(D5:D6)</f>
        <v>31.704</v>
      </c>
      <c r="E7" s="23">
        <f>SUM(E5:E6)</f>
        <v>33.222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-3.013</v>
      </c>
      <c r="C8" s="23">
        <f>C4-C7</f>
        <v>-24.165</v>
      </c>
      <c r="D8" s="23">
        <f>D4-D7</f>
        <v>-31.696</v>
      </c>
      <c r="E8" s="23">
        <f>E4-E7</f>
        <v>-33.214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-1.094</v>
      </c>
      <c r="C9" s="23" t="n">
        <v>-4.132</v>
      </c>
      <c r="D9" s="23" t="n">
        <v>1.827</v>
      </c>
      <c r="E9" s="23" t="n">
        <v>1.069</v>
      </c>
    </row>
    <row r="10">
      <c r="A10" s="2" t="inlineStr">
        <is>
          <t>Pretax</t>
        </is>
      </c>
      <c r="B10" s="23">
        <f>B8+B9</f>
        <v>-4.107</v>
      </c>
      <c r="C10" s="23">
        <f>C8+C9</f>
        <v>-28.296999999999997</v>
      </c>
      <c r="D10" s="23">
        <f>D8+D9</f>
        <v>-29.869</v>
      </c>
      <c r="E10" s="23">
        <f>E8+E9</f>
        <v>-32.144999999999996</v>
      </c>
      <c r="I10" s="1" t="n"/>
      <c r="J10" s="1" t="n"/>
      <c r="K10" s="1" t="n"/>
    </row>
    <row r="11">
      <c r="A11" s="2" t="inlineStr">
        <is>
          <t>Taxes</t>
        </is>
      </c>
      <c r="B11" s="23" t="n">
        <v>1.1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-5.207</v>
      </c>
      <c r="C12" s="23" t="n">
        <v>-28.297</v>
      </c>
      <c r="D12" s="23" t="n">
        <v>-29.869</v>
      </c>
      <c r="E12" s="23" t="n">
        <v>-32.145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-0.5711935059236507</v>
      </c>
      <c r="C13" s="11">
        <f>IFERROR(C12/C14,0)</f>
        <v>-1.1583364034549102</v>
      </c>
      <c r="D13" s="11">
        <f>IFERROR(D12/D14,0)</f>
        <v>-0.9496995326062764</v>
      </c>
      <c r="E13" s="11">
        <f>IFERROR(E12/E14,0)</f>
        <v>-0.8646474971084274</v>
      </c>
    </row>
    <row r="14">
      <c r="A14" s="2" t="inlineStr">
        <is>
          <t>Shares</t>
        </is>
      </c>
      <c r="B14" s="23" t="n">
        <v>9.116</v>
      </c>
      <c r="C14" s="23" t="n">
        <v>24.429</v>
      </c>
      <c r="D14" s="23" t="n">
        <v>31.451</v>
      </c>
      <c r="E14" s="23" t="n">
        <v>37.177</v>
      </c>
    </row>
    <row r="15"/>
    <row r="16" customFormat="1" s="4">
      <c r="A16" s="3" t="inlineStr">
        <is>
          <t>Revenue Change</t>
        </is>
      </c>
      <c r="C16" s="15">
        <f>IFERROR(C2/B2-1,"")</f>
        <v>-0.9846404047705096</v>
      </c>
      <c r="D16" s="15">
        <f>IFERROR(D2/C2-1,"")</f>
        <v>-0.9529411764705882</v>
      </c>
      <c r="E16" s="15">
        <f>IFERROR(E2/D2-1,"")</f>
        <v>0.0</v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-0.27222623780267435</v>
      </c>
      <c r="C18" s="15">
        <f>IFERROR(C8/C2,"")</f>
        <v>-142.1470588235294</v>
      </c>
      <c r="D18" s="15">
        <f>IFERROR(D8/D2,"")</f>
        <v>-3962.0</v>
      </c>
      <c r="E18" s="15">
        <f>IFERROR(E8/E2,"")</f>
        <v>-4151.75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2026-10-21T01:05:54Z</dcterms:modified>
  <cp:lastModifiedBy>Wang, Eric</cp:lastModifiedBy>
</cp:coreProperties>
</file>