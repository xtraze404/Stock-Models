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HCW Biologics Inc</t>
        </is>
      </c>
      <c r="C2" s="10" t="n"/>
    </row>
    <row r="3">
      <c r="B3" t="inlineStr">
        <is>
          <t>Price</t>
        </is>
      </c>
      <c r="C3" s="11">
        <f>INDEX([1]Pharma!$F$1:$F$1000,MATCH("HCWB",[1]Pharma!$B$1:$B$1000,0))</f>
        <v>1.23</v>
      </c>
      <c r="F3" s="1" t="n"/>
    </row>
    <row r="4">
      <c r="B4" t="inlineStr">
        <is>
          <t>Shares</t>
        </is>
      </c>
      <c r="C4" s="21" t="n">
        <v>1.836324</v>
      </c>
      <c r="F4" s="1" t="n"/>
    </row>
    <row r="5">
      <c r="B5" t="inlineStr">
        <is>
          <t>Market Cap.</t>
        </is>
      </c>
      <c r="C5" s="13">
        <f>C3*C4</f>
        <v>2.25867852</v>
      </c>
      <c r="F5" s="1" t="n"/>
    </row>
    <row r="6"/>
    <row r="7">
      <c r="B7" t="inlineStr">
        <is>
          <t>Cash</t>
        </is>
      </c>
      <c r="C7" s="21" t="n">
        <v>0.741324</v>
      </c>
    </row>
    <row r="8">
      <c r="B8" t="inlineStr">
        <is>
          <t>Debt</t>
        </is>
      </c>
      <c r="C8" s="21" t="n">
        <v>6.561361</v>
      </c>
    </row>
    <row r="9">
      <c r="B9" t="inlineStr">
        <is>
          <t>Enterprise V.</t>
        </is>
      </c>
      <c r="C9" s="13">
        <f>C5-C7+C8</f>
        <v>8.07871552</v>
      </c>
    </row>
    <row r="10"/>
    <row r="11">
      <c r="B11" s="14" t="inlineStr">
        <is>
          <t>Net Cash / Share</t>
        </is>
      </c>
      <c r="C11" s="11">
        <f>(C7-C8)/C4</f>
        <v>-3.169395487942215</v>
      </c>
    </row>
    <row r="12">
      <c r="B12" s="14" t="inlineStr">
        <is>
          <t>Upside</t>
        </is>
      </c>
      <c r="C12" s="15">
        <f>IFERROR(C11/C3-1,"")</f>
        <v>-3.576744299140012</v>
      </c>
    </row>
    <row r="13">
      <c r="B13" s="14" t="inlineStr">
        <is>
          <t>Cash / Share</t>
        </is>
      </c>
      <c r="C13" s="11">
        <f>IFERROR((C7-C8)/C4,"")</f>
        <v>-3.169395487942215</v>
      </c>
    </row>
    <row r="14">
      <c r="B14" s="14" t="inlineStr">
        <is>
          <t>Scenario</t>
        </is>
      </c>
      <c r="C14" s="14" t="inlineStr">
        <is>
          <t>small 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-12.137</v>
      </c>
    </row>
    <row r="18">
      <c r="B18" s="14" t="inlineStr">
        <is>
          <t>Runway (years)</t>
        </is>
      </c>
      <c r="C18" s="22" t="str">
        <f>IF(AND(ISNUMBER(C17),C17&lt;0),IF(C7&gt;C8,(C7-C8)/-C17,"net debt"),"n/a")</f>
        <v>net debt</v>
      </c>
    </row>
    <row r="19">
      <c r="B19" s="14" t="inlineStr">
        <is>
          <t>Implied Pipeline Value</t>
        </is>
      </c>
      <c r="C19" s="13">
        <f>C9</f>
        <v>8.07871552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4.1</v>
      </c>
      <c r="C2" s="23" t="n">
        <v>0</v>
      </c>
      <c r="D2" s="23" t="n">
        <v>6.722</v>
      </c>
      <c r="E2" s="23" t="n">
        <v>2.842</v>
      </c>
      <c r="F2" s="23" t="n">
        <v>2.567</v>
      </c>
      <c r="G2" s="23" t="n">
        <v>0.054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4.136</v>
      </c>
      <c r="E3" s="23" t="n">
        <v>2.281</v>
      </c>
      <c r="F3" s="23" t="n">
        <v>1.607</v>
      </c>
      <c r="G3" s="23" t="n">
        <v>0.043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4.1</v>
      </c>
      <c r="C4" s="23">
        <f>C2-C3</f>
        <v>0.0</v>
      </c>
      <c r="D4" s="23">
        <f>D2-D3</f>
        <v>2.5860000000000003</v>
      </c>
      <c r="E4" s="23">
        <f>E2-E3</f>
        <v>0.5609999999999999</v>
      </c>
      <c r="F4" s="23">
        <f>F2-F3</f>
        <v>0.9600000000000002</v>
      </c>
      <c r="G4" s="23">
        <f>G2-G3</f>
        <v>0.011000000000000003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7.255</v>
      </c>
      <c r="C5" s="23" t="n">
        <v>8.173999999999999</v>
      </c>
      <c r="D5" s="23" t="n">
        <v>9.337999999999999</v>
      </c>
      <c r="E5" s="23" t="n">
        <v>7.676</v>
      </c>
      <c r="F5" s="23" t="n">
        <v>6.389</v>
      </c>
      <c r="G5" s="23" t="n">
        <v>5.443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2.669</v>
      </c>
      <c r="C6" s="23" t="n">
        <v>5.194</v>
      </c>
      <c r="D6" s="23" t="n">
        <v>8.327</v>
      </c>
      <c r="E6" s="23" t="n">
        <v>18.601</v>
      </c>
      <c r="F6" s="23" t="n">
        <v>24.027</v>
      </c>
      <c r="G6" s="23" t="n">
        <v>7.73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9.924</v>
      </c>
      <c r="C7" s="23">
        <f>SUM(C5:C6)</f>
        <v>13.367999999999999</v>
      </c>
      <c r="D7" s="23">
        <f>SUM(D5:D6)</f>
        <v>17.665</v>
      </c>
      <c r="E7" s="23">
        <f>SUM(E5:E6)</f>
        <v>26.277</v>
      </c>
      <c r="F7" s="23">
        <f>SUM(F5:F6)</f>
        <v>30.416</v>
      </c>
      <c r="G7" s="23">
        <f>SUM(G5:G6)</f>
        <v>13.173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-5.824</v>
      </c>
      <c r="C8" s="23">
        <f>C4-C7</f>
        <v>-13.367999999999999</v>
      </c>
      <c r="D8" s="23">
        <f>D4-D7</f>
        <v>-15.078999999999999</v>
      </c>
      <c r="E8" s="23">
        <f>E4-E7</f>
        <v>-25.716</v>
      </c>
      <c r="F8" s="23">
        <f>F4-F7</f>
        <v>-29.456</v>
      </c>
      <c r="G8" s="23">
        <f>G4-G7</f>
        <v>-13.162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0.022</v>
      </c>
      <c r="C9" s="23" t="n">
        <v>0.505</v>
      </c>
      <c r="D9" s="23" t="n">
        <v>0.178</v>
      </c>
      <c r="E9" s="23" t="n">
        <v>0.723</v>
      </c>
      <c r="F9" s="23" t="n">
        <v>-0.5669999999999999</v>
      </c>
      <c r="G9" s="23" t="n">
        <v>5.203</v>
      </c>
    </row>
    <row r="10">
      <c r="A10" s="2" t="inlineStr">
        <is>
          <t>Pretax</t>
        </is>
      </c>
      <c r="B10" s="23">
        <f>B8+B9</f>
        <v>-5.802</v>
      </c>
      <c r="C10" s="23">
        <f>C8+C9</f>
        <v>-12.862999999999998</v>
      </c>
      <c r="D10" s="23">
        <f>D8+D9</f>
        <v>-14.900999999999998</v>
      </c>
      <c r="E10" s="23">
        <f>E8+E9</f>
        <v>-24.993000000000002</v>
      </c>
      <c r="F10" s="23">
        <f>F8+F9</f>
        <v>-30.023</v>
      </c>
      <c r="G10" s="23">
        <f>G8+G9</f>
        <v>-7.9590000000000005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</row>
    <row r="12">
      <c r="A12" s="2" t="inlineStr">
        <is>
          <t>Net Income</t>
        </is>
      </c>
      <c r="B12" s="23" t="n">
        <v>-5.802</v>
      </c>
      <c r="C12" s="23" t="n">
        <v>-12.862</v>
      </c>
      <c r="D12" s="23" t="n">
        <v>-14.901</v>
      </c>
      <c r="E12" s="23" t="n">
        <v>-24.994</v>
      </c>
      <c r="F12" s="23" t="n">
        <v>-30.024</v>
      </c>
      <c r="G12" s="23" t="n">
        <v>-7.96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-11.332031249999998</v>
      </c>
      <c r="C13" s="11">
        <f>IFERROR(C12/C14,0)</f>
        <v>-25.368836291913215</v>
      </c>
      <c r="D13" s="11">
        <f>IFERROR(D12/D14,0)</f>
        <v>-15.393595041322314</v>
      </c>
      <c r="E13" s="11">
        <f>IFERROR(E12/E14,0)</f>
        <v>-25.740473738414007</v>
      </c>
      <c r="F13" s="11">
        <f>IFERROR(F12/F14,0)</f>
        <v>-30.95257731958763</v>
      </c>
      <c r="G13" s="11">
        <f>IFERROR(G12/G14,0)</f>
        <v>-3.7940896091515732</v>
      </c>
    </row>
    <row r="14">
      <c r="A14" s="2" t="inlineStr">
        <is>
          <t>Shares</t>
        </is>
      </c>
      <c r="B14" s="23" t="n">
        <v>0.512</v>
      </c>
      <c r="C14" s="23" t="n">
        <v>0.507</v>
      </c>
      <c r="D14" s="23" t="n">
        <v>0.968</v>
      </c>
      <c r="E14" s="23" t="n">
        <v>0.971</v>
      </c>
      <c r="F14" s="23" t="n">
        <v>0.97</v>
      </c>
      <c r="G14" s="23" t="n">
        <v>2.098</v>
      </c>
    </row>
    <row r="15"/>
    <row r="16" customFormat="1" s="4">
      <c r="A16" s="3" t="inlineStr">
        <is>
          <t>Revenue Change</t>
        </is>
      </c>
      <c r="C16" s="15">
        <f>IFERROR(C2/B2-1,"")</f>
        <v>-1.0</v>
      </c>
      <c r="D16" s="15">
        <f>IFERROR(D2/C2-1,"")</f>
        <v/>
      </c>
      <c r="E16" s="15">
        <f>IFERROR(E2/D2-1,"")</f>
        <v>-0.5772091639393038</v>
      </c>
      <c r="F16" s="15">
        <f>IFERROR(F2/E2-1,"")</f>
        <v>-0.09676284306826177</v>
      </c>
      <c r="G16" s="15">
        <f>IFERROR(G2/F2-1,"")</f>
        <v>-0.9789637709388391</v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/>
      </c>
      <c r="D17" s="15">
        <f>IFERROR(D4/D2,"")</f>
        <v>0.38470693246057724</v>
      </c>
      <c r="E17" s="15">
        <f>IFERROR(E4/E2,"")</f>
        <v>0.19739619985925402</v>
      </c>
      <c r="F17" s="15">
        <f>IFERROR(F4/F2,"")</f>
        <v>0.3739774055317492</v>
      </c>
      <c r="G17" s="15">
        <f>IFERROR(G4/G2,"")</f>
        <v>0.20370370370370375</v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-1.420487804878049</v>
      </c>
      <c r="C18" s="15">
        <f>IFERROR(C8/C2,"")</f>
        <v/>
      </c>
      <c r="D18" s="15">
        <f>IFERROR(D8/D2,"")</f>
        <v>-2.243231181196072</v>
      </c>
      <c r="E18" s="15">
        <f>IFERROR(E8/E2,"")</f>
        <v>-9.048557353976074</v>
      </c>
      <c r="F18" s="15">
        <f>IFERROR(F8/F2,"")</f>
        <v>-11.474873393065835</v>
      </c>
      <c r="G18" s="15">
        <f>IFERROR(G8/G2,"")</f>
        <v>-243.74074074074076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2026-10-21T01:06:52Z</dcterms:modified>
  <cp:lastModifiedBy>Wang, Eric</cp:lastModifiedBy>
</cp:coreProperties>
</file>