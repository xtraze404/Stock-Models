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HCW Biologics Inc</t>
        </is>
      </c>
      <c r="C2" s="10" t="n"/>
    </row>
    <row r="3">
      <c r="B3" t="inlineStr">
        <is>
          <t>Price</t>
        </is>
      </c>
      <c r="C3" s="11">
        <f>INDEX([1]Pharma!$F$1:$F$1000,MATCH("HCWB",[1]Pharma!$B$1:$B$1000,0))</f>
        <v>1.23</v>
      </c>
      <c r="F3" s="1" t="n"/>
    </row>
    <row r="4">
      <c r="B4" t="inlineStr">
        <is>
          <t>Shares</t>
        </is>
      </c>
      <c r="C4" s="21" t="n">
        <v>1.836324</v>
      </c>
      <c r="F4" s="1" t="n"/>
    </row>
    <row r="5">
      <c r="B5" t="inlineStr">
        <is>
          <t>Market Cap.</t>
        </is>
      </c>
      <c r="C5" s="13">
        <f>C3*C4</f>
        <v>2.25867852</v>
      </c>
      <c r="F5" s="1" t="n"/>
    </row>
    <row r="6"/>
    <row r="7">
      <c r="B7" t="inlineStr">
        <is>
          <t>Cash</t>
        </is>
      </c>
      <c r="C7" s="21" t="n">
        <v>0.741324</v>
      </c>
    </row>
    <row r="8">
      <c r="B8" t="inlineStr">
        <is>
          <t>Debt</t>
        </is>
      </c>
      <c r="C8" s="21" t="n">
        <v>6.561361</v>
      </c>
    </row>
    <row r="9">
      <c r="B9" t="inlineStr">
        <is>
          <t>Enterprise V.</t>
        </is>
      </c>
      <c r="C9" s="13">
        <f>C5-C7+C8</f>
        <v>8.07871552</v>
      </c>
    </row>
    <row r="10"/>
    <row r="11">
      <c r="B11" s="14" t="inlineStr">
        <is>
          <t>rNPV / Share</t>
        </is>
      </c>
      <c r="C11" s="11">
        <f>NPV!B27</f>
        <v>49.273909756782</v>
      </c>
    </row>
    <row r="12">
      <c r="B12" s="14" t="inlineStr">
        <is>
          <t>Upside</t>
        </is>
      </c>
      <c r="C12" s="15">
        <f>IFERROR(C11/C3-1,"")</f>
        <v>39.0600892331561</v>
      </c>
    </row>
    <row r="13">
      <c r="B13" s="14" t="inlineStr">
        <is>
          <t>Cash / Share</t>
        </is>
      </c>
      <c r="C13" s="11">
        <f>IFERROR((C7-C8)/C4,"")</f>
        <v>-3.169395487942215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-12.137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8.07871552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4.1</v>
      </c>
      <c r="C2" s="23" t="n">
        <v>0</v>
      </c>
      <c r="D2" s="23" t="n">
        <v>6.722</v>
      </c>
      <c r="E2" s="23" t="n">
        <v>2.842</v>
      </c>
      <c r="F2" s="23" t="n">
        <v>2.567</v>
      </c>
      <c r="G2" s="23" t="n">
        <v>0.054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4.136</v>
      </c>
      <c r="E3" s="23" t="n">
        <v>2.281</v>
      </c>
      <c r="F3" s="23" t="n">
        <v>1.607</v>
      </c>
      <c r="G3" s="23" t="n">
        <v>0.043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4.1</v>
      </c>
      <c r="C4" s="23">
        <f>C2-C3</f>
        <v>0.0</v>
      </c>
      <c r="D4" s="23">
        <f>D2-D3</f>
        <v>2.5860000000000003</v>
      </c>
      <c r="E4" s="23">
        <f>E2-E3</f>
        <v>0.5609999999999999</v>
      </c>
      <c r="F4" s="23">
        <f>F2-F3</f>
        <v>0.9600000000000002</v>
      </c>
      <c r="G4" s="23">
        <f>G2-G3</f>
        <v>0.011000000000000003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7.255</v>
      </c>
      <c r="C5" s="23" t="n">
        <v>8.173999999999999</v>
      </c>
      <c r="D5" s="23" t="n">
        <v>9.337999999999999</v>
      </c>
      <c r="E5" s="23" t="n">
        <v>7.676</v>
      </c>
      <c r="F5" s="23" t="n">
        <v>6.389</v>
      </c>
      <c r="G5" s="23" t="n">
        <v>5.443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2.669</v>
      </c>
      <c r="C6" s="23" t="n">
        <v>5.194</v>
      </c>
      <c r="D6" s="23" t="n">
        <v>8.327</v>
      </c>
      <c r="E6" s="23" t="n">
        <v>18.601</v>
      </c>
      <c r="F6" s="23" t="n">
        <v>24.027</v>
      </c>
      <c r="G6" s="23" t="n">
        <v>7.73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9.924</v>
      </c>
      <c r="C7" s="23">
        <f>SUM(C5:C6)</f>
        <v>13.367999999999999</v>
      </c>
      <c r="D7" s="23">
        <f>SUM(D5:D6)</f>
        <v>17.665</v>
      </c>
      <c r="E7" s="23">
        <f>SUM(E5:E6)</f>
        <v>26.277</v>
      </c>
      <c r="F7" s="23">
        <f>SUM(F5:F6)</f>
        <v>30.416</v>
      </c>
      <c r="G7" s="23">
        <f>SUM(G5:G6)</f>
        <v>13.173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-5.824</v>
      </c>
      <c r="C8" s="23">
        <f>C4-C7</f>
        <v>-13.367999999999999</v>
      </c>
      <c r="D8" s="23">
        <f>D4-D7</f>
        <v>-15.078999999999999</v>
      </c>
      <c r="E8" s="23">
        <f>E4-E7</f>
        <v>-25.716</v>
      </c>
      <c r="F8" s="23">
        <f>F4-F7</f>
        <v>-29.456</v>
      </c>
      <c r="G8" s="23">
        <f>G4-G7</f>
        <v>-13.162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0.022</v>
      </c>
      <c r="C9" s="23" t="n">
        <v>0.505</v>
      </c>
      <c r="D9" s="23" t="n">
        <v>0.178</v>
      </c>
      <c r="E9" s="23" t="n">
        <v>0.723</v>
      </c>
      <c r="F9" s="23" t="n">
        <v>-0.5669999999999999</v>
      </c>
      <c r="G9" s="23" t="n">
        <v>5.203</v>
      </c>
    </row>
    <row r="10">
      <c r="A10" s="2" t="inlineStr">
        <is>
          <t>Pretax</t>
        </is>
      </c>
      <c r="B10" s="23">
        <f>B8+B9</f>
        <v>-5.802</v>
      </c>
      <c r="C10" s="23">
        <f>C8+C9</f>
        <v>-12.862999999999998</v>
      </c>
      <c r="D10" s="23">
        <f>D8+D9</f>
        <v>-14.900999999999998</v>
      </c>
      <c r="E10" s="23">
        <f>E8+E9</f>
        <v>-24.993000000000002</v>
      </c>
      <c r="F10" s="23">
        <f>F8+F9</f>
        <v>-30.023</v>
      </c>
      <c r="G10" s="23">
        <f>G8+G9</f>
        <v>-7.9590000000000005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-5.802</v>
      </c>
      <c r="C12" s="23" t="n">
        <v>-12.862</v>
      </c>
      <c r="D12" s="23" t="n">
        <v>-14.901</v>
      </c>
      <c r="E12" s="23" t="n">
        <v>-24.994</v>
      </c>
      <c r="F12" s="23" t="n">
        <v>-30.024</v>
      </c>
      <c r="G12" s="23" t="n">
        <v>-7.96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-11.332031249999998</v>
      </c>
      <c r="C13" s="11">
        <f>IFERROR(C12/C14,0)</f>
        <v>-25.368836291913215</v>
      </c>
      <c r="D13" s="11">
        <f>IFERROR(D12/D14,0)</f>
        <v>-15.393595041322314</v>
      </c>
      <c r="E13" s="11">
        <f>IFERROR(E12/E14,0)</f>
        <v>-25.740473738414007</v>
      </c>
      <c r="F13" s="11">
        <f>IFERROR(F12/F14,0)</f>
        <v>-30.95257731958763</v>
      </c>
      <c r="G13" s="11">
        <f>IFERROR(G12/G14,0)</f>
        <v>-3.7940896091515732</v>
      </c>
    </row>
    <row r="14">
      <c r="A14" s="2" t="inlineStr">
        <is>
          <t>Shares</t>
        </is>
      </c>
      <c r="B14" s="23" t="n">
        <v>0.512</v>
      </c>
      <c r="C14" s="23" t="n">
        <v>0.507</v>
      </c>
      <c r="D14" s="23" t="n">
        <v>0.968</v>
      </c>
      <c r="E14" s="23" t="n">
        <v>0.971</v>
      </c>
      <c r="F14" s="23" t="n">
        <v>0.97</v>
      </c>
      <c r="G14" s="23" t="n">
        <v>2.098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>-0.5772091639393038</v>
      </c>
      <c r="F16" s="15">
        <f>IFERROR(F2/E2-1,"")</f>
        <v>-0.09676284306826177</v>
      </c>
      <c r="G16" s="15">
        <f>IFERROR(G2/F2-1,"")</f>
        <v>-0.9789637709388391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>0.38470693246057724</v>
      </c>
      <c r="E17" s="15">
        <f>IFERROR(E4/E2,"")</f>
        <v>0.19739619985925402</v>
      </c>
      <c r="F17" s="15">
        <f>IFERROR(F4/F2,"")</f>
        <v>0.3739774055317492</v>
      </c>
      <c r="G17" s="15">
        <f>IFERROR(G4/G2,"")</f>
        <v>0.20370370370370375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-1.420487804878049</v>
      </c>
      <c r="C18" s="15">
        <f>IFERROR(C8/C2,"")</f>
        <v/>
      </c>
      <c r="D18" s="15">
        <f>IFERROR(D8/D2,"")</f>
        <v>-2.243231181196072</v>
      </c>
      <c r="E18" s="15">
        <f>IFERROR(E8/E2,"")</f>
        <v>-9.048557353976074</v>
      </c>
      <c r="F18" s="15">
        <f>IFERROR(F8/F2,"")</f>
        <v>-11.474873393065835</v>
      </c>
      <c r="G18" s="15">
        <f>IFERROR(G8/G2,"")</f>
        <v>-243.74074074074076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HCW Biologics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0.10650000000000004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7.685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96.5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96.30290006021295</v>
      </c>
      <c r="C29" s="42">
        <f>NPV!B25</f>
        <v>90.48286306021295</v>
      </c>
      <c r="D29" s="43">
        <f>NPV!B27</f>
        <v>49.273909756782</v>
      </c>
      <c r="E29" s="44">
        <f>NPV!B29</f>
        <v>39.0600892331561</v>
      </c>
    </row>
    <row r="30">
      <c r="A30" s="45" t="n">
        <v>1</v>
      </c>
      <c r="B30" s="46">
        <f t="dataTable" ref="B30:E32" r1="B4"/>
        <v>26.30109760018692</v>
      </c>
      <c r="C30" s="46">
        <v>20.48106060018692</v>
      </c>
      <c r="D30" s="47">
        <v>11.153293536536538</v>
      </c>
      <c r="E30" s="48">
        <v>8.06771832238743</v>
      </c>
    </row>
    <row r="31">
      <c r="A31" s="45" t="n">
        <v>2</v>
      </c>
      <c r="B31" s="46">
        <v>96.30290006021295</v>
      </c>
      <c r="C31" s="46">
        <v>90.48286306021295</v>
      </c>
      <c r="D31" s="47">
        <v>49.273909756782</v>
      </c>
      <c r="E31" s="48">
        <v>39.0600892331561</v>
      </c>
    </row>
    <row r="32">
      <c r="A32" s="45" t="n">
        <v>3</v>
      </c>
      <c r="B32" s="46">
        <v>212.75622548769212</v>
      </c>
      <c r="C32" s="46">
        <v>206.9361884876921</v>
      </c>
      <c r="D32" s="47">
        <v>112.69045576254086</v>
      </c>
      <c r="E32" s="48">
        <v>90.61825671751289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49.273909756782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6.135870309921068</v>
      </c>
      <c r="C37" s="47">
        <v>15.653067926537727</v>
      </c>
      <c r="D37" s="47">
        <v>24.982064512147588</v>
      </c>
      <c r="E37" s="47">
        <v>43.40560898012419</v>
      </c>
      <c r="F37" s="47">
        <v>61.68106619604369</v>
      </c>
    </row>
    <row r="38">
      <c r="A38" s="50" t="n">
        <v>0.8</v>
      </c>
      <c r="B38" s="47">
        <v>12.393672804226583</v>
      </c>
      <c r="C38" s="47">
        <v>24.867532898647656</v>
      </c>
      <c r="D38" s="47">
        <v>37.162473808845576</v>
      </c>
      <c r="E38" s="47">
        <v>61.56930704838601</v>
      </c>
      <c r="F38" s="47">
        <v>85.85916606684219</v>
      </c>
    </row>
    <row r="39">
      <c r="A39" s="50" t="n">
        <v>1</v>
      </c>
      <c r="B39" s="47">
        <v>18.543150751014675</v>
      </c>
      <c r="C39" s="47">
        <v>33.9775498688244</v>
      </c>
      <c r="D39" s="47">
        <v>49.273909756782</v>
      </c>
      <c r="E39" s="47">
        <v>79.69347924983865</v>
      </c>
      <c r="F39" s="47">
        <v>109.96989500972714</v>
      </c>
    </row>
    <row r="40">
      <c r="A40" s="50" t="n">
        <v>1.2</v>
      </c>
      <c r="B40" s="47">
        <v>24.63846967164779</v>
      </c>
      <c r="C40" s="47">
        <v>43.070331537151155</v>
      </c>
      <c r="D40" s="47">
        <v>61.34578875307066</v>
      </c>
      <c r="E40" s="47">
        <v>97.74892504074593</v>
      </c>
      <c r="F40" s="47">
        <v>134.0806239526121</v>
      </c>
    </row>
    <row r="41">
      <c r="A41" s="50" t="n">
        <v>1.4</v>
      </c>
      <c r="B41" s="47">
        <v>30.679483635602853</v>
      </c>
      <c r="C41" s="47">
        <v>52.09630099745324</v>
      </c>
      <c r="D41" s="47">
        <v>73.41738876780926</v>
      </c>
      <c r="E41" s="47">
        <v>115.80437083165316</v>
      </c>
      <c r="F41" s="47">
        <v>158.13025851366206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HCW Biologics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Hidradenitis / alopecia / vitiligo</t>
        </is>
      </c>
      <c r="C4" s="14" t="inlineStr">
        <is>
          <t>HCW9302, an IL-2 fusion protein</t>
        </is>
      </c>
      <c r="D4" s="14" t="inlineStr">
        <is>
          <t>Phase 1</t>
        </is>
      </c>
      <c r="E4" s="14" t="inlineStr">
        <is>
          <t>Autoimmune / area</t>
        </is>
      </c>
      <c r="F4" s="14" t="inlineStr">
        <is>
          <t>Owned</t>
        </is>
      </c>
      <c r="G4" s="40" t="n">
        <v>1500</v>
      </c>
      <c r="H4" s="27" t="n">
        <v>0.1065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139.88846309262294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15.975</v>
      </c>
      <c r="U4" s="23">
        <f>IF(U$3&lt;$I4,0,$G4*Assumptions!$E$11*INDEX(Assumptions!$B$24:$G$24,MIN(6,U$3-$I4+1))*IF(U$3&gt;$J4,(1-Assumptions!$B$26)^(U$3-$J4),1)*IF($H4&gt;=1,1,MIN(0.97,$H4*Assumptions!$E$12)))</f>
        <v>39.9375</v>
      </c>
      <c r="V4" s="23">
        <f>IF(V$3&lt;$I4,0,$G4*Assumptions!$E$11*INDEX(Assumptions!$B$24:$G$24,MIN(6,V$3-$I4+1))*IF(V$3&gt;$J4,(1-Assumptions!$B$26)^(V$3-$J4),1)*IF($H4&gt;=1,1,MIN(0.97,$H4*Assumptions!$E$12)))</f>
        <v>71.8875</v>
      </c>
      <c r="W4" s="23">
        <f>IF(W$3&lt;$I4,0,$G4*Assumptions!$E$11*INDEX(Assumptions!$B$24:$G$24,MIN(6,W$3-$I4+1))*IF(W$3&gt;$J4,(1-Assumptions!$B$26)^(W$3-$J4),1)*IF($H4&gt;=1,1,MIN(0.97,$H4*Assumptions!$E$12)))</f>
        <v>103.83749999999999</v>
      </c>
      <c r="X4" s="23">
        <f>IF(X$3&lt;$I4,0,$G4*Assumptions!$E$11*INDEX(Assumptions!$B$24:$G$24,MIN(6,X$3-$I4+1))*IF(X$3&gt;$J4,(1-Assumptions!$B$26)^(X$3-$J4),1)*IF($H4&gt;=1,1,MIN(0.97,$H4*Assumptions!$E$12)))</f>
        <v>135.7875</v>
      </c>
      <c r="Y4" s="23">
        <f>IF(Y$3&lt;$I4,0,$G4*Assumptions!$E$11*INDEX(Assumptions!$B$24:$G$24,MIN(6,Y$3-$I4+1))*IF(Y$3&gt;$J4,(1-Assumptions!$B$26)^(Y$3-$J4),1)*IF($H4&gt;=1,1,MIN(0.97,$H4*Assumptions!$E$12)))</f>
        <v>159.75</v>
      </c>
      <c r="Z4" s="23">
        <f>IF(Z$3&lt;$I4,0,$G4*Assumptions!$E$11*INDEX(Assumptions!$B$24:$G$24,MIN(6,Z$3-$I4+1))*IF(Z$3&gt;$J4,(1-Assumptions!$B$26)^(Z$3-$J4),1)*IF($H4&gt;=1,1,MIN(0.97,$H4*Assumptions!$E$12)))</f>
        <v>159.75</v>
      </c>
      <c r="AA4" s="23">
        <f>IF(AA$3&lt;$I4,0,$G4*Assumptions!$E$11*INDEX(Assumptions!$B$24:$G$24,MIN(6,AA$3-$I4+1))*IF(AA$3&gt;$J4,(1-Assumptions!$B$26)^(AA$3-$J4),1)*IF($H4&gt;=1,1,MIN(0.97,$H4*Assumptions!$E$12)))</f>
        <v>159.75</v>
      </c>
      <c r="AB4" s="23">
        <f>IF(AB$3&lt;$I4,0,$G4*Assumptions!$E$11*INDEX(Assumptions!$B$24:$G$24,MIN(6,AB$3-$I4+1))*IF(AB$3&gt;$J4,(1-Assumptions!$B$26)^(AB$3-$J4),1)*IF($H4&gt;=1,1,MIN(0.97,$H4*Assumptions!$E$12)))</f>
        <v>159.75</v>
      </c>
      <c r="AC4" s="23">
        <f>IF(AC$3&lt;$I4,0,$G4*Assumptions!$E$11*INDEX(Assumptions!$B$24:$G$24,MIN(6,AC$3-$I4+1))*IF(AC$3&gt;$J4,(1-Assumptions!$B$26)^(AC$3-$J4),1)*IF($H4&gt;=1,1,MIN(0.97,$H4*Assumptions!$E$12)))</f>
        <v>159.75</v>
      </c>
      <c r="AD4" s="23">
        <f>IF(AD$3&lt;$I4,0,$G4*Assumptions!$E$11*INDEX(Assumptions!$B$24:$G$24,MIN(6,AD$3-$I4+1))*IF(AD$3&gt;$J4,(1-Assumptions!$B$26)^(AD$3-$J4),1)*IF($H4&gt;=1,1,MIN(0.97,$H4*Assumptions!$E$12)))</f>
        <v>159.75</v>
      </c>
      <c r="AE4" s="23">
        <f>IF(AE$3&lt;$I4,0,$G4*Assumptions!$E$11*INDEX(Assumptions!$B$24:$G$24,MIN(6,AE$3-$I4+1))*IF(AE$3&gt;$J4,(1-Assumptions!$B$26)^(AE$3-$J4),1)*IF($H4&gt;=1,1,MIN(0.97,$H4*Assumptions!$E$12)))</f>
        <v>159.75</v>
      </c>
      <c r="AF4" s="23">
        <f>IF(AF$3&lt;$I4,0,$G4*Assumptions!$E$11*INDEX(Assumptions!$B$24:$G$24,MIN(6,AF$3-$I4+1))*IF(AF$3&gt;$J4,(1-Assumptions!$B$26)^(AF$3-$J4),1)*IF($H4&gt;=1,1,MIN(0.97,$H4*Assumptions!$E$12)))</f>
        <v>159.75</v>
      </c>
      <c r="AG4" s="35">
        <f>IF(F4="Owned",1-IF(H4&gt;=1,1,MIN(0.97,H4*Assumptions!$E$12)),1)</f>
        <v>0.8935</v>
      </c>
    </row>
    <row r="5">
      <c r="B5" s="24" t="inlineStr">
        <is>
          <t>Risked revenue</t>
        </is>
      </c>
      <c r="L5" s="54">
        <f>SUM(L4:L4)</f>
        <v>139.88846309262294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15.975</v>
      </c>
      <c r="U5" s="54">
        <f>SUM(U4:U4)</f>
        <v>39.9375</v>
      </c>
      <c r="V5" s="54">
        <f>SUM(V4:V4)</f>
        <v>71.8875</v>
      </c>
      <c r="W5" s="54">
        <f>SUM(W4:W4)</f>
        <v>103.83749999999999</v>
      </c>
      <c r="X5" s="54">
        <f>SUM(X4:X4)</f>
        <v>135.7875</v>
      </c>
      <c r="Y5" s="54">
        <f>SUM(Y4:Y4)</f>
        <v>159.75</v>
      </c>
      <c r="Z5" s="54">
        <f>SUM(Z4:Z4)</f>
        <v>159.75</v>
      </c>
      <c r="AA5" s="54">
        <f>SUM(AA4:AA4)</f>
        <v>159.75</v>
      </c>
      <c r="AB5" s="54">
        <f>SUM(AB4:AB4)</f>
        <v>159.75</v>
      </c>
      <c r="AC5" s="54">
        <f>SUM(AC4:AC4)</f>
        <v>159.75</v>
      </c>
      <c r="AD5" s="54">
        <f>SUM(AD4:AD4)</f>
        <v>159.75</v>
      </c>
      <c r="AE5" s="54">
        <f>SUM(AE4:AE4)</f>
        <v>159.75</v>
      </c>
      <c r="AF5" s="54">
        <f>SUM(AF4:AF4)</f>
        <v>159.75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6.390000000000001</v>
      </c>
      <c r="U6" s="55">
        <f>SUMPRODUCT(U4:U4,$K$4:$K$4)</f>
        <v>15.975000000000001</v>
      </c>
      <c r="V6" s="55">
        <f>SUMPRODUCT(V4:V4,$K$4:$K$4)</f>
        <v>28.755000000000003</v>
      </c>
      <c r="W6" s="55">
        <f>SUMPRODUCT(W4:W4,$K$4:$K$4)</f>
        <v>41.535</v>
      </c>
      <c r="X6" s="55">
        <f>SUMPRODUCT(X4:X4,$K$4:$K$4)</f>
        <v>54.315</v>
      </c>
      <c r="Y6" s="55">
        <f>SUMPRODUCT(Y4:Y4,$K$4:$K$4)</f>
        <v>63.900000000000006</v>
      </c>
      <c r="Z6" s="55">
        <f>SUMPRODUCT(Z4:Z4,$K$4:$K$4)</f>
        <v>63.900000000000006</v>
      </c>
      <c r="AA6" s="55">
        <f>SUMPRODUCT(AA4:AA4,$K$4:$K$4)</f>
        <v>63.900000000000006</v>
      </c>
      <c r="AB6" s="55">
        <f>SUMPRODUCT(AB4:AB4,$K$4:$K$4)</f>
        <v>63.900000000000006</v>
      </c>
      <c r="AC6" s="55">
        <f>SUMPRODUCT(AC4:AC4,$K$4:$K$4)</f>
        <v>63.900000000000006</v>
      </c>
      <c r="AD6" s="55">
        <f>SUMPRODUCT(AD4:AD4,$K$4:$K$4)</f>
        <v>63.900000000000006</v>
      </c>
      <c r="AE6" s="55">
        <f>SUMPRODUCT(AE4:AE4,$K$4:$K$4)</f>
        <v>63.900000000000006</v>
      </c>
      <c r="AF6" s="55">
        <f>SUMPRODUCT(AF4:AF4,$K$4:$K$4)</f>
        <v>63.900000000000006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HCW Biologics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15.975</v>
      </c>
      <c r="K4" s="57">
        <f>Pipeline!U5</f>
        <v>39.9375</v>
      </c>
      <c r="L4" s="57">
        <f>Pipeline!V5</f>
        <v>71.8875</v>
      </c>
      <c r="M4" s="57">
        <f>Pipeline!W5</f>
        <v>103.83749999999999</v>
      </c>
      <c r="N4" s="57">
        <f>Pipeline!X5</f>
        <v>135.7875</v>
      </c>
      <c r="O4" s="57">
        <f>Pipeline!Y5</f>
        <v>159.75</v>
      </c>
      <c r="P4" s="57">
        <f>Pipeline!Z5</f>
        <v>159.75</v>
      </c>
      <c r="Q4" s="57">
        <f>Pipeline!AA5</f>
        <v>159.75</v>
      </c>
      <c r="R4" s="57">
        <f>Pipeline!AB5</f>
        <v>159.75</v>
      </c>
      <c r="S4" s="57">
        <f>Pipeline!AC5</f>
        <v>159.75</v>
      </c>
      <c r="T4" s="57">
        <f>Pipeline!AD5</f>
        <v>159.75</v>
      </c>
      <c r="U4" s="57">
        <f>Pipeline!AE5</f>
        <v>159.75</v>
      </c>
      <c r="V4" s="57">
        <f>Pipeline!AF5</f>
        <v>159.75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6.390000000000001</v>
      </c>
      <c r="K5" s="57">
        <f>Pipeline!U6</f>
        <v>15.975000000000001</v>
      </c>
      <c r="L5" s="57">
        <f>Pipeline!V6</f>
        <v>28.755000000000003</v>
      </c>
      <c r="M5" s="57">
        <f>Pipeline!W6</f>
        <v>41.535</v>
      </c>
      <c r="N5" s="57">
        <f>Pipeline!X6</f>
        <v>54.315</v>
      </c>
      <c r="O5" s="57">
        <f>Pipeline!Y6</f>
        <v>63.900000000000006</v>
      </c>
      <c r="P5" s="57">
        <f>Pipeline!Z6</f>
        <v>63.900000000000006</v>
      </c>
      <c r="Q5" s="57">
        <f>Pipeline!AA6</f>
        <v>63.900000000000006</v>
      </c>
      <c r="R5" s="57">
        <f>Pipeline!AB6</f>
        <v>63.900000000000006</v>
      </c>
      <c r="S5" s="57">
        <f>Pipeline!AC6</f>
        <v>63.900000000000006</v>
      </c>
      <c r="T5" s="57">
        <f>Pipeline!AD6</f>
        <v>63.900000000000006</v>
      </c>
      <c r="U5" s="57">
        <f>Pipeline!AE6</f>
        <v>63.900000000000006</v>
      </c>
      <c r="V5" s="57">
        <f>Pipeline!AF6</f>
        <v>63.900000000000006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-7.685</v>
      </c>
      <c r="D6" s="23">
        <f>-IF(D3-2026&lt;Assumptions!$B$19,Assumptions!$B$18,Assumptions!$B$18*Assumptions!$B$20*Assumptions!$B$16)</f>
        <v>-7.685</v>
      </c>
      <c r="E6" s="23">
        <f>-IF(E3-2026&lt;Assumptions!$B$19,Assumptions!$B$18,Assumptions!$B$18*Assumptions!$B$20*Assumptions!$B$16)</f>
        <v>-7.685</v>
      </c>
      <c r="F6" s="23">
        <f>-IF(F3-2026&lt;Assumptions!$B$19,Assumptions!$B$18,Assumptions!$B$18*Assumptions!$B$20*Assumptions!$B$16)</f>
        <v>-7.685</v>
      </c>
      <c r="G6" s="23">
        <f>-IF(G3-2026&lt;Assumptions!$B$19,Assumptions!$B$18,Assumptions!$B$18*Assumptions!$B$20*Assumptions!$B$16)</f>
        <v>-0.24553575000000008</v>
      </c>
      <c r="H6" s="23">
        <f>-IF(H3-2026&lt;Assumptions!$B$19,Assumptions!$B$18,Assumptions!$B$18*Assumptions!$B$20*Assumptions!$B$16)</f>
        <v>-0.24553575000000008</v>
      </c>
      <c r="I6" s="23">
        <f>-IF(I3-2026&lt;Assumptions!$B$19,Assumptions!$B$18,Assumptions!$B$18*Assumptions!$B$20*Assumptions!$B$16)</f>
        <v>-0.24553575000000008</v>
      </c>
      <c r="J6" s="23">
        <f>-IF(J3-2026&lt;Assumptions!$B$19,Assumptions!$B$18,Assumptions!$B$18*Assumptions!$B$20*Assumptions!$B$16)</f>
        <v>-0.24553575000000008</v>
      </c>
      <c r="K6" s="23">
        <f>-IF(K3-2026&lt;Assumptions!$B$19,Assumptions!$B$18,Assumptions!$B$18*Assumptions!$B$20*Assumptions!$B$16)</f>
        <v>-0.24553575000000008</v>
      </c>
      <c r="L6" s="23">
        <f>-IF(L3-2026&lt;Assumptions!$B$19,Assumptions!$B$18,Assumptions!$B$18*Assumptions!$B$20*Assumptions!$B$16)</f>
        <v>-0.24553575000000008</v>
      </c>
      <c r="M6" s="23">
        <f>-IF(M3-2026&lt;Assumptions!$B$19,Assumptions!$B$18,Assumptions!$B$18*Assumptions!$B$20*Assumptions!$B$16)</f>
        <v>-0.24553575000000008</v>
      </c>
      <c r="N6" s="23">
        <f>-IF(N3-2026&lt;Assumptions!$B$19,Assumptions!$B$18,Assumptions!$B$18*Assumptions!$B$20*Assumptions!$B$16)</f>
        <v>-0.24553575000000008</v>
      </c>
      <c r="O6" s="23">
        <f>-IF(O3-2026&lt;Assumptions!$B$19,Assumptions!$B$18,Assumptions!$B$18*Assumptions!$B$20*Assumptions!$B$16)</f>
        <v>-0.24553575000000008</v>
      </c>
      <c r="P6" s="23">
        <f>-IF(P3-2026&lt;Assumptions!$B$19,Assumptions!$B$18,Assumptions!$B$18*Assumptions!$B$20*Assumptions!$B$16)</f>
        <v>-0.24553575000000008</v>
      </c>
      <c r="Q6" s="23">
        <f>-IF(Q3-2026&lt;Assumptions!$B$19,Assumptions!$B$18,Assumptions!$B$18*Assumptions!$B$20*Assumptions!$B$16)</f>
        <v>-0.24553575000000008</v>
      </c>
      <c r="R6" s="23">
        <f>-IF(R3-2026&lt;Assumptions!$B$19,Assumptions!$B$18,Assumptions!$B$18*Assumptions!$B$20*Assumptions!$B$16)</f>
        <v>-0.24553575000000008</v>
      </c>
      <c r="S6" s="23">
        <f>-IF(S3-2026&lt;Assumptions!$B$19,Assumptions!$B$18,Assumptions!$B$18*Assumptions!$B$20*Assumptions!$B$16)</f>
        <v>-0.24553575000000008</v>
      </c>
      <c r="T6" s="23">
        <f>-IF(T3-2026&lt;Assumptions!$B$19,Assumptions!$B$18,Assumptions!$B$18*Assumptions!$B$20*Assumptions!$B$16)</f>
        <v>-0.24553575000000008</v>
      </c>
      <c r="U6" s="23">
        <f>-IF(U3-2026&lt;Assumptions!$B$19,Assumptions!$B$18,Assumptions!$B$18*Assumptions!$B$20*Assumptions!$B$16)</f>
        <v>-0.24553575000000008</v>
      </c>
      <c r="V6" s="23">
        <f>-IF(V3-2026&lt;Assumptions!$B$19,Assumptions!$B$18,Assumptions!$B$18*Assumptions!$B$20*Assumptions!$B$16)</f>
        <v>-0.24553575000000008</v>
      </c>
    </row>
    <row r="7">
      <c r="A7" s="14" t="inlineStr">
        <is>
          <t>Pre-tax cash flow</t>
        </is>
      </c>
      <c r="C7" s="23">
        <f>C5+C6</f>
        <v>-7.685</v>
      </c>
      <c r="D7" s="23">
        <f>D5+D6</f>
        <v>-7.685</v>
      </c>
      <c r="E7" s="23">
        <f>E5+E6</f>
        <v>-7.685</v>
      </c>
      <c r="F7" s="23">
        <f>F5+F6</f>
        <v>-7.685</v>
      </c>
      <c r="G7" s="23">
        <f>G5+G6</f>
        <v>-0.24553575000000008</v>
      </c>
      <c r="H7" s="23">
        <f>H5+H6</f>
        <v>-0.24553575000000008</v>
      </c>
      <c r="I7" s="23">
        <f>I5+I6</f>
        <v>-0.24553575000000008</v>
      </c>
      <c r="J7" s="23">
        <f>J5+J6</f>
        <v>6.14446425</v>
      </c>
      <c r="K7" s="23">
        <f>K5+K6</f>
        <v>15.729464250000001</v>
      </c>
      <c r="L7" s="23">
        <f>L5+L6</f>
        <v>28.509464250000004</v>
      </c>
      <c r="M7" s="23">
        <f>M5+M6</f>
        <v>41.289464249999995</v>
      </c>
      <c r="N7" s="23">
        <f>N5+N6</f>
        <v>54.069464249999996</v>
      </c>
      <c r="O7" s="23">
        <f>O5+O6</f>
        <v>63.654464250000004</v>
      </c>
      <c r="P7" s="23">
        <f>P5+P6</f>
        <v>63.654464250000004</v>
      </c>
      <c r="Q7" s="23">
        <f>Q5+Q6</f>
        <v>63.654464250000004</v>
      </c>
      <c r="R7" s="23">
        <f>R5+R6</f>
        <v>63.654464250000004</v>
      </c>
      <c r="S7" s="23">
        <f>S5+S6</f>
        <v>63.654464250000004</v>
      </c>
      <c r="T7" s="23">
        <f>T5+T6</f>
        <v>63.654464250000004</v>
      </c>
      <c r="U7" s="23">
        <f>U5+U6</f>
        <v>63.654464250000004</v>
      </c>
      <c r="V7" s="23">
        <f>V5+V6</f>
        <v>63.654464250000004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6.14446425</v>
      </c>
      <c r="K8" s="23">
        <f>MIN(J17,MAX(0,K7))</f>
        <v>15.729464250000001</v>
      </c>
      <c r="L8" s="23">
        <f>MIN(K17,MAX(0,L7))</f>
        <v>28.509464250000004</v>
      </c>
      <c r="M8" s="23">
        <f>MIN(L17,MAX(0,M7))</f>
        <v>41.289464249999995</v>
      </c>
      <c r="N8" s="23">
        <f>MIN(M17,MAX(0,N7))</f>
        <v>36.30375025000001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17.76571399999999</v>
      </c>
      <c r="O9" s="23">
        <f>MAX(0,O7)-O8</f>
        <v>63.654464250000004</v>
      </c>
      <c r="P9" s="23">
        <f>MAX(0,P7)-P8</f>
        <v>63.654464250000004</v>
      </c>
      <c r="Q9" s="23">
        <f>MAX(0,Q7)-Q8</f>
        <v>63.654464250000004</v>
      </c>
      <c r="R9" s="23">
        <f>MAX(0,R7)-R8</f>
        <v>63.654464250000004</v>
      </c>
      <c r="S9" s="23">
        <f>MAX(0,S7)-S8</f>
        <v>63.654464250000004</v>
      </c>
      <c r="T9" s="23">
        <f>MAX(0,T7)-T8</f>
        <v>63.654464250000004</v>
      </c>
      <c r="U9" s="23">
        <f>MAX(0,U7)-U8</f>
        <v>63.654464250000004</v>
      </c>
      <c r="V9" s="23">
        <f>MAX(0,V7)-V8</f>
        <v>63.654464250000004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3.7307999399999976</v>
      </c>
      <c r="O10" s="23">
        <f>O9*Assumptions!$E$15</f>
        <v>13.3674374925</v>
      </c>
      <c r="P10" s="23">
        <f>P9*Assumptions!$E$15</f>
        <v>13.3674374925</v>
      </c>
      <c r="Q10" s="23">
        <f>Q9*Assumptions!$E$15</f>
        <v>13.3674374925</v>
      </c>
      <c r="R10" s="23">
        <f>R9*Assumptions!$E$15</f>
        <v>13.3674374925</v>
      </c>
      <c r="S10" s="23">
        <f>S9*Assumptions!$E$15</f>
        <v>13.3674374925</v>
      </c>
      <c r="T10" s="23">
        <f>T9*Assumptions!$E$15</f>
        <v>13.3674374925</v>
      </c>
      <c r="U10" s="23">
        <f>U9*Assumptions!$E$15</f>
        <v>13.3674374925</v>
      </c>
      <c r="V10" s="23">
        <f>V9*Assumptions!$E$15</f>
        <v>13.3674374925</v>
      </c>
    </row>
    <row r="11">
      <c r="A11" s="24" t="inlineStr">
        <is>
          <t>Free cash flow</t>
        </is>
      </c>
      <c r="C11" s="55">
        <f>C7-C10</f>
        <v>-7.685</v>
      </c>
      <c r="D11" s="55">
        <f>D7-D10</f>
        <v>-7.685</v>
      </c>
      <c r="E11" s="55">
        <f>E7-E10</f>
        <v>-7.685</v>
      </c>
      <c r="F11" s="55">
        <f>F7-F10</f>
        <v>-7.685</v>
      </c>
      <c r="G11" s="55">
        <f>G7-G10</f>
        <v>-0.24553575000000008</v>
      </c>
      <c r="H11" s="55">
        <f>H7-H10</f>
        <v>-0.24553575000000008</v>
      </c>
      <c r="I11" s="55">
        <f>I7-I10</f>
        <v>-0.24553575000000008</v>
      </c>
      <c r="J11" s="55">
        <f>J7-J10</f>
        <v>6.14446425</v>
      </c>
      <c r="K11" s="55">
        <f>K7-K10</f>
        <v>15.729464250000001</v>
      </c>
      <c r="L11" s="55">
        <f>L7-L10</f>
        <v>28.509464250000004</v>
      </c>
      <c r="M11" s="55">
        <f>M7-M10</f>
        <v>41.289464249999995</v>
      </c>
      <c r="N11" s="55">
        <f>N7-N10</f>
        <v>50.33866431</v>
      </c>
      <c r="O11" s="55">
        <f>O7-O10</f>
        <v>50.2870267575</v>
      </c>
      <c r="P11" s="55">
        <f>P7-P10</f>
        <v>50.2870267575</v>
      </c>
      <c r="Q11" s="55">
        <f>Q7-Q10</f>
        <v>50.2870267575</v>
      </c>
      <c r="R11" s="55">
        <f>R7-R10</f>
        <v>50.2870267575</v>
      </c>
      <c r="S11" s="55">
        <f>S7-S10</f>
        <v>50.2870267575</v>
      </c>
      <c r="T11" s="55">
        <f>T7-T10</f>
        <v>50.2870267575</v>
      </c>
      <c r="U11" s="55">
        <f>U7-U10</f>
        <v>50.2870267575</v>
      </c>
      <c r="V11" s="55">
        <f>V7-V10</f>
        <v>50.2870267575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-3.764914922177671</v>
      </c>
      <c r="D16" s="55">
        <f>D11*D15</f>
        <v>-6.858419654085978</v>
      </c>
      <c r="E16" s="55">
        <f>E11*E15</f>
        <v>-6.123588976862478</v>
      </c>
      <c r="F16" s="55">
        <f>F11*F15</f>
        <v>-5.467490157912927</v>
      </c>
      <c r="G16" s="55">
        <f>G11*G15</f>
        <v>-0.15596992012974828</v>
      </c>
      <c r="H16" s="55">
        <f>H11*H15</f>
        <v>-0.1392588572587038</v>
      </c>
      <c r="I16" s="55">
        <f>I11*I15</f>
        <v>-0.12433826540955695</v>
      </c>
      <c r="J16" s="55">
        <f>J11*J15</f>
        <v>2.7781524203270447</v>
      </c>
      <c r="K16" s="55">
        <f>K11*K15</f>
        <v>6.34991563698187</v>
      </c>
      <c r="L16" s="55">
        <f>L11*L15</f>
        <v>10.276022776527872</v>
      </c>
      <c r="M16" s="55">
        <f>M11*M15</f>
        <v>13.28792680360376</v>
      </c>
      <c r="N16" s="55">
        <f>N11*N15</f>
        <v>14.464440671933746</v>
      </c>
      <c r="O16" s="55">
        <f>O11*O15</f>
        <v>12.901431254825079</v>
      </c>
      <c r="P16" s="55">
        <f>P11*P15</f>
        <v>11.519135048950963</v>
      </c>
      <c r="Q16" s="55">
        <f>Q11*Q15</f>
        <v>10.284942007991932</v>
      </c>
      <c r="R16" s="55">
        <f>R11*R15</f>
        <v>9.18298393570708</v>
      </c>
      <c r="S16" s="55">
        <f>S11*S15</f>
        <v>8.199092799738464</v>
      </c>
      <c r="T16" s="55">
        <f>T11*T15</f>
        <v>7.320618571195056</v>
      </c>
      <c r="U16" s="55">
        <f>U11*U15</f>
        <v>6.536266581424157</v>
      </c>
      <c r="V16" s="55">
        <f>V11*V15</f>
        <v>5.835952304842996</v>
      </c>
    </row>
    <row r="17">
      <c r="A17" s="14" t="inlineStr">
        <is>
          <t>Tax-loss carryforward, end of year</t>
        </is>
      </c>
      <c r="C17" s="23">
        <f>Assumptions!$B$21-C8+MAX(0,-C7)</f>
        <v>104.185</v>
      </c>
      <c r="D17" s="23">
        <f>C17-D8+MAX(0,-D7)</f>
        <v>111.87</v>
      </c>
      <c r="E17" s="23">
        <f>D17-E8+MAX(0,-E7)</f>
        <v>119.555</v>
      </c>
      <c r="F17" s="23">
        <f>E17-F8+MAX(0,-F7)</f>
        <v>127.24000000000001</v>
      </c>
      <c r="G17" s="23">
        <f>F17-G8+MAX(0,-G7)</f>
        <v>127.48553575000001</v>
      </c>
      <c r="H17" s="23">
        <f>G17-H8+MAX(0,-H7)</f>
        <v>127.73107150000001</v>
      </c>
      <c r="I17" s="23">
        <f>H17-I8+MAX(0,-I7)</f>
        <v>127.97660725000001</v>
      </c>
      <c r="J17" s="23">
        <f>I17-J8+MAX(0,-J7)</f>
        <v>121.83214300000002</v>
      </c>
      <c r="K17" s="23">
        <f>J17-K8+MAX(0,-K7)</f>
        <v>106.10267875000001</v>
      </c>
      <c r="L17" s="23">
        <f>K17-L8+MAX(0,-L7)</f>
        <v>77.5932145</v>
      </c>
      <c r="M17" s="23">
        <f>L17-M8+MAX(0,-M7)</f>
        <v>36.30375025000001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139.88846309262294</v>
      </c>
    </row>
    <row r="20">
      <c r="A20" s="14" t="inlineStr">
        <is>
          <t>PV of corporate burn</t>
        </is>
      </c>
      <c r="B20" s="23">
        <f>SUMPRODUCT(C6:V6,C15:V15)</f>
        <v>-23.432673621605193</v>
      </c>
    </row>
    <row r="21">
      <c r="A21" s="14" t="inlineStr">
        <is>
          <t>PV of taxes</t>
        </is>
      </c>
      <c r="B21" s="23">
        <f>-SUMPRODUCT(C10:V10,C15:V15)</f>
        <v>-20.15288941080478</v>
      </c>
    </row>
    <row r="22">
      <c r="A22" s="24" t="inlineStr">
        <is>
          <t>Pipeline rNPV (operations)</t>
        </is>
      </c>
      <c r="B22" s="54">
        <f>SUM(C16:V16)</f>
        <v>96.30290006021295</v>
      </c>
    </row>
    <row r="23">
      <c r="A23" s="14" t="inlineStr">
        <is>
          <t>Cash &amp; investments</t>
        </is>
      </c>
      <c r="B23" s="57">
        <f>Main!C7</f>
        <v>0.741324</v>
      </c>
    </row>
    <row r="24">
      <c r="A24" s="14" t="inlineStr">
        <is>
          <t>Debt</t>
        </is>
      </c>
      <c r="B24" s="57">
        <f>Main!C8</f>
        <v>6.561361</v>
      </c>
    </row>
    <row r="25">
      <c r="A25" s="24" t="inlineStr">
        <is>
          <t>Equity value</t>
        </is>
      </c>
      <c r="B25" s="54">
        <f>B22+B23-B24</f>
        <v>90.48286306021295</v>
      </c>
    </row>
    <row r="26">
      <c r="A26" s="14" t="inlineStr">
        <is>
          <t>Shares (mm)</t>
        </is>
      </c>
      <c r="B26" s="57">
        <f>Main!C4</f>
        <v>1.836324</v>
      </c>
    </row>
    <row r="27">
      <c r="A27" s="24" t="inlineStr">
        <is>
          <t>rNPV / share</t>
        </is>
      </c>
      <c r="B27" s="60">
        <f>B25/B26</f>
        <v>49.273909756782</v>
      </c>
    </row>
    <row r="28">
      <c r="A28" s="14" t="inlineStr">
        <is>
          <t>Price</t>
        </is>
      </c>
      <c r="B28" s="61">
        <f>Main!C3</f>
        <v>1.23</v>
      </c>
    </row>
    <row r="29">
      <c r="A29" s="14" t="inlineStr">
        <is>
          <t>Upside</t>
        </is>
      </c>
      <c r="B29" s="62">
        <f>B27/B28-1</f>
        <v>39.0600892331561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2026-10-21T06:31:40Z</dcterms:modified>
  <cp:lastModifiedBy>Wang, Eric</cp:lastModifiedBy>
</cp:coreProperties>
</file>