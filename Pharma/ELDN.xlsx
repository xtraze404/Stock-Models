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Eledon Pharmaceuticals Inc</t>
        </is>
      </c>
      <c r="C2" s="10" t="n"/>
    </row>
    <row r="3">
      <c r="B3" t="inlineStr">
        <is>
          <t>Price</t>
        </is>
      </c>
      <c r="C3" s="11">
        <f>INDEX([1]Pharma!$F$1:$F$1000,MATCH("ELDN",[1]Pharma!$B$1:$B$1000,0))</f>
        <v>2.255</v>
      </c>
      <c r="F3" s="1" t="n"/>
    </row>
    <row r="4">
      <c r="B4" t="inlineStr">
        <is>
          <t>Shares</t>
        </is>
      </c>
      <c r="C4" s="21" t="n">
        <v>81.261152</v>
      </c>
      <c r="F4" s="1" t="n"/>
    </row>
    <row r="5">
      <c r="B5" t="inlineStr">
        <is>
          <t>Market Cap.</t>
        </is>
      </c>
      <c r="C5" s="13">
        <f>C3*C4</f>
        <v>183.24389775999998</v>
      </c>
      <c r="F5" s="1" t="n"/>
    </row>
    <row r="6"/>
    <row r="7">
      <c r="B7" t="inlineStr">
        <is>
          <t>Cash</t>
        </is>
      </c>
      <c r="C7" s="21">
        <f>6.803+81.953</f>
        <v>88.756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94.48789775999998</v>
      </c>
    </row>
    <row r="10"/>
    <row r="11">
      <c r="B11" s="14" t="inlineStr">
        <is>
          <t>Net Cash / Share</t>
        </is>
      </c>
      <c r="C11" s="11">
        <f>(C7-C8)/C4</f>
        <v>1.092231623789926</v>
      </c>
    </row>
    <row r="12">
      <c r="B12" s="14" t="inlineStr">
        <is>
          <t>Upside</t>
        </is>
      </c>
      <c r="C12" s="15">
        <f>IFERROR(C11/C3-1,"")</f>
        <v>-0.5156400781419397</v>
      </c>
    </row>
    <row r="13">
      <c r="B13" s="14" t="inlineStr">
        <is>
          <t>Cash / Share</t>
        </is>
      </c>
      <c r="C13" s="11">
        <f>IFERROR((C7-C8)/C4,"")</f>
        <v>1.092231623789926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-73.857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1.201727662916176</v>
      </c>
    </row>
    <row r="19">
      <c r="B19" s="14" t="inlineStr">
        <is>
          <t>Implied Pipeline Value</t>
        </is>
      </c>
      <c r="C19" s="13">
        <f>C9</f>
        <v>94.48789775999998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</row>
    <row r="5">
      <c r="A5" s="2" t="inlineStr">
        <is>
          <t>Research &amp; Dev.</t>
        </is>
      </c>
      <c r="B5" s="23" t="n">
        <v>7.37</v>
      </c>
      <c r="C5" s="23" t="n">
        <v>12.201</v>
      </c>
      <c r="D5" s="23" t="n">
        <v>14.577</v>
      </c>
      <c r="E5" s="23" t="n">
        <v>32.638</v>
      </c>
      <c r="F5" s="23" t="n">
        <v>3.191</v>
      </c>
      <c r="G5" s="23" t="n">
        <v>2.022</v>
      </c>
      <c r="H5" s="23" t="n">
        <v>6.817</v>
      </c>
      <c r="I5" s="23" t="n">
        <v>8.128</v>
      </c>
      <c r="J5" s="23" t="n">
        <v>6.131</v>
      </c>
      <c r="K5" s="23" t="n">
        <v>23.735</v>
      </c>
      <c r="L5" s="23" t="n">
        <v>27.08</v>
      </c>
      <c r="M5" s="23" t="n">
        <v>30.312</v>
      </c>
      <c r="N5" s="23" t="n">
        <v>51.964</v>
      </c>
      <c r="O5" s="23" t="n">
        <v>66.267</v>
      </c>
    </row>
    <row r="6">
      <c r="A6" s="19" t="inlineStr">
        <is>
          <t>SG&amp;A &amp; Other</t>
        </is>
      </c>
      <c r="B6" s="23" t="n">
        <v>2.279</v>
      </c>
      <c r="C6" s="23" t="n">
        <v>3.548</v>
      </c>
      <c r="D6" s="23" t="n">
        <v>8.885</v>
      </c>
      <c r="E6" s="23" t="n">
        <v>12.623</v>
      </c>
      <c r="F6" s="23" t="n">
        <v>1.937</v>
      </c>
      <c r="G6" s="23" t="n">
        <v>11.099</v>
      </c>
      <c r="H6" s="23" t="n">
        <v>7.243</v>
      </c>
      <c r="I6" s="23" t="n">
        <v>7.923</v>
      </c>
      <c r="J6" s="23" t="n">
        <v>12.334</v>
      </c>
      <c r="K6" s="23" t="n">
        <v>13.132</v>
      </c>
      <c r="L6" s="23" t="n">
        <v>61.348</v>
      </c>
      <c r="M6" s="23" t="n">
        <v>12.688</v>
      </c>
      <c r="N6" s="23" t="n">
        <v>18.613</v>
      </c>
      <c r="O6" s="23" t="n">
        <v>16.984</v>
      </c>
    </row>
    <row r="7">
      <c r="A7" s="2" t="inlineStr">
        <is>
          <t>Operating Expense</t>
        </is>
      </c>
      <c r="B7" s="23">
        <f>SUM(B5:B6)</f>
        <v>9.649000000000001</v>
      </c>
      <c r="C7" s="23">
        <f>SUM(C5:C6)</f>
        <v>15.749</v>
      </c>
      <c r="D7" s="23">
        <f>SUM(D5:D6)</f>
        <v>23.462</v>
      </c>
      <c r="E7" s="23">
        <f>SUM(E5:E6)</f>
        <v>45.260999999999996</v>
      </c>
      <c r="F7" s="23">
        <f>SUM(F5:F6)</f>
        <v>5.128</v>
      </c>
      <c r="G7" s="23">
        <f>SUM(G5:G6)</f>
        <v>13.121</v>
      </c>
      <c r="H7" s="23">
        <f>SUM(H5:H6)</f>
        <v>14.06</v>
      </c>
      <c r="I7" s="23">
        <f>SUM(I5:I6)</f>
        <v>16.051000000000002</v>
      </c>
      <c r="J7" s="23">
        <f>SUM(J5:J6)</f>
        <v>18.465</v>
      </c>
      <c r="K7" s="23">
        <f>SUM(K5:K6)</f>
        <v>36.867</v>
      </c>
      <c r="L7" s="23">
        <f>SUM(L5:L6)</f>
        <v>88.428</v>
      </c>
      <c r="M7" s="23">
        <f>SUM(M5:M6)</f>
        <v>43.0</v>
      </c>
      <c r="N7" s="23">
        <f>SUM(N5:N6)</f>
        <v>70.577</v>
      </c>
      <c r="O7" s="23">
        <f>SUM(O5:O6)</f>
        <v>83.251</v>
      </c>
    </row>
    <row r="8">
      <c r="A8" s="2" t="inlineStr">
        <is>
          <t>Operating Income</t>
        </is>
      </c>
      <c r="B8" s="23">
        <f>B4-B7</f>
        <v>-9.649000000000001</v>
      </c>
      <c r="C8" s="23">
        <f>C4-C7</f>
        <v>-15.749</v>
      </c>
      <c r="D8" s="23">
        <f>D4-D7</f>
        <v>-23.462</v>
      </c>
      <c r="E8" s="23">
        <f>E4-E7</f>
        <v>-45.260999999999996</v>
      </c>
      <c r="F8" s="23">
        <f>F4-F7</f>
        <v>-5.128</v>
      </c>
      <c r="G8" s="23">
        <f>G4-G7</f>
        <v>-13.121</v>
      </c>
      <c r="H8" s="23">
        <f>H4-H7</f>
        <v>-14.06</v>
      </c>
      <c r="I8" s="23">
        <f>I4-I7</f>
        <v>-16.051000000000002</v>
      </c>
      <c r="J8" s="23">
        <f>J4-J7</f>
        <v>-18.465</v>
      </c>
      <c r="K8" s="23">
        <f>K4-K7</f>
        <v>-36.867</v>
      </c>
      <c r="L8" s="23">
        <f>L4-L7</f>
        <v>-88.428</v>
      </c>
      <c r="M8" s="23">
        <f>M4-M7</f>
        <v>-43.0</v>
      </c>
      <c r="N8" s="23">
        <f>N4-N7</f>
        <v>-70.577</v>
      </c>
      <c r="O8" s="23">
        <f>O4-O7</f>
        <v>-83.251</v>
      </c>
    </row>
    <row r="9">
      <c r="A9" s="19" t="inlineStr">
        <is>
          <t>Interest &amp; Other</t>
        </is>
      </c>
      <c r="B9" s="23" t="n">
        <v>0</v>
      </c>
      <c r="C9" s="23" t="n">
        <v>0.024</v>
      </c>
      <c r="D9" s="23" t="n">
        <v>0.166</v>
      </c>
      <c r="E9" s="23" t="n">
        <v>0.174</v>
      </c>
      <c r="F9" s="23" t="n">
        <v>-0.527</v>
      </c>
      <c r="G9" s="23" t="n">
        <v>0.005</v>
      </c>
      <c r="H9" s="23" t="n">
        <v>-0.005</v>
      </c>
      <c r="I9" s="23" t="n">
        <v>0.04</v>
      </c>
      <c r="J9" s="23" t="n">
        <v>-4.75</v>
      </c>
      <c r="K9" s="23" t="n">
        <v>0.007</v>
      </c>
      <c r="L9" s="23" t="n">
        <v>0.462</v>
      </c>
      <c r="M9" s="23" t="n">
        <v>-73.53700000000001</v>
      </c>
      <c r="N9" s="23" t="n">
        <v>34.824</v>
      </c>
      <c r="O9" s="23" t="n">
        <v>37.669</v>
      </c>
    </row>
    <row r="10">
      <c r="A10" s="2" t="inlineStr">
        <is>
          <t>Pretax</t>
        </is>
      </c>
      <c r="B10" s="23">
        <f>B8+B9</f>
        <v>-9.649000000000001</v>
      </c>
      <c r="C10" s="23">
        <f>C8+C9</f>
        <v>-15.725000000000001</v>
      </c>
      <c r="D10" s="23">
        <f>D8+D9</f>
        <v>-23.296</v>
      </c>
      <c r="E10" s="23">
        <f>E8+E9</f>
        <v>-45.086999999999996</v>
      </c>
      <c r="F10" s="23">
        <f>F8+F9</f>
        <v>-5.655</v>
      </c>
      <c r="G10" s="23">
        <f>G8+G9</f>
        <v>-13.116</v>
      </c>
      <c r="H10" s="23">
        <f>H8+H9</f>
        <v>-14.065000000000001</v>
      </c>
      <c r="I10" s="23">
        <f>I8+I9</f>
        <v>-16.011000000000003</v>
      </c>
      <c r="J10" s="23">
        <f>J8+J9</f>
        <v>-23.215</v>
      </c>
      <c r="K10" s="23">
        <f>K8+K9</f>
        <v>-36.86</v>
      </c>
      <c r="L10" s="23">
        <f>L8+L9</f>
        <v>-87.966</v>
      </c>
      <c r="M10" s="23">
        <f>M8+M9</f>
        <v>-116.537</v>
      </c>
      <c r="N10" s="23">
        <f>N8+N9</f>
        <v>-35.753</v>
      </c>
      <c r="O10" s="23">
        <f>O8+O9</f>
        <v>-45.58200000000001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-0.404</v>
      </c>
      <c r="K11" s="23" t="n">
        <v>-2.354</v>
      </c>
      <c r="L11" s="23" t="n">
        <v>0</v>
      </c>
      <c r="M11" s="23" t="n">
        <v>0</v>
      </c>
      <c r="N11" s="23" t="n">
        <v>0.431</v>
      </c>
      <c r="O11" s="23" t="n">
        <v>0.035</v>
      </c>
    </row>
    <row r="12">
      <c r="A12" s="2" t="inlineStr">
        <is>
          <t>Net Income</t>
        </is>
      </c>
      <c r="B12" s="23" t="n">
        <v>-9.648999999999999</v>
      </c>
      <c r="C12" s="23" t="n">
        <v>-15.725</v>
      </c>
      <c r="D12" s="23" t="n">
        <v>-23.296</v>
      </c>
      <c r="E12" s="23" t="n">
        <v>-45.087</v>
      </c>
      <c r="F12" s="23" t="n">
        <v>-5.655</v>
      </c>
      <c r="G12" s="23" t="n">
        <v>-13.116</v>
      </c>
      <c r="H12" s="23" t="n">
        <v>-14.065</v>
      </c>
      <c r="I12" s="23" t="n">
        <v>-16.011</v>
      </c>
      <c r="J12" s="23" t="n">
        <v>-22.811</v>
      </c>
      <c r="K12" s="23" t="n">
        <v>-34.506</v>
      </c>
      <c r="L12" s="23" t="n">
        <v>-87.96599999999999</v>
      </c>
      <c r="M12" s="23" t="n">
        <v>-116.537</v>
      </c>
      <c r="N12" s="23" t="n">
        <v>-36.184</v>
      </c>
      <c r="O12" s="23" t="n">
        <v>-45.617</v>
      </c>
    </row>
    <row r="13">
      <c r="A13" s="2" t="inlineStr">
        <is>
          <t>Earnings per Share</t>
        </is>
      </c>
      <c r="B13" s="11">
        <f>IFERROR(B12/B14,0)</f>
        <v>-1072.111111111111</v>
      </c>
      <c r="C13" s="11">
        <f>IFERROR(C12/C14,0)</f>
        <v>-1310.4166666666665</v>
      </c>
      <c r="D13" s="11">
        <f>IFERROR(D12/D14,0)</f>
        <v>-123.91489361702128</v>
      </c>
      <c r="E13" s="11">
        <f>IFERROR(E12/E14,0)</f>
        <v>-69.04594180704441</v>
      </c>
      <c r="F13" s="11">
        <f>IFERROR(F12/F14,0)</f>
        <v>-8.620426829268293</v>
      </c>
      <c r="G13" s="11">
        <f>IFERROR(G12/G14,0)</f>
        <v>-19.634730538922152</v>
      </c>
      <c r="H13" s="11">
        <f>IFERROR(H12/H14,0)</f>
        <v>-10.93701399688958</v>
      </c>
      <c r="I13" s="11">
        <f>IFERROR(I12/I14,0)</f>
        <v>-12.212814645308924</v>
      </c>
      <c r="J13" s="11">
        <f>IFERROR(J12/J14,0)</f>
        <v>-7.857733379262831</v>
      </c>
      <c r="K13" s="11">
        <f>IFERROR(K12/K14,0)</f>
        <v>-1.1642093188029285</v>
      </c>
      <c r="L13" s="11">
        <f>IFERROR(L12/L14,0)</f>
        <v>-3.0788561828427423</v>
      </c>
      <c r="M13" s="11">
        <f>IFERROR(M12/M14,0)</f>
        <v>-2.3668101872537473</v>
      </c>
      <c r="N13" s="11">
        <f>IFERROR(N12/N14,0)</f>
        <v>-0.745385629531971</v>
      </c>
      <c r="O13" s="11">
        <f>IFERROR(O12/O14,0)</f>
        <v>-0.557419717483748</v>
      </c>
    </row>
    <row r="14">
      <c r="A14" s="2" t="inlineStr">
        <is>
          <t>Shares</t>
        </is>
      </c>
      <c r="B14" s="23" t="n">
        <v>0.008999999999999999</v>
      </c>
      <c r="C14" s="23" t="n">
        <v>0.012</v>
      </c>
      <c r="D14" s="23" t="n">
        <v>0.188</v>
      </c>
      <c r="E14" s="23" t="n">
        <v>0.653</v>
      </c>
      <c r="F14" s="23" t="n">
        <v>0.656</v>
      </c>
      <c r="G14" s="23" t="n">
        <v>0.668</v>
      </c>
      <c r="H14" s="23" t="n">
        <v>1.286</v>
      </c>
      <c r="I14" s="23" t="n">
        <v>1.311</v>
      </c>
      <c r="J14" s="23" t="n">
        <v>2.903</v>
      </c>
      <c r="K14" s="23" t="n">
        <v>29.639</v>
      </c>
      <c r="L14" s="23" t="n">
        <v>28.571</v>
      </c>
      <c r="M14" s="23" t="n">
        <v>49.238</v>
      </c>
      <c r="N14" s="23" t="n">
        <v>48.544</v>
      </c>
      <c r="O14" s="23" t="n">
        <v>81.836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2026-10-21T01:05:40Z</dcterms:modified>
  <cp:lastModifiedBy>Wang, Eric</cp:lastModifiedBy>
</cp:coreProperties>
</file>