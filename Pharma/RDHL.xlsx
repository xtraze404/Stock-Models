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Redhill Biopharma Ltd</t>
        </is>
      </c>
      <c r="C2" s="10" t="n"/>
    </row>
    <row r="3">
      <c r="B3" t="inlineStr">
        <is>
          <t>Price</t>
        </is>
      </c>
      <c r="C3" s="11">
        <f>INDEX([1]Pharma!$F$1:$F$1000,MATCH("RDHL",[1]Pharma!$B$1:$B$1000,0))</f>
        <v>0.5073</v>
      </c>
      <c r="F3" s="1" t="n"/>
    </row>
    <row r="4">
      <c r="B4" t="inlineStr">
        <is>
          <t>Shares</t>
        </is>
      </c>
      <c r="C4" s="21">
        <f>50923.261/10000</f>
        <v>5.0923261</v>
      </c>
      <c r="F4" s="1" t="n"/>
    </row>
    <row r="5">
      <c r="B5" t="inlineStr">
        <is>
          <t>Market Cap.</t>
        </is>
      </c>
      <c r="C5" s="13">
        <f>C3*C4</f>
        <v>2.58333703053</v>
      </c>
      <c r="F5" s="1" t="n"/>
    </row>
    <row r="6"/>
    <row r="7">
      <c r="B7" t="inlineStr">
        <is>
          <t>Cash</t>
        </is>
      </c>
      <c r="C7" s="21" t="n">
        <v>2.866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-0.28266296947</v>
      </c>
    </row>
    <row r="10"/>
    <row r="11">
      <c r="B11" s="14" t="inlineStr">
        <is>
          <t>Net Cash / Share</t>
        </is>
      </c>
      <c r="C11" s="11">
        <f>(C7-C8)/C4</f>
        <v>0.562807633234643</v>
      </c>
    </row>
    <row r="12">
      <c r="B12" s="14" t="inlineStr">
        <is>
          <t>Upside</t>
        </is>
      </c>
      <c r="C12" s="15">
        <f>IFERROR(C11/C3-1,"")</f>
        <v>0.10941776707006312</v>
      </c>
    </row>
    <row r="13">
      <c r="B13" s="14" t="inlineStr">
        <is>
          <t>Cash / Share</t>
        </is>
      </c>
      <c r="C13" s="11">
        <f>IFERROR((C7-C8)/C4,"")</f>
        <v>0.562807633234643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-8.199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0.349554823758995</v>
      </c>
    </row>
    <row r="19">
      <c r="B19" s="14" t="inlineStr">
        <is>
          <t>Implied Pipeline Value</t>
        </is>
      </c>
      <c r="C19" s="13">
        <f>C9</f>
        <v>-0.28266296947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0.003</v>
      </c>
      <c r="C2" s="23" t="n">
        <v>0.101</v>
      </c>
      <c r="D2" s="23" t="n">
        <v>4.007</v>
      </c>
      <c r="E2" s="23" t="n">
        <v>8.359999999999999</v>
      </c>
      <c r="F2" s="23" t="n">
        <v>6.291</v>
      </c>
      <c r="G2" s="23" t="n">
        <v>64.35899999999999</v>
      </c>
      <c r="H2" s="23" t="n">
        <v>85.75700000000001</v>
      </c>
      <c r="I2" s="23" t="n">
        <v>61.8</v>
      </c>
      <c r="J2" s="23" t="n">
        <v>6.53</v>
      </c>
      <c r="K2" s="23" t="n">
        <v>8.042999999999999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2.126</v>
      </c>
      <c r="E3" s="23" t="n">
        <v>2.837</v>
      </c>
      <c r="F3" s="23" t="n">
        <v>2.259</v>
      </c>
      <c r="G3" s="23" t="n">
        <v>36.892</v>
      </c>
      <c r="H3" s="23" t="n">
        <v>49.406</v>
      </c>
      <c r="I3" s="23" t="n">
        <v>33.337</v>
      </c>
      <c r="J3" s="23" t="n">
        <v>3.459</v>
      </c>
      <c r="K3" s="23" t="n">
        <v>3.192</v>
      </c>
    </row>
    <row r="4" customFormat="1" s="1">
      <c r="A4" s="5" t="inlineStr">
        <is>
          <t>Gross Margin</t>
        </is>
      </c>
      <c r="B4" s="23">
        <f>B2-B3</f>
        <v>0.003</v>
      </c>
      <c r="C4" s="23">
        <f>C2-C3</f>
        <v>0.101</v>
      </c>
      <c r="D4" s="23">
        <f>D2-D3</f>
        <v>1.8809999999999998</v>
      </c>
      <c r="E4" s="23">
        <f>E2-E3</f>
        <v>5.523</v>
      </c>
      <c r="F4" s="23">
        <f>F2-F3</f>
        <v>4.032</v>
      </c>
      <c r="G4" s="23">
        <f>G2-G3</f>
        <v>27.46699999999999</v>
      </c>
      <c r="H4" s="23">
        <f>H2-H3</f>
        <v>36.351000000000006</v>
      </c>
      <c r="I4" s="23">
        <f>I2-I3</f>
        <v>28.462999999999994</v>
      </c>
      <c r="J4" s="23">
        <f>J2-J3</f>
        <v>3.071</v>
      </c>
      <c r="K4" s="23">
        <f>K2-K3</f>
        <v>4.850999999999999</v>
      </c>
    </row>
    <row r="5">
      <c r="A5" s="2" t="inlineStr">
        <is>
          <t>Research &amp; Dev.</t>
        </is>
      </c>
      <c r="B5" s="23" t="n">
        <v>17.771</v>
      </c>
      <c r="C5" s="23" t="n">
        <v>25.241</v>
      </c>
      <c r="D5" s="23" t="n">
        <v>32.969</v>
      </c>
      <c r="E5" s="23" t="n">
        <v>24.862</v>
      </c>
      <c r="F5" s="23" t="n">
        <v>17.419</v>
      </c>
      <c r="G5" s="23" t="n">
        <v>16.491</v>
      </c>
      <c r="H5" s="23" t="n">
        <v>29.498</v>
      </c>
      <c r="I5" s="23" t="n">
        <v>7.279</v>
      </c>
      <c r="J5" s="23" t="n">
        <v>3.528</v>
      </c>
      <c r="K5" s="23" t="n">
        <v>1.588</v>
      </c>
    </row>
    <row r="6">
      <c r="A6" s="19" t="inlineStr">
        <is>
          <t>SG&amp;A &amp; Other</t>
        </is>
      </c>
      <c r="B6" s="23" t="n">
        <v>4.234</v>
      </c>
      <c r="C6" s="23" t="n">
        <v>5.403</v>
      </c>
      <c r="D6" s="23" t="n">
        <v>20.884</v>
      </c>
      <c r="E6" s="23" t="n">
        <v>19.992</v>
      </c>
      <c r="F6" s="23" t="n">
        <v>29.814</v>
      </c>
      <c r="G6" s="23" t="n">
        <v>74.66</v>
      </c>
      <c r="H6" s="23" t="n">
        <v>87.988</v>
      </c>
      <c r="I6" s="23" t="n">
        <v>64.02800000000001</v>
      </c>
      <c r="J6" s="23" t="n">
        <v>-13.089</v>
      </c>
      <c r="K6" s="23" t="n">
        <v>17.876</v>
      </c>
    </row>
    <row r="7">
      <c r="A7" s="2" t="inlineStr">
        <is>
          <t>Operating Expense</t>
        </is>
      </c>
      <c r="B7" s="23">
        <f>SUM(B5:B6)</f>
        <v>22.005000000000003</v>
      </c>
      <c r="C7" s="23">
        <f>SUM(C5:C6)</f>
        <v>30.644</v>
      </c>
      <c r="D7" s="23">
        <f>SUM(D5:D6)</f>
        <v>53.853</v>
      </c>
      <c r="E7" s="23">
        <f>SUM(E5:E6)</f>
        <v>44.854</v>
      </c>
      <c r="F7" s="23">
        <f>SUM(F5:F6)</f>
        <v>47.233000000000004</v>
      </c>
      <c r="G7" s="23">
        <f>SUM(G5:G6)</f>
        <v>91.151</v>
      </c>
      <c r="H7" s="23">
        <f>SUM(H5:H6)</f>
        <v>117.486</v>
      </c>
      <c r="I7" s="23">
        <f>SUM(I5:I6)</f>
        <v>71.307</v>
      </c>
      <c r="J7" s="23">
        <f>SUM(J5:J6)</f>
        <v>-9.561</v>
      </c>
      <c r="K7" s="23">
        <f>SUM(K5:K6)</f>
        <v>19.464000000000002</v>
      </c>
    </row>
    <row r="8">
      <c r="A8" s="2" t="inlineStr">
        <is>
          <t>Operating Income</t>
        </is>
      </c>
      <c r="B8" s="23">
        <f>B4-B7</f>
        <v>-22.002000000000002</v>
      </c>
      <c r="C8" s="23">
        <f>C4-C7</f>
        <v>-30.543</v>
      </c>
      <c r="D8" s="23">
        <f>D4-D7</f>
        <v>-51.972</v>
      </c>
      <c r="E8" s="23">
        <f>E4-E7</f>
        <v>-39.331</v>
      </c>
      <c r="F8" s="23">
        <f>F4-F7</f>
        <v>-43.20100000000001</v>
      </c>
      <c r="G8" s="23">
        <f>G4-G7</f>
        <v>-63.684000000000005</v>
      </c>
      <c r="H8" s="23">
        <f>H4-H7</f>
        <v>-81.13499999999999</v>
      </c>
      <c r="I8" s="23">
        <f>I4-I7</f>
        <v>-42.84400000000001</v>
      </c>
      <c r="J8" s="23">
        <f>J4-J7</f>
        <v>12.632</v>
      </c>
      <c r="K8" s="23">
        <f>K4-K7</f>
        <v>-14.613000000000003</v>
      </c>
    </row>
    <row r="9">
      <c r="A9" s="19" t="inlineStr">
        <is>
          <t>Interest &amp; Other</t>
        </is>
      </c>
      <c r="B9" s="23" t="n">
        <v>0.912</v>
      </c>
      <c r="C9" s="23" t="n">
        <v>1.173</v>
      </c>
      <c r="D9" s="23" t="n">
        <v>6.428</v>
      </c>
      <c r="E9" s="23" t="n">
        <v>0.511</v>
      </c>
      <c r="F9" s="23" t="n">
        <v>0.897</v>
      </c>
      <c r="G9" s="23" t="n">
        <v>-12.489</v>
      </c>
      <c r="H9" s="23" t="n">
        <v>-16.609</v>
      </c>
      <c r="I9" s="23" t="n">
        <v>-28.825</v>
      </c>
      <c r="J9" s="23" t="n">
        <v>11.284</v>
      </c>
      <c r="K9" s="23" t="n">
        <v>6.345</v>
      </c>
    </row>
    <row r="10">
      <c r="A10" s="2" t="inlineStr">
        <is>
          <t>Pretax</t>
        </is>
      </c>
      <c r="B10" s="23">
        <f>B8+B9</f>
        <v>-21.090000000000003</v>
      </c>
      <c r="C10" s="23">
        <f>C8+C9</f>
        <v>-29.369999999999997</v>
      </c>
      <c r="D10" s="23">
        <f>D8+D9</f>
        <v>-45.544000000000004</v>
      </c>
      <c r="E10" s="23">
        <f>E8+E9</f>
        <v>-38.82</v>
      </c>
      <c r="F10" s="23">
        <f>F8+F9</f>
        <v>-42.30400000000001</v>
      </c>
      <c r="G10" s="23">
        <f>G8+G9</f>
        <v>-76.173</v>
      </c>
      <c r="H10" s="23">
        <f>H8+H9</f>
        <v>-97.744</v>
      </c>
      <c r="I10" s="23">
        <f>I8+I9</f>
        <v>-71.66900000000001</v>
      </c>
      <c r="J10" s="23">
        <f>J8+J9</f>
        <v>23.916</v>
      </c>
      <c r="K10" s="23">
        <f>K8+K9</f>
        <v>-8.268000000000004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-21.09</v>
      </c>
      <c r="C12" s="23" t="n">
        <v>-29.37</v>
      </c>
      <c r="D12" s="23" t="n">
        <v>-45.544</v>
      </c>
      <c r="E12" s="23" t="n">
        <v>-38.82</v>
      </c>
      <c r="F12" s="23" t="n">
        <v>-42.304</v>
      </c>
      <c r="G12" s="23" t="n">
        <v>-76.173</v>
      </c>
      <c r="H12" s="23" t="n">
        <v>-97.744</v>
      </c>
      <c r="I12" s="23" t="n">
        <v>-71.669</v>
      </c>
      <c r="J12" s="23" t="n">
        <v>23.916</v>
      </c>
      <c r="K12" s="23" t="n">
        <v>-8.268000000000001</v>
      </c>
    </row>
    <row r="13">
      <c r="A13" s="2" t="inlineStr">
        <is>
          <t>Earnings per Share</t>
        </is>
      </c>
      <c r="B13" s="11">
        <f>IFERROR(B12/B14,0)</f>
        <v>-0.18878395918184665</v>
      </c>
      <c r="C13" s="11">
        <f>IFERROR(C12/C14,0)</f>
        <v>-0.2280120177937877</v>
      </c>
      <c r="D13" s="11">
        <f>IFERROR(D12/D14,0)</f>
        <v>-0.25792421522378084</v>
      </c>
      <c r="E13" s="11">
        <f>IFERROR(E12/E14,0)</f>
        <v>-0.16790366948668708</v>
      </c>
      <c r="F13" s="11">
        <f>IFERROR(F12/F14,0)</f>
        <v>-0.14247512814813318</v>
      </c>
      <c r="G13" s="11">
        <f>IFERROR(G12/G14,0)</f>
        <v>-0.20910792915262055</v>
      </c>
      <c r="H13" s="11">
        <f>IFERROR(H12/H14,0)</f>
        <v>-0.21007881394364167</v>
      </c>
      <c r="I13" s="11">
        <f>IFERROR(I12/I14,0)</f>
        <v>-0.11628933358645722</v>
      </c>
      <c r="J13" s="11">
        <f>IFERROR(J12/J14,0)</f>
        <v>0.009229622162825107</v>
      </c>
      <c r="K13" s="11">
        <f>IFERROR(K12/K14,0)</f>
        <v>-0.0006709557085646913</v>
      </c>
    </row>
    <row r="14">
      <c r="A14" s="2" t="inlineStr">
        <is>
          <t>Shares</t>
        </is>
      </c>
      <c r="B14" s="23" t="n">
        <v>111.715</v>
      </c>
      <c r="C14" s="23" t="n">
        <v>128.809</v>
      </c>
      <c r="D14" s="23" t="n">
        <v>176.579</v>
      </c>
      <c r="E14" s="23" t="n">
        <v>231.204</v>
      </c>
      <c r="F14" s="23" t="n">
        <v>296.922</v>
      </c>
      <c r="G14" s="23" t="n">
        <v>364.276</v>
      </c>
      <c r="H14" s="23" t="n">
        <v>465.273</v>
      </c>
      <c r="I14" s="23" t="n">
        <v>616.299</v>
      </c>
      <c r="J14" s="23" t="n">
        <v>2591.222</v>
      </c>
      <c r="K14" s="23" t="n">
        <v>12322.721</v>
      </c>
    </row>
    <row r="15"/>
    <row r="16" customFormat="1" s="4">
      <c r="A16" s="3" t="inlineStr">
        <is>
          <t>Revenue Change</t>
        </is>
      </c>
      <c r="C16" s="15">
        <f>IFERROR(C2/B2-1,"")</f>
        <v>32.66666666666667</v>
      </c>
      <c r="D16" s="15">
        <f>IFERROR(D2/C2-1,"")</f>
        <v>38.67326732673267</v>
      </c>
      <c r="E16" s="15">
        <f>IFERROR(E2/D2-1,"")</f>
        <v>1.086348889443474</v>
      </c>
      <c r="F16" s="15">
        <f>IFERROR(F2/E2-1,"")</f>
        <v>-0.24748803827751187</v>
      </c>
      <c r="G16" s="15">
        <f>IFERROR(G2/F2-1,"")</f>
        <v>9.230329041487838</v>
      </c>
      <c r="H16" s="15">
        <f>IFERROR(H2/G2-1,"")</f>
        <v>0.3324787520004975</v>
      </c>
      <c r="I16" s="15">
        <f>IFERROR(I2/H2-1,"")</f>
        <v>-0.2793591193721796</v>
      </c>
      <c r="J16" s="15">
        <f>IFERROR(J2/I2-1,"")</f>
        <v>-0.894336569579288</v>
      </c>
      <c r="K16" s="15">
        <f>IFERROR(K2/J2-1,"")</f>
        <v>0.23169984686064304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0.4694285001247816</v>
      </c>
      <c r="E17" s="15">
        <f>IFERROR(E4/E2,"")</f>
        <v>0.660645933014354</v>
      </c>
      <c r="F17" s="15">
        <f>IFERROR(F4/F2,"")</f>
        <v>0.6409155937052933</v>
      </c>
      <c r="G17" s="15">
        <f>IFERROR(G4/G2,"")</f>
        <v>0.4267779176183594</v>
      </c>
      <c r="H17" s="15">
        <f>IFERROR(H4/H2,"")</f>
        <v>0.4238837645906457</v>
      </c>
      <c r="I17" s="15">
        <f>IFERROR(I4/I2,"")</f>
        <v>0.4605663430420711</v>
      </c>
      <c r="J17" s="15">
        <f>IFERROR(J4/J2,"")</f>
        <v>0.47029096477794796</v>
      </c>
      <c r="K17" s="15">
        <f>IFERROR(K4/K2,"")</f>
        <v>0.6031331592689294</v>
      </c>
    </row>
    <row r="18">
      <c r="A18" s="14" t="inlineStr">
        <is>
          <t>Operating Margin</t>
        </is>
      </c>
      <c r="B18" s="15">
        <f>IFERROR(B8/B2,"")</f>
        <v>-7334.000000000001</v>
      </c>
      <c r="C18" s="15">
        <f>IFERROR(C8/C2,"")</f>
        <v>-302.40594059405936</v>
      </c>
      <c r="D18" s="15">
        <f>IFERROR(D8/D2,"")</f>
        <v>-12.97030197154979</v>
      </c>
      <c r="E18" s="15">
        <f>IFERROR(E8/E2,"")</f>
        <v>-4.704665071770336</v>
      </c>
      <c r="F18" s="15">
        <f>IFERROR(F8/F2,"")</f>
        <v>-6.867111746940074</v>
      </c>
      <c r="G18" s="15">
        <f>IFERROR(G8/G2,"")</f>
        <v>-0.9895119563697387</v>
      </c>
      <c r="H18" s="15">
        <f>IFERROR(H8/H2,"")</f>
        <v>-0.94610352507667</v>
      </c>
      <c r="I18" s="15">
        <f>IFERROR(I8/I2,"")</f>
        <v>-0.6932686084142397</v>
      </c>
      <c r="J18" s="15">
        <f>IFERROR(J8/J2,"")</f>
        <v>1.9344563552833076</v>
      </c>
      <c r="K18" s="15">
        <f>IFERROR(K8/K2,"")</f>
        <v>-1.8168593808280498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2026-10-21T06:31:38Z</dcterms:modified>
  <cp:lastModifiedBy>Wang, Eric</cp:lastModifiedBy>
</cp:coreProperties>
</file>