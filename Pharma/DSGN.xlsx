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Design Therapeutics, Inc.</t>
        </is>
      </c>
      <c r="C2" s="10" t="n"/>
    </row>
    <row r="3">
      <c r="B3" t="inlineStr">
        <is>
          <t>Price</t>
        </is>
      </c>
      <c r="C3" s="11">
        <f>INDEX([1]Pharma!$F$1:$F$1000,MATCH("DSGN",[1]Pharma!$B$1:$B$1000,0))</f>
        <v>11.1</v>
      </c>
      <c r="F3" s="1" t="n"/>
    </row>
    <row r="4">
      <c r="B4" t="inlineStr">
        <is>
          <t>Shares</t>
        </is>
      </c>
      <c r="C4" s="21" t="n">
        <v>62.581651</v>
      </c>
      <c r="F4" s="1" t="n"/>
    </row>
    <row r="5">
      <c r="B5" t="inlineStr">
        <is>
          <t>Market Cap.</t>
        </is>
      </c>
      <c r="C5" s="13">
        <f>C3*C4</f>
        <v>694.6563261</v>
      </c>
      <c r="F5" s="1" t="n"/>
    </row>
    <row r="6"/>
    <row r="7">
      <c r="B7" t="inlineStr">
        <is>
          <t>Cash</t>
        </is>
      </c>
      <c r="C7" s="21">
        <f>12.907+194.489</f>
        <v>207.39600000000002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487.2603261</v>
      </c>
    </row>
    <row r="10"/>
    <row r="11">
      <c r="B11" s="14" t="inlineStr">
        <is>
          <t>rNPV / Share</t>
        </is>
      </c>
      <c r="C11" s="11">
        <f>NPV!B27</f>
        <v>3.810174370414561</v>
      </c>
    </row>
    <row r="12">
      <c r="B12" s="14" t="inlineStr">
        <is>
          <t>Upside</t>
        </is>
      </c>
      <c r="C12" s="15">
        <f>IFERROR(C11/C3-1,"")</f>
        <v>-0.6567410477103999</v>
      </c>
    </row>
    <row r="13">
      <c r="B13" s="14" t="inlineStr">
        <is>
          <t>Cash / Share</t>
        </is>
      </c>
      <c r="C13" s="11">
        <f>IFERROR((C7-C8)/C4,"")</f>
        <v>3.3140065288466105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-55.083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3.7651544033549373</v>
      </c>
    </row>
    <row r="19">
      <c r="B19" s="14" t="inlineStr">
        <is>
          <t>Implied Pipeline Value</t>
        </is>
      </c>
      <c r="C19" s="13">
        <f>C9</f>
        <v>487.2603261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0.226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0.226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6.06</v>
      </c>
      <c r="C5" s="23" t="n">
        <v>24.778</v>
      </c>
      <c r="D5" s="23" t="n">
        <v>48.613</v>
      </c>
      <c r="E5" s="23" t="n">
        <v>57.063</v>
      </c>
      <c r="F5" s="23" t="n">
        <v>44.35</v>
      </c>
      <c r="G5" s="23" t="n">
        <v>59.129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2.496</v>
      </c>
      <c r="C6" s="23" t="n">
        <v>11.053</v>
      </c>
      <c r="D6" s="23" t="n">
        <v>18.98</v>
      </c>
      <c r="E6" s="23" t="n">
        <v>21.127</v>
      </c>
      <c r="F6" s="23" t="n">
        <v>18.033</v>
      </c>
      <c r="G6" s="23" t="n">
        <v>20.338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8.556</v>
      </c>
      <c r="C7" s="23">
        <f>SUM(C5:C6)</f>
        <v>35.831</v>
      </c>
      <c r="D7" s="23">
        <f>SUM(D5:D6)</f>
        <v>67.593</v>
      </c>
      <c r="E7" s="23">
        <f>SUM(E5:E6)</f>
        <v>78.19</v>
      </c>
      <c r="F7" s="23">
        <f>SUM(F5:F6)</f>
        <v>62.383</v>
      </c>
      <c r="G7" s="23">
        <f>SUM(G5:G6)</f>
        <v>79.467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-8.329999999999998</v>
      </c>
      <c r="C8" s="23">
        <f>C4-C7</f>
        <v>-35.831</v>
      </c>
      <c r="D8" s="23">
        <f>D4-D7</f>
        <v>-67.593</v>
      </c>
      <c r="E8" s="23">
        <f>E4-E7</f>
        <v>-78.19</v>
      </c>
      <c r="F8" s="23">
        <f>F4-F7</f>
        <v>-62.383</v>
      </c>
      <c r="G8" s="23">
        <f>G4-G7</f>
        <v>-79.467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0.05</v>
      </c>
      <c r="C9" s="23" t="n">
        <v>0.298</v>
      </c>
      <c r="D9" s="23" t="n">
        <v>4.285</v>
      </c>
      <c r="E9" s="23" t="n">
        <v>11.328</v>
      </c>
      <c r="F9" s="23" t="n">
        <v>12.795</v>
      </c>
      <c r="G9" s="23" t="n">
        <v>9.675000000000001</v>
      </c>
    </row>
    <row r="10">
      <c r="A10" s="2" t="inlineStr">
        <is>
          <t>Pretax</t>
        </is>
      </c>
      <c r="B10" s="23">
        <f>B8+B9</f>
        <v>-8.279999999999998</v>
      </c>
      <c r="C10" s="23">
        <f>C8+C9</f>
        <v>-35.533</v>
      </c>
      <c r="D10" s="23">
        <f>D8+D9</f>
        <v>-63.30800000000001</v>
      </c>
      <c r="E10" s="23">
        <f>E8+E9</f>
        <v>-66.862</v>
      </c>
      <c r="F10" s="23">
        <f>F8+F9</f>
        <v>-49.588</v>
      </c>
      <c r="G10" s="23">
        <f>G8+G9</f>
        <v>-69.792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-8.279999999999999</v>
      </c>
      <c r="C12" s="23" t="n">
        <v>-35.533</v>
      </c>
      <c r="D12" s="23" t="n">
        <v>-63.308</v>
      </c>
      <c r="E12" s="23" t="n">
        <v>-66.86199999999999</v>
      </c>
      <c r="F12" s="23" t="n">
        <v>-49.588</v>
      </c>
      <c r="G12" s="23" t="n">
        <v>-69.792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-0.5241501550927391</v>
      </c>
      <c r="C13" s="11">
        <f>IFERROR(C12/C14,0)</f>
        <v>-0.773532741205155</v>
      </c>
      <c r="D13" s="11">
        <f>IFERROR(D12/D14,0)</f>
        <v>-1.1364256480218282</v>
      </c>
      <c r="E13" s="11">
        <f>IFERROR(E12/E14,0)</f>
        <v>-1.194284183263374</v>
      </c>
      <c r="F13" s="11">
        <f>IFERROR(F12/F14,0)</f>
        <v>-0.8763143478184034</v>
      </c>
      <c r="G13" s="11">
        <f>IFERROR(G12/G14,0)</f>
        <v>-1.2173731030873889</v>
      </c>
    </row>
    <row r="14">
      <c r="A14" s="2" t="inlineStr">
        <is>
          <t>Shares</t>
        </is>
      </c>
      <c r="B14" s="23" t="n">
        <v>15.797</v>
      </c>
      <c r="C14" s="23" t="n">
        <v>45.936</v>
      </c>
      <c r="D14" s="23" t="n">
        <v>55.708</v>
      </c>
      <c r="E14" s="23" t="n">
        <v>55.985</v>
      </c>
      <c r="F14" s="23" t="n">
        <v>56.587</v>
      </c>
      <c r="G14" s="23" t="n">
        <v>57.33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-36.85840707964601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Design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0.3383208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79.363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293.4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31.051002698428785</v>
      </c>
      <c r="C29" s="42">
        <f>NPV!B25</f>
        <v>238.4470026984288</v>
      </c>
      <c r="D29" s="43">
        <f>NPV!B27</f>
        <v>3.810174370414561</v>
      </c>
      <c r="E29" s="44">
        <f>NPV!B29</f>
        <v>-0.6567410477103999</v>
      </c>
    </row>
    <row r="30">
      <c r="A30" s="45" t="n">
        <v>1</v>
      </c>
      <c r="B30" s="46">
        <f t="dataTable" ref="B30:E32" r1="B4"/>
        <v>-125.78781019343893</v>
      </c>
      <c r="C30" s="46">
        <v>81.60818980656109</v>
      </c>
      <c r="D30" s="47">
        <v>1.304027434599977</v>
      </c>
      <c r="E30" s="48">
        <v>-0.882520050936939</v>
      </c>
    </row>
    <row r="31">
      <c r="A31" s="45" t="n">
        <v>2</v>
      </c>
      <c r="B31" s="46">
        <v>31.051002698428785</v>
      </c>
      <c r="C31" s="46">
        <v>238.4470026984288</v>
      </c>
      <c r="D31" s="47">
        <v>3.810174370414561</v>
      </c>
      <c r="E31" s="48">
        <v>-0.6567410477103999</v>
      </c>
    </row>
    <row r="32">
      <c r="A32" s="45" t="n">
        <v>3</v>
      </c>
      <c r="B32" s="46">
        <v>280.31939454733333</v>
      </c>
      <c r="C32" s="46">
        <v>487.71539454733335</v>
      </c>
      <c r="D32" s="47">
        <v>7.7932650665821095</v>
      </c>
      <c r="E32" s="48">
        <v>-0.29790404805566584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3.810174370414561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0.7868976075728026</v>
      </c>
      <c r="C37" s="47">
        <v>1.5555671980227783</v>
      </c>
      <c r="D37" s="47">
        <v>2.276635509884344</v>
      </c>
      <c r="E37" s="47">
        <v>3.5897062659302175</v>
      </c>
      <c r="F37" s="47">
        <v>4.8640053027763805</v>
      </c>
    </row>
    <row r="38">
      <c r="A38" s="50" t="n">
        <v>0.8</v>
      </c>
      <c r="B38" s="47">
        <v>1.1767954316518103</v>
      </c>
      <c r="C38" s="47">
        <v>2.1659342161320487</v>
      </c>
      <c r="D38" s="47">
        <v>3.0501121792598345</v>
      </c>
      <c r="E38" s="47">
        <v>4.759506194424985</v>
      </c>
      <c r="F38" s="47">
        <v>6.4312459730112215</v>
      </c>
    </row>
    <row r="39">
      <c r="A39" s="50" t="n">
        <v>1</v>
      </c>
      <c r="B39" s="47">
        <v>1.571869779329991</v>
      </c>
      <c r="C39" s="47">
        <v>2.7279237130654317</v>
      </c>
      <c r="D39" s="47">
        <v>3.810174370414561</v>
      </c>
      <c r="E39" s="47">
        <v>5.916881105978152</v>
      </c>
      <c r="F39" s="47">
        <v>7.9906443957538595</v>
      </c>
    </row>
    <row r="40">
      <c r="A40" s="50" t="n">
        <v>1.2</v>
      </c>
      <c r="B40" s="47">
        <v>1.956686535162912</v>
      </c>
      <c r="C40" s="47">
        <v>3.282106606454913</v>
      </c>
      <c r="D40" s="47">
        <v>4.562268572824996</v>
      </c>
      <c r="E40" s="47">
        <v>7.067013103125952</v>
      </c>
      <c r="F40" s="47">
        <v>9.543447372455685</v>
      </c>
    </row>
    <row r="41">
      <c r="A41" s="50" t="n">
        <v>1.4</v>
      </c>
      <c r="B41" s="47">
        <v>2.3102421545562275</v>
      </c>
      <c r="C41" s="47">
        <v>3.833320643064597</v>
      </c>
      <c r="D41" s="47">
        <v>5.310800102642531</v>
      </c>
      <c r="E41" s="47">
        <v>8.220566833773942</v>
      </c>
      <c r="F41" s="47">
        <v>11.097775250921652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Design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Muscular dystrophy / SMA</t>
        </is>
      </c>
      <c r="C4" s="14" t="inlineStr">
        <is>
          <t>DT-216, DT-216P2</t>
        </is>
      </c>
      <c r="D4" s="14" t="inlineStr">
        <is>
          <t>Phase 1/2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1000</v>
      </c>
      <c r="H4" s="27" t="n">
        <v>0.207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207.8201824926093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20.7</v>
      </c>
      <c r="T4" s="23">
        <f>IF(T$3&lt;$I4,0,$G4*Assumptions!$E$11*INDEX(Assumptions!$B$24:$G$24,MIN(6,T$3-$I4+1))*IF(T$3&gt;$J4,(1-Assumptions!$B$26)^(T$3-$J4),1)*IF($H4&gt;=1,1,MIN(0.97,$H4*Assumptions!$E$12)))</f>
        <v>51.75</v>
      </c>
      <c r="U4" s="23">
        <f>IF(U$3&lt;$I4,0,$G4*Assumptions!$E$11*INDEX(Assumptions!$B$24:$G$24,MIN(6,U$3-$I4+1))*IF(U$3&gt;$J4,(1-Assumptions!$B$26)^(U$3-$J4),1)*IF($H4&gt;=1,1,MIN(0.97,$H4*Assumptions!$E$12)))</f>
        <v>93.14999999999999</v>
      </c>
      <c r="V4" s="23">
        <f>IF(V$3&lt;$I4,0,$G4*Assumptions!$E$11*INDEX(Assumptions!$B$24:$G$24,MIN(6,V$3-$I4+1))*IF(V$3&gt;$J4,(1-Assumptions!$B$26)^(V$3-$J4),1)*IF($H4&gt;=1,1,MIN(0.97,$H4*Assumptions!$E$12)))</f>
        <v>134.54999999999998</v>
      </c>
      <c r="W4" s="23">
        <f>IF(W$3&lt;$I4,0,$G4*Assumptions!$E$11*INDEX(Assumptions!$B$24:$G$24,MIN(6,W$3-$I4+1))*IF(W$3&gt;$J4,(1-Assumptions!$B$26)^(W$3-$J4),1)*IF($H4&gt;=1,1,MIN(0.97,$H4*Assumptions!$E$12)))</f>
        <v>175.95</v>
      </c>
      <c r="X4" s="23">
        <f>IF(X$3&lt;$I4,0,$G4*Assumptions!$E$11*INDEX(Assumptions!$B$24:$G$24,MIN(6,X$3-$I4+1))*IF(X$3&gt;$J4,(1-Assumptions!$B$26)^(X$3-$J4),1)*IF($H4&gt;=1,1,MIN(0.97,$H4*Assumptions!$E$12)))</f>
        <v>207.0</v>
      </c>
      <c r="Y4" s="23">
        <f>IF(Y$3&lt;$I4,0,$G4*Assumptions!$E$11*INDEX(Assumptions!$B$24:$G$24,MIN(6,Y$3-$I4+1))*IF(Y$3&gt;$J4,(1-Assumptions!$B$26)^(Y$3-$J4),1)*IF($H4&gt;=1,1,MIN(0.97,$H4*Assumptions!$E$12)))</f>
        <v>207.0</v>
      </c>
      <c r="Z4" s="23">
        <f>IF(Z$3&lt;$I4,0,$G4*Assumptions!$E$11*INDEX(Assumptions!$B$24:$G$24,MIN(6,Z$3-$I4+1))*IF(Z$3&gt;$J4,(1-Assumptions!$B$26)^(Z$3-$J4),1)*IF($H4&gt;=1,1,MIN(0.97,$H4*Assumptions!$E$12)))</f>
        <v>207.0</v>
      </c>
      <c r="AA4" s="23">
        <f>IF(AA$3&lt;$I4,0,$G4*Assumptions!$E$11*INDEX(Assumptions!$B$24:$G$24,MIN(6,AA$3-$I4+1))*IF(AA$3&gt;$J4,(1-Assumptions!$B$26)^(AA$3-$J4),1)*IF($H4&gt;=1,1,MIN(0.97,$H4*Assumptions!$E$12)))</f>
        <v>207.0</v>
      </c>
      <c r="AB4" s="23">
        <f>IF(AB$3&lt;$I4,0,$G4*Assumptions!$E$11*INDEX(Assumptions!$B$24:$G$24,MIN(6,AB$3-$I4+1))*IF(AB$3&gt;$J4,(1-Assumptions!$B$26)^(AB$3-$J4),1)*IF($H4&gt;=1,1,MIN(0.97,$H4*Assumptions!$E$12)))</f>
        <v>207.0</v>
      </c>
      <c r="AC4" s="23">
        <f>IF(AC$3&lt;$I4,0,$G4*Assumptions!$E$11*INDEX(Assumptions!$B$24:$G$24,MIN(6,AC$3-$I4+1))*IF(AC$3&gt;$J4,(1-Assumptions!$B$26)^(AC$3-$J4),1)*IF($H4&gt;=1,1,MIN(0.97,$H4*Assumptions!$E$12)))</f>
        <v>207.0</v>
      </c>
      <c r="AD4" s="23">
        <f>IF(AD$3&lt;$I4,0,$G4*Assumptions!$E$11*INDEX(Assumptions!$B$24:$G$24,MIN(6,AD$3-$I4+1))*IF(AD$3&gt;$J4,(1-Assumptions!$B$26)^(AD$3-$J4),1)*IF($H4&gt;=1,1,MIN(0.97,$H4*Assumptions!$E$12)))</f>
        <v>207.0</v>
      </c>
      <c r="AE4" s="23">
        <f>IF(AE$3&lt;$I4,0,$G4*Assumptions!$E$11*INDEX(Assumptions!$B$24:$G$24,MIN(6,AE$3-$I4+1))*IF(AE$3&gt;$J4,(1-Assumptions!$B$26)^(AE$3-$J4),1)*IF($H4&gt;=1,1,MIN(0.97,$H4*Assumptions!$E$12)))</f>
        <v>207.0</v>
      </c>
      <c r="AF4" s="23">
        <f>IF(AF$3&lt;$I4,0,$G4*Assumptions!$E$11*INDEX(Assumptions!$B$24:$G$24,MIN(6,AF$3-$I4+1))*IF(AF$3&gt;$J4,(1-Assumptions!$B$26)^(AF$3-$J4),1)*IF($H4&gt;=1,1,MIN(0.97,$H4*Assumptions!$E$12)))</f>
        <v>103.5</v>
      </c>
      <c r="AG4" s="35">
        <f>IF(F4="Owned",1-IF(H4&gt;=1,1,MIN(0.97,H4*Assumptions!$E$12)),1)</f>
        <v>0.793</v>
      </c>
    </row>
    <row r="5">
      <c r="A5" s="39" t="n">
        <v>2</v>
      </c>
      <c r="B5" s="14" t="inlineStr">
        <is>
          <t>Eye disease (other)</t>
        </is>
      </c>
      <c r="C5" s="14" t="inlineStr">
        <is>
          <t>DT-168</t>
        </is>
      </c>
      <c r="D5" s="14" t="inlineStr">
        <is>
          <t>Phase 2</t>
        </is>
      </c>
      <c r="E5" s="14" t="inlineStr">
        <is>
          <t>Ophthalmology / area</t>
        </is>
      </c>
      <c r="F5" s="14" t="inlineStr">
        <is>
          <t>Owned</t>
        </is>
      </c>
      <c r="G5" s="40" t="n">
        <v>600</v>
      </c>
      <c r="H5" s="27" t="n">
        <v>0.1656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112.87723113307935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9.936</v>
      </c>
      <c r="S5" s="23">
        <f>IF(S$3&lt;$I5,0,$G5*Assumptions!$E$11*INDEX(Assumptions!$B$24:$G$24,MIN(6,S$3-$I5+1))*IF(S$3&gt;$J5,(1-Assumptions!$B$26)^(S$3-$J5),1)*IF($H5&gt;=1,1,MIN(0.97,$H5*Assumptions!$E$12)))</f>
        <v>24.84</v>
      </c>
      <c r="T5" s="23">
        <f>IF(T$3&lt;$I5,0,$G5*Assumptions!$E$11*INDEX(Assumptions!$B$24:$G$24,MIN(6,T$3-$I5+1))*IF(T$3&gt;$J5,(1-Assumptions!$B$26)^(T$3-$J5),1)*IF($H5&gt;=1,1,MIN(0.97,$H5*Assumptions!$E$12)))</f>
        <v>44.711999999999996</v>
      </c>
      <c r="U5" s="23">
        <f>IF(U$3&lt;$I5,0,$G5*Assumptions!$E$11*INDEX(Assumptions!$B$24:$G$24,MIN(6,U$3-$I5+1))*IF(U$3&gt;$J5,(1-Assumptions!$B$26)^(U$3-$J5),1)*IF($H5&gt;=1,1,MIN(0.97,$H5*Assumptions!$E$12)))</f>
        <v>64.584</v>
      </c>
      <c r="V5" s="23">
        <f>IF(V$3&lt;$I5,0,$G5*Assumptions!$E$11*INDEX(Assumptions!$B$24:$G$24,MIN(6,V$3-$I5+1))*IF(V$3&gt;$J5,(1-Assumptions!$B$26)^(V$3-$J5),1)*IF($H5&gt;=1,1,MIN(0.97,$H5*Assumptions!$E$12)))</f>
        <v>84.456</v>
      </c>
      <c r="W5" s="23">
        <f>IF(W$3&lt;$I5,0,$G5*Assumptions!$E$11*INDEX(Assumptions!$B$24:$G$24,MIN(6,W$3-$I5+1))*IF(W$3&gt;$J5,(1-Assumptions!$B$26)^(W$3-$J5),1)*IF($H5&gt;=1,1,MIN(0.97,$H5*Assumptions!$E$12)))</f>
        <v>99.36</v>
      </c>
      <c r="X5" s="23">
        <f>IF(X$3&lt;$I5,0,$G5*Assumptions!$E$11*INDEX(Assumptions!$B$24:$G$24,MIN(6,X$3-$I5+1))*IF(X$3&gt;$J5,(1-Assumptions!$B$26)^(X$3-$J5),1)*IF($H5&gt;=1,1,MIN(0.97,$H5*Assumptions!$E$12)))</f>
        <v>99.36</v>
      </c>
      <c r="Y5" s="23">
        <f>IF(Y$3&lt;$I5,0,$G5*Assumptions!$E$11*INDEX(Assumptions!$B$24:$G$24,MIN(6,Y$3-$I5+1))*IF(Y$3&gt;$J5,(1-Assumptions!$B$26)^(Y$3-$J5),1)*IF($H5&gt;=1,1,MIN(0.97,$H5*Assumptions!$E$12)))</f>
        <v>99.36</v>
      </c>
      <c r="Z5" s="23">
        <f>IF(Z$3&lt;$I5,0,$G5*Assumptions!$E$11*INDEX(Assumptions!$B$24:$G$24,MIN(6,Z$3-$I5+1))*IF(Z$3&gt;$J5,(1-Assumptions!$B$26)^(Z$3-$J5),1)*IF($H5&gt;=1,1,MIN(0.97,$H5*Assumptions!$E$12)))</f>
        <v>99.36</v>
      </c>
      <c r="AA5" s="23">
        <f>IF(AA$3&lt;$I5,0,$G5*Assumptions!$E$11*INDEX(Assumptions!$B$24:$G$24,MIN(6,AA$3-$I5+1))*IF(AA$3&gt;$J5,(1-Assumptions!$B$26)^(AA$3-$J5),1)*IF($H5&gt;=1,1,MIN(0.97,$H5*Assumptions!$E$12)))</f>
        <v>99.36</v>
      </c>
      <c r="AB5" s="23">
        <f>IF(AB$3&lt;$I5,0,$G5*Assumptions!$E$11*INDEX(Assumptions!$B$24:$G$24,MIN(6,AB$3-$I5+1))*IF(AB$3&gt;$J5,(1-Assumptions!$B$26)^(AB$3-$J5),1)*IF($H5&gt;=1,1,MIN(0.97,$H5*Assumptions!$E$12)))</f>
        <v>99.36</v>
      </c>
      <c r="AC5" s="23">
        <f>IF(AC$3&lt;$I5,0,$G5*Assumptions!$E$11*INDEX(Assumptions!$B$24:$G$24,MIN(6,AC$3-$I5+1))*IF(AC$3&gt;$J5,(1-Assumptions!$B$26)^(AC$3-$J5),1)*IF($H5&gt;=1,1,MIN(0.97,$H5*Assumptions!$E$12)))</f>
        <v>99.36</v>
      </c>
      <c r="AD5" s="23">
        <f>IF(AD$3&lt;$I5,0,$G5*Assumptions!$E$11*INDEX(Assumptions!$B$24:$G$24,MIN(6,AD$3-$I5+1))*IF(AD$3&gt;$J5,(1-Assumptions!$B$26)^(AD$3-$J5),1)*IF($H5&gt;=1,1,MIN(0.97,$H5*Assumptions!$E$12)))</f>
        <v>99.36</v>
      </c>
      <c r="AE5" s="23">
        <f>IF(AE$3&lt;$I5,0,$G5*Assumptions!$E$11*INDEX(Assumptions!$B$24:$G$24,MIN(6,AE$3-$I5+1))*IF(AE$3&gt;$J5,(1-Assumptions!$B$26)^(AE$3-$J5),1)*IF($H5&gt;=1,1,MIN(0.97,$H5*Assumptions!$E$12)))</f>
        <v>49.68</v>
      </c>
      <c r="AF5" s="23">
        <f>IF(AF$3&lt;$I5,0,$G5*Assumptions!$E$11*INDEX(Assumptions!$B$24:$G$24,MIN(6,AF$3-$I5+1))*IF(AF$3&gt;$J5,(1-Assumptions!$B$26)^(AF$3-$J5),1)*IF($H5&gt;=1,1,MIN(0.97,$H5*Assumptions!$E$12)))</f>
        <v>24.84</v>
      </c>
      <c r="AG5" s="35">
        <f>IF(F5="Owned",1-IF(H5&gt;=1,1,MIN(0.97,H5*Assumptions!$E$12)),1)</f>
        <v>0.8344</v>
      </c>
    </row>
    <row r="6">
      <c r="B6" s="24" t="inlineStr">
        <is>
          <t>Risked revenue</t>
        </is>
      </c>
      <c r="L6" s="54">
        <f>SUM(L4:L5)</f>
        <v>320.6974136256886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9.936</v>
      </c>
      <c r="S6" s="54">
        <f>SUM(S4:S5)</f>
        <v>45.54</v>
      </c>
      <c r="T6" s="54">
        <f>SUM(T4:T5)</f>
        <v>96.46199999999999</v>
      </c>
      <c r="U6" s="54">
        <f>SUM(U4:U5)</f>
        <v>157.73399999999998</v>
      </c>
      <c r="V6" s="54">
        <f>SUM(V4:V5)</f>
        <v>219.00599999999997</v>
      </c>
      <c r="W6" s="54">
        <f>SUM(W4:W5)</f>
        <v>275.31</v>
      </c>
      <c r="X6" s="54">
        <f>SUM(X4:X5)</f>
        <v>306.36</v>
      </c>
      <c r="Y6" s="54">
        <f>SUM(Y4:Y5)</f>
        <v>306.36</v>
      </c>
      <c r="Z6" s="54">
        <f>SUM(Z4:Z5)</f>
        <v>306.36</v>
      </c>
      <c r="AA6" s="54">
        <f>SUM(AA4:AA5)</f>
        <v>306.36</v>
      </c>
      <c r="AB6" s="54">
        <f>SUM(AB4:AB5)</f>
        <v>306.36</v>
      </c>
      <c r="AC6" s="54">
        <f>SUM(AC4:AC5)</f>
        <v>306.36</v>
      </c>
      <c r="AD6" s="54">
        <f>SUM(AD4:AD5)</f>
        <v>306.36</v>
      </c>
      <c r="AE6" s="54">
        <f>SUM(AE4:AE5)</f>
        <v>256.68</v>
      </c>
      <c r="AF6" s="54">
        <f>SUM(AF4:AF5)</f>
        <v>128.34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3.9744</v>
      </c>
      <c r="S7" s="55">
        <f>SUMPRODUCT(S4:S5,$K$4:$K$5)</f>
        <v>18.216</v>
      </c>
      <c r="T7" s="55">
        <f>SUMPRODUCT(T4:T5,$K$4:$K$5)</f>
        <v>38.5848</v>
      </c>
      <c r="U7" s="55">
        <f>SUMPRODUCT(U4:U5,$K$4:$K$5)</f>
        <v>63.0936</v>
      </c>
      <c r="V7" s="55">
        <f>SUMPRODUCT(V4:V5,$K$4:$K$5)</f>
        <v>87.60239999999999</v>
      </c>
      <c r="W7" s="55">
        <f>SUMPRODUCT(W4:W5,$K$4:$K$5)</f>
        <v>110.124</v>
      </c>
      <c r="X7" s="55">
        <f>SUMPRODUCT(X4:X5,$K$4:$K$5)</f>
        <v>122.54400000000001</v>
      </c>
      <c r="Y7" s="55">
        <f>SUMPRODUCT(Y4:Y5,$K$4:$K$5)</f>
        <v>122.54400000000001</v>
      </c>
      <c r="Z7" s="55">
        <f>SUMPRODUCT(Z4:Z5,$K$4:$K$5)</f>
        <v>122.54400000000001</v>
      </c>
      <c r="AA7" s="55">
        <f>SUMPRODUCT(AA4:AA5,$K$4:$K$5)</f>
        <v>122.54400000000001</v>
      </c>
      <c r="AB7" s="55">
        <f>SUMPRODUCT(AB4:AB5,$K$4:$K$5)</f>
        <v>122.54400000000001</v>
      </c>
      <c r="AC7" s="55">
        <f>SUMPRODUCT(AC4:AC5,$K$4:$K$5)</f>
        <v>122.54400000000001</v>
      </c>
      <c r="AD7" s="55">
        <f>SUMPRODUCT(AD4:AD5,$K$4:$K$5)</f>
        <v>122.54400000000001</v>
      </c>
      <c r="AE7" s="55">
        <f>SUMPRODUCT(AE4:AE5,$K$4:$K$5)</f>
        <v>102.67200000000001</v>
      </c>
      <c r="AF7" s="55">
        <f>SUMPRODUCT(AF4:AF5,$K$4:$K$5)</f>
        <v>51.336000000000006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Design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9.936</v>
      </c>
      <c r="I4" s="57">
        <f>Pipeline!S6</f>
        <v>45.54</v>
      </c>
      <c r="J4" s="57">
        <f>Pipeline!T6</f>
        <v>96.46199999999999</v>
      </c>
      <c r="K4" s="57">
        <f>Pipeline!U6</f>
        <v>157.73399999999998</v>
      </c>
      <c r="L4" s="57">
        <f>Pipeline!V6</f>
        <v>219.00599999999997</v>
      </c>
      <c r="M4" s="57">
        <f>Pipeline!W6</f>
        <v>275.31</v>
      </c>
      <c r="N4" s="57">
        <f>Pipeline!X6</f>
        <v>306.36</v>
      </c>
      <c r="O4" s="57">
        <f>Pipeline!Y6</f>
        <v>306.36</v>
      </c>
      <c r="P4" s="57">
        <f>Pipeline!Z6</f>
        <v>306.36</v>
      </c>
      <c r="Q4" s="57">
        <f>Pipeline!AA6</f>
        <v>306.36</v>
      </c>
      <c r="R4" s="57">
        <f>Pipeline!AB6</f>
        <v>306.36</v>
      </c>
      <c r="S4" s="57">
        <f>Pipeline!AC6</f>
        <v>306.36</v>
      </c>
      <c r="T4" s="57">
        <f>Pipeline!AD6</f>
        <v>306.36</v>
      </c>
      <c r="U4" s="57">
        <f>Pipeline!AE6</f>
        <v>256.68</v>
      </c>
      <c r="V4" s="57">
        <f>Pipeline!AF6</f>
        <v>128.34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3.9744</v>
      </c>
      <c r="I5" s="57">
        <f>Pipeline!S7</f>
        <v>18.216</v>
      </c>
      <c r="J5" s="57">
        <f>Pipeline!T7</f>
        <v>38.5848</v>
      </c>
      <c r="K5" s="57">
        <f>Pipeline!U7</f>
        <v>63.0936</v>
      </c>
      <c r="L5" s="57">
        <f>Pipeline!V7</f>
        <v>87.60239999999999</v>
      </c>
      <c r="M5" s="57">
        <f>Pipeline!W7</f>
        <v>110.124</v>
      </c>
      <c r="N5" s="57">
        <f>Pipeline!X7</f>
        <v>122.54400000000001</v>
      </c>
      <c r="O5" s="57">
        <f>Pipeline!Y7</f>
        <v>122.54400000000001</v>
      </c>
      <c r="P5" s="57">
        <f>Pipeline!Z7</f>
        <v>122.54400000000001</v>
      </c>
      <c r="Q5" s="57">
        <f>Pipeline!AA7</f>
        <v>122.54400000000001</v>
      </c>
      <c r="R5" s="57">
        <f>Pipeline!AB7</f>
        <v>122.54400000000001</v>
      </c>
      <c r="S5" s="57">
        <f>Pipeline!AC7</f>
        <v>122.54400000000001</v>
      </c>
      <c r="T5" s="57">
        <f>Pipeline!AD7</f>
        <v>122.54400000000001</v>
      </c>
      <c r="U5" s="57">
        <f>Pipeline!AE7</f>
        <v>102.67200000000001</v>
      </c>
      <c r="V5" s="57">
        <f>Pipeline!AF7</f>
        <v>51.336000000000006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-79.363</v>
      </c>
      <c r="D6" s="23">
        <f>-IF(D3-2026&lt;Assumptions!$B$19,Assumptions!$B$18,Assumptions!$B$18*Assumptions!$B$20*Assumptions!$B$16)</f>
        <v>-79.363</v>
      </c>
      <c r="E6" s="23">
        <f>-IF(E3-2026&lt;Assumptions!$B$19,Assumptions!$B$18,Assumptions!$B$18*Assumptions!$B$20*Assumptions!$B$16)</f>
        <v>-79.363</v>
      </c>
      <c r="F6" s="23">
        <f>-IF(F3-2026&lt;Assumptions!$B$19,Assumptions!$B$18,Assumptions!$B$18*Assumptions!$B$20*Assumptions!$B$16)</f>
        <v>-79.363</v>
      </c>
      <c r="G6" s="23">
        <f>-IF(G3-2026&lt;Assumptions!$B$19,Assumptions!$B$18,Assumptions!$B$18*Assumptions!$B$20*Assumptions!$B$16)</f>
        <v>-8.055046095119998</v>
      </c>
      <c r="H6" s="23">
        <f>-IF(H3-2026&lt;Assumptions!$B$19,Assumptions!$B$18,Assumptions!$B$18*Assumptions!$B$20*Assumptions!$B$16)</f>
        <v>-8.055046095119998</v>
      </c>
      <c r="I6" s="23">
        <f>-IF(I3-2026&lt;Assumptions!$B$19,Assumptions!$B$18,Assumptions!$B$18*Assumptions!$B$20*Assumptions!$B$16)</f>
        <v>-8.055046095119998</v>
      </c>
      <c r="J6" s="23">
        <f>-IF(J3-2026&lt;Assumptions!$B$19,Assumptions!$B$18,Assumptions!$B$18*Assumptions!$B$20*Assumptions!$B$16)</f>
        <v>-8.055046095119998</v>
      </c>
      <c r="K6" s="23">
        <f>-IF(K3-2026&lt;Assumptions!$B$19,Assumptions!$B$18,Assumptions!$B$18*Assumptions!$B$20*Assumptions!$B$16)</f>
        <v>-8.055046095119998</v>
      </c>
      <c r="L6" s="23">
        <f>-IF(L3-2026&lt;Assumptions!$B$19,Assumptions!$B$18,Assumptions!$B$18*Assumptions!$B$20*Assumptions!$B$16)</f>
        <v>-8.055046095119998</v>
      </c>
      <c r="M6" s="23">
        <f>-IF(M3-2026&lt;Assumptions!$B$19,Assumptions!$B$18,Assumptions!$B$18*Assumptions!$B$20*Assumptions!$B$16)</f>
        <v>-8.055046095119998</v>
      </c>
      <c r="N6" s="23">
        <f>-IF(N3-2026&lt;Assumptions!$B$19,Assumptions!$B$18,Assumptions!$B$18*Assumptions!$B$20*Assumptions!$B$16)</f>
        <v>-8.055046095119998</v>
      </c>
      <c r="O6" s="23">
        <f>-IF(O3-2026&lt;Assumptions!$B$19,Assumptions!$B$18,Assumptions!$B$18*Assumptions!$B$20*Assumptions!$B$16)</f>
        <v>-8.055046095119998</v>
      </c>
      <c r="P6" s="23">
        <f>-IF(P3-2026&lt;Assumptions!$B$19,Assumptions!$B$18,Assumptions!$B$18*Assumptions!$B$20*Assumptions!$B$16)</f>
        <v>-8.055046095119998</v>
      </c>
      <c r="Q6" s="23">
        <f>-IF(Q3-2026&lt;Assumptions!$B$19,Assumptions!$B$18,Assumptions!$B$18*Assumptions!$B$20*Assumptions!$B$16)</f>
        <v>-8.055046095119998</v>
      </c>
      <c r="R6" s="23">
        <f>-IF(R3-2026&lt;Assumptions!$B$19,Assumptions!$B$18,Assumptions!$B$18*Assumptions!$B$20*Assumptions!$B$16)</f>
        <v>-8.055046095119998</v>
      </c>
      <c r="S6" s="23">
        <f>-IF(S3-2026&lt;Assumptions!$B$19,Assumptions!$B$18,Assumptions!$B$18*Assumptions!$B$20*Assumptions!$B$16)</f>
        <v>-8.055046095119998</v>
      </c>
      <c r="T6" s="23">
        <f>-IF(T3-2026&lt;Assumptions!$B$19,Assumptions!$B$18,Assumptions!$B$18*Assumptions!$B$20*Assumptions!$B$16)</f>
        <v>-8.055046095119998</v>
      </c>
      <c r="U6" s="23">
        <f>-IF(U3-2026&lt;Assumptions!$B$19,Assumptions!$B$18,Assumptions!$B$18*Assumptions!$B$20*Assumptions!$B$16)</f>
        <v>-8.055046095119998</v>
      </c>
      <c r="V6" s="23">
        <f>-IF(V3-2026&lt;Assumptions!$B$19,Assumptions!$B$18,Assumptions!$B$18*Assumptions!$B$20*Assumptions!$B$16)</f>
        <v>-8.055046095119998</v>
      </c>
    </row>
    <row r="7">
      <c r="A7" s="14" t="inlineStr">
        <is>
          <t>Pre-tax cash flow</t>
        </is>
      </c>
      <c r="C7" s="23">
        <f>C5+C6</f>
        <v>-79.363</v>
      </c>
      <c r="D7" s="23">
        <f>D5+D6</f>
        <v>-79.363</v>
      </c>
      <c r="E7" s="23">
        <f>E5+E6</f>
        <v>-79.363</v>
      </c>
      <c r="F7" s="23">
        <f>F5+F6</f>
        <v>-79.363</v>
      </c>
      <c r="G7" s="23">
        <f>G5+G6</f>
        <v>-8.055046095119998</v>
      </c>
      <c r="H7" s="23">
        <f>H5+H6</f>
        <v>-4.080646095119998</v>
      </c>
      <c r="I7" s="23">
        <f>I5+I6</f>
        <v>10.160953904880003</v>
      </c>
      <c r="J7" s="23">
        <f>J5+J6</f>
        <v>30.529753904880003</v>
      </c>
      <c r="K7" s="23">
        <f>K5+K6</f>
        <v>55.038553904880004</v>
      </c>
      <c r="L7" s="23">
        <f>L5+L6</f>
        <v>79.54735390488</v>
      </c>
      <c r="M7" s="23">
        <f>M5+M6</f>
        <v>102.06895390488</v>
      </c>
      <c r="N7" s="23">
        <f>N5+N6</f>
        <v>114.48895390488002</v>
      </c>
      <c r="O7" s="23">
        <f>O5+O6</f>
        <v>114.48895390488002</v>
      </c>
      <c r="P7" s="23">
        <f>P5+P6</f>
        <v>114.48895390488002</v>
      </c>
      <c r="Q7" s="23">
        <f>Q5+Q6</f>
        <v>114.48895390488002</v>
      </c>
      <c r="R7" s="23">
        <f>R5+R6</f>
        <v>114.48895390488002</v>
      </c>
      <c r="S7" s="23">
        <f>S5+S6</f>
        <v>114.48895390488002</v>
      </c>
      <c r="T7" s="23">
        <f>T5+T6</f>
        <v>114.48895390488002</v>
      </c>
      <c r="U7" s="23">
        <f>U5+U6</f>
        <v>94.61695390488</v>
      </c>
      <c r="V7" s="23">
        <f>V5+V6</f>
        <v>43.28095390488001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10.160953904880003</v>
      </c>
      <c r="J8" s="23">
        <f>MIN(I17,MAX(0,J7))</f>
        <v>30.529753904880003</v>
      </c>
      <c r="K8" s="23">
        <f>MIN(J17,MAX(0,K7))</f>
        <v>55.038553904880004</v>
      </c>
      <c r="L8" s="23">
        <f>MIN(K17,MAX(0,L7))</f>
        <v>79.54735390488</v>
      </c>
      <c r="M8" s="23">
        <f>MIN(L17,MAX(0,M7))</f>
        <v>102.06895390488</v>
      </c>
      <c r="N8" s="23">
        <f>MIN(M17,MAX(0,N7))</f>
        <v>114.48895390488002</v>
      </c>
      <c r="O8" s="23">
        <f>MIN(N17,MAX(0,O7))</f>
        <v>114.48895390488002</v>
      </c>
      <c r="P8" s="23">
        <f>MIN(O17,MAX(0,P7))</f>
        <v>114.48895390488002</v>
      </c>
      <c r="Q8" s="23">
        <f>MIN(P17,MAX(0,Q7))</f>
        <v>2.175260951200073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112.31369295367995</v>
      </c>
      <c r="R9" s="23">
        <f>MAX(0,R7)-R8</f>
        <v>114.48895390488002</v>
      </c>
      <c r="S9" s="23">
        <f>MAX(0,S7)-S8</f>
        <v>114.48895390488002</v>
      </c>
      <c r="T9" s="23">
        <f>MAX(0,T7)-T8</f>
        <v>114.48895390488002</v>
      </c>
      <c r="U9" s="23">
        <f>MAX(0,U7)-U8</f>
        <v>94.61695390488</v>
      </c>
      <c r="V9" s="23">
        <f>MAX(0,V7)-V8</f>
        <v>43.28095390488001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23.585875520272786</v>
      </c>
      <c r="R10" s="23">
        <f>R9*Assumptions!$E$15</f>
        <v>24.042680320024804</v>
      </c>
      <c r="S10" s="23">
        <f>S9*Assumptions!$E$15</f>
        <v>24.042680320024804</v>
      </c>
      <c r="T10" s="23">
        <f>T9*Assumptions!$E$15</f>
        <v>24.042680320024804</v>
      </c>
      <c r="U10" s="23">
        <f>U9*Assumptions!$E$15</f>
        <v>19.8695603200248</v>
      </c>
      <c r="V10" s="23">
        <f>V9*Assumptions!$E$15</f>
        <v>9.089000320024802</v>
      </c>
    </row>
    <row r="11">
      <c r="A11" s="24" t="inlineStr">
        <is>
          <t>Free cash flow</t>
        </is>
      </c>
      <c r="C11" s="55">
        <f>C7-C10</f>
        <v>-79.363</v>
      </c>
      <c r="D11" s="55">
        <f>D7-D10</f>
        <v>-79.363</v>
      </c>
      <c r="E11" s="55">
        <f>E7-E10</f>
        <v>-79.363</v>
      </c>
      <c r="F11" s="55">
        <f>F7-F10</f>
        <v>-79.363</v>
      </c>
      <c r="G11" s="55">
        <f>G7-G10</f>
        <v>-8.055046095119998</v>
      </c>
      <c r="H11" s="55">
        <f>H7-H10</f>
        <v>-4.080646095119998</v>
      </c>
      <c r="I11" s="55">
        <f>I7-I10</f>
        <v>10.160953904880003</v>
      </c>
      <c r="J11" s="55">
        <f>J7-J10</f>
        <v>30.529753904880003</v>
      </c>
      <c r="K11" s="55">
        <f>K7-K10</f>
        <v>55.038553904880004</v>
      </c>
      <c r="L11" s="55">
        <f>L7-L10</f>
        <v>79.54735390488</v>
      </c>
      <c r="M11" s="55">
        <f>M7-M10</f>
        <v>102.06895390488</v>
      </c>
      <c r="N11" s="55">
        <f>N7-N10</f>
        <v>114.48895390488002</v>
      </c>
      <c r="O11" s="55">
        <f>O7-O10</f>
        <v>114.48895390488002</v>
      </c>
      <c r="P11" s="55">
        <f>P7-P10</f>
        <v>114.48895390488002</v>
      </c>
      <c r="Q11" s="55">
        <f>Q7-Q10</f>
        <v>90.90307838460723</v>
      </c>
      <c r="R11" s="55">
        <f>R7-R10</f>
        <v>90.44627358485522</v>
      </c>
      <c r="S11" s="55">
        <f>S7-S10</f>
        <v>90.44627358485522</v>
      </c>
      <c r="T11" s="55">
        <f>T7-T10</f>
        <v>90.44627358485522</v>
      </c>
      <c r="U11" s="55">
        <f>U7-U10</f>
        <v>74.7473935848552</v>
      </c>
      <c r="V11" s="55">
        <f>V7-V10</f>
        <v>34.191953584855206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-38.88027885085056</v>
      </c>
      <c r="D16" s="55">
        <f>D11*D15</f>
        <v>-70.82690422995776</v>
      </c>
      <c r="E16" s="55">
        <f>E11*E15</f>
        <v>-63.23830734817656</v>
      </c>
      <c r="F16" s="55">
        <f>F11*F15</f>
        <v>-56.46277441801479</v>
      </c>
      <c r="G16" s="55">
        <f>G11*G15</f>
        <v>-5.116749378032757</v>
      </c>
      <c r="H16" s="55">
        <f>H11*H15</f>
        <v>-2.3143925562106644</v>
      </c>
      <c r="I16" s="55">
        <f>I11*I15</f>
        <v>5.145464085939597</v>
      </c>
      <c r="J16" s="55">
        <f>J11*J15</f>
        <v>13.803694879147749</v>
      </c>
      <c r="K16" s="55">
        <f>K11*K15</f>
        <v>22.218822492791965</v>
      </c>
      <c r="L16" s="55">
        <f>L11*L15</f>
        <v>28.67224769188955</v>
      </c>
      <c r="M16" s="55">
        <f>M11*M15</f>
        <v>32.848205057745496</v>
      </c>
      <c r="N16" s="55">
        <f>N11*N15</f>
        <v>32.8975491115667</v>
      </c>
      <c r="O16" s="55">
        <f>O11*O15</f>
        <v>29.372811706755975</v>
      </c>
      <c r="P16" s="55">
        <f>P11*P15</f>
        <v>26.22572473817497</v>
      </c>
      <c r="Q16" s="55">
        <f>Q11*Q15</f>
        <v>18.591930162070888</v>
      </c>
      <c r="R16" s="55">
        <f>R11*R15</f>
        <v>16.516519884533025</v>
      </c>
      <c r="S16" s="55">
        <f>S11*S15</f>
        <v>14.746892754047343</v>
      </c>
      <c r="T16" s="55">
        <f>T11*T15</f>
        <v>13.166868530399412</v>
      </c>
      <c r="U16" s="55">
        <f>U11*U15</f>
        <v>9.715605042494989</v>
      </c>
      <c r="V16" s="55">
        <f>V11*V15</f>
        <v>3.968073342114225</v>
      </c>
    </row>
    <row r="17">
      <c r="A17" s="14" t="inlineStr">
        <is>
          <t>Tax-loss carryforward, end of year</t>
        </is>
      </c>
      <c r="C17" s="23">
        <f>Assumptions!$B$21-C8+MAX(0,-C7)</f>
        <v>372.763</v>
      </c>
      <c r="D17" s="23">
        <f>C17-D8+MAX(0,-D7)</f>
        <v>452.126</v>
      </c>
      <c r="E17" s="23">
        <f>D17-E8+MAX(0,-E7)</f>
        <v>531.489</v>
      </c>
      <c r="F17" s="23">
        <f>E17-F8+MAX(0,-F7)</f>
        <v>610.8520000000001</v>
      </c>
      <c r="G17" s="23">
        <f>F17-G8+MAX(0,-G7)</f>
        <v>618.9070460951201</v>
      </c>
      <c r="H17" s="23">
        <f>G17-H8+MAX(0,-H7)</f>
        <v>622.9876921902401</v>
      </c>
      <c r="I17" s="23">
        <f>H17-I8+MAX(0,-I7)</f>
        <v>612.8267382853601</v>
      </c>
      <c r="J17" s="23">
        <f>I17-J8+MAX(0,-J7)</f>
        <v>582.2969843804801</v>
      </c>
      <c r="K17" s="23">
        <f>J17-K8+MAX(0,-K7)</f>
        <v>527.2584304756001</v>
      </c>
      <c r="L17" s="23">
        <f>K17-L8+MAX(0,-L7)</f>
        <v>447.71107657072014</v>
      </c>
      <c r="M17" s="23">
        <f>L17-M8+MAX(0,-M7)</f>
        <v>345.64212266584013</v>
      </c>
      <c r="N17" s="23">
        <f>M17-N8+MAX(0,-N7)</f>
        <v>231.1531687609601</v>
      </c>
      <c r="O17" s="23">
        <f>N17-O8+MAX(0,-O7)</f>
        <v>116.6642148560801</v>
      </c>
      <c r="P17" s="23">
        <f>O17-P8+MAX(0,-P7)</f>
        <v>2.175260951200073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320.6974136256886</v>
      </c>
    </row>
    <row r="20">
      <c r="A20" s="14" t="inlineStr">
        <is>
          <t>PV of corporate burn</t>
        </is>
      </c>
      <c r="B20" s="23">
        <f>SUMPRODUCT(C6:V6,C15:V15)</f>
        <v>-269.37450086536785</v>
      </c>
    </row>
    <row r="21">
      <c r="A21" s="14" t="inlineStr">
        <is>
          <t>PV of taxes</t>
        </is>
      </c>
      <c r="B21" s="23">
        <f>-SUMPRODUCT(C10:V10,C15:V15)</f>
        <v>-20.271910061891994</v>
      </c>
    </row>
    <row r="22">
      <c r="A22" s="24" t="inlineStr">
        <is>
          <t>Pipeline rNPV (operations)</t>
        </is>
      </c>
      <c r="B22" s="54">
        <f>SUM(C16:V16)</f>
        <v>31.051002698428785</v>
      </c>
    </row>
    <row r="23">
      <c r="A23" s="14" t="inlineStr">
        <is>
          <t>Cash &amp; investments</t>
        </is>
      </c>
      <c r="B23" s="57">
        <f>Main!C7</f>
        <v>207.39600000000002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238.4470026984288</v>
      </c>
    </row>
    <row r="26">
      <c r="A26" s="14" t="inlineStr">
        <is>
          <t>Shares (mm)</t>
        </is>
      </c>
      <c r="B26" s="57">
        <f>Main!C4</f>
        <v>62.581651</v>
      </c>
    </row>
    <row r="27">
      <c r="A27" s="24" t="inlineStr">
        <is>
          <t>rNPV / share</t>
        </is>
      </c>
      <c r="B27" s="60">
        <f>B25/B26</f>
        <v>3.810174370414561</v>
      </c>
    </row>
    <row r="28">
      <c r="A28" s="14" t="inlineStr">
        <is>
          <t>Price</t>
        </is>
      </c>
      <c r="B28" s="61">
        <f>Main!C3</f>
        <v>11.1</v>
      </c>
    </row>
    <row r="29">
      <c r="A29" s="14" t="inlineStr">
        <is>
          <t>Upside</t>
        </is>
      </c>
      <c r="B29" s="62">
        <f>B27/B28-1</f>
        <v>-0.6567410477103999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2026-10-21T06:24:41Z</dcterms:modified>
  <cp:lastModifiedBy>Wang, Eric</cp:lastModifiedBy>
</cp:coreProperties>
</file>