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Design Therapeutics, Inc.</t>
        </is>
      </c>
      <c r="C2" s="10" t="n"/>
    </row>
    <row r="3">
      <c r="B3" t="inlineStr">
        <is>
          <t>Price</t>
        </is>
      </c>
      <c r="C3" s="11">
        <f>INDEX([1]Pharma!$F$1:$F$1000,MATCH("DSGN",[1]Pharma!$B$1:$B$1000,0))</f>
        <v>11.1</v>
      </c>
      <c r="F3" s="1" t="n"/>
    </row>
    <row r="4">
      <c r="B4" t="inlineStr">
        <is>
          <t>Shares</t>
        </is>
      </c>
      <c r="C4" s="21" t="n">
        <v>62.581651</v>
      </c>
      <c r="F4" s="1" t="n"/>
    </row>
    <row r="5">
      <c r="B5" t="inlineStr">
        <is>
          <t>Market Cap.</t>
        </is>
      </c>
      <c r="C5" s="13">
        <f>C3*C4</f>
        <v>694.6563261</v>
      </c>
      <c r="F5" s="1" t="n"/>
    </row>
    <row r="6"/>
    <row r="7">
      <c r="B7" t="inlineStr">
        <is>
          <t>Cash</t>
        </is>
      </c>
      <c r="C7" s="21">
        <f>12.907+194.489</f>
        <v>207.39600000000002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487.2603261</v>
      </c>
    </row>
    <row r="10"/>
    <row r="11">
      <c r="B11" s="14" t="inlineStr">
        <is>
          <t>Net Cash / Share</t>
        </is>
      </c>
      <c r="C11" s="11">
        <f>(C7-C8)/C4</f>
        <v>3.3140065288466105</v>
      </c>
    </row>
    <row r="12">
      <c r="B12" s="14" t="inlineStr">
        <is>
          <t>Upside</t>
        </is>
      </c>
      <c r="C12" s="15">
        <f>IFERROR(C11/C3-1,"")</f>
        <v>-0.7014408532570622</v>
      </c>
    </row>
    <row r="13">
      <c r="B13" s="14" t="inlineStr">
        <is>
          <t>Cash / Share</t>
        </is>
      </c>
      <c r="C13" s="11">
        <f>IFERROR((C7-C8)/C4,"")</f>
        <v>3.3140065288466105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-55.083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3.7651544033549373</v>
      </c>
    </row>
    <row r="19">
      <c r="B19" s="14" t="inlineStr">
        <is>
          <t>Implied Pipeline Value</t>
        </is>
      </c>
      <c r="C19" s="13">
        <f>C9</f>
        <v>487.2603261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0.226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0.226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6.06</v>
      </c>
      <c r="C5" s="23" t="n">
        <v>24.778</v>
      </c>
      <c r="D5" s="23" t="n">
        <v>48.613</v>
      </c>
      <c r="E5" s="23" t="n">
        <v>57.063</v>
      </c>
      <c r="F5" s="23" t="n">
        <v>44.35</v>
      </c>
      <c r="G5" s="23" t="n">
        <v>59.129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2.496</v>
      </c>
      <c r="C6" s="23" t="n">
        <v>11.053</v>
      </c>
      <c r="D6" s="23" t="n">
        <v>18.98</v>
      </c>
      <c r="E6" s="23" t="n">
        <v>21.127</v>
      </c>
      <c r="F6" s="23" t="n">
        <v>18.033</v>
      </c>
      <c r="G6" s="23" t="n">
        <v>20.338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8.556</v>
      </c>
      <c r="C7" s="23">
        <f>SUM(C5:C6)</f>
        <v>35.831</v>
      </c>
      <c r="D7" s="23">
        <f>SUM(D5:D6)</f>
        <v>67.593</v>
      </c>
      <c r="E7" s="23">
        <f>SUM(E5:E6)</f>
        <v>78.19</v>
      </c>
      <c r="F7" s="23">
        <f>SUM(F5:F6)</f>
        <v>62.383</v>
      </c>
      <c r="G7" s="23">
        <f>SUM(G5:G6)</f>
        <v>79.467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-8.329999999999998</v>
      </c>
      <c r="C8" s="23">
        <f>C4-C7</f>
        <v>-35.831</v>
      </c>
      <c r="D8" s="23">
        <f>D4-D7</f>
        <v>-67.593</v>
      </c>
      <c r="E8" s="23">
        <f>E4-E7</f>
        <v>-78.19</v>
      </c>
      <c r="F8" s="23">
        <f>F4-F7</f>
        <v>-62.383</v>
      </c>
      <c r="G8" s="23">
        <f>G4-G7</f>
        <v>-79.467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0.05</v>
      </c>
      <c r="C9" s="23" t="n">
        <v>0.298</v>
      </c>
      <c r="D9" s="23" t="n">
        <v>4.285</v>
      </c>
      <c r="E9" s="23" t="n">
        <v>11.328</v>
      </c>
      <c r="F9" s="23" t="n">
        <v>12.795</v>
      </c>
      <c r="G9" s="23" t="n">
        <v>9.675000000000001</v>
      </c>
    </row>
    <row r="10">
      <c r="A10" s="2" t="inlineStr">
        <is>
          <t>Pretax</t>
        </is>
      </c>
      <c r="B10" s="23">
        <f>B8+B9</f>
        <v>-8.279999999999998</v>
      </c>
      <c r="C10" s="23">
        <f>C8+C9</f>
        <v>-35.533</v>
      </c>
      <c r="D10" s="23">
        <f>D8+D9</f>
        <v>-63.30800000000001</v>
      </c>
      <c r="E10" s="23">
        <f>E8+E9</f>
        <v>-66.862</v>
      </c>
      <c r="F10" s="23">
        <f>F8+F9</f>
        <v>-49.588</v>
      </c>
      <c r="G10" s="23">
        <f>G8+G9</f>
        <v>-69.792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-8.279999999999999</v>
      </c>
      <c r="C12" s="23" t="n">
        <v>-35.533</v>
      </c>
      <c r="D12" s="23" t="n">
        <v>-63.308</v>
      </c>
      <c r="E12" s="23" t="n">
        <v>-66.86199999999999</v>
      </c>
      <c r="F12" s="23" t="n">
        <v>-49.588</v>
      </c>
      <c r="G12" s="23" t="n">
        <v>-69.792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-0.5241501550927391</v>
      </c>
      <c r="C13" s="11">
        <f>IFERROR(C12/C14,0)</f>
        <v>-0.773532741205155</v>
      </c>
      <c r="D13" s="11">
        <f>IFERROR(D12/D14,0)</f>
        <v>-1.1364256480218282</v>
      </c>
      <c r="E13" s="11">
        <f>IFERROR(E12/E14,0)</f>
        <v>-1.194284183263374</v>
      </c>
      <c r="F13" s="11">
        <f>IFERROR(F12/F14,0)</f>
        <v>-0.8763143478184034</v>
      </c>
      <c r="G13" s="11">
        <f>IFERROR(G12/G14,0)</f>
        <v>-1.2173731030873889</v>
      </c>
    </row>
    <row r="14">
      <c r="A14" s="2" t="inlineStr">
        <is>
          <t>Shares</t>
        </is>
      </c>
      <c r="B14" s="23" t="n">
        <v>15.797</v>
      </c>
      <c r="C14" s="23" t="n">
        <v>45.936</v>
      </c>
      <c r="D14" s="23" t="n">
        <v>55.708</v>
      </c>
      <c r="E14" s="23" t="n">
        <v>55.985</v>
      </c>
      <c r="F14" s="23" t="n">
        <v>56.587</v>
      </c>
      <c r="G14" s="23" t="n">
        <v>57.33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-36.85840707964601</v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2026-10-21T01:05:01Z</dcterms:modified>
  <cp:lastModifiedBy>Wang, Eric</cp:lastModifiedBy>
</cp:coreProperties>
</file>