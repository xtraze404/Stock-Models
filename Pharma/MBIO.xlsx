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Mustang Bio Inc</t>
        </is>
      </c>
      <c r="C2" s="10" t="n"/>
    </row>
    <row r="3">
      <c r="B3" t="inlineStr">
        <is>
          <t>Price</t>
        </is>
      </c>
      <c r="C3" s="11">
        <f>INDEX([1]Pharma!$F$1:$F$1000,MATCH("MBIO",[1]Pharma!$B$1:$B$1000,0))</f>
        <v>0.3795</v>
      </c>
      <c r="F3" s="1" t="n"/>
    </row>
    <row r="4">
      <c r="B4" t="inlineStr">
        <is>
          <t>Shares</t>
        </is>
      </c>
      <c r="C4" s="21" t="n">
        <v>7.577506</v>
      </c>
      <c r="F4" s="1" t="n"/>
    </row>
    <row r="5">
      <c r="B5" t="inlineStr">
        <is>
          <t>Market Cap.</t>
        </is>
      </c>
      <c r="C5" s="13">
        <f>C3*C4</f>
        <v>2.875663527</v>
      </c>
      <c r="F5" s="1" t="n"/>
    </row>
    <row r="6"/>
    <row r="7">
      <c r="B7" t="inlineStr">
        <is>
          <t>Cash</t>
        </is>
      </c>
      <c r="C7" s="21" t="n">
        <v>15.15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-12.274336473</v>
      </c>
    </row>
    <row r="10"/>
    <row r="11">
      <c r="B11" s="14" t="inlineStr">
        <is>
          <t>Net Cash / Share</t>
        </is>
      </c>
      <c r="C11" s="11">
        <f>(C7-C8)/C4</f>
        <v>1.9993385686530636</v>
      </c>
    </row>
    <row r="12">
      <c r="B12" s="14" t="inlineStr">
        <is>
          <t>Upside</t>
        </is>
      </c>
      <c r="C12" s="15">
        <f>IFERROR(C11/C3-1,"")</f>
        <v>4.268349324514001</v>
      </c>
    </row>
    <row r="13">
      <c r="B13" s="14" t="inlineStr">
        <is>
          <t>Cash / Share</t>
        </is>
      </c>
      <c r="C13" s="11">
        <f>IFERROR((C7-C8)/C4,"")</f>
        <v>1.9993385686530636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-4.511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3.3584571048547995</v>
      </c>
    </row>
    <row r="19">
      <c r="B19" s="14" t="inlineStr">
        <is>
          <t>Implied Pipeline Value</t>
        </is>
      </c>
      <c r="C19" s="13">
        <f>C9</f>
        <v>-12.274336473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</row>
    <row r="5">
      <c r="A5" s="2" t="inlineStr">
        <is>
          <t>Research &amp; Dev.</t>
        </is>
      </c>
      <c r="B5" s="23" t="n">
        <v>2.468</v>
      </c>
      <c r="C5" s="23" t="n">
        <v>7.943</v>
      </c>
      <c r="D5" s="23" t="n">
        <v>21.104</v>
      </c>
      <c r="E5" s="23" t="n">
        <v>30.042</v>
      </c>
      <c r="F5" s="23" t="n">
        <v>37.237</v>
      </c>
      <c r="G5" s="23" t="n">
        <v>49.864</v>
      </c>
      <c r="H5" s="23" t="n">
        <v>62.475</v>
      </c>
      <c r="I5" s="23" t="n">
        <v>40.513</v>
      </c>
      <c r="J5" s="23" t="n">
        <v>7.557</v>
      </c>
      <c r="K5" s="23" t="n">
        <v>0</v>
      </c>
    </row>
    <row r="6">
      <c r="A6" s="19" t="inlineStr">
        <is>
          <t>SG&amp;A &amp; Other</t>
        </is>
      </c>
      <c r="B6" s="23" t="n">
        <v>8.895</v>
      </c>
      <c r="C6" s="23" t="n">
        <v>23.842</v>
      </c>
      <c r="D6" s="23" t="n">
        <v>10.119</v>
      </c>
      <c r="E6" s="23" t="n">
        <v>15.843</v>
      </c>
      <c r="F6" s="23" t="n">
        <v>19.569</v>
      </c>
      <c r="G6" s="23" t="n">
        <v>16.859</v>
      </c>
      <c r="H6" s="23" t="n">
        <v>13.684</v>
      </c>
      <c r="I6" s="23" t="n">
        <v>8.747</v>
      </c>
      <c r="J6" s="23" t="n">
        <v>8.688000000000001</v>
      </c>
      <c r="K6" s="23" t="n">
        <v>2.432</v>
      </c>
    </row>
    <row r="7">
      <c r="A7" s="2" t="inlineStr">
        <is>
          <t>Operating Expense</t>
        </is>
      </c>
      <c r="B7" s="23">
        <f>SUM(B5:B6)</f>
        <v>11.363</v>
      </c>
      <c r="C7" s="23">
        <f>SUM(C5:C6)</f>
        <v>31.784999999999997</v>
      </c>
      <c r="D7" s="23">
        <f>SUM(D5:D6)</f>
        <v>31.223</v>
      </c>
      <c r="E7" s="23">
        <f>SUM(E5:E6)</f>
        <v>45.885000000000005</v>
      </c>
      <c r="F7" s="23">
        <f>SUM(F5:F6)</f>
        <v>56.806</v>
      </c>
      <c r="G7" s="23">
        <f>SUM(G5:G6)</f>
        <v>66.723</v>
      </c>
      <c r="H7" s="23">
        <f>SUM(H5:H6)</f>
        <v>76.159</v>
      </c>
      <c r="I7" s="23">
        <f>SUM(I5:I6)</f>
        <v>49.26</v>
      </c>
      <c r="J7" s="23">
        <f>SUM(J5:J6)</f>
        <v>16.245</v>
      </c>
      <c r="K7" s="23">
        <f>SUM(K5:K6)</f>
        <v>2.432</v>
      </c>
    </row>
    <row r="8">
      <c r="A8" s="2" t="inlineStr">
        <is>
          <t>Operating Income</t>
        </is>
      </c>
      <c r="B8" s="23">
        <f>B4-B7</f>
        <v>-11.363</v>
      </c>
      <c r="C8" s="23">
        <f>C4-C7</f>
        <v>-31.784999999999997</v>
      </c>
      <c r="D8" s="23">
        <f>D4-D7</f>
        <v>-31.223</v>
      </c>
      <c r="E8" s="23">
        <f>E4-E7</f>
        <v>-45.885000000000005</v>
      </c>
      <c r="F8" s="23">
        <f>F4-F7</f>
        <v>-56.806</v>
      </c>
      <c r="G8" s="23">
        <f>G4-G7</f>
        <v>-66.723</v>
      </c>
      <c r="H8" s="23">
        <f>H4-H7</f>
        <v>-76.159</v>
      </c>
      <c r="I8" s="23">
        <f>I4-I7</f>
        <v>-49.26</v>
      </c>
      <c r="J8" s="23">
        <f>J4-J7</f>
        <v>-16.245</v>
      </c>
      <c r="K8" s="23">
        <f>K4-K7</f>
        <v>-2.432</v>
      </c>
    </row>
    <row r="9">
      <c r="A9" s="19" t="inlineStr">
        <is>
          <t>Interest &amp; Other</t>
        </is>
      </c>
      <c r="B9" s="23" t="n">
        <v>-1.291</v>
      </c>
      <c r="C9" s="23" t="n">
        <v>0.497</v>
      </c>
      <c r="D9" s="23" t="n">
        <v>0.5610000000000001</v>
      </c>
      <c r="E9" s="23" t="n">
        <v>-0.504</v>
      </c>
      <c r="F9" s="23" t="n">
        <v>-3.209</v>
      </c>
      <c r="G9" s="23" t="n">
        <v>0.353</v>
      </c>
      <c r="H9" s="23" t="n">
        <v>-1.366</v>
      </c>
      <c r="I9" s="23" t="n">
        <v>-2.342</v>
      </c>
      <c r="J9" s="23" t="n">
        <v>0.493</v>
      </c>
      <c r="K9" s="23" t="n">
        <v>0.538</v>
      </c>
    </row>
    <row r="10">
      <c r="A10" s="2" t="inlineStr">
        <is>
          <t>Pretax</t>
        </is>
      </c>
      <c r="B10" s="23">
        <f>B8+B9</f>
        <v>-12.654</v>
      </c>
      <c r="C10" s="23">
        <f>C8+C9</f>
        <v>-31.287999999999997</v>
      </c>
      <c r="D10" s="23">
        <f>D8+D9</f>
        <v>-30.662</v>
      </c>
      <c r="E10" s="23">
        <f>E8+E9</f>
        <v>-46.389</v>
      </c>
      <c r="F10" s="23">
        <f>F8+F9</f>
        <v>-60.015</v>
      </c>
      <c r="G10" s="23">
        <f>G8+G9</f>
        <v>-66.37</v>
      </c>
      <c r="H10" s="23">
        <f>H8+H9</f>
        <v>-77.525</v>
      </c>
      <c r="I10" s="23">
        <f>I8+I9</f>
        <v>-51.602</v>
      </c>
      <c r="J10" s="23">
        <f>J8+J9</f>
        <v>-15.752</v>
      </c>
      <c r="K10" s="23">
        <f>K8+K9</f>
        <v>-1.894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0.027</v>
      </c>
    </row>
    <row r="12">
      <c r="A12" s="2" t="inlineStr">
        <is>
          <t>Net Income</t>
        </is>
      </c>
      <c r="B12" s="23" t="n">
        <v>-12.654</v>
      </c>
      <c r="C12" s="23" t="n">
        <v>-31.288</v>
      </c>
      <c r="D12" s="23" t="n">
        <v>-30.662</v>
      </c>
      <c r="E12" s="23" t="n">
        <v>-46.389</v>
      </c>
      <c r="F12" s="23" t="n">
        <v>-60.015</v>
      </c>
      <c r="G12" s="23" t="n">
        <v>-66.37</v>
      </c>
      <c r="H12" s="23" t="n">
        <v>-77.52500000000001</v>
      </c>
      <c r="I12" s="23" t="n">
        <v>-51.602</v>
      </c>
      <c r="J12" s="23" t="n">
        <v>-15.752</v>
      </c>
      <c r="K12" s="23" t="n">
        <v>-1.921</v>
      </c>
    </row>
    <row r="13">
      <c r="A13" s="2" t="inlineStr">
        <is>
          <t>Earnings per Share</t>
        </is>
      </c>
      <c r="B13" s="11">
        <f>IFERROR(B12/B14,0)</f>
        <v>-6.456122448979592</v>
      </c>
      <c r="C13" s="11">
        <f>IFERROR(C12/C14,0)</f>
        <v>-6.969926486968145</v>
      </c>
      <c r="D13" s="11">
        <f>IFERROR(D12/D14,0)</f>
        <v>-6.3999165101231466</v>
      </c>
      <c r="E13" s="11">
        <f>IFERROR(E12/E14,0)</f>
        <v>-7.235844642021527</v>
      </c>
      <c r="F13" s="11">
        <f>IFERROR(F12/F14,0)</f>
        <v>-6.41940314472136</v>
      </c>
      <c r="G13" s="11">
        <f>IFERROR(G12/G14,0)</f>
        <v>-4.247951868919611</v>
      </c>
      <c r="H13" s="11">
        <f>IFERROR(H12/H14,0)</f>
        <v>-56.75329428989751</v>
      </c>
      <c r="I13" s="11">
        <f>IFERROR(I12/I14,0)</f>
        <v>-37.50145348837209</v>
      </c>
      <c r="J13" s="11">
        <f>IFERROR(J12/J14,0)</f>
        <v>-3.2291922919229195</v>
      </c>
      <c r="K13" s="11">
        <f>IFERROR(K12/K14,0)</f>
        <v>-0.391401792991035</v>
      </c>
    </row>
    <row r="14">
      <c r="A14" s="2" t="inlineStr">
        <is>
          <t>Shares</t>
        </is>
      </c>
      <c r="B14" s="23" t="n">
        <v>1.96</v>
      </c>
      <c r="C14" s="23" t="n">
        <v>4.489</v>
      </c>
      <c r="D14" s="23" t="n">
        <v>4.791</v>
      </c>
      <c r="E14" s="23" t="n">
        <v>6.411</v>
      </c>
      <c r="F14" s="23" t="n">
        <v>9.349</v>
      </c>
      <c r="G14" s="23" t="n">
        <v>15.624</v>
      </c>
      <c r="H14" s="23" t="n">
        <v>1.366</v>
      </c>
      <c r="I14" s="23" t="n">
        <v>1.376</v>
      </c>
      <c r="J14" s="23" t="n">
        <v>4.878</v>
      </c>
      <c r="K14" s="23" t="n">
        <v>4.908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2026-10-21T01:06:50Z</dcterms:modified>
  <cp:lastModifiedBy>Wang, Eric</cp:lastModifiedBy>
</cp:coreProperties>
</file>