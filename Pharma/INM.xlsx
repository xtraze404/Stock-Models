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InMed Pharmaceuticals Inc</t>
        </is>
      </c>
      <c r="C2" s="10" t="n"/>
    </row>
    <row r="3">
      <c r="B3" t="inlineStr">
        <is>
          <t>Price</t>
        </is>
      </c>
      <c r="C3" s="11">
        <f>INDEX([1]Pharma!$F$1:$F$1000,MATCH("INM",[1]Pharma!$B$1:$B$1000,0))</f>
        <v>1.34</v>
      </c>
      <c r="F3" s="1" t="n"/>
    </row>
    <row r="4">
      <c r="B4" t="inlineStr">
        <is>
          <t>Shares</t>
        </is>
      </c>
      <c r="C4" s="21" t="n">
        <v>5.493735</v>
      </c>
      <c r="F4" s="1" t="n"/>
    </row>
    <row r="5">
      <c r="B5" t="inlineStr">
        <is>
          <t>Market Cap.</t>
        </is>
      </c>
      <c r="C5" s="13">
        <f>C3*C4</f>
        <v>7.361604900000001</v>
      </c>
      <c r="F5" s="1" t="n"/>
    </row>
    <row r="6"/>
    <row r="7">
      <c r="B7" t="inlineStr">
        <is>
          <t>Cash</t>
        </is>
      </c>
      <c r="C7" s="21">
        <f>2.194413+0.03967</f>
        <v>2.234083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5.1275219000000005</v>
      </c>
    </row>
    <row r="10"/>
    <row r="11">
      <c r="B11" s="14" t="inlineStr">
        <is>
          <t>Net Cash / Share</t>
        </is>
      </c>
      <c r="C11" s="11">
        <f>(C7-C8)/C4</f>
        <v>0.40666013195030337</v>
      </c>
    </row>
    <row r="12">
      <c r="B12" s="14" t="inlineStr">
        <is>
          <t>Upside</t>
        </is>
      </c>
      <c r="C12" s="15">
        <f>IFERROR(C11/C3-1,"")</f>
        <v>-0.6965222895893259</v>
      </c>
    </row>
    <row r="13">
      <c r="B13" s="14" t="inlineStr">
        <is>
          <t>Cash / Share</t>
        </is>
      </c>
      <c r="C13" s="11">
        <f>IFERROR((C7-C8)/C4,"")</f>
        <v>0.40666013195030337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-8.644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0.2584547663118926</v>
      </c>
    </row>
    <row r="19">
      <c r="B19" s="14" t="inlineStr">
        <is>
          <t>Implied Pipeline Value</t>
        </is>
      </c>
      <c r="C19" s="13">
        <f>C9</f>
        <v>5.1275219000000005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17" t="n">
        <v>2026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1.904</v>
      </c>
      <c r="D2" s="23" t="n">
        <v>1.366</v>
      </c>
      <c r="E2" s="23" t="n">
        <v>4.136</v>
      </c>
      <c r="F2" s="23" t="n">
        <v>4.598</v>
      </c>
      <c r="G2" s="23" t="n">
        <v>4.943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0.546</v>
      </c>
      <c r="E3" s="23" t="n">
        <v>2.733</v>
      </c>
      <c r="F3" s="23" t="n">
        <v>3.497</v>
      </c>
      <c r="G3" s="23" t="n">
        <v>3.236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1.904</v>
      </c>
      <c r="D4" s="23">
        <f>D2-D3</f>
        <v>0.8200000000000001</v>
      </c>
      <c r="E4" s="23">
        <f>E2-E3</f>
        <v>1.403</v>
      </c>
      <c r="F4" s="23">
        <f>F2-F3</f>
        <v>1.101</v>
      </c>
      <c r="G4" s="23">
        <f>G2-G3</f>
        <v>1.7069999999999994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5.811</v>
      </c>
      <c r="C5" s="23" t="n">
        <v>5.338</v>
      </c>
      <c r="D5" s="23" t="n">
        <v>7.283</v>
      </c>
      <c r="E5" s="23" t="n">
        <v>3.732</v>
      </c>
      <c r="F5" s="23" t="n">
        <v>3.218</v>
      </c>
      <c r="G5" s="23" t="n">
        <v>2.821</v>
      </c>
      <c r="H5" s="23" t="n">
        <v>3.028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3.34</v>
      </c>
      <c r="C6" s="23" t="n">
        <v>6.769</v>
      </c>
      <c r="D6" s="23" t="n">
        <v>12.137</v>
      </c>
      <c r="E6" s="23" t="n">
        <v>5.619</v>
      </c>
      <c r="F6" s="23" t="n">
        <v>6.08</v>
      </c>
      <c r="G6" s="23" t="n">
        <v>5.653</v>
      </c>
      <c r="H6" s="23" t="n">
        <v>8.579000000000001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9.151</v>
      </c>
      <c r="C7" s="23">
        <f>SUM(C5:C6)</f>
        <v>12.107</v>
      </c>
      <c r="D7" s="23">
        <f>SUM(D5:D6)</f>
        <v>19.42</v>
      </c>
      <c r="E7" s="23">
        <f>SUM(E5:E6)</f>
        <v>9.350999999999999</v>
      </c>
      <c r="F7" s="23">
        <f>SUM(F5:F6)</f>
        <v>9.298</v>
      </c>
      <c r="G7" s="23">
        <f>SUM(G5:G6)</f>
        <v>8.474</v>
      </c>
      <c r="H7" s="23">
        <f>SUM(H5:H6)</f>
        <v>11.607000000000001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-9.151</v>
      </c>
      <c r="C8" s="23">
        <f>C4-C7</f>
        <v>-10.203</v>
      </c>
      <c r="D8" s="23">
        <f>D4-D7</f>
        <v>-18.6</v>
      </c>
      <c r="E8" s="23">
        <f>E4-E7</f>
        <v>-7.947999999999999</v>
      </c>
      <c r="F8" s="23">
        <f>F4-F7</f>
        <v>-8.197</v>
      </c>
      <c r="G8" s="23">
        <f>G4-G7</f>
        <v>-6.767000000000001</v>
      </c>
      <c r="H8" s="23">
        <f>H4-H7</f>
        <v>-11.607000000000001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0.212</v>
      </c>
      <c r="C9" s="23" t="n">
        <v>0</v>
      </c>
      <c r="D9" s="23" t="n">
        <v>0</v>
      </c>
      <c r="E9" s="23" t="n">
        <v>0.013</v>
      </c>
      <c r="F9" s="23" t="n">
        <v>0.528</v>
      </c>
      <c r="G9" s="23" t="n">
        <v>-1.394</v>
      </c>
      <c r="H9" s="23" t="n">
        <v>-0.953</v>
      </c>
    </row>
    <row r="10">
      <c r="A10" s="2" t="inlineStr">
        <is>
          <t>Pretax</t>
        </is>
      </c>
      <c r="B10" s="23">
        <f>B8+B9</f>
        <v>-8.939</v>
      </c>
      <c r="C10" s="23">
        <f>C8+C9</f>
        <v>-10.203</v>
      </c>
      <c r="D10" s="23">
        <f>D8+D9</f>
        <v>-18.6</v>
      </c>
      <c r="E10" s="23">
        <f>E8+E9</f>
        <v>-7.934999999999999</v>
      </c>
      <c r="F10" s="23">
        <f>F8+F9</f>
        <v>-7.668999999999999</v>
      </c>
      <c r="G10" s="23">
        <f>G8+G9</f>
        <v>-8.161000000000001</v>
      </c>
      <c r="H10" s="23">
        <f>H8+H9</f>
        <v>-12.56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0.013</v>
      </c>
      <c r="F11" s="23" t="n">
        <v>0.007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-8.939</v>
      </c>
      <c r="C12" s="23" t="n">
        <v>-10.203</v>
      </c>
      <c r="D12" s="23" t="n">
        <v>-18.6</v>
      </c>
      <c r="E12" s="23" t="n">
        <v>-7.948</v>
      </c>
      <c r="F12" s="23" t="n">
        <v>-7.676</v>
      </c>
      <c r="G12" s="23" t="n">
        <v>-8.162000000000001</v>
      </c>
      <c r="H12" s="23" t="n">
        <v>-12.561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-1.7121241141543766</v>
      </c>
      <c r="C13" s="11">
        <f>IFERROR(C12/C14,0)</f>
        <v>-37.92936802973977</v>
      </c>
      <c r="D13" s="11">
        <f>IFERROR(D12/D14,0)</f>
        <v>-33.155080213903744</v>
      </c>
      <c r="E13" s="11">
        <f>IFERROR(E12/E14,0)</f>
        <v>-3.246732026143791</v>
      </c>
      <c r="F13" s="11">
        <f>IFERROR(F12/F14,0)</f>
        <v>-20.146981627296586</v>
      </c>
      <c r="G13" s="11">
        <f>IFERROR(G12/G14,0)</f>
        <v>-8.362704918032788</v>
      </c>
      <c r="H13" s="11">
        <f>IFERROR(H12/H14,0)</f>
        <v>-3.01657060518732</v>
      </c>
    </row>
    <row r="14">
      <c r="A14" s="2" t="inlineStr">
        <is>
          <t>Shares</t>
        </is>
      </c>
      <c r="B14" s="23" t="n">
        <v>5.221</v>
      </c>
      <c r="C14" s="23" t="n">
        <v>0.269</v>
      </c>
      <c r="D14" s="23" t="n">
        <v>0.5610000000000001</v>
      </c>
      <c r="E14" s="23" t="n">
        <v>2.448</v>
      </c>
      <c r="F14" s="23" t="n">
        <v>0.381</v>
      </c>
      <c r="G14" s="23" t="n">
        <v>0.976</v>
      </c>
      <c r="H14" s="23" t="n">
        <v>4.164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-0.2825630252100839</v>
      </c>
      <c r="E16" s="15">
        <f>IFERROR(E2/D2-1,"")</f>
        <v>2.027818448023426</v>
      </c>
      <c r="F16" s="15">
        <f>IFERROR(F2/E2-1,"")</f>
        <v>0.11170212765957444</v>
      </c>
      <c r="G16" s="15">
        <f>IFERROR(G2/F2-1,"")</f>
        <v>0.07503262287951284</v>
      </c>
      <c r="H16" s="15">
        <f>IFERROR(H2/G2-1,"")</f>
        <v>-1.0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0.6002928257686676</v>
      </c>
      <c r="E17" s="15">
        <f>IFERROR(E4/E2,"")</f>
        <v>0.33921663442940037</v>
      </c>
      <c r="F17" s="15">
        <f>IFERROR(F4/F2,"")</f>
        <v>0.23945193562418443</v>
      </c>
      <c r="G17" s="15">
        <f>IFERROR(G4/G2,"")</f>
        <v>0.3453368399757232</v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-5.358718487394958</v>
      </c>
      <c r="D18" s="15">
        <f>IFERROR(D8/D2,"")</f>
        <v>-13.616398243045388</v>
      </c>
      <c r="E18" s="15">
        <f>IFERROR(E8/E2,"")</f>
        <v>-1.9216634429400383</v>
      </c>
      <c r="F18" s="15">
        <f>IFERROR(F8/F2,"")</f>
        <v>-1.782731622444541</v>
      </c>
      <c r="G18" s="15">
        <f>IFERROR(G8/G2,"")</f>
        <v>-1.3690066761076274</v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2026-10-21T01:06:42Z</dcterms:modified>
  <cp:lastModifiedBy>Wang, Eric</cp:lastModifiedBy>
</cp:coreProperties>
</file>