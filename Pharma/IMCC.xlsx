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 Cannabis Corp</t>
        </is>
      </c>
      <c r="C2" s="10" t="n"/>
    </row>
    <row r="3">
      <c r="B3" t="inlineStr">
        <is>
          <t>Price</t>
        </is>
      </c>
      <c r="C3" s="11">
        <f>INDEX([1]Pharma!$F$1:$F$1000,MATCH("IMCC",[1]Pharma!$B$1:$B$1000,0))</f>
        <v>1.4</v>
      </c>
      <c r="F3" s="1" t="n"/>
    </row>
    <row r="4">
      <c r="B4" t="inlineStr">
        <is>
          <t>Shares</t>
        </is>
      </c>
      <c r="C4" s="21" t="n">
        <v>5.894812</v>
      </c>
      <c r="F4" s="1" t="n"/>
    </row>
    <row r="5">
      <c r="B5" t="inlineStr">
        <is>
          <t>Market Cap.</t>
        </is>
      </c>
      <c r="C5" s="13">
        <f>C3*C4</f>
        <v>8.2527368</v>
      </c>
      <c r="F5" s="1" t="n"/>
    </row>
    <row r="6"/>
    <row r="7">
      <c r="B7" t="inlineStr">
        <is>
          <t>Cash</t>
        </is>
      </c>
      <c r="C7" s="21">
        <f>(2.727)/1.4161</f>
        <v>1.9257114610550103</v>
      </c>
    </row>
    <row r="8">
      <c r="B8" t="inlineStr">
        <is>
          <t>Debt</t>
        </is>
      </c>
      <c r="C8" s="21">
        <f>(14.333+0.936)/1.4161</f>
        <v>10.782430619306547</v>
      </c>
    </row>
    <row r="9">
      <c r="B9" t="inlineStr">
        <is>
          <t>Enterprise V.</t>
        </is>
      </c>
      <c r="C9" s="13">
        <f>C5-C7+C8</f>
        <v>17.109455958251537</v>
      </c>
    </row>
    <row r="10"/>
    <row r="11">
      <c r="B11" s="14" t="inlineStr">
        <is>
          <t>Net Cash / Share</t>
        </is>
      </c>
      <c r="C11" s="11">
        <f>(C7-C8)/C4</f>
        <v>-1.5024599865528427</v>
      </c>
    </row>
    <row r="12">
      <c r="B12" s="14" t="inlineStr">
        <is>
          <t>Upside</t>
        </is>
      </c>
      <c r="C12" s="15">
        <f>IFERROR(C11/C3-1,"")</f>
        <v>-2.073185704680602</v>
      </c>
    </row>
    <row r="13">
      <c r="B13" s="14" t="inlineStr">
        <is>
          <t>Cash / Share</t>
        </is>
      </c>
      <c r="C13" s="11">
        <f>IFERROR((C7-C8)/C4,"")</f>
        <v>-1.5024599865528427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3.33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17.109455958251537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6.408</v>
      </c>
      <c r="C2" s="23" t="n">
        <v>11.221</v>
      </c>
      <c r="D2" s="23" t="n">
        <v>24.047</v>
      </c>
      <c r="E2" s="23" t="n">
        <v>38.369</v>
      </c>
      <c r="F2" s="23" t="n">
        <v>34.464</v>
      </c>
      <c r="G2" s="23" t="n">
        <v>38.155</v>
      </c>
      <c r="H2" s="23" t="n">
        <v>38.649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3.362</v>
      </c>
      <c r="C3" s="23" t="n">
        <v>5</v>
      </c>
      <c r="D3" s="23" t="n">
        <v>17.978</v>
      </c>
      <c r="E3" s="23" t="n">
        <v>30.396</v>
      </c>
      <c r="F3" s="23" t="n">
        <v>26.816</v>
      </c>
      <c r="G3" s="23" t="n">
        <v>32.187</v>
      </c>
      <c r="H3" s="23" t="n">
        <v>31.809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3.0460000000000003</v>
      </c>
      <c r="C4" s="23">
        <f>C2-C3</f>
        <v>6.221</v>
      </c>
      <c r="D4" s="23">
        <f>D2-D3</f>
        <v>6.068999999999999</v>
      </c>
      <c r="E4" s="23">
        <f>E2-E3</f>
        <v>7.972999999999999</v>
      </c>
      <c r="F4" s="23">
        <f>F2-F3</f>
        <v>7.648</v>
      </c>
      <c r="G4" s="23">
        <f>G2-G3</f>
        <v>5.9680000000000035</v>
      </c>
      <c r="H4" s="23">
        <f>H2-H3</f>
        <v>6.84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0.165</v>
      </c>
      <c r="C5" s="23" t="n">
        <v>0.096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10.137</v>
      </c>
      <c r="C6" s="23" t="n">
        <v>11.947</v>
      </c>
      <c r="D6" s="23" t="n">
        <v>22.336</v>
      </c>
      <c r="E6" s="23" t="n">
        <v>29.717</v>
      </c>
      <c r="F6" s="23" t="n">
        <v>16.681</v>
      </c>
      <c r="G6" s="23" t="n">
        <v>13.195</v>
      </c>
      <c r="H6" s="23" t="n">
        <v>15.022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10.302</v>
      </c>
      <c r="C7" s="23">
        <f>SUM(C5:C6)</f>
        <v>12.043</v>
      </c>
      <c r="D7" s="23">
        <f>SUM(D5:D6)</f>
        <v>22.336</v>
      </c>
      <c r="E7" s="23">
        <f>SUM(E5:E6)</f>
        <v>29.717</v>
      </c>
      <c r="F7" s="23">
        <f>SUM(F5:F6)</f>
        <v>16.681</v>
      </c>
      <c r="G7" s="23">
        <f>SUM(G5:G6)</f>
        <v>13.195</v>
      </c>
      <c r="H7" s="23">
        <f>SUM(H5:H6)</f>
        <v>15.022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-7.255999999999999</v>
      </c>
      <c r="C8" s="23">
        <f>C4-C7</f>
        <v>-5.821999999999999</v>
      </c>
      <c r="D8" s="23">
        <f>D4-D7</f>
        <v>-16.267</v>
      </c>
      <c r="E8" s="23">
        <f>E4-E7</f>
        <v>-21.744</v>
      </c>
      <c r="F8" s="23">
        <f>F4-F7</f>
        <v>-9.033000000000001</v>
      </c>
      <c r="G8" s="23">
        <f>G4-G7</f>
        <v>-7.226999999999997</v>
      </c>
      <c r="H8" s="23">
        <f>H4-H7</f>
        <v>-8.182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2.17</v>
      </c>
      <c r="C9" s="23" t="n">
        <v>-14.258</v>
      </c>
      <c r="D9" s="23" t="n">
        <v>4.076</v>
      </c>
      <c r="E9" s="23" t="n">
        <v>-112.448</v>
      </c>
      <c r="F9" s="23" t="n">
        <v>2.871</v>
      </c>
      <c r="G9" s="23" t="n">
        <v>-0.97</v>
      </c>
      <c r="H9" s="23" t="n">
        <v>0.254</v>
      </c>
    </row>
    <row r="10">
      <c r="A10" s="2" t="inlineStr">
        <is>
          <t>Pretax</t>
        </is>
      </c>
      <c r="B10" s="23">
        <f>B8+B9</f>
        <v>-5.085999999999999</v>
      </c>
      <c r="C10" s="23">
        <f>C8+C9</f>
        <v>-20.08</v>
      </c>
      <c r="D10" s="23">
        <f>D8+D9</f>
        <v>-12.190999999999999</v>
      </c>
      <c r="E10" s="23">
        <f>E8+E9</f>
        <v>-134.192</v>
      </c>
      <c r="F10" s="23">
        <f>F8+F9</f>
        <v>-6.162000000000001</v>
      </c>
      <c r="G10" s="23">
        <f>G8+G9</f>
        <v>-8.196999999999997</v>
      </c>
      <c r="H10" s="23">
        <f>H8+H9</f>
        <v>-7.928000000000001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0.064</v>
      </c>
      <c r="C11" s="23" t="n">
        <v>0.185</v>
      </c>
      <c r="D11" s="23" t="n">
        <v>0.353</v>
      </c>
      <c r="E11" s="23" t="n">
        <v>-0.804</v>
      </c>
      <c r="F11" s="23" t="n">
        <v>0.544</v>
      </c>
      <c r="G11" s="23" t="n">
        <v>-0.722</v>
      </c>
      <c r="H11" s="23" t="n">
        <v>0.065</v>
      </c>
    </row>
    <row r="12">
      <c r="A12" s="2" t="inlineStr">
        <is>
          <t>Net Income</t>
        </is>
      </c>
      <c r="B12" s="23" t="n">
        <v>-5.149</v>
      </c>
      <c r="C12" s="23" t="n">
        <v>-20.266</v>
      </c>
      <c r="D12" s="23" t="n">
        <v>-12.544</v>
      </c>
      <c r="E12" s="23" t="n">
        <v>-133.387</v>
      </c>
      <c r="F12" s="23" t="n">
        <v>-6.707</v>
      </c>
      <c r="G12" s="23" t="n">
        <v>-7.475</v>
      </c>
      <c r="H12" s="23" t="n">
        <v>-7.993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-0.16101694915254236</v>
      </c>
      <c r="C13" s="11">
        <f>IFERROR(C12/C14,0)</f>
        <v>-0.5255023985479061</v>
      </c>
      <c r="D13" s="11">
        <f>IFERROR(D12/D14,0)</f>
        <v>-2.0987117282917853</v>
      </c>
      <c r="E13" s="11">
        <f>IFERROR(E12/E14,0)</f>
        <v>-17.82057448229793</v>
      </c>
      <c r="F13" s="11">
        <f>IFERROR(F12/F14,0)</f>
        <v>-0.5232077385131445</v>
      </c>
      <c r="G13" s="11">
        <f>IFERROR(G12/G14,0)</f>
        <v>0</v>
      </c>
      <c r="H13" s="11">
        <f>IFERROR(H12/H14,0)</f>
        <v>0</v>
      </c>
    </row>
    <row r="14">
      <c r="A14" s="2" t="inlineStr">
        <is>
          <t>Shares</t>
        </is>
      </c>
      <c r="B14" s="23" t="n">
        <v>31.978</v>
      </c>
      <c r="C14" s="23" t="n">
        <v>38.565</v>
      </c>
      <c r="D14" s="23" t="n">
        <v>5.977</v>
      </c>
      <c r="E14" s="23" t="n">
        <v>7.485</v>
      </c>
      <c r="F14" s="23" t="n">
        <v>12.819</v>
      </c>
      <c r="G14" s="23" t="n"/>
      <c r="H14" s="23" t="n"/>
    </row>
    <row r="15"/>
    <row r="16" customFormat="1" s="4">
      <c r="A16" s="3" t="inlineStr">
        <is>
          <t>Revenue Change</t>
        </is>
      </c>
      <c r="C16" s="15">
        <f>IFERROR(C2/B2-1,"")</f>
        <v>0.7510923845193507</v>
      </c>
      <c r="D16" s="15">
        <f>IFERROR(D2/C2-1,"")</f>
        <v>1.1430353800909012</v>
      </c>
      <c r="E16" s="15">
        <f>IFERROR(E2/D2-1,"")</f>
        <v>0.595583648687986</v>
      </c>
      <c r="F16" s="15">
        <f>IFERROR(F2/E2-1,"")</f>
        <v>-0.10177487033803334</v>
      </c>
      <c r="G16" s="15">
        <f>IFERROR(G2/F2-1,"")</f>
        <v>0.10709726090993499</v>
      </c>
      <c r="H16" s="15">
        <f>IFERROR(H2/G2-1,"")</f>
        <v>0.012947189097104017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0.4753433208489388</v>
      </c>
      <c r="C17" s="15">
        <f>IFERROR(C4/C2,"")</f>
        <v>0.5544069156046698</v>
      </c>
      <c r="D17" s="15">
        <f>IFERROR(D4/D2,"")</f>
        <v>0.2523807543560527</v>
      </c>
      <c r="E17" s="15">
        <f>IFERROR(E4/E2,"")</f>
        <v>0.20779796189632252</v>
      </c>
      <c r="F17" s="15">
        <f>IFERROR(F4/F2,"")</f>
        <v>0.22191272051996286</v>
      </c>
      <c r="G17" s="15">
        <f>IFERROR(G4/G2,"")</f>
        <v>0.15641462455772515</v>
      </c>
      <c r="H17" s="15">
        <f>IFERROR(H4/H2,"")</f>
        <v>0.1769774120934565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-1.132334581772784</v>
      </c>
      <c r="C18" s="15">
        <f>IFERROR(C8/C2,"")</f>
        <v>-0.5188485874699224</v>
      </c>
      <c r="D18" s="15">
        <f>IFERROR(D8/D2,"")</f>
        <v>-0.6764669189503888</v>
      </c>
      <c r="E18" s="15">
        <f>IFERROR(E8/E2,"")</f>
        <v>-0.5667074982407673</v>
      </c>
      <c r="F18" s="15">
        <f>IFERROR(F8/F2,"")</f>
        <v>-0.262099582172702</v>
      </c>
      <c r="G18" s="15">
        <f>IFERROR(G8/G2,"")</f>
        <v>-0.1894116105359716</v>
      </c>
      <c r="H18" s="15">
        <f>IFERROR(H8/H2,"")</f>
        <v>-0.2117001733550674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2026-10-21T06:31:05Z</dcterms:modified>
  <cp:lastModifiedBy>Wang, Eric</cp:lastModifiedBy>
</cp:coreProperties>
</file>