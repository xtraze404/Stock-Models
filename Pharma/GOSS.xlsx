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Gossamer Bio, Inc.</t>
        </is>
      </c>
      <c r="C2" s="10" t="n"/>
    </row>
    <row r="3">
      <c r="B3" t="inlineStr">
        <is>
          <t>Price</t>
        </is>
      </c>
      <c r="C3" s="11">
        <f>INDEX([1]Pharma!$F$1:$F$1000,MATCH("GOSS",[1]Pharma!$B$1:$B$1000,0))</f>
        <v>9.58</v>
      </c>
      <c r="F3" s="1" t="n"/>
    </row>
    <row r="4">
      <c r="B4" t="inlineStr">
        <is>
          <t>Shares</t>
        </is>
      </c>
      <c r="C4" s="51" t="n">
        <v>488.846722</v>
      </c>
      <c r="F4" s="1" t="n"/>
    </row>
    <row r="5">
      <c r="B5" t="inlineStr">
        <is>
          <t>Market Cap.</t>
        </is>
      </c>
      <c r="C5" s="13">
        <f>C3*C4</f>
        <v>4683.15159676</v>
      </c>
      <c r="F5" s="1" t="n"/>
    </row>
    <row r="6"/>
    <row r="7">
      <c r="B7" t="inlineStr">
        <is>
          <t>Cash</t>
        </is>
      </c>
      <c r="C7" s="51">
        <f>41.148+15.878</f>
        <v>57.026</v>
      </c>
    </row>
    <row r="8">
      <c r="B8" t="inlineStr">
        <is>
          <t>Debt</t>
        </is>
      </c>
      <c r="C8" s="51" t="n">
        <v>36.145</v>
      </c>
    </row>
    <row r="9">
      <c r="B9" t="inlineStr">
        <is>
          <t>Enterprise V.</t>
        </is>
      </c>
      <c r="C9" s="13">
        <f>C5-C7+C8</f>
        <v>4662.27059676</v>
      </c>
    </row>
    <row r="10"/>
    <row r="11">
      <c r="B11" s="14" t="inlineStr">
        <is>
          <t>NPV / Share</t>
        </is>
      </c>
      <c r="C11" s="11">
        <f>NPV!B28</f>
        <v>-0.2085343619569626</v>
      </c>
    </row>
    <row r="12">
      <c r="B12" s="14" t="inlineStr">
        <is>
          <t>Upside</t>
        </is>
      </c>
      <c r="C12" s="15">
        <f>IFERROR(C11/C3-1,"")</f>
        <v>-1.0217676787011443</v>
      </c>
    </row>
    <row r="13">
      <c r="B13" s="14" t="inlineStr">
        <is>
          <t>Cash / Share</t>
        </is>
      </c>
      <c r="C13" s="11">
        <f>IFERROR((C7-C8)/C4,"")</f>
        <v>0.04271482053632345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114.701</v>
      </c>
      <c r="J2" s="52" t="n">
        <v>48.471</v>
      </c>
      <c r="K2" s="52">
        <f>J2*(1+NPV!C5)</f>
        <v>43.6239</v>
      </c>
      <c r="L2" s="52">
        <f>K2*(1+NPV!D5)</f>
        <v>39.867397499999996</v>
      </c>
      <c r="M2" s="52">
        <f>L2*(1+NPV!E5)</f>
        <v>36.98808545833333</v>
      </c>
      <c r="N2" s="52">
        <f>M2*(1+NPV!F5)</f>
        <v>34.830447139930556</v>
      </c>
      <c r="O2" s="52">
        <f>N2*(1+NPV!G5)</f>
        <v>33.28242726704475</v>
      </c>
      <c r="P2" s="52">
        <f>O2*(1+NPV!H5)</f>
        <v>32.26546421166283</v>
      </c>
      <c r="Q2" s="52">
        <f>P2*(1+NPV!I5)</f>
        <v>31.72770647480178</v>
      </c>
      <c r="R2" s="52">
        <f>Q2*(1+NPV!J5)</f>
        <v>31.63957395681622</v>
      </c>
      <c r="S2" s="52">
        <f>R2*(1+NPV!K5)</f>
        <v>31.99112477855862</v>
      </c>
      <c r="T2" s="52">
        <f>S2*(1+NPV!L5)</f>
        <v>32.79090289802259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114.701</v>
      </c>
      <c r="J4" s="52">
        <f>J2-J3</f>
        <v>48.471</v>
      </c>
      <c r="K4" s="52">
        <f>K2-K3</f>
        <v>43.6239</v>
      </c>
      <c r="L4" s="52">
        <f>L2-L3</f>
        <v>39.867397499999996</v>
      </c>
      <c r="M4" s="52">
        <f>M2-M3</f>
        <v>36.98808545833333</v>
      </c>
      <c r="N4" s="52">
        <f>N2-N3</f>
        <v>34.830447139930556</v>
      </c>
      <c r="O4" s="52">
        <f>O2-O3</f>
        <v>33.28242726704475</v>
      </c>
      <c r="P4" s="52">
        <f>P2-P3</f>
        <v>32.26546421166283</v>
      </c>
      <c r="Q4" s="52">
        <f>Q2-Q3</f>
        <v>31.72770647480178</v>
      </c>
      <c r="R4" s="52">
        <f>R2-R3</f>
        <v>31.63957395681622</v>
      </c>
      <c r="S4" s="52">
        <f>S2-S3</f>
        <v>31.99112477855862</v>
      </c>
      <c r="T4" s="52">
        <f>T2-T3</f>
        <v>32.79090289802259</v>
      </c>
    </row>
    <row r="5">
      <c r="A5" s="2" t="inlineStr">
        <is>
          <t>Research &amp; Dev.</t>
        </is>
      </c>
      <c r="B5" s="52" t="n">
        <v>0.891</v>
      </c>
      <c r="C5" s="52" t="n">
        <v>55.283</v>
      </c>
      <c r="D5" s="52" t="n">
        <v>143.403</v>
      </c>
      <c r="E5" s="52" t="n">
        <v>160.854</v>
      </c>
      <c r="F5" s="52" t="n">
        <v>170.267</v>
      </c>
      <c r="G5" s="52" t="n">
        <v>170.919</v>
      </c>
      <c r="H5" s="52" t="n">
        <v>135.304</v>
      </c>
      <c r="I5" s="52" t="n">
        <v>138.487</v>
      </c>
      <c r="J5" s="52" t="n">
        <v>174.093</v>
      </c>
      <c r="K5" s="52">
        <f>K7*Assumptions!$B$20</f>
        <v>80.7254162154</v>
      </c>
      <c r="L5" s="52">
        <f>L7*Assumptions!$B$20</f>
        <v>68.39140412412</v>
      </c>
      <c r="M5" s="52">
        <f>M7*Assumptions!$B$20</f>
        <v>58.458115567306585</v>
      </c>
      <c r="N5" s="52">
        <f>N7*Assumptions!$B$20</f>
        <v>50.34546083572978</v>
      </c>
      <c r="O5" s="52">
        <f>O7*Assumptions!$B$20</f>
        <v>43.61429116355346</v>
      </c>
      <c r="P5" s="52">
        <f>P7*Assumptions!$B$20</f>
        <v>37.92534288181588</v>
      </c>
      <c r="Q5" s="52">
        <f>Q7*Assumptions!$B$20</f>
        <v>33.00956927179673</v>
      </c>
      <c r="R5" s="52">
        <f>R7*Assumptions!$B$20</f>
        <v>28.646090585613926</v>
      </c>
      <c r="S5" s="52">
        <f>S7*Assumptions!$B$20</f>
        <v>24.645130760157322</v>
      </c>
      <c r="T5" s="52">
        <f>T7*Assumptions!$B$20</f>
        <v>20.834028065287633</v>
      </c>
    </row>
    <row r="6">
      <c r="A6" s="18" t="inlineStr">
        <is>
          <t>SG&amp;A &amp; Other</t>
        </is>
      </c>
      <c r="B6" s="52" t="n">
        <v>5.762</v>
      </c>
      <c r="C6" s="52" t="n">
        <v>93.70999999999999</v>
      </c>
      <c r="D6" s="52" t="n">
        <v>42.736</v>
      </c>
      <c r="E6" s="52" t="n">
        <v>73.108</v>
      </c>
      <c r="F6" s="52" t="n">
        <v>45.857</v>
      </c>
      <c r="G6" s="52" t="n">
        <v>47.674</v>
      </c>
      <c r="H6" s="52" t="n">
        <v>48.455</v>
      </c>
      <c r="I6" s="52" t="n">
        <v>36.133</v>
      </c>
      <c r="J6" s="52" t="n">
        <v>45.106</v>
      </c>
      <c r="K6" s="52">
        <f>K7-K5</f>
        <v>20.918270784599997</v>
      </c>
      <c r="L6" s="52">
        <f>L7-L5</f>
        <v>17.722174475879996</v>
      </c>
      <c r="M6" s="52">
        <f>M7-M5</f>
        <v>15.148174494776747</v>
      </c>
      <c r="N6" s="52">
        <f>N7-N5</f>
        <v>13.045952958943829</v>
      </c>
      <c r="O6" s="52">
        <f>O7-O5</f>
        <v>11.301713827070387</v>
      </c>
      <c r="P6" s="52">
        <f>P7-P5</f>
        <v>9.82754415144511</v>
      </c>
      <c r="Q6" s="52">
        <f>Q7-Q5</f>
        <v>8.55372621019361</v>
      </c>
      <c r="R6" s="52">
        <f>R7-R5</f>
        <v>7.423023725156568</v>
      </c>
      <c r="S6" s="52">
        <f>S7-S5</f>
        <v>6.386260275044545</v>
      </c>
      <c r="T6" s="52">
        <f>T7-T5</f>
        <v>5.3986942531304365</v>
      </c>
    </row>
    <row r="7">
      <c r="A7" s="2" t="inlineStr">
        <is>
          <t>Operating Expense</t>
        </is>
      </c>
      <c r="B7" s="52">
        <f>SUM(B5:B6)</f>
        <v>6.653</v>
      </c>
      <c r="C7" s="52">
        <f>SUM(C5:C6)</f>
        <v>148.993</v>
      </c>
      <c r="D7" s="52">
        <f>SUM(D5:D6)</f>
        <v>186.13899999999998</v>
      </c>
      <c r="E7" s="52">
        <f>SUM(E5:E6)</f>
        <v>233.96200000000002</v>
      </c>
      <c r="F7" s="52">
        <f>SUM(F5:F6)</f>
        <v>216.124</v>
      </c>
      <c r="G7" s="52">
        <f>SUM(G5:G6)</f>
        <v>218.59300000000002</v>
      </c>
      <c r="H7" s="52">
        <f>SUM(H5:H6)</f>
        <v>183.75900000000001</v>
      </c>
      <c r="I7" s="52">
        <f>SUM(I5:I6)</f>
        <v>174.62</v>
      </c>
      <c r="J7" s="52">
        <f>SUM(J5:J6)</f>
        <v>219.19899999999998</v>
      </c>
      <c r="K7" s="52">
        <f>K4-K2*NPV!C6</f>
        <v>101.643687</v>
      </c>
      <c r="L7" s="52">
        <f>L4-L2*NPV!D6</f>
        <v>86.1135786</v>
      </c>
      <c r="M7" s="52">
        <f>M4-M2*NPV!E6</f>
        <v>73.60629006208333</v>
      </c>
      <c r="N7" s="52">
        <f>N4-N2*NPV!F6</f>
        <v>63.39141379467361</v>
      </c>
      <c r="O7" s="52">
        <f>O4-O2*NPV!G6</f>
        <v>54.91600499062385</v>
      </c>
      <c r="P7" s="52">
        <f>P4-P2*NPV!H6</f>
        <v>47.75288703326099</v>
      </c>
      <c r="Q7" s="52">
        <f>Q4-Q2*NPV!I6</f>
        <v>41.56329548199034</v>
      </c>
      <c r="R7" s="52">
        <f>R4-R2*NPV!J6</f>
        <v>36.069114310770495</v>
      </c>
      <c r="S7" s="52">
        <f>S4-S2*NPV!K6</f>
        <v>31.031391035201867</v>
      </c>
      <c r="T7" s="52">
        <f>T4-T2*NPV!L6</f>
        <v>26.23272231841807</v>
      </c>
    </row>
    <row r="8">
      <c r="A8" s="2" t="inlineStr">
        <is>
          <t>Operating Income</t>
        </is>
      </c>
      <c r="B8" s="52">
        <f>B4-B7</f>
        <v>-6.653</v>
      </c>
      <c r="C8" s="52">
        <f>C4-C7</f>
        <v>-148.993</v>
      </c>
      <c r="D8" s="52">
        <f>D4-D7</f>
        <v>-186.13899999999998</v>
      </c>
      <c r="E8" s="52">
        <f>E4-E7</f>
        <v>-233.96200000000002</v>
      </c>
      <c r="F8" s="52">
        <f>F4-F7</f>
        <v>-216.124</v>
      </c>
      <c r="G8" s="52">
        <f>G4-G7</f>
        <v>-218.59300000000002</v>
      </c>
      <c r="H8" s="52">
        <f>H4-H7</f>
        <v>-183.75900000000001</v>
      </c>
      <c r="I8" s="52">
        <f>I4-I7</f>
        <v>-59.91900000000001</v>
      </c>
      <c r="J8" s="52">
        <f>J4-J7</f>
        <v>-170.72799999999998</v>
      </c>
      <c r="K8" s="52">
        <f>K4-K7</f>
        <v>-58.019787</v>
      </c>
      <c r="L8" s="52">
        <f>L4-L7</f>
        <v>-46.2461811</v>
      </c>
      <c r="M8" s="52">
        <f>M4-M7</f>
        <v>-36.61820460375</v>
      </c>
      <c r="N8" s="52">
        <f>N4-N7</f>
        <v>-28.560966654743055</v>
      </c>
      <c r="O8" s="52">
        <f>O4-O7</f>
        <v>-21.633577723579094</v>
      </c>
      <c r="P8" s="52">
        <f>P4-P7</f>
        <v>-15.487422821598159</v>
      </c>
      <c r="Q8" s="52">
        <f>Q4-Q7</f>
        <v>-9.835589007188556</v>
      </c>
      <c r="R8" s="52">
        <f>R4-R7</f>
        <v>-4.429540353954273</v>
      </c>
      <c r="S8" s="52">
        <f>S4-S7</f>
        <v>0.9597337433567539</v>
      </c>
      <c r="T8" s="52">
        <f>T4-T7</f>
        <v>6.558180579604517</v>
      </c>
    </row>
    <row r="9">
      <c r="A9" s="18" t="inlineStr">
        <is>
          <t>Interest &amp; Other</t>
        </is>
      </c>
      <c r="B9" s="52" t="n">
        <v>-0.118</v>
      </c>
      <c r="C9" s="52" t="n">
        <v>2.024</v>
      </c>
      <c r="D9" s="52" t="n">
        <v>5.832</v>
      </c>
      <c r="E9" s="52" t="n">
        <v>-9.398</v>
      </c>
      <c r="F9" s="52" t="n">
        <v>-17.88</v>
      </c>
      <c r="G9" s="52" t="n">
        <v>-10.785</v>
      </c>
      <c r="H9" s="52" t="n">
        <v>3.942</v>
      </c>
      <c r="I9" s="52" t="n">
        <v>4.284</v>
      </c>
      <c r="J9" s="52" t="n">
        <v>0.27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-6.771</v>
      </c>
      <c r="C10" s="52">
        <f>C8+C9</f>
        <v>-146.969</v>
      </c>
      <c r="D10" s="52">
        <f>D8+D9</f>
        <v>-180.307</v>
      </c>
      <c r="E10" s="52">
        <f>E8+E9</f>
        <v>-243.36</v>
      </c>
      <c r="F10" s="52">
        <f>F8+F9</f>
        <v>-234.004</v>
      </c>
      <c r="G10" s="52">
        <f>G8+G9</f>
        <v>-229.37800000000001</v>
      </c>
      <c r="H10" s="52">
        <f>H8+H9</f>
        <v>-179.817</v>
      </c>
      <c r="I10" s="52">
        <f>I8+I9</f>
        <v>-55.63500000000001</v>
      </c>
      <c r="J10" s="52">
        <f>J8+J9</f>
        <v>-170.45799999999997</v>
      </c>
      <c r="K10" s="52">
        <f>K8+K9</f>
        <v>-58.019787</v>
      </c>
      <c r="L10" s="52">
        <f>L8+L9</f>
        <v>-46.2461811</v>
      </c>
      <c r="M10" s="52">
        <f>M8+M9</f>
        <v>-36.61820460375</v>
      </c>
      <c r="N10" s="52">
        <f>N8+N9</f>
        <v>-28.560966654743055</v>
      </c>
      <c r="O10" s="52">
        <f>O8+O9</f>
        <v>-21.633577723579094</v>
      </c>
      <c r="P10" s="52">
        <f>P8+P9</f>
        <v>-15.487422821598159</v>
      </c>
      <c r="Q10" s="52">
        <f>Q8+Q9</f>
        <v>-9.835589007188556</v>
      </c>
      <c r="R10" s="52">
        <f>R8+R9</f>
        <v>-4.429540353954273</v>
      </c>
      <c r="S10" s="52">
        <f>S8+S9</f>
        <v>0.9597337433567539</v>
      </c>
      <c r="T10" s="52">
        <f>T8+T9</f>
        <v>6.558180579604517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0.893</v>
      </c>
      <c r="J11" s="52" t="n">
        <v>-0.08799999999999999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0.16315473637064817</v>
      </c>
      <c r="T11" s="52">
        <f>MAX(0,T10)*Assumptions!$E$14</f>
        <v>1.114890698532768</v>
      </c>
    </row>
    <row r="12">
      <c r="A12" s="2" t="inlineStr">
        <is>
          <t>Net Income</t>
        </is>
      </c>
      <c r="B12" s="52" t="n">
        <v>-6.771</v>
      </c>
      <c r="C12" s="52" t="n">
        <v>-146.969</v>
      </c>
      <c r="D12" s="52" t="n">
        <v>-180.307</v>
      </c>
      <c r="E12" s="52" t="n">
        <v>-243.36</v>
      </c>
      <c r="F12" s="52" t="n">
        <v>-234.004</v>
      </c>
      <c r="G12" s="52" t="n">
        <v>-229.378</v>
      </c>
      <c r="H12" s="52" t="n">
        <v>-179.817</v>
      </c>
      <c r="I12" s="52" t="n">
        <v>-56.528</v>
      </c>
      <c r="J12" s="52" t="n">
        <v>-170.37</v>
      </c>
      <c r="K12" s="52">
        <f>K10-K11</f>
        <v>-58.019787</v>
      </c>
      <c r="L12" s="52">
        <f>L10-L11</f>
        <v>-46.2461811</v>
      </c>
      <c r="M12" s="52">
        <f>M10-M11</f>
        <v>-36.61820460375</v>
      </c>
      <c r="N12" s="52">
        <f>N10-N11</f>
        <v>-28.560966654743055</v>
      </c>
      <c r="O12" s="52">
        <f>O10-O11</f>
        <v>-21.633577723579094</v>
      </c>
      <c r="P12" s="52">
        <f>P10-P11</f>
        <v>-15.487422821598159</v>
      </c>
      <c r="Q12" s="52">
        <f>Q10-Q11</f>
        <v>-9.835589007188556</v>
      </c>
      <c r="R12" s="52">
        <f>R10-R11</f>
        <v>-4.429540353954273</v>
      </c>
      <c r="S12" s="52">
        <f>S10-S11</f>
        <v>0.7965790069861057</v>
      </c>
      <c r="T12" s="52">
        <f>T10-T11</f>
        <v>5.443289881071749</v>
      </c>
    </row>
    <row r="13">
      <c r="A13" s="2" t="inlineStr">
        <is>
          <t>Earnings per Share</t>
        </is>
      </c>
      <c r="B13" s="11">
        <f>IFERROR(B12/B14,0)</f>
        <v>-0.7391114507149875</v>
      </c>
      <c r="C13" s="11">
        <f>IFERROR(C12/C14,0)</f>
        <v>-22.593235972328976</v>
      </c>
      <c r="D13" s="11">
        <f>IFERROR(D12/D14,0)</f>
        <v>-3.2938801607599557</v>
      </c>
      <c r="E13" s="11">
        <f>IFERROR(E12/E14,0)</f>
        <v>-3.552182163187856</v>
      </c>
      <c r="F13" s="11">
        <f>IFERROR(F12/F14,0)</f>
        <v>-3.126598345870689</v>
      </c>
      <c r="G13" s="11">
        <f>IFERROR(G12/G14,0)</f>
        <v>-2.712125332545078</v>
      </c>
      <c r="H13" s="11">
        <f>IFERROR(H12/H14,0)</f>
        <v>-1.1781853205959822</v>
      </c>
      <c r="I13" s="11">
        <f>IFERROR(I12/I14,0)</f>
        <v>-0.24987181073960782</v>
      </c>
      <c r="J13" s="11">
        <f>IFERROR(J12/J14,0)</f>
        <v>-0.745539758182033</v>
      </c>
      <c r="K13" s="11">
        <f>IFERROR(K12/K14,0)</f>
        <v>-0.1186870738595236</v>
      </c>
      <c r="L13" s="11">
        <f>IFERROR(L12/L14,0)</f>
        <v>-0.09460262085995945</v>
      </c>
      <c r="M13" s="11">
        <f>IFERROR(M12/M14,0)</f>
        <v>-0.0749073338447179</v>
      </c>
      <c r="N13" s="11">
        <f>IFERROR(N12/N14,0)</f>
        <v>-0.058425198266427274</v>
      </c>
      <c r="O13" s="11">
        <f>IFERROR(O12/O14,0)</f>
        <v>-0.04425431684408246</v>
      </c>
      <c r="P13" s="11">
        <f>IFERROR(P12/P14,0)</f>
        <v>-0.031681551956071335</v>
      </c>
      <c r="Q13" s="11">
        <f>IFERROR(Q12/Q14,0)</f>
        <v>-0.02011998559988003</v>
      </c>
      <c r="R13" s="11">
        <f>IFERROR(R12/R14,0)</f>
        <v>-0.009061204984318732</v>
      </c>
      <c r="S13" s="11">
        <f>IFERROR(S12/S14,0)</f>
        <v>0.0016295066963466429</v>
      </c>
      <c r="T13" s="11">
        <f>IFERROR(T12/T14,0)</f>
        <v>0.011134962425035446</v>
      </c>
    </row>
    <row r="14">
      <c r="A14" s="2" t="inlineStr">
        <is>
          <t>Shares</t>
        </is>
      </c>
      <c r="B14" s="52" t="n">
        <v>9.161</v>
      </c>
      <c r="C14" s="52" t="n">
        <v>6.505</v>
      </c>
      <c r="D14" s="52" t="n">
        <v>54.74</v>
      </c>
      <c r="E14" s="52" t="n">
        <v>68.51000000000001</v>
      </c>
      <c r="F14" s="52" t="n">
        <v>74.843</v>
      </c>
      <c r="G14" s="52" t="n">
        <v>84.575</v>
      </c>
      <c r="H14" s="52" t="n">
        <v>152.622</v>
      </c>
      <c r="I14" s="52" t="n">
        <v>226.228</v>
      </c>
      <c r="J14" s="52" t="n">
        <v>228.519</v>
      </c>
      <c r="K14" s="52">
        <f>Main!$C$4</f>
        <v>488.846722</v>
      </c>
      <c r="L14" s="52">
        <f>Main!$C$4</f>
        <v>488.846722</v>
      </c>
      <c r="M14" s="52">
        <f>Main!$C$4</f>
        <v>488.846722</v>
      </c>
      <c r="N14" s="52">
        <f>Main!$C$4</f>
        <v>488.846722</v>
      </c>
      <c r="O14" s="52">
        <f>Main!$C$4</f>
        <v>488.846722</v>
      </c>
      <c r="P14" s="52">
        <f>Main!$C$4</f>
        <v>488.846722</v>
      </c>
      <c r="Q14" s="52">
        <f>Main!$C$4</f>
        <v>488.846722</v>
      </c>
      <c r="R14" s="52">
        <f>Main!$C$4</f>
        <v>488.846722</v>
      </c>
      <c r="S14" s="52">
        <f>Main!$C$4</f>
        <v>488.846722</v>
      </c>
      <c r="T14" s="52">
        <f>Main!$C$4</f>
        <v>488.846722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-0.5774143207121123</v>
      </c>
      <c r="K16" s="15">
        <f>IFERROR(K2/J2-1,"")</f>
        <v>-0.09999999999999998</v>
      </c>
      <c r="L16" s="15">
        <f>IFERROR(L2/K2-1,"")</f>
        <v>-0.08611111111111114</v>
      </c>
      <c r="M16" s="15">
        <f>IFERROR(M2/L2-1,"")</f>
        <v>-0.07222222222222219</v>
      </c>
      <c r="N16" s="15">
        <f>IFERROR(N2/M2-1,"")</f>
        <v>-0.05833333333333324</v>
      </c>
      <c r="O16" s="15">
        <f>IFERROR(O2/N2-1,"")</f>
        <v>-0.04444444444444451</v>
      </c>
      <c r="P16" s="15">
        <f>IFERROR(P2/O2-1,"")</f>
        <v>-0.030555555555555558</v>
      </c>
      <c r="Q16" s="15">
        <f>IFERROR(Q2/P2-1,"")</f>
        <v>-0.01666666666666672</v>
      </c>
      <c r="R16" s="15">
        <f>IFERROR(R2/Q2-1,"")</f>
        <v>-0.002777777777777768</v>
      </c>
      <c r="S16" s="15">
        <f>IFERROR(S2/R2-1,"")</f>
        <v>0.011111111111111072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-0.5223930044201883</v>
      </c>
      <c r="J18" s="15">
        <f>IFERROR(J8/J2,"")</f>
        <v>-3.5222710486682756</v>
      </c>
      <c r="K18" s="15">
        <f>IFERROR(K8/K2,"")</f>
        <v>-1.33</v>
      </c>
      <c r="L18" s="15">
        <f>IFERROR(L8/L2,"")</f>
        <v>-1.1600000000000001</v>
      </c>
      <c r="M18" s="15">
        <f>IFERROR(M8/M2,"")</f>
        <v>-0.9900000000000001</v>
      </c>
      <c r="N18" s="15">
        <f>IFERROR(N8/N2,"")</f>
        <v>-0.82</v>
      </c>
      <c r="O18" s="15">
        <f>IFERROR(O8/O2,"")</f>
        <v>-0.6500000000000001</v>
      </c>
      <c r="P18" s="15">
        <f>IFERROR(P8/P2,"")</f>
        <v>-0.48</v>
      </c>
      <c r="Q18" s="15">
        <f>IFERROR(Q8/Q2,"")</f>
        <v>-0.3100000000000001</v>
      </c>
      <c r="R18" s="15">
        <f>IFERROR(R8/R2,"")</f>
        <v>-0.14000000000000007</v>
      </c>
      <c r="S18" s="15">
        <f>IFERROR(S8/S2,"")</f>
        <v>0.02999999999999985</v>
      </c>
      <c r="T18" s="15">
        <f>IFERROR(T8/T2,"")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Gossamer Bio,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0.7942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48.471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-122.82233926702267</v>
      </c>
      <c r="C29" s="56">
        <f>NPV!B26</f>
        <v>-101.94133926702267</v>
      </c>
      <c r="D29" s="35">
        <f>NPV!B28</f>
        <v>-0.2085343619569626</v>
      </c>
      <c r="E29" s="57">
        <f>NPV!B30</f>
        <v>-1.0217676787011443</v>
      </c>
    </row>
    <row r="30">
      <c r="A30" s="58" t="n">
        <v>1</v>
      </c>
      <c r="B30" s="59">
        <f t="dataTable" ref="B30:E32" r1="B4"/>
        <v>-116.74260970675057</v>
      </c>
      <c r="C30" s="59">
        <v>-95.86160970675057</v>
      </c>
      <c r="D30" s="39">
        <v>-0.19609747880594477</v>
      </c>
      <c r="E30" s="60">
        <v>-1.0204694654285955</v>
      </c>
    </row>
    <row r="31">
      <c r="A31" s="58" t="n">
        <v>2</v>
      </c>
      <c r="B31" s="59">
        <v>-122.82233926702267</v>
      </c>
      <c r="C31" s="59">
        <v>-101.94133926702267</v>
      </c>
      <c r="D31" s="39">
        <v>-0.2085343619569626</v>
      </c>
      <c r="E31" s="60">
        <v>-1.0217676787011443</v>
      </c>
    </row>
    <row r="32">
      <c r="A32" s="58" t="n">
        <v>3</v>
      </c>
      <c r="B32" s="59">
        <v>-115.00987160691314</v>
      </c>
      <c r="C32" s="59">
        <v>-94.12887160691314</v>
      </c>
      <c r="D32" s="39">
        <v>-0.19255293606512747</v>
      </c>
      <c r="E32" s="60">
        <v>-1.0200994714055456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-0.2085343619569626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-0.20398987867895046</v>
      </c>
      <c r="C37" s="39">
        <v>-0.1990612520090089</v>
      </c>
      <c r="D37" s="39">
        <v>-0.19319379675544973</v>
      </c>
      <c r="E37" s="39">
        <v>-0.18615074790071423</v>
      </c>
      <c r="F37" s="39">
        <v>-0.17760921919064251</v>
      </c>
    </row>
    <row r="38">
      <c r="A38" s="62" t="n">
        <v>0.1</v>
      </c>
      <c r="B38" s="39">
        <v>-0.21012176290159956</v>
      </c>
      <c r="C38" s="39">
        <v>-0.20674902256167027</v>
      </c>
      <c r="D38" s="39">
        <v>-0.20277761697443714</v>
      </c>
      <c r="E38" s="39">
        <v>-0.19807760103528163</v>
      </c>
      <c r="F38" s="39">
        <v>-0.19247902683613174</v>
      </c>
    </row>
    <row r="39">
      <c r="A39" s="62" t="n">
        <v>0.11</v>
      </c>
      <c r="B39" s="39">
        <v>-0.21360698769969</v>
      </c>
      <c r="C39" s="39">
        <v>-0.2112707134999616</v>
      </c>
      <c r="D39" s="39">
        <v>-0.2085343619569626</v>
      </c>
      <c r="E39" s="39">
        <v>-0.20532155105439276</v>
      </c>
      <c r="F39" s="39">
        <v>-0.20153551425071117</v>
      </c>
    </row>
    <row r="40">
      <c r="A40" s="62" t="n">
        <v>0.12</v>
      </c>
      <c r="B40" s="39">
        <v>-0.21528370336631017</v>
      </c>
      <c r="C40" s="39">
        <v>-0.21366389672530414</v>
      </c>
      <c r="D40" s="39">
        <v>-0.21176675457113814</v>
      </c>
      <c r="E40" s="39">
        <v>-0.2095449087850177</v>
      </c>
      <c r="F40" s="39">
        <v>-0.20693983258573573</v>
      </c>
    </row>
    <row r="41">
      <c r="A41" s="62" t="n">
        <v>0.13</v>
      </c>
      <c r="B41" s="39">
        <v>-0.2156924925410107</v>
      </c>
      <c r="C41" s="39">
        <v>-0.2145824054883828</v>
      </c>
      <c r="D41" s="39">
        <v>-0.21327435916140178</v>
      </c>
      <c r="E41" s="39">
        <v>-0.21173768735875573</v>
      </c>
      <c r="F41" s="39">
        <v>-0.2099352567395883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Gossamer Bio, Inc.: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-3.5222710486682756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Model'!J2</f>
        <v>48.471</v>
      </c>
      <c r="C7" s="55">
        <f>'Yearly Model'!K2</f>
        <v>43.6239</v>
      </c>
      <c r="D7" s="55">
        <f>'Yearly Model'!L2</f>
        <v>39.867397499999996</v>
      </c>
      <c r="E7" s="55">
        <f>'Yearly Model'!M2</f>
        <v>36.98808545833333</v>
      </c>
      <c r="F7" s="55">
        <f>'Yearly Model'!N2</f>
        <v>34.830447139930556</v>
      </c>
      <c r="G7" s="55">
        <f>'Yearly Model'!O2</f>
        <v>33.28242726704475</v>
      </c>
      <c r="H7" s="55">
        <f>'Yearly Model'!P2</f>
        <v>32.26546421166283</v>
      </c>
      <c r="I7" s="55">
        <f>'Yearly Model'!Q2</f>
        <v>31.72770647480178</v>
      </c>
      <c r="J7" s="55">
        <f>'Yearly Model'!R2</f>
        <v>31.63957395681622</v>
      </c>
      <c r="K7" s="55">
        <f>'Yearly Model'!S2</f>
        <v>31.99112477855862</v>
      </c>
      <c r="L7" s="55">
        <f>'Yearly Model'!T2</f>
        <v>32.79090289802259</v>
      </c>
    </row>
    <row r="8">
      <c r="A8" s="14" t="inlineStr">
        <is>
          <t>Operating income</t>
        </is>
      </c>
      <c r="B8" s="55">
        <f>'Yearly Model'!J8</f>
        <v>-170.72799999999998</v>
      </c>
      <c r="C8" s="55">
        <f>'Yearly Model'!K8</f>
        <v>-58.019787</v>
      </c>
      <c r="D8" s="55">
        <f>'Yearly Model'!L8</f>
        <v>-46.2461811</v>
      </c>
      <c r="E8" s="55">
        <f>'Yearly Model'!M8</f>
        <v>-36.61820460375</v>
      </c>
      <c r="F8" s="55">
        <f>'Yearly Model'!N8</f>
        <v>-28.560966654743055</v>
      </c>
      <c r="G8" s="55">
        <f>'Yearly Model'!O8</f>
        <v>-21.633577723579094</v>
      </c>
      <c r="H8" s="55">
        <f>'Yearly Model'!P8</f>
        <v>-15.487422821598159</v>
      </c>
      <c r="I8" s="55">
        <f>'Yearly Model'!Q8</f>
        <v>-9.835589007188556</v>
      </c>
      <c r="J8" s="55">
        <f>'Yearly Model'!R8</f>
        <v>-4.429540353954273</v>
      </c>
      <c r="K8" s="55">
        <f>'Yearly Model'!S8</f>
        <v>0.9597337433567539</v>
      </c>
      <c r="L8" s="55">
        <f>'Yearly Model'!T8</f>
        <v>6.558180579604517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0.16315473637064817</v>
      </c>
      <c r="L9" s="52">
        <f>MAX(0,L8)*Assumptions!$E$14</f>
        <v>1.114890698532768</v>
      </c>
    </row>
    <row r="10">
      <c r="A10" s="14" t="inlineStr">
        <is>
          <t>NOPAT</t>
        </is>
      </c>
      <c r="C10" s="52">
        <f>C8-C9</f>
        <v>-58.019787</v>
      </c>
      <c r="D10" s="52">
        <f>D8-D9</f>
        <v>-46.2461811</v>
      </c>
      <c r="E10" s="52">
        <f>E8-E9</f>
        <v>-36.61820460375</v>
      </c>
      <c r="F10" s="52">
        <f>F8-F9</f>
        <v>-28.560966654743055</v>
      </c>
      <c r="G10" s="52">
        <f>G8-G9</f>
        <v>-21.633577723579094</v>
      </c>
      <c r="H10" s="52">
        <f>H8-H9</f>
        <v>-15.487422821598159</v>
      </c>
      <c r="I10" s="52">
        <f>I8-I9</f>
        <v>-9.835589007188556</v>
      </c>
      <c r="J10" s="52">
        <f>J8-J9</f>
        <v>-4.429540353954273</v>
      </c>
      <c r="K10" s="52">
        <f>K8-K9</f>
        <v>0.7965790069861057</v>
      </c>
      <c r="L10" s="52">
        <f>L8-L9</f>
        <v>5.443289881071749</v>
      </c>
    </row>
    <row r="11">
      <c r="A11" s="14" t="inlineStr">
        <is>
          <t>Reinvestment</t>
        </is>
      </c>
      <c r="C11" s="52">
        <f>(C7-B7)*Assumptions!$E$15</f>
        <v>-1.2117749999999994</v>
      </c>
      <c r="D11" s="52">
        <f>(D7-C7)*Assumptions!$E$15</f>
        <v>-0.9391256250000009</v>
      </c>
      <c r="E11" s="52">
        <f>(E7-D7)*Assumptions!$E$15</f>
        <v>-0.7198280104166663</v>
      </c>
      <c r="F11" s="52">
        <f>(F7-E7)*Assumptions!$E$15</f>
        <v>-0.5394095796006937</v>
      </c>
      <c r="G11" s="52">
        <f>(G7-F7)*Assumptions!$E$15</f>
        <v>-0.3870049682214507</v>
      </c>
      <c r="H11" s="52">
        <f>(H7-G7)*Assumptions!$E$15</f>
        <v>-0.25424076384548044</v>
      </c>
      <c r="I11" s="52">
        <f>(I7-H7)*Assumptions!$E$15</f>
        <v>-0.1344394342152624</v>
      </c>
      <c r="J11" s="52">
        <f>(J7-I7)*Assumptions!$E$15</f>
        <v>-0.022033129496390025</v>
      </c>
      <c r="K11" s="52">
        <f>(K7-J7)*Assumptions!$E$15</f>
        <v>0.08788770543559998</v>
      </c>
      <c r="L11" s="52">
        <f>(L7-K7)*Assumptions!$E$15</f>
        <v>0.19994452986599143</v>
      </c>
    </row>
    <row r="12">
      <c r="A12" s="20" t="inlineStr">
        <is>
          <t>Free cash flow</t>
        </is>
      </c>
      <c r="C12" s="64">
        <f>C10-C11</f>
        <v>-56.808012000000005</v>
      </c>
      <c r="D12" s="64">
        <f>D10-D11</f>
        <v>-45.307055475</v>
      </c>
      <c r="E12" s="64">
        <f>E10-E11</f>
        <v>-35.89837659333334</v>
      </c>
      <c r="F12" s="64">
        <f>F10-F11</f>
        <v>-28.02155707514236</v>
      </c>
      <c r="G12" s="64">
        <f>G10-G11</f>
        <v>-21.246572755357644</v>
      </c>
      <c r="H12" s="64">
        <f>H10-H11</f>
        <v>-15.233182057752678</v>
      </c>
      <c r="I12" s="64">
        <f>I10-I11</f>
        <v>-9.701149572973293</v>
      </c>
      <c r="J12" s="64">
        <f>J10-J11</f>
        <v>-4.407507224457883</v>
      </c>
      <c r="K12" s="64">
        <f>K10-K11</f>
        <v>0.7086913015505057</v>
      </c>
      <c r="L12" s="64">
        <f>L10-L11</f>
        <v>5.2433453512057575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-27.893475609586744</v>
      </c>
      <c r="D16" s="64">
        <f>D12*D13*D15</f>
        <v>-40.7997061416706</v>
      </c>
      <c r="E16" s="64">
        <f>E12*E13*E15</f>
        <v>-29.12346386082796</v>
      </c>
      <c r="F16" s="64">
        <f>F12*F13*F15</f>
        <v>-20.48035609482759</v>
      </c>
      <c r="G16" s="64">
        <f>G12*G13*G15</f>
        <v>-13.989788392008986</v>
      </c>
      <c r="H16" s="64">
        <f>H12*H13*H15</f>
        <v>-9.036284885441614</v>
      </c>
      <c r="I16" s="64">
        <f>I12*I13*I15</f>
        <v>-5.184411958296675</v>
      </c>
      <c r="J16" s="64">
        <f>J12*J13*J15</f>
        <v>-2.1220047763992635</v>
      </c>
      <c r="K16" s="64">
        <f>K12*K13*K15</f>
        <v>0.3073883811663749</v>
      </c>
      <c r="L16" s="64">
        <f>L12*L13*L15</f>
        <v>2.0488767301119997</v>
      </c>
    </row>
    <row r="19">
      <c r="A19" s="14" t="inlineStr">
        <is>
          <t>PV of forecast free cash flow</t>
        </is>
      </c>
      <c r="B19" s="52">
        <f>SUM(C16:L16)</f>
        <v>-146.27322660778108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5.374428984985901</v>
      </c>
    </row>
    <row r="21">
      <c r="A21" s="14" t="inlineStr">
        <is>
          <t>Terminal value</t>
        </is>
      </c>
      <c r="B21" s="52">
        <f>B20/(Assumptions!$E$10-Assumptions!$E$11)</f>
        <v>63.22857629395178</v>
      </c>
    </row>
    <row r="22">
      <c r="A22" s="14" t="inlineStr">
        <is>
          <t>PV of terminal value</t>
        </is>
      </c>
      <c r="B22" s="52">
        <f>B21/(1+Assumptions!$E$10)^(L14+0.5)</f>
        <v>23.450887340758413</v>
      </c>
    </row>
    <row r="23">
      <c r="A23" s="20" t="inlineStr">
        <is>
          <t>Enterprise value</t>
        </is>
      </c>
      <c r="B23" s="66">
        <f>B19+B22</f>
        <v>-122.82233926702267</v>
      </c>
    </row>
    <row r="24">
      <c r="A24" s="14" t="inlineStr">
        <is>
          <t>Cash &amp; investments</t>
        </is>
      </c>
      <c r="B24" s="55">
        <f>Main!C7</f>
        <v>57.026</v>
      </c>
    </row>
    <row r="25">
      <c r="A25" s="14" t="inlineStr">
        <is>
          <t>Debt</t>
        </is>
      </c>
      <c r="B25" s="55">
        <f>Main!C8</f>
        <v>36.145</v>
      </c>
    </row>
    <row r="26">
      <c r="A26" s="20" t="inlineStr">
        <is>
          <t>Equity value</t>
        </is>
      </c>
      <c r="B26" s="66">
        <f>B23+B24-B25</f>
        <v>-101.94133926702267</v>
      </c>
    </row>
    <row r="27">
      <c r="A27" s="14" t="inlineStr">
        <is>
          <t>Shares (mm)</t>
        </is>
      </c>
      <c r="B27" s="55">
        <f>Main!C4</f>
        <v>488.846722</v>
      </c>
    </row>
    <row r="28">
      <c r="A28" s="20" t="inlineStr">
        <is>
          <t>NPV / share</t>
        </is>
      </c>
      <c r="B28" s="49">
        <f>B26/B27</f>
        <v>-0.2085343619569626</v>
      </c>
    </row>
    <row r="29">
      <c r="A29" s="14" t="inlineStr">
        <is>
          <t>Price</t>
        </is>
      </c>
      <c r="B29" s="50">
        <f>Main!C3</f>
        <v>9.58</v>
      </c>
    </row>
    <row r="30">
      <c r="A30" s="14" t="inlineStr">
        <is>
          <t>Upside</t>
        </is>
      </c>
      <c r="B30" s="63">
        <f>B28/B29-1</f>
        <v>-1.0217676787011443</v>
      </c>
    </row>
    <row r="31">
      <c r="A31" s="14" t="inlineStr">
        <is>
          <t>Terminal value, % of EV</t>
        </is>
      </c>
      <c r="B31" s="63">
        <f>IFERROR(B22/B23,0)</f>
        <v>-0.19093340414055188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2026-10-21T06:21:54Z</dcterms:modified>
  <cp:lastModifiedBy>Wang, Eric</cp:lastModifiedBy>
</cp:coreProperties>
</file>