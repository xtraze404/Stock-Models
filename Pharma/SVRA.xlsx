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#,##0.0;(#,##0.0);&quot;-&quot;"/>
    <numFmt numFmtId="169" formatCode="0.0%"/>
    <numFmt numFmtId="170" formatCode="0.000"/>
    <numFmt numFmtId="171" formatCode="$#,##0.00;($#,##0.00);&quot;-&quot;"/>
    <numFmt numFmtId="172" formatCode="0.000000"/>
    <numFmt numFmtId="173" formatCode="0.00x"/>
    <numFmt numFmtId="174" formatCode="$#,##0;($#,##0);&quot;-&quot;"/>
    <numFmt numFmtId="175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5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5" fontId="6" fillId="0" borderId="0" pivotButton="0" quotePrefix="0" xfId="0"/>
    <xf numFmtId="0" fontId="6" fillId="0" borderId="0" pivotButton="0" quotePrefix="0" xfId="0"/>
    <xf numFmtId="169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8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1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1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1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0" fontId="6" fillId="0" borderId="0" pivotButton="0" quotePrefix="0" xfId="0"/>
    <xf numFmtId="168" fontId="9" fillId="0" borderId="0" pivotButton="0" quotePrefix="0" xfId="0"/>
    <xf numFmtId="1" fontId="6" fillId="0" borderId="0" applyAlignment="1" pivotButton="0" quotePrefix="0" xfId="0">
      <alignment horizontal="center"/>
    </xf>
    <xf numFmtId="170" fontId="4" fillId="0" borderId="0" pivotButton="0" quotePrefix="0" xfId="0"/>
    <xf numFmtId="171" fontId="4" fillId="0" borderId="0" pivotButton="0" quotePrefix="0" xfId="0"/>
    <xf numFmtId="171" fontId="3" fillId="2" borderId="0" pivotButton="0" quotePrefix="0" xfId="0"/>
    <xf numFmtId="171" fontId="9" fillId="0" borderId="0" pivotButton="0" quotePrefix="0" xfId="0"/>
    <xf numFmtId="0" fontId="3" fillId="4" borderId="0" applyAlignment="1" pivotButton="0" quotePrefix="0" xfId="0">
      <alignment horizontal="right"/>
    </xf>
    <xf numFmtId="171" fontId="3" fillId="0" borderId="6" pivotButton="0" quotePrefix="0" xfId="0"/>
    <xf numFmtId="172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3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4" fontId="6" fillId="0" borderId="0" pivotButton="0" quotePrefix="0" xfId="0"/>
    <xf numFmtId="174" fontId="6" fillId="0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4" fontId="3" fillId="0" borderId="0" pivotButton="0" quotePrefix="0" xfId="0"/>
    <xf numFmtId="171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(Dec 18, 2026)</a:t>
            </a:r>
          </a:p>
        </rich>
      </tx>
    </title>
    <plotArea>
      <scatterChart>
        <ser>
          <idx val="0"/>
          <order val="0"/>
          <tx>
            <strRef>
              <f>'Options'!B62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'Options'!$B$63:$B$93</f>
            </numRef>
          </yVal>
        </ser>
        <ser>
          <idx val="1"/>
          <order val="1"/>
          <tx>
            <strRef>
              <f>'Options'!C62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'Options'!$C$63:$C$93</f>
            </numRef>
          </yVal>
        </ser>
        <ser>
          <idx val="2"/>
          <order val="2"/>
          <tx>
            <strRef>
              <f>'Options'!D62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'Options'!$D$63:$D$93</f>
            </numRef>
          </yVal>
        </ser>
        <ser>
          <idx val="3"/>
          <order val="3"/>
          <tx>
            <strRef>
              <f>'Options'!E62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'Options'!$E$63:$E$93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SVRA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Savara Inc.</t>
        </is>
      </c>
      <c r="C2" s="10" t="n"/>
    </row>
    <row r="3">
      <c r="B3" t="inlineStr">
        <is>
          <t>Price</t>
        </is>
      </c>
      <c r="C3" s="11">
        <f>INDEX([1]Pharma!$F$1:$F$1000,MATCH("SVRA",[1]Pharma!$B$1:$B$1000,0))</f>
        <v>4.76</v>
      </c>
      <c r="F3" s="1" t="n"/>
    </row>
    <row r="4">
      <c r="B4" t="inlineStr">
        <is>
          <t>Shares</t>
        </is>
      </c>
      <c r="C4" s="12">
        <f>205.460015+48.600212</f>
        <v>254.060227</v>
      </c>
      <c r="F4" s="1" t="n"/>
    </row>
    <row r="5">
      <c r="B5" t="inlineStr">
        <is>
          <t>Market Cap.</t>
        </is>
      </c>
      <c r="C5" s="1">
        <f>C3*C4</f>
        <v>1209.3266805199999</v>
      </c>
      <c r="F5" s="1" t="n"/>
    </row>
    <row r="6"/>
    <row r="7">
      <c r="B7" t="inlineStr">
        <is>
          <t>Cash</t>
        </is>
      </c>
      <c r="C7" s="12">
        <f>41.800+131.234</f>
        <v>173.034</v>
      </c>
    </row>
    <row r="8">
      <c r="B8" t="inlineStr">
        <is>
          <t>Debt</t>
        </is>
      </c>
      <c r="C8" s="12" t="n">
        <v>30.109</v>
      </c>
    </row>
    <row r="9">
      <c r="B9" t="inlineStr">
        <is>
          <t>Enterprise V.</t>
        </is>
      </c>
      <c r="C9" s="1">
        <f>C5-C7+C8</f>
        <v>1066.40168052</v>
      </c>
    </row>
    <row r="11">
      <c r="B11" s="13" t="inlineStr">
        <is>
          <t>rNPV / Share</t>
        </is>
      </c>
      <c r="C11" s="11">
        <f>NPV!C43</f>
        <v>3.6845617641851964</v>
      </c>
    </row>
    <row r="12">
      <c r="B12" s="13" t="inlineStr">
        <is>
          <t>Upside</t>
        </is>
      </c>
      <c r="C12" s="14">
        <f>C11/C3-1</f>
        <v>-0.22593240248210156</v>
      </c>
    </row>
    <row r="13">
      <c r="B13" s="13" t="inlineStr">
        <is>
          <t>Cash / Share</t>
        </is>
      </c>
      <c r="C13" s="11">
        <f>(C7-C8)/C4</f>
        <v>0.5625634586243206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46348</v>
      </c>
    </row>
    <row r="17">
      <c r="B17" s="13" t="inlineStr">
        <is>
          <t>P(Approval)</t>
        </is>
      </c>
      <c r="C17" s="16">
        <f>Assumptions!$B$32</f>
        <v>0.8</v>
      </c>
    </row>
    <row r="18">
      <c r="B18" s="13" t="inlineStr">
        <is>
          <t>If Approved</t>
        </is>
      </c>
      <c r="C18" s="11">
        <f>Assumptions!$D$76</f>
        <v>4.051312946894043</v>
      </c>
    </row>
    <row r="19">
      <c r="B19" s="13" t="inlineStr">
        <is>
          <t>If CRL</t>
        </is>
      </c>
      <c r="C19" s="11">
        <f>Assumptions!$D$75</f>
        <v>2.123680609909306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B2" s="18" t="n">
        <v>0</v>
      </c>
      <c r="C2" s="18" t="n">
        <v>0</v>
      </c>
      <c r="D2" s="18" t="n">
        <v>0</v>
      </c>
      <c r="E2" s="18" t="n">
        <v>0</v>
      </c>
      <c r="F2" s="18" t="n">
        <v>0</v>
      </c>
      <c r="G2" s="18">
        <f>SUM('Quarterly Model'!F2:I2)</f>
        <v>0.0</v>
      </c>
      <c r="H2" s="18">
        <f>Pipeline!C17</f>
        <v>90.0</v>
      </c>
      <c r="I2" s="18">
        <f>Pipeline!D17</f>
        <v>210.0</v>
      </c>
      <c r="J2" s="18">
        <f>Pipeline!E17</f>
        <v>346.87500000000006</v>
      </c>
      <c r="K2" s="18">
        <f>Pipeline!F17</f>
        <v>489.375</v>
      </c>
      <c r="L2" s="18">
        <f>Pipeline!G17</f>
        <v>601.875</v>
      </c>
      <c r="M2" s="18">
        <f>Pipeline!H17</f>
        <v>684.375</v>
      </c>
      <c r="N2" s="18">
        <f>Pipeline!I17</f>
        <v>701.25</v>
      </c>
      <c r="O2" s="18">
        <f>Pipeline!J17</f>
        <v>712.5</v>
      </c>
      <c r="P2" s="18">
        <f>Pipeline!K17</f>
        <v>712.5</v>
      </c>
      <c r="Q2" s="18">
        <f>Pipeline!L17</f>
        <v>712.5</v>
      </c>
      <c r="R2" s="18">
        <f>Pipeline!M17</f>
        <v>712.5</v>
      </c>
      <c r="S2" s="18">
        <f>Pipeline!N17</f>
        <v>712.5</v>
      </c>
      <c r="T2" s="18">
        <f>Pipeline!O17</f>
        <v>427.5</v>
      </c>
      <c r="U2" s="18">
        <f>Pipeline!P17</f>
        <v>256.5</v>
      </c>
      <c r="V2" s="18">
        <f>Pipeline!Q17</f>
        <v>153.89999999999998</v>
      </c>
      <c r="W2" s="18">
        <f>Pipeline!R17</f>
        <v>92.34</v>
      </c>
      <c r="X2" s="18">
        <f>Pipeline!S17</f>
        <v>55.404</v>
      </c>
      <c r="Y2" s="18">
        <f>Pipeline!T17</f>
        <v>33.242399999999996</v>
      </c>
      <c r="Z2" s="18">
        <f>Pipeline!U17</f>
        <v>19.945439999999994</v>
      </c>
      <c r="AA2" s="18">
        <f>Pipeline!V17</f>
        <v>11.967263999999998</v>
      </c>
      <c r="AB2" s="18">
        <f>Pipeline!W17</f>
        <v>7.180358399999999</v>
      </c>
      <c r="AC2" s="18">
        <f>Pipeline!X17</f>
        <v>4.308215039999999</v>
      </c>
      <c r="AD2" s="18">
        <f>Pipeline!Y17</f>
        <v>2.5849290239999996</v>
      </c>
      <c r="AE2" s="18">
        <f>Pipeline!Z17</f>
        <v>1.5509574143999996</v>
      </c>
    </row>
    <row r="3" customFormat="1" s="1">
      <c r="A3" s="5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>
        <f>SUM('Quarterly Model'!F3:I3)</f>
        <v>0.0</v>
      </c>
      <c r="H3" s="18">
        <f>Pipeline!C18</f>
        <v>15.299999999999999</v>
      </c>
      <c r="I3" s="18">
        <f>Pipeline!D18</f>
        <v>35.699999999999996</v>
      </c>
      <c r="J3" s="18">
        <f>Pipeline!E18</f>
        <v>58.96875000000001</v>
      </c>
      <c r="K3" s="18">
        <f>Pipeline!F18</f>
        <v>83.19375</v>
      </c>
      <c r="L3" s="18">
        <f>Pipeline!G18</f>
        <v>102.31875</v>
      </c>
      <c r="M3" s="18">
        <f>Pipeline!H18</f>
        <v>116.34374999999999</v>
      </c>
      <c r="N3" s="18">
        <f>Pipeline!I18</f>
        <v>119.21249999999999</v>
      </c>
      <c r="O3" s="18">
        <f>Pipeline!J18</f>
        <v>121.12499999999999</v>
      </c>
      <c r="P3" s="18">
        <f>Pipeline!K18</f>
        <v>121.12499999999999</v>
      </c>
      <c r="Q3" s="18">
        <f>Pipeline!L18</f>
        <v>121.12499999999999</v>
      </c>
      <c r="R3" s="18">
        <f>Pipeline!M18</f>
        <v>121.12499999999999</v>
      </c>
      <c r="S3" s="18">
        <f>Pipeline!N18</f>
        <v>121.12499999999999</v>
      </c>
      <c r="T3" s="18">
        <f>Pipeline!O18</f>
        <v>72.675</v>
      </c>
      <c r="U3" s="18">
        <f>Pipeline!P18</f>
        <v>43.605</v>
      </c>
      <c r="V3" s="18">
        <f>Pipeline!Q18</f>
        <v>26.162999999999993</v>
      </c>
      <c r="W3" s="18">
        <f>Pipeline!R18</f>
        <v>15.697799999999999</v>
      </c>
      <c r="X3" s="18">
        <f>Pipeline!S18</f>
        <v>9.41868</v>
      </c>
      <c r="Y3" s="18">
        <f>Pipeline!T18</f>
        <v>5.651207999999999</v>
      </c>
      <c r="Z3" s="18">
        <f>Pipeline!U18</f>
        <v>3.3907247999999988</v>
      </c>
      <c r="AA3" s="18">
        <f>Pipeline!V18</f>
        <v>2.0344348799999996</v>
      </c>
      <c r="AB3" s="18">
        <f>Pipeline!W18</f>
        <v>1.2206609279999998</v>
      </c>
      <c r="AC3" s="18">
        <f>Pipeline!X18</f>
        <v>0.7323965567999998</v>
      </c>
      <c r="AD3" s="18">
        <f>Pipeline!Y18</f>
        <v>0.43943793407999987</v>
      </c>
      <c r="AE3" s="18">
        <f>Pipeline!Z18</f>
        <v>0.2636627604479999</v>
      </c>
    </row>
    <row r="4" customFormat="1" s="1">
      <c r="A4" s="5" t="inlineStr">
        <is>
          <t>Gross Margin</t>
        </is>
      </c>
      <c r="B4" s="18">
        <f>B2-B3</f>
        <v>0.0</v>
      </c>
      <c r="C4" s="18">
        <f>C2-C3</f>
        <v>0.0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74.7</v>
      </c>
      <c r="I4" s="18">
        <f>I2-I3</f>
        <v>174.3</v>
      </c>
      <c r="J4" s="18">
        <f>J2-J3</f>
        <v>287.90625000000006</v>
      </c>
      <c r="K4" s="18">
        <f>K2-K3</f>
        <v>406.18125</v>
      </c>
      <c r="L4" s="18">
        <f>L2-L3</f>
        <v>499.55625</v>
      </c>
      <c r="M4" s="18">
        <f>M2-M3</f>
        <v>568.03125</v>
      </c>
      <c r="N4" s="18">
        <f>N2-N3</f>
        <v>582.0375</v>
      </c>
      <c r="O4" s="18">
        <f>O2-O3</f>
        <v>591.375</v>
      </c>
      <c r="P4" s="18">
        <f>P2-P3</f>
        <v>591.375</v>
      </c>
      <c r="Q4" s="18">
        <f>Q2-Q3</f>
        <v>591.375</v>
      </c>
      <c r="R4" s="18">
        <f>R2-R3</f>
        <v>591.375</v>
      </c>
      <c r="S4" s="18">
        <f>S2-S3</f>
        <v>591.375</v>
      </c>
      <c r="T4" s="18">
        <f>T2-T3</f>
        <v>354.825</v>
      </c>
      <c r="U4" s="18">
        <f>U2-U3</f>
        <v>212.895</v>
      </c>
      <c r="V4" s="18">
        <f>V2-V3</f>
        <v>127.73699999999998</v>
      </c>
      <c r="W4" s="18">
        <f>W2-W3</f>
        <v>76.6422</v>
      </c>
      <c r="X4" s="18">
        <f>X2-X3</f>
        <v>45.98532</v>
      </c>
      <c r="Y4" s="18">
        <f>Y2-Y3</f>
        <v>27.591192</v>
      </c>
      <c r="Z4" s="18">
        <f>Z2-Z3</f>
        <v>16.554715199999997</v>
      </c>
      <c r="AA4" s="18">
        <f>AA2-AA3</f>
        <v>9.93282912</v>
      </c>
      <c r="AB4" s="18">
        <f>AB2-AB3</f>
        <v>5.959697471999999</v>
      </c>
      <c r="AC4" s="18">
        <f>AC2-AC3</f>
        <v>3.5758184831999995</v>
      </c>
      <c r="AD4" s="18">
        <f>AD2-AD3</f>
        <v>2.1454910899199997</v>
      </c>
      <c r="AE4" s="18">
        <f>AE2-AE3</f>
        <v>1.2872946539519996</v>
      </c>
    </row>
    <row r="5">
      <c r="A5" s="2" t="inlineStr">
        <is>
          <t>Research &amp; Dev.</t>
        </is>
      </c>
      <c r="B5" s="18" t="n">
        <v>28.991</v>
      </c>
      <c r="C5" s="18" t="n">
        <v>27.879</v>
      </c>
      <c r="D5" s="18" t="n">
        <v>44.262</v>
      </c>
      <c r="E5" s="18" t="n">
        <v>78.029</v>
      </c>
      <c r="F5" s="18" t="n">
        <v>81.404</v>
      </c>
      <c r="G5" s="18">
        <f>SUM('Quarterly Model'!F5:I5)</f>
        <v>88.349</v>
      </c>
      <c r="H5" s="18">
        <f>Pipeline!C21</f>
        <v>28.2</v>
      </c>
      <c r="I5" s="18">
        <f>Pipeline!D21</f>
        <v>23.596000000000004</v>
      </c>
      <c r="J5" s="18">
        <f>Pipeline!E21</f>
        <v>20.812500000000004</v>
      </c>
      <c r="K5" s="18">
        <f>Pipeline!F21</f>
        <v>29.362499999999997</v>
      </c>
      <c r="L5" s="18">
        <f>Pipeline!G21</f>
        <v>36.1125</v>
      </c>
      <c r="M5" s="18">
        <f>Pipeline!H21</f>
        <v>41.0625</v>
      </c>
      <c r="N5" s="18">
        <f>Pipeline!I21</f>
        <v>42.074999999999996</v>
      </c>
      <c r="O5" s="18">
        <f>Pipeline!J21</f>
        <v>42.75</v>
      </c>
      <c r="P5" s="18">
        <f>Pipeline!K21</f>
        <v>42.75</v>
      </c>
      <c r="Q5" s="18">
        <f>Pipeline!L21</f>
        <v>42.75</v>
      </c>
      <c r="R5" s="18">
        <f>Pipeline!M21</f>
        <v>42.75</v>
      </c>
      <c r="S5" s="18">
        <f>Pipeline!N21</f>
        <v>42.75</v>
      </c>
      <c r="T5" s="18">
        <f>Pipeline!O21</f>
        <v>25.65</v>
      </c>
      <c r="U5" s="18">
        <f>Pipeline!P21</f>
        <v>15.389999999999999</v>
      </c>
      <c r="V5" s="18">
        <f>Pipeline!Q21</f>
        <v>9.233999999999998</v>
      </c>
      <c r="W5" s="18">
        <f>Pipeline!R21</f>
        <v>5.5404</v>
      </c>
      <c r="X5" s="18">
        <f>Pipeline!S21</f>
        <v>3.32424</v>
      </c>
      <c r="Y5" s="18">
        <f>Pipeline!T21</f>
        <v>1.9945439999999997</v>
      </c>
      <c r="Z5" s="18">
        <f>Pipeline!U21</f>
        <v>1.1967263999999995</v>
      </c>
      <c r="AA5" s="18">
        <f>Pipeline!V21</f>
        <v>0.7180358399999999</v>
      </c>
      <c r="AB5" s="18">
        <f>Pipeline!W21</f>
        <v>0.43082150399999997</v>
      </c>
      <c r="AC5" s="18">
        <f>Pipeline!X21</f>
        <v>0.25849290239999995</v>
      </c>
      <c r="AD5" s="18">
        <f>Pipeline!Y21</f>
        <v>0.15509574143999996</v>
      </c>
      <c r="AE5" s="18">
        <f>Pipeline!Z21</f>
        <v>0.09305744486399997</v>
      </c>
    </row>
    <row r="6">
      <c r="A6" s="2" t="inlineStr">
        <is>
          <t>General &amp; Admin</t>
        </is>
      </c>
      <c r="B6" s="18" t="n">
        <v>12.486</v>
      </c>
      <c r="C6" s="18" t="n">
        <v>10.96</v>
      </c>
      <c r="D6" s="18" t="n">
        <v>15.745</v>
      </c>
      <c r="E6" s="18" t="n">
        <v>25.167</v>
      </c>
      <c r="F6" s="18" t="n">
        <v>42.143</v>
      </c>
      <c r="G6" s="18">
        <f>SUM('Quarterly Model'!F6:I6)</f>
        <v>78.606</v>
      </c>
      <c r="H6" s="18">
        <f>Pipeline!C24</f>
        <v>107.4</v>
      </c>
      <c r="I6" s="18">
        <f>Pipeline!D24</f>
        <v>146.442</v>
      </c>
      <c r="J6" s="18">
        <f>Pipeline!E24</f>
        <v>181.87500000000003</v>
      </c>
      <c r="K6" s="18">
        <f>Pipeline!F24</f>
        <v>214.59375</v>
      </c>
      <c r="L6" s="18">
        <f>Pipeline!G24</f>
        <v>236.13750000000002</v>
      </c>
      <c r="M6" s="18">
        <f>Pipeline!H24</f>
        <v>245.4375</v>
      </c>
      <c r="N6" s="18">
        <f>Pipeline!I24</f>
        <v>248.475</v>
      </c>
      <c r="O6" s="18">
        <f>Pipeline!J24</f>
        <v>249.375</v>
      </c>
      <c r="P6" s="18">
        <f>Pipeline!K24</f>
        <v>249.375</v>
      </c>
      <c r="Q6" s="18">
        <f>Pipeline!L24</f>
        <v>249.375</v>
      </c>
      <c r="R6" s="18">
        <f>Pipeline!M24</f>
        <v>249.375</v>
      </c>
      <c r="S6" s="18">
        <f>Pipeline!N24</f>
        <v>249.375</v>
      </c>
      <c r="T6" s="18">
        <f>Pipeline!O24</f>
        <v>149.625</v>
      </c>
      <c r="U6" s="18">
        <f>Pipeline!P24</f>
        <v>89.775</v>
      </c>
      <c r="V6" s="18">
        <f>Pipeline!Q24</f>
        <v>53.864999999999995</v>
      </c>
      <c r="W6" s="18">
        <f>Pipeline!R24</f>
        <v>32.319</v>
      </c>
      <c r="X6" s="18">
        <f>Pipeline!S24</f>
        <v>19.3914</v>
      </c>
      <c r="Y6" s="18">
        <f>Pipeline!T24</f>
        <v>11.634839999999999</v>
      </c>
      <c r="Z6" s="18">
        <f>Pipeline!U24</f>
        <v>6.980903999999998</v>
      </c>
      <c r="AA6" s="18">
        <f>Pipeline!V24</f>
        <v>4.188542399999999</v>
      </c>
      <c r="AB6" s="18">
        <f>Pipeline!W24</f>
        <v>2.5131254399999996</v>
      </c>
      <c r="AC6" s="18">
        <f>Pipeline!X24</f>
        <v>1.507875264</v>
      </c>
      <c r="AD6" s="18">
        <f>Pipeline!Y24</f>
        <v>0.9047251583999998</v>
      </c>
      <c r="AE6" s="18">
        <f>Pipeline!Z24</f>
        <v>0.5428350950399998</v>
      </c>
    </row>
    <row r="7">
      <c r="A7" s="2" t="inlineStr">
        <is>
          <t>Operating Expense</t>
        </is>
      </c>
      <c r="B7" s="18">
        <f>SUM(B5:B6)</f>
        <v>41.477000000000004</v>
      </c>
      <c r="C7" s="18">
        <f>SUM(C5:C6)</f>
        <v>38.839</v>
      </c>
      <c r="D7" s="18">
        <f>SUM(D5:D6)</f>
        <v>60.007</v>
      </c>
      <c r="E7" s="18">
        <f>SUM(E5:E6)</f>
        <v>103.196</v>
      </c>
      <c r="F7" s="18">
        <f>SUM(F5:F6)</f>
        <v>123.547</v>
      </c>
      <c r="G7" s="18">
        <f>SUM(G5:G6)</f>
        <v>166.95499999999998</v>
      </c>
      <c r="H7" s="18">
        <f>SUM(H5:H6)</f>
        <v>135.6</v>
      </c>
      <c r="I7" s="18">
        <f>SUM(I5:I6)</f>
        <v>170.038</v>
      </c>
      <c r="J7" s="18">
        <f>SUM(J5:J6)</f>
        <v>202.68750000000003</v>
      </c>
      <c r="K7" s="18">
        <f>SUM(K5:K6)</f>
        <v>243.95625</v>
      </c>
      <c r="L7" s="18">
        <f>SUM(L5:L6)</f>
        <v>272.25</v>
      </c>
      <c r="M7" s="18">
        <f>SUM(M5:M6)</f>
        <v>286.5</v>
      </c>
      <c r="N7" s="18">
        <f>SUM(N5:N6)</f>
        <v>290.55</v>
      </c>
      <c r="O7" s="18">
        <f>SUM(O5:O6)</f>
        <v>292.125</v>
      </c>
      <c r="P7" s="18">
        <f>SUM(P5:P6)</f>
        <v>292.125</v>
      </c>
      <c r="Q7" s="18">
        <f>SUM(Q5:Q6)</f>
        <v>292.125</v>
      </c>
      <c r="R7" s="18">
        <f>SUM(R5:R6)</f>
        <v>292.125</v>
      </c>
      <c r="S7" s="18">
        <f>SUM(S5:S6)</f>
        <v>292.125</v>
      </c>
      <c r="T7" s="18">
        <f>SUM(T5:T6)</f>
        <v>175.275</v>
      </c>
      <c r="U7" s="18">
        <f>SUM(U5:U6)</f>
        <v>105.165</v>
      </c>
      <c r="V7" s="18">
        <f>SUM(V5:V6)</f>
        <v>63.09899999999999</v>
      </c>
      <c r="W7" s="18">
        <f>SUM(W5:W6)</f>
        <v>37.8594</v>
      </c>
      <c r="X7" s="18">
        <f>SUM(X5:X6)</f>
        <v>22.71564</v>
      </c>
      <c r="Y7" s="18">
        <f>SUM(Y5:Y6)</f>
        <v>13.629383999999998</v>
      </c>
      <c r="Z7" s="18">
        <f>SUM(Z5:Z6)</f>
        <v>8.177630399999998</v>
      </c>
      <c r="AA7" s="18">
        <f>SUM(AA5:AA6)</f>
        <v>4.906578239999999</v>
      </c>
      <c r="AB7" s="18">
        <f>SUM(AB5:AB6)</f>
        <v>2.9439469439999995</v>
      </c>
      <c r="AC7" s="18">
        <f>SUM(AC5:AC6)</f>
        <v>1.7663681664</v>
      </c>
      <c r="AD7" s="18">
        <f>SUM(AD5:AD6)</f>
        <v>1.0598208998399998</v>
      </c>
      <c r="AE7" s="18">
        <f>SUM(AE5:AE6)</f>
        <v>0.6358925399039999</v>
      </c>
    </row>
    <row r="8">
      <c r="A8" s="2" t="inlineStr">
        <is>
          <t>Operating Income</t>
        </is>
      </c>
      <c r="B8" s="18">
        <f>B4-B7</f>
        <v>-41.477000000000004</v>
      </c>
      <c r="C8" s="18">
        <f>C4-C7</f>
        <v>-38.839</v>
      </c>
      <c r="D8" s="18">
        <f>D4-D7</f>
        <v>-60.007</v>
      </c>
      <c r="E8" s="18">
        <f>E4-E7</f>
        <v>-103.196</v>
      </c>
      <c r="F8" s="18">
        <f>F4-F7</f>
        <v>-123.547</v>
      </c>
      <c r="G8" s="18">
        <f>G4-G7</f>
        <v>-166.95499999999998</v>
      </c>
      <c r="H8" s="18">
        <f>H4-H7</f>
        <v>-60.89999999999999</v>
      </c>
      <c r="I8" s="18">
        <f>I4-I7</f>
        <v>4.2620000000000005</v>
      </c>
      <c r="J8" s="18">
        <f>J4-J7</f>
        <v>85.21875000000003</v>
      </c>
      <c r="K8" s="18">
        <f>K4-K7</f>
        <v>162.22499999999997</v>
      </c>
      <c r="L8" s="18">
        <f>L4-L7</f>
        <v>227.30624999999998</v>
      </c>
      <c r="M8" s="18">
        <f>M4-M7</f>
        <v>281.53125</v>
      </c>
      <c r="N8" s="18">
        <f>N4-N7</f>
        <v>291.4875</v>
      </c>
      <c r="O8" s="18">
        <f>O4-O7</f>
        <v>299.25</v>
      </c>
      <c r="P8" s="18">
        <f>P4-P7</f>
        <v>299.25</v>
      </c>
      <c r="Q8" s="18">
        <f>Q4-Q7</f>
        <v>299.25</v>
      </c>
      <c r="R8" s="18">
        <f>R4-R7</f>
        <v>299.25</v>
      </c>
      <c r="S8" s="18">
        <f>S4-S7</f>
        <v>299.25</v>
      </c>
      <c r="T8" s="18">
        <f>T4-T7</f>
        <v>179.54999999999998</v>
      </c>
      <c r="U8" s="18">
        <f>U4-U7</f>
        <v>107.73</v>
      </c>
      <c r="V8" s="18">
        <f>V4-V7</f>
        <v>64.63799999999999</v>
      </c>
      <c r="W8" s="18">
        <f>W4-W7</f>
        <v>38.7828</v>
      </c>
      <c r="X8" s="18">
        <f>X4-X7</f>
        <v>23.26968</v>
      </c>
      <c r="Y8" s="18">
        <f>Y4-Y7</f>
        <v>13.961808000000001</v>
      </c>
      <c r="Z8" s="18">
        <f>Z4-Z7</f>
        <v>8.377084799999999</v>
      </c>
      <c r="AA8" s="18">
        <f>AA4-AA7</f>
        <v>5.02625088</v>
      </c>
      <c r="AB8" s="18">
        <f>AB4-AB7</f>
        <v>3.015750528</v>
      </c>
      <c r="AC8" s="18">
        <f>AC4-AC7</f>
        <v>1.8094503167999996</v>
      </c>
      <c r="AD8" s="18">
        <f>AD4-AD7</f>
        <v>1.0856701900799999</v>
      </c>
      <c r="AE8" s="18">
        <f>AE4-AE7</f>
        <v>0.6514021140479997</v>
      </c>
    </row>
    <row r="9">
      <c r="A9" s="19" t="inlineStr">
        <is>
          <t>Interest &amp; Other</t>
        </is>
      </c>
      <c r="B9" s="18" t="n">
        <v>-1.537</v>
      </c>
      <c r="C9" s="18" t="n">
        <v>0.6889999999999999</v>
      </c>
      <c r="D9" s="18" t="n">
        <v>5.309</v>
      </c>
      <c r="E9" s="18" t="n">
        <v>7.324</v>
      </c>
      <c r="F9" s="18" t="n">
        <v>4.71</v>
      </c>
      <c r="G9" s="18">
        <f>SUM('Quarterly Model'!F9:I9)</f>
        <v>5.299470566406249</v>
      </c>
      <c r="H9" s="18">
        <f>Assumptions!$B$16*MAX(0,G20)-Assumptions!$B$17*Main!$C$8</f>
        <v>2.580667646240234</v>
      </c>
      <c r="I9" s="18">
        <f>Assumptions!$B$16*MAX(0,H20)-Assumptions!$B$17*Main!$C$8</f>
        <v>0.39369268297424354</v>
      </c>
      <c r="J9" s="18">
        <f>Assumptions!$B$16*MAX(0,I20)-Assumptions!$B$17*Main!$C$8</f>
        <v>0.5682811585857774</v>
      </c>
      <c r="K9" s="18">
        <f>Assumptions!$B$16*MAX(0,J20)-Assumptions!$B$17*Main!$C$8</f>
        <v>3.785294827032745</v>
      </c>
      <c r="L9" s="18">
        <f>Assumptions!$B$16*MAX(0,K20)-Assumptions!$B$17*Main!$C$8</f>
        <v>10.010680883046472</v>
      </c>
      <c r="M9" s="18">
        <f>Assumptions!$B$16*MAX(0,L20)-Assumptions!$B$17*Main!$C$8</f>
        <v>18.91006579116071</v>
      </c>
      <c r="N9" s="18">
        <f>Assumptions!$B$16*MAX(0,M20)-Assumptions!$B$17*Main!$C$8</f>
        <v>29.592003455330097</v>
      </c>
      <c r="O9" s="18">
        <f>Assumptions!$B$16*MAX(0,N20)-Assumptions!$B$17*Main!$C$8</f>
        <v>39.10398374519425</v>
      </c>
      <c r="P9" s="18">
        <f>Assumptions!$B$16*MAX(0,O20)-Assumptions!$B$17*Main!$C$8</f>
        <v>49.127720513645635</v>
      </c>
      <c r="Q9" s="18">
        <f>Assumptions!$B$16*MAX(0,P20)-Assumptions!$B$17*Main!$C$8</f>
        <v>59.44841048386238</v>
      </c>
      <c r="R9" s="18">
        <f>Assumptions!$B$16*MAX(0,Q20)-Assumptions!$B$17*Main!$C$8</f>
        <v>70.07485089444681</v>
      </c>
      <c r="S9" s="18">
        <f>Assumptions!$B$16*MAX(0,R20)-Assumptions!$B$17*Main!$C$8</f>
        <v>81.01609960219479</v>
      </c>
      <c r="T9" s="18">
        <f>Assumptions!$B$16*MAX(0,S20)-Assumptions!$B$17*Main!$C$8</f>
        <v>92.28148280290982</v>
      </c>
      <c r="U9" s="18">
        <f>Assumptions!$B$16*MAX(0,T20)-Assumptions!$B$17*Main!$C$8</f>
        <v>100.33449048094602</v>
      </c>
      <c r="V9" s="18">
        <f>Assumptions!$B$16*MAX(0,U20)-Assumptions!$B$17*Main!$C$8</f>
        <v>106.49840101144405</v>
      </c>
      <c r="W9" s="18">
        <f>Assumptions!$B$16*MAX(0,V20)-Assumptions!$B$17*Main!$C$8</f>
        <v>111.56831689140807</v>
      </c>
      <c r="X9" s="18">
        <f>Assumptions!$B$16*MAX(0,W20)-Assumptions!$B$17*Main!$C$8</f>
        <v>116.02246872931605</v>
      </c>
      <c r="Y9" s="18">
        <f>Assumptions!$B$16*MAX(0,X20)-Assumptions!$B$17*Main!$C$8</f>
        <v>120.14899863542203</v>
      </c>
      <c r="Z9" s="18">
        <f>Assumptions!$B$16*MAX(0,Y20)-Assumptions!$B$17*Main!$C$8</f>
        <v>124.1220312819964</v>
      </c>
      <c r="AA9" s="18">
        <f>Assumptions!$B$16*MAX(0,Z20)-Assumptions!$B$17*Main!$C$8</f>
        <v>128.04731759592553</v>
      </c>
      <c r="AB9" s="18">
        <f>Assumptions!$B$16*MAX(0,AA20)-Assumptions!$B$17*Main!$C$8</f>
        <v>131.98962206202484</v>
      </c>
      <c r="AC9" s="18">
        <f>Assumptions!$B$16*MAX(0,AB20)-Assumptions!$B$17*Main!$C$8</f>
        <v>135.9891562250043</v>
      </c>
      <c r="AD9" s="18">
        <f>Assumptions!$B$16*MAX(0,AC20)-Assumptions!$B$17*Main!$C$8</f>
        <v>140.07143994380527</v>
      </c>
      <c r="AE9" s="18">
        <f>Assumptions!$B$16*MAX(0,AD20)-Assumptions!$B$17*Main!$C$8</f>
        <v>144.25321933152162</v>
      </c>
    </row>
    <row r="10">
      <c r="A10" s="2" t="inlineStr">
        <is>
          <t>Pretax</t>
        </is>
      </c>
      <c r="B10" s="18">
        <f>B8+B9</f>
        <v>-43.014</v>
      </c>
      <c r="C10" s="18">
        <f>C8+C9</f>
        <v>-38.15</v>
      </c>
      <c r="D10" s="18">
        <f>D8+D9</f>
        <v>-54.698</v>
      </c>
      <c r="E10" s="18">
        <f>E8+E9</f>
        <v>-95.872</v>
      </c>
      <c r="F10" s="18">
        <f>F8+F9</f>
        <v>-118.837</v>
      </c>
      <c r="G10" s="18">
        <f>G8+G9</f>
        <v>-161.65552943359373</v>
      </c>
      <c r="H10" s="18">
        <f>H8+H9</f>
        <v>-58.319332353759755</v>
      </c>
      <c r="I10" s="18">
        <f>I8+I9</f>
        <v>4.655692682974244</v>
      </c>
      <c r="J10" s="18">
        <f>J8+J9</f>
        <v>85.7870311585858</v>
      </c>
      <c r="K10" s="18">
        <f>K8+K9</f>
        <v>166.0102948270327</v>
      </c>
      <c r="L10" s="18">
        <f>L8+L9</f>
        <v>237.31693088304644</v>
      </c>
      <c r="M10" s="18">
        <f>M8+M9</f>
        <v>300.4413157911607</v>
      </c>
      <c r="N10" s="18">
        <f>N8+N9</f>
        <v>321.0795034553301</v>
      </c>
      <c r="O10" s="18">
        <f>O8+O9</f>
        <v>338.3539837451942</v>
      </c>
      <c r="P10" s="18">
        <f>P8+P9</f>
        <v>348.3777205136456</v>
      </c>
      <c r="Q10" s="18">
        <f>Q8+Q9</f>
        <v>358.6984104838624</v>
      </c>
      <c r="R10" s="18">
        <f>R8+R9</f>
        <v>369.3248508944468</v>
      </c>
      <c r="S10" s="18">
        <f>S8+S9</f>
        <v>380.2660996021948</v>
      </c>
      <c r="T10" s="18">
        <f>T8+T9</f>
        <v>271.8314828029098</v>
      </c>
      <c r="U10" s="18">
        <f>U8+U9</f>
        <v>208.064490480946</v>
      </c>
      <c r="V10" s="18">
        <f>V8+V9</f>
        <v>171.13640101144404</v>
      </c>
      <c r="W10" s="18">
        <f>W8+W9</f>
        <v>150.35111689140808</v>
      </c>
      <c r="X10" s="18">
        <f>X8+X9</f>
        <v>139.29214872931604</v>
      </c>
      <c r="Y10" s="18">
        <f>Y8+Y9</f>
        <v>134.11080663542202</v>
      </c>
      <c r="Z10" s="18">
        <f>Z8+Z9</f>
        <v>132.4991160819964</v>
      </c>
      <c r="AA10" s="18">
        <f>AA8+AA9</f>
        <v>133.07356847592553</v>
      </c>
      <c r="AB10" s="18">
        <f>AB8+AB9</f>
        <v>135.00537259002485</v>
      </c>
      <c r="AC10" s="18">
        <f>AC8+AC9</f>
        <v>137.7986065418043</v>
      </c>
      <c r="AD10" s="18">
        <f>AD8+AD9</f>
        <v>141.15711013388528</v>
      </c>
      <c r="AE10" s="18">
        <f>AE8+AE9</f>
        <v>144.90462144556963</v>
      </c>
    </row>
    <row r="11">
      <c r="A11" s="2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0.008999999999999999</v>
      </c>
      <c r="F11" s="18" t="n">
        <v>0</v>
      </c>
      <c r="G11" s="18">
        <f>SUM('Quarterly Model'!F11:I11)</f>
        <v>0.0</v>
      </c>
      <c r="H11" s="18">
        <f>MAX(0,H10-G21)*Assumptions!$B$15</f>
        <v>0.0</v>
      </c>
      <c r="I11" s="18">
        <f>MAX(0,I10-H21)*Assumptions!$B$15</f>
        <v>0.0</v>
      </c>
      <c r="J11" s="18">
        <f>MAX(0,J10-I21)*Assumptions!$B$15</f>
        <v>0.0</v>
      </c>
      <c r="K11" s="18">
        <f>MAX(0,K10-J21)*Assumptions!$B$15</f>
        <v>0.0</v>
      </c>
      <c r="L11" s="18">
        <f>MAX(0,L10-K21)*Assumptions!$B$15</f>
        <v>0.0</v>
      </c>
      <c r="M11" s="18">
        <f>MAX(0,M10-L21)*Assumptions!$B$15</f>
        <v>15.589644746643762</v>
      </c>
      <c r="N11" s="18">
        <f>MAX(0,N10-M21)*Assumptions!$B$15</f>
        <v>67.42669572561933</v>
      </c>
      <c r="O11" s="18">
        <f>MAX(0,O10-N21)*Assumptions!$B$15</f>
        <v>71.05433658649079</v>
      </c>
      <c r="P11" s="18">
        <f>MAX(0,P10-O21)*Assumptions!$B$15</f>
        <v>73.15932130786558</v>
      </c>
      <c r="Q11" s="18">
        <f>MAX(0,Q10-P21)*Assumptions!$B$15</f>
        <v>75.3266662016111</v>
      </c>
      <c r="R11" s="18">
        <f>MAX(0,R10-Q21)*Assumptions!$B$15</f>
        <v>77.55821868783383</v>
      </c>
      <c r="S11" s="18">
        <f>MAX(0,S10-R21)*Assumptions!$B$15</f>
        <v>79.8558809164609</v>
      </c>
      <c r="T11" s="18">
        <f>MAX(0,T10-S21)*Assumptions!$B$15</f>
        <v>57.08461138861106</v>
      </c>
      <c r="U11" s="18">
        <f>MAX(0,U10-T21)*Assumptions!$B$15</f>
        <v>43.69354300099866</v>
      </c>
      <c r="V11" s="18">
        <f>MAX(0,V10-U21)*Assumptions!$B$15</f>
        <v>35.93864421240325</v>
      </c>
      <c r="W11" s="18">
        <f>MAX(0,W10-V21)*Assumptions!$B$15</f>
        <v>31.573734547195695</v>
      </c>
      <c r="X11" s="18">
        <f>MAX(0,X10-W21)*Assumptions!$B$15</f>
        <v>29.251351233156367</v>
      </c>
      <c r="Y11" s="18">
        <f>MAX(0,Y10-X21)*Assumptions!$B$15</f>
        <v>28.163269393438625</v>
      </c>
      <c r="Z11" s="18">
        <f>MAX(0,Z10-Y21)*Assumptions!$B$15</f>
        <v>27.82481437721924</v>
      </c>
      <c r="AA11" s="18">
        <f>MAX(0,AA10-Z21)*Assumptions!$B$15</f>
        <v>27.94544937994436</v>
      </c>
      <c r="AB11" s="18">
        <f>MAX(0,AB10-AA21)*Assumptions!$B$15</f>
        <v>28.35112824390522</v>
      </c>
      <c r="AC11" s="18">
        <f>MAX(0,AC10-AB21)*Assumptions!$B$15</f>
        <v>28.937707373778903</v>
      </c>
      <c r="AD11" s="18">
        <f>MAX(0,AD10-AC21)*Assumptions!$B$15</f>
        <v>29.642993128115908</v>
      </c>
      <c r="AE11" s="18">
        <f>MAX(0,AE10-AD21)*Assumptions!$B$15</f>
        <v>30.42997050356962</v>
      </c>
    </row>
    <row r="12">
      <c r="A12" s="2" t="inlineStr">
        <is>
          <t>Net Income</t>
        </is>
      </c>
      <c r="B12" s="18" t="n">
        <v>-43.014</v>
      </c>
      <c r="C12" s="18" t="n">
        <v>-38.15</v>
      </c>
      <c r="D12" s="18" t="n">
        <v>-54.698</v>
      </c>
      <c r="E12" s="18" t="n">
        <v>-95.881</v>
      </c>
      <c r="F12" s="18" t="n">
        <v>-118.837</v>
      </c>
      <c r="G12" s="18">
        <f>G10-G11</f>
        <v>-161.65552943359373</v>
      </c>
      <c r="H12" s="18">
        <f>H10-H11</f>
        <v>-58.319332353759755</v>
      </c>
      <c r="I12" s="18">
        <f>I10-I11</f>
        <v>4.655692682974244</v>
      </c>
      <c r="J12" s="18">
        <f>J10-J11</f>
        <v>85.7870311585858</v>
      </c>
      <c r="K12" s="18">
        <f>K10-K11</f>
        <v>166.0102948270327</v>
      </c>
      <c r="L12" s="18">
        <f>L10-L11</f>
        <v>237.31693088304644</v>
      </c>
      <c r="M12" s="18">
        <f>M10-M11</f>
        <v>284.85167104451693</v>
      </c>
      <c r="N12" s="18">
        <f>N10-N11</f>
        <v>253.6528077297108</v>
      </c>
      <c r="O12" s="18">
        <f>O10-O11</f>
        <v>267.29964715870346</v>
      </c>
      <c r="P12" s="18">
        <f>P10-P11</f>
        <v>275.21839920578003</v>
      </c>
      <c r="Q12" s="18">
        <f>Q10-Q11</f>
        <v>283.3717442822513</v>
      </c>
      <c r="R12" s="18">
        <f>R10-R11</f>
        <v>291.76663220661294</v>
      </c>
      <c r="S12" s="18">
        <f>S10-S11</f>
        <v>300.41021868573387</v>
      </c>
      <c r="T12" s="18">
        <f>T10-T11</f>
        <v>214.74687141429877</v>
      </c>
      <c r="U12" s="18">
        <f>U10-U11</f>
        <v>164.37094747994735</v>
      </c>
      <c r="V12" s="18">
        <f>V10-V11</f>
        <v>135.1977567990408</v>
      </c>
      <c r="W12" s="18">
        <f>W10-W11</f>
        <v>118.77738234421238</v>
      </c>
      <c r="X12" s="18">
        <f>X10-X11</f>
        <v>110.04079749615967</v>
      </c>
      <c r="Y12" s="18">
        <f>Y10-Y11</f>
        <v>105.9475372419834</v>
      </c>
      <c r="Z12" s="18">
        <f>Z10-Z11</f>
        <v>104.67430170477715</v>
      </c>
      <c r="AA12" s="18">
        <f>AA10-AA11</f>
        <v>105.12811909598116</v>
      </c>
      <c r="AB12" s="18">
        <f>AB10-AB11</f>
        <v>106.65424434611963</v>
      </c>
      <c r="AC12" s="18">
        <f>AC10-AC11</f>
        <v>108.8608991680254</v>
      </c>
      <c r="AD12" s="18">
        <f>AD10-AD11</f>
        <v>111.51411700576938</v>
      </c>
      <c r="AE12" s="18">
        <f>AE10-AE11</f>
        <v>114.47465094200001</v>
      </c>
    </row>
    <row r="13">
      <c r="A13" s="2" t="inlineStr">
        <is>
          <t>Earnings per Share</t>
        </is>
      </c>
      <c r="B13" s="11">
        <f>IFERROR(B12/B14,0)</f>
        <v>-0.3211941546755875</v>
      </c>
      <c r="C13" s="11">
        <f>IFERROR(C12/C14,0)</f>
        <v>-0.24971853481004372</v>
      </c>
      <c r="D13" s="11">
        <f>IFERROR(D12/D14,0)</f>
        <v>-0.3310916739808117</v>
      </c>
      <c r="E13" s="11">
        <f>IFERROR(E12/E14,0)</f>
        <v>-0.48377835634132554</v>
      </c>
      <c r="F13" s="11">
        <f>IFERROR(F12/F14,0)</f>
        <v>-0.5343678615752648</v>
      </c>
      <c r="G13" s="11">
        <f>IFERROR(G12/G14,0)</f>
        <v>-0.6369713645894797</v>
      </c>
      <c r="H13" s="11">
        <f>IFERROR(H12/H14,0)</f>
        <v>-0.22954924130552617</v>
      </c>
      <c r="I13" s="11">
        <f>IFERROR(I12/I14,0)</f>
        <v>0.018325153598222378</v>
      </c>
      <c r="J13" s="11">
        <f>IFERROR(J12/J14,0)</f>
        <v>0.33766415220350804</v>
      </c>
      <c r="K13" s="11">
        <f>IFERROR(K12/K14,0)</f>
        <v>0.6534289006481628</v>
      </c>
      <c r="L13" s="11">
        <f>IFERROR(L12/L14,0)</f>
        <v>0.9340971378532479</v>
      </c>
      <c r="M13" s="11">
        <f>IFERROR(M12/M14,0)</f>
        <v>1.1211974200295307</v>
      </c>
      <c r="N13" s="11">
        <f>IFERROR(N12/N14,0)</f>
        <v>0.9983963673688712</v>
      </c>
      <c r="O13" s="11">
        <f>IFERROR(O12/O14,0)</f>
        <v>1.0521113450737154</v>
      </c>
      <c r="P13" s="11">
        <f>IFERROR(P12/P14,0)</f>
        <v>1.083280143671524</v>
      </c>
      <c r="Q13" s="11">
        <f>IFERROR(Q12/Q14,0)</f>
        <v>1.1153723179277932</v>
      </c>
      <c r="R13" s="11">
        <f>IFERROR(R12/R14,0)</f>
        <v>1.1484152228464037</v>
      </c>
      <c r="S13" s="11">
        <f>IFERROR(S12/S14,0)</f>
        <v>1.1824370238232287</v>
      </c>
      <c r="T13" s="11">
        <f>IFERROR(T12/T14,0)</f>
        <v>0.845259700623265</v>
      </c>
      <c r="U13" s="11">
        <f>IFERROR(U12/U14,0)</f>
        <v>0.6469763072357931</v>
      </c>
      <c r="V13" s="11">
        <f>IFERROR(V12/V14,0)</f>
        <v>0.532148453126592</v>
      </c>
      <c r="W13" s="11">
        <f>IFERROR(W12/W14,0)</f>
        <v>0.4675166347238302</v>
      </c>
      <c r="X13" s="11">
        <f>IFERROR(X12/X14,0)</f>
        <v>0.43312878523154147</v>
      </c>
      <c r="Y13" s="11">
        <f>IFERROR(Y12/Y14,0)</f>
        <v>0.4170174076164366</v>
      </c>
      <c r="Z13" s="11">
        <f>IFERROR(Z12/Z14,0)</f>
        <v>0.4120058575905199</v>
      </c>
      <c r="AA13" s="11">
        <f>IFERROR(AA12/AA14,0)</f>
        <v>0.4137921166857068</v>
      </c>
      <c r="AB13" s="11">
        <f>IFERROR(AB12/AB14,0)</f>
        <v>0.4197990594809617</v>
      </c>
      <c r="AC13" s="11">
        <f>IFERROR(AC12/AC14,0)</f>
        <v>0.4284846174211495</v>
      </c>
      <c r="AD13" s="11">
        <f>IFERROR(AD12/AD14,0)</f>
        <v>0.43892788069408983</v>
      </c>
      <c r="AE13" s="11">
        <f>IFERROR(AE12/AE14,0)</f>
        <v>0.45058076304875544</v>
      </c>
    </row>
    <row r="14">
      <c r="A14" s="2" t="inlineStr">
        <is>
          <t>Shares</t>
        </is>
      </c>
      <c r="B14" s="18" t="n">
        <v>133.919</v>
      </c>
      <c r="C14" s="18" t="n">
        <v>152.772</v>
      </c>
      <c r="D14" s="18" t="n">
        <v>165.205</v>
      </c>
      <c r="E14" s="18" t="n">
        <v>198.192</v>
      </c>
      <c r="F14" s="18" t="n">
        <v>222.388</v>
      </c>
      <c r="G14" s="18">
        <f>AVERAGE('Quarterly Model'!F14:I14)</f>
        <v>253.78775000000002</v>
      </c>
      <c r="H14" s="18">
        <f>Main!$C$4*(1+Assumptions!$B$26)^(H1-2026)</f>
        <v>254.060227</v>
      </c>
      <c r="I14" s="18">
        <f>Main!$C$4*(1+Assumptions!$B$26)^(I1-2026)</f>
        <v>254.060227</v>
      </c>
      <c r="J14" s="18">
        <f>Main!$C$4*(1+Assumptions!$B$26)^(J1-2026)</f>
        <v>254.060227</v>
      </c>
      <c r="K14" s="18">
        <f>Main!$C$4*(1+Assumptions!$B$26)^(K1-2026)</f>
        <v>254.060227</v>
      </c>
      <c r="L14" s="18">
        <f>Main!$C$4*(1+Assumptions!$B$26)^(L1-2026)</f>
        <v>254.060227</v>
      </c>
      <c r="M14" s="18">
        <f>Main!$C$4*(1+Assumptions!$B$26)^(M1-2026)</f>
        <v>254.060227</v>
      </c>
      <c r="N14" s="18">
        <f>Main!$C$4*(1+Assumptions!$B$26)^(N1-2026)</f>
        <v>254.060227</v>
      </c>
      <c r="O14" s="18">
        <f>Main!$C$4*(1+Assumptions!$B$26)^(O1-2026)</f>
        <v>254.060227</v>
      </c>
      <c r="P14" s="18">
        <f>Main!$C$4*(1+Assumptions!$B$26)^(P1-2026)</f>
        <v>254.060227</v>
      </c>
      <c r="Q14" s="18">
        <f>Main!$C$4*(1+Assumptions!$B$26)^(Q1-2026)</f>
        <v>254.060227</v>
      </c>
      <c r="R14" s="18">
        <f>Main!$C$4*(1+Assumptions!$B$26)^(R1-2026)</f>
        <v>254.060227</v>
      </c>
      <c r="S14" s="18">
        <f>Main!$C$4*(1+Assumptions!$B$26)^(S1-2026)</f>
        <v>254.060227</v>
      </c>
      <c r="T14" s="18">
        <f>Main!$C$4*(1+Assumptions!$B$26)^(T1-2026)</f>
        <v>254.060227</v>
      </c>
      <c r="U14" s="18">
        <f>Main!$C$4*(1+Assumptions!$B$26)^(U1-2026)</f>
        <v>254.060227</v>
      </c>
      <c r="V14" s="18">
        <f>Main!$C$4*(1+Assumptions!$B$26)^(V1-2026)</f>
        <v>254.060227</v>
      </c>
      <c r="W14" s="18">
        <f>Main!$C$4*(1+Assumptions!$B$26)^(W1-2026)</f>
        <v>254.060227</v>
      </c>
      <c r="X14" s="18">
        <f>Main!$C$4*(1+Assumptions!$B$26)^(X1-2026)</f>
        <v>254.060227</v>
      </c>
      <c r="Y14" s="18">
        <f>Main!$C$4*(1+Assumptions!$B$26)^(Y1-2026)</f>
        <v>254.060227</v>
      </c>
      <c r="Z14" s="18">
        <f>Main!$C$4*(1+Assumptions!$B$26)^(Z1-2026)</f>
        <v>254.060227</v>
      </c>
      <c r="AA14" s="18">
        <f>Main!$C$4*(1+Assumptions!$B$26)^(AA1-2026)</f>
        <v>254.060227</v>
      </c>
      <c r="AB14" s="18">
        <f>Main!$C$4*(1+Assumptions!$B$26)^(AB1-2026)</f>
        <v>254.060227</v>
      </c>
      <c r="AC14" s="18">
        <f>Main!$C$4*(1+Assumptions!$B$26)^(AC1-2026)</f>
        <v>254.060227</v>
      </c>
      <c r="AD14" s="18">
        <f>Main!$C$4*(1+Assumptions!$B$26)^(AD1-2026)</f>
        <v>254.060227</v>
      </c>
      <c r="AE14" s="18">
        <f>Main!$C$4*(1+Assumptions!$B$26)^(AE1-2026)</f>
        <v>254.060227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/>
      </c>
      <c r="D16" s="14">
        <f>IFERROR(D2/C2-1,"")</f>
        <v/>
      </c>
      <c r="E16" s="14">
        <f>IFERROR(E2/D2-1,"")</f>
        <v/>
      </c>
      <c r="F16" s="14">
        <f>IFERROR(F2/E2-1,"")</f>
        <v/>
      </c>
      <c r="G16" s="14">
        <f>IFERROR(G2/F2-1,"")</f>
        <v/>
      </c>
      <c r="H16" s="14">
        <f>IFERROR(H2/G2-1,"")</f>
        <v/>
      </c>
      <c r="I16" s="14">
        <f>IFERROR(I2/H2-1,"")</f>
        <v>1.3333333333333335</v>
      </c>
      <c r="J16" s="14">
        <f>IFERROR(J2/I2-1,"")</f>
        <v>0.6517857142857146</v>
      </c>
      <c r="K16" s="14">
        <f>IFERROR(K2/J2-1,"")</f>
        <v>0.4108108108108106</v>
      </c>
      <c r="L16" s="14">
        <f>IFERROR(L2/K2-1,"")</f>
        <v>0.2298850574712643</v>
      </c>
      <c r="M16" s="14">
        <f>IFERROR(M2/L2-1,"")</f>
        <v>0.1370716510903427</v>
      </c>
      <c r="N16" s="14">
        <f>IFERROR(N2/M2-1,"")</f>
        <v>0.024657534246575352</v>
      </c>
      <c r="O16" s="14">
        <f>IFERROR(O2/N2-1,"")</f>
        <v>0.016042780748663166</v>
      </c>
      <c r="P16" s="14">
        <f>IFERROR(P2/O2-1,"")</f>
        <v>0.0</v>
      </c>
      <c r="Q16" s="14">
        <f>IFERROR(Q2/P2-1,"")</f>
        <v>0.0</v>
      </c>
      <c r="R16" s="14">
        <f>IFERROR(R2/Q2-1,"")</f>
        <v>0.0</v>
      </c>
      <c r="S16" s="14">
        <f>IFERROR(S2/R2-1,"")</f>
        <v>0.0</v>
      </c>
      <c r="T16" s="14">
        <f>IFERROR(T2/S2-1,"")</f>
        <v>-0.4</v>
      </c>
      <c r="U16" s="14">
        <f>IFERROR(U2/T2-1,"")</f>
        <v>-0.4</v>
      </c>
      <c r="V16" s="14">
        <f>IFERROR(V2/U2-1,"")</f>
        <v>-0.40000000000000013</v>
      </c>
      <c r="W16" s="14">
        <f>IFERROR(W2/V2-1,"")</f>
        <v>-0.3999999999999999</v>
      </c>
      <c r="X16" s="14">
        <f>IFERROR(X2/W2-1,"")</f>
        <v>-0.4</v>
      </c>
      <c r="Y16" s="14">
        <f>IFERROR(Y2/X2-1,"")</f>
        <v>-0.40000000000000013</v>
      </c>
      <c r="Z16" s="14">
        <f>IFERROR(Z2/Y2-1,"")</f>
        <v>-0.40000000000000013</v>
      </c>
      <c r="AA16" s="14">
        <f>IFERROR(AA2/Z2-1,"")</f>
        <v>-0.3999999999999999</v>
      </c>
      <c r="AB16" s="14">
        <f>IFERROR(AB2/AA2-1,"")</f>
        <v>-0.4</v>
      </c>
      <c r="AC16" s="14">
        <f>IFERROR(AC2/AB2-1,"")</f>
        <v>-0.4</v>
      </c>
      <c r="AD16" s="14">
        <f>IFERROR(AD2/AC2-1,"")</f>
        <v>-0.4</v>
      </c>
      <c r="AE16" s="14">
        <f>IFERROR(AE2/AD2-1,"")</f>
        <v>-0.4</v>
      </c>
    </row>
    <row r="17" customFormat="1" s="4">
      <c r="A17" s="3" t="inlineStr">
        <is>
          <t>Gross Margin</t>
        </is>
      </c>
      <c r="B17" s="14">
        <f>IFERROR(B4/B2,"")</f>
        <v/>
      </c>
      <c r="C17" s="14">
        <f>IFERROR(C4/C2,"")</f>
        <v/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>0.8300000000000001</v>
      </c>
      <c r="I17" s="14">
        <f>IFERROR(I4/I2,"")</f>
        <v>0.8300000000000001</v>
      </c>
      <c r="J17" s="14">
        <f>IFERROR(J4/J2,"")</f>
        <v>0.8300000000000001</v>
      </c>
      <c r="K17" s="14">
        <f>IFERROR(K4/K2,"")</f>
        <v>0.83</v>
      </c>
      <c r="L17" s="14">
        <f>IFERROR(L4/L2,"")</f>
        <v>0.83</v>
      </c>
      <c r="M17" s="14">
        <f>IFERROR(M4/M2,"")</f>
        <v>0.83</v>
      </c>
      <c r="N17" s="14">
        <f>IFERROR(N4/N2,"")</f>
        <v>0.8300000000000001</v>
      </c>
      <c r="O17" s="14">
        <f>IFERROR(O4/O2,"")</f>
        <v>0.83</v>
      </c>
      <c r="P17" s="14">
        <f>IFERROR(P4/P2,"")</f>
        <v>0.83</v>
      </c>
      <c r="Q17" s="14">
        <f>IFERROR(Q4/Q2,"")</f>
        <v>0.83</v>
      </c>
      <c r="R17" s="14">
        <f>IFERROR(R4/R2,"")</f>
        <v>0.83</v>
      </c>
      <c r="S17" s="14">
        <f>IFERROR(S4/S2,"")</f>
        <v>0.83</v>
      </c>
      <c r="T17" s="14">
        <f>IFERROR(T4/T2,"")</f>
        <v>0.83</v>
      </c>
      <c r="U17" s="14">
        <f>IFERROR(U4/U2,"")</f>
        <v>0.8300000000000001</v>
      </c>
      <c r="V17" s="14">
        <f>IFERROR(V4/V2,"")</f>
        <v>0.83</v>
      </c>
      <c r="W17" s="14">
        <f>IFERROR(W4/W2,"")</f>
        <v>0.83</v>
      </c>
      <c r="X17" s="14">
        <f>IFERROR(X4/X2,"")</f>
        <v>0.83</v>
      </c>
      <c r="Y17" s="14">
        <f>IFERROR(Y4/Y2,"")</f>
        <v>0.8300000000000001</v>
      </c>
      <c r="Z17" s="14">
        <f>IFERROR(Z4/Z2,"")</f>
        <v>0.8300000000000001</v>
      </c>
      <c r="AA17" s="14">
        <f>IFERROR(AA4/AA2,"")</f>
        <v>0.8300000000000001</v>
      </c>
      <c r="AB17" s="14">
        <f>IFERROR(AB4/AB2,"")</f>
        <v>0.83</v>
      </c>
      <c r="AC17" s="14">
        <f>IFERROR(AC4/AC2,"")</f>
        <v>0.83</v>
      </c>
      <c r="AD17" s="14">
        <f>IFERROR(AD4/AD2,"")</f>
        <v>0.8300000000000001</v>
      </c>
      <c r="AE17" s="14">
        <f>IFERROR(AE4/AE2,"")</f>
        <v>0.83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88.89047056640625</v>
      </c>
      <c r="H20" s="18">
        <f>G20+H12</f>
        <v>30.571138212646495</v>
      </c>
      <c r="I20" s="18">
        <f>H20+I12</f>
        <v>35.226830895620736</v>
      </c>
      <c r="J20" s="18">
        <f>I20+J12</f>
        <v>121.01386205420654</v>
      </c>
      <c r="K20" s="18">
        <f>J20+K12</f>
        <v>287.02415688123926</v>
      </c>
      <c r="L20" s="18">
        <f>K20+L12</f>
        <v>524.3410877642857</v>
      </c>
      <c r="M20" s="18">
        <f>L20+M12</f>
        <v>809.1927588088026</v>
      </c>
      <c r="N20" s="18">
        <f>M20+N12</f>
        <v>1062.8455665385134</v>
      </c>
      <c r="O20" s="18">
        <f>N20+O12</f>
        <v>1330.1452136972168</v>
      </c>
      <c r="P20" s="18">
        <f>O20+P12</f>
        <v>1605.363612902997</v>
      </c>
      <c r="Q20" s="18">
        <f>P20+Q12</f>
        <v>1888.7353571852482</v>
      </c>
      <c r="R20" s="18">
        <f>Q20+R12</f>
        <v>2180.501989391861</v>
      </c>
      <c r="S20" s="18">
        <f>R20+S12</f>
        <v>2480.912208077595</v>
      </c>
      <c r="T20" s="18">
        <f>S20+T12</f>
        <v>2695.659079491894</v>
      </c>
      <c r="U20" s="18">
        <f>T20+U12</f>
        <v>2860.0300269718414</v>
      </c>
      <c r="V20" s="18">
        <f>U20+V12</f>
        <v>2995.227783770882</v>
      </c>
      <c r="W20" s="18">
        <f>V20+W12</f>
        <v>3114.0051661150947</v>
      </c>
      <c r="X20" s="18">
        <f>W20+X12</f>
        <v>3224.045963611254</v>
      </c>
      <c r="Y20" s="18">
        <f>X20+Y12</f>
        <v>3329.9935008532375</v>
      </c>
      <c r="Z20" s="18">
        <f>Y20+Z12</f>
        <v>3434.6678025580145</v>
      </c>
      <c r="AA20" s="18">
        <f>Z20+AA12</f>
        <v>3539.7959216539957</v>
      </c>
      <c r="AB20" s="18">
        <f>AA20+AB12</f>
        <v>3646.450166000115</v>
      </c>
      <c r="AC20" s="18">
        <f>AB20+AC12</f>
        <v>3755.3110651681404</v>
      </c>
      <c r="AD20" s="18">
        <f>AC20+AD12</f>
        <v>3866.82518217391</v>
      </c>
      <c r="AE20" s="18">
        <f>AD20+AE12</f>
        <v>3981.29983311591</v>
      </c>
    </row>
    <row r="21">
      <c r="A21" s="13" t="inlineStr">
        <is>
          <t>Tax-Loss Pool</t>
        </is>
      </c>
      <c r="F21" s="18">
        <f>Assumptions!$B$18</f>
        <v>500</v>
      </c>
      <c r="G21" s="18">
        <f>F21-MIN(F21,MAX(0,G10))+MAX(0,-G10)</f>
        <v>661.6555294335938</v>
      </c>
      <c r="H21" s="18">
        <f>G21-MIN(G21,MAX(0,H10))+MAX(0,-H10)</f>
        <v>719.9748617873535</v>
      </c>
      <c r="I21" s="18">
        <f>H21-MIN(H21,MAX(0,I10))+MAX(0,-I10)</f>
        <v>715.3191691043792</v>
      </c>
      <c r="J21" s="18">
        <f>I21-MIN(I21,MAX(0,J10))+MAX(0,-J10)</f>
        <v>629.5321379457934</v>
      </c>
      <c r="K21" s="18">
        <f>J21-MIN(J21,MAX(0,K10))+MAX(0,-K10)</f>
        <v>463.52184311876067</v>
      </c>
      <c r="L21" s="18">
        <f>K21-MIN(K21,MAX(0,L10))+MAX(0,-L10)</f>
        <v>226.20491223571423</v>
      </c>
      <c r="M21" s="18">
        <f>L21-MIN(L21,MAX(0,M10))+MAX(0,-M10)</f>
        <v>0.0</v>
      </c>
      <c r="N21" s="18">
        <f>M21-MIN(M21,MAX(0,N10))+MAX(0,-N10)</f>
        <v>0.0</v>
      </c>
      <c r="O21" s="18">
        <f>N21-MIN(N21,MAX(0,O10))+MAX(0,-O10)</f>
        <v>0.0</v>
      </c>
      <c r="P21" s="18">
        <f>O21-MIN(O21,MAX(0,P10))+MAX(0,-P10)</f>
        <v>0.0</v>
      </c>
      <c r="Q21" s="18">
        <f>P21-MIN(P21,MAX(0,Q10))+MAX(0,-Q10)</f>
        <v>0.0</v>
      </c>
      <c r="R21" s="18">
        <f>Q21-MIN(Q21,MAX(0,R10))+MAX(0,-R10)</f>
        <v>0.0</v>
      </c>
      <c r="S21" s="18">
        <f>R21-MIN(R21,MAX(0,S10))+MAX(0,-S10)</f>
        <v>0.0</v>
      </c>
      <c r="T21" s="18">
        <f>S21-MIN(S21,MAX(0,T10))+MAX(0,-T10)</f>
        <v>0.0</v>
      </c>
      <c r="U21" s="18">
        <f>T21-MIN(T21,MAX(0,U10))+MAX(0,-U10)</f>
        <v>0.0</v>
      </c>
      <c r="V21" s="18">
        <f>U21-MIN(U21,MAX(0,V10))+MAX(0,-V10)</f>
        <v>0.0</v>
      </c>
      <c r="W21" s="18">
        <f>V21-MIN(V21,MAX(0,W10))+MAX(0,-W10)</f>
        <v>0.0</v>
      </c>
      <c r="X21" s="18">
        <f>W21-MIN(W21,MAX(0,X10))+MAX(0,-X10)</f>
        <v>0.0</v>
      </c>
      <c r="Y21" s="18">
        <f>X21-MIN(X21,MAX(0,Y10))+MAX(0,-Y10)</f>
        <v>0.0</v>
      </c>
      <c r="Z21" s="18">
        <f>Y21-MIN(Y21,MAX(0,Z10))+MAX(0,-Z10)</f>
        <v>0.0</v>
      </c>
      <c r="AA21" s="18">
        <f>Z21-MIN(Z21,MAX(0,AA10))+MAX(0,-AA10)</f>
        <v>0.0</v>
      </c>
      <c r="AB21" s="18">
        <f>AA21-MIN(AA21,MAX(0,AB10))+MAX(0,-AB10)</f>
        <v>0.0</v>
      </c>
      <c r="AC21" s="18">
        <f>AB21-MIN(AB21,MAX(0,AC10))+MAX(0,-AC10)</f>
        <v>0.0</v>
      </c>
      <c r="AD21" s="18">
        <f>AC21-MIN(AC21,MAX(0,AD10))+MAX(0,-AD10)</f>
        <v>0.0</v>
      </c>
      <c r="AE21" s="18">
        <f>AD21-MIN(AD21,MAX(0,AE10))+MAX(0,-AE10)</f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 t="n">
        <v>0</v>
      </c>
      <c r="C2" s="18" t="n">
        <v>0</v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</row>
    <row r="3">
      <c r="A3" s="13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 t="n">
        <v>0</v>
      </c>
      <c r="H3" s="18">
        <f>H2*0.0</f>
        <v>0.0</v>
      </c>
      <c r="I3" s="18">
        <f>I2*0.0</f>
        <v>0.0</v>
      </c>
    </row>
    <row r="4">
      <c r="A4" s="13" t="inlineStr">
        <is>
          <t>Gross Margin</t>
        </is>
      </c>
      <c r="B4" s="18">
        <f>B2-B3</f>
        <v>0.0</v>
      </c>
      <c r="C4" s="18">
        <f>C2-C3</f>
        <v>0.0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0.0</v>
      </c>
      <c r="I4" s="18">
        <f>I2-I3</f>
        <v>0.0</v>
      </c>
    </row>
    <row r="5">
      <c r="A5" s="13" t="inlineStr">
        <is>
          <t>Research &amp; Dev.</t>
        </is>
      </c>
      <c r="B5" s="18" t="n">
        <v>19.159</v>
      </c>
      <c r="C5" s="18" t="n">
        <v>20.751</v>
      </c>
      <c r="D5" s="18" t="n">
        <v>20.592</v>
      </c>
      <c r="E5" s="18" t="n">
        <v>20.902</v>
      </c>
      <c r="F5" s="18" t="n">
        <v>23.398</v>
      </c>
      <c r="G5" s="18" t="n">
        <v>21.951</v>
      </c>
      <c r="H5" s="18" t="n">
        <v>22</v>
      </c>
      <c r="I5" s="18" t="n">
        <v>21</v>
      </c>
    </row>
    <row r="6">
      <c r="A6" s="13" t="inlineStr">
        <is>
          <t>General &amp; Admin</t>
        </is>
      </c>
      <c r="B6" s="18" t="n">
        <v>9.276</v>
      </c>
      <c r="C6" s="18" t="n">
        <v>10.689</v>
      </c>
      <c r="D6" s="18" t="n">
        <v>9.663</v>
      </c>
      <c r="E6" s="18" t="n">
        <v>12.517</v>
      </c>
      <c r="F6" s="18" t="n">
        <v>15.592</v>
      </c>
      <c r="G6" s="18" t="n">
        <v>19.014</v>
      </c>
      <c r="H6" s="18" t="n">
        <v>21</v>
      </c>
      <c r="I6" s="18" t="n">
        <v>23</v>
      </c>
    </row>
    <row r="7">
      <c r="A7" s="13" t="inlineStr">
        <is>
          <t>Operating Expense</t>
        </is>
      </c>
      <c r="B7" s="18">
        <f>SUM(B5:B6)</f>
        <v>28.435</v>
      </c>
      <c r="C7" s="18">
        <f>SUM(C5:C6)</f>
        <v>31.44</v>
      </c>
      <c r="D7" s="18">
        <f>SUM(D5:D6)</f>
        <v>30.255</v>
      </c>
      <c r="E7" s="18">
        <f>SUM(E5:E6)</f>
        <v>33.419</v>
      </c>
      <c r="F7" s="18">
        <f>SUM(F5:F6)</f>
        <v>38.99</v>
      </c>
      <c r="G7" s="18">
        <f>SUM(G5:G6)</f>
        <v>40.965</v>
      </c>
      <c r="H7" s="18">
        <f>SUM(H5:H6)</f>
        <v>43.0</v>
      </c>
      <c r="I7" s="18">
        <f>SUM(I5:I6)</f>
        <v>44.0</v>
      </c>
    </row>
    <row r="8">
      <c r="A8" s="13" t="inlineStr">
        <is>
          <t>Operating Income</t>
        </is>
      </c>
      <c r="B8" s="18">
        <f>B4-B7</f>
        <v>-28.435</v>
      </c>
      <c r="C8" s="18">
        <f>C4-C7</f>
        <v>-31.44</v>
      </c>
      <c r="D8" s="18">
        <f>D4-D7</f>
        <v>-30.255</v>
      </c>
      <c r="E8" s="18">
        <f>E4-E7</f>
        <v>-33.419</v>
      </c>
      <c r="F8" s="18">
        <f>F4-F7</f>
        <v>-38.99</v>
      </c>
      <c r="G8" s="18">
        <f>G4-G7</f>
        <v>-40.965</v>
      </c>
      <c r="H8" s="18">
        <f>H4-H7</f>
        <v>-43.0</v>
      </c>
      <c r="I8" s="18">
        <f>I4-I7</f>
        <v>-44.0</v>
      </c>
    </row>
    <row r="9">
      <c r="A9" s="13" t="inlineStr">
        <is>
          <t>Interest &amp; Other</t>
        </is>
      </c>
      <c r="B9" s="18" t="n">
        <v>1.796</v>
      </c>
      <c r="C9" s="18" t="n">
        <v>1.039</v>
      </c>
      <c r="D9" s="18" t="n">
        <v>0.694</v>
      </c>
      <c r="E9" s="18" t="n">
        <v>1.183</v>
      </c>
      <c r="F9" s="18" t="n">
        <v>1.706</v>
      </c>
      <c r="G9" s="18" t="n">
        <v>0.737</v>
      </c>
      <c r="H9" s="18">
        <f>Assumptions!$B$16*G20/4</f>
        <v>1.6221937499999999</v>
      </c>
      <c r="I9" s="18">
        <f>Assumptions!$B$16*H20/4</f>
        <v>1.2342768164062499</v>
      </c>
    </row>
    <row r="10">
      <c r="A10" s="13" t="inlineStr">
        <is>
          <t>Pretax</t>
        </is>
      </c>
      <c r="B10" s="18">
        <f>B8+B9</f>
        <v>-26.639</v>
      </c>
      <c r="C10" s="18">
        <f>C8+C9</f>
        <v>-30.401</v>
      </c>
      <c r="D10" s="18">
        <f>D8+D9</f>
        <v>-29.561</v>
      </c>
      <c r="E10" s="18">
        <f>E8+E9</f>
        <v>-32.236</v>
      </c>
      <c r="F10" s="18">
        <f>F8+F9</f>
        <v>-37.284</v>
      </c>
      <c r="G10" s="18">
        <f>G8+G9</f>
        <v>-40.228</v>
      </c>
      <c r="H10" s="18">
        <f>H8+H9</f>
        <v>-41.37780625</v>
      </c>
      <c r="I10" s="18">
        <f>I8+I9</f>
        <v>-42.76572318359375</v>
      </c>
    </row>
    <row r="11">
      <c r="A11" s="13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-26.639</v>
      </c>
      <c r="C12" s="18">
        <f>C10-C11</f>
        <v>-30.401</v>
      </c>
      <c r="D12" s="18">
        <f>D10-D11</f>
        <v>-29.561</v>
      </c>
      <c r="E12" s="18">
        <f>E10-E11</f>
        <v>-32.236</v>
      </c>
      <c r="F12" s="18">
        <f>F10-F11</f>
        <v>-37.284</v>
      </c>
      <c r="G12" s="18">
        <f>G10-G11</f>
        <v>-40.228</v>
      </c>
      <c r="H12" s="18">
        <f>H10-H11</f>
        <v>-41.37780625</v>
      </c>
      <c r="I12" s="18">
        <f>I10-I11</f>
        <v>-42.76572318359375</v>
      </c>
    </row>
    <row r="13">
      <c r="A13" s="13" t="inlineStr">
        <is>
          <t>Earnings per Share</t>
        </is>
      </c>
      <c r="B13" s="11">
        <f>IFERROR(B12/B14,0)</f>
        <v>-0.12324482875080385</v>
      </c>
      <c r="C13" s="11">
        <f>IFERROR(C12/C14,0)</f>
        <v>-0.14046509049073375</v>
      </c>
      <c r="D13" s="11">
        <f>IFERROR(D12/D14,0)</f>
        <v>-0.13656438543485694</v>
      </c>
      <c r="E13" s="11">
        <f>IFERROR(E12/E14,0)</f>
        <v>-0.13403184898756806</v>
      </c>
      <c r="F13" s="11">
        <f>IFERROR(F12/F14,0)</f>
        <v>-0.14720409347720514</v>
      </c>
      <c r="G13" s="11">
        <f>IFERROR(G12/G14,0)</f>
        <v>-0.15864652758607092</v>
      </c>
      <c r="H13" s="11">
        <f>IFERROR(H12/H14,0)</f>
        <v>-0.16284063852813851</v>
      </c>
      <c r="I13" s="11">
        <f>IFERROR(I12/I14,0)</f>
        <v>-0.1682365192116198</v>
      </c>
    </row>
    <row r="14">
      <c r="A14" s="13" t="inlineStr">
        <is>
          <t>Shares</t>
        </is>
      </c>
      <c r="B14" s="18" t="n">
        <v>216.147</v>
      </c>
      <c r="C14" s="18" t="n">
        <v>216.431</v>
      </c>
      <c r="D14" s="18" t="n">
        <v>216.462</v>
      </c>
      <c r="E14" s="18" t="n">
        <v>240.51</v>
      </c>
      <c r="F14" s="18" t="n">
        <v>253.281</v>
      </c>
      <c r="G14" s="18" t="n">
        <v>253.57</v>
      </c>
      <c r="H14" s="18" t="n">
        <v>254.1</v>
      </c>
      <c r="I14" s="18" t="n">
        <v>254.2</v>
      </c>
    </row>
    <row r="16">
      <c r="A16" s="13" t="inlineStr">
        <is>
          <t>Revenue Change (YoY)</t>
        </is>
      </c>
      <c r="F16" s="14">
        <f>IFERROR(F2/B2-1,"")</f>
        <v/>
      </c>
      <c r="G16" s="14">
        <f>IFERROR(G2/C2-1,"")</f>
        <v/>
      </c>
      <c r="H16" s="14">
        <f>IFERROR(H2/D2-1,"")</f>
        <v/>
      </c>
      <c r="I16" s="14">
        <f>IFERROR(I2/E2-1,"")</f>
        <v/>
      </c>
    </row>
    <row r="17">
      <c r="A17" s="13" t="inlineStr">
        <is>
          <t>Gross Margin</t>
        </is>
      </c>
      <c r="B17" s="14">
        <f>IFERROR(B4/B2,"")</f>
        <v/>
      </c>
      <c r="C17" s="14">
        <f>IFERROR(C4/C2,"")</f>
        <v/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/>
      </c>
      <c r="I17" s="14">
        <f>IFERROR(I4/I2,"")</f>
        <v/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173.034</v>
      </c>
      <c r="H20" s="18">
        <f>G20+H12+H21</f>
        <v>131.65619375</v>
      </c>
      <c r="I20" s="18">
        <f>H20+I12+I21</f>
        <v>88.89047056640625</v>
      </c>
    </row>
    <row r="21">
      <c r="A21" s="13" t="inlineStr">
        <is>
          <t>Other Cash Flows (est.)</t>
        </is>
      </c>
      <c r="H21" s="18" t="n">
        <v>0</v>
      </c>
      <c r="I21" s="18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2" t="inlineStr">
        <is>
          <t>SVRA — rNPV assumptions ($mm unless noted)</t>
        </is>
      </c>
    </row>
    <row r="4">
      <c r="A4" s="23" t="inlineStr">
        <is>
          <t>Scenario (1 = Bear, 2 = Base, 3 = Bull)</t>
        </is>
      </c>
      <c r="B4" s="24" t="n">
        <v>2</v>
      </c>
      <c r="C4" s="23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0.13</v>
      </c>
      <c r="C14" s="34" t="n">
        <v>0.15</v>
      </c>
      <c r="D14" s="34" t="n">
        <v>0.13</v>
      </c>
      <c r="E14" s="34" t="n">
        <v>0.11</v>
      </c>
    </row>
    <row r="15">
      <c r="A15" s="13" t="inlineStr">
        <is>
          <t>Tax rate</t>
        </is>
      </c>
      <c r="B15" s="33">
        <f>CHOOSE($B$4,C15,D15,E15)</f>
        <v>0.21</v>
      </c>
      <c r="C15" s="35" t="n">
        <v>0.21</v>
      </c>
      <c r="D15" s="35" t="n">
        <v>0.21</v>
      </c>
      <c r="E15" s="35" t="n">
        <v>0.21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500</v>
      </c>
      <c r="C18" s="37" t="n">
        <v>500</v>
      </c>
      <c r="D18" s="37" t="n">
        <v>500</v>
      </c>
      <c r="E18" s="37" t="n">
        <v>500</v>
      </c>
    </row>
    <row r="19">
      <c r="A19" s="13" t="inlineStr">
        <is>
          <t>Corporate G&amp;A, 2027</t>
        </is>
      </c>
      <c r="B19" s="36">
        <f>CHOOSE($B$4,C19,D19,E19)</f>
        <v>30</v>
      </c>
      <c r="C19" s="37" t="n">
        <v>30</v>
      </c>
      <c r="D19" s="37" t="n">
        <v>30</v>
      </c>
      <c r="E19" s="37" t="n">
        <v>30</v>
      </c>
    </row>
    <row r="20">
      <c r="A20" s="13" t="inlineStr">
        <is>
          <t>Platform / unallocated R&amp;D, 2027</t>
        </is>
      </c>
      <c r="B20" s="36">
        <f>CHOOSE($B$4,C20,D20,E20)</f>
        <v>15</v>
      </c>
      <c r="C20" s="37" t="n">
        <v>15</v>
      </c>
      <c r="D20" s="37" t="n">
        <v>15</v>
      </c>
      <c r="E20" s="37" t="n">
        <v>15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0.1</v>
      </c>
      <c r="C22" s="35" t="n">
        <v>0.1</v>
      </c>
      <c r="D22" s="35" t="n">
        <v>0.1</v>
      </c>
      <c r="E22" s="35" t="n">
        <v>0.1</v>
      </c>
    </row>
    <row r="23">
      <c r="A23" s="13" t="inlineStr">
        <is>
          <t>Platform R&amp;D floor, % of revenue</t>
        </is>
      </c>
      <c r="B23" s="33">
        <f>CHOOSE($B$4,C23,D23,E23)</f>
        <v>0.06</v>
      </c>
      <c r="C23" s="35" t="n">
        <v>0.06</v>
      </c>
      <c r="D23" s="35" t="n">
        <v>0.06</v>
      </c>
      <c r="E23" s="35" t="n">
        <v>0.06</v>
      </c>
    </row>
    <row r="24">
      <c r="A24" s="13" t="inlineStr">
        <is>
          <t>Corporate cost cut after a CRL (2027+)</t>
        </is>
      </c>
      <c r="B24" s="33">
        <f>CHOOSE($B$4,C24,D24,E24)</f>
        <v>0.6</v>
      </c>
      <c r="C24" s="35" t="n">
        <v>0.6</v>
      </c>
      <c r="D24" s="35" t="n">
        <v>0.6</v>
      </c>
      <c r="E24" s="35" t="n">
        <v>0.6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2039</v>
      </c>
      <c r="C25" s="39" t="n">
        <v>2039</v>
      </c>
      <c r="D25" s="39" t="n">
        <v>2039</v>
      </c>
      <c r="E25" s="39" t="n">
        <v>2039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15</v>
      </c>
      <c r="C27" s="37" t="n">
        <v>15</v>
      </c>
      <c r="D27" s="37" t="n">
        <v>15</v>
      </c>
      <c r="E27" s="37" t="n">
        <v>15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DATE(2026,11,22)</f>
        <v>46348</v>
      </c>
    </row>
    <row r="31">
      <c r="A31" s="13" t="inlineStr">
        <is>
          <t>Application</t>
        </is>
      </c>
      <c r="B31" s="25" t="inlineStr">
        <is>
          <t>MOLBREEVI (molgramostim) BLA, autoimmune PAP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0.8</v>
      </c>
      <c r="C32" s="34" t="n">
        <v>0.7</v>
      </c>
      <c r="D32" s="34" t="n">
        <v>0.8</v>
      </c>
      <c r="E32" s="34" t="n">
        <v>0.88</v>
      </c>
    </row>
    <row r="33">
      <c r="A33" s="13" t="inlineStr">
        <is>
          <t>Probability of approval later, after a CRL</t>
        </is>
      </c>
      <c r="B33" s="33">
        <f>CHOOSE($B$4,C33,D33,E33)</f>
        <v>0.75</v>
      </c>
      <c r="C33" s="35" t="n">
        <v>0.65</v>
      </c>
      <c r="D33" s="35" t="n">
        <v>0.75</v>
      </c>
      <c r="E33" s="35" t="n">
        <v>0.85</v>
      </c>
    </row>
    <row r="34">
      <c r="A34" s="13" t="inlineStr">
        <is>
          <t>Launch delay after a CRL (years)</t>
        </is>
      </c>
      <c r="B34" s="38">
        <f>CHOOSE($B$4,C34,D34,E34)</f>
        <v>2</v>
      </c>
      <c r="C34" s="39" t="n">
        <v>2</v>
      </c>
      <c r="D34" s="39" t="n">
        <v>2</v>
      </c>
      <c r="E34" s="39" t="n">
        <v>1</v>
      </c>
    </row>
    <row r="35">
      <c r="A35" s="13" t="inlineStr">
        <is>
          <t>Probability of approval, scenario value (before override)</t>
        </is>
      </c>
      <c r="B35" s="40">
        <f>CHOOSE($B$4,C32,D32,E32)</f>
        <v>0.8</v>
      </c>
    </row>
    <row r="36">
      <c r="A36" s="13" t="inlineStr">
        <is>
          <t>Read-through: relative cut to other programs' PoS after a CRL</t>
        </is>
      </c>
      <c r="B36" s="33">
        <f>CHOOSE($B$4,C36,D36,E36)</f>
        <v>0</v>
      </c>
      <c r="C36" s="35" t="n">
        <v>0</v>
      </c>
      <c r="D36" s="35" t="n">
        <v>0</v>
      </c>
      <c r="E36" s="35" t="n">
        <v>0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0.88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3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MOLBREEVI — autoimmune pulmonary alveolar proteinosis  (PDUFA)</t>
        </is>
      </c>
      <c r="B46" s="31" t="n"/>
      <c r="C46" s="31" t="n"/>
      <c r="D46" s="31" t="n"/>
      <c r="E46" s="31" t="n"/>
    </row>
    <row r="47">
      <c r="A47" s="13" t="inlineStr">
        <is>
          <t>Launch year (first full year of sales)</t>
        </is>
      </c>
      <c r="B47" s="38">
        <f>CHOOSE($B$4,C47,D47,E47)</f>
        <v>2027</v>
      </c>
      <c r="C47" s="39" t="n">
        <v>2027</v>
      </c>
      <c r="D47" s="39" t="n">
        <v>2027</v>
      </c>
      <c r="E47" s="39" t="n">
        <v>2027</v>
      </c>
    </row>
    <row r="48">
      <c r="A48" s="13" t="inlineStr">
        <is>
          <t>Peak net sales, unrisked</t>
        </is>
      </c>
      <c r="B48" s="36">
        <f>IF(ISNUMBER($B$8),$B$8,CHOOSE($B$4,C48,D48,E48))</f>
        <v>750</v>
      </c>
      <c r="C48" s="44" t="n">
        <v>450</v>
      </c>
      <c r="D48" s="44" t="n">
        <v>750</v>
      </c>
      <c r="E48" s="44" t="n">
        <v>1200</v>
      </c>
    </row>
    <row r="49">
      <c r="A49" s="13" t="inlineStr">
        <is>
          <t>Probability of approval (PDUFA event above)</t>
        </is>
      </c>
      <c r="B49" s="33">
        <f>$B$32</f>
        <v>0.8</v>
      </c>
    </row>
    <row r="50">
      <c r="A50" s="13" t="inlineStr">
        <is>
          <t>Company revenue, % of product net sales</t>
        </is>
      </c>
      <c r="B50" s="35" t="n">
        <v>1</v>
      </c>
    </row>
    <row r="51">
      <c r="A51" s="13" t="inlineStr">
        <is>
          <t>Cost of goods, % of product sales</t>
        </is>
      </c>
      <c r="B51" s="35" t="n">
        <v>0.12</v>
      </c>
    </row>
    <row r="52">
      <c r="A52" s="13" t="inlineStr">
        <is>
          <t>Royalties owed, % of product sales</t>
        </is>
      </c>
      <c r="B52" s="35" t="n">
        <v>0.05</v>
      </c>
    </row>
    <row r="53">
      <c r="A53" s="13" t="inlineStr">
        <is>
          <t>Commercial SG&amp;A at maturity, % of sales</t>
        </is>
      </c>
      <c r="B53" s="35" t="n">
        <v>0.25</v>
      </c>
    </row>
    <row r="54">
      <c r="A54" s="13" t="inlineStr">
        <is>
          <t>Pre-launch commercial spend, year before launch</t>
        </is>
      </c>
      <c r="B54" s="37" t="n">
        <v>25</v>
      </c>
    </row>
    <row r="55">
      <c r="A55" s="13" t="inlineStr">
        <is>
          <t>Launch ramp (1 = standard, 2 = orphan)</t>
        </is>
      </c>
      <c r="B55" s="39" t="n">
        <v>2</v>
      </c>
    </row>
    <row r="56">
      <c r="A56" s="13" t="inlineStr">
        <is>
          <t>Loss of exclusivity (year)</t>
        </is>
      </c>
      <c r="B56" s="38">
        <f>CHOOSE($B$4,C56,D56,E56)</f>
        <v>2038</v>
      </c>
      <c r="C56" s="39" t="n">
        <v>2038</v>
      </c>
      <c r="D56" s="39" t="n">
        <v>2038</v>
      </c>
      <c r="E56" s="39" t="n">
        <v>2038</v>
      </c>
    </row>
    <row r="57">
      <c r="A57" s="13" t="inlineStr">
        <is>
          <t>Post-LOE annual sales erosion</t>
        </is>
      </c>
      <c r="B57" s="35" t="n">
        <v>0.4</v>
      </c>
    </row>
    <row r="58">
      <c r="A58" s="25" t="inlineStr">
        <is>
          <t>Development spend, unrisked ($mm) by year</t>
        </is>
      </c>
      <c r="B58" s="42" t="n">
        <v>2027</v>
      </c>
      <c r="C58" s="42" t="n">
        <v>2028</v>
      </c>
      <c r="D58" s="42" t="n">
        <v>2029</v>
      </c>
      <c r="E58" s="42" t="n">
        <v>2030</v>
      </c>
      <c r="F58" s="42" t="n">
        <v>2031</v>
      </c>
      <c r="G58" s="42" t="n">
        <v>2032</v>
      </c>
      <c r="H58" s="42" t="n">
        <v>2033</v>
      </c>
      <c r="I58" s="42" t="n">
        <v>2034</v>
      </c>
    </row>
    <row r="59">
      <c r="A59" s="13" t="inlineStr">
        <is>
          <t xml:space="preserve">  Cost</t>
        </is>
      </c>
      <c r="B59" s="37" t="n">
        <v>15</v>
      </c>
      <c r="C59" s="37" t="n">
        <v>10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</row>
    <row r="60">
      <c r="A60" s="13" t="inlineStr">
        <is>
          <t xml:space="preserve">  Probability the cost is incurred</t>
        </is>
      </c>
      <c r="B60" s="43" t="n">
        <v>1</v>
      </c>
      <c r="C60" s="43" t="n">
        <v>1</v>
      </c>
      <c r="D60" s="43" t="n">
        <v>1</v>
      </c>
      <c r="E60" s="43" t="n">
        <v>1</v>
      </c>
      <c r="F60" s="43" t="n">
        <v>1</v>
      </c>
      <c r="G60" s="43" t="n">
        <v>1</v>
      </c>
      <c r="H60" s="43" t="n">
        <v>1</v>
      </c>
      <c r="I60" s="43" t="n">
        <v>1</v>
      </c>
    </row>
    <row r="63">
      <c r="A63" s="45" t="inlineStr">
        <is>
          <t>Sensitivity tables (Excel data tables)</t>
        </is>
      </c>
    </row>
    <row r="65">
      <c r="A65" s="30" t="inlineStr">
        <is>
          <t>Scenario summary</t>
        </is>
      </c>
    </row>
    <row r="66">
      <c r="A66" s="13" t="inlineStr">
        <is>
          <t>Scenario</t>
        </is>
      </c>
      <c r="B66" s="42" t="inlineStr">
        <is>
          <t>Case</t>
        </is>
      </c>
      <c r="C66" s="42" t="inlineStr">
        <is>
          <t>Equity value</t>
        </is>
      </c>
      <c r="D66" s="42" t="inlineStr">
        <is>
          <t>rNPV / share</t>
        </is>
      </c>
      <c r="E66" s="42" t="inlineStr">
        <is>
          <t>Upside</t>
        </is>
      </c>
      <c r="F66" s="42" t="inlineStr">
        <is>
          <t>MOLBREEVI PV / share</t>
        </is>
      </c>
      <c r="G66" s="42" t="inlineStr">
        <is>
          <t>P(approval)</t>
        </is>
      </c>
      <c r="H66" s="42" t="inlineStr">
        <is>
          <t>Discount rate</t>
        </is>
      </c>
    </row>
    <row r="67">
      <c r="A67" s="25" t="inlineStr">
        <is>
          <t>Live (active scenario)</t>
        </is>
      </c>
      <c r="C67" s="46">
        <f>NPV!C31</f>
        <v>961.7930473860749</v>
      </c>
      <c r="D67" s="47">
        <f>NPV!C43</f>
        <v>3.6845617641851964</v>
      </c>
      <c r="E67" s="48">
        <f>NPV!C45</f>
        <v>-0.22593240248210156</v>
      </c>
      <c r="F67" s="47">
        <f>NPV!C52</f>
        <v>6.043857281625591</v>
      </c>
      <c r="G67" s="49">
        <f>$B$32</f>
        <v>0.8</v>
      </c>
      <c r="H67" s="50">
        <f>$B$14</f>
        <v>0.13</v>
      </c>
    </row>
    <row r="68">
      <c r="A68" s="23" t="inlineStr">
        <is>
          <t>Bear</t>
        </is>
      </c>
      <c r="B68" s="51" t="n">
        <v>1</v>
      </c>
      <c r="C68" s="52">
        <f t="dataTable" ref="C68:H70" r1="B4"/>
        <v>473.5267346202345</v>
      </c>
      <c r="D68" s="53">
        <v>1.8140477366133718</v>
      </c>
      <c r="E68" s="54">
        <v>-0.6188975343249219</v>
      </c>
      <c r="F68" s="53">
        <v>2.900121443764657</v>
      </c>
      <c r="G68" s="55">
        <v>0.7</v>
      </c>
      <c r="H68" s="54">
        <v>0.15</v>
      </c>
    </row>
    <row r="69">
      <c r="A69" s="23" t="inlineStr">
        <is>
          <t>Base</t>
        </is>
      </c>
      <c r="B69" s="51" t="n">
        <v>2</v>
      </c>
      <c r="C69" s="56">
        <v>961.7930473860749</v>
      </c>
      <c r="D69" s="57">
        <v>3.6845617641851964</v>
      </c>
      <c r="E69" s="58">
        <v>-0.22593240248210156</v>
      </c>
      <c r="F69" s="57">
        <v>6.043857281625591</v>
      </c>
      <c r="G69" s="59">
        <v>0.8</v>
      </c>
      <c r="H69" s="58">
        <v>0.13</v>
      </c>
    </row>
    <row r="70">
      <c r="A70" s="23" t="inlineStr">
        <is>
          <t>Bull</t>
        </is>
      </c>
      <c r="B70" s="51" t="n">
        <v>3</v>
      </c>
      <c r="C70" s="52">
        <v>1822.2427800874257</v>
      </c>
      <c r="D70" s="53">
        <v>6.839186727508474</v>
      </c>
      <c r="E70" s="54">
        <v>0.4368039343505197</v>
      </c>
      <c r="F70" s="53">
        <v>11.604709435617155</v>
      </c>
      <c r="G70" s="55">
        <v>0.88</v>
      </c>
      <c r="H70" s="54">
        <v>0.11</v>
      </c>
    </row>
    <row r="72">
      <c r="A72" s="30" t="inlineStr">
        <is>
          <t>PDUFA outcome (MOLBREEVI): value if the FDA approves vs. issues a CRL</t>
        </is>
      </c>
    </row>
    <row r="73">
      <c r="A73" s="13" t="inlineStr">
        <is>
          <t>Outcome</t>
        </is>
      </c>
      <c r="B73" s="42" t="inlineStr">
        <is>
          <t>P(approval)</t>
        </is>
      </c>
      <c r="C73" s="42" t="inlineStr">
        <is>
          <t>Equity value</t>
        </is>
      </c>
      <c r="D73" s="42" t="inlineStr">
        <is>
          <t>rNPV / share</t>
        </is>
      </c>
      <c r="E73" s="42" t="inlineStr">
        <is>
          <t>Upside</t>
        </is>
      </c>
      <c r="F73" s="42" t="inlineStr">
        <is>
          <t>MOLBREEVI PV / share</t>
        </is>
      </c>
    </row>
    <row r="74">
      <c r="A74" s="25" t="inlineStr">
        <is>
          <t>Live (probability-weighted)</t>
        </is>
      </c>
      <c r="B74" s="60">
        <f>$B$32</f>
        <v>0.8</v>
      </c>
      <c r="C74" s="46">
        <f>NPV!C31</f>
        <v>961.7930473860749</v>
      </c>
      <c r="D74" s="47">
        <f>NPV!C43</f>
        <v>3.6845617641851964</v>
      </c>
      <c r="E74" s="48">
        <f>NPV!C45</f>
        <v>-0.22593240248210156</v>
      </c>
      <c r="F74" s="47">
        <f>NPV!C52</f>
        <v>6.043857281625591</v>
      </c>
    </row>
    <row r="75">
      <c r="A75" s="23" t="inlineStr">
        <is>
          <t>Complete response letter (CRL)</t>
        </is>
      </c>
      <c r="B75" s="61" t="n">
        <v>0</v>
      </c>
      <c r="C75" s="56">
        <f t="dataTable" ref="C75:F76" r1="B7"/>
        <v>554.3512027219543</v>
      </c>
      <c r="D75" s="57">
        <v>2.123680609909306</v>
      </c>
      <c r="E75" s="58">
        <v>-0.5538486113635912</v>
      </c>
      <c r="F75" s="57">
        <v>3.4175332071148485</v>
      </c>
    </row>
    <row r="76">
      <c r="A76" s="23" t="inlineStr">
        <is>
          <t>Approved on time</t>
        </is>
      </c>
      <c r="B76" s="61" t="n">
        <v>1</v>
      </c>
      <c r="C76" s="56">
        <v>1059.552168329261</v>
      </c>
      <c r="D76" s="57">
        <v>4.051312946894043</v>
      </c>
      <c r="E76" s="58">
        <v>-0.14888383468612532</v>
      </c>
      <c r="F76" s="57">
        <v>6.687633307212521</v>
      </c>
    </row>
    <row r="78">
      <c r="A78" s="30" t="inlineStr">
        <is>
          <t>rNPV / share: MOLBREEVI peak sales × probability of approval</t>
        </is>
      </c>
    </row>
    <row r="79">
      <c r="C79" s="25" t="inlineStr">
        <is>
          <t>Probability of approval →</t>
        </is>
      </c>
    </row>
    <row r="80">
      <c r="A80" s="25" t="inlineStr">
        <is>
          <t>Peak sales ($mm) ↓</t>
        </is>
      </c>
      <c r="B80" s="47">
        <f>NPV!C43</f>
        <v>3.6845617641851964</v>
      </c>
      <c r="C80" s="62" t="n">
        <v>0</v>
      </c>
      <c r="D80" s="62" t="n">
        <v>0.25</v>
      </c>
      <c r="E80" s="62" t="n">
        <v>0.5</v>
      </c>
      <c r="F80" s="62" t="n">
        <v>0.75</v>
      </c>
      <c r="G80" s="62" t="n">
        <v>1</v>
      </c>
    </row>
    <row r="81">
      <c r="B81" s="56" t="n">
        <v>300</v>
      </c>
      <c r="C81" s="53">
        <f t="dataTable" ref="C81:G87" dt2D="1" r1="B7" r2="B8"/>
        <v>0.8572865110367911</v>
      </c>
      <c r="D81" s="53">
        <v>1.0322556869029527</v>
      </c>
      <c r="E81" s="53">
        <v>1.1988936227251057</v>
      </c>
      <c r="F81" s="53">
        <v>1.344005841340697</v>
      </c>
      <c r="G81" s="53">
        <v>1.4764778167762773</v>
      </c>
    </row>
    <row r="82">
      <c r="B82" s="56" t="n">
        <v>450</v>
      </c>
      <c r="C82" s="53">
        <v>1.3002129238149673</v>
      </c>
      <c r="D82" s="53">
        <v>1.5932423155213338</v>
      </c>
      <c r="E82" s="53">
        <v>1.8806607252883922</v>
      </c>
      <c r="F82" s="53">
        <v>2.1641023821640646</v>
      </c>
      <c r="G82" s="53">
        <v>2.4452492203470975</v>
      </c>
    </row>
    <row r="83">
      <c r="B83" s="56" t="n">
        <v>600</v>
      </c>
      <c r="C83" s="53">
        <v>1.7203617043089654</v>
      </c>
      <c r="D83" s="53">
        <v>2.115503476620691</v>
      </c>
      <c r="E83" s="53">
        <v>2.50611401112075</v>
      </c>
      <c r="F83" s="53">
        <v>2.8916043897128088</v>
      </c>
      <c r="G83" s="53">
        <v>3.271681706393473</v>
      </c>
    </row>
    <row r="84">
      <c r="B84" s="56" t="n">
        <v>750</v>
      </c>
      <c r="C84" s="53">
        <v>2.123680609909306</v>
      </c>
      <c r="D84" s="53">
        <v>2.6237729982880804</v>
      </c>
      <c r="E84" s="53">
        <v>3.1099110767893414</v>
      </c>
      <c r="F84" s="53">
        <v>3.5907350414172434</v>
      </c>
      <c r="G84" s="53">
        <v>4.051312946894043</v>
      </c>
    </row>
    <row r="85">
      <c r="B85" s="56" t="n">
        <v>950</v>
      </c>
      <c r="C85" s="53">
        <v>2.6618386047433424</v>
      </c>
      <c r="D85" s="53">
        <v>3.287367925240781</v>
      </c>
      <c r="E85" s="53">
        <v>3.901902940343904</v>
      </c>
      <c r="F85" s="53">
        <v>4.4706043282002135</v>
      </c>
      <c r="G85" s="53">
        <v>5.036000738277998</v>
      </c>
    </row>
    <row r="86">
      <c r="B86" s="56" t="n">
        <v>1125</v>
      </c>
      <c r="C86" s="53">
        <v>3.1240357192412125</v>
      </c>
      <c r="D86" s="53">
        <v>3.8586294525064138</v>
      </c>
      <c r="E86" s="53">
        <v>4.550739335444542</v>
      </c>
      <c r="F86" s="53">
        <v>5.217335640398901</v>
      </c>
      <c r="G86" s="53">
        <v>5.87790034986231</v>
      </c>
    </row>
    <row r="87">
      <c r="B87" s="56" t="n">
        <v>1500</v>
      </c>
      <c r="C87" s="53">
        <v>4.094718579753977</v>
      </c>
      <c r="D87" s="53">
        <v>5.029264028456704</v>
      </c>
      <c r="E87" s="53">
        <v>5.925730675689804</v>
      </c>
      <c r="F87" s="53">
        <v>6.8075000484894606</v>
      </c>
      <c r="G87" s="53">
        <v>7.682663857881585</v>
      </c>
    </row>
    <row r="89">
      <c r="A89" s="30" t="inlineStr">
        <is>
          <t>rNPV / share: discount rate × scenario</t>
        </is>
      </c>
    </row>
    <row r="90">
      <c r="C90" s="25" t="inlineStr">
        <is>
          <t>Scenario →</t>
        </is>
      </c>
    </row>
    <row r="91">
      <c r="A91" s="25" t="inlineStr">
        <is>
          <t>Discount rate ↓</t>
        </is>
      </c>
      <c r="B91" s="47">
        <f>NPV!C43</f>
        <v>3.6845617641851964</v>
      </c>
      <c r="C91" s="38" t="n">
        <v>1</v>
      </c>
      <c r="D91" s="38" t="n">
        <v>2</v>
      </c>
      <c r="E91" s="38" t="n">
        <v>3</v>
      </c>
      <c r="F91" s="25" t="inlineStr">
        <is>
          <t>1 = Bear, 2 = Base, 3 = Bull</t>
        </is>
      </c>
    </row>
    <row r="92">
      <c r="B92" s="58" t="n">
        <v>0.1</v>
      </c>
      <c r="C92" s="53">
        <f t="dataTable" ref="C92:E98" dt2D="1" r1="B4" r2="B6"/>
        <v>2.523966878870489</v>
      </c>
      <c r="D92" s="53">
        <v>4.460104593489024</v>
      </c>
      <c r="E92" s="53">
        <v>7.29866917855722</v>
      </c>
    </row>
    <row r="93">
      <c r="B93" s="58" t="n">
        <v>0.11</v>
      </c>
      <c r="C93" s="53">
        <v>2.356246469470985</v>
      </c>
      <c r="D93" s="53">
        <v>4.182096835327285</v>
      </c>
      <c r="E93" s="53">
        <v>6.839186727508474</v>
      </c>
    </row>
    <row r="94">
      <c r="B94" s="58" t="n">
        <v>0.12</v>
      </c>
      <c r="C94" s="53">
        <v>2.2027338518733157</v>
      </c>
      <c r="D94" s="53">
        <v>3.927635466932125</v>
      </c>
      <c r="E94" s="53">
        <v>6.418444198216772</v>
      </c>
    </row>
    <row r="95">
      <c r="B95" s="58" t="n">
        <v>0.13</v>
      </c>
      <c r="C95" s="53">
        <v>2.062010819040687</v>
      </c>
      <c r="D95" s="53">
        <v>3.6845617641851964</v>
      </c>
      <c r="E95" s="53">
        <v>6.032548451350982</v>
      </c>
    </row>
    <row r="96">
      <c r="B96" s="58" t="n">
        <v>0.14</v>
      </c>
      <c r="C96" s="53">
        <v>1.9328206744147232</v>
      </c>
      <c r="D96" s="53">
        <v>3.459753261625278</v>
      </c>
      <c r="E96" s="53">
        <v>5.6780536590617645</v>
      </c>
    </row>
    <row r="97">
      <c r="B97" s="58" t="n">
        <v>0.15</v>
      </c>
      <c r="C97" s="53">
        <v>1.8140477366133718</v>
      </c>
      <c r="D97" s="53">
        <v>3.2529617599456415</v>
      </c>
      <c r="E97" s="53">
        <v>5.351904114906413</v>
      </c>
    </row>
    <row r="98">
      <c r="B98" s="58" t="n">
        <v>0.16</v>
      </c>
      <c r="C98" s="53">
        <v>1.7046996946691018</v>
      </c>
      <c r="D98" s="53">
        <v>3.06246142340206</v>
      </c>
      <c r="E98" s="53">
        <v>5.051385043036556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2" t="inlineStr">
        <is>
          <t>SVRA — risk-adjusted program build ($mm)</t>
        </is>
      </c>
    </row>
    <row r="2">
      <c r="A2" s="23" t="inlineStr">
        <is>
          <t>Year</t>
        </is>
      </c>
      <c r="C2" s="23" t="n">
        <v>2027</v>
      </c>
      <c r="D2" s="23" t="n">
        <v>2028</v>
      </c>
      <c r="E2" s="23" t="n">
        <v>2029</v>
      </c>
      <c r="F2" s="23" t="n">
        <v>2030</v>
      </c>
      <c r="G2" s="23" t="n">
        <v>2031</v>
      </c>
      <c r="H2" s="23" t="n">
        <v>2032</v>
      </c>
      <c r="I2" s="23" t="n">
        <v>2033</v>
      </c>
      <c r="J2" s="23" t="n">
        <v>2034</v>
      </c>
      <c r="K2" s="23" t="n">
        <v>2035</v>
      </c>
      <c r="L2" s="23" t="n">
        <v>2036</v>
      </c>
      <c r="M2" s="23" t="n">
        <v>2037</v>
      </c>
      <c r="N2" s="23" t="n">
        <v>2038</v>
      </c>
      <c r="O2" s="23" t="n">
        <v>2039</v>
      </c>
      <c r="P2" s="23" t="n">
        <v>2040</v>
      </c>
      <c r="Q2" s="23" t="n">
        <v>2041</v>
      </c>
      <c r="R2" s="23" t="n">
        <v>2042</v>
      </c>
      <c r="S2" s="23" t="n">
        <v>2043</v>
      </c>
      <c r="T2" s="23" t="n">
        <v>2044</v>
      </c>
      <c r="U2" s="23" t="n">
        <v>2045</v>
      </c>
      <c r="V2" s="23" t="n">
        <v>2046</v>
      </c>
      <c r="W2" s="23" t="n">
        <v>2047</v>
      </c>
      <c r="X2" s="23" t="n">
        <v>2048</v>
      </c>
      <c r="Y2" s="23" t="n">
        <v>2049</v>
      </c>
      <c r="Z2" s="23" t="n">
        <v>2050</v>
      </c>
    </row>
    <row r="4">
      <c r="A4" s="30" t="inlineStr">
        <is>
          <t>MOLBREEVI — autoimmune pulmonary alveolar proteinosis</t>
        </is>
      </c>
    </row>
    <row r="5">
      <c r="A5" s="13" t="inlineStr">
        <is>
          <t>Years since launch (approved on time)</t>
        </is>
      </c>
      <c r="C5" s="63">
        <f>C$2-Assumptions!$B$47+1</f>
        <v>1.0</v>
      </c>
      <c r="D5" s="63">
        <f>D$2-Assumptions!$B$47+1</f>
        <v>2.0</v>
      </c>
      <c r="E5" s="63">
        <f>E$2-Assumptions!$B$47+1</f>
        <v>3.0</v>
      </c>
      <c r="F5" s="63">
        <f>F$2-Assumptions!$B$47+1</f>
        <v>4.0</v>
      </c>
      <c r="G5" s="63">
        <f>G$2-Assumptions!$B$47+1</f>
        <v>5.0</v>
      </c>
      <c r="H5" s="63">
        <f>H$2-Assumptions!$B$47+1</f>
        <v>6.0</v>
      </c>
      <c r="I5" s="63">
        <f>I$2-Assumptions!$B$47+1</f>
        <v>7.0</v>
      </c>
      <c r="J5" s="63">
        <f>J$2-Assumptions!$B$47+1</f>
        <v>8.0</v>
      </c>
      <c r="K5" s="63">
        <f>K$2-Assumptions!$B$47+1</f>
        <v>9.0</v>
      </c>
      <c r="L5" s="63">
        <f>L$2-Assumptions!$B$47+1</f>
        <v>10.0</v>
      </c>
      <c r="M5" s="63">
        <f>M$2-Assumptions!$B$47+1</f>
        <v>11.0</v>
      </c>
      <c r="N5" s="63">
        <f>N$2-Assumptions!$B$47+1</f>
        <v>12.0</v>
      </c>
      <c r="O5" s="63">
        <f>O$2-Assumptions!$B$47+1</f>
        <v>13.0</v>
      </c>
      <c r="P5" s="63">
        <f>P$2-Assumptions!$B$47+1</f>
        <v>14.0</v>
      </c>
      <c r="Q5" s="63">
        <f>Q$2-Assumptions!$B$47+1</f>
        <v>15.0</v>
      </c>
      <c r="R5" s="63">
        <f>R$2-Assumptions!$B$47+1</f>
        <v>16.0</v>
      </c>
      <c r="S5" s="63">
        <f>S$2-Assumptions!$B$47+1</f>
        <v>17.0</v>
      </c>
      <c r="T5" s="63">
        <f>T$2-Assumptions!$B$47+1</f>
        <v>18.0</v>
      </c>
      <c r="U5" s="63">
        <f>U$2-Assumptions!$B$47+1</f>
        <v>19.0</v>
      </c>
      <c r="V5" s="63">
        <f>V$2-Assumptions!$B$47+1</f>
        <v>20.0</v>
      </c>
      <c r="W5" s="63">
        <f>W$2-Assumptions!$B$47+1</f>
        <v>21.0</v>
      </c>
      <c r="X5" s="63">
        <f>X$2-Assumptions!$B$47+1</f>
        <v>22.0</v>
      </c>
      <c r="Y5" s="63">
        <f>Y$2-Assumptions!$B$47+1</f>
        <v>23.0</v>
      </c>
      <c r="Z5" s="63">
        <f>Z$2-Assumptions!$B$47+1</f>
        <v>24.0</v>
      </c>
    </row>
    <row r="6">
      <c r="A6" s="13" t="inlineStr">
        <is>
          <t>Net sales, unrisked (approved on time)</t>
        </is>
      </c>
      <c r="C6" s="52">
        <f>IF(C$2&gt;Assumptions!$B$56,0*(1-Assumptions!$B$57),IF(C5&gt;=1,Assumptions!$B$48*CHOOSE(Assumptions!$B$55,INDEX(Assumptions!$B$42:$H$42,MIN(C5,7)),INDEX(Assumptions!$B$43:$H$43,MIN(C5,7))),0))</f>
        <v>112.5</v>
      </c>
      <c r="D6" s="52">
        <f>IF(D$2&gt;Assumptions!$B$56,C6*(1-Assumptions!$B$57),IF(D5&gt;=1,Assumptions!$B$48*CHOOSE(Assumptions!$B$55,INDEX(Assumptions!$B$42:$H$42,MIN(D5,7)),INDEX(Assumptions!$B$43:$H$43,MIN(D5,7))),0))</f>
        <v>262.5</v>
      </c>
      <c r="E6" s="52">
        <f>IF(E$2&gt;Assumptions!$B$56,D6*(1-Assumptions!$B$57),IF(E5&gt;=1,Assumptions!$B$48*CHOOSE(Assumptions!$B$55,INDEX(Assumptions!$B$42:$H$42,MIN(E5,7)),INDEX(Assumptions!$B$43:$H$43,MIN(E5,7))),0))</f>
        <v>412.50000000000006</v>
      </c>
      <c r="F6" s="52">
        <f>IF(F$2&gt;Assumptions!$B$56,E6*(1-Assumptions!$B$57),IF(F5&gt;=1,Assumptions!$B$48*CHOOSE(Assumptions!$B$55,INDEX(Assumptions!$B$42:$H$42,MIN(F5,7)),INDEX(Assumptions!$B$43:$H$43,MIN(F5,7))),0))</f>
        <v>562.5</v>
      </c>
      <c r="G6" s="52">
        <f>IF(G$2&gt;Assumptions!$B$56,F6*(1-Assumptions!$B$57),IF(G5&gt;=1,Assumptions!$B$48*CHOOSE(Assumptions!$B$55,INDEX(Assumptions!$B$42:$H$42,MIN(G5,7)),INDEX(Assumptions!$B$43:$H$43,MIN(G5,7))),0))</f>
        <v>675.0</v>
      </c>
      <c r="H6" s="52">
        <f>IF(H$2&gt;Assumptions!$B$56,G6*(1-Assumptions!$B$57),IF(H5&gt;=1,Assumptions!$B$48*CHOOSE(Assumptions!$B$55,INDEX(Assumptions!$B$42:$H$42,MIN(H5,7)),INDEX(Assumptions!$B$43:$H$43,MIN(H5,7))),0))</f>
        <v>750.0</v>
      </c>
      <c r="I6" s="52">
        <f>IF(I$2&gt;Assumptions!$B$56,H6*(1-Assumptions!$B$57),IF(I5&gt;=1,Assumptions!$B$48*CHOOSE(Assumptions!$B$55,INDEX(Assumptions!$B$42:$H$42,MIN(I5,7)),INDEX(Assumptions!$B$43:$H$43,MIN(I5,7))),0))</f>
        <v>750.0</v>
      </c>
      <c r="J6" s="52">
        <f>IF(J$2&gt;Assumptions!$B$56,I6*(1-Assumptions!$B$57),IF(J5&gt;=1,Assumptions!$B$48*CHOOSE(Assumptions!$B$55,INDEX(Assumptions!$B$42:$H$42,MIN(J5,7)),INDEX(Assumptions!$B$43:$H$43,MIN(J5,7))),0))</f>
        <v>750.0</v>
      </c>
      <c r="K6" s="52">
        <f>IF(K$2&gt;Assumptions!$B$56,J6*(1-Assumptions!$B$57),IF(K5&gt;=1,Assumptions!$B$48*CHOOSE(Assumptions!$B$55,INDEX(Assumptions!$B$42:$H$42,MIN(K5,7)),INDEX(Assumptions!$B$43:$H$43,MIN(K5,7))),0))</f>
        <v>750.0</v>
      </c>
      <c r="L6" s="52">
        <f>IF(L$2&gt;Assumptions!$B$56,K6*(1-Assumptions!$B$57),IF(L5&gt;=1,Assumptions!$B$48*CHOOSE(Assumptions!$B$55,INDEX(Assumptions!$B$42:$H$42,MIN(L5,7)),INDEX(Assumptions!$B$43:$H$43,MIN(L5,7))),0))</f>
        <v>750.0</v>
      </c>
      <c r="M6" s="52">
        <f>IF(M$2&gt;Assumptions!$B$56,L6*(1-Assumptions!$B$57),IF(M5&gt;=1,Assumptions!$B$48*CHOOSE(Assumptions!$B$55,INDEX(Assumptions!$B$42:$H$42,MIN(M5,7)),INDEX(Assumptions!$B$43:$H$43,MIN(M5,7))),0))</f>
        <v>750.0</v>
      </c>
      <c r="N6" s="52">
        <f>IF(N$2&gt;Assumptions!$B$56,M6*(1-Assumptions!$B$57),IF(N5&gt;=1,Assumptions!$B$48*CHOOSE(Assumptions!$B$55,INDEX(Assumptions!$B$42:$H$42,MIN(N5,7)),INDEX(Assumptions!$B$43:$H$43,MIN(N5,7))),0))</f>
        <v>750.0</v>
      </c>
      <c r="O6" s="52">
        <f>IF(O$2&gt;Assumptions!$B$56,N6*(1-Assumptions!$B$57),IF(O5&gt;=1,Assumptions!$B$48*CHOOSE(Assumptions!$B$55,INDEX(Assumptions!$B$42:$H$42,MIN(O5,7)),INDEX(Assumptions!$B$43:$H$43,MIN(O5,7))),0))</f>
        <v>450.0</v>
      </c>
      <c r="P6" s="52">
        <f>IF(P$2&gt;Assumptions!$B$56,O6*(1-Assumptions!$B$57),IF(P5&gt;=1,Assumptions!$B$48*CHOOSE(Assumptions!$B$55,INDEX(Assumptions!$B$42:$H$42,MIN(P5,7)),INDEX(Assumptions!$B$43:$H$43,MIN(P5,7))),0))</f>
        <v>270.0</v>
      </c>
      <c r="Q6" s="52">
        <f>IF(Q$2&gt;Assumptions!$B$56,P6*(1-Assumptions!$B$57),IF(Q5&gt;=1,Assumptions!$B$48*CHOOSE(Assumptions!$B$55,INDEX(Assumptions!$B$42:$H$42,MIN(Q5,7)),INDEX(Assumptions!$B$43:$H$43,MIN(Q5,7))),0))</f>
        <v>162.0</v>
      </c>
      <c r="R6" s="52">
        <f>IF(R$2&gt;Assumptions!$B$56,Q6*(1-Assumptions!$B$57),IF(R5&gt;=1,Assumptions!$B$48*CHOOSE(Assumptions!$B$55,INDEX(Assumptions!$B$42:$H$42,MIN(R5,7)),INDEX(Assumptions!$B$43:$H$43,MIN(R5,7))),0))</f>
        <v>97.2</v>
      </c>
      <c r="S6" s="52">
        <f>IF(S$2&gt;Assumptions!$B$56,R6*(1-Assumptions!$B$57),IF(S5&gt;=1,Assumptions!$B$48*CHOOSE(Assumptions!$B$55,INDEX(Assumptions!$B$42:$H$42,MIN(S5,7)),INDEX(Assumptions!$B$43:$H$43,MIN(S5,7))),0))</f>
        <v>58.32</v>
      </c>
      <c r="T6" s="52">
        <f>IF(T$2&gt;Assumptions!$B$56,S6*(1-Assumptions!$B$57),IF(T5&gt;=1,Assumptions!$B$48*CHOOSE(Assumptions!$B$55,INDEX(Assumptions!$B$42:$H$42,MIN(T5,7)),INDEX(Assumptions!$B$43:$H$43,MIN(T5,7))),0))</f>
        <v>34.992</v>
      </c>
      <c r="U6" s="52">
        <f>IF(U$2&gt;Assumptions!$B$56,T6*(1-Assumptions!$B$57),IF(U5&gt;=1,Assumptions!$B$48*CHOOSE(Assumptions!$B$55,INDEX(Assumptions!$B$42:$H$42,MIN(U5,7)),INDEX(Assumptions!$B$43:$H$43,MIN(U5,7))),0))</f>
        <v>20.995199999999997</v>
      </c>
      <c r="V6" s="52">
        <f>IF(V$2&gt;Assumptions!$B$56,U6*(1-Assumptions!$B$57),IF(V5&gt;=1,Assumptions!$B$48*CHOOSE(Assumptions!$B$55,INDEX(Assumptions!$B$42:$H$42,MIN(V5,7)),INDEX(Assumptions!$B$43:$H$43,MIN(V5,7))),0))</f>
        <v>12.597119999999999</v>
      </c>
      <c r="W6" s="52">
        <f>IF(W$2&gt;Assumptions!$B$56,V6*(1-Assumptions!$B$57),IF(W5&gt;=1,Assumptions!$B$48*CHOOSE(Assumptions!$B$55,INDEX(Assumptions!$B$42:$H$42,MIN(W5,7)),INDEX(Assumptions!$B$43:$H$43,MIN(W5,7))),0))</f>
        <v>7.558271999999999</v>
      </c>
      <c r="X6" s="52">
        <f>IF(X$2&gt;Assumptions!$B$56,W6*(1-Assumptions!$B$57),IF(X5&gt;=1,Assumptions!$B$48*CHOOSE(Assumptions!$B$55,INDEX(Assumptions!$B$42:$H$42,MIN(X5,7)),INDEX(Assumptions!$B$43:$H$43,MIN(X5,7))),0))</f>
        <v>4.534963199999999</v>
      </c>
      <c r="Y6" s="52">
        <f>IF(Y$2&gt;Assumptions!$B$56,X6*(1-Assumptions!$B$57),IF(Y5&gt;=1,Assumptions!$B$48*CHOOSE(Assumptions!$B$55,INDEX(Assumptions!$B$42:$H$42,MIN(Y5,7)),INDEX(Assumptions!$B$43:$H$43,MIN(Y5,7))),0))</f>
        <v>2.7209779199999993</v>
      </c>
      <c r="Z6" s="52">
        <f>IF(Z$2&gt;Assumptions!$B$56,Y6*(1-Assumptions!$B$57),IF(Z5&gt;=1,Assumptions!$B$48*CHOOSE(Assumptions!$B$55,INDEX(Assumptions!$B$42:$H$42,MIN(Z5,7)),INDEX(Assumptions!$B$43:$H$43,MIN(Z5,7))),0))</f>
        <v>1.6325867519999995</v>
      </c>
    </row>
    <row r="7">
      <c r="A7" s="13" t="inlineStr">
        <is>
          <t>Years since launch (approved after a CRL)</t>
        </is>
      </c>
      <c r="C7" s="63">
        <f>C$2-(Assumptions!$B$47+Assumptions!$B$34)+1</f>
        <v>-1.0</v>
      </c>
      <c r="D7" s="63">
        <f>D$2-(Assumptions!$B$47+Assumptions!$B$34)+1</f>
        <v>0.0</v>
      </c>
      <c r="E7" s="63">
        <f>E$2-(Assumptions!$B$47+Assumptions!$B$34)+1</f>
        <v>1.0</v>
      </c>
      <c r="F7" s="63">
        <f>F$2-(Assumptions!$B$47+Assumptions!$B$34)+1</f>
        <v>2.0</v>
      </c>
      <c r="G7" s="63">
        <f>G$2-(Assumptions!$B$47+Assumptions!$B$34)+1</f>
        <v>3.0</v>
      </c>
      <c r="H7" s="63">
        <f>H$2-(Assumptions!$B$47+Assumptions!$B$34)+1</f>
        <v>4.0</v>
      </c>
      <c r="I7" s="63">
        <f>I$2-(Assumptions!$B$47+Assumptions!$B$34)+1</f>
        <v>5.0</v>
      </c>
      <c r="J7" s="63">
        <f>J$2-(Assumptions!$B$47+Assumptions!$B$34)+1</f>
        <v>6.0</v>
      </c>
      <c r="K7" s="63">
        <f>K$2-(Assumptions!$B$47+Assumptions!$B$34)+1</f>
        <v>7.0</v>
      </c>
      <c r="L7" s="63">
        <f>L$2-(Assumptions!$B$47+Assumptions!$B$34)+1</f>
        <v>8.0</v>
      </c>
      <c r="M7" s="63">
        <f>M$2-(Assumptions!$B$47+Assumptions!$B$34)+1</f>
        <v>9.0</v>
      </c>
      <c r="N7" s="63">
        <f>N$2-(Assumptions!$B$47+Assumptions!$B$34)+1</f>
        <v>10.0</v>
      </c>
      <c r="O7" s="63">
        <f>O$2-(Assumptions!$B$47+Assumptions!$B$34)+1</f>
        <v>11.0</v>
      </c>
      <c r="P7" s="63">
        <f>P$2-(Assumptions!$B$47+Assumptions!$B$34)+1</f>
        <v>12.0</v>
      </c>
      <c r="Q7" s="63">
        <f>Q$2-(Assumptions!$B$47+Assumptions!$B$34)+1</f>
        <v>13.0</v>
      </c>
      <c r="R7" s="63">
        <f>R$2-(Assumptions!$B$47+Assumptions!$B$34)+1</f>
        <v>14.0</v>
      </c>
      <c r="S7" s="63">
        <f>S$2-(Assumptions!$B$47+Assumptions!$B$34)+1</f>
        <v>15.0</v>
      </c>
      <c r="T7" s="63">
        <f>T$2-(Assumptions!$B$47+Assumptions!$B$34)+1</f>
        <v>16.0</v>
      </c>
      <c r="U7" s="63">
        <f>U$2-(Assumptions!$B$47+Assumptions!$B$34)+1</f>
        <v>17.0</v>
      </c>
      <c r="V7" s="63">
        <f>V$2-(Assumptions!$B$47+Assumptions!$B$34)+1</f>
        <v>18.0</v>
      </c>
      <c r="W7" s="63">
        <f>W$2-(Assumptions!$B$47+Assumptions!$B$34)+1</f>
        <v>19.0</v>
      </c>
      <c r="X7" s="63">
        <f>X$2-(Assumptions!$B$47+Assumptions!$B$34)+1</f>
        <v>20.0</v>
      </c>
      <c r="Y7" s="63">
        <f>Y$2-(Assumptions!$B$47+Assumptions!$B$34)+1</f>
        <v>21.0</v>
      </c>
      <c r="Z7" s="63">
        <f>Z$2-(Assumptions!$B$47+Assumptions!$B$34)+1</f>
        <v>22.0</v>
      </c>
    </row>
    <row r="8">
      <c r="A8" s="13" t="inlineStr">
        <is>
          <t>Net sales, unrisked (approved after a CRL)</t>
        </is>
      </c>
      <c r="C8" s="52">
        <f>IF(C$2&gt;Assumptions!$B$56,0*(1-Assumptions!$B$57),IF(C7&gt;=1,Assumptions!$B$48*CHOOSE(Assumptions!$B$55,INDEX(Assumptions!$B$42:$H$42,MIN(C7,7)),INDEX(Assumptions!$B$43:$H$43,MIN(C7,7))),0))</f>
        <v>0</v>
      </c>
      <c r="D8" s="52">
        <f>IF(D$2&gt;Assumptions!$B$56,C8*(1-Assumptions!$B$57),IF(D7&gt;=1,Assumptions!$B$48*CHOOSE(Assumptions!$B$55,INDEX(Assumptions!$B$42:$H$42,MIN(D7,7)),INDEX(Assumptions!$B$43:$H$43,MIN(D7,7))),0))</f>
        <v>0</v>
      </c>
      <c r="E8" s="52">
        <f>IF(E$2&gt;Assumptions!$B$56,D8*(1-Assumptions!$B$57),IF(E7&gt;=1,Assumptions!$B$48*CHOOSE(Assumptions!$B$55,INDEX(Assumptions!$B$42:$H$42,MIN(E7,7)),INDEX(Assumptions!$B$43:$H$43,MIN(E7,7))),0))</f>
        <v>112.5</v>
      </c>
      <c r="F8" s="52">
        <f>IF(F$2&gt;Assumptions!$B$56,E8*(1-Assumptions!$B$57),IF(F7&gt;=1,Assumptions!$B$48*CHOOSE(Assumptions!$B$55,INDEX(Assumptions!$B$42:$H$42,MIN(F7,7)),INDEX(Assumptions!$B$43:$H$43,MIN(F7,7))),0))</f>
        <v>262.5</v>
      </c>
      <c r="G8" s="52">
        <f>IF(G$2&gt;Assumptions!$B$56,F8*(1-Assumptions!$B$57),IF(G7&gt;=1,Assumptions!$B$48*CHOOSE(Assumptions!$B$55,INDEX(Assumptions!$B$42:$H$42,MIN(G7,7)),INDEX(Assumptions!$B$43:$H$43,MIN(G7,7))),0))</f>
        <v>412.50000000000006</v>
      </c>
      <c r="H8" s="52">
        <f>IF(H$2&gt;Assumptions!$B$56,G8*(1-Assumptions!$B$57),IF(H7&gt;=1,Assumptions!$B$48*CHOOSE(Assumptions!$B$55,INDEX(Assumptions!$B$42:$H$42,MIN(H7,7)),INDEX(Assumptions!$B$43:$H$43,MIN(H7,7))),0))</f>
        <v>562.5</v>
      </c>
      <c r="I8" s="52">
        <f>IF(I$2&gt;Assumptions!$B$56,H8*(1-Assumptions!$B$57),IF(I7&gt;=1,Assumptions!$B$48*CHOOSE(Assumptions!$B$55,INDEX(Assumptions!$B$42:$H$42,MIN(I7,7)),INDEX(Assumptions!$B$43:$H$43,MIN(I7,7))),0))</f>
        <v>675.0</v>
      </c>
      <c r="J8" s="52">
        <f>IF(J$2&gt;Assumptions!$B$56,I8*(1-Assumptions!$B$57),IF(J7&gt;=1,Assumptions!$B$48*CHOOSE(Assumptions!$B$55,INDEX(Assumptions!$B$42:$H$42,MIN(J7,7)),INDEX(Assumptions!$B$43:$H$43,MIN(J7,7))),0))</f>
        <v>750.0</v>
      </c>
      <c r="K8" s="52">
        <f>IF(K$2&gt;Assumptions!$B$56,J8*(1-Assumptions!$B$57),IF(K7&gt;=1,Assumptions!$B$48*CHOOSE(Assumptions!$B$55,INDEX(Assumptions!$B$42:$H$42,MIN(K7,7)),INDEX(Assumptions!$B$43:$H$43,MIN(K7,7))),0))</f>
        <v>750.0</v>
      </c>
      <c r="L8" s="52">
        <f>IF(L$2&gt;Assumptions!$B$56,K8*(1-Assumptions!$B$57),IF(L7&gt;=1,Assumptions!$B$48*CHOOSE(Assumptions!$B$55,INDEX(Assumptions!$B$42:$H$42,MIN(L7,7)),INDEX(Assumptions!$B$43:$H$43,MIN(L7,7))),0))</f>
        <v>750.0</v>
      </c>
      <c r="M8" s="52">
        <f>IF(M$2&gt;Assumptions!$B$56,L8*(1-Assumptions!$B$57),IF(M7&gt;=1,Assumptions!$B$48*CHOOSE(Assumptions!$B$55,INDEX(Assumptions!$B$42:$H$42,MIN(M7,7)),INDEX(Assumptions!$B$43:$H$43,MIN(M7,7))),0))</f>
        <v>750.0</v>
      </c>
      <c r="N8" s="52">
        <f>IF(N$2&gt;Assumptions!$B$56,M8*(1-Assumptions!$B$57),IF(N7&gt;=1,Assumptions!$B$48*CHOOSE(Assumptions!$B$55,INDEX(Assumptions!$B$42:$H$42,MIN(N7,7)),INDEX(Assumptions!$B$43:$H$43,MIN(N7,7))),0))</f>
        <v>750.0</v>
      </c>
      <c r="O8" s="52">
        <f>IF(O$2&gt;Assumptions!$B$56,N8*(1-Assumptions!$B$57),IF(O7&gt;=1,Assumptions!$B$48*CHOOSE(Assumptions!$B$55,INDEX(Assumptions!$B$42:$H$42,MIN(O7,7)),INDEX(Assumptions!$B$43:$H$43,MIN(O7,7))),0))</f>
        <v>450.0</v>
      </c>
      <c r="P8" s="52">
        <f>IF(P$2&gt;Assumptions!$B$56,O8*(1-Assumptions!$B$57),IF(P7&gt;=1,Assumptions!$B$48*CHOOSE(Assumptions!$B$55,INDEX(Assumptions!$B$42:$H$42,MIN(P7,7)),INDEX(Assumptions!$B$43:$H$43,MIN(P7,7))),0))</f>
        <v>270.0</v>
      </c>
      <c r="Q8" s="52">
        <f>IF(Q$2&gt;Assumptions!$B$56,P8*(1-Assumptions!$B$57),IF(Q7&gt;=1,Assumptions!$B$48*CHOOSE(Assumptions!$B$55,INDEX(Assumptions!$B$42:$H$42,MIN(Q7,7)),INDEX(Assumptions!$B$43:$H$43,MIN(Q7,7))),0))</f>
        <v>162.0</v>
      </c>
      <c r="R8" s="52">
        <f>IF(R$2&gt;Assumptions!$B$56,Q8*(1-Assumptions!$B$57),IF(R7&gt;=1,Assumptions!$B$48*CHOOSE(Assumptions!$B$55,INDEX(Assumptions!$B$42:$H$42,MIN(R7,7)),INDEX(Assumptions!$B$43:$H$43,MIN(R7,7))),0))</f>
        <v>97.2</v>
      </c>
      <c r="S8" s="52">
        <f>IF(S$2&gt;Assumptions!$B$56,R8*(1-Assumptions!$B$57),IF(S7&gt;=1,Assumptions!$B$48*CHOOSE(Assumptions!$B$55,INDEX(Assumptions!$B$42:$H$42,MIN(S7,7)),INDEX(Assumptions!$B$43:$H$43,MIN(S7,7))),0))</f>
        <v>58.32</v>
      </c>
      <c r="T8" s="52">
        <f>IF(T$2&gt;Assumptions!$B$56,S8*(1-Assumptions!$B$57),IF(T7&gt;=1,Assumptions!$B$48*CHOOSE(Assumptions!$B$55,INDEX(Assumptions!$B$42:$H$42,MIN(T7,7)),INDEX(Assumptions!$B$43:$H$43,MIN(T7,7))),0))</f>
        <v>34.992</v>
      </c>
      <c r="U8" s="52">
        <f>IF(U$2&gt;Assumptions!$B$56,T8*(1-Assumptions!$B$57),IF(U7&gt;=1,Assumptions!$B$48*CHOOSE(Assumptions!$B$55,INDEX(Assumptions!$B$42:$H$42,MIN(U7,7)),INDEX(Assumptions!$B$43:$H$43,MIN(U7,7))),0))</f>
        <v>20.995199999999997</v>
      </c>
      <c r="V8" s="52">
        <f>IF(V$2&gt;Assumptions!$B$56,U8*(1-Assumptions!$B$57),IF(V7&gt;=1,Assumptions!$B$48*CHOOSE(Assumptions!$B$55,INDEX(Assumptions!$B$42:$H$42,MIN(V7,7)),INDEX(Assumptions!$B$43:$H$43,MIN(V7,7))),0))</f>
        <v>12.597119999999999</v>
      </c>
      <c r="W8" s="52">
        <f>IF(W$2&gt;Assumptions!$B$56,V8*(1-Assumptions!$B$57),IF(W7&gt;=1,Assumptions!$B$48*CHOOSE(Assumptions!$B$55,INDEX(Assumptions!$B$42:$H$42,MIN(W7,7)),INDEX(Assumptions!$B$43:$H$43,MIN(W7,7))),0))</f>
        <v>7.558271999999999</v>
      </c>
      <c r="X8" s="52">
        <f>IF(X$2&gt;Assumptions!$B$56,W8*(1-Assumptions!$B$57),IF(X7&gt;=1,Assumptions!$B$48*CHOOSE(Assumptions!$B$55,INDEX(Assumptions!$B$42:$H$42,MIN(X7,7)),INDEX(Assumptions!$B$43:$H$43,MIN(X7,7))),0))</f>
        <v>4.534963199999999</v>
      </c>
      <c r="Y8" s="52">
        <f>IF(Y$2&gt;Assumptions!$B$56,X8*(1-Assumptions!$B$57),IF(Y7&gt;=1,Assumptions!$B$48*CHOOSE(Assumptions!$B$55,INDEX(Assumptions!$B$42:$H$42,MIN(Y7,7)),INDEX(Assumptions!$B$43:$H$43,MIN(Y7,7))),0))</f>
        <v>2.7209779199999993</v>
      </c>
      <c r="Z8" s="52">
        <f>IF(Z$2&gt;Assumptions!$B$56,Y8*(1-Assumptions!$B$57),IF(Z7&gt;=1,Assumptions!$B$48*CHOOSE(Assumptions!$B$55,INDEX(Assumptions!$B$42:$H$42,MIN(Z7,7)),INDEX(Assumptions!$B$43:$H$43,MIN(Z7,7))),0))</f>
        <v>1.6325867519999995</v>
      </c>
    </row>
    <row r="9">
      <c r="A9" s="13" t="inlineStr">
        <is>
          <t>Product net sales, risk-adjusted</t>
        </is>
      </c>
      <c r="C9" s="52">
        <f>Assumptions!$B$32*C6+(1-Assumptions!$B$32)*Assumptions!$B$33*C8</f>
        <v>90.0</v>
      </c>
      <c r="D9" s="52">
        <f>Assumptions!$B$32*D6+(1-Assumptions!$B$32)*Assumptions!$B$33*D8</f>
        <v>210.0</v>
      </c>
      <c r="E9" s="52">
        <f>Assumptions!$B$32*E6+(1-Assumptions!$B$32)*Assumptions!$B$33*E8</f>
        <v>346.87500000000006</v>
      </c>
      <c r="F9" s="52">
        <f>Assumptions!$B$32*F6+(1-Assumptions!$B$32)*Assumptions!$B$33*F8</f>
        <v>489.375</v>
      </c>
      <c r="G9" s="52">
        <f>Assumptions!$B$32*G6+(1-Assumptions!$B$32)*Assumptions!$B$33*G8</f>
        <v>601.875</v>
      </c>
      <c r="H9" s="52">
        <f>Assumptions!$B$32*H6+(1-Assumptions!$B$32)*Assumptions!$B$33*H8</f>
        <v>684.375</v>
      </c>
      <c r="I9" s="52">
        <f>Assumptions!$B$32*I6+(1-Assumptions!$B$32)*Assumptions!$B$33*I8</f>
        <v>701.25</v>
      </c>
      <c r="J9" s="52">
        <f>Assumptions!$B$32*J6+(1-Assumptions!$B$32)*Assumptions!$B$33*J8</f>
        <v>712.5</v>
      </c>
      <c r="K9" s="52">
        <f>Assumptions!$B$32*K6+(1-Assumptions!$B$32)*Assumptions!$B$33*K8</f>
        <v>712.5</v>
      </c>
      <c r="L9" s="52">
        <f>Assumptions!$B$32*L6+(1-Assumptions!$B$32)*Assumptions!$B$33*L8</f>
        <v>712.5</v>
      </c>
      <c r="M9" s="52">
        <f>Assumptions!$B$32*M6+(1-Assumptions!$B$32)*Assumptions!$B$33*M8</f>
        <v>712.5</v>
      </c>
      <c r="N9" s="52">
        <f>Assumptions!$B$32*N6+(1-Assumptions!$B$32)*Assumptions!$B$33*N8</f>
        <v>712.5</v>
      </c>
      <c r="O9" s="52">
        <f>Assumptions!$B$32*O6+(1-Assumptions!$B$32)*Assumptions!$B$33*O8</f>
        <v>427.5</v>
      </c>
      <c r="P9" s="52">
        <f>Assumptions!$B$32*P6+(1-Assumptions!$B$32)*Assumptions!$B$33*P8</f>
        <v>256.5</v>
      </c>
      <c r="Q9" s="52">
        <f>Assumptions!$B$32*Q6+(1-Assumptions!$B$32)*Assumptions!$B$33*Q8</f>
        <v>153.89999999999998</v>
      </c>
      <c r="R9" s="52">
        <f>Assumptions!$B$32*R6+(1-Assumptions!$B$32)*Assumptions!$B$33*R8</f>
        <v>92.34</v>
      </c>
      <c r="S9" s="52">
        <f>Assumptions!$B$32*S6+(1-Assumptions!$B$32)*Assumptions!$B$33*S8</f>
        <v>55.404</v>
      </c>
      <c r="T9" s="52">
        <f>Assumptions!$B$32*T6+(1-Assumptions!$B$32)*Assumptions!$B$33*T8</f>
        <v>33.242399999999996</v>
      </c>
      <c r="U9" s="52">
        <f>Assumptions!$B$32*U6+(1-Assumptions!$B$32)*Assumptions!$B$33*U8</f>
        <v>19.945439999999994</v>
      </c>
      <c r="V9" s="52">
        <f>Assumptions!$B$32*V6+(1-Assumptions!$B$32)*Assumptions!$B$33*V8</f>
        <v>11.967263999999998</v>
      </c>
      <c r="W9" s="52">
        <f>Assumptions!$B$32*W6+(1-Assumptions!$B$32)*Assumptions!$B$33*W8</f>
        <v>7.180358399999999</v>
      </c>
      <c r="X9" s="52">
        <f>Assumptions!$B$32*X6+(1-Assumptions!$B$32)*Assumptions!$B$33*X8</f>
        <v>4.308215039999999</v>
      </c>
      <c r="Y9" s="52">
        <f>Assumptions!$B$32*Y6+(1-Assumptions!$B$32)*Assumptions!$B$33*Y8</f>
        <v>2.5849290239999996</v>
      </c>
      <c r="Z9" s="52">
        <f>Assumptions!$B$32*Z6+(1-Assumptions!$B$32)*Assumptions!$B$33*Z8</f>
        <v>1.5509574143999996</v>
      </c>
    </row>
    <row r="10">
      <c r="A10" s="13" t="inlineStr">
        <is>
          <t>Company revenue, risk-adjusted (incl. milestones)</t>
        </is>
      </c>
      <c r="C10" s="52">
        <f>C9*Assumptions!$B$50</f>
        <v>90.0</v>
      </c>
      <c r="D10" s="52">
        <f>D9*Assumptions!$B$50</f>
        <v>210.0</v>
      </c>
      <c r="E10" s="52">
        <f>E9*Assumptions!$B$50</f>
        <v>346.87500000000006</v>
      </c>
      <c r="F10" s="52">
        <f>F9*Assumptions!$B$50</f>
        <v>489.375</v>
      </c>
      <c r="G10" s="52">
        <f>G9*Assumptions!$B$50</f>
        <v>601.875</v>
      </c>
      <c r="H10" s="52">
        <f>H9*Assumptions!$B$50</f>
        <v>684.375</v>
      </c>
      <c r="I10" s="52">
        <f>I9*Assumptions!$B$50</f>
        <v>701.25</v>
      </c>
      <c r="J10" s="52">
        <f>J9*Assumptions!$B$50</f>
        <v>712.5</v>
      </c>
      <c r="K10" s="52">
        <f>K9*Assumptions!$B$50</f>
        <v>712.5</v>
      </c>
      <c r="L10" s="52">
        <f>L9*Assumptions!$B$50</f>
        <v>712.5</v>
      </c>
      <c r="M10" s="52">
        <f>M9*Assumptions!$B$50</f>
        <v>712.5</v>
      </c>
      <c r="N10" s="52">
        <f>N9*Assumptions!$B$50</f>
        <v>712.5</v>
      </c>
      <c r="O10" s="52">
        <f>O9*Assumptions!$B$50</f>
        <v>427.5</v>
      </c>
      <c r="P10" s="52">
        <f>P9*Assumptions!$B$50</f>
        <v>256.5</v>
      </c>
      <c r="Q10" s="52">
        <f>Q9*Assumptions!$B$50</f>
        <v>153.89999999999998</v>
      </c>
      <c r="R10" s="52">
        <f>R9*Assumptions!$B$50</f>
        <v>92.34</v>
      </c>
      <c r="S10" s="52">
        <f>S9*Assumptions!$B$50</f>
        <v>55.404</v>
      </c>
      <c r="T10" s="52">
        <f>T9*Assumptions!$B$50</f>
        <v>33.242399999999996</v>
      </c>
      <c r="U10" s="52">
        <f>U9*Assumptions!$B$50</f>
        <v>19.945439999999994</v>
      </c>
      <c r="V10" s="52">
        <f>V9*Assumptions!$B$50</f>
        <v>11.967263999999998</v>
      </c>
      <c r="W10" s="52">
        <f>W9*Assumptions!$B$50</f>
        <v>7.180358399999999</v>
      </c>
      <c r="X10" s="52">
        <f>X9*Assumptions!$B$50</f>
        <v>4.308215039999999</v>
      </c>
      <c r="Y10" s="52">
        <f>Y9*Assumptions!$B$50</f>
        <v>2.5849290239999996</v>
      </c>
      <c r="Z10" s="52">
        <f>Z9*Assumptions!$B$50</f>
        <v>1.5509574143999996</v>
      </c>
    </row>
    <row r="11">
      <c r="A11" s="13" t="inlineStr">
        <is>
          <t>COGS + royalties, risk-adjusted</t>
        </is>
      </c>
      <c r="C11" s="52">
        <f>C9*(Assumptions!$B$51+Assumptions!$B$52)</f>
        <v>15.299999999999999</v>
      </c>
      <c r="D11" s="52">
        <f>D9*(Assumptions!$B$51+Assumptions!$B$52)</f>
        <v>35.699999999999996</v>
      </c>
      <c r="E11" s="52">
        <f>E9*(Assumptions!$B$51+Assumptions!$B$52)</f>
        <v>58.96875000000001</v>
      </c>
      <c r="F11" s="52">
        <f>F9*(Assumptions!$B$51+Assumptions!$B$52)</f>
        <v>83.19375</v>
      </c>
      <c r="G11" s="52">
        <f>G9*(Assumptions!$B$51+Assumptions!$B$52)</f>
        <v>102.31875</v>
      </c>
      <c r="H11" s="52">
        <f>H9*(Assumptions!$B$51+Assumptions!$B$52)</f>
        <v>116.34374999999999</v>
      </c>
      <c r="I11" s="52">
        <f>I9*(Assumptions!$B$51+Assumptions!$B$52)</f>
        <v>119.21249999999999</v>
      </c>
      <c r="J11" s="52">
        <f>J9*(Assumptions!$B$51+Assumptions!$B$52)</f>
        <v>121.12499999999999</v>
      </c>
      <c r="K11" s="52">
        <f>K9*(Assumptions!$B$51+Assumptions!$B$52)</f>
        <v>121.12499999999999</v>
      </c>
      <c r="L11" s="52">
        <f>L9*(Assumptions!$B$51+Assumptions!$B$52)</f>
        <v>121.12499999999999</v>
      </c>
      <c r="M11" s="52">
        <f>M9*(Assumptions!$B$51+Assumptions!$B$52)</f>
        <v>121.12499999999999</v>
      </c>
      <c r="N11" s="52">
        <f>N9*(Assumptions!$B$51+Assumptions!$B$52)</f>
        <v>121.12499999999999</v>
      </c>
      <c r="O11" s="52">
        <f>O9*(Assumptions!$B$51+Assumptions!$B$52)</f>
        <v>72.675</v>
      </c>
      <c r="P11" s="52">
        <f>P9*(Assumptions!$B$51+Assumptions!$B$52)</f>
        <v>43.605</v>
      </c>
      <c r="Q11" s="52">
        <f>Q9*(Assumptions!$B$51+Assumptions!$B$52)</f>
        <v>26.162999999999993</v>
      </c>
      <c r="R11" s="52">
        <f>R9*(Assumptions!$B$51+Assumptions!$B$52)</f>
        <v>15.697799999999999</v>
      </c>
      <c r="S11" s="52">
        <f>S9*(Assumptions!$B$51+Assumptions!$B$52)</f>
        <v>9.41868</v>
      </c>
      <c r="T11" s="52">
        <f>T9*(Assumptions!$B$51+Assumptions!$B$52)</f>
        <v>5.651207999999999</v>
      </c>
      <c r="U11" s="52">
        <f>U9*(Assumptions!$B$51+Assumptions!$B$52)</f>
        <v>3.3907247999999988</v>
      </c>
      <c r="V11" s="52">
        <f>V9*(Assumptions!$B$51+Assumptions!$B$52)</f>
        <v>2.0344348799999996</v>
      </c>
      <c r="W11" s="52">
        <f>W9*(Assumptions!$B$51+Assumptions!$B$52)</f>
        <v>1.2206609279999998</v>
      </c>
      <c r="X11" s="52">
        <f>X9*(Assumptions!$B$51+Assumptions!$B$52)</f>
        <v>0.7323965567999998</v>
      </c>
      <c r="Y11" s="52">
        <f>Y9*(Assumptions!$B$51+Assumptions!$B$52)</f>
        <v>0.43943793407999987</v>
      </c>
      <c r="Z11" s="52">
        <f>Z9*(Assumptions!$B$51+Assumptions!$B$52)</f>
        <v>0.2636627604479999</v>
      </c>
    </row>
    <row r="12">
      <c r="A12" s="13" t="inlineStr">
        <is>
          <t>Commercial SG&amp;A, risk-adjusted</t>
        </is>
      </c>
      <c r="C12" s="52">
        <f>Assumptions!$B$32*IF(Assumptions!$B$53=0,0,IF(C5=0,Assumptions!$B$54,IF(C5&gt;=1,C6*IF(OR(Assumptions!$B$50&lt;1,C5&gt;5),Assumptions!$B$53,MAX(Assumptions!$B$53,INDEX(Assumptions!$B$44:$F$44,C5))),0)))+(1-Assumptions!$B$32)*Assumptions!$B$33*IF(Assumptions!$B$53=0,0,IF(C7=0,Assumptions!$B$54,IF(C7&gt;=1,C8*IF(OR(Assumptions!$B$50&lt;1,C7&gt;5),Assumptions!$B$53,MAX(Assumptions!$B$53,INDEX(Assumptions!$B$44:$F$44,C7))),0)))</f>
        <v>81.0</v>
      </c>
      <c r="D12" s="52">
        <f>Assumptions!$B$32*IF(Assumptions!$B$53=0,0,IF(D5=0,Assumptions!$B$54,IF(D5&gt;=1,D6*IF(OR(Assumptions!$B$50&lt;1,D5&gt;5),Assumptions!$B$53,MAX(Assumptions!$B$53,INDEX(Assumptions!$B$44:$F$44,D5))),0)))+(1-Assumptions!$B$32)*Assumptions!$B$33*IF(Assumptions!$B$53=0,0,IF(D7=0,Assumptions!$B$54,IF(D7&gt;=1,D8*IF(OR(Assumptions!$B$50&lt;1,D7&gt;5),Assumptions!$B$53,MAX(Assumptions!$B$53,INDEX(Assumptions!$B$44:$F$44,D7))),0)))</f>
        <v>119.25</v>
      </c>
      <c r="E12" s="52">
        <f>Assumptions!$B$32*IF(Assumptions!$B$53=0,0,IF(E5=0,Assumptions!$B$54,IF(E5&gt;=1,E6*IF(OR(Assumptions!$B$50&lt;1,E5&gt;5),Assumptions!$B$53,MAX(Assumptions!$B$53,INDEX(Assumptions!$B$44:$F$44,E5))),0)))+(1-Assumptions!$B$32)*Assumptions!$B$33*IF(Assumptions!$B$53=0,0,IF(E7=0,Assumptions!$B$54,IF(E7&gt;=1,E8*IF(OR(Assumptions!$B$50&lt;1,E7&gt;5),Assumptions!$B$53,MAX(Assumptions!$B$53,INDEX(Assumptions!$B$44:$F$44,E7))),0)))</f>
        <v>147.18750000000003</v>
      </c>
      <c r="F12" s="52">
        <f>Assumptions!$B$32*IF(Assumptions!$B$53=0,0,IF(F5=0,Assumptions!$B$54,IF(F5&gt;=1,F6*IF(OR(Assumptions!$B$50&lt;1,F5&gt;5),Assumptions!$B$53,MAX(Assumptions!$B$53,INDEX(Assumptions!$B$44:$F$44,F5))),0)))+(1-Assumptions!$B$32)*Assumptions!$B$33*IF(Assumptions!$B$53=0,0,IF(F7=0,Assumptions!$B$54,IF(F7&gt;=1,F8*IF(OR(Assumptions!$B$50&lt;1,F7&gt;5),Assumptions!$B$53,MAX(Assumptions!$B$53,INDEX(Assumptions!$B$44:$F$44,F7))),0)))</f>
        <v>165.65625</v>
      </c>
      <c r="G12" s="52">
        <f>Assumptions!$B$32*IF(Assumptions!$B$53=0,0,IF(G5=0,Assumptions!$B$54,IF(G5&gt;=1,G6*IF(OR(Assumptions!$B$50&lt;1,G5&gt;5),Assumptions!$B$53,MAX(Assumptions!$B$53,INDEX(Assumptions!$B$44:$F$44,G5))),0)))+(1-Assumptions!$B$32)*Assumptions!$B$33*IF(Assumptions!$B$53=0,0,IF(G7=0,Assumptions!$B$54,IF(G7&gt;=1,G8*IF(OR(Assumptions!$B$50&lt;1,G7&gt;5),Assumptions!$B$53,MAX(Assumptions!$B$53,INDEX(Assumptions!$B$44:$F$44,G7))),0)))</f>
        <v>175.95000000000002</v>
      </c>
      <c r="H12" s="52">
        <f>Assumptions!$B$32*IF(Assumptions!$B$53=0,0,IF(H5=0,Assumptions!$B$54,IF(H5&gt;=1,H6*IF(OR(Assumptions!$B$50&lt;1,H5&gt;5),Assumptions!$B$53,MAX(Assumptions!$B$53,INDEX(Assumptions!$B$44:$F$44,H5))),0)))+(1-Assumptions!$B$32)*Assumptions!$B$33*IF(Assumptions!$B$53=0,0,IF(H7=0,Assumptions!$B$54,IF(H7&gt;=1,H8*IF(OR(Assumptions!$B$50&lt;1,H7&gt;5),Assumptions!$B$53,MAX(Assumptions!$B$53,INDEX(Assumptions!$B$44:$F$44,H7))),0)))</f>
        <v>177.0</v>
      </c>
      <c r="I12" s="52">
        <f>Assumptions!$B$32*IF(Assumptions!$B$53=0,0,IF(I5=0,Assumptions!$B$54,IF(I5&gt;=1,I6*IF(OR(Assumptions!$B$50&lt;1,I5&gt;5),Assumptions!$B$53,MAX(Assumptions!$B$53,INDEX(Assumptions!$B$44:$F$44,I5))),0)))+(1-Assumptions!$B$32)*Assumptions!$B$33*IF(Assumptions!$B$53=0,0,IF(I7=0,Assumptions!$B$54,IF(I7&gt;=1,I8*IF(OR(Assumptions!$B$50&lt;1,I7&gt;5),Assumptions!$B$53,MAX(Assumptions!$B$53,INDEX(Assumptions!$B$44:$F$44,I7))),0)))</f>
        <v>178.35</v>
      </c>
      <c r="J12" s="52">
        <f>Assumptions!$B$32*IF(Assumptions!$B$53=0,0,IF(J5=0,Assumptions!$B$54,IF(J5&gt;=1,J6*IF(OR(Assumptions!$B$50&lt;1,J5&gt;5),Assumptions!$B$53,MAX(Assumptions!$B$53,INDEX(Assumptions!$B$44:$F$44,J5))),0)))+(1-Assumptions!$B$32)*Assumptions!$B$33*IF(Assumptions!$B$53=0,0,IF(J7=0,Assumptions!$B$54,IF(J7&gt;=1,J8*IF(OR(Assumptions!$B$50&lt;1,J7&gt;5),Assumptions!$B$53,MAX(Assumptions!$B$53,INDEX(Assumptions!$B$44:$F$44,J7))),0)))</f>
        <v>178.125</v>
      </c>
      <c r="K12" s="52">
        <f>Assumptions!$B$32*IF(Assumptions!$B$53=0,0,IF(K5=0,Assumptions!$B$54,IF(K5&gt;=1,K6*IF(OR(Assumptions!$B$50&lt;1,K5&gt;5),Assumptions!$B$53,MAX(Assumptions!$B$53,INDEX(Assumptions!$B$44:$F$44,K5))),0)))+(1-Assumptions!$B$32)*Assumptions!$B$33*IF(Assumptions!$B$53=0,0,IF(K7=0,Assumptions!$B$54,IF(K7&gt;=1,K8*IF(OR(Assumptions!$B$50&lt;1,K7&gt;5),Assumptions!$B$53,MAX(Assumptions!$B$53,INDEX(Assumptions!$B$44:$F$44,K7))),0)))</f>
        <v>178.125</v>
      </c>
      <c r="L12" s="52">
        <f>Assumptions!$B$32*IF(Assumptions!$B$53=0,0,IF(L5=0,Assumptions!$B$54,IF(L5&gt;=1,L6*IF(OR(Assumptions!$B$50&lt;1,L5&gt;5),Assumptions!$B$53,MAX(Assumptions!$B$53,INDEX(Assumptions!$B$44:$F$44,L5))),0)))+(1-Assumptions!$B$32)*Assumptions!$B$33*IF(Assumptions!$B$53=0,0,IF(L7=0,Assumptions!$B$54,IF(L7&gt;=1,L8*IF(OR(Assumptions!$B$50&lt;1,L7&gt;5),Assumptions!$B$53,MAX(Assumptions!$B$53,INDEX(Assumptions!$B$44:$F$44,L7))),0)))</f>
        <v>178.125</v>
      </c>
      <c r="M12" s="52">
        <f>Assumptions!$B$32*IF(Assumptions!$B$53=0,0,IF(M5=0,Assumptions!$B$54,IF(M5&gt;=1,M6*IF(OR(Assumptions!$B$50&lt;1,M5&gt;5),Assumptions!$B$53,MAX(Assumptions!$B$53,INDEX(Assumptions!$B$44:$F$44,M5))),0)))+(1-Assumptions!$B$32)*Assumptions!$B$33*IF(Assumptions!$B$53=0,0,IF(M7=0,Assumptions!$B$54,IF(M7&gt;=1,M8*IF(OR(Assumptions!$B$50&lt;1,M7&gt;5),Assumptions!$B$53,MAX(Assumptions!$B$53,INDEX(Assumptions!$B$44:$F$44,M7))),0)))</f>
        <v>178.125</v>
      </c>
      <c r="N12" s="52">
        <f>Assumptions!$B$32*IF(Assumptions!$B$53=0,0,IF(N5=0,Assumptions!$B$54,IF(N5&gt;=1,N6*IF(OR(Assumptions!$B$50&lt;1,N5&gt;5),Assumptions!$B$53,MAX(Assumptions!$B$53,INDEX(Assumptions!$B$44:$F$44,N5))),0)))+(1-Assumptions!$B$32)*Assumptions!$B$33*IF(Assumptions!$B$53=0,0,IF(N7=0,Assumptions!$B$54,IF(N7&gt;=1,N8*IF(OR(Assumptions!$B$50&lt;1,N7&gt;5),Assumptions!$B$53,MAX(Assumptions!$B$53,INDEX(Assumptions!$B$44:$F$44,N7))),0)))</f>
        <v>178.125</v>
      </c>
      <c r="O12" s="52">
        <f>Assumptions!$B$32*IF(Assumptions!$B$53=0,0,IF(O5=0,Assumptions!$B$54,IF(O5&gt;=1,O6*IF(OR(Assumptions!$B$50&lt;1,O5&gt;5),Assumptions!$B$53,MAX(Assumptions!$B$53,INDEX(Assumptions!$B$44:$F$44,O5))),0)))+(1-Assumptions!$B$32)*Assumptions!$B$33*IF(Assumptions!$B$53=0,0,IF(O7=0,Assumptions!$B$54,IF(O7&gt;=1,O8*IF(OR(Assumptions!$B$50&lt;1,O7&gt;5),Assumptions!$B$53,MAX(Assumptions!$B$53,INDEX(Assumptions!$B$44:$F$44,O7))),0)))</f>
        <v>106.875</v>
      </c>
      <c r="P12" s="52">
        <f>Assumptions!$B$32*IF(Assumptions!$B$53=0,0,IF(P5=0,Assumptions!$B$54,IF(P5&gt;=1,P6*IF(OR(Assumptions!$B$50&lt;1,P5&gt;5),Assumptions!$B$53,MAX(Assumptions!$B$53,INDEX(Assumptions!$B$44:$F$44,P5))),0)))+(1-Assumptions!$B$32)*Assumptions!$B$33*IF(Assumptions!$B$53=0,0,IF(P7=0,Assumptions!$B$54,IF(P7&gt;=1,P8*IF(OR(Assumptions!$B$50&lt;1,P7&gt;5),Assumptions!$B$53,MAX(Assumptions!$B$53,INDEX(Assumptions!$B$44:$F$44,P7))),0)))</f>
        <v>64.125</v>
      </c>
      <c r="Q12" s="52">
        <f>Assumptions!$B$32*IF(Assumptions!$B$53=0,0,IF(Q5=0,Assumptions!$B$54,IF(Q5&gt;=1,Q6*IF(OR(Assumptions!$B$50&lt;1,Q5&gt;5),Assumptions!$B$53,MAX(Assumptions!$B$53,INDEX(Assumptions!$B$44:$F$44,Q5))),0)))+(1-Assumptions!$B$32)*Assumptions!$B$33*IF(Assumptions!$B$53=0,0,IF(Q7=0,Assumptions!$B$54,IF(Q7&gt;=1,Q8*IF(OR(Assumptions!$B$50&lt;1,Q7&gt;5),Assumptions!$B$53,MAX(Assumptions!$B$53,INDEX(Assumptions!$B$44:$F$44,Q7))),0)))</f>
        <v>38.474999999999994</v>
      </c>
      <c r="R12" s="52">
        <f>Assumptions!$B$32*IF(Assumptions!$B$53=0,0,IF(R5=0,Assumptions!$B$54,IF(R5&gt;=1,R6*IF(OR(Assumptions!$B$50&lt;1,R5&gt;5),Assumptions!$B$53,MAX(Assumptions!$B$53,INDEX(Assumptions!$B$44:$F$44,R5))),0)))+(1-Assumptions!$B$32)*Assumptions!$B$33*IF(Assumptions!$B$53=0,0,IF(R7=0,Assumptions!$B$54,IF(R7&gt;=1,R8*IF(OR(Assumptions!$B$50&lt;1,R7&gt;5),Assumptions!$B$53,MAX(Assumptions!$B$53,INDEX(Assumptions!$B$44:$F$44,R7))),0)))</f>
        <v>23.085</v>
      </c>
      <c r="S12" s="52">
        <f>Assumptions!$B$32*IF(Assumptions!$B$53=0,0,IF(S5=0,Assumptions!$B$54,IF(S5&gt;=1,S6*IF(OR(Assumptions!$B$50&lt;1,S5&gt;5),Assumptions!$B$53,MAX(Assumptions!$B$53,INDEX(Assumptions!$B$44:$F$44,S5))),0)))+(1-Assumptions!$B$32)*Assumptions!$B$33*IF(Assumptions!$B$53=0,0,IF(S7=0,Assumptions!$B$54,IF(S7&gt;=1,S8*IF(OR(Assumptions!$B$50&lt;1,S7&gt;5),Assumptions!$B$53,MAX(Assumptions!$B$53,INDEX(Assumptions!$B$44:$F$44,S7))),0)))</f>
        <v>13.851</v>
      </c>
      <c r="T12" s="52">
        <f>Assumptions!$B$32*IF(Assumptions!$B$53=0,0,IF(T5=0,Assumptions!$B$54,IF(T5&gt;=1,T6*IF(OR(Assumptions!$B$50&lt;1,T5&gt;5),Assumptions!$B$53,MAX(Assumptions!$B$53,INDEX(Assumptions!$B$44:$F$44,T5))),0)))+(1-Assumptions!$B$32)*Assumptions!$B$33*IF(Assumptions!$B$53=0,0,IF(T7=0,Assumptions!$B$54,IF(T7&gt;=1,T8*IF(OR(Assumptions!$B$50&lt;1,T7&gt;5),Assumptions!$B$53,MAX(Assumptions!$B$53,INDEX(Assumptions!$B$44:$F$44,T7))),0)))</f>
        <v>8.310599999999999</v>
      </c>
      <c r="U12" s="52">
        <f>Assumptions!$B$32*IF(Assumptions!$B$53=0,0,IF(U5=0,Assumptions!$B$54,IF(U5&gt;=1,U6*IF(OR(Assumptions!$B$50&lt;1,U5&gt;5),Assumptions!$B$53,MAX(Assumptions!$B$53,INDEX(Assumptions!$B$44:$F$44,U5))),0)))+(1-Assumptions!$B$32)*Assumptions!$B$33*IF(Assumptions!$B$53=0,0,IF(U7=0,Assumptions!$B$54,IF(U7&gt;=1,U8*IF(OR(Assumptions!$B$50&lt;1,U7&gt;5),Assumptions!$B$53,MAX(Assumptions!$B$53,INDEX(Assumptions!$B$44:$F$44,U7))),0)))</f>
        <v>4.986359999999999</v>
      </c>
      <c r="V12" s="52">
        <f>Assumptions!$B$32*IF(Assumptions!$B$53=0,0,IF(V5=0,Assumptions!$B$54,IF(V5&gt;=1,V6*IF(OR(Assumptions!$B$50&lt;1,V5&gt;5),Assumptions!$B$53,MAX(Assumptions!$B$53,INDEX(Assumptions!$B$44:$F$44,V5))),0)))+(1-Assumptions!$B$32)*Assumptions!$B$33*IF(Assumptions!$B$53=0,0,IF(V7=0,Assumptions!$B$54,IF(V7&gt;=1,V8*IF(OR(Assumptions!$B$50&lt;1,V7&gt;5),Assumptions!$B$53,MAX(Assumptions!$B$53,INDEX(Assumptions!$B$44:$F$44,V7))),0)))</f>
        <v>2.9918159999999996</v>
      </c>
      <c r="W12" s="52">
        <f>Assumptions!$B$32*IF(Assumptions!$B$53=0,0,IF(W5=0,Assumptions!$B$54,IF(W5&gt;=1,W6*IF(OR(Assumptions!$B$50&lt;1,W5&gt;5),Assumptions!$B$53,MAX(Assumptions!$B$53,INDEX(Assumptions!$B$44:$F$44,W5))),0)))+(1-Assumptions!$B$32)*Assumptions!$B$33*IF(Assumptions!$B$53=0,0,IF(W7=0,Assumptions!$B$54,IF(W7&gt;=1,W8*IF(OR(Assumptions!$B$50&lt;1,W7&gt;5),Assumptions!$B$53,MAX(Assumptions!$B$53,INDEX(Assumptions!$B$44:$F$44,W7))),0)))</f>
        <v>1.7950895999999998</v>
      </c>
      <c r="X12" s="52">
        <f>Assumptions!$B$32*IF(Assumptions!$B$53=0,0,IF(X5=0,Assumptions!$B$54,IF(X5&gt;=1,X6*IF(OR(Assumptions!$B$50&lt;1,X5&gt;5),Assumptions!$B$53,MAX(Assumptions!$B$53,INDEX(Assumptions!$B$44:$F$44,X5))),0)))+(1-Assumptions!$B$32)*Assumptions!$B$33*IF(Assumptions!$B$53=0,0,IF(X7=0,Assumptions!$B$54,IF(X7&gt;=1,X8*IF(OR(Assumptions!$B$50&lt;1,X7&gt;5),Assumptions!$B$53,MAX(Assumptions!$B$53,INDEX(Assumptions!$B$44:$F$44,X7))),0)))</f>
        <v>1.0770537599999999</v>
      </c>
      <c r="Y12" s="52">
        <f>Assumptions!$B$32*IF(Assumptions!$B$53=0,0,IF(Y5=0,Assumptions!$B$54,IF(Y5&gt;=1,Y6*IF(OR(Assumptions!$B$50&lt;1,Y5&gt;5),Assumptions!$B$53,MAX(Assumptions!$B$53,INDEX(Assumptions!$B$44:$F$44,Y5))),0)))+(1-Assumptions!$B$32)*Assumptions!$B$33*IF(Assumptions!$B$53=0,0,IF(Y7=0,Assumptions!$B$54,IF(Y7&gt;=1,Y8*IF(OR(Assumptions!$B$50&lt;1,Y7&gt;5),Assumptions!$B$53,MAX(Assumptions!$B$53,INDEX(Assumptions!$B$44:$F$44,Y7))),0)))</f>
        <v>0.6462322559999999</v>
      </c>
      <c r="Z12" s="52">
        <f>Assumptions!$B$32*IF(Assumptions!$B$53=0,0,IF(Z5=0,Assumptions!$B$54,IF(Z5&gt;=1,Z6*IF(OR(Assumptions!$B$50&lt;1,Z5&gt;5),Assumptions!$B$53,MAX(Assumptions!$B$53,INDEX(Assumptions!$B$44:$F$44,Z5))),0)))+(1-Assumptions!$B$32)*Assumptions!$B$33*IF(Assumptions!$B$53=0,0,IF(Z7=0,Assumptions!$B$54,IF(Z7&gt;=1,Z8*IF(OR(Assumptions!$B$50&lt;1,Z7&gt;5),Assumptions!$B$53,MAX(Assumptions!$B$53,INDEX(Assumptions!$B$44:$F$44,Z7))),0)))</f>
        <v>0.3877393535999999</v>
      </c>
    </row>
    <row r="13">
      <c r="A13" s="13" t="inlineStr">
        <is>
          <t>Development R&amp;D, risk-adjusted</t>
        </is>
      </c>
      <c r="C13" s="52">
        <f>IFERROR(INDEX(Assumptions!$B$59:$I$59,MATCH(C$2,Assumptions!$B$58:$I$58,0))*INDEX(Assumptions!$B$60:$I$60,MATCH(C$2,Assumptions!$B$58:$I$58,0)),0)</f>
        <v>15.0</v>
      </c>
      <c r="D13" s="52">
        <f>IFERROR(INDEX(Assumptions!$B$59:$I$59,MATCH(D$2,Assumptions!$B$58:$I$58,0))*INDEX(Assumptions!$B$60:$I$60,MATCH(D$2,Assumptions!$B$58:$I$58,0)),0)</f>
        <v>10.0</v>
      </c>
      <c r="E13" s="52">
        <f>IFERROR(INDEX(Assumptions!$B$59:$I$59,MATCH(E$2,Assumptions!$B$58:$I$58,0))*INDEX(Assumptions!$B$60:$I$60,MATCH(E$2,Assumptions!$B$58:$I$58,0)),0)</f>
        <v>0.0</v>
      </c>
      <c r="F13" s="52">
        <f>IFERROR(INDEX(Assumptions!$B$59:$I$59,MATCH(F$2,Assumptions!$B$58:$I$58,0))*INDEX(Assumptions!$B$60:$I$60,MATCH(F$2,Assumptions!$B$58:$I$58,0)),0)</f>
        <v>0.0</v>
      </c>
      <c r="G13" s="52">
        <f>IFERROR(INDEX(Assumptions!$B$59:$I$59,MATCH(G$2,Assumptions!$B$58:$I$58,0))*INDEX(Assumptions!$B$60:$I$60,MATCH(G$2,Assumptions!$B$58:$I$58,0)),0)</f>
        <v>0.0</v>
      </c>
      <c r="H13" s="52">
        <f>IFERROR(INDEX(Assumptions!$B$59:$I$59,MATCH(H$2,Assumptions!$B$58:$I$58,0))*INDEX(Assumptions!$B$60:$I$60,MATCH(H$2,Assumptions!$B$58:$I$58,0)),0)</f>
        <v>0.0</v>
      </c>
      <c r="I13" s="52">
        <f>IFERROR(INDEX(Assumptions!$B$59:$I$59,MATCH(I$2,Assumptions!$B$58:$I$58,0))*INDEX(Assumptions!$B$60:$I$60,MATCH(I$2,Assumptions!$B$58:$I$58,0)),0)</f>
        <v>0.0</v>
      </c>
      <c r="J13" s="52">
        <f>IFERROR(INDEX(Assumptions!$B$59:$I$59,MATCH(J$2,Assumptions!$B$58:$I$58,0))*INDEX(Assumptions!$B$60:$I$60,MATCH(J$2,Assumptions!$B$58:$I$58,0)),0)</f>
        <v>0.0</v>
      </c>
      <c r="K13" s="52">
        <f>IFERROR(INDEX(Assumptions!$B$59:$I$59,MATCH(K$2,Assumptions!$B$58:$I$58,0))*INDEX(Assumptions!$B$60:$I$60,MATCH(K$2,Assumptions!$B$58:$I$58,0)),0)</f>
        <v>0</v>
      </c>
      <c r="L13" s="52">
        <f>IFERROR(INDEX(Assumptions!$B$59:$I$59,MATCH(L$2,Assumptions!$B$58:$I$58,0))*INDEX(Assumptions!$B$60:$I$60,MATCH(L$2,Assumptions!$B$58:$I$58,0)),0)</f>
        <v>0</v>
      </c>
      <c r="M13" s="52">
        <f>IFERROR(INDEX(Assumptions!$B$59:$I$59,MATCH(M$2,Assumptions!$B$58:$I$58,0))*INDEX(Assumptions!$B$60:$I$60,MATCH(M$2,Assumptions!$B$58:$I$58,0)),0)</f>
        <v>0</v>
      </c>
      <c r="N13" s="52">
        <f>IFERROR(INDEX(Assumptions!$B$59:$I$59,MATCH(N$2,Assumptions!$B$58:$I$58,0))*INDEX(Assumptions!$B$60:$I$60,MATCH(N$2,Assumptions!$B$58:$I$58,0)),0)</f>
        <v>0</v>
      </c>
      <c r="O13" s="52">
        <f>IFERROR(INDEX(Assumptions!$B$59:$I$59,MATCH(O$2,Assumptions!$B$58:$I$58,0))*INDEX(Assumptions!$B$60:$I$60,MATCH(O$2,Assumptions!$B$58:$I$58,0)),0)</f>
        <v>0</v>
      </c>
      <c r="P13" s="52">
        <f>IFERROR(INDEX(Assumptions!$B$59:$I$59,MATCH(P$2,Assumptions!$B$58:$I$58,0))*INDEX(Assumptions!$B$60:$I$60,MATCH(P$2,Assumptions!$B$58:$I$58,0)),0)</f>
        <v>0</v>
      </c>
      <c r="Q13" s="52">
        <f>IFERROR(INDEX(Assumptions!$B$59:$I$59,MATCH(Q$2,Assumptions!$B$58:$I$58,0))*INDEX(Assumptions!$B$60:$I$60,MATCH(Q$2,Assumptions!$B$58:$I$58,0)),0)</f>
        <v>0</v>
      </c>
      <c r="R13" s="52">
        <f>IFERROR(INDEX(Assumptions!$B$59:$I$59,MATCH(R$2,Assumptions!$B$58:$I$58,0))*INDEX(Assumptions!$B$60:$I$60,MATCH(R$2,Assumptions!$B$58:$I$58,0)),0)</f>
        <v>0</v>
      </c>
      <c r="S13" s="52">
        <f>IFERROR(INDEX(Assumptions!$B$59:$I$59,MATCH(S$2,Assumptions!$B$58:$I$58,0))*INDEX(Assumptions!$B$60:$I$60,MATCH(S$2,Assumptions!$B$58:$I$58,0)),0)</f>
        <v>0</v>
      </c>
      <c r="T13" s="52">
        <f>IFERROR(INDEX(Assumptions!$B$59:$I$59,MATCH(T$2,Assumptions!$B$58:$I$58,0))*INDEX(Assumptions!$B$60:$I$60,MATCH(T$2,Assumptions!$B$58:$I$58,0)),0)</f>
        <v>0</v>
      </c>
      <c r="U13" s="52">
        <f>IFERROR(INDEX(Assumptions!$B$59:$I$59,MATCH(U$2,Assumptions!$B$58:$I$58,0))*INDEX(Assumptions!$B$60:$I$60,MATCH(U$2,Assumptions!$B$58:$I$58,0)),0)</f>
        <v>0</v>
      </c>
      <c r="V13" s="52">
        <f>IFERROR(INDEX(Assumptions!$B$59:$I$59,MATCH(V$2,Assumptions!$B$58:$I$58,0))*INDEX(Assumptions!$B$60:$I$60,MATCH(V$2,Assumptions!$B$58:$I$58,0)),0)</f>
        <v>0</v>
      </c>
      <c r="W13" s="52">
        <f>IFERROR(INDEX(Assumptions!$B$59:$I$59,MATCH(W$2,Assumptions!$B$58:$I$58,0))*INDEX(Assumptions!$B$60:$I$60,MATCH(W$2,Assumptions!$B$58:$I$58,0)),0)</f>
        <v>0</v>
      </c>
      <c r="X13" s="52">
        <f>IFERROR(INDEX(Assumptions!$B$59:$I$59,MATCH(X$2,Assumptions!$B$58:$I$58,0))*INDEX(Assumptions!$B$60:$I$60,MATCH(X$2,Assumptions!$B$58:$I$58,0)),0)</f>
        <v>0</v>
      </c>
      <c r="Y13" s="52">
        <f>IFERROR(INDEX(Assumptions!$B$59:$I$59,MATCH(Y$2,Assumptions!$B$58:$I$58,0))*INDEX(Assumptions!$B$60:$I$60,MATCH(Y$2,Assumptions!$B$58:$I$58,0)),0)</f>
        <v>0</v>
      </c>
      <c r="Z13" s="52">
        <f>IFERROR(INDEX(Assumptions!$B$59:$I$59,MATCH(Z$2,Assumptions!$B$58:$I$58,0))*INDEX(Assumptions!$B$60:$I$60,MATCH(Z$2,Assumptions!$B$58:$I$58,0)),0)</f>
        <v>0</v>
      </c>
    </row>
    <row r="14">
      <c r="A14" s="23" t="inlineStr">
        <is>
          <t>Program contribution (pre-tax)</t>
        </is>
      </c>
      <c r="C14" s="56">
        <f>C10-C11-C12-C13</f>
        <v>-21.299999999999997</v>
      </c>
      <c r="D14" s="56">
        <f>D10-D11-D12-D13</f>
        <v>45.05000000000001</v>
      </c>
      <c r="E14" s="56">
        <f>E10-E11-E12-E13</f>
        <v>140.71875000000003</v>
      </c>
      <c r="F14" s="56">
        <f>F10-F11-F12-F13</f>
        <v>240.52499999999998</v>
      </c>
      <c r="G14" s="56">
        <f>G10-G11-G12-G13</f>
        <v>323.60624999999993</v>
      </c>
      <c r="H14" s="56">
        <f>H10-H11-H12-H13</f>
        <v>391.03125</v>
      </c>
      <c r="I14" s="56">
        <f>I10-I11-I12-I13</f>
        <v>403.6875</v>
      </c>
      <c r="J14" s="56">
        <f>J10-J11-J12-J13</f>
        <v>413.25</v>
      </c>
      <c r="K14" s="56">
        <f>K10-K11-K12-K13</f>
        <v>413.25</v>
      </c>
      <c r="L14" s="56">
        <f>L10-L11-L12-L13</f>
        <v>413.25</v>
      </c>
      <c r="M14" s="56">
        <f>M10-M11-M12-M13</f>
        <v>413.25</v>
      </c>
      <c r="N14" s="56">
        <f>N10-N11-N12-N13</f>
        <v>413.25</v>
      </c>
      <c r="O14" s="56">
        <f>O10-O11-O12-O13</f>
        <v>247.95</v>
      </c>
      <c r="P14" s="56">
        <f>P10-P11-P12-P13</f>
        <v>148.77</v>
      </c>
      <c r="Q14" s="56">
        <f>Q10-Q11-Q12-Q13</f>
        <v>89.26199999999999</v>
      </c>
      <c r="R14" s="56">
        <f>R10-R11-R12-R13</f>
        <v>53.5572</v>
      </c>
      <c r="S14" s="56">
        <f>S10-S11-S12-S13</f>
        <v>32.13432</v>
      </c>
      <c r="T14" s="56">
        <f>T10-T11-T12-T13</f>
        <v>19.280592</v>
      </c>
      <c r="U14" s="56">
        <f>U10-U11-U12-U13</f>
        <v>11.5683552</v>
      </c>
      <c r="V14" s="56">
        <f>V10-V11-V12-V13</f>
        <v>6.941013119999999</v>
      </c>
      <c r="W14" s="56">
        <f>W10-W11-W12-W13</f>
        <v>4.1646078719999995</v>
      </c>
      <c r="X14" s="56">
        <f>X10-X11-X12-X13</f>
        <v>2.4987647232</v>
      </c>
      <c r="Y14" s="56">
        <f>Y10-Y11-Y12-Y13</f>
        <v>1.49925883392</v>
      </c>
      <c r="Z14" s="56">
        <f>Z10-Z11-Z12-Z13</f>
        <v>0.8995553003519997</v>
      </c>
    </row>
    <row r="16">
      <c r="A16" s="30" t="inlineStr">
        <is>
          <t>Company totals (risk-adjusted)</t>
        </is>
      </c>
    </row>
    <row r="17">
      <c r="A17" s="23" t="inlineStr">
        <is>
          <t>Revenue</t>
        </is>
      </c>
      <c r="C17" s="56">
        <f>C10</f>
        <v>90.0</v>
      </c>
      <c r="D17" s="56">
        <f>D10</f>
        <v>210.0</v>
      </c>
      <c r="E17" s="56">
        <f>E10</f>
        <v>346.87500000000006</v>
      </c>
      <c r="F17" s="56">
        <f>F10</f>
        <v>489.375</v>
      </c>
      <c r="G17" s="56">
        <f>G10</f>
        <v>601.875</v>
      </c>
      <c r="H17" s="56">
        <f>H10</f>
        <v>684.375</v>
      </c>
      <c r="I17" s="56">
        <f>I10</f>
        <v>701.25</v>
      </c>
      <c r="J17" s="56">
        <f>J10</f>
        <v>712.5</v>
      </c>
      <c r="K17" s="56">
        <f>K10</f>
        <v>712.5</v>
      </c>
      <c r="L17" s="56">
        <f>L10</f>
        <v>712.5</v>
      </c>
      <c r="M17" s="56">
        <f>M10</f>
        <v>712.5</v>
      </c>
      <c r="N17" s="56">
        <f>N10</f>
        <v>712.5</v>
      </c>
      <c r="O17" s="56">
        <f>O10</f>
        <v>427.5</v>
      </c>
      <c r="P17" s="56">
        <f>P10</f>
        <v>256.5</v>
      </c>
      <c r="Q17" s="56">
        <f>Q10</f>
        <v>153.89999999999998</v>
      </c>
      <c r="R17" s="56">
        <f>R10</f>
        <v>92.34</v>
      </c>
      <c r="S17" s="56">
        <f>S10</f>
        <v>55.404</v>
      </c>
      <c r="T17" s="56">
        <f>T10</f>
        <v>33.242399999999996</v>
      </c>
      <c r="U17" s="56">
        <f>U10</f>
        <v>19.945439999999994</v>
      </c>
      <c r="V17" s="56">
        <f>V10</f>
        <v>11.967263999999998</v>
      </c>
      <c r="W17" s="56">
        <f>W10</f>
        <v>7.180358399999999</v>
      </c>
      <c r="X17" s="56">
        <f>X10</f>
        <v>4.308215039999999</v>
      </c>
      <c r="Y17" s="56">
        <f>Y10</f>
        <v>2.5849290239999996</v>
      </c>
      <c r="Z17" s="56">
        <f>Z10</f>
        <v>1.5509574143999996</v>
      </c>
    </row>
    <row r="18">
      <c r="A18" s="13" t="inlineStr">
        <is>
          <t>Cost of sales (COGS + royalties)</t>
        </is>
      </c>
      <c r="C18" s="52">
        <f>C11</f>
        <v>15.299999999999999</v>
      </c>
      <c r="D18" s="52">
        <f>D11</f>
        <v>35.699999999999996</v>
      </c>
      <c r="E18" s="52">
        <f>E11</f>
        <v>58.96875000000001</v>
      </c>
      <c r="F18" s="52">
        <f>F11</f>
        <v>83.19375</v>
      </c>
      <c r="G18" s="52">
        <f>G11</f>
        <v>102.31875</v>
      </c>
      <c r="H18" s="52">
        <f>H11</f>
        <v>116.34374999999999</v>
      </c>
      <c r="I18" s="52">
        <f>I11</f>
        <v>119.21249999999999</v>
      </c>
      <c r="J18" s="52">
        <f>J11</f>
        <v>121.12499999999999</v>
      </c>
      <c r="K18" s="52">
        <f>K11</f>
        <v>121.12499999999999</v>
      </c>
      <c r="L18" s="52">
        <f>L11</f>
        <v>121.12499999999999</v>
      </c>
      <c r="M18" s="52">
        <f>M11</f>
        <v>121.12499999999999</v>
      </c>
      <c r="N18" s="52">
        <f>N11</f>
        <v>121.12499999999999</v>
      </c>
      <c r="O18" s="52">
        <f>O11</f>
        <v>72.675</v>
      </c>
      <c r="P18" s="52">
        <f>P11</f>
        <v>43.605</v>
      </c>
      <c r="Q18" s="52">
        <f>Q11</f>
        <v>26.162999999999993</v>
      </c>
      <c r="R18" s="52">
        <f>R11</f>
        <v>15.697799999999999</v>
      </c>
      <c r="S18" s="52">
        <f>S11</f>
        <v>9.41868</v>
      </c>
      <c r="T18" s="52">
        <f>T11</f>
        <v>5.651207999999999</v>
      </c>
      <c r="U18" s="52">
        <f>U11</f>
        <v>3.3907247999999988</v>
      </c>
      <c r="V18" s="52">
        <f>V11</f>
        <v>2.0344348799999996</v>
      </c>
      <c r="W18" s="52">
        <f>W11</f>
        <v>1.2206609279999998</v>
      </c>
      <c r="X18" s="52">
        <f>X11</f>
        <v>0.7323965567999998</v>
      </c>
      <c r="Y18" s="52">
        <f>Y11</f>
        <v>0.43943793407999987</v>
      </c>
      <c r="Z18" s="52">
        <f>Z11</f>
        <v>0.2636627604479999</v>
      </c>
    </row>
    <row r="19">
      <c r="A19" s="13" t="inlineStr">
        <is>
          <t>Program development R&amp;D</t>
        </is>
      </c>
      <c r="C19" s="52">
        <f>C13</f>
        <v>15.0</v>
      </c>
      <c r="D19" s="52">
        <f>D13</f>
        <v>10.0</v>
      </c>
      <c r="E19" s="52">
        <f>E13</f>
        <v>0.0</v>
      </c>
      <c r="F19" s="52">
        <f>F13</f>
        <v>0.0</v>
      </c>
      <c r="G19" s="52">
        <f>G13</f>
        <v>0.0</v>
      </c>
      <c r="H19" s="52">
        <f>H13</f>
        <v>0.0</v>
      </c>
      <c r="I19" s="52">
        <f>I13</f>
        <v>0.0</v>
      </c>
      <c r="J19" s="52">
        <f>J13</f>
        <v>0.0</v>
      </c>
      <c r="K19" s="52">
        <f>K13</f>
        <v>0</v>
      </c>
      <c r="L19" s="52">
        <f>L13</f>
        <v>0</v>
      </c>
      <c r="M19" s="52">
        <f>M13</f>
        <v>0</v>
      </c>
      <c r="N19" s="52">
        <f>N13</f>
        <v>0</v>
      </c>
      <c r="O19" s="52">
        <f>O13</f>
        <v>0</v>
      </c>
      <c r="P19" s="52">
        <f>P13</f>
        <v>0</v>
      </c>
      <c r="Q19" s="52">
        <f>Q13</f>
        <v>0</v>
      </c>
      <c r="R19" s="52">
        <f>R13</f>
        <v>0</v>
      </c>
      <c r="S19" s="52">
        <f>S13</f>
        <v>0</v>
      </c>
      <c r="T19" s="52">
        <f>T13</f>
        <v>0</v>
      </c>
      <c r="U19" s="52">
        <f>U13</f>
        <v>0</v>
      </c>
      <c r="V19" s="52">
        <f>V13</f>
        <v>0</v>
      </c>
      <c r="W19" s="52">
        <f>W13</f>
        <v>0</v>
      </c>
      <c r="X19" s="52">
        <f>X13</f>
        <v>0</v>
      </c>
      <c r="Y19" s="52">
        <f>Y13</f>
        <v>0</v>
      </c>
      <c r="Z19" s="52">
        <f>Z13</f>
        <v>0</v>
      </c>
    </row>
    <row r="20">
      <c r="A20" s="13" t="inlineStr">
        <is>
          <t>Platform / unallocated R&amp;D</t>
        </is>
      </c>
      <c r="C20" s="52">
        <f>IF(C$2&gt;Assumptions!$B$25,Assumptions!$B$23*C17,MAX(Assumptions!$B$20*(1+Assumptions!$B$21)^(C$2-2027)*Assumptions!$B$38,Assumptions!$B$23*C17))</f>
        <v>13.2</v>
      </c>
      <c r="D20" s="52">
        <f>IF(D$2&gt;Assumptions!$B$25,Assumptions!$B$23*D17,MAX(Assumptions!$B$20*(1+Assumptions!$B$21)^(D$2-2027)*Assumptions!$B$38,Assumptions!$B$23*D17))</f>
        <v>13.596000000000002</v>
      </c>
      <c r="E20" s="52">
        <f>IF(E$2&gt;Assumptions!$B$25,Assumptions!$B$23*E17,MAX(Assumptions!$B$20*(1+Assumptions!$B$21)^(E$2-2027)*Assumptions!$B$38,Assumptions!$B$23*E17))</f>
        <v>20.812500000000004</v>
      </c>
      <c r="F20" s="52">
        <f>IF(F$2&gt;Assumptions!$B$25,Assumptions!$B$23*F17,MAX(Assumptions!$B$20*(1+Assumptions!$B$21)^(F$2-2027)*Assumptions!$B$38,Assumptions!$B$23*F17))</f>
        <v>29.362499999999997</v>
      </c>
      <c r="G20" s="52">
        <f>IF(G$2&gt;Assumptions!$B$25,Assumptions!$B$23*G17,MAX(Assumptions!$B$20*(1+Assumptions!$B$21)^(G$2-2027)*Assumptions!$B$38,Assumptions!$B$23*G17))</f>
        <v>36.1125</v>
      </c>
      <c r="H20" s="52">
        <f>IF(H$2&gt;Assumptions!$B$25,Assumptions!$B$23*H17,MAX(Assumptions!$B$20*(1+Assumptions!$B$21)^(H$2-2027)*Assumptions!$B$38,Assumptions!$B$23*H17))</f>
        <v>41.0625</v>
      </c>
      <c r="I20" s="52">
        <f>IF(I$2&gt;Assumptions!$B$25,Assumptions!$B$23*I17,MAX(Assumptions!$B$20*(1+Assumptions!$B$21)^(I$2-2027)*Assumptions!$B$38,Assumptions!$B$23*I17))</f>
        <v>42.074999999999996</v>
      </c>
      <c r="J20" s="52">
        <f>IF(J$2&gt;Assumptions!$B$25,Assumptions!$B$23*J17,MAX(Assumptions!$B$20*(1+Assumptions!$B$21)^(J$2-2027)*Assumptions!$B$38,Assumptions!$B$23*J17))</f>
        <v>42.75</v>
      </c>
      <c r="K20" s="52">
        <f>IF(K$2&gt;Assumptions!$B$25,Assumptions!$B$23*K17,MAX(Assumptions!$B$20*(1+Assumptions!$B$21)^(K$2-2027)*Assumptions!$B$38,Assumptions!$B$23*K17))</f>
        <v>42.75</v>
      </c>
      <c r="L20" s="52">
        <f>IF(L$2&gt;Assumptions!$B$25,Assumptions!$B$23*L17,MAX(Assumptions!$B$20*(1+Assumptions!$B$21)^(L$2-2027)*Assumptions!$B$38,Assumptions!$B$23*L17))</f>
        <v>42.75</v>
      </c>
      <c r="M20" s="52">
        <f>IF(M$2&gt;Assumptions!$B$25,Assumptions!$B$23*M17,MAX(Assumptions!$B$20*(1+Assumptions!$B$21)^(M$2-2027)*Assumptions!$B$38,Assumptions!$B$23*M17))</f>
        <v>42.75</v>
      </c>
      <c r="N20" s="52">
        <f>IF(N$2&gt;Assumptions!$B$25,Assumptions!$B$23*N17,MAX(Assumptions!$B$20*(1+Assumptions!$B$21)^(N$2-2027)*Assumptions!$B$38,Assumptions!$B$23*N17))</f>
        <v>42.75</v>
      </c>
      <c r="O20" s="52">
        <f>IF(O$2&gt;Assumptions!$B$25,Assumptions!$B$23*O17,MAX(Assumptions!$B$20*(1+Assumptions!$B$21)^(O$2-2027)*Assumptions!$B$38,Assumptions!$B$23*O17))</f>
        <v>25.65</v>
      </c>
      <c r="P20" s="52">
        <f>IF(P$2&gt;Assumptions!$B$25,Assumptions!$B$23*P17,MAX(Assumptions!$B$20*(1+Assumptions!$B$21)^(P$2-2027)*Assumptions!$B$38,Assumptions!$B$23*P17))</f>
        <v>15.389999999999999</v>
      </c>
      <c r="Q20" s="52">
        <f>IF(Q$2&gt;Assumptions!$B$25,Assumptions!$B$23*Q17,MAX(Assumptions!$B$20*(1+Assumptions!$B$21)^(Q$2-2027)*Assumptions!$B$38,Assumptions!$B$23*Q17))</f>
        <v>9.233999999999998</v>
      </c>
      <c r="R20" s="52">
        <f>IF(R$2&gt;Assumptions!$B$25,Assumptions!$B$23*R17,MAX(Assumptions!$B$20*(1+Assumptions!$B$21)^(R$2-2027)*Assumptions!$B$38,Assumptions!$B$23*R17))</f>
        <v>5.5404</v>
      </c>
      <c r="S20" s="52">
        <f>IF(S$2&gt;Assumptions!$B$25,Assumptions!$B$23*S17,MAX(Assumptions!$B$20*(1+Assumptions!$B$21)^(S$2-2027)*Assumptions!$B$38,Assumptions!$B$23*S17))</f>
        <v>3.32424</v>
      </c>
      <c r="T20" s="52">
        <f>IF(T$2&gt;Assumptions!$B$25,Assumptions!$B$23*T17,MAX(Assumptions!$B$20*(1+Assumptions!$B$21)^(T$2-2027)*Assumptions!$B$38,Assumptions!$B$23*T17))</f>
        <v>1.9945439999999997</v>
      </c>
      <c r="U20" s="52">
        <f>IF(U$2&gt;Assumptions!$B$25,Assumptions!$B$23*U17,MAX(Assumptions!$B$20*(1+Assumptions!$B$21)^(U$2-2027)*Assumptions!$B$38,Assumptions!$B$23*U17))</f>
        <v>1.1967263999999995</v>
      </c>
      <c r="V20" s="52">
        <f>IF(V$2&gt;Assumptions!$B$25,Assumptions!$B$23*V17,MAX(Assumptions!$B$20*(1+Assumptions!$B$21)^(V$2-2027)*Assumptions!$B$38,Assumptions!$B$23*V17))</f>
        <v>0.7180358399999999</v>
      </c>
      <c r="W20" s="52">
        <f>IF(W$2&gt;Assumptions!$B$25,Assumptions!$B$23*W17,MAX(Assumptions!$B$20*(1+Assumptions!$B$21)^(W$2-2027)*Assumptions!$B$38,Assumptions!$B$23*W17))</f>
        <v>0.43082150399999997</v>
      </c>
      <c r="X20" s="52">
        <f>IF(X$2&gt;Assumptions!$B$25,Assumptions!$B$23*X17,MAX(Assumptions!$B$20*(1+Assumptions!$B$21)^(X$2-2027)*Assumptions!$B$38,Assumptions!$B$23*X17))</f>
        <v>0.25849290239999995</v>
      </c>
      <c r="Y20" s="52">
        <f>IF(Y$2&gt;Assumptions!$B$25,Assumptions!$B$23*Y17,MAX(Assumptions!$B$20*(1+Assumptions!$B$21)^(Y$2-2027)*Assumptions!$B$38,Assumptions!$B$23*Y17))</f>
        <v>0.15509574143999996</v>
      </c>
      <c r="Z20" s="52">
        <f>IF(Z$2&gt;Assumptions!$B$25,Assumptions!$B$23*Z17,MAX(Assumptions!$B$20*(1+Assumptions!$B$21)^(Z$2-2027)*Assumptions!$B$38,Assumptions!$B$23*Z17))</f>
        <v>0.09305744486399997</v>
      </c>
    </row>
    <row r="21">
      <c r="A21" s="13" t="inlineStr">
        <is>
          <t>Total R&amp;D</t>
        </is>
      </c>
      <c r="C21" s="52">
        <f>C19+C20</f>
        <v>28.2</v>
      </c>
      <c r="D21" s="52">
        <f>D19+D20</f>
        <v>23.596000000000004</v>
      </c>
      <c r="E21" s="52">
        <f>E19+E20</f>
        <v>20.812500000000004</v>
      </c>
      <c r="F21" s="52">
        <f>F19+F20</f>
        <v>29.362499999999997</v>
      </c>
      <c r="G21" s="52">
        <f>G19+G20</f>
        <v>36.1125</v>
      </c>
      <c r="H21" s="52">
        <f>H19+H20</f>
        <v>41.0625</v>
      </c>
      <c r="I21" s="52">
        <f>I19+I20</f>
        <v>42.074999999999996</v>
      </c>
      <c r="J21" s="52">
        <f>J19+J20</f>
        <v>42.75</v>
      </c>
      <c r="K21" s="52">
        <f>K19+K20</f>
        <v>42.75</v>
      </c>
      <c r="L21" s="52">
        <f>L19+L20</f>
        <v>42.75</v>
      </c>
      <c r="M21" s="52">
        <f>M19+M20</f>
        <v>42.75</v>
      </c>
      <c r="N21" s="52">
        <f>N19+N20</f>
        <v>42.75</v>
      </c>
      <c r="O21" s="52">
        <f>O19+O20</f>
        <v>25.65</v>
      </c>
      <c r="P21" s="52">
        <f>P19+P20</f>
        <v>15.389999999999999</v>
      </c>
      <c r="Q21" s="52">
        <f>Q19+Q20</f>
        <v>9.233999999999998</v>
      </c>
      <c r="R21" s="52">
        <f>R19+R20</f>
        <v>5.5404</v>
      </c>
      <c r="S21" s="52">
        <f>S19+S20</f>
        <v>3.32424</v>
      </c>
      <c r="T21" s="52">
        <f>T19+T20</f>
        <v>1.9945439999999997</v>
      </c>
      <c r="U21" s="52">
        <f>U19+U20</f>
        <v>1.1967263999999995</v>
      </c>
      <c r="V21" s="52">
        <f>V19+V20</f>
        <v>0.7180358399999999</v>
      </c>
      <c r="W21" s="52">
        <f>W19+W20</f>
        <v>0.43082150399999997</v>
      </c>
      <c r="X21" s="52">
        <f>X19+X20</f>
        <v>0.25849290239999995</v>
      </c>
      <c r="Y21" s="52">
        <f>Y19+Y20</f>
        <v>0.15509574143999996</v>
      </c>
      <c r="Z21" s="52">
        <f>Z19+Z20</f>
        <v>0.09305744486399997</v>
      </c>
    </row>
    <row r="22">
      <c r="A22" s="13" t="inlineStr">
        <is>
          <t>Commercial SG&amp;A</t>
        </is>
      </c>
      <c r="C22" s="52">
        <f>C12</f>
        <v>81.0</v>
      </c>
      <c r="D22" s="52">
        <f>D12</f>
        <v>119.25</v>
      </c>
      <c r="E22" s="52">
        <f>E12</f>
        <v>147.18750000000003</v>
      </c>
      <c r="F22" s="52">
        <f>F12</f>
        <v>165.65625</v>
      </c>
      <c r="G22" s="52">
        <f>G12</f>
        <v>175.95000000000002</v>
      </c>
      <c r="H22" s="52">
        <f>H12</f>
        <v>177.0</v>
      </c>
      <c r="I22" s="52">
        <f>I12</f>
        <v>178.35</v>
      </c>
      <c r="J22" s="52">
        <f>J12</f>
        <v>178.125</v>
      </c>
      <c r="K22" s="52">
        <f>K12</f>
        <v>178.125</v>
      </c>
      <c r="L22" s="52">
        <f>L12</f>
        <v>178.125</v>
      </c>
      <c r="M22" s="52">
        <f>M12</f>
        <v>178.125</v>
      </c>
      <c r="N22" s="52">
        <f>N12</f>
        <v>178.125</v>
      </c>
      <c r="O22" s="52">
        <f>O12</f>
        <v>106.875</v>
      </c>
      <c r="P22" s="52">
        <f>P12</f>
        <v>64.125</v>
      </c>
      <c r="Q22" s="52">
        <f>Q12</f>
        <v>38.474999999999994</v>
      </c>
      <c r="R22" s="52">
        <f>R12</f>
        <v>23.085</v>
      </c>
      <c r="S22" s="52">
        <f>S12</f>
        <v>13.851</v>
      </c>
      <c r="T22" s="52">
        <f>T12</f>
        <v>8.310599999999999</v>
      </c>
      <c r="U22" s="52">
        <f>U12</f>
        <v>4.986359999999999</v>
      </c>
      <c r="V22" s="52">
        <f>V12</f>
        <v>2.9918159999999996</v>
      </c>
      <c r="W22" s="52">
        <f>W12</f>
        <v>1.7950895999999998</v>
      </c>
      <c r="X22" s="52">
        <f>X12</f>
        <v>1.0770537599999999</v>
      </c>
      <c r="Y22" s="52">
        <f>Y12</f>
        <v>0.6462322559999999</v>
      </c>
      <c r="Z22" s="52">
        <f>Z12</f>
        <v>0.3877393535999999</v>
      </c>
    </row>
    <row r="23">
      <c r="A23" s="13" t="inlineStr">
        <is>
          <t>Corporate G&amp;A</t>
        </is>
      </c>
      <c r="C23" s="52">
        <f>IF(C$2&gt;Assumptions!$B$25,Assumptions!$B$22*C17,MAX(Assumptions!$B$19*(1+Assumptions!$B$21)^(C$2-2027)*Assumptions!$B$38,Assumptions!$B$22*C17))</f>
        <v>26.4</v>
      </c>
      <c r="D23" s="52">
        <f>IF(D$2&gt;Assumptions!$B$25,Assumptions!$B$22*D17,MAX(Assumptions!$B$19*(1+Assumptions!$B$21)^(D$2-2027)*Assumptions!$B$38,Assumptions!$B$22*D17))</f>
        <v>27.192000000000004</v>
      </c>
      <c r="E23" s="52">
        <f>IF(E$2&gt;Assumptions!$B$25,Assumptions!$B$22*E17,MAX(Assumptions!$B$19*(1+Assumptions!$B$21)^(E$2-2027)*Assumptions!$B$38,Assumptions!$B$22*E17))</f>
        <v>34.68750000000001</v>
      </c>
      <c r="F23" s="52">
        <f>IF(F$2&gt;Assumptions!$B$25,Assumptions!$B$22*F17,MAX(Assumptions!$B$19*(1+Assumptions!$B$21)^(F$2-2027)*Assumptions!$B$38,Assumptions!$B$22*F17))</f>
        <v>48.9375</v>
      </c>
      <c r="G23" s="52">
        <f>IF(G$2&gt;Assumptions!$B$25,Assumptions!$B$22*G17,MAX(Assumptions!$B$19*(1+Assumptions!$B$21)^(G$2-2027)*Assumptions!$B$38,Assumptions!$B$22*G17))</f>
        <v>60.1875</v>
      </c>
      <c r="H23" s="52">
        <f>IF(H$2&gt;Assumptions!$B$25,Assumptions!$B$22*H17,MAX(Assumptions!$B$19*(1+Assumptions!$B$21)^(H$2-2027)*Assumptions!$B$38,Assumptions!$B$22*H17))</f>
        <v>68.4375</v>
      </c>
      <c r="I23" s="52">
        <f>IF(I$2&gt;Assumptions!$B$25,Assumptions!$B$22*I17,MAX(Assumptions!$B$19*(1+Assumptions!$B$21)^(I$2-2027)*Assumptions!$B$38,Assumptions!$B$22*I17))</f>
        <v>70.125</v>
      </c>
      <c r="J23" s="52">
        <f>IF(J$2&gt;Assumptions!$B$25,Assumptions!$B$22*J17,MAX(Assumptions!$B$19*(1+Assumptions!$B$21)^(J$2-2027)*Assumptions!$B$38,Assumptions!$B$22*J17))</f>
        <v>71.25</v>
      </c>
      <c r="K23" s="52">
        <f>IF(K$2&gt;Assumptions!$B$25,Assumptions!$B$22*K17,MAX(Assumptions!$B$19*(1+Assumptions!$B$21)^(K$2-2027)*Assumptions!$B$38,Assumptions!$B$22*K17))</f>
        <v>71.25</v>
      </c>
      <c r="L23" s="52">
        <f>IF(L$2&gt;Assumptions!$B$25,Assumptions!$B$22*L17,MAX(Assumptions!$B$19*(1+Assumptions!$B$21)^(L$2-2027)*Assumptions!$B$38,Assumptions!$B$22*L17))</f>
        <v>71.25</v>
      </c>
      <c r="M23" s="52">
        <f>IF(M$2&gt;Assumptions!$B$25,Assumptions!$B$22*M17,MAX(Assumptions!$B$19*(1+Assumptions!$B$21)^(M$2-2027)*Assumptions!$B$38,Assumptions!$B$22*M17))</f>
        <v>71.25</v>
      </c>
      <c r="N23" s="52">
        <f>IF(N$2&gt;Assumptions!$B$25,Assumptions!$B$22*N17,MAX(Assumptions!$B$19*(1+Assumptions!$B$21)^(N$2-2027)*Assumptions!$B$38,Assumptions!$B$22*N17))</f>
        <v>71.25</v>
      </c>
      <c r="O23" s="52">
        <f>IF(O$2&gt;Assumptions!$B$25,Assumptions!$B$22*O17,MAX(Assumptions!$B$19*(1+Assumptions!$B$21)^(O$2-2027)*Assumptions!$B$38,Assumptions!$B$22*O17))</f>
        <v>42.75</v>
      </c>
      <c r="P23" s="52">
        <f>IF(P$2&gt;Assumptions!$B$25,Assumptions!$B$22*P17,MAX(Assumptions!$B$19*(1+Assumptions!$B$21)^(P$2-2027)*Assumptions!$B$38,Assumptions!$B$22*P17))</f>
        <v>25.650000000000002</v>
      </c>
      <c r="Q23" s="52">
        <f>IF(Q$2&gt;Assumptions!$B$25,Assumptions!$B$22*Q17,MAX(Assumptions!$B$19*(1+Assumptions!$B$21)^(Q$2-2027)*Assumptions!$B$38,Assumptions!$B$22*Q17))</f>
        <v>15.389999999999999</v>
      </c>
      <c r="R23" s="52">
        <f>IF(R$2&gt;Assumptions!$B$25,Assumptions!$B$22*R17,MAX(Assumptions!$B$19*(1+Assumptions!$B$21)^(R$2-2027)*Assumptions!$B$38,Assumptions!$B$22*R17))</f>
        <v>9.234</v>
      </c>
      <c r="S23" s="52">
        <f>IF(S$2&gt;Assumptions!$B$25,Assumptions!$B$22*S17,MAX(Assumptions!$B$19*(1+Assumptions!$B$21)^(S$2-2027)*Assumptions!$B$38,Assumptions!$B$22*S17))</f>
        <v>5.540400000000001</v>
      </c>
      <c r="T23" s="52">
        <f>IF(T$2&gt;Assumptions!$B$25,Assumptions!$B$22*T17,MAX(Assumptions!$B$19*(1+Assumptions!$B$21)^(T$2-2027)*Assumptions!$B$38,Assumptions!$B$22*T17))</f>
        <v>3.3242399999999996</v>
      </c>
      <c r="U23" s="52">
        <f>IF(U$2&gt;Assumptions!$B$25,Assumptions!$B$22*U17,MAX(Assumptions!$B$19*(1+Assumptions!$B$21)^(U$2-2027)*Assumptions!$B$38,Assumptions!$B$22*U17))</f>
        <v>1.9945439999999994</v>
      </c>
      <c r="V23" s="52">
        <f>IF(V$2&gt;Assumptions!$B$25,Assumptions!$B$22*V17,MAX(Assumptions!$B$19*(1+Assumptions!$B$21)^(V$2-2027)*Assumptions!$B$38,Assumptions!$B$22*V17))</f>
        <v>1.1967264</v>
      </c>
      <c r="W23" s="52">
        <f>IF(W$2&gt;Assumptions!$B$25,Assumptions!$B$22*W17,MAX(Assumptions!$B$19*(1+Assumptions!$B$21)^(W$2-2027)*Assumptions!$B$38,Assumptions!$B$22*W17))</f>
        <v>0.71803584</v>
      </c>
      <c r="X23" s="52">
        <f>IF(X$2&gt;Assumptions!$B$25,Assumptions!$B$22*X17,MAX(Assumptions!$B$19*(1+Assumptions!$B$21)^(X$2-2027)*Assumptions!$B$38,Assumptions!$B$22*X17))</f>
        <v>0.43082150399999997</v>
      </c>
      <c r="Y23" s="52">
        <f>IF(Y$2&gt;Assumptions!$B$25,Assumptions!$B$22*Y17,MAX(Assumptions!$B$19*(1+Assumptions!$B$21)^(Y$2-2027)*Assumptions!$B$38,Assumptions!$B$22*Y17))</f>
        <v>0.25849290239999995</v>
      </c>
      <c r="Z23" s="52">
        <f>IF(Z$2&gt;Assumptions!$B$25,Assumptions!$B$22*Z17,MAX(Assumptions!$B$19*(1+Assumptions!$B$21)^(Z$2-2027)*Assumptions!$B$38,Assumptions!$B$22*Z17))</f>
        <v>0.15509574143999996</v>
      </c>
    </row>
    <row r="24">
      <c r="A24" s="13" t="inlineStr">
        <is>
          <t>Total G&amp;A incl. SG&amp;A</t>
        </is>
      </c>
      <c r="C24" s="52">
        <f>C22+C23</f>
        <v>107.4</v>
      </c>
      <c r="D24" s="52">
        <f>D22+D23</f>
        <v>146.442</v>
      </c>
      <c r="E24" s="52">
        <f>E22+E23</f>
        <v>181.87500000000003</v>
      </c>
      <c r="F24" s="52">
        <f>F22+F23</f>
        <v>214.59375</v>
      </c>
      <c r="G24" s="52">
        <f>G22+G23</f>
        <v>236.13750000000002</v>
      </c>
      <c r="H24" s="52">
        <f>H22+H23</f>
        <v>245.4375</v>
      </c>
      <c r="I24" s="52">
        <f>I22+I23</f>
        <v>248.475</v>
      </c>
      <c r="J24" s="52">
        <f>J22+J23</f>
        <v>249.375</v>
      </c>
      <c r="K24" s="52">
        <f>K22+K23</f>
        <v>249.375</v>
      </c>
      <c r="L24" s="52">
        <f>L22+L23</f>
        <v>249.375</v>
      </c>
      <c r="M24" s="52">
        <f>M22+M23</f>
        <v>249.375</v>
      </c>
      <c r="N24" s="52">
        <f>N22+N23</f>
        <v>249.375</v>
      </c>
      <c r="O24" s="52">
        <f>O22+O23</f>
        <v>149.625</v>
      </c>
      <c r="P24" s="52">
        <f>P22+P23</f>
        <v>89.775</v>
      </c>
      <c r="Q24" s="52">
        <f>Q22+Q23</f>
        <v>53.864999999999995</v>
      </c>
      <c r="R24" s="52">
        <f>R22+R23</f>
        <v>32.319</v>
      </c>
      <c r="S24" s="52">
        <f>S22+S23</f>
        <v>19.3914</v>
      </c>
      <c r="T24" s="52">
        <f>T22+T23</f>
        <v>11.634839999999999</v>
      </c>
      <c r="U24" s="52">
        <f>U22+U23</f>
        <v>6.980903999999998</v>
      </c>
      <c r="V24" s="52">
        <f>V22+V23</f>
        <v>4.188542399999999</v>
      </c>
      <c r="W24" s="52">
        <f>W22+W23</f>
        <v>2.5131254399999996</v>
      </c>
      <c r="X24" s="52">
        <f>X22+X23</f>
        <v>1.507875264</v>
      </c>
      <c r="Y24" s="52">
        <f>Y22+Y23</f>
        <v>0.9047251583999998</v>
      </c>
      <c r="Z24" s="52">
        <f>Z22+Z23</f>
        <v>0.5428350950399998</v>
      </c>
    </row>
    <row r="25">
      <c r="A25" s="23" t="inlineStr">
        <is>
          <t>Operating income (EBIT)</t>
        </is>
      </c>
      <c r="C25" s="64">
        <f>C17-C18-C21-C24</f>
        <v>-60.900000000000006</v>
      </c>
      <c r="D25" s="64">
        <f>D17-D18-D21-D24</f>
        <v>4.2620000000000005</v>
      </c>
      <c r="E25" s="64">
        <f>E17-E18-E21-E24</f>
        <v>85.21875000000003</v>
      </c>
      <c r="F25" s="64">
        <f>F17-F18-F21-F24</f>
        <v>162.22499999999997</v>
      </c>
      <c r="G25" s="64">
        <f>G17-G18-G21-G24</f>
        <v>227.30624999999995</v>
      </c>
      <c r="H25" s="64">
        <f>H17-H18-H21-H24</f>
        <v>281.53125</v>
      </c>
      <c r="I25" s="64">
        <f>I17-I18-I21-I24</f>
        <v>291.48749999999995</v>
      </c>
      <c r="J25" s="64">
        <f>J17-J18-J21-J24</f>
        <v>299.25</v>
      </c>
      <c r="K25" s="64">
        <f>K17-K18-K21-K24</f>
        <v>299.25</v>
      </c>
      <c r="L25" s="64">
        <f>L17-L18-L21-L24</f>
        <v>299.25</v>
      </c>
      <c r="M25" s="64">
        <f>M17-M18-M21-M24</f>
        <v>299.25</v>
      </c>
      <c r="N25" s="64">
        <f>N17-N18-N21-N24</f>
        <v>299.25</v>
      </c>
      <c r="O25" s="64">
        <f>O17-O18-O21-O24</f>
        <v>179.55</v>
      </c>
      <c r="P25" s="64">
        <f>P17-P18-P21-P24</f>
        <v>107.73000000000002</v>
      </c>
      <c r="Q25" s="64">
        <f>Q17-Q18-Q21-Q24</f>
        <v>64.63799999999999</v>
      </c>
      <c r="R25" s="64">
        <f>R17-R18-R21-R24</f>
        <v>38.782799999999995</v>
      </c>
      <c r="S25" s="64">
        <f>S17-S18-S21-S24</f>
        <v>23.269679999999997</v>
      </c>
      <c r="T25" s="64">
        <f>T17-T18-T21-T24</f>
        <v>13.961808</v>
      </c>
      <c r="U25" s="64">
        <f>U17-U18-U21-U24</f>
        <v>8.377084799999999</v>
      </c>
      <c r="V25" s="64">
        <f>V17-V18-V21-V24</f>
        <v>5.026250879999999</v>
      </c>
      <c r="W25" s="64">
        <f>W17-W18-W21-W24</f>
        <v>3.015750528</v>
      </c>
      <c r="X25" s="64">
        <f>X17-X18-X21-X24</f>
        <v>1.8094503167999996</v>
      </c>
      <c r="Y25" s="64">
        <f>Y17-Y18-Y21-Y24</f>
        <v>1.0856701900799999</v>
      </c>
      <c r="Z25" s="64">
        <f>Z17-Z18-Z21-Z24</f>
        <v>0.6514021140479997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2" t="inlineStr">
        <is>
          <t>SVRA — risk-adjusted NPV (rNPV), $mm except per share</t>
        </is>
      </c>
    </row>
    <row r="3">
      <c r="A3" s="13" t="inlineStr">
        <is>
          <t>Scenario</t>
        </is>
      </c>
      <c r="B3" s="65" t="str">
        <f>Assumptions!$C$4</f>
        <v>Base</v>
      </c>
    </row>
    <row r="4">
      <c r="A4" s="13" t="inlineStr">
        <is>
          <t>Valuation date</t>
        </is>
      </c>
      <c r="B4" s="66">
        <f>Assumptions!$B$13</f>
        <v>46311</v>
      </c>
    </row>
    <row r="5">
      <c r="A5" s="13" t="inlineStr">
        <is>
          <t>Discount rate</t>
        </is>
      </c>
      <c r="B5" s="67">
        <f>Assumptions!$B$14</f>
        <v>0.13</v>
      </c>
    </row>
    <row r="7">
      <c r="A7" s="28" t="inlineStr">
        <is>
          <t>Period</t>
        </is>
      </c>
      <c r="B7" s="68" t="inlineStr"/>
      <c r="C7" s="69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2">
        <f>SUM('Quarterly Model'!H2:I2)</f>
        <v>0.0</v>
      </c>
      <c r="D8" s="70">
        <f>'Yearly Model'!H2</f>
        <v>90.0</v>
      </c>
      <c r="E8" s="70">
        <f>'Yearly Model'!I2</f>
        <v>210.0</v>
      </c>
      <c r="F8" s="70">
        <f>'Yearly Model'!J2</f>
        <v>346.87500000000006</v>
      </c>
      <c r="G8" s="70">
        <f>'Yearly Model'!K2</f>
        <v>489.375</v>
      </c>
      <c r="H8" s="70">
        <f>'Yearly Model'!L2</f>
        <v>601.875</v>
      </c>
      <c r="I8" s="70">
        <f>'Yearly Model'!M2</f>
        <v>684.375</v>
      </c>
      <c r="J8" s="70">
        <f>'Yearly Model'!N2</f>
        <v>701.25</v>
      </c>
      <c r="K8" s="70">
        <f>'Yearly Model'!O2</f>
        <v>712.5</v>
      </c>
      <c r="L8" s="70">
        <f>'Yearly Model'!P2</f>
        <v>712.5</v>
      </c>
      <c r="M8" s="70">
        <f>'Yearly Model'!Q2</f>
        <v>712.5</v>
      </c>
      <c r="N8" s="70">
        <f>'Yearly Model'!R2</f>
        <v>712.5</v>
      </c>
      <c r="O8" s="70">
        <f>'Yearly Model'!S2</f>
        <v>712.5</v>
      </c>
      <c r="P8" s="70">
        <f>'Yearly Model'!T2</f>
        <v>427.5</v>
      </c>
      <c r="Q8" s="70">
        <f>'Yearly Model'!U2</f>
        <v>256.5</v>
      </c>
      <c r="R8" s="70">
        <f>'Yearly Model'!V2</f>
        <v>153.89999999999998</v>
      </c>
      <c r="S8" s="70">
        <f>'Yearly Model'!W2</f>
        <v>92.34</v>
      </c>
      <c r="T8" s="70">
        <f>'Yearly Model'!X2</f>
        <v>55.404</v>
      </c>
      <c r="U8" s="70">
        <f>'Yearly Model'!Y2</f>
        <v>33.242399999999996</v>
      </c>
      <c r="V8" s="70">
        <f>'Yearly Model'!Z2</f>
        <v>19.945439999999994</v>
      </c>
      <c r="W8" s="70">
        <f>'Yearly Model'!AA2</f>
        <v>11.967263999999998</v>
      </c>
      <c r="X8" s="70">
        <f>'Yearly Model'!AB2</f>
        <v>7.180358399999999</v>
      </c>
      <c r="Y8" s="70">
        <f>'Yearly Model'!AC2</f>
        <v>4.308215039999999</v>
      </c>
      <c r="Z8" s="70">
        <f>'Yearly Model'!AD2</f>
        <v>2.5849290239999996</v>
      </c>
      <c r="AA8" s="70">
        <f>'Yearly Model'!AE2</f>
        <v>1.5509574143999996</v>
      </c>
    </row>
    <row r="9">
      <c r="A9" s="13" t="inlineStr">
        <is>
          <t>Operating income (EBIT)</t>
        </is>
      </c>
      <c r="C9" s="52">
        <f>SUM('Quarterly Model'!H8:I8)</f>
        <v>-87.0</v>
      </c>
      <c r="D9" s="70">
        <f>'Yearly Model'!H8</f>
        <v>-60.89999999999999</v>
      </c>
      <c r="E9" s="70">
        <f>'Yearly Model'!I8</f>
        <v>4.2620000000000005</v>
      </c>
      <c r="F9" s="70">
        <f>'Yearly Model'!J8</f>
        <v>85.21875000000003</v>
      </c>
      <c r="G9" s="70">
        <f>'Yearly Model'!K8</f>
        <v>162.22499999999997</v>
      </c>
      <c r="H9" s="70">
        <f>'Yearly Model'!L8</f>
        <v>227.30624999999998</v>
      </c>
      <c r="I9" s="70">
        <f>'Yearly Model'!M8</f>
        <v>281.53125</v>
      </c>
      <c r="J9" s="70">
        <f>'Yearly Model'!N8</f>
        <v>291.4875</v>
      </c>
      <c r="K9" s="70">
        <f>'Yearly Model'!O8</f>
        <v>299.25</v>
      </c>
      <c r="L9" s="70">
        <f>'Yearly Model'!P8</f>
        <v>299.25</v>
      </c>
      <c r="M9" s="70">
        <f>'Yearly Model'!Q8</f>
        <v>299.25</v>
      </c>
      <c r="N9" s="70">
        <f>'Yearly Model'!R8</f>
        <v>299.25</v>
      </c>
      <c r="O9" s="70">
        <f>'Yearly Model'!S8</f>
        <v>299.25</v>
      </c>
      <c r="P9" s="70">
        <f>'Yearly Model'!T8</f>
        <v>179.54999999999998</v>
      </c>
      <c r="Q9" s="70">
        <f>'Yearly Model'!U8</f>
        <v>107.73</v>
      </c>
      <c r="R9" s="70">
        <f>'Yearly Model'!V8</f>
        <v>64.63799999999999</v>
      </c>
      <c r="S9" s="70">
        <f>'Yearly Model'!W8</f>
        <v>38.7828</v>
      </c>
      <c r="T9" s="70">
        <f>'Yearly Model'!X8</f>
        <v>23.26968</v>
      </c>
      <c r="U9" s="70">
        <f>'Yearly Model'!Y8</f>
        <v>13.961808000000001</v>
      </c>
      <c r="V9" s="70">
        <f>'Yearly Model'!Z8</f>
        <v>8.377084799999999</v>
      </c>
      <c r="W9" s="70">
        <f>'Yearly Model'!AA8</f>
        <v>5.02625088</v>
      </c>
      <c r="X9" s="70">
        <f>'Yearly Model'!AB8</f>
        <v>3.015750528</v>
      </c>
      <c r="Y9" s="70">
        <f>'Yearly Model'!AC8</f>
        <v>1.8094503167999996</v>
      </c>
      <c r="Z9" s="70">
        <f>'Yearly Model'!AD8</f>
        <v>1.0856701900799999</v>
      </c>
      <c r="AA9" s="70">
        <f>'Yearly Model'!AE8</f>
        <v>0.6514021140479997</v>
      </c>
    </row>
    <row r="10">
      <c r="A10" s="13" t="inlineStr">
        <is>
          <t>Taxes on EBIT (after tax-loss pool)</t>
        </is>
      </c>
      <c r="C10" s="52" t="n">
        <v>0</v>
      </c>
      <c r="D10" s="52">
        <f>IF(D9&gt;0,MAX(0,D9-'Yearly Model'!G21)*Assumptions!$B$15,0)</f>
        <v>0</v>
      </c>
      <c r="E10" s="52">
        <f>IF(E9&gt;0,MAX(0,E9-'Yearly Model'!H21)*Assumptions!$B$15,0)</f>
        <v>0.0</v>
      </c>
      <c r="F10" s="52">
        <f>IF(F9&gt;0,MAX(0,F9-'Yearly Model'!I21)*Assumptions!$B$15,0)</f>
        <v>0.0</v>
      </c>
      <c r="G10" s="52">
        <f>IF(G9&gt;0,MAX(0,G9-'Yearly Model'!J21)*Assumptions!$B$15,0)</f>
        <v>0.0</v>
      </c>
      <c r="H10" s="52">
        <f>IF(H9&gt;0,MAX(0,H9-'Yearly Model'!K21)*Assumptions!$B$15,0)</f>
        <v>0.0</v>
      </c>
      <c r="I10" s="52">
        <f>IF(I9&gt;0,MAX(0,I9-'Yearly Model'!L21)*Assumptions!$B$15,0)</f>
        <v>11.618530930500011</v>
      </c>
      <c r="J10" s="52">
        <f>IF(J9&gt;0,MAX(0,J9-'Yearly Model'!M21)*Assumptions!$B$15,0)</f>
        <v>61.212375</v>
      </c>
      <c r="K10" s="52">
        <f>IF(K9&gt;0,MAX(0,K9-'Yearly Model'!N21)*Assumptions!$B$15,0)</f>
        <v>62.8425</v>
      </c>
      <c r="L10" s="52">
        <f>IF(L9&gt;0,MAX(0,L9-'Yearly Model'!O21)*Assumptions!$B$15,0)</f>
        <v>62.8425</v>
      </c>
      <c r="M10" s="52">
        <f>IF(M9&gt;0,MAX(0,M9-'Yearly Model'!P21)*Assumptions!$B$15,0)</f>
        <v>62.8425</v>
      </c>
      <c r="N10" s="52">
        <f>IF(N9&gt;0,MAX(0,N9-'Yearly Model'!Q21)*Assumptions!$B$15,0)</f>
        <v>62.8425</v>
      </c>
      <c r="O10" s="52">
        <f>IF(O9&gt;0,MAX(0,O9-'Yearly Model'!R21)*Assumptions!$B$15,0)</f>
        <v>62.8425</v>
      </c>
      <c r="P10" s="52">
        <f>IF(P9&gt;0,MAX(0,P9-'Yearly Model'!S21)*Assumptions!$B$15,0)</f>
        <v>37.705499999999994</v>
      </c>
      <c r="Q10" s="52">
        <f>IF(Q9&gt;0,MAX(0,Q9-'Yearly Model'!T21)*Assumptions!$B$15,0)</f>
        <v>22.6233</v>
      </c>
      <c r="R10" s="52">
        <f>IF(R9&gt;0,MAX(0,R9-'Yearly Model'!U21)*Assumptions!$B$15,0)</f>
        <v>13.573979999999997</v>
      </c>
      <c r="S10" s="52">
        <f>IF(S9&gt;0,MAX(0,S9-'Yearly Model'!V21)*Assumptions!$B$15,0)</f>
        <v>8.144388</v>
      </c>
      <c r="T10" s="52">
        <f>IF(T9&gt;0,MAX(0,T9-'Yearly Model'!W21)*Assumptions!$B$15,0)</f>
        <v>4.8866328</v>
      </c>
      <c r="U10" s="52">
        <f>IF(U9&gt;0,MAX(0,U9-'Yearly Model'!X21)*Assumptions!$B$15,0)</f>
        <v>2.93197968</v>
      </c>
      <c r="V10" s="52">
        <f>IF(V9&gt;0,MAX(0,V9-'Yearly Model'!Y21)*Assumptions!$B$15,0)</f>
        <v>1.7591878079999996</v>
      </c>
      <c r="W10" s="52">
        <f>IF(W9&gt;0,MAX(0,W9-'Yearly Model'!Z21)*Assumptions!$B$15,0)</f>
        <v>1.0555126848</v>
      </c>
      <c r="X10" s="52">
        <f>IF(X9&gt;0,MAX(0,X9-'Yearly Model'!AA21)*Assumptions!$B$15,0)</f>
        <v>0.63330761088</v>
      </c>
      <c r="Y10" s="52">
        <f>IF(Y9&gt;0,MAX(0,Y9-'Yearly Model'!AB21)*Assumptions!$B$15,0)</f>
        <v>0.3799845665279999</v>
      </c>
      <c r="Z10" s="52">
        <f>IF(Z9&gt;0,MAX(0,Z9-'Yearly Model'!AC21)*Assumptions!$B$15,0)</f>
        <v>0.22799073991679997</v>
      </c>
      <c r="AA10" s="52">
        <f>IF(AA9&gt;0,MAX(0,AA9-'Yearly Model'!AD21)*Assumptions!$B$15,0)</f>
        <v>0.13679444395007995</v>
      </c>
    </row>
    <row r="11">
      <c r="A11" s="23" t="inlineStr">
        <is>
          <t>Unlevered free cash flow</t>
        </is>
      </c>
      <c r="C11" s="56">
        <f>C9-C10</f>
        <v>-87.0</v>
      </c>
      <c r="D11" s="56">
        <f>D9-D10</f>
        <v>-60.89999999999999</v>
      </c>
      <c r="E11" s="56">
        <f>E9-E10</f>
        <v>4.2620000000000005</v>
      </c>
      <c r="F11" s="56">
        <f>F9-F10</f>
        <v>85.21875000000003</v>
      </c>
      <c r="G11" s="56">
        <f>G9-G10</f>
        <v>162.22499999999997</v>
      </c>
      <c r="H11" s="56">
        <f>H9-H10</f>
        <v>227.30624999999998</v>
      </c>
      <c r="I11" s="56">
        <f>I9-I10</f>
        <v>269.9127190695</v>
      </c>
      <c r="J11" s="56">
        <f>J9-J10</f>
        <v>230.275125</v>
      </c>
      <c r="K11" s="56">
        <f>K9-K10</f>
        <v>236.4075</v>
      </c>
      <c r="L11" s="56">
        <f>L9-L10</f>
        <v>236.4075</v>
      </c>
      <c r="M11" s="56">
        <f>M9-M10</f>
        <v>236.4075</v>
      </c>
      <c r="N11" s="56">
        <f>N9-N10</f>
        <v>236.4075</v>
      </c>
      <c r="O11" s="56">
        <f>O9-O10</f>
        <v>236.4075</v>
      </c>
      <c r="P11" s="56">
        <f>P9-P10</f>
        <v>141.84449999999998</v>
      </c>
      <c r="Q11" s="56">
        <f>Q9-Q10</f>
        <v>85.1067</v>
      </c>
      <c r="R11" s="56">
        <f>R9-R10</f>
        <v>51.06401999999999</v>
      </c>
      <c r="S11" s="56">
        <f>S9-S10</f>
        <v>30.638412000000002</v>
      </c>
      <c r="T11" s="56">
        <f>T9-T10</f>
        <v>18.3830472</v>
      </c>
      <c r="U11" s="56">
        <f>U9-U10</f>
        <v>11.029828320000002</v>
      </c>
      <c r="V11" s="56">
        <f>V9-V10</f>
        <v>6.617896991999999</v>
      </c>
      <c r="W11" s="56">
        <f>W9-W10</f>
        <v>3.9707381952</v>
      </c>
      <c r="X11" s="56">
        <f>X9-X10</f>
        <v>2.3824429171199997</v>
      </c>
      <c r="Y11" s="56">
        <f>Y9-Y10</f>
        <v>1.4294657502719996</v>
      </c>
      <c r="Z11" s="56">
        <f>Z9-Z10</f>
        <v>0.8576794501631999</v>
      </c>
      <c r="AA11" s="56">
        <f>AA9-AA10</f>
        <v>0.5146076700979199</v>
      </c>
    </row>
    <row r="12">
      <c r="A12" s="13" t="inlineStr">
        <is>
          <t>Cash-flow date (mid-period)</t>
        </is>
      </c>
      <c r="C12" s="71">
        <f>DATE(2026,10,1)</f>
        <v>46296</v>
      </c>
      <c r="D12" s="71">
        <f>DATE(D7,7,1)</f>
        <v>46569</v>
      </c>
      <c r="E12" s="71">
        <f>DATE(E7,7,1)</f>
        <v>46935</v>
      </c>
      <c r="F12" s="71">
        <f>DATE(F7,7,1)</f>
        <v>47300</v>
      </c>
      <c r="G12" s="71">
        <f>DATE(G7,7,1)</f>
        <v>47665</v>
      </c>
      <c r="H12" s="71">
        <f>DATE(H7,7,1)</f>
        <v>48030</v>
      </c>
      <c r="I12" s="71">
        <f>DATE(I7,7,1)</f>
        <v>48396</v>
      </c>
      <c r="J12" s="71">
        <f>DATE(J7,7,1)</f>
        <v>48761</v>
      </c>
      <c r="K12" s="71">
        <f>DATE(K7,7,1)</f>
        <v>49126</v>
      </c>
      <c r="L12" s="71">
        <f>DATE(L7,7,1)</f>
        <v>49491</v>
      </c>
      <c r="M12" s="71">
        <f>DATE(M7,7,1)</f>
        <v>49857</v>
      </c>
      <c r="N12" s="71">
        <f>DATE(N7,7,1)</f>
        <v>50222</v>
      </c>
      <c r="O12" s="71">
        <f>DATE(O7,7,1)</f>
        <v>50587</v>
      </c>
      <c r="P12" s="71">
        <f>DATE(P7,7,1)</f>
        <v>50952</v>
      </c>
      <c r="Q12" s="71">
        <f>DATE(Q7,7,1)</f>
        <v>51318</v>
      </c>
      <c r="R12" s="71">
        <f>DATE(R7,7,1)</f>
        <v>51683</v>
      </c>
      <c r="S12" s="71">
        <f>DATE(S7,7,1)</f>
        <v>52048</v>
      </c>
      <c r="T12" s="71">
        <f>DATE(T7,7,1)</f>
        <v>52413</v>
      </c>
      <c r="U12" s="71">
        <f>DATE(U7,7,1)</f>
        <v>52779</v>
      </c>
      <c r="V12" s="71">
        <f>DATE(V7,7,1)</f>
        <v>53144</v>
      </c>
      <c r="W12" s="71">
        <f>DATE(W7,7,1)</f>
        <v>53509</v>
      </c>
      <c r="X12" s="71">
        <f>DATE(X7,7,1)</f>
        <v>53874</v>
      </c>
      <c r="Y12" s="71">
        <f>DATE(Y7,7,1)</f>
        <v>54240</v>
      </c>
      <c r="Z12" s="71">
        <f>DATE(Z7,7,1)</f>
        <v>54605</v>
      </c>
      <c r="AA12" s="71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2">
        <f>1/(1+$B$5)^C13</f>
        <v>1.0</v>
      </c>
      <c r="D14" s="72">
        <f>1/(1+$B$5)^D13</f>
        <v>0.9172911818925573</v>
      </c>
      <c r="E14" s="72">
        <f>1/(1+$B$5)^E13</f>
        <v>0.8115584134237047</v>
      </c>
      <c r="F14" s="72">
        <f>1/(1+$B$5)^F13</f>
        <v>0.7182533680464401</v>
      </c>
      <c r="G14" s="72">
        <f>1/(1+$B$5)^G13</f>
        <v>0.6356756238083829</v>
      </c>
      <c r="H14" s="72">
        <f>1/(1+$B$5)^H13</f>
        <v>0.562591860589855</v>
      </c>
      <c r="I14" s="72">
        <f>1/(1+$B$5)^I13</f>
        <v>0.4977439735585203</v>
      </c>
      <c r="J14" s="72">
        <f>1/(1+$B$5)^J13</f>
        <v>0.4405182418416699</v>
      </c>
      <c r="K14" s="72">
        <f>1/(1+$B$5)^K13</f>
        <v>0.3898717648109515</v>
      </c>
      <c r="L14" s="72">
        <f>1/(1+$B$5)^L13</f>
        <v>0.3450481241397432</v>
      </c>
      <c r="M14" s="72">
        <f>1/(1+$B$5)^M13</f>
        <v>0.305275700572989</v>
      </c>
      <c r="N14" s="72">
        <f>1/(1+$B$5)^N13</f>
        <v>0.2701780876058889</v>
      </c>
      <c r="O14" s="72">
        <f>1/(1+$B$5)^O13</f>
        <v>0.23911565475196606</v>
      </c>
      <c r="P14" s="72">
        <f>1/(1+$B$5)^P13</f>
        <v>0.21162447648554294</v>
      </c>
      <c r="Q14" s="72">
        <f>1/(1+$B$5)^Q13</f>
        <v>0.187231304266856</v>
      </c>
      <c r="R14" s="72">
        <f>1/(1+$B$5)^R13</f>
        <v>0.165705280937291</v>
      </c>
      <c r="S14" s="72">
        <f>1/(1+$B$5)^S13</f>
        <v>0.14665410914069693</v>
      </c>
      <c r="T14" s="72">
        <f>1/(1+$B$5)^T13</f>
        <v>0.1297932546639274</v>
      </c>
      <c r="U14" s="72">
        <f>1/(1+$B$5)^U13</f>
        <v>0.1148324653146984</v>
      </c>
      <c r="V14" s="72">
        <f>1/(1+$B$5)^V13</f>
        <v>0.10163015207421298</v>
      </c>
      <c r="W14" s="72">
        <f>1/(1+$B$5)^W13</f>
        <v>0.0899457116271247</v>
      </c>
      <c r="X14" s="72">
        <f>1/(1+$B$5)^X13</f>
        <v>0.07960463381184528</v>
      </c>
      <c r="Y14" s="72">
        <f>1/(1+$B$5)^Y13</f>
        <v>0.07042890152309698</v>
      </c>
      <c r="Z14" s="72">
        <f>1/(1+$B$5)^Z13</f>
        <v>0.06233167556401787</v>
      </c>
      <c r="AA14" s="72">
        <f>1/(1+$B$5)^AA13</f>
        <v>0.055165389415364245</v>
      </c>
    </row>
    <row r="15">
      <c r="A15" s="23" t="inlineStr">
        <is>
          <t>PV of free cash flow</t>
        </is>
      </c>
      <c r="C15" s="56">
        <f>C11*C14</f>
        <v>-87.0</v>
      </c>
      <c r="D15" s="56">
        <f>D11*D14</f>
        <v>-55.86303297725673</v>
      </c>
      <c r="E15" s="56">
        <f>E11*E14</f>
        <v>3.45886195801183</v>
      </c>
      <c r="F15" s="56">
        <f>F11*F14</f>
        <v>61.20865420820759</v>
      </c>
      <c r="G15" s="56">
        <f>G11*G14</f>
        <v>103.1224780723149</v>
      </c>
      <c r="H15" s="56">
        <f>H11*H14</f>
        <v>127.88064611120271</v>
      </c>
      <c r="I15" s="56">
        <f>I11*I14</f>
        <v>134.3474293036375</v>
      </c>
      <c r="J15" s="56">
        <f>J11*J14</f>
        <v>101.44039320487076</v>
      </c>
      <c r="K15" s="56">
        <f>K11*K14</f>
        <v>92.168609239545</v>
      </c>
      <c r="L15" s="56">
        <f>L11*L14</f>
        <v>81.57196440756633</v>
      </c>
      <c r="M15" s="56">
        <f>M11*M14</f>
        <v>72.16946518320889</v>
      </c>
      <c r="N15" s="56">
        <f>N11*N14</f>
        <v>63.87212624568918</v>
      </c>
      <c r="O15" s="56">
        <f>O11*O14</f>
        <v>56.52873415077541</v>
      </c>
      <c r="P15" s="56">
        <f>P11*P14</f>
        <v>30.017768054853594</v>
      </c>
      <c r="Q15" s="56">
        <f>Q11*Q14</f>
        <v>15.934638442848033</v>
      </c>
      <c r="R15" s="56">
        <f>R11*R14</f>
        <v>8.461577779887445</v>
      </c>
      <c r="S15" s="56">
        <f>S11*S14</f>
        <v>4.493249017345639</v>
      </c>
      <c r="T15" s="56">
        <f>T11*T14</f>
        <v>2.385995526728598</v>
      </c>
      <c r="U15" s="56">
        <f>U11*U14</f>
        <v>1.2665823779834784</v>
      </c>
      <c r="V15" s="56">
        <f>V11*V14</f>
        <v>0.6725778777084366</v>
      </c>
      <c r="W15" s="56">
        <f>W11*W14</f>
        <v>0.3571508726522688</v>
      </c>
      <c r="X15" s="56">
        <f>X11*X14</f>
        <v>0.18965349599496203</v>
      </c>
      <c r="Y15" s="56">
        <f>Y11*Y14</f>
        <v>0.1006757025565466</v>
      </c>
      <c r="Z15" s="56">
        <f>Z11*Z14</f>
        <v>0.05346059722549781</v>
      </c>
      <c r="AA15" s="56">
        <f>AA11*AA14</f>
        <v>0.028388532517085042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2">
        <f>SUM(C15:AA15)</f>
        <v>818.868047386075</v>
      </c>
    </row>
    <row r="19">
      <c r="A19" s="13" t="inlineStr">
        <is>
          <t>Cash &amp; investments (Main; incl. post-quarter financing)</t>
        </is>
      </c>
      <c r="C19" s="70">
        <f>Main!C7</f>
        <v>173.034</v>
      </c>
    </row>
    <row r="20">
      <c r="A20" s="13" t="inlineStr">
        <is>
          <t>Debt, convertibles &amp; preferred at face (Main)</t>
        </is>
      </c>
      <c r="C20" s="70">
        <f>Main!C8</f>
        <v>30.109</v>
      </c>
    </row>
    <row r="21">
      <c r="A21" s="13" t="inlineStr">
        <is>
          <t>Equity value, all claims treated as debt</t>
        </is>
      </c>
      <c r="C21" s="52">
        <f>C18+C19-C20</f>
        <v>961.7930473860749</v>
      </c>
    </row>
    <row r="22">
      <c r="A22" s="13" t="inlineStr">
        <is>
          <t>Basic shares incl. pre-funded / as-converted (Main)</t>
        </is>
      </c>
      <c r="C22" s="73">
        <f>Main!C4</f>
        <v>254.060227</v>
      </c>
    </row>
    <row r="23">
      <c r="A23" s="13" t="inlineStr">
        <is>
          <t>Value / share before conversions</t>
        </is>
      </c>
      <c r="C23" s="53">
        <f>C21/C22</f>
        <v>3.7856891601772635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—</t>
        </is>
      </c>
      <c r="B26" s="63" t="n">
        <v>0</v>
      </c>
      <c r="C26" s="63" t="n">
        <v>0</v>
      </c>
      <c r="D26" s="63" t="n">
        <v>0</v>
      </c>
      <c r="E26" s="74">
        <f>IF(AND(C26&gt;0,$C$23&gt;D26),1,0)</f>
        <v>0</v>
      </c>
    </row>
    <row r="27">
      <c r="A27" s="13" t="inlineStr">
        <is>
          <t>—</t>
        </is>
      </c>
      <c r="B27" s="63" t="n">
        <v>0</v>
      </c>
      <c r="C27" s="63" t="n">
        <v>0</v>
      </c>
      <c r="D27" s="63" t="n">
        <v>0</v>
      </c>
      <c r="E27" s="74">
        <f>IF(AND(C27&gt;0,$C$23&gt;D27),1,0)</f>
        <v>0</v>
      </c>
    </row>
    <row r="28">
      <c r="A28" s="13" t="inlineStr">
        <is>
          <t>—</t>
        </is>
      </c>
      <c r="B28" s="63" t="n">
        <v>0</v>
      </c>
      <c r="C28" s="63" t="n">
        <v>0</v>
      </c>
      <c r="D28" s="63" t="n">
        <v>0</v>
      </c>
      <c r="E28" s="74">
        <f>IF(AND(C28&gt;0,$C$23&gt;D28),1,0)</f>
        <v>0</v>
      </c>
    </row>
    <row r="29">
      <c r="A29" s="13" t="inlineStr">
        <is>
          <t>—</t>
        </is>
      </c>
      <c r="B29" s="63" t="n">
        <v>0</v>
      </c>
      <c r="C29" s="63" t="n">
        <v>0</v>
      </c>
      <c r="D29" s="63" t="n">
        <v>0</v>
      </c>
      <c r="E29" s="74">
        <f>IF(AND(C29&gt;0,$C$23&gt;D29),1,0)</f>
        <v>0</v>
      </c>
    </row>
    <row r="30">
      <c r="A30" s="13" t="inlineStr">
        <is>
          <t>—</t>
        </is>
      </c>
      <c r="B30" s="63" t="n">
        <v>0</v>
      </c>
      <c r="C30" s="63" t="n">
        <v>0</v>
      </c>
      <c r="D30" s="63" t="n">
        <v>0</v>
      </c>
      <c r="E30" s="74">
        <f>IF(AND(C30&gt;0,$C$23&gt;D30),1,0)</f>
        <v>0</v>
      </c>
    </row>
    <row r="31">
      <c r="A31" s="23" t="inlineStr">
        <is>
          <t>Equity value (rNPV) after conversions</t>
        </is>
      </c>
      <c r="C31" s="56">
        <f>C21+SUMPRODUCT(B26:B30,E26:E30)</f>
        <v>961.7930473860749</v>
      </c>
    </row>
    <row r="32">
      <c r="A32" s="13" t="inlineStr">
        <is>
          <t>Shares after conversions (mm)</t>
        </is>
      </c>
      <c r="C32" s="18">
        <f>C22+SUMPRODUCT(C26:C30,E26:E30)</f>
        <v>254.060227</v>
      </c>
    </row>
    <row r="33">
      <c r="A33" s="13" t="inlineStr">
        <is>
          <t>Value / share before options &amp; warrants</t>
        </is>
      </c>
      <c r="C33" s="53">
        <f>C31/C32</f>
        <v>3.7856891601772635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Options (strike assumed)</t>
        </is>
      </c>
      <c r="B36" s="75" t="n">
        <v>12.227121</v>
      </c>
      <c r="C36" s="76" t="n">
        <v>4</v>
      </c>
      <c r="D36" s="72">
        <f>IF(AND(B36&gt;0,$C$33&gt;C36),B36*(1-C36/$C$33),0)</f>
        <v>0</v>
      </c>
    </row>
    <row r="37">
      <c r="A37" s="13" t="inlineStr">
        <is>
          <t>RSUs</t>
        </is>
      </c>
      <c r="B37" s="75" t="n">
        <v>6.973</v>
      </c>
      <c r="C37" s="76" t="n">
        <v>0</v>
      </c>
      <c r="D37" s="72">
        <f>IF(AND(B37&gt;0,$C$33&gt;C37),B37*(1-C37/$C$33),0)</f>
        <v>6.973</v>
      </c>
    </row>
    <row r="38">
      <c r="A38" s="13" t="inlineStr">
        <is>
          <t>Legacy warrants</t>
        </is>
      </c>
      <c r="B38" s="75" t="n">
        <v>0.077793</v>
      </c>
      <c r="C38" s="76" t="n">
        <v>10</v>
      </c>
      <c r="D38" s="72">
        <f>IF(AND(B38&gt;0,$C$33&gt;C38),B38*(1-C38/$C$33),0)</f>
        <v>0</v>
      </c>
    </row>
    <row r="39">
      <c r="A39" s="13" t="inlineStr">
        <is>
          <t>—</t>
        </is>
      </c>
      <c r="B39" s="63" t="n">
        <v>0</v>
      </c>
      <c r="C39" s="63" t="n">
        <v>0</v>
      </c>
      <c r="D39" s="72">
        <f>IF(AND(B39&gt;0,$C$33&gt;C39),B39*(1-C39/$C$33),0)</f>
        <v>0</v>
      </c>
    </row>
    <row r="40">
      <c r="A40" s="13" t="inlineStr">
        <is>
          <t>—</t>
        </is>
      </c>
      <c r="B40" s="63" t="n">
        <v>0</v>
      </c>
      <c r="C40" s="63" t="n">
        <v>0</v>
      </c>
      <c r="D40" s="72">
        <f>IF(AND(B40&gt;0,$C$33&gt;C40),B40*(1-C40/$C$33),0)</f>
        <v>0</v>
      </c>
    </row>
    <row r="41">
      <c r="A41" s="13" t="inlineStr">
        <is>
          <t>—</t>
        </is>
      </c>
      <c r="B41" s="63" t="n">
        <v>0</v>
      </c>
      <c r="C41" s="63" t="n">
        <v>0</v>
      </c>
      <c r="D41" s="72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261.033227</v>
      </c>
    </row>
    <row r="43">
      <c r="A43" s="23" t="inlineStr">
        <is>
          <t>rNPV / share, diluted</t>
        </is>
      </c>
      <c r="C43" s="77">
        <f>C31/C42</f>
        <v>3.6845617641851964</v>
      </c>
    </row>
    <row r="44">
      <c r="A44" s="13" t="inlineStr">
        <is>
          <t>Current price (Main)</t>
        </is>
      </c>
      <c r="C44" s="78">
        <f>Main!C3</f>
        <v>4.76</v>
      </c>
    </row>
    <row r="45">
      <c r="A45" s="23" t="inlineStr">
        <is>
          <t>Upside / (downside) to rNPV</t>
        </is>
      </c>
      <c r="C45" s="58">
        <f>C43/C44-1</f>
        <v>-0.22593240248210156</v>
      </c>
    </row>
    <row r="46">
      <c r="A46" s="13" t="inlineStr">
        <is>
          <t>Net cash / share</t>
        </is>
      </c>
      <c r="C46" s="53">
        <f>(C19-C20)/C22</f>
        <v>0.5625634586243206</v>
      </c>
    </row>
    <row r="47">
      <c r="A47" s="13" t="inlineStr">
        <is>
          <t>Est. cash &amp; investments at 12/31/2026</t>
        </is>
      </c>
      <c r="C47" s="70">
        <f>'Quarterly Model'!I20</f>
        <v>88.89047056640625</v>
      </c>
    </row>
    <row r="48">
      <c r="A48" s="13" t="inlineStr">
        <is>
          <t>Liquidation value / share (12/31/2026E cash − debt − wind-down)</t>
        </is>
      </c>
      <c r="C48" s="53">
        <f>MAX(0,C47-C20-Assumptions!$B$27)/C22</f>
        <v>0.17232713315022838</v>
      </c>
    </row>
    <row r="49">
      <c r="A49" s="13" t="inlineStr">
        <is>
          <t>Market-implied value of pipeline (market cap − net cash)</t>
        </is>
      </c>
      <c r="C49" s="52">
        <f>Main!C5-(C19-C20)</f>
        <v>1066.40168052</v>
      </c>
    </row>
    <row r="51">
      <c r="A51" s="30" t="inlineStr">
        <is>
          <t>Sum of the parts (PV)</t>
        </is>
      </c>
      <c r="B51" s="79" t="inlineStr">
        <is>
          <t>$mm</t>
        </is>
      </c>
      <c r="C51" s="79" t="inlineStr">
        <is>
          <t>$ / share</t>
        </is>
      </c>
    </row>
    <row r="52">
      <c r="A52" s="13" t="inlineStr">
        <is>
          <t>MOLBREEVI — autoimmune pulmonary alveolar proteinosis</t>
        </is>
      </c>
      <c r="B52" s="52">
        <f>SUMPRODUCT(Pipeline!C14:Z14,$D$14:$AA$14)</f>
        <v>1577.647569750176</v>
      </c>
      <c r="C52" s="53">
        <f>B52/$C$42</f>
        <v>6.043857281625591</v>
      </c>
    </row>
    <row r="53">
      <c r="A53" s="13" t="inlineStr">
        <is>
          <t>Corporate G&amp;A + platform R&amp;D (2027+)</t>
        </is>
      </c>
      <c r="B53" s="52">
        <f>-SUMPRODUCT(Pipeline!C20:Z20,$D$14:$AA$14)-SUMPRODUCT(Pipeline!C23:Z23,$D$14:$AA$14)</f>
        <v>-524.6550353851437</v>
      </c>
      <c r="C53" s="53">
        <f>B53/$C$42</f>
        <v>-2.0099166738843697</v>
      </c>
    </row>
    <row r="54">
      <c r="A54" s="13" t="inlineStr">
        <is>
          <t>2H 2026 operating result</t>
        </is>
      </c>
      <c r="B54" s="52">
        <f>C11*C14</f>
        <v>-87.0</v>
      </c>
      <c r="C54" s="53">
        <f>B54/$C$42</f>
        <v>-0.33329090323049176</v>
      </c>
    </row>
    <row r="55">
      <c r="A55" s="13" t="inlineStr">
        <is>
          <t>Taxes</t>
        </is>
      </c>
      <c r="B55" s="52">
        <f>-SUMPRODUCT(D10:AA10,D14:AA14)</f>
        <v>-147.12448697895712</v>
      </c>
      <c r="C55" s="53">
        <f>B55/$C$42</f>
        <v>-0.5636235994544753</v>
      </c>
    </row>
    <row r="56">
      <c r="A56" s="13" t="inlineStr">
        <is>
          <t>Net cash (cash − all claims at face)</t>
        </is>
      </c>
      <c r="B56" s="52">
        <f>C19-C20</f>
        <v>142.92499999999998</v>
      </c>
      <c r="C56" s="53">
        <f>B56/$C$42</f>
        <v>0.5475356591289429</v>
      </c>
    </row>
    <row r="57">
      <c r="A57" s="13" t="inlineStr">
        <is>
          <t>Add back converted claims</t>
        </is>
      </c>
      <c r="B57" s="52">
        <f>SUMPRODUCT(B26:B30,E26:E30)</f>
        <v>0.0</v>
      </c>
      <c r="C57" s="53">
        <f>B57/$C$42</f>
        <v>0.0</v>
      </c>
    </row>
    <row r="58">
      <c r="A58" s="23" t="inlineStr">
        <is>
          <t>Equity value</t>
        </is>
      </c>
      <c r="B58" s="64">
        <f>SUM(B52:B57)</f>
        <v>961.7930473860752</v>
      </c>
      <c r="C58" s="80">
        <f>B58/$C$42</f>
        <v>3.6845617641851973</v>
      </c>
    </row>
    <row r="59">
      <c r="A59" s="25" t="inlineStr">
        <is>
          <t>Check vs. equity value above (should be 0)</t>
        </is>
      </c>
      <c r="B59" s="81">
        <f>ROUND(B58-C31,6)</f>
        <v>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2" t="inlineStr">
        <is>
          <t>SVRA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10/16/2026)</t>
        </is>
      </c>
      <c r="B4" s="76" t="n">
        <v>4.45</v>
      </c>
    </row>
    <row r="5">
      <c r="A5" s="13" t="inlineStr">
        <is>
          <t>Pricing date</t>
        </is>
      </c>
      <c r="B5" s="82">
        <f>DATE(2026,10,16)</f>
        <v>46311</v>
      </c>
    </row>
    <row r="6">
      <c r="A6" s="13" t="inlineStr">
        <is>
          <t>PDUFA date</t>
        </is>
      </c>
      <c r="B6" s="66">
        <f>Assumptions!$B$30</f>
        <v>46348</v>
      </c>
    </row>
    <row r="7">
      <c r="A7" s="13" t="inlineStr">
        <is>
          <t>Expiry (first monthly after the PDUFA date)</t>
        </is>
      </c>
      <c r="B7" s="82">
        <f>DATE(2026,12,18)</f>
        <v>46374</v>
      </c>
    </row>
    <row r="8">
      <c r="A8" s="13" t="inlineStr">
        <is>
          <t>Years to expiry (T)</t>
        </is>
      </c>
      <c r="B8" s="72">
        <f>(B7-B5)/365</f>
        <v>0.1726027397260274</v>
      </c>
    </row>
    <row r="9">
      <c r="A9" s="13" t="inlineStr">
        <is>
          <t>Risk-free rate</t>
        </is>
      </c>
      <c r="B9" s="83" t="n">
        <v>0.04</v>
      </c>
    </row>
    <row r="10">
      <c r="A10" s="13" t="inlineStr">
        <is>
          <t>Reference IV for wide quotes (theo prices)</t>
        </is>
      </c>
      <c r="B10" s="83" t="n">
        <v>1.2</v>
      </c>
    </row>
    <row r="11">
      <c r="A11" s="13" t="inlineStr">
        <is>
          <t>Contract multiplier</t>
        </is>
      </c>
      <c r="B11" s="84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78">
        <f>NPV!C43</f>
        <v>3.6845617641851964</v>
      </c>
    </row>
    <row r="15">
      <c r="A15" s="13" t="inlineStr">
        <is>
          <t>Model value / share if approved</t>
        </is>
      </c>
      <c r="B15" s="78">
        <f>Assumptions!$D$76</f>
        <v>4.051312946894043</v>
      </c>
    </row>
    <row r="16">
      <c r="A16" s="13" t="inlineStr">
        <is>
          <t>Model value / share if CRL</t>
        </is>
      </c>
      <c r="B16" s="78">
        <f>Assumptions!$D$75</f>
        <v>2.123680609909306</v>
      </c>
    </row>
    <row r="17">
      <c r="A17" s="13" t="inlineStr">
        <is>
          <t>Model probability of approval</t>
        </is>
      </c>
      <c r="B17" s="67">
        <f>Assumptions!$B$32</f>
        <v>0.8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3">
        <f>MAX(0,B19*(NPV!C47-NPV!C20)/NPV!C22)</f>
        <v>0.11568412588721777</v>
      </c>
    </row>
    <row r="21">
      <c r="A21" s="23" t="inlineStr">
        <is>
          <t>Price if approved (center of outcome)</t>
        </is>
      </c>
      <c r="B21" s="57">
        <f>IF(B14&gt;0,B4*(1+B18*(B15/B14-1)),B4+B18*(B15-B14))</f>
        <v>4.892940807484409</v>
      </c>
    </row>
    <row r="22">
      <c r="A22" s="23" t="inlineStr">
        <is>
          <t>Price if CRL (center of outcome)</t>
        </is>
      </c>
      <c r="B22" s="57">
        <f>MAX(B20,IF(B14&gt;0,B4*(1+B18*(B16/B14-1)),B4+B18*(B16-B14)))</f>
        <v>2.5648582705157255</v>
      </c>
    </row>
    <row r="23">
      <c r="A23" s="13" t="inlineStr">
        <is>
          <t>Model expected price after the decision</t>
        </is>
      </c>
      <c r="B23" s="53">
        <f>B17*B21+(1-B17)*B22</f>
        <v>4.427324300090673</v>
      </c>
    </row>
    <row r="24">
      <c r="A24" s="13" t="inlineStr">
        <is>
          <t>Non-event volatility (6-month realized, 3 largest days removed)</t>
        </is>
      </c>
      <c r="B24" s="26" t="n">
        <v>0.411</v>
      </c>
    </row>
    <row r="25">
      <c r="A25" s="13" t="inlineStr">
        <is>
          <t>Model fair ATM straddle, % of spot (jump + non-event volatility)</t>
        </is>
      </c>
      <c r="B25" s="58">
        <f>(B17*((B21*NORMSDIST(((LN(B21/4.0)+$B$24^2*$B$8/2)/($B$24*SQRT($B$8))))-4.0*NORMSDIST((((LN(B21/4.0)+$B$24^2*$B$8/2)/($B$24*SQRT($B$8)))-$B$24*SQRT($B$8))))+(4.0*NORMSDIST(-(((LN(B21/4.0)+$B$24^2*$B$8/2)/($B$24*SQRT($B$8)))-$B$24*SQRT($B$8)))-B21*NORMSDIST(-((LN(B21/4.0)+$B$24^2*$B$8/2)/($B$24*SQRT($B$8))))))+(1-B17)*((B22*NORMSDIST(((LN(B22/4.0)+$B$24^2*$B$8/2)/($B$24*SQRT($B$8))))-4.0*NORMSDIST((((LN(B22/4.0)+$B$24^2*$B$8/2)/($B$24*SQRT($B$8)))-$B$24*SQRT($B$8))))+(4.0*NORMSDIST(-(((LN(B22/4.0)+$B$24^2*$B$8/2)/($B$24*SQRT($B$8)))-$B$24*SQRT($B$8)))-B22*NORMSDIST(-((LN(B22/4.0)+$B$24^2*$B$8/2)/($B$24*SQRT($B$8)))))))/B4</f>
        <v>0.2409331620044527</v>
      </c>
    </row>
    <row r="26">
      <c r="A26" s="13" t="inlineStr">
        <is>
          <t>Market ATM straddle, % of spot</t>
        </is>
      </c>
      <c r="B26" s="58">
        <f>($G$41+$G$42)/B4</f>
        <v>0.3819830331108835</v>
      </c>
    </row>
    <row r="27">
      <c r="A27" s="23" t="inlineStr">
        <is>
          <t>Options richness (market straddle ÷ model straddle)</t>
        </is>
      </c>
      <c r="B27" s="85">
        <f>B26/B25</f>
        <v>1.5854315360034335</v>
      </c>
    </row>
    <row r="28">
      <c r="A28" s="30" t="inlineStr">
        <is>
          <t>Market snapshot — 12/18/2026 expiry (Cboe delayed quotes, 10/16/2026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6" t="n">
        <v>1</v>
      </c>
      <c r="B30" s="76" t="n">
        <v>1.5</v>
      </c>
      <c r="C30" s="76" t="n">
        <v>6</v>
      </c>
      <c r="D30" s="53">
        <f>(B30+C30)/2</f>
        <v>3.75</v>
      </c>
      <c r="E30" s="83" t="n">
        <v>4.4626</v>
      </c>
      <c r="F30" s="76" t="n">
        <v>0</v>
      </c>
      <c r="G30" s="76" t="n">
        <v>4.3</v>
      </c>
      <c r="H30" s="53">
        <f>(F30+G30)/2</f>
        <v>2.15</v>
      </c>
      <c r="I30" s="83" t="n">
        <v>0</v>
      </c>
      <c r="J30" s="87" t="n">
        <v>0</v>
      </c>
      <c r="K30" s="87" t="n">
        <v>0</v>
      </c>
    </row>
    <row r="31">
      <c r="A31" s="86" t="n">
        <v>2</v>
      </c>
      <c r="B31" s="76" t="n">
        <v>0.7</v>
      </c>
      <c r="C31" s="76" t="n">
        <v>4.9</v>
      </c>
      <c r="D31" s="53">
        <f>(B31+C31)/2</f>
        <v>2.8000000000000003</v>
      </c>
      <c r="E31" s="83" t="n">
        <v>2.6556</v>
      </c>
      <c r="F31" s="76" t="n">
        <v>0</v>
      </c>
      <c r="G31" s="76" t="n">
        <v>4.3</v>
      </c>
      <c r="H31" s="53">
        <f>(F31+G31)/2</f>
        <v>2.15</v>
      </c>
      <c r="I31" s="83" t="n">
        <v>0</v>
      </c>
      <c r="J31" s="87" t="n">
        <v>0</v>
      </c>
      <c r="K31" s="87" t="n">
        <v>0</v>
      </c>
    </row>
    <row r="32">
      <c r="A32" s="86" t="n">
        <v>3</v>
      </c>
      <c r="B32" s="76" t="n">
        <v>0.2</v>
      </c>
      <c r="C32" s="76" t="n">
        <v>4.9</v>
      </c>
      <c r="D32" s="53">
        <f>(B32+C32)/2</f>
        <v>2.5500000000000003</v>
      </c>
      <c r="E32" s="83" t="n">
        <v>3.1645</v>
      </c>
      <c r="F32" s="76" t="n">
        <v>0</v>
      </c>
      <c r="G32" s="76" t="n">
        <v>0.85</v>
      </c>
      <c r="H32" s="53">
        <f>(F32+G32)/2</f>
        <v>0.425</v>
      </c>
      <c r="I32" s="83" t="n">
        <v>1.6222</v>
      </c>
      <c r="J32" s="87" t="n">
        <v>0</v>
      </c>
      <c r="K32" s="87" t="n">
        <v>0</v>
      </c>
    </row>
    <row r="33">
      <c r="A33" s="86" t="n">
        <v>4</v>
      </c>
      <c r="B33" s="76" t="n">
        <v>0</v>
      </c>
      <c r="C33" s="76" t="n">
        <v>4.8</v>
      </c>
      <c r="D33" s="53">
        <f>(B33+C33)/2</f>
        <v>2.4</v>
      </c>
      <c r="E33" s="83" t="n">
        <v>3.4698</v>
      </c>
      <c r="F33" s="76" t="n">
        <v>0</v>
      </c>
      <c r="G33" s="76" t="n">
        <v>4.6</v>
      </c>
      <c r="H33" s="53">
        <f>(F33+G33)/2</f>
        <v>2.3</v>
      </c>
      <c r="I33" s="83" t="n">
        <v>4.022</v>
      </c>
      <c r="J33" s="87" t="n">
        <v>0</v>
      </c>
      <c r="K33" s="87" t="n">
        <v>0</v>
      </c>
    </row>
    <row r="34">
      <c r="A34" s="86" t="n">
        <v>5</v>
      </c>
      <c r="B34" s="76" t="n">
        <v>0</v>
      </c>
      <c r="C34" s="76" t="n">
        <v>4.5</v>
      </c>
      <c r="D34" s="53">
        <f>(B34+C34)/2</f>
        <v>2.25</v>
      </c>
      <c r="E34" s="83" t="n">
        <v>3.608</v>
      </c>
      <c r="F34" s="76" t="n">
        <v>0.3</v>
      </c>
      <c r="G34" s="76" t="n">
        <v>4.7</v>
      </c>
      <c r="H34" s="53">
        <f>(F34+G34)/2</f>
        <v>2.5</v>
      </c>
      <c r="I34" s="83" t="n">
        <v>3.0037</v>
      </c>
      <c r="J34" s="87" t="n">
        <v>0</v>
      </c>
      <c r="K34" s="87" t="n">
        <v>0</v>
      </c>
    </row>
    <row r="35">
      <c r="A35" s="86" t="n">
        <v>6</v>
      </c>
      <c r="B35" s="76" t="n">
        <v>0.1</v>
      </c>
      <c r="C35" s="76" t="n">
        <v>1.05</v>
      </c>
      <c r="D35" s="53">
        <f>(B35+C35)/2</f>
        <v>0.5750000000000001</v>
      </c>
      <c r="E35" s="83" t="n">
        <v>1.455</v>
      </c>
      <c r="F35" s="76" t="n">
        <v>0.95</v>
      </c>
      <c r="G35" s="76" t="n">
        <v>4.9</v>
      </c>
      <c r="H35" s="53">
        <f>(F35+G35)/2</f>
        <v>2.9250000000000003</v>
      </c>
      <c r="I35" s="83" t="n">
        <v>2.4819</v>
      </c>
      <c r="J35" s="87" t="n">
        <v>0</v>
      </c>
      <c r="K35" s="87" t="n">
        <v>0</v>
      </c>
    </row>
    <row r="36">
      <c r="A36" s="86" t="n">
        <v>7</v>
      </c>
      <c r="B36" s="76" t="n">
        <v>0</v>
      </c>
      <c r="C36" s="76" t="n">
        <v>4.3</v>
      </c>
      <c r="D36" s="53">
        <f>(B36+C36)/2</f>
        <v>2.15</v>
      </c>
      <c r="E36" s="83" t="n">
        <v>3.9828</v>
      </c>
      <c r="F36" s="76" t="n">
        <v>0.8</v>
      </c>
      <c r="G36" s="76" t="n">
        <v>4.8</v>
      </c>
      <c r="H36" s="53">
        <f>(F36+G36)/2</f>
        <v>2.8</v>
      </c>
      <c r="I36" s="83" t="n">
        <v>1.0895</v>
      </c>
      <c r="J36" s="87" t="n">
        <v>0</v>
      </c>
      <c r="K36" s="87" t="n">
        <v>0</v>
      </c>
    </row>
    <row r="37">
      <c r="A37" s="86" t="n">
        <v>8</v>
      </c>
      <c r="B37" s="76" t="n">
        <v>0</v>
      </c>
      <c r="C37" s="76" t="n">
        <v>4.3</v>
      </c>
      <c r="D37" s="53">
        <f>(B37+C37)/2</f>
        <v>2.15</v>
      </c>
      <c r="E37" s="83" t="n">
        <v>4.1776</v>
      </c>
      <c r="F37" s="76" t="n">
        <v>2.8</v>
      </c>
      <c r="G37" s="76" t="n">
        <v>5.9</v>
      </c>
      <c r="H37" s="53">
        <f>(F37+G37)/2</f>
        <v>4.35</v>
      </c>
      <c r="I37" s="83" t="n">
        <v>2.159</v>
      </c>
      <c r="J37" s="87" t="n">
        <v>0</v>
      </c>
      <c r="K37" s="87" t="n">
        <v>0</v>
      </c>
    </row>
    <row r="39">
      <c r="A39" s="30" t="inlineStr">
        <is>
          <t>Legs (premium = mid when the market is tight, else Black-Scholes at the reference IV)</t>
        </is>
      </c>
    </row>
    <row r="40">
      <c r="A40" s="29" t="inlineStr">
        <is>
          <t>Leg</t>
        </is>
      </c>
      <c r="B40" s="29" t="inlineStr">
        <is>
          <t>Type</t>
        </is>
      </c>
      <c r="C40" s="29" t="inlineStr">
        <is>
          <t>Strike</t>
        </is>
      </c>
      <c r="D40" s="29" t="inlineStr">
        <is>
          <t>Mid</t>
        </is>
      </c>
      <c r="E40" s="29" t="inlineStr">
        <is>
          <t>Spread % of mid</t>
        </is>
      </c>
      <c r="F40" s="29" t="inlineStr">
        <is>
          <t>BS value</t>
        </is>
      </c>
      <c r="G40" s="29" t="inlineStr">
        <is>
          <t>Premium used</t>
        </is>
      </c>
      <c r="H40" s="29" t="inlineStr">
        <is>
          <t>Source</t>
        </is>
      </c>
      <c r="I40" s="29" t="inlineStr">
        <is>
          <t>d1</t>
        </is>
      </c>
      <c r="J40" s="29" t="inlineStr">
        <is>
          <t>Delta</t>
        </is>
      </c>
      <c r="K40" s="29" t="inlineStr">
        <is>
          <t>E[payoff] if approved</t>
        </is>
      </c>
      <c r="L40" s="29" t="inlineStr">
        <is>
          <t>E[payoff] if CRL</t>
        </is>
      </c>
    </row>
    <row r="41">
      <c r="A41" s="13" t="inlineStr">
        <is>
          <t>Dec-26 $4 call</t>
        </is>
      </c>
      <c r="B41" s="88" t="inlineStr">
        <is>
          <t>C</t>
        </is>
      </c>
      <c r="C41" s="11">
        <f>A33</f>
        <v>4</v>
      </c>
      <c r="D41" s="53">
        <f>(B33+C33)/2</f>
        <v>2.4</v>
      </c>
      <c r="E41" s="55">
        <f>IF(B33&gt;0,(C33-B33)/D41,9.99)</f>
        <v>9.99</v>
      </c>
      <c r="F41" s="53">
        <f>IF(B41="C",$B$4*NORMSDIST((LN($B$4/C41)+($B$9+$B$10^2/2)*$B$8)/($B$10*SQRT($B$8)))-C41*EXP(-$B$9*$B$8)*NORMSDIST((LN($B$4/C41)+($B$9+$B$10^2/2)*$B$8)/($B$10*SQRT($B$8))-$B$10*SQRT($B$8)),C41*EXP(-$B$9*$B$8)*NORMSDIST(-((LN($B$4/C41)+($B$9+$B$10^2/2)*$B$8)/($B$10*SQRT($B$8))-$B$10*SQRT($B$8)))-$B$4*NORMSDIST(-(LN($B$4/C41)+($B$9+$B$10^2/2)*$B$8)/($B$10*SQRT($B$8))))</f>
        <v>1.0886729106302726</v>
      </c>
      <c r="G41" s="57">
        <f>IF(AND(B33&gt;0,E41&lt;=0.6),D41,F41)</f>
        <v>1.0886729106302726</v>
      </c>
      <c r="H41" s="51" t="str">
        <f>IF(AND(B33&gt;0,E41&lt;=0.6),"market","theo")</f>
        <v>theo</v>
      </c>
      <c r="I41" s="72">
        <f>(LN($B$4/C41)+($B$9+$B$10^2/2)*$B$8)/($B$10*SQRT($B$8))</f>
        <v>0.47696280393193774</v>
      </c>
      <c r="J41" s="11">
        <f>IF(B41="C",NORMSDIST(I41),NORMSDIST(I41)-1)</f>
        <v>0.6833056956539844</v>
      </c>
      <c r="K41" s="53">
        <f>IF(B41="C",($B$21*NORMSDIST(((LN($B$21/C41)+$B$24^2*$B$8/2)/($B$24*SQRT($B$8))))-C41*NORMSDIST((((LN($B$21/C41)+$B$24^2*$B$8/2)/($B$24*SQRT($B$8)))-$B$24*SQRT($B$8)))),(C41*NORMSDIST(-(((LN($B$21/C41)+$B$24^2*$B$8/2)/($B$24*SQRT($B$8)))-$B$24*SQRT($B$8)))-$B$21*NORMSDIST(-((LN($B$21/C41)+$B$24^2*$B$8/2)/($B$24*SQRT($B$8))))))</f>
        <v>0.9369751146777832</v>
      </c>
      <c r="L41" s="53">
        <f>IF(B41="C",($B$22*NORMSDIST(((LN($B$22/C41)+$B$24^2*$B$8/2)/($B$24*SQRT($B$8))))-C41*NORMSDIST((((LN($B$22/C41)+$B$24^2*$B$8/2)/($B$24*SQRT($B$8)))-$B$24*SQRT($B$8)))),(C41*NORMSDIST(-(((LN($B$22/C41)+$B$24^2*$B$8/2)/($B$24*SQRT($B$8)))-$B$24*SQRT($B$8)))-$B$22*NORMSDIST(-((LN($B$22/C41)+$B$24^2*$B$8/2)/($B$24*SQRT($B$8))))))</f>
        <v>0.0007917188150846528</v>
      </c>
    </row>
    <row r="42">
      <c r="A42" s="13" t="inlineStr">
        <is>
          <t>Dec-26 $4 put</t>
        </is>
      </c>
      <c r="B42" s="88" t="inlineStr">
        <is>
          <t>P</t>
        </is>
      </c>
      <c r="C42" s="11">
        <f>A33</f>
        <v>4</v>
      </c>
      <c r="D42" s="53">
        <f>(F33+G33)/2</f>
        <v>2.3</v>
      </c>
      <c r="E42" s="55">
        <f>IF(F33&gt;0,(G33-F33)/D42,9.99)</f>
        <v>9.99</v>
      </c>
      <c r="F42" s="53">
        <f>IF(B42="C",$B$4*NORMSDIST((LN($B$4/C42)+($B$9+$B$10^2/2)*$B$8)/($B$10*SQRT($B$8)))-C42*EXP(-$B$9*$B$8)*NORMSDIST((LN($B$4/C42)+($B$9+$B$10^2/2)*$B$8)/($B$10*SQRT($B$8))-$B$10*SQRT($B$8)),C42*EXP(-$B$9*$B$8)*NORMSDIST(-((LN($B$4/C42)+($B$9+$B$10^2/2)*$B$8)/($B$10*SQRT($B$8))-$B$10*SQRT($B$8)))-$B$4*NORMSDIST(-(LN($B$4/C42)+($B$9+$B$10^2/2)*$B$8)/($B$10*SQRT($B$8))))</f>
        <v>0.611151586713159</v>
      </c>
      <c r="G42" s="57">
        <f>IF(AND(F33&gt;0,E42&lt;=0.6),D42,F42)</f>
        <v>0.611151586713159</v>
      </c>
      <c r="H42" s="51" t="str">
        <f>IF(AND(F33&gt;0,E42&lt;=0.6),"market","theo")</f>
        <v>theo</v>
      </c>
      <c r="I42" s="72">
        <f>(LN($B$4/C42)+($B$9+$B$10^2/2)*$B$8)/($B$10*SQRT($B$8))</f>
        <v>0.47696280393193774</v>
      </c>
      <c r="J42" s="11">
        <f>IF(B42="C",NORMSDIST(I42),NORMSDIST(I42)-1)</f>
        <v>-0.31669430434601564</v>
      </c>
      <c r="K42" s="53">
        <f>IF(B42="C",($B$21*NORMSDIST(((LN($B$21/C42)+$B$24^2*$B$8/2)/($B$24*SQRT($B$8))))-C42*NORMSDIST((((LN($B$21/C42)+$B$24^2*$B$8/2)/($B$24*SQRT($B$8)))-$B$24*SQRT($B$8)))),(C42*NORMSDIST(-(((LN($B$21/C42)+$B$24^2*$B$8/2)/($B$24*SQRT($B$8)))-$B$24*SQRT($B$8)))-$B$21*NORMSDIST(-((LN($B$21/C42)+$B$24^2*$B$8/2)/($B$24*SQRT($B$8))))))</f>
        <v>0.04403430719337409</v>
      </c>
      <c r="L42" s="53">
        <f>IF(B42="C",($B$22*NORMSDIST(((LN($B$22/C42)+$B$24^2*$B$8/2)/($B$24*SQRT($B$8))))-C42*NORMSDIST((((LN($B$22/C42)+$B$24^2*$B$8/2)/($B$24*SQRT($B$8)))-$B$24*SQRT($B$8)))),(C42*NORMSDIST(-(((LN($B$22/C42)+$B$24^2*$B$8/2)/($B$24*SQRT($B$8)))-$B$24*SQRT($B$8)))-$B$22*NORMSDIST(-((LN($B$22/C42)+$B$24^2*$B$8/2)/($B$24*SQRT($B$8))))))</f>
        <v>1.4359334482993589</v>
      </c>
    </row>
    <row r="43">
      <c r="A43" s="13" t="inlineStr">
        <is>
          <t>Dec-26 $6 call</t>
        </is>
      </c>
      <c r="B43" s="88" t="inlineStr">
        <is>
          <t>C</t>
        </is>
      </c>
      <c r="C43" s="11">
        <f>A35</f>
        <v>6</v>
      </c>
      <c r="D43" s="53">
        <f>(B35+C35)/2</f>
        <v>0.5750000000000001</v>
      </c>
      <c r="E43" s="55">
        <f>IF(B35&gt;0,(C35-B35)/D43,9.99)</f>
        <v>1.6521739130434783</v>
      </c>
      <c r="F43" s="53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0.4359557200052664</v>
      </c>
      <c r="G43" s="57">
        <f>IF(AND(B35&gt;0,E43&lt;=0.6),D43,F43)</f>
        <v>0.4359557200052664</v>
      </c>
      <c r="H43" s="51" t="str">
        <f>IF(AND(B35&gt;0,E43&lt;=0.6),"market","theo")</f>
        <v>theo</v>
      </c>
      <c r="I43" s="72">
        <f>(LN($B$4/C43)+($B$9+$B$10^2/2)*$B$8)/($B$10*SQRT($B$8))</f>
        <v>-0.3363327513087273</v>
      </c>
      <c r="J43" s="11">
        <f>IF(B43="C",NORMSDIST(I43),NORMSDIST(I43)-1)</f>
        <v>0.3683099775076528</v>
      </c>
      <c r="K43" s="53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0.052362860867225414</v>
      </c>
      <c r="L43" s="53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4.033301683270832e-08</v>
      </c>
    </row>
    <row r="44">
      <c r="A44" s="13" t="inlineStr">
        <is>
          <t>Dec-26 $3 put</t>
        </is>
      </c>
      <c r="B44" s="88" t="inlineStr">
        <is>
          <t>P</t>
        </is>
      </c>
      <c r="C44" s="11">
        <f>A32</f>
        <v>3</v>
      </c>
      <c r="D44" s="53">
        <f>(F32+G32)/2</f>
        <v>0.425</v>
      </c>
      <c r="E44" s="55">
        <f>IF(F32&gt;0,(G32-F32)/D44,9.99)</f>
        <v>9.99</v>
      </c>
      <c r="F44" s="53">
        <f>IF(B44="C",$B$4*NORMSDIST((LN($B$4/C44)+($B$9+$B$10^2/2)*$B$8)/($B$10*SQRT($B$8)))-C44*EXP(-$B$9*$B$8)*NORMSDIST((LN($B$4/C44)+($B$9+$B$10^2/2)*$B$8)/($B$10*SQRT($B$8))-$B$10*SQRT($B$8)),C44*EXP(-$B$9*$B$8)*NORMSDIST(-((LN($B$4/C44)+($B$9+$B$10^2/2)*$B$8)/($B$10*SQRT($B$8))-$B$10*SQRT($B$8)))-$B$4*NORMSDIST(-(LN($B$4/C44)+($B$9+$B$10^2/2)*$B$8)/($B$10*SQRT($B$8))))</f>
        <v>0.2124653093647475</v>
      </c>
      <c r="G44" s="57">
        <f>IF(AND(F32&gt;0,E44&lt;=0.6),D44,F44)</f>
        <v>0.2124653093647475</v>
      </c>
      <c r="H44" s="51" t="str">
        <f>IF(AND(F32&gt;0,E44&lt;=0.6),"market","theo")</f>
        <v>theo</v>
      </c>
      <c r="I44" s="72">
        <f>(LN($B$4/C44)+($B$9+$B$10^2/2)*$B$8)/($B$10*SQRT($B$8))</f>
        <v>1.0540051835811401</v>
      </c>
      <c r="J44" s="11">
        <f>IF(B44="C",NORMSDIST(I44),NORMSDIST(I44)-1)</f>
        <v>-0.14594027196120585</v>
      </c>
      <c r="K44" s="53">
        <f>IF(B44="C",($B$21*NORMSDIST(((LN($B$21/C44)+$B$24^2*$B$8/2)/($B$24*SQRT($B$8))))-C44*NORMSDIST((((LN($B$21/C44)+$B$24^2*$B$8/2)/($B$24*SQRT($B$8)))-$B$24*SQRT($B$8)))),(C44*NORMSDIST(-(((LN($B$21/C44)+$B$24^2*$B$8/2)/($B$24*SQRT($B$8)))-$B$24*SQRT($B$8)))-$B$21*NORMSDIST(-((LN($B$21/C44)+$B$24^2*$B$8/2)/($B$24*SQRT($B$8))))))</f>
        <v>0.00039849019077422155</v>
      </c>
      <c r="L44" s="53">
        <f>IF(B44="C",($B$22*NORMSDIST(((LN($B$22/C44)+$B$24^2*$B$8/2)/($B$24*SQRT($B$8))))-C44*NORMSDIST((((LN($B$22/C44)+$B$24^2*$B$8/2)/($B$24*SQRT($B$8)))-$B$24*SQRT($B$8)))),(C44*NORMSDIST(-(((LN($B$22/C44)+$B$24^2*$B$8/2)/($B$24*SQRT($B$8)))-$B$24*SQRT($B$8)))-$B$22*NORMSDIST(-((LN($B$22/C44)+$B$24^2*$B$8/2)/($B$24*SQRT($B$8))))))</f>
        <v>0.48107914194045653</v>
      </c>
    </row>
    <row r="46">
      <c r="A46" s="30" t="inlineStr">
        <is>
          <t>Strategies (+ = credit received, − = debit paid; per share unless noted)</t>
        </is>
      </c>
    </row>
    <row r="47">
      <c r="A47" s="29" t="inlineStr">
        <is>
          <t>Metric</t>
        </is>
      </c>
      <c r="B47" s="29" t="inlineStr">
        <is>
          <t>Long straddle</t>
        </is>
      </c>
      <c r="C47" s="29" t="inlineStr">
        <is>
          <t>Bull call spread</t>
        </is>
      </c>
      <c r="D47" s="29" t="inlineStr">
        <is>
          <t>Bear put spread</t>
        </is>
      </c>
      <c r="E47" s="29" t="inlineStr">
        <is>
          <t>Iron butterfly</t>
        </is>
      </c>
    </row>
    <row r="48" ht="50" customHeight="1" s="9">
      <c r="A48" s="13" t="inlineStr">
        <is>
          <t>Structure</t>
        </is>
      </c>
      <c r="B48" s="89" t="inlineStr">
        <is>
          <t>Buy $4 call + $4 put</t>
        </is>
      </c>
      <c r="C48" s="89" t="inlineStr">
        <is>
          <t>Buy $4 / sell $6 call</t>
        </is>
      </c>
      <c r="D48" s="89" t="inlineStr">
        <is>
          <t>Buy $4 / sell $3 put</t>
        </is>
      </c>
      <c r="E48" s="89" t="inlineStr">
        <is>
          <t>Sell $4 straddle, buy $3 put + $6 call</t>
        </is>
      </c>
    </row>
    <row r="49">
      <c r="A49" s="13" t="inlineStr">
        <is>
          <t>Net premium</t>
        </is>
      </c>
      <c r="B49" s="53">
        <f>-$G$41-$G$42</f>
        <v>-1.6998244973434316</v>
      </c>
      <c r="C49" s="53">
        <f>-$G$41+$G$43</f>
        <v>-0.6527171906250062</v>
      </c>
      <c r="D49" s="53">
        <f>-$G$42+$G$44</f>
        <v>-0.39868627734841144</v>
      </c>
      <c r="E49" s="53">
        <f>$G$41+$G$42-$G$43-$G$44</f>
        <v>1.0514034679734177</v>
      </c>
    </row>
    <row r="50">
      <c r="A50" s="13" t="inlineStr">
        <is>
          <t>Net premium / contract</t>
        </is>
      </c>
      <c r="B50" s="90">
        <f>B49*$B$11</f>
        <v>-169.98244973434316</v>
      </c>
      <c r="C50" s="90">
        <f>C49*$B$11</f>
        <v>-65.27171906250062</v>
      </c>
      <c r="D50" s="90">
        <f>D49*$B$11</f>
        <v>-39.86862773484114</v>
      </c>
      <c r="E50" s="90">
        <f>E49*$B$11</f>
        <v>105.14034679734176</v>
      </c>
    </row>
    <row r="51">
      <c r="A51" s="13" t="inlineStr">
        <is>
          <t>Max profit / contract</t>
        </is>
      </c>
      <c r="B51" s="91" t="str">
        <f>"Unlimited"</f>
        <v>Unlimited</v>
      </c>
      <c r="C51" s="91">
        <f>(6.0-4.0+C49)*$B$11</f>
        <v>134.7282809374994</v>
      </c>
      <c r="D51" s="91">
        <f>(4.0-3.0+D49)*$B$11</f>
        <v>60.13137226515886</v>
      </c>
      <c r="E51" s="91">
        <f>E49*$B$11</f>
        <v>105.14034679734176</v>
      </c>
    </row>
    <row r="52">
      <c r="A52" s="13" t="inlineStr">
        <is>
          <t>Max loss / contract</t>
        </is>
      </c>
      <c r="B52" s="90">
        <f>B49*$B$11</f>
        <v>-169.98244973434316</v>
      </c>
      <c r="C52" s="90">
        <f>C49*$B$11</f>
        <v>-65.27171906250062</v>
      </c>
      <c r="D52" s="90">
        <f>D49*$B$11</f>
        <v>-39.86862773484114</v>
      </c>
      <c r="E52" s="90">
        <f>-(MAX(6.0-4.0,4.0-3.0)-E49)*$B$11</f>
        <v>-94.85965320265824</v>
      </c>
    </row>
    <row r="53">
      <c r="A53" s="13" t="inlineStr">
        <is>
          <t>Breakeven (low)</t>
        </is>
      </c>
      <c r="B53" s="92">
        <f>4.0+B49</f>
        <v>2.3001755026565682</v>
      </c>
      <c r="C53" s="92" t="str">
        <f>"—"</f>
        <v>—</v>
      </c>
      <c r="D53" s="92">
        <f>4.0+D49</f>
        <v>3.6013137226515886</v>
      </c>
      <c r="E53" s="92">
        <f>4.0-E49</f>
        <v>2.948596532026582</v>
      </c>
    </row>
    <row r="54">
      <c r="A54" s="13" t="inlineStr">
        <is>
          <t>Breakeven (high)</t>
        </is>
      </c>
      <c r="B54" s="92">
        <f>4.0-B49</f>
        <v>5.699824497343432</v>
      </c>
      <c r="C54" s="92">
        <f>4.0-C49</f>
        <v>4.652717190625006</v>
      </c>
      <c r="D54" s="92" t="str">
        <f>"—"</f>
        <v>—</v>
      </c>
      <c r="E54" s="92">
        <f>4.0+E49</f>
        <v>5.051403467973418</v>
      </c>
    </row>
    <row r="55">
      <c r="A55" s="13" t="inlineStr">
        <is>
          <t>Prob. of profit (market-implied, lognormal)</t>
        </is>
      </c>
      <c r="B55" s="54">
        <f>(1-NORMSDIST((LN($B$4/B53)+($B$9-IF((($E$33+$I$33)/2)&gt;0,(($E$33+$I$33)/2),$B$10)^2/2)*$B$8)/(IF((($E$33+$I$33)/2)&gt;0,(($E$33+$I$33)/2),$B$10)*SQRT($B$8))))+NORMSDIST((LN($B$4/B54)+($B$9-IF((($E$33+$I$33)/2)&gt;0,(($E$33+$I$33)/2),$B$10)^2/2)*$B$8)/(IF((($E$33+$I$33)/2)&gt;0,(($E$33+$I$33)/2),$B$10)*SQRT($B$8)))</f>
        <v>0.8121735410595863</v>
      </c>
      <c r="C55" s="54">
        <f>NORMSDIST((LN($B$4/C54)+($B$9-IF((($E$33+$I$33)/2)&gt;0,(($E$33+$I$33)/2),$B$10)^2/2)*$B$8)/(IF((($E$33+$I$33)/2)&gt;0,(($E$33+$I$33)/2),$B$10)*SQRT($B$8)))</f>
        <v>0.21118551879512443</v>
      </c>
      <c r="D55" s="54">
        <f>1-NORMSDIST((LN($B$4/D53)+($B$9-IF((($E$33+$I$33)/2)&gt;0,(($E$33+$I$33)/2),$B$10)^2/2)*$B$8)/(IF((($E$33+$I$33)/2)&gt;0,(($E$33+$I$33)/2),$B$10)*SQRT($B$8)))</f>
        <v>0.7381715873105796</v>
      </c>
      <c r="E55" s="54">
        <f>MAX(0,NORMSDIST((LN($B$4/E53)+($B$9-IF((($E$33+$I$33)/2)&gt;0,(($E$33+$I$33)/2),$B$10)^2/2)*$B$8)/(IF((($E$33+$I$33)/2)&gt;0,(($E$33+$I$33)/2),$B$10)*SQRT($B$8)))-NORMSDIST((LN($B$4/E54)+($B$9-IF((($E$33+$I$33)/2)&gt;0,(($E$33+$I$33)/2),$B$10)^2/2)*$B$8)/(IF((($E$33+$I$33)/2)&gt;0,(($E$33+$I$33)/2),$B$10)*SQRT($B$8))))</f>
        <v>0.10906150315410815</v>
      </c>
    </row>
    <row r="56">
      <c r="A56" s="13" t="inlineStr">
        <is>
          <t>Expected P/L if approved</t>
        </is>
      </c>
      <c r="B56" s="90">
        <f>((1)*$K$41+(1)*$K$42+B49)*$B$11</f>
        <v>-71.88150754722743</v>
      </c>
      <c r="C56" s="90">
        <f>((1)*$K$41+(-1)*$K$43+C49)*$B$11</f>
        <v>23.189506318555154</v>
      </c>
      <c r="D56" s="90">
        <f>((1)*$K$42+(-1)*$K$44+D49)*$B$11</f>
        <v>-35.505046034581156</v>
      </c>
      <c r="E56" s="90">
        <f>((-1)*$K$41+(-1)*$K$42+(1)*$K$43+(1)*$K$44+E49)*$B$11</f>
        <v>12.315539716026002</v>
      </c>
    </row>
    <row r="57">
      <c r="A57" s="13" t="inlineStr">
        <is>
          <t>Expected P/L if CRL</t>
        </is>
      </c>
      <c r="B57" s="90">
        <f>((1)*$L$41+(1)*$L$42+B49)*$B$11</f>
        <v>-26.30993302289881</v>
      </c>
      <c r="C57" s="90">
        <f>((1)*$L$41+(-1)*$L$43+C49)*$B$11</f>
        <v>-65.19255121429384</v>
      </c>
      <c r="D57" s="90">
        <f>((1)*$L$42+(-1)*$L$44+D49)*$B$11</f>
        <v>55.61680290104909</v>
      </c>
      <c r="E57" s="90">
        <f>((-1)*$L$41+(-1)*$L$42+(1)*$L$43+(1)*$L$44+E49)*$B$11</f>
        <v>9.57574831324477</v>
      </c>
    </row>
    <row r="58">
      <c r="A58" s="23" t="inlineStr">
        <is>
          <t>Model expected P/L</t>
        </is>
      </c>
      <c r="B58" s="93">
        <f>$B$17*B56+(1-$B$17)*B57</f>
        <v>-62.76719264236171</v>
      </c>
      <c r="C58" s="93">
        <f>$B$17*C56+(1-$B$17)*C57</f>
        <v>5.513094811985358</v>
      </c>
      <c r="D58" s="93">
        <f>$B$17*D56+(1-$B$17)*D57</f>
        <v>-17.28067624745511</v>
      </c>
      <c r="E58" s="93">
        <f>$B$17*E56+(1-$B$17)*E57</f>
        <v>11.767581435469756</v>
      </c>
    </row>
    <row r="59">
      <c r="A59" s="13" t="inlineStr">
        <is>
          <t>Expected P/L ÷ max loss</t>
        </is>
      </c>
      <c r="B59" s="54">
        <f>B58/-B52</f>
        <v>-0.36925690117101695</v>
      </c>
      <c r="C59" s="54">
        <f>C58/-C52</f>
        <v>0.08446375997399916</v>
      </c>
      <c r="D59" s="54">
        <f>D58/-D52</f>
        <v>-0.43344045755438804</v>
      </c>
      <c r="E59" s="54">
        <f>E58/-E52</f>
        <v>0.12405254539914336</v>
      </c>
    </row>
    <row r="61">
      <c r="A61" s="30" t="inlineStr">
        <is>
          <t>Payoff at expiry per contract ($)</t>
        </is>
      </c>
    </row>
    <row r="62">
      <c r="A62" s="29" t="inlineStr">
        <is>
          <t>Price at expiry</t>
        </is>
      </c>
      <c r="B62" s="29" t="inlineStr">
        <is>
          <t>Long straddle</t>
        </is>
      </c>
      <c r="C62" s="29" t="inlineStr">
        <is>
          <t>Bull call spread</t>
        </is>
      </c>
      <c r="D62" s="29" t="inlineStr">
        <is>
          <t>Bear put spread</t>
        </is>
      </c>
      <c r="E62" s="29" t="inlineStr">
        <is>
          <t>Iron butterfly</t>
        </is>
      </c>
    </row>
    <row r="63">
      <c r="A63" s="94" t="n">
        <v>0</v>
      </c>
      <c r="B63" s="52">
        <f>(MAX($A63-4.0,0)+MAX(4.0-$A63,0)-$G$41-$G$42)*$B$11</f>
        <v>230.01755026565687</v>
      </c>
      <c r="C63" s="52">
        <f>(MAX($A63-4.0,0)-MAX($A63-6.0,0)-$G$41+$G$43)*$B$11</f>
        <v>-65.27171906250062</v>
      </c>
      <c r="D63" s="52">
        <f>(MAX(4.0-$A63,0)-MAX(3.0-$A63,0)-$G$42+$G$44)*$B$11</f>
        <v>60.13137226515886</v>
      </c>
      <c r="E63" s="52">
        <f>($G$41+$G$42-$G$43-$G$44-MAX($A63-4.0,0)-MAX(4.0-$A63,0)+MAX($A63-6.0,0)+MAX(3.0-$A63,0))*$B$11</f>
        <v>5.140346797341788</v>
      </c>
    </row>
    <row r="64">
      <c r="A64" s="94" t="n">
        <v>0.32</v>
      </c>
      <c r="B64" s="52">
        <f>(MAX($A64-4.0,0)+MAX(4.0-$A64,0)-$G$41-$G$42)*$B$11</f>
        <v>198.01755026565684</v>
      </c>
      <c r="C64" s="52">
        <f>(MAX($A64-4.0,0)-MAX($A64-6.0,0)-$G$41+$G$43)*$B$11</f>
        <v>-65.27171906250062</v>
      </c>
      <c r="D64" s="52">
        <f>(MAX(4.0-$A64,0)-MAX(3.0-$A64,0)-$G$42+$G$44)*$B$11</f>
        <v>60.13137226515886</v>
      </c>
      <c r="E64" s="52">
        <f>($G$41+$G$42-$G$43-$G$44-MAX($A64-4.0,0)-MAX(4.0-$A64,0)+MAX($A64-6.0,0)+MAX(3.0-$A64,0))*$B$11</f>
        <v>5.140346797341744</v>
      </c>
    </row>
    <row r="65">
      <c r="A65" s="94" t="n">
        <v>0.64</v>
      </c>
      <c r="B65" s="52">
        <f>(MAX($A65-4.0,0)+MAX(4.0-$A65,0)-$G$41-$G$42)*$B$11</f>
        <v>166.0175502656568</v>
      </c>
      <c r="C65" s="52">
        <f>(MAX($A65-4.0,0)-MAX($A65-6.0,0)-$G$41+$G$43)*$B$11</f>
        <v>-65.27171906250062</v>
      </c>
      <c r="D65" s="52">
        <f>(MAX(4.0-$A65,0)-MAX(3.0-$A65,0)-$G$42+$G$44)*$B$11</f>
        <v>60.13137226515886</v>
      </c>
      <c r="E65" s="52">
        <f>($G$41+$G$42-$G$43-$G$44-MAX($A65-4.0,0)-MAX(4.0-$A65,0)+MAX($A65-6.0,0)+MAX(3.0-$A65,0))*$B$11</f>
        <v>5.140346797341744</v>
      </c>
    </row>
    <row r="66">
      <c r="A66" s="94" t="n">
        <v>0.95</v>
      </c>
      <c r="B66" s="52">
        <f>(MAX($A66-4.0,0)+MAX(4.0-$A66,0)-$G$41-$G$42)*$B$11</f>
        <v>135.01755026565684</v>
      </c>
      <c r="C66" s="52">
        <f>(MAX($A66-4.0,0)-MAX($A66-6.0,0)-$G$41+$G$43)*$B$11</f>
        <v>-65.27171906250062</v>
      </c>
      <c r="D66" s="52">
        <f>(MAX(4.0-$A66,0)-MAX(3.0-$A66,0)-$G$42+$G$44)*$B$11</f>
        <v>60.13137226515886</v>
      </c>
      <c r="E66" s="52">
        <f>($G$41+$G$42-$G$43-$G$44-MAX($A66-4.0,0)-MAX(4.0-$A66,0)+MAX($A66-6.0,0)+MAX(3.0-$A66,0))*$B$11</f>
        <v>5.140346797341766</v>
      </c>
    </row>
    <row r="67">
      <c r="A67" s="94" t="n">
        <v>1.27</v>
      </c>
      <c r="B67" s="52">
        <f>(MAX($A67-4.0,0)+MAX(4.0-$A67,0)-$G$41-$G$42)*$B$11</f>
        <v>103.01755026565684</v>
      </c>
      <c r="C67" s="52">
        <f>(MAX($A67-4.0,0)-MAX($A67-6.0,0)-$G$41+$G$43)*$B$11</f>
        <v>-65.27171906250062</v>
      </c>
      <c r="D67" s="52">
        <f>(MAX(4.0-$A67,0)-MAX(3.0-$A67,0)-$G$42+$G$44)*$B$11</f>
        <v>60.13137226515886</v>
      </c>
      <c r="E67" s="52">
        <f>($G$41+$G$42-$G$43-$G$44-MAX($A67-4.0,0)-MAX(4.0-$A67,0)+MAX($A67-6.0,0)+MAX(3.0-$A67,0))*$B$11</f>
        <v>5.140346797341766</v>
      </c>
    </row>
    <row r="68">
      <c r="A68" s="94" t="n">
        <v>1.59</v>
      </c>
      <c r="B68" s="52">
        <f>(MAX($A68-4.0,0)+MAX(4.0-$A68,0)-$G$41-$G$42)*$B$11</f>
        <v>71.01755026565687</v>
      </c>
      <c r="C68" s="52">
        <f>(MAX($A68-4.0,0)-MAX($A68-6.0,0)-$G$41+$G$43)*$B$11</f>
        <v>-65.27171906250062</v>
      </c>
      <c r="D68" s="52">
        <f>(MAX(4.0-$A68,0)-MAX(3.0-$A68,0)-$G$42+$G$44)*$B$11</f>
        <v>60.13137226515888</v>
      </c>
      <c r="E68" s="52">
        <f>($G$41+$G$42-$G$43-$G$44-MAX($A68-4.0,0)-MAX(4.0-$A68,0)+MAX($A68-6.0,0)+MAX(3.0-$A68,0))*$B$11</f>
        <v>5.140346797341744</v>
      </c>
    </row>
    <row r="69">
      <c r="A69" s="94" t="n">
        <v>1.91</v>
      </c>
      <c r="B69" s="52">
        <f>(MAX($A69-4.0,0)+MAX(4.0-$A69,0)-$G$41-$G$42)*$B$11</f>
        <v>39.01755026565683</v>
      </c>
      <c r="C69" s="52">
        <f>(MAX($A69-4.0,0)-MAX($A69-6.0,0)-$G$41+$G$43)*$B$11</f>
        <v>-65.27171906250062</v>
      </c>
      <c r="D69" s="52">
        <f>(MAX(4.0-$A69,0)-MAX(3.0-$A69,0)-$G$42+$G$44)*$B$11</f>
        <v>60.13137226515883</v>
      </c>
      <c r="E69" s="52">
        <f>($G$41+$G$42-$G$43-$G$44-MAX($A69-4.0,0)-MAX(4.0-$A69,0)+MAX($A69-6.0,0)+MAX(3.0-$A69,0))*$B$11</f>
        <v>5.140346797341788</v>
      </c>
    </row>
    <row r="70">
      <c r="A70" s="94" t="n">
        <v>2.23</v>
      </c>
      <c r="B70" s="52">
        <f>(MAX($A70-4.0,0)+MAX(4.0-$A70,0)-$G$41-$G$42)*$B$11</f>
        <v>7.017550265656847</v>
      </c>
      <c r="C70" s="52">
        <f>(MAX($A70-4.0,0)-MAX($A70-6.0,0)-$G$41+$G$43)*$B$11</f>
        <v>-65.27171906250062</v>
      </c>
      <c r="D70" s="52">
        <f>(MAX(4.0-$A70,0)-MAX(3.0-$A70,0)-$G$42+$G$44)*$B$11</f>
        <v>60.13137226515886</v>
      </c>
      <c r="E70" s="52">
        <f>($G$41+$G$42-$G$43-$G$44-MAX($A70-4.0,0)-MAX(4.0-$A70,0)+MAX($A70-6.0,0)+MAX(3.0-$A70,0))*$B$11</f>
        <v>5.140346797341766</v>
      </c>
    </row>
    <row r="71">
      <c r="A71" s="94" t="n">
        <v>2.55</v>
      </c>
      <c r="B71" s="52">
        <f>(MAX($A71-4.0,0)+MAX(4.0-$A71,0)-$G$41-$G$42)*$B$11</f>
        <v>-24.982449734343138</v>
      </c>
      <c r="C71" s="52">
        <f>(MAX($A71-4.0,0)-MAX($A71-6.0,0)-$G$41+$G$43)*$B$11</f>
        <v>-65.27171906250062</v>
      </c>
      <c r="D71" s="52">
        <f>(MAX(4.0-$A71,0)-MAX(3.0-$A71,0)-$G$42+$G$44)*$B$11</f>
        <v>60.13137226515886</v>
      </c>
      <c r="E71" s="52">
        <f>($G$41+$G$42-$G$43-$G$44-MAX($A71-4.0,0)-MAX(4.0-$A71,0)+MAX($A71-6.0,0)+MAX(3.0-$A71,0))*$B$11</f>
        <v>5.140346797341766</v>
      </c>
    </row>
    <row r="72">
      <c r="A72" s="94" t="n">
        <v>2.86</v>
      </c>
      <c r="B72" s="52">
        <f>(MAX($A72-4.0,0)+MAX(4.0-$A72,0)-$G$41-$G$42)*$B$11</f>
        <v>-55.98244973434314</v>
      </c>
      <c r="C72" s="52">
        <f>(MAX($A72-4.0,0)-MAX($A72-6.0,0)-$G$41+$G$43)*$B$11</f>
        <v>-65.27171906250062</v>
      </c>
      <c r="D72" s="52">
        <f>(MAX(4.0-$A72,0)-MAX(3.0-$A72,0)-$G$42+$G$44)*$B$11</f>
        <v>60.13137226515886</v>
      </c>
      <c r="E72" s="52">
        <f>($G$41+$G$42-$G$43-$G$44-MAX($A72-4.0,0)-MAX(4.0-$A72,0)+MAX($A72-6.0,0)+MAX(3.0-$A72,0))*$B$11</f>
        <v>5.140346797341766</v>
      </c>
    </row>
    <row r="73">
      <c r="A73" s="94" t="n">
        <v>3.18</v>
      </c>
      <c r="B73" s="52">
        <f>(MAX($A73-4.0,0)+MAX(4.0-$A73,0)-$G$41-$G$42)*$B$11</f>
        <v>-87.98244973434318</v>
      </c>
      <c r="C73" s="52">
        <f>(MAX($A73-4.0,0)-MAX($A73-6.0,0)-$G$41+$G$43)*$B$11</f>
        <v>-65.27171906250062</v>
      </c>
      <c r="D73" s="52">
        <f>(MAX(4.0-$A73,0)-MAX(3.0-$A73,0)-$G$42+$G$44)*$B$11</f>
        <v>42.13137226515884</v>
      </c>
      <c r="E73" s="52">
        <f>($G$41+$G$42-$G$43-$G$44-MAX($A73-4.0,0)-MAX(4.0-$A73,0)+MAX($A73-6.0,0)+MAX(3.0-$A73,0))*$B$11</f>
        <v>23.14034679734178</v>
      </c>
    </row>
    <row r="74">
      <c r="A74" s="94" t="n">
        <v>3.5</v>
      </c>
      <c r="B74" s="52">
        <f>(MAX($A74-4.0,0)+MAX(4.0-$A74,0)-$G$41-$G$42)*$B$11</f>
        <v>-119.98244973434315</v>
      </c>
      <c r="C74" s="52">
        <f>(MAX($A74-4.0,0)-MAX($A74-6.0,0)-$G$41+$G$43)*$B$11</f>
        <v>-65.27171906250062</v>
      </c>
      <c r="D74" s="52">
        <f>(MAX(4.0-$A74,0)-MAX(3.0-$A74,0)-$G$42+$G$44)*$B$11</f>
        <v>10.131372265158856</v>
      </c>
      <c r="E74" s="52">
        <f>($G$41+$G$42-$G$43-$G$44-MAX($A74-4.0,0)-MAX(4.0-$A74,0)+MAX($A74-6.0,0)+MAX(3.0-$A74,0))*$B$11</f>
        <v>55.14034679734176</v>
      </c>
    </row>
    <row r="75">
      <c r="A75" s="94" t="n">
        <v>3.82</v>
      </c>
      <c r="B75" s="52">
        <f>(MAX($A75-4.0,0)+MAX(4.0-$A75,0)-$G$41-$G$42)*$B$11</f>
        <v>-151.98244973434313</v>
      </c>
      <c r="C75" s="52">
        <f>(MAX($A75-4.0,0)-MAX($A75-6.0,0)-$G$41+$G$43)*$B$11</f>
        <v>-65.27171906250062</v>
      </c>
      <c r="D75" s="52">
        <f>(MAX(4.0-$A75,0)-MAX(3.0-$A75,0)-$G$42+$G$44)*$B$11</f>
        <v>-21.868627734841127</v>
      </c>
      <c r="E75" s="52">
        <f>($G$41+$G$42-$G$43-$G$44-MAX($A75-4.0,0)-MAX(4.0-$A75,0)+MAX($A75-6.0,0)+MAX(3.0-$A75,0))*$B$11</f>
        <v>87.14034679734175</v>
      </c>
    </row>
    <row r="76">
      <c r="A76" s="94" t="n">
        <v>4.14</v>
      </c>
      <c r="B76" s="52">
        <f>(MAX($A76-4.0,0)+MAX(4.0-$A76,0)-$G$41-$G$42)*$B$11</f>
        <v>-155.9824497343432</v>
      </c>
      <c r="C76" s="52">
        <f>(MAX($A76-4.0,0)-MAX($A76-6.0,0)-$G$41+$G$43)*$B$11</f>
        <v>-51.27171906250065</v>
      </c>
      <c r="D76" s="52">
        <f>(MAX(4.0-$A76,0)-MAX(3.0-$A76,0)-$G$42+$G$44)*$B$11</f>
        <v>-39.86862773484114</v>
      </c>
      <c r="E76" s="52">
        <f>($G$41+$G$42-$G$43-$G$44-MAX($A76-4.0,0)-MAX(4.0-$A76,0)+MAX($A76-6.0,0)+MAX(3.0-$A76,0))*$B$11</f>
        <v>91.14034679734179</v>
      </c>
    </row>
    <row r="77">
      <c r="A77" s="94" t="n">
        <v>4.46</v>
      </c>
      <c r="B77" s="52">
        <f>(MAX($A77-4.0,0)+MAX(4.0-$A77,0)-$G$41-$G$42)*$B$11</f>
        <v>-123.98244973434316</v>
      </c>
      <c r="C77" s="52">
        <f>(MAX($A77-4.0,0)-MAX($A77-6.0,0)-$G$41+$G$43)*$B$11</f>
        <v>-19.271719062500626</v>
      </c>
      <c r="D77" s="52">
        <f>(MAX(4.0-$A77,0)-MAX(3.0-$A77,0)-$G$42+$G$44)*$B$11</f>
        <v>-39.86862773484114</v>
      </c>
      <c r="E77" s="52">
        <f>($G$41+$G$42-$G$43-$G$44-MAX($A77-4.0,0)-MAX(4.0-$A77,0)+MAX($A77-6.0,0)+MAX(3.0-$A77,0))*$B$11</f>
        <v>59.14034679734177</v>
      </c>
    </row>
    <row r="78">
      <c r="A78" s="94" t="n">
        <v>4.77</v>
      </c>
      <c r="B78" s="52">
        <f>(MAX($A78-4.0,0)+MAX(4.0-$A78,0)-$G$41-$G$42)*$B$11</f>
        <v>-92.98244973434319</v>
      </c>
      <c r="C78" s="52">
        <f>(MAX($A78-4.0,0)-MAX($A78-6.0,0)-$G$41+$G$43)*$B$11</f>
        <v>11.728280937499335</v>
      </c>
      <c r="D78" s="52">
        <f>(MAX(4.0-$A78,0)-MAX(3.0-$A78,0)-$G$42+$G$44)*$B$11</f>
        <v>-39.86862773484114</v>
      </c>
      <c r="E78" s="52">
        <f>($G$41+$G$42-$G$43-$G$44-MAX($A78-4.0,0)-MAX(4.0-$A78,0)+MAX($A78-6.0,0)+MAX(3.0-$A78,0))*$B$11</f>
        <v>28.14034679734181</v>
      </c>
    </row>
    <row r="79">
      <c r="A79" s="94" t="n">
        <v>5.09</v>
      </c>
      <c r="B79" s="52">
        <f>(MAX($A79-4.0,0)+MAX(4.0-$A79,0)-$G$41-$G$42)*$B$11</f>
        <v>-60.98244973434317</v>
      </c>
      <c r="C79" s="52">
        <f>(MAX($A79-4.0,0)-MAX($A79-6.0,0)-$G$41+$G$43)*$B$11</f>
        <v>43.72828093749936</v>
      </c>
      <c r="D79" s="52">
        <f>(MAX(4.0-$A79,0)-MAX(3.0-$A79,0)-$G$42+$G$44)*$B$11</f>
        <v>-39.86862773484114</v>
      </c>
      <c r="E79" s="52">
        <f>($G$41+$G$42-$G$43-$G$44-MAX($A79-4.0,0)-MAX(4.0-$A79,0)+MAX($A79-6.0,0)+MAX(3.0-$A79,0))*$B$11</f>
        <v>-3.8596532026582198</v>
      </c>
    </row>
    <row r="80">
      <c r="A80" s="94" t="n">
        <v>5.41</v>
      </c>
      <c r="B80" s="52">
        <f>(MAX($A80-4.0,0)+MAX(4.0-$A80,0)-$G$41-$G$42)*$B$11</f>
        <v>-28.98244973434314</v>
      </c>
      <c r="C80" s="52">
        <f>(MAX($A80-4.0,0)-MAX($A80-6.0,0)-$G$41+$G$43)*$B$11</f>
        <v>75.72828093749939</v>
      </c>
      <c r="D80" s="52">
        <f>(MAX(4.0-$A80,0)-MAX(3.0-$A80,0)-$G$42+$G$44)*$B$11</f>
        <v>-39.86862773484114</v>
      </c>
      <c r="E80" s="52">
        <f>($G$41+$G$42-$G$43-$G$44-MAX($A80-4.0,0)-MAX(4.0-$A80,0)+MAX($A80-6.0,0)+MAX(3.0-$A80,0))*$B$11</f>
        <v>-35.85965320265825</v>
      </c>
    </row>
    <row r="81">
      <c r="A81" s="94" t="n">
        <v>5.73</v>
      </c>
      <c r="B81" s="52">
        <f>(MAX($A81-4.0,0)+MAX(4.0-$A81,0)-$G$41-$G$42)*$B$11</f>
        <v>3.0175502656568876</v>
      </c>
      <c r="C81" s="52">
        <f>(MAX($A81-4.0,0)-MAX($A81-6.0,0)-$G$41+$G$43)*$B$11</f>
        <v>107.72828093749942</v>
      </c>
      <c r="D81" s="52">
        <f>(MAX(4.0-$A81,0)-MAX(3.0-$A81,0)-$G$42+$G$44)*$B$11</f>
        <v>-39.86862773484114</v>
      </c>
      <c r="E81" s="52">
        <f>($G$41+$G$42-$G$43-$G$44-MAX($A81-4.0,0)-MAX(4.0-$A81,0)+MAX($A81-6.0,0)+MAX(3.0-$A81,0))*$B$11</f>
        <v>-67.85965320265828</v>
      </c>
    </row>
    <row r="82">
      <c r="A82" s="94" t="n">
        <v>6.05</v>
      </c>
      <c r="B82" s="52">
        <f>(MAX($A82-4.0,0)+MAX(4.0-$A82,0)-$G$41-$G$42)*$B$11</f>
        <v>35.01755026565683</v>
      </c>
      <c r="C82" s="52">
        <f>(MAX($A82-4.0,0)-MAX($A82-6.0,0)-$G$41+$G$43)*$B$11</f>
        <v>134.7282809374994</v>
      </c>
      <c r="D82" s="52">
        <f>(MAX(4.0-$A82,0)-MAX(3.0-$A82,0)-$G$42+$G$44)*$B$11</f>
        <v>-39.86862773484114</v>
      </c>
      <c r="E82" s="52">
        <f>($G$41+$G$42-$G$43-$G$44-MAX($A82-4.0,0)-MAX(4.0-$A82,0)+MAX($A82-6.0,0)+MAX(3.0-$A82,0))*$B$11</f>
        <v>-94.85965320265824</v>
      </c>
    </row>
    <row r="83">
      <c r="A83" s="94" t="n">
        <v>6.37</v>
      </c>
      <c r="B83" s="52">
        <f>(MAX($A83-4.0,0)+MAX(4.0-$A83,0)-$G$41-$G$42)*$B$11</f>
        <v>67.01755026565685</v>
      </c>
      <c r="C83" s="52">
        <f>(MAX($A83-4.0,0)-MAX($A83-6.0,0)-$G$41+$G$43)*$B$11</f>
        <v>134.7282809374994</v>
      </c>
      <c r="D83" s="52">
        <f>(MAX(4.0-$A83,0)-MAX(3.0-$A83,0)-$G$42+$G$44)*$B$11</f>
        <v>-39.86862773484114</v>
      </c>
      <c r="E83" s="52">
        <f>($G$41+$G$42-$G$43-$G$44-MAX($A83-4.0,0)-MAX(4.0-$A83,0)+MAX($A83-6.0,0)+MAX(3.0-$A83,0))*$B$11</f>
        <v>-94.85965320265824</v>
      </c>
    </row>
    <row r="84">
      <c r="A84" s="94" t="n">
        <v>6.68</v>
      </c>
      <c r="B84" s="52">
        <f>(MAX($A84-4.0,0)+MAX(4.0-$A84,0)-$G$41-$G$42)*$B$11</f>
        <v>98.01755026565682</v>
      </c>
      <c r="C84" s="52">
        <f>(MAX($A84-4.0,0)-MAX($A84-6.0,0)-$G$41+$G$43)*$B$11</f>
        <v>134.7282809374994</v>
      </c>
      <c r="D84" s="52">
        <f>(MAX(4.0-$A84,0)-MAX(3.0-$A84,0)-$G$42+$G$44)*$B$11</f>
        <v>-39.86862773484114</v>
      </c>
      <c r="E84" s="52">
        <f>($G$41+$G$42-$G$43-$G$44-MAX($A84-4.0,0)-MAX(4.0-$A84,0)+MAX($A84-6.0,0)+MAX(3.0-$A84,0))*$B$11</f>
        <v>-94.85965320265824</v>
      </c>
    </row>
    <row r="85">
      <c r="A85" s="94" t="n">
        <v>7</v>
      </c>
      <c r="B85" s="52">
        <f>(MAX($A85-4.0,0)+MAX(4.0-$A85,0)-$G$41-$G$42)*$B$11</f>
        <v>130.01755026565684</v>
      </c>
      <c r="C85" s="52">
        <f>(MAX($A85-4.0,0)-MAX($A85-6.0,0)-$G$41+$G$43)*$B$11</f>
        <v>134.7282809374994</v>
      </c>
      <c r="D85" s="52">
        <f>(MAX(4.0-$A85,0)-MAX(3.0-$A85,0)-$G$42+$G$44)*$B$11</f>
        <v>-39.86862773484114</v>
      </c>
      <c r="E85" s="52">
        <f>($G$41+$G$42-$G$43-$G$44-MAX($A85-4.0,0)-MAX(4.0-$A85,0)+MAX($A85-6.0,0)+MAX(3.0-$A85,0))*$B$11</f>
        <v>-94.85965320265824</v>
      </c>
    </row>
    <row r="86">
      <c r="A86" s="94" t="n">
        <v>7.32</v>
      </c>
      <c r="B86" s="52">
        <f>(MAX($A86-4.0,0)+MAX(4.0-$A86,0)-$G$41-$G$42)*$B$11</f>
        <v>162.0175502656569</v>
      </c>
      <c r="C86" s="52">
        <f>(MAX($A86-4.0,0)-MAX($A86-6.0,0)-$G$41+$G$43)*$B$11</f>
        <v>134.7282809374994</v>
      </c>
      <c r="D86" s="52">
        <f>(MAX(4.0-$A86,0)-MAX(3.0-$A86,0)-$G$42+$G$44)*$B$11</f>
        <v>-39.86862773484114</v>
      </c>
      <c r="E86" s="52">
        <f>($G$41+$G$42-$G$43-$G$44-MAX($A86-4.0,0)-MAX(4.0-$A86,0)+MAX($A86-6.0,0)+MAX(3.0-$A86,0))*$B$11</f>
        <v>-94.85965320265821</v>
      </c>
    </row>
    <row r="87">
      <c r="A87" s="94" t="n">
        <v>7.64</v>
      </c>
      <c r="B87" s="52">
        <f>(MAX($A87-4.0,0)+MAX(4.0-$A87,0)-$G$41-$G$42)*$B$11</f>
        <v>194.01755026565684</v>
      </c>
      <c r="C87" s="52">
        <f>(MAX($A87-4.0,0)-MAX($A87-6.0,0)-$G$41+$G$43)*$B$11</f>
        <v>134.7282809374994</v>
      </c>
      <c r="D87" s="52">
        <f>(MAX(4.0-$A87,0)-MAX(3.0-$A87,0)-$G$42+$G$44)*$B$11</f>
        <v>-39.86862773484114</v>
      </c>
      <c r="E87" s="52">
        <f>($G$41+$G$42-$G$43-$G$44-MAX($A87-4.0,0)-MAX(4.0-$A87,0)+MAX($A87-6.0,0)+MAX(3.0-$A87,0))*$B$11</f>
        <v>-94.85965320265821</v>
      </c>
    </row>
    <row r="88">
      <c r="A88" s="94" t="n">
        <v>7.96</v>
      </c>
      <c r="B88" s="52">
        <f>(MAX($A88-4.0,0)+MAX(4.0-$A88,0)-$G$41-$G$42)*$B$11</f>
        <v>226.01755026565687</v>
      </c>
      <c r="C88" s="52">
        <f>(MAX($A88-4.0,0)-MAX($A88-6.0,0)-$G$41+$G$43)*$B$11</f>
        <v>134.7282809374994</v>
      </c>
      <c r="D88" s="52">
        <f>(MAX(4.0-$A88,0)-MAX(3.0-$A88,0)-$G$42+$G$44)*$B$11</f>
        <v>-39.86862773484114</v>
      </c>
      <c r="E88" s="52">
        <f>($G$41+$G$42-$G$43-$G$44-MAX($A88-4.0,0)-MAX(4.0-$A88,0)+MAX($A88-6.0,0)+MAX(3.0-$A88,0))*$B$11</f>
        <v>-94.85965320265821</v>
      </c>
    </row>
    <row r="89">
      <c r="A89" s="94" t="n">
        <v>8.279999999999999</v>
      </c>
      <c r="B89" s="52">
        <f>(MAX($A89-4.0,0)+MAX(4.0-$A89,0)-$G$41-$G$42)*$B$11</f>
        <v>258.0175502656568</v>
      </c>
      <c r="C89" s="52">
        <f>(MAX($A89-4.0,0)-MAX($A89-6.0,0)-$G$41+$G$43)*$B$11</f>
        <v>134.7282809374994</v>
      </c>
      <c r="D89" s="52">
        <f>(MAX(4.0-$A89,0)-MAX(3.0-$A89,0)-$G$42+$G$44)*$B$11</f>
        <v>-39.86862773484114</v>
      </c>
      <c r="E89" s="52">
        <f>($G$41+$G$42-$G$43-$G$44-MAX($A89-4.0,0)-MAX(4.0-$A89,0)+MAX($A89-6.0,0)+MAX(3.0-$A89,0))*$B$11</f>
        <v>-94.85965320265821</v>
      </c>
    </row>
    <row r="90">
      <c r="A90" s="94" t="n">
        <v>8.59</v>
      </c>
      <c r="B90" s="52">
        <f>(MAX($A90-4.0,0)+MAX(4.0-$A90,0)-$G$41-$G$42)*$B$11</f>
        <v>289.01755026565684</v>
      </c>
      <c r="C90" s="52">
        <f>(MAX($A90-4.0,0)-MAX($A90-6.0,0)-$G$41+$G$43)*$B$11</f>
        <v>134.7282809374994</v>
      </c>
      <c r="D90" s="52">
        <f>(MAX(4.0-$A90,0)-MAX(3.0-$A90,0)-$G$42+$G$44)*$B$11</f>
        <v>-39.86862773484114</v>
      </c>
      <c r="E90" s="52">
        <f>($G$41+$G$42-$G$43-$G$44-MAX($A90-4.0,0)-MAX(4.0-$A90,0)+MAX($A90-6.0,0)+MAX(3.0-$A90,0))*$B$11</f>
        <v>-94.85965320265821</v>
      </c>
    </row>
    <row r="91">
      <c r="A91" s="94" t="n">
        <v>8.91</v>
      </c>
      <c r="B91" s="52">
        <f>(MAX($A91-4.0,0)+MAX(4.0-$A91,0)-$G$41-$G$42)*$B$11</f>
        <v>321.0175502656569</v>
      </c>
      <c r="C91" s="52">
        <f>(MAX($A91-4.0,0)-MAX($A91-6.0,0)-$G$41+$G$43)*$B$11</f>
        <v>134.7282809374994</v>
      </c>
      <c r="D91" s="52">
        <f>(MAX(4.0-$A91,0)-MAX(3.0-$A91,0)-$G$42+$G$44)*$B$11</f>
        <v>-39.86862773484114</v>
      </c>
      <c r="E91" s="52">
        <f>($G$41+$G$42-$G$43-$G$44-MAX($A91-4.0,0)-MAX(4.0-$A91,0)+MAX($A91-6.0,0)+MAX(3.0-$A91,0))*$B$11</f>
        <v>-94.85965320265821</v>
      </c>
    </row>
    <row r="92">
      <c r="A92" s="94" t="n">
        <v>9.23</v>
      </c>
      <c r="B92" s="52">
        <f>(MAX($A92-4.0,0)+MAX(4.0-$A92,0)-$G$41-$G$42)*$B$11</f>
        <v>353.0175502656569</v>
      </c>
      <c r="C92" s="52">
        <f>(MAX($A92-4.0,0)-MAX($A92-6.0,0)-$G$41+$G$43)*$B$11</f>
        <v>134.7282809374994</v>
      </c>
      <c r="D92" s="52">
        <f>(MAX(4.0-$A92,0)-MAX(3.0-$A92,0)-$G$42+$G$44)*$B$11</f>
        <v>-39.86862773484114</v>
      </c>
      <c r="E92" s="52">
        <f>($G$41+$G$42-$G$43-$G$44-MAX($A92-4.0,0)-MAX(4.0-$A92,0)+MAX($A92-6.0,0)+MAX(3.0-$A92,0))*$B$11</f>
        <v>-94.85965320265821</v>
      </c>
    </row>
    <row r="93">
      <c r="A93" s="94" t="n">
        <v>9.550000000000001</v>
      </c>
      <c r="B93" s="52">
        <f>(MAX($A93-4.0,0)+MAX(4.0-$A93,0)-$G$41-$G$42)*$B$11</f>
        <v>385.01755026565695</v>
      </c>
      <c r="C93" s="52">
        <f>(MAX($A93-4.0,0)-MAX($A93-6.0,0)-$G$41+$G$43)*$B$11</f>
        <v>134.7282809374994</v>
      </c>
      <c r="D93" s="52">
        <f>(MAX(4.0-$A93,0)-MAX(3.0-$A93,0)-$G$42+$G$44)*$B$11</f>
        <v>-39.86862773484114</v>
      </c>
      <c r="E93" s="52">
        <f>($G$41+$G$42-$G$43-$G$44-MAX($A93-4.0,0)-MAX(4.0-$A93,0)+MAX($A93-6.0,0)+MAX(3.0-$A93,0))*$B$11</f>
        <v>-94.85965320265821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2026-10-19T00:51:32Z</dcterms:modified>
  <cp:lastModifiedBy>Wang, Eric</cp:lastModifiedBy>
</cp:coreProperties>
</file>