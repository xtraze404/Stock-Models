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HUTCHMED (China) Ltd</t>
        </is>
      </c>
      <c r="C2" s="10" t="n"/>
    </row>
    <row r="3">
      <c r="B3" t="inlineStr">
        <is>
          <t>Price</t>
        </is>
      </c>
      <c r="C3" s="11">
        <f>INDEX([1]Pharma!$F$1:$F$1000,MATCH("HCM",[1]Pharma!$B$1:$B$1000,0))</f>
        <v>14.74</v>
      </c>
      <c r="F3" s="1" t="n"/>
    </row>
    <row r="4">
      <c r="B4" t="inlineStr">
        <is>
          <t>Shares</t>
        </is>
      </c>
      <c r="C4" s="51">
        <f>872.32762/5</f>
        <v>174.46552400000002</v>
      </c>
      <c r="F4" s="1" t="n"/>
    </row>
    <row r="5">
      <c r="B5" t="inlineStr">
        <is>
          <t>Market Cap.</t>
        </is>
      </c>
      <c r="C5" s="13">
        <f>C3*C4</f>
        <v>2571.62182376</v>
      </c>
      <c r="F5" s="1" t="n"/>
    </row>
    <row r="6"/>
    <row r="7">
      <c r="B7" t="inlineStr">
        <is>
          <t>Cash</t>
        </is>
      </c>
      <c r="C7" s="51">
        <f>71.33+1295.945</f>
        <v>1367.2749999999999</v>
      </c>
    </row>
    <row r="8">
      <c r="B8" t="inlineStr">
        <is>
          <t>Debt</t>
        </is>
      </c>
      <c r="C8" s="51">
        <f>24.971+68.189</f>
        <v>93.16</v>
      </c>
    </row>
    <row r="9">
      <c r="B9" t="inlineStr">
        <is>
          <t>Enterprise V.</t>
        </is>
      </c>
      <c r="C9" s="13">
        <f>C5-C7+C8</f>
        <v>1297.5068237600003</v>
      </c>
    </row>
    <row r="10"/>
    <row r="11">
      <c r="B11" s="14" t="inlineStr">
        <is>
          <t>NPV / Share</t>
        </is>
      </c>
      <c r="C11" s="11">
        <f>NPV!B28</f>
        <v>9.49556209155936</v>
      </c>
    </row>
    <row r="12">
      <c r="B12" s="14" t="inlineStr">
        <is>
          <t>Upside</t>
        </is>
      </c>
      <c r="C12" s="15">
        <f>IFERROR(C11/C3-1,"")</f>
        <v>-0.3557963302876961</v>
      </c>
    </row>
    <row r="13">
      <c r="B13" s="14" t="inlineStr">
        <is>
          <t>Cash / Share</t>
        </is>
      </c>
      <c r="C13" s="11">
        <f>IFERROR((C7-C8)/C4,"")</f>
        <v>7.3029614722046725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2014</v>
      </c>
      <c r="C1" s="16" t="n">
        <v>2015</v>
      </c>
      <c r="D1" s="16" t="n">
        <v>2016</v>
      </c>
      <c r="E1" s="16" t="n">
        <v>2017</v>
      </c>
      <c r="F1" s="16" t="n">
        <v>2018</v>
      </c>
      <c r="G1" s="16" t="n">
        <v>2019</v>
      </c>
      <c r="H1" s="16" t="n">
        <v>2020</v>
      </c>
      <c r="I1" s="16" t="n">
        <v>2021</v>
      </c>
      <c r="J1" s="16" t="n">
        <v>2022</v>
      </c>
      <c r="K1" s="16" t="n">
        <v>2023</v>
      </c>
      <c r="L1" s="16" t="n">
        <v>2024</v>
      </c>
      <c r="M1" s="16" t="n">
        <v>2025</v>
      </c>
      <c r="N1" s="16" t="n">
        <v>2026</v>
      </c>
      <c r="O1" s="16" t="n">
        <v>2027</v>
      </c>
      <c r="P1" s="16" t="n">
        <v>2028</v>
      </c>
      <c r="Q1" s="16" t="n">
        <v>2029</v>
      </c>
      <c r="R1" s="16" t="n">
        <v>2030</v>
      </c>
      <c r="S1" s="16" t="n">
        <v>2031</v>
      </c>
      <c r="T1" s="16" t="n">
        <v>2032</v>
      </c>
      <c r="U1" s="16" t="n">
        <v>2033</v>
      </c>
      <c r="V1" s="16" t="n">
        <v>2034</v>
      </c>
      <c r="W1" s="16" t="n">
        <v>2035</v>
      </c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87.32899999999999</v>
      </c>
      <c r="C2" s="52" t="n">
        <v>178.203</v>
      </c>
      <c r="D2" s="52" t="n">
        <v>216.08</v>
      </c>
      <c r="E2" s="52" t="n">
        <v>241.203</v>
      </c>
      <c r="F2" s="52" t="n">
        <v>214.109</v>
      </c>
      <c r="G2" s="52" t="n">
        <v>204.89</v>
      </c>
      <c r="H2" s="52" t="n">
        <v>227.976</v>
      </c>
      <c r="I2" s="52" t="n">
        <v>356.128</v>
      </c>
      <c r="J2" s="52" t="n">
        <v>426.409</v>
      </c>
      <c r="K2" s="52" t="n">
        <v>837.999</v>
      </c>
      <c r="L2" s="52" t="n">
        <v>630.201</v>
      </c>
      <c r="M2" s="52" t="n">
        <v>548.5119999999999</v>
      </c>
      <c r="N2" s="52">
        <f>M2*(1+NPV!C5)</f>
        <v>493.66079999999994</v>
      </c>
      <c r="O2" s="52">
        <f>N2*(1+NPV!D5)</f>
        <v>451.15111999999993</v>
      </c>
      <c r="P2" s="52">
        <f>O2*(1+NPV!E5)</f>
        <v>418.5679835555555</v>
      </c>
      <c r="Q2" s="52">
        <f>P2*(1+NPV!F5)</f>
        <v>394.1515178481481</v>
      </c>
      <c r="R2" s="52">
        <f>Q2*(1+NPV!G5)</f>
        <v>376.6336726104526</v>
      </c>
      <c r="S2" s="52">
        <f>R2*(1+NPV!H5)</f>
        <v>365.125421502911</v>
      </c>
      <c r="T2" s="52">
        <f>S2*(1+NPV!I5)</f>
        <v>359.0399978111958</v>
      </c>
      <c r="U2" s="52">
        <f>T2*(1+NPV!J5)</f>
        <v>358.0426644839425</v>
      </c>
      <c r="V2" s="52">
        <f>U2*(1+NPV!K5)</f>
        <v>362.02091631154184</v>
      </c>
      <c r="W2" s="52">
        <f>V2*(1+NPV!L5)</f>
        <v>371.07143921933033</v>
      </c>
    </row>
    <row r="3" customFormat="1" s="1">
      <c r="A3" s="5" t="inlineStr">
        <is>
          <t>Cost of Sales</t>
        </is>
      </c>
      <c r="B3" s="52" t="n">
        <v>53.477</v>
      </c>
      <c r="C3" s="52" t="n">
        <v>104.859</v>
      </c>
      <c r="D3" s="52" t="n">
        <v>149.132</v>
      </c>
      <c r="E3" s="52" t="n">
        <v>169.764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311.103</v>
      </c>
      <c r="K3" s="52" t="n">
        <v>384.447</v>
      </c>
      <c r="L3" s="52" t="n">
        <v>348.884</v>
      </c>
      <c r="M3" s="52" t="n">
        <v>336.349</v>
      </c>
      <c r="N3" s="52">
        <f>N2*(1-Assumptions!$B$19)</f>
        <v>302.71280255999994</v>
      </c>
      <c r="O3" s="52">
        <f>O2*(1-Assumptions!$B$19)</f>
        <v>276.64586678399996</v>
      </c>
      <c r="P3" s="52">
        <f>P2*(1-Assumptions!$B$19)</f>
        <v>256.6658875162666</v>
      </c>
      <c r="Q3" s="52">
        <f>Q2*(1-Assumptions!$B$19)</f>
        <v>241.6937107444844</v>
      </c>
      <c r="R3" s="52">
        <f>R2*(1-Assumptions!$B$19)</f>
        <v>230.95176804472953</v>
      </c>
      <c r="S3" s="52">
        <f>S2*(1-Assumptions!$B$19)</f>
        <v>223.89490846558502</v>
      </c>
      <c r="T3" s="52">
        <f>T2*(1-Assumptions!$B$19)</f>
        <v>220.16332665782525</v>
      </c>
      <c r="U3" s="52">
        <f>U2*(1-Assumptions!$B$19)</f>
        <v>219.5517618615535</v>
      </c>
      <c r="V3" s="52">
        <f>V2*(1-Assumptions!$B$19)</f>
        <v>221.99122588223744</v>
      </c>
      <c r="W3" s="52">
        <f>W2*(1-Assumptions!$B$19)</f>
        <v>227.54100652929336</v>
      </c>
    </row>
    <row r="4" customFormat="1" s="1">
      <c r="A4" s="5" t="inlineStr">
        <is>
          <t>Gross Margin</t>
        </is>
      </c>
      <c r="B4" s="52">
        <f>B2-B3</f>
        <v>33.852</v>
      </c>
      <c r="C4" s="52">
        <f>C2-C3</f>
        <v>73.34400000000001</v>
      </c>
      <c r="D4" s="52">
        <f>D2-D3</f>
        <v>66.94800000000001</v>
      </c>
      <c r="E4" s="52">
        <f>E2-E3</f>
        <v>71.439</v>
      </c>
      <c r="F4" s="52">
        <f>F2-F3</f>
        <v>214.109</v>
      </c>
      <c r="G4" s="52">
        <f>G2-G3</f>
        <v>204.89</v>
      </c>
      <c r="H4" s="52">
        <f>H2-H3</f>
        <v>227.976</v>
      </c>
      <c r="I4" s="52">
        <f>I2-I3</f>
        <v>356.128</v>
      </c>
      <c r="J4" s="52">
        <f>J2-J3</f>
        <v>115.30599999999998</v>
      </c>
      <c r="K4" s="52">
        <f>K2-K3</f>
        <v>453.552</v>
      </c>
      <c r="L4" s="52">
        <f>L2-L3</f>
        <v>281.317</v>
      </c>
      <c r="M4" s="52">
        <f>M2-M3</f>
        <v>212.16299999999995</v>
      </c>
      <c r="N4" s="52">
        <f>N2-N3</f>
        <v>190.94799744</v>
      </c>
      <c r="O4" s="52">
        <f>O2-O3</f>
        <v>174.50525321599997</v>
      </c>
      <c r="P4" s="52">
        <f>P2-P3</f>
        <v>161.9020960392889</v>
      </c>
      <c r="Q4" s="52">
        <f>Q2-Q3</f>
        <v>152.4578071036637</v>
      </c>
      <c r="R4" s="52">
        <f>R2-R3</f>
        <v>145.68190456572307</v>
      </c>
      <c r="S4" s="52">
        <f>S2-S3</f>
        <v>141.230513037326</v>
      </c>
      <c r="T4" s="52">
        <f>T2-T3</f>
        <v>138.87667115337055</v>
      </c>
      <c r="U4" s="52">
        <f>U2-U3</f>
        <v>138.49090262238897</v>
      </c>
      <c r="V4" s="52">
        <f>V2-V3</f>
        <v>140.0296904293044</v>
      </c>
      <c r="W4" s="52">
        <f>W2-W3</f>
        <v>143.53043269003697</v>
      </c>
    </row>
    <row r="5">
      <c r="A5" s="2" t="inlineStr">
        <is>
          <t>Research &amp; Dev.</t>
        </is>
      </c>
      <c r="B5" s="52" t="n">
        <v>29.914</v>
      </c>
      <c r="C5" s="52" t="n">
        <v>47.368</v>
      </c>
      <c r="D5" s="52" t="n">
        <v>66.871</v>
      </c>
      <c r="E5" s="52" t="n">
        <v>75.523</v>
      </c>
      <c r="F5" s="52" t="n">
        <v>114.161</v>
      </c>
      <c r="G5" s="52" t="n">
        <v>138.19</v>
      </c>
      <c r="H5" s="52" t="n">
        <v>174.776</v>
      </c>
      <c r="I5" s="52" t="n">
        <v>299.086</v>
      </c>
      <c r="J5" s="52" t="n">
        <v>386.893</v>
      </c>
      <c r="K5" s="52" t="n">
        <v>302.001</v>
      </c>
      <c r="L5" s="52" t="n">
        <v>212.109</v>
      </c>
      <c r="M5" s="52" t="n">
        <v>148.295</v>
      </c>
      <c r="N5" s="52">
        <f>N7*Assumptions!$B$20</f>
        <v>125.57176016676479</v>
      </c>
      <c r="O5" s="52">
        <f>O7*Assumptions!$B$20</f>
        <v>107.53330952637502</v>
      </c>
      <c r="P5" s="52">
        <f>P7*Assumptions!$B$20</f>
        <v>93.06351726248111</v>
      </c>
      <c r="Q5" s="52">
        <f>Q7*Assumptions!$B$20</f>
        <v>81.32235176692168</v>
      </c>
      <c r="R5" s="52">
        <f>R7*Assumptions!$B$20</f>
        <v>71.67611849189555</v>
      </c>
      <c r="S5" s="52">
        <f>S7*Assumptions!$B$20</f>
        <v>63.6384165965584</v>
      </c>
      <c r="T5" s="52">
        <f>T7*Assumptions!$B$20</f>
        <v>56.82763801644347</v>
      </c>
      <c r="U5" s="52">
        <f>U7*Assumptions!$B$20</f>
        <v>50.935617769290815</v>
      </c>
      <c r="V5" s="52">
        <f>V7*Assumptions!$B$20</f>
        <v>45.703690428541414</v>
      </c>
      <c r="W5" s="52">
        <f>W7*Assumptions!$B$20</f>
        <v>40.90345707372545</v>
      </c>
    </row>
    <row r="6">
      <c r="A6" s="18" t="inlineStr">
        <is>
          <t>SG&amp;A &amp; Other</t>
        </is>
      </c>
      <c r="B6" s="52" t="n">
        <v>22.197</v>
      </c>
      <c r="C6" s="52" t="n">
        <v>35.747</v>
      </c>
      <c r="D6" s="52" t="n">
        <v>46.774</v>
      </c>
      <c r="E6" s="52" t="n">
        <v>49.333</v>
      </c>
      <c r="F6" s="52" t="n">
        <v>192.589</v>
      </c>
      <c r="G6" s="52" t="n">
        <v>213.086</v>
      </c>
      <c r="H6" s="52" t="n">
        <v>249.868</v>
      </c>
      <c r="I6" s="52" t="n">
        <v>385.359</v>
      </c>
      <c r="J6" s="52" t="n">
        <v>136.106</v>
      </c>
      <c r="K6" s="52" t="n">
        <v>133.176</v>
      </c>
      <c r="L6" s="52" t="n">
        <v>112.913</v>
      </c>
      <c r="M6" s="52" t="n">
        <v>103.028</v>
      </c>
      <c r="N6" s="52">
        <f>N7-N5</f>
        <v>87.2256642812352</v>
      </c>
      <c r="O6" s="52">
        <f>O7-O5</f>
        <v>74.69565086402496</v>
      </c>
      <c r="P6" s="52">
        <f>P7-P5</f>
        <v>64.6445275815811</v>
      </c>
      <c r="Q6" s="52">
        <f>Q7-Q5</f>
        <v>56.48878493350483</v>
      </c>
      <c r="R6" s="52">
        <f>R7-R5</f>
        <v>49.78824092497541</v>
      </c>
      <c r="S6" s="52">
        <f>S7-S5</f>
        <v>44.20502789854142</v>
      </c>
      <c r="T6" s="52">
        <f>T7-T5</f>
        <v>39.47407019647548</v>
      </c>
      <c r="U6" s="52">
        <f>U7-U5</f>
        <v>35.38130778449806</v>
      </c>
      <c r="V6" s="52">
        <f>V7-V5</f>
        <v>31.747064407149857</v>
      </c>
      <c r="W6" s="52">
        <f>W7-W5</f>
        <v>28.41268777244545</v>
      </c>
    </row>
    <row r="7">
      <c r="A7" s="2" t="inlineStr">
        <is>
          <t>Operating Expense</t>
        </is>
      </c>
      <c r="B7" s="52">
        <f>SUM(B5:B6)</f>
        <v>52.111000000000004</v>
      </c>
      <c r="C7" s="52">
        <f>SUM(C5:C6)</f>
        <v>83.11500000000001</v>
      </c>
      <c r="D7" s="52">
        <f>SUM(D5:D6)</f>
        <v>113.645</v>
      </c>
      <c r="E7" s="52">
        <f>SUM(E5:E6)</f>
        <v>124.856</v>
      </c>
      <c r="F7" s="52">
        <f>SUM(F5:F6)</f>
        <v>306.75</v>
      </c>
      <c r="G7" s="52">
        <f>SUM(G5:G6)</f>
        <v>351.276</v>
      </c>
      <c r="H7" s="52">
        <f>SUM(H5:H6)</f>
        <v>424.644</v>
      </c>
      <c r="I7" s="52">
        <f>SUM(I5:I6)</f>
        <v>684.4449999999999</v>
      </c>
      <c r="J7" s="52">
        <f>SUM(J5:J6)</f>
        <v>522.999</v>
      </c>
      <c r="K7" s="52">
        <f>SUM(K5:K6)</f>
        <v>435.17699999999996</v>
      </c>
      <c r="L7" s="52">
        <f>SUM(L5:L6)</f>
        <v>325.022</v>
      </c>
      <c r="M7" s="52">
        <f>SUM(M5:M6)</f>
        <v>251.32299999999998</v>
      </c>
      <c r="N7" s="52">
        <f>N4-N2*NPV!C6</f>
        <v>212.797424448</v>
      </c>
      <c r="O7" s="52">
        <f>O4-O2*NPV!D6</f>
        <v>182.22896039039998</v>
      </c>
      <c r="P7" s="52">
        <f>P4-P2*NPV!E6</f>
        <v>157.70804484406221</v>
      </c>
      <c r="Q7" s="52">
        <f>Q4-Q2*NPV!F6</f>
        <v>137.81113670042652</v>
      </c>
      <c r="R7" s="52">
        <f>R4-R2*NPV!G6</f>
        <v>121.46435941687096</v>
      </c>
      <c r="S7" s="52">
        <f>S4-S2*NPV!H6</f>
        <v>107.84344449509982</v>
      </c>
      <c r="T7" s="52">
        <f>T4-T2*NPV!I6</f>
        <v>96.30170821291895</v>
      </c>
      <c r="U7" s="52">
        <f>U4-U2*NPV!J6</f>
        <v>86.31692555378888</v>
      </c>
      <c r="V7" s="52">
        <f>V4-V2*NPV!K6</f>
        <v>77.45075483569127</v>
      </c>
      <c r="W7" s="52">
        <f>W4-W2*NPV!L6</f>
        <v>69.3161448461709</v>
      </c>
    </row>
    <row r="8">
      <c r="A8" s="2" t="inlineStr">
        <is>
          <t>Operating Income</t>
        </is>
      </c>
      <c r="B8" s="52">
        <f>B4-B7</f>
        <v>-18.259000000000007</v>
      </c>
      <c r="C8" s="52">
        <f>C4-C7</f>
        <v>-9.771</v>
      </c>
      <c r="D8" s="52">
        <f>D4-D7</f>
        <v>-46.69699999999999</v>
      </c>
      <c r="E8" s="52">
        <f>E4-E7</f>
        <v>-53.417</v>
      </c>
      <c r="F8" s="52">
        <f>F4-F7</f>
        <v>-92.64099999999999</v>
      </c>
      <c r="G8" s="52">
        <f>G4-G7</f>
        <v>-146.38600000000002</v>
      </c>
      <c r="H8" s="52">
        <f>H4-H7</f>
        <v>-196.668</v>
      </c>
      <c r="I8" s="52">
        <f>I4-I7</f>
        <v>-328.31699999999995</v>
      </c>
      <c r="J8" s="52">
        <f>J4-J7</f>
        <v>-407.69300000000004</v>
      </c>
      <c r="K8" s="52">
        <f>K4-K7</f>
        <v>18.375000000000057</v>
      </c>
      <c r="L8" s="52">
        <f>L4-L7</f>
        <v>-43.704999999999984</v>
      </c>
      <c r="M8" s="52">
        <f>M4-M7</f>
        <v>-39.160000000000025</v>
      </c>
      <c r="N8" s="52">
        <f>N4-N7</f>
        <v>-21.849427007999992</v>
      </c>
      <c r="O8" s="52">
        <f>O4-O7</f>
        <v>-7.723707174400005</v>
      </c>
      <c r="P8" s="52">
        <f>P4-P7</f>
        <v>4.1940511952266775</v>
      </c>
      <c r="Q8" s="52">
        <f>Q4-Q7</f>
        <v>14.64667040323718</v>
      </c>
      <c r="R8" s="52">
        <f>R4-R7</f>
        <v>24.21754514885211</v>
      </c>
      <c r="S8" s="52">
        <f>S4-S7</f>
        <v>33.38706854222619</v>
      </c>
      <c r="T8" s="52">
        <f>T4-T7</f>
        <v>42.5749629404516</v>
      </c>
      <c r="U8" s="52">
        <f>U4-U7</f>
        <v>52.173977068600095</v>
      </c>
      <c r="V8" s="52">
        <f>V4-V7</f>
        <v>62.578935593613124</v>
      </c>
      <c r="W8" s="52">
        <f>W4-W7</f>
        <v>74.21428784386607</v>
      </c>
    </row>
    <row r="9">
      <c r="A9" s="18" t="inlineStr">
        <is>
          <t>Interest &amp; Other</t>
        </is>
      </c>
      <c r="B9" s="52" t="n">
        <v>12.296</v>
      </c>
      <c r="C9" s="52" t="n">
        <v>19.369</v>
      </c>
      <c r="D9" s="52" t="n">
        <v>62.726</v>
      </c>
      <c r="E9" s="52" t="n">
        <v>29.76</v>
      </c>
      <c r="F9" s="52" t="n">
        <v>21.8</v>
      </c>
      <c r="G9" s="52" t="n">
        <v>43.636</v>
      </c>
      <c r="H9" s="52" t="n">
        <v>75.767</v>
      </c>
      <c r="I9" s="52" t="n">
        <v>145.587</v>
      </c>
      <c r="J9" s="52" t="n">
        <v>46.575</v>
      </c>
      <c r="K9" s="52" t="n">
        <v>86.914</v>
      </c>
      <c r="L9" s="52" t="n">
        <v>88.626</v>
      </c>
      <c r="M9" s="52" t="n">
        <v>559.679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</row>
    <row r="10">
      <c r="A10" s="2" t="inlineStr">
        <is>
          <t>Pretax</t>
        </is>
      </c>
      <c r="B10" s="52">
        <f>B8+B9</f>
        <v>-5.963000000000008</v>
      </c>
      <c r="C10" s="52">
        <f>C8+C9</f>
        <v>9.597999999999999</v>
      </c>
      <c r="D10" s="52">
        <f>D8+D9</f>
        <v>16.02900000000001</v>
      </c>
      <c r="E10" s="52">
        <f>E8+E9</f>
        <v>-23.657</v>
      </c>
      <c r="F10" s="52">
        <f>F8+F9</f>
        <v>-70.841</v>
      </c>
      <c r="G10" s="52">
        <f>G8+G9</f>
        <v>-102.75000000000003</v>
      </c>
      <c r="H10" s="52">
        <f>H8+H9</f>
        <v>-120.90100000000001</v>
      </c>
      <c r="I10" s="52">
        <f>I8+I9</f>
        <v>-182.72999999999996</v>
      </c>
      <c r="J10" s="52">
        <f>J8+J9</f>
        <v>-361.11800000000005</v>
      </c>
      <c r="K10" s="52">
        <f>K8+K9</f>
        <v>105.28900000000006</v>
      </c>
      <c r="L10" s="52">
        <f>L8+L9</f>
        <v>44.92100000000002</v>
      </c>
      <c r="M10" s="52">
        <f>M8+M9</f>
        <v>520.519</v>
      </c>
      <c r="N10" s="52">
        <f>N8+N9</f>
        <v>-21.849427007999992</v>
      </c>
      <c r="O10" s="52">
        <f>O8+O9</f>
        <v>-7.723707174400005</v>
      </c>
      <c r="P10" s="52">
        <f>P8+P9</f>
        <v>4.1940511952266775</v>
      </c>
      <c r="Q10" s="52">
        <f>Q8+Q9</f>
        <v>14.64667040323718</v>
      </c>
      <c r="R10" s="52">
        <f>R8+R9</f>
        <v>24.21754514885211</v>
      </c>
      <c r="S10" s="52">
        <f>S8+S9</f>
        <v>33.38706854222619</v>
      </c>
      <c r="T10" s="52">
        <f>T8+T9</f>
        <v>42.5749629404516</v>
      </c>
      <c r="U10" s="52">
        <f>U8+U9</f>
        <v>52.173977068600095</v>
      </c>
      <c r="V10" s="52">
        <f>V8+V9</f>
        <v>62.578935593613124</v>
      </c>
      <c r="W10" s="52">
        <f>W8+W9</f>
        <v>74.21428784386607</v>
      </c>
    </row>
    <row r="11">
      <c r="A11" s="2" t="inlineStr">
        <is>
          <t>Taxes</t>
        </is>
      </c>
      <c r="B11" s="52" t="n">
        <v>1.343</v>
      </c>
      <c r="C11" s="52" t="n">
        <v>1.605</v>
      </c>
      <c r="D11" s="52" t="n">
        <v>4.331</v>
      </c>
      <c r="E11" s="52" t="n">
        <v>3.08</v>
      </c>
      <c r="F11" s="52" t="n">
        <v>3.964</v>
      </c>
      <c r="G11" s="52" t="n">
        <v>3.274</v>
      </c>
      <c r="H11" s="52" t="n">
        <v>4.829</v>
      </c>
      <c r="I11" s="52" t="n">
        <v>11.918</v>
      </c>
      <c r="J11" s="52" t="n">
        <v>-0.283</v>
      </c>
      <c r="K11" s="52" t="n">
        <v>4.509</v>
      </c>
      <c r="L11" s="52" t="n">
        <v>7.192</v>
      </c>
      <c r="M11" s="52" t="n">
        <v>63.61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0.7129887031885352</v>
      </c>
      <c r="Q11" s="52">
        <f>MAX(0,Q10)*Assumptions!$E$14</f>
        <v>2.489933968550321</v>
      </c>
      <c r="R11" s="52">
        <f>MAX(0,R10)*Assumptions!$E$14</f>
        <v>4.116982675304859</v>
      </c>
      <c r="S11" s="52">
        <f>MAX(0,S10)*Assumptions!$E$14</f>
        <v>5.6758016521784524</v>
      </c>
      <c r="T11" s="52">
        <f>MAX(0,T10)*Assumptions!$E$14</f>
        <v>7.237743699876773</v>
      </c>
      <c r="U11" s="52">
        <f>MAX(0,U10)*Assumptions!$E$14</f>
        <v>8.869576101662016</v>
      </c>
      <c r="V11" s="52">
        <f>MAX(0,V10)*Assumptions!$E$14</f>
        <v>10.638419050914232</v>
      </c>
      <c r="W11" s="52">
        <f>MAX(0,W10)*Assumptions!$E$14</f>
        <v>12.616428933457234</v>
      </c>
    </row>
    <row r="12">
      <c r="A12" s="2" t="inlineStr">
        <is>
          <t>Net Income</t>
        </is>
      </c>
      <c r="B12" s="52" t="n">
        <v>-7.306</v>
      </c>
      <c r="C12" s="52" t="n">
        <v>7.993</v>
      </c>
      <c r="D12" s="52" t="n">
        <v>11.698</v>
      </c>
      <c r="E12" s="52" t="n">
        <v>-26.737</v>
      </c>
      <c r="F12" s="52" t="n">
        <v>-74.80500000000001</v>
      </c>
      <c r="G12" s="52" t="n">
        <v>-106.024</v>
      </c>
      <c r="H12" s="52" t="n">
        <v>-125.73</v>
      </c>
      <c r="I12" s="52" t="n">
        <v>-194.648</v>
      </c>
      <c r="J12" s="52" t="n">
        <v>-360.835</v>
      </c>
      <c r="K12" s="52" t="n">
        <v>100.78</v>
      </c>
      <c r="L12" s="52" t="n">
        <v>37.729</v>
      </c>
      <c r="M12" s="52" t="n">
        <v>456.909</v>
      </c>
      <c r="N12" s="52">
        <f>N10-N11</f>
        <v>-21.849427007999992</v>
      </c>
      <c r="O12" s="52">
        <f>O10-O11</f>
        <v>-7.723707174400005</v>
      </c>
      <c r="P12" s="52">
        <f>P10-P11</f>
        <v>3.4810624920381423</v>
      </c>
      <c r="Q12" s="52">
        <f>Q10-Q11</f>
        <v>12.15673643468686</v>
      </c>
      <c r="R12" s="52">
        <f>R10-R11</f>
        <v>20.10056247354725</v>
      </c>
      <c r="S12" s="52">
        <f>S10-S11</f>
        <v>27.711266890047735</v>
      </c>
      <c r="T12" s="52">
        <f>T10-T11</f>
        <v>35.337219240574825</v>
      </c>
      <c r="U12" s="52">
        <f>U10-U11</f>
        <v>43.304400966938076</v>
      </c>
      <c r="V12" s="52">
        <f>V10-V11</f>
        <v>51.940516542698894</v>
      </c>
      <c r="W12" s="52">
        <f>W10-W11</f>
        <v>61.59785891040884</v>
      </c>
    </row>
    <row r="13">
      <c r="A13" s="2" t="inlineStr">
        <is>
          <t>Earnings per Share</t>
        </is>
      </c>
      <c r="B13" s="11">
        <f>IFERROR(B12/B14,0)</f>
        <v>-0.013899405289612162</v>
      </c>
      <c r="C13" s="11">
        <f>IFERROR(C12/C14,0)</f>
        <v>0.014623312043879086</v>
      </c>
      <c r="D13" s="11">
        <f>IFERROR(D12/D14,0)</f>
        <v>0.0195060620865717</v>
      </c>
      <c r="E13" s="11">
        <f>IFERROR(E12/E14,0)</f>
        <v>-0.043321796841075094</v>
      </c>
      <c r="F13" s="11">
        <f>IFERROR(F12/F14,0)</f>
        <v>-0.11261335854419328</v>
      </c>
      <c r="G13" s="11">
        <f>IFERROR(G12/G14,0)</f>
        <v>-0.15927100436694344</v>
      </c>
      <c r="H13" s="11">
        <f>IFERROR(H12/H14,0)</f>
        <v>-0.1801467480309658</v>
      </c>
      <c r="I13" s="11">
        <f>IFERROR(I12/I14,0)</f>
        <v>-0.24555529623999447</v>
      </c>
      <c r="J13" s="11">
        <f>IFERROR(J12/J14,0)</f>
        <v>-0.42594293296063</v>
      </c>
      <c r="K13" s="11">
        <f>IFERROR(K12/K14,0)</f>
        <v>0.11594623076958477</v>
      </c>
      <c r="L13" s="11">
        <f>IFERROR(L12/L14,0)</f>
        <v>0.04322610729020232</v>
      </c>
      <c r="M13" s="11">
        <f>IFERROR(M12/M14,0)</f>
        <v>0.5234433623442102</v>
      </c>
      <c r="N13" s="11">
        <f>IFERROR(N12/N14,0)</f>
        <v>-0.12523635906426986</v>
      </c>
      <c r="O13" s="11">
        <f>IFERROR(O12/O14,0)</f>
        <v>-0.044270678798408354</v>
      </c>
      <c r="P13" s="11">
        <f>IFERROR(P12/P14,0)</f>
        <v>0.019952724253062982</v>
      </c>
      <c r="Q13" s="11">
        <f>IFERROR(Q12/Q14,0)</f>
        <v>0.06967987804104413</v>
      </c>
      <c r="R13" s="11">
        <f>IFERROR(R12/R14,0)</f>
        <v>0.11521223226628573</v>
      </c>
      <c r="S13" s="11">
        <f>IFERROR(S12/S14,0)</f>
        <v>0.15883520282235092</v>
      </c>
      <c r="T13" s="11">
        <f>IFERROR(T12/T14,0)</f>
        <v>0.20254557135640633</v>
      </c>
      <c r="U13" s="11">
        <f>IFERROR(U12/U14,0)</f>
        <v>0.24821179551174863</v>
      </c>
      <c r="V13" s="11">
        <f>IFERROR(V12/V14,0)</f>
        <v>0.2977122089903498</v>
      </c>
      <c r="W13" s="11">
        <f>IFERROR(W12/W14,0)</f>
        <v>0.35306608147067975</v>
      </c>
    </row>
    <row r="14">
      <c r="A14" s="2" t="inlineStr">
        <is>
          <t>Shares</t>
        </is>
      </c>
      <c r="B14" s="52" t="n">
        <v>525.634</v>
      </c>
      <c r="C14" s="52" t="n">
        <v>546.593</v>
      </c>
      <c r="D14" s="52" t="n">
        <v>599.711</v>
      </c>
      <c r="E14" s="52" t="n">
        <v>617.172</v>
      </c>
      <c r="F14" s="52" t="n">
        <v>664.264</v>
      </c>
      <c r="G14" s="52" t="n">
        <v>665.683</v>
      </c>
      <c r="H14" s="52" t="n">
        <v>697.931</v>
      </c>
      <c r="I14" s="52" t="n">
        <v>792.6849999999999</v>
      </c>
      <c r="J14" s="52" t="n">
        <v>847.144</v>
      </c>
      <c r="K14" s="52" t="n">
        <v>869.196</v>
      </c>
      <c r="L14" s="52" t="n">
        <v>872.829</v>
      </c>
      <c r="M14" s="52" t="n">
        <v>872.891</v>
      </c>
      <c r="N14" s="52">
        <f>Main!$C$4</f>
        <v>174.46552400000002</v>
      </c>
      <c r="O14" s="52">
        <f>Main!$C$4</f>
        <v>174.46552400000002</v>
      </c>
      <c r="P14" s="52">
        <f>Main!$C$4</f>
        <v>174.46552400000002</v>
      </c>
      <c r="Q14" s="52">
        <f>Main!$C$4</f>
        <v>174.46552400000002</v>
      </c>
      <c r="R14" s="52">
        <f>Main!$C$4</f>
        <v>174.46552400000002</v>
      </c>
      <c r="S14" s="52">
        <f>Main!$C$4</f>
        <v>174.46552400000002</v>
      </c>
      <c r="T14" s="52">
        <f>Main!$C$4</f>
        <v>174.46552400000002</v>
      </c>
      <c r="U14" s="52">
        <f>Main!$C$4</f>
        <v>174.46552400000002</v>
      </c>
      <c r="V14" s="52">
        <f>Main!$C$4</f>
        <v>174.46552400000002</v>
      </c>
      <c r="W14" s="52">
        <f>Main!$C$4</f>
        <v>174.46552400000002</v>
      </c>
    </row>
    <row r="15"/>
    <row r="16" customFormat="1" s="4">
      <c r="A16" s="3" t="inlineStr">
        <is>
          <t>Revenue Change</t>
        </is>
      </c>
      <c r="C16" s="15">
        <f>IFERROR(C2/B2-1,"")</f>
        <v>1.04059361724055</v>
      </c>
      <c r="D16" s="15">
        <f>IFERROR(D2/C2-1,"")</f>
        <v>0.21254973260831744</v>
      </c>
      <c r="E16" s="15">
        <f>IFERROR(E2/D2-1,"")</f>
        <v>0.11626712328767108</v>
      </c>
      <c r="F16" s="15">
        <f>IFERROR(F2/E2-1,"")</f>
        <v>-0.11232861946161532</v>
      </c>
      <c r="G16" s="15">
        <f>IFERROR(G2/F2-1,"")</f>
        <v>-0.04305750809167308</v>
      </c>
      <c r="H16" s="15">
        <f>IFERROR(H2/G2-1,"")</f>
        <v>0.11267509395285291</v>
      </c>
      <c r="I16" s="15">
        <f>IFERROR(I2/H2-1,"")</f>
        <v>0.5621293469488016</v>
      </c>
      <c r="J16" s="15">
        <f>IFERROR(J2/I2-1,"")</f>
        <v>0.19734758289154475</v>
      </c>
      <c r="K16" s="15">
        <f>IFERROR(K2/J2-1,"")</f>
        <v>0.9652469811847313</v>
      </c>
      <c r="L16" s="15">
        <f>IFERROR(L2/K2-1,"")</f>
        <v>-0.24796926965306643</v>
      </c>
      <c r="M16" s="15">
        <f>IFERROR(M2/L2-1,"")</f>
        <v>-0.12962372322481253</v>
      </c>
      <c r="N16" s="15">
        <f>IFERROR(N2/M2-1,"")</f>
        <v>-0.09999999999999998</v>
      </c>
      <c r="O16" s="15">
        <f>IFERROR(O2/N2-1,"")</f>
        <v>-0.08611111111111114</v>
      </c>
      <c r="P16" s="15">
        <f>IFERROR(P2/O2-1,"")</f>
        <v>-0.07222222222222219</v>
      </c>
      <c r="Q16" s="15">
        <f>IFERROR(Q2/P2-1,"")</f>
        <v>-0.05833333333333324</v>
      </c>
      <c r="R16" s="15">
        <f>IFERROR(R2/Q2-1,"")</f>
        <v>-0.04444444444444451</v>
      </c>
      <c r="S16" s="15">
        <f>IFERROR(S2/R2-1,"")</f>
        <v>-0.030555555555555447</v>
      </c>
      <c r="T16" s="15">
        <f>IFERROR(T2/S2-1,"")</f>
        <v>-0.01666666666666672</v>
      </c>
      <c r="U16" s="15">
        <f>IFERROR(U2/T2-1,"")</f>
        <v>-0.002777777777777768</v>
      </c>
      <c r="V16" s="15">
        <f>IFERROR(V2/U2-1,"")</f>
        <v>0.011111111111111072</v>
      </c>
      <c r="W16" s="15">
        <f>IFERROR(W2/V2-1,"")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0.3876375545351487</v>
      </c>
      <c r="C17" s="15">
        <f>IFERROR(C4/C2,"")</f>
        <v>0.4115755627009647</v>
      </c>
      <c r="D17" s="15">
        <f>IFERROR(D4/D2,"")</f>
        <v>0.30982969270640504</v>
      </c>
      <c r="E17" s="15">
        <f>IFERROR(E4/E2,"")</f>
        <v>0.29617790823497214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0.27041174084036684</v>
      </c>
      <c r="K17" s="15">
        <f>IFERROR(K4/K2,"")</f>
        <v>0.5412321494417058</v>
      </c>
      <c r="L17" s="15">
        <f>IFERROR(L4/L2,"")</f>
        <v>0.4463925001705805</v>
      </c>
      <c r="M17" s="15">
        <f>IFERROR(M4/M2,"")</f>
        <v>0.38679737179861146</v>
      </c>
      <c r="N17" s="15">
        <f>IFERROR(N4/N2,"")</f>
        <v>0.38680000000000003</v>
      </c>
      <c r="O17" s="15">
        <f>IFERROR(O4/O2,"")</f>
        <v>0.3868</v>
      </c>
      <c r="P17" s="15">
        <f>IFERROR(P4/P2,"")</f>
        <v>0.3868000000000001</v>
      </c>
      <c r="Q17" s="15">
        <f>IFERROR(Q4/Q2,"")</f>
        <v>0.38680000000000003</v>
      </c>
      <c r="R17" s="15">
        <f>IFERROR(R4/R2,"")</f>
        <v>0.38680000000000003</v>
      </c>
      <c r="S17" s="15">
        <f>IFERROR(S4/S2,"")</f>
        <v>0.38680000000000003</v>
      </c>
      <c r="T17" s="15">
        <f>IFERROR(T4/T2,"")</f>
        <v>0.38680000000000003</v>
      </c>
      <c r="U17" s="15">
        <f>IFERROR(U4/U2,"")</f>
        <v>0.3868000000000001</v>
      </c>
      <c r="V17" s="15">
        <f>IFERROR(V4/V2,"")</f>
        <v>0.38680000000000003</v>
      </c>
      <c r="W17" s="15">
        <f>IFERROR(W4/W2,"")</f>
        <v>0.38680000000000003</v>
      </c>
    </row>
    <row r="18">
      <c r="A18" s="14" t="inlineStr">
        <is>
          <t>Operating Margin</t>
        </is>
      </c>
      <c r="B18" s="15">
        <f>IFERROR(B8/B2,"")</f>
        <v>-0.20908289342600977</v>
      </c>
      <c r="C18" s="15">
        <f>IFERROR(C8/C2,"")</f>
        <v>-0.05483072675544183</v>
      </c>
      <c r="D18" s="15">
        <f>IFERROR(D8/D2,"")</f>
        <v>-0.2161097741577193</v>
      </c>
      <c r="E18" s="15">
        <f>IFERROR(E8/E2,"")</f>
        <v>-0.2214607612674801</v>
      </c>
      <c r="F18" s="15">
        <f>IFERROR(F8/F2,"")</f>
        <v>-0.43268148466435313</v>
      </c>
      <c r="G18" s="15">
        <f>IFERROR(G8/G2,"")</f>
        <v>-0.7144614183220266</v>
      </c>
      <c r="H18" s="15">
        <f>IFERROR(H8/H2,"")</f>
        <v>-0.8626697547110223</v>
      </c>
      <c r="I18" s="15">
        <f>IFERROR(I8/I2,"")</f>
        <v>-0.9219072917602659</v>
      </c>
      <c r="J18" s="15">
        <f>IFERROR(J8/J2,"")</f>
        <v>-0.956107868267321</v>
      </c>
      <c r="K18" s="15">
        <f>IFERROR(K8/K2,"")</f>
        <v>0.021927233803381695</v>
      </c>
      <c r="L18" s="15">
        <f>IFERROR(L8/L2,"")</f>
        <v>-0.06935088963679839</v>
      </c>
      <c r="M18" s="15">
        <f>IFERROR(M8/M2,"")</f>
        <v>-0.07139315092468355</v>
      </c>
      <c r="N18" s="15">
        <f>IFERROR(N8/N2,"")</f>
        <v>-0.04425999999999999</v>
      </c>
      <c r="O18" s="15">
        <f>IFERROR(O8/O2,"")</f>
        <v>-0.017120000000000014</v>
      </c>
      <c r="P18" s="15">
        <f>IFERROR(P8/P2,"")</f>
        <v>0.010020000000000027</v>
      </c>
      <c r="Q18" s="15">
        <f>IFERROR(Q8/Q2,"")</f>
        <v>0.03715999999999999</v>
      </c>
      <c r="R18" s="15">
        <f>IFERROR(R8/R2,"")</f>
        <v>0.06430000000000002</v>
      </c>
      <c r="S18" s="15">
        <f>IFERROR(S8/S2,"")</f>
        <v>0.09144000000000001</v>
      </c>
      <c r="T18" s="15">
        <f>IFERROR(T8/T2,"")</f>
        <v>0.11858</v>
      </c>
      <c r="U18" s="15">
        <f>IFERROR(U8/U2,"")</f>
        <v>0.14572</v>
      </c>
      <c r="V18" s="15">
        <f>IFERROR(V8/V2,"")</f>
        <v>0.17286</v>
      </c>
      <c r="W18" s="15">
        <f>IFERROR(W8/W2,"")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HUTCHMED (China) Ltd: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-0.07140000000000001</v>
      </c>
    </row>
    <row r="19">
      <c r="A19" s="14" t="inlineStr">
        <is>
          <t>Gross margin (forecast)</t>
        </is>
      </c>
      <c r="B19" s="53" t="n">
        <v>0.3868</v>
      </c>
    </row>
    <row r="20">
      <c r="A20" s="14" t="inlineStr">
        <is>
          <t>R&amp;D share of operating expense (forecast)</t>
        </is>
      </c>
      <c r="B20" s="53" t="n">
        <v>0.5901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Model'!M2</f>
        <v>548.512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382.5332159784402</v>
      </c>
      <c r="C29" s="56">
        <f>NPV!B26</f>
        <v>1656.64821597844</v>
      </c>
      <c r="D29" s="35">
        <f>NPV!B28</f>
        <v>9.49556209155936</v>
      </c>
      <c r="E29" s="57">
        <f>NPV!B30</f>
        <v>-0.3557963302876961</v>
      </c>
    </row>
    <row r="30">
      <c r="A30" s="58" t="n">
        <v>1</v>
      </c>
      <c r="B30" s="59">
        <f t="dataTable" ref="B30:E32" r1="B4"/>
        <v>188.2436652638828</v>
      </c>
      <c r="C30" s="59">
        <v>1462.3586652638826</v>
      </c>
      <c r="D30" s="39">
        <v>8.381934904594</v>
      </c>
      <c r="E30" s="60">
        <v>-0.4313476998240162</v>
      </c>
    </row>
    <row r="31">
      <c r="A31" s="58" t="n">
        <v>2</v>
      </c>
      <c r="B31" s="59">
        <v>382.5332159784402</v>
      </c>
      <c r="C31" s="59">
        <v>1656.64821597844</v>
      </c>
      <c r="D31" s="39">
        <v>9.49556209155936</v>
      </c>
      <c r="E31" s="60">
        <v>-0.3557963302876961</v>
      </c>
    </row>
    <row r="32">
      <c r="A32" s="58" t="n">
        <v>3</v>
      </c>
      <c r="B32" s="59">
        <v>774.8514385397933</v>
      </c>
      <c r="C32" s="59">
        <v>2048.966438539793</v>
      </c>
      <c r="D32" s="39">
        <v>11.744248328052441</v>
      </c>
      <c r="E32" s="60">
        <v>-0.20323959782547896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9.49556209155936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10.017450326357034</v>
      </c>
      <c r="C37" s="39">
        <v>10.202168329108272</v>
      </c>
      <c r="D37" s="39">
        <v>10.415646716944067</v>
      </c>
      <c r="E37" s="39">
        <v>10.665080644329372</v>
      </c>
      <c r="F37" s="39">
        <v>10.960281762051018</v>
      </c>
    </row>
    <row r="38">
      <c r="A38" s="62" t="n">
        <v>0.1</v>
      </c>
      <c r="B38" s="39">
        <v>9.601766758871644</v>
      </c>
      <c r="C38" s="39">
        <v>9.737141261271075</v>
      </c>
      <c r="D38" s="39">
        <v>9.89084562846395</v>
      </c>
      <c r="E38" s="39">
        <v>10.066811717782066</v>
      </c>
      <c r="F38" s="39">
        <v>10.270181248832081</v>
      </c>
    </row>
    <row r="39">
      <c r="A39" s="62" t="n">
        <v>0.11</v>
      </c>
      <c r="B39" s="39">
        <v>9.278910020660437</v>
      </c>
      <c r="C39" s="39">
        <v>9.381107651514116</v>
      </c>
      <c r="D39" s="39">
        <v>9.49556209155936</v>
      </c>
      <c r="E39" s="39">
        <v>9.624574773558518</v>
      </c>
      <c r="F39" s="39">
        <v>9.771060893947999</v>
      </c>
    </row>
    <row r="40">
      <c r="A40" s="62" t="n">
        <v>0.12</v>
      </c>
      <c r="B40" s="39">
        <v>9.02195139941</v>
      </c>
      <c r="C40" s="39">
        <v>9.100937252805158</v>
      </c>
      <c r="D40" s="39">
        <v>9.188435371219912</v>
      </c>
      <c r="E40" s="39">
        <v>9.285867183538391</v>
      </c>
      <c r="F40" s="39">
        <v>9.394988612065706</v>
      </c>
    </row>
    <row r="41">
      <c r="A41" s="62" t="n">
        <v>0.13</v>
      </c>
      <c r="B41" s="39">
        <v>8.813366227324217</v>
      </c>
      <c r="C41" s="39">
        <v>8.875587007648745</v>
      </c>
      <c r="D41" s="39">
        <v>8.943903551686931</v>
      </c>
      <c r="E41" s="39">
        <v>9.019232506934225</v>
      </c>
      <c r="F41" s="39">
        <v>9.102683532225528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HUTCHMED (China) Ltd: free-cash-flow DCF ($mm)</t>
        </is>
      </c>
    </row>
    <row r="3">
      <c r="A3" s="20" t="inlineStr">
        <is>
          <t>Fiscal year</t>
        </is>
      </c>
      <c r="B3" s="43">
        <f>'Yearly Model'!M1</f>
        <v>2025</v>
      </c>
      <c r="C3" s="43">
        <f>'Yearly Model'!N1</f>
        <v>2026</v>
      </c>
      <c r="D3" s="43">
        <f>'Yearly Model'!O1</f>
        <v>2027</v>
      </c>
      <c r="E3" s="43">
        <f>'Yearly Model'!P1</f>
        <v>2028</v>
      </c>
      <c r="F3" s="43">
        <f>'Yearly Model'!Q1</f>
        <v>2029</v>
      </c>
      <c r="G3" s="43">
        <f>'Yearly Model'!R1</f>
        <v>2030</v>
      </c>
      <c r="H3" s="43">
        <f>'Yearly Model'!S1</f>
        <v>2031</v>
      </c>
      <c r="I3" s="43">
        <f>'Yearly Model'!T1</f>
        <v>2032</v>
      </c>
      <c r="J3" s="43">
        <f>'Yearly Model'!U1</f>
        <v>2033</v>
      </c>
      <c r="K3" s="43">
        <f>'Yearly Model'!V1</f>
        <v>2034</v>
      </c>
      <c r="L3" s="43">
        <f>'Yearly Model'!W1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-0.07139315092468355</v>
      </c>
      <c r="C6" s="63">
        <f>Assumptions!$B$18+(Assumptions!$E$13-Assumptions!$B$18)*C4/Assumptions!$B$21</f>
        <v>-0.04426</v>
      </c>
      <c r="D6" s="63">
        <f>Assumptions!$B$18+(Assumptions!$E$13-Assumptions!$B$18)*D4/Assumptions!$B$21</f>
        <v>-0.017119999999999996</v>
      </c>
      <c r="E6" s="63">
        <f>Assumptions!$B$18+(Assumptions!$E$13-Assumptions!$B$18)*E4/Assumptions!$B$21</f>
        <v>0.010020000000000001</v>
      </c>
      <c r="F6" s="63">
        <f>Assumptions!$B$18+(Assumptions!$E$13-Assumptions!$B$18)*F4/Assumptions!$B$21</f>
        <v>0.03716000000000001</v>
      </c>
      <c r="G6" s="63">
        <f>Assumptions!$B$18+(Assumptions!$E$13-Assumptions!$B$18)*G4/Assumptions!$B$21</f>
        <v>0.06430000000000001</v>
      </c>
      <c r="H6" s="63">
        <f>Assumptions!$B$18+(Assumptions!$E$13-Assumptions!$B$18)*H4/Assumptions!$B$21</f>
        <v>0.09144000000000001</v>
      </c>
      <c r="I6" s="63">
        <f>Assumptions!$B$18+(Assumptions!$E$13-Assumptions!$B$18)*I4/Assumptions!$B$21</f>
        <v>0.11858</v>
      </c>
      <c r="J6" s="63">
        <f>Assumptions!$B$18+(Assumptions!$E$13-Assumptions!$B$18)*J4/Assumptions!$B$21</f>
        <v>0.14572000000000002</v>
      </c>
      <c r="K6" s="63">
        <f>Assumptions!$B$18+(Assumptions!$E$13-Assumptions!$B$18)*K4/Assumptions!$B$21</f>
        <v>0.17286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Model'!M2</f>
        <v>548.512</v>
      </c>
      <c r="C7" s="55">
        <f>'Yearly Model'!N2</f>
        <v>493.66079999999994</v>
      </c>
      <c r="D7" s="55">
        <f>'Yearly Model'!O2</f>
        <v>451.15111999999993</v>
      </c>
      <c r="E7" s="55">
        <f>'Yearly Model'!P2</f>
        <v>418.5679835555555</v>
      </c>
      <c r="F7" s="55">
        <f>'Yearly Model'!Q2</f>
        <v>394.1515178481481</v>
      </c>
      <c r="G7" s="55">
        <f>'Yearly Model'!R2</f>
        <v>376.6336726104526</v>
      </c>
      <c r="H7" s="55">
        <f>'Yearly Model'!S2</f>
        <v>365.125421502911</v>
      </c>
      <c r="I7" s="55">
        <f>'Yearly Model'!T2</f>
        <v>359.0399978111958</v>
      </c>
      <c r="J7" s="55">
        <f>'Yearly Model'!U2</f>
        <v>358.0426644839425</v>
      </c>
      <c r="K7" s="55">
        <f>'Yearly Model'!V2</f>
        <v>362.02091631154184</v>
      </c>
      <c r="L7" s="55">
        <f>'Yearly Model'!W2</f>
        <v>371.07143921933033</v>
      </c>
    </row>
    <row r="8">
      <c r="A8" s="14" t="inlineStr">
        <is>
          <t>Operating income</t>
        </is>
      </c>
      <c r="B8" s="55">
        <f>'Yearly Model'!M8</f>
        <v>-39.160000000000025</v>
      </c>
      <c r="C8" s="55">
        <f>'Yearly Model'!N8</f>
        <v>-21.849427007999992</v>
      </c>
      <c r="D8" s="55">
        <f>'Yearly Model'!O8</f>
        <v>-7.723707174400005</v>
      </c>
      <c r="E8" s="55">
        <f>'Yearly Model'!P8</f>
        <v>4.1940511952266775</v>
      </c>
      <c r="F8" s="55">
        <f>'Yearly Model'!Q8</f>
        <v>14.64667040323718</v>
      </c>
      <c r="G8" s="55">
        <f>'Yearly Model'!R8</f>
        <v>24.21754514885211</v>
      </c>
      <c r="H8" s="55">
        <f>'Yearly Model'!S8</f>
        <v>33.38706854222619</v>
      </c>
      <c r="I8" s="55">
        <f>'Yearly Model'!T8</f>
        <v>42.5749629404516</v>
      </c>
      <c r="J8" s="55">
        <f>'Yearly Model'!U8</f>
        <v>52.173977068600095</v>
      </c>
      <c r="K8" s="55">
        <f>'Yearly Model'!V8</f>
        <v>62.578935593613124</v>
      </c>
      <c r="L8" s="55">
        <f>'Yearly Model'!W8</f>
        <v>74.21428784386607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0.7129887031885352</v>
      </c>
      <c r="F9" s="52">
        <f>MAX(0,F8)*Assumptions!$E$14</f>
        <v>2.489933968550321</v>
      </c>
      <c r="G9" s="52">
        <f>MAX(0,G8)*Assumptions!$E$14</f>
        <v>4.116982675304859</v>
      </c>
      <c r="H9" s="52">
        <f>MAX(0,H8)*Assumptions!$E$14</f>
        <v>5.6758016521784524</v>
      </c>
      <c r="I9" s="52">
        <f>MAX(0,I8)*Assumptions!$E$14</f>
        <v>7.237743699876773</v>
      </c>
      <c r="J9" s="52">
        <f>MAX(0,J8)*Assumptions!$E$14</f>
        <v>8.869576101662016</v>
      </c>
      <c r="K9" s="52">
        <f>MAX(0,K8)*Assumptions!$E$14</f>
        <v>10.638419050914232</v>
      </c>
      <c r="L9" s="52">
        <f>MAX(0,L8)*Assumptions!$E$14</f>
        <v>12.616428933457234</v>
      </c>
    </row>
    <row r="10">
      <c r="A10" s="14" t="inlineStr">
        <is>
          <t>NOPAT</t>
        </is>
      </c>
      <c r="C10" s="52">
        <f>C8-C9</f>
        <v>-21.849427007999992</v>
      </c>
      <c r="D10" s="52">
        <f>D8-D9</f>
        <v>-7.723707174400005</v>
      </c>
      <c r="E10" s="52">
        <f>E8-E9</f>
        <v>3.4810624920381423</v>
      </c>
      <c r="F10" s="52">
        <f>F8-F9</f>
        <v>12.15673643468686</v>
      </c>
      <c r="G10" s="52">
        <f>G8-G9</f>
        <v>20.10056247354725</v>
      </c>
      <c r="H10" s="52">
        <f>H8-H9</f>
        <v>27.711266890047735</v>
      </c>
      <c r="I10" s="52">
        <f>I8-I9</f>
        <v>35.337219240574825</v>
      </c>
      <c r="J10" s="52">
        <f>J8-J9</f>
        <v>43.304400966938076</v>
      </c>
      <c r="K10" s="52">
        <f>K8-K9</f>
        <v>51.940516542698894</v>
      </c>
      <c r="L10" s="52">
        <f>L8-L9</f>
        <v>61.59785891040884</v>
      </c>
    </row>
    <row r="11">
      <c r="A11" s="14" t="inlineStr">
        <is>
          <t>Reinvestment</t>
        </is>
      </c>
      <c r="C11" s="52">
        <f>(C7-B7)*Assumptions!$E$15</f>
        <v>-13.712800000000001</v>
      </c>
      <c r="D11" s="52">
        <f>(D7-C7)*Assumptions!$E$15</f>
        <v>-10.62742</v>
      </c>
      <c r="E11" s="52">
        <f>(E7-D7)*Assumptions!$E$15</f>
        <v>-8.145784111111112</v>
      </c>
      <c r="F11" s="52">
        <f>(F7-E7)*Assumptions!$E$15</f>
        <v>-6.104116426851846</v>
      </c>
      <c r="G11" s="52">
        <f>(G7-F7)*Assumptions!$E$15</f>
        <v>-4.379461309423874</v>
      </c>
      <c r="H11" s="52">
        <f>(H7-G7)*Assumptions!$E$15</f>
        <v>-2.8770627768853956</v>
      </c>
      <c r="I11" s="52">
        <f>(I7-H7)*Assumptions!$E$15</f>
        <v>-1.5213559229288052</v>
      </c>
      <c r="J11" s="52">
        <f>(J7-I7)*Assumptions!$E$15</f>
        <v>-0.2493333318133324</v>
      </c>
      <c r="K11" s="52">
        <f>(K7-J7)*Assumptions!$E$15</f>
        <v>0.9945629568998413</v>
      </c>
      <c r="L11" s="52">
        <f>(L7-K7)*Assumptions!$E$15</f>
        <v>2.2626307269471226</v>
      </c>
    </row>
    <row r="12">
      <c r="A12" s="20" t="inlineStr">
        <is>
          <t>Free cash flow</t>
        </is>
      </c>
      <c r="C12" s="64">
        <f>C10-C11</f>
        <v>-8.13662700799999</v>
      </c>
      <c r="D12" s="64">
        <f>D10-D11</f>
        <v>2.903712825599996</v>
      </c>
      <c r="E12" s="64">
        <f>E10-E11</f>
        <v>11.626846603149254</v>
      </c>
      <c r="F12" s="64">
        <f>F10-F11</f>
        <v>18.260852861538705</v>
      </c>
      <c r="G12" s="64">
        <f>G10-G11</f>
        <v>24.480023782971124</v>
      </c>
      <c r="H12" s="64">
        <f>H10-H11</f>
        <v>30.58832966693313</v>
      </c>
      <c r="I12" s="64">
        <f>I10-I11</f>
        <v>36.85857516350363</v>
      </c>
      <c r="J12" s="64">
        <f>J10-J11</f>
        <v>43.55373429875141</v>
      </c>
      <c r="K12" s="64">
        <f>K10-K11</f>
        <v>50.94595358579905</v>
      </c>
      <c r="L12" s="64">
        <f>L10-L11</f>
        <v>59.335228183461716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0.949157995752499</v>
      </c>
      <c r="D15" s="65">
        <f>1/(1+Assumptions!$E$10)^D14</f>
        <v>0.8550972934707196</v>
      </c>
      <c r="E15" s="65">
        <f>1/(1+Assumptions!$E$10)^E14</f>
        <v>0.7703579220456934</v>
      </c>
      <c r="F15" s="65">
        <f>1/(1+Assumptions!$E$10)^F14</f>
        <v>0.694016145987111</v>
      </c>
      <c r="G15" s="65">
        <f>1/(1+Assumptions!$E$10)^G14</f>
        <v>0.6252397711595595</v>
      </c>
      <c r="H15" s="65">
        <f>1/(1+Assumptions!$E$10)^H14</f>
        <v>0.5632790731167202</v>
      </c>
      <c r="I15" s="65">
        <f>1/(1+Assumptions!$E$10)^I14</f>
        <v>0.5074586244294776</v>
      </c>
      <c r="J15" s="65">
        <f>1/(1+Assumptions!$E$10)^J14</f>
        <v>0.4571699319184483</v>
      </c>
      <c r="K15" s="65">
        <f>1/(1+Assumptions!$E$10)^K14</f>
        <v>0.4118648035301335</v>
      </c>
      <c r="L15" s="65">
        <f>1/(1+Assumptions!$E$10)^L14</f>
        <v>0.37104937254966985</v>
      </c>
    </row>
    <row r="16">
      <c r="A16" s="20" t="inlineStr">
        <is>
          <t>PV of free cash flow</t>
        </is>
      </c>
      <c r="C16" s="64">
        <f>C12*C13*C15</f>
        <v>-7.722944583098924</v>
      </c>
      <c r="D16" s="64">
        <f>D12*D13*D15</f>
        <v>2.482956978186772</v>
      </c>
      <c r="E16" s="64">
        <f>E12*E13*E15</f>
        <v>8.956833389146087</v>
      </c>
      <c r="F16" s="64">
        <f>F12*F13*F15</f>
        <v>12.6733267254028</v>
      </c>
      <c r="G16" s="64">
        <f>G12*G13*G15</f>
        <v>15.30588446804544</v>
      </c>
      <c r="H16" s="64">
        <f>H12*H13*H15</f>
        <v>17.22976598297877</v>
      </c>
      <c r="I16" s="64">
        <f>I12*I13*I15</f>
        <v>18.704201850902063</v>
      </c>
      <c r="J16" s="64">
        <f>J12*J13*J15</f>
        <v>19.91145774415437</v>
      </c>
      <c r="K16" s="64">
        <f>K12*K13*K15</f>
        <v>20.982845164270426</v>
      </c>
      <c r="L16" s="64">
        <f>L12*L13*L15</f>
        <v>22.016299187564957</v>
      </c>
    </row>
    <row r="19">
      <c r="A19" s="14" t="inlineStr">
        <is>
          <t>PV of forecast free cash flow</t>
        </is>
      </c>
      <c r="B19" s="52">
        <f>SUM(C16:L16)</f>
        <v>130.54062690755276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60.81860888804824</v>
      </c>
    </row>
    <row r="21">
      <c r="A21" s="14" t="inlineStr">
        <is>
          <t>Terminal value</t>
        </is>
      </c>
      <c r="B21" s="52">
        <f>B20/(Assumptions!$E$10-Assumptions!$E$11)</f>
        <v>715.513045741744</v>
      </c>
    </row>
    <row r="22">
      <c r="A22" s="14" t="inlineStr">
        <is>
          <t>PV of terminal value</t>
        </is>
      </c>
      <c r="B22" s="52">
        <f>B21/(1+Assumptions!$E$10)^(L14+0.5)</f>
        <v>251.99258907088742</v>
      </c>
    </row>
    <row r="23">
      <c r="A23" s="20" t="inlineStr">
        <is>
          <t>Enterprise value</t>
        </is>
      </c>
      <c r="B23" s="66">
        <f>B19+B22</f>
        <v>382.5332159784402</v>
      </c>
    </row>
    <row r="24">
      <c r="A24" s="14" t="inlineStr">
        <is>
          <t>Cash &amp; investments</t>
        </is>
      </c>
      <c r="B24" s="55">
        <f>Main!C7</f>
        <v>1367.2749999999999</v>
      </c>
    </row>
    <row r="25">
      <c r="A25" s="14" t="inlineStr">
        <is>
          <t>Debt</t>
        </is>
      </c>
      <c r="B25" s="55">
        <f>Main!C8</f>
        <v>93.16</v>
      </c>
    </row>
    <row r="26">
      <c r="A26" s="20" t="inlineStr">
        <is>
          <t>Equity value</t>
        </is>
      </c>
      <c r="B26" s="66">
        <f>B23+B24-B25</f>
        <v>1656.64821597844</v>
      </c>
    </row>
    <row r="27">
      <c r="A27" s="14" t="inlineStr">
        <is>
          <t>Shares (mm)</t>
        </is>
      </c>
      <c r="B27" s="55">
        <f>Main!C4</f>
        <v>174.46552400000002</v>
      </c>
    </row>
    <row r="28">
      <c r="A28" s="20" t="inlineStr">
        <is>
          <t>NPV / share</t>
        </is>
      </c>
      <c r="B28" s="49">
        <f>B26/B27</f>
        <v>9.49556209155936</v>
      </c>
    </row>
    <row r="29">
      <c r="A29" s="14" t="inlineStr">
        <is>
          <t>Price</t>
        </is>
      </c>
      <c r="B29" s="50">
        <f>Main!C3</f>
        <v>14.74</v>
      </c>
    </row>
    <row r="30">
      <c r="A30" s="14" t="inlineStr">
        <is>
          <t>Upside</t>
        </is>
      </c>
      <c r="B30" s="63">
        <f>B28/B29-1</f>
        <v>-0.3557963302876961</v>
      </c>
    </row>
    <row r="31">
      <c r="A31" s="14" t="inlineStr">
        <is>
          <t>Terminal value, % of EV</t>
        </is>
      </c>
      <c r="B31" s="63">
        <f>IFERROR(B22/B23,0)</f>
        <v>0.6587469494024014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2026-10-21T06:22:22Z</dcterms:modified>
  <cp:lastModifiedBy>Wang, Eric</cp:lastModifiedBy>
</cp:coreProperties>
</file>