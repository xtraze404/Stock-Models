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Rocket Pharmaceuticals, Inc.</t>
        </is>
      </c>
      <c r="C2" s="10" t="n"/>
    </row>
    <row r="3">
      <c r="B3" t="inlineStr">
        <is>
          <t>Price</t>
        </is>
      </c>
      <c r="C3" s="11">
        <f>INDEX([1]Pharma!$F$1:$F$1000,MATCH("RCKT",[1]Pharma!$B$1:$B$1000,0))</f>
        <v>2.34</v>
      </c>
      <c r="F3" s="1" t="n"/>
    </row>
    <row r="4">
      <c r="B4" t="inlineStr">
        <is>
          <t>Shares</t>
        </is>
      </c>
      <c r="C4" s="21" t="n">
        <v>109.774597</v>
      </c>
      <c r="F4" s="1" t="n"/>
    </row>
    <row r="5">
      <c r="B5" t="inlineStr">
        <is>
          <t>Market Cap.</t>
        </is>
      </c>
      <c r="C5" s="13">
        <f>C3*C4</f>
        <v>256.87255697999996</v>
      </c>
      <c r="F5" s="1" t="n"/>
    </row>
    <row r="6"/>
    <row r="7">
      <c r="B7" t="inlineStr">
        <is>
          <t>Cash</t>
        </is>
      </c>
      <c r="C7" s="21">
        <f>224.507+59.24</f>
        <v>283.747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-26.874443020000058</v>
      </c>
    </row>
    <row r="10"/>
    <row r="11">
      <c r="B11" s="14" t="inlineStr">
        <is>
          <t>Net Cash / Share</t>
        </is>
      </c>
      <c r="C11" s="11">
        <f>(C7-C8)/C4</f>
        <v>2.5848147727656885</v>
      </c>
    </row>
    <row r="12">
      <c r="B12" s="14" t="inlineStr">
        <is>
          <t>Upside</t>
        </is>
      </c>
      <c r="C12" s="15">
        <f>IFERROR(C11/C3-1,"")</f>
        <v>0.10462169776311492</v>
      </c>
    </row>
    <row r="13">
      <c r="B13" s="14" t="inlineStr">
        <is>
          <t>Cash / Share</t>
        </is>
      </c>
      <c r="C13" s="11">
        <f>IFERROR((C7-C8)/C4,"")</f>
        <v>2.5848147727656885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-170.267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1.666482641968203</v>
      </c>
    </row>
    <row r="19">
      <c r="B19" s="14" t="inlineStr">
        <is>
          <t>Implied Pipeline Value</t>
        </is>
      </c>
      <c r="C19" s="13">
        <f>C9</f>
        <v>-26.874443020000058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</row>
    <row r="5">
      <c r="A5" s="2" t="inlineStr">
        <is>
          <t>Research &amp; Dev.</t>
        </is>
      </c>
      <c r="B5" s="23" t="n">
        <v>5.592</v>
      </c>
      <c r="C5" s="23" t="n">
        <v>12.554</v>
      </c>
      <c r="D5" s="23" t="n">
        <v>5.994</v>
      </c>
      <c r="E5" s="23" t="n">
        <v>14.917</v>
      </c>
      <c r="F5" s="23" t="n">
        <v>53.27</v>
      </c>
      <c r="G5" s="23" t="n">
        <v>57.907</v>
      </c>
      <c r="H5" s="23" t="n">
        <v>105.438</v>
      </c>
      <c r="I5" s="23" t="n">
        <v>125.476</v>
      </c>
      <c r="J5" s="23" t="n">
        <v>165.57</v>
      </c>
      <c r="K5" s="23" t="n">
        <v>186.342</v>
      </c>
      <c r="L5" s="23" t="n">
        <v>171.244</v>
      </c>
      <c r="M5" s="23" t="n">
        <v>142.015</v>
      </c>
    </row>
    <row r="6">
      <c r="A6" s="19" t="inlineStr">
        <is>
          <t>SG&amp;A &amp; Other</t>
        </is>
      </c>
      <c r="B6" s="23" t="n">
        <v>2.112</v>
      </c>
      <c r="C6" s="23" t="n">
        <v>7.842</v>
      </c>
      <c r="D6" s="23" t="n">
        <v>1.58</v>
      </c>
      <c r="E6" s="23" t="n">
        <v>4.855</v>
      </c>
      <c r="F6" s="23" t="n">
        <v>17.886</v>
      </c>
      <c r="G6" s="23" t="n">
        <v>18.244</v>
      </c>
      <c r="H6" s="23" t="n">
        <v>28.865</v>
      </c>
      <c r="I6" s="23" t="n">
        <v>41.772</v>
      </c>
      <c r="J6" s="23" t="n">
        <v>58.773</v>
      </c>
      <c r="K6" s="23" t="n">
        <v>73.31699999999999</v>
      </c>
      <c r="L6" s="23" t="n">
        <v>101.961</v>
      </c>
      <c r="M6" s="23" t="n">
        <v>89.732</v>
      </c>
    </row>
    <row r="7">
      <c r="A7" s="2" t="inlineStr">
        <is>
          <t>Operating Expense</t>
        </is>
      </c>
      <c r="B7" s="23">
        <f>SUM(B5:B6)</f>
        <v>7.704</v>
      </c>
      <c r="C7" s="23">
        <f>SUM(C5:C6)</f>
        <v>20.396</v>
      </c>
      <c r="D7" s="23">
        <f>SUM(D5:D6)</f>
        <v>7.574</v>
      </c>
      <c r="E7" s="23">
        <f>SUM(E5:E6)</f>
        <v>19.772</v>
      </c>
      <c r="F7" s="23">
        <f>SUM(F5:F6)</f>
        <v>71.156</v>
      </c>
      <c r="G7" s="23">
        <f>SUM(G5:G6)</f>
        <v>76.151</v>
      </c>
      <c r="H7" s="23">
        <f>SUM(H5:H6)</f>
        <v>134.303</v>
      </c>
      <c r="I7" s="23">
        <f>SUM(I5:I6)</f>
        <v>167.248</v>
      </c>
      <c r="J7" s="23">
        <f>SUM(J5:J6)</f>
        <v>224.343</v>
      </c>
      <c r="K7" s="23">
        <f>SUM(K5:K6)</f>
        <v>259.659</v>
      </c>
      <c r="L7" s="23">
        <f>SUM(L5:L6)</f>
        <v>273.205</v>
      </c>
      <c r="M7" s="23">
        <f>SUM(M5:M6)</f>
        <v>231.74699999999999</v>
      </c>
    </row>
    <row r="8">
      <c r="A8" s="2" t="inlineStr">
        <is>
          <t>Operating Income</t>
        </is>
      </c>
      <c r="B8" s="23">
        <f>B4-B7</f>
        <v>-7.704</v>
      </c>
      <c r="C8" s="23">
        <f>C4-C7</f>
        <v>-20.396</v>
      </c>
      <c r="D8" s="23">
        <f>D4-D7</f>
        <v>-7.574</v>
      </c>
      <c r="E8" s="23">
        <f>E4-E7</f>
        <v>-19.772</v>
      </c>
      <c r="F8" s="23">
        <f>F4-F7</f>
        <v>-71.156</v>
      </c>
      <c r="G8" s="23">
        <f>G4-G7</f>
        <v>-76.151</v>
      </c>
      <c r="H8" s="23">
        <f>H4-H7</f>
        <v>-134.303</v>
      </c>
      <c r="I8" s="23">
        <f>I4-I7</f>
        <v>-167.248</v>
      </c>
      <c r="J8" s="23">
        <f>J4-J7</f>
        <v>-224.343</v>
      </c>
      <c r="K8" s="23">
        <f>K4-K7</f>
        <v>-259.659</v>
      </c>
      <c r="L8" s="23">
        <f>L4-L7</f>
        <v>-273.205</v>
      </c>
      <c r="M8" s="23">
        <f>M4-M7</f>
        <v>-231.74699999999999</v>
      </c>
    </row>
    <row r="9">
      <c r="A9" s="19" t="inlineStr">
        <is>
          <t>Interest &amp; Other</t>
        </is>
      </c>
      <c r="B9" s="23" t="n">
        <v>-1.827</v>
      </c>
      <c r="C9" s="23" t="n">
        <v>-47.586</v>
      </c>
      <c r="D9" s="23" t="n">
        <v>0.001</v>
      </c>
      <c r="E9" s="23" t="n">
        <v>0.194</v>
      </c>
      <c r="F9" s="23" t="n">
        <v>-3.362</v>
      </c>
      <c r="G9" s="23" t="n">
        <v>-1.119</v>
      </c>
      <c r="H9" s="23" t="n">
        <v>-5.397</v>
      </c>
      <c r="I9" s="23" t="n">
        <v>-1.821</v>
      </c>
      <c r="J9" s="23" t="n">
        <v>2.48</v>
      </c>
      <c r="K9" s="23" t="n">
        <v>14.064</v>
      </c>
      <c r="L9" s="23" t="n">
        <v>14.459</v>
      </c>
      <c r="M9" s="23" t="n">
        <v>8.624000000000001</v>
      </c>
    </row>
    <row r="10">
      <c r="A10" s="2" t="inlineStr">
        <is>
          <t>Pretax</t>
        </is>
      </c>
      <c r="B10" s="23">
        <f>B8+B9</f>
        <v>-9.530999999999999</v>
      </c>
      <c r="C10" s="23">
        <f>C8+C9</f>
        <v>-67.982</v>
      </c>
      <c r="D10" s="23">
        <f>D8+D9</f>
        <v>-7.5729999999999995</v>
      </c>
      <c r="E10" s="23">
        <f>E8+E9</f>
        <v>-19.578</v>
      </c>
      <c r="F10" s="23">
        <f>F8+F9</f>
        <v>-74.518</v>
      </c>
      <c r="G10" s="23">
        <f>G8+G9</f>
        <v>-77.27</v>
      </c>
      <c r="H10" s="23">
        <f>H8+H9</f>
        <v>-139.7</v>
      </c>
      <c r="I10" s="23">
        <f>I8+I9</f>
        <v>-169.069</v>
      </c>
      <c r="J10" s="23">
        <f>J8+J9</f>
        <v>-221.863</v>
      </c>
      <c r="K10" s="23">
        <f>K8+K9</f>
        <v>-245.595</v>
      </c>
      <c r="L10" s="23">
        <f>L8+L9</f>
        <v>-258.746</v>
      </c>
      <c r="M10" s="23">
        <f>M8+M9</f>
        <v>-223.123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-9.531000000000001</v>
      </c>
      <c r="C12" s="23" t="n">
        <v>-67.982</v>
      </c>
      <c r="D12" s="23" t="n">
        <v>-7.573</v>
      </c>
      <c r="E12" s="23" t="n">
        <v>-19.578</v>
      </c>
      <c r="F12" s="23" t="n">
        <v>-74.518</v>
      </c>
      <c r="G12" s="23" t="n">
        <v>-77.27</v>
      </c>
      <c r="H12" s="23" t="n">
        <v>-139.7</v>
      </c>
      <c r="I12" s="23" t="n">
        <v>-169.069</v>
      </c>
      <c r="J12" s="23" t="n">
        <v>-221.863</v>
      </c>
      <c r="K12" s="23" t="n">
        <v>-245.595</v>
      </c>
      <c r="L12" s="23" t="n">
        <v>-258.746</v>
      </c>
      <c r="M12" s="23" t="n">
        <v>-223.123</v>
      </c>
    </row>
    <row r="13">
      <c r="A13" s="2" t="inlineStr">
        <is>
          <t>Earnings per Share</t>
        </is>
      </c>
      <c r="B13" s="11">
        <f>IFERROR(B12/B14,0)</f>
        <v>-0.5190611044548525</v>
      </c>
      <c r="C13" s="11">
        <f>IFERROR(C12/C14,0)</f>
        <v>-3.7126317514062586</v>
      </c>
      <c r="D13" s="11">
        <f>IFERROR(D12/D14,0)</f>
        <v>-1.108135791630085</v>
      </c>
      <c r="E13" s="11">
        <f>IFERROR(E12/E14,0)</f>
        <v>-2.8808122424955855</v>
      </c>
      <c r="F13" s="11">
        <f>IFERROR(F12/F14,0)</f>
        <v>-1.8923764538574839</v>
      </c>
      <c r="G13" s="11">
        <f>IFERROR(G12/G14,0)</f>
        <v>-1.5766170169353193</v>
      </c>
      <c r="H13" s="11">
        <f>IFERROR(H12/H14,0)</f>
        <v>-2.5225257759881545</v>
      </c>
      <c r="I13" s="11">
        <f>IFERROR(I12/I14,0)</f>
        <v>-2.673661737961572</v>
      </c>
      <c r="J13" s="11">
        <f>IFERROR(J12/J14,0)</f>
        <v>-3.2555576750942787</v>
      </c>
      <c r="K13" s="11">
        <f>IFERROR(K12/K14,0)</f>
        <v>-2.9234367746312895</v>
      </c>
      <c r="L13" s="11">
        <f>IFERROR(L12/L14,0)</f>
        <v>-2.729157876972407</v>
      </c>
      <c r="M13" s="11">
        <f>IFERROR(M12/M14,0)</f>
        <v>-2.0078740866059537</v>
      </c>
    </row>
    <row r="14">
      <c r="A14" s="2" t="inlineStr">
        <is>
          <t>Shares</t>
        </is>
      </c>
      <c r="B14" s="23" t="n">
        <v>18.362</v>
      </c>
      <c r="C14" s="23" t="n">
        <v>18.311</v>
      </c>
      <c r="D14" s="23" t="n">
        <v>6.834</v>
      </c>
      <c r="E14" s="23" t="n">
        <v>6.796</v>
      </c>
      <c r="F14" s="23" t="n">
        <v>39.378</v>
      </c>
      <c r="G14" s="23" t="n">
        <v>49.01</v>
      </c>
      <c r="H14" s="23" t="n">
        <v>55.381</v>
      </c>
      <c r="I14" s="23" t="n">
        <v>63.235</v>
      </c>
      <c r="J14" s="23" t="n">
        <v>68.149</v>
      </c>
      <c r="K14" s="23" t="n">
        <v>84.009</v>
      </c>
      <c r="L14" s="23" t="n">
        <v>94.80800000000001</v>
      </c>
      <c r="M14" s="23" t="n">
        <v>111.124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2026-10-21T01:05:28Z</dcterms:modified>
  <cp:lastModifiedBy>Wang, Eric</cp:lastModifiedBy>
</cp:coreProperties>
</file>