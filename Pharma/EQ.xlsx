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Equillium Inc</t>
        </is>
      </c>
      <c r="C2" s="10" t="n"/>
    </row>
    <row r="3">
      <c r="B3" t="inlineStr">
        <is>
          <t>Price</t>
        </is>
      </c>
      <c r="C3" s="11">
        <f>INDEX([1]Pharma!$F$1:$F$1000,MATCH("EQ",[1]Pharma!$B$1:$B$1000,0))</f>
        <v>1.38</v>
      </c>
      <c r="F3" s="1" t="n"/>
    </row>
    <row r="4">
      <c r="B4" t="inlineStr">
        <is>
          <t>Shares</t>
        </is>
      </c>
      <c r="C4" s="21" t="n">
        <v>63.408082</v>
      </c>
      <c r="F4" s="1" t="n"/>
    </row>
    <row r="5">
      <c r="B5" t="inlineStr">
        <is>
          <t>Market Cap.</t>
        </is>
      </c>
      <c r="C5" s="13">
        <f>C3*C4</f>
        <v>87.50315316</v>
      </c>
      <c r="F5" s="1" t="n"/>
    </row>
    <row r="6"/>
    <row r="7">
      <c r="B7" t="inlineStr">
        <is>
          <t>Cash</t>
        </is>
      </c>
      <c r="C7" s="21" t="n">
        <v>57.164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30.339153159999995</v>
      </c>
    </row>
    <row r="10"/>
    <row r="11">
      <c r="B11" s="14" t="inlineStr">
        <is>
          <t>Net Cash / Share</t>
        </is>
      </c>
      <c r="C11" s="11">
        <f>(C7-C8)/C4</f>
        <v>0.9015254553828013</v>
      </c>
    </row>
    <row r="12">
      <c r="B12" s="14" t="inlineStr">
        <is>
          <t>Upside</t>
        </is>
      </c>
      <c r="C12" s="15">
        <f>IFERROR(C11/C3-1,"")</f>
        <v>-0.3467206845052164</v>
      </c>
    </row>
    <row r="13">
      <c r="B13" s="14" t="inlineStr">
        <is>
          <t>Cash / Share</t>
        </is>
      </c>
      <c r="C13" s="11">
        <f>IFERROR((C7-C8)/C4,"")</f>
        <v>0.9015254553828013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-19.972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2.8622070899258962</v>
      </c>
    </row>
    <row r="19">
      <c r="B19" s="14" t="inlineStr">
        <is>
          <t>Implied Pipeline Value</t>
        </is>
      </c>
      <c r="C19" s="13">
        <f>C9</f>
        <v>30.339153159999995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15.759</v>
      </c>
      <c r="G2" s="23" t="n">
        <v>36.084</v>
      </c>
      <c r="H2" s="23" t="n">
        <v>41.095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15.759</v>
      </c>
      <c r="G4" s="23">
        <f>G2-G3</f>
        <v>36.084</v>
      </c>
      <c r="H4" s="23">
        <f>H2-H3</f>
        <v>41.095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4.943</v>
      </c>
      <c r="C5" s="23" t="n">
        <v>17.64</v>
      </c>
      <c r="D5" s="23" t="n">
        <v>19.384</v>
      </c>
      <c r="E5" s="23" t="n">
        <v>26.379</v>
      </c>
      <c r="F5" s="23" t="n">
        <v>37.547</v>
      </c>
      <c r="G5" s="23" t="n">
        <v>37.039</v>
      </c>
      <c r="H5" s="23" t="n">
        <v>37.428</v>
      </c>
      <c r="I5" s="23" t="n">
        <v>12.843</v>
      </c>
      <c r="J5" s="1" t="n"/>
      <c r="K5" s="1" t="n"/>
    </row>
    <row r="6">
      <c r="A6" s="19" t="inlineStr">
        <is>
          <t>SG&amp;A &amp; Other</t>
        </is>
      </c>
      <c r="B6" s="23" t="n">
        <v>3.672</v>
      </c>
      <c r="C6" s="23" t="n">
        <v>9.087</v>
      </c>
      <c r="D6" s="23" t="n">
        <v>10.164</v>
      </c>
      <c r="E6" s="23" t="n">
        <v>11.407</v>
      </c>
      <c r="F6" s="23" t="n">
        <v>40.288</v>
      </c>
      <c r="G6" s="23" t="n">
        <v>13.567</v>
      </c>
      <c r="H6" s="23" t="n">
        <v>11.936</v>
      </c>
      <c r="I6" s="23" t="n">
        <v>10.791</v>
      </c>
      <c r="J6" s="1" t="n"/>
      <c r="K6" s="1" t="n"/>
    </row>
    <row r="7">
      <c r="A7" s="2" t="inlineStr">
        <is>
          <t>Operating Expense</t>
        </is>
      </c>
      <c r="B7" s="23">
        <f>SUM(B5:B6)</f>
        <v>8.615</v>
      </c>
      <c r="C7" s="23">
        <f>SUM(C5:C6)</f>
        <v>26.727</v>
      </c>
      <c r="D7" s="23">
        <f>SUM(D5:D6)</f>
        <v>29.548000000000002</v>
      </c>
      <c r="E7" s="23">
        <f>SUM(E5:E6)</f>
        <v>37.786</v>
      </c>
      <c r="F7" s="23">
        <f>SUM(F5:F6)</f>
        <v>77.835</v>
      </c>
      <c r="G7" s="23">
        <f>SUM(G5:G6)</f>
        <v>50.606</v>
      </c>
      <c r="H7" s="23">
        <f>SUM(H5:H6)</f>
        <v>49.364</v>
      </c>
      <c r="I7" s="23">
        <f>SUM(I5:I6)</f>
        <v>23.634</v>
      </c>
      <c r="J7" s="1" t="n"/>
      <c r="K7" s="1" t="n"/>
    </row>
    <row r="8">
      <c r="A8" s="2" t="inlineStr">
        <is>
          <t>Operating Income</t>
        </is>
      </c>
      <c r="B8" s="23">
        <f>B4-B7</f>
        <v>-8.615</v>
      </c>
      <c r="C8" s="23">
        <f>C4-C7</f>
        <v>-26.727</v>
      </c>
      <c r="D8" s="23">
        <f>D4-D7</f>
        <v>-29.548000000000002</v>
      </c>
      <c r="E8" s="23">
        <f>E4-E7</f>
        <v>-37.786</v>
      </c>
      <c r="F8" s="23">
        <f>F4-F7</f>
        <v>-62.07599999999999</v>
      </c>
      <c r="G8" s="23">
        <f>G4-G7</f>
        <v>-14.521999999999998</v>
      </c>
      <c r="H8" s="23">
        <f>H4-H7</f>
        <v>-8.268999999999998</v>
      </c>
      <c r="I8" s="23">
        <f>I4-I7</f>
        <v>-23.634</v>
      </c>
      <c r="J8" s="1" t="n"/>
      <c r="K8" s="1" t="n"/>
    </row>
    <row r="9">
      <c r="A9" s="19" t="inlineStr">
        <is>
          <t>Interest &amp; Other</t>
        </is>
      </c>
      <c r="B9" s="23" t="n">
        <v>-4.635</v>
      </c>
      <c r="C9" s="23" t="n">
        <v>1.127</v>
      </c>
      <c r="D9" s="23" t="n">
        <v>-0.265</v>
      </c>
      <c r="E9" s="23" t="n">
        <v>-1.266</v>
      </c>
      <c r="F9" s="23" t="n">
        <v>-0.352</v>
      </c>
      <c r="G9" s="23" t="n">
        <v>1.767</v>
      </c>
      <c r="H9" s="23" t="n">
        <v>0.5629999999999999</v>
      </c>
      <c r="I9" s="23" t="n">
        <v>1.236</v>
      </c>
    </row>
    <row r="10">
      <c r="A10" s="2" t="inlineStr">
        <is>
          <t>Pretax</t>
        </is>
      </c>
      <c r="B10" s="23">
        <f>B8+B9</f>
        <v>-13.25</v>
      </c>
      <c r="C10" s="23">
        <f>C8+C9</f>
        <v>-25.6</v>
      </c>
      <c r="D10" s="23">
        <f>D8+D9</f>
        <v>-29.813000000000002</v>
      </c>
      <c r="E10" s="23">
        <f>E8+E9</f>
        <v>-39.052</v>
      </c>
      <c r="F10" s="23">
        <f>F8+F9</f>
        <v>-62.42799999999999</v>
      </c>
      <c r="G10" s="23">
        <f>G8+G9</f>
        <v>-12.754999999999999</v>
      </c>
      <c r="H10" s="23">
        <f>H8+H9</f>
        <v>-7.705999999999999</v>
      </c>
      <c r="I10" s="23">
        <f>I8+I9</f>
        <v>-22.398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0.58</v>
      </c>
      <c r="H11" s="23" t="n">
        <v>0.361</v>
      </c>
      <c r="I11" s="23" t="n">
        <v>0</v>
      </c>
    </row>
    <row r="12">
      <c r="A12" s="2" t="inlineStr">
        <is>
          <t>Net Income</t>
        </is>
      </c>
      <c r="B12" s="23" t="n">
        <v>-13.25</v>
      </c>
      <c r="C12" s="23" t="n">
        <v>-25.6</v>
      </c>
      <c r="D12" s="23" t="n">
        <v>-29.813</v>
      </c>
      <c r="E12" s="23" t="n">
        <v>-39.052</v>
      </c>
      <c r="F12" s="23" t="n">
        <v>-62.428</v>
      </c>
      <c r="G12" s="23" t="n">
        <v>-13.335</v>
      </c>
      <c r="H12" s="23" t="n">
        <v>-8.067</v>
      </c>
      <c r="I12" s="23" t="n">
        <v>-22.398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-1.0869565217391304</v>
      </c>
      <c r="C13" s="11">
        <f>IFERROR(C12/C14,0)</f>
        <v>-1.4731269421107147</v>
      </c>
      <c r="D13" s="11">
        <f>IFERROR(D12/D14,0)</f>
        <v>-1.4645804676753782</v>
      </c>
      <c r="E13" s="11">
        <f>IFERROR(E12/E14,0)</f>
        <v>-1.3556897868499618</v>
      </c>
      <c r="F13" s="11">
        <f>IFERROR(F12/F14,0)</f>
        <v>-1.85092504743833</v>
      </c>
      <c r="G13" s="11">
        <f>IFERROR(G12/G14,0)</f>
        <v>-0.38400622012325064</v>
      </c>
      <c r="H13" s="11">
        <f>IFERROR(H12/H14,0)</f>
        <v>-0.228152044798914</v>
      </c>
      <c r="I13" s="11">
        <f>IFERROR(I12/I14,0)</f>
        <v>-0.39086276699706823</v>
      </c>
    </row>
    <row r="14">
      <c r="A14" s="2" t="inlineStr">
        <is>
          <t>Shares</t>
        </is>
      </c>
      <c r="B14" s="23" t="n">
        <v>12.19</v>
      </c>
      <c r="C14" s="23" t="n">
        <v>17.378</v>
      </c>
      <c r="D14" s="23" t="n">
        <v>20.356</v>
      </c>
      <c r="E14" s="23" t="n">
        <v>28.806</v>
      </c>
      <c r="F14" s="23" t="n">
        <v>33.728</v>
      </c>
      <c r="G14" s="23" t="n">
        <v>34.726</v>
      </c>
      <c r="H14" s="23" t="n">
        <v>35.358</v>
      </c>
      <c r="I14" s="23" t="n">
        <v>57.304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1.289739196649534</v>
      </c>
      <c r="H16" s="15">
        <f>IFERROR(H2/G2-1,"")</f>
        <v>0.13887041347965834</v>
      </c>
      <c r="I16" s="15">
        <f>IFERROR(I2/H2-1,"")</f>
        <v>-1.0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-3.9390824290881397</v>
      </c>
      <c r="G18" s="15">
        <f>IFERROR(G8/G2,"")</f>
        <v>-0.4024498392639396</v>
      </c>
      <c r="H18" s="15">
        <f>IFERROR(H8/H2,"")</f>
        <v>-0.2012166930283489</v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2026-10-21T01:06:02Z</dcterms:modified>
  <cp:lastModifiedBy>Wang, Eric</cp:lastModifiedBy>
</cp:coreProperties>
</file>