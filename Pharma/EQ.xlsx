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Equillium Inc</t>
        </is>
      </c>
      <c r="C2" s="10" t="n"/>
    </row>
    <row r="3">
      <c r="B3" t="inlineStr">
        <is>
          <t>Price</t>
        </is>
      </c>
      <c r="C3" s="11">
        <f>INDEX([1]Pharma!$F$1:$F$1000,MATCH("EQ",[1]Pharma!$B$1:$B$1000,0))</f>
        <v>1.38</v>
      </c>
      <c r="F3" s="1" t="n"/>
    </row>
    <row r="4">
      <c r="B4" t="inlineStr">
        <is>
          <t>Shares</t>
        </is>
      </c>
      <c r="C4" s="21" t="n">
        <v>63.408082</v>
      </c>
      <c r="F4" s="1" t="n"/>
    </row>
    <row r="5">
      <c r="B5" t="inlineStr">
        <is>
          <t>Market Cap.</t>
        </is>
      </c>
      <c r="C5" s="13">
        <f>C3*C4</f>
        <v>87.50315316</v>
      </c>
      <c r="F5" s="1" t="n"/>
    </row>
    <row r="6"/>
    <row r="7">
      <c r="B7" t="inlineStr">
        <is>
          <t>Cash</t>
        </is>
      </c>
      <c r="C7" s="21" t="n">
        <v>57.164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30.339153159999995</v>
      </c>
    </row>
    <row r="10"/>
    <row r="11">
      <c r="B11" s="14" t="inlineStr">
        <is>
          <t>rNPV / Share</t>
        </is>
      </c>
      <c r="C11" s="11">
        <f>NPV!B27</f>
        <v>3.7862412390049798</v>
      </c>
    </row>
    <row r="12">
      <c r="B12" s="14" t="inlineStr">
        <is>
          <t>Upside</t>
        </is>
      </c>
      <c r="C12" s="15">
        <f>IFERROR(C11/C3-1,"")</f>
        <v>1.743653071742739</v>
      </c>
    </row>
    <row r="13">
      <c r="B13" s="14" t="inlineStr">
        <is>
          <t>Cash / Share</t>
        </is>
      </c>
      <c r="C13" s="11">
        <f>IFERROR((C7-C8)/C4,"")</f>
        <v>0.9015254553828013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-19.972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2.8622070899258962</v>
      </c>
    </row>
    <row r="19">
      <c r="B19" s="14" t="inlineStr">
        <is>
          <t>Implied Pipeline Value</t>
        </is>
      </c>
      <c r="C19" s="13">
        <f>C9</f>
        <v>30.339153159999995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15.759</v>
      </c>
      <c r="G2" s="23" t="n">
        <v>36.084</v>
      </c>
      <c r="H2" s="23" t="n">
        <v>41.095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15.759</v>
      </c>
      <c r="G4" s="23">
        <f>G2-G3</f>
        <v>36.084</v>
      </c>
      <c r="H4" s="23">
        <f>H2-H3</f>
        <v>41.095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4.943</v>
      </c>
      <c r="C5" s="23" t="n">
        <v>17.64</v>
      </c>
      <c r="D5" s="23" t="n">
        <v>19.384</v>
      </c>
      <c r="E5" s="23" t="n">
        <v>26.379</v>
      </c>
      <c r="F5" s="23" t="n">
        <v>37.547</v>
      </c>
      <c r="G5" s="23" t="n">
        <v>37.039</v>
      </c>
      <c r="H5" s="23" t="n">
        <v>37.428</v>
      </c>
      <c r="I5" s="23" t="n">
        <v>12.843</v>
      </c>
      <c r="J5" s="1" t="n"/>
      <c r="K5" s="1" t="n"/>
    </row>
    <row r="6">
      <c r="A6" s="19" t="inlineStr">
        <is>
          <t>SG&amp;A &amp; Other</t>
        </is>
      </c>
      <c r="B6" s="23" t="n">
        <v>3.672</v>
      </c>
      <c r="C6" s="23" t="n">
        <v>9.087</v>
      </c>
      <c r="D6" s="23" t="n">
        <v>10.164</v>
      </c>
      <c r="E6" s="23" t="n">
        <v>11.407</v>
      </c>
      <c r="F6" s="23" t="n">
        <v>40.288</v>
      </c>
      <c r="G6" s="23" t="n">
        <v>13.567</v>
      </c>
      <c r="H6" s="23" t="n">
        <v>11.936</v>
      </c>
      <c r="I6" s="23" t="n">
        <v>10.791</v>
      </c>
      <c r="J6" s="1" t="n"/>
      <c r="K6" s="1" t="n"/>
    </row>
    <row r="7">
      <c r="A7" s="2" t="inlineStr">
        <is>
          <t>Operating Expense</t>
        </is>
      </c>
      <c r="B7" s="23">
        <f>SUM(B5:B6)</f>
        <v>8.615</v>
      </c>
      <c r="C7" s="23">
        <f>SUM(C5:C6)</f>
        <v>26.727</v>
      </c>
      <c r="D7" s="23">
        <f>SUM(D5:D6)</f>
        <v>29.548000000000002</v>
      </c>
      <c r="E7" s="23">
        <f>SUM(E5:E6)</f>
        <v>37.786</v>
      </c>
      <c r="F7" s="23">
        <f>SUM(F5:F6)</f>
        <v>77.835</v>
      </c>
      <c r="G7" s="23">
        <f>SUM(G5:G6)</f>
        <v>50.606</v>
      </c>
      <c r="H7" s="23">
        <f>SUM(H5:H6)</f>
        <v>49.364</v>
      </c>
      <c r="I7" s="23">
        <f>SUM(I5:I6)</f>
        <v>23.634</v>
      </c>
      <c r="J7" s="1" t="n"/>
      <c r="K7" s="1" t="n"/>
    </row>
    <row r="8">
      <c r="A8" s="2" t="inlineStr">
        <is>
          <t>Operating Income</t>
        </is>
      </c>
      <c r="B8" s="23">
        <f>B4-B7</f>
        <v>-8.615</v>
      </c>
      <c r="C8" s="23">
        <f>C4-C7</f>
        <v>-26.727</v>
      </c>
      <c r="D8" s="23">
        <f>D4-D7</f>
        <v>-29.548000000000002</v>
      </c>
      <c r="E8" s="23">
        <f>E4-E7</f>
        <v>-37.786</v>
      </c>
      <c r="F8" s="23">
        <f>F4-F7</f>
        <v>-62.07599999999999</v>
      </c>
      <c r="G8" s="23">
        <f>G4-G7</f>
        <v>-14.521999999999998</v>
      </c>
      <c r="H8" s="23">
        <f>H4-H7</f>
        <v>-8.268999999999998</v>
      </c>
      <c r="I8" s="23">
        <f>I4-I7</f>
        <v>-23.634</v>
      </c>
      <c r="J8" s="1" t="n"/>
      <c r="K8" s="1" t="n"/>
    </row>
    <row r="9">
      <c r="A9" s="19" t="inlineStr">
        <is>
          <t>Interest &amp; Other</t>
        </is>
      </c>
      <c r="B9" s="23" t="n">
        <v>-4.635</v>
      </c>
      <c r="C9" s="23" t="n">
        <v>1.127</v>
      </c>
      <c r="D9" s="23" t="n">
        <v>-0.265</v>
      </c>
      <c r="E9" s="23" t="n">
        <v>-1.266</v>
      </c>
      <c r="F9" s="23" t="n">
        <v>-0.352</v>
      </c>
      <c r="G9" s="23" t="n">
        <v>1.767</v>
      </c>
      <c r="H9" s="23" t="n">
        <v>0.5629999999999999</v>
      </c>
      <c r="I9" s="23" t="n">
        <v>1.236</v>
      </c>
    </row>
    <row r="10">
      <c r="A10" s="2" t="inlineStr">
        <is>
          <t>Pretax</t>
        </is>
      </c>
      <c r="B10" s="23">
        <f>B8+B9</f>
        <v>-13.25</v>
      </c>
      <c r="C10" s="23">
        <f>C8+C9</f>
        <v>-25.6</v>
      </c>
      <c r="D10" s="23">
        <f>D8+D9</f>
        <v>-29.813000000000002</v>
      </c>
      <c r="E10" s="23">
        <f>E8+E9</f>
        <v>-39.052</v>
      </c>
      <c r="F10" s="23">
        <f>F8+F9</f>
        <v>-62.42799999999999</v>
      </c>
      <c r="G10" s="23">
        <f>G8+G9</f>
        <v>-12.754999999999999</v>
      </c>
      <c r="H10" s="23">
        <f>H8+H9</f>
        <v>-7.705999999999999</v>
      </c>
      <c r="I10" s="23">
        <f>I8+I9</f>
        <v>-22.398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0.58</v>
      </c>
      <c r="H11" s="23" t="n">
        <v>0.361</v>
      </c>
      <c r="I11" s="23" t="n">
        <v>0</v>
      </c>
    </row>
    <row r="12">
      <c r="A12" s="2" t="inlineStr">
        <is>
          <t>Net Income</t>
        </is>
      </c>
      <c r="B12" s="23" t="n">
        <v>-13.25</v>
      </c>
      <c r="C12" s="23" t="n">
        <v>-25.6</v>
      </c>
      <c r="D12" s="23" t="n">
        <v>-29.813</v>
      </c>
      <c r="E12" s="23" t="n">
        <v>-39.052</v>
      </c>
      <c r="F12" s="23" t="n">
        <v>-62.428</v>
      </c>
      <c r="G12" s="23" t="n">
        <v>-13.335</v>
      </c>
      <c r="H12" s="23" t="n">
        <v>-8.067</v>
      </c>
      <c r="I12" s="23" t="n">
        <v>-22.398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-1.0869565217391304</v>
      </c>
      <c r="C13" s="11">
        <f>IFERROR(C12/C14,0)</f>
        <v>-1.4731269421107147</v>
      </c>
      <c r="D13" s="11">
        <f>IFERROR(D12/D14,0)</f>
        <v>-1.4645804676753782</v>
      </c>
      <c r="E13" s="11">
        <f>IFERROR(E12/E14,0)</f>
        <v>-1.3556897868499618</v>
      </c>
      <c r="F13" s="11">
        <f>IFERROR(F12/F14,0)</f>
        <v>-1.85092504743833</v>
      </c>
      <c r="G13" s="11">
        <f>IFERROR(G12/G14,0)</f>
        <v>-0.38400622012325064</v>
      </c>
      <c r="H13" s="11">
        <f>IFERROR(H12/H14,0)</f>
        <v>-0.228152044798914</v>
      </c>
      <c r="I13" s="11">
        <f>IFERROR(I12/I14,0)</f>
        <v>-0.39086276699706823</v>
      </c>
    </row>
    <row r="14">
      <c r="A14" s="2" t="inlineStr">
        <is>
          <t>Shares</t>
        </is>
      </c>
      <c r="B14" s="23" t="n">
        <v>12.19</v>
      </c>
      <c r="C14" s="23" t="n">
        <v>17.378</v>
      </c>
      <c r="D14" s="23" t="n">
        <v>20.356</v>
      </c>
      <c r="E14" s="23" t="n">
        <v>28.806</v>
      </c>
      <c r="F14" s="23" t="n">
        <v>33.728</v>
      </c>
      <c r="G14" s="23" t="n">
        <v>34.726</v>
      </c>
      <c r="H14" s="23" t="n">
        <v>35.358</v>
      </c>
      <c r="I14" s="23" t="n">
        <v>57.304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1.289739196649534</v>
      </c>
      <c r="H16" s="15">
        <f>IFERROR(H2/G2-1,"")</f>
        <v>0.13887041347965834</v>
      </c>
      <c r="I16" s="15">
        <f>IFERROR(I2/H2-1,"")</f>
        <v>-1.0</v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-3.9390824290881397</v>
      </c>
      <c r="G18" s="15">
        <f>IFERROR(G8/G2,"")</f>
        <v>-0.4024498392639396</v>
      </c>
      <c r="H18" s="15">
        <f>IFERROR(H8/H2,"")</f>
        <v>-0.2012166930283489</v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Equillium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0.10650000000000004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19.301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213.9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182.91429495460935</v>
      </c>
      <c r="C29" s="42">
        <f>NPV!B25</f>
        <v>240.07829495460936</v>
      </c>
      <c r="D29" s="43">
        <f>NPV!B27</f>
        <v>3.7862412390049798</v>
      </c>
      <c r="E29" s="44">
        <f>NPV!B29</f>
        <v>1.743653071742739</v>
      </c>
    </row>
    <row r="30">
      <c r="A30" s="45" t="n">
        <v>1</v>
      </c>
      <c r="B30" s="46">
        <f t="dataTable" ref="B30:E32" r1="B4"/>
        <v>42.44035161463517</v>
      </c>
      <c r="C30" s="46">
        <v>99.60435161463516</v>
      </c>
      <c r="D30" s="47">
        <v>1.570846309696533</v>
      </c>
      <c r="E30" s="48">
        <v>0.13829442731632846</v>
      </c>
    </row>
    <row r="31">
      <c r="A31" s="45" t="n">
        <v>2</v>
      </c>
      <c r="B31" s="46">
        <v>182.91429495460935</v>
      </c>
      <c r="C31" s="46">
        <v>240.07829495460936</v>
      </c>
      <c r="D31" s="47">
        <v>3.7862412390049798</v>
      </c>
      <c r="E31" s="48">
        <v>1.743653071742739</v>
      </c>
    </row>
    <row r="32">
      <c r="A32" s="45" t="n">
        <v>3</v>
      </c>
      <c r="B32" s="46">
        <v>416.07042583829895</v>
      </c>
      <c r="C32" s="46">
        <v>473.23442583829893</v>
      </c>
      <c r="D32" s="47">
        <v>7.46331399581364</v>
      </c>
      <c r="E32" s="48">
        <v>4.408198547691044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3.7862412390049798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1.2748684290056578</v>
      </c>
      <c r="C37" s="47">
        <v>1.8321897568618284</v>
      </c>
      <c r="D37" s="47">
        <v>2.3755710494198663</v>
      </c>
      <c r="E37" s="47">
        <v>3.4468597282751365</v>
      </c>
      <c r="F37" s="47">
        <v>4.508398877178738</v>
      </c>
    </row>
    <row r="38">
      <c r="A38" s="50" t="n">
        <v>0.8</v>
      </c>
      <c r="B38" s="47">
        <v>1.639828348965008</v>
      </c>
      <c r="C38" s="47">
        <v>2.3672406464234577</v>
      </c>
      <c r="D38" s="47">
        <v>3.082790163230122</v>
      </c>
      <c r="E38" s="47">
        <v>4.50027012818033</v>
      </c>
      <c r="F38" s="47">
        <v>5.911421321608642</v>
      </c>
    </row>
    <row r="39">
      <c r="A39" s="50" t="n">
        <v>1</v>
      </c>
      <c r="B39" s="47">
        <v>1.99740168788953</v>
      </c>
      <c r="C39" s="47">
        <v>2.8966407049884197</v>
      </c>
      <c r="D39" s="47">
        <v>3.7862412390049798</v>
      </c>
      <c r="E39" s="47">
        <v>5.550670817008672</v>
      </c>
      <c r="F39" s="47">
        <v>7.306298985227903</v>
      </c>
    </row>
    <row r="40">
      <c r="A40" s="50" t="n">
        <v>1.2</v>
      </c>
      <c r="B40" s="47">
        <v>2.3505798404306395</v>
      </c>
      <c r="C40" s="47">
        <v>3.422171673959965</v>
      </c>
      <c r="D40" s="47">
        <v>4.484012630183515</v>
      </c>
      <c r="E40" s="47">
        <v>6.596814915507437</v>
      </c>
      <c r="F40" s="47">
        <v>8.701176648847163</v>
      </c>
    </row>
    <row r="41">
      <c r="A41" s="50" t="n">
        <v>1.4</v>
      </c>
      <c r="B41" s="47">
        <v>2.7019290622568626</v>
      </c>
      <c r="C41" s="47">
        <v>3.9466191622717326</v>
      </c>
      <c r="D41" s="47">
        <v>5.181570173069606</v>
      </c>
      <c r="E41" s="47">
        <v>7.640965623570073</v>
      </c>
      <c r="F41" s="47">
        <v>10.096054312466421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Equillium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IBD (UC / Crohn's)</t>
        </is>
      </c>
      <c r="C4" s="14" t="inlineStr">
        <is>
          <t>EQ504</t>
        </is>
      </c>
      <c r="D4" s="14" t="inlineStr">
        <is>
          <t>Phase 1</t>
        </is>
      </c>
      <c r="E4" s="14" t="inlineStr">
        <is>
          <t>Autoimmune / area</t>
        </is>
      </c>
      <c r="F4" s="14" t="inlineStr">
        <is>
          <t>Owned</t>
        </is>
      </c>
      <c r="G4" s="40" t="n">
        <v>3000</v>
      </c>
      <c r="H4" s="27" t="n">
        <v>0.1065</v>
      </c>
      <c r="I4" s="26" t="n">
        <v>2033</v>
      </c>
      <c r="J4" s="39">
        <f>I4+Assumptions!$B$25</f>
        <v>2045.0</v>
      </c>
      <c r="K4" s="53">
        <f>Assumptions!$E$13</f>
        <v>0.4</v>
      </c>
      <c r="L4" s="23">
        <f>K4*SUMPRODUCT(M4:AF4,NPV!$C$15:$V$15)</f>
        <v>279.7769261852459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0</v>
      </c>
      <c r="T4" s="23">
        <f>IF(T$3&lt;$I4,0,$G4*Assumptions!$E$11*INDEX(Assumptions!$B$24:$G$24,MIN(6,T$3-$I4+1))*IF(T$3&gt;$J4,(1-Assumptions!$B$26)^(T$3-$J4),1)*IF($H4&gt;=1,1,MIN(0.97,$H4*Assumptions!$E$12)))</f>
        <v>31.95</v>
      </c>
      <c r="U4" s="23">
        <f>IF(U$3&lt;$I4,0,$G4*Assumptions!$E$11*INDEX(Assumptions!$B$24:$G$24,MIN(6,U$3-$I4+1))*IF(U$3&gt;$J4,(1-Assumptions!$B$26)^(U$3-$J4),1)*IF($H4&gt;=1,1,MIN(0.97,$H4*Assumptions!$E$12)))</f>
        <v>79.875</v>
      </c>
      <c r="V4" s="23">
        <f>IF(V$3&lt;$I4,0,$G4*Assumptions!$E$11*INDEX(Assumptions!$B$24:$G$24,MIN(6,V$3-$I4+1))*IF(V$3&gt;$J4,(1-Assumptions!$B$26)^(V$3-$J4),1)*IF($H4&gt;=1,1,MIN(0.97,$H4*Assumptions!$E$12)))</f>
        <v>143.775</v>
      </c>
      <c r="W4" s="23">
        <f>IF(W$3&lt;$I4,0,$G4*Assumptions!$E$11*INDEX(Assumptions!$B$24:$G$24,MIN(6,W$3-$I4+1))*IF(W$3&gt;$J4,(1-Assumptions!$B$26)^(W$3-$J4),1)*IF($H4&gt;=1,1,MIN(0.97,$H4*Assumptions!$E$12)))</f>
        <v>207.67499999999998</v>
      </c>
      <c r="X4" s="23">
        <f>IF(X$3&lt;$I4,0,$G4*Assumptions!$E$11*INDEX(Assumptions!$B$24:$G$24,MIN(6,X$3-$I4+1))*IF(X$3&gt;$J4,(1-Assumptions!$B$26)^(X$3-$J4),1)*IF($H4&gt;=1,1,MIN(0.97,$H4*Assumptions!$E$12)))</f>
        <v>271.575</v>
      </c>
      <c r="Y4" s="23">
        <f>IF(Y$3&lt;$I4,0,$G4*Assumptions!$E$11*INDEX(Assumptions!$B$24:$G$24,MIN(6,Y$3-$I4+1))*IF(Y$3&gt;$J4,(1-Assumptions!$B$26)^(Y$3-$J4),1)*IF($H4&gt;=1,1,MIN(0.97,$H4*Assumptions!$E$12)))</f>
        <v>319.5</v>
      </c>
      <c r="Z4" s="23">
        <f>IF(Z$3&lt;$I4,0,$G4*Assumptions!$E$11*INDEX(Assumptions!$B$24:$G$24,MIN(6,Z$3-$I4+1))*IF(Z$3&gt;$J4,(1-Assumptions!$B$26)^(Z$3-$J4),1)*IF($H4&gt;=1,1,MIN(0.97,$H4*Assumptions!$E$12)))</f>
        <v>319.5</v>
      </c>
      <c r="AA4" s="23">
        <f>IF(AA$3&lt;$I4,0,$G4*Assumptions!$E$11*INDEX(Assumptions!$B$24:$G$24,MIN(6,AA$3-$I4+1))*IF(AA$3&gt;$J4,(1-Assumptions!$B$26)^(AA$3-$J4),1)*IF($H4&gt;=1,1,MIN(0.97,$H4*Assumptions!$E$12)))</f>
        <v>319.5</v>
      </c>
      <c r="AB4" s="23">
        <f>IF(AB$3&lt;$I4,0,$G4*Assumptions!$E$11*INDEX(Assumptions!$B$24:$G$24,MIN(6,AB$3-$I4+1))*IF(AB$3&gt;$J4,(1-Assumptions!$B$26)^(AB$3-$J4),1)*IF($H4&gt;=1,1,MIN(0.97,$H4*Assumptions!$E$12)))</f>
        <v>319.5</v>
      </c>
      <c r="AC4" s="23">
        <f>IF(AC$3&lt;$I4,0,$G4*Assumptions!$E$11*INDEX(Assumptions!$B$24:$G$24,MIN(6,AC$3-$I4+1))*IF(AC$3&gt;$J4,(1-Assumptions!$B$26)^(AC$3-$J4),1)*IF($H4&gt;=1,1,MIN(0.97,$H4*Assumptions!$E$12)))</f>
        <v>319.5</v>
      </c>
      <c r="AD4" s="23">
        <f>IF(AD$3&lt;$I4,0,$G4*Assumptions!$E$11*INDEX(Assumptions!$B$24:$G$24,MIN(6,AD$3-$I4+1))*IF(AD$3&gt;$J4,(1-Assumptions!$B$26)^(AD$3-$J4),1)*IF($H4&gt;=1,1,MIN(0.97,$H4*Assumptions!$E$12)))</f>
        <v>319.5</v>
      </c>
      <c r="AE4" s="23">
        <f>IF(AE$3&lt;$I4,0,$G4*Assumptions!$E$11*INDEX(Assumptions!$B$24:$G$24,MIN(6,AE$3-$I4+1))*IF(AE$3&gt;$J4,(1-Assumptions!$B$26)^(AE$3-$J4),1)*IF($H4&gt;=1,1,MIN(0.97,$H4*Assumptions!$E$12)))</f>
        <v>319.5</v>
      </c>
      <c r="AF4" s="23">
        <f>IF(AF$3&lt;$I4,0,$G4*Assumptions!$E$11*INDEX(Assumptions!$B$24:$G$24,MIN(6,AF$3-$I4+1))*IF(AF$3&gt;$J4,(1-Assumptions!$B$26)^(AF$3-$J4),1)*IF($H4&gt;=1,1,MIN(0.97,$H4*Assumptions!$E$12)))</f>
        <v>319.5</v>
      </c>
      <c r="AG4" s="35">
        <f>IF(F4="Owned",1-IF(H4&gt;=1,1,MIN(0.97,H4*Assumptions!$E$12)),1)</f>
        <v>0.8935</v>
      </c>
    </row>
    <row r="5">
      <c r="B5" s="24" t="inlineStr">
        <is>
          <t>Risked revenue</t>
        </is>
      </c>
      <c r="L5" s="54">
        <f>SUM(L4:L4)</f>
        <v>279.7769261852459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0.0</v>
      </c>
      <c r="T5" s="54">
        <f>SUM(T4:T4)</f>
        <v>31.95</v>
      </c>
      <c r="U5" s="54">
        <f>SUM(U4:U4)</f>
        <v>79.875</v>
      </c>
      <c r="V5" s="54">
        <f>SUM(V4:V4)</f>
        <v>143.775</v>
      </c>
      <c r="W5" s="54">
        <f>SUM(W4:W4)</f>
        <v>207.67499999999998</v>
      </c>
      <c r="X5" s="54">
        <f>SUM(X4:X4)</f>
        <v>271.575</v>
      </c>
      <c r="Y5" s="54">
        <f>SUM(Y4:Y4)</f>
        <v>319.5</v>
      </c>
      <c r="Z5" s="54">
        <f>SUM(Z4:Z4)</f>
        <v>319.5</v>
      </c>
      <c r="AA5" s="54">
        <f>SUM(AA4:AA4)</f>
        <v>319.5</v>
      </c>
      <c r="AB5" s="54">
        <f>SUM(AB4:AB4)</f>
        <v>319.5</v>
      </c>
      <c r="AC5" s="54">
        <f>SUM(AC4:AC4)</f>
        <v>319.5</v>
      </c>
      <c r="AD5" s="54">
        <f>SUM(AD4:AD4)</f>
        <v>319.5</v>
      </c>
      <c r="AE5" s="54">
        <f>SUM(AE4:AE4)</f>
        <v>319.5</v>
      </c>
      <c r="AF5" s="54">
        <f>SUM(AF4:AF4)</f>
        <v>319.5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0.0</v>
      </c>
      <c r="T6" s="55">
        <f>SUMPRODUCT(T4:T4,$K$4:$K$4)</f>
        <v>12.780000000000001</v>
      </c>
      <c r="U6" s="55">
        <f>SUMPRODUCT(U4:U4,$K$4:$K$4)</f>
        <v>31.950000000000003</v>
      </c>
      <c r="V6" s="55">
        <f>SUMPRODUCT(V4:V4,$K$4:$K$4)</f>
        <v>57.510000000000005</v>
      </c>
      <c r="W6" s="55">
        <f>SUMPRODUCT(W4:W4,$K$4:$K$4)</f>
        <v>83.07</v>
      </c>
      <c r="X6" s="55">
        <f>SUMPRODUCT(X4:X4,$K$4:$K$4)</f>
        <v>108.63</v>
      </c>
      <c r="Y6" s="55">
        <f>SUMPRODUCT(Y4:Y4,$K$4:$K$4)</f>
        <v>127.80000000000001</v>
      </c>
      <c r="Z6" s="55">
        <f>SUMPRODUCT(Z4:Z4,$K$4:$K$4)</f>
        <v>127.80000000000001</v>
      </c>
      <c r="AA6" s="55">
        <f>SUMPRODUCT(AA4:AA4,$K$4:$K$4)</f>
        <v>127.80000000000001</v>
      </c>
      <c r="AB6" s="55">
        <f>SUMPRODUCT(AB4:AB4,$K$4:$K$4)</f>
        <v>127.80000000000001</v>
      </c>
      <c r="AC6" s="55">
        <f>SUMPRODUCT(AC4:AC4,$K$4:$K$4)</f>
        <v>127.80000000000001</v>
      </c>
      <c r="AD6" s="55">
        <f>SUMPRODUCT(AD4:AD4,$K$4:$K$4)</f>
        <v>127.80000000000001</v>
      </c>
      <c r="AE6" s="55">
        <f>SUMPRODUCT(AE4:AE4,$K$4:$K$4)</f>
        <v>127.80000000000001</v>
      </c>
      <c r="AF6" s="55">
        <f>SUMPRODUCT(AF4:AF4,$K$4:$K$4)</f>
        <v>127.80000000000001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Equillium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0.0</v>
      </c>
      <c r="J4" s="57">
        <f>Pipeline!T5</f>
        <v>31.95</v>
      </c>
      <c r="K4" s="57">
        <f>Pipeline!U5</f>
        <v>79.875</v>
      </c>
      <c r="L4" s="57">
        <f>Pipeline!V5</f>
        <v>143.775</v>
      </c>
      <c r="M4" s="57">
        <f>Pipeline!W5</f>
        <v>207.67499999999998</v>
      </c>
      <c r="N4" s="57">
        <f>Pipeline!X5</f>
        <v>271.575</v>
      </c>
      <c r="O4" s="57">
        <f>Pipeline!Y5</f>
        <v>319.5</v>
      </c>
      <c r="P4" s="57">
        <f>Pipeline!Z5</f>
        <v>319.5</v>
      </c>
      <c r="Q4" s="57">
        <f>Pipeline!AA5</f>
        <v>319.5</v>
      </c>
      <c r="R4" s="57">
        <f>Pipeline!AB5</f>
        <v>319.5</v>
      </c>
      <c r="S4" s="57">
        <f>Pipeline!AC5</f>
        <v>319.5</v>
      </c>
      <c r="T4" s="57">
        <f>Pipeline!AD5</f>
        <v>319.5</v>
      </c>
      <c r="U4" s="57">
        <f>Pipeline!AE5</f>
        <v>319.5</v>
      </c>
      <c r="V4" s="57">
        <f>Pipeline!AF5</f>
        <v>319.5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0.0</v>
      </c>
      <c r="J5" s="57">
        <f>Pipeline!T6</f>
        <v>12.780000000000001</v>
      </c>
      <c r="K5" s="57">
        <f>Pipeline!U6</f>
        <v>31.950000000000003</v>
      </c>
      <c r="L5" s="57">
        <f>Pipeline!V6</f>
        <v>57.510000000000005</v>
      </c>
      <c r="M5" s="57">
        <f>Pipeline!W6</f>
        <v>83.07</v>
      </c>
      <c r="N5" s="57">
        <f>Pipeline!X6</f>
        <v>108.63</v>
      </c>
      <c r="O5" s="57">
        <f>Pipeline!Y6</f>
        <v>127.80000000000001</v>
      </c>
      <c r="P5" s="57">
        <f>Pipeline!Z6</f>
        <v>127.80000000000001</v>
      </c>
      <c r="Q5" s="57">
        <f>Pipeline!AA6</f>
        <v>127.80000000000001</v>
      </c>
      <c r="R5" s="57">
        <f>Pipeline!AB6</f>
        <v>127.80000000000001</v>
      </c>
      <c r="S5" s="57">
        <f>Pipeline!AC6</f>
        <v>127.80000000000001</v>
      </c>
      <c r="T5" s="57">
        <f>Pipeline!AD6</f>
        <v>127.80000000000001</v>
      </c>
      <c r="U5" s="57">
        <f>Pipeline!AE6</f>
        <v>127.80000000000001</v>
      </c>
      <c r="V5" s="57">
        <f>Pipeline!AF6</f>
        <v>127.80000000000001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-19.301</v>
      </c>
      <c r="D6" s="23">
        <f>-IF(D3-2026&lt;Assumptions!$B$19,Assumptions!$B$18,Assumptions!$B$18*Assumptions!$B$20*Assumptions!$B$16)</f>
        <v>-19.301</v>
      </c>
      <c r="E6" s="23">
        <f>-IF(E3-2026&lt;Assumptions!$B$19,Assumptions!$B$18,Assumptions!$B$18*Assumptions!$B$20*Assumptions!$B$16)</f>
        <v>-19.301</v>
      </c>
      <c r="F6" s="23">
        <f>-IF(F3-2026&lt;Assumptions!$B$19,Assumptions!$B$18,Assumptions!$B$18*Assumptions!$B$20*Assumptions!$B$16)</f>
        <v>-19.301</v>
      </c>
      <c r="G6" s="23">
        <f>-IF(G3-2026&lt;Assumptions!$B$19,Assumptions!$B$18,Assumptions!$B$18*Assumptions!$B$20*Assumptions!$B$16)</f>
        <v>-0.6166669500000002</v>
      </c>
      <c r="H6" s="23">
        <f>-IF(H3-2026&lt;Assumptions!$B$19,Assumptions!$B$18,Assumptions!$B$18*Assumptions!$B$20*Assumptions!$B$16)</f>
        <v>-0.6166669500000002</v>
      </c>
      <c r="I6" s="23">
        <f>-IF(I3-2026&lt;Assumptions!$B$19,Assumptions!$B$18,Assumptions!$B$18*Assumptions!$B$20*Assumptions!$B$16)</f>
        <v>-0.6166669500000002</v>
      </c>
      <c r="J6" s="23">
        <f>-IF(J3-2026&lt;Assumptions!$B$19,Assumptions!$B$18,Assumptions!$B$18*Assumptions!$B$20*Assumptions!$B$16)</f>
        <v>-0.6166669500000002</v>
      </c>
      <c r="K6" s="23">
        <f>-IF(K3-2026&lt;Assumptions!$B$19,Assumptions!$B$18,Assumptions!$B$18*Assumptions!$B$20*Assumptions!$B$16)</f>
        <v>-0.6166669500000002</v>
      </c>
      <c r="L6" s="23">
        <f>-IF(L3-2026&lt;Assumptions!$B$19,Assumptions!$B$18,Assumptions!$B$18*Assumptions!$B$20*Assumptions!$B$16)</f>
        <v>-0.6166669500000002</v>
      </c>
      <c r="M6" s="23">
        <f>-IF(M3-2026&lt;Assumptions!$B$19,Assumptions!$B$18,Assumptions!$B$18*Assumptions!$B$20*Assumptions!$B$16)</f>
        <v>-0.6166669500000002</v>
      </c>
      <c r="N6" s="23">
        <f>-IF(N3-2026&lt;Assumptions!$B$19,Assumptions!$B$18,Assumptions!$B$18*Assumptions!$B$20*Assumptions!$B$16)</f>
        <v>-0.6166669500000002</v>
      </c>
      <c r="O6" s="23">
        <f>-IF(O3-2026&lt;Assumptions!$B$19,Assumptions!$B$18,Assumptions!$B$18*Assumptions!$B$20*Assumptions!$B$16)</f>
        <v>-0.6166669500000002</v>
      </c>
      <c r="P6" s="23">
        <f>-IF(P3-2026&lt;Assumptions!$B$19,Assumptions!$B$18,Assumptions!$B$18*Assumptions!$B$20*Assumptions!$B$16)</f>
        <v>-0.6166669500000002</v>
      </c>
      <c r="Q6" s="23">
        <f>-IF(Q3-2026&lt;Assumptions!$B$19,Assumptions!$B$18,Assumptions!$B$18*Assumptions!$B$20*Assumptions!$B$16)</f>
        <v>-0.6166669500000002</v>
      </c>
      <c r="R6" s="23">
        <f>-IF(R3-2026&lt;Assumptions!$B$19,Assumptions!$B$18,Assumptions!$B$18*Assumptions!$B$20*Assumptions!$B$16)</f>
        <v>-0.6166669500000002</v>
      </c>
      <c r="S6" s="23">
        <f>-IF(S3-2026&lt;Assumptions!$B$19,Assumptions!$B$18,Assumptions!$B$18*Assumptions!$B$20*Assumptions!$B$16)</f>
        <v>-0.6166669500000002</v>
      </c>
      <c r="T6" s="23">
        <f>-IF(T3-2026&lt;Assumptions!$B$19,Assumptions!$B$18,Assumptions!$B$18*Assumptions!$B$20*Assumptions!$B$16)</f>
        <v>-0.6166669500000002</v>
      </c>
      <c r="U6" s="23">
        <f>-IF(U3-2026&lt;Assumptions!$B$19,Assumptions!$B$18,Assumptions!$B$18*Assumptions!$B$20*Assumptions!$B$16)</f>
        <v>-0.6166669500000002</v>
      </c>
      <c r="V6" s="23">
        <f>-IF(V3-2026&lt;Assumptions!$B$19,Assumptions!$B$18,Assumptions!$B$18*Assumptions!$B$20*Assumptions!$B$16)</f>
        <v>-0.6166669500000002</v>
      </c>
    </row>
    <row r="7">
      <c r="A7" s="14" t="inlineStr">
        <is>
          <t>Pre-tax cash flow</t>
        </is>
      </c>
      <c r="C7" s="23">
        <f>C5+C6</f>
        <v>-19.301</v>
      </c>
      <c r="D7" s="23">
        <f>D5+D6</f>
        <v>-19.301</v>
      </c>
      <c r="E7" s="23">
        <f>E5+E6</f>
        <v>-19.301</v>
      </c>
      <c r="F7" s="23">
        <f>F5+F6</f>
        <v>-19.301</v>
      </c>
      <c r="G7" s="23">
        <f>G5+G6</f>
        <v>-0.6166669500000002</v>
      </c>
      <c r="H7" s="23">
        <f>H5+H6</f>
        <v>-0.6166669500000002</v>
      </c>
      <c r="I7" s="23">
        <f>I5+I6</f>
        <v>-0.6166669500000002</v>
      </c>
      <c r="J7" s="23">
        <f>J5+J6</f>
        <v>12.16333305</v>
      </c>
      <c r="K7" s="23">
        <f>K5+K6</f>
        <v>31.333333050000004</v>
      </c>
      <c r="L7" s="23">
        <f>L5+L6</f>
        <v>56.89333305</v>
      </c>
      <c r="M7" s="23">
        <f>M5+M6</f>
        <v>82.45333305</v>
      </c>
      <c r="N7" s="23">
        <f>N5+N6</f>
        <v>108.01333305</v>
      </c>
      <c r="O7" s="23">
        <f>O5+O6</f>
        <v>127.18333305000002</v>
      </c>
      <c r="P7" s="23">
        <f>P5+P6</f>
        <v>127.18333305000002</v>
      </c>
      <c r="Q7" s="23">
        <f>Q5+Q6</f>
        <v>127.18333305000002</v>
      </c>
      <c r="R7" s="23">
        <f>R5+R6</f>
        <v>127.18333305000002</v>
      </c>
      <c r="S7" s="23">
        <f>S5+S6</f>
        <v>127.18333305000002</v>
      </c>
      <c r="T7" s="23">
        <f>T5+T6</f>
        <v>127.18333305000002</v>
      </c>
      <c r="U7" s="23">
        <f>U5+U6</f>
        <v>127.18333305000002</v>
      </c>
      <c r="V7" s="23">
        <f>V5+V6</f>
        <v>127.18333305000002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0</v>
      </c>
      <c r="J8" s="23">
        <f>MIN(I17,MAX(0,J7))</f>
        <v>12.16333305</v>
      </c>
      <c r="K8" s="23">
        <f>MIN(J17,MAX(0,K7))</f>
        <v>31.333333050000004</v>
      </c>
      <c r="L8" s="23">
        <f>MIN(K17,MAX(0,L7))</f>
        <v>56.89333305</v>
      </c>
      <c r="M8" s="23">
        <f>MIN(L17,MAX(0,M7))</f>
        <v>82.45333305</v>
      </c>
      <c r="N8" s="23">
        <f>MIN(M17,MAX(0,N7))</f>
        <v>108.01333305</v>
      </c>
      <c r="O8" s="23">
        <f>MIN(N17,MAX(0,O7))</f>
        <v>2.097335600000065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125.08599744999995</v>
      </c>
      <c r="P9" s="23">
        <f>MAX(0,P7)-P8</f>
        <v>127.18333305000002</v>
      </c>
      <c r="Q9" s="23">
        <f>MAX(0,Q7)-Q8</f>
        <v>127.18333305000002</v>
      </c>
      <c r="R9" s="23">
        <f>MAX(0,R7)-R8</f>
        <v>127.18333305000002</v>
      </c>
      <c r="S9" s="23">
        <f>MAX(0,S7)-S8</f>
        <v>127.18333305000002</v>
      </c>
      <c r="T9" s="23">
        <f>MAX(0,T7)-T8</f>
        <v>127.18333305000002</v>
      </c>
      <c r="U9" s="23">
        <f>MAX(0,U7)-U8</f>
        <v>127.18333305000002</v>
      </c>
      <c r="V9" s="23">
        <f>MAX(0,V7)-V8</f>
        <v>127.18333305000002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26.268059464499988</v>
      </c>
      <c r="P10" s="23">
        <f>P9*Assumptions!$E$15</f>
        <v>26.7084999405</v>
      </c>
      <c r="Q10" s="23">
        <f>Q9*Assumptions!$E$15</f>
        <v>26.7084999405</v>
      </c>
      <c r="R10" s="23">
        <f>R9*Assumptions!$E$15</f>
        <v>26.7084999405</v>
      </c>
      <c r="S10" s="23">
        <f>S9*Assumptions!$E$15</f>
        <v>26.7084999405</v>
      </c>
      <c r="T10" s="23">
        <f>T9*Assumptions!$E$15</f>
        <v>26.7084999405</v>
      </c>
      <c r="U10" s="23">
        <f>U9*Assumptions!$E$15</f>
        <v>26.7084999405</v>
      </c>
      <c r="V10" s="23">
        <f>V9*Assumptions!$E$15</f>
        <v>26.7084999405</v>
      </c>
    </row>
    <row r="11">
      <c r="A11" s="24" t="inlineStr">
        <is>
          <t>Free cash flow</t>
        </is>
      </c>
      <c r="C11" s="55">
        <f>C7-C10</f>
        <v>-19.301</v>
      </c>
      <c r="D11" s="55">
        <f>D7-D10</f>
        <v>-19.301</v>
      </c>
      <c r="E11" s="55">
        <f>E7-E10</f>
        <v>-19.301</v>
      </c>
      <c r="F11" s="55">
        <f>F7-F10</f>
        <v>-19.301</v>
      </c>
      <c r="G11" s="55">
        <f>G7-G10</f>
        <v>-0.6166669500000002</v>
      </c>
      <c r="H11" s="55">
        <f>H7-H10</f>
        <v>-0.6166669500000002</v>
      </c>
      <c r="I11" s="55">
        <f>I7-I10</f>
        <v>-0.6166669500000002</v>
      </c>
      <c r="J11" s="55">
        <f>J7-J10</f>
        <v>12.16333305</v>
      </c>
      <c r="K11" s="55">
        <f>K7-K10</f>
        <v>31.333333050000004</v>
      </c>
      <c r="L11" s="55">
        <f>L7-L10</f>
        <v>56.89333305</v>
      </c>
      <c r="M11" s="55">
        <f>M7-M10</f>
        <v>82.45333305</v>
      </c>
      <c r="N11" s="55">
        <f>N7-N10</f>
        <v>108.01333305</v>
      </c>
      <c r="O11" s="55">
        <f>O7-O10</f>
        <v>100.91527358550003</v>
      </c>
      <c r="P11" s="55">
        <f>P7-P10</f>
        <v>100.47483310950001</v>
      </c>
      <c r="Q11" s="55">
        <f>Q7-Q10</f>
        <v>100.47483310950001</v>
      </c>
      <c r="R11" s="55">
        <f>R7-R10</f>
        <v>100.47483310950001</v>
      </c>
      <c r="S11" s="55">
        <f>S7-S10</f>
        <v>100.47483310950001</v>
      </c>
      <c r="T11" s="55">
        <f>T7-T10</f>
        <v>100.47483310950001</v>
      </c>
      <c r="U11" s="55">
        <f>U7-U10</f>
        <v>100.47483310950001</v>
      </c>
      <c r="V11" s="55">
        <f>V7-V10</f>
        <v>100.47483310950001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-9.455643840331975</v>
      </c>
      <c r="D16" s="55">
        <f>D11*D15</f>
        <v>-17.225030285427906</v>
      </c>
      <c r="E16" s="55">
        <f>E11*E15</f>
        <v>-15.379491326274911</v>
      </c>
      <c r="F16" s="55">
        <f>F11*F15</f>
        <v>-13.731688684174028</v>
      </c>
      <c r="G16" s="55">
        <f>G11*G15</f>
        <v>-0.39172094058871454</v>
      </c>
      <c r="H16" s="55">
        <f>H11*H15</f>
        <v>-0.34975083981135224</v>
      </c>
      <c r="I16" s="55">
        <f>I11*I15</f>
        <v>-0.31227753554585014</v>
      </c>
      <c r="J16" s="55">
        <f>J11*J15</f>
        <v>5.499518229290931</v>
      </c>
      <c r="K16" s="55">
        <f>K11*K15</f>
        <v>12.649128942389494</v>
      </c>
      <c r="L16" s="55">
        <f>L11*L15</f>
        <v>20.506775614150165</v>
      </c>
      <c r="M16" s="55">
        <f>M11*M15</f>
        <v>26.53543401889897</v>
      </c>
      <c r="N16" s="55">
        <f>N11*N15</f>
        <v>31.036827637263656</v>
      </c>
      <c r="O16" s="55">
        <f>O11*O15</f>
        <v>25.89040451732446</v>
      </c>
      <c r="P16" s="55">
        <f>P11*P15</f>
        <v>23.015541904881534</v>
      </c>
      <c r="Q16" s="55">
        <f>Q11*Q15</f>
        <v>20.549590986501368</v>
      </c>
      <c r="R16" s="55">
        <f>R11*R15</f>
        <v>18.347849095090506</v>
      </c>
      <c r="S16" s="55">
        <f>S11*S15</f>
        <v>16.382008120616522</v>
      </c>
      <c r="T16" s="55">
        <f>T11*T15</f>
        <v>14.626792964836179</v>
      </c>
      <c r="U16" s="55">
        <f>U11*U15</f>
        <v>13.059636575746588</v>
      </c>
      <c r="V16" s="55">
        <f>V11*V15</f>
        <v>11.660389799773736</v>
      </c>
    </row>
    <row r="17">
      <c r="A17" s="14" t="inlineStr">
        <is>
          <t>Tax-loss carryforward, end of year</t>
        </is>
      </c>
      <c r="C17" s="23">
        <f>Assumptions!$B$21-C8+MAX(0,-C7)</f>
        <v>233.201</v>
      </c>
      <c r="D17" s="23">
        <f>C17-D8+MAX(0,-D7)</f>
        <v>252.50199999999998</v>
      </c>
      <c r="E17" s="23">
        <f>D17-E8+MAX(0,-E7)</f>
        <v>271.803</v>
      </c>
      <c r="F17" s="23">
        <f>E17-F8+MAX(0,-F7)</f>
        <v>291.104</v>
      </c>
      <c r="G17" s="23">
        <f>F17-G8+MAX(0,-G7)</f>
        <v>291.72066695</v>
      </c>
      <c r="H17" s="23">
        <f>G17-H8+MAX(0,-H7)</f>
        <v>292.33733390000003</v>
      </c>
      <c r="I17" s="23">
        <f>H17-I8+MAX(0,-I7)</f>
        <v>292.95400085000006</v>
      </c>
      <c r="J17" s="23">
        <f>I17-J8+MAX(0,-J7)</f>
        <v>280.79066780000005</v>
      </c>
      <c r="K17" s="23">
        <f>J17-K8+MAX(0,-K7)</f>
        <v>249.45733475000006</v>
      </c>
      <c r="L17" s="23">
        <f>K17-L8+MAX(0,-L7)</f>
        <v>192.56400170000006</v>
      </c>
      <c r="M17" s="23">
        <f>L17-M8+MAX(0,-M7)</f>
        <v>110.11066865000006</v>
      </c>
      <c r="N17" s="23">
        <f>M17-N8+MAX(0,-N7)</f>
        <v>2.097335600000065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279.7769261852459</v>
      </c>
    </row>
    <row r="20">
      <c r="A20" s="14" t="inlineStr">
        <is>
          <t>PV of corporate burn</t>
        </is>
      </c>
      <c r="B20" s="23">
        <f>SUMPRODUCT(C6:V6,C15:V15)</f>
        <v>-58.85153332083304</v>
      </c>
    </row>
    <row r="21">
      <c r="A21" s="14" t="inlineStr">
        <is>
          <t>PV of taxes</t>
        </is>
      </c>
      <c r="B21" s="23">
        <f>-SUMPRODUCT(C10:V10,C15:V15)</f>
        <v>-38.01109790980348</v>
      </c>
    </row>
    <row r="22">
      <c r="A22" s="24" t="inlineStr">
        <is>
          <t>Pipeline rNPV (operations)</t>
        </is>
      </c>
      <c r="B22" s="54">
        <f>SUM(C16:V16)</f>
        <v>182.91429495460935</v>
      </c>
    </row>
    <row r="23">
      <c r="A23" s="14" t="inlineStr">
        <is>
          <t>Cash &amp; investments</t>
        </is>
      </c>
      <c r="B23" s="57">
        <f>Main!C7</f>
        <v>57.164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240.07829495460936</v>
      </c>
    </row>
    <row r="26">
      <c r="A26" s="14" t="inlineStr">
        <is>
          <t>Shares (mm)</t>
        </is>
      </c>
      <c r="B26" s="57">
        <f>Main!C4</f>
        <v>63.408082</v>
      </c>
    </row>
    <row r="27">
      <c r="A27" s="24" t="inlineStr">
        <is>
          <t>rNPV / share</t>
        </is>
      </c>
      <c r="B27" s="60">
        <f>B25/B26</f>
        <v>3.7862412390049798</v>
      </c>
    </row>
    <row r="28">
      <c r="A28" s="14" t="inlineStr">
        <is>
          <t>Price</t>
        </is>
      </c>
      <c r="B28" s="61">
        <f>Main!C3</f>
        <v>1.38</v>
      </c>
    </row>
    <row r="29">
      <c r="A29" s="14" t="inlineStr">
        <is>
          <t>Upside</t>
        </is>
      </c>
      <c r="B29" s="62">
        <f>B27/B28-1</f>
        <v>1.743653071742739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2026-10-21T06:28:32Z</dcterms:modified>
  <cp:lastModifiedBy>Wang, Eric</cp:lastModifiedBy>
</cp:coreProperties>
</file>