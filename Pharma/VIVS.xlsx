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VivoSim Labs Inc</t>
        </is>
      </c>
      <c r="C2" s="10" t="n"/>
    </row>
    <row r="3">
      <c r="B3" t="inlineStr">
        <is>
          <t>Price</t>
        </is>
      </c>
      <c r="C3" s="11">
        <f>INDEX([1]Pharma!$F$1:$F$1000,MATCH("VIVS",[1]Pharma!$B$1:$B$1000,0))</f>
        <v>0.1713</v>
      </c>
      <c r="F3" s="1" t="n"/>
    </row>
    <row r="4">
      <c r="B4" t="inlineStr">
        <is>
          <t>Shares</t>
        </is>
      </c>
      <c r="C4" s="21" t="n">
        <v>14.850612</v>
      </c>
      <c r="F4" s="1" t="n"/>
    </row>
    <row r="5">
      <c r="B5" t="inlineStr">
        <is>
          <t>Market Cap.</t>
        </is>
      </c>
      <c r="C5" s="13">
        <f>C3*C4</f>
        <v>2.5439098356</v>
      </c>
      <c r="F5" s="1" t="n"/>
    </row>
    <row r="6"/>
    <row r="7">
      <c r="B7" t="inlineStr">
        <is>
          <t>Cash</t>
        </is>
      </c>
      <c r="C7" s="21" t="n">
        <v>1.67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0.8739098356000001</v>
      </c>
    </row>
    <row r="10"/>
    <row r="11">
      <c r="B11" s="14" t="inlineStr">
        <is>
          <t>Net Cash / Share</t>
        </is>
      </c>
      <c r="C11" s="11">
        <f>(C7-C8)/C4</f>
        <v>0.11245327801978801</v>
      </c>
    </row>
    <row r="12">
      <c r="B12" s="14" t="inlineStr">
        <is>
          <t>Upside</t>
        </is>
      </c>
      <c r="C12" s="15">
        <f>IFERROR(C11/C3-1,"")</f>
        <v>-0.34353019252896666</v>
      </c>
    </row>
    <row r="13">
      <c r="B13" s="14" t="inlineStr">
        <is>
          <t>Cash / Share</t>
        </is>
      </c>
      <c r="C13" s="11">
        <f>IFERROR((C7-C8)/C4,"")</f>
        <v>0.11245327801978801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0.16534653465346535</v>
      </c>
    </row>
    <row r="19">
      <c r="B19" s="14" t="inlineStr">
        <is>
          <t>Implied Pipeline Value</t>
        </is>
      </c>
      <c r="C19" s="13">
        <f>C9</f>
        <v>0.8739098356000001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2009</v>
      </c>
      <c r="D1" s="17" t="n">
        <v>2010</v>
      </c>
      <c r="E1" s="17" t="n">
        <v>2011</v>
      </c>
      <c r="F1" s="17" t="n">
        <v>2012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17" t="n">
        <v>2026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0.603</v>
      </c>
      <c r="E2" s="23" t="n">
        <v>0.969</v>
      </c>
      <c r="F2" s="23" t="n">
        <v>1.197</v>
      </c>
      <c r="G2" s="23" t="n">
        <v>0.379</v>
      </c>
      <c r="H2" s="23" t="n">
        <v>0.571</v>
      </c>
      <c r="I2" s="23" t="n">
        <v>1.483</v>
      </c>
      <c r="J2" s="23" t="n">
        <v>4.23</v>
      </c>
      <c r="K2" s="23" t="n">
        <v>4.603</v>
      </c>
      <c r="L2" s="23" t="n">
        <v>3.091</v>
      </c>
      <c r="M2" s="23" t="n">
        <v>2.196</v>
      </c>
      <c r="N2" s="23" t="n">
        <v>0</v>
      </c>
      <c r="O2" s="23" t="n">
        <v>1.5</v>
      </c>
      <c r="P2" s="23" t="n">
        <v>0.37</v>
      </c>
      <c r="Q2" s="23" t="n">
        <v>0.109</v>
      </c>
      <c r="R2" s="23" t="n">
        <v>0.144</v>
      </c>
      <c r="S2" s="23" t="n">
        <v>0.131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0.121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0.956</v>
      </c>
      <c r="K3" s="23" t="n">
        <v>1.03</v>
      </c>
      <c r="L3" s="23" t="n">
        <v>0.5</v>
      </c>
      <c r="M3" s="23" t="n">
        <v>0.328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0.005</v>
      </c>
      <c r="S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0.603</v>
      </c>
      <c r="E4" s="23">
        <f>E2-E3</f>
        <v>0.848</v>
      </c>
      <c r="F4" s="23">
        <f>F2-F3</f>
        <v>1.197</v>
      </c>
      <c r="G4" s="23">
        <f>G2-G3</f>
        <v>0.379</v>
      </c>
      <c r="H4" s="23">
        <f>H2-H3</f>
        <v>0.571</v>
      </c>
      <c r="I4" s="23">
        <f>I2-I3</f>
        <v>1.483</v>
      </c>
      <c r="J4" s="23">
        <f>J2-J3</f>
        <v>3.2740000000000005</v>
      </c>
      <c r="K4" s="23">
        <f>K2-K3</f>
        <v>3.5729999999999995</v>
      </c>
      <c r="L4" s="23">
        <f>L2-L3</f>
        <v>2.591</v>
      </c>
      <c r="M4" s="23">
        <f>M2-M3</f>
        <v>1.868</v>
      </c>
      <c r="N4" s="23">
        <f>N2-N3</f>
        <v>0.0</v>
      </c>
      <c r="O4" s="23">
        <f>O2-O3</f>
        <v>1.5</v>
      </c>
      <c r="P4" s="23">
        <f>P2-P3</f>
        <v>0.37</v>
      </c>
      <c r="Q4" s="23">
        <f>Q2-Q3</f>
        <v>0.109</v>
      </c>
      <c r="R4" s="23">
        <f>R2-R3</f>
        <v>0.13899999999999998</v>
      </c>
      <c r="S4" s="23">
        <f>S2-S3</f>
        <v>0.131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1.203</v>
      </c>
      <c r="E5" s="23" t="n">
        <v>1.42</v>
      </c>
      <c r="F5" s="23" t="n">
        <v>3.436</v>
      </c>
      <c r="G5" s="23" t="n">
        <v>7.974</v>
      </c>
      <c r="H5" s="23" t="n">
        <v>12.921</v>
      </c>
      <c r="I5" s="23" t="n">
        <v>18.008</v>
      </c>
      <c r="J5" s="23" t="n">
        <v>19.545</v>
      </c>
      <c r="K5" s="23" t="n">
        <v>17.956</v>
      </c>
      <c r="L5" s="23" t="n">
        <v>14.752</v>
      </c>
      <c r="M5" s="23" t="n">
        <v>5.284</v>
      </c>
      <c r="N5" s="23" t="n">
        <v>1.103</v>
      </c>
      <c r="O5" s="23" t="n">
        <v>3.32</v>
      </c>
      <c r="P5" s="23" t="n">
        <v>8.885</v>
      </c>
      <c r="Q5" s="23" t="n">
        <v>5.498</v>
      </c>
      <c r="R5" s="23" t="n">
        <v>5.025</v>
      </c>
      <c r="S5" s="23" t="n">
        <v>4.189</v>
      </c>
    </row>
    <row r="6">
      <c r="A6" s="19" t="inlineStr">
        <is>
          <t>SG&amp;A &amp; Other</t>
        </is>
      </c>
      <c r="B6" s="23" t="n">
        <v>0.098</v>
      </c>
      <c r="C6" s="23" t="n">
        <v>0.872</v>
      </c>
      <c r="D6" s="23" t="n">
        <v>0.578</v>
      </c>
      <c r="E6" s="23" t="n">
        <v>1.733</v>
      </c>
      <c r="F6" s="23" t="n">
        <v>7.08</v>
      </c>
      <c r="G6" s="23" t="n">
        <v>13.054</v>
      </c>
      <c r="H6" s="23" t="n">
        <v>17.947</v>
      </c>
      <c r="I6" s="23" t="n">
        <v>22.118</v>
      </c>
      <c r="J6" s="23" t="n">
        <v>22.304</v>
      </c>
      <c r="K6" s="23" t="n">
        <v>20.888</v>
      </c>
      <c r="L6" s="23" t="n">
        <v>15.113</v>
      </c>
      <c r="M6" s="23" t="n">
        <v>18.059</v>
      </c>
      <c r="N6" s="23" t="n">
        <v>15.723</v>
      </c>
      <c r="O6" s="23" t="n">
        <v>9.659000000000001</v>
      </c>
      <c r="P6" s="23" t="n">
        <v>9.215999999999999</v>
      </c>
      <c r="Q6" s="23" t="n">
        <v>9.696999999999999</v>
      </c>
      <c r="R6" s="23" t="n">
        <v>7.73</v>
      </c>
      <c r="S6" s="23" t="n">
        <v>7.429</v>
      </c>
    </row>
    <row r="7">
      <c r="A7" s="2" t="inlineStr">
        <is>
          <t>Operating Expense</t>
        </is>
      </c>
      <c r="B7" s="23">
        <f>SUM(B5:B6)</f>
        <v>0.098</v>
      </c>
      <c r="C7" s="23">
        <f>SUM(C5:C6)</f>
        <v>0.872</v>
      </c>
      <c r="D7" s="23">
        <f>SUM(D5:D6)</f>
        <v>1.7810000000000001</v>
      </c>
      <c r="E7" s="23">
        <f>SUM(E5:E6)</f>
        <v>3.153</v>
      </c>
      <c r="F7" s="23">
        <f>SUM(F5:F6)</f>
        <v>10.516</v>
      </c>
      <c r="G7" s="23">
        <f>SUM(G5:G6)</f>
        <v>21.028</v>
      </c>
      <c r="H7" s="23">
        <f>SUM(H5:H6)</f>
        <v>30.868</v>
      </c>
      <c r="I7" s="23">
        <f>SUM(I5:I6)</f>
        <v>40.126</v>
      </c>
      <c r="J7" s="23">
        <f>SUM(J5:J6)</f>
        <v>41.849000000000004</v>
      </c>
      <c r="K7" s="23">
        <f>SUM(K5:K6)</f>
        <v>38.844</v>
      </c>
      <c r="L7" s="23">
        <f>SUM(L5:L6)</f>
        <v>29.865000000000002</v>
      </c>
      <c r="M7" s="23">
        <f>SUM(M5:M6)</f>
        <v>23.343</v>
      </c>
      <c r="N7" s="23">
        <f>SUM(N5:N6)</f>
        <v>16.826</v>
      </c>
      <c r="O7" s="23">
        <f>SUM(O5:O6)</f>
        <v>12.979000000000001</v>
      </c>
      <c r="P7" s="23">
        <f>SUM(P5:P6)</f>
        <v>18.101</v>
      </c>
      <c r="Q7" s="23">
        <f>SUM(Q5:Q6)</f>
        <v>15.195</v>
      </c>
      <c r="R7" s="23">
        <f>SUM(R5:R6)</f>
        <v>12.755</v>
      </c>
      <c r="S7" s="23">
        <f>SUM(S5:S6)</f>
        <v>11.618</v>
      </c>
    </row>
    <row r="8">
      <c r="A8" s="2" t="inlineStr">
        <is>
          <t>Operating Income</t>
        </is>
      </c>
      <c r="B8" s="23">
        <f>B4-B7</f>
        <v>-0.098</v>
      </c>
      <c r="C8" s="23">
        <f>C4-C7</f>
        <v>-0.872</v>
      </c>
      <c r="D8" s="23">
        <f>D4-D7</f>
        <v>-1.1780000000000002</v>
      </c>
      <c r="E8" s="23">
        <f>E4-E7</f>
        <v>-2.305</v>
      </c>
      <c r="F8" s="23">
        <f>F4-F7</f>
        <v>-9.318999999999999</v>
      </c>
      <c r="G8" s="23">
        <f>G4-G7</f>
        <v>-20.648999999999997</v>
      </c>
      <c r="H8" s="23">
        <f>H4-H7</f>
        <v>-30.296999999999997</v>
      </c>
      <c r="I8" s="23">
        <f>I4-I7</f>
        <v>-38.643</v>
      </c>
      <c r="J8" s="23">
        <f>J4-J7</f>
        <v>-38.575</v>
      </c>
      <c r="K8" s="23">
        <f>K4-K7</f>
        <v>-35.271</v>
      </c>
      <c r="L8" s="23">
        <f>L4-L7</f>
        <v>-27.274</v>
      </c>
      <c r="M8" s="23">
        <f>M4-M7</f>
        <v>-21.475</v>
      </c>
      <c r="N8" s="23">
        <f>N4-N7</f>
        <v>-16.826</v>
      </c>
      <c r="O8" s="23">
        <f>O4-O7</f>
        <v>-11.479000000000001</v>
      </c>
      <c r="P8" s="23">
        <f>P4-P7</f>
        <v>-17.730999999999998</v>
      </c>
      <c r="Q8" s="23">
        <f>Q4-Q7</f>
        <v>-15.086</v>
      </c>
      <c r="R8" s="23">
        <f>R4-R7</f>
        <v>-12.616000000000001</v>
      </c>
      <c r="S8" s="23">
        <f>S4-S7</f>
        <v>-11.487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-0.161</v>
      </c>
      <c r="E9" s="23" t="n">
        <v>-2.078</v>
      </c>
      <c r="F9" s="23" t="n">
        <v>-34.234</v>
      </c>
      <c r="G9" s="23" t="n">
        <v>-5.199</v>
      </c>
      <c r="H9" s="23" t="n">
        <v>0.215</v>
      </c>
      <c r="I9" s="23" t="n">
        <v>0.07099999999999999</v>
      </c>
      <c r="J9" s="23" t="n">
        <v>0.151</v>
      </c>
      <c r="K9" s="23" t="n">
        <v>0.47</v>
      </c>
      <c r="L9" s="23" t="n">
        <v>0.642</v>
      </c>
      <c r="M9" s="23" t="n">
        <v>2.767</v>
      </c>
      <c r="N9" s="23" t="n">
        <v>0.002</v>
      </c>
      <c r="O9" s="23" t="n">
        <v>0.033</v>
      </c>
      <c r="P9" s="23" t="n">
        <v>0.474</v>
      </c>
      <c r="Q9" s="23" t="n">
        <v>0.417</v>
      </c>
      <c r="R9" s="23" t="n">
        <v>10.13</v>
      </c>
      <c r="S9" s="23" t="n">
        <v>-2.354</v>
      </c>
    </row>
    <row r="10">
      <c r="A10" s="2" t="inlineStr">
        <is>
          <t>Pretax</t>
        </is>
      </c>
      <c r="B10" s="23">
        <f>B8+B9</f>
        <v>-0.098</v>
      </c>
      <c r="C10" s="23">
        <f>C8+C9</f>
        <v>-0.872</v>
      </c>
      <c r="D10" s="23">
        <f>D8+D9</f>
        <v>-1.3390000000000002</v>
      </c>
      <c r="E10" s="23">
        <f>E8+E9</f>
        <v>-4.383</v>
      </c>
      <c r="F10" s="23">
        <f>F8+F9</f>
        <v>-43.553</v>
      </c>
      <c r="G10" s="23">
        <f>G8+G9</f>
        <v>-25.848</v>
      </c>
      <c r="H10" s="23">
        <f>H8+H9</f>
        <v>-30.081999999999997</v>
      </c>
      <c r="I10" s="23">
        <f>I8+I9</f>
        <v>-38.572</v>
      </c>
      <c r="J10" s="23">
        <f>J8+J9</f>
        <v>-38.424</v>
      </c>
      <c r="K10" s="23">
        <f>K8+K9</f>
        <v>-34.801</v>
      </c>
      <c r="L10" s="23">
        <f>L8+L9</f>
        <v>-26.632</v>
      </c>
      <c r="M10" s="23">
        <f>M8+M9</f>
        <v>-18.708000000000002</v>
      </c>
      <c r="N10" s="23">
        <f>N8+N9</f>
        <v>-16.824</v>
      </c>
      <c r="O10" s="23">
        <f>O8+O9</f>
        <v>-11.446000000000002</v>
      </c>
      <c r="P10" s="23">
        <f>P8+P9</f>
        <v>-17.256999999999998</v>
      </c>
      <c r="Q10" s="23">
        <f>Q8+Q9</f>
        <v>-14.669</v>
      </c>
      <c r="R10" s="23">
        <f>R8+R9</f>
        <v>-2.4860000000000007</v>
      </c>
      <c r="S10" s="23">
        <f>S8+S9</f>
        <v>-13.841000000000001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0.003</v>
      </c>
      <c r="J11" s="23" t="n">
        <v>0.023</v>
      </c>
      <c r="K11" s="23" t="n">
        <v>0.002</v>
      </c>
      <c r="L11" s="23" t="n">
        <v>0.003</v>
      </c>
      <c r="M11" s="23" t="n">
        <v>0.002</v>
      </c>
      <c r="N11" s="23" t="n">
        <v>0.002</v>
      </c>
      <c r="O11" s="23" t="n">
        <v>0.002</v>
      </c>
      <c r="P11" s="23" t="n">
        <v>0.002</v>
      </c>
      <c r="Q11" s="23" t="n">
        <v>0.002</v>
      </c>
      <c r="R11" s="23" t="n">
        <v>0.002</v>
      </c>
      <c r="S11" s="23" t="n">
        <v>0.002</v>
      </c>
    </row>
    <row r="12">
      <c r="A12" s="2" t="inlineStr">
        <is>
          <t>Net Income</t>
        </is>
      </c>
      <c r="B12" s="23" t="n">
        <v>-0.098</v>
      </c>
      <c r="C12" s="23" t="n">
        <v>-0.872</v>
      </c>
      <c r="D12" s="23" t="n">
        <v>-1.339</v>
      </c>
      <c r="E12" s="23" t="n">
        <v>-4.383</v>
      </c>
      <c r="F12" s="23" t="n">
        <v>-43.553</v>
      </c>
      <c r="G12" s="23" t="n">
        <v>-25.848</v>
      </c>
      <c r="H12" s="23" t="n">
        <v>-30.082</v>
      </c>
      <c r="I12" s="23" t="n">
        <v>-38.575</v>
      </c>
      <c r="J12" s="23" t="n">
        <v>-38.447</v>
      </c>
      <c r="K12" s="23" t="n">
        <v>-34.803</v>
      </c>
      <c r="L12" s="23" t="n">
        <v>-26.635</v>
      </c>
      <c r="M12" s="23" t="n">
        <v>-18.71</v>
      </c>
      <c r="N12" s="23" t="n">
        <v>-16.826</v>
      </c>
      <c r="O12" s="23" t="n">
        <v>-11.448</v>
      </c>
      <c r="P12" s="23" t="n">
        <v>-17.259</v>
      </c>
      <c r="Q12" s="23" t="n">
        <v>-14.671</v>
      </c>
      <c r="R12" s="23" t="n">
        <v>-2.488</v>
      </c>
      <c r="S12" s="23" t="n">
        <v>-13.843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-1.649014778325123</v>
      </c>
      <c r="E13" s="11">
        <f>IFERROR(E12/E14,0)</f>
        <v>-3.4403453689167973</v>
      </c>
      <c r="F13" s="11">
        <f>IFERROR(F12/F14,0)</f>
        <v>-18.16979557780559</v>
      </c>
      <c r="G13" s="11">
        <f>IFERROR(G12/G14,0)</f>
        <v>-6.361801624415457</v>
      </c>
      <c r="H13" s="11">
        <f>IFERROR(H12/H14,0)</f>
        <v>-6.798192090395481</v>
      </c>
      <c r="I13" s="11">
        <f>IFERROR(I12/I14,0)</f>
        <v>-7.71037377573456</v>
      </c>
      <c r="J13" s="11">
        <f>IFERROR(J12/J14,0)</f>
        <v>-7.079175105873689</v>
      </c>
      <c r="K13" s="11">
        <f>IFERROR(K12/K14,0)</f>
        <v>-5.841389728096676</v>
      </c>
      <c r="L13" s="11">
        <f>IFERROR(L12/L14,0)</f>
        <v>-4.1552262090483625</v>
      </c>
      <c r="M13" s="11">
        <f>IFERROR(M12/M14,0)</f>
        <v>-2.8882371102192037</v>
      </c>
      <c r="N13" s="11">
        <f>IFERROR(N12/N14,0)</f>
        <v>-2.437844103158505</v>
      </c>
      <c r="O13" s="11">
        <f>IFERROR(O12/O14,0)</f>
        <v>-1.3152573529411764</v>
      </c>
      <c r="P13" s="11">
        <f>IFERROR(P12/P14,0)</f>
        <v>-1.980833237690807</v>
      </c>
      <c r="Q13" s="11">
        <f>IFERROR(Q12/Q14,0)</f>
        <v>-19.253280839895012</v>
      </c>
      <c r="R13" s="11">
        <f>IFERROR(R12/R14,0)</f>
        <v>-1.6994535519125684</v>
      </c>
      <c r="S13" s="11">
        <f>IFERROR(S12/S14,0)</f>
        <v>-5.348918083462133</v>
      </c>
    </row>
    <row r="14">
      <c r="A14" s="2" t="inlineStr">
        <is>
          <t>Shares</t>
        </is>
      </c>
      <c r="B14" s="23" t="n"/>
      <c r="C14" s="23" t="n"/>
      <c r="D14" s="23" t="n">
        <v>0.8120000000000001</v>
      </c>
      <c r="E14" s="23" t="n">
        <v>1.274</v>
      </c>
      <c r="F14" s="23" t="n">
        <v>2.397</v>
      </c>
      <c r="G14" s="23" t="n">
        <v>4.063</v>
      </c>
      <c r="H14" s="23" t="n">
        <v>4.425</v>
      </c>
      <c r="I14" s="23" t="n">
        <v>5.003</v>
      </c>
      <c r="J14" s="23" t="n">
        <v>5.431</v>
      </c>
      <c r="K14" s="23" t="n">
        <v>5.958</v>
      </c>
      <c r="L14" s="23" t="n">
        <v>6.41</v>
      </c>
      <c r="M14" s="23" t="n">
        <v>6.478</v>
      </c>
      <c r="N14" s="23" t="n">
        <v>6.902</v>
      </c>
      <c r="O14" s="23" t="n">
        <v>8.704000000000001</v>
      </c>
      <c r="P14" s="23" t="n">
        <v>8.712999999999999</v>
      </c>
      <c r="Q14" s="23" t="n">
        <v>0.762</v>
      </c>
      <c r="R14" s="23" t="n">
        <v>1.464</v>
      </c>
      <c r="S14" s="23" t="n">
        <v>2.588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0.6069651741293531</v>
      </c>
      <c r="F16" s="15">
        <f>IFERROR(F2/E2-1,"")</f>
        <v>0.23529411764705888</v>
      </c>
      <c r="G16" s="15">
        <f>IFERROR(G2/F2-1,"")</f>
        <v>-0.6833751044277361</v>
      </c>
      <c r="H16" s="15">
        <f>IFERROR(H2/G2-1,"")</f>
        <v>0.5065963060686014</v>
      </c>
      <c r="I16" s="15">
        <f>IFERROR(I2/H2-1,"")</f>
        <v>1.5971978984238184</v>
      </c>
      <c r="J16" s="15">
        <f>IFERROR(J2/I2-1,"")</f>
        <v>1.8523263654753879</v>
      </c>
      <c r="K16" s="15">
        <f>IFERROR(K2/J2-1,"")</f>
        <v>0.0881796690307326</v>
      </c>
      <c r="L16" s="15">
        <f>IFERROR(L2/K2-1,"")</f>
        <v>-0.3284814251575059</v>
      </c>
      <c r="M16" s="15">
        <f>IFERROR(M2/L2-1,"")</f>
        <v>-0.28955030734390164</v>
      </c>
      <c r="N16" s="15">
        <f>IFERROR(N2/M2-1,"")</f>
        <v>-1.0</v>
      </c>
      <c r="O16" s="15">
        <f>IFERROR(O2/N2-1,"")</f>
        <v/>
      </c>
      <c r="P16" s="15">
        <f>IFERROR(P2/O2-1,"")</f>
        <v>-0.7533333333333333</v>
      </c>
      <c r="Q16" s="15">
        <f>IFERROR(Q2/P2-1,"")</f>
        <v>-0.7054054054054054</v>
      </c>
      <c r="R16" s="15">
        <f>IFERROR(R2/Q2-1,"")</f>
        <v>0.3211009174311925</v>
      </c>
      <c r="S16" s="15">
        <f>IFERROR(S2/R2-1,"")</f>
        <v>-0.09027777777777768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0.8751289989680082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0.7739952718676123</v>
      </c>
      <c r="K17" s="15">
        <f>IFERROR(K4/K2,"")</f>
        <v>0.7762328915924397</v>
      </c>
      <c r="L17" s="15">
        <f>IFERROR(L4/L2,"")</f>
        <v>0.8382400517631834</v>
      </c>
      <c r="M17" s="15">
        <f>IFERROR(M4/M2,"")</f>
        <v>0.8506375227686703</v>
      </c>
      <c r="N17" s="15">
        <f>IFERROR(N4/N2,"")</f>
        <v/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0.9652777777777778</v>
      </c>
      <c r="S17" s="15">
        <f>IFERROR(S4/S2,"")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-1.9535655058043122</v>
      </c>
      <c r="E18" s="15">
        <f>IFERROR(E8/E2,"")</f>
        <v>-2.3787409700722395</v>
      </c>
      <c r="F18" s="15">
        <f>IFERROR(F8/F2,"")</f>
        <v>-7.785296574770258</v>
      </c>
      <c r="G18" s="15">
        <f>IFERROR(G8/G2,"")</f>
        <v>-54.48284960422163</v>
      </c>
      <c r="H18" s="15">
        <f>IFERROR(H8/H2,"")</f>
        <v>-53.05954465849387</v>
      </c>
      <c r="I18" s="15">
        <f>IFERROR(I8/I2,"")</f>
        <v>-26.057316250842884</v>
      </c>
      <c r="J18" s="15">
        <f>IFERROR(J8/J2,"")</f>
        <v>-9.119385342789597</v>
      </c>
      <c r="K18" s="15">
        <f>IFERROR(K8/K2,"")</f>
        <v>-7.662611340430155</v>
      </c>
      <c r="L18" s="15">
        <f>IFERROR(L8/L2,"")</f>
        <v>-8.82368165642187</v>
      </c>
      <c r="M18" s="15">
        <f>IFERROR(M8/M2,"")</f>
        <v>-9.779143897996358</v>
      </c>
      <c r="N18" s="15">
        <f>IFERROR(N8/N2,"")</f>
        <v/>
      </c>
      <c r="O18" s="15">
        <f>IFERROR(O8/O2,"")</f>
        <v>-7.652666666666668</v>
      </c>
      <c r="P18" s="15">
        <f>IFERROR(P8/P2,"")</f>
        <v>-47.92162162162162</v>
      </c>
      <c r="Q18" s="15">
        <f>IFERROR(Q8/Q2,"")</f>
        <v>-138.40366972477065</v>
      </c>
      <c r="R18" s="15">
        <f>IFERROR(R8/R2,"")</f>
        <v>-87.61111111111113</v>
      </c>
      <c r="S18" s="15">
        <f>IFERROR(S8/S2,"")</f>
        <v>-87.68702290076335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2026-10-21T06:31:39Z</dcterms:modified>
  <cp:lastModifiedBy>Wang, Eric</cp:lastModifiedBy>
</cp:coreProperties>
</file>