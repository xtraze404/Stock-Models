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ANI Pharmaceuticals, Inc.</t>
        </is>
      </c>
      <c r="C2" s="10" t="n"/>
    </row>
    <row r="3">
      <c r="B3" t="inlineStr">
        <is>
          <t>Price</t>
        </is>
      </c>
      <c r="C3" s="11">
        <f>INDEX([1]Pharma!$F$1:$F$1000,MATCH("ANIP",[1]Pharma!$B$1:$B$1000,0))</f>
        <v>72.67</v>
      </c>
      <c r="F3" s="1" t="n"/>
    </row>
    <row r="4">
      <c r="B4" t="inlineStr">
        <is>
          <t>Shares</t>
        </is>
      </c>
      <c r="C4" s="51" t="n">
        <v>22.970352</v>
      </c>
      <c r="F4" s="1" t="n"/>
    </row>
    <row r="5">
      <c r="B5" t="inlineStr">
        <is>
          <t>Market Cap.</t>
        </is>
      </c>
      <c r="C5" s="13">
        <f>C3*C4</f>
        <v>1669.25547984</v>
      </c>
      <c r="F5" s="1" t="n"/>
    </row>
    <row r="6"/>
    <row r="7">
      <c r="B7" t="inlineStr">
        <is>
          <t>Cash</t>
        </is>
      </c>
      <c r="C7" s="51" t="n">
        <v>360.212</v>
      </c>
    </row>
    <row r="8">
      <c r="B8" t="inlineStr">
        <is>
          <t>Debt</t>
        </is>
      </c>
      <c r="C8" s="51">
        <f>21.329+280.155</f>
        <v>301.484</v>
      </c>
    </row>
    <row r="9">
      <c r="B9" t="inlineStr">
        <is>
          <t>Enterprise V.</t>
        </is>
      </c>
      <c r="C9" s="13">
        <f>C5-C7+C8</f>
        <v>1610.5274798399998</v>
      </c>
    </row>
    <row r="10"/>
    <row r="11">
      <c r="B11" s="14" t="inlineStr">
        <is>
          <t>NPV / Share</t>
        </is>
      </c>
      <c r="C11" s="11">
        <f>NPV!B28</f>
        <v>158.06464336162114</v>
      </c>
    </row>
    <row r="12">
      <c r="B12" s="14" t="inlineStr">
        <is>
          <t>Upside</t>
        </is>
      </c>
      <c r="C12" s="15">
        <f>IFERROR(C11/C3-1,"")</f>
        <v>1.1751017388416285</v>
      </c>
    </row>
    <row r="13">
      <c r="B13" s="14" t="inlineStr">
        <is>
          <t>Cash / Share</t>
        </is>
      </c>
      <c r="C13" s="11">
        <f>IFERROR((C7-C8)/C4,"")</f>
        <v>2.5566869850318366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1.258</v>
      </c>
      <c r="C2" s="52" t="n">
        <v>2.474</v>
      </c>
      <c r="D2" s="52" t="n">
        <v>0.435</v>
      </c>
      <c r="E2" s="52" t="n">
        <v>20.371</v>
      </c>
      <c r="F2" s="52" t="n">
        <v>30.082</v>
      </c>
      <c r="G2" s="52" t="n">
        <v>55.97</v>
      </c>
      <c r="H2" s="52" t="n">
        <v>76.322</v>
      </c>
      <c r="I2" s="52" t="n">
        <v>128.622</v>
      </c>
      <c r="J2" s="52" t="n">
        <v>176.842</v>
      </c>
      <c r="K2" s="52" t="n">
        <v>201.576</v>
      </c>
      <c r="L2" s="52" t="n">
        <v>206.547</v>
      </c>
      <c r="M2" s="52" t="n">
        <v>208.475</v>
      </c>
      <c r="N2" s="52" t="n">
        <v>216.136</v>
      </c>
      <c r="O2" s="52" t="n">
        <v>316.385</v>
      </c>
      <c r="P2" s="52" t="n">
        <v>486.816</v>
      </c>
      <c r="Q2" s="52" t="n">
        <v>614.376</v>
      </c>
      <c r="R2" s="52" t="n">
        <v>883.366</v>
      </c>
      <c r="S2" s="52">
        <f>R2*(1+NPV!C5)</f>
        <v>1088.8369315999998</v>
      </c>
      <c r="T2" s="52">
        <f>S2*(1+NPV!D5)</f>
        <v>1316.9845633345865</v>
      </c>
      <c r="U2" s="52">
        <f>T2*(1+NPV!E5)</f>
        <v>1562.5582849110422</v>
      </c>
      <c r="V2" s="52">
        <f>U2*(1+NPV!F5)</f>
        <v>1817.8803086655064</v>
      </c>
      <c r="W2" s="52">
        <f>V2*(1+NPV!G5)</f>
        <v>2072.989511981566</v>
      </c>
      <c r="X2" s="52">
        <f>W2*(1+NPV!H5)</f>
        <v>2316.0820820866043</v>
      </c>
      <c r="Y2" s="52">
        <f>X2*(1+NPV!I5)</f>
        <v>2534.2570142191626</v>
      </c>
      <c r="Z2" s="52">
        <f>Y2*(1+NPV!J5)</f>
        <v>2714.527163163952</v>
      </c>
      <c r="AA2" s="52">
        <f>Z2*(1+NPV!K5)</f>
        <v>2845.005435473366</v>
      </c>
      <c r="AB2" s="52">
        <f>AA2*(1+NPV!L5)</f>
        <v>2916.1305713602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9.167</v>
      </c>
      <c r="F3" s="52" t="n">
        <v>9.974</v>
      </c>
      <c r="G3" s="52" t="n">
        <v>11.473</v>
      </c>
      <c r="H3" s="52" t="n">
        <v>12.692</v>
      </c>
      <c r="I3" s="52" t="n">
        <v>48.78</v>
      </c>
      <c r="J3" s="52" t="n">
        <v>79.032</v>
      </c>
      <c r="K3" s="52" t="n">
        <v>73.024</v>
      </c>
      <c r="L3" s="52" t="n">
        <v>63.154</v>
      </c>
      <c r="M3" s="52" t="n">
        <v>87.157</v>
      </c>
      <c r="N3" s="52" t="n">
        <v>100.61</v>
      </c>
      <c r="O3" s="52" t="n">
        <v>138.785</v>
      </c>
      <c r="P3" s="52" t="n">
        <v>181.513</v>
      </c>
      <c r="Q3" s="52" t="n">
        <v>250.21</v>
      </c>
      <c r="R3" s="52" t="n">
        <v>341.31</v>
      </c>
      <c r="S3" s="52">
        <f>S2*(1-Assumptions!$B$19)</f>
        <v>420.7265903702399</v>
      </c>
      <c r="T3" s="52">
        <f>T2*(1-Assumptions!$B$19)</f>
        <v>508.88283527248416</v>
      </c>
      <c r="U3" s="52">
        <f>U2*(1-Assumptions!$B$19)</f>
        <v>603.7725212896266</v>
      </c>
      <c r="V3" s="52">
        <f>V2*(1-Assumptions!$B$19)</f>
        <v>702.4289512683516</v>
      </c>
      <c r="W3" s="52">
        <f>W2*(1-Assumptions!$B$19)</f>
        <v>801.003147429677</v>
      </c>
      <c r="X3" s="52">
        <f>X2*(1-Assumptions!$B$19)</f>
        <v>894.9341165182637</v>
      </c>
      <c r="Y3" s="52">
        <f>Y2*(1-Assumptions!$B$19)</f>
        <v>979.2369102942844</v>
      </c>
      <c r="Z3" s="52">
        <f>Z2*(1-Assumptions!$B$19)</f>
        <v>1048.893295846551</v>
      </c>
      <c r="AA3" s="52">
        <f>AA2*(1-Assumptions!$B$19)</f>
        <v>1099.3101002669086</v>
      </c>
      <c r="AB3" s="52">
        <f>AB2*(1-Assumptions!$B$19)</f>
        <v>1126.7928527735812</v>
      </c>
    </row>
    <row r="4" customFormat="1" s="1">
      <c r="A4" s="5" t="inlineStr">
        <is>
          <t>Gross Margin</t>
        </is>
      </c>
      <c r="B4" s="52">
        <f>B2-B3</f>
        <v>1.258</v>
      </c>
      <c r="C4" s="52">
        <f>C2-C3</f>
        <v>2.474</v>
      </c>
      <c r="D4" s="52">
        <f>D2-D3</f>
        <v>0.435</v>
      </c>
      <c r="E4" s="52">
        <f>E2-E3</f>
        <v>11.203999999999999</v>
      </c>
      <c r="F4" s="52">
        <f>F2-F3</f>
        <v>20.108</v>
      </c>
      <c r="G4" s="52">
        <f>G2-G3</f>
        <v>44.497</v>
      </c>
      <c r="H4" s="52">
        <f>H2-H3</f>
        <v>63.63</v>
      </c>
      <c r="I4" s="52">
        <f>I2-I3</f>
        <v>79.84200000000001</v>
      </c>
      <c r="J4" s="52">
        <f>J2-J3</f>
        <v>97.81000000000002</v>
      </c>
      <c r="K4" s="52">
        <f>K2-K3</f>
        <v>128.552</v>
      </c>
      <c r="L4" s="52">
        <f>L2-L3</f>
        <v>143.393</v>
      </c>
      <c r="M4" s="52">
        <f>M2-M3</f>
        <v>121.318</v>
      </c>
      <c r="N4" s="52">
        <f>N2-N3</f>
        <v>115.526</v>
      </c>
      <c r="O4" s="52">
        <f>O2-O3</f>
        <v>177.6</v>
      </c>
      <c r="P4" s="52">
        <f>P2-P3</f>
        <v>305.303</v>
      </c>
      <c r="Q4" s="52">
        <f>Q2-Q3</f>
        <v>364.16599999999994</v>
      </c>
      <c r="R4" s="52">
        <f>R2-R3</f>
        <v>542.056</v>
      </c>
      <c r="S4" s="52">
        <f>S2-S3</f>
        <v>668.11034122976</v>
      </c>
      <c r="T4" s="52">
        <f>T2-T3</f>
        <v>808.1017280621023</v>
      </c>
      <c r="U4" s="52">
        <f>U2-U3</f>
        <v>958.7857636214155</v>
      </c>
      <c r="V4" s="52">
        <f>V2-V3</f>
        <v>1115.4513573971549</v>
      </c>
      <c r="W4" s="52">
        <f>W2-W3</f>
        <v>1271.986364551889</v>
      </c>
      <c r="X4" s="52">
        <f>X2-X3</f>
        <v>1421.1479655683406</v>
      </c>
      <c r="Y4" s="52">
        <f>Y2-Y3</f>
        <v>1555.0201039248782</v>
      </c>
      <c r="Z4" s="52">
        <f>Z2-Z3</f>
        <v>1665.6338673174012</v>
      </c>
      <c r="AA4" s="52">
        <f>AA2-AA3</f>
        <v>1745.6953352064575</v>
      </c>
      <c r="AB4" s="52">
        <f>AB2-AB3</f>
        <v>1789.3377185866188</v>
      </c>
    </row>
    <row r="5">
      <c r="A5" s="2" t="inlineStr">
        <is>
          <t>Research &amp; Dev.</t>
        </is>
      </c>
      <c r="B5" s="52" t="n">
        <v>13.681</v>
      </c>
      <c r="C5" s="52" t="n">
        <v>39.706</v>
      </c>
      <c r="D5" s="52" t="n">
        <v>44.182</v>
      </c>
      <c r="E5" s="52" t="n">
        <v>1.158</v>
      </c>
      <c r="F5" s="52" t="n">
        <v>1.712</v>
      </c>
      <c r="G5" s="52" t="n">
        <v>2.678</v>
      </c>
      <c r="H5" s="52" t="n">
        <v>2.874</v>
      </c>
      <c r="I5" s="52" t="n">
        <v>2.906</v>
      </c>
      <c r="J5" s="52" t="n">
        <v>9.07</v>
      </c>
      <c r="K5" s="52" t="n">
        <v>15.388</v>
      </c>
      <c r="L5" s="52" t="n">
        <v>19.806</v>
      </c>
      <c r="M5" s="52" t="n">
        <v>16.001</v>
      </c>
      <c r="N5" s="52" t="n">
        <v>11.369</v>
      </c>
      <c r="O5" s="52" t="n">
        <v>22.318</v>
      </c>
      <c r="P5" s="52" t="n">
        <v>34.286</v>
      </c>
      <c r="Q5" s="52" t="n">
        <v>44.581</v>
      </c>
      <c r="R5" s="52" t="n">
        <v>51.664</v>
      </c>
      <c r="S5" s="52">
        <f>S7*Assumptions!$B$20</f>
        <v>59.436203302958894</v>
      </c>
      <c r="T5" s="52">
        <f>T7*Assumptions!$B$20</f>
        <v>71.15896224216966</v>
      </c>
      <c r="U5" s="52">
        <f>U7*Assumptions!$B$20</f>
        <v>83.56030281631556</v>
      </c>
      <c r="V5" s="52">
        <f>V7*Assumptions!$B$20</f>
        <v>96.20488367558988</v>
      </c>
      <c r="W5" s="52">
        <f>W7*Assumptions!$B$20</f>
        <v>108.55484250601809</v>
      </c>
      <c r="X5" s="52">
        <f>X7*Assumptions!$B$20</f>
        <v>119.99896417842052</v>
      </c>
      <c r="Y5" s="52">
        <f>Y7*Assumptions!$B$20</f>
        <v>129.89600676792514</v>
      </c>
      <c r="Z5" s="52">
        <f>Z7*Assumptions!$B$20</f>
        <v>137.6290082502395</v>
      </c>
      <c r="AA5" s="52">
        <f>AA7*Assumptions!$B$20</f>
        <v>142.6650081310353</v>
      </c>
      <c r="AB5" s="52">
        <f>AB7*Assumptions!$B$20</f>
        <v>144.61278135731803</v>
      </c>
    </row>
    <row r="6">
      <c r="A6" s="18" t="inlineStr">
        <is>
          <t>SG&amp;A &amp; Other</t>
        </is>
      </c>
      <c r="B6" s="52" t="n">
        <v>35.003</v>
      </c>
      <c r="C6" s="52" t="n">
        <v>6.377</v>
      </c>
      <c r="D6" s="52" t="n">
        <v>7.18</v>
      </c>
      <c r="E6" s="52" t="n">
        <v>10.088</v>
      </c>
      <c r="F6" s="52" t="n">
        <v>17.498</v>
      </c>
      <c r="G6" s="52" t="n">
        <v>21.813</v>
      </c>
      <c r="H6" s="52" t="n">
        <v>28.056</v>
      </c>
      <c r="I6" s="52" t="n">
        <v>56.857</v>
      </c>
      <c r="J6" s="52" t="n">
        <v>60.411</v>
      </c>
      <c r="K6" s="52" t="n">
        <v>77.80500000000001</v>
      </c>
      <c r="L6" s="52" t="n">
        <v>107.236</v>
      </c>
      <c r="M6" s="52" t="n">
        <v>121.333</v>
      </c>
      <c r="N6" s="52" t="n">
        <v>143.95</v>
      </c>
      <c r="O6" s="52" t="n">
        <v>190.565</v>
      </c>
      <c r="P6" s="52" t="n">
        <v>224.046</v>
      </c>
      <c r="Q6" s="52" t="n">
        <v>319.001</v>
      </c>
      <c r="R6" s="52" t="n">
        <v>379.299</v>
      </c>
      <c r="S6" s="52">
        <f>S7-S5</f>
        <v>436.27858654657314</v>
      </c>
      <c r="T6" s="52">
        <f>T7-T5</f>
        <v>522.3269613789284</v>
      </c>
      <c r="U6" s="52">
        <f>U7-U5</f>
        <v>613.3563178368584</v>
      </c>
      <c r="V6" s="52">
        <f>V7-V5</f>
        <v>706.1711269631915</v>
      </c>
      <c r="W6" s="52">
        <f>W7-W5</f>
        <v>796.8233268519309</v>
      </c>
      <c r="X6" s="52">
        <f>X7-X5</f>
        <v>880.8264251328433</v>
      </c>
      <c r="Y6" s="52">
        <f>Y7-Y5</f>
        <v>953.4735242406248</v>
      </c>
      <c r="Z6" s="52">
        <f>Z7-Z5</f>
        <v>1010.2359479652692</v>
      </c>
      <c r="AA6" s="52">
        <f>AA7-AA5</f>
        <v>1047.2016151469904</v>
      </c>
      <c r="AB6" s="52">
        <f>AB7-AB5</f>
        <v>1061.498822957261</v>
      </c>
    </row>
    <row r="7">
      <c r="A7" s="2" t="inlineStr">
        <is>
          <t>Operating Expense</t>
        </is>
      </c>
      <c r="B7" s="52">
        <f>SUM(B5:B6)</f>
        <v>48.684</v>
      </c>
      <c r="C7" s="52">
        <f>SUM(C5:C6)</f>
        <v>46.083000000000006</v>
      </c>
      <c r="D7" s="52">
        <f>SUM(D5:D6)</f>
        <v>51.362</v>
      </c>
      <c r="E7" s="52">
        <f>SUM(E5:E6)</f>
        <v>11.245999999999999</v>
      </c>
      <c r="F7" s="52">
        <f>SUM(F5:F6)</f>
        <v>19.21</v>
      </c>
      <c r="G7" s="52">
        <f>SUM(G5:G6)</f>
        <v>24.491</v>
      </c>
      <c r="H7" s="52">
        <f>SUM(H5:H6)</f>
        <v>30.93</v>
      </c>
      <c r="I7" s="52">
        <f>SUM(I5:I6)</f>
        <v>59.763</v>
      </c>
      <c r="J7" s="52">
        <f>SUM(J5:J6)</f>
        <v>69.481</v>
      </c>
      <c r="K7" s="52">
        <f>SUM(K5:K6)</f>
        <v>93.19300000000001</v>
      </c>
      <c r="L7" s="52">
        <f>SUM(L5:L6)</f>
        <v>127.042</v>
      </c>
      <c r="M7" s="52">
        <f>SUM(M5:M6)</f>
        <v>137.334</v>
      </c>
      <c r="N7" s="52">
        <f>SUM(N5:N6)</f>
        <v>155.319</v>
      </c>
      <c r="O7" s="52">
        <f>SUM(O5:O6)</f>
        <v>212.883</v>
      </c>
      <c r="P7" s="52">
        <f>SUM(P5:P6)</f>
        <v>258.332</v>
      </c>
      <c r="Q7" s="52">
        <f>SUM(Q5:Q6)</f>
        <v>363.582</v>
      </c>
      <c r="R7" s="52">
        <f>SUM(R5:R6)</f>
        <v>430.96299999999997</v>
      </c>
      <c r="S7" s="52">
        <f>S4-S2*NPV!C6</f>
        <v>495.71478984953205</v>
      </c>
      <c r="T7" s="52">
        <f>T4-T2*NPV!D6</f>
        <v>593.4859236210981</v>
      </c>
      <c r="U7" s="52">
        <f>U4-U2*NPV!E6</f>
        <v>696.9166206531739</v>
      </c>
      <c r="V7" s="52">
        <f>V4-V2*NPV!F6</f>
        <v>802.3760106387813</v>
      </c>
      <c r="W7" s="52">
        <f>W4-W2*NPV!G6</f>
        <v>905.378169357949</v>
      </c>
      <c r="X7" s="52">
        <f>X4-X2*NPV!H6</f>
        <v>1000.8253893112637</v>
      </c>
      <c r="Y7" s="52">
        <f>Y4-Y2*NPV!I6</f>
        <v>1083.36953100855</v>
      </c>
      <c r="Z7" s="52">
        <f>Z4-Z2*NPV!J6</f>
        <v>1147.8649562155088</v>
      </c>
      <c r="AA7" s="52">
        <f>AA4-AA2*NPV!K6</f>
        <v>1189.8666232780258</v>
      </c>
      <c r="AB7" s="52">
        <f>AB4-AB2*NPV!L6</f>
        <v>1206.111604314579</v>
      </c>
    </row>
    <row r="8">
      <c r="A8" s="2" t="inlineStr">
        <is>
          <t>Operating Income</t>
        </is>
      </c>
      <c r="B8" s="52">
        <f>B4-B7</f>
        <v>-47.425999999999995</v>
      </c>
      <c r="C8" s="52">
        <f>C4-C7</f>
        <v>-43.60900000000001</v>
      </c>
      <c r="D8" s="52">
        <f>D4-D7</f>
        <v>-50.927</v>
      </c>
      <c r="E8" s="52">
        <f>E4-E7</f>
        <v>-0.041999999999999815</v>
      </c>
      <c r="F8" s="52">
        <f>F4-F7</f>
        <v>0.8979999999999997</v>
      </c>
      <c r="G8" s="52">
        <f>G4-G7</f>
        <v>20.006</v>
      </c>
      <c r="H8" s="52">
        <f>H4-H7</f>
        <v>32.7</v>
      </c>
      <c r="I8" s="52">
        <f>I4-I7</f>
        <v>20.079000000000015</v>
      </c>
      <c r="J8" s="52">
        <f>J4-J7</f>
        <v>28.329000000000022</v>
      </c>
      <c r="K8" s="52">
        <f>K4-K7</f>
        <v>35.35899999999998</v>
      </c>
      <c r="L8" s="52">
        <f>L4-L7</f>
        <v>16.351</v>
      </c>
      <c r="M8" s="52">
        <f>M4-M7</f>
        <v>-16.016000000000005</v>
      </c>
      <c r="N8" s="52">
        <f>N4-N7</f>
        <v>-39.79299999999999</v>
      </c>
      <c r="O8" s="52">
        <f>O4-O7</f>
        <v>-35.283000000000015</v>
      </c>
      <c r="P8" s="52">
        <f>P4-P7</f>
        <v>46.971000000000004</v>
      </c>
      <c r="Q8" s="52">
        <f>Q4-Q7</f>
        <v>0.5839999999999463</v>
      </c>
      <c r="R8" s="52">
        <f>R4-R7</f>
        <v>111.09300000000007</v>
      </c>
      <c r="S8" s="52">
        <f>S4-S7</f>
        <v>172.39555138022797</v>
      </c>
      <c r="T8" s="52">
        <f>T4-T7</f>
        <v>214.61580444100423</v>
      </c>
      <c r="U8" s="52">
        <f>U4-U7</f>
        <v>261.8691429682416</v>
      </c>
      <c r="V8" s="52">
        <f>V4-V7</f>
        <v>313.0753467583736</v>
      </c>
      <c r="W8" s="52">
        <f>W4-W7</f>
        <v>366.60819519394</v>
      </c>
      <c r="X8" s="52">
        <f>X4-X7</f>
        <v>420.3225762570769</v>
      </c>
      <c r="Y8" s="52">
        <f>Y4-Y7</f>
        <v>471.6505729163282</v>
      </c>
      <c r="Z8" s="52">
        <f>Z4-Z7</f>
        <v>517.7689111018924</v>
      </c>
      <c r="AA8" s="52">
        <f>AA4-AA7</f>
        <v>555.8287119284316</v>
      </c>
      <c r="AB8" s="52">
        <f>AB4-AB7</f>
        <v>583.2261142720399</v>
      </c>
    </row>
    <row r="9">
      <c r="A9" s="18" t="inlineStr">
        <is>
          <t>Interest &amp; Other</t>
        </is>
      </c>
      <c r="B9" s="52" t="n">
        <v>-0.102</v>
      </c>
      <c r="C9" s="52" t="n">
        <v>-2.588</v>
      </c>
      <c r="D9" s="52" t="n">
        <v>-0.6820000000000001</v>
      </c>
      <c r="E9" s="52" t="n">
        <v>-1.5</v>
      </c>
      <c r="F9" s="52" t="n">
        <v>-0.577</v>
      </c>
      <c r="G9" s="52" t="n">
        <v>-0.627</v>
      </c>
      <c r="H9" s="52" t="n">
        <v>-10.967</v>
      </c>
      <c r="I9" s="52" t="n">
        <v>-11.401</v>
      </c>
      <c r="J9" s="52" t="n">
        <v>-11.98</v>
      </c>
      <c r="K9" s="52" t="n">
        <v>-15.308</v>
      </c>
      <c r="L9" s="52" t="n">
        <v>-13.194</v>
      </c>
      <c r="M9" s="52" t="n">
        <v>-9.946</v>
      </c>
      <c r="N9" s="52" t="n">
        <v>-16.662</v>
      </c>
      <c r="O9" s="52" t="n">
        <v>-27.486</v>
      </c>
      <c r="P9" s="52" t="n">
        <v>-26.878</v>
      </c>
      <c r="Q9" s="52" t="n">
        <v>-23.274</v>
      </c>
      <c r="R9" s="52" t="n">
        <v>-15.639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-47.52799999999999</v>
      </c>
      <c r="C10" s="52">
        <f>C8+C9</f>
        <v>-46.19700000000001</v>
      </c>
      <c r="D10" s="52">
        <f>D8+D9</f>
        <v>-51.609</v>
      </c>
      <c r="E10" s="52">
        <f>E8+E9</f>
        <v>-1.5419999999999998</v>
      </c>
      <c r="F10" s="52">
        <f>F8+F9</f>
        <v>0.32099999999999973</v>
      </c>
      <c r="G10" s="52">
        <f>G8+G9</f>
        <v>19.379</v>
      </c>
      <c r="H10" s="52">
        <f>H8+H9</f>
        <v>21.733000000000004</v>
      </c>
      <c r="I10" s="52">
        <f>I8+I9</f>
        <v>8.678000000000015</v>
      </c>
      <c r="J10" s="52">
        <f>J8+J9</f>
        <v>16.34900000000002</v>
      </c>
      <c r="K10" s="52">
        <f>K8+K9</f>
        <v>20.05099999999998</v>
      </c>
      <c r="L10" s="52">
        <f>L8+L9</f>
        <v>3.1569999999999983</v>
      </c>
      <c r="M10" s="52">
        <f>M8+M9</f>
        <v>-25.962000000000003</v>
      </c>
      <c r="N10" s="52">
        <f>N8+N9</f>
        <v>-56.45499999999999</v>
      </c>
      <c r="O10" s="52">
        <f>O8+O9</f>
        <v>-62.76900000000002</v>
      </c>
      <c r="P10" s="52">
        <f>P8+P9</f>
        <v>20.093000000000004</v>
      </c>
      <c r="Q10" s="52">
        <f>Q8+Q9</f>
        <v>-22.690000000000055</v>
      </c>
      <c r="R10" s="52">
        <f>R8+R9</f>
        <v>95.45400000000008</v>
      </c>
      <c r="S10" s="52">
        <f>S8+S9</f>
        <v>172.39555138022797</v>
      </c>
      <c r="T10" s="52">
        <f>T8+T9</f>
        <v>214.61580444100423</v>
      </c>
      <c r="U10" s="52">
        <f>U8+U9</f>
        <v>261.8691429682416</v>
      </c>
      <c r="V10" s="52">
        <f>V8+V9</f>
        <v>313.0753467583736</v>
      </c>
      <c r="W10" s="52">
        <f>W8+W9</f>
        <v>366.60819519394</v>
      </c>
      <c r="X10" s="52">
        <f>X8+X9</f>
        <v>420.3225762570769</v>
      </c>
      <c r="Y10" s="52">
        <f>Y8+Y9</f>
        <v>471.6505729163282</v>
      </c>
      <c r="Z10" s="52">
        <f>Z8+Z9</f>
        <v>517.7689111018924</v>
      </c>
      <c r="AA10" s="52">
        <f>AA8+AA9</f>
        <v>555.8287119284316</v>
      </c>
      <c r="AB10" s="52">
        <f>AB8+AB9</f>
        <v>583.2261142720399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-0.036</v>
      </c>
      <c r="F11" s="52" t="n">
        <v>0.02</v>
      </c>
      <c r="G11" s="52" t="n">
        <v>-9.368</v>
      </c>
      <c r="H11" s="52" t="n">
        <v>6.358</v>
      </c>
      <c r="I11" s="52" t="n">
        <v>4.744</v>
      </c>
      <c r="J11" s="52" t="n">
        <v>17.425</v>
      </c>
      <c r="K11" s="52" t="n">
        <v>4.557</v>
      </c>
      <c r="L11" s="52" t="n">
        <v>-2.937</v>
      </c>
      <c r="M11" s="52" t="n">
        <v>-3.414</v>
      </c>
      <c r="N11" s="52" t="n">
        <v>-13.455</v>
      </c>
      <c r="O11" s="52" t="n">
        <v>-14.769</v>
      </c>
      <c r="P11" s="52" t="n">
        <v>1.093</v>
      </c>
      <c r="Q11" s="52" t="n">
        <v>-3.69</v>
      </c>
      <c r="R11" s="52" t="n">
        <v>17.454</v>
      </c>
      <c r="S11" s="52">
        <f>MAX(0,S10)*Assumptions!$E$14</f>
        <v>29.307243734638757</v>
      </c>
      <c r="T11" s="52">
        <f>MAX(0,T10)*Assumptions!$E$14</f>
        <v>36.484686754970724</v>
      </c>
      <c r="U11" s="52">
        <f>MAX(0,U10)*Assumptions!$E$14</f>
        <v>44.51775430460108</v>
      </c>
      <c r="V11" s="52">
        <f>MAX(0,V10)*Assumptions!$E$14</f>
        <v>53.222808948923515</v>
      </c>
      <c r="W11" s="52">
        <f>MAX(0,W10)*Assumptions!$E$14</f>
        <v>62.3233931829698</v>
      </c>
      <c r="X11" s="52">
        <f>MAX(0,X10)*Assumptions!$E$14</f>
        <v>71.45483796370307</v>
      </c>
      <c r="Y11" s="52">
        <f>MAX(0,Y10)*Assumptions!$E$14</f>
        <v>80.1805973957758</v>
      </c>
      <c r="Z11" s="52">
        <f>MAX(0,Z10)*Assumptions!$E$14</f>
        <v>88.02071488732172</v>
      </c>
      <c r="AA11" s="52">
        <f>MAX(0,AA10)*Assumptions!$E$14</f>
        <v>94.49088102783338</v>
      </c>
      <c r="AB11" s="52">
        <f>MAX(0,AB10)*Assumptions!$E$14</f>
        <v>99.1484394262468</v>
      </c>
    </row>
    <row r="12">
      <c r="A12" s="2" t="inlineStr">
        <is>
          <t>Net Income</t>
        </is>
      </c>
      <c r="B12" s="52" t="n">
        <v>-47.528</v>
      </c>
      <c r="C12" s="52" t="n">
        <v>-46.196</v>
      </c>
      <c r="D12" s="52" t="n">
        <v>-51.609</v>
      </c>
      <c r="E12" s="52" t="n">
        <v>-1.506</v>
      </c>
      <c r="F12" s="52" t="n">
        <v>0.301</v>
      </c>
      <c r="G12" s="52" t="n">
        <v>28.747</v>
      </c>
      <c r="H12" s="52" t="n">
        <v>15.375</v>
      </c>
      <c r="I12" s="52" t="n">
        <v>3.934</v>
      </c>
      <c r="J12" s="52" t="n">
        <v>-1.076</v>
      </c>
      <c r="K12" s="52" t="n">
        <v>15.494</v>
      </c>
      <c r="L12" s="52" t="n">
        <v>6.094</v>
      </c>
      <c r="M12" s="52" t="n">
        <v>-22.548</v>
      </c>
      <c r="N12" s="52" t="n">
        <v>-43</v>
      </c>
      <c r="O12" s="52" t="n">
        <v>-48</v>
      </c>
      <c r="P12" s="52" t="n">
        <v>19</v>
      </c>
      <c r="Q12" s="52" t="n">
        <v>-19</v>
      </c>
      <c r="R12" s="52" t="n">
        <v>78</v>
      </c>
      <c r="S12" s="52">
        <f>S10-S11</f>
        <v>143.08830764558923</v>
      </c>
      <c r="T12" s="52">
        <f>T10-T11</f>
        <v>178.13111768603352</v>
      </c>
      <c r="U12" s="52">
        <f>U10-U11</f>
        <v>217.3513886636405</v>
      </c>
      <c r="V12" s="52">
        <f>V10-V11</f>
        <v>259.8525378094501</v>
      </c>
      <c r="W12" s="52">
        <f>W10-W11</f>
        <v>304.28480201097017</v>
      </c>
      <c r="X12" s="52">
        <f>X10-X11</f>
        <v>348.8677382933738</v>
      </c>
      <c r="Y12" s="52">
        <f>Y10-Y11</f>
        <v>391.4699755205524</v>
      </c>
      <c r="Z12" s="52">
        <f>Z10-Z11</f>
        <v>429.74819621457067</v>
      </c>
      <c r="AA12" s="52">
        <f>AA10-AA11</f>
        <v>461.33783090059825</v>
      </c>
      <c r="AB12" s="52">
        <f>AB10-AB11</f>
        <v>484.0776748457931</v>
      </c>
    </row>
    <row r="13">
      <c r="A13" s="2" t="inlineStr">
        <is>
          <t>Earnings per Share</t>
        </is>
      </c>
      <c r="B13" s="11">
        <f>IFERROR(B12/B14,0)</f>
        <v>-16.531478260869566</v>
      </c>
      <c r="C13" s="11">
        <f>IFERROR(C12/C14,0)</f>
        <v>-8.277369647016663</v>
      </c>
      <c r="D13" s="11">
        <f>IFERROR(D12/D14,0)</f>
        <v>-6.194814548073461</v>
      </c>
      <c r="E13" s="11">
        <f>IFERROR(E12/E14,0)</f>
        <v>-0.13624027501356975</v>
      </c>
      <c r="F13" s="11">
        <f>IFERROR(F12/F14,0)</f>
        <v>0.027227498869289914</v>
      </c>
      <c r="G13" s="11">
        <f>IFERROR(G12/G14,0)</f>
        <v>2.6008323532072737</v>
      </c>
      <c r="H13" s="11">
        <f>IFERROR(H12/H14,0)</f>
        <v>1.3303625508349917</v>
      </c>
      <c r="I13" s="11">
        <f>IFERROR(I12/I14,0)</f>
        <v>0.33992914542469543</v>
      </c>
      <c r="J13" s="11">
        <f>IFERROR(J12/J14,0)</f>
        <v>-0.09318437689443146</v>
      </c>
      <c r="K13" s="11">
        <f>IFERROR(K12/K14,0)</f>
        <v>1.316173972137275</v>
      </c>
      <c r="L13" s="11">
        <f>IFERROR(L12/L14,0)</f>
        <v>0.5061461794019935</v>
      </c>
      <c r="M13" s="11">
        <f>IFERROR(M12/M14,0)</f>
        <v>-1.8846539618856568</v>
      </c>
      <c r="N13" s="11">
        <f>IFERROR(N12/N14,0)</f>
        <v>-3.413782153064465</v>
      </c>
      <c r="O13" s="11">
        <f>IFERROR(O12/O14,0)</f>
        <v>-2.9520295202952025</v>
      </c>
      <c r="P13" s="11">
        <f>IFERROR(P12/P14,0)</f>
        <v>1.044300318786413</v>
      </c>
      <c r="Q13" s="11">
        <f>IFERROR(Q12/Q14,0)</f>
        <v>-0.9835386685992338</v>
      </c>
      <c r="R13" s="11">
        <f>IFERROR(R12/R14,0)</f>
        <v>3.6743923120407005</v>
      </c>
      <c r="S13" s="11">
        <f>IFERROR(S12/S14,0)</f>
        <v>6.229260554892203</v>
      </c>
      <c r="T13" s="11">
        <f>IFERROR(T12/T14,0)</f>
        <v>7.754827513571996</v>
      </c>
      <c r="U13" s="11">
        <f>IFERROR(U12/U14,0)</f>
        <v>9.46225763817814</v>
      </c>
      <c r="V13" s="11">
        <f>IFERROR(V12/V14,0)</f>
        <v>11.312518755021696</v>
      </c>
      <c r="W13" s="11">
        <f>IFERROR(W12/W14,0)</f>
        <v>13.246849765775039</v>
      </c>
      <c r="X13" s="11">
        <f>IFERROR(X12/X14,0)</f>
        <v>15.187740191938452</v>
      </c>
      <c r="Y13" s="11">
        <f>IFERROR(Y12/Y14,0)</f>
        <v>17.042402115585883</v>
      </c>
      <c r="Z13" s="11">
        <f>IFERROR(Z12/Z14,0)</f>
        <v>18.70882066650832</v>
      </c>
      <c r="AA13" s="11">
        <f>IFERROR(AA12/AA14,0)</f>
        <v>20.084055782018417</v>
      </c>
      <c r="AB13" s="11">
        <f>IFERROR(AB12/AB14,0)</f>
        <v>21.07402075709563</v>
      </c>
    </row>
    <row r="14">
      <c r="A14" s="2" t="inlineStr">
        <is>
          <t>Shares</t>
        </is>
      </c>
      <c r="B14" s="52" t="n">
        <v>2.875</v>
      </c>
      <c r="C14" s="52" t="n">
        <v>5.581</v>
      </c>
      <c r="D14" s="52" t="n">
        <v>8.331</v>
      </c>
      <c r="E14" s="52" t="n">
        <v>11.054</v>
      </c>
      <c r="F14" s="52" t="n">
        <v>11.055</v>
      </c>
      <c r="G14" s="52" t="n">
        <v>11.053</v>
      </c>
      <c r="H14" s="52" t="n">
        <v>11.557</v>
      </c>
      <c r="I14" s="52" t="n">
        <v>11.573</v>
      </c>
      <c r="J14" s="52" t="n">
        <v>11.547</v>
      </c>
      <c r="K14" s="52" t="n">
        <v>11.772</v>
      </c>
      <c r="L14" s="52" t="n">
        <v>12.04</v>
      </c>
      <c r="M14" s="52" t="n">
        <v>11.964</v>
      </c>
      <c r="N14" s="52" t="n">
        <v>12.596</v>
      </c>
      <c r="O14" s="52" t="n">
        <v>16.26</v>
      </c>
      <c r="P14" s="52" t="n">
        <v>18.194</v>
      </c>
      <c r="Q14" s="52" t="n">
        <v>19.318</v>
      </c>
      <c r="R14" s="52" t="n">
        <v>21.228</v>
      </c>
      <c r="S14" s="52">
        <f>Main!$C$4</f>
        <v>22.970352</v>
      </c>
      <c r="T14" s="52">
        <f>Main!$C$4</f>
        <v>22.970352</v>
      </c>
      <c r="U14" s="52">
        <f>Main!$C$4</f>
        <v>22.970352</v>
      </c>
      <c r="V14" s="52">
        <f>Main!$C$4</f>
        <v>22.970352</v>
      </c>
      <c r="W14" s="52">
        <f>Main!$C$4</f>
        <v>22.970352</v>
      </c>
      <c r="X14" s="52">
        <f>Main!$C$4</f>
        <v>22.970352</v>
      </c>
      <c r="Y14" s="52">
        <f>Main!$C$4</f>
        <v>22.970352</v>
      </c>
      <c r="Z14" s="52">
        <f>Main!$C$4</f>
        <v>22.970352</v>
      </c>
      <c r="AA14" s="52">
        <f>Main!$C$4</f>
        <v>22.970352</v>
      </c>
      <c r="AB14" s="52">
        <f>Main!$C$4</f>
        <v>22.970352</v>
      </c>
    </row>
    <row r="15"/>
    <row r="16" customFormat="1" s="4">
      <c r="A16" s="3" t="inlineStr">
        <is>
          <t>Revenue Change</t>
        </is>
      </c>
      <c r="C16" s="15">
        <f>IFERROR(C2/B2-1,"")</f>
        <v>0.9666136724960255</v>
      </c>
      <c r="D16" s="15">
        <f>IFERROR(D2/C2-1,"")</f>
        <v>-0.8241713823767178</v>
      </c>
      <c r="E16" s="15">
        <f>IFERROR(E2/D2-1,"")</f>
        <v>45.82988505747126</v>
      </c>
      <c r="F16" s="15">
        <f>IFERROR(F2/E2-1,"")</f>
        <v>0.4767070835992344</v>
      </c>
      <c r="G16" s="15">
        <f>IFERROR(G2/F2-1,"")</f>
        <v>0.8605810783857455</v>
      </c>
      <c r="H16" s="15">
        <f>IFERROR(H2/G2-1,"")</f>
        <v>0.36362336966231923</v>
      </c>
      <c r="I16" s="15">
        <f>IFERROR(I2/H2-1,"")</f>
        <v>0.6852545792825138</v>
      </c>
      <c r="J16" s="15">
        <f>IFERROR(J2/I2-1,"")</f>
        <v>0.37489698496369206</v>
      </c>
      <c r="K16" s="15">
        <f>IFERROR(K2/J2-1,"")</f>
        <v>0.13986496420533578</v>
      </c>
      <c r="L16" s="15">
        <f>IFERROR(L2/K2-1,"")</f>
        <v>0.024660673889748796</v>
      </c>
      <c r="M16" s="15">
        <f>IFERROR(M2/L2-1,"")</f>
        <v>0.009334437198313283</v>
      </c>
      <c r="N16" s="15">
        <f>IFERROR(N2/M2-1,"")</f>
        <v>0.036747811488188065</v>
      </c>
      <c r="O16" s="15">
        <f>IFERROR(O2/N2-1,"")</f>
        <v>0.46382370359403335</v>
      </c>
      <c r="P16" s="15">
        <f>IFERROR(P2/O2-1,"")</f>
        <v>0.5386823016261832</v>
      </c>
      <c r="Q16" s="15">
        <f>IFERROR(Q2/P2-1,"")</f>
        <v>0.26202918556497745</v>
      </c>
      <c r="R16" s="15">
        <f>IFERROR(R2/Q2-1,"")</f>
        <v>0.43782634738336146</v>
      </c>
      <c r="S16" s="15">
        <f>IFERROR(S2/R2-1,"")</f>
        <v>0.23259999999999992</v>
      </c>
      <c r="T16" s="15">
        <f>IFERROR(T2/S2-1,"")</f>
        <v>0.20953333333333335</v>
      </c>
      <c r="U16" s="15">
        <f>IFERROR(U2/T2-1,"")</f>
        <v>0.18646666666666656</v>
      </c>
      <c r="V16" s="15">
        <f>IFERROR(V2/U2-1,"")</f>
        <v>0.1634</v>
      </c>
      <c r="W16" s="15">
        <f>IFERROR(W2/V2-1,"")</f>
        <v>0.14033333333333342</v>
      </c>
      <c r="X16" s="15">
        <f>IFERROR(X2/W2-1,"")</f>
        <v>0.11726666666666663</v>
      </c>
      <c r="Y16" s="15">
        <f>IFERROR(Y2/X2-1,"")</f>
        <v>0.09420000000000006</v>
      </c>
      <c r="Z16" s="15">
        <f>IFERROR(Z2/Y2-1,"")</f>
        <v>0.07113333333333327</v>
      </c>
      <c r="AA16" s="15">
        <f>IFERROR(AA2/Z2-1,"")</f>
        <v>0.0480666666666667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0.5499975455304108</v>
      </c>
      <c r="F17" s="15">
        <f>IFERROR(F4/F2,"")</f>
        <v>0.6684395984309554</v>
      </c>
      <c r="G17" s="15">
        <f>IFERROR(G4/G2,"")</f>
        <v>0.7950151867071645</v>
      </c>
      <c r="H17" s="15">
        <f>IFERROR(H4/H2,"")</f>
        <v>0.8337045674903698</v>
      </c>
      <c r="I17" s="15">
        <f>IFERROR(I4/I2,"")</f>
        <v>0.6207491719923497</v>
      </c>
      <c r="J17" s="15">
        <f>IFERROR(J4/J2,"")</f>
        <v>0.5530925911265424</v>
      </c>
      <c r="K17" s="15">
        <f>IFERROR(K4/K2,"")</f>
        <v>0.63773465095051</v>
      </c>
      <c r="L17" s="15">
        <f>IFERROR(L4/L2,"")</f>
        <v>0.6942390835984061</v>
      </c>
      <c r="M17" s="15">
        <f>IFERROR(M4/M2,"")</f>
        <v>0.5819306871327498</v>
      </c>
      <c r="N17" s="15">
        <f>IFERROR(N4/N2,"")</f>
        <v>0.5345060517451975</v>
      </c>
      <c r="O17" s="15">
        <f>IFERROR(O4/O2,"")</f>
        <v>0.5613414036695797</v>
      </c>
      <c r="P17" s="15">
        <f>IFERROR(P4/P2,"")</f>
        <v>0.6271424932623414</v>
      </c>
      <c r="Q17" s="15">
        <f>IFERROR(Q4/Q2,"")</f>
        <v>0.5927412529135252</v>
      </c>
      <c r="R17" s="15">
        <f>IFERROR(R4/R2,"")</f>
        <v>0.6136256093170894</v>
      </c>
      <c r="S17" s="15">
        <f>IFERROR(S4/S2,"")</f>
        <v>0.6136000000000001</v>
      </c>
      <c r="T17" s="15">
        <f>IFERROR(T4/T2,"")</f>
        <v>0.6136</v>
      </c>
      <c r="U17" s="15">
        <f>IFERROR(U4/U2,"")</f>
        <v>0.6136</v>
      </c>
      <c r="V17" s="15">
        <f>IFERROR(V4/V2,"")</f>
        <v>0.6136</v>
      </c>
      <c r="W17" s="15">
        <f>IFERROR(W4/W2,"")</f>
        <v>0.6136</v>
      </c>
      <c r="X17" s="15">
        <f>IFERROR(X4/X2,"")</f>
        <v>0.6136000000000001</v>
      </c>
      <c r="Y17" s="15">
        <f>IFERROR(Y4/Y2,"")</f>
        <v>0.6136</v>
      </c>
      <c r="Z17" s="15">
        <f>IFERROR(Z4/Z2,"")</f>
        <v>0.6136</v>
      </c>
      <c r="AA17" s="15">
        <f>IFERROR(AA4/AA2,"")</f>
        <v>0.6136</v>
      </c>
      <c r="AB17" s="15">
        <f>IFERROR(AB4/AB2,"")</f>
        <v>0.6136</v>
      </c>
    </row>
    <row r="18">
      <c r="A18" s="14" t="inlineStr">
        <is>
          <t>Operating Margin</t>
        </is>
      </c>
      <c r="B18" s="15">
        <f>IFERROR(B8/B2,"")</f>
        <v>-37.69952305246422</v>
      </c>
      <c r="C18" s="15">
        <f>IFERROR(C8/C2,"")</f>
        <v>-17.626919967663703</v>
      </c>
      <c r="D18" s="15">
        <f>IFERROR(D8/D2,"")</f>
        <v>-117.0735632183908</v>
      </c>
      <c r="E18" s="15">
        <f>IFERROR(E8/E2,"")</f>
        <v>-0.0020617544548622952</v>
      </c>
      <c r="F18" s="15">
        <f>IFERROR(F8/F2,"")</f>
        <v>0.029851738581211346</v>
      </c>
      <c r="G18" s="15">
        <f>IFERROR(G8/G2,"")</f>
        <v>0.3574414865106307</v>
      </c>
      <c r="H18" s="15">
        <f>IFERROR(H8/H2,"")</f>
        <v>0.4284478918267341</v>
      </c>
      <c r="I18" s="15">
        <f>IFERROR(I8/I2,"")</f>
        <v>0.15610859728506798</v>
      </c>
      <c r="J18" s="15">
        <f>IFERROR(J8/J2,"")</f>
        <v>0.1601938453534795</v>
      </c>
      <c r="K18" s="15">
        <f>IFERROR(K8/K2,"")</f>
        <v>0.17541274754931133</v>
      </c>
      <c r="L18" s="15">
        <f>IFERROR(L8/L2,"")</f>
        <v>0.07916358020208475</v>
      </c>
      <c r="M18" s="15">
        <f>IFERROR(M8/M2,"")</f>
        <v>-0.07682455929967624</v>
      </c>
      <c r="N18" s="15">
        <f>IFERROR(N8/N2,"")</f>
        <v>-0.1841109301550875</v>
      </c>
      <c r="O18" s="15">
        <f>IFERROR(O8/O2,"")</f>
        <v>-0.11151919338780289</v>
      </c>
      <c r="P18" s="15">
        <f>IFERROR(P8/P2,"")</f>
        <v>0.09648614671662395</v>
      </c>
      <c r="Q18" s="15">
        <f>IFERROR(Q8/Q2,"")</f>
        <v>0.0009505579645037345</v>
      </c>
      <c r="R18" s="15">
        <f>IFERROR(R8/R2,"")</f>
        <v>0.12576100959285288</v>
      </c>
      <c r="S18" s="15">
        <f>IFERROR(S8/S2,"")</f>
        <v>0.15833</v>
      </c>
      <c r="T18" s="15">
        <f>IFERROR(T8/T2,"")</f>
        <v>0.16296000000000002</v>
      </c>
      <c r="U18" s="15">
        <f>IFERROR(U8/U2,"")</f>
        <v>0.16759000000000002</v>
      </c>
      <c r="V18" s="15">
        <f>IFERROR(V8/V2,"")</f>
        <v>0.17222000000000004</v>
      </c>
      <c r="W18" s="15">
        <f>IFERROR(W8/W2,"")</f>
        <v>0.17685</v>
      </c>
      <c r="X18" s="15">
        <f>IFERROR(X8/X2,"")</f>
        <v>0.18147999999999997</v>
      </c>
      <c r="Y18" s="15">
        <f>IFERROR(Y8/Y2,"")</f>
        <v>0.18610999999999994</v>
      </c>
      <c r="Z18" s="15">
        <f>IFERROR(Z8/Z2,"")</f>
        <v>0.19074000000000008</v>
      </c>
      <c r="AA18" s="15">
        <f>IFERROR(AA8/AA2,"")</f>
        <v>0.19537000000000004</v>
      </c>
      <c r="AB18" s="15">
        <f>IFERROR(AB8/AB2,"")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ANI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0.1826</v>
      </c>
      <c r="C12" s="53" t="n">
        <v>0.2326</v>
      </c>
      <c r="D12" s="53" t="n">
        <v>0.2826</v>
      </c>
      <c r="E12" s="54">
        <f>CHOOSE($B$4,B12,C12,D12)</f>
        <v>0.2326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0.1537</v>
      </c>
    </row>
    <row r="19">
      <c r="A19" s="14" t="inlineStr">
        <is>
          <t>Gross margin (forecast)</t>
        </is>
      </c>
      <c r="B19" s="53" t="n">
        <v>0.6136</v>
      </c>
    </row>
    <row r="20">
      <c r="A20" s="14" t="inlineStr">
        <is>
          <t>R&amp;D share of operating expense (forecast)</t>
        </is>
      </c>
      <c r="B20" s="53" t="n">
        <v>0.1199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883.366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3572.0724967709</v>
      </c>
      <c r="C29" s="56">
        <f>NPV!B26</f>
        <v>3630.8004967709003</v>
      </c>
      <c r="D29" s="35">
        <f>NPV!B28</f>
        <v>158.06464336162114</v>
      </c>
      <c r="E29" s="57">
        <f>NPV!B30</f>
        <v>1.1751017388416285</v>
      </c>
    </row>
    <row r="30">
      <c r="A30" s="58" t="n">
        <v>1</v>
      </c>
      <c r="B30" s="59">
        <f t="dataTable" ref="B30:E32" r1="B4"/>
        <v>1963.4761391030722</v>
      </c>
      <c r="C30" s="59">
        <v>2022.204139103072</v>
      </c>
      <c r="D30" s="39">
        <v>88.03540055037347</v>
      </c>
      <c r="E30" s="60">
        <v>0.21144076717178284</v>
      </c>
    </row>
    <row r="31">
      <c r="A31" s="58" t="n">
        <v>2</v>
      </c>
      <c r="B31" s="59">
        <v>3572.0724967709</v>
      </c>
      <c r="C31" s="59">
        <v>3630.8004967709003</v>
      </c>
      <c r="D31" s="39">
        <v>158.06464336162114</v>
      </c>
      <c r="E31" s="60">
        <v>1.1751017388416285</v>
      </c>
    </row>
    <row r="32">
      <c r="A32" s="58" t="n">
        <v>3</v>
      </c>
      <c r="B32" s="59">
        <v>6554.739691143235</v>
      </c>
      <c r="C32" s="59">
        <v>6613.467691143234</v>
      </c>
      <c r="D32" s="39">
        <v>287.91320616868364</v>
      </c>
      <c r="E32" s="60">
        <v>2.96192660201849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158.06464336162114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190.42229270668375</v>
      </c>
      <c r="C37" s="39">
        <v>201.81757054353952</v>
      </c>
      <c r="D37" s="39">
        <v>214.95556175018325</v>
      </c>
      <c r="E37" s="39">
        <v>230.27185478264283</v>
      </c>
      <c r="F37" s="39">
        <v>248.3604333673501</v>
      </c>
    </row>
    <row r="38">
      <c r="A38" s="62" t="n">
        <v>0.1</v>
      </c>
      <c r="B38" s="39">
        <v>164.66505561944737</v>
      </c>
      <c r="C38" s="39">
        <v>173.06611382779545</v>
      </c>
      <c r="D38" s="39">
        <v>182.57866476421816</v>
      </c>
      <c r="E38" s="39">
        <v>193.44081159287126</v>
      </c>
      <c r="F38" s="39">
        <v>205.96391956024155</v>
      </c>
    </row>
    <row r="39">
      <c r="A39" s="62" t="n">
        <v>0.11</v>
      </c>
      <c r="B39" s="39">
        <v>144.55083948276877</v>
      </c>
      <c r="C39" s="39">
        <v>150.93581086557597</v>
      </c>
      <c r="D39" s="39">
        <v>158.06464336162114</v>
      </c>
      <c r="E39" s="39">
        <v>166.07674906571825</v>
      </c>
      <c r="F39" s="39">
        <v>175.1487162760477</v>
      </c>
    </row>
    <row r="40">
      <c r="A40" s="62" t="n">
        <v>0.12</v>
      </c>
      <c r="B40" s="39">
        <v>128.4503338025998</v>
      </c>
      <c r="C40" s="39">
        <v>133.42239596082453</v>
      </c>
      <c r="D40" s="39">
        <v>138.91156828169696</v>
      </c>
      <c r="E40" s="39">
        <v>145.00398320022074</v>
      </c>
      <c r="F40" s="39">
        <v>151.80603930798833</v>
      </c>
    </row>
    <row r="41">
      <c r="A41" s="62" t="n">
        <v>0.13</v>
      </c>
      <c r="B41" s="39">
        <v>115.30252759272892</v>
      </c>
      <c r="C41" s="39">
        <v>119.25209442061684</v>
      </c>
      <c r="D41" s="39">
        <v>123.57238579858391</v>
      </c>
      <c r="E41" s="39">
        <v>128.31896518139868</v>
      </c>
      <c r="F41" s="39">
        <v>133.55909333879228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ANI Pharmaceuticals,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0.2326</v>
      </c>
      <c r="D5" s="63">
        <f>Assumptions!$E$12+(Assumptions!$E$11-Assumptions!$E$12)*(D4-1)/(Assumptions!$B$21-1)</f>
        <v>0.20953333333333335</v>
      </c>
      <c r="E5" s="63">
        <f>Assumptions!$E$12+(Assumptions!$E$11-Assumptions!$E$12)*(E4-1)/(Assumptions!$B$21-1)</f>
        <v>0.18646666666666667</v>
      </c>
      <c r="F5" s="63">
        <f>Assumptions!$E$12+(Assumptions!$E$11-Assumptions!$E$12)*(F4-1)/(Assumptions!$B$21-1)</f>
        <v>0.1634</v>
      </c>
      <c r="G5" s="63">
        <f>Assumptions!$E$12+(Assumptions!$E$11-Assumptions!$E$12)*(G4-1)/(Assumptions!$B$21-1)</f>
        <v>0.14033333333333334</v>
      </c>
      <c r="H5" s="63">
        <f>Assumptions!$E$12+(Assumptions!$E$11-Assumptions!$E$12)*(H4-1)/(Assumptions!$B$21-1)</f>
        <v>0.11726666666666666</v>
      </c>
      <c r="I5" s="63">
        <f>Assumptions!$E$12+(Assumptions!$E$11-Assumptions!$E$12)*(I4-1)/(Assumptions!$B$21-1)</f>
        <v>0.0942</v>
      </c>
      <c r="J5" s="63">
        <f>Assumptions!$E$12+(Assumptions!$E$11-Assumptions!$E$12)*(J4-1)/(Assumptions!$B$21-1)</f>
        <v>0.07113333333333333</v>
      </c>
      <c r="K5" s="63">
        <f>Assumptions!$E$12+(Assumptions!$E$11-Assumptions!$E$12)*(K4-1)/(Assumptions!$B$21-1)</f>
        <v>0.048066666666666674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0.12576100959285288</v>
      </c>
      <c r="C6" s="63">
        <f>Assumptions!$B$18+(Assumptions!$E$13-Assumptions!$B$18)*C4/Assumptions!$B$21</f>
        <v>0.15833</v>
      </c>
      <c r="D6" s="63">
        <f>Assumptions!$B$18+(Assumptions!$E$13-Assumptions!$B$18)*D4/Assumptions!$B$21</f>
        <v>0.16296</v>
      </c>
      <c r="E6" s="63">
        <f>Assumptions!$B$18+(Assumptions!$E$13-Assumptions!$B$18)*E4/Assumptions!$B$21</f>
        <v>0.16759000000000002</v>
      </c>
      <c r="F6" s="63">
        <f>Assumptions!$B$18+(Assumptions!$E$13-Assumptions!$B$18)*F4/Assumptions!$B$21</f>
        <v>0.17222</v>
      </c>
      <c r="G6" s="63">
        <f>Assumptions!$B$18+(Assumptions!$E$13-Assumptions!$B$18)*G4/Assumptions!$B$21</f>
        <v>0.17685</v>
      </c>
      <c r="H6" s="63">
        <f>Assumptions!$B$18+(Assumptions!$E$13-Assumptions!$B$18)*H4/Assumptions!$B$21</f>
        <v>0.18148</v>
      </c>
      <c r="I6" s="63">
        <f>Assumptions!$B$18+(Assumptions!$E$13-Assumptions!$B$18)*I4/Assumptions!$B$21</f>
        <v>0.18611</v>
      </c>
      <c r="J6" s="63">
        <f>Assumptions!$B$18+(Assumptions!$E$13-Assumptions!$B$18)*J4/Assumptions!$B$21</f>
        <v>0.19074000000000002</v>
      </c>
      <c r="K6" s="63">
        <f>Assumptions!$B$18+(Assumptions!$E$13-Assumptions!$B$18)*K4/Assumptions!$B$21</f>
        <v>0.19537000000000002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883.366</v>
      </c>
      <c r="C7" s="55">
        <f>'Yearly Model'!S2</f>
        <v>1088.8369315999998</v>
      </c>
      <c r="D7" s="55">
        <f>'Yearly Model'!T2</f>
        <v>1316.9845633345865</v>
      </c>
      <c r="E7" s="55">
        <f>'Yearly Model'!U2</f>
        <v>1562.5582849110422</v>
      </c>
      <c r="F7" s="55">
        <f>'Yearly Model'!V2</f>
        <v>1817.8803086655064</v>
      </c>
      <c r="G7" s="55">
        <f>'Yearly Model'!W2</f>
        <v>2072.989511981566</v>
      </c>
      <c r="H7" s="55">
        <f>'Yearly Model'!X2</f>
        <v>2316.0820820866043</v>
      </c>
      <c r="I7" s="55">
        <f>'Yearly Model'!Y2</f>
        <v>2534.2570142191626</v>
      </c>
      <c r="J7" s="55">
        <f>'Yearly Model'!Z2</f>
        <v>2714.527163163952</v>
      </c>
      <c r="K7" s="55">
        <f>'Yearly Model'!AA2</f>
        <v>2845.005435473366</v>
      </c>
      <c r="L7" s="55">
        <f>'Yearly Model'!AB2</f>
        <v>2916.1305713602</v>
      </c>
    </row>
    <row r="8">
      <c r="A8" s="14" t="inlineStr">
        <is>
          <t>Operating income</t>
        </is>
      </c>
      <c r="B8" s="55">
        <f>'Yearly Model'!R8</f>
        <v>111.09300000000007</v>
      </c>
      <c r="C8" s="55">
        <f>'Yearly Model'!S8</f>
        <v>172.39555138022797</v>
      </c>
      <c r="D8" s="55">
        <f>'Yearly Model'!T8</f>
        <v>214.61580444100423</v>
      </c>
      <c r="E8" s="55">
        <f>'Yearly Model'!U8</f>
        <v>261.8691429682416</v>
      </c>
      <c r="F8" s="55">
        <f>'Yearly Model'!V8</f>
        <v>313.0753467583736</v>
      </c>
      <c r="G8" s="55">
        <f>'Yearly Model'!W8</f>
        <v>366.60819519394</v>
      </c>
      <c r="H8" s="55">
        <f>'Yearly Model'!X8</f>
        <v>420.3225762570769</v>
      </c>
      <c r="I8" s="55">
        <f>'Yearly Model'!Y8</f>
        <v>471.6505729163282</v>
      </c>
      <c r="J8" s="55">
        <f>'Yearly Model'!Z8</f>
        <v>517.7689111018924</v>
      </c>
      <c r="K8" s="55">
        <f>'Yearly Model'!AA8</f>
        <v>555.8287119284316</v>
      </c>
      <c r="L8" s="55">
        <f>'Yearly Model'!AB8</f>
        <v>583.2261142720399</v>
      </c>
    </row>
    <row r="9">
      <c r="A9" s="14" t="inlineStr">
        <is>
          <t>Tax on operating income</t>
        </is>
      </c>
      <c r="C9" s="52">
        <f>MAX(0,C8)*Assumptions!$E$14</f>
        <v>29.307243734638757</v>
      </c>
      <c r="D9" s="52">
        <f>MAX(0,D8)*Assumptions!$E$14</f>
        <v>36.484686754970724</v>
      </c>
      <c r="E9" s="52">
        <f>MAX(0,E8)*Assumptions!$E$14</f>
        <v>44.51775430460108</v>
      </c>
      <c r="F9" s="52">
        <f>MAX(0,F8)*Assumptions!$E$14</f>
        <v>53.222808948923515</v>
      </c>
      <c r="G9" s="52">
        <f>MAX(0,G8)*Assumptions!$E$14</f>
        <v>62.3233931829698</v>
      </c>
      <c r="H9" s="52">
        <f>MAX(0,H8)*Assumptions!$E$14</f>
        <v>71.45483796370307</v>
      </c>
      <c r="I9" s="52">
        <f>MAX(0,I8)*Assumptions!$E$14</f>
        <v>80.1805973957758</v>
      </c>
      <c r="J9" s="52">
        <f>MAX(0,J8)*Assumptions!$E$14</f>
        <v>88.02071488732172</v>
      </c>
      <c r="K9" s="52">
        <f>MAX(0,K8)*Assumptions!$E$14</f>
        <v>94.49088102783338</v>
      </c>
      <c r="L9" s="52">
        <f>MAX(0,L8)*Assumptions!$E$14</f>
        <v>99.1484394262468</v>
      </c>
    </row>
    <row r="10">
      <c r="A10" s="14" t="inlineStr">
        <is>
          <t>NOPAT</t>
        </is>
      </c>
      <c r="C10" s="52">
        <f>C8-C9</f>
        <v>143.08830764558923</v>
      </c>
      <c r="D10" s="52">
        <f>D8-D9</f>
        <v>178.13111768603352</v>
      </c>
      <c r="E10" s="52">
        <f>E8-E9</f>
        <v>217.3513886636405</v>
      </c>
      <c r="F10" s="52">
        <f>F8-F9</f>
        <v>259.8525378094501</v>
      </c>
      <c r="G10" s="52">
        <f>G8-G9</f>
        <v>304.28480201097017</v>
      </c>
      <c r="H10" s="52">
        <f>H8-H9</f>
        <v>348.8677382933738</v>
      </c>
      <c r="I10" s="52">
        <f>I8-I9</f>
        <v>391.4699755205524</v>
      </c>
      <c r="J10" s="52">
        <f>J8-J9</f>
        <v>429.74819621457067</v>
      </c>
      <c r="K10" s="52">
        <f>K8-K9</f>
        <v>461.33783090059825</v>
      </c>
      <c r="L10" s="52">
        <f>L8-L9</f>
        <v>484.0776748457931</v>
      </c>
    </row>
    <row r="11">
      <c r="A11" s="14" t="inlineStr">
        <is>
          <t>Reinvestment</t>
        </is>
      </c>
      <c r="C11" s="52">
        <f>(C7-B7)*Assumptions!$E$15</f>
        <v>51.367732899999965</v>
      </c>
      <c r="D11" s="52">
        <f>(D7-C7)*Assumptions!$E$15</f>
        <v>57.03690793364666</v>
      </c>
      <c r="E11" s="52">
        <f>(E7-D7)*Assumptions!$E$15</f>
        <v>61.39343039411392</v>
      </c>
      <c r="F11" s="52">
        <f>(F7-E7)*Assumptions!$E$15</f>
        <v>63.83050593861606</v>
      </c>
      <c r="G11" s="52">
        <f>(G7-F7)*Assumptions!$E$15</f>
        <v>63.777300829014905</v>
      </c>
      <c r="H11" s="52">
        <f>(H7-G7)*Assumptions!$E$15</f>
        <v>60.77314252625956</v>
      </c>
      <c r="I11" s="52">
        <f>(I7-H7)*Assumptions!$E$15</f>
        <v>54.543733033139574</v>
      </c>
      <c r="J11" s="52">
        <f>(J7-I7)*Assumptions!$E$15</f>
        <v>45.06753723619738</v>
      </c>
      <c r="K11" s="52">
        <f>(K7-J7)*Assumptions!$E$15</f>
        <v>32.619568077353506</v>
      </c>
      <c r="L11" s="52">
        <f>(L7-K7)*Assumptions!$E$15</f>
        <v>17.78128397170849</v>
      </c>
    </row>
    <row r="12">
      <c r="A12" s="20" t="inlineStr">
        <is>
          <t>Free cash flow</t>
        </is>
      </c>
      <c r="C12" s="64">
        <f>C10-C11</f>
        <v>91.72057474558926</v>
      </c>
      <c r="D12" s="64">
        <f>D10-D11</f>
        <v>121.09420975238686</v>
      </c>
      <c r="E12" s="64">
        <f>E10-E11</f>
        <v>155.95795826952659</v>
      </c>
      <c r="F12" s="64">
        <f>F10-F11</f>
        <v>196.02203187083404</v>
      </c>
      <c r="G12" s="64">
        <f>G10-G11</f>
        <v>240.50750118195526</v>
      </c>
      <c r="H12" s="64">
        <f>H10-H11</f>
        <v>288.09459576711424</v>
      </c>
      <c r="I12" s="64">
        <f>I10-I11</f>
        <v>336.9262424874128</v>
      </c>
      <c r="J12" s="64">
        <f>J10-J11</f>
        <v>384.6806589783733</v>
      </c>
      <c r="K12" s="64">
        <f>K10-K11</f>
        <v>428.71826282324474</v>
      </c>
      <c r="L12" s="64">
        <f>L10-L11</f>
        <v>466.29639087408464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45.035999755868446</v>
      </c>
      <c r="D16" s="64">
        <f>D12*D13*D15</f>
        <v>109.04721398373341</v>
      </c>
      <c r="E16" s="64">
        <f>E12*E13*E15</f>
        <v>126.52482904518226</v>
      </c>
      <c r="F16" s="64">
        <f>F12*F13*F15</f>
        <v>143.26830605382867</v>
      </c>
      <c r="G16" s="64">
        <f>G12*G13*G15</f>
        <v>158.3619667495765</v>
      </c>
      <c r="H16" s="64">
        <f>H12*H13*H15</f>
        <v>170.89698209067728</v>
      </c>
      <c r="I16" s="64">
        <f>I12*I13*I15</f>
        <v>180.05746921808822</v>
      </c>
      <c r="J16" s="64">
        <f>J12*J13*J15</f>
        <v>185.2054129850978</v>
      </c>
      <c r="K16" s="64">
        <f>K12*K13*K15</f>
        <v>185.95263198148055</v>
      </c>
      <c r="L16" s="64">
        <f>L12*L13*L15</f>
        <v>182.20883054697543</v>
      </c>
    </row>
    <row r="19">
      <c r="A19" s="14" t="inlineStr">
        <is>
          <t>PV of forecast free cash flow</t>
        </is>
      </c>
      <c r="B19" s="52">
        <f>SUM(C16:L16)</f>
        <v>1486.5596424105086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477.95380064593667</v>
      </c>
    </row>
    <row r="21">
      <c r="A21" s="14" t="inlineStr">
        <is>
          <t>Terminal value</t>
        </is>
      </c>
      <c r="B21" s="52">
        <f>B20/(Assumptions!$E$10-Assumptions!$E$11)</f>
        <v>5622.985889952197</v>
      </c>
    </row>
    <row r="22">
      <c r="A22" s="14" t="inlineStr">
        <is>
          <t>PV of terminal value</t>
        </is>
      </c>
      <c r="B22" s="52">
        <f>B21/(1+Assumptions!$E$10)^(L14+0.5)</f>
        <v>2085.5128543603914</v>
      </c>
    </row>
    <row r="23">
      <c r="A23" s="20" t="inlineStr">
        <is>
          <t>Enterprise value</t>
        </is>
      </c>
      <c r="B23" s="66">
        <f>B19+B22</f>
        <v>3572.0724967709</v>
      </c>
    </row>
    <row r="24">
      <c r="A24" s="14" t="inlineStr">
        <is>
          <t>Cash &amp; investments</t>
        </is>
      </c>
      <c r="B24" s="55">
        <f>Main!C7</f>
        <v>360.212</v>
      </c>
    </row>
    <row r="25">
      <c r="A25" s="14" t="inlineStr">
        <is>
          <t>Debt</t>
        </is>
      </c>
      <c r="B25" s="55">
        <f>Main!C8</f>
        <v>301.484</v>
      </c>
    </row>
    <row r="26">
      <c r="A26" s="20" t="inlineStr">
        <is>
          <t>Equity value</t>
        </is>
      </c>
      <c r="B26" s="66">
        <f>B23+B24-B25</f>
        <v>3630.8004967709003</v>
      </c>
    </row>
    <row r="27">
      <c r="A27" s="14" t="inlineStr">
        <is>
          <t>Shares (mm)</t>
        </is>
      </c>
      <c r="B27" s="55">
        <f>Main!C4</f>
        <v>22.970352</v>
      </c>
    </row>
    <row r="28">
      <c r="A28" s="20" t="inlineStr">
        <is>
          <t>NPV / share</t>
        </is>
      </c>
      <c r="B28" s="49">
        <f>B26/B27</f>
        <v>158.06464336162114</v>
      </c>
    </row>
    <row r="29">
      <c r="A29" s="14" t="inlineStr">
        <is>
          <t>Price</t>
        </is>
      </c>
      <c r="B29" s="50">
        <f>Main!C3</f>
        <v>72.67</v>
      </c>
    </row>
    <row r="30">
      <c r="A30" s="14" t="inlineStr">
        <is>
          <t>Upside</t>
        </is>
      </c>
      <c r="B30" s="63">
        <f>B28/B29-1</f>
        <v>1.1751017388416285</v>
      </c>
    </row>
    <row r="31">
      <c r="A31" s="14" t="inlineStr">
        <is>
          <t>Terminal value, % of EV</t>
        </is>
      </c>
      <c r="B31" s="63">
        <f>IFERROR(B22/B23,0)</f>
        <v>0.5838383336972203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2026-10-21T01:04:35Z</dcterms:modified>
  <cp:lastModifiedBy>Wang, Eric</cp:lastModifiedBy>
</cp:coreProperties>
</file>