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Caribou Biosciences, Inc.</t>
        </is>
      </c>
      <c r="C2" s="10" t="n"/>
    </row>
    <row r="3">
      <c r="B3" t="inlineStr">
        <is>
          <t>Price</t>
        </is>
      </c>
      <c r="C3" s="11">
        <f>INDEX([1]Pharma!$F$1:$F$1000,MATCH("CRBU",[1]Pharma!$B$1:$B$1000,0))</f>
        <v>0.519</v>
      </c>
      <c r="F3" s="1" t="n"/>
    </row>
    <row r="4">
      <c r="B4" t="inlineStr">
        <is>
          <t>Shares</t>
        </is>
      </c>
      <c r="C4" s="21" t="n">
        <v>107.207513</v>
      </c>
      <c r="F4" s="1" t="n"/>
    </row>
    <row r="5">
      <c r="B5" t="inlineStr">
        <is>
          <t>Market Cap.</t>
        </is>
      </c>
      <c r="C5" s="13">
        <f>C3*C4</f>
        <v>55.64069924700001</v>
      </c>
      <c r="F5" s="1" t="n"/>
    </row>
    <row r="6"/>
    <row r="7">
      <c r="B7" t="inlineStr">
        <is>
          <t>Cash</t>
        </is>
      </c>
      <c r="C7" s="21" t="n">
        <v>113.8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-58.15930075299999</v>
      </c>
    </row>
    <row r="10"/>
    <row r="11">
      <c r="B11" s="14" t="inlineStr">
        <is>
          <t>Net Cash / Share</t>
        </is>
      </c>
      <c r="C11" s="11">
        <f>(C7-C8)/C4</f>
        <v>1.0614927705673014</v>
      </c>
    </row>
    <row r="12">
      <c r="B12" s="14" t="inlineStr">
        <is>
          <t>Upside</t>
        </is>
      </c>
      <c r="C12" s="15">
        <f>IFERROR(C11/C3-1,"")</f>
        <v>1.0452654538869006</v>
      </c>
    </row>
    <row r="13">
      <c r="B13" s="14" t="inlineStr">
        <is>
          <t>Cash / Share</t>
        </is>
      </c>
      <c r="C13" s="11">
        <f>IFERROR((C7-C8)/C4,"")</f>
        <v>1.0614927705673014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-95.78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1.1881394863228232</v>
      </c>
    </row>
    <row r="19">
      <c r="B19" s="14" t="inlineStr">
        <is>
          <t>Implied Pipeline Value</t>
        </is>
      </c>
      <c r="C19" s="13">
        <f>C9</f>
        <v>-58.15930075299999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5.788</v>
      </c>
      <c r="C2" s="23" t="n">
        <v>12.361</v>
      </c>
      <c r="D2" s="23" t="n">
        <v>9.598000000000001</v>
      </c>
      <c r="E2" s="23" t="n">
        <v>13.851</v>
      </c>
      <c r="F2" s="23" t="n">
        <v>34.477</v>
      </c>
      <c r="G2" s="23" t="n">
        <v>9.994</v>
      </c>
      <c r="H2" s="23" t="n">
        <v>11.159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5.788</v>
      </c>
      <c r="C4" s="23">
        <f>C2-C3</f>
        <v>12.361</v>
      </c>
      <c r="D4" s="23">
        <f>D2-D3</f>
        <v>9.598</v>
      </c>
      <c r="E4" s="23">
        <f>E2-E3</f>
        <v>13.851</v>
      </c>
      <c r="F4" s="23">
        <f>F2-F3</f>
        <v>34.477</v>
      </c>
      <c r="G4" s="23">
        <f>G2-G3</f>
        <v>9.994</v>
      </c>
      <c r="H4" s="23">
        <f>H2-H3</f>
        <v>11.159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23.635</v>
      </c>
      <c r="C5" s="23" t="n">
        <v>34.425</v>
      </c>
      <c r="D5" s="23" t="n">
        <v>52.255</v>
      </c>
      <c r="E5" s="23" t="n">
        <v>82.23</v>
      </c>
      <c r="F5" s="23" t="n">
        <v>112.075</v>
      </c>
      <c r="G5" s="23" t="n">
        <v>130.153</v>
      </c>
      <c r="H5" s="23" t="n">
        <v>109.439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16.458</v>
      </c>
      <c r="C6" s="23" t="n">
        <v>14.06</v>
      </c>
      <c r="D6" s="23" t="n">
        <v>24.322</v>
      </c>
      <c r="E6" s="23" t="n">
        <v>38.02</v>
      </c>
      <c r="F6" s="23" t="n">
        <v>38.461</v>
      </c>
      <c r="G6" s="23" t="n">
        <v>46.457</v>
      </c>
      <c r="H6" s="23" t="n">
        <v>50.064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40.093</v>
      </c>
      <c r="C7" s="23">
        <f>SUM(C5:C6)</f>
        <v>48.485</v>
      </c>
      <c r="D7" s="23">
        <f>SUM(D5:D6)</f>
        <v>76.577</v>
      </c>
      <c r="E7" s="23">
        <f>SUM(E5:E6)</f>
        <v>120.25</v>
      </c>
      <c r="F7" s="23">
        <f>SUM(F5:F6)</f>
        <v>150.536</v>
      </c>
      <c r="G7" s="23">
        <f>SUM(G5:G6)</f>
        <v>176.60999999999999</v>
      </c>
      <c r="H7" s="23">
        <f>SUM(H5:H6)</f>
        <v>159.503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-34.30500000000001</v>
      </c>
      <c r="C8" s="23">
        <f>C4-C7</f>
        <v>-36.123999999999995</v>
      </c>
      <c r="D8" s="23">
        <f>D4-D7</f>
        <v>-66.979</v>
      </c>
      <c r="E8" s="23">
        <f>E4-E7</f>
        <v>-106.399</v>
      </c>
      <c r="F8" s="23">
        <f>F4-F7</f>
        <v>-116.059</v>
      </c>
      <c r="G8" s="23">
        <f>G4-G7</f>
        <v>-166.61599999999999</v>
      </c>
      <c r="H8" s="23">
        <f>H4-H7</f>
        <v>-148.344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3.337</v>
      </c>
      <c r="C9" s="23" t="n">
        <v>-0.003</v>
      </c>
      <c r="D9" s="23" t="n">
        <v>0.377</v>
      </c>
      <c r="E9" s="23" t="n">
        <v>7.048</v>
      </c>
      <c r="F9" s="23" t="n">
        <v>14.182</v>
      </c>
      <c r="G9" s="23" t="n">
        <v>17.502</v>
      </c>
      <c r="H9" s="23" t="n">
        <v>-0.331</v>
      </c>
    </row>
    <row r="10">
      <c r="A10" s="2" t="inlineStr">
        <is>
          <t>Pretax</t>
        </is>
      </c>
      <c r="B10" s="23">
        <f>B8+B9</f>
        <v>-30.968000000000007</v>
      </c>
      <c r="C10" s="23">
        <f>C8+C9</f>
        <v>-36.126999999999995</v>
      </c>
      <c r="D10" s="23">
        <f>D8+D9</f>
        <v>-66.602</v>
      </c>
      <c r="E10" s="23">
        <f>E8+E9</f>
        <v>-99.351</v>
      </c>
      <c r="F10" s="23">
        <f>F8+F9</f>
        <v>-101.877</v>
      </c>
      <c r="G10" s="23">
        <f>G8+G9</f>
        <v>-149.11399999999998</v>
      </c>
      <c r="H10" s="23">
        <f>H8+H9</f>
        <v>-148.67499999999998</v>
      </c>
      <c r="I10" s="1" t="n"/>
      <c r="J10" s="1" t="n"/>
      <c r="K10" s="1" t="n"/>
    </row>
    <row r="11">
      <c r="A11" s="2" t="inlineStr">
        <is>
          <t>Taxes</t>
        </is>
      </c>
      <c r="B11" s="23" t="n">
        <v>-7.537</v>
      </c>
      <c r="C11" s="23" t="n">
        <v>-1.819</v>
      </c>
      <c r="D11" s="23" t="n">
        <v>0.321</v>
      </c>
      <c r="E11" s="23" t="n">
        <v>0.07000000000000001</v>
      </c>
      <c r="F11" s="23" t="n">
        <v>0.193</v>
      </c>
      <c r="G11" s="23" t="n">
        <v>-0.008999999999999999</v>
      </c>
      <c r="H11" s="23" t="n">
        <v>-0.55</v>
      </c>
    </row>
    <row r="12">
      <c r="A12" s="2" t="inlineStr">
        <is>
          <t>Net Income</t>
        </is>
      </c>
      <c r="B12" s="23" t="n">
        <v>-23.431</v>
      </c>
      <c r="C12" s="23" t="n">
        <v>-34.308</v>
      </c>
      <c r="D12" s="23" t="n">
        <v>-66.923</v>
      </c>
      <c r="E12" s="23" t="n">
        <v>-99.42100000000001</v>
      </c>
      <c r="F12" s="23" t="n">
        <v>-102.07</v>
      </c>
      <c r="G12" s="23" t="n">
        <v>-149.105</v>
      </c>
      <c r="H12" s="23" t="n">
        <v>-148.125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-2.797731343283582</v>
      </c>
      <c r="C13" s="11">
        <f>IFERROR(C12/C14,0)</f>
        <v>-4.014040014040014</v>
      </c>
      <c r="D13" s="11">
        <f>IFERROR(D12/D14,0)</f>
        <v>-2.113602627672678</v>
      </c>
      <c r="E13" s="11">
        <f>IFERROR(E12/E14,0)</f>
        <v>-1.6351869212677423</v>
      </c>
      <c r="F13" s="11">
        <f>IFERROR(F12/F14,0)</f>
        <v>-1.3829124214177322</v>
      </c>
      <c r="G13" s="11">
        <f>IFERROR(G12/G14,0)</f>
        <v>-1.6508890808033836</v>
      </c>
      <c r="H13" s="11">
        <f>IFERROR(H12/H14,0)</f>
        <v>-1.5861075715555366</v>
      </c>
    </row>
    <row r="14">
      <c r="A14" s="2" t="inlineStr">
        <is>
          <t>Shares</t>
        </is>
      </c>
      <c r="B14" s="23" t="n">
        <v>8.375</v>
      </c>
      <c r="C14" s="23" t="n">
        <v>8.547000000000001</v>
      </c>
      <c r="D14" s="23" t="n">
        <v>31.663</v>
      </c>
      <c r="E14" s="23" t="n">
        <v>60.801</v>
      </c>
      <c r="F14" s="23" t="n">
        <v>73.80800000000001</v>
      </c>
      <c r="G14" s="23" t="n">
        <v>90.318</v>
      </c>
      <c r="H14" s="23" t="n">
        <v>93.389</v>
      </c>
    </row>
    <row r="15"/>
    <row r="16" customFormat="1" s="4">
      <c r="A16" s="3" t="inlineStr">
        <is>
          <t>Revenue Change</t>
        </is>
      </c>
      <c r="C16" s="15">
        <f>IFERROR(C2/B2-1,"")</f>
        <v>1.1356254319281271</v>
      </c>
      <c r="D16" s="15">
        <f>IFERROR(D2/C2-1,"")</f>
        <v>-0.22352560472453686</v>
      </c>
      <c r="E16" s="15">
        <f>IFERROR(E2/D2-1,"")</f>
        <v>0.4431131485726192</v>
      </c>
      <c r="F16" s="15">
        <f>IFERROR(F2/E2-1,"")</f>
        <v>1.4891343585300696</v>
      </c>
      <c r="G16" s="15">
        <f>IFERROR(G2/F2-1,"")</f>
        <v>-0.7101255909736925</v>
      </c>
      <c r="H16" s="15">
        <f>IFERROR(H2/G2-1,"")</f>
        <v>0.11656994196517911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-5.9269177608845895</v>
      </c>
      <c r="C18" s="15">
        <f>IFERROR(C8/C2,"")</f>
        <v>-2.9224172801553268</v>
      </c>
      <c r="D18" s="15">
        <f>IFERROR(D8/D2,"")</f>
        <v>-6.978433006876432</v>
      </c>
      <c r="E18" s="15">
        <f>IFERROR(E8/E2,"")</f>
        <v>-7.681683632950689</v>
      </c>
      <c r="F18" s="15">
        <f>IFERROR(F8/F2,"")</f>
        <v>-3.3662731676189925</v>
      </c>
      <c r="G18" s="15">
        <f>IFERROR(G8/G2,"")</f>
        <v>-16.671602961777065</v>
      </c>
      <c r="H18" s="15">
        <f>IFERROR(H8/H2,"")</f>
        <v>-13.29366430683753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2026-10-21T01:06:11Z</dcterms:modified>
  <cp:lastModifiedBy>Wang, Eric</cp:lastModifiedBy>
</cp:coreProperties>
</file>