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Whitehawk Therapeutics, Inc.</t>
        </is>
      </c>
      <c r="C2" s="10" t="n"/>
    </row>
    <row r="3">
      <c r="B3" t="inlineStr">
        <is>
          <t>Price</t>
        </is>
      </c>
      <c r="C3" s="11">
        <f>INDEX([1]Pharma!$F$1:$F$1000,MATCH("WHWK",[1]Pharma!$B$1:$B$1000,0))</f>
        <v>3.19</v>
      </c>
      <c r="F3" s="1" t="n"/>
    </row>
    <row r="4">
      <c r="B4" t="inlineStr">
        <is>
          <t>Shares</t>
        </is>
      </c>
      <c r="C4" s="21" t="n">
        <v>57.00901</v>
      </c>
      <c r="F4" s="1" t="n"/>
    </row>
    <row r="5">
      <c r="B5" t="inlineStr">
        <is>
          <t>Market Cap.</t>
        </is>
      </c>
      <c r="C5" s="13">
        <f>C3*C4</f>
        <v>181.8587419</v>
      </c>
      <c r="F5" s="1" t="n"/>
    </row>
    <row r="6"/>
    <row r="7">
      <c r="B7" t="inlineStr">
        <is>
          <t>Cash</t>
        </is>
      </c>
      <c r="C7" s="21">
        <f>85.234+104.748</f>
        <v>189.982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-8.123258099999987</v>
      </c>
    </row>
    <row r="10"/>
    <row r="11">
      <c r="B11" s="14" t="inlineStr">
        <is>
          <t>Net Cash / Share</t>
        </is>
      </c>
      <c r="C11" s="11">
        <f>(C7-C8)/C4</f>
        <v>3.3324907764579668</v>
      </c>
    </row>
    <row r="12">
      <c r="B12" s="14" t="inlineStr">
        <is>
          <t>Upside</t>
        </is>
      </c>
      <c r="C12" s="15">
        <f>IFERROR(C11/C3-1,"")</f>
        <v>0.04466795500249754</v>
      </c>
    </row>
    <row r="13">
      <c r="B13" s="14" t="inlineStr">
        <is>
          <t>Cash / Share</t>
        </is>
      </c>
      <c r="C13" s="11">
        <f>IFERROR((C7-C8)/C4,"")</f>
        <v>3.3324907764579668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-69.349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2.739505977014809</v>
      </c>
    </row>
    <row r="19">
      <c r="B19" s="14" t="inlineStr">
        <is>
          <t>Implied Pipeline Value</t>
        </is>
      </c>
      <c r="C19" s="13">
        <f>C9</f>
        <v>-8.123258099999987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2009</v>
      </c>
      <c r="D1" s="17" t="n">
        <v>2010</v>
      </c>
      <c r="E1" s="17" t="n">
        <v>2011</v>
      </c>
      <c r="F1" s="17" t="n">
        <v>2012</v>
      </c>
      <c r="G1" s="17" t="n">
        <v>2013</v>
      </c>
      <c r="H1" s="17" t="n">
        <v>2014</v>
      </c>
      <c r="I1" s="17" t="n">
        <v>2015</v>
      </c>
      <c r="J1" s="17" t="n">
        <v>2016</v>
      </c>
      <c r="K1" s="17" t="n">
        <v>2017</v>
      </c>
      <c r="L1" s="17" t="n">
        <v>2018</v>
      </c>
      <c r="M1" s="17" t="n">
        <v>2019</v>
      </c>
      <c r="N1" s="17" t="n">
        <v>2020</v>
      </c>
      <c r="O1" s="17" t="n">
        <v>2021</v>
      </c>
      <c r="P1" s="17" t="n">
        <v>2022</v>
      </c>
      <c r="Q1" s="17" t="n">
        <v>2023</v>
      </c>
      <c r="R1" s="17" t="n">
        <v>2024</v>
      </c>
      <c r="S1" s="17" t="n">
        <v>2025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20.157</v>
      </c>
      <c r="M2" s="23" t="n">
        <v>0</v>
      </c>
      <c r="N2" s="23" t="n">
        <v>14</v>
      </c>
      <c r="O2" s="23" t="n">
        <v>14</v>
      </c>
      <c r="P2" s="23" t="n">
        <v>15.216</v>
      </c>
      <c r="Q2" s="23" t="n">
        <v>24.354</v>
      </c>
      <c r="R2" s="23" t="n">
        <v>25.983</v>
      </c>
      <c r="S2" s="23" t="n">
        <v>7.145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1.335</v>
      </c>
      <c r="Q3" s="23" t="n">
        <v>2.809</v>
      </c>
      <c r="R3" s="23" t="n">
        <v>3.024</v>
      </c>
      <c r="S3" s="23" t="n">
        <v>0.76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20.157</v>
      </c>
      <c r="M4" s="23">
        <f>M2-M3</f>
        <v>0.0</v>
      </c>
      <c r="N4" s="23">
        <f>N2-N3</f>
        <v>14.0</v>
      </c>
      <c r="O4" s="23">
        <f>O2-O3</f>
        <v>14.0</v>
      </c>
      <c r="P4" s="23">
        <f>P2-P3</f>
        <v>13.881</v>
      </c>
      <c r="Q4" s="23">
        <f>Q2-Q3</f>
        <v>21.544999999999998</v>
      </c>
      <c r="R4" s="23">
        <f>R2-R3</f>
        <v>22.959</v>
      </c>
      <c r="S4" s="23">
        <f>S2-S3</f>
        <v>6.385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11.368</v>
      </c>
      <c r="K5" s="23" t="n">
        <v>12.147</v>
      </c>
      <c r="L5" s="23" t="n">
        <v>17.853</v>
      </c>
      <c r="M5" s="23" t="n">
        <v>12.824</v>
      </c>
      <c r="N5" s="23" t="n">
        <v>15.008</v>
      </c>
      <c r="O5" s="23" t="n">
        <v>19.67</v>
      </c>
      <c r="P5" s="23" t="n">
        <v>32.662</v>
      </c>
      <c r="Q5" s="23" t="n">
        <v>48.929</v>
      </c>
      <c r="R5" s="23" t="n">
        <v>51.03</v>
      </c>
      <c r="S5" s="23" t="n">
        <v>90.96299999999999</v>
      </c>
    </row>
    <row r="6">
      <c r="A6" s="19" t="inlineStr">
        <is>
          <t>SG&amp;A &amp; Other</t>
        </is>
      </c>
      <c r="B6" s="23" t="n">
        <v>0.034</v>
      </c>
      <c r="C6" s="23" t="n">
        <v>0.02</v>
      </c>
      <c r="D6" s="23" t="n">
        <v>0.021</v>
      </c>
      <c r="E6" s="23" t="n">
        <v>0.024</v>
      </c>
      <c r="F6" s="23" t="n">
        <v>0.022</v>
      </c>
      <c r="G6" s="23" t="n">
        <v>0.023</v>
      </c>
      <c r="H6" s="23" t="n">
        <v>0.024</v>
      </c>
      <c r="I6" s="23" t="n">
        <v>0.023</v>
      </c>
      <c r="J6" s="23" t="n">
        <v>5.266</v>
      </c>
      <c r="K6" s="23" t="n">
        <v>9.241</v>
      </c>
      <c r="L6" s="23" t="n">
        <v>13.486</v>
      </c>
      <c r="M6" s="23" t="n">
        <v>11.62</v>
      </c>
      <c r="N6" s="23" t="n">
        <v>1.541</v>
      </c>
      <c r="O6" s="23" t="n">
        <v>105.547</v>
      </c>
      <c r="P6" s="23" t="n">
        <v>43.9</v>
      </c>
      <c r="Q6" s="23" t="n">
        <v>44.549</v>
      </c>
      <c r="R6" s="23" t="n">
        <v>39.387</v>
      </c>
      <c r="S6" s="23" t="n">
        <v>29.822</v>
      </c>
    </row>
    <row r="7">
      <c r="A7" s="2" t="inlineStr">
        <is>
          <t>Operating Expense</t>
        </is>
      </c>
      <c r="B7" s="23">
        <f>SUM(B5:B6)</f>
        <v>0.034</v>
      </c>
      <c r="C7" s="23">
        <f>SUM(C5:C6)</f>
        <v>0.02</v>
      </c>
      <c r="D7" s="23">
        <f>SUM(D5:D6)</f>
        <v>0.021</v>
      </c>
      <c r="E7" s="23">
        <f>SUM(E5:E6)</f>
        <v>0.024</v>
      </c>
      <c r="F7" s="23">
        <f>SUM(F5:F6)</f>
        <v>0.022</v>
      </c>
      <c r="G7" s="23">
        <f>SUM(G5:G6)</f>
        <v>0.023</v>
      </c>
      <c r="H7" s="23">
        <f>SUM(H5:H6)</f>
        <v>0.024</v>
      </c>
      <c r="I7" s="23">
        <f>SUM(I5:I6)</f>
        <v>0.023</v>
      </c>
      <c r="J7" s="23">
        <f>SUM(J5:J6)</f>
        <v>16.634</v>
      </c>
      <c r="K7" s="23">
        <f>SUM(K5:K6)</f>
        <v>21.387999999999998</v>
      </c>
      <c r="L7" s="23">
        <f>SUM(L5:L6)</f>
        <v>31.339000000000002</v>
      </c>
      <c r="M7" s="23">
        <f>SUM(M5:M6)</f>
        <v>24.444</v>
      </c>
      <c r="N7" s="23">
        <f>SUM(N5:N6)</f>
        <v>16.549</v>
      </c>
      <c r="O7" s="23">
        <f>SUM(O5:O6)</f>
        <v>125.217</v>
      </c>
      <c r="P7" s="23">
        <f>SUM(P5:P6)</f>
        <v>76.562</v>
      </c>
      <c r="Q7" s="23">
        <f>SUM(Q5:Q6)</f>
        <v>93.47800000000001</v>
      </c>
      <c r="R7" s="23">
        <f>SUM(R5:R6)</f>
        <v>90.417</v>
      </c>
      <c r="S7" s="23">
        <f>SUM(S5:S6)</f>
        <v>120.785</v>
      </c>
    </row>
    <row r="8">
      <c r="A8" s="2" t="inlineStr">
        <is>
          <t>Operating Income</t>
        </is>
      </c>
      <c r="B8" s="23">
        <f>B4-B7</f>
        <v>-0.034</v>
      </c>
      <c r="C8" s="23">
        <f>C4-C7</f>
        <v>-0.02</v>
      </c>
      <c r="D8" s="23">
        <f>D4-D7</f>
        <v>-0.021</v>
      </c>
      <c r="E8" s="23">
        <f>E4-E7</f>
        <v>-0.024</v>
      </c>
      <c r="F8" s="23">
        <f>F4-F7</f>
        <v>-0.022</v>
      </c>
      <c r="G8" s="23">
        <f>G4-G7</f>
        <v>-0.023</v>
      </c>
      <c r="H8" s="23">
        <f>H4-H7</f>
        <v>-0.024</v>
      </c>
      <c r="I8" s="23">
        <f>I4-I7</f>
        <v>-0.023</v>
      </c>
      <c r="J8" s="23">
        <f>J4-J7</f>
        <v>-16.634</v>
      </c>
      <c r="K8" s="23">
        <f>K4-K7</f>
        <v>-21.387999999999998</v>
      </c>
      <c r="L8" s="23">
        <f>L4-L7</f>
        <v>-11.182000000000002</v>
      </c>
      <c r="M8" s="23">
        <f>M4-M7</f>
        <v>-24.444</v>
      </c>
      <c r="N8" s="23">
        <f>N4-N7</f>
        <v>-2.5489999999999995</v>
      </c>
      <c r="O8" s="23">
        <f>O4-O7</f>
        <v>-111.217</v>
      </c>
      <c r="P8" s="23">
        <f>P4-P7</f>
        <v>-62.681</v>
      </c>
      <c r="Q8" s="23">
        <f>Q4-Q7</f>
        <v>-71.933</v>
      </c>
      <c r="R8" s="23">
        <f>R4-R7</f>
        <v>-67.458</v>
      </c>
      <c r="S8" s="23">
        <f>S4-S7</f>
        <v>-114.39999999999999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-0.002</v>
      </c>
      <c r="E9" s="23" t="n">
        <v>-0.004</v>
      </c>
      <c r="F9" s="23" t="n">
        <v>-0.005</v>
      </c>
      <c r="G9" s="23" t="n">
        <v>-0.006</v>
      </c>
      <c r="H9" s="23" t="n">
        <v>-0.007</v>
      </c>
      <c r="I9" s="23" t="n">
        <v>-0.008</v>
      </c>
      <c r="J9" s="23" t="n">
        <v>-0.35</v>
      </c>
      <c r="K9" s="23" t="n">
        <v>-0.012</v>
      </c>
      <c r="L9" s="23" t="n">
        <v>0.785</v>
      </c>
      <c r="M9" s="23" t="n">
        <v>1.174</v>
      </c>
      <c r="N9" s="23" t="n">
        <v>-0.927</v>
      </c>
      <c r="O9" s="23" t="n">
        <v>1.129</v>
      </c>
      <c r="P9" s="23" t="n">
        <v>2.168</v>
      </c>
      <c r="Q9" s="23" t="n">
        <v>6.168</v>
      </c>
      <c r="R9" s="23" t="n">
        <v>3.767</v>
      </c>
      <c r="S9" s="23" t="n">
        <v>93.804</v>
      </c>
    </row>
    <row r="10">
      <c r="A10" s="2" t="inlineStr">
        <is>
          <t>Pretax</t>
        </is>
      </c>
      <c r="B10" s="23">
        <f>B8+B9</f>
        <v>-0.034</v>
      </c>
      <c r="C10" s="23">
        <f>C8+C9</f>
        <v>-0.02</v>
      </c>
      <c r="D10" s="23">
        <f>D8+D9</f>
        <v>-0.023</v>
      </c>
      <c r="E10" s="23">
        <f>E8+E9</f>
        <v>-0.028</v>
      </c>
      <c r="F10" s="23">
        <f>F8+F9</f>
        <v>-0.027</v>
      </c>
      <c r="G10" s="23">
        <f>G8+G9</f>
        <v>-0.028999999999999998</v>
      </c>
      <c r="H10" s="23">
        <f>H8+H9</f>
        <v>-0.031</v>
      </c>
      <c r="I10" s="23">
        <f>I8+I9</f>
        <v>-0.031</v>
      </c>
      <c r="J10" s="23">
        <f>J8+J9</f>
        <v>-16.984</v>
      </c>
      <c r="K10" s="23">
        <f>K8+K9</f>
        <v>-21.4</v>
      </c>
      <c r="L10" s="23">
        <f>L8+L9</f>
        <v>-10.397000000000002</v>
      </c>
      <c r="M10" s="23">
        <f>M8+M9</f>
        <v>-23.27</v>
      </c>
      <c r="N10" s="23">
        <f>N8+N9</f>
        <v>-3.4759999999999995</v>
      </c>
      <c r="O10" s="23">
        <f>O8+O9</f>
        <v>-110.088</v>
      </c>
      <c r="P10" s="23">
        <f>P8+P9</f>
        <v>-60.513</v>
      </c>
      <c r="Q10" s="23">
        <f>Q8+Q9</f>
        <v>-65.765</v>
      </c>
      <c r="R10" s="23">
        <f>R8+R9</f>
        <v>-63.690999999999995</v>
      </c>
      <c r="S10" s="23">
        <f>S8+S9</f>
        <v>-20.59599999999999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0.002</v>
      </c>
      <c r="O11" s="23" t="n">
        <v>0.002</v>
      </c>
      <c r="P11" s="23" t="n">
        <v>0</v>
      </c>
      <c r="Q11" s="23" t="n">
        <v>0</v>
      </c>
      <c r="R11" s="23" t="n">
        <v>0</v>
      </c>
      <c r="S11" s="23" t="n">
        <v>0</v>
      </c>
    </row>
    <row r="12">
      <c r="A12" s="2" t="inlineStr">
        <is>
          <t>Net Income</t>
        </is>
      </c>
      <c r="B12" s="23" t="n">
        <v>-0.034</v>
      </c>
      <c r="C12" s="23" t="n">
        <v>-0.02</v>
      </c>
      <c r="D12" s="23" t="n">
        <v>-0.022</v>
      </c>
      <c r="E12" s="23" t="n">
        <v>-0.027</v>
      </c>
      <c r="F12" s="23" t="n">
        <v>-0.027</v>
      </c>
      <c r="G12" s="23" t="n">
        <v>-0.029</v>
      </c>
      <c r="H12" s="23" t="n">
        <v>-0.031</v>
      </c>
      <c r="I12" s="23" t="n">
        <v>-0.031</v>
      </c>
      <c r="J12" s="23" t="n">
        <v>-16.984</v>
      </c>
      <c r="K12" s="23" t="n">
        <v>-21.401</v>
      </c>
      <c r="L12" s="23" t="n">
        <v>-10.397</v>
      </c>
      <c r="M12" s="23" t="n">
        <v>-23.271</v>
      </c>
      <c r="N12" s="23" t="n">
        <v>-3.478</v>
      </c>
      <c r="O12" s="23" t="n">
        <v>-110.09</v>
      </c>
      <c r="P12" s="23" t="n">
        <v>-60.513</v>
      </c>
      <c r="Q12" s="23" t="n">
        <v>-65.765</v>
      </c>
      <c r="R12" s="23" t="n">
        <v>-63.691</v>
      </c>
      <c r="S12" s="23" t="n">
        <v>-20.596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-0.003456221198156682</v>
      </c>
      <c r="F13" s="11">
        <f>IFERROR(F12/F14,0)</f>
        <v>-0.003456221198156682</v>
      </c>
      <c r="G13" s="11">
        <f>IFERROR(G12/G14,0)</f>
        <v>-0.0037122375832053254</v>
      </c>
      <c r="H13" s="11">
        <f>IFERROR(H12/H14,0)</f>
        <v>-0.003968253968253968</v>
      </c>
      <c r="I13" s="11">
        <f>IFERROR(I12/I14,0)</f>
        <v>-0.003968253968253968</v>
      </c>
      <c r="J13" s="11">
        <f>IFERROR(J12/J14,0)</f>
        <v>-12.750750750750752</v>
      </c>
      <c r="K13" s="11">
        <f>IFERROR(K12/K14,0)</f>
        <v>-15.79409594095941</v>
      </c>
      <c r="L13" s="11">
        <f>IFERROR(L12/L14,0)</f>
        <v>-4.901933050447902</v>
      </c>
      <c r="M13" s="11">
        <f>IFERROR(M12/M14,0)</f>
        <v>-9.172644856129287</v>
      </c>
      <c r="N13" s="11">
        <f>IFERROR(N12/N14,0)</f>
        <v>-1.3682140047206925</v>
      </c>
      <c r="O13" s="11">
        <f>IFERROR(O12/O14,0)</f>
        <v>-12.337778773954948</v>
      </c>
      <c r="P13" s="11">
        <f>IFERROR(P12/P14,0)</f>
        <v>-2.688152458797921</v>
      </c>
      <c r="Q13" s="11">
        <f>IFERROR(Q12/Q14,0)</f>
        <v>-2.443160710305372</v>
      </c>
      <c r="R13" s="11">
        <f>IFERROR(R12/R14,0)</f>
        <v>-2.3563078061413245</v>
      </c>
      <c r="S13" s="11">
        <f>IFERROR(S12/S14,0)</f>
        <v>-0.33280010341428734</v>
      </c>
    </row>
    <row r="14">
      <c r="A14" s="2" t="inlineStr">
        <is>
          <t>Shares</t>
        </is>
      </c>
      <c r="B14" s="23" t="n"/>
      <c r="C14" s="23" t="n"/>
      <c r="D14" s="23" t="n"/>
      <c r="E14" s="23" t="n">
        <v>7.812</v>
      </c>
      <c r="F14" s="23" t="n">
        <v>7.812</v>
      </c>
      <c r="G14" s="23" t="n">
        <v>7.812</v>
      </c>
      <c r="H14" s="23" t="n">
        <v>7.812</v>
      </c>
      <c r="I14" s="23" t="n">
        <v>7.812</v>
      </c>
      <c r="J14" s="23" t="n">
        <v>1.332</v>
      </c>
      <c r="K14" s="23" t="n">
        <v>1.355</v>
      </c>
      <c r="L14" s="23" t="n">
        <v>2.121</v>
      </c>
      <c r="M14" s="23" t="n">
        <v>2.537</v>
      </c>
      <c r="N14" s="23" t="n">
        <v>2.542</v>
      </c>
      <c r="O14" s="23" t="n">
        <v>8.923</v>
      </c>
      <c r="P14" s="23" t="n">
        <v>22.511</v>
      </c>
      <c r="Q14" s="23" t="n">
        <v>26.918</v>
      </c>
      <c r="R14" s="23" t="n">
        <v>27.03</v>
      </c>
      <c r="S14" s="23" t="n">
        <v>61.887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-1.0</v>
      </c>
      <c r="N16" s="15">
        <f>IFERROR(N2/M2-1,"")</f>
        <v/>
      </c>
      <c r="O16" s="15">
        <f>IFERROR(O2/N2-1,"")</f>
        <v>0.0</v>
      </c>
      <c r="P16" s="15">
        <f>IFERROR(P2/O2-1,"")</f>
        <v>0.08685714285714274</v>
      </c>
      <c r="Q16" s="15">
        <f>IFERROR(Q2/P2-1,"")</f>
        <v>0.600552050473186</v>
      </c>
      <c r="R16" s="15">
        <f>IFERROR(R2/Q2-1,"")</f>
        <v>0.06688839615668885</v>
      </c>
      <c r="S16" s="15">
        <f>IFERROR(S2/R2-1,"")</f>
        <v>-0.7250125081784244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/>
      </c>
      <c r="N17" s="15">
        <f>IFERROR(N4/N2,"")</f>
        <v>1.0</v>
      </c>
      <c r="O17" s="15">
        <f>IFERROR(O4/O2,"")</f>
        <v>1.0</v>
      </c>
      <c r="P17" s="15">
        <f>IFERROR(P4/P2,"")</f>
        <v>0.9122634069400631</v>
      </c>
      <c r="Q17" s="15">
        <f>IFERROR(Q4/Q2,"")</f>
        <v>0.8846596041717992</v>
      </c>
      <c r="R17" s="15">
        <f>IFERROR(R4/R2,"")</f>
        <v>0.8836162105992379</v>
      </c>
      <c r="S17" s="15">
        <f>IFERROR(S4/S2,"")</f>
        <v>0.893631910426872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-0.5547452497891553</v>
      </c>
      <c r="M18" s="15">
        <f>IFERROR(M8/M2,"")</f>
        <v/>
      </c>
      <c r="N18" s="15">
        <f>IFERROR(N8/N2,"")</f>
        <v>-0.18207142857142852</v>
      </c>
      <c r="O18" s="15">
        <f>IFERROR(O8/O2,"")</f>
        <v>-7.944071428571428</v>
      </c>
      <c r="P18" s="15">
        <f>IFERROR(P8/P2,"")</f>
        <v>-4.119413774973712</v>
      </c>
      <c r="Q18" s="15">
        <f>IFERROR(Q8/Q2,"")</f>
        <v>-2.9536421121786978</v>
      </c>
      <c r="R18" s="15">
        <f>IFERROR(R8/R2,"")</f>
        <v>-2.59623600046184</v>
      </c>
      <c r="S18" s="15">
        <f>IFERROR(S8/S2,"")</f>
        <v>-16.011196641007697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2026-10-21T01:05:44Z</dcterms:modified>
  <cp:lastModifiedBy>Wang, Eric</cp:lastModifiedBy>
</cp:coreProperties>
</file>