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Whitehawk Therapeutics, Inc.</t>
        </is>
      </c>
      <c r="C2" s="10" t="n"/>
    </row>
    <row r="3">
      <c r="B3" t="inlineStr">
        <is>
          <t>Price</t>
        </is>
      </c>
      <c r="C3" s="11">
        <f>INDEX([1]Pharma!$F$1:$F$1000,MATCH("WHWK",[1]Pharma!$B$1:$B$1000,0))</f>
        <v>3.19</v>
      </c>
      <c r="F3" s="1" t="n"/>
    </row>
    <row r="4">
      <c r="B4" t="inlineStr">
        <is>
          <t>Shares</t>
        </is>
      </c>
      <c r="C4" s="21" t="n">
        <v>57.00901</v>
      </c>
      <c r="F4" s="1" t="n"/>
    </row>
    <row r="5">
      <c r="B5" t="inlineStr">
        <is>
          <t>Market Cap.</t>
        </is>
      </c>
      <c r="C5" s="13">
        <f>C3*C4</f>
        <v>181.8587419</v>
      </c>
      <c r="F5" s="1" t="n"/>
    </row>
    <row r="6"/>
    <row r="7">
      <c r="B7" t="inlineStr">
        <is>
          <t>Cash</t>
        </is>
      </c>
      <c r="C7" s="21">
        <f>85.234+104.748</f>
        <v>189.982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-8.123258099999987</v>
      </c>
    </row>
    <row r="10"/>
    <row r="11">
      <c r="B11" s="14" t="inlineStr">
        <is>
          <t>rNPV / Share</t>
        </is>
      </c>
      <c r="C11" s="11">
        <f>NPV!B27</f>
        <v>-0.17839337420395632</v>
      </c>
    </row>
    <row r="12">
      <c r="B12" s="14" t="inlineStr">
        <is>
          <t>Upside</t>
        </is>
      </c>
      <c r="C12" s="15">
        <f>IFERROR(C11/C3-1,"")</f>
        <v>-1.0559226878382308</v>
      </c>
    </row>
    <row r="13">
      <c r="B13" s="14" t="inlineStr">
        <is>
          <t>Cash / Share</t>
        </is>
      </c>
      <c r="C13" s="11">
        <f>IFERROR((C7-C8)/C4,"")</f>
        <v>3.3324907764579668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-69.349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2.739505977014809</v>
      </c>
    </row>
    <row r="19">
      <c r="B19" s="14" t="inlineStr">
        <is>
          <t>Implied Pipeline Value</t>
        </is>
      </c>
      <c r="C19" s="13">
        <f>C9</f>
        <v>-8.123258099999987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2008</v>
      </c>
      <c r="C1" s="17" t="n">
        <v>2009</v>
      </c>
      <c r="D1" s="17" t="n">
        <v>2010</v>
      </c>
      <c r="E1" s="17" t="n">
        <v>2011</v>
      </c>
      <c r="F1" s="17" t="n">
        <v>2012</v>
      </c>
      <c r="G1" s="17" t="n">
        <v>2013</v>
      </c>
      <c r="H1" s="17" t="n">
        <v>2014</v>
      </c>
      <c r="I1" s="17" t="n">
        <v>2015</v>
      </c>
      <c r="J1" s="17" t="n">
        <v>2016</v>
      </c>
      <c r="K1" s="17" t="n">
        <v>2017</v>
      </c>
      <c r="L1" s="17" t="n">
        <v>2018</v>
      </c>
      <c r="M1" s="17" t="n">
        <v>2019</v>
      </c>
      <c r="N1" s="17" t="n">
        <v>2020</v>
      </c>
      <c r="O1" s="17" t="n">
        <v>2021</v>
      </c>
      <c r="P1" s="17" t="n">
        <v>2022</v>
      </c>
      <c r="Q1" s="17" t="n">
        <v>2023</v>
      </c>
      <c r="R1" s="17" t="n">
        <v>2024</v>
      </c>
      <c r="S1" s="17" t="n">
        <v>2025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20.157</v>
      </c>
      <c r="M2" s="23" t="n">
        <v>0</v>
      </c>
      <c r="N2" s="23" t="n">
        <v>14</v>
      </c>
      <c r="O2" s="23" t="n">
        <v>14</v>
      </c>
      <c r="P2" s="23" t="n">
        <v>15.216</v>
      </c>
      <c r="Q2" s="23" t="n">
        <v>24.354</v>
      </c>
      <c r="R2" s="23" t="n">
        <v>25.983</v>
      </c>
      <c r="S2" s="23" t="n">
        <v>7.145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1.335</v>
      </c>
      <c r="Q3" s="23" t="n">
        <v>2.809</v>
      </c>
      <c r="R3" s="23" t="n">
        <v>3.024</v>
      </c>
      <c r="S3" s="23" t="n">
        <v>0.76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20.157</v>
      </c>
      <c r="M4" s="23">
        <f>M2-M3</f>
        <v>0.0</v>
      </c>
      <c r="N4" s="23">
        <f>N2-N3</f>
        <v>14.0</v>
      </c>
      <c r="O4" s="23">
        <f>O2-O3</f>
        <v>14.0</v>
      </c>
      <c r="P4" s="23">
        <f>P2-P3</f>
        <v>13.881</v>
      </c>
      <c r="Q4" s="23">
        <f>Q2-Q3</f>
        <v>21.544999999999998</v>
      </c>
      <c r="R4" s="23">
        <f>R2-R3</f>
        <v>22.959</v>
      </c>
      <c r="S4" s="23">
        <f>S2-S3</f>
        <v>6.385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11.368</v>
      </c>
      <c r="K5" s="23" t="n">
        <v>12.147</v>
      </c>
      <c r="L5" s="23" t="n">
        <v>17.853</v>
      </c>
      <c r="M5" s="23" t="n">
        <v>12.824</v>
      </c>
      <c r="N5" s="23" t="n">
        <v>15.008</v>
      </c>
      <c r="O5" s="23" t="n">
        <v>19.67</v>
      </c>
      <c r="P5" s="23" t="n">
        <v>32.662</v>
      </c>
      <c r="Q5" s="23" t="n">
        <v>48.929</v>
      </c>
      <c r="R5" s="23" t="n">
        <v>51.03</v>
      </c>
      <c r="S5" s="23" t="n">
        <v>90.96299999999999</v>
      </c>
    </row>
    <row r="6">
      <c r="A6" s="19" t="inlineStr">
        <is>
          <t>SG&amp;A &amp; Other</t>
        </is>
      </c>
      <c r="B6" s="23" t="n">
        <v>0.034</v>
      </c>
      <c r="C6" s="23" t="n">
        <v>0.02</v>
      </c>
      <c r="D6" s="23" t="n">
        <v>0.021</v>
      </c>
      <c r="E6" s="23" t="n">
        <v>0.024</v>
      </c>
      <c r="F6" s="23" t="n">
        <v>0.022</v>
      </c>
      <c r="G6" s="23" t="n">
        <v>0.023</v>
      </c>
      <c r="H6" s="23" t="n">
        <v>0.024</v>
      </c>
      <c r="I6" s="23" t="n">
        <v>0.023</v>
      </c>
      <c r="J6" s="23" t="n">
        <v>5.266</v>
      </c>
      <c r="K6" s="23" t="n">
        <v>9.241</v>
      </c>
      <c r="L6" s="23" t="n">
        <v>13.486</v>
      </c>
      <c r="M6" s="23" t="n">
        <v>11.62</v>
      </c>
      <c r="N6" s="23" t="n">
        <v>1.541</v>
      </c>
      <c r="O6" s="23" t="n">
        <v>105.547</v>
      </c>
      <c r="P6" s="23" t="n">
        <v>43.9</v>
      </c>
      <c r="Q6" s="23" t="n">
        <v>44.549</v>
      </c>
      <c r="R6" s="23" t="n">
        <v>39.387</v>
      </c>
      <c r="S6" s="23" t="n">
        <v>29.822</v>
      </c>
    </row>
    <row r="7">
      <c r="A7" s="2" t="inlineStr">
        <is>
          <t>Operating Expense</t>
        </is>
      </c>
      <c r="B7" s="23">
        <f>SUM(B5:B6)</f>
        <v>0.034</v>
      </c>
      <c r="C7" s="23">
        <f>SUM(C5:C6)</f>
        <v>0.02</v>
      </c>
      <c r="D7" s="23">
        <f>SUM(D5:D6)</f>
        <v>0.021</v>
      </c>
      <c r="E7" s="23">
        <f>SUM(E5:E6)</f>
        <v>0.024</v>
      </c>
      <c r="F7" s="23">
        <f>SUM(F5:F6)</f>
        <v>0.022</v>
      </c>
      <c r="G7" s="23">
        <f>SUM(G5:G6)</f>
        <v>0.023</v>
      </c>
      <c r="H7" s="23">
        <f>SUM(H5:H6)</f>
        <v>0.024</v>
      </c>
      <c r="I7" s="23">
        <f>SUM(I5:I6)</f>
        <v>0.023</v>
      </c>
      <c r="J7" s="23">
        <f>SUM(J5:J6)</f>
        <v>16.634</v>
      </c>
      <c r="K7" s="23">
        <f>SUM(K5:K6)</f>
        <v>21.387999999999998</v>
      </c>
      <c r="L7" s="23">
        <f>SUM(L5:L6)</f>
        <v>31.339000000000002</v>
      </c>
      <c r="M7" s="23">
        <f>SUM(M5:M6)</f>
        <v>24.444</v>
      </c>
      <c r="N7" s="23">
        <f>SUM(N5:N6)</f>
        <v>16.549</v>
      </c>
      <c r="O7" s="23">
        <f>SUM(O5:O6)</f>
        <v>125.217</v>
      </c>
      <c r="P7" s="23">
        <f>SUM(P5:P6)</f>
        <v>76.562</v>
      </c>
      <c r="Q7" s="23">
        <f>SUM(Q5:Q6)</f>
        <v>93.47800000000001</v>
      </c>
      <c r="R7" s="23">
        <f>SUM(R5:R6)</f>
        <v>90.417</v>
      </c>
      <c r="S7" s="23">
        <f>SUM(S5:S6)</f>
        <v>120.785</v>
      </c>
    </row>
    <row r="8">
      <c r="A8" s="2" t="inlineStr">
        <is>
          <t>Operating Income</t>
        </is>
      </c>
      <c r="B8" s="23">
        <f>B4-B7</f>
        <v>-0.034</v>
      </c>
      <c r="C8" s="23">
        <f>C4-C7</f>
        <v>-0.02</v>
      </c>
      <c r="D8" s="23">
        <f>D4-D7</f>
        <v>-0.021</v>
      </c>
      <c r="E8" s="23">
        <f>E4-E7</f>
        <v>-0.024</v>
      </c>
      <c r="F8" s="23">
        <f>F4-F7</f>
        <v>-0.022</v>
      </c>
      <c r="G8" s="23">
        <f>G4-G7</f>
        <v>-0.023</v>
      </c>
      <c r="H8" s="23">
        <f>H4-H7</f>
        <v>-0.024</v>
      </c>
      <c r="I8" s="23">
        <f>I4-I7</f>
        <v>-0.023</v>
      </c>
      <c r="J8" s="23">
        <f>J4-J7</f>
        <v>-16.634</v>
      </c>
      <c r="K8" s="23">
        <f>K4-K7</f>
        <v>-21.387999999999998</v>
      </c>
      <c r="L8" s="23">
        <f>L4-L7</f>
        <v>-11.182000000000002</v>
      </c>
      <c r="M8" s="23">
        <f>M4-M7</f>
        <v>-24.444</v>
      </c>
      <c r="N8" s="23">
        <f>N4-N7</f>
        <v>-2.5489999999999995</v>
      </c>
      <c r="O8" s="23">
        <f>O4-O7</f>
        <v>-111.217</v>
      </c>
      <c r="P8" s="23">
        <f>P4-P7</f>
        <v>-62.681</v>
      </c>
      <c r="Q8" s="23">
        <f>Q4-Q7</f>
        <v>-71.933</v>
      </c>
      <c r="R8" s="23">
        <f>R4-R7</f>
        <v>-67.458</v>
      </c>
      <c r="S8" s="23">
        <f>S4-S7</f>
        <v>-114.39999999999999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-0.002</v>
      </c>
      <c r="E9" s="23" t="n">
        <v>-0.004</v>
      </c>
      <c r="F9" s="23" t="n">
        <v>-0.005</v>
      </c>
      <c r="G9" s="23" t="n">
        <v>-0.006</v>
      </c>
      <c r="H9" s="23" t="n">
        <v>-0.007</v>
      </c>
      <c r="I9" s="23" t="n">
        <v>-0.008</v>
      </c>
      <c r="J9" s="23" t="n">
        <v>-0.35</v>
      </c>
      <c r="K9" s="23" t="n">
        <v>-0.012</v>
      </c>
      <c r="L9" s="23" t="n">
        <v>0.785</v>
      </c>
      <c r="M9" s="23" t="n">
        <v>1.174</v>
      </c>
      <c r="N9" s="23" t="n">
        <v>-0.927</v>
      </c>
      <c r="O9" s="23" t="n">
        <v>1.129</v>
      </c>
      <c r="P9" s="23" t="n">
        <v>2.168</v>
      </c>
      <c r="Q9" s="23" t="n">
        <v>6.168</v>
      </c>
      <c r="R9" s="23" t="n">
        <v>3.767</v>
      </c>
      <c r="S9" s="23" t="n">
        <v>93.804</v>
      </c>
    </row>
    <row r="10">
      <c r="A10" s="2" t="inlineStr">
        <is>
          <t>Pretax</t>
        </is>
      </c>
      <c r="B10" s="23">
        <f>B8+B9</f>
        <v>-0.034</v>
      </c>
      <c r="C10" s="23">
        <f>C8+C9</f>
        <v>-0.02</v>
      </c>
      <c r="D10" s="23">
        <f>D8+D9</f>
        <v>-0.023</v>
      </c>
      <c r="E10" s="23">
        <f>E8+E9</f>
        <v>-0.028</v>
      </c>
      <c r="F10" s="23">
        <f>F8+F9</f>
        <v>-0.027</v>
      </c>
      <c r="G10" s="23">
        <f>G8+G9</f>
        <v>-0.028999999999999998</v>
      </c>
      <c r="H10" s="23">
        <f>H8+H9</f>
        <v>-0.031</v>
      </c>
      <c r="I10" s="23">
        <f>I8+I9</f>
        <v>-0.031</v>
      </c>
      <c r="J10" s="23">
        <f>J8+J9</f>
        <v>-16.984</v>
      </c>
      <c r="K10" s="23">
        <f>K8+K9</f>
        <v>-21.4</v>
      </c>
      <c r="L10" s="23">
        <f>L8+L9</f>
        <v>-10.397000000000002</v>
      </c>
      <c r="M10" s="23">
        <f>M8+M9</f>
        <v>-23.27</v>
      </c>
      <c r="N10" s="23">
        <f>N8+N9</f>
        <v>-3.4759999999999995</v>
      </c>
      <c r="O10" s="23">
        <f>O8+O9</f>
        <v>-110.088</v>
      </c>
      <c r="P10" s="23">
        <f>P8+P9</f>
        <v>-60.513</v>
      </c>
      <c r="Q10" s="23">
        <f>Q8+Q9</f>
        <v>-65.765</v>
      </c>
      <c r="R10" s="23">
        <f>R8+R9</f>
        <v>-63.690999999999995</v>
      </c>
      <c r="S10" s="23">
        <f>S8+S9</f>
        <v>-20.59599999999999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0.002</v>
      </c>
      <c r="O11" s="23" t="n">
        <v>0.002</v>
      </c>
      <c r="P11" s="23" t="n">
        <v>0</v>
      </c>
      <c r="Q11" s="23" t="n">
        <v>0</v>
      </c>
      <c r="R11" s="23" t="n">
        <v>0</v>
      </c>
      <c r="S11" s="23" t="n">
        <v>0</v>
      </c>
    </row>
    <row r="12">
      <c r="A12" s="2" t="inlineStr">
        <is>
          <t>Net Income</t>
        </is>
      </c>
      <c r="B12" s="23" t="n">
        <v>-0.034</v>
      </c>
      <c r="C12" s="23" t="n">
        <v>-0.02</v>
      </c>
      <c r="D12" s="23" t="n">
        <v>-0.022</v>
      </c>
      <c r="E12" s="23" t="n">
        <v>-0.027</v>
      </c>
      <c r="F12" s="23" t="n">
        <v>-0.027</v>
      </c>
      <c r="G12" s="23" t="n">
        <v>-0.029</v>
      </c>
      <c r="H12" s="23" t="n">
        <v>-0.031</v>
      </c>
      <c r="I12" s="23" t="n">
        <v>-0.031</v>
      </c>
      <c r="J12" s="23" t="n">
        <v>-16.984</v>
      </c>
      <c r="K12" s="23" t="n">
        <v>-21.401</v>
      </c>
      <c r="L12" s="23" t="n">
        <v>-10.397</v>
      </c>
      <c r="M12" s="23" t="n">
        <v>-23.271</v>
      </c>
      <c r="N12" s="23" t="n">
        <v>-3.478</v>
      </c>
      <c r="O12" s="23" t="n">
        <v>-110.09</v>
      </c>
      <c r="P12" s="23" t="n">
        <v>-60.513</v>
      </c>
      <c r="Q12" s="23" t="n">
        <v>-65.765</v>
      </c>
      <c r="R12" s="23" t="n">
        <v>-63.691</v>
      </c>
      <c r="S12" s="23" t="n">
        <v>-20.596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-0.003456221198156682</v>
      </c>
      <c r="F13" s="11">
        <f>IFERROR(F12/F14,0)</f>
        <v>-0.003456221198156682</v>
      </c>
      <c r="G13" s="11">
        <f>IFERROR(G12/G14,0)</f>
        <v>-0.0037122375832053254</v>
      </c>
      <c r="H13" s="11">
        <f>IFERROR(H12/H14,0)</f>
        <v>-0.003968253968253968</v>
      </c>
      <c r="I13" s="11">
        <f>IFERROR(I12/I14,0)</f>
        <v>-0.003968253968253968</v>
      </c>
      <c r="J13" s="11">
        <f>IFERROR(J12/J14,0)</f>
        <v>-12.750750750750752</v>
      </c>
      <c r="K13" s="11">
        <f>IFERROR(K12/K14,0)</f>
        <v>-15.79409594095941</v>
      </c>
      <c r="L13" s="11">
        <f>IFERROR(L12/L14,0)</f>
        <v>-4.901933050447902</v>
      </c>
      <c r="M13" s="11">
        <f>IFERROR(M12/M14,0)</f>
        <v>-9.172644856129287</v>
      </c>
      <c r="N13" s="11">
        <f>IFERROR(N12/N14,0)</f>
        <v>-1.3682140047206925</v>
      </c>
      <c r="O13" s="11">
        <f>IFERROR(O12/O14,0)</f>
        <v>-12.337778773954948</v>
      </c>
      <c r="P13" s="11">
        <f>IFERROR(P12/P14,0)</f>
        <v>-2.688152458797921</v>
      </c>
      <c r="Q13" s="11">
        <f>IFERROR(Q12/Q14,0)</f>
        <v>-2.443160710305372</v>
      </c>
      <c r="R13" s="11">
        <f>IFERROR(R12/R14,0)</f>
        <v>-2.3563078061413245</v>
      </c>
      <c r="S13" s="11">
        <f>IFERROR(S12/S14,0)</f>
        <v>-0.33280010341428734</v>
      </c>
    </row>
    <row r="14">
      <c r="A14" s="2" t="inlineStr">
        <is>
          <t>Shares</t>
        </is>
      </c>
      <c r="B14" s="23" t="n"/>
      <c r="C14" s="23" t="n"/>
      <c r="D14" s="23" t="n"/>
      <c r="E14" s="23" t="n">
        <v>7.812</v>
      </c>
      <c r="F14" s="23" t="n">
        <v>7.812</v>
      </c>
      <c r="G14" s="23" t="n">
        <v>7.812</v>
      </c>
      <c r="H14" s="23" t="n">
        <v>7.812</v>
      </c>
      <c r="I14" s="23" t="n">
        <v>7.812</v>
      </c>
      <c r="J14" s="23" t="n">
        <v>1.332</v>
      </c>
      <c r="K14" s="23" t="n">
        <v>1.355</v>
      </c>
      <c r="L14" s="23" t="n">
        <v>2.121</v>
      </c>
      <c r="M14" s="23" t="n">
        <v>2.537</v>
      </c>
      <c r="N14" s="23" t="n">
        <v>2.542</v>
      </c>
      <c r="O14" s="23" t="n">
        <v>8.923</v>
      </c>
      <c r="P14" s="23" t="n">
        <v>22.511</v>
      </c>
      <c r="Q14" s="23" t="n">
        <v>26.918</v>
      </c>
      <c r="R14" s="23" t="n">
        <v>27.03</v>
      </c>
      <c r="S14" s="23" t="n">
        <v>61.887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>-1.0</v>
      </c>
      <c r="N16" s="15">
        <f>IFERROR(N2/M2-1,"")</f>
        <v/>
      </c>
      <c r="O16" s="15">
        <f>IFERROR(O2/N2-1,"")</f>
        <v>0.0</v>
      </c>
      <c r="P16" s="15">
        <f>IFERROR(P2/O2-1,"")</f>
        <v>0.08685714285714274</v>
      </c>
      <c r="Q16" s="15">
        <f>IFERROR(Q2/P2-1,"")</f>
        <v>0.600552050473186</v>
      </c>
      <c r="R16" s="15">
        <f>IFERROR(R2/Q2-1,"")</f>
        <v>0.06688839615668885</v>
      </c>
      <c r="S16" s="15">
        <f>IFERROR(S2/R2-1,"")</f>
        <v>-0.7250125081784244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>1.0</v>
      </c>
      <c r="M17" s="15">
        <f>IFERROR(M4/M2,"")</f>
        <v/>
      </c>
      <c r="N17" s="15">
        <f>IFERROR(N4/N2,"")</f>
        <v>1.0</v>
      </c>
      <c r="O17" s="15">
        <f>IFERROR(O4/O2,"")</f>
        <v>1.0</v>
      </c>
      <c r="P17" s="15">
        <f>IFERROR(P4/P2,"")</f>
        <v>0.9122634069400631</v>
      </c>
      <c r="Q17" s="15">
        <f>IFERROR(Q4/Q2,"")</f>
        <v>0.8846596041717992</v>
      </c>
      <c r="R17" s="15">
        <f>IFERROR(R4/R2,"")</f>
        <v>0.8836162105992379</v>
      </c>
      <c r="S17" s="15">
        <f>IFERROR(S4/S2,"")</f>
        <v>0.893631910426872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>-0.5547452497891553</v>
      </c>
      <c r="M18" s="15">
        <f>IFERROR(M8/M2,"")</f>
        <v/>
      </c>
      <c r="N18" s="15">
        <f>IFERROR(N8/N2,"")</f>
        <v>-0.18207142857142852</v>
      </c>
      <c r="O18" s="15">
        <f>IFERROR(O8/O2,"")</f>
        <v>-7.944071428571428</v>
      </c>
      <c r="P18" s="15">
        <f>IFERROR(P8/P2,"")</f>
        <v>-4.119413774973712</v>
      </c>
      <c r="Q18" s="15">
        <f>IFERROR(Q8/Q2,"")</f>
        <v>-2.9536421121786978</v>
      </c>
      <c r="R18" s="15">
        <f>IFERROR(R8/R2,"")</f>
        <v>-2.59623600046184</v>
      </c>
      <c r="S18" s="15">
        <f>IFERROR(S8/S2,"")</f>
        <v>-16.011196641007697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Whitehawk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0.05269999999999997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86.06399999999999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396.4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-200.1520296539271</v>
      </c>
      <c r="C29" s="42">
        <f>NPV!B25</f>
        <v>-10.170029653927088</v>
      </c>
      <c r="D29" s="43">
        <f>NPV!B27</f>
        <v>-0.17839337420395632</v>
      </c>
      <c r="E29" s="44">
        <f>NPV!B29</f>
        <v>-1.0559226878382308</v>
      </c>
    </row>
    <row r="30">
      <c r="A30" s="45" t="n">
        <v>1</v>
      </c>
      <c r="B30" s="46">
        <f t="dataTable" ref="B30:E32" r1="B4"/>
        <v>-225.16094677203856</v>
      </c>
      <c r="C30" s="46">
        <v>-35.17894677203856</v>
      </c>
      <c r="D30" s="47">
        <v>-0.6170769633087569</v>
      </c>
      <c r="E30" s="48">
        <v>-1.193441054328764</v>
      </c>
    </row>
    <row r="31">
      <c r="A31" s="45" t="n">
        <v>2</v>
      </c>
      <c r="B31" s="46">
        <v>-200.1520296539271</v>
      </c>
      <c r="C31" s="46">
        <v>-10.170029653927088</v>
      </c>
      <c r="D31" s="47">
        <v>-0.17839337420395632</v>
      </c>
      <c r="E31" s="48">
        <v>-1.0559226878382308</v>
      </c>
    </row>
    <row r="32">
      <c r="A32" s="45" t="n">
        <v>3</v>
      </c>
      <c r="B32" s="46">
        <v>-152.4337710151538</v>
      </c>
      <c r="C32" s="46">
        <v>37.54822898484619</v>
      </c>
      <c r="D32" s="47">
        <v>0.6586367485568717</v>
      </c>
      <c r="E32" s="48">
        <v>-0.7935307998254321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-0.17839337420395632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-0.8109906472942553</v>
      </c>
      <c r="C37" s="47">
        <v>-0.6652835679459063</v>
      </c>
      <c r="D37" s="47">
        <v>-0.5195764885975567</v>
      </c>
      <c r="E37" s="47">
        <v>-0.22816232990085955</v>
      </c>
      <c r="F37" s="47">
        <v>0.06325182879583857</v>
      </c>
    </row>
    <row r="38">
      <c r="A38" s="50" t="n">
        <v>0.8</v>
      </c>
      <c r="B38" s="47">
        <v>-0.7375371429963536</v>
      </c>
      <c r="C38" s="47">
        <v>-0.5432610371985557</v>
      </c>
      <c r="D38" s="47">
        <v>-0.34898493140075676</v>
      </c>
      <c r="E38" s="47">
        <v>0.03956728019484059</v>
      </c>
      <c r="F38" s="47">
        <v>0.42811949179043746</v>
      </c>
    </row>
    <row r="39">
      <c r="A39" s="50" t="n">
        <v>1</v>
      </c>
      <c r="B39" s="47">
        <v>-0.6640836386984529</v>
      </c>
      <c r="C39" s="47">
        <v>-0.4212385064512041</v>
      </c>
      <c r="D39" s="47">
        <v>-0.17839337420395632</v>
      </c>
      <c r="E39" s="47">
        <v>0.30729689029054025</v>
      </c>
      <c r="F39" s="47">
        <v>0.7929871547850368</v>
      </c>
    </row>
    <row r="40">
      <c r="A40" s="50" t="n">
        <v>1.2</v>
      </c>
      <c r="B40" s="47">
        <v>-0.5906301344005521</v>
      </c>
      <c r="C40" s="47">
        <v>-0.2992159757038545</v>
      </c>
      <c r="D40" s="47">
        <v>-0.007801817007156865</v>
      </c>
      <c r="E40" s="47">
        <v>0.5750265003862394</v>
      </c>
      <c r="F40" s="47">
        <v>1.1578548177796353</v>
      </c>
    </row>
    <row r="41">
      <c r="A41" s="50" t="n">
        <v>1.4</v>
      </c>
      <c r="B41" s="47">
        <v>-0.5171766301026514</v>
      </c>
      <c r="C41" s="47">
        <v>-0.1771934449565039</v>
      </c>
      <c r="D41" s="47">
        <v>0.16278974018964357</v>
      </c>
      <c r="E41" s="47">
        <v>0.8427561104819391</v>
      </c>
      <c r="F41" s="47">
        <v>1.5227224807742339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Whitehawk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Ovarian cancer</t>
        </is>
      </c>
      <c r="C4" s="14" t="inlineStr">
        <is>
          <t>HWK-016, MUCIN-16-targeted ADC, HWK-007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1200</v>
      </c>
      <c r="H4" s="27" t="n">
        <v>0.0527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55.3774422909388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6.324</v>
      </c>
      <c r="U4" s="23">
        <f>IF(U$3&lt;$I4,0,$G4*Assumptions!$E$11*INDEX(Assumptions!$B$24:$G$24,MIN(6,U$3-$I4+1))*IF(U$3&gt;$J4,(1-Assumptions!$B$26)^(U$3-$J4),1)*IF($H4&gt;=1,1,MIN(0.97,$H4*Assumptions!$E$12)))</f>
        <v>15.809999999999999</v>
      </c>
      <c r="V4" s="23">
        <f>IF(V$3&lt;$I4,0,$G4*Assumptions!$E$11*INDEX(Assumptions!$B$24:$G$24,MIN(6,V$3-$I4+1))*IF(V$3&gt;$J4,(1-Assumptions!$B$26)^(V$3-$J4),1)*IF($H4&gt;=1,1,MIN(0.97,$H4*Assumptions!$E$12)))</f>
        <v>28.458</v>
      </c>
      <c r="W4" s="23">
        <f>IF(W$3&lt;$I4,0,$G4*Assumptions!$E$11*INDEX(Assumptions!$B$24:$G$24,MIN(6,W$3-$I4+1))*IF(W$3&gt;$J4,(1-Assumptions!$B$26)^(W$3-$J4),1)*IF($H4&gt;=1,1,MIN(0.97,$H4*Assumptions!$E$12)))</f>
        <v>41.105999999999995</v>
      </c>
      <c r="X4" s="23">
        <f>IF(X$3&lt;$I4,0,$G4*Assumptions!$E$11*INDEX(Assumptions!$B$24:$G$24,MIN(6,X$3-$I4+1))*IF(X$3&gt;$J4,(1-Assumptions!$B$26)^(X$3-$J4),1)*IF($H4&gt;=1,1,MIN(0.97,$H4*Assumptions!$E$12)))</f>
        <v>53.754</v>
      </c>
      <c r="Y4" s="23">
        <f>IF(Y$3&lt;$I4,0,$G4*Assumptions!$E$11*INDEX(Assumptions!$B$24:$G$24,MIN(6,Y$3-$I4+1))*IF(Y$3&gt;$J4,(1-Assumptions!$B$26)^(Y$3-$J4),1)*IF($H4&gt;=1,1,MIN(0.97,$H4*Assumptions!$E$12)))</f>
        <v>63.239999999999995</v>
      </c>
      <c r="Z4" s="23">
        <f>IF(Z$3&lt;$I4,0,$G4*Assumptions!$E$11*INDEX(Assumptions!$B$24:$G$24,MIN(6,Z$3-$I4+1))*IF(Z$3&gt;$J4,(1-Assumptions!$B$26)^(Z$3-$J4),1)*IF($H4&gt;=1,1,MIN(0.97,$H4*Assumptions!$E$12)))</f>
        <v>63.239999999999995</v>
      </c>
      <c r="AA4" s="23">
        <f>IF(AA$3&lt;$I4,0,$G4*Assumptions!$E$11*INDEX(Assumptions!$B$24:$G$24,MIN(6,AA$3-$I4+1))*IF(AA$3&gt;$J4,(1-Assumptions!$B$26)^(AA$3-$J4),1)*IF($H4&gt;=1,1,MIN(0.97,$H4*Assumptions!$E$12)))</f>
        <v>63.239999999999995</v>
      </c>
      <c r="AB4" s="23">
        <f>IF(AB$3&lt;$I4,0,$G4*Assumptions!$E$11*INDEX(Assumptions!$B$24:$G$24,MIN(6,AB$3-$I4+1))*IF(AB$3&gt;$J4,(1-Assumptions!$B$26)^(AB$3-$J4),1)*IF($H4&gt;=1,1,MIN(0.97,$H4*Assumptions!$E$12)))</f>
        <v>63.239999999999995</v>
      </c>
      <c r="AC4" s="23">
        <f>IF(AC$3&lt;$I4,0,$G4*Assumptions!$E$11*INDEX(Assumptions!$B$24:$G$24,MIN(6,AC$3-$I4+1))*IF(AC$3&gt;$J4,(1-Assumptions!$B$26)^(AC$3-$J4),1)*IF($H4&gt;=1,1,MIN(0.97,$H4*Assumptions!$E$12)))</f>
        <v>63.239999999999995</v>
      </c>
      <c r="AD4" s="23">
        <f>IF(AD$3&lt;$I4,0,$G4*Assumptions!$E$11*INDEX(Assumptions!$B$24:$G$24,MIN(6,AD$3-$I4+1))*IF(AD$3&gt;$J4,(1-Assumptions!$B$26)^(AD$3-$J4),1)*IF($H4&gt;=1,1,MIN(0.97,$H4*Assumptions!$E$12)))</f>
        <v>63.239999999999995</v>
      </c>
      <c r="AE4" s="23">
        <f>IF(AE$3&lt;$I4,0,$G4*Assumptions!$E$11*INDEX(Assumptions!$B$24:$G$24,MIN(6,AE$3-$I4+1))*IF(AE$3&gt;$J4,(1-Assumptions!$B$26)^(AE$3-$J4),1)*IF($H4&gt;=1,1,MIN(0.97,$H4*Assumptions!$E$12)))</f>
        <v>63.239999999999995</v>
      </c>
      <c r="AF4" s="23">
        <f>IF(AF$3&lt;$I4,0,$G4*Assumptions!$E$11*INDEX(Assumptions!$B$24:$G$24,MIN(6,AF$3-$I4+1))*IF(AF$3&gt;$J4,(1-Assumptions!$B$26)^(AF$3-$J4),1)*IF($H4&gt;=1,1,MIN(0.97,$H4*Assumptions!$E$12)))</f>
        <v>63.239999999999995</v>
      </c>
      <c r="AG4" s="35">
        <f>IF(F4="Owned",1-IF(H4&gt;=1,1,MIN(0.97,H4*Assumptions!$E$12)),1)</f>
        <v>0.9473</v>
      </c>
    </row>
    <row r="5">
      <c r="B5" s="24" t="inlineStr">
        <is>
          <t>Risked revenue</t>
        </is>
      </c>
      <c r="L5" s="54">
        <f>SUM(L4:L4)</f>
        <v>55.3774422909388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6.324</v>
      </c>
      <c r="U5" s="54">
        <f>SUM(U4:U4)</f>
        <v>15.809999999999999</v>
      </c>
      <c r="V5" s="54">
        <f>SUM(V4:V4)</f>
        <v>28.458</v>
      </c>
      <c r="W5" s="54">
        <f>SUM(W4:W4)</f>
        <v>41.105999999999995</v>
      </c>
      <c r="X5" s="54">
        <f>SUM(X4:X4)</f>
        <v>53.754</v>
      </c>
      <c r="Y5" s="54">
        <f>SUM(Y4:Y4)</f>
        <v>63.239999999999995</v>
      </c>
      <c r="Z5" s="54">
        <f>SUM(Z4:Z4)</f>
        <v>63.239999999999995</v>
      </c>
      <c r="AA5" s="54">
        <f>SUM(AA4:AA4)</f>
        <v>63.239999999999995</v>
      </c>
      <c r="AB5" s="54">
        <f>SUM(AB4:AB4)</f>
        <v>63.239999999999995</v>
      </c>
      <c r="AC5" s="54">
        <f>SUM(AC4:AC4)</f>
        <v>63.239999999999995</v>
      </c>
      <c r="AD5" s="54">
        <f>SUM(AD4:AD4)</f>
        <v>63.239999999999995</v>
      </c>
      <c r="AE5" s="54">
        <f>SUM(AE4:AE4)</f>
        <v>63.239999999999995</v>
      </c>
      <c r="AF5" s="54">
        <f>SUM(AF4:AF4)</f>
        <v>63.239999999999995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2.5296000000000003</v>
      </c>
      <c r="U6" s="55">
        <f>SUMPRODUCT(U4:U4,$K$4:$K$4)</f>
        <v>6.324</v>
      </c>
      <c r="V6" s="55">
        <f>SUMPRODUCT(V4:V4,$K$4:$K$4)</f>
        <v>11.3832</v>
      </c>
      <c r="W6" s="55">
        <f>SUMPRODUCT(W4:W4,$K$4:$K$4)</f>
        <v>16.4424</v>
      </c>
      <c r="X6" s="55">
        <f>SUMPRODUCT(X4:X4,$K$4:$K$4)</f>
        <v>21.5016</v>
      </c>
      <c r="Y6" s="55">
        <f>SUMPRODUCT(Y4:Y4,$K$4:$K$4)</f>
        <v>25.296</v>
      </c>
      <c r="Z6" s="55">
        <f>SUMPRODUCT(Z4:Z4,$K$4:$K$4)</f>
        <v>25.296</v>
      </c>
      <c r="AA6" s="55">
        <f>SUMPRODUCT(AA4:AA4,$K$4:$K$4)</f>
        <v>25.296</v>
      </c>
      <c r="AB6" s="55">
        <f>SUMPRODUCT(AB4:AB4,$K$4:$K$4)</f>
        <v>25.296</v>
      </c>
      <c r="AC6" s="55">
        <f>SUMPRODUCT(AC4:AC4,$K$4:$K$4)</f>
        <v>25.296</v>
      </c>
      <c r="AD6" s="55">
        <f>SUMPRODUCT(AD4:AD4,$K$4:$K$4)</f>
        <v>25.296</v>
      </c>
      <c r="AE6" s="55">
        <f>SUMPRODUCT(AE4:AE4,$K$4:$K$4)</f>
        <v>25.296</v>
      </c>
      <c r="AF6" s="55">
        <f>SUMPRODUCT(AF4:AF4,$K$4:$K$4)</f>
        <v>25.296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Whitehawk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6.324</v>
      </c>
      <c r="K4" s="57">
        <f>Pipeline!U5</f>
        <v>15.809999999999999</v>
      </c>
      <c r="L4" s="57">
        <f>Pipeline!V5</f>
        <v>28.458</v>
      </c>
      <c r="M4" s="57">
        <f>Pipeline!W5</f>
        <v>41.105999999999995</v>
      </c>
      <c r="N4" s="57">
        <f>Pipeline!X5</f>
        <v>53.754</v>
      </c>
      <c r="O4" s="57">
        <f>Pipeline!Y5</f>
        <v>63.239999999999995</v>
      </c>
      <c r="P4" s="57">
        <f>Pipeline!Z5</f>
        <v>63.239999999999995</v>
      </c>
      <c r="Q4" s="57">
        <f>Pipeline!AA5</f>
        <v>63.239999999999995</v>
      </c>
      <c r="R4" s="57">
        <f>Pipeline!AB5</f>
        <v>63.239999999999995</v>
      </c>
      <c r="S4" s="57">
        <f>Pipeline!AC5</f>
        <v>63.239999999999995</v>
      </c>
      <c r="T4" s="57">
        <f>Pipeline!AD5</f>
        <v>63.239999999999995</v>
      </c>
      <c r="U4" s="57">
        <f>Pipeline!AE5</f>
        <v>63.239999999999995</v>
      </c>
      <c r="V4" s="57">
        <f>Pipeline!AF5</f>
        <v>63.239999999999995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2.5296000000000003</v>
      </c>
      <c r="K5" s="57">
        <f>Pipeline!U6</f>
        <v>6.324</v>
      </c>
      <c r="L5" s="57">
        <f>Pipeline!V6</f>
        <v>11.3832</v>
      </c>
      <c r="M5" s="57">
        <f>Pipeline!W6</f>
        <v>16.4424</v>
      </c>
      <c r="N5" s="57">
        <f>Pipeline!X6</f>
        <v>21.5016</v>
      </c>
      <c r="O5" s="57">
        <f>Pipeline!Y6</f>
        <v>25.296</v>
      </c>
      <c r="P5" s="57">
        <f>Pipeline!Z6</f>
        <v>25.296</v>
      </c>
      <c r="Q5" s="57">
        <f>Pipeline!AA6</f>
        <v>25.296</v>
      </c>
      <c r="R5" s="57">
        <f>Pipeline!AB6</f>
        <v>25.296</v>
      </c>
      <c r="S5" s="57">
        <f>Pipeline!AC6</f>
        <v>25.296</v>
      </c>
      <c r="T5" s="57">
        <f>Pipeline!AD6</f>
        <v>25.296</v>
      </c>
      <c r="U5" s="57">
        <f>Pipeline!AE6</f>
        <v>25.296</v>
      </c>
      <c r="V5" s="57">
        <f>Pipeline!AF6</f>
        <v>25.296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-86.064</v>
      </c>
      <c r="D6" s="23">
        <f>-IF(D3-2026&lt;Assumptions!$B$19,Assumptions!$B$18,Assumptions!$B$18*Assumptions!$B$20*Assumptions!$B$16)</f>
        <v>-86.064</v>
      </c>
      <c r="E6" s="23">
        <f>-IF(E3-2026&lt;Assumptions!$B$19,Assumptions!$B$18,Assumptions!$B$18*Assumptions!$B$20*Assumptions!$B$16)</f>
        <v>-86.064</v>
      </c>
      <c r="F6" s="23">
        <f>-IF(F3-2026&lt;Assumptions!$B$19,Assumptions!$B$18,Assumptions!$B$18*Assumptions!$B$20*Assumptions!$B$16)</f>
        <v>-86.064</v>
      </c>
      <c r="G6" s="23">
        <f>-IF(G3-2026&lt;Assumptions!$B$19,Assumptions!$B$18,Assumptions!$B$18*Assumptions!$B$20*Assumptions!$B$16)</f>
        <v>-1.360671839999999</v>
      </c>
      <c r="H6" s="23">
        <f>-IF(H3-2026&lt;Assumptions!$B$19,Assumptions!$B$18,Assumptions!$B$18*Assumptions!$B$20*Assumptions!$B$16)</f>
        <v>-1.360671839999999</v>
      </c>
      <c r="I6" s="23">
        <f>-IF(I3-2026&lt;Assumptions!$B$19,Assumptions!$B$18,Assumptions!$B$18*Assumptions!$B$20*Assumptions!$B$16)</f>
        <v>-1.360671839999999</v>
      </c>
      <c r="J6" s="23">
        <f>-IF(J3-2026&lt;Assumptions!$B$19,Assumptions!$B$18,Assumptions!$B$18*Assumptions!$B$20*Assumptions!$B$16)</f>
        <v>-1.360671839999999</v>
      </c>
      <c r="K6" s="23">
        <f>-IF(K3-2026&lt;Assumptions!$B$19,Assumptions!$B$18,Assumptions!$B$18*Assumptions!$B$20*Assumptions!$B$16)</f>
        <v>-1.360671839999999</v>
      </c>
      <c r="L6" s="23">
        <f>-IF(L3-2026&lt;Assumptions!$B$19,Assumptions!$B$18,Assumptions!$B$18*Assumptions!$B$20*Assumptions!$B$16)</f>
        <v>-1.360671839999999</v>
      </c>
      <c r="M6" s="23">
        <f>-IF(M3-2026&lt;Assumptions!$B$19,Assumptions!$B$18,Assumptions!$B$18*Assumptions!$B$20*Assumptions!$B$16)</f>
        <v>-1.360671839999999</v>
      </c>
      <c r="N6" s="23">
        <f>-IF(N3-2026&lt;Assumptions!$B$19,Assumptions!$B$18,Assumptions!$B$18*Assumptions!$B$20*Assumptions!$B$16)</f>
        <v>-1.360671839999999</v>
      </c>
      <c r="O6" s="23">
        <f>-IF(O3-2026&lt;Assumptions!$B$19,Assumptions!$B$18,Assumptions!$B$18*Assumptions!$B$20*Assumptions!$B$16)</f>
        <v>-1.360671839999999</v>
      </c>
      <c r="P6" s="23">
        <f>-IF(P3-2026&lt;Assumptions!$B$19,Assumptions!$B$18,Assumptions!$B$18*Assumptions!$B$20*Assumptions!$B$16)</f>
        <v>-1.360671839999999</v>
      </c>
      <c r="Q6" s="23">
        <f>-IF(Q3-2026&lt;Assumptions!$B$19,Assumptions!$B$18,Assumptions!$B$18*Assumptions!$B$20*Assumptions!$B$16)</f>
        <v>-1.360671839999999</v>
      </c>
      <c r="R6" s="23">
        <f>-IF(R3-2026&lt;Assumptions!$B$19,Assumptions!$B$18,Assumptions!$B$18*Assumptions!$B$20*Assumptions!$B$16)</f>
        <v>-1.360671839999999</v>
      </c>
      <c r="S6" s="23">
        <f>-IF(S3-2026&lt;Assumptions!$B$19,Assumptions!$B$18,Assumptions!$B$18*Assumptions!$B$20*Assumptions!$B$16)</f>
        <v>-1.360671839999999</v>
      </c>
      <c r="T6" s="23">
        <f>-IF(T3-2026&lt;Assumptions!$B$19,Assumptions!$B$18,Assumptions!$B$18*Assumptions!$B$20*Assumptions!$B$16)</f>
        <v>-1.360671839999999</v>
      </c>
      <c r="U6" s="23">
        <f>-IF(U3-2026&lt;Assumptions!$B$19,Assumptions!$B$18,Assumptions!$B$18*Assumptions!$B$20*Assumptions!$B$16)</f>
        <v>-1.360671839999999</v>
      </c>
      <c r="V6" s="23">
        <f>-IF(V3-2026&lt;Assumptions!$B$19,Assumptions!$B$18,Assumptions!$B$18*Assumptions!$B$20*Assumptions!$B$16)</f>
        <v>-1.360671839999999</v>
      </c>
    </row>
    <row r="7">
      <c r="A7" s="14" t="inlineStr">
        <is>
          <t>Pre-tax cash flow</t>
        </is>
      </c>
      <c r="C7" s="23">
        <f>C5+C6</f>
        <v>-86.064</v>
      </c>
      <c r="D7" s="23">
        <f>D5+D6</f>
        <v>-86.064</v>
      </c>
      <c r="E7" s="23">
        <f>E5+E6</f>
        <v>-86.064</v>
      </c>
      <c r="F7" s="23">
        <f>F5+F6</f>
        <v>-86.064</v>
      </c>
      <c r="G7" s="23">
        <f>G5+G6</f>
        <v>-1.360671839999999</v>
      </c>
      <c r="H7" s="23">
        <f>H5+H6</f>
        <v>-1.360671839999999</v>
      </c>
      <c r="I7" s="23">
        <f>I5+I6</f>
        <v>-1.360671839999999</v>
      </c>
      <c r="J7" s="23">
        <f>J5+J6</f>
        <v>1.1689281600000012</v>
      </c>
      <c r="K7" s="23">
        <f>K5+K6</f>
        <v>4.9633281600000005</v>
      </c>
      <c r="L7" s="23">
        <f>L5+L6</f>
        <v>10.022528160000002</v>
      </c>
      <c r="M7" s="23">
        <f>M5+M6</f>
        <v>15.08172816</v>
      </c>
      <c r="N7" s="23">
        <f>N5+N6</f>
        <v>20.14092816</v>
      </c>
      <c r="O7" s="23">
        <f>O5+O6</f>
        <v>23.93532816</v>
      </c>
      <c r="P7" s="23">
        <f>P5+P6</f>
        <v>23.93532816</v>
      </c>
      <c r="Q7" s="23">
        <f>Q5+Q6</f>
        <v>23.93532816</v>
      </c>
      <c r="R7" s="23">
        <f>R5+R6</f>
        <v>23.93532816</v>
      </c>
      <c r="S7" s="23">
        <f>S5+S6</f>
        <v>23.93532816</v>
      </c>
      <c r="T7" s="23">
        <f>T5+T6</f>
        <v>23.93532816</v>
      </c>
      <c r="U7" s="23">
        <f>U5+U6</f>
        <v>23.93532816</v>
      </c>
      <c r="V7" s="23">
        <f>V5+V6</f>
        <v>23.93532816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1.1689281600000012</v>
      </c>
      <c r="K8" s="23">
        <f>MIN(J17,MAX(0,K7))</f>
        <v>4.9633281600000005</v>
      </c>
      <c r="L8" s="23">
        <f>MIN(K17,MAX(0,L7))</f>
        <v>10.022528160000002</v>
      </c>
      <c r="M8" s="23">
        <f>MIN(L17,MAX(0,M7))</f>
        <v>15.08172816</v>
      </c>
      <c r="N8" s="23">
        <f>MIN(M17,MAX(0,N7))</f>
        <v>20.14092816</v>
      </c>
      <c r="O8" s="23">
        <f>MIN(N17,MAX(0,O7))</f>
        <v>23.93532816</v>
      </c>
      <c r="P8" s="23">
        <f>MIN(O17,MAX(0,P7))</f>
        <v>23.93532816</v>
      </c>
      <c r="Q8" s="23">
        <f>MIN(P17,MAX(0,Q7))</f>
        <v>23.93532816</v>
      </c>
      <c r="R8" s="23">
        <f>MIN(Q17,MAX(0,R7))</f>
        <v>23.93532816</v>
      </c>
      <c r="S8" s="23">
        <f>MIN(R17,MAX(0,S7))</f>
        <v>23.93532816</v>
      </c>
      <c r="T8" s="23">
        <f>MIN(S17,MAX(0,T7))</f>
        <v>23.93532816</v>
      </c>
      <c r="U8" s="23">
        <f>MIN(T17,MAX(0,U7))</f>
        <v>23.93532816</v>
      </c>
      <c r="V8" s="23">
        <f>MIN(U17,MAX(0,V7))</f>
        <v>23.93532816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-86.064</v>
      </c>
      <c r="D11" s="55">
        <f>D7-D10</f>
        <v>-86.064</v>
      </c>
      <c r="E11" s="55">
        <f>E7-E10</f>
        <v>-86.064</v>
      </c>
      <c r="F11" s="55">
        <f>F7-F10</f>
        <v>-86.064</v>
      </c>
      <c r="G11" s="55">
        <f>G7-G10</f>
        <v>-1.360671839999999</v>
      </c>
      <c r="H11" s="55">
        <f>H7-H10</f>
        <v>-1.360671839999999</v>
      </c>
      <c r="I11" s="55">
        <f>I7-I10</f>
        <v>-1.360671839999999</v>
      </c>
      <c r="J11" s="55">
        <f>J7-J10</f>
        <v>1.1689281600000012</v>
      </c>
      <c r="K11" s="55">
        <f>K7-K10</f>
        <v>4.9633281600000005</v>
      </c>
      <c r="L11" s="55">
        <f>L7-L10</f>
        <v>10.022528160000002</v>
      </c>
      <c r="M11" s="55">
        <f>M7-M10</f>
        <v>15.08172816</v>
      </c>
      <c r="N11" s="55">
        <f>N7-N10</f>
        <v>20.14092816</v>
      </c>
      <c r="O11" s="55">
        <f>O7-O10</f>
        <v>23.93532816</v>
      </c>
      <c r="P11" s="55">
        <f>P7-P10</f>
        <v>23.93532816</v>
      </c>
      <c r="Q11" s="55">
        <f>Q7-Q10</f>
        <v>23.93532816</v>
      </c>
      <c r="R11" s="55">
        <f>R7-R10</f>
        <v>23.93532816</v>
      </c>
      <c r="S11" s="55">
        <f>S7-S10</f>
        <v>23.93532816</v>
      </c>
      <c r="T11" s="55">
        <f>T7-T10</f>
        <v>23.93532816</v>
      </c>
      <c r="U11" s="55">
        <f>U7-U10</f>
        <v>23.93532816</v>
      </c>
      <c r="V11" s="55">
        <f>V7-V10</f>
        <v>23.93532816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-42.1631278935978</v>
      </c>
      <c r="D16" s="55">
        <f>D11*D15</f>
        <v>-76.80716058676065</v>
      </c>
      <c r="E16" s="55">
        <f>E11*E15</f>
        <v>-68.57782195246484</v>
      </c>
      <c r="F16" s="55">
        <f>F11*F15</f>
        <v>-61.23019817184361</v>
      </c>
      <c r="G16" s="55">
        <f>G11*G15</f>
        <v>-0.8643298509793275</v>
      </c>
      <c r="H16" s="55">
        <f>H11*H15</f>
        <v>-0.7717230812315423</v>
      </c>
      <c r="I16" s="55">
        <f>I11*I15</f>
        <v>-0.6890384653853056</v>
      </c>
      <c r="J16" s="55">
        <f>J11*J15</f>
        <v>0.5285181042256764</v>
      </c>
      <c r="K16" s="55">
        <f>K11*K15</f>
        <v>2.0036737802215008</v>
      </c>
      <c r="L16" s="55">
        <f>L11*L15</f>
        <v>3.6125451796433525</v>
      </c>
      <c r="M16" s="55">
        <f>M11*M15</f>
        <v>4.853657064875325</v>
      </c>
      <c r="N16" s="55">
        <f>N11*N15</f>
        <v>5.7873458591178055</v>
      </c>
      <c r="O16" s="55">
        <f>O11*O15</f>
        <v>6.1407486329834216</v>
      </c>
      <c r="P16" s="55">
        <f>P11*P15</f>
        <v>5.482811279449483</v>
      </c>
      <c r="Q16" s="55">
        <f>Q11*Q15</f>
        <v>4.895367213794181</v>
      </c>
      <c r="R16" s="55">
        <f>R11*R15</f>
        <v>4.370863583744804</v>
      </c>
      <c r="S16" s="55">
        <f>S11*S15</f>
        <v>3.9025567712007176</v>
      </c>
      <c r="T16" s="55">
        <f>T11*T15</f>
        <v>3.484425688572069</v>
      </c>
      <c r="U16" s="55">
        <f>U11*U15</f>
        <v>3.11109436479649</v>
      </c>
      <c r="V16" s="55">
        <f>V11*V15</f>
        <v>2.777762825711151</v>
      </c>
    </row>
    <row r="17">
      <c r="A17" s="14" t="inlineStr">
        <is>
          <t>Tax-loss carryforward, end of year</t>
        </is>
      </c>
      <c r="C17" s="23">
        <f>Assumptions!$B$21-C8+MAX(0,-C7)</f>
        <v>482.46399999999994</v>
      </c>
      <c r="D17" s="23">
        <f>C17-D8+MAX(0,-D7)</f>
        <v>568.5279999999999</v>
      </c>
      <c r="E17" s="23">
        <f>D17-E8+MAX(0,-E7)</f>
        <v>654.5919999999999</v>
      </c>
      <c r="F17" s="23">
        <f>E17-F8+MAX(0,-F7)</f>
        <v>740.6559999999998</v>
      </c>
      <c r="G17" s="23">
        <f>F17-G8+MAX(0,-G7)</f>
        <v>742.0166718399998</v>
      </c>
      <c r="H17" s="23">
        <f>G17-H8+MAX(0,-H7)</f>
        <v>743.3773436799999</v>
      </c>
      <c r="I17" s="23">
        <f>H17-I8+MAX(0,-I7)</f>
        <v>744.7380155199999</v>
      </c>
      <c r="J17" s="23">
        <f>I17-J8+MAX(0,-J7)</f>
        <v>743.5690873599999</v>
      </c>
      <c r="K17" s="23">
        <f>J17-K8+MAX(0,-K7)</f>
        <v>738.6057592</v>
      </c>
      <c r="L17" s="23">
        <f>K17-L8+MAX(0,-L7)</f>
        <v>728.58323104</v>
      </c>
      <c r="M17" s="23">
        <f>L17-M8+MAX(0,-M7)</f>
        <v>713.50150288</v>
      </c>
      <c r="N17" s="23">
        <f>M17-N8+MAX(0,-N7)</f>
        <v>693.3605747199999</v>
      </c>
      <c r="O17" s="23">
        <f>N17-O8+MAX(0,-O7)</f>
        <v>669.4252465599999</v>
      </c>
      <c r="P17" s="23">
        <f>O17-P8+MAX(0,-P7)</f>
        <v>645.4899183999999</v>
      </c>
      <c r="Q17" s="23">
        <f>P17-Q8+MAX(0,-Q7)</f>
        <v>621.5545902399998</v>
      </c>
      <c r="R17" s="23">
        <f>Q17-R8+MAX(0,-R7)</f>
        <v>597.6192620799998</v>
      </c>
      <c r="S17" s="23">
        <f>R17-S8+MAX(0,-S7)</f>
        <v>573.6839339199997</v>
      </c>
      <c r="T17" s="23">
        <f>S17-T8+MAX(0,-T7)</f>
        <v>549.7486057599997</v>
      </c>
      <c r="U17" s="23">
        <f>T17-U8+MAX(0,-U7)</f>
        <v>525.8132775999997</v>
      </c>
      <c r="V17" s="23">
        <f>U17-V8+MAX(0,-V7)</f>
        <v>501.87794943999967</v>
      </c>
    </row>
    <row r="19">
      <c r="A19" s="14" t="inlineStr">
        <is>
          <t>PV of risked pipeline contribution</t>
        </is>
      </c>
      <c r="B19" s="23">
        <f>SUMPRODUCT(C5:V5,C15:V15)</f>
        <v>55.3774422909388</v>
      </c>
    </row>
    <row r="20">
      <c r="A20" s="14" t="inlineStr">
        <is>
          <t>PV of corporate burn</t>
        </is>
      </c>
      <c r="B20" s="23">
        <f>SUMPRODUCT(C6:V6,C15:V15)</f>
        <v>-255.52947194486592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-200.1520296539271</v>
      </c>
    </row>
    <row r="23">
      <c r="A23" s="14" t="inlineStr">
        <is>
          <t>Cash &amp; investments</t>
        </is>
      </c>
      <c r="B23" s="57">
        <f>Main!C7</f>
        <v>189.982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-10.170029653927088</v>
      </c>
    </row>
    <row r="26">
      <c r="A26" s="14" t="inlineStr">
        <is>
          <t>Shares (mm)</t>
        </is>
      </c>
      <c r="B26" s="57">
        <f>Main!C4</f>
        <v>57.00901</v>
      </c>
    </row>
    <row r="27">
      <c r="A27" s="24" t="inlineStr">
        <is>
          <t>rNPV / share</t>
        </is>
      </c>
      <c r="B27" s="60">
        <f>B25/B26</f>
        <v>-0.17839337420395632</v>
      </c>
    </row>
    <row r="28">
      <c r="A28" s="14" t="inlineStr">
        <is>
          <t>Price</t>
        </is>
      </c>
      <c r="B28" s="61">
        <f>Main!C3</f>
        <v>3.19</v>
      </c>
    </row>
    <row r="29">
      <c r="A29" s="14" t="inlineStr">
        <is>
          <t>Upside</t>
        </is>
      </c>
      <c r="B29" s="62">
        <f>B27/B28-1</f>
        <v>-1.0559226878382308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2026-10-21T06:27:12Z</dcterms:modified>
  <cp:lastModifiedBy>Wang, Eric</cp:lastModifiedBy>
</cp:coreProperties>
</file>