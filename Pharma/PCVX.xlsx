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Vaxcyte, Inc.</t>
        </is>
      </c>
      <c r="C2" s="10" t="n"/>
    </row>
    <row r="3">
      <c r="B3" t="inlineStr">
        <is>
          <t>Price</t>
        </is>
      </c>
      <c r="C3" s="11">
        <f>INDEX([1]Pharma!$F$1:$F$1000,MATCH("PCVX",[1]Pharma!$B$1:$B$1000,0))</f>
        <v>66.23</v>
      </c>
      <c r="F3" s="1" t="n"/>
    </row>
    <row r="4">
      <c r="B4" t="inlineStr">
        <is>
          <t>Shares</t>
        </is>
      </c>
      <c r="C4" s="21" t="n">
        <v>148.805278</v>
      </c>
      <c r="F4" s="1" t="n"/>
    </row>
    <row r="5">
      <c r="B5" t="inlineStr">
        <is>
          <t>Market Cap.</t>
        </is>
      </c>
      <c r="C5" s="13">
        <f>C3*C4</f>
        <v>9855.37356194</v>
      </c>
      <c r="F5" s="1" t="n"/>
    </row>
    <row r="6"/>
    <row r="7">
      <c r="B7" t="inlineStr">
        <is>
          <t>Cash</t>
        </is>
      </c>
      <c r="C7" s="21">
        <f>183.19+1303.648</f>
        <v>1486.838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8368.53556194</v>
      </c>
    </row>
    <row r="10"/>
    <row r="11">
      <c r="B11" s="14" t="inlineStr">
        <is>
          <t>Net Cash / Share</t>
        </is>
      </c>
      <c r="C11" s="11">
        <f>(C7-C8)/C4</f>
        <v>9.99183644547877</v>
      </c>
    </row>
    <row r="12">
      <c r="B12" s="14" t="inlineStr">
        <is>
          <t>Upside</t>
        </is>
      </c>
      <c r="C12" s="15">
        <f>IFERROR(C11/C3-1,"")</f>
        <v>-0.849134282870621</v>
      </c>
    </row>
    <row r="13">
      <c r="B13" s="14" t="inlineStr">
        <is>
          <t>Cash / Share</t>
        </is>
      </c>
      <c r="C13" s="11">
        <f>IFERROR((C7-C8)/C4,"")</f>
        <v>9.99183644547877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-881.2329999999999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1.6872246046164863</v>
      </c>
    </row>
    <row r="19">
      <c r="B19" s="14" t="inlineStr">
        <is>
          <t>Implied Pipeline Value</t>
        </is>
      </c>
      <c r="C19" s="13">
        <f>C9</f>
        <v>8368.53556194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30.145</v>
      </c>
      <c r="C5" s="23" t="n">
        <v>45.607</v>
      </c>
      <c r="D5" s="23" t="n">
        <v>73.56399999999999</v>
      </c>
      <c r="E5" s="23" t="n">
        <v>78.411</v>
      </c>
      <c r="F5" s="23" t="n">
        <v>169.451</v>
      </c>
      <c r="G5" s="23" t="n">
        <v>332.341</v>
      </c>
      <c r="H5" s="23" t="n">
        <v>476.644</v>
      </c>
      <c r="I5" s="23" t="n">
        <v>794.306</v>
      </c>
      <c r="J5" s="1" t="n"/>
      <c r="K5" s="1" t="n"/>
    </row>
    <row r="6">
      <c r="A6" s="19" t="inlineStr">
        <is>
          <t>SG&amp;A &amp; Other</t>
        </is>
      </c>
      <c r="B6" s="23" t="n">
        <v>5.388</v>
      </c>
      <c r="C6" s="23" t="n">
        <v>8.545999999999999</v>
      </c>
      <c r="D6" s="23" t="n">
        <v>16.017</v>
      </c>
      <c r="E6" s="23" t="n">
        <v>25.259</v>
      </c>
      <c r="F6" s="23" t="n">
        <v>62.805</v>
      </c>
      <c r="G6" s="23" t="n">
        <v>135.7</v>
      </c>
      <c r="H6" s="23" t="n">
        <v>92.902</v>
      </c>
      <c r="I6" s="23" t="n">
        <v>129.369</v>
      </c>
      <c r="J6" s="1" t="n"/>
      <c r="K6" s="1" t="n"/>
    </row>
    <row r="7">
      <c r="A7" s="2" t="inlineStr">
        <is>
          <t>Operating Expense</t>
        </is>
      </c>
      <c r="B7" s="23">
        <f>SUM(B5:B6)</f>
        <v>35.533</v>
      </c>
      <c r="C7" s="23">
        <f>SUM(C5:C6)</f>
        <v>54.153</v>
      </c>
      <c r="D7" s="23">
        <f>SUM(D5:D6)</f>
        <v>89.58099999999999</v>
      </c>
      <c r="E7" s="23">
        <f>SUM(E5:E6)</f>
        <v>103.67</v>
      </c>
      <c r="F7" s="23">
        <f>SUM(F5:F6)</f>
        <v>232.256</v>
      </c>
      <c r="G7" s="23">
        <f>SUM(G5:G6)</f>
        <v>468.041</v>
      </c>
      <c r="H7" s="23">
        <f>SUM(H5:H6)</f>
        <v>569.546</v>
      </c>
      <c r="I7" s="23">
        <f>SUM(I5:I6)</f>
        <v>923.6750000000001</v>
      </c>
      <c r="J7" s="1" t="n"/>
      <c r="K7" s="1" t="n"/>
    </row>
    <row r="8">
      <c r="A8" s="2" t="inlineStr">
        <is>
          <t>Operating Income</t>
        </is>
      </c>
      <c r="B8" s="23">
        <f>B4-B7</f>
        <v>-35.533</v>
      </c>
      <c r="C8" s="23">
        <f>C4-C7</f>
        <v>-54.153</v>
      </c>
      <c r="D8" s="23">
        <f>D4-D7</f>
        <v>-89.58099999999999</v>
      </c>
      <c r="E8" s="23">
        <f>E4-E7</f>
        <v>-103.67</v>
      </c>
      <c r="F8" s="23">
        <f>F4-F7</f>
        <v>-232.256</v>
      </c>
      <c r="G8" s="23">
        <f>G4-G7</f>
        <v>-468.041</v>
      </c>
      <c r="H8" s="23">
        <f>H4-H7</f>
        <v>-569.546</v>
      </c>
      <c r="I8" s="23">
        <f>I4-I7</f>
        <v>-923.6750000000001</v>
      </c>
      <c r="J8" s="1" t="n"/>
      <c r="K8" s="1" t="n"/>
    </row>
    <row r="9">
      <c r="A9" s="19" t="inlineStr">
        <is>
          <t>Interest &amp; Other</t>
        </is>
      </c>
      <c r="B9" s="23" t="n">
        <v>6.048</v>
      </c>
      <c r="C9" s="23" t="n">
        <v>3.879</v>
      </c>
      <c r="D9" s="23" t="n">
        <v>0.364</v>
      </c>
      <c r="E9" s="23" t="n">
        <v>103.57</v>
      </c>
      <c r="F9" s="23" t="n">
        <v>232.033</v>
      </c>
      <c r="G9" s="23" t="n">
        <v>467.639</v>
      </c>
      <c r="H9" s="23" t="n">
        <v>569.082</v>
      </c>
      <c r="I9" s="23" t="n">
        <v>922.908</v>
      </c>
    </row>
    <row r="10">
      <c r="A10" s="2" t="inlineStr">
        <is>
          <t>Pretax</t>
        </is>
      </c>
      <c r="B10" s="23">
        <f>B8+B9</f>
        <v>-29.485</v>
      </c>
      <c r="C10" s="23">
        <f>C8+C9</f>
        <v>-50.274</v>
      </c>
      <c r="D10" s="23">
        <f>D8+D9</f>
        <v>-89.21699999999998</v>
      </c>
      <c r="E10" s="23">
        <f>E8+E9</f>
        <v>-0.10000000000000853</v>
      </c>
      <c r="F10" s="23">
        <f>F8+F9</f>
        <v>-0.2230000000000132</v>
      </c>
      <c r="G10" s="23">
        <f>G8+G9</f>
        <v>-0.4019999999999868</v>
      </c>
      <c r="H10" s="23">
        <f>H8+H9</f>
        <v>-0.4640000000000555</v>
      </c>
      <c r="I10" s="23">
        <f>I8+I9</f>
        <v>-0.7670000000000528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-29.485</v>
      </c>
      <c r="C12" s="23" t="n">
        <v>-50.274</v>
      </c>
      <c r="D12" s="23" t="n">
        <v>-89.217</v>
      </c>
      <c r="E12" s="23" t="n">
        <v>-0.1</v>
      </c>
      <c r="F12" s="23" t="n">
        <v>-0.223</v>
      </c>
      <c r="G12" s="23" t="n">
        <v>-0.402</v>
      </c>
      <c r="H12" s="23" t="n">
        <v>-0.464</v>
      </c>
      <c r="I12" s="23" t="n">
        <v>-0.767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-8.122589531680442</v>
      </c>
      <c r="C13" s="11">
        <f>IFERROR(C12/C14,0)</f>
        <v>-13.247430830039526</v>
      </c>
      <c r="D13" s="11">
        <f>IFERROR(D12/D14,0)</f>
        <v>-3.0195965612942532</v>
      </c>
      <c r="E13" s="11">
        <f>IFERROR(E12/E14,0)</f>
        <v>-0.0019259658718847503</v>
      </c>
      <c r="F13" s="11">
        <f>IFERROR(F12/F14,0)</f>
        <v>-0.003437220629489195</v>
      </c>
      <c r="G13" s="11">
        <f>IFERROR(G12/G14,0)</f>
        <v>-0.004137590316803557</v>
      </c>
      <c r="H13" s="11">
        <f>IFERROR(H12/H14,0)</f>
        <v>-0.003803372214070838</v>
      </c>
      <c r="I13" s="11">
        <f>IFERROR(I12/I14,0)</f>
        <v>-0.005635976192225733</v>
      </c>
    </row>
    <row r="14">
      <c r="A14" s="2" t="inlineStr">
        <is>
          <t>Shares</t>
        </is>
      </c>
      <c r="B14" s="23" t="n">
        <v>3.63</v>
      </c>
      <c r="C14" s="23" t="n">
        <v>3.795</v>
      </c>
      <c r="D14" s="23" t="n">
        <v>29.546</v>
      </c>
      <c r="E14" s="23" t="n">
        <v>51.922</v>
      </c>
      <c r="F14" s="23" t="n">
        <v>64.878</v>
      </c>
      <c r="G14" s="23" t="n">
        <v>97.158</v>
      </c>
      <c r="H14" s="23" t="n">
        <v>121.997</v>
      </c>
      <c r="I14" s="23" t="n">
        <v>136.09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2026-10-21T01:03:55Z</dcterms:modified>
  <cp:lastModifiedBy>Wang, Eric</cp:lastModifiedBy>
</cp:coreProperties>
</file>